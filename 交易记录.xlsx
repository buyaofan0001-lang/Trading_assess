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D77330D3-8B92-6346-B781-EE5C9A1C056F}"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<sst xmlns="http://schemas.openxmlformats.org/spreadsheetml/2006/main" count="284" uniqueCount="88">
  <si>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</si>
  <si>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</si>
  <si>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</si>
  <si>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</si>
  <si>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</si>
  <si>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</si>
  <si>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</si>
  <si>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</si>
  <si>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</si>
  <si>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</si>
  <si>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</si>
  <si>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</si>
  <si>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</si>
  <si>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</si>
  <si>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</si>
  <si>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</si>
  <si>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</si>
  <si>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</si>
  <si>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</si>
  <si>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</si>
  <si>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</si>
  <si>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</si>
  <si>
    <t>601126</t>
    <phoneticPr fontId="1" type="noConversion"/>
  </si>
  <si>
    <t>四方股份</t>
    <phoneticPr fontId="1" type="noConversion"/>
  </si>
  <si>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phoneticPr fontId="1" type="noConversion"/>
  </si>
  <si>
    <t>这里在尾盘加了600股坦白地说是害怕明天行情就启动了的贸然出击，但是总觉得仓位不打到5w块心里不舒服，反而加完仓之后心情好了起来，这个操作确实有点冒失，但我想把它当作感觉的一部分不知道这对不对。</t>
    <phoneticPr fontId="1" type="noConversion"/>
  </si>
  <si>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phoneticPr fontId="1" type="noConversion"/>
  </si>
  <si>
    <t>负-7%的时候止损</t>
    <phoneticPr fontId="1" type="noConversion"/>
  </si>
  <si>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phoneticPr fontId="1" type="noConversion"/>
  </si>
  <si>
    <t xml:space="preserve">这个时候以为是真的被哟多了 我选择在这个时候卖出100股以求安稳 自己很显然被股价控制了操作 </t>
    <phoneticPr fontId="1" type="noConversion"/>
  </si>
  <si>
    <t xml:space="preserve">四方股份的价格来到了我的加仓目标价 顺势在这个价格买入6手 </t>
    <phoneticPr fontId="1" type="noConversion"/>
  </si>
  <si>
    <t>证券代码</t>
    <phoneticPr fontId="1" type="noConversion"/>
  </si>
  <si>
    <t>证券名称</t>
    <phoneticPr fontId="1" type="noConversion"/>
  </si>
  <si>
    <t>买卖标志</t>
    <phoneticPr fontId="1" type="noConversion"/>
  </si>
  <si>
    <t>成交日期</t>
    <phoneticPr fontId="1" type="noConversion"/>
  </si>
  <si>
    <t>成交时间</t>
    <phoneticPr fontId="1" type="noConversion"/>
  </si>
  <si>
    <t>成交价格</t>
    <phoneticPr fontId="1" type="noConversion"/>
  </si>
  <si>
    <t>成交数量</t>
    <phoneticPr fontId="1" type="noConversion"/>
  </si>
  <si>
    <t>成交金额</t>
    <phoneticPr fontId="1" type="noConversion"/>
  </si>
  <si>
    <t>清仓收益</t>
    <phoneticPr fontId="1" type="noConversion"/>
  </si>
  <si>
    <t>剩余仓位</t>
    <phoneticPr fontId="1" type="noConversion"/>
  </si>
  <si>
    <t>买入逻辑</t>
    <phoneticPr fontId="1" type="noConversion"/>
  </si>
  <si>
    <t>计划止盈</t>
    <phoneticPr fontId="1" type="noConversion"/>
  </si>
  <si>
    <t>计划止损</t>
    <phoneticPr fontId="1" type="noConversion"/>
  </si>
  <si>
    <t>清仓逻辑</t>
    <phoneticPr fontId="1" type="noConversion"/>
  </si>
  <si>
    <t>恒瑞医药</t>
    <phoneticPr fontId="1" type="noConversion"/>
  </si>
  <si>
    <t>工业富联</t>
    <phoneticPr fontId="1" type="noConversion"/>
  </si>
  <si>
    <t>兆易创新</t>
    <phoneticPr fontId="1" type="noConversion"/>
  </si>
  <si>
    <t>北方稀土</t>
    <phoneticPr fontId="1" type="noConversion"/>
  </si>
  <si>
    <t>立讯精密</t>
    <phoneticPr fontId="1" type="noConversion"/>
  </si>
  <si>
    <t>药明康德</t>
    <phoneticPr fontId="1" type="noConversion"/>
  </si>
  <si>
    <t>北方华创</t>
    <phoneticPr fontId="1" type="noConversion"/>
  </si>
  <si>
    <t>市买1（对手方最优价格）</t>
    <phoneticPr fontId="1" type="noConversion"/>
  </si>
  <si>
    <t>市卖1（对手方最优价格）</t>
    <phoneticPr fontId="1" type="noConversion"/>
  </si>
  <si>
    <t>市卖2（本手方最优价格）</t>
    <phoneticPr fontId="1" type="noConversion"/>
  </si>
  <si>
    <t>剑桥科技</t>
    <phoneticPr fontId="1" type="noConversion"/>
  </si>
  <si>
    <t>市买2（本手方最优价格）</t>
    <phoneticPr fontId="1" type="noConversion"/>
  </si>
  <si>
    <t>华友钴业</t>
    <phoneticPr fontId="1" type="noConversion"/>
  </si>
  <si>
    <t>长白山</t>
    <phoneticPr fontId="1" type="noConversion"/>
  </si>
  <si>
    <t>中国西电</t>
    <phoneticPr fontId="1" type="noConversion"/>
  </si>
  <si>
    <t>长电科技</t>
    <phoneticPr fontId="1" type="noConversion"/>
  </si>
  <si>
    <t xml:space="preserve"> 1- 长电科技站稳了30日均线  今天下午迎来突破是一个较好追随趋势的机会 
 2 -  nvda财报远超预期 ai硬件炒作尚未停止 还未传导到封测领域 
</t>
    <phoneticPr fontId="1" type="noConversion"/>
  </si>
  <si>
    <t xml:space="preserve"> 设置在前高55时止盈半仓</t>
    <phoneticPr fontId="1" type="noConversion"/>
  </si>
  <si>
    <t>放量跌破30日线全仓止损</t>
    <phoneticPr fontId="1" type="noConversion"/>
  </si>
  <si>
    <t xml:space="preserve">基本面没有改变 思源电气回踩13日线  只是一个短期获利盘的了结  做的不足的地方在于太想抄底了 应该等股价稳稳踩住13日线的时候再进行加仓
</t>
    <phoneticPr fontId="1" type="noConversion"/>
  </si>
  <si>
    <t>止盈依旧设置在250 止盈半仓</t>
    <phoneticPr fontId="1" type="noConversion"/>
  </si>
  <si>
    <t>放量跌破13日均线且没有收复迹象时全仓离场</t>
    <phoneticPr fontId="1" type="noConversion"/>
  </si>
  <si>
    <t xml:space="preserve">卖出 </t>
    <phoneticPr fontId="1" type="noConversion"/>
  </si>
  <si>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phoneticPr fontId="1" type="noConversion"/>
  </si>
  <si>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phoneticPr fontId="1" type="noConversion"/>
  </si>
  <si>
    <t>有效跌破210 止盈离场 恢复趋势后才能进场</t>
    <phoneticPr fontId="1" type="noConversion"/>
  </si>
  <si>
    <t>思源电气跌破210支撑位且最终没有有力的回收
需要适当规避风险，短期走弱，但会持续关注，企稳30日线后可以入场建仓，但现在不是时候</t>
    <phoneticPr fontId="1" type="noConversion"/>
  </si>
  <si>
    <t>尽管今天盘中爆出关于7nm制成工艺的利好
依旧走势很弱涨幅小，没有回收47块，判定为
短暂弱势+封测板块本身没什么涨头遂离场</t>
    <phoneticPr fontId="1" type="noConversion"/>
  </si>
  <si>
    <t>思源电气 逻辑还在 今天正式站稳30日线 且上涨幅度达4%强度可延续 今天初步建仓主要为了试仓 最终仓位上限定格在10w</t>
    <phoneticPr fontId="1" type="noConversion"/>
  </si>
  <si>
    <t>跌破30日线离场</t>
    <phoneticPr fontId="1" type="noConversion"/>
  </si>
  <si>
    <t>亨通光电</t>
    <phoneticPr fontId="1" type="noConversion"/>
  </si>
  <si>
    <t>亨通光电作为光纤的人气公司 pe处于低值 同时今天站稳了30日线做一下左侧交易问题应该不大 轻仓试错中</t>
    <phoneticPr fontId="1" type="noConversion"/>
  </si>
  <si>
    <t>有效跌破30日线离场</t>
    <phoneticPr fontId="1" type="noConversion"/>
  </si>
  <si>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phoneticPr fontId="1" type="noConversion"/>
  </si>
  <si>
    <t>原本设定的限价单放在了210，直到收盘也没有打到210的位置，我认为今天作为一个普跌行情，反弹是最近的大概率事件，尾盘突然的拉伸正想追进去发现尾盘又砸了，既然稳在30日线 逐步布局加仓也是好的</t>
    <phoneticPr fontId="1" type="noConversion"/>
  </si>
  <si>
    <t>认为短期是一个加仓的时期 同时早盘
走的很强势 于是有点贸然加仓了</t>
    <phoneticPr fontId="1" type="noConversion"/>
  </si>
  <si>
    <t>亨通光电早盘高开低走下午探底回升之后十分强势收复前几天大跌的阴线，且当时均价仍低于成本线，短期支撑位40.96已经明晰，寻求一波追涨</t>
    <phoneticPr fontId="1" type="noConversion"/>
  </si>
  <si>
    <t>002208</t>
    <phoneticPr fontId="1" type="noConversion"/>
  </si>
  <si>
    <t>这一波买入跟昨天买入亨通光电的逻辑是一致的在看到思源电气企稳逐步回到趋势后 同时又低于现在仓位均价加仓是看起来很划算的事情 ，电力走的好 一定程度上也带动了电网，但要开始逐步小心风险了</t>
    <phoneticPr fontId="1" type="noConversion"/>
  </si>
  <si>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phoneticPr fontId="1" type="noConversion"/>
  </si>
  <si>
    <t>3614    （+5.4%）</t>
    <phoneticPr fontId="1" type="noConversion"/>
  </si>
  <si>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phoneticPr fontId="1" type="noConversion"/>
  </si>
  <si>
    <t>200是思源电气这几日的短期低点这个地方应当有比较好的支撑，事实证明我做对了 两次探底200之后都得到了回收，但大盘抛压太重今天放量跌了2% 还在努力降低成本 有机会就高卖做t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</si>
</sst>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font>
      <sz val="11"/>
      <color theme="1"/>
      <name val="宋体"/>
      <charset val="134"/>
      <scheme val="minor"/>
    </font>
    <font>
      <sz val="9"/>
      <name val="宋体"/>
      <family val="3"/>
      <charset val="134"/>
      <scheme val="minor"/>
    </font>
    <font>
      <sz val="18"/>
      <color theme="1"/>
      <name val="楷体"/>
      <family val="3"/>
      <charset val="134"/>
    </font>
    <font>
      <sz val="16"/>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2" fillId="0" borderId="0" xfId="0" applyFont="1">
      <alignment vertical="center"/>
    </xf>
    <xf numFmtId="0" fontId="3" fillId="2" borderId="0" xfId="0" applyFont="1" applyFill="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FF7435-4F95-7449-B724-D5A5EE9FF813}">
  <we:reference id="wa200009404" version="1.0.0.8" store="en-US" storeType="OMEX"/>
  <we:alternateReferences>
    <we:reference id="wa200009404" version="1.0.0.8" store="en-US" storeType="OMEX"/>
  </we:alternateReferences>
  <we:properties>
    <we:property name="claude.fileId" value="&quot;9247f0a0-ecd4-46b9-b490-119767bfebf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9"/>
  <sheetViews>
    <sheetView tabSelected="1" zoomScale="75" zoomScaleNormal="94" workbookViewId="0">
      <pane ySplit="1" topLeftCell="A89" activePane="bottomLeft" state="frozen"/>
      <selection pane="bottomLeft" activeCell="H112" sqref="H112"/>
    </sheetView>
  </sheetViews>
  <sheetFormatPr baseColWidth="10" defaultColWidth="10.33203125" defaultRowHeight="24"/>
  <cols>
    <col min="1" max="2" width="22.1640625" style="1" bestFit="1" customWidth="1"/>
    <col min="3" max="3" width="39.6640625" style="1" bestFit="1" customWidth="1"/>
    <col min="4" max="8" width="22.1640625" style="1" bestFit="1" customWidth="1"/>
    <col min="9" max="9" width="29.5" style="1" bestFit="1" customWidth="1"/>
    <col min="10" max="10" width="22.1640625" style="1" bestFit="1" customWidth="1"/>
    <col min="11" max="11" width="43.83203125" style="1" customWidth="1"/>
    <col min="12" max="12" width="27.6640625" style="1" customWidth="1"/>
    <col min="13" max="13" width="49" style="1" customWidth="1"/>
    <col min="14" max="14" width="255.83203125" style="1" bestFit="1" customWidth="1"/>
    <col min="15" max="15" width="39.1640625" style="1" bestFit="1" customWidth="1"/>
    <col min="16" max="16384" width="10.33203125" style="1"/>
  </cols>
  <sheetData>
    <row r="1" spans="1:15" s="2" customFormat="1" ht="23.25" customHeight="1">
      <c r="A1" s="2" t="s">
        <v>31</v>
      </c>
      <c r="B1" s="2" t="s">
        <v>32</v>
      </c>
      <c r="C1" s="2" t="s">
        <v>33</v>
      </c>
      <c r="D1" s="2" t="s">
        <v>34</v>
      </c>
      <c r="E1" s="2" t="s">
        <v>35</v>
      </c>
      <c r="F1" s="2" t="s">
        <v>36</v>
      </c>
      <c r="G1" s="2" t="s">
        <v>37</v>
      </c>
      <c r="H1" s="2" t="s">
        <v>38</v>
      </c>
      <c r="I1" s="2" t="s">
        <v>39</v>
      </c>
      <c r="J1" s="2" t="s">
        <v>40</v>
      </c>
      <c r="K1" s="2" t="s">
        <v>41</v>
      </c>
      <c r="L1" s="2" t="s">
        <v>42</v>
      </c>
      <c r="M1" s="2" t="s">
        <v>43</v>
      </c>
      <c r="N1" s="2" t="s">
        <v>44</v>
      </c>
      <c r="O1" s="2" t="s">
        <v>2</v>
      </c>
    </row>
    <row r="2" spans="1:15" ht="20.5" customHeight="1">
      <c r="A2" s="1">
        <v>600276</v>
      </c>
      <c r="B2" s="1" t="s">
        <v>45</v>
      </c>
      <c r="C2" s="1" t="s">
        <v>7</v>
      </c>
      <c r="D2" s="1">
        <v>20250902</v>
      </c>
      <c r="E2" s="1">
        <v>0.39598379629629599</v>
      </c>
      <c r="F2" s="1">
        <v>69.430000000000007</v>
      </c>
      <c r="G2" s="1">
        <v>200</v>
      </c>
      <c r="H2" s="1">
        <v>13886</v>
      </c>
      <c r="I2" s="1" t="str">
        <f>IF(AND($C2="卖出",SUMIFS($G$2:G4,$A$2:A4,$A2)=0),SUMIFS($H$2:H4,$A$2:A4,$A2,$C$2:C4,"卖出")-SUMIFS($H$2:H4,$A$2:A4,$A2,$C$2:C4,"买入"),"")</f>
        <v/>
      </c>
      <c r="J2" s="1">
        <f>SUMIFS($G$2:G2,$A$2:A2,$A2)</f>
        <v>200</v>
      </c>
    </row>
    <row r="3" spans="1:15" ht="20.5" customHeight="1">
      <c r="A3" s="1">
        <v>600276</v>
      </c>
      <c r="B3" s="1" t="s">
        <v>45</v>
      </c>
      <c r="C3" s="1" t="s">
        <v>1</v>
      </c>
      <c r="D3" s="1">
        <v>20250903</v>
      </c>
      <c r="E3" s="1">
        <v>0.40028935185185199</v>
      </c>
      <c r="F3" s="1">
        <v>69.09</v>
      </c>
      <c r="G3" s="1">
        <v>-200</v>
      </c>
      <c r="H3" s="1">
        <v>13818</v>
      </c>
      <c r="I3" s="1">
        <f>IF(AND($C3="卖出",SUMIFS($G$2:G4,$A$2:A4,$A3)=0),SUMIFS($H$2:H4,$A$2:A4,$A3,$C$2:C4,"卖出")-SUMIFS($H$2:H4,$A$2:A4,$A3,$C$2:C4,"买入"),"")</f>
        <v>-68</v>
      </c>
      <c r="J3" s="1">
        <f>SUMIFS($G$2:G3,$A$2:A3,$A3)</f>
        <v>0</v>
      </c>
    </row>
    <row r="4" spans="1:15" ht="20.5" customHeight="1">
      <c r="A4" s="1">
        <v>601138</v>
      </c>
      <c r="B4" s="1" t="s">
        <v>46</v>
      </c>
      <c r="C4" s="1" t="s">
        <v>7</v>
      </c>
      <c r="D4" s="1">
        <v>20250912</v>
      </c>
      <c r="E4" s="1">
        <v>0.40763888888888899</v>
      </c>
      <c r="F4" s="1">
        <v>61</v>
      </c>
      <c r="G4" s="1">
        <v>400</v>
      </c>
      <c r="H4" s="1">
        <v>24400</v>
      </c>
      <c r="I4" s="1" t="str">
        <f>IF(AND($C4="卖出",SUMIFS($G$2:G4,$A$2:A4,$A4)=0),SUMIFS($H$2:H4,$A$2:A4,$A4,$C$2:C4,"卖出")-SUMIFS($H$2:H4,$A$2:A4,$A4,$C$2:C4,"买入"),"")</f>
        <v/>
      </c>
      <c r="J4" s="1">
        <f>SUMIFS($G$2:G4,$A$2:A4,$A4)</f>
        <v>400</v>
      </c>
    </row>
    <row r="5" spans="1:15" ht="20" customHeight="1">
      <c r="A5" s="1">
        <v>601138</v>
      </c>
      <c r="B5" s="1" t="s">
        <v>46</v>
      </c>
      <c r="C5" s="1" t="s">
        <v>7</v>
      </c>
      <c r="D5" s="1">
        <v>20250915</v>
      </c>
      <c r="E5" s="1">
        <v>0.59178240740740695</v>
      </c>
      <c r="F5" s="1">
        <v>59.5</v>
      </c>
      <c r="G5" s="1">
        <v>100</v>
      </c>
      <c r="H5" s="1">
        <v>5950</v>
      </c>
      <c r="I5" s="1" t="str">
        <f>IF(AND($C5="卖出",SUMIFS($G$2:G5,$A$2:A5,$A5)=0),SUMIFS($H$2:H5,$A$2:A5,$A5,$C$2:C5,"卖出")-SUMIFS($H$2:H5,$A$2:A5,$A5,$C$2:C5,"买入"),"")</f>
        <v/>
      </c>
      <c r="J5" s="1">
        <f>SUMIFS($G$2:G5,$A$2:A5,$A5)</f>
        <v>500</v>
      </c>
    </row>
    <row r="6" spans="1:15" ht="20.5" customHeight="1">
      <c r="A6" s="1">
        <v>601138</v>
      </c>
      <c r="B6" s="1" t="s">
        <v>46</v>
      </c>
      <c r="C6" s="1" t="s">
        <v>7</v>
      </c>
      <c r="D6" s="1">
        <v>20250915</v>
      </c>
      <c r="E6" s="1">
        <v>0.399363425925926</v>
      </c>
      <c r="F6" s="1">
        <v>60.5</v>
      </c>
      <c r="G6" s="1">
        <v>100</v>
      </c>
      <c r="H6" s="1">
        <v>6050</v>
      </c>
      <c r="I6" s="1" t="str">
        <f>IF(AND($C6="卖出",SUMIFS($G$2:G6,$A$2:A6,$A6)=0),SUMIFS($H$2:H6,$A$2:A6,$A6,$C$2:C6,"卖出")-SUMIFS($H$2:H6,$A$2:A6,$A6,$C$2:C6,"买入"),"")</f>
        <v/>
      </c>
      <c r="J6" s="1">
        <f>SUMIFS($G$2:G6,$A$2:A6,$A6)</f>
        <v>600</v>
      </c>
    </row>
    <row r="7" spans="1:15" ht="20.5" customHeight="1">
      <c r="A7" s="1">
        <v>603986</v>
      </c>
      <c r="B7" s="1" t="s">
        <v>47</v>
      </c>
      <c r="C7" s="1" t="s">
        <v>7</v>
      </c>
      <c r="D7" s="1">
        <v>20250925</v>
      </c>
      <c r="E7" s="1">
        <v>0.60934027777777799</v>
      </c>
      <c r="F7" s="1">
        <v>198</v>
      </c>
      <c r="G7" s="1">
        <v>100</v>
      </c>
      <c r="H7" s="1">
        <v>19800</v>
      </c>
      <c r="I7" s="1" t="str">
        <f>IF(AND($C7="卖出",SUMIFS($G$2:G11,$A$2:A11,$A7)=0),SUMIFS($H$2:H11,$A$2:A11,$A7,$C$2:C11,"卖出")-SUMIFS($H$2:H11,$A$2:A11,$A7,$C$2:C11,"买入"),"")</f>
        <v/>
      </c>
      <c r="J7" s="1">
        <f>SUMIFS($G$2:G7,$A$2:A7,$A7)</f>
        <v>100</v>
      </c>
    </row>
    <row r="8" spans="1:15" ht="20.5" customHeight="1">
      <c r="A8" s="1">
        <v>601138</v>
      </c>
      <c r="B8" s="1" t="s">
        <v>46</v>
      </c>
      <c r="C8" s="1" t="s">
        <v>1</v>
      </c>
      <c r="D8" s="1">
        <v>20251009</v>
      </c>
      <c r="E8" s="1">
        <v>0.446851851851852</v>
      </c>
      <c r="F8" s="1">
        <v>70</v>
      </c>
      <c r="G8" s="1">
        <v>-200</v>
      </c>
      <c r="H8" s="1">
        <v>14000</v>
      </c>
      <c r="I8" s="1">
        <f>IF(AND($C8="卖出",SUMIFS($G$2:G11,$A$2:A11,$A8)=0),SUMIFS($H$2:H11,$A$2:A11,$A8,$C$2:C11,"卖出")-SUMIFS($H$2:H11,$A$2:A11,$A8,$C$2:C11,"买入"),"")</f>
        <v>1900</v>
      </c>
      <c r="J8" s="1">
        <f>SUMIFS($G$2:G8,$A$2:A8,$A8)</f>
        <v>400</v>
      </c>
    </row>
    <row r="9" spans="1:15" ht="20.5" customHeight="1">
      <c r="A9" s="1">
        <v>600111</v>
      </c>
      <c r="B9" s="1" t="s">
        <v>48</v>
      </c>
      <c r="C9" s="1" t="s">
        <v>7</v>
      </c>
      <c r="D9" s="1">
        <v>20251010</v>
      </c>
      <c r="E9" s="1">
        <v>0.41733796296296299</v>
      </c>
      <c r="F9" s="1">
        <v>53.5</v>
      </c>
      <c r="G9" s="1">
        <v>200</v>
      </c>
      <c r="H9" s="1">
        <v>10700</v>
      </c>
      <c r="I9" s="1" t="str">
        <f>IF(AND($C9="卖出",SUMIFS($G$2:G11,$A$2:A11,$A9)=0),SUMIFS($H$2:H11,$A$2:A11,$A9,$C$2:C11,"卖出")-SUMIFS($H$2:H11,$A$2:A11,$A9,$C$2:C11,"买入"),"")</f>
        <v/>
      </c>
      <c r="J9" s="1">
        <f>SUMIFS($G$2:G9,$A$2:A9,$A9)</f>
        <v>200</v>
      </c>
    </row>
    <row r="10" spans="1:15" ht="20.5" customHeight="1">
      <c r="A10" s="1">
        <v>600111</v>
      </c>
      <c r="B10" s="1" t="s">
        <v>48</v>
      </c>
      <c r="C10" s="1" t="s">
        <v>7</v>
      </c>
      <c r="D10" s="1">
        <v>20251010</v>
      </c>
      <c r="E10" s="1">
        <v>0.39657407407407402</v>
      </c>
      <c r="F10" s="1">
        <v>53.98</v>
      </c>
      <c r="G10" s="1">
        <v>300</v>
      </c>
      <c r="H10" s="1">
        <v>16194</v>
      </c>
      <c r="I10" s="1" t="str">
        <f>IF(AND($C10="卖出",SUMIFS($G$2:G11,$A$2:A11,$A10)=0),SUMIFS($H$2:H11,$A$2:A11,$A10,$C$2:C11,"卖出")-SUMIFS($H$2:H11,$A$2:A11,$A10,$C$2:C11,"买入"),"")</f>
        <v/>
      </c>
      <c r="J10" s="1">
        <f>SUMIFS($G$2:G10,$A$2:A10,$A10)</f>
        <v>500</v>
      </c>
    </row>
    <row r="11" spans="1:15" ht="20.5" customHeight="1">
      <c r="A11" s="1">
        <v>601138</v>
      </c>
      <c r="B11" s="1" t="s">
        <v>46</v>
      </c>
      <c r="C11" s="1" t="s">
        <v>1</v>
      </c>
      <c r="D11" s="1">
        <v>20251015</v>
      </c>
      <c r="E11" s="1">
        <v>0.45391203703703698</v>
      </c>
      <c r="F11" s="1">
        <v>60.75</v>
      </c>
      <c r="G11" s="1">
        <v>-400</v>
      </c>
      <c r="H11" s="1">
        <v>24300</v>
      </c>
      <c r="I11" s="1">
        <f>IF(AND($C11="卖出",SUMIFS($G$2:G11,$A$2:A11,$A11)=0),SUMIFS($H$2:H11,$A$2:A11,$A11,$C$2:C11,"卖出")-SUMIFS($H$2:H11,$A$2:A11,$A11,$C$2:C11,"买入"),"")</f>
        <v>1900</v>
      </c>
      <c r="J11" s="1">
        <f>SUMIFS($G$2:G11,$A$2:A11,$A11)</f>
        <v>0</v>
      </c>
    </row>
    <row r="12" spans="1:15" ht="20.5" customHeight="1">
      <c r="A12" s="1">
        <v>603986</v>
      </c>
      <c r="B12" s="1" t="s">
        <v>47</v>
      </c>
      <c r="C12" s="1" t="s">
        <v>1</v>
      </c>
      <c r="D12" s="1">
        <v>20251015</v>
      </c>
      <c r="E12" s="1">
        <v>0.45378472222222199</v>
      </c>
      <c r="F12" s="1">
        <v>193.75</v>
      </c>
      <c r="G12" s="1">
        <v>-100</v>
      </c>
      <c r="H12" s="1">
        <v>19375</v>
      </c>
      <c r="I12" s="1">
        <f>IF(AND($C12="卖出",SUMIFS($G$2:G12,$A$2:A12,$A12)=0),SUMIFS($H$2:H12,$A$2:A12,$A12,$C$2:C12,"卖出")-SUMIFS($H$2:H12,$A$2:A12,$A12,$C$2:C12,"买入"),"")</f>
        <v>-425</v>
      </c>
      <c r="J12" s="1">
        <f>SUMIFS($G$2:G12,$A$2:A12,$A12)</f>
        <v>0</v>
      </c>
    </row>
    <row r="13" spans="1:15" ht="20.5" customHeight="1">
      <c r="A13" s="1">
        <v>600111</v>
      </c>
      <c r="B13" s="1" t="s">
        <v>48</v>
      </c>
      <c r="C13" s="1" t="s">
        <v>1</v>
      </c>
      <c r="D13" s="1">
        <v>20251015</v>
      </c>
      <c r="E13" s="1">
        <v>0.42269675925925898</v>
      </c>
      <c r="F13" s="1">
        <v>54.82</v>
      </c>
      <c r="G13" s="1">
        <v>-500</v>
      </c>
      <c r="H13" s="1">
        <v>27410</v>
      </c>
      <c r="I13" s="1">
        <f>IF(AND($C13="卖出",SUMIFS($G$2:G13,$A$2:A13,$A13)=0),SUMIFS($H$2:H13,$A$2:A13,$A13,$C$2:C13,"卖出")-SUMIFS($H$2:H13,$A$2:A13,$A13,$C$2:C13,"买入"),"")</f>
        <v>516</v>
      </c>
      <c r="J13" s="1">
        <f>SUMIFS($G$2:G13,$A$2:A13,$A13)</f>
        <v>0</v>
      </c>
    </row>
    <row r="14" spans="1:15" ht="20.5" customHeight="1">
      <c r="A14" s="1" t="str">
        <f>"002475"</f>
        <v>002475</v>
      </c>
      <c r="B14" s="1" t="s">
        <v>49</v>
      </c>
      <c r="C14" s="1" t="s">
        <v>7</v>
      </c>
      <c r="D14" s="1">
        <v>20251016</v>
      </c>
      <c r="E14" s="1">
        <v>0.56047453703703698</v>
      </c>
      <c r="F14" s="1">
        <v>59.5</v>
      </c>
      <c r="G14" s="1">
        <v>600</v>
      </c>
      <c r="H14" s="1">
        <v>35700</v>
      </c>
      <c r="I14" s="1" t="str">
        <f>IF(AND($C14="卖出",SUMIFS($G$2:G19,$A$2:A19,$A14)=0),SUMIFS($H$2:H19,$A$2:A19,$A14,$C$2:C19,"卖出")-SUMIFS($H$2:H19,$A$2:A19,$A14,$C$2:C19,"买入"),"")</f>
        <v/>
      </c>
      <c r="J14" s="1">
        <f>SUMIFS($G$2:G14,$A$2:A14,$A14)</f>
        <v>600</v>
      </c>
    </row>
    <row r="15" spans="1:15" ht="20.5" customHeight="1">
      <c r="A15" s="1">
        <v>603259</v>
      </c>
      <c r="B15" s="1" t="s">
        <v>50</v>
      </c>
      <c r="C15" s="1" t="s">
        <v>7</v>
      </c>
      <c r="D15" s="1">
        <v>20251016</v>
      </c>
      <c r="E15" s="1">
        <v>0.45853009259259297</v>
      </c>
      <c r="F15" s="1">
        <v>101.12</v>
      </c>
      <c r="G15" s="1">
        <v>100</v>
      </c>
      <c r="H15" s="1">
        <v>10112</v>
      </c>
      <c r="I15" s="1" t="str">
        <f>IF(AND($C15="卖出",SUMIFS($G$2:G19,$A$2:A19,$A15)=0),SUMIFS($H$2:H19,$A$2:A19,$A15,$C$2:C19,"卖出")-SUMIFS($H$2:H19,$A$2:A19,$A15,$C$2:C19,"买入"),"")</f>
        <v/>
      </c>
      <c r="J15" s="1">
        <f>SUMIFS($G$2:G15,$A$2:A15,$A15)</f>
        <v>100</v>
      </c>
    </row>
    <row r="16" spans="1:15" ht="20.5" customHeight="1">
      <c r="A16" s="1" t="str">
        <f>"002371"</f>
        <v>002371</v>
      </c>
      <c r="B16" s="1" t="s">
        <v>51</v>
      </c>
      <c r="C16" s="1" t="s">
        <v>7</v>
      </c>
      <c r="D16" s="1">
        <v>20251017</v>
      </c>
      <c r="E16" s="1">
        <v>0.625</v>
      </c>
      <c r="F16" s="1">
        <v>399.43</v>
      </c>
      <c r="G16" s="1">
        <v>100</v>
      </c>
      <c r="H16" s="1">
        <v>39943</v>
      </c>
      <c r="I16" s="1" t="str">
        <f>IF(AND($C16="卖出",SUMIFS($G$2:G19,$A$2:A19,$A16)=0),SUMIFS($H$2:H19,$A$2:A19,$A16,$C$2:C19,"卖出")-SUMIFS($H$2:H19,$A$2:A19,$A16,$C$2:C19,"买入"),"")</f>
        <v/>
      </c>
      <c r="J16" s="1">
        <f>SUMIFS($G$2:G16,$A$2:A16,$A16)</f>
        <v>100</v>
      </c>
    </row>
    <row r="17" spans="1:10" ht="20.5" customHeight="1">
      <c r="A17" s="1" t="str">
        <f>"002281"</f>
        <v>002281</v>
      </c>
      <c r="B17" s="1" t="s">
        <v>10</v>
      </c>
      <c r="C17" s="1" t="s">
        <v>52</v>
      </c>
      <c r="D17" s="1">
        <v>20251021</v>
      </c>
      <c r="E17" s="1">
        <v>0.62155092592592598</v>
      </c>
      <c r="F17" s="1">
        <v>61.37</v>
      </c>
      <c r="G17" s="1">
        <v>300</v>
      </c>
      <c r="H17" s="1">
        <v>18411</v>
      </c>
      <c r="I17" s="1" t="str">
        <f>IF(AND($C17="卖出",SUMIFS($G$2:G19,$A$2:A19,$A17)=0),SUMIFS($H$2:H19,$A$2:A19,$A17,$C$2:C19,"卖出")-SUMIFS($H$2:H19,$A$2:A19,$A17,$C$2:C19,"买入"),"")</f>
        <v/>
      </c>
      <c r="J17" s="1">
        <f>SUMIFS($G$2:G17,$A$2:A17,$A17)</f>
        <v>300</v>
      </c>
    </row>
    <row r="18" spans="1:10" ht="20.5" customHeight="1">
      <c r="A18" s="1">
        <v>603259</v>
      </c>
      <c r="B18" s="1" t="s">
        <v>50</v>
      </c>
      <c r="C18" s="1" t="s">
        <v>1</v>
      </c>
      <c r="D18" s="1">
        <v>20251021</v>
      </c>
      <c r="E18" s="1">
        <v>0.46806712962962999</v>
      </c>
      <c r="F18" s="1">
        <v>101.48</v>
      </c>
      <c r="G18" s="1">
        <v>-100</v>
      </c>
      <c r="H18" s="1">
        <v>10148</v>
      </c>
      <c r="I18" s="1">
        <f>IF(AND($C18="卖出",SUMIFS($G$2:G19,$A$2:A19,$A18)=0),SUMIFS($H$2:H19,$A$2:A19,$A18,$C$2:C19,"卖出")-SUMIFS($H$2:H19,$A$2:A19,$A18,$C$2:C19,"买入"),"")</f>
        <v>36</v>
      </c>
      <c r="J18" s="1">
        <f>SUMIFS($G$2:G18,$A$2:A18,$A18)</f>
        <v>0</v>
      </c>
    </row>
    <row r="19" spans="1:10" ht="20.5" customHeight="1">
      <c r="A19" s="1" t="str">
        <f>"002475"</f>
        <v>002475</v>
      </c>
      <c r="B19" s="1" t="s">
        <v>49</v>
      </c>
      <c r="C19" s="1" t="s">
        <v>1</v>
      </c>
      <c r="D19" s="1">
        <v>20251021</v>
      </c>
      <c r="E19" s="1">
        <v>0.41851851851851901</v>
      </c>
      <c r="F19" s="1">
        <v>60.07</v>
      </c>
      <c r="G19" s="1">
        <v>-200</v>
      </c>
      <c r="H19" s="1">
        <v>12014</v>
      </c>
      <c r="I19" s="1" t="str">
        <f>IF(AND($C19="卖出",SUMIFS($G$2:G19,$A$2:A19,$A19)=0),SUMIFS($H$2:H19,$A$2:A19,$A19,$C$2:C19,"卖出")-SUMIFS($H$2:H19,$A$2:A19,$A19,$C$2:C19,"买入"),"")</f>
        <v/>
      </c>
      <c r="J19" s="1">
        <f>SUMIFS($G$2:G19,$A$2:A19,$A19)</f>
        <v>400</v>
      </c>
    </row>
    <row r="20" spans="1:10" ht="20.5" customHeight="1">
      <c r="A20" s="1">
        <v>603986</v>
      </c>
      <c r="B20" s="1" t="s">
        <v>47</v>
      </c>
      <c r="C20" s="1" t="s">
        <v>7</v>
      </c>
      <c r="D20" s="1">
        <v>20251023</v>
      </c>
      <c r="E20" s="1">
        <v>0.61777777777777798</v>
      </c>
      <c r="F20" s="1">
        <v>208.04</v>
      </c>
      <c r="G20" s="1">
        <v>200</v>
      </c>
      <c r="H20" s="1">
        <v>41608</v>
      </c>
      <c r="I20" s="1" t="str">
        <f>IF(AND($C20="卖出",SUMIFS($G$2:G20,$A$2:A20,$A20)=0),SUMIFS($H$2:H20,$A$2:A20,$A20,$C$2:C20,"卖出")-SUMIFS($H$2:H20,$A$2:A20,$A20,$C$2:C20,"买入"),"")</f>
        <v/>
      </c>
      <c r="J20" s="1">
        <f>SUMIFS($G$2:G20,$A$2:A20,$A20)</f>
        <v>200</v>
      </c>
    </row>
    <row r="21" spans="1:10" ht="20.5" customHeight="1">
      <c r="A21" s="1" t="str">
        <f>"002371"</f>
        <v>002371</v>
      </c>
      <c r="B21" s="1" t="s">
        <v>51</v>
      </c>
      <c r="C21" s="1" t="s">
        <v>53</v>
      </c>
      <c r="D21" s="1">
        <v>20251023</v>
      </c>
      <c r="E21" s="1">
        <v>0.61611111111111105</v>
      </c>
      <c r="F21" s="1">
        <v>402.9</v>
      </c>
      <c r="G21" s="1">
        <v>-100</v>
      </c>
      <c r="H21" s="1">
        <v>40290</v>
      </c>
      <c r="I21" s="1" t="str">
        <f>IF(AND($C21="卖出",SUMIFS($G$2:G21,$A$2:A21,$A21)=0),SUMIFS($H$2:H21,$A$2:A21,$A21,$C$2:C21,"卖出")-SUMIFS($H$2:H21,$A$2:A21,$A21,$C$2:C21,"买入"),"")</f>
        <v/>
      </c>
      <c r="J21" s="1">
        <f>SUMIFS($G$2:G21,$A$2:A21,$A21)</f>
        <v>0</v>
      </c>
    </row>
    <row r="22" spans="1:10" ht="20.5" customHeight="1">
      <c r="A22" s="1" t="str">
        <f>"002475"</f>
        <v>002475</v>
      </c>
      <c r="B22" s="1" t="s">
        <v>49</v>
      </c>
      <c r="C22" s="1" t="s">
        <v>1</v>
      </c>
      <c r="D22" s="1">
        <v>20251024</v>
      </c>
      <c r="E22" s="1">
        <v>0.60100694444444402</v>
      </c>
      <c r="F22" s="1">
        <v>63.72</v>
      </c>
      <c r="G22" s="1">
        <v>-100</v>
      </c>
      <c r="H22" s="1">
        <v>6372</v>
      </c>
      <c r="I22" s="1" t="str">
        <f>IF(AND($C22="卖出",SUMIFS($G$2:G22,$A$2:A22,$A22)=0),SUMIFS($H$2:H22,$A$2:A22,$A22,$C$2:C22,"卖出")-SUMIFS($H$2:H22,$A$2:A22,$A22,$C$2:C22,"买入"),"")</f>
        <v/>
      </c>
      <c r="J22" s="1">
        <f>SUMIFS($G$2:G22,$A$2:A22,$A22)</f>
        <v>300</v>
      </c>
    </row>
    <row r="23" spans="1:10" ht="20.5" customHeight="1">
      <c r="A23" s="1">
        <v>603986</v>
      </c>
      <c r="B23" s="1" t="s">
        <v>47</v>
      </c>
      <c r="C23" s="1" t="s">
        <v>1</v>
      </c>
      <c r="D23" s="1">
        <v>20251024</v>
      </c>
      <c r="E23" s="1">
        <v>0.58921296296296299</v>
      </c>
      <c r="F23" s="1">
        <v>220</v>
      </c>
      <c r="G23" s="1">
        <v>-100</v>
      </c>
      <c r="H23" s="1">
        <v>22000</v>
      </c>
      <c r="I23" s="1" t="str">
        <f>IF(AND($C23="卖出",SUMIFS($G$2:G23,$A$2:A23,$A23)=0),SUMIFS($H$2:H23,$A$2:A23,$A23,$C$2:C23,"卖出")-SUMIFS($H$2:H23,$A$2:A23,$A23,$C$2:C23,"买入"),"")</f>
        <v/>
      </c>
      <c r="J23" s="1">
        <f>SUMIFS($G$2:G23,$A$2:A23,$A23)</f>
        <v>100</v>
      </c>
    </row>
    <row r="24" spans="1:10" ht="20.5" customHeight="1">
      <c r="A24" s="1" t="str">
        <f>"002281"</f>
        <v>002281</v>
      </c>
      <c r="B24" s="1" t="s">
        <v>10</v>
      </c>
      <c r="C24" s="1" t="s">
        <v>54</v>
      </c>
      <c r="D24" s="1">
        <v>20251024</v>
      </c>
      <c r="E24" s="1">
        <v>0.41842592592592598</v>
      </c>
      <c r="F24" s="1">
        <v>61.31</v>
      </c>
      <c r="G24" s="1">
        <v>-300</v>
      </c>
      <c r="H24" s="1">
        <v>18393</v>
      </c>
      <c r="I24" s="1" t="str">
        <f>IF(AND($C24="卖出",SUMIFS($G$2:G24,$A$2:A24,$A24)=0),SUMIFS($H$2:H24,$A$2:A24,$A24,$C$2:C24,"卖出")-SUMIFS($H$2:H24,$A$2:A24,$A24,$C$2:C24,"买入"),"")</f>
        <v/>
      </c>
      <c r="J24" s="1">
        <f>SUMIFS($G$2:G24,$A$2:A24,$A24)</f>
        <v>0</v>
      </c>
    </row>
    <row r="25" spans="1:10" ht="20.5" customHeight="1">
      <c r="A25" s="1">
        <v>603083</v>
      </c>
      <c r="B25" s="1" t="s">
        <v>55</v>
      </c>
      <c r="C25" s="1" t="s">
        <v>56</v>
      </c>
      <c r="D25" s="1">
        <v>20251027</v>
      </c>
      <c r="E25" s="1">
        <v>0.39907407407407403</v>
      </c>
      <c r="F25" s="1">
        <v>122.95</v>
      </c>
      <c r="G25" s="1">
        <v>200</v>
      </c>
      <c r="H25" s="1">
        <v>24590</v>
      </c>
      <c r="I25" s="1" t="str">
        <f>IF(AND($C25="卖出",SUMIFS($G$2:G25,$A$2:A25,$A25)=0),SUMIFS($H$2:H25,$A$2:A25,$A25,$C$2:C25,"卖出")-SUMIFS($H$2:H25,$A$2:A25,$A25,$C$2:C25,"买入"),"")</f>
        <v/>
      </c>
      <c r="J25" s="1">
        <f>SUMIFS($G$2:G25,$A$2:A25,$A25)</f>
        <v>200</v>
      </c>
    </row>
    <row r="26" spans="1:10" ht="20.5" customHeight="1">
      <c r="A26" s="1">
        <v>603083</v>
      </c>
      <c r="B26" s="1" t="s">
        <v>55</v>
      </c>
      <c r="C26" s="1" t="s">
        <v>1</v>
      </c>
      <c r="D26" s="1">
        <v>20251028</v>
      </c>
      <c r="E26" s="1">
        <v>0.625</v>
      </c>
      <c r="F26" s="1">
        <v>119.28</v>
      </c>
      <c r="G26" s="1">
        <v>-200</v>
      </c>
      <c r="H26" s="1">
        <v>23856</v>
      </c>
      <c r="I26" s="1">
        <v>-700</v>
      </c>
      <c r="J26" s="1">
        <f>SUMIFS($G$2:G26,$A$2:A26,$A26)</f>
        <v>0</v>
      </c>
    </row>
    <row r="27" spans="1:10" ht="20.5" customHeight="1">
      <c r="A27" s="1">
        <v>603986</v>
      </c>
      <c r="B27" s="1" t="s">
        <v>47</v>
      </c>
      <c r="C27" s="1" t="s">
        <v>1</v>
      </c>
      <c r="D27" s="1">
        <v>20251029</v>
      </c>
      <c r="E27" s="1">
        <v>0.44155092592592599</v>
      </c>
      <c r="F27" s="1">
        <v>236.41</v>
      </c>
      <c r="G27" s="1">
        <v>-100</v>
      </c>
      <c r="H27" s="1">
        <v>23641</v>
      </c>
      <c r="I27" s="1">
        <f>IF(AND($C27="卖出",SUMIFS($G$2:G27,$A$2:A27,$A27)=0),SUMIFS($H$2:H27,$A$2:A27,$A27,$C$2:C27,"卖出")-SUMIFS($H$2:H27,$A$2:A27,$A27,$C$2:C27,"买入"),"")</f>
        <v>3608</v>
      </c>
      <c r="J27" s="1">
        <f>SUMIFS($G$2:G27,$A$2:A27,$A27)</f>
        <v>0</v>
      </c>
    </row>
    <row r="28" spans="1:10" ht="20.5" customHeight="1">
      <c r="A28" s="1">
        <v>603799</v>
      </c>
      <c r="B28" s="1" t="s">
        <v>57</v>
      </c>
      <c r="C28" s="1" t="s">
        <v>7</v>
      </c>
      <c r="D28" s="1">
        <v>20251030</v>
      </c>
      <c r="E28" s="1">
        <v>0.56559027777777804</v>
      </c>
      <c r="F28" s="1">
        <v>66.099999999999994</v>
      </c>
      <c r="G28" s="1">
        <v>300</v>
      </c>
      <c r="H28" s="1">
        <v>19830</v>
      </c>
      <c r="I28" s="1" t="str">
        <f>IF(AND($C28="卖出",SUMIFS($G$2:G28,$A$2:A28,$A28)=0),SUMIFS($H$2:H28,$A$2:A28,$A28,$C$2:C28,"卖出")-SUMIFS($H$2:H28,$A$2:A28,$A28,$C$2:C28,"买入"),"")</f>
        <v/>
      </c>
      <c r="J28" s="1">
        <f>SUMIFS($G$2:G28,$A$2:A28,$A28)</f>
        <v>300</v>
      </c>
    </row>
    <row r="29" spans="1:10" ht="20.5" customHeight="1">
      <c r="A29" s="1">
        <v>603986</v>
      </c>
      <c r="B29" s="1" t="s">
        <v>47</v>
      </c>
      <c r="C29" s="1" t="s">
        <v>7</v>
      </c>
      <c r="D29" s="1">
        <v>20251030</v>
      </c>
      <c r="E29" s="1">
        <v>0.544988425925926</v>
      </c>
      <c r="F29" s="1">
        <v>236</v>
      </c>
      <c r="G29" s="1">
        <v>100</v>
      </c>
      <c r="H29" s="1">
        <v>23600</v>
      </c>
      <c r="I29" s="1" t="str">
        <f>IF(AND($C29="卖出",SUMIFS($G$2:G29,$A$2:A29,$A29)=0),SUMIFS($H$2:H29,$A$2:A29,$A29,$C$2:C29,"卖出")-SUMIFS($H$2:H29,$A$2:A29,$A29,$C$2:C29,"买入"),"")</f>
        <v/>
      </c>
      <c r="J29" s="1">
        <f>SUMIFS($G$2:G29,$A$2:A29,$A29)</f>
        <v>100</v>
      </c>
    </row>
    <row r="30" spans="1:10" ht="20.5" customHeight="1">
      <c r="A30" s="1">
        <v>603099</v>
      </c>
      <c r="B30" s="1" t="s">
        <v>58</v>
      </c>
      <c r="C30" s="1" t="s">
        <v>7</v>
      </c>
      <c r="D30" s="1">
        <v>20251104</v>
      </c>
      <c r="E30" s="1">
        <v>0.625</v>
      </c>
      <c r="F30" s="1">
        <v>57.91</v>
      </c>
      <c r="G30" s="1">
        <v>100</v>
      </c>
      <c r="H30" s="1">
        <v>5791</v>
      </c>
      <c r="I30" s="1" t="str">
        <f>IF(AND($C30="卖出",SUMIFS($G$2:G30,$A$2:A30,$A30)=0),SUMIFS($H$2:H30,$A$2:A30,$A30,$C$2:C30,"卖出")-SUMIFS($H$2:H30,$A$2:A30,$A30,$C$2:C30,"买入"),"")</f>
        <v/>
      </c>
      <c r="J30" s="1">
        <f>SUMIFS($G$2:G30,$A$2:A30,$A30)</f>
        <v>100</v>
      </c>
    </row>
    <row r="31" spans="1:10" ht="20.5" customHeight="1">
      <c r="A31" s="1">
        <v>603099</v>
      </c>
      <c r="B31" s="1" t="s">
        <v>58</v>
      </c>
      <c r="C31" s="1" t="s">
        <v>7</v>
      </c>
      <c r="D31" s="1">
        <v>20251104</v>
      </c>
      <c r="E31" s="1">
        <v>0.625</v>
      </c>
      <c r="F31" s="1">
        <v>57.91</v>
      </c>
      <c r="G31" s="1">
        <v>100</v>
      </c>
      <c r="H31" s="1">
        <v>5791</v>
      </c>
      <c r="I31" s="1" t="str">
        <f>IF(AND($C31="卖出",SUMIFS($G$2:G31,$A$2:A31,$A31)=0),SUMIFS($H$2:H31,$A$2:A31,$A31,$C$2:C31,"卖出")-SUMIFS($H$2:H31,$A$2:A31,$A31,$C$2:C31,"买入"),"")</f>
        <v/>
      </c>
      <c r="J31" s="1">
        <f>SUMIFS($G$2:G31,$A$2:A31,$A31)</f>
        <v>200</v>
      </c>
    </row>
    <row r="32" spans="1:10" ht="20.5" customHeight="1">
      <c r="A32" s="1">
        <v>603799</v>
      </c>
      <c r="B32" s="1" t="s">
        <v>57</v>
      </c>
      <c r="C32" s="1" t="s">
        <v>1</v>
      </c>
      <c r="D32" s="1">
        <v>20251104</v>
      </c>
      <c r="E32" s="1">
        <v>0.625</v>
      </c>
      <c r="F32" s="1">
        <v>59.9</v>
      </c>
      <c r="G32" s="1">
        <v>-300</v>
      </c>
      <c r="H32" s="1">
        <v>17970</v>
      </c>
      <c r="I32" s="1">
        <f>IF(AND($C32="卖出",SUMIFS($G$2:G32,$A$2:A32,$A32)=0),SUMIFS($H$2:H32,$A$2:A32,$A32,$C$2:C32,"卖出")-SUMIFS($H$2:H32,$A$2:A32,$A32,$C$2:C32,"买入"),"")</f>
        <v>-1860</v>
      </c>
      <c r="J32" s="1">
        <f>SUMIFS($G$2:G32,$A$2:A32,$A32)</f>
        <v>0</v>
      </c>
    </row>
    <row r="33" spans="1:10" ht="20.5" customHeight="1">
      <c r="A33" s="1">
        <v>603099</v>
      </c>
      <c r="B33" s="1" t="s">
        <v>58</v>
      </c>
      <c r="C33" s="1" t="s">
        <v>53</v>
      </c>
      <c r="D33" s="1">
        <v>20251105</v>
      </c>
      <c r="E33" s="1">
        <v>0.41347222222222202</v>
      </c>
      <c r="F33" s="1">
        <v>56.04</v>
      </c>
      <c r="G33" s="1">
        <v>-200</v>
      </c>
      <c r="H33" s="1">
        <v>11208</v>
      </c>
      <c r="I33" s="1" t="str">
        <f>IF(AND($C33="卖出",SUMIFS($G$2:G33,$A$2:A33,$A33)=0),SUMIFS($H$2:H33,$A$2:A33,$A33,$C$2:C33,"卖出")-SUMIFS($H$2:H33,$A$2:A33,$A33,$C$2:C33,"买入"),"")</f>
        <v/>
      </c>
      <c r="J33" s="1">
        <f>SUMIFS($G$2:G33,$A$2:A33,$A33)</f>
        <v>0</v>
      </c>
    </row>
    <row r="34" spans="1:10" ht="20.5" customHeight="1">
      <c r="A34" s="1" t="str">
        <f>"002028"</f>
        <v>002028</v>
      </c>
      <c r="B34" s="1" t="s">
        <v>0</v>
      </c>
      <c r="C34" s="1" t="s">
        <v>7</v>
      </c>
      <c r="D34" s="1">
        <v>20260119</v>
      </c>
      <c r="E34" s="1">
        <v>0.42253472222222199</v>
      </c>
      <c r="F34" s="1">
        <v>199</v>
      </c>
      <c r="G34" s="1">
        <v>100</v>
      </c>
      <c r="H34" s="1">
        <v>19900</v>
      </c>
      <c r="I34" s="1" t="str">
        <f>IF(AND($C34="卖出",SUMIFS($G$2:G34,$A$2:A34,$A34)=0),SUMIFS($H$2:H34,$A$2:A34,$A34,$C$2:C34,"卖出")-SUMIFS($H$2:H34,$A$2:A34,$A34,$C$2:C34,"买入"),"")</f>
        <v/>
      </c>
      <c r="J34" s="1">
        <f>SUMIFS($G$2:G34,$A$2:A34,$A34)</f>
        <v>100</v>
      </c>
    </row>
    <row r="35" spans="1:10" ht="20.5" customHeight="1">
      <c r="A35" s="1">
        <v>601179</v>
      </c>
      <c r="B35" s="1" t="s">
        <v>59</v>
      </c>
      <c r="C35" s="1" t="s">
        <v>7</v>
      </c>
      <c r="D35" s="1">
        <v>20260119</v>
      </c>
      <c r="E35" s="1">
        <v>0.40089120370370401</v>
      </c>
      <c r="F35" s="1">
        <v>14.19</v>
      </c>
      <c r="G35" s="1">
        <v>1400</v>
      </c>
      <c r="H35" s="1">
        <v>19866</v>
      </c>
      <c r="I35" s="1" t="str">
        <f>IF(AND($C35="卖出",SUMIFS($G$2:G35,$A$2:A35,$A35)=0),SUMIFS($H$2:H35,$A$2:A35,$A35,$C$2:C35,"卖出")-SUMIFS($H$2:H35,$A$2:A35,$A35,$C$2:C35,"买入"),"")</f>
        <v/>
      </c>
      <c r="J35" s="1">
        <f>SUMIFS($G$2:G35,$A$2:A35,$A35)</f>
        <v>1400</v>
      </c>
    </row>
    <row r="36" spans="1:10" ht="20.5" customHeight="1">
      <c r="A36" s="1" t="str">
        <f>"002028"</f>
        <v>002028</v>
      </c>
      <c r="B36" s="1" t="s">
        <v>0</v>
      </c>
      <c r="C36" s="1" t="s">
        <v>7</v>
      </c>
      <c r="D36" s="1">
        <v>20260119</v>
      </c>
      <c r="E36" s="1">
        <v>0.39848379629629599</v>
      </c>
      <c r="F36" s="1">
        <v>194</v>
      </c>
      <c r="G36" s="1">
        <v>100</v>
      </c>
      <c r="H36" s="1">
        <v>19400</v>
      </c>
      <c r="I36" s="1" t="str">
        <f>IF(AND($C36="卖出",SUMIFS($G$2:G36,$A$2:A36,$A36)=0),SUMIFS($H$2:H36,$A$2:A36,$A36,$C$2:C36,"卖出")-SUMIFS($H$2:H36,$A$2:A36,$A36,$C$2:C36,"买入"),"")</f>
        <v/>
      </c>
      <c r="J36" s="1">
        <f>SUMIFS($G$2:G36,$A$2:A36,$A36)</f>
        <v>200</v>
      </c>
    </row>
    <row r="37" spans="1:10" ht="20.5" customHeight="1">
      <c r="A37" s="1">
        <v>603986</v>
      </c>
      <c r="B37" s="1" t="s">
        <v>47</v>
      </c>
      <c r="C37" s="1" t="s">
        <v>1</v>
      </c>
      <c r="D37" s="1">
        <v>20260119</v>
      </c>
      <c r="E37" s="1">
        <v>0.39603009259259297</v>
      </c>
      <c r="F37" s="1">
        <v>280.60000000000002</v>
      </c>
      <c r="G37" s="1">
        <v>-100</v>
      </c>
      <c r="H37" s="1">
        <v>28060</v>
      </c>
      <c r="I37" s="1">
        <f>IF(AND($C37="卖出",SUMIFS($G$2:G37,$A$2:A37,$A37)=0),SUMIFS($H$2:H37,$A$2:A37,$A37,$C$2:C37,"卖出")-SUMIFS($H$2:H37,$A$2:A37,$A37,$C$2:C37,"买入"),"")</f>
        <v>8068</v>
      </c>
      <c r="J37" s="1">
        <f>SUMIFS($G$2:G37,$A$2:A37,$A37)</f>
        <v>0</v>
      </c>
    </row>
    <row r="38" spans="1:10" ht="20.5" customHeight="1">
      <c r="A38" s="1" t="str">
        <f>"002028"</f>
        <v>002028</v>
      </c>
      <c r="B38" s="1" t="s">
        <v>0</v>
      </c>
      <c r="C38" s="1" t="s">
        <v>7</v>
      </c>
      <c r="D38" s="1">
        <v>20260121</v>
      </c>
      <c r="E38" s="1">
        <v>0.39738425925925902</v>
      </c>
      <c r="F38" s="1">
        <v>189</v>
      </c>
      <c r="G38" s="1">
        <v>100</v>
      </c>
      <c r="H38" s="1">
        <v>18900</v>
      </c>
      <c r="I38" s="1" t="str">
        <f>IF(AND($C38="卖出",SUMIFS($G$2:G38,$A$2:A38,$A38)=0),SUMIFS($H$2:H38,$A$2:A38,$A38,$C$2:C38,"卖出")-SUMIFS($H$2:H38,$A$2:A38,$A38,$C$2:C38,"买入"),"")</f>
        <v/>
      </c>
      <c r="J38" s="1">
        <f>SUMIFS($G$2:G38,$A$2:A38,$A38)</f>
        <v>300</v>
      </c>
    </row>
    <row r="39" spans="1:10" ht="20.5" customHeight="1">
      <c r="A39" s="1" t="str">
        <f>"002028"</f>
        <v>002028</v>
      </c>
      <c r="B39" s="1" t="s">
        <v>0</v>
      </c>
      <c r="C39" s="1" t="s">
        <v>7</v>
      </c>
      <c r="D39" s="1">
        <v>20260122</v>
      </c>
      <c r="E39" s="1">
        <v>0.44486111111111099</v>
      </c>
      <c r="F39" s="1">
        <v>189</v>
      </c>
      <c r="G39" s="1">
        <v>100</v>
      </c>
      <c r="H39" s="1">
        <v>18900</v>
      </c>
      <c r="I39" s="1" t="str">
        <f>IF(AND($C39="卖出",SUMIFS($G$2:G39,$A$2:A39,$A39)=0),SUMIFS($H$2:H39,$A$2:A39,$A39,$C$2:C39,"卖出")-SUMIFS($H$2:H39,$A$2:A39,$A39,$C$2:C39,"买入"),"")</f>
        <v/>
      </c>
      <c r="J39" s="1">
        <f>SUMIFS($G$2:G39,$A$2:A39,$A39)</f>
        <v>400</v>
      </c>
    </row>
    <row r="40" spans="1:10" ht="20.5" customHeight="1">
      <c r="A40" s="1">
        <v>600584</v>
      </c>
      <c r="B40" s="1" t="s">
        <v>60</v>
      </c>
      <c r="C40" s="1" t="s">
        <v>7</v>
      </c>
      <c r="D40" s="1">
        <v>20260122</v>
      </c>
      <c r="E40" s="1">
        <v>0.40795138888888899</v>
      </c>
      <c r="F40" s="1">
        <v>50</v>
      </c>
      <c r="G40" s="1">
        <v>400</v>
      </c>
      <c r="H40" s="1">
        <v>20000</v>
      </c>
      <c r="I40" s="1" t="str">
        <f>IF(AND($C40="卖出",SUMIFS($G$2:G40,$A$2:A40,$A40)=0),SUMIFS($H$2:H40,$A$2:A40,$A40,$C$2:C40,"卖出")-SUMIFS($H$2:H40,$A$2:A40,$A40,$C$2:C40,"买入"),"")</f>
        <v/>
      </c>
      <c r="J40" s="1">
        <f>SUMIFS($G$2:G40,$A$2:A40,$A40)</f>
        <v>400</v>
      </c>
    </row>
    <row r="41" spans="1:10" ht="20.5" customHeight="1">
      <c r="A41" s="1">
        <v>601179</v>
      </c>
      <c r="B41" s="1" t="s">
        <v>59</v>
      </c>
      <c r="C41" s="1" t="s">
        <v>1</v>
      </c>
      <c r="D41" s="1">
        <v>20260126</v>
      </c>
      <c r="E41" s="1">
        <v>0.62217592592592597</v>
      </c>
      <c r="F41" s="1">
        <v>16.16</v>
      </c>
      <c r="G41" s="1">
        <v>-700</v>
      </c>
      <c r="H41" s="1">
        <v>11312</v>
      </c>
      <c r="I41" s="1" t="str">
        <f>IF(AND($C41="卖出",SUMIFS($G$2:G41,$A$2:A41,$A41)=0),SUMIFS($H$2:H41,$A$2:A41,$A41,$C$2:C41,"卖出")-SUMIFS($H$2:H41,$A$2:A41,$A41,$C$2:C41,"买入"),"")</f>
        <v/>
      </c>
      <c r="J41" s="1">
        <f>SUMIFS($G$2:G41,$A$2:A41,$A41)</f>
        <v>700</v>
      </c>
    </row>
    <row r="42" spans="1:10" ht="20.5" customHeight="1">
      <c r="A42" s="1">
        <v>600584</v>
      </c>
      <c r="B42" s="1" t="s">
        <v>60</v>
      </c>
      <c r="C42" s="1" t="s">
        <v>7</v>
      </c>
      <c r="D42" s="1">
        <v>20260127</v>
      </c>
      <c r="E42" s="1">
        <v>0.589479166666667</v>
      </c>
      <c r="F42" s="1">
        <v>48.3</v>
      </c>
      <c r="G42" s="1">
        <v>200</v>
      </c>
      <c r="H42" s="1">
        <v>9660</v>
      </c>
      <c r="I42" s="1" t="str">
        <f>IF(AND($C42="卖出",SUMIFS($G$2:G42,$A$2:A42,$A42)=0),SUMIFS($H$2:H42,$A$2:A42,$A42,$C$2:C42,"卖出")-SUMIFS($H$2:H42,$A$2:A42,$A42,$C$2:C42,"买入"),"")</f>
        <v/>
      </c>
      <c r="J42" s="1">
        <f>SUMIFS($G$2:G42,$A$2:A42,$A42)</f>
        <v>600</v>
      </c>
    </row>
    <row r="43" spans="1:10" ht="20.5" customHeight="1">
      <c r="A43" s="1" t="str">
        <f>"002475"</f>
        <v>002475</v>
      </c>
      <c r="B43" s="1" t="s">
        <v>49</v>
      </c>
      <c r="C43" s="1" t="s">
        <v>7</v>
      </c>
      <c r="D43" s="1">
        <v>20260127</v>
      </c>
      <c r="E43" s="1">
        <v>0.41396990740740702</v>
      </c>
      <c r="F43" s="1">
        <v>53.2</v>
      </c>
      <c r="G43" s="1">
        <v>200</v>
      </c>
      <c r="H43" s="1">
        <v>10640</v>
      </c>
      <c r="I43" s="1" t="str">
        <f>IF(AND($C43="卖出",SUMIFS($G$2:G43,$A$2:A43,$A43)=0),SUMIFS($H$2:H43,$A$2:A43,$A43,$C$2:C43,"卖出")-SUMIFS($H$2:H43,$A$2:A43,$A43,$C$2:C43,"买入"),"")</f>
        <v/>
      </c>
      <c r="J43" s="1">
        <f>SUMIFS($G$2:G43,$A$2:A43,$A43)</f>
        <v>500</v>
      </c>
    </row>
    <row r="44" spans="1:10" ht="20.5" customHeight="1">
      <c r="A44" s="1" t="str">
        <f>"002028"</f>
        <v>002028</v>
      </c>
      <c r="B44" s="1" t="s">
        <v>0</v>
      </c>
      <c r="C44" s="1" t="s">
        <v>7</v>
      </c>
      <c r="D44" s="1">
        <v>20260129</v>
      </c>
      <c r="E44" s="1">
        <v>0.57781249999999995</v>
      </c>
      <c r="F44" s="1">
        <v>186.2</v>
      </c>
      <c r="G44" s="1">
        <v>100</v>
      </c>
      <c r="H44" s="1">
        <v>18620</v>
      </c>
      <c r="I44" s="1" t="str">
        <f>IF(AND($C44="卖出",SUMIFS($G$2:G44,$A$2:A44,$A44)=0),SUMIFS($H$2:H44,$A$2:A44,$A44,$C$2:C44,"卖出")-SUMIFS($H$2:H44,$A$2:A44,$A44,$C$2:C44,"买入"),"")</f>
        <v/>
      </c>
      <c r="J44" s="1">
        <f>SUMIFS($G$2:G44,$A$2:A44,$A44)</f>
        <v>500</v>
      </c>
    </row>
    <row r="45" spans="1:10" ht="20.5" customHeight="1">
      <c r="A45" s="1" t="str">
        <f>"002475"</f>
        <v>002475</v>
      </c>
      <c r="B45" s="1" t="s">
        <v>49</v>
      </c>
      <c r="C45" s="1" t="s">
        <v>1</v>
      </c>
      <c r="D45" s="1">
        <v>20260129</v>
      </c>
      <c r="E45" s="1">
        <v>0.57199074074074097</v>
      </c>
      <c r="F45" s="1">
        <v>52.2</v>
      </c>
      <c r="G45" s="1">
        <v>-100</v>
      </c>
      <c r="H45" s="1">
        <v>5220</v>
      </c>
      <c r="I45" s="1" t="str">
        <f>IF(AND($C45="卖出",SUMIFS($G$2:G45,$A$2:A45,$A45)=0),SUMIFS($H$2:H45,$A$2:A45,$A45,$C$2:C45,"卖出")-SUMIFS($H$2:H45,$A$2:A45,$A45,$C$2:C45,"买入"),"")</f>
        <v/>
      </c>
      <c r="J45" s="1">
        <f>SUMIFS($G$2:G45,$A$2:A45,$A45)</f>
        <v>400</v>
      </c>
    </row>
    <row r="46" spans="1:10" ht="20.5" customHeight="1">
      <c r="A46" s="1">
        <v>600584</v>
      </c>
      <c r="B46" s="1" t="s">
        <v>60</v>
      </c>
      <c r="C46" s="1" t="s">
        <v>1</v>
      </c>
      <c r="D46" s="1">
        <v>20260129</v>
      </c>
      <c r="E46" s="1">
        <v>0.57099537037036996</v>
      </c>
      <c r="F46" s="1">
        <v>49.2</v>
      </c>
      <c r="G46" s="1">
        <v>-200</v>
      </c>
      <c r="H46" s="1">
        <v>9840</v>
      </c>
      <c r="I46" s="1" t="str">
        <f>IF(AND($C46="卖出",SUMIFS($G$2:G46,$A$2:A46,$A46)=0),SUMIFS($H$2:H46,$A$2:A46,$A46,$C$2:C46,"卖出")-SUMIFS($H$2:H46,$A$2:A46,$A46,$C$2:C46,"买入"),"")</f>
        <v/>
      </c>
      <c r="J46" s="1">
        <f>SUMIFS($G$2:G46,$A$2:A46,$A46)</f>
        <v>400</v>
      </c>
    </row>
    <row r="47" spans="1:10" ht="20.5" customHeight="1">
      <c r="A47" s="1" t="str">
        <f>"002475"</f>
        <v>002475</v>
      </c>
      <c r="B47" s="1" t="s">
        <v>49</v>
      </c>
      <c r="C47" s="1" t="s">
        <v>7</v>
      </c>
      <c r="D47" s="1">
        <v>20260129</v>
      </c>
      <c r="E47" s="1">
        <v>0.54546296296296304</v>
      </c>
      <c r="F47" s="1">
        <v>51.9</v>
      </c>
      <c r="G47" s="1">
        <v>100</v>
      </c>
      <c r="H47" s="1">
        <v>5190</v>
      </c>
      <c r="I47" s="1" t="str">
        <f>IF(AND($C47="卖出",SUMIFS($G$2:G47,$A$2:A47,$A47)=0),SUMIFS($H$2:H47,$A$2:A47,$A47,$C$2:C47,"卖出")-SUMIFS($H$2:H47,$A$2:A47,$A47,$C$2:C47,"买入"),"")</f>
        <v/>
      </c>
      <c r="J47" s="1">
        <f>SUMIFS($G$2:G47,$A$2:A47,$A47)</f>
        <v>500</v>
      </c>
    </row>
    <row r="48" spans="1:10" ht="20.5" customHeight="1">
      <c r="A48" s="1" t="str">
        <f>"002028"</f>
        <v>002028</v>
      </c>
      <c r="B48" s="1" t="s">
        <v>0</v>
      </c>
      <c r="C48" s="1" t="s">
        <v>7</v>
      </c>
      <c r="D48" s="1">
        <v>20260129</v>
      </c>
      <c r="E48" s="1">
        <v>0.54239583333333297</v>
      </c>
      <c r="F48" s="1">
        <v>188</v>
      </c>
      <c r="G48" s="1">
        <v>100</v>
      </c>
      <c r="H48" s="1">
        <v>18800</v>
      </c>
      <c r="I48" s="1" t="str">
        <f>IF(AND($C48="卖出",SUMIFS($G$2:G48,$A$2:A48,$A48)=0),SUMIFS($H$2:H48,$A$2:A48,$A48,$C$2:C48,"卖出")-SUMIFS($H$2:H48,$A$2:A48,$A48,$C$2:C48,"买入"),"")</f>
        <v/>
      </c>
      <c r="J48" s="1">
        <f>SUMIFS($G$2:G48,$A$2:A48,$A48)</f>
        <v>600</v>
      </c>
    </row>
    <row r="49" spans="1:14" ht="20.5" customHeight="1">
      <c r="A49" s="1">
        <v>601179</v>
      </c>
      <c r="B49" s="1" t="s">
        <v>59</v>
      </c>
      <c r="C49" s="1" t="s">
        <v>7</v>
      </c>
      <c r="D49" s="1">
        <v>20260130</v>
      </c>
      <c r="E49" s="1">
        <v>0.44043981481481498</v>
      </c>
      <c r="F49" s="1">
        <v>14</v>
      </c>
      <c r="G49" s="1">
        <v>400</v>
      </c>
      <c r="H49" s="1">
        <v>5600</v>
      </c>
      <c r="I49" s="1" t="str">
        <f>IF(AND($C49="卖出",SUMIFS($G$2:G49,$A$2:A49,$A49)=0),SUMIFS($H$2:H49,$A$2:A49,$A49,$C$2:C49,"卖出")-SUMIFS($H$2:H49,$A$2:A49,$A49,$C$2:C49,"买入"),"")</f>
        <v/>
      </c>
      <c r="J49" s="1">
        <f>SUMIFS($G$2:G49,$A$2:A49,$A49)</f>
        <v>1100</v>
      </c>
    </row>
    <row r="50" spans="1:14" ht="20.5" customHeight="1">
      <c r="A50" s="1" t="str">
        <f>"002028"</f>
        <v>002028</v>
      </c>
      <c r="B50" s="1" t="s">
        <v>0</v>
      </c>
      <c r="C50" s="1" t="s">
        <v>7</v>
      </c>
      <c r="D50" s="1">
        <v>20260130</v>
      </c>
      <c r="E50" s="1">
        <v>0.43103009259259301</v>
      </c>
      <c r="F50" s="1">
        <v>180</v>
      </c>
      <c r="G50" s="1">
        <v>100</v>
      </c>
      <c r="H50" s="1">
        <v>18000</v>
      </c>
      <c r="I50" s="1" t="str">
        <f>IF(AND($C50="卖出",SUMIFS($G$2:G50,$A$2:A50,$A50)=0),SUMIFS($H$2:H50,$A$2:A50,$A50,$C$2:C50,"卖出")-SUMIFS($H$2:H50,$A$2:A50,$A50,$C$2:C50,"买入"),"")</f>
        <v/>
      </c>
      <c r="J50" s="1">
        <f>SUMIFS($G$2:G50,$A$2:A50,$A50)</f>
        <v>700</v>
      </c>
    </row>
    <row r="51" spans="1:14" ht="20.5" customHeight="1">
      <c r="A51" s="1" t="str">
        <f>"002475"</f>
        <v>002475</v>
      </c>
      <c r="B51" s="1" t="s">
        <v>49</v>
      </c>
      <c r="C51" s="1" t="s">
        <v>1</v>
      </c>
      <c r="D51" s="1">
        <v>20260202</v>
      </c>
      <c r="E51" s="1">
        <v>0.61899305555555595</v>
      </c>
      <c r="F51" s="1">
        <v>52.08</v>
      </c>
      <c r="G51" s="1">
        <v>-300</v>
      </c>
      <c r="H51" s="1">
        <v>15624</v>
      </c>
      <c r="I51" s="1" t="str">
        <f>IF(AND($C51="卖出",SUMIFS($G$2:G51,$A$2:A51,$A51)=0),SUMIFS($H$2:H51,$A$2:A51,$A51,$C$2:C51,"卖出")-SUMIFS($H$2:H51,$A$2:A51,$A51,$C$2:C51,"买入"),"")</f>
        <v/>
      </c>
      <c r="J51" s="1">
        <f>SUMIFS($G$2:G51,$A$2:A51,$A51)</f>
        <v>200</v>
      </c>
    </row>
    <row r="52" spans="1:14" ht="20.5" customHeight="1">
      <c r="A52" s="1">
        <v>600584</v>
      </c>
      <c r="B52" s="1" t="s">
        <v>60</v>
      </c>
      <c r="C52" s="1" t="s">
        <v>7</v>
      </c>
      <c r="D52" s="1">
        <v>20260202</v>
      </c>
      <c r="E52" s="1">
        <v>0.56569444444444394</v>
      </c>
      <c r="F52" s="1">
        <v>46.8</v>
      </c>
      <c r="G52" s="1">
        <v>100</v>
      </c>
      <c r="H52" s="1">
        <v>4680</v>
      </c>
      <c r="I52" s="1" t="str">
        <f>IF(AND($C52="卖出",SUMIFS($G$2:G52,$A$2:A52,$A52)=0),SUMIFS($H$2:H52,$A$2:A52,$A52,$C$2:C52,"卖出")-SUMIFS($H$2:H52,$A$2:A52,$A52,$C$2:C52,"买入"),"")</f>
        <v/>
      </c>
      <c r="J52" s="1">
        <f>SUMIFS($G$2:G52,$A$2:A52,$A52)</f>
        <v>500</v>
      </c>
    </row>
    <row r="53" spans="1:14" ht="20.5" customHeight="1">
      <c r="A53" s="1">
        <v>601179</v>
      </c>
      <c r="B53" s="1" t="s">
        <v>59</v>
      </c>
      <c r="C53" s="1" t="s">
        <v>1</v>
      </c>
      <c r="D53" s="1">
        <v>20260202</v>
      </c>
      <c r="E53" s="1">
        <v>0.55994212962962997</v>
      </c>
      <c r="F53" s="1">
        <v>15.7</v>
      </c>
      <c r="G53" s="1">
        <v>-1100</v>
      </c>
      <c r="H53" s="1">
        <v>17270</v>
      </c>
      <c r="I53" s="1">
        <f>IF(AND($C53="卖出",SUMIFS($G$2:G53,$A$2:A53,$A53)=0),SUMIFS($H$2:H53,$A$2:A53,$A53,$C$2:C53,"卖出")-SUMIFS($H$2:H53,$A$2:A53,$A53,$C$2:C53,"买入"),"")</f>
        <v>3116</v>
      </c>
      <c r="J53" s="1">
        <f>SUMIFS($G$2:G53,$A$2:A53,$A53)</f>
        <v>0</v>
      </c>
    </row>
    <row r="54" spans="1:14" ht="20.5" customHeight="1">
      <c r="A54" s="1" t="str">
        <f>"002028"</f>
        <v>002028</v>
      </c>
      <c r="B54" s="1" t="s">
        <v>0</v>
      </c>
      <c r="C54" s="1" t="s">
        <v>1</v>
      </c>
      <c r="D54" s="1">
        <v>20260202</v>
      </c>
      <c r="E54" s="1">
        <v>0.44674768518518498</v>
      </c>
      <c r="F54" s="1">
        <v>191</v>
      </c>
      <c r="G54" s="1">
        <v>-100</v>
      </c>
      <c r="H54" s="1">
        <v>19100</v>
      </c>
      <c r="I54" s="1" t="str">
        <f>IF(AND($C54="卖出",SUMIFS($G$2:G54,$A$2:A54,$A54)=0),SUMIFS($H$2:H54,$A$2:A54,$A54,$C$2:C54,"卖出")-SUMIFS($H$2:H54,$A$2:A54,$A54,$C$2:C54,"买入"),"")</f>
        <v/>
      </c>
      <c r="J54" s="1">
        <f>SUMIFS($G$2:G54,$A$2:A54,$A54)</f>
        <v>600</v>
      </c>
    </row>
    <row r="55" spans="1:14" ht="20.5" customHeight="1">
      <c r="A55" s="1" t="str">
        <f>"002475"</f>
        <v>002475</v>
      </c>
      <c r="B55" s="1" t="s">
        <v>49</v>
      </c>
      <c r="C55" s="1" t="s">
        <v>1</v>
      </c>
      <c r="D55" s="1">
        <v>20260202</v>
      </c>
      <c r="E55" s="1">
        <v>0.44067129629629598</v>
      </c>
      <c r="F55" s="1">
        <v>53.09</v>
      </c>
      <c r="G55" s="1">
        <v>-200</v>
      </c>
      <c r="H55" s="1">
        <v>10618</v>
      </c>
      <c r="I55" s="1">
        <f>IF(AND($C55="卖出",SUMIFS($G$2:G55,$A$2:A55,$A55)=0),SUMIFS($H$2:H55,$A$2:A55,$A55,$C$2:C55,"卖出")-SUMIFS($H$2:H55,$A$2:A55,$A55,$C$2:C55,"买入"),"")</f>
        <v>-1682</v>
      </c>
      <c r="J55" s="1">
        <f>SUMIFS($G$2:G55,$A$2:A55,$A55)</f>
        <v>0</v>
      </c>
    </row>
    <row r="56" spans="1:14" ht="20.5" customHeight="1">
      <c r="A56" s="1" t="str">
        <f>"002028"</f>
        <v>002028</v>
      </c>
      <c r="B56" s="1" t="s">
        <v>0</v>
      </c>
      <c r="C56" s="1" t="s">
        <v>1</v>
      </c>
      <c r="D56" s="1">
        <v>20260203</v>
      </c>
      <c r="E56" s="1">
        <v>0.40917824074074099</v>
      </c>
      <c r="F56" s="1">
        <v>194</v>
      </c>
      <c r="G56" s="1">
        <v>-100</v>
      </c>
      <c r="H56" s="1">
        <v>19400</v>
      </c>
      <c r="I56" s="1" t="str">
        <f>IF(AND($C56="卖出",SUMIFS($G$2:G56,$A$2:A56,$A56)=0),SUMIFS($H$2:H56,$A$2:A56,$A56,$C$2:C56,"卖出")-SUMIFS($H$2:H56,$A$2:A56,$A56,$C$2:C56,"买入"),"")</f>
        <v/>
      </c>
      <c r="J56" s="1">
        <f>SUMIFS($G$2:G56,$A$2:A56,$A56)</f>
        <v>500</v>
      </c>
    </row>
    <row r="57" spans="1:14" ht="20.5" customHeight="1">
      <c r="A57" s="1" t="str">
        <f t="shared" ref="A57:A62" si="0">"002028"</f>
        <v>002028</v>
      </c>
      <c r="B57" s="1" t="s">
        <v>0</v>
      </c>
      <c r="C57" s="1" t="s">
        <v>7</v>
      </c>
      <c r="D57" s="1">
        <v>20260205</v>
      </c>
      <c r="E57" s="1">
        <v>0.404363425925926</v>
      </c>
      <c r="F57" s="1">
        <v>195</v>
      </c>
      <c r="G57" s="1">
        <v>100</v>
      </c>
      <c r="H57" s="1">
        <v>19500</v>
      </c>
      <c r="I57" s="1" t="str">
        <f>IF(AND($C57="卖出",SUMIFS($G$2:G57,$A$2:A57,$A57)=0),SUMIFS($H$2:H57,$A$2:A57,$A57,$C$2:C57,"卖出")-SUMIFS($H$2:H57,$A$2:A57,$A57,$C$2:C57,"买入"),"")</f>
        <v/>
      </c>
      <c r="J57" s="1">
        <f>SUMIFS($G$2:G57,$A$2:A57,$A57)</f>
        <v>600</v>
      </c>
    </row>
    <row r="58" spans="1:14" ht="20.5" customHeight="1">
      <c r="A58" s="1" t="str">
        <f t="shared" si="0"/>
        <v>002028</v>
      </c>
      <c r="B58" s="1" t="s">
        <v>0</v>
      </c>
      <c r="C58" s="1" t="s">
        <v>7</v>
      </c>
      <c r="D58" s="1">
        <v>20260209</v>
      </c>
      <c r="E58" s="1">
        <v>0.44548611111111103</v>
      </c>
      <c r="F58" s="1">
        <v>198.73</v>
      </c>
      <c r="G58" s="1">
        <v>100</v>
      </c>
      <c r="H58" s="1">
        <v>19873</v>
      </c>
      <c r="I58" s="1" t="str">
        <f>IF(AND($C58="卖出",SUMIFS($G$2:G58,$A$2:A58,$A58)=0),SUMIFS($H$2:H58,$A$2:A58,$A58,$C$2:C58,"卖出")-SUMIFS($H$2:H58,$A$2:A58,$A58,$C$2:C58,"买入"),"")</f>
        <v/>
      </c>
      <c r="J58" s="1">
        <f>SUMIFS($G$2:G58,$A$2:A58,$A58)</f>
        <v>700</v>
      </c>
    </row>
    <row r="59" spans="1:14" ht="20.5" customHeight="1">
      <c r="A59" s="1">
        <v>600584</v>
      </c>
      <c r="B59" s="1" t="s">
        <v>60</v>
      </c>
      <c r="C59" s="1" t="s">
        <v>7</v>
      </c>
      <c r="D59" s="1">
        <v>20260209</v>
      </c>
      <c r="E59" s="1">
        <v>0.43886574074074097</v>
      </c>
      <c r="F59" s="1">
        <v>46.09</v>
      </c>
      <c r="G59" s="1">
        <v>200</v>
      </c>
      <c r="H59" s="1">
        <v>9218</v>
      </c>
      <c r="I59" s="1" t="str">
        <f>IF(AND($C59="卖出",SUMIFS($G$2:G59,$A$2:A59,$A59)=0),SUMIFS($H$2:H59,$A$2:A59,$A59,$C$2:C59,"卖出")-SUMIFS($H$2:H59,$A$2:A59,$A59,$C$2:C59,"买入"),"")</f>
        <v/>
      </c>
      <c r="J59" s="1">
        <f>SUMIFS($G$2:G59,$A$2:A59,$A59)</f>
        <v>700</v>
      </c>
    </row>
    <row r="60" spans="1:14" ht="20.5" customHeight="1">
      <c r="A60" s="1" t="str">
        <f t="shared" si="0"/>
        <v>002028</v>
      </c>
      <c r="B60" s="1" t="s">
        <v>0</v>
      </c>
      <c r="C60" s="1" t="s">
        <v>1</v>
      </c>
      <c r="D60" s="1">
        <v>20260209</v>
      </c>
      <c r="E60" s="1">
        <v>0.41059027777777801</v>
      </c>
      <c r="F60" s="1">
        <v>192.5</v>
      </c>
      <c r="G60" s="1">
        <v>-200</v>
      </c>
      <c r="H60" s="1">
        <v>38500</v>
      </c>
      <c r="I60" s="1" t="str">
        <f>IF(AND($C60="卖出",SUMIFS($G$2:G60,$A$2:A60,$A60)=0),SUMIFS($H$2:H60,$A$2:A60,$A60,$C$2:C60,"卖出")-SUMIFS($H$2:H60,$A$2:A60,$A60,$C$2:C60,"买入"),"")</f>
        <v/>
      </c>
      <c r="J60" s="1">
        <f>SUMIFS($G$2:G60,$A$2:A60,$A60)</f>
        <v>500</v>
      </c>
    </row>
    <row r="61" spans="1:14" ht="16" customHeight="1">
      <c r="A61" s="1">
        <v>600584</v>
      </c>
      <c r="B61" s="1" t="s">
        <v>60</v>
      </c>
      <c r="C61" s="1" t="s">
        <v>7</v>
      </c>
      <c r="D61" s="1">
        <v>20260226</v>
      </c>
      <c r="E61" s="1">
        <v>0.54913194444444402</v>
      </c>
      <c r="F61" s="1">
        <v>48.3</v>
      </c>
      <c r="G61" s="1">
        <v>400</v>
      </c>
      <c r="H61" s="1">
        <v>19320</v>
      </c>
      <c r="J61" s="1">
        <f>SUMIFS($G$2:G61,$A$2:A61,$A61)</f>
        <v>1100</v>
      </c>
      <c r="K61" s="1" t="s">
        <v>61</v>
      </c>
      <c r="L61" s="1" t="s">
        <v>62</v>
      </c>
      <c r="M61" s="1" t="s">
        <v>63</v>
      </c>
    </row>
    <row r="62" spans="1:14">
      <c r="A62" s="1" t="str">
        <f t="shared" si="0"/>
        <v>002028</v>
      </c>
      <c r="B62" s="1" t="s">
        <v>0</v>
      </c>
      <c r="C62" s="1" t="s">
        <v>7</v>
      </c>
      <c r="D62" s="1">
        <v>20260227</v>
      </c>
      <c r="E62" s="1">
        <v>0.40364583333333298</v>
      </c>
      <c r="F62" s="1">
        <v>218.5</v>
      </c>
      <c r="G62" s="1">
        <v>100</v>
      </c>
      <c r="H62" s="1">
        <v>21850</v>
      </c>
      <c r="J62" s="1">
        <f>SUMIFS($G$2:G62,$A$2:A62,$A62)</f>
        <v>600</v>
      </c>
      <c r="K62" s="1" t="s">
        <v>64</v>
      </c>
      <c r="L62" s="1" t="s">
        <v>65</v>
      </c>
      <c r="M62" s="1" t="s">
        <v>66</v>
      </c>
    </row>
    <row r="63" spans="1:14" ht="77" customHeight="1">
      <c r="A63" s="1">
        <v>600584</v>
      </c>
      <c r="B63" s="1" t="s">
        <v>60</v>
      </c>
      <c r="C63" s="1" t="s">
        <v>67</v>
      </c>
      <c r="D63" s="1">
        <v>20260309</v>
      </c>
      <c r="E63" s="1">
        <v>0.61805555555555602</v>
      </c>
      <c r="F63" s="1">
        <v>45.03</v>
      </c>
      <c r="G63" s="1">
        <v>-600</v>
      </c>
      <c r="H63" s="1">
        <v>27018</v>
      </c>
      <c r="J63" s="1">
        <f>SUMIFS($G$2:G63,$A$2:A63,$A63)</f>
        <v>500</v>
      </c>
      <c r="N63" s="1" t="s">
        <v>68</v>
      </c>
    </row>
    <row r="64" spans="1:14">
      <c r="A64" s="1" t="s">
        <v>4</v>
      </c>
      <c r="B64" s="1" t="s">
        <v>0</v>
      </c>
      <c r="C64" s="1" t="s">
        <v>7</v>
      </c>
      <c r="D64" s="1">
        <v>22060312</v>
      </c>
      <c r="E64" s="1">
        <v>0.61805555555555602</v>
      </c>
      <c r="F64" s="1">
        <v>220</v>
      </c>
      <c r="G64" s="1">
        <v>100</v>
      </c>
      <c r="H64" s="1">
        <v>22000</v>
      </c>
      <c r="J64" s="1">
        <v>700</v>
      </c>
      <c r="K64" s="1" t="s">
        <v>69</v>
      </c>
      <c r="M64" s="1" t="s">
        <v>70</v>
      </c>
    </row>
    <row r="65" spans="1:15">
      <c r="A65" s="1" t="s">
        <v>4</v>
      </c>
      <c r="B65" s="1" t="s">
        <v>0</v>
      </c>
      <c r="C65" s="1" t="s">
        <v>1</v>
      </c>
      <c r="D65" s="1">
        <v>22060316</v>
      </c>
      <c r="E65" s="1">
        <v>0.61805555555555602</v>
      </c>
      <c r="F65" s="1">
        <v>208.14</v>
      </c>
      <c r="G65" s="1">
        <v>700</v>
      </c>
      <c r="H65" s="1">
        <v>145698</v>
      </c>
      <c r="J65" s="1">
        <v>0</v>
      </c>
      <c r="N65" s="1" t="s">
        <v>71</v>
      </c>
    </row>
    <row r="66" spans="1:15">
      <c r="A66" s="1">
        <v>600584</v>
      </c>
      <c r="B66" s="1" t="s">
        <v>60</v>
      </c>
      <c r="C66" s="1" t="s">
        <v>1</v>
      </c>
      <c r="D66" s="1">
        <v>22060316</v>
      </c>
      <c r="E66" s="1">
        <v>0.61805555555555602</v>
      </c>
      <c r="F66" s="1">
        <v>45.7</v>
      </c>
      <c r="G66" s="1">
        <v>500</v>
      </c>
      <c r="H66" s="1">
        <v>22850</v>
      </c>
      <c r="J66" s="1">
        <v>0</v>
      </c>
      <c r="N66" s="1" t="s">
        <v>72</v>
      </c>
    </row>
    <row r="67" spans="1:15">
      <c r="A67" s="1" t="s">
        <v>4</v>
      </c>
      <c r="B67" s="1" t="s">
        <v>0</v>
      </c>
      <c r="C67" s="1" t="s">
        <v>7</v>
      </c>
      <c r="D67" s="1">
        <v>20260318</v>
      </c>
      <c r="E67" s="1">
        <v>0.61805555555555602</v>
      </c>
      <c r="F67" s="1">
        <v>220.18299999999999</v>
      </c>
      <c r="G67" s="1">
        <v>100</v>
      </c>
      <c r="H67" s="1">
        <v>22018</v>
      </c>
      <c r="J67" s="1">
        <v>100</v>
      </c>
      <c r="K67" s="1" t="s">
        <v>73</v>
      </c>
      <c r="M67" s="1" t="s">
        <v>74</v>
      </c>
    </row>
    <row r="68" spans="1:15">
      <c r="A68" s="1">
        <v>600487</v>
      </c>
      <c r="B68" s="1" t="s">
        <v>75</v>
      </c>
      <c r="C68" s="1" t="s">
        <v>7</v>
      </c>
      <c r="D68" s="1">
        <v>20260318</v>
      </c>
      <c r="E68" s="1">
        <v>0.61805555555555602</v>
      </c>
      <c r="F68" s="1">
        <v>44.53</v>
      </c>
      <c r="G68" s="1">
        <v>600</v>
      </c>
      <c r="H68" s="1">
        <v>26708</v>
      </c>
      <c r="J68" s="1">
        <v>600</v>
      </c>
      <c r="K68" s="1" t="s">
        <v>76</v>
      </c>
      <c r="M68" s="1" t="s">
        <v>77</v>
      </c>
    </row>
    <row r="69" spans="1:15">
      <c r="A69" s="1" t="s">
        <v>4</v>
      </c>
      <c r="B69" s="1" t="s">
        <v>0</v>
      </c>
      <c r="C69" s="1" t="s">
        <v>7</v>
      </c>
      <c r="D69" s="1">
        <v>20260319</v>
      </c>
      <c r="E69" s="1">
        <v>0.41458333333333303</v>
      </c>
      <c r="F69" s="1">
        <v>214.5</v>
      </c>
      <c r="G69" s="1">
        <v>100</v>
      </c>
      <c r="H69" s="1">
        <v>21459</v>
      </c>
      <c r="J69" s="1">
        <v>200</v>
      </c>
      <c r="K69" s="1" t="s">
        <v>78</v>
      </c>
    </row>
    <row r="70" spans="1:15">
      <c r="A70" s="1" t="s">
        <v>4</v>
      </c>
      <c r="B70" s="1" t="s">
        <v>0</v>
      </c>
      <c r="C70" s="1" t="s">
        <v>7</v>
      </c>
      <c r="D70" s="1">
        <v>20260319</v>
      </c>
      <c r="E70" s="1">
        <v>0.625</v>
      </c>
      <c r="F70" s="1">
        <v>211.1</v>
      </c>
      <c r="G70" s="1">
        <v>100</v>
      </c>
      <c r="H70" s="1">
        <v>21110</v>
      </c>
      <c r="J70" s="1">
        <v>300</v>
      </c>
      <c r="K70" s="1" t="s">
        <v>79</v>
      </c>
    </row>
    <row r="71" spans="1:15">
      <c r="A71" s="1">
        <v>600487</v>
      </c>
      <c r="B71" s="1" t="s">
        <v>75</v>
      </c>
      <c r="C71" s="1" t="s">
        <v>7</v>
      </c>
      <c r="D71" s="1">
        <v>20260320</v>
      </c>
      <c r="E71" s="1">
        <v>0.42499999999999999</v>
      </c>
      <c r="F71" s="1">
        <v>45.07</v>
      </c>
      <c r="G71" s="1">
        <v>600</v>
      </c>
      <c r="H71" s="1">
        <v>27042</v>
      </c>
      <c r="J71" s="1">
        <v>1200</v>
      </c>
      <c r="K71" s="1" t="s">
        <v>80</v>
      </c>
    </row>
    <row r="72" spans="1:15">
      <c r="A72" s="1">
        <v>600487</v>
      </c>
      <c r="B72" s="1" t="s">
        <v>75</v>
      </c>
      <c r="C72" s="1" t="s">
        <v>7</v>
      </c>
      <c r="D72" s="1">
        <v>20260324</v>
      </c>
      <c r="E72" s="1">
        <v>0.61666666666666703</v>
      </c>
      <c r="F72" s="1">
        <v>44</v>
      </c>
      <c r="G72" s="1">
        <v>300</v>
      </c>
      <c r="H72" s="1">
        <v>13200</v>
      </c>
      <c r="J72" s="1">
        <v>1500</v>
      </c>
      <c r="K72" s="1" t="s">
        <v>81</v>
      </c>
    </row>
    <row r="73" spans="1:15">
      <c r="A73" s="1" t="s">
        <v>82</v>
      </c>
      <c r="B73" s="1" t="s">
        <v>0</v>
      </c>
      <c r="C73" s="1" t="s">
        <v>7</v>
      </c>
      <c r="D73" s="1">
        <v>20260325</v>
      </c>
      <c r="E73" s="1">
        <v>0.40902777777777799</v>
      </c>
      <c r="F73" s="1">
        <v>213.77</v>
      </c>
      <c r="G73" s="1">
        <v>100</v>
      </c>
      <c r="H73" s="1">
        <v>21377</v>
      </c>
      <c r="J73" s="1">
        <v>400</v>
      </c>
      <c r="K73" s="1" t="s">
        <v>83</v>
      </c>
    </row>
    <row r="74" spans="1:15">
      <c r="A74" s="1" t="s">
        <v>4</v>
      </c>
      <c r="B74" s="1" t="s">
        <v>0</v>
      </c>
      <c r="C74" s="1" t="s">
        <v>7</v>
      </c>
      <c r="D74" s="1">
        <v>20260327</v>
      </c>
      <c r="E74" s="1">
        <v>0.44166666666666698</v>
      </c>
      <c r="F74" s="1">
        <v>208</v>
      </c>
      <c r="G74" s="1">
        <v>100</v>
      </c>
      <c r="H74" s="1">
        <v>20800</v>
      </c>
      <c r="J74" s="1">
        <v>500</v>
      </c>
      <c r="K74" s="1" t="s">
        <v>84</v>
      </c>
    </row>
    <row r="75" spans="1:15">
      <c r="A75" s="1">
        <v>600487</v>
      </c>
      <c r="B75" s="1" t="s">
        <v>75</v>
      </c>
      <c r="C75" s="1" t="s">
        <v>1</v>
      </c>
      <c r="D75" s="1">
        <v>20260327</v>
      </c>
      <c r="E75" s="1">
        <v>0.41041666666666698</v>
      </c>
      <c r="F75" s="1">
        <v>47.08</v>
      </c>
      <c r="G75" s="1">
        <v>1500</v>
      </c>
      <c r="H75" s="1">
        <v>70620</v>
      </c>
      <c r="I75" s="1" t="s">
        <v>85</v>
      </c>
      <c r="J75" s="1">
        <v>0</v>
      </c>
      <c r="M75" s="1" t="s">
        <v>86</v>
      </c>
    </row>
    <row r="76" spans="1:15">
      <c r="A76" s="1" t="s">
        <v>4</v>
      </c>
      <c r="B76" s="1" t="s">
        <v>0</v>
      </c>
      <c r="C76" s="1" t="s">
        <v>7</v>
      </c>
      <c r="D76" s="1">
        <v>20260331</v>
      </c>
      <c r="E76" s="1">
        <v>0.56597222222222199</v>
      </c>
      <c r="F76" s="1">
        <v>200.5</v>
      </c>
      <c r="G76" s="1">
        <v>100</v>
      </c>
      <c r="H76" s="1">
        <v>20050</v>
      </c>
      <c r="J76" s="1">
        <v>600</v>
      </c>
      <c r="K76" s="1" t="s">
        <v>87</v>
      </c>
    </row>
    <row r="77" spans="1:15">
      <c r="A77" s="1" t="s">
        <v>4</v>
      </c>
      <c r="B77" s="1" t="s">
        <v>0</v>
      </c>
      <c r="C77" s="1" t="s">
        <v>1</v>
      </c>
      <c r="D77" s="1">
        <v>20260408</v>
      </c>
      <c r="E77" s="1">
        <v>0.61805555555555558</v>
      </c>
      <c r="F77" s="1">
        <v>205.85</v>
      </c>
      <c r="G77" s="1">
        <v>300</v>
      </c>
      <c r="H77" s="1">
        <v>61755</v>
      </c>
      <c r="J77" s="1">
        <v>300</v>
      </c>
      <c r="O77" s="1" t="s">
        <v>3</v>
      </c>
    </row>
    <row r="78" spans="1:15">
      <c r="A78" s="1" t="s">
        <v>5</v>
      </c>
      <c r="B78" s="1" t="s">
        <v>6</v>
      </c>
      <c r="C78" s="1" t="s">
        <v>7</v>
      </c>
      <c r="D78" s="1">
        <v>20260408</v>
      </c>
      <c r="E78" s="1">
        <v>0.61805555555555558</v>
      </c>
      <c r="F78" s="1">
        <v>110.15</v>
      </c>
      <c r="G78" s="1">
        <v>200</v>
      </c>
      <c r="H78" s="1">
        <v>22030</v>
      </c>
      <c r="J78" s="1">
        <v>200</v>
      </c>
      <c r="K78" s="1" t="s">
        <v>8</v>
      </c>
    </row>
    <row r="79" spans="1:15">
      <c r="A79" s="1" t="s">
        <v>9</v>
      </c>
      <c r="B79" s="1" t="s">
        <v>10</v>
      </c>
      <c r="C79" s="1" t="s">
        <v>7</v>
      </c>
      <c r="D79" s="1">
        <v>20260408</v>
      </c>
      <c r="E79" s="1">
        <v>0.61805555555555558</v>
      </c>
      <c r="F79" s="1">
        <v>98.26</v>
      </c>
      <c r="G79" s="1">
        <v>200</v>
      </c>
      <c r="H79" s="1">
        <v>19652</v>
      </c>
      <c r="J79" s="1">
        <v>200</v>
      </c>
      <c r="K79" s="1" t="s">
        <v>11</v>
      </c>
    </row>
    <row r="80" spans="1:15">
      <c r="A80" s="1" t="s">
        <v>5</v>
      </c>
      <c r="B80" s="1" t="s">
        <v>6</v>
      </c>
      <c r="C80" s="1" t="s">
        <v>7</v>
      </c>
      <c r="D80" s="1">
        <v>20260409</v>
      </c>
      <c r="E80" s="1">
        <v>0.42708333333333331</v>
      </c>
      <c r="F80" s="1">
        <v>116</v>
      </c>
      <c r="G80" s="1">
        <v>200</v>
      </c>
      <c r="H80" s="1">
        <v>23200</v>
      </c>
      <c r="J80" s="1">
        <v>400</v>
      </c>
      <c r="K80" s="1" t="s">
        <v>13</v>
      </c>
    </row>
    <row r="81" spans="1:15">
      <c r="A81" s="1" t="s">
        <v>9</v>
      </c>
      <c r="B81" s="1" t="s">
        <v>10</v>
      </c>
      <c r="C81" s="1" t="s">
        <v>7</v>
      </c>
      <c r="D81" s="1">
        <v>20260409</v>
      </c>
      <c r="E81" s="1">
        <v>0.4236111111111111</v>
      </c>
      <c r="F81" s="1">
        <v>107.07</v>
      </c>
      <c r="G81" s="1">
        <v>200</v>
      </c>
      <c r="H81" s="1">
        <v>21414</v>
      </c>
      <c r="J81" s="1">
        <v>400</v>
      </c>
      <c r="K81" s="1" t="s">
        <v>12</v>
      </c>
    </row>
    <row r="82" spans="1:15">
      <c r="A82" s="1" t="s">
        <v>4</v>
      </c>
      <c r="B82" s="1" t="s">
        <v>0</v>
      </c>
      <c r="C82" s="1" t="s">
        <v>1</v>
      </c>
      <c r="D82" s="1">
        <v>20260408</v>
      </c>
      <c r="E82" s="1">
        <v>0.61805555555555558</v>
      </c>
      <c r="F82" s="1">
        <v>202.5</v>
      </c>
      <c r="G82" s="1">
        <v>200</v>
      </c>
      <c r="H82" s="1">
        <v>40500</v>
      </c>
      <c r="J82" s="1">
        <v>100</v>
      </c>
      <c r="O82" s="1" t="s">
        <v>14</v>
      </c>
    </row>
    <row r="83" spans="1:15">
      <c r="A83" s="1" t="s">
        <v>4</v>
      </c>
      <c r="B83" s="1" t="s">
        <v>0</v>
      </c>
      <c r="C83" s="1" t="s">
        <v>7</v>
      </c>
      <c r="D83" s="1">
        <v>20260410</v>
      </c>
      <c r="E83" s="1">
        <v>0.54722222222222228</v>
      </c>
      <c r="F83" s="1">
        <v>211.9</v>
      </c>
      <c r="G83" s="1">
        <v>100</v>
      </c>
      <c r="H83" s="1">
        <v>21190</v>
      </c>
      <c r="J83" s="1">
        <v>200</v>
      </c>
      <c r="K83" s="1" t="s">
        <v>15</v>
      </c>
    </row>
    <row r="84" spans="1:15">
      <c r="A84" s="1" t="s">
        <v>4</v>
      </c>
      <c r="B84" s="1" t="s">
        <v>0</v>
      </c>
      <c r="C84" s="1" t="s">
        <v>1</v>
      </c>
      <c r="D84" s="1">
        <v>20260413</v>
      </c>
      <c r="E84" s="1">
        <v>0.40208333333333335</v>
      </c>
      <c r="F84" s="1">
        <v>199.36</v>
      </c>
      <c r="G84" s="1">
        <v>200</v>
      </c>
      <c r="H84" s="1">
        <v>39872</v>
      </c>
      <c r="J84" s="1">
        <v>0</v>
      </c>
      <c r="N84" s="1" t="s">
        <v>16</v>
      </c>
    </row>
    <row r="85" spans="1:15">
      <c r="A85" s="1" t="s">
        <v>9</v>
      </c>
      <c r="B85" s="1" t="s">
        <v>10</v>
      </c>
      <c r="C85" s="1" t="s">
        <v>7</v>
      </c>
      <c r="D85" s="1">
        <v>202604013</v>
      </c>
      <c r="E85" s="1">
        <v>0.40486111111111112</v>
      </c>
      <c r="F85" s="1">
        <v>114</v>
      </c>
      <c r="G85" s="1">
        <v>200</v>
      </c>
      <c r="H85" s="1">
        <v>22800</v>
      </c>
      <c r="J85" s="1">
        <v>600</v>
      </c>
      <c r="K85" s="1" t="s">
        <v>17</v>
      </c>
    </row>
    <row r="86" spans="1:15">
      <c r="A86" s="1" t="s">
        <v>5</v>
      </c>
      <c r="B86" s="1" t="s">
        <v>6</v>
      </c>
      <c r="C86" s="1" t="s">
        <v>7</v>
      </c>
      <c r="D86" s="1">
        <v>20260413</v>
      </c>
      <c r="E86" s="1">
        <v>0.59583333333333333</v>
      </c>
      <c r="F86" s="1">
        <v>122.5</v>
      </c>
      <c r="G86" s="1">
        <v>200</v>
      </c>
      <c r="H86" s="1">
        <v>24500</v>
      </c>
      <c r="J86" s="1">
        <v>600</v>
      </c>
      <c r="K86" s="1" t="s">
        <v>18</v>
      </c>
    </row>
    <row r="87" spans="1:15">
      <c r="A87" s="1" t="s">
        <v>5</v>
      </c>
      <c r="B87" s="1" t="s">
        <v>6</v>
      </c>
      <c r="C87" s="1" t="s">
        <v>1</v>
      </c>
      <c r="D87" s="1">
        <v>20260414</v>
      </c>
      <c r="E87" s="1">
        <v>0.62291666666666667</v>
      </c>
      <c r="F87" s="1">
        <v>120.55</v>
      </c>
      <c r="G87" s="1">
        <v>300</v>
      </c>
      <c r="H87" s="1">
        <v>36165</v>
      </c>
      <c r="J87" s="1">
        <v>300</v>
      </c>
      <c r="O87" s="1" t="s">
        <v>19</v>
      </c>
    </row>
    <row r="88" spans="1:15">
      <c r="A88" s="1" t="s">
        <v>9</v>
      </c>
      <c r="B88" s="1" t="s">
        <v>10</v>
      </c>
      <c r="C88" s="1" t="s">
        <v>1</v>
      </c>
      <c r="D88" s="1">
        <v>20260414</v>
      </c>
      <c r="E88" s="1">
        <v>0.62291666666666667</v>
      </c>
      <c r="F88" s="1">
        <v>111.35</v>
      </c>
      <c r="G88" s="1">
        <v>300</v>
      </c>
      <c r="H88" s="1">
        <v>33405</v>
      </c>
      <c r="J88" s="1">
        <v>300</v>
      </c>
      <c r="O88" s="1" t="s">
        <v>20</v>
      </c>
    </row>
    <row r="89" spans="1:15">
      <c r="A89" s="1" t="s">
        <v>5</v>
      </c>
      <c r="B89" s="1" t="s">
        <v>6</v>
      </c>
      <c r="C89" s="1" t="s">
        <v>1</v>
      </c>
      <c r="D89" s="1">
        <v>20260415</v>
      </c>
      <c r="E89" s="1">
        <v>0.62291666666666667</v>
      </c>
      <c r="F89" s="1">
        <v>112.26</v>
      </c>
      <c r="G89" s="1">
        <v>300</v>
      </c>
      <c r="H89" s="1">
        <v>33678</v>
      </c>
      <c r="I89" s="1">
        <v>44.23</v>
      </c>
      <c r="J89" s="1">
        <v>0</v>
      </c>
      <c r="N89" s="1" t="s">
        <v>21</v>
      </c>
    </row>
    <row r="90" spans="1:15">
      <c r="A90" s="1" t="s">
        <v>9</v>
      </c>
      <c r="B90" s="1" t="s">
        <v>10</v>
      </c>
      <c r="C90" s="1" t="s">
        <v>7</v>
      </c>
      <c r="D90" s="1">
        <v>20260415</v>
      </c>
      <c r="E90" s="1">
        <v>0.42430555555555555</v>
      </c>
      <c r="F90" s="1">
        <v>110.5</v>
      </c>
      <c r="G90" s="1">
        <v>300</v>
      </c>
      <c r="H90" s="1">
        <v>33150</v>
      </c>
      <c r="J90" s="1">
        <v>600</v>
      </c>
    </row>
    <row r="91" spans="1:15">
      <c r="A91" s="1" t="s">
        <v>9</v>
      </c>
      <c r="B91" s="1" t="s">
        <v>10</v>
      </c>
      <c r="C91" s="1" t="s">
        <v>1</v>
      </c>
      <c r="D91" s="1">
        <v>20260415</v>
      </c>
      <c r="E91" s="1">
        <v>0.60069444444444442</v>
      </c>
      <c r="F91" s="1">
        <v>106.7</v>
      </c>
      <c r="G91" s="1">
        <v>300</v>
      </c>
      <c r="H91" s="1">
        <v>32010</v>
      </c>
      <c r="J91" s="1">
        <v>300</v>
      </c>
    </row>
    <row r="92" spans="1:15">
      <c r="A92" s="1" t="s">
        <v>22</v>
      </c>
      <c r="B92" s="1" t="s">
        <v>23</v>
      </c>
      <c r="C92" s="1" t="s">
        <v>7</v>
      </c>
      <c r="D92" s="1">
        <v>20260416</v>
      </c>
      <c r="E92" s="1">
        <v>0.46944444444444444</v>
      </c>
      <c r="F92" s="1">
        <v>45.65</v>
      </c>
      <c r="G92" s="1">
        <v>500</v>
      </c>
      <c r="H92" s="1">
        <v>22825</v>
      </c>
      <c r="J92" s="1">
        <v>500</v>
      </c>
      <c r="K92" s="1" t="s">
        <v>24</v>
      </c>
      <c r="L92" s="1" t="s">
        <v>26</v>
      </c>
      <c r="M92" s="1" t="s">
        <v>27</v>
      </c>
    </row>
    <row r="93" spans="1:15">
      <c r="A93" s="1">
        <v>601126</v>
      </c>
      <c r="B93" s="1" t="s">
        <v>23</v>
      </c>
      <c r="C93" s="1" t="s">
        <v>7</v>
      </c>
      <c r="D93" s="1">
        <v>20260416</v>
      </c>
      <c r="E93" s="1">
        <v>0.62152777777777779</v>
      </c>
      <c r="F93" s="1">
        <v>46.43</v>
      </c>
      <c r="G93" s="1">
        <v>600</v>
      </c>
      <c r="H93" s="1">
        <v>27858</v>
      </c>
      <c r="J93" s="1">
        <v>1100</v>
      </c>
      <c r="K93" s="1" t="s">
        <v>25</v>
      </c>
    </row>
    <row r="94" spans="1:15">
      <c r="A94" s="1" t="s">
        <v>9</v>
      </c>
      <c r="B94" s="1" t="s">
        <v>10</v>
      </c>
      <c r="C94" s="1" t="s">
        <v>7</v>
      </c>
      <c r="D94" s="1">
        <v>20260419</v>
      </c>
      <c r="E94" s="1">
        <v>0.40833333333333333</v>
      </c>
      <c r="F94" s="1">
        <v>115.58</v>
      </c>
      <c r="G94" s="1">
        <v>300</v>
      </c>
      <c r="H94" s="1">
        <v>34674</v>
      </c>
      <c r="J94" s="1">
        <v>600</v>
      </c>
      <c r="K94" s="1" t="s">
        <v>28</v>
      </c>
    </row>
    <row r="95" spans="1:15">
      <c r="A95" s="1" t="s">
        <v>9</v>
      </c>
      <c r="B95" s="1" t="s">
        <v>10</v>
      </c>
      <c r="C95" s="1" t="s">
        <v>1</v>
      </c>
      <c r="D95" s="1">
        <v>20260419</v>
      </c>
      <c r="E95" s="1">
        <v>0.42569444444444443</v>
      </c>
      <c r="F95" s="1">
        <v>112.51</v>
      </c>
      <c r="G95" s="1">
        <v>100</v>
      </c>
      <c r="H95" s="1">
        <v>11251</v>
      </c>
      <c r="J95" s="1">
        <v>500</v>
      </c>
      <c r="O95" s="1" t="s">
        <v>29</v>
      </c>
    </row>
    <row r="96" spans="1:15">
      <c r="A96" s="1">
        <v>601126</v>
      </c>
      <c r="B96" s="1" t="s">
        <v>23</v>
      </c>
      <c r="C96" s="1" t="s">
        <v>7</v>
      </c>
      <c r="D96" s="1">
        <v>20260419</v>
      </c>
      <c r="E96" s="1">
        <v>0.56319444444444444</v>
      </c>
      <c r="F96" s="1">
        <v>48.54</v>
      </c>
      <c r="G96" s="1">
        <v>600</v>
      </c>
      <c r="H96" s="1">
        <v>29124</v>
      </c>
      <c r="J96" s="1">
        <v>1700</v>
      </c>
      <c r="K96" s="1" t="s">
        <v>30</v>
      </c>
    </row>
    <row r="97" spans="1:10">
      <c r="A97" s="1" t="s">
        <v>9</v>
      </c>
      <c r="B97" s="1" t="s">
        <v>10</v>
      </c>
      <c r="C97" s="1" t="s">
        <v>1</v>
      </c>
      <c r="D97" s="1">
        <v>20260420</v>
      </c>
      <c r="E97" s="1">
        <v>0.40138888888888891</v>
      </c>
      <c r="F97" s="1">
        <v>125</v>
      </c>
      <c r="G97" s="1">
        <v>100</v>
      </c>
      <c r="H97" s="1">
        <v>12500</v>
      </c>
      <c r="J97" s="1">
        <v>400</v>
      </c>
    </row>
    <row r="98" spans="1:10">
      <c r="A98" s="1" t="s">
        <v>9</v>
      </c>
      <c r="B98" s="1" t="s">
        <v>10</v>
      </c>
      <c r="C98" s="1" t="s">
        <v>1</v>
      </c>
      <c r="D98" s="1">
        <v>20260420</v>
      </c>
      <c r="E98" s="1">
        <v>0.62083333333333335</v>
      </c>
      <c r="F98" s="1">
        <v>120.05</v>
      </c>
      <c r="G98" s="1">
        <v>100</v>
      </c>
      <c r="H98" s="1">
        <v>12005</v>
      </c>
      <c r="J98" s="1">
        <v>300</v>
      </c>
    </row>
    <row r="99" spans="1:10">
      <c r="A99" s="1" t="s">
        <v>5</v>
      </c>
      <c r="B99" s="1" t="s">
        <v>6</v>
      </c>
      <c r="C99" s="1" t="s">
        <v>7</v>
      </c>
    </row>
  </sheetData>
  <autoFilter ref="A1:J76" xr:uid="{00000000-0009-0000-0000-000000000000}"/>
  <phoneticPr fontId="1" type="noConversion"/>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2026-04-21T12:17:55Z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