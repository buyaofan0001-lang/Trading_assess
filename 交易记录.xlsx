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51EB2D72-546C-C947-BECD-E6507A62F50E}"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<sst xmlns="http://schemas.openxmlformats.org/spreadsheetml/2006/main" count="351" uniqueCount="117">
  <si>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</si>
  <si>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</si>
  <si>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</si>
  <si>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</si>
  <si>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</si>
  <si>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</si>
  <si>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</si>
  <si>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</si>
  <si>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</si>
  <si>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</si>
  <si>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</si>
  <si>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</si>
  <si>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</si>
  <si>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</si>
  <si>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</si>
  <si>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</si>
  <si>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</si>
  <si>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</si>
  <si>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</si>
  <si>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</si>
  <si>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</si>
  <si>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</si>
  <si>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</si>
  <si>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</si>
  <si>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</si>
  <si>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</si>
  <si>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</si>
  <si>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</si>
  <si>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</si>
  <si>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</si>
  <si>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</si>
  <si>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</si>
  <si>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</si>
  <si>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</si>
  <si>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</si>
  <si>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</si>
  <si>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</si>
  <si>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</si>
  <si>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</si>
  <si>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</si>
  <si>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</si>
  <si>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</si>
  <si>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</si>
  <si>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</si>
  <si>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</si>
  <si>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</si>
  <si>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</si>
  <si>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</si>
  <si>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</si>
  <si>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</si>
  <si>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</si>
  <si>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</si>
  <si>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</si>
  <si>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</si>
  <si>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</si>
  <si>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</si>
  <si>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</si>
  <si>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</si>
  <si>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</si>
  <si>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</si>
  <si>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</si>
  <si>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</si>
  <si>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</si>
  <si>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</si>
  <si>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</si>
  <si>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</si>
  <si>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</si>
  <si>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</si>
  <si>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</si>
  <si>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</si>
  <si>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</si>
  <si>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</si>
  <si>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</si>
  <si>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</si>
  <si>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</si>
  <si>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</si>
  <si>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</si>
  <si>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</si>
  <si>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</si>
  <si>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</si>
  <si>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</si>
  <si>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</si>
  <si>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</si>
  <si>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</si>
  <si>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</si>
  <si>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</si>
  <si>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</si>
  <si>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</si>
  <si>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</si>
  <si>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</si>
  <si>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</si>
  <si>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</si>
  <si>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</si>
  <si>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</si>
  <si>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</si>
  <si>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</si>
  <si>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</si>
  <si>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</si>
  <si>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</si>
  <si>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</si>
  <si>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</si>
  <si>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</si>
  <si>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</si>
  <si>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</si>
  <si>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</si>
  <si>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</si>
  <si>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</si>
  <si>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</si>
  <si>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</si>
  <si>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</si>
  <si>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</si>
  <si>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</si>
  <si>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</si>
  <si>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</si>
  <si>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 xml:space="preserve"> </t>
  </si>
  <si>
    <t>反思</t>
    <phoneticPr fontId="5" type="noConversion"/>
  </si>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</sst>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quotePrefix="1" applyFo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5"/>
  <sheetViews>
    <sheetView tabSelected="1" zoomScale="64" zoomScaleNormal="64" workbookViewId="0">
      <pane ySplit="1" topLeftCell="A114" activePane="bottomLeft" state="frozen"/>
      <selection pane="bottomLeft" activeCell="P114" sqref="P114"/>
    </sheetView>
  </sheetViews>
  <sheetFormatPr baseColWidth="10" defaultColWidth="10.33203125" defaultRowHeight="17"/>
  <cols>
    <col min="1" max="1" width="22.1640625" style="2" customWidth="1"/>
    <col min="2" max="2" width="22.1640625" style="3"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83203125" style="3" customWidth="1"/>
    <col min="15" max="15" width="39.1640625" style="5" customWidth="1"/>
    <col min="16" max="16" width="52.83203125" style="5" customWidth="1"/>
    <col min="17" max="16384" width="10.33203125" style="5"/>
  </cols>
  <sheetData>
    <row r="1" spans="1:16" s="1" customFormat="1" ht="23.25"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115</v>
      </c>
    </row>
    <row r="2" spans="1:16" s="2" customFormat="1" ht="20.5" customHeight="1">
      <c r="A2" s="6">
        <v>600276</v>
      </c>
      <c r="B2" s="6" t="s">
        <v>15</v>
      </c>
      <c r="C2" s="6" t="s">
        <v>16</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6" s="2" customFormat="1" ht="20.5" customHeight="1">
      <c r="A3" s="6">
        <v>600276</v>
      </c>
      <c r="B3" s="6" t="s">
        <v>15</v>
      </c>
      <c r="C3" s="6" t="s">
        <v>17</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6" s="2" customFormat="1" ht="20.5" customHeight="1">
      <c r="A4" s="6">
        <v>601138</v>
      </c>
      <c r="B4" s="6" t="s">
        <v>18</v>
      </c>
      <c r="C4" s="6" t="s">
        <v>16</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6" s="2" customFormat="1" ht="20" customHeight="1">
      <c r="A5" s="6">
        <v>601138</v>
      </c>
      <c r="B5" s="6" t="s">
        <v>18</v>
      </c>
      <c r="C5" s="6" t="s">
        <v>16</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6" s="2" customFormat="1" ht="20.5" customHeight="1">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6" s="2" customFormat="1" ht="20.5" customHeight="1">
      <c r="A7" s="6">
        <v>603986</v>
      </c>
      <c r="B7" s="6" t="s">
        <v>19</v>
      </c>
      <c r="C7" s="6" t="s">
        <v>16</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6" s="2" customFormat="1" ht="20.5" customHeight="1">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6" s="2" customFormat="1" ht="20.5" customHeight="1">
      <c r="A9" s="6">
        <v>600111</v>
      </c>
      <c r="B9" s="6" t="s">
        <v>20</v>
      </c>
      <c r="C9" s="6" t="s">
        <v>16</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6" s="2" customFormat="1" ht="20.5" customHeight="1">
      <c r="A10" s="6">
        <v>600111</v>
      </c>
      <c r="B10" s="6" t="s">
        <v>20</v>
      </c>
      <c r="C10" s="6" t="s">
        <v>16</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6" s="2" customFormat="1" ht="20.5" customHeight="1">
      <c r="A11" s="6">
        <v>601138</v>
      </c>
      <c r="B11" s="6" t="s">
        <v>18</v>
      </c>
      <c r="C11" s="6" t="s">
        <v>17</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6" s="2" customFormat="1" ht="20.5" customHeight="1">
      <c r="A12" s="6">
        <v>603986</v>
      </c>
      <c r="B12" s="6" t="s">
        <v>19</v>
      </c>
      <c r="C12" s="6" t="s">
        <v>17</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6" s="2" customFormat="1" ht="20.5" customHeight="1">
      <c r="A13" s="6">
        <v>600111</v>
      </c>
      <c r="B13" s="6" t="s">
        <v>20</v>
      </c>
      <c r="C13" s="6" t="s">
        <v>17</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6" s="2" customFormat="1" ht="20.5" customHeight="1">
      <c r="A14" s="6" t="str">
        <f>"002475"</f>
        <v>002475</v>
      </c>
      <c r="B14" s="6" t="s">
        <v>21</v>
      </c>
      <c r="C14" s="6" t="s">
        <v>16</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6" s="2" customFormat="1" ht="20.5" customHeight="1">
      <c r="A15" s="6">
        <v>603259</v>
      </c>
      <c r="B15" s="6" t="s">
        <v>22</v>
      </c>
      <c r="C15" s="6" t="s">
        <v>16</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6" s="2" customFormat="1" ht="20.5" customHeight="1">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0.5" customHeight="1">
      <c r="A17" s="6" t="str">
        <f>"002281"</f>
        <v>002281</v>
      </c>
      <c r="B17" s="6" t="s">
        <v>24</v>
      </c>
      <c r="C17" s="6" t="s">
        <v>25</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0.5" customHeight="1">
      <c r="A18" s="6">
        <v>603259</v>
      </c>
      <c r="B18" s="6" t="s">
        <v>22</v>
      </c>
      <c r="C18" s="6" t="s">
        <v>17</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0.5" customHeight="1">
      <c r="A19" s="6" t="str">
        <f>"002475"</f>
        <v>002475</v>
      </c>
      <c r="B19" s="6" t="s">
        <v>21</v>
      </c>
      <c r="C19" s="6" t="s">
        <v>17</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0.5" customHeight="1">
      <c r="A20" s="6">
        <v>603986</v>
      </c>
      <c r="B20" s="6" t="s">
        <v>19</v>
      </c>
      <c r="C20" s="6" t="s">
        <v>16</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0.5" customHeight="1">
      <c r="A21" s="6" t="str">
        <f>"002371"</f>
        <v>002371</v>
      </c>
      <c r="B21" s="6" t="s">
        <v>23</v>
      </c>
      <c r="C21" s="6" t="s">
        <v>26</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0.5" customHeight="1">
      <c r="A22" s="6" t="str">
        <f>"002475"</f>
        <v>002475</v>
      </c>
      <c r="B22" s="6" t="s">
        <v>21</v>
      </c>
      <c r="C22" s="6" t="s">
        <v>17</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0.5" customHeight="1">
      <c r="A23" s="6">
        <v>603986</v>
      </c>
      <c r="B23" s="6" t="s">
        <v>19</v>
      </c>
      <c r="C23" s="6" t="s">
        <v>17</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0.5" customHeight="1">
      <c r="A24" s="6" t="str">
        <f>"002281"</f>
        <v>002281</v>
      </c>
      <c r="B24" s="6" t="s">
        <v>24</v>
      </c>
      <c r="C24" s="6" t="s">
        <v>27</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0.5" customHeight="1">
      <c r="A25" s="6">
        <v>603083</v>
      </c>
      <c r="B25" s="6" t="s">
        <v>28</v>
      </c>
      <c r="C25" s="6" t="s">
        <v>29</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0.5" customHeight="1">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pans="1:15" s="2" customFormat="1" ht="20.5" customHeight="1">
      <c r="A27" s="6">
        <v>603986</v>
      </c>
      <c r="B27" s="6" t="s">
        <v>19</v>
      </c>
      <c r="C27" s="6" t="s">
        <v>17</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0.5" customHeight="1">
      <c r="A28" s="6">
        <v>603799</v>
      </c>
      <c r="B28" s="6" t="s">
        <v>30</v>
      </c>
      <c r="C28" s="6" t="s">
        <v>16</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0.5" customHeight="1">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0.5" customHeight="1">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0.5" customHeight="1">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0.5" customHeight="1">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0.5" customHeight="1">
      <c r="A33" s="6">
        <v>603099</v>
      </c>
      <c r="B33" s="6" t="s">
        <v>31</v>
      </c>
      <c r="C33" s="6" t="s">
        <v>26</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0.5" customHeight="1">
      <c r="A34" s="6" t="str">
        <f>"002028"</f>
        <v>002028</v>
      </c>
      <c r="B34" s="6" t="s">
        <v>32</v>
      </c>
      <c r="C34" s="6" t="s">
        <v>16</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0.5" customHeight="1">
      <c r="A35" s="6">
        <v>601179</v>
      </c>
      <c r="B35" s="6" t="s">
        <v>33</v>
      </c>
      <c r="C35" s="6" t="s">
        <v>16</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0.5" customHeight="1">
      <c r="A36" s="6" t="str">
        <f>"002028"</f>
        <v>002028</v>
      </c>
      <c r="B36" s="6" t="s">
        <v>32</v>
      </c>
      <c r="C36" s="6" t="s">
        <v>16</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0.5" customHeight="1">
      <c r="A37" s="6">
        <v>603986</v>
      </c>
      <c r="B37" s="6" t="s">
        <v>19</v>
      </c>
      <c r="C37" s="6" t="s">
        <v>17</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0.5" customHeight="1">
      <c r="A38" s="6" t="str">
        <f>"002028"</f>
        <v>002028</v>
      </c>
      <c r="B38" s="6" t="s">
        <v>32</v>
      </c>
      <c r="C38" s="6" t="s">
        <v>16</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0.5" customHeight="1">
      <c r="A39" s="6" t="str">
        <f>"002028"</f>
        <v>002028</v>
      </c>
      <c r="B39" s="6" t="s">
        <v>32</v>
      </c>
      <c r="C39" s="6" t="s">
        <v>16</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0.5" customHeight="1">
      <c r="A40" s="6">
        <v>600584</v>
      </c>
      <c r="B40" s="6" t="s">
        <v>34</v>
      </c>
      <c r="C40" s="6" t="s">
        <v>16</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0.5" customHeight="1">
      <c r="A41" s="6">
        <v>601179</v>
      </c>
      <c r="B41" s="6" t="s">
        <v>33</v>
      </c>
      <c r="C41" s="6" t="s">
        <v>17</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0.5" customHeight="1">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0.5" customHeight="1">
      <c r="A43" s="6" t="str">
        <f>"002475"</f>
        <v>002475</v>
      </c>
      <c r="B43" s="6" t="s">
        <v>21</v>
      </c>
      <c r="C43" s="6" t="s">
        <v>16</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0.5" customHeight="1">
      <c r="A44" s="6" t="str">
        <f>"002028"</f>
        <v>002028</v>
      </c>
      <c r="B44" s="6" t="s">
        <v>32</v>
      </c>
      <c r="C44" s="6" t="s">
        <v>16</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0.5" customHeight="1">
      <c r="A45" s="6" t="str">
        <f>"002475"</f>
        <v>002475</v>
      </c>
      <c r="B45" s="6" t="s">
        <v>21</v>
      </c>
      <c r="C45" s="6" t="s">
        <v>17</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0.5" customHeight="1">
      <c r="A46" s="6">
        <v>600584</v>
      </c>
      <c r="B46" s="6" t="s">
        <v>34</v>
      </c>
      <c r="C46" s="6" t="s">
        <v>17</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0.5" customHeight="1">
      <c r="A47" s="6" t="str">
        <f>"002475"</f>
        <v>002475</v>
      </c>
      <c r="B47" s="6" t="s">
        <v>21</v>
      </c>
      <c r="C47" s="6" t="s">
        <v>16</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0.5" customHeight="1">
      <c r="A48" s="6" t="str">
        <f>"002028"</f>
        <v>002028</v>
      </c>
      <c r="B48" s="6" t="s">
        <v>32</v>
      </c>
      <c r="C48" s="6" t="s">
        <v>16</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0.5" customHeight="1">
      <c r="A49" s="6">
        <v>601179</v>
      </c>
      <c r="B49" s="6" t="s">
        <v>33</v>
      </c>
      <c r="C49" s="6" t="s">
        <v>16</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0.5" customHeight="1">
      <c r="A50" s="6" t="str">
        <f>"002028"</f>
        <v>002028</v>
      </c>
      <c r="B50" s="6" t="s">
        <v>32</v>
      </c>
      <c r="C50" s="6" t="s">
        <v>16</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0.5" customHeight="1">
      <c r="A51" s="6" t="str">
        <f>"002475"</f>
        <v>002475</v>
      </c>
      <c r="B51" s="6" t="s">
        <v>21</v>
      </c>
      <c r="C51" s="6" t="s">
        <v>17</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0.5" customHeight="1">
      <c r="A52" s="6">
        <v>600584</v>
      </c>
      <c r="B52" s="6" t="s">
        <v>34</v>
      </c>
      <c r="C52" s="6" t="s">
        <v>16</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0.5" customHeight="1">
      <c r="A53" s="6">
        <v>601179</v>
      </c>
      <c r="B53" s="6" t="s">
        <v>33</v>
      </c>
      <c r="C53" s="6" t="s">
        <v>17</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0.5" customHeight="1">
      <c r="A54" s="6" t="str">
        <f>"002028"</f>
        <v>002028</v>
      </c>
      <c r="B54" s="6" t="s">
        <v>32</v>
      </c>
      <c r="C54" s="6" t="s">
        <v>17</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0.5" customHeight="1">
      <c r="A55" s="6" t="str">
        <f>"002475"</f>
        <v>002475</v>
      </c>
      <c r="B55" s="6" t="s">
        <v>21</v>
      </c>
      <c r="C55" s="6" t="s">
        <v>17</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0.5" customHeight="1">
      <c r="A56" s="6" t="str">
        <f>"002028"</f>
        <v>002028</v>
      </c>
      <c r="B56" s="6" t="s">
        <v>32</v>
      </c>
      <c r="C56" s="6" t="s">
        <v>17</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0.5" customHeight="1">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0.5" customHeight="1">
      <c r="A58" s="6" t="str">
        <f t="shared" si="0"/>
        <v>002028</v>
      </c>
      <c r="B58" s="6" t="s">
        <v>32</v>
      </c>
      <c r="C58" s="6" t="s">
        <v>16</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0.5" customHeight="1">
      <c r="A59" s="6">
        <v>600584</v>
      </c>
      <c r="B59" s="6" t="s">
        <v>34</v>
      </c>
      <c r="C59" s="6" t="s">
        <v>16</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0.5" customHeight="1">
      <c r="A60" s="6" t="str">
        <f t="shared" si="0"/>
        <v>002028</v>
      </c>
      <c r="B60" s="6" t="s">
        <v>32</v>
      </c>
      <c r="C60" s="6" t="s">
        <v>17</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16" customHeight="1">
      <c r="A61" s="6">
        <v>600584</v>
      </c>
      <c r="B61" s="6" t="s">
        <v>34</v>
      </c>
      <c r="C61" s="6" t="s">
        <v>16</v>
      </c>
      <c r="D61" s="6">
        <v>20260226</v>
      </c>
      <c r="E61" s="8">
        <v>0.54913194444444402</v>
      </c>
      <c r="F61" s="6">
        <v>48.3</v>
      </c>
      <c r="G61" s="6">
        <v>400</v>
      </c>
      <c r="H61" s="6">
        <v>19320</v>
      </c>
      <c r="I61" s="9"/>
      <c r="J61" s="6">
        <f>SUMIFS($G$2:G61,$A$2:A61,$A61)</f>
        <v>1100</v>
      </c>
      <c r="K61" s="10" t="s">
        <v>35</v>
      </c>
      <c r="L61" s="9" t="s">
        <v>36</v>
      </c>
      <c r="M61" s="9" t="s">
        <v>37</v>
      </c>
      <c r="N61" s="9"/>
      <c r="O61" s="6"/>
    </row>
    <row r="62" spans="1:15" ht="125">
      <c r="A62" s="6" t="str">
        <f t="shared" si="0"/>
        <v>002028</v>
      </c>
      <c r="B62" s="6" t="s">
        <v>32</v>
      </c>
      <c r="C62" s="6" t="s">
        <v>16</v>
      </c>
      <c r="D62" s="6">
        <v>20260227</v>
      </c>
      <c r="E62" s="8">
        <v>0.40364583333333298</v>
      </c>
      <c r="F62" s="6">
        <v>218.5</v>
      </c>
      <c r="G62" s="6">
        <v>100</v>
      </c>
      <c r="H62" s="6">
        <v>21850</v>
      </c>
      <c r="I62" s="9"/>
      <c r="J62" s="6">
        <f>SUMIFS($G$2:G62,$A$2:A62,$A62)</f>
        <v>600</v>
      </c>
      <c r="K62" s="10" t="s">
        <v>38</v>
      </c>
      <c r="L62" s="6" t="s">
        <v>39</v>
      </c>
      <c r="M62" s="6" t="s">
        <v>40</v>
      </c>
      <c r="N62" s="9"/>
      <c r="O62" s="6"/>
    </row>
    <row r="63" spans="1:15" ht="77" customHeight="1">
      <c r="A63" s="6">
        <v>600584</v>
      </c>
      <c r="B63" s="6" t="s">
        <v>34</v>
      </c>
      <c r="C63" s="6" t="s">
        <v>41</v>
      </c>
      <c r="D63" s="6">
        <v>20260309</v>
      </c>
      <c r="E63" s="8">
        <v>0.61805555555555602</v>
      </c>
      <c r="F63" s="6">
        <v>45.03</v>
      </c>
      <c r="G63" s="6">
        <v>-600</v>
      </c>
      <c r="H63" s="6">
        <v>27018</v>
      </c>
      <c r="I63" s="9"/>
      <c r="J63" s="6">
        <f>SUMIFS($G$2:G63,$A$2:A63,$A63)</f>
        <v>500</v>
      </c>
      <c r="K63" s="9"/>
      <c r="L63" s="9"/>
      <c r="M63" s="9"/>
      <c r="N63" s="10" t="s">
        <v>42</v>
      </c>
      <c r="O63" s="6"/>
    </row>
    <row r="64" spans="1:15" ht="200">
      <c r="A64" s="15" t="s">
        <v>43</v>
      </c>
      <c r="B64" s="6" t="s">
        <v>32</v>
      </c>
      <c r="C64" s="6" t="s">
        <v>16</v>
      </c>
      <c r="D64" s="6">
        <v>22060312</v>
      </c>
      <c r="E64" s="8">
        <v>0.61805555555555602</v>
      </c>
      <c r="F64" s="6">
        <v>220</v>
      </c>
      <c r="G64" s="6">
        <v>100</v>
      </c>
      <c r="H64" s="6">
        <v>22000</v>
      </c>
      <c r="I64" s="6"/>
      <c r="J64" s="6">
        <v>700</v>
      </c>
      <c r="K64" s="10" t="s">
        <v>44</v>
      </c>
      <c r="L64" s="9"/>
      <c r="M64" s="6" t="s">
        <v>45</v>
      </c>
      <c r="N64" s="9"/>
      <c r="O64" s="6"/>
    </row>
    <row r="65" spans="1:15" ht="50">
      <c r="A65" s="15" t="s">
        <v>43</v>
      </c>
      <c r="B65" s="6" t="s">
        <v>32</v>
      </c>
      <c r="C65" s="6" t="s">
        <v>17</v>
      </c>
      <c r="D65" s="6">
        <v>22060316</v>
      </c>
      <c r="E65" s="8">
        <v>0.61805555555555602</v>
      </c>
      <c r="F65" s="6">
        <v>208.14</v>
      </c>
      <c r="G65" s="6">
        <v>700</v>
      </c>
      <c r="H65" s="6">
        <v>145698</v>
      </c>
      <c r="I65" s="9"/>
      <c r="J65" s="6">
        <v>0</v>
      </c>
      <c r="K65" s="9"/>
      <c r="L65" s="9"/>
      <c r="M65" s="9"/>
      <c r="N65" s="10" t="s">
        <v>46</v>
      </c>
      <c r="O65" s="6"/>
    </row>
    <row r="66" spans="1:15" ht="75">
      <c r="A66" s="6">
        <v>600584</v>
      </c>
      <c r="B66" s="6" t="s">
        <v>34</v>
      </c>
      <c r="C66" s="6" t="s">
        <v>17</v>
      </c>
      <c r="D66" s="6">
        <v>22060316</v>
      </c>
      <c r="E66" s="8">
        <v>0.61805555555555602</v>
      </c>
      <c r="F66" s="6">
        <v>45.7</v>
      </c>
      <c r="G66" s="6">
        <v>500</v>
      </c>
      <c r="H66" s="6">
        <v>22850</v>
      </c>
      <c r="I66" s="6"/>
      <c r="J66" s="6">
        <v>0</v>
      </c>
      <c r="K66" s="9"/>
      <c r="L66" s="9"/>
      <c r="M66" s="9"/>
      <c r="N66" s="10" t="s">
        <v>47</v>
      </c>
      <c r="O66" s="6"/>
    </row>
    <row r="67" spans="1:15" ht="75">
      <c r="A67" s="15" t="s">
        <v>43</v>
      </c>
      <c r="B67" s="6" t="s">
        <v>32</v>
      </c>
      <c r="C67" s="6" t="s">
        <v>16</v>
      </c>
      <c r="D67" s="6">
        <v>20260318</v>
      </c>
      <c r="E67" s="8">
        <v>0.61805555555555602</v>
      </c>
      <c r="F67" s="6">
        <v>220.18299999999999</v>
      </c>
      <c r="G67" s="6">
        <v>100</v>
      </c>
      <c r="H67" s="6">
        <v>22018</v>
      </c>
      <c r="I67" s="6"/>
      <c r="J67" s="6">
        <v>100</v>
      </c>
      <c r="K67" s="10" t="s">
        <v>48</v>
      </c>
      <c r="L67" s="9"/>
      <c r="M67" s="6" t="s">
        <v>49</v>
      </c>
      <c r="N67" s="9"/>
      <c r="O67" s="6"/>
    </row>
    <row r="68" spans="1:15" ht="75">
      <c r="A68" s="6">
        <v>600487</v>
      </c>
      <c r="B68" s="6" t="s">
        <v>50</v>
      </c>
      <c r="C68" s="6" t="s">
        <v>16</v>
      </c>
      <c r="D68" s="6">
        <v>20260318</v>
      </c>
      <c r="E68" s="8">
        <v>0.61805555555555602</v>
      </c>
      <c r="F68" s="6">
        <v>44.53</v>
      </c>
      <c r="G68" s="6">
        <v>600</v>
      </c>
      <c r="H68" s="6">
        <v>26708</v>
      </c>
      <c r="I68" s="9"/>
      <c r="J68" s="6">
        <v>600</v>
      </c>
      <c r="K68" s="10" t="s">
        <v>51</v>
      </c>
      <c r="L68" s="9"/>
      <c r="M68" s="9" t="s">
        <v>52</v>
      </c>
      <c r="N68" s="9"/>
      <c r="O68" s="6"/>
    </row>
    <row r="69" spans="1:15" ht="150">
      <c r="A69" s="15" t="s">
        <v>43</v>
      </c>
      <c r="B69" s="6" t="s">
        <v>32</v>
      </c>
      <c r="C69" s="6" t="s">
        <v>16</v>
      </c>
      <c r="D69" s="6">
        <v>20260319</v>
      </c>
      <c r="E69" s="8">
        <v>0.41458333333333303</v>
      </c>
      <c r="F69" s="6">
        <v>214.5</v>
      </c>
      <c r="G69" s="6">
        <v>100</v>
      </c>
      <c r="H69" s="6">
        <v>21459</v>
      </c>
      <c r="I69" s="9"/>
      <c r="J69" s="6">
        <v>200</v>
      </c>
      <c r="K69" s="10" t="s">
        <v>53</v>
      </c>
      <c r="L69" s="9"/>
      <c r="M69" s="9"/>
      <c r="N69" s="9"/>
      <c r="O69" s="6"/>
    </row>
    <row r="70" spans="1:15" ht="125">
      <c r="A70" s="15" t="s">
        <v>43</v>
      </c>
      <c r="B70" s="6" t="s">
        <v>32</v>
      </c>
      <c r="C70" s="6" t="s">
        <v>16</v>
      </c>
      <c r="D70" s="6">
        <v>20260319</v>
      </c>
      <c r="E70" s="8">
        <v>0.625</v>
      </c>
      <c r="F70" s="6">
        <v>211.1</v>
      </c>
      <c r="G70" s="6">
        <v>100</v>
      </c>
      <c r="H70" s="6">
        <v>21110</v>
      </c>
      <c r="I70" s="9"/>
      <c r="J70" s="6">
        <v>300</v>
      </c>
      <c r="K70" s="10" t="s">
        <v>54</v>
      </c>
      <c r="L70" s="9"/>
      <c r="M70" s="9"/>
      <c r="N70" s="9"/>
      <c r="O70" s="6"/>
    </row>
    <row r="71" spans="1:15" ht="50">
      <c r="A71" s="6">
        <v>600487</v>
      </c>
      <c r="B71" s="6" t="s">
        <v>50</v>
      </c>
      <c r="C71" s="6" t="s">
        <v>16</v>
      </c>
      <c r="D71" s="6">
        <v>20260320</v>
      </c>
      <c r="E71" s="8">
        <v>0.42499999999999999</v>
      </c>
      <c r="F71" s="6">
        <v>45.07</v>
      </c>
      <c r="G71" s="6">
        <v>600</v>
      </c>
      <c r="H71" s="6">
        <v>27042</v>
      </c>
      <c r="I71" s="9"/>
      <c r="J71" s="6">
        <v>1200</v>
      </c>
      <c r="K71" s="10" t="s">
        <v>55</v>
      </c>
      <c r="L71" s="9"/>
      <c r="M71" s="9"/>
      <c r="N71" s="9"/>
      <c r="O71" s="6"/>
    </row>
    <row r="72" spans="1:15" ht="75">
      <c r="A72" s="6">
        <v>600487</v>
      </c>
      <c r="B72" s="6" t="s">
        <v>50</v>
      </c>
      <c r="C72" s="6" t="s">
        <v>16</v>
      </c>
      <c r="D72" s="6">
        <v>20260324</v>
      </c>
      <c r="E72" s="8">
        <v>0.61666666666666703</v>
      </c>
      <c r="F72" s="6">
        <v>44</v>
      </c>
      <c r="G72" s="6">
        <v>300</v>
      </c>
      <c r="H72" s="6">
        <v>13200</v>
      </c>
      <c r="I72" s="9"/>
      <c r="J72" s="6">
        <v>1500</v>
      </c>
      <c r="K72" s="10" t="s">
        <v>56</v>
      </c>
      <c r="L72" s="9"/>
      <c r="M72" s="9"/>
      <c r="N72" s="9"/>
      <c r="O72" s="6"/>
    </row>
    <row r="73" spans="1:15" ht="125">
      <c r="A73" s="15" t="s">
        <v>57</v>
      </c>
      <c r="B73" s="6" t="s">
        <v>32</v>
      </c>
      <c r="C73" s="6" t="s">
        <v>16</v>
      </c>
      <c r="D73" s="6">
        <v>20260325</v>
      </c>
      <c r="E73" s="8">
        <v>0.40902777777777799</v>
      </c>
      <c r="F73" s="6">
        <v>213.77</v>
      </c>
      <c r="G73" s="6">
        <v>100</v>
      </c>
      <c r="H73" s="6">
        <v>21377</v>
      </c>
      <c r="I73" s="9"/>
      <c r="J73" s="6">
        <v>400</v>
      </c>
      <c r="K73" s="10" t="s">
        <v>58</v>
      </c>
      <c r="L73" s="9"/>
      <c r="M73" s="9"/>
      <c r="N73" s="9"/>
      <c r="O73" s="6"/>
    </row>
    <row r="74" spans="1:15" ht="200">
      <c r="A74" s="15" t="s">
        <v>43</v>
      </c>
      <c r="B74" s="6" t="s">
        <v>32</v>
      </c>
      <c r="C74" s="6" t="s">
        <v>16</v>
      </c>
      <c r="D74" s="6">
        <v>20260327</v>
      </c>
      <c r="E74" s="8">
        <v>0.44166666666666698</v>
      </c>
      <c r="F74" s="6">
        <v>208</v>
      </c>
      <c r="G74" s="6">
        <v>100</v>
      </c>
      <c r="H74" s="6">
        <v>20800</v>
      </c>
      <c r="I74" s="9"/>
      <c r="J74" s="6">
        <v>500</v>
      </c>
      <c r="K74" s="10" t="s">
        <v>59</v>
      </c>
      <c r="L74" s="9"/>
      <c r="M74" s="9"/>
      <c r="N74" s="9"/>
      <c r="O74" s="6"/>
    </row>
    <row r="75" spans="1:15" ht="409.6">
      <c r="A75" s="11">
        <v>600487</v>
      </c>
      <c r="B75" s="6" t="s">
        <v>50</v>
      </c>
      <c r="C75" s="6" t="s">
        <v>17</v>
      </c>
      <c r="D75" s="6">
        <v>20260327</v>
      </c>
      <c r="E75" s="8">
        <v>0.41041666666666698</v>
      </c>
      <c r="F75" s="6">
        <v>47.08</v>
      </c>
      <c r="G75" s="6">
        <v>1500</v>
      </c>
      <c r="H75" s="6">
        <v>70620</v>
      </c>
      <c r="I75" s="6" t="s">
        <v>60</v>
      </c>
      <c r="J75" s="6">
        <v>0</v>
      </c>
      <c r="K75" s="9"/>
      <c r="L75" s="9"/>
      <c r="M75" s="10" t="s">
        <v>61</v>
      </c>
      <c r="N75" s="9"/>
      <c r="O75" s="6"/>
    </row>
    <row r="76" spans="1:15" ht="100">
      <c r="A76" s="15" t="s">
        <v>43</v>
      </c>
      <c r="B76" s="6" t="s">
        <v>32</v>
      </c>
      <c r="C76" s="6" t="s">
        <v>16</v>
      </c>
      <c r="D76" s="6">
        <v>20260331</v>
      </c>
      <c r="E76" s="8">
        <v>0.56597222222222199</v>
      </c>
      <c r="F76" s="6">
        <v>200.5</v>
      </c>
      <c r="G76" s="6">
        <v>100</v>
      </c>
      <c r="H76" s="6">
        <v>20050</v>
      </c>
      <c r="I76" s="9"/>
      <c r="J76" s="6">
        <v>600</v>
      </c>
      <c r="K76" s="10" t="s">
        <v>62</v>
      </c>
      <c r="L76" s="9"/>
      <c r="M76" s="9"/>
      <c r="N76" s="9"/>
      <c r="O76" s="12"/>
    </row>
    <row r="77" spans="1:15" ht="325">
      <c r="A77" s="15" t="s">
        <v>43</v>
      </c>
      <c r="B77" s="6" t="s">
        <v>32</v>
      </c>
      <c r="C77" s="6" t="s">
        <v>17</v>
      </c>
      <c r="D77" s="6">
        <v>20260408</v>
      </c>
      <c r="E77" s="8">
        <v>0.61805555555555602</v>
      </c>
      <c r="F77" s="6">
        <v>205.85</v>
      </c>
      <c r="G77" s="6">
        <v>300</v>
      </c>
      <c r="H77" s="6">
        <v>61755</v>
      </c>
      <c r="I77" s="9"/>
      <c r="J77" s="6">
        <v>300</v>
      </c>
      <c r="K77" s="9"/>
      <c r="L77" s="9"/>
      <c r="M77" s="9"/>
      <c r="N77" s="9"/>
      <c r="O77" s="12" t="s">
        <v>63</v>
      </c>
    </row>
    <row r="78" spans="1:15" ht="125">
      <c r="A78" s="15" t="s">
        <v>64</v>
      </c>
      <c r="B78" s="6" t="s">
        <v>65</v>
      </c>
      <c r="C78" s="6" t="s">
        <v>16</v>
      </c>
      <c r="D78" s="6">
        <v>20260408</v>
      </c>
      <c r="E78" s="8">
        <v>0.61805555555555602</v>
      </c>
      <c r="F78" s="6">
        <v>110.15</v>
      </c>
      <c r="G78" s="6">
        <v>200</v>
      </c>
      <c r="H78" s="6">
        <v>22030</v>
      </c>
      <c r="I78" s="9"/>
      <c r="J78" s="6">
        <v>200</v>
      </c>
      <c r="K78" s="10" t="s">
        <v>66</v>
      </c>
      <c r="L78" s="9"/>
      <c r="M78" s="9"/>
      <c r="N78" s="9"/>
      <c r="O78" s="6"/>
    </row>
    <row r="79" spans="1:15" ht="150">
      <c r="A79" s="15" t="s">
        <v>67</v>
      </c>
      <c r="B79" s="6" t="s">
        <v>24</v>
      </c>
      <c r="C79" s="6" t="s">
        <v>16</v>
      </c>
      <c r="D79" s="6">
        <v>20260408</v>
      </c>
      <c r="E79" s="8">
        <v>0.61805555555555602</v>
      </c>
      <c r="F79" s="6">
        <v>98.26</v>
      </c>
      <c r="G79" s="6">
        <v>200</v>
      </c>
      <c r="H79" s="6">
        <v>19652</v>
      </c>
      <c r="I79" s="9"/>
      <c r="J79" s="6">
        <v>200</v>
      </c>
      <c r="K79" s="10" t="s">
        <v>68</v>
      </c>
      <c r="L79" s="9"/>
      <c r="M79" s="9"/>
      <c r="N79" s="9"/>
      <c r="O79" s="6"/>
    </row>
    <row r="80" spans="1:15" ht="225">
      <c r="A80" s="15" t="s">
        <v>64</v>
      </c>
      <c r="B80" s="6" t="s">
        <v>65</v>
      </c>
      <c r="C80" s="6" t="s">
        <v>16</v>
      </c>
      <c r="D80" s="6">
        <v>20260409</v>
      </c>
      <c r="E80" s="8">
        <v>0.42708333333333298</v>
      </c>
      <c r="F80" s="6">
        <v>116</v>
      </c>
      <c r="G80" s="6">
        <v>200</v>
      </c>
      <c r="H80" s="6">
        <v>23200</v>
      </c>
      <c r="I80" s="9"/>
      <c r="J80" s="6">
        <v>400</v>
      </c>
      <c r="K80" s="10" t="s">
        <v>69</v>
      </c>
      <c r="L80" s="9"/>
      <c r="M80" s="9"/>
      <c r="N80" s="9"/>
      <c r="O80" s="6"/>
    </row>
    <row r="81" spans="1:15" ht="200">
      <c r="A81" s="15" t="s">
        <v>67</v>
      </c>
      <c r="B81" s="6" t="s">
        <v>24</v>
      </c>
      <c r="C81" s="6" t="s">
        <v>16</v>
      </c>
      <c r="D81" s="6">
        <v>20260409</v>
      </c>
      <c r="E81" s="8">
        <v>0.42361111111111099</v>
      </c>
      <c r="F81" s="6">
        <v>107.07</v>
      </c>
      <c r="G81" s="6">
        <v>200</v>
      </c>
      <c r="H81" s="6">
        <v>21414</v>
      </c>
      <c r="I81" s="9"/>
      <c r="J81" s="6">
        <v>400</v>
      </c>
      <c r="K81" s="10" t="s">
        <v>70</v>
      </c>
      <c r="L81" s="9"/>
      <c r="M81" s="9"/>
      <c r="N81" s="9"/>
      <c r="O81" s="6"/>
    </row>
    <row r="82" spans="1:15" ht="375">
      <c r="A82" s="15" t="s">
        <v>43</v>
      </c>
      <c r="B82" s="6" t="s">
        <v>32</v>
      </c>
      <c r="C82" s="6" t="s">
        <v>17</v>
      </c>
      <c r="D82" s="6">
        <v>20260408</v>
      </c>
      <c r="E82" s="8">
        <v>0.61805555555555602</v>
      </c>
      <c r="F82" s="6">
        <v>202.5</v>
      </c>
      <c r="G82" s="6">
        <v>200</v>
      </c>
      <c r="H82" s="6">
        <v>40500</v>
      </c>
      <c r="I82" s="9"/>
      <c r="J82" s="6">
        <v>100</v>
      </c>
      <c r="K82" s="9"/>
      <c r="L82" s="9"/>
      <c r="M82" s="9"/>
      <c r="N82" s="9"/>
      <c r="O82" s="12" t="s">
        <v>71</v>
      </c>
    </row>
    <row r="83" spans="1:15" ht="125">
      <c r="A83" s="15" t="s">
        <v>43</v>
      </c>
      <c r="B83" s="6" t="s">
        <v>32</v>
      </c>
      <c r="C83" s="6" t="s">
        <v>16</v>
      </c>
      <c r="D83" s="6">
        <v>20260410</v>
      </c>
      <c r="E83" s="8">
        <v>0.54722222222222205</v>
      </c>
      <c r="F83" s="6">
        <v>211.9</v>
      </c>
      <c r="G83" s="6">
        <v>100</v>
      </c>
      <c r="H83" s="6">
        <v>21190</v>
      </c>
      <c r="J83" s="6">
        <v>200</v>
      </c>
      <c r="K83" s="12" t="s">
        <v>72</v>
      </c>
    </row>
    <row r="84" spans="1:15" ht="125">
      <c r="A84" s="15" t="s">
        <v>43</v>
      </c>
      <c r="B84" s="6" t="s">
        <v>32</v>
      </c>
      <c r="C84" s="6" t="s">
        <v>17</v>
      </c>
      <c r="D84" s="6">
        <v>20260413</v>
      </c>
      <c r="E84" s="8">
        <v>0.40208333333333302</v>
      </c>
      <c r="F84" s="6">
        <v>199.36</v>
      </c>
      <c r="G84" s="6">
        <v>200</v>
      </c>
      <c r="H84" s="6">
        <v>39872</v>
      </c>
      <c r="J84" s="6">
        <v>0</v>
      </c>
      <c r="N84" s="14" t="s">
        <v>73</v>
      </c>
    </row>
    <row r="85" spans="1:15" ht="225">
      <c r="A85" s="15" t="s">
        <v>67</v>
      </c>
      <c r="B85" s="6" t="s">
        <v>24</v>
      </c>
      <c r="C85" s="6" t="s">
        <v>16</v>
      </c>
      <c r="D85" s="6">
        <v>202604013</v>
      </c>
      <c r="E85" s="8">
        <v>0.40486111111111101</v>
      </c>
      <c r="F85" s="6">
        <v>114</v>
      </c>
      <c r="G85" s="6">
        <v>200</v>
      </c>
      <c r="H85" s="6">
        <v>22800</v>
      </c>
      <c r="J85" s="6">
        <v>600</v>
      </c>
      <c r="K85" s="12" t="s">
        <v>74</v>
      </c>
    </row>
    <row r="86" spans="1:15" ht="225">
      <c r="A86" s="15" t="s">
        <v>64</v>
      </c>
      <c r="B86" s="6" t="s">
        <v>65</v>
      </c>
      <c r="C86" s="6" t="s">
        <v>16</v>
      </c>
      <c r="D86" s="6">
        <v>20260413</v>
      </c>
      <c r="E86" s="8">
        <v>0.59583333333333299</v>
      </c>
      <c r="F86" s="6">
        <v>122.5</v>
      </c>
      <c r="G86" s="6">
        <v>200</v>
      </c>
      <c r="H86" s="6">
        <v>24500</v>
      </c>
      <c r="J86" s="6">
        <v>600</v>
      </c>
      <c r="K86" s="12" t="s">
        <v>75</v>
      </c>
    </row>
    <row r="87" spans="1:15" ht="409.6">
      <c r="A87" s="15" t="s">
        <v>64</v>
      </c>
      <c r="B87" s="6" t="s">
        <v>65</v>
      </c>
      <c r="C87" s="6" t="s">
        <v>17</v>
      </c>
      <c r="D87" s="6">
        <v>20260414</v>
      </c>
      <c r="E87" s="8">
        <v>0.62291666666666701</v>
      </c>
      <c r="F87" s="6">
        <v>120.55</v>
      </c>
      <c r="G87" s="6">
        <v>300</v>
      </c>
      <c r="H87" s="6">
        <v>36165</v>
      </c>
      <c r="J87" s="6">
        <v>300</v>
      </c>
      <c r="O87" s="12" t="s">
        <v>76</v>
      </c>
    </row>
    <row r="88" spans="1:15" ht="300">
      <c r="A88" s="15" t="s">
        <v>67</v>
      </c>
      <c r="B88" s="6" t="s">
        <v>24</v>
      </c>
      <c r="C88" s="6" t="s">
        <v>17</v>
      </c>
      <c r="D88" s="6">
        <v>20260414</v>
      </c>
      <c r="E88" s="8">
        <v>0.62291666666666701</v>
      </c>
      <c r="F88" s="6">
        <v>111.35</v>
      </c>
      <c r="G88" s="6">
        <v>300</v>
      </c>
      <c r="H88" s="6">
        <v>33405</v>
      </c>
      <c r="J88" s="6">
        <v>300</v>
      </c>
      <c r="O88" s="12" t="s">
        <v>77</v>
      </c>
    </row>
    <row r="89" spans="1:15" ht="50">
      <c r="A89" s="15" t="s">
        <v>64</v>
      </c>
      <c r="B89" s="6" t="s">
        <v>65</v>
      </c>
      <c r="C89" s="6" t="s">
        <v>17</v>
      </c>
      <c r="D89" s="6">
        <v>20260415</v>
      </c>
      <c r="E89" s="8">
        <v>0.62291666666666701</v>
      </c>
      <c r="F89" s="6">
        <v>112.26</v>
      </c>
      <c r="G89" s="6">
        <v>300</v>
      </c>
      <c r="H89" s="6">
        <v>33678</v>
      </c>
      <c r="I89" s="6">
        <v>44.23</v>
      </c>
      <c r="J89" s="6">
        <v>0</v>
      </c>
      <c r="N89" s="12" t="s">
        <v>78</v>
      </c>
    </row>
    <row r="90" spans="1:15" ht="24">
      <c r="A90" s="15" t="s">
        <v>67</v>
      </c>
      <c r="B90" s="6" t="s">
        <v>24</v>
      </c>
      <c r="C90" s="6" t="s">
        <v>16</v>
      </c>
      <c r="D90" s="6">
        <v>20260415</v>
      </c>
      <c r="E90" s="8">
        <v>0.42430555555555599</v>
      </c>
      <c r="F90" s="6">
        <v>110.5</v>
      </c>
      <c r="G90" s="6">
        <v>300</v>
      </c>
      <c r="H90" s="6">
        <v>33150</v>
      </c>
      <c r="J90" s="6">
        <v>600</v>
      </c>
    </row>
    <row r="91" spans="1:15" ht="24">
      <c r="A91" s="15" t="s">
        <v>67</v>
      </c>
      <c r="B91" s="6" t="s">
        <v>24</v>
      </c>
      <c r="C91" s="6" t="s">
        <v>17</v>
      </c>
      <c r="D91" s="6">
        <v>20260415</v>
      </c>
      <c r="E91" s="8">
        <v>0.60069444444444398</v>
      </c>
      <c r="F91" s="6">
        <v>106.7</v>
      </c>
      <c r="G91" s="6">
        <v>300</v>
      </c>
      <c r="H91" s="6">
        <v>32010</v>
      </c>
      <c r="J91" s="6">
        <v>300</v>
      </c>
    </row>
    <row r="92" spans="1:15" ht="409.6">
      <c r="A92" s="15" t="s">
        <v>79</v>
      </c>
      <c r="B92" s="6" t="s">
        <v>80</v>
      </c>
      <c r="C92" s="6" t="s">
        <v>16</v>
      </c>
      <c r="D92" s="6">
        <v>20260416</v>
      </c>
      <c r="E92" s="8">
        <v>0.469444444444444</v>
      </c>
      <c r="F92" s="6">
        <v>45.65</v>
      </c>
      <c r="G92" s="6">
        <v>500</v>
      </c>
      <c r="H92" s="6">
        <v>22825</v>
      </c>
      <c r="J92" s="6">
        <v>500</v>
      </c>
      <c r="K92" s="10" t="s">
        <v>81</v>
      </c>
      <c r="L92" s="13" t="s">
        <v>82</v>
      </c>
      <c r="M92" s="13" t="s">
        <v>83</v>
      </c>
    </row>
    <row r="93" spans="1:15" ht="125">
      <c r="A93" s="11">
        <v>601126</v>
      </c>
      <c r="B93" s="6" t="s">
        <v>80</v>
      </c>
      <c r="C93" s="6" t="s">
        <v>16</v>
      </c>
      <c r="D93" s="6">
        <v>20260416</v>
      </c>
      <c r="E93" s="8">
        <v>0.62152777777777801</v>
      </c>
      <c r="F93" s="6">
        <v>46.43</v>
      </c>
      <c r="G93" s="6">
        <v>600</v>
      </c>
      <c r="H93" s="6">
        <v>27858</v>
      </c>
      <c r="J93" s="6">
        <v>1100</v>
      </c>
      <c r="K93" s="10" t="s">
        <v>84</v>
      </c>
    </row>
    <row r="94" spans="1:15" ht="175">
      <c r="A94" s="15" t="s">
        <v>67</v>
      </c>
      <c r="B94" s="6" t="s">
        <v>24</v>
      </c>
      <c r="C94" s="6" t="s">
        <v>16</v>
      </c>
      <c r="D94" s="6">
        <v>20260419</v>
      </c>
      <c r="E94" s="8">
        <v>0.40833333333333299</v>
      </c>
      <c r="F94" s="6">
        <v>115.58</v>
      </c>
      <c r="G94" s="6">
        <v>300</v>
      </c>
      <c r="H94" s="6">
        <v>34674</v>
      </c>
      <c r="J94" s="6">
        <v>600</v>
      </c>
      <c r="K94" s="10" t="s">
        <v>85</v>
      </c>
    </row>
    <row r="95" spans="1:15" ht="100">
      <c r="A95" s="15" t="s">
        <v>67</v>
      </c>
      <c r="B95" s="6" t="s">
        <v>24</v>
      </c>
      <c r="C95" s="6" t="s">
        <v>17</v>
      </c>
      <c r="D95" s="6">
        <v>20260419</v>
      </c>
      <c r="E95" s="8">
        <v>0.42569444444444399</v>
      </c>
      <c r="F95" s="6">
        <v>112.51</v>
      </c>
      <c r="G95" s="6">
        <v>100</v>
      </c>
      <c r="H95" s="6">
        <v>11251</v>
      </c>
      <c r="J95" s="6">
        <v>500</v>
      </c>
      <c r="O95" s="10" t="s">
        <v>86</v>
      </c>
    </row>
    <row r="96" spans="1:15" ht="50">
      <c r="A96" s="11">
        <v>601126</v>
      </c>
      <c r="B96" s="6" t="s">
        <v>80</v>
      </c>
      <c r="C96" s="6" t="s">
        <v>16</v>
      </c>
      <c r="D96" s="6">
        <v>20260419</v>
      </c>
      <c r="E96" s="8">
        <v>0.563194444444444</v>
      </c>
      <c r="F96" s="6">
        <v>48.54</v>
      </c>
      <c r="G96" s="6">
        <v>600</v>
      </c>
      <c r="H96" s="6">
        <v>29124</v>
      </c>
      <c r="J96" s="6">
        <v>1700</v>
      </c>
      <c r="K96" s="10" t="s">
        <v>87</v>
      </c>
    </row>
    <row r="97" spans="1:15" ht="24">
      <c r="A97" s="15" t="s">
        <v>67</v>
      </c>
      <c r="B97" s="6" t="s">
        <v>24</v>
      </c>
      <c r="C97" s="6" t="s">
        <v>17</v>
      </c>
      <c r="D97" s="6">
        <v>20260420</v>
      </c>
      <c r="E97" s="8">
        <v>0.40138888888888902</v>
      </c>
      <c r="F97" s="6">
        <v>125</v>
      </c>
      <c r="G97" s="6">
        <v>100</v>
      </c>
      <c r="H97" s="6">
        <v>12500</v>
      </c>
      <c r="J97" s="6">
        <v>400</v>
      </c>
    </row>
    <row r="98" spans="1:15" ht="25" customHeight="1">
      <c r="A98" s="15" t="s">
        <v>67</v>
      </c>
      <c r="B98" s="6" t="s">
        <v>24</v>
      </c>
      <c r="C98" s="6" t="s">
        <v>17</v>
      </c>
      <c r="D98" s="6">
        <v>20260420</v>
      </c>
      <c r="E98" s="8">
        <v>0.62083333333333302</v>
      </c>
      <c r="F98" s="6">
        <v>120.05</v>
      </c>
      <c r="G98" s="6">
        <v>100</v>
      </c>
      <c r="H98" s="6">
        <v>12005</v>
      </c>
      <c r="J98" s="6">
        <v>300</v>
      </c>
    </row>
    <row r="99" spans="1:15" ht="125">
      <c r="A99" s="15" t="s">
        <v>64</v>
      </c>
      <c r="B99" s="6" t="s">
        <v>65</v>
      </c>
      <c r="C99" s="6" t="s">
        <v>16</v>
      </c>
      <c r="D99" s="6">
        <v>20260421</v>
      </c>
      <c r="E99" s="8">
        <v>0.40833333333333299</v>
      </c>
      <c r="F99" s="6">
        <v>114</v>
      </c>
      <c r="G99" s="6">
        <v>200</v>
      </c>
      <c r="H99" s="6">
        <v>22800</v>
      </c>
      <c r="J99" s="6">
        <v>200</v>
      </c>
      <c r="K99" s="10" t="s">
        <v>88</v>
      </c>
    </row>
    <row r="100" spans="1:15" ht="325">
      <c r="A100" s="11">
        <v>601126</v>
      </c>
      <c r="B100" s="6" t="s">
        <v>80</v>
      </c>
      <c r="C100" s="6" t="s">
        <v>17</v>
      </c>
      <c r="D100" s="6">
        <v>20260421</v>
      </c>
      <c r="E100" s="8">
        <v>0.42708333333333298</v>
      </c>
      <c r="F100" s="6">
        <v>47.21</v>
      </c>
      <c r="G100" s="6">
        <v>700</v>
      </c>
      <c r="H100" s="6">
        <v>33047</v>
      </c>
      <c r="J100" s="6">
        <v>1000</v>
      </c>
      <c r="K100" s="10"/>
      <c r="O100" s="10" t="s">
        <v>89</v>
      </c>
    </row>
    <row r="101" spans="1:15" ht="325">
      <c r="A101" s="11">
        <v>601126</v>
      </c>
      <c r="B101" s="6" t="s">
        <v>80</v>
      </c>
      <c r="C101" s="6" t="s">
        <v>16</v>
      </c>
      <c r="D101" s="6">
        <v>20260421</v>
      </c>
      <c r="E101" s="8">
        <v>0.44652777777777802</v>
      </c>
      <c r="F101" s="6">
        <v>48.6</v>
      </c>
      <c r="G101" s="6">
        <v>500</v>
      </c>
      <c r="H101" s="6">
        <v>24300</v>
      </c>
      <c r="J101" s="6">
        <v>1500</v>
      </c>
      <c r="K101" s="12" t="s">
        <v>90</v>
      </c>
      <c r="O101" s="10" t="s">
        <v>89</v>
      </c>
    </row>
    <row r="102" spans="1:15" ht="150">
      <c r="A102" s="15" t="s">
        <v>67</v>
      </c>
      <c r="B102" s="6" t="s">
        <v>24</v>
      </c>
      <c r="C102" s="6" t="s">
        <v>16</v>
      </c>
      <c r="D102" s="6">
        <v>20260421</v>
      </c>
      <c r="E102" s="8">
        <v>0.54374999999999996</v>
      </c>
      <c r="F102" s="6">
        <v>118.94</v>
      </c>
      <c r="G102" s="6">
        <v>200</v>
      </c>
      <c r="H102" s="6">
        <v>23788</v>
      </c>
      <c r="J102" s="6">
        <v>500</v>
      </c>
      <c r="K102" s="12" t="s">
        <v>91</v>
      </c>
    </row>
    <row r="103" spans="1:15" ht="409.6">
      <c r="A103" s="15" t="s">
        <v>67</v>
      </c>
      <c r="B103" s="6" t="s">
        <v>24</v>
      </c>
      <c r="C103" s="6" t="s">
        <v>17</v>
      </c>
      <c r="D103" s="6">
        <v>20260421</v>
      </c>
      <c r="E103" s="8">
        <v>0.62013888888888902</v>
      </c>
      <c r="F103" s="6">
        <v>121.75</v>
      </c>
      <c r="G103" s="6">
        <v>200</v>
      </c>
      <c r="H103" s="6">
        <v>24350</v>
      </c>
      <c r="J103" s="6">
        <v>300</v>
      </c>
      <c r="K103" s="12"/>
      <c r="O103" s="10" t="s">
        <v>92</v>
      </c>
    </row>
    <row r="104" spans="1:15" ht="409.6">
      <c r="A104" s="11">
        <v>601126</v>
      </c>
      <c r="B104" s="6" t="s">
        <v>80</v>
      </c>
      <c r="C104" s="6" t="s">
        <v>17</v>
      </c>
      <c r="D104" s="6">
        <v>20260421</v>
      </c>
      <c r="E104" s="8">
        <v>0.62152777777777801</v>
      </c>
      <c r="F104" s="6">
        <v>49.9</v>
      </c>
      <c r="G104" s="6">
        <v>300</v>
      </c>
      <c r="H104" s="6">
        <v>14982</v>
      </c>
      <c r="J104" s="6">
        <v>1200</v>
      </c>
      <c r="K104" s="12"/>
      <c r="O104" s="10" t="s">
        <v>93</v>
      </c>
    </row>
    <row r="105" spans="1:15" ht="225">
      <c r="A105" s="15" t="s">
        <v>64</v>
      </c>
      <c r="B105" s="6" t="s">
        <v>65</v>
      </c>
      <c r="C105" s="6" t="s">
        <v>16</v>
      </c>
      <c r="D105" s="6">
        <v>20260422</v>
      </c>
      <c r="E105" s="8">
        <v>0.45069444444444401</v>
      </c>
      <c r="F105" s="6">
        <v>119.07</v>
      </c>
      <c r="G105" s="6">
        <v>200</v>
      </c>
      <c r="H105" s="6">
        <v>23814</v>
      </c>
      <c r="J105" s="6">
        <v>400</v>
      </c>
      <c r="K105" s="10" t="s">
        <v>94</v>
      </c>
    </row>
    <row r="106" spans="1:15" ht="125">
      <c r="A106" s="11">
        <v>601126</v>
      </c>
      <c r="B106" s="6" t="s">
        <v>80</v>
      </c>
      <c r="C106" s="6" t="s">
        <v>16</v>
      </c>
      <c r="D106" s="6">
        <v>20260422</v>
      </c>
      <c r="E106" s="8">
        <v>0.54444444444444395</v>
      </c>
      <c r="F106" s="6">
        <v>52</v>
      </c>
      <c r="G106" s="6">
        <v>500</v>
      </c>
      <c r="H106" s="6">
        <v>26000</v>
      </c>
      <c r="J106" s="6">
        <v>1700</v>
      </c>
      <c r="K106" s="12" t="s">
        <v>95</v>
      </c>
      <c r="O106" s="10"/>
    </row>
    <row r="107" spans="1:15" ht="250">
      <c r="A107" s="11">
        <v>601126</v>
      </c>
      <c r="B107" s="6" t="s">
        <v>80</v>
      </c>
      <c r="C107" s="6" t="s">
        <v>17</v>
      </c>
      <c r="D107" s="6">
        <v>20260422</v>
      </c>
      <c r="E107" s="8">
        <v>0.62152777777777801</v>
      </c>
      <c r="F107" s="6">
        <v>53.69</v>
      </c>
      <c r="G107" s="6">
        <v>600</v>
      </c>
      <c r="H107" s="6">
        <v>32214</v>
      </c>
      <c r="J107" s="6">
        <v>1100</v>
      </c>
      <c r="K107" s="12"/>
      <c r="O107" s="12" t="s">
        <v>96</v>
      </c>
    </row>
    <row r="108" spans="1:15" ht="50">
      <c r="A108" s="15" t="s">
        <v>67</v>
      </c>
      <c r="B108" s="6" t="s">
        <v>24</v>
      </c>
      <c r="C108" s="6" t="s">
        <v>17</v>
      </c>
      <c r="D108" s="6">
        <v>20260422</v>
      </c>
      <c r="E108" s="8">
        <v>0.62152777777777801</v>
      </c>
      <c r="F108" s="6">
        <v>124.13</v>
      </c>
      <c r="G108" s="6">
        <v>300</v>
      </c>
      <c r="H108" s="6">
        <v>37239</v>
      </c>
      <c r="J108" s="6">
        <v>0</v>
      </c>
      <c r="N108" s="12" t="s">
        <v>97</v>
      </c>
    </row>
    <row r="109" spans="1:15" ht="50">
      <c r="A109" s="11">
        <v>601126</v>
      </c>
      <c r="B109" s="6" t="s">
        <v>80</v>
      </c>
      <c r="C109" s="6" t="s">
        <v>17</v>
      </c>
      <c r="D109" s="6">
        <v>20260423</v>
      </c>
      <c r="E109" s="8">
        <v>0.61527777777777803</v>
      </c>
      <c r="F109" s="6">
        <v>52.39</v>
      </c>
      <c r="G109" s="6">
        <v>1100</v>
      </c>
      <c r="H109" s="6">
        <v>57629</v>
      </c>
      <c r="J109" s="6">
        <v>0</v>
      </c>
      <c r="L109" s="5"/>
      <c r="N109" s="12" t="s">
        <v>98</v>
      </c>
      <c r="O109" s="12"/>
    </row>
    <row r="110" spans="1:15" ht="100">
      <c r="A110" s="15" t="s">
        <v>99</v>
      </c>
      <c r="B110" s="6" t="s">
        <v>100</v>
      </c>
      <c r="C110" s="6" t="s">
        <v>16</v>
      </c>
      <c r="D110" s="6">
        <v>20260423</v>
      </c>
      <c r="E110" s="8">
        <v>0.61597222222222203</v>
      </c>
      <c r="F110" s="6">
        <v>28.06</v>
      </c>
      <c r="G110" s="6">
        <v>1000</v>
      </c>
      <c r="H110" s="6">
        <v>28060</v>
      </c>
      <c r="J110" s="6">
        <v>1000</v>
      </c>
      <c r="K110" s="12" t="s">
        <v>101</v>
      </c>
    </row>
    <row r="111" spans="1:15" ht="25">
      <c r="A111" s="15" t="s">
        <v>64</v>
      </c>
      <c r="B111" s="6" t="s">
        <v>65</v>
      </c>
      <c r="C111" s="6" t="s">
        <v>17</v>
      </c>
      <c r="D111" s="6">
        <v>20260423</v>
      </c>
      <c r="E111" s="8">
        <v>0.62152777777777801</v>
      </c>
      <c r="F111" s="6">
        <v>117.97</v>
      </c>
      <c r="G111" s="6">
        <v>400</v>
      </c>
      <c r="H111" s="6">
        <v>47188</v>
      </c>
      <c r="J111" s="6">
        <v>0</v>
      </c>
      <c r="K111" s="10"/>
      <c r="N111" s="12" t="s">
        <v>102</v>
      </c>
    </row>
    <row r="112" spans="1:15" ht="100">
      <c r="A112" s="15" t="s">
        <v>103</v>
      </c>
      <c r="B112" s="6" t="s">
        <v>104</v>
      </c>
      <c r="C112" s="6" t="s">
        <v>16</v>
      </c>
      <c r="D112" s="6">
        <v>20260424</v>
      </c>
      <c r="E112" s="8">
        <v>0.54166666666666696</v>
      </c>
      <c r="F112" s="6">
        <v>93.89</v>
      </c>
      <c r="G112" s="6">
        <v>500</v>
      </c>
      <c r="H112" s="6">
        <v>46945</v>
      </c>
      <c r="J112" s="6">
        <v>500</v>
      </c>
      <c r="K112" s="12" t="s">
        <v>105</v>
      </c>
    </row>
    <row r="113" spans="1:16" ht="375">
      <c r="A113" s="15" t="s">
        <v>106</v>
      </c>
      <c r="B113" s="6" t="s">
        <v>107</v>
      </c>
      <c r="C113" s="6" t="s">
        <v>16</v>
      </c>
      <c r="D113" s="6">
        <v>20260424</v>
      </c>
      <c r="E113" s="8">
        <v>0.54166666666666696</v>
      </c>
      <c r="F113" s="6">
        <v>39.479999999999997</v>
      </c>
      <c r="G113" s="6">
        <v>1600</v>
      </c>
      <c r="H113" s="6">
        <v>64128</v>
      </c>
      <c r="J113" s="6">
        <v>1600</v>
      </c>
      <c r="K113" s="12" t="s">
        <v>108</v>
      </c>
      <c r="N113" s="12"/>
    </row>
    <row r="114" spans="1:16" ht="409.6">
      <c r="A114" s="15" t="s">
        <v>99</v>
      </c>
      <c r="B114" s="6" t="s">
        <v>100</v>
      </c>
      <c r="C114" s="6" t="s">
        <v>17</v>
      </c>
      <c r="D114" s="6">
        <v>20260427</v>
      </c>
      <c r="E114" s="8">
        <v>0.39861111111111103</v>
      </c>
      <c r="F114" s="6">
        <v>25.36</v>
      </c>
      <c r="G114" s="6">
        <v>1000</v>
      </c>
      <c r="H114" s="6">
        <v>25360</v>
      </c>
      <c r="J114" s="6">
        <v>0</v>
      </c>
      <c r="K114" s="12"/>
      <c r="N114" s="12" t="s">
        <v>109</v>
      </c>
      <c r="P114" s="12" t="s">
        <v>116</v>
      </c>
    </row>
    <row r="115" spans="1:16" ht="50">
      <c r="A115" s="15" t="s">
        <v>106</v>
      </c>
      <c r="B115" s="6" t="s">
        <v>107</v>
      </c>
      <c r="C115" s="6" t="s">
        <v>17</v>
      </c>
      <c r="D115" s="6">
        <v>20260427</v>
      </c>
      <c r="E115" s="8">
        <v>0.61319444444444404</v>
      </c>
      <c r="F115" s="6">
        <v>38.270000000000003</v>
      </c>
      <c r="G115" s="6">
        <v>1600</v>
      </c>
      <c r="H115" s="6">
        <v>61232</v>
      </c>
      <c r="J115" s="6">
        <v>0</v>
      </c>
      <c r="K115" s="12"/>
      <c r="N115" s="12" t="s">
        <v>110</v>
      </c>
    </row>
    <row r="116" spans="1:16" ht="125">
      <c r="A116" s="15" t="s">
        <v>111</v>
      </c>
      <c r="B116" s="6" t="s">
        <v>112</v>
      </c>
      <c r="C116" s="6" t="s">
        <v>16</v>
      </c>
      <c r="D116" s="6">
        <v>20260427</v>
      </c>
      <c r="E116" s="8">
        <v>0.61319444444444404</v>
      </c>
      <c r="F116" s="6">
        <v>76.569999999999993</v>
      </c>
      <c r="G116" s="6">
        <v>400</v>
      </c>
      <c r="H116" s="6">
        <v>30268</v>
      </c>
      <c r="J116" s="6">
        <v>300</v>
      </c>
      <c r="K116" s="12" t="s">
        <v>113</v>
      </c>
    </row>
    <row r="117" spans="1:16" ht="25" customHeight="1">
      <c r="A117" s="6"/>
      <c r="B117" s="6"/>
      <c r="C117" s="6"/>
      <c r="D117" s="6"/>
      <c r="E117" s="8"/>
      <c r="F117" s="6"/>
      <c r="G117" s="6"/>
      <c r="H117" s="6"/>
      <c r="J117" s="6"/>
      <c r="K117" s="3" t="s">
        <v>114</v>
      </c>
    </row>
    <row r="118" spans="1:16" ht="25" customHeight="1">
      <c r="A118" s="6"/>
      <c r="B118" s="6"/>
      <c r="C118" s="6"/>
      <c r="D118" s="6"/>
      <c r="E118" s="8"/>
      <c r="F118" s="6"/>
      <c r="G118" s="6"/>
      <c r="H118" s="6"/>
      <c r="J118" s="6"/>
    </row>
    <row r="119" spans="1:16" ht="25" customHeight="1">
      <c r="A119" s="6"/>
      <c r="B119" s="6"/>
      <c r="C119" s="6"/>
      <c r="D119" s="6"/>
      <c r="E119" s="8"/>
      <c r="F119" s="6"/>
      <c r="G119" s="6"/>
      <c r="H119" s="6"/>
      <c r="J119" s="6"/>
    </row>
    <row r="120" spans="1:16" ht="25" customHeight="1">
      <c r="A120" s="6"/>
      <c r="B120" s="6"/>
      <c r="C120" s="6"/>
      <c r="D120" s="6"/>
      <c r="E120" s="8"/>
      <c r="F120" s="6"/>
      <c r="G120" s="6"/>
      <c r="H120" s="6"/>
      <c r="J120" s="6"/>
    </row>
    <row r="121" spans="1:16" ht="25" customHeight="1">
      <c r="A121" s="6"/>
      <c r="B121" s="6"/>
      <c r="C121" s="6"/>
      <c r="D121" s="6"/>
      <c r="E121" s="8"/>
      <c r="F121" s="6"/>
      <c r="G121" s="6"/>
      <c r="H121" s="6"/>
      <c r="J121" s="6"/>
    </row>
    <row r="122" spans="1:16" ht="25" customHeight="1">
      <c r="A122" s="6"/>
      <c r="B122" s="6"/>
      <c r="C122" s="6"/>
      <c r="D122" s="6"/>
      <c r="E122" s="8"/>
      <c r="F122" s="6"/>
      <c r="G122" s="6"/>
      <c r="H122" s="6"/>
      <c r="J122" s="6"/>
    </row>
    <row r="123" spans="1:16" ht="25" customHeight="1">
      <c r="A123" s="6"/>
      <c r="B123" s="6"/>
      <c r="C123" s="6"/>
      <c r="D123" s="6"/>
      <c r="E123" s="8"/>
      <c r="F123" s="6"/>
      <c r="G123" s="6"/>
      <c r="H123" s="6"/>
      <c r="J123" s="6"/>
    </row>
    <row r="124" spans="1:16" ht="25" customHeight="1">
      <c r="A124" s="6"/>
      <c r="B124" s="6"/>
      <c r="C124" s="6"/>
      <c r="D124" s="6"/>
      <c r="E124" s="8"/>
      <c r="F124" s="6"/>
      <c r="G124" s="6"/>
      <c r="H124" s="6"/>
      <c r="J124" s="6"/>
    </row>
    <row r="125" spans="1:16" ht="25" customHeight="1">
      <c r="A125" s="6"/>
      <c r="B125" s="6"/>
      <c r="C125" s="6"/>
      <c r="D125" s="6"/>
      <c r="E125" s="8"/>
      <c r="F125" s="6"/>
      <c r="G125" s="6"/>
      <c r="H125" s="6"/>
      <c r="J125" s="6"/>
    </row>
    <row r="126" spans="1:16" ht="25" customHeight="1">
      <c r="A126" s="6"/>
      <c r="B126" s="6"/>
      <c r="C126" s="6"/>
      <c r="D126" s="6"/>
      <c r="E126" s="8"/>
      <c r="F126" s="6"/>
      <c r="G126" s="6"/>
      <c r="H126" s="6"/>
      <c r="J126" s="6"/>
    </row>
    <row r="127" spans="1:16" ht="25" customHeight="1">
      <c r="A127" s="6"/>
      <c r="B127" s="6"/>
      <c r="C127" s="6"/>
      <c r="D127" s="6"/>
      <c r="E127" s="8"/>
      <c r="F127" s="6"/>
      <c r="G127" s="6"/>
      <c r="H127" s="6"/>
      <c r="J127" s="6"/>
    </row>
    <row r="128" spans="1:16" ht="25" customHeight="1">
      <c r="A128" s="6"/>
      <c r="B128" s="6"/>
      <c r="C128" s="6"/>
      <c r="D128" s="6"/>
      <c r="E128" s="8"/>
      <c r="F128" s="6"/>
      <c r="G128" s="6"/>
      <c r="H128" s="6"/>
      <c r="J128" s="6"/>
    </row>
    <row r="129" spans="1:10" ht="25" customHeight="1">
      <c r="A129" s="6"/>
      <c r="B129" s="6"/>
      <c r="C129" s="6"/>
      <c r="D129" s="6"/>
      <c r="E129" s="8"/>
      <c r="F129" s="6"/>
      <c r="G129" s="6"/>
      <c r="H129" s="6"/>
      <c r="J129" s="6"/>
    </row>
    <row r="130" spans="1:10" ht="25" customHeight="1">
      <c r="A130" s="6"/>
      <c r="B130" s="6"/>
      <c r="C130" s="6"/>
      <c r="D130" s="6"/>
      <c r="E130" s="8"/>
      <c r="F130" s="6"/>
      <c r="G130" s="6"/>
      <c r="H130" s="6"/>
      <c r="J130" s="6"/>
    </row>
    <row r="131" spans="1:10" ht="25" customHeight="1">
      <c r="A131" s="6"/>
      <c r="B131" s="6"/>
      <c r="C131" s="6"/>
      <c r="D131" s="6"/>
      <c r="E131" s="8"/>
      <c r="F131" s="6"/>
      <c r="G131" s="6"/>
      <c r="H131" s="6"/>
      <c r="J131" s="6"/>
    </row>
    <row r="132" spans="1:10" ht="25" customHeight="1">
      <c r="A132" s="6"/>
      <c r="B132" s="6"/>
      <c r="C132" s="6"/>
      <c r="D132" s="6"/>
      <c r="E132" s="8"/>
      <c r="F132" s="6"/>
      <c r="G132" s="6"/>
      <c r="H132" s="6"/>
      <c r="J132" s="6"/>
    </row>
    <row r="133" spans="1:10" ht="25" customHeight="1">
      <c r="A133" s="6"/>
      <c r="B133" s="6"/>
      <c r="C133" s="6"/>
      <c r="D133" s="6"/>
      <c r="E133" s="8"/>
      <c r="F133" s="6"/>
      <c r="G133" s="6"/>
      <c r="H133" s="6"/>
      <c r="J133" s="6"/>
    </row>
    <row r="134" spans="1:10" ht="25" customHeight="1">
      <c r="A134" s="6"/>
      <c r="B134" s="6"/>
      <c r="C134" s="6"/>
      <c r="D134" s="6"/>
      <c r="E134" s="8"/>
      <c r="F134" s="6"/>
      <c r="G134" s="6"/>
      <c r="H134" s="6"/>
      <c r="J134" s="6"/>
    </row>
    <row r="135" spans="1:10" ht="25" customHeight="1">
      <c r="A135" s="6"/>
      <c r="B135" s="6"/>
      <c r="C135" s="6"/>
      <c r="D135" s="6"/>
      <c r="E135" s="8"/>
      <c r="F135" s="6"/>
      <c r="G135" s="6"/>
      <c r="H135" s="6"/>
      <c r="J135" s="6"/>
    </row>
    <row r="136" spans="1:10" ht="25" customHeight="1">
      <c r="A136" s="6"/>
      <c r="B136" s="6"/>
      <c r="C136" s="6"/>
      <c r="D136" s="6"/>
      <c r="E136" s="8"/>
      <c r="F136" s="6"/>
      <c r="G136" s="6"/>
      <c r="H136" s="6"/>
      <c r="J136" s="6"/>
    </row>
    <row r="137" spans="1:10" ht="25" customHeight="1">
      <c r="A137" s="6"/>
      <c r="B137" s="6"/>
      <c r="C137" s="6"/>
      <c r="D137" s="6"/>
      <c r="E137" s="8"/>
      <c r="F137" s="6"/>
      <c r="G137" s="6"/>
      <c r="H137" s="6"/>
      <c r="J137" s="6"/>
    </row>
    <row r="138" spans="1:10" ht="25" customHeight="1">
      <c r="A138" s="6"/>
      <c r="B138" s="6"/>
      <c r="C138" s="6"/>
      <c r="D138" s="6"/>
      <c r="E138" s="8"/>
      <c r="F138" s="6"/>
      <c r="G138" s="6"/>
      <c r="H138" s="6"/>
      <c r="J138" s="6"/>
    </row>
    <row r="139" spans="1:10" ht="25" customHeight="1">
      <c r="A139" s="6"/>
      <c r="B139" s="6"/>
      <c r="C139" s="6"/>
      <c r="D139" s="6"/>
      <c r="E139" s="8"/>
      <c r="F139" s="6"/>
      <c r="G139" s="6"/>
      <c r="H139" s="6"/>
      <c r="J139" s="6"/>
    </row>
    <row r="140" spans="1:10" ht="25" customHeight="1">
      <c r="A140" s="6"/>
      <c r="B140" s="6"/>
      <c r="C140" s="6"/>
      <c r="D140" s="6"/>
      <c r="E140" s="8"/>
      <c r="F140" s="6"/>
      <c r="G140" s="6"/>
      <c r="H140" s="6"/>
      <c r="J140" s="6"/>
    </row>
    <row r="141" spans="1:10" ht="25" customHeight="1">
      <c r="A141" s="6"/>
      <c r="B141" s="6"/>
      <c r="C141" s="6"/>
      <c r="D141" s="6"/>
      <c r="E141" s="8"/>
      <c r="F141" s="6"/>
      <c r="G141" s="6"/>
      <c r="H141" s="6"/>
      <c r="J141" s="6"/>
    </row>
    <row r="142" spans="1:10" ht="24">
      <c r="C142" s="6"/>
      <c r="D142" s="6"/>
      <c r="E142" s="8"/>
    </row>
    <row r="143" spans="1:10" ht="24">
      <c r="C143" s="6"/>
      <c r="D143" s="6"/>
      <c r="E143" s="8"/>
    </row>
    <row r="144" spans="1:10" ht="24">
      <c r="C144" s="6"/>
      <c r="D144" s="6"/>
      <c r="E144" s="8"/>
    </row>
    <row r="145" spans="3:5" ht="24">
      <c r="C145" s="6"/>
      <c r="D145" s="6"/>
      <c r="E145" s="8"/>
    </row>
    <row r="146" spans="3:5" ht="24">
      <c r="C146" s="6"/>
      <c r="D146" s="6"/>
      <c r="E146" s="8"/>
    </row>
    <row r="147" spans="3:5" ht="24">
      <c r="C147" s="6"/>
      <c r="D147" s="6"/>
      <c r="E147" s="8"/>
    </row>
    <row r="148" spans="3:5" ht="24">
      <c r="C148" s="6"/>
      <c r="D148" s="6"/>
      <c r="E148" s="8"/>
    </row>
    <row r="149" spans="3:5" ht="24">
      <c r="C149" s="6"/>
      <c r="D149" s="6"/>
      <c r="E149" s="8"/>
    </row>
    <row r="150" spans="3:5" ht="24">
      <c r="C150" s="6"/>
      <c r="D150" s="6"/>
      <c r="E150" s="8"/>
    </row>
    <row r="151" spans="3:5" ht="24">
      <c r="C151" s="6"/>
      <c r="D151" s="6"/>
      <c r="E151" s="8"/>
    </row>
    <row r="152" spans="3:5" ht="24">
      <c r="C152" s="6"/>
      <c r="D152" s="6"/>
      <c r="E152" s="8"/>
    </row>
    <row r="153" spans="3:5" ht="24">
      <c r="C153" s="6"/>
      <c r="D153" s="6"/>
      <c r="E153" s="8"/>
    </row>
    <row r="154" spans="3:5" ht="24">
      <c r="C154" s="6"/>
      <c r="D154" s="6"/>
      <c r="E154" s="8"/>
    </row>
    <row r="155" spans="3:5" ht="24">
      <c r="C155" s="6"/>
      <c r="D155" s="6"/>
      <c r="E155" s="8"/>
    </row>
    <row r="156" spans="3:5" ht="24">
      <c r="C156" s="6"/>
      <c r="D156" s="6"/>
      <c r="E156" s="8"/>
    </row>
    <row r="157" spans="3:5" ht="24">
      <c r="C157" s="6"/>
      <c r="D157" s="6"/>
      <c r="E157" s="8"/>
    </row>
    <row r="158" spans="3:5" ht="24">
      <c r="C158" s="6"/>
      <c r="D158" s="6"/>
      <c r="E158" s="8"/>
    </row>
    <row r="159" spans="3:5" ht="24">
      <c r="C159" s="6"/>
      <c r="D159" s="6"/>
      <c r="E159" s="8"/>
    </row>
    <row r="160" spans="3:5" ht="24">
      <c r="C160" s="6"/>
      <c r="D160" s="6"/>
      <c r="E160" s="8"/>
    </row>
    <row r="161" spans="3:5" ht="24">
      <c r="C161" s="6"/>
      <c r="D161" s="6"/>
      <c r="E161" s="8"/>
    </row>
    <row r="162" spans="3:5" ht="24">
      <c r="C162" s="6"/>
      <c r="D162" s="6"/>
      <c r="E162" s="8"/>
    </row>
    <row r="163" spans="3:5" ht="24">
      <c r="C163" s="6"/>
      <c r="D163" s="6"/>
      <c r="E163" s="8"/>
    </row>
    <row r="164" spans="3:5" ht="24">
      <c r="C164" s="6"/>
      <c r="D164" s="6"/>
      <c r="E164" s="8"/>
    </row>
    <row r="165" spans="3:5" ht="24">
      <c r="C165" s="6"/>
      <c r="D165" s="6"/>
      <c r="E165" s="8"/>
    </row>
    <row r="166" spans="3:5" ht="24">
      <c r="C166" s="6"/>
      <c r="D166" s="6"/>
      <c r="E166" s="8"/>
    </row>
    <row r="167" spans="3:5" ht="24">
      <c r="C167" s="6"/>
      <c r="D167" s="6"/>
      <c r="E167" s="8"/>
    </row>
    <row r="168" spans="3:5" ht="24">
      <c r="C168" s="6"/>
      <c r="D168" s="6"/>
      <c r="E168" s="8"/>
    </row>
    <row r="169" spans="3:5" ht="24">
      <c r="C169" s="6"/>
      <c r="D169" s="6"/>
      <c r="E169" s="8"/>
    </row>
    <row r="170" spans="3:5" ht="24">
      <c r="C170" s="6"/>
      <c r="D170" s="6"/>
      <c r="E170" s="8"/>
    </row>
    <row r="171" spans="3:5" ht="24">
      <c r="C171" s="6"/>
      <c r="D171" s="6"/>
      <c r="E171" s="8"/>
    </row>
    <row r="172" spans="3:5" ht="24">
      <c r="C172" s="6"/>
      <c r="D172" s="6"/>
      <c r="E172" s="8"/>
    </row>
    <row r="173" spans="3:5" ht="24">
      <c r="C173" s="6"/>
      <c r="D173" s="6"/>
      <c r="E173" s="8"/>
    </row>
    <row r="174" spans="3:5" ht="24">
      <c r="C174" s="6"/>
      <c r="D174" s="6"/>
      <c r="E174" s="8"/>
    </row>
    <row r="175" spans="3:5" ht="24">
      <c r="C175" s="6"/>
      <c r="D175" s="6"/>
      <c r="E175" s="8"/>
    </row>
    <row r="176" spans="3:5" ht="24">
      <c r="C176" s="6"/>
      <c r="D176" s="6"/>
      <c r="E176" s="8"/>
    </row>
    <row r="177" spans="3:5" ht="24">
      <c r="C177" s="6"/>
      <c r="D177" s="6"/>
      <c r="E177" s="8"/>
    </row>
    <row r="178" spans="3:5" ht="24">
      <c r="C178" s="6"/>
      <c r="D178" s="6"/>
      <c r="E178" s="8"/>
    </row>
    <row r="179" spans="3:5" ht="24">
      <c r="C179" s="6"/>
      <c r="D179" s="6"/>
      <c r="E179" s="8"/>
    </row>
    <row r="180" spans="3:5" ht="24">
      <c r="C180" s="6"/>
      <c r="D180" s="6"/>
      <c r="E180" s="8"/>
    </row>
    <row r="181" spans="3:5" ht="24">
      <c r="C181" s="6"/>
      <c r="D181" s="6"/>
      <c r="E181" s="8"/>
    </row>
    <row r="182" spans="3:5" ht="24">
      <c r="C182" s="6"/>
      <c r="D182" s="6"/>
      <c r="E182" s="8"/>
    </row>
    <row r="183" spans="3:5" ht="24">
      <c r="C183" s="6"/>
      <c r="D183" s="6"/>
      <c r="E183" s="8"/>
    </row>
    <row r="184" spans="3:5" ht="24">
      <c r="C184" s="6"/>
      <c r="D184" s="6"/>
      <c r="E184" s="8"/>
    </row>
    <row r="185" spans="3:5" ht="24">
      <c r="C185" s="6"/>
      <c r="D185" s="6"/>
      <c r="E185" s="8"/>
    </row>
    <row r="186" spans="3:5" ht="24">
      <c r="C186" s="6"/>
      <c r="D186" s="6"/>
      <c r="E186" s="8"/>
    </row>
    <row r="187" spans="3:5" ht="24">
      <c r="C187" s="6"/>
      <c r="D187" s="6"/>
      <c r="E187" s="8"/>
    </row>
    <row r="188" spans="3:5" ht="24">
      <c r="C188" s="6"/>
      <c r="D188" s="6"/>
      <c r="E188" s="8"/>
    </row>
    <row r="189" spans="3:5" ht="24">
      <c r="C189" s="6"/>
      <c r="D189" s="6"/>
      <c r="E189" s="8"/>
    </row>
    <row r="190" spans="3:5" ht="24">
      <c r="C190" s="6"/>
      <c r="D190" s="6"/>
      <c r="E190" s="8"/>
    </row>
    <row r="191" spans="3:5" ht="24">
      <c r="C191" s="6"/>
      <c r="D191" s="6"/>
      <c r="E191" s="8"/>
    </row>
    <row r="192" spans="3:5" ht="24">
      <c r="C192" s="6"/>
      <c r="D192" s="6"/>
      <c r="E192" s="8"/>
    </row>
    <row r="193" spans="3:5" ht="24">
      <c r="C193" s="6"/>
      <c r="D193" s="6"/>
      <c r="E193" s="8"/>
    </row>
    <row r="194" spans="3:5" ht="24">
      <c r="C194" s="6"/>
      <c r="D194" s="6"/>
      <c r="E194" s="8"/>
    </row>
    <row r="195" spans="3:5" ht="24">
      <c r="C195" s="6"/>
      <c r="D195" s="6"/>
      <c r="E195" s="8"/>
    </row>
    <row r="196" spans="3:5" ht="24">
      <c r="C196" s="6"/>
      <c r="D196" s="6"/>
      <c r="E196" s="8"/>
    </row>
    <row r="197" spans="3:5" ht="24">
      <c r="C197" s="6"/>
      <c r="D197" s="6"/>
      <c r="E197" s="8"/>
    </row>
    <row r="198" spans="3:5" ht="24">
      <c r="C198" s="6"/>
      <c r="D198" s="6"/>
      <c r="E198" s="8"/>
    </row>
    <row r="199" spans="3:5" ht="24">
      <c r="C199" s="6"/>
      <c r="D199" s="6"/>
      <c r="E199" s="8"/>
    </row>
    <row r="200" spans="3:5" ht="24">
      <c r="C200" s="6"/>
      <c r="D200" s="6"/>
      <c r="E200" s="8"/>
    </row>
    <row r="201" spans="3:5" ht="24">
      <c r="C201" s="6"/>
      <c r="D201" s="6"/>
      <c r="E201" s="8"/>
    </row>
    <row r="202" spans="3:5" ht="24">
      <c r="C202" s="6"/>
      <c r="D202" s="6"/>
      <c r="E202" s="8"/>
    </row>
    <row r="203" spans="3:5" ht="24">
      <c r="C203" s="6"/>
      <c r="D203" s="6"/>
      <c r="E203" s="8"/>
    </row>
    <row r="204" spans="3:5" ht="24">
      <c r="C204" s="6"/>
      <c r="D204" s="6"/>
      <c r="E204" s="8"/>
    </row>
    <row r="205" spans="3:5" ht="24">
      <c r="C205" s="6"/>
      <c r="D205" s="6"/>
      <c r="E205" s="8"/>
    </row>
    <row r="206" spans="3:5" ht="24">
      <c r="C206" s="6"/>
      <c r="D206" s="6"/>
      <c r="E206" s="8"/>
    </row>
    <row r="207" spans="3:5" ht="24">
      <c r="C207" s="6"/>
      <c r="D207" s="6"/>
      <c r="E207" s="8"/>
    </row>
    <row r="208" spans="3:5" ht="24">
      <c r="C208" s="6"/>
      <c r="D208" s="6"/>
      <c r="E208" s="8"/>
    </row>
    <row r="209" spans="3:5" ht="24">
      <c r="C209" s="6"/>
      <c r="D209" s="6"/>
      <c r="E209" s="8"/>
    </row>
    <row r="210" spans="3:5" ht="24">
      <c r="C210" s="6"/>
      <c r="D210" s="6"/>
    </row>
    <row r="211" spans="3:5" ht="24">
      <c r="C211" s="6"/>
      <c r="D211" s="6"/>
    </row>
    <row r="212" spans="3:5" ht="24">
      <c r="C212" s="6"/>
      <c r="D212" s="6"/>
    </row>
    <row r="213" spans="3:5" ht="24">
      <c r="C213" s="6"/>
      <c r="D213" s="6"/>
    </row>
    <row r="214" spans="3:5" ht="24">
      <c r="C214" s="6"/>
      <c r="D214" s="6"/>
    </row>
    <row r="215" spans="3:5" ht="24">
      <c r="C215" s="6"/>
      <c r="D215" s="6"/>
    </row>
    <row r="216" spans="3:5" ht="24">
      <c r="C216" s="6"/>
      <c r="D216" s="6"/>
    </row>
    <row r="217" spans="3:5" ht="24">
      <c r="C217" s="6"/>
      <c r="D217" s="6"/>
    </row>
    <row r="218" spans="3:5" ht="24">
      <c r="C218" s="6"/>
      <c r="D218" s="6"/>
    </row>
    <row r="219" spans="3:5" ht="24">
      <c r="C219" s="6"/>
      <c r="D219" s="6"/>
    </row>
    <row r="220" spans="3:5" ht="24">
      <c r="C220" s="6"/>
      <c r="D220" s="6"/>
    </row>
    <row r="221" spans="3:5" ht="24">
      <c r="C221" s="6"/>
      <c r="D221" s="6"/>
    </row>
    <row r="222" spans="3:5" ht="24">
      <c r="C222" s="6"/>
      <c r="D222" s="6"/>
    </row>
    <row r="223" spans="3:5" ht="24">
      <c r="C223" s="6"/>
      <c r="D223" s="6"/>
    </row>
    <row r="224" spans="3:5" ht="24">
      <c r="C224" s="6"/>
      <c r="D224" s="6"/>
    </row>
    <row r="225" spans="3:4" ht="24">
      <c r="C225" s="6"/>
      <c r="D225" s="6"/>
    </row>
    <row r="226" spans="3:4" ht="24">
      <c r="C226" s="6"/>
      <c r="D226" s="6"/>
    </row>
    <row r="227" spans="3:4" ht="24">
      <c r="C227" s="6"/>
      <c r="D227" s="6"/>
    </row>
    <row r="228" spans="3:4" ht="24">
      <c r="C228" s="6"/>
      <c r="D228" s="6"/>
    </row>
    <row r="229" spans="3:4" ht="24">
      <c r="C229" s="6"/>
      <c r="D229" s="6"/>
    </row>
    <row r="230" spans="3:4" ht="24">
      <c r="C230" s="6"/>
      <c r="D230" s="6"/>
    </row>
    <row r="231" spans="3:4" ht="24">
      <c r="C231" s="6"/>
      <c r="D231" s="6"/>
    </row>
    <row r="232" spans="3:4" ht="24">
      <c r="C232" s="6"/>
      <c r="D232" s="6"/>
    </row>
    <row r="233" spans="3:4" ht="24">
      <c r="C233" s="6"/>
      <c r="D233" s="6"/>
    </row>
    <row r="234" spans="3:4" ht="24">
      <c r="C234" s="6"/>
      <c r="D234" s="6"/>
    </row>
    <row r="235" spans="3:4" ht="24">
      <c r="C235" s="6"/>
      <c r="D235" s="6"/>
    </row>
    <row r="236" spans="3:4" ht="24">
      <c r="C236" s="6"/>
      <c r="D236" s="6"/>
    </row>
    <row r="237" spans="3:4" ht="24">
      <c r="C237" s="6"/>
      <c r="D237" s="6"/>
    </row>
    <row r="238" spans="3:4" ht="24">
      <c r="C238" s="6"/>
      <c r="D238" s="6"/>
    </row>
    <row r="239" spans="3:4" ht="24">
      <c r="C239" s="6"/>
      <c r="D239" s="6"/>
    </row>
    <row r="240" spans="3:4" ht="24">
      <c r="C240" s="6"/>
      <c r="D240" s="6"/>
    </row>
    <row r="241" spans="3:4" ht="24">
      <c r="C241" s="6"/>
      <c r="D241" s="6"/>
    </row>
    <row r="242" spans="3:4" ht="24">
      <c r="C242" s="6"/>
      <c r="D242" s="6"/>
    </row>
    <row r="243" spans="3:4" ht="24">
      <c r="C243" s="6"/>
      <c r="D243" s="6"/>
    </row>
    <row r="244" spans="3:4" ht="24">
      <c r="C244" s="6"/>
      <c r="D244" s="6"/>
    </row>
    <row r="245" spans="3:4" ht="24">
      <c r="C245" s="6"/>
      <c r="D245" s="6"/>
    </row>
    <row r="246" spans="3:4" ht="24">
      <c r="C246" s="6"/>
      <c r="D246" s="6"/>
    </row>
    <row r="247" spans="3:4" ht="24">
      <c r="C247" s="6"/>
      <c r="D247" s="6"/>
    </row>
    <row r="248" spans="3:4" ht="24">
      <c r="C248" s="6"/>
      <c r="D248" s="6"/>
    </row>
    <row r="249" spans="3:4" ht="24">
      <c r="C249" s="6"/>
      <c r="D249" s="6"/>
    </row>
    <row r="250" spans="3:4" ht="24">
      <c r="C250" s="6"/>
      <c r="D250" s="6"/>
    </row>
    <row r="251" spans="3:4" ht="24">
      <c r="C251" s="6"/>
      <c r="D251" s="6"/>
    </row>
    <row r="252" spans="3:4" ht="24">
      <c r="C252" s="6"/>
      <c r="D252" s="6"/>
    </row>
    <row r="253" spans="3:4" ht="24">
      <c r="C253" s="6"/>
      <c r="D253" s="6"/>
    </row>
    <row r="254" spans="3:4" ht="24">
      <c r="C254" s="6"/>
      <c r="D254" s="6"/>
    </row>
    <row r="255" spans="3:4" ht="24">
      <c r="C255" s="6"/>
      <c r="D255" s="6"/>
    </row>
    <row r="256" spans="3:4" ht="24">
      <c r="C256" s="6"/>
      <c r="D256" s="6"/>
    </row>
    <row r="257" spans="3:4" ht="24">
      <c r="C257" s="6"/>
      <c r="D257" s="6"/>
    </row>
    <row r="258" spans="3:4" ht="24">
      <c r="C258" s="6"/>
      <c r="D258" s="6"/>
    </row>
    <row r="259" spans="3:4" ht="24">
      <c r="C259" s="6"/>
      <c r="D259" s="6"/>
    </row>
    <row r="260" spans="3:4" ht="24">
      <c r="C260" s="6"/>
      <c r="D260" s="6"/>
    </row>
    <row r="261" spans="3:4" ht="24">
      <c r="C261" s="6"/>
      <c r="D261" s="6"/>
    </row>
    <row r="262" spans="3:4" ht="24">
      <c r="C262" s="6"/>
      <c r="D262" s="6"/>
    </row>
    <row r="263" spans="3:4" ht="24">
      <c r="C263" s="6"/>
      <c r="D263" s="6"/>
    </row>
    <row r="264" spans="3:4" ht="24">
      <c r="C264" s="6"/>
      <c r="D264" s="6"/>
    </row>
    <row r="265" spans="3:4" ht="24">
      <c r="C265" s="6"/>
      <c r="D265" s="6"/>
    </row>
    <row r="266" spans="3:4" ht="24">
      <c r="C266" s="6"/>
      <c r="D266" s="6"/>
    </row>
    <row r="267" spans="3:4" ht="24">
      <c r="C267" s="6"/>
      <c r="D267" s="6"/>
    </row>
    <row r="268" spans="3:4" ht="24">
      <c r="C268" s="6"/>
      <c r="D268" s="6"/>
    </row>
    <row r="269" spans="3:4" ht="24">
      <c r="C269" s="6"/>
      <c r="D269" s="6"/>
    </row>
    <row r="270" spans="3:4" ht="24">
      <c r="C270" s="6"/>
      <c r="D270" s="6"/>
    </row>
    <row r="271" spans="3:4" ht="24">
      <c r="C271" s="6"/>
      <c r="D271" s="6"/>
    </row>
    <row r="272" spans="3:4" ht="24">
      <c r="C272" s="6"/>
      <c r="D272" s="6"/>
    </row>
    <row r="273" spans="3:4" ht="24">
      <c r="C273" s="6"/>
      <c r="D273" s="6"/>
    </row>
    <row r="274" spans="3:4" ht="24">
      <c r="C274" s="6"/>
      <c r="D274" s="6"/>
    </row>
    <row r="275" spans="3:4" ht="24">
      <c r="C275" s="6"/>
      <c r="D275" s="6"/>
    </row>
    <row r="276" spans="3:4" ht="24">
      <c r="C276" s="6"/>
      <c r="D276" s="6"/>
    </row>
    <row r="277" spans="3:4" ht="24">
      <c r="C277" s="6"/>
      <c r="D277" s="6"/>
    </row>
    <row r="278" spans="3:4" ht="24">
      <c r="C278" s="6"/>
      <c r="D278" s="6"/>
    </row>
    <row r="279" spans="3:4" ht="24">
      <c r="C279" s="6"/>
      <c r="D279" s="6"/>
    </row>
    <row r="280" spans="3:4" ht="24">
      <c r="C280" s="6"/>
      <c r="D280" s="6"/>
    </row>
    <row r="281" spans="3:4" ht="24">
      <c r="C281" s="6"/>
      <c r="D281" s="6"/>
    </row>
    <row r="282" spans="3:4" ht="24">
      <c r="C282" s="6"/>
      <c r="D282" s="6"/>
    </row>
    <row r="283" spans="3:4" ht="24">
      <c r="C283" s="6"/>
      <c r="D283" s="6"/>
    </row>
    <row r="284" spans="3:4" ht="24">
      <c r="C284" s="6"/>
      <c r="D284" s="6"/>
    </row>
    <row r="285" spans="3:4" ht="24">
      <c r="C285" s="6"/>
      <c r="D285" s="6"/>
    </row>
    <row r="286" spans="3:4" ht="24">
      <c r="C286" s="6"/>
      <c r="D286" s="6"/>
    </row>
    <row r="287" spans="3:4" ht="24">
      <c r="C287" s="6"/>
      <c r="D287" s="6"/>
    </row>
    <row r="288" spans="3:4" ht="24">
      <c r="C288" s="6"/>
      <c r="D288" s="6"/>
    </row>
    <row r="289" spans="3:4" ht="24">
      <c r="C289" s="6"/>
      <c r="D289" s="6"/>
    </row>
    <row r="290" spans="3:4" ht="24">
      <c r="C290" s="6"/>
      <c r="D290" s="6"/>
    </row>
    <row r="291" spans="3:4" ht="24">
      <c r="C291" s="6"/>
      <c r="D291" s="6"/>
    </row>
    <row r="292" spans="3:4" ht="24">
      <c r="C292" s="6"/>
      <c r="D292" s="6"/>
    </row>
    <row r="293" spans="3:4" ht="24">
      <c r="C293" s="6"/>
      <c r="D293" s="6"/>
    </row>
    <row r="294" spans="3:4" ht="24">
      <c r="C294" s="6"/>
      <c r="D294" s="6"/>
    </row>
    <row r="295" spans="3:4" ht="24">
      <c r="C295" s="6"/>
      <c r="D295" s="6"/>
    </row>
    <row r="296" spans="3:4" ht="24">
      <c r="C296" s="6"/>
      <c r="D296" s="6"/>
    </row>
    <row r="297" spans="3:4" ht="24">
      <c r="C297" s="6"/>
      <c r="D297" s="6"/>
    </row>
    <row r="298" spans="3:4" ht="24">
      <c r="C298" s="6"/>
      <c r="D298" s="6"/>
    </row>
    <row r="299" spans="3:4" ht="24">
      <c r="C299" s="6"/>
      <c r="D299" s="6"/>
    </row>
    <row r="300" spans="3:4" ht="24">
      <c r="C300" s="6"/>
      <c r="D300" s="6"/>
    </row>
    <row r="301" spans="3:4" ht="24">
      <c r="C301" s="6"/>
      <c r="D301" s="6"/>
    </row>
    <row r="302" spans="3:4" ht="24">
      <c r="C302" s="6"/>
      <c r="D302" s="6"/>
    </row>
    <row r="303" spans="3:4" ht="24">
      <c r="C303" s="6"/>
      <c r="D303" s="6"/>
    </row>
    <row r="304" spans="3:4" ht="24">
      <c r="C304" s="6"/>
      <c r="D304" s="6"/>
    </row>
    <row r="305" spans="3:4" ht="24">
      <c r="C305" s="6"/>
      <c r="D305" s="6"/>
    </row>
    <row r="306" spans="3:4" ht="24">
      <c r="C306" s="6"/>
      <c r="D306" s="6"/>
    </row>
    <row r="307" spans="3:4" ht="24">
      <c r="C307" s="6"/>
      <c r="D307" s="6"/>
    </row>
    <row r="308" spans="3:4" ht="24">
      <c r="C308" s="6"/>
      <c r="D308" s="6"/>
    </row>
    <row r="309" spans="3:4" ht="24">
      <c r="C309" s="6"/>
      <c r="D309" s="6"/>
    </row>
    <row r="310" spans="3:4" ht="24">
      <c r="C310" s="6"/>
      <c r="D310" s="6"/>
    </row>
    <row r="311" spans="3:4" ht="24">
      <c r="C311" s="6"/>
      <c r="D311" s="6"/>
    </row>
    <row r="312" spans="3:4" ht="24">
      <c r="C312" s="6"/>
      <c r="D312" s="6"/>
    </row>
    <row r="313" spans="3:4" ht="24">
      <c r="C313" s="6"/>
      <c r="D313" s="6"/>
    </row>
    <row r="314" spans="3:4" ht="24">
      <c r="C314" s="6"/>
      <c r="D314" s="6"/>
    </row>
    <row r="315" spans="3:4" ht="24">
      <c r="C315" s="6"/>
      <c r="D315" s="6"/>
    </row>
    <row r="316" spans="3:4" ht="24">
      <c r="C316" s="6"/>
      <c r="D316" s="6"/>
    </row>
    <row r="317" spans="3:4" ht="24">
      <c r="C317" s="6"/>
      <c r="D317" s="6"/>
    </row>
    <row r="318" spans="3:4" ht="24">
      <c r="C318" s="6"/>
      <c r="D318" s="6"/>
    </row>
    <row r="319" spans="3:4" ht="24">
      <c r="C319" s="6"/>
      <c r="D319" s="6"/>
    </row>
    <row r="320" spans="3:4" ht="24">
      <c r="C320" s="6"/>
      <c r="D320" s="6"/>
    </row>
    <row r="321" spans="3:4" ht="24">
      <c r="C321" s="6"/>
      <c r="D321" s="6"/>
    </row>
    <row r="322" spans="3:4" ht="24">
      <c r="C322" s="6"/>
      <c r="D322" s="6"/>
    </row>
    <row r="323" spans="3:4" ht="24">
      <c r="C323" s="6"/>
      <c r="D323" s="6"/>
    </row>
    <row r="324" spans="3:4" ht="24">
      <c r="C324" s="6"/>
      <c r="D324" s="6"/>
    </row>
    <row r="325" spans="3:4" ht="24">
      <c r="C325" s="6"/>
      <c r="D325" s="6"/>
    </row>
    <row r="326" spans="3:4" ht="24">
      <c r="C326" s="6"/>
      <c r="D326" s="6"/>
    </row>
    <row r="327" spans="3:4" ht="24">
      <c r="C327" s="6"/>
      <c r="D327" s="6"/>
    </row>
    <row r="328" spans="3:4" ht="24">
      <c r="C328" s="6"/>
      <c r="D328" s="6"/>
    </row>
    <row r="329" spans="3:4" ht="24">
      <c r="C329" s="6"/>
      <c r="D329" s="6"/>
    </row>
    <row r="330" spans="3:4" ht="24">
      <c r="C330" s="6"/>
      <c r="D330" s="6"/>
    </row>
    <row r="331" spans="3:4" ht="24">
      <c r="C331" s="6"/>
      <c r="D331" s="6"/>
    </row>
    <row r="332" spans="3:4" ht="24">
      <c r="C332" s="6"/>
      <c r="D332" s="6"/>
    </row>
    <row r="333" spans="3:4" ht="24">
      <c r="C333" s="6"/>
      <c r="D333" s="6"/>
    </row>
    <row r="334" spans="3:4" ht="24">
      <c r="C334" s="6"/>
      <c r="D334" s="6"/>
    </row>
    <row r="335" spans="3:4" ht="24">
      <c r="C335" s="6"/>
      <c r="D335" s="6"/>
    </row>
    <row r="336" spans="3:4" ht="24">
      <c r="C336" s="6"/>
      <c r="D336" s="6"/>
    </row>
    <row r="337" spans="3:4" ht="24">
      <c r="C337" s="6"/>
      <c r="D337" s="6"/>
    </row>
    <row r="338" spans="3:4" ht="24">
      <c r="C338" s="6"/>
      <c r="D338" s="6"/>
    </row>
    <row r="339" spans="3:4" ht="24">
      <c r="C339" s="6"/>
      <c r="D339" s="6"/>
    </row>
    <row r="340" spans="3:4" ht="24">
      <c r="C340" s="6"/>
      <c r="D340" s="6"/>
    </row>
    <row r="341" spans="3:4" ht="24">
      <c r="C341" s="6"/>
      <c r="D341" s="6"/>
    </row>
    <row r="342" spans="3:4" ht="24">
      <c r="C342" s="6"/>
      <c r="D342" s="6"/>
    </row>
    <row r="343" spans="3:4" ht="24">
      <c r="C343" s="6"/>
      <c r="D343" s="6"/>
    </row>
    <row r="344" spans="3:4" ht="24">
      <c r="C344" s="6"/>
      <c r="D344" s="6"/>
    </row>
    <row r="345" spans="3:4" ht="24">
      <c r="C345" s="6"/>
      <c r="D345" s="6"/>
    </row>
    <row r="346" spans="3:4" ht="24">
      <c r="C346" s="6"/>
      <c r="D346" s="6"/>
    </row>
    <row r="347" spans="3:4" ht="24">
      <c r="C347" s="6"/>
      <c r="D347" s="6"/>
    </row>
    <row r="348" spans="3:4" ht="24">
      <c r="C348" s="6"/>
      <c r="D348" s="6"/>
    </row>
    <row r="349" spans="3:4" ht="24">
      <c r="C349" s="6"/>
      <c r="D349" s="6"/>
    </row>
    <row r="350" spans="3:4" ht="24">
      <c r="C350" s="6"/>
      <c r="D350" s="6"/>
    </row>
    <row r="351" spans="3:4" ht="24">
      <c r="C351" s="6"/>
      <c r="D351" s="6"/>
    </row>
    <row r="352" spans="3:4" ht="24">
      <c r="C352" s="6"/>
      <c r="D352" s="6"/>
    </row>
    <row r="353" spans="3:4" ht="24">
      <c r="C353" s="6"/>
      <c r="D353" s="6"/>
    </row>
    <row r="354" spans="3:4" ht="24">
      <c r="C354" s="6"/>
      <c r="D354" s="6"/>
    </row>
    <row r="355" spans="3:4" ht="24">
      <c r="C355" s="6"/>
      <c r="D355" s="6"/>
    </row>
    <row r="356" spans="3:4" ht="24">
      <c r="C356" s="6"/>
      <c r="D356" s="6"/>
    </row>
    <row r="357" spans="3:4" ht="24">
      <c r="C357" s="6"/>
      <c r="D357" s="6"/>
    </row>
    <row r="358" spans="3:4" ht="24">
      <c r="D358" s="6"/>
    </row>
    <row r="359" spans="3:4" ht="24">
      <c r="D359" s="6"/>
    </row>
    <row r="360" spans="3:4" ht="24">
      <c r="D360" s="6"/>
    </row>
    <row r="361" spans="3:4" ht="24">
      <c r="D361" s="6"/>
    </row>
    <row r="362" spans="3:4" ht="24">
      <c r="D362" s="6"/>
    </row>
    <row r="363" spans="3:4" ht="24">
      <c r="D363" s="6"/>
    </row>
    <row r="364" spans="3:4" ht="24">
      <c r="D364" s="6"/>
    </row>
    <row r="365" spans="3:4" ht="24">
      <c r="D365" s="6"/>
    </row>
    <row r="366" spans="3:4" ht="24">
      <c r="D366" s="6"/>
    </row>
    <row r="367" spans="3:4" ht="24">
      <c r="D367" s="6"/>
    </row>
    <row r="368" spans="3:4" ht="24">
      <c r="D368" s="6"/>
    </row>
    <row r="369" spans="4:4" ht="24">
      <c r="D369" s="6"/>
    </row>
    <row r="370" spans="4:4" ht="24">
      <c r="D370" s="6"/>
    </row>
    <row r="371" spans="4:4" ht="24">
      <c r="D371" s="6"/>
    </row>
    <row r="372" spans="4:4" ht="24">
      <c r="D372" s="6"/>
    </row>
    <row r="373" spans="4:4" ht="24">
      <c r="D373" s="6"/>
    </row>
    <row r="374" spans="4:4" ht="24">
      <c r="D374" s="6"/>
    </row>
    <row r="375" spans="4:4" ht="24">
      <c r="D375" s="6"/>
    </row>
    <row r="376" spans="4:4" ht="24">
      <c r="D376" s="6"/>
    </row>
    <row r="377" spans="4:4" ht="24">
      <c r="D377" s="6"/>
    </row>
    <row r="378" spans="4:4" ht="24">
      <c r="D378" s="6"/>
    </row>
    <row r="379" spans="4:4" ht="24">
      <c r="D379" s="6"/>
    </row>
    <row r="380" spans="4:4" ht="24">
      <c r="D380" s="6"/>
    </row>
    <row r="381" spans="4:4" ht="24">
      <c r="D381" s="6"/>
    </row>
    <row r="382" spans="4:4" ht="24">
      <c r="D382" s="6"/>
    </row>
    <row r="383" spans="4:4" ht="24">
      <c r="D383" s="6"/>
    </row>
    <row r="384" spans="4:4" ht="24">
      <c r="D384" s="6"/>
    </row>
    <row r="385" spans="4:4" ht="24">
      <c r="D385" s="6"/>
    </row>
    <row r="386" spans="4:4" ht="24">
      <c r="D386" s="6"/>
    </row>
    <row r="387" spans="4:4" ht="24">
      <c r="D387" s="6"/>
    </row>
    <row r="388" spans="4:4" ht="24">
      <c r="D388" s="6"/>
    </row>
    <row r="389" spans="4:4" ht="24">
      <c r="D389" s="6"/>
    </row>
    <row r="390" spans="4:4" ht="24">
      <c r="D390" s="6"/>
    </row>
    <row r="391" spans="4:4" ht="24">
      <c r="D391" s="6"/>
    </row>
    <row r="392" spans="4:4" ht="24">
      <c r="D392" s="6"/>
    </row>
    <row r="393" spans="4:4" ht="24">
      <c r="D393" s="6"/>
    </row>
    <row r="394" spans="4:4" ht="24">
      <c r="D394" s="6"/>
    </row>
    <row r="395" spans="4:4" ht="24">
      <c r="D395" s="6"/>
    </row>
    <row r="396" spans="4:4" ht="24">
      <c r="D396" s="6"/>
    </row>
    <row r="397" spans="4:4" ht="24">
      <c r="D397" s="6"/>
    </row>
    <row r="398" spans="4:4" ht="24">
      <c r="D398" s="6"/>
    </row>
    <row r="399" spans="4:4" ht="24">
      <c r="D399" s="6"/>
    </row>
    <row r="400" spans="4:4" ht="24">
      <c r="D400" s="6"/>
    </row>
    <row r="401" spans="4:4" ht="24">
      <c r="D401" s="6"/>
    </row>
    <row r="402" spans="4:4" ht="24">
      <c r="D402" s="6"/>
    </row>
    <row r="403" spans="4:4" ht="24">
      <c r="D403" s="6"/>
    </row>
    <row r="404" spans="4:4" ht="24">
      <c r="D404" s="6"/>
    </row>
    <row r="405" spans="4:4" ht="24">
      <c r="D405" s="6"/>
    </row>
    <row r="406" spans="4:4" ht="24">
      <c r="D406" s="6"/>
    </row>
    <row r="407" spans="4:4" ht="24">
      <c r="D407" s="6"/>
    </row>
    <row r="408" spans="4:4" ht="24">
      <c r="D408" s="6"/>
    </row>
    <row r="409" spans="4:4" ht="24">
      <c r="D409" s="6"/>
    </row>
    <row r="410" spans="4:4" ht="24">
      <c r="D410" s="6"/>
    </row>
    <row r="411" spans="4:4" ht="24">
      <c r="D411" s="6"/>
    </row>
    <row r="412" spans="4:4" ht="24">
      <c r="D412" s="6"/>
    </row>
    <row r="413" spans="4:4" ht="24">
      <c r="D413" s="6"/>
    </row>
    <row r="414" spans="4:4" ht="24">
      <c r="D414" s="6"/>
    </row>
    <row r="415" spans="4:4" ht="24">
      <c r="D415" s="6"/>
    </row>
    <row r="416" spans="4:4" ht="24">
      <c r="D416" s="6"/>
    </row>
    <row r="417" spans="4:4" ht="24">
      <c r="D417" s="6"/>
    </row>
    <row r="418" spans="4:4" ht="24">
      <c r="D418" s="6"/>
    </row>
    <row r="419" spans="4:4" ht="24">
      <c r="D419" s="6"/>
    </row>
    <row r="420" spans="4:4" ht="24">
      <c r="D420" s="6"/>
    </row>
    <row r="421" spans="4:4" ht="24">
      <c r="D421" s="6"/>
    </row>
    <row r="422" spans="4:4" ht="24">
      <c r="D422" s="6"/>
    </row>
    <row r="423" spans="4:4" ht="24">
      <c r="D423" s="6"/>
    </row>
    <row r="424" spans="4:4" ht="24">
      <c r="D424" s="6"/>
    </row>
    <row r="425" spans="4:4" ht="24">
      <c r="D425" s="6"/>
    </row>
    <row r="426" spans="4:4" ht="24">
      <c r="D426" s="6"/>
    </row>
    <row r="427" spans="4:4" ht="24">
      <c r="D427" s="6"/>
    </row>
    <row r="428" spans="4:4" ht="24">
      <c r="D428" s="6"/>
    </row>
    <row r="429" spans="4:4" ht="24">
      <c r="D429" s="6"/>
    </row>
    <row r="430" spans="4:4" ht="24">
      <c r="D430" s="6"/>
    </row>
    <row r="431" spans="4:4" ht="24">
      <c r="D431" s="6"/>
    </row>
    <row r="432" spans="4:4" ht="24">
      <c r="D432" s="6"/>
    </row>
    <row r="433" spans="4:4" ht="24">
      <c r="D433" s="6"/>
    </row>
    <row r="434" spans="4:4" ht="24">
      <c r="D434" s="6"/>
    </row>
    <row r="435" spans="4:4" ht="24">
      <c r="D435" s="6"/>
    </row>
    <row r="436" spans="4:4" ht="24">
      <c r="D436" s="6"/>
    </row>
    <row r="437" spans="4:4" ht="24">
      <c r="D437" s="6"/>
    </row>
    <row r="438" spans="4:4" ht="24">
      <c r="D438" s="6"/>
    </row>
    <row r="439" spans="4:4" ht="24">
      <c r="D439" s="6"/>
    </row>
    <row r="440" spans="4:4" ht="24">
      <c r="D440" s="6"/>
    </row>
    <row r="441" spans="4:4" ht="24">
      <c r="D441" s="6"/>
    </row>
    <row r="442" spans="4:4" ht="24">
      <c r="D442" s="6"/>
    </row>
    <row r="443" spans="4:4" ht="24">
      <c r="D443" s="6"/>
    </row>
    <row r="444" spans="4:4" ht="24">
      <c r="D444" s="6"/>
    </row>
    <row r="445" spans="4:4" ht="24">
      <c r="D445" s="6"/>
    </row>
    <row r="446" spans="4:4" ht="24">
      <c r="D446" s="6"/>
    </row>
    <row r="447" spans="4:4" ht="24">
      <c r="D447" s="6"/>
    </row>
    <row r="448" spans="4:4" ht="24">
      <c r="D448" s="6"/>
    </row>
    <row r="449" spans="4:4" ht="24">
      <c r="D449" s="6"/>
    </row>
    <row r="450" spans="4:4" ht="24">
      <c r="D450" s="6"/>
    </row>
    <row r="451" spans="4:4" ht="24">
      <c r="D451" s="6"/>
    </row>
    <row r="452" spans="4:4" ht="24">
      <c r="D452" s="6"/>
    </row>
    <row r="453" spans="4:4" ht="24">
      <c r="D453" s="6"/>
    </row>
    <row r="454" spans="4:4" ht="24">
      <c r="D454" s="6"/>
    </row>
    <row r="455" spans="4:4" ht="24">
      <c r="D455" s="6"/>
    </row>
    <row r="456" spans="4:4" ht="24">
      <c r="D456" s="6"/>
    </row>
    <row r="457" spans="4:4" ht="24">
      <c r="D457" s="6"/>
    </row>
    <row r="458" spans="4:4" ht="24">
      <c r="D458" s="6"/>
    </row>
    <row r="459" spans="4:4" ht="24">
      <c r="D459" s="6"/>
    </row>
    <row r="460" spans="4:4" ht="24">
      <c r="D460" s="6"/>
    </row>
    <row r="461" spans="4:4" ht="24">
      <c r="D461" s="6"/>
    </row>
    <row r="462" spans="4:4" ht="24">
      <c r="D462" s="6"/>
    </row>
    <row r="463" spans="4:4" ht="24">
      <c r="D463" s="6"/>
    </row>
    <row r="464" spans="4:4" ht="24">
      <c r="D464" s="6"/>
    </row>
    <row r="465" spans="4:4" ht="24">
      <c r="D465" s="6"/>
    </row>
    <row r="466" spans="4:4" ht="24">
      <c r="D466" s="6"/>
    </row>
    <row r="467" spans="4:4" ht="24">
      <c r="D467" s="6"/>
    </row>
    <row r="468" spans="4:4" ht="24">
      <c r="D468" s="6"/>
    </row>
    <row r="469" spans="4:4" ht="24">
      <c r="D469" s="6"/>
    </row>
    <row r="470" spans="4:4" ht="24">
      <c r="D470" s="6"/>
    </row>
    <row r="471" spans="4:4" ht="24">
      <c r="D471" s="6"/>
    </row>
    <row r="472" spans="4:4" ht="24">
      <c r="D472" s="6"/>
    </row>
    <row r="473" spans="4:4" ht="24">
      <c r="D473" s="6"/>
    </row>
    <row r="474" spans="4:4" ht="24">
      <c r="D474" s="6"/>
    </row>
    <row r="475" spans="4:4" ht="24">
      <c r="D475" s="6"/>
    </row>
    <row r="476" spans="4:4" ht="24">
      <c r="D476" s="6"/>
    </row>
    <row r="477" spans="4:4" ht="24">
      <c r="D477" s="6"/>
    </row>
    <row r="478" spans="4:4" ht="24">
      <c r="D478" s="6"/>
    </row>
    <row r="479" spans="4:4" ht="24">
      <c r="D479" s="6"/>
    </row>
    <row r="480" spans="4:4" ht="24">
      <c r="D480" s="6"/>
    </row>
    <row r="481" spans="4:4" ht="24">
      <c r="D481" s="6"/>
    </row>
    <row r="482" spans="4:4" ht="24">
      <c r="D482" s="6"/>
    </row>
    <row r="483" spans="4:4" ht="24">
      <c r="D483" s="6"/>
    </row>
    <row r="484" spans="4:4" ht="24">
      <c r="D484" s="6"/>
    </row>
    <row r="485" spans="4:4" ht="24">
      <c r="D485" s="6"/>
    </row>
    <row r="486" spans="4:4" ht="24">
      <c r="D486" s="6"/>
    </row>
    <row r="487" spans="4:4" ht="24">
      <c r="D487" s="6"/>
    </row>
    <row r="488" spans="4:4" ht="24">
      <c r="D488" s="6"/>
    </row>
    <row r="489" spans="4:4" ht="24">
      <c r="D489" s="6"/>
    </row>
    <row r="490" spans="4:4" ht="24">
      <c r="D490" s="6"/>
    </row>
    <row r="491" spans="4:4" ht="24">
      <c r="D491" s="6"/>
    </row>
    <row r="492" spans="4:4" ht="24">
      <c r="D492" s="6"/>
    </row>
    <row r="493" spans="4:4" ht="24">
      <c r="D493" s="6"/>
    </row>
    <row r="494" spans="4:4" ht="24">
      <c r="D494" s="6"/>
    </row>
    <row r="495" spans="4:4" ht="24">
      <c r="D495" s="6"/>
    </row>
    <row r="496" spans="4:4" ht="24">
      <c r="D496" s="6"/>
    </row>
    <row r="497" spans="4:4" ht="24">
      <c r="D497" s="6"/>
    </row>
    <row r="498" spans="4:4" ht="24">
      <c r="D498" s="6"/>
    </row>
    <row r="499" spans="4:4" ht="24">
      <c r="D499" s="6"/>
    </row>
    <row r="500" spans="4:4" ht="24">
      <c r="D500" s="6"/>
    </row>
    <row r="501" spans="4:4" ht="24">
      <c r="D501" s="6"/>
    </row>
    <row r="502" spans="4:4" ht="24">
      <c r="D502" s="6"/>
    </row>
    <row r="503" spans="4:4" ht="24">
      <c r="D503" s="6"/>
    </row>
    <row r="504" spans="4:4" ht="24">
      <c r="D504" s="6"/>
    </row>
    <row r="505" spans="4:4" ht="24">
      <c r="D505" s="6"/>
    </row>
    <row r="506" spans="4:4" ht="24">
      <c r="D506" s="6"/>
    </row>
    <row r="507" spans="4:4" ht="24">
      <c r="D507" s="6"/>
    </row>
    <row r="508" spans="4:4" ht="24">
      <c r="D508" s="6"/>
    </row>
    <row r="509" spans="4:4" ht="24">
      <c r="D509" s="6"/>
    </row>
    <row r="510" spans="4:4" ht="24">
      <c r="D510" s="6"/>
    </row>
    <row r="511" spans="4:4" ht="24">
      <c r="D511" s="6"/>
    </row>
    <row r="512" spans="4:4" ht="24">
      <c r="D512" s="6"/>
    </row>
    <row r="513" spans="4:4" ht="24">
      <c r="D513" s="6"/>
    </row>
    <row r="514" spans="4:4" ht="24">
      <c r="D514" s="6"/>
    </row>
    <row r="515" spans="4:4" ht="24">
      <c r="D515" s="6"/>
    </row>
    <row r="516" spans="4:4" ht="24">
      <c r="D516" s="6"/>
    </row>
    <row r="517" spans="4:4" ht="24">
      <c r="D517" s="6"/>
    </row>
    <row r="518" spans="4:4" ht="24">
      <c r="D518" s="6"/>
    </row>
    <row r="519" spans="4:4" ht="24">
      <c r="D519" s="6"/>
    </row>
    <row r="520" spans="4:4" ht="24">
      <c r="D520" s="6"/>
    </row>
    <row r="521" spans="4:4" ht="24">
      <c r="D521" s="6"/>
    </row>
    <row r="522" spans="4:4" ht="24">
      <c r="D522" s="6"/>
    </row>
    <row r="523" spans="4:4" ht="24">
      <c r="D523" s="6"/>
    </row>
    <row r="524" spans="4:4" ht="24">
      <c r="D524" s="6"/>
    </row>
    <row r="525" spans="4:4" ht="24">
      <c r="D525" s="6"/>
    </row>
    <row r="526" spans="4:4" ht="24">
      <c r="D526" s="6"/>
    </row>
    <row r="527" spans="4:4" ht="24">
      <c r="D527" s="6"/>
    </row>
    <row r="528" spans="4:4" ht="24">
      <c r="D528" s="6"/>
    </row>
    <row r="529" spans="4:4" ht="24">
      <c r="D529" s="6"/>
    </row>
    <row r="530" spans="4:4" ht="24">
      <c r="D530" s="6"/>
    </row>
    <row r="531" spans="4:4" ht="24">
      <c r="D531" s="6"/>
    </row>
    <row r="532" spans="4:4" ht="24">
      <c r="D532" s="6"/>
    </row>
    <row r="533" spans="4:4" ht="24">
      <c r="D533" s="6"/>
    </row>
    <row r="534" spans="4:4" ht="24">
      <c r="D534" s="6"/>
    </row>
    <row r="535" spans="4:4" ht="24">
      <c r="D535" s="6"/>
    </row>
    <row r="536" spans="4:4" ht="24">
      <c r="D536" s="6"/>
    </row>
    <row r="537" spans="4:4" ht="24">
      <c r="D537" s="6"/>
    </row>
    <row r="538" spans="4:4" ht="24">
      <c r="D538" s="6"/>
    </row>
    <row r="539" spans="4:4" ht="24">
      <c r="D539" s="6"/>
    </row>
    <row r="540" spans="4:4" ht="24">
      <c r="D540" s="6"/>
    </row>
    <row r="541" spans="4:4" ht="24">
      <c r="D541" s="6"/>
    </row>
    <row r="542" spans="4:4" ht="24">
      <c r="D542" s="6"/>
    </row>
    <row r="543" spans="4:4" ht="24">
      <c r="D543" s="6"/>
    </row>
    <row r="544" spans="4:4" ht="24">
      <c r="D544" s="6"/>
    </row>
    <row r="545" spans="4:4" ht="24">
      <c r="D545" s="6"/>
    </row>
    <row r="546" spans="4:4" ht="24">
      <c r="D546" s="6"/>
    </row>
    <row r="547" spans="4:4" ht="24">
      <c r="D547" s="6"/>
    </row>
    <row r="548" spans="4:4" ht="24">
      <c r="D548" s="6"/>
    </row>
    <row r="549" spans="4:4" ht="24">
      <c r="D549" s="6"/>
    </row>
    <row r="550" spans="4:4" ht="24">
      <c r="D550" s="6"/>
    </row>
    <row r="551" spans="4:4" ht="24">
      <c r="D551" s="6"/>
    </row>
    <row r="552" spans="4:4" ht="24">
      <c r="D552" s="6"/>
    </row>
    <row r="553" spans="4:4" ht="24">
      <c r="D553" s="6"/>
    </row>
    <row r="554" spans="4:4" ht="24">
      <c r="D554" s="6"/>
    </row>
    <row r="555" spans="4:4" ht="24">
      <c r="D555" s="6"/>
    </row>
    <row r="556" spans="4:4" ht="24">
      <c r="D556" s="6"/>
    </row>
    <row r="557" spans="4:4" ht="24">
      <c r="D557" s="6"/>
    </row>
    <row r="558" spans="4:4" ht="24">
      <c r="D558" s="6"/>
    </row>
    <row r="559" spans="4:4" ht="24">
      <c r="D559" s="6"/>
    </row>
    <row r="560" spans="4:4" ht="24">
      <c r="D560" s="6"/>
    </row>
    <row r="561" spans="4:4" ht="24">
      <c r="D561" s="6"/>
    </row>
    <row r="562" spans="4:4" ht="24">
      <c r="D562" s="6"/>
    </row>
    <row r="563" spans="4:4" ht="24">
      <c r="D563" s="6"/>
    </row>
    <row r="564" spans="4:4" ht="24">
      <c r="D564" s="6"/>
    </row>
    <row r="565" spans="4:4" ht="24">
      <c r="D565" s="6"/>
    </row>
    <row r="566" spans="4:4" ht="24">
      <c r="D566" s="6"/>
    </row>
    <row r="567" spans="4:4" ht="24">
      <c r="D567" s="6"/>
    </row>
    <row r="568" spans="4:4" ht="24">
      <c r="D568" s="6"/>
    </row>
    <row r="569" spans="4:4" ht="24">
      <c r="D569" s="6"/>
    </row>
    <row r="570" spans="4:4" ht="24">
      <c r="D570" s="6"/>
    </row>
    <row r="571" spans="4:4" ht="24">
      <c r="D571" s="6"/>
    </row>
    <row r="572" spans="4:4" ht="24">
      <c r="D572" s="6"/>
    </row>
    <row r="573" spans="4:4" ht="24">
      <c r="D573" s="6"/>
    </row>
    <row r="574" spans="4:4" ht="24">
      <c r="D574" s="6"/>
    </row>
    <row r="575" spans="4:4" ht="24">
      <c r="D575" s="6"/>
    </row>
    <row r="576" spans="4:4" ht="24">
      <c r="D576" s="6"/>
    </row>
    <row r="577" spans="4:4" ht="24">
      <c r="D577" s="6"/>
    </row>
    <row r="578" spans="4:4" ht="24">
      <c r="D578" s="6"/>
    </row>
    <row r="579" spans="4:4" ht="24">
      <c r="D579" s="6"/>
    </row>
    <row r="580" spans="4:4" ht="24">
      <c r="D580" s="6"/>
    </row>
    <row r="581" spans="4:4" ht="24">
      <c r="D581" s="6"/>
    </row>
    <row r="582" spans="4:4" ht="24">
      <c r="D582" s="6"/>
    </row>
    <row r="583" spans="4:4" ht="24">
      <c r="D583" s="6"/>
    </row>
    <row r="584" spans="4:4" ht="24">
      <c r="D584" s="6"/>
    </row>
    <row r="585" spans="4:4" ht="24">
      <c r="D585" s="6"/>
    </row>
    <row r="586" spans="4:4" ht="24">
      <c r="D586" s="6"/>
    </row>
    <row r="587" spans="4:4" ht="24">
      <c r="D587" s="6"/>
    </row>
    <row r="588" spans="4:4" ht="24">
      <c r="D588" s="6"/>
    </row>
    <row r="589" spans="4:4" ht="24">
      <c r="D589" s="6"/>
    </row>
    <row r="590" spans="4:4" ht="24">
      <c r="D590" s="6"/>
    </row>
    <row r="591" spans="4:4" ht="24">
      <c r="D591" s="6"/>
    </row>
    <row r="592" spans="4:4" ht="24">
      <c r="D592" s="6"/>
    </row>
    <row r="593" spans="4:4" ht="24">
      <c r="D593" s="6"/>
    </row>
    <row r="594" spans="4:4" ht="24">
      <c r="D594" s="6"/>
    </row>
    <row r="595" spans="4:4" ht="24">
      <c r="D595" s="6"/>
    </row>
    <row r="596" spans="4:4" ht="24">
      <c r="D596" s="6"/>
    </row>
    <row r="597" spans="4:4" ht="24">
      <c r="D597" s="6"/>
    </row>
    <row r="598" spans="4:4" ht="24">
      <c r="D598" s="6"/>
    </row>
    <row r="599" spans="4:4" ht="24">
      <c r="D599" s="6"/>
    </row>
    <row r="600" spans="4:4" ht="24">
      <c r="D600" s="6"/>
    </row>
    <row r="601" spans="4:4" ht="24">
      <c r="D601" s="6"/>
    </row>
    <row r="602" spans="4:4" ht="24">
      <c r="D602" s="6"/>
    </row>
    <row r="603" spans="4:4" ht="24">
      <c r="D603" s="6"/>
    </row>
    <row r="604" spans="4:4" ht="24">
      <c r="D604" s="6"/>
    </row>
    <row r="605" spans="4:4" ht="24">
      <c r="D605" s="6"/>
    </row>
    <row r="606" spans="4:4" ht="24">
      <c r="D606" s="6"/>
    </row>
    <row r="607" spans="4:4" ht="24">
      <c r="D607" s="6"/>
    </row>
    <row r="608" spans="4:4" ht="24">
      <c r="D608" s="6"/>
    </row>
    <row r="609" spans="4:4" ht="24">
      <c r="D609" s="6"/>
    </row>
    <row r="610" spans="4:4" ht="24">
      <c r="D610" s="6"/>
    </row>
    <row r="611" spans="4:4" ht="24">
      <c r="D611" s="6"/>
    </row>
    <row r="612" spans="4:4" ht="24">
      <c r="D612" s="6"/>
    </row>
    <row r="613" spans="4:4" ht="24">
      <c r="D613" s="6"/>
    </row>
    <row r="614" spans="4:4" ht="24">
      <c r="D614" s="6"/>
    </row>
    <row r="615" spans="4:4" ht="24">
      <c r="D615" s="6"/>
    </row>
    <row r="616" spans="4:4" ht="24">
      <c r="D616" s="6"/>
    </row>
    <row r="617" spans="4:4" ht="24">
      <c r="D617" s="6"/>
    </row>
    <row r="618" spans="4:4" ht="24">
      <c r="D618" s="6"/>
    </row>
    <row r="619" spans="4:4" ht="24">
      <c r="D619" s="6"/>
    </row>
    <row r="620" spans="4:4" ht="24">
      <c r="D620" s="6"/>
    </row>
    <row r="621" spans="4:4" ht="24">
      <c r="D621" s="6"/>
    </row>
    <row r="622" spans="4:4" ht="24">
      <c r="D622" s="6"/>
    </row>
    <row r="623" spans="4:4" ht="24">
      <c r="D623" s="6"/>
    </row>
    <row r="624" spans="4:4" ht="24">
      <c r="D624" s="6"/>
    </row>
    <row r="625" spans="4:4" ht="24">
      <c r="D625" s="6"/>
    </row>
    <row r="626" spans="4:4" ht="24">
      <c r="D626" s="6"/>
    </row>
    <row r="627" spans="4:4" ht="24">
      <c r="D627" s="6"/>
    </row>
    <row r="628" spans="4:4" ht="24">
      <c r="D628" s="6"/>
    </row>
    <row r="629" spans="4:4" ht="24">
      <c r="D629" s="6"/>
    </row>
    <row r="630" spans="4:4" ht="24">
      <c r="D630" s="6"/>
    </row>
    <row r="631" spans="4:4" ht="24">
      <c r="D631" s="6"/>
    </row>
    <row r="632" spans="4:4" ht="24">
      <c r="D632" s="6"/>
    </row>
    <row r="633" spans="4:4" ht="24">
      <c r="D633" s="6"/>
    </row>
    <row r="634" spans="4:4" ht="24">
      <c r="D634" s="6"/>
    </row>
    <row r="635" spans="4:4" ht="24">
      <c r="D635" s="6"/>
    </row>
    <row r="636" spans="4:4" ht="24">
      <c r="D636" s="6"/>
    </row>
    <row r="637" spans="4:4" ht="24">
      <c r="D637" s="6"/>
    </row>
    <row r="638" spans="4:4" ht="24">
      <c r="D638" s="6"/>
    </row>
    <row r="639" spans="4:4" ht="24">
      <c r="D639" s="6"/>
    </row>
    <row r="640" spans="4:4" ht="24">
      <c r="D640" s="6"/>
    </row>
    <row r="641" spans="4:4" ht="24">
      <c r="D641" s="6"/>
    </row>
    <row r="642" spans="4:4" ht="24">
      <c r="D642" s="6"/>
    </row>
    <row r="643" spans="4:4" ht="24">
      <c r="D643" s="6"/>
    </row>
    <row r="644" spans="4:4" ht="24">
      <c r="D644" s="6"/>
    </row>
    <row r="645" spans="4:4" ht="24">
      <c r="D645" s="6"/>
    </row>
    <row r="646" spans="4:4" ht="24">
      <c r="D646" s="6"/>
    </row>
    <row r="647" spans="4:4" ht="24">
      <c r="D647" s="6"/>
    </row>
    <row r="648" spans="4:4" ht="24">
      <c r="D648" s="6"/>
    </row>
    <row r="649" spans="4:4" ht="24">
      <c r="D649" s="6"/>
    </row>
    <row r="650" spans="4:4" ht="24">
      <c r="D650" s="6"/>
    </row>
    <row r="651" spans="4:4" ht="24">
      <c r="D651" s="6"/>
    </row>
    <row r="652" spans="4:4" ht="24">
      <c r="D652" s="6"/>
    </row>
    <row r="653" spans="4:4" ht="24">
      <c r="D653" s="6"/>
    </row>
    <row r="654" spans="4:4" ht="24">
      <c r="D654" s="6"/>
    </row>
    <row r="655" spans="4:4" ht="24">
      <c r="D655" s="6"/>
    </row>
    <row r="656" spans="4:4" ht="24">
      <c r="D656" s="6"/>
    </row>
    <row r="657" spans="4:4" ht="24">
      <c r="D657" s="6"/>
    </row>
    <row r="658" spans="4:4" ht="24">
      <c r="D658" s="6"/>
    </row>
    <row r="659" spans="4:4" ht="24">
      <c r="D659" s="6"/>
    </row>
    <row r="660" spans="4:4" ht="24">
      <c r="D660" s="6"/>
    </row>
    <row r="661" spans="4:4" ht="24">
      <c r="D661" s="6"/>
    </row>
    <row r="662" spans="4:4" ht="24">
      <c r="D662" s="6"/>
    </row>
    <row r="663" spans="4:4" ht="24">
      <c r="D663" s="6"/>
    </row>
    <row r="664" spans="4:4" ht="24">
      <c r="D664" s="6"/>
    </row>
    <row r="665" spans="4:4" ht="24">
      <c r="D665" s="6"/>
    </row>
    <row r="666" spans="4:4" ht="24">
      <c r="D666" s="6"/>
    </row>
    <row r="667" spans="4:4" ht="24">
      <c r="D667" s="6"/>
    </row>
    <row r="668" spans="4:4" ht="24">
      <c r="D668" s="6"/>
    </row>
    <row r="669" spans="4:4" ht="24">
      <c r="D669" s="6"/>
    </row>
    <row r="670" spans="4:4" ht="24">
      <c r="D670" s="6"/>
    </row>
    <row r="671" spans="4:4" ht="24">
      <c r="D671" s="6"/>
    </row>
    <row r="672" spans="4:4" ht="24">
      <c r="D672" s="6"/>
    </row>
    <row r="673" spans="4:4" ht="24">
      <c r="D673" s="6"/>
    </row>
    <row r="674" spans="4:4" ht="24">
      <c r="D674" s="6"/>
    </row>
    <row r="675" spans="4:4" ht="24">
      <c r="D675" s="6"/>
    </row>
    <row r="676" spans="4:4" ht="24">
      <c r="D676" s="6"/>
    </row>
    <row r="677" spans="4:4" ht="24">
      <c r="D677" s="6"/>
    </row>
    <row r="678" spans="4:4" ht="24">
      <c r="D678" s="6"/>
    </row>
    <row r="679" spans="4:4" ht="24">
      <c r="D679" s="6"/>
    </row>
    <row r="680" spans="4:4" ht="24">
      <c r="D680" s="6"/>
    </row>
    <row r="681" spans="4:4" ht="24">
      <c r="D681" s="6"/>
    </row>
    <row r="682" spans="4:4" ht="24">
      <c r="D682" s="6"/>
    </row>
    <row r="683" spans="4:4" ht="24">
      <c r="D683" s="6"/>
    </row>
    <row r="684" spans="4:4" ht="24">
      <c r="D684" s="6"/>
    </row>
    <row r="685" spans="4:4" ht="24">
      <c r="D685" s="6"/>
    </row>
    <row r="686" spans="4:4" ht="24">
      <c r="D686" s="6"/>
    </row>
    <row r="687" spans="4:4" ht="24">
      <c r="D687" s="6"/>
    </row>
    <row r="688" spans="4:4" ht="24">
      <c r="D688" s="6"/>
    </row>
    <row r="689" spans="4:4" ht="24">
      <c r="D689" s="6"/>
    </row>
    <row r="690" spans="4:4" ht="24">
      <c r="D690" s="6"/>
    </row>
    <row r="691" spans="4:4" ht="24">
      <c r="D691" s="6"/>
    </row>
    <row r="692" spans="4:4" ht="24">
      <c r="D692" s="6"/>
    </row>
    <row r="693" spans="4:4" ht="24">
      <c r="D693" s="6"/>
    </row>
    <row r="694" spans="4:4" ht="24">
      <c r="D694" s="6"/>
    </row>
    <row r="695" spans="4:4" ht="24">
      <c r="D695" s="6"/>
    </row>
    <row r="696" spans="4:4" ht="24">
      <c r="D696" s="6"/>
    </row>
    <row r="697" spans="4:4" ht="24">
      <c r="D697" s="6"/>
    </row>
    <row r="698" spans="4:4" ht="24">
      <c r="D698" s="6"/>
    </row>
    <row r="699" spans="4:4" ht="24">
      <c r="D699" s="6"/>
    </row>
    <row r="700" spans="4:4" ht="24">
      <c r="D700" s="6"/>
    </row>
    <row r="701" spans="4:4" ht="24">
      <c r="D701" s="6"/>
    </row>
    <row r="702" spans="4:4" ht="24">
      <c r="D702" s="6"/>
    </row>
    <row r="703" spans="4:4" ht="24">
      <c r="D703" s="6"/>
    </row>
    <row r="704" spans="4:4" ht="24">
      <c r="D704" s="6"/>
    </row>
    <row r="705" spans="4:4" ht="24">
      <c r="D705" s="6"/>
    </row>
    <row r="706" spans="4:4" ht="24">
      <c r="D706" s="6"/>
    </row>
    <row r="707" spans="4:4" ht="24">
      <c r="D707" s="6"/>
    </row>
    <row r="708" spans="4:4" ht="24">
      <c r="D708" s="6"/>
    </row>
    <row r="709" spans="4:4" ht="24">
      <c r="D709" s="6"/>
    </row>
    <row r="710" spans="4:4" ht="24">
      <c r="D710" s="6"/>
    </row>
    <row r="711" spans="4:4" ht="24">
      <c r="D711" s="6"/>
    </row>
    <row r="712" spans="4:4" ht="24">
      <c r="D712" s="6"/>
    </row>
    <row r="713" spans="4:4" ht="24">
      <c r="D713" s="6"/>
    </row>
    <row r="714" spans="4:4" ht="24">
      <c r="D714" s="6"/>
    </row>
    <row r="715" spans="4:4" ht="24">
      <c r="D715" s="6"/>
    </row>
    <row r="716" spans="4:4" ht="24">
      <c r="D716" s="6"/>
    </row>
    <row r="717" spans="4:4" ht="24">
      <c r="D717" s="6"/>
    </row>
    <row r="718" spans="4:4" ht="24">
      <c r="D718" s="6"/>
    </row>
    <row r="719" spans="4:4" ht="24">
      <c r="D719" s="6"/>
    </row>
    <row r="720" spans="4:4" ht="24">
      <c r="D720" s="6"/>
    </row>
    <row r="721" spans="4:4" ht="24">
      <c r="D721" s="6"/>
    </row>
    <row r="722" spans="4:4" ht="24">
      <c r="D722" s="6"/>
    </row>
    <row r="723" spans="4:4" ht="24">
      <c r="D723" s="6"/>
    </row>
    <row r="724" spans="4:4" ht="24">
      <c r="D724" s="6"/>
    </row>
    <row r="725" spans="4:4" ht="24">
      <c r="D725" s="6"/>
    </row>
    <row r="726" spans="4:4" ht="24">
      <c r="D726" s="6"/>
    </row>
    <row r="727" spans="4:4" ht="24">
      <c r="D727" s="6"/>
    </row>
    <row r="728" spans="4:4" ht="24">
      <c r="D728" s="6"/>
    </row>
    <row r="729" spans="4:4" ht="24">
      <c r="D729" s="6"/>
    </row>
    <row r="730" spans="4:4" ht="24">
      <c r="D730" s="6"/>
    </row>
    <row r="731" spans="4:4" ht="24">
      <c r="D731" s="6"/>
    </row>
    <row r="732" spans="4:4" ht="24">
      <c r="D732" s="6"/>
    </row>
    <row r="733" spans="4:4" ht="24">
      <c r="D733" s="6"/>
    </row>
    <row r="734" spans="4:4" ht="24">
      <c r="D734" s="6"/>
    </row>
    <row r="735" spans="4:4" ht="24">
      <c r="D735" s="6"/>
    </row>
    <row r="736" spans="4:4" ht="24">
      <c r="D736" s="6"/>
    </row>
    <row r="737" spans="4:4" ht="24">
      <c r="D737" s="6"/>
    </row>
    <row r="738" spans="4:4" ht="24">
      <c r="D738" s="6"/>
    </row>
    <row r="739" spans="4:4" ht="24">
      <c r="D739" s="6"/>
    </row>
    <row r="740" spans="4:4" ht="24">
      <c r="D740" s="6"/>
    </row>
    <row r="741" spans="4:4" ht="24">
      <c r="D741" s="6"/>
    </row>
    <row r="742" spans="4:4" ht="24">
      <c r="D742" s="6"/>
    </row>
    <row r="743" spans="4:4" ht="24">
      <c r="D743" s="6"/>
    </row>
    <row r="744" spans="4:4" ht="24">
      <c r="D744" s="6"/>
    </row>
    <row r="745" spans="4:4" ht="24">
      <c r="D745" s="6"/>
    </row>
    <row r="746" spans="4:4" ht="24">
      <c r="D746" s="6"/>
    </row>
    <row r="747" spans="4:4" ht="24">
      <c r="D747" s="6"/>
    </row>
    <row r="748" spans="4:4" ht="24">
      <c r="D748" s="6"/>
    </row>
    <row r="749" spans="4:4" ht="24">
      <c r="D749" s="6"/>
    </row>
    <row r="750" spans="4:4" ht="24">
      <c r="D750" s="6"/>
    </row>
    <row r="751" spans="4:4" ht="24">
      <c r="D751" s="6"/>
    </row>
    <row r="752" spans="4:4" ht="24">
      <c r="D752" s="6"/>
    </row>
    <row r="753" spans="4:4" ht="24">
      <c r="D753" s="6"/>
    </row>
    <row r="754" spans="4:4" ht="24">
      <c r="D754" s="6"/>
    </row>
    <row r="755" spans="4:4" ht="24">
      <c r="D755" s="6"/>
    </row>
    <row r="756" spans="4:4" ht="24">
      <c r="D756" s="6"/>
    </row>
    <row r="757" spans="4:4" ht="24">
      <c r="D757" s="6"/>
    </row>
    <row r="758" spans="4:4" ht="24">
      <c r="D758" s="6"/>
    </row>
    <row r="759" spans="4:4" ht="24">
      <c r="D759" s="6"/>
    </row>
    <row r="760" spans="4:4" ht="24">
      <c r="D760" s="6"/>
    </row>
    <row r="761" spans="4:4" ht="24">
      <c r="D761" s="6"/>
    </row>
    <row r="762" spans="4:4" ht="24">
      <c r="D762" s="6"/>
    </row>
    <row r="763" spans="4:4" ht="24">
      <c r="D763" s="6"/>
    </row>
    <row r="764" spans="4:4" ht="24">
      <c r="D764" s="6"/>
    </row>
    <row r="765" spans="4:4" ht="24">
      <c r="D765" s="6"/>
    </row>
    <row r="766" spans="4:4" ht="24">
      <c r="D766" s="6"/>
    </row>
    <row r="767" spans="4:4" ht="24">
      <c r="D767" s="6"/>
    </row>
    <row r="768" spans="4:4" ht="24">
      <c r="D768" s="6"/>
    </row>
    <row r="769" spans="4:4" ht="24">
      <c r="D769" s="6"/>
    </row>
    <row r="770" spans="4:4" ht="24">
      <c r="D770" s="6"/>
    </row>
    <row r="771" spans="4:4" ht="24">
      <c r="D771" s="6"/>
    </row>
    <row r="772" spans="4:4" ht="24">
      <c r="D772" s="6"/>
    </row>
    <row r="773" spans="4:4" ht="24">
      <c r="D773" s="6"/>
    </row>
    <row r="774" spans="4:4" ht="24">
      <c r="D774" s="6"/>
    </row>
    <row r="775" spans="4:4" ht="24">
      <c r="D775" s="6"/>
    </row>
    <row r="776" spans="4:4" ht="24">
      <c r="D776" s="6"/>
    </row>
    <row r="777" spans="4:4" ht="24">
      <c r="D777" s="6"/>
    </row>
    <row r="778" spans="4:4" ht="24">
      <c r="D778" s="6"/>
    </row>
    <row r="779" spans="4:4" ht="24">
      <c r="D779" s="6"/>
    </row>
    <row r="780" spans="4:4" ht="24">
      <c r="D780" s="6"/>
    </row>
    <row r="781" spans="4:4" ht="24">
      <c r="D781" s="6"/>
    </row>
    <row r="782" spans="4:4" ht="24">
      <c r="D782" s="6"/>
    </row>
    <row r="783" spans="4:4" ht="24">
      <c r="D783" s="6"/>
    </row>
    <row r="784" spans="4:4" ht="24">
      <c r="D784" s="6"/>
    </row>
    <row r="785" spans="4:4" ht="24">
      <c r="D785" s="6"/>
    </row>
    <row r="786" spans="4:4" ht="24">
      <c r="D786" s="6"/>
    </row>
    <row r="787" spans="4:4" ht="24">
      <c r="D787" s="6"/>
    </row>
    <row r="788" spans="4:4" ht="24">
      <c r="D788" s="6"/>
    </row>
    <row r="789" spans="4:4" ht="24">
      <c r="D789" s="6"/>
    </row>
    <row r="790" spans="4:4" ht="24">
      <c r="D790" s="6"/>
    </row>
    <row r="791" spans="4:4" ht="24">
      <c r="D791" s="6"/>
    </row>
    <row r="792" spans="4:4" ht="24">
      <c r="D792" s="6"/>
    </row>
    <row r="793" spans="4:4" ht="24">
      <c r="D793" s="6"/>
    </row>
    <row r="794" spans="4:4" ht="24">
      <c r="D794" s="6"/>
    </row>
    <row r="795" spans="4:4" ht="24">
      <c r="D795" s="6"/>
    </row>
    <row r="796" spans="4:4" ht="24">
      <c r="D796" s="6"/>
    </row>
    <row r="797" spans="4:4" ht="24">
      <c r="D797" s="6"/>
    </row>
    <row r="798" spans="4:4" ht="24">
      <c r="D798" s="6"/>
    </row>
    <row r="799" spans="4:4" ht="24">
      <c r="D799" s="6"/>
    </row>
    <row r="800" spans="4:4" ht="24">
      <c r="D800" s="6"/>
    </row>
    <row r="801" spans="4:4" ht="24">
      <c r="D801" s="6"/>
    </row>
    <row r="802" spans="4:4" ht="24">
      <c r="D802" s="6"/>
    </row>
    <row r="803" spans="4:4" ht="24">
      <c r="D803" s="6"/>
    </row>
    <row r="804" spans="4:4" ht="24">
      <c r="D804" s="6"/>
    </row>
    <row r="805" spans="4:4" ht="24">
      <c r="D805" s="6"/>
    </row>
    <row r="806" spans="4:4" ht="24">
      <c r="D806" s="6"/>
    </row>
    <row r="807" spans="4:4" ht="24">
      <c r="D807" s="6"/>
    </row>
    <row r="808" spans="4:4" ht="24">
      <c r="D808" s="6"/>
    </row>
    <row r="809" spans="4:4" ht="24">
      <c r="D809" s="6"/>
    </row>
    <row r="810" spans="4:4" ht="24">
      <c r="D810" s="6"/>
    </row>
    <row r="811" spans="4:4" ht="24">
      <c r="D811" s="6"/>
    </row>
    <row r="812" spans="4:4" ht="24">
      <c r="D812" s="6"/>
    </row>
    <row r="813" spans="4:4" ht="24">
      <c r="D813" s="6"/>
    </row>
    <row r="814" spans="4:4" ht="24">
      <c r="D814" s="6"/>
    </row>
    <row r="815" spans="4:4" ht="24">
      <c r="D815" s="6"/>
    </row>
    <row r="816" spans="4:4" ht="24">
      <c r="D816" s="6"/>
    </row>
    <row r="817" spans="4:4" ht="24">
      <c r="D817" s="6"/>
    </row>
    <row r="818" spans="4:4" ht="24">
      <c r="D818" s="6"/>
    </row>
    <row r="819" spans="4:4" ht="24">
      <c r="D819" s="6"/>
    </row>
    <row r="820" spans="4:4" ht="24">
      <c r="D820" s="6"/>
    </row>
    <row r="821" spans="4:4" ht="24">
      <c r="D821" s="6"/>
    </row>
    <row r="822" spans="4:4" ht="24">
      <c r="D822" s="6"/>
    </row>
    <row r="823" spans="4:4" ht="24">
      <c r="D823" s="6"/>
    </row>
    <row r="824" spans="4:4" ht="24">
      <c r="D824" s="6"/>
    </row>
    <row r="825" spans="4:4" ht="24">
      <c r="D825" s="6"/>
    </row>
    <row r="826" spans="4:4" ht="24">
      <c r="D826" s="6"/>
    </row>
    <row r="827" spans="4:4" ht="24">
      <c r="D827" s="6"/>
    </row>
    <row r="828" spans="4:4" ht="24">
      <c r="D828" s="6"/>
    </row>
    <row r="829" spans="4:4" ht="24">
      <c r="D829" s="6"/>
    </row>
    <row r="830" spans="4:4" ht="24">
      <c r="D830" s="6"/>
    </row>
    <row r="831" spans="4:4" ht="24">
      <c r="D831" s="6"/>
    </row>
    <row r="832" spans="4:4" ht="24">
      <c r="D832" s="6"/>
    </row>
    <row r="833" spans="4:4" ht="24">
      <c r="D833" s="6"/>
    </row>
    <row r="834" spans="4:4" ht="24">
      <c r="D834" s="6"/>
    </row>
    <row r="835" spans="4:4" ht="24">
      <c r="D835" s="6"/>
    </row>
    <row r="836" spans="4:4" ht="24">
      <c r="D836" s="6"/>
    </row>
    <row r="837" spans="4:4" ht="24">
      <c r="D837" s="6"/>
    </row>
    <row r="838" spans="4:4" ht="24">
      <c r="D838" s="6"/>
    </row>
    <row r="839" spans="4:4" ht="24">
      <c r="D839" s="6"/>
    </row>
    <row r="840" spans="4:4" ht="24">
      <c r="D840" s="6"/>
    </row>
    <row r="841" spans="4:4" ht="24">
      <c r="D841" s="6"/>
    </row>
    <row r="842" spans="4:4" ht="24">
      <c r="D842" s="6"/>
    </row>
    <row r="843" spans="4:4" ht="24">
      <c r="D843" s="6"/>
    </row>
    <row r="844" spans="4:4" ht="24">
      <c r="D844" s="6"/>
    </row>
    <row r="845" spans="4:4" ht="24">
      <c r="D845" s="6"/>
    </row>
    <row r="846" spans="4:4" ht="24">
      <c r="D846" s="6"/>
    </row>
    <row r="847" spans="4:4" ht="24">
      <c r="D847" s="6"/>
    </row>
    <row r="848" spans="4:4" ht="24">
      <c r="D848" s="6"/>
    </row>
    <row r="849" spans="4:4" ht="24">
      <c r="D849" s="6"/>
    </row>
    <row r="850" spans="4:4" ht="24">
      <c r="D850" s="6"/>
    </row>
    <row r="851" spans="4:4" ht="24">
      <c r="D851" s="6"/>
    </row>
    <row r="852" spans="4:4" ht="24">
      <c r="D852" s="6"/>
    </row>
    <row r="853" spans="4:4" ht="24">
      <c r="D853" s="6"/>
    </row>
    <row r="854" spans="4:4" ht="24">
      <c r="D854" s="6"/>
    </row>
    <row r="855" spans="4:4" ht="24">
      <c r="D855" s="6"/>
    </row>
    <row r="856" spans="4:4" ht="24">
      <c r="D856" s="6"/>
    </row>
    <row r="857" spans="4:4" ht="24">
      <c r="D857" s="6"/>
    </row>
    <row r="858" spans="4:4" ht="24">
      <c r="D858" s="6"/>
    </row>
    <row r="859" spans="4:4" ht="24">
      <c r="D859" s="6"/>
    </row>
    <row r="860" spans="4:4" ht="24">
      <c r="D860" s="6"/>
    </row>
    <row r="861" spans="4:4" ht="24">
      <c r="D861" s="6"/>
    </row>
    <row r="862" spans="4:4" ht="24">
      <c r="D862" s="6"/>
    </row>
    <row r="863" spans="4:4" ht="24">
      <c r="D863" s="6"/>
    </row>
    <row r="864" spans="4:4" ht="24">
      <c r="D864" s="6"/>
    </row>
    <row r="865" spans="4:4" ht="24">
      <c r="D865" s="6"/>
    </row>
    <row r="866" spans="4:4" ht="24">
      <c r="D866" s="6"/>
    </row>
    <row r="867" spans="4:4" ht="24">
      <c r="D867" s="6"/>
    </row>
    <row r="868" spans="4:4" ht="24">
      <c r="D868" s="6"/>
    </row>
    <row r="869" spans="4:4" ht="24">
      <c r="D869" s="6"/>
    </row>
    <row r="870" spans="4:4" ht="24">
      <c r="D870" s="6"/>
    </row>
    <row r="871" spans="4:4" ht="24">
      <c r="D871" s="6"/>
    </row>
    <row r="872" spans="4:4" ht="24">
      <c r="D872" s="6"/>
    </row>
    <row r="873" spans="4:4" ht="24">
      <c r="D873" s="6"/>
    </row>
    <row r="874" spans="4:4" ht="24">
      <c r="D874" s="6"/>
    </row>
    <row r="875" spans="4:4" ht="24">
      <c r="D875" s="6"/>
    </row>
    <row r="876" spans="4:4" ht="24">
      <c r="D876" s="6"/>
    </row>
    <row r="877" spans="4:4" ht="24">
      <c r="D877" s="6"/>
    </row>
    <row r="878" spans="4:4" ht="24">
      <c r="D878" s="6"/>
    </row>
    <row r="879" spans="4:4" ht="24">
      <c r="D879" s="6"/>
    </row>
    <row r="880" spans="4:4" ht="24">
      <c r="D880" s="6"/>
    </row>
    <row r="881" spans="4:4" ht="24">
      <c r="D881" s="6"/>
    </row>
    <row r="882" spans="4:4" ht="24">
      <c r="D882" s="6"/>
    </row>
    <row r="883" spans="4:4" ht="24">
      <c r="D883" s="6"/>
    </row>
    <row r="884" spans="4:4" ht="24">
      <c r="D884" s="6"/>
    </row>
    <row r="885" spans="4:4" ht="24">
      <c r="D885" s="6"/>
    </row>
    <row r="886" spans="4:4" ht="24">
      <c r="D886" s="6"/>
    </row>
    <row r="887" spans="4:4" ht="24">
      <c r="D887" s="6"/>
    </row>
    <row r="888" spans="4:4" ht="24">
      <c r="D888" s="6"/>
    </row>
    <row r="889" spans="4:4" ht="24">
      <c r="D889" s="6"/>
    </row>
    <row r="890" spans="4:4" ht="24">
      <c r="D890" s="6"/>
    </row>
    <row r="891" spans="4:4" ht="24">
      <c r="D891" s="6"/>
    </row>
    <row r="892" spans="4:4" ht="24">
      <c r="D892" s="6"/>
    </row>
    <row r="893" spans="4:4" ht="24">
      <c r="D893" s="6"/>
    </row>
    <row r="894" spans="4:4" ht="24">
      <c r="D894" s="6"/>
    </row>
    <row r="895" spans="4:4" ht="24">
      <c r="D895" s="6"/>
    </row>
    <row r="896" spans="4:4" ht="24">
      <c r="D896" s="6"/>
    </row>
    <row r="897" spans="4:4" ht="24">
      <c r="D897" s="6"/>
    </row>
    <row r="898" spans="4:4" ht="24">
      <c r="D898" s="6"/>
    </row>
    <row r="899" spans="4:4" ht="24">
      <c r="D899" s="6"/>
    </row>
    <row r="900" spans="4:4" ht="24">
      <c r="D900" s="6"/>
    </row>
    <row r="901" spans="4:4" ht="24">
      <c r="D901" s="6"/>
    </row>
    <row r="902" spans="4:4" ht="24">
      <c r="D902" s="6"/>
    </row>
    <row r="903" spans="4:4" ht="24">
      <c r="D903" s="6"/>
    </row>
    <row r="904" spans="4:4" ht="24">
      <c r="D904" s="6"/>
    </row>
    <row r="905" spans="4:4" ht="24">
      <c r="D905" s="6"/>
    </row>
    <row r="906" spans="4:4" ht="24">
      <c r="D906" s="6"/>
    </row>
    <row r="907" spans="4:4" ht="24">
      <c r="D907" s="6"/>
    </row>
    <row r="908" spans="4:4" ht="24">
      <c r="D908" s="6"/>
    </row>
    <row r="909" spans="4:4" ht="24">
      <c r="D909" s="6"/>
    </row>
    <row r="910" spans="4:4" ht="24">
      <c r="D910" s="6"/>
    </row>
    <row r="911" spans="4:4" ht="24">
      <c r="D911" s="6"/>
    </row>
    <row r="912" spans="4:4" ht="24">
      <c r="D912" s="6"/>
    </row>
    <row r="913" spans="4:4" ht="24">
      <c r="D913" s="6"/>
    </row>
    <row r="914" spans="4:4" ht="24">
      <c r="D914" s="6"/>
    </row>
    <row r="915" spans="4:4" ht="24">
      <c r="D915" s="6"/>
    </row>
    <row r="916" spans="4:4" ht="24">
      <c r="D916" s="6"/>
    </row>
    <row r="917" spans="4:4" ht="24">
      <c r="D917" s="6"/>
    </row>
    <row r="918" spans="4:4" ht="24">
      <c r="D918" s="6"/>
    </row>
    <row r="919" spans="4:4" ht="24">
      <c r="D919" s="6"/>
    </row>
    <row r="920" spans="4:4" ht="24">
      <c r="D920" s="6"/>
    </row>
    <row r="921" spans="4:4" ht="24">
      <c r="D921" s="6"/>
    </row>
    <row r="922" spans="4:4" ht="24">
      <c r="D922" s="6"/>
    </row>
    <row r="923" spans="4:4" ht="24">
      <c r="D923" s="6"/>
    </row>
    <row r="924" spans="4:4" ht="24">
      <c r="D924" s="6"/>
    </row>
    <row r="925" spans="4:4" ht="24">
      <c r="D925" s="6"/>
    </row>
    <row r="926" spans="4:4" ht="24">
      <c r="D926" s="6"/>
    </row>
    <row r="927" spans="4:4" ht="24">
      <c r="D927" s="6"/>
    </row>
    <row r="928" spans="4:4" ht="24">
      <c r="D928" s="6"/>
    </row>
    <row r="929" spans="4:4" ht="24">
      <c r="D929" s="6"/>
    </row>
    <row r="930" spans="4:4" ht="24">
      <c r="D930" s="6"/>
    </row>
    <row r="931" spans="4:4" ht="24">
      <c r="D931" s="6"/>
    </row>
    <row r="932" spans="4:4" ht="24">
      <c r="D932" s="6"/>
    </row>
    <row r="933" spans="4:4" ht="24">
      <c r="D933" s="6"/>
    </row>
    <row r="934" spans="4:4" ht="24">
      <c r="D934" s="6"/>
    </row>
    <row r="935" spans="4:4" ht="24">
      <c r="D935" s="6"/>
    </row>
    <row r="936" spans="4:4" ht="24">
      <c r="D936" s="6"/>
    </row>
    <row r="937" spans="4:4" ht="24">
      <c r="D937" s="6"/>
    </row>
    <row r="938" spans="4:4" ht="24">
      <c r="D938" s="6"/>
    </row>
    <row r="939" spans="4:4" ht="24">
      <c r="D939" s="6"/>
    </row>
    <row r="940" spans="4:4" ht="24">
      <c r="D940" s="6"/>
    </row>
    <row r="941" spans="4:4" ht="24">
      <c r="D941" s="6"/>
    </row>
    <row r="942" spans="4:4" ht="24">
      <c r="D942" s="6"/>
    </row>
    <row r="943" spans="4:4" ht="24">
      <c r="D943" s="6"/>
    </row>
    <row r="944" spans="4:4" ht="24">
      <c r="D944" s="6"/>
    </row>
    <row r="945" spans="4:4" ht="24">
      <c r="D945" s="6"/>
    </row>
    <row r="946" spans="4:4" ht="24">
      <c r="D946" s="6"/>
    </row>
    <row r="947" spans="4:4" ht="24">
      <c r="D947" s="6"/>
    </row>
    <row r="948" spans="4:4" ht="24">
      <c r="D948" s="6"/>
    </row>
    <row r="949" spans="4:4" ht="24">
      <c r="D949" s="6"/>
    </row>
    <row r="950" spans="4:4" ht="24">
      <c r="D950" s="6"/>
    </row>
    <row r="951" spans="4:4" ht="24">
      <c r="D951" s="6"/>
    </row>
    <row r="952" spans="4:4" ht="24">
      <c r="D952" s="6"/>
    </row>
    <row r="953" spans="4:4" ht="24">
      <c r="D953" s="6"/>
    </row>
    <row r="954" spans="4:4" ht="24">
      <c r="D954" s="6"/>
    </row>
    <row r="955" spans="4:4" ht="24">
      <c r="D955" s="6"/>
    </row>
    <row r="956" spans="4:4" ht="24">
      <c r="D956" s="6"/>
    </row>
    <row r="957" spans="4:4" ht="24">
      <c r="D957" s="6"/>
    </row>
    <row r="958" spans="4:4" ht="24">
      <c r="D958" s="6"/>
    </row>
    <row r="959" spans="4:4" ht="24">
      <c r="D959" s="6"/>
    </row>
    <row r="960" spans="4:4" ht="24">
      <c r="D960" s="6"/>
    </row>
    <row r="961" spans="4:4" ht="24">
      <c r="D961" s="6"/>
    </row>
    <row r="962" spans="4:4" ht="24">
      <c r="D962" s="6"/>
    </row>
    <row r="963" spans="4:4" ht="24">
      <c r="D963" s="6"/>
    </row>
    <row r="964" spans="4:4" ht="24">
      <c r="D964" s="6"/>
    </row>
    <row r="965" spans="4:4" ht="24">
      <c r="D965" s="6"/>
    </row>
    <row r="966" spans="4:4" ht="24">
      <c r="D966" s="6"/>
    </row>
    <row r="967" spans="4:4" ht="24">
      <c r="D967" s="6"/>
    </row>
    <row r="968" spans="4:4" ht="24">
      <c r="D968" s="6"/>
    </row>
    <row r="969" spans="4:4" ht="24">
      <c r="D969" s="6"/>
    </row>
    <row r="970" spans="4:4" ht="24">
      <c r="D970" s="6"/>
    </row>
    <row r="971" spans="4:4" ht="24">
      <c r="D971" s="6"/>
    </row>
    <row r="972" spans="4:4" ht="24">
      <c r="D972" s="6"/>
    </row>
    <row r="973" spans="4:4" ht="24">
      <c r="D973" s="6"/>
    </row>
    <row r="974" spans="4:4" ht="24">
      <c r="D974" s="6"/>
    </row>
    <row r="975" spans="4:4" ht="24">
      <c r="D975" s="6"/>
    </row>
    <row r="976" spans="4:4" ht="24">
      <c r="D976" s="6"/>
    </row>
    <row r="977" spans="4:4" ht="24">
      <c r="D977" s="6"/>
    </row>
    <row r="978" spans="4:4" ht="24">
      <c r="D978" s="6"/>
    </row>
    <row r="979" spans="4:4" ht="24">
      <c r="D979" s="6"/>
    </row>
    <row r="980" spans="4:4" ht="24">
      <c r="D980" s="6"/>
    </row>
    <row r="981" spans="4:4" ht="24">
      <c r="D981" s="6"/>
    </row>
    <row r="982" spans="4:4" ht="24">
      <c r="D982" s="6"/>
    </row>
    <row r="983" spans="4:4" ht="24">
      <c r="D983" s="6"/>
    </row>
    <row r="984" spans="4:4" ht="24">
      <c r="D984" s="6"/>
    </row>
    <row r="985" spans="4:4" ht="24">
      <c r="D985" s="6"/>
    </row>
    <row r="986" spans="4:4" ht="24">
      <c r="D986" s="6"/>
    </row>
    <row r="987" spans="4:4" ht="24">
      <c r="D987" s="6"/>
    </row>
    <row r="988" spans="4:4" ht="24">
      <c r="D988" s="6"/>
    </row>
    <row r="989" spans="4:4" ht="24">
      <c r="D989" s="6"/>
    </row>
    <row r="990" spans="4:4" ht="24">
      <c r="D990" s="6"/>
    </row>
    <row r="991" spans="4:4" ht="24">
      <c r="D991" s="6"/>
    </row>
    <row r="992" spans="4:4" ht="24">
      <c r="D992" s="6"/>
    </row>
    <row r="993" spans="4:4" ht="24">
      <c r="D993" s="6"/>
    </row>
    <row r="994" spans="4:4" ht="24">
      <c r="D994" s="6"/>
    </row>
    <row r="995" spans="4:4" ht="24">
      <c r="D995" s="6"/>
    </row>
    <row r="996" spans="4:4" ht="24">
      <c r="D996" s="6"/>
    </row>
    <row r="997" spans="4:4" ht="24">
      <c r="D997" s="6"/>
    </row>
    <row r="998" spans="4:4" ht="24">
      <c r="D998" s="6"/>
    </row>
    <row r="999" spans="4:4" ht="24">
      <c r="D999" s="6"/>
    </row>
    <row r="1000" spans="4:4" ht="24">
      <c r="D1000" s="6"/>
    </row>
    <row r="1001" spans="4:4" ht="24">
      <c r="D1001" s="6"/>
    </row>
    <row r="1002" spans="4:4" ht="24">
      <c r="D1002" s="6"/>
    </row>
    <row r="1003" spans="4:4" ht="24">
      <c r="D1003" s="6"/>
    </row>
    <row r="1004" spans="4:4" ht="24">
      <c r="D1004" s="6"/>
    </row>
    <row r="1005" spans="4:4" ht="24">
      <c r="D1005" s="6"/>
    </row>
  </sheetData>
  <autoFilter ref="A1:J113" xr:uid="{00000000-0009-0000-0000-000000000000}"/>
  <phoneticPr fontId="5"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2026-03-04T20:03:00Z</dcterms:created>
  <dcterms:modified xsi:type="dcterms:W3CDTF">2026-04-27T15:11:11Z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