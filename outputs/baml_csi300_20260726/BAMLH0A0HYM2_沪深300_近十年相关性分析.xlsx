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ebccc73eaa42e8" /></Relationships>
</file>

<file path=xl/workbook.xml><?xml version="1.0" encoding="utf-8"?>
<x:workbook xmlns:x="http://schemas.openxmlformats.org/spreadsheetml/2006/main">
  <x:sheets>
    <x:sheet xmlns:r="http://schemas.openxmlformats.org/officeDocument/2006/relationships" name="Summary" sheetId="1" r:id="Re570ace0f3324eda"/>
    <x:sheet xmlns:r="http://schemas.openxmlformats.org/officeDocument/2006/relationships" name="Tests" sheetId="2" r:id="R09059b7c73014b04"/>
    <x:sheet xmlns:r="http://schemas.openxmlformats.org/officeDocument/2006/relationships" name="Checks" sheetId="3" r:id="R39f3235102e84736"/>
    <x:sheet xmlns:r="http://schemas.openxmlformats.org/officeDocument/2006/relationships" name="Annual" sheetId="4" r:id="R370607e70fe448be"/>
    <x:sheet xmlns:r="http://schemas.openxmlformats.org/officeDocument/2006/relationships" name="LeadLag" sheetId="5" r:id="R642036b4e85f4030"/>
    <x:sheet xmlns:r="http://schemas.openxmlformats.org/officeDocument/2006/relationships" name="Rolling" sheetId="6" r:id="Ra0b6a9af4ed547ec"/>
    <x:sheet xmlns:r="http://schemas.openxmlformats.org/officeDocument/2006/relationships" name="Aligned" sheetId="7" r:id="R56c2a9e24bf248e9"/>
    <x:sheet xmlns:r="http://schemas.openxmlformats.org/officeDocument/2006/relationships" name="Prior_US_Close" sheetId="8" r:id="Rbc1da9859cfe4133"/>
    <x:sheet xmlns:r="http://schemas.openxmlformats.org/officeDocument/2006/relationships" name="Raw_OAS" sheetId="9" r:id="R93814172c83b4390"/>
    <x:sheet xmlns:r="http://schemas.openxmlformats.org/officeDocument/2006/relationships" name="Raw_CSI300" sheetId="10" r:id="R6db09f2996884ca0"/>
    <x:sheet xmlns:r="http://schemas.openxmlformats.org/officeDocument/2006/relationships" name="Chart_Data" sheetId="11" r:id="Re4039ab0eb24445a"/>
    <x:sheet xmlns:r="http://schemas.openxmlformats.org/officeDocument/2006/relationships" name="Sources" sheetId="12" r:id="R6db1b5be235d464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0"/>
    <x:numFmt numFmtId="202" formatCode="0.0000"/>
    <x:numFmt numFmtId="203" formatCode="0.00%"/>
  </x:numFmts>
  <x:fonts count="15">
    <x:font>
      <x:sz val="11"/>
      <x:name val="Carlito"/>
    </x:font>
    <x:font>
      <x:b/>
      <x:sz val="11"/>
      <x:color rgb="FF17365D"/>
      <x:name val="Carlito"/>
    </x:font>
    <x:font>
      <x:sz val="11"/>
      <x:color rgb="FF000000"/>
      <x:name val="Carlito"/>
    </x:font>
    <x:font>
      <x:b/>
      <x:sz val="18"/>
      <x:color rgb="FFFFFFFF"/>
      <x:name val="Carlito"/>
    </x:font>
    <x:font>
      <x:b/>
      <x:sz val="11"/>
      <x:color rgb="FFFFFFFF"/>
      <x:name val="Carlito"/>
    </x:font>
    <x:font>
      <x:b/>
      <x:sz val="18"/>
      <x:color rgb="FFFFFFFF"/>
      <x:name val="Arial"/>
    </x:font>
    <x:font>
      <x:sz val="11"/>
      <x:name val="Arial"/>
    </x:font>
    <x:font>
      <x:b/>
      <x:sz val="11"/>
      <x:color rgb="FFFFFFFF"/>
      <x:name val="Arial"/>
    </x:font>
    <x:font>
      <x:b/>
      <x:sz val="11"/>
      <x:color rgb="FF17365D"/>
      <x:name val="Arial"/>
    </x:font>
    <x:font>
      <x:i/>
      <x:sz val="11"/>
      <x:color rgb="FF667085"/>
      <x:name val="Carlito"/>
    </x:font>
    <x:font>
      <x:b/>
      <x:sz val="18"/>
      <x:color rgb="FF008000"/>
      <x:name val="Carlito"/>
    </x:font>
    <x:font>
      <x:b/>
      <x:sz val="11"/>
      <x:color rgb="FF7F6000"/>
      <x:name val="Carlito"/>
    </x:font>
    <x:font>
      <x:i/>
      <x:sz val="11"/>
      <x:color rgb="FF667085"/>
      <x:name val="Arial"/>
    </x:font>
    <x:font>
      <x:b/>
      <x:sz val="18"/>
      <x:color rgb="FF008000"/>
      <x:name val="Arial"/>
    </x:font>
    <x:font>
      <x:b/>
      <x:sz val="11"/>
      <x:color rgb="FF7F6000"/>
      <x:name val="Arial"/>
    </x:font>
  </x:fonts>
  <x:fills count="8">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1F4E78"/>
      </x:patternFill>
    </x:fill>
    <x:fill>
      <x:patternFill patternType="solid">
        <x:fgColor rgb="FFEEF4F8"/>
      </x:patternFill>
    </x:fill>
    <x:fill>
      <x:patternFill patternType="solid">
        <x:fgColor rgb="FFFFF2CC"/>
      </x:patternFill>
    </x:fill>
    <x:fill>
      <x:patternFill patternType="solid">
        <x:fgColor rgb="FFFFFFFF"/>
      </x:patternFill>
    </x:fill>
  </x:fills>
  <x:borders count="27">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left style="thin">
        <x:color rgb="FF9FBAD0"/>
      </x:left>
      <x:top style="thin">
        <x:color rgb="FF9FBAD0"/>
      </x:top>
    </x:border>
    <x:border>
      <x:top style="thin">
        <x:color rgb="FF9FBAD0"/>
      </x:top>
    </x:border>
    <x:border>
      <x:right style="thin">
        <x:color rgb="FF9FBAD0"/>
      </x:right>
      <x:top style="thin">
        <x:color rgb="FF9FBAD0"/>
      </x:top>
    </x:border>
    <x:border>
      <x:left style="thin">
        <x:color rgb="FF9FBAD0"/>
      </x:left>
      <x:bottom style="thin">
        <x:color rgb="FF9FBAD0"/>
      </x:bottom>
    </x:border>
    <x:border>
      <x:bottom style="thin">
        <x:color rgb="FF9FBAD0"/>
      </x:bottom>
    </x:border>
    <x:border>
      <x:right style="thin">
        <x:color rgb="FF9FBAD0"/>
      </x:right>
      <x:bottom style="thin">
        <x:color rgb="FF9FBAD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s>
  <x:cellStyleXfs count="1">
    <x:xf numFmtId="0" fontId="0" fillId="0" borderId="0"/>
  </x:cellStyleXfs>
  <x:cellXfs count="2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200" fontId="2" fillId="0" borderId="0" xfId="0" applyNumberFormat="1" applyFont="1" applyFill="1" applyBorder="1"/>
    <x:xf numFmtId="201"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202" fontId="0" fillId="0" borderId="0" xfId="0" applyNumberFormat="1" applyFont="1" applyFill="1" applyBorder="1"/>
    <x:xf numFmtId="0" fontId="5" fillId="3" borderId="0" xfId="0" applyNumberFormat="1" applyFont="1" applyFill="1" applyBorder="1" applyAlignment="1">
      <x:alignment horizontal="left" vertical="center"/>
    </x:xf>
    <x:xf numFmtId="0" fontId="6" fillId="0" borderId="0" xfId="0" applyNumberFormat="1" applyFont="1" applyFill="1" applyBorder="1"/>
    <x:xf numFmtId="0" fontId="7" fillId="4" borderId="0" xfId="0" applyNumberFormat="1" applyFont="1" applyFill="1" applyBorder="1" applyAlignment="1">
      <x:alignment horizontal="left" vertical="center"/>
    </x:xf>
    <x:xf numFmtId="0" fontId="8" fillId="2" borderId="1" xfId="0" applyNumberFormat="1" applyFont="1" applyFill="1" applyBorder="1" applyAlignment="1">
      <x:alignment vertical="center" wrapText="1"/>
    </x:xf>
    <x:xf numFmtId="0" fontId="8" fillId="2" borderId="2" xfId="0" applyNumberFormat="1" applyFont="1" applyFill="1" applyBorder="1" applyAlignment="1">
      <x:alignment vertical="center" wrapText="1"/>
    </x:xf>
    <x:xf numFmtId="0" fontId="8" fillId="2" borderId="3" xfId="0" applyNumberFormat="1" applyFont="1" applyFill="1" applyBorder="1" applyAlignment="1">
      <x:alignment vertical="center" wrapText="1"/>
    </x:xf>
    <x:xf numFmtId="202" fontId="6" fillId="0" borderId="0" xfId="0" applyNumberFormat="1" applyFont="1" applyFill="1" applyBorder="1"/>
    <x:xf numFmtId="0" fontId="5" fillId="3" borderId="0" xfId="0" applyNumberFormat="1" applyFont="1" applyFill="1" applyBorder="1" applyAlignment="1">
      <x:alignment horizontal="left" vertical="center" wrapText="1"/>
    </x:xf>
    <x:xf numFmtId="0" fontId="6" fillId="0" borderId="0" xfId="0" applyNumberFormat="1" applyFont="1" applyFill="1" applyBorder="1" applyAlignment="1">
      <x:alignment wrapText="1"/>
    </x:xf>
    <x:xf numFmtId="0" fontId="7" fillId="4" borderId="0" xfId="0" applyNumberFormat="1" applyFont="1" applyFill="1" applyBorder="1" applyAlignment="1">
      <x:alignment horizontal="left" vertical="center" wrapText="1"/>
    </x:xf>
    <x:xf numFmtId="202" fontId="6" fillId="0"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3" fillId="3"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1" fillId="5" borderId="0" xfId="0" applyNumberFormat="1" applyFont="1" applyFill="1" applyBorder="1" applyAlignment="1">
      <x:alignment wrapText="1"/>
    </x:xf>
    <x:xf numFmtId="0" fontId="9" fillId="5" borderId="0" xfId="0" applyNumberFormat="1" applyFont="1" applyFill="1" applyBorder="1"/>
    <x:xf numFmtId="0" fontId="9" fillId="5" borderId="0" xfId="0" applyNumberFormat="1" applyFont="1" applyFill="1" applyBorder="1" applyAlignment="1">
      <x:alignment vertical="center"/>
    </x:xf>
    <x:xf numFmtId="0" fontId="0" fillId="2" borderId="4" xfId="0" applyNumberFormat="1" applyFont="1" applyFill="1" applyBorder="1"/>
    <x:xf numFmtId="0" fontId="0" fillId="2" borderId="5" xfId="0" applyNumberFormat="1" applyFont="1" applyFill="1" applyBorder="1"/>
    <x:xf numFmtId="0" fontId="0" fillId="2" borderId="6" xfId="0" applyNumberFormat="1" applyFont="1" applyFill="1" applyBorder="1"/>
    <x:xf numFmtId="0" fontId="0" fillId="2" borderId="7" xfId="0" applyNumberFormat="1" applyFont="1" applyFill="1" applyBorder="1"/>
    <x:xf numFmtId="0" fontId="0" fillId="2" borderId="8" xfId="0" applyNumberFormat="1" applyFont="1" applyFill="1" applyBorder="1"/>
    <x:xf numFmtId="0" fontId="0" fillId="2" borderId="9" xfId="0" applyNumberFormat="1" applyFont="1" applyFill="1" applyBorder="1"/>
    <x:xf numFmtId="0" fontId="0" fillId="2" borderId="4" xfId="0" applyNumberFormat="1" applyFont="1" applyFill="1" applyBorder="1" applyAlignment="1">
      <x:alignment wrapText="1"/>
    </x:xf>
    <x:xf numFmtId="0" fontId="0" fillId="2" borderId="5" xfId="0" applyNumberFormat="1" applyFont="1" applyFill="1" applyBorder="1" applyAlignment="1">
      <x:alignment wrapText="1"/>
    </x:xf>
    <x:xf numFmtId="0" fontId="0" fillId="2" borderId="6" xfId="0" applyNumberFormat="1" applyFont="1" applyFill="1" applyBorder="1" applyAlignment="1">
      <x:alignment wrapText="1"/>
    </x:xf>
    <x:xf numFmtId="0" fontId="0" fillId="2" borderId="7" xfId="0" applyNumberFormat="1" applyFont="1" applyFill="1" applyBorder="1" applyAlignment="1">
      <x:alignment wrapText="1"/>
    </x:xf>
    <x:xf numFmtId="0" fontId="0" fillId="2" borderId="8" xfId="0" applyNumberFormat="1" applyFont="1" applyFill="1" applyBorder="1" applyAlignment="1">
      <x:alignment wrapText="1"/>
    </x:xf>
    <x:xf numFmtId="0" fontId="0" fillId="2" borderId="9" xfId="0" applyNumberFormat="1" applyFont="1" applyFill="1" applyBorder="1" applyAlignment="1">
      <x:alignment wrapText="1"/>
    </x:xf>
    <x:xf numFmtId="0" fontId="0" fillId="2" borderId="4" xfId="0" applyNumberFormat="1" applyFont="1" applyFill="1" applyBorder="1" applyAlignment="1">
      <x:alignment vertical="center" wrapText="1"/>
    </x:xf>
    <x:xf numFmtId="0" fontId="0" fillId="2" borderId="5" xfId="0" applyNumberFormat="1" applyFont="1" applyFill="1" applyBorder="1" applyAlignment="1">
      <x:alignment vertical="center" wrapText="1"/>
    </x:xf>
    <x:xf numFmtId="0" fontId="0" fillId="2" borderId="6" xfId="0" applyNumberFormat="1" applyFont="1" applyFill="1" applyBorder="1" applyAlignment="1">
      <x:alignment vertical="center" wrapText="1"/>
    </x:xf>
    <x:xf numFmtId="0" fontId="0" fillId="2" borderId="7" xfId="0" applyNumberFormat="1" applyFont="1" applyFill="1" applyBorder="1" applyAlignment="1">
      <x:alignment vertical="center" wrapText="1"/>
    </x:xf>
    <x:xf numFmtId="0" fontId="0" fillId="2" borderId="8" xfId="0" applyNumberFormat="1" applyFont="1" applyFill="1" applyBorder="1" applyAlignment="1">
      <x:alignment vertical="center" wrapText="1"/>
    </x:xf>
    <x:xf numFmtId="0" fontId="0" fillId="2" borderId="9" xfId="0" applyNumberFormat="1" applyFont="1" applyFill="1" applyBorder="1" applyAlignment="1">
      <x:alignment vertical="center" wrapText="1"/>
    </x:xf>
    <x:xf numFmtId="0" fontId="0" fillId="6" borderId="0" xfId="0" applyNumberFormat="1" applyFont="1" applyFill="1" applyBorder="1"/>
    <x:xf numFmtId="0" fontId="0" fillId="6" borderId="4"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9" xfId="0" applyNumberFormat="1" applyFont="1" applyFill="1" applyBorder="1"/>
    <x:xf numFmtId="0" fontId="0" fillId="6" borderId="4"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4"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0" fillId="6" borderId="7" xfId="0" applyNumberFormat="1" applyFont="1" applyFill="1" applyBorder="1" applyAlignment="1">
      <x:alignment vertical="center" wrapText="1"/>
    </x:xf>
    <x:xf numFmtId="0" fontId="0" fillId="6" borderId="9" xfId="0" applyNumberFormat="1" applyFont="1" applyFill="1" applyBorder="1" applyAlignment="1">
      <x:alignment vertical="center" wrapText="1"/>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6" borderId="4" xfId="0" applyNumberFormat="1" applyFont="1" applyFill="1" applyBorder="1" applyAlignment="1">
      <x:alignment vertical="center" wrapText="1"/>
    </x:xf>
    <x:xf numFmtId="0" fontId="1" fillId="6" borderId="6" xfId="0" applyNumberFormat="1" applyFont="1" applyFill="1" applyBorder="1" applyAlignment="1">
      <x:alignment vertical="center" wrapText="1"/>
    </x:xf>
    <x:xf numFmtId="0" fontId="10" fillId="2" borderId="5" xfId="0" applyNumberFormat="1" applyFont="1" applyFill="1" applyBorder="1" applyAlignment="1">
      <x:alignment vertical="center" wrapText="1"/>
    </x:xf>
    <x:xf numFmtId="0" fontId="10" fillId="2" borderId="6" xfId="0" applyNumberFormat="1" applyFont="1" applyFill="1" applyBorder="1" applyAlignment="1">
      <x:alignment vertical="center" wrapText="1"/>
    </x:xf>
    <x:xf numFmtId="0" fontId="10" fillId="6" borderId="7" xfId="0" applyNumberFormat="1" applyFont="1" applyFill="1" applyBorder="1" applyAlignment="1">
      <x:alignment vertical="center" wrapText="1"/>
    </x:xf>
    <x:xf numFmtId="0" fontId="10" fillId="6" borderId="9" xfId="0" applyNumberFormat="1" applyFont="1" applyFill="1" applyBorder="1" applyAlignment="1">
      <x:alignment vertical="center" wrapText="1"/>
    </x:xf>
    <x:xf numFmtId="201" fontId="10" fillId="2" borderId="5" xfId="0" applyNumberFormat="1" applyFont="1" applyFill="1" applyBorder="1" applyAlignment="1">
      <x:alignment vertical="center" wrapText="1"/>
    </x:xf>
    <x:xf numFmtId="201" fontId="10" fillId="2" borderId="6" xfId="0" applyNumberFormat="1" applyFont="1" applyFill="1" applyBorder="1" applyAlignment="1">
      <x:alignment vertical="center" wrapText="1"/>
    </x:xf>
    <x:xf numFmtId="203" fontId="10" fillId="6" borderId="7" xfId="0" applyNumberFormat="1" applyFont="1" applyFill="1" applyBorder="1" applyAlignment="1">
      <x:alignment vertical="center" wrapText="1"/>
    </x:xf>
    <x:xf numFmtId="203" fontId="10" fillId="6" borderId="9" xfId="0" applyNumberFormat="1" applyFont="1" applyFill="1" applyBorder="1" applyAlignment="1">
      <x:alignment vertical="center" wrapText="1"/>
    </x:xf>
    <x:xf numFmtId="202" fontId="0" fillId="2" borderId="8" xfId="0" applyNumberFormat="1" applyFont="1" applyFill="1" applyBorder="1" applyAlignment="1">
      <x:alignment vertical="center" wrapText="1"/>
    </x:xf>
    <x:xf numFmtId="202" fontId="0" fillId="2" borderId="9" xfId="0" applyNumberFormat="1" applyFont="1" applyFill="1" applyBorder="1" applyAlignment="1">
      <x:alignment vertical="center" wrapText="1"/>
    </x:xf>
    <x:xf numFmtId="0" fontId="0" fillId="7" borderId="0" xfId="0" applyNumberFormat="1" applyFont="1" applyFill="1" applyBorder="1"/>
    <x:xf numFmtId="0" fontId="0" fillId="7" borderId="10" xfId="0" applyNumberFormat="1" applyFont="1" applyFill="1" applyBorder="1"/>
    <x:xf numFmtId="0" fontId="0" fillId="7" borderId="11" xfId="0" applyNumberFormat="1" applyFont="1" applyFill="1" applyBorder="1"/>
    <x:xf numFmtId="0" fontId="0" fillId="7" borderId="12" xfId="0" applyNumberFormat="1" applyFont="1" applyFill="1" applyBorder="1"/>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0" fillId="7" borderId="17" xfId="0" applyNumberFormat="1" applyFont="1" applyFill="1" applyBorder="1"/>
    <x:xf numFmtId="0" fontId="0" fillId="7" borderId="18" xfId="0" applyNumberFormat="1" applyFont="1" applyFill="1" applyBorder="1"/>
    <x:xf numFmtId="0" fontId="0" fillId="7" borderId="10" xfId="0" applyNumberFormat="1" applyFont="1" applyFill="1" applyBorder="1" applyAlignment="1">
      <x:alignment wrapText="1"/>
    </x:xf>
    <x:xf numFmtId="0" fontId="0" fillId="7" borderId="11" xfId="0" applyNumberFormat="1" applyFont="1" applyFill="1" applyBorder="1" applyAlignment="1">
      <x:alignment wrapText="1"/>
    </x:xf>
    <x:xf numFmtId="0" fontId="0" fillId="7" borderId="12" xfId="0" applyNumberFormat="1" applyFont="1" applyFill="1" applyBorder="1" applyAlignment="1">
      <x:alignment wrapText="1"/>
    </x:xf>
    <x:xf numFmtId="0" fontId="0" fillId="7" borderId="13" xfId="0" applyNumberFormat="1" applyFont="1" applyFill="1" applyBorder="1" applyAlignment="1">
      <x:alignment wrapText="1"/>
    </x:xf>
    <x:xf numFmtId="0" fontId="0" fillId="7" borderId="14" xfId="0" applyNumberFormat="1" applyFont="1" applyFill="1" applyBorder="1" applyAlignment="1">
      <x:alignment wrapText="1"/>
    </x:xf>
    <x:xf numFmtId="0" fontId="0" fillId="7" borderId="15" xfId="0" applyNumberFormat="1" applyFont="1" applyFill="1" applyBorder="1" applyAlignment="1">
      <x:alignment wrapText="1"/>
    </x:xf>
    <x:xf numFmtId="0" fontId="0" fillId="7" borderId="16" xfId="0" applyNumberFormat="1" applyFont="1" applyFill="1" applyBorder="1" applyAlignment="1">
      <x:alignment wrapText="1"/>
    </x:xf>
    <x:xf numFmtId="0" fontId="0" fillId="7" borderId="17" xfId="0" applyNumberFormat="1" applyFont="1" applyFill="1" applyBorder="1" applyAlignment="1">
      <x:alignment wrapText="1"/>
    </x:xf>
    <x:xf numFmtId="0" fontId="0" fillId="7" borderId="18" xfId="0" applyNumberFormat="1" applyFont="1" applyFill="1" applyBorder="1" applyAlignment="1">
      <x:alignment wrapText="1"/>
    </x:xf>
    <x:xf numFmtId="0" fontId="0" fillId="7" borderId="10" xfId="0" applyNumberFormat="1" applyFont="1" applyFill="1" applyBorder="1" applyAlignment="1">
      <x:alignment vertical="center" wrapText="1"/>
    </x:xf>
    <x:xf numFmtId="0" fontId="0" fillId="7" borderId="11" xfId="0" applyNumberFormat="1" applyFont="1" applyFill="1" applyBorder="1" applyAlignment="1">
      <x:alignment vertical="center" wrapText="1"/>
    </x:xf>
    <x:xf numFmtId="0" fontId="0" fillId="7" borderId="12" xfId="0" applyNumberFormat="1" applyFont="1" applyFill="1" applyBorder="1" applyAlignment="1">
      <x:alignment vertical="center" wrapText="1"/>
    </x:xf>
    <x:xf numFmtId="0" fontId="0" fillId="7" borderId="13" xfId="0" applyNumberFormat="1" applyFont="1" applyFill="1" applyBorder="1" applyAlignment="1">
      <x:alignment vertical="center" wrapText="1"/>
    </x:xf>
    <x:xf numFmtId="0" fontId="0" fillId="7" borderId="14" xfId="0" applyNumberFormat="1" applyFont="1" applyFill="1" applyBorder="1" applyAlignment="1">
      <x:alignment vertical="center" wrapText="1"/>
    </x:xf>
    <x:xf numFmtId="0" fontId="0" fillId="7" borderId="15" xfId="0" applyNumberFormat="1" applyFont="1" applyFill="1" applyBorder="1" applyAlignment="1">
      <x:alignment vertical="center" wrapText="1"/>
    </x:xf>
    <x:xf numFmtId="0" fontId="0" fillId="7" borderId="16" xfId="0" applyNumberFormat="1" applyFont="1" applyFill="1" applyBorder="1" applyAlignment="1">
      <x:alignment vertical="center" wrapText="1"/>
    </x:xf>
    <x:xf numFmtId="0" fontId="0" fillId="7" borderId="17" xfId="0" applyNumberFormat="1" applyFont="1" applyFill="1" applyBorder="1" applyAlignment="1">
      <x:alignment vertical="center" wrapText="1"/>
    </x:xf>
    <x:xf numFmtId="0" fontId="0" fillId="7" borderId="18" xfId="0" applyNumberFormat="1" applyFont="1" applyFill="1" applyBorder="1" applyAlignment="1">
      <x:alignment vertical="center" wrapText="1"/>
    </x:xf>
    <x:xf numFmtId="0" fontId="1" fillId="7" borderId="10" xfId="0" applyNumberFormat="1" applyFont="1" applyFill="1" applyBorder="1" applyAlignment="1">
      <x:alignment vertical="center" wrapText="1"/>
    </x:xf>
    <x:xf numFmtId="0" fontId="1" fillId="7" borderId="13" xfId="0" applyNumberFormat="1" applyFont="1" applyFill="1" applyBorder="1" applyAlignment="1">
      <x:alignment vertical="center" wrapText="1"/>
    </x:xf>
    <x:xf numFmtId="0" fontId="1" fillId="7" borderId="16" xfId="0" applyNumberFormat="1" applyFont="1" applyFill="1" applyBorder="1" applyAlignment="1">
      <x:alignment vertical="center" wrapText="1"/>
    </x:xf>
    <x:xf numFmtId="0" fontId="11" fillId="6" borderId="0" xfId="0" applyNumberFormat="1" applyFont="1" applyFill="1" applyBorder="1"/>
    <x:xf numFmtId="0" fontId="11" fillId="6" borderId="19" xfId="0" applyNumberFormat="1" applyFont="1" applyFill="1" applyBorder="1"/>
    <x:xf numFmtId="0" fontId="11" fillId="6" borderId="20" xfId="0" applyNumberFormat="1" applyFont="1" applyFill="1" applyBorder="1"/>
    <x:xf numFmtId="0" fontId="11" fillId="6" borderId="21" xfId="0" applyNumberFormat="1" applyFont="1" applyFill="1" applyBorder="1"/>
    <x:xf numFmtId="0" fontId="11" fillId="6" borderId="22" xfId="0" applyNumberFormat="1" applyFont="1" applyFill="1" applyBorder="1"/>
    <x:xf numFmtId="0" fontId="11" fillId="6" borderId="23" xfId="0" applyNumberFormat="1" applyFont="1" applyFill="1" applyBorder="1"/>
    <x:xf numFmtId="0" fontId="11" fillId="6" borderId="24" xfId="0" applyNumberFormat="1" applyFont="1" applyFill="1" applyBorder="1"/>
    <x:xf numFmtId="0" fontId="11" fillId="6" borderId="25" xfId="0" applyNumberFormat="1" applyFont="1" applyFill="1" applyBorder="1"/>
    <x:xf numFmtId="0" fontId="11" fillId="6" borderId="26" xfId="0" applyNumberFormat="1" applyFont="1" applyFill="1" applyBorder="1"/>
    <x:xf numFmtId="0" fontId="11" fillId="6" borderId="19" xfId="0" applyNumberFormat="1" applyFont="1" applyFill="1" applyBorder="1" applyAlignment="1">
      <x:alignment wrapText="1"/>
    </x:xf>
    <x:xf numFmtId="0" fontId="11" fillId="6" borderId="20" xfId="0" applyNumberFormat="1" applyFont="1" applyFill="1" applyBorder="1" applyAlignment="1">
      <x:alignment wrapText="1"/>
    </x:xf>
    <x:xf numFmtId="0" fontId="11" fillId="6" borderId="21" xfId="0" applyNumberFormat="1" applyFont="1" applyFill="1" applyBorder="1" applyAlignment="1">
      <x:alignment wrapText="1"/>
    </x:xf>
    <x:xf numFmtId="0" fontId="11" fillId="6" borderId="22" xfId="0" applyNumberFormat="1" applyFont="1" applyFill="1" applyBorder="1" applyAlignment="1">
      <x:alignment wrapText="1"/>
    </x:xf>
    <x:xf numFmtId="0" fontId="11" fillId="6" borderId="0" xfId="0" applyNumberFormat="1" applyFont="1" applyFill="1" applyBorder="1" applyAlignment="1">
      <x:alignment wrapText="1"/>
    </x:xf>
    <x:xf numFmtId="0" fontId="11" fillId="6" borderId="23" xfId="0" applyNumberFormat="1" applyFont="1" applyFill="1" applyBorder="1" applyAlignment="1">
      <x:alignment wrapText="1"/>
    </x:xf>
    <x:xf numFmtId="0" fontId="11" fillId="6" borderId="24" xfId="0" applyNumberFormat="1" applyFont="1" applyFill="1" applyBorder="1" applyAlignment="1">
      <x:alignment wrapText="1"/>
    </x:xf>
    <x:xf numFmtId="0" fontId="11" fillId="6" borderId="25" xfId="0" applyNumberFormat="1" applyFont="1" applyFill="1" applyBorder="1" applyAlignment="1">
      <x:alignment wrapText="1"/>
    </x:xf>
    <x:xf numFmtId="0" fontId="11" fillId="6" borderId="26" xfId="0" applyNumberFormat="1" applyFont="1" applyFill="1" applyBorder="1" applyAlignment="1">
      <x:alignment wrapText="1"/>
    </x:xf>
    <x:xf numFmtId="0" fontId="11" fillId="6" borderId="19" xfId="0" applyNumberFormat="1" applyFont="1" applyFill="1" applyBorder="1" applyAlignment="1">
      <x:alignment vertical="center" wrapText="1"/>
    </x:xf>
    <x:xf numFmtId="0" fontId="11" fillId="6" borderId="20" xfId="0" applyNumberFormat="1" applyFont="1" applyFill="1" applyBorder="1" applyAlignment="1">
      <x:alignment vertical="center" wrapText="1"/>
    </x:xf>
    <x:xf numFmtId="0" fontId="11" fillId="6" borderId="21"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1" fillId="6" borderId="23" xfId="0" applyNumberFormat="1" applyFont="1" applyFill="1" applyBorder="1" applyAlignment="1">
      <x:alignment vertical="center" wrapText="1"/>
    </x:xf>
    <x:xf numFmtId="0" fontId="11" fillId="6" borderId="24" xfId="0" applyNumberFormat="1" applyFont="1" applyFill="1" applyBorder="1" applyAlignment="1">
      <x:alignment vertical="center" wrapText="1"/>
    </x:xf>
    <x:xf numFmtId="0" fontId="11" fillId="6" borderId="25" xfId="0" applyNumberFormat="1" applyFont="1" applyFill="1" applyBorder="1" applyAlignment="1">
      <x:alignment vertical="center" wrapText="1"/>
    </x:xf>
    <x:xf numFmtId="0" fontId="11" fillId="6" borderId="26" xfId="0" applyNumberFormat="1" applyFont="1" applyFill="1" applyBorder="1" applyAlignment="1">
      <x:alignment vertical="center" wrapText="1"/>
    </x:xf>
    <x:xf numFmtId="0" fontId="12" fillId="5" borderId="0" xfId="0" applyNumberFormat="1" applyFont="1" applyFill="1" applyBorder="1" applyAlignment="1">
      <x:alignment vertical="center"/>
    </x:xf>
    <x:xf numFmtId="0" fontId="8" fillId="2" borderId="4" xfId="0" applyNumberFormat="1" applyFont="1" applyFill="1" applyBorder="1" applyAlignment="1">
      <x:alignment vertical="center" wrapText="1"/>
    </x:xf>
    <x:xf numFmtId="0" fontId="8" fillId="2" borderId="5" xfId="0" applyNumberFormat="1" applyFont="1" applyFill="1" applyBorder="1" applyAlignment="1">
      <x:alignment vertical="center" wrapText="1"/>
    </x:xf>
    <x:xf numFmtId="201" fontId="13" fillId="2" borderId="5" xfId="0" applyNumberFormat="1" applyFont="1" applyFill="1" applyBorder="1" applyAlignment="1">
      <x:alignment vertical="center" wrapText="1"/>
    </x:xf>
    <x:xf numFmtId="201" fontId="13" fillId="2" borderId="6" xfId="0" applyNumberFormat="1" applyFont="1" applyFill="1" applyBorder="1" applyAlignment="1">
      <x:alignment vertical="center" wrapText="1"/>
    </x:xf>
    <x:xf numFmtId="0" fontId="8" fillId="6" borderId="4" xfId="0" applyNumberFormat="1" applyFont="1" applyFill="1" applyBorder="1" applyAlignment="1">
      <x:alignment vertical="center" wrapText="1"/>
    </x:xf>
    <x:xf numFmtId="0" fontId="8" fillId="6" borderId="6" xfId="0" applyNumberFormat="1" applyFont="1" applyFill="1" applyBorder="1" applyAlignment="1">
      <x:alignment vertical="center" wrapText="1"/>
    </x:xf>
    <x:xf numFmtId="0" fontId="6" fillId="2" borderId="7" xfId="0" applyNumberFormat="1" applyFont="1" applyFill="1" applyBorder="1" applyAlignment="1">
      <x:alignment vertical="center" wrapText="1"/>
    </x:xf>
    <x:xf numFmtId="0" fontId="6" fillId="2" borderId="8" xfId="0" applyNumberFormat="1" applyFont="1" applyFill="1" applyBorder="1" applyAlignment="1">
      <x:alignment vertical="center" wrapText="1"/>
    </x:xf>
    <x:xf numFmtId="202" fontId="6" fillId="2" borderId="8" xfId="0" applyNumberFormat="1" applyFont="1" applyFill="1" applyBorder="1" applyAlignment="1">
      <x:alignment vertical="center" wrapText="1"/>
    </x:xf>
    <x:xf numFmtId="202" fontId="6" fillId="2" borderId="9" xfId="0" applyNumberFormat="1" applyFont="1" applyFill="1" applyBorder="1" applyAlignment="1">
      <x:alignment vertical="center" wrapText="1"/>
    </x:xf>
    <x:xf numFmtId="203" fontId="13" fillId="6" borderId="7" xfId="0" applyNumberFormat="1" applyFont="1" applyFill="1" applyBorder="1" applyAlignment="1">
      <x:alignment vertical="center" wrapText="1"/>
    </x:xf>
    <x:xf numFmtId="203" fontId="13" fillId="6" borderId="9" xfId="0" applyNumberFormat="1" applyFont="1" applyFill="1" applyBorder="1" applyAlignment="1">
      <x:alignment vertical="center" wrapText="1"/>
    </x:xf>
    <x:xf numFmtId="0" fontId="8" fillId="7" borderId="10" xfId="0" applyNumberFormat="1" applyFont="1" applyFill="1" applyBorder="1" applyAlignment="1">
      <x:alignment vertical="center" wrapText="1"/>
    </x:xf>
    <x:xf numFmtId="0" fontId="6" fillId="7" borderId="11" xfId="0" applyNumberFormat="1" applyFont="1" applyFill="1" applyBorder="1" applyAlignment="1">
      <x:alignment vertical="center" wrapText="1"/>
    </x:xf>
    <x:xf numFmtId="0" fontId="6" fillId="7" borderId="12" xfId="0" applyNumberFormat="1" applyFont="1" applyFill="1" applyBorder="1" applyAlignment="1">
      <x:alignment vertical="center" wrapText="1"/>
    </x:xf>
    <x:xf numFmtId="0" fontId="8" fillId="7" borderId="13" xfId="0" applyNumberFormat="1" applyFont="1" applyFill="1" applyBorder="1" applyAlignment="1">
      <x:alignment vertical="center" wrapText="1"/>
    </x:xf>
    <x:xf numFmtId="0" fontId="6" fillId="7" borderId="14"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16" xfId="0" applyNumberFormat="1" applyFont="1" applyFill="1" applyBorder="1" applyAlignment="1">
      <x:alignment vertical="center" wrapText="1"/>
    </x:xf>
    <x:xf numFmtId="0" fontId="6" fillId="7" borderId="17" xfId="0" applyNumberFormat="1" applyFont="1" applyFill="1" applyBorder="1" applyAlignment="1">
      <x:alignment vertical="center" wrapText="1"/>
    </x:xf>
    <x:xf numFmtId="0" fontId="6" fillId="7" borderId="18" xfId="0" applyNumberFormat="1" applyFont="1" applyFill="1" applyBorder="1" applyAlignment="1">
      <x:alignment vertical="center" wrapText="1"/>
    </x:xf>
    <x:xf numFmtId="201" fontId="6" fillId="0" borderId="0" xfId="0" applyNumberFormat="1" applyFont="1" applyFill="1" applyBorder="1"/>
    <x:xf numFmtId="0" fontId="14" fillId="6" borderId="19" xfId="0" applyNumberFormat="1" applyFont="1" applyFill="1" applyBorder="1" applyAlignment="1">
      <x:alignment vertical="center" wrapText="1"/>
    </x:xf>
    <x:xf numFmtId="0" fontId="14" fillId="6" borderId="20" xfId="0" applyNumberFormat="1" applyFont="1" applyFill="1" applyBorder="1" applyAlignment="1">
      <x:alignment vertical="center" wrapText="1"/>
    </x:xf>
    <x:xf numFmtId="0" fontId="14" fillId="6" borderId="21" xfId="0" applyNumberFormat="1" applyFont="1" applyFill="1" applyBorder="1" applyAlignment="1">
      <x:alignment vertical="center" wrapText="1"/>
    </x:xf>
    <x:xf numFmtId="0" fontId="14" fillId="6" borderId="22" xfId="0" applyNumberFormat="1" applyFont="1" applyFill="1" applyBorder="1" applyAlignment="1">
      <x:alignment vertical="center" wrapText="1"/>
    </x:xf>
    <x:xf numFmtId="0" fontId="14" fillId="6" borderId="0" xfId="0" applyNumberFormat="1" applyFont="1" applyFill="1" applyBorder="1" applyAlignment="1">
      <x:alignment vertical="center" wrapText="1"/>
    </x:xf>
    <x:xf numFmtId="0" fontId="14" fillId="6" borderId="23" xfId="0" applyNumberFormat="1" applyFont="1" applyFill="1" applyBorder="1" applyAlignment="1">
      <x:alignment vertical="center" wrapText="1"/>
    </x:xf>
    <x:xf numFmtId="0" fontId="14" fillId="6" borderId="24" xfId="0" applyNumberFormat="1" applyFont="1" applyFill="1" applyBorder="1" applyAlignment="1">
      <x:alignment vertical="center" wrapText="1"/>
    </x:xf>
    <x:xf numFmtId="0" fontId="14" fillId="6" borderId="25" xfId="0" applyNumberFormat="1" applyFont="1" applyFill="1" applyBorder="1" applyAlignment="1">
      <x:alignment vertical="center" wrapText="1"/>
    </x:xf>
    <x:xf numFmtId="0" fontId="14" fillId="6" borderId="26" xfId="0" applyNumberFormat="1" applyFont="1" applyFill="1" applyBorder="1" applyAlignment="1">
      <x:alignment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cellXfs>
  <x:cellStyles count="1">
    <x:cellStyle name="Normal" xfId="0"/>
  </x:cellStyles>
  <x:dxfs count="2">
    <x:dxf>
      <x:font>
        <x:b/>
        <x:color rgb="FF006100"/>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55b89ca4374a6b" /><Relationship Type="http://schemas.openxmlformats.org/officeDocument/2006/relationships/theme" Target="/xl/theme/theme1.xml" Id="R74b4b848a9ed433a" /><Relationship Type="http://schemas.openxmlformats.org/officeDocument/2006/relationships/sharedStrings" Target="/xl/sharedStrings.xml" Id="R8e90c3e76c6b4997" /><Relationship Type="http://schemas.openxmlformats.org/officeDocument/2006/relationships/worksheet" Target="/xl/worksheets/sheet1.xml" Id="Re570ace0f3324eda" /><Relationship Type="http://schemas.openxmlformats.org/officeDocument/2006/relationships/worksheet" Target="/xl/worksheets/sheet2.xml" Id="R09059b7c73014b04" /><Relationship Type="http://schemas.openxmlformats.org/officeDocument/2006/relationships/worksheet" Target="/xl/worksheets/sheet3.xml" Id="R39f3235102e84736" /><Relationship Type="http://schemas.openxmlformats.org/officeDocument/2006/relationships/worksheet" Target="/xl/worksheets/sheet4.xml" Id="R370607e70fe448be" /><Relationship Type="http://schemas.openxmlformats.org/officeDocument/2006/relationships/worksheet" Target="/xl/worksheets/sheet5.xml" Id="R642036b4e85f4030" /><Relationship Type="http://schemas.openxmlformats.org/officeDocument/2006/relationships/worksheet" Target="/xl/worksheets/sheet6.xml" Id="Ra0b6a9af4ed547ec" /><Relationship Type="http://schemas.openxmlformats.org/officeDocument/2006/relationships/worksheet" Target="/xl/worksheets/sheet7.xml" Id="R56c2a9e24bf248e9" /><Relationship Type="http://schemas.openxmlformats.org/officeDocument/2006/relationships/worksheet" Target="/xl/worksheets/sheet8.xml" Id="Rbc1da9859cfe4133" /><Relationship Type="http://schemas.openxmlformats.org/officeDocument/2006/relationships/worksheet" Target="/xl/worksheets/sheet9.xml" Id="R93814172c83b4390" /><Relationship Type="http://schemas.openxmlformats.org/officeDocument/2006/relationships/worksheet" Target="/xl/worksheets/sheet10.xml" Id="R6db09f2996884ca0" /><Relationship Type="http://schemas.openxmlformats.org/officeDocument/2006/relationships/worksheet" Target="/xl/worksheets/sheet11.xml" Id="Re4039ab0eb24445a" /><Relationship Type="http://schemas.openxmlformats.org/officeDocument/2006/relationships/worksheet" Target="/xl/worksheets/sheet12.xml" Id="R6db1b5be235d4641" /></Relationships>
</file>

<file path=xl/drawings/_rels/drawing1.xml.rels>&#65279;<?xml version="1.0" encoding="utf-8"?><Relationships xmlns="http://schemas.openxmlformats.org/package/2006/relationships"><Relationship Type="http://schemas.openxmlformats.org/officeDocument/2006/relationships/chart" Target="/xl/drawings/charts/chart1.xml" Id="Rab6e7d230c1348a6" /><Relationship Type="http://schemas.openxmlformats.org/officeDocument/2006/relationships/chart" Target="/xl/drawings/charts/chart2.xml" Id="R21a9465f4eed421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252个共同交易日滚动相关</a:t>
            </a:r>
          </a:p>
        </c:rich>
      </c:tx>
    </c:title>
    <c:plotArea>
      <c:lineChart>
        <c:grouping val="standard"/>
        <c:ser>
          <c:idx val="0"/>
          <c:order val="0"/>
          <c:tx>
            <c:v>Rolling 252D</c:v>
          </c:tx>
          <c:spPr>
            <a:ln xmlns:a="http://schemas.openxmlformats.org/drawingml/2006/main" w="19050">
              <a:solidFill>
                <a:srgbClr val="C00000"/>
              </a:solidFill>
            </a:ln>
          </c:spPr>
          <c:marker>
            <c:symbol val="none"/>
          </c:marker>
          <c:cat>
            <c:strRef>
              <c:f>'Chart_Data'!$A$2:$A$105</c:f>
              <c:strCache>
                <c:ptCount val="0"/>
              </c:strCache>
            </c:strRef>
          </c:cat>
          <c:val>
            <c:numRef>
              <c:f>'Chart_Data'!$B$2:$B$105</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max val="0.1"/>
          <c:min val="-0.5"/>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年度相关系数（ΔOAS vs CSI收益）</a:t>
            </a:r>
          </a:p>
        </c:rich>
      </c:tx>
    </c:title>
    <c:plotArea>
      <c:barChart>
        <c:barDir val="col"/>
        <c:varyColors val="0"/>
        <c:ser>
          <c:idx val="0"/>
          <c:order val="0"/>
          <c:tx>
            <c:v>Pearson r</c:v>
          </c:tx>
          <c:spPr>
            <a:solidFill xmlns:a="http://schemas.openxmlformats.org/drawingml/2006/main">
              <a:srgbClr val="5B9BD5"/>
            </a:solidFill>
          </c:spPr>
          <c:cat>
            <c:strRef>
              <c:f>'Annual'!$A$2:$A$12</c:f>
              <c:strCache>
                <c:ptCount val="0"/>
              </c:strCache>
            </c:strRef>
          </c:cat>
          <c:val>
            <c:numRef>
              <c:f>'Annual'!$C$2:$C$12</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0.1"/>
          <c:min val="-0.5"/>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16</xdr:row>
      <xdr:rowOff>0</xdr:rowOff>
    </xdr:from>
    <xdr:to>
      <xdr:col>10</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b6e7d230c1348a6"/>
        </a:graphicData>
      </a:graphic>
    </xdr:graphicFrame>
    <xdr:clientData/>
  </xdr:twoCellAnchor>
  <xdr:twoCellAnchor>
    <xdr:from>
      <xdr:col>0</xdr:col>
      <xdr:colOff>0</xdr:colOff>
      <xdr:row>21</xdr:row>
      <xdr:rowOff>0</xdr:rowOff>
    </xdr:from>
    <xdr:to>
      <xdr:col>5</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a9465f4eed421d"/>
        </a:graphicData>
      </a:graphic>
    </xdr:graphicFrame>
    <xdr:clientData/>
  </xdr:twoCellAnchor>
</xdr:wsDr>
</file>

<file path=xl/tables/table1.xml><?xml version="1.0" encoding="utf-8"?>
<x:table xmlns:x="http://schemas.openxmlformats.org/spreadsheetml/2006/main" id="1" name="AnnualCorrTable" displayName="AnnualCorrTable" ref="A1:F12" headerRowCount="1" totalsRowCount="0" totalsRowShown="0">
  <x:tableColumns count="6">
    <x:tableColumn id="1" name="year"/>
    <x:tableColumn id="2" name="n"/>
    <x:tableColumn id="3" name="pearson_r"/>
    <x:tableColumn id="4" name="pearson_p"/>
    <x:tableColumn id="5" name="spearman_rho"/>
    <x:tableColumn id="6" name="spearman_p"/>
  </x:tableColumns>
  <x:tableStyleInfo name="TableStyleMedium2" showFirstColumn="0" showLastColumn="0" showRowStripes="1" showColumnStripes="0"/>
</x:table>
</file>

<file path=xl/tables/table2.xml><?xml version="1.0" encoding="utf-8"?>
<x:table xmlns:x="http://schemas.openxmlformats.org/spreadsheetml/2006/main" id="2" name="LeadLagTable" displayName="LeadLagTable" ref="A1:H12" headerRowCount="1" totalsRowCount="0" totalsRowShown="0">
  <x:tableColumns count="8">
    <x:tableColumn id="1" name="k_common_sessions"/>
    <x:tableColumn id="2" name="definition"/>
    <x:tableColumn id="3" name="n"/>
    <x:tableColumn id="4" name="pearson_r"/>
    <x:tableColumn id="5" name="pearson_p"/>
    <x:tableColumn id="6" name="spearman_rho"/>
    <x:tableColumn id="7" name="spearman_p"/>
    <x:tableColumn id="8" name="pearson_q_bh"/>
  </x:tableColumns>
  <x:tableStyleInfo name="TableStyleMedium2" showFirstColumn="0" showLastColumn="0" showRowStripes="1" showColumnStripes="0"/>
</x:table>
</file>

<file path=xl/tables/table3.xml><?xml version="1.0" encoding="utf-8"?>
<x:table xmlns:x="http://schemas.openxmlformats.org/spreadsheetml/2006/main" id="3" name="RollingCorrTable" displayName="RollingCorrTable" ref="A1:E2407" headerRowCount="1" totalsRowCount="0" totalsRowShown="0">
  <x:tableColumns count="5">
    <x:tableColumn id="1" name="date"/>
    <x:tableColumn id="2" name="oas_change_bps"/>
    <x:tableColumn id="3" name="csi300_log_return"/>
    <x:tableColumn id="4" name="rolling_63d_corr"/>
    <x:tableColumn id="5" name="rolling_252d_corr"/>
  </x:tableColumns>
  <x:tableStyleInfo name="TableStyleMedium2" showFirstColumn="0" showLastColumn="0" showRowStripes="1" showColumnStripes="0"/>
</x:table>
</file>

<file path=xl/tables/table4.xml><?xml version="1.0" encoding="utf-8"?>
<x:table xmlns:x="http://schemas.openxmlformats.org/spreadsheetml/2006/main" id="4" name="AlignedDataTable" displayName="AlignedDataTable" ref="A1:J2407" headerRowCount="1" totalsRowCount="0" totalsRowShown="0">
  <x:tableColumns count="10">
    <x:tableColumn id="1" name="date"/>
    <x:tableColumn id="2" name="close"/>
    <x:tableColumn id="3" name="pre_close"/>
    <x:tableColumn id="4" name="csi300_pct_chg"/>
    <x:tableColumn id="5" name="csi300_log_return"/>
    <x:tableColumn id="6" name="oas_percent"/>
    <x:tableColumn id="7" name="oas_bps"/>
    <x:tableColumn id="8" name="oas_change_bps"/>
    <x:tableColumn id="9" name="csi300_source"/>
    <x:tableColumn id="10" name="oas_source"/>
  </x:tableColumns>
  <x:tableStyleInfo name="TableStyleMedium2" showFirstColumn="0" showLastColumn="0" showRowStripes="1" showColumnStripes="0"/>
</x:table>
</file>

<file path=xl/tables/table5.xml><?xml version="1.0" encoding="utf-8"?>
<x:table xmlns:x="http://schemas.openxmlformats.org/spreadsheetml/2006/main" id="5" name="PriorUSCloseTable" displayName="PriorUSCloseTable" ref="A1:J2428" headerRowCount="1" totalsRowCount="0" totalsRowShown="0">
  <x:tableColumns count="10">
    <x:tableColumn id="1" name="date"/>
    <x:tableColumn id="2" name="close"/>
    <x:tableColumn id="3" name="pre_close"/>
    <x:tableColumn id="4" name="csi300_pct_chg"/>
    <x:tableColumn id="5" name="csi300_log_return"/>
    <x:tableColumn id="6" name="oas_date"/>
    <x:tableColumn id="7" name="oas_percent"/>
    <x:tableColumn id="8" name="oas_bps"/>
    <x:tableColumn id="9" name="oas_change_bps"/>
    <x:tableColumn id="10" name="oas_age_calendar_days"/>
  </x:tableColumns>
  <x:tableStyleInfo name="TableStyleMedium2" showFirstColumn="0" showLastColumn="0" showRowStripes="1" showColumnStripes="0"/>
</x:table>
</file>

<file path=xl/tables/table6.xml><?xml version="1.0" encoding="utf-8"?>
<x:table xmlns:x="http://schemas.openxmlformats.org/spreadsheetml/2006/main" id="6" name="RawOASTable" displayName="RawOASTable" ref="A1:E2615" headerRowCount="1" totalsRowCount="0" totalsRowShown="0">
  <x:tableColumns count="5">
    <x:tableColumn id="1" name="date"/>
    <x:tableColumn id="2" name="oas_percent"/>
    <x:tableColumn id="3" name="oas_bps"/>
    <x:tableColumn id="4" name="oas_change_bps"/>
    <x:tableColumn id="5" name="source"/>
  </x:tableColumns>
  <x:tableStyleInfo name="TableStyleMedium2" showFirstColumn="0" showLastColumn="0" showRowStripes="1" showColumnStripes="0"/>
</x:table>
</file>

<file path=xl/tables/table7.xml><?xml version="1.0" encoding="utf-8"?>
<x:table xmlns:x="http://schemas.openxmlformats.org/spreadsheetml/2006/main" id="7" name="RawCSI300Table" displayName="RawCSI300Table" ref="A1:M2428" headerRowCount="1" totalsRowCount="0" totalsRowShown="0">
  <x:tableColumns count="13">
    <x:tableColumn id="1" name="date"/>
    <x:tableColumn id="2" name="ts_code"/>
    <x:tableColumn id="3" name="open"/>
    <x:tableColumn id="4" name="high"/>
    <x:tableColumn id="5" name="low"/>
    <x:tableColumn id="6" name="close"/>
    <x:tableColumn id="7" name="pre_close"/>
    <x:tableColumn id="8" name="change"/>
    <x:tableColumn id="9" name="pct_chg"/>
    <x:tableColumn id="10" name="log_return"/>
    <x:tableColumn id="11" name="vol"/>
    <x:tableColumn id="12" name="amount"/>
    <x:tableColumn id="13"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a603b0842104773" /></Relationships>
</file>

<file path=xl/worksheets/_rels/sheet4.xml.rels>&#65279;<?xml version="1.0" encoding="utf-8"?><Relationships xmlns="http://schemas.openxmlformats.org/package/2006/relationships"><Relationship Type="http://schemas.openxmlformats.org/officeDocument/2006/relationships/table" Target="/xl/tables/table1.xml" Id="Rb6f3aa9070f04e6d" /></Relationships>
</file>

<file path=xl/worksheets/_rels/sheet5.xml.rels>&#65279;<?xml version="1.0" encoding="utf-8"?><Relationships xmlns="http://schemas.openxmlformats.org/package/2006/relationships"><Relationship Type="http://schemas.openxmlformats.org/officeDocument/2006/relationships/table" Target="/xl/tables/table2.xml" Id="R2458fcd8ec09454f" /></Relationships>
</file>

<file path=xl/worksheets/_rels/sheet6.xml.rels>&#65279;<?xml version="1.0" encoding="utf-8"?><Relationships xmlns="http://schemas.openxmlformats.org/package/2006/relationships"><Relationship Type="http://schemas.openxmlformats.org/officeDocument/2006/relationships/table" Target="/xl/tables/table3.xml" Id="Rd02f14ab71a6485f" /></Relationships>
</file>

<file path=xl/worksheets/_rels/sheet7.xml.rels>&#65279;<?xml version="1.0" encoding="utf-8"?><Relationships xmlns="http://schemas.openxmlformats.org/package/2006/relationships"><Relationship Type="http://schemas.openxmlformats.org/officeDocument/2006/relationships/table" Target="/xl/tables/table4.xml" Id="Rda28723e454348bc" /></Relationships>
</file>

<file path=xl/worksheets/_rels/sheet8.xml.rels>&#65279;<?xml version="1.0" encoding="utf-8"?><Relationships xmlns="http://schemas.openxmlformats.org/package/2006/relationships"><Relationship Type="http://schemas.openxmlformats.org/officeDocument/2006/relationships/table" Target="/xl/tables/table5.xml" Id="Raecf1688d0404709" /></Relationships>
</file>

<file path=xl/worksheets/_rels/sheet9.xml.rels>&#65279;<?xml version="1.0" encoding="utf-8"?><Relationships xmlns="http://schemas.openxmlformats.org/package/2006/relationships"><Relationship Type="http://schemas.openxmlformats.org/officeDocument/2006/relationships/table" Target="/xl/tables/table6.xml" Id="R16565b8b5f364323" /></Relationships>
</file>

<file path=xl/worksheets/_rels/sheet10.xml.rels>&#65279;<?xml version="1.0" encoding="utf-8"?><Relationships xmlns="http://schemas.openxmlformats.org/package/2006/relationships"><Relationship Type="http://schemas.openxmlformats.org/officeDocument/2006/relationships/table" Target="/xl/tables/table7.xml" Id="R95f07d1137a84bd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3" hidden="0" customWidth="1"/>
    <x:col min="4" max="4" width="13" hidden="0" customWidth="1"/>
    <x:col min="5" max="5" width="13" hidden="0" customWidth="1"/>
    <x:col min="6" max="6" width="16" hidden="0" customWidth="1"/>
    <x:col min="7" max="7" width="13" hidden="0" customWidth="1"/>
    <x:col min="8" max="8" width="13" hidden="0" customWidth="1"/>
    <x:col min="9" max="9" width="13" hidden="0" customWidth="1"/>
    <x:col min="10" max="10" width="13" hidden="0" customWidth="1"/>
  </x:cols>
  <x:sheetData>
    <x:row r="1" ht="34" customHeight="1">
      <x:c r="A1" s="24" t="str">
        <x:v>BAMLH0A0HYM2 × 沪深300｜近十年相关性检验</x:v>
      </x:c>
      <x:c r="B1" s="24" t="str">
        <x:v>BAMLH0A0HYM2 × 沪深300｜近十年相关性检验</x:v>
      </x:c>
      <x:c r="C1" s="24" t="str">
        <x:v>BAMLH0A0HYM2 × 沪深300｜近十年相关性检验</x:v>
      </x:c>
      <x:c r="D1" s="24" t="str">
        <x:v>BAMLH0A0HYM2 × 沪深300｜近十年相关性检验</x:v>
      </x:c>
      <x:c r="E1" s="24" t="str">
        <x:v>BAMLH0A0HYM2 × 沪深300｜近十年相关性检验</x:v>
      </x:c>
      <x:c r="F1" s="24" t="str">
        <x:v>BAMLH0A0HYM2 × 沪深300｜近十年相关性检验</x:v>
      </x:c>
      <x:c r="G1" s="24" t="str">
        <x:v>BAMLH0A0HYM2 × 沪深300｜近十年相关性检验</x:v>
      </x:c>
      <x:c r="H1" s="24" t="str">
        <x:v>BAMLH0A0HYM2 × 沪深300｜近十年相关性检验</x:v>
      </x:c>
      <x:c r="I1" s="24" t="str">
        <x:v>BAMLH0A0HYM2 × 沪深300｜近十年相关性检验</x:v>
      </x:c>
      <x:c r="J1" s="24" t="str">
        <x:v>BAMLH0A0HYM2 × 沪深300｜近十年相关性检验</x:v>
      </x:c>
    </x:row>
    <x:row r="2" ht="34" customHeight="1">
      <x:c r="A2" s="24" t="str">
        <x:v>BAMLH0A0HYM2 × 沪深300｜近十年相关性检验</x:v>
      </x:c>
      <x:c r="B2" s="24" t="str">
        <x:v>BAMLH0A0HYM2 × 沪深300｜近十年相关性检验</x:v>
      </x:c>
      <x:c r="C2" s="24" t="str">
        <x:v>BAMLH0A0HYM2 × 沪深300｜近十年相关性检验</x:v>
      </x:c>
      <x:c r="D2" s="24" t="str">
        <x:v>BAMLH0A0HYM2 × 沪深300｜近十年相关性检验</x:v>
      </x:c>
      <x:c r="E2" s="24" t="str">
        <x:v>BAMLH0A0HYM2 × 沪深300｜近十年相关性检验</x:v>
      </x:c>
      <x:c r="F2" s="24" t="str">
        <x:v>BAMLH0A0HYM2 × 沪深300｜近十年相关性检验</x:v>
      </x:c>
      <x:c r="G2" s="24" t="str">
        <x:v>BAMLH0A0HYM2 × 沪深300｜近十年相关性检验</x:v>
      </x:c>
      <x:c r="H2" s="24" t="str">
        <x:v>BAMLH0A0HYM2 × 沪深300｜近十年相关性检验</x:v>
      </x:c>
      <x:c r="I2" s="24" t="str">
        <x:v>BAMLH0A0HYM2 × 沪深300｜近十年相关性检验</x:v>
      </x:c>
      <x:c r="J2" s="24" t="str">
        <x:v>BAMLH0A0HYM2 × 沪深300｜近十年相关性检验</x:v>
      </x:c>
    </x:row>
    <x:row r="3">
      <x:c r="A3" s="146" t="str">
        <x:v>样本：2016-07-26–2026-07-23（共同日期）｜OAS单位：bp｜沪深300收益：对数收益</x:v>
      </x:c>
      <x:c r="B3" s="146"/>
      <x:c r="C3" s="146"/>
      <x:c r="D3" s="146"/>
      <x:c r="E3" s="146"/>
      <x:c r="F3" s="146"/>
      <x:c r="G3" s="146"/>
      <x:c r="H3" s="146"/>
      <x:c r="I3" s="146"/>
      <x:c r="J3" s="146"/>
    </x:row>
    <x:row r="4">
      <x:c r="A4" s="25"/>
      <x:c r="B4" s="25"/>
      <x:c r="C4" s="25"/>
      <x:c r="D4" s="25"/>
      <x:c r="E4" s="25"/>
      <x:c r="F4" s="25"/>
      <x:c r="G4" s="25"/>
      <x:c r="H4" s="25"/>
      <x:c r="I4" s="25"/>
      <x:c r="J4" s="25"/>
    </x:row>
    <x:row r="5">
      <x:c r="A5" s="26" t="str">
        <x:v>核心结论</x:v>
      </x:c>
      <x:c r="B5" s="26" t="str">
        <x:v>核心结论</x:v>
      </x:c>
      <x:c r="C5" s="26" t="str">
        <x:v>核心结论</x:v>
      </x:c>
      <x:c r="D5" s="26" t="str">
        <x:v>核心结论</x:v>
      </x:c>
      <x:c r="E5" s="26" t="str">
        <x:v>核心结论</x:v>
      </x:c>
      <x:c r="F5" s="26" t="str">
        <x:v>核心结论</x:v>
      </x:c>
      <x:c r="G5" s="26" t="str">
        <x:v>核心结论</x:v>
      </x:c>
      <x:c r="H5" s="26" t="str">
        <x:v>核心结论</x:v>
      </x:c>
      <x:c r="I5" s="26" t="str">
        <x:v>核心结论</x:v>
      </x:c>
      <x:c r="J5" s="26" t="str">
        <x:v>核心结论</x:v>
      </x:c>
    </x:row>
    <x:row r="6">
      <x:c r="A6" s="147" t="str">
        <x:v>同日ΔOAS相关</x:v>
      </x:c>
      <x:c r="B6" s="148"/>
      <x:c r="C6" s="149" t="n">
        <x:f>'Tests'!C7</x:f>
        <x:v>-0.23162045565551187</x:v>
      </x:c>
      <x:c r="D6" s="150"/>
      <x:c r="E6" s="147" t="str">
        <x:v>前一美收盘相关</x:v>
      </x:c>
      <x:c r="F6" s="148"/>
      <x:c r="G6" s="149" t="n">
        <x:f>'Tests'!C8</x:f>
        <x:v>-0.07749154451600823</x:v>
      </x:c>
      <x:c r="H6" s="150"/>
      <x:c r="I6" s="151" t="str">
        <x:v>盘前解释力 R²</x:v>
      </x:c>
      <x:c r="J6" s="152"/>
    </x:row>
    <x:row r="7">
      <x:c r="A7" s="153" t="str">
        <x:v>显著负相关，但存在时区错位</x:v>
      </x:c>
      <x:c r="B7" s="154"/>
      <x:c r="C7" s="155" t="n">
        <x:f>'Tests'!D7</x:f>
        <x:v>1.1773799716540561e-30</x:v>
      </x:c>
      <x:c r="D7" s="156"/>
      <x:c r="E7" s="153" t="str">
        <x:v>方向一致但强度很弱</x:v>
      </x:c>
      <x:c r="F7" s="154"/>
      <x:c r="G7" s="155" t="n">
        <x:f>'Tests'!D8</x:f>
        <x:v>0.0001335636033982193</x:v>
      </x:c>
      <x:c r="H7" s="156"/>
      <x:c r="I7" s="157" t="n">
        <x:f>'Tests'!H13</x:f>
        <x:v>0.0060049394714766224</x:v>
      </x:c>
      <x:c r="J7" s="158"/>
    </x:row>
    <x:row r="8">
      <x:c r="A8" s="25"/>
      <x:c r="B8" s="25"/>
      <x:c r="C8" s="25"/>
      <x:c r="D8" s="25"/>
      <x:c r="E8" s="25"/>
      <x:c r="F8" s="25"/>
      <x:c r="G8" s="25"/>
      <x:c r="H8" s="25"/>
      <x:c r="I8" s="25"/>
      <x:c r="J8" s="25"/>
    </x:row>
    <x:row r="9">
      <x:c r="A9" s="26" t="str">
        <x:v>统计判读</x:v>
      </x:c>
      <x:c r="B9" s="26" t="str">
        <x:v>统计判读</x:v>
      </x:c>
      <x:c r="C9" s="26" t="str">
        <x:v>统计判读</x:v>
      </x:c>
      <x:c r="D9" s="26" t="str">
        <x:v>统计判读</x:v>
      </x:c>
      <x:c r="E9" s="26" t="str">
        <x:v>统计判读</x:v>
      </x:c>
      <x:c r="F9" s="26" t="str">
        <x:v>统计判读</x:v>
      </x:c>
      <x:c r="G9" s="26" t="str">
        <x:v>统计判读</x:v>
      </x:c>
      <x:c r="H9" s="26" t="str">
        <x:v>统计判读</x:v>
      </x:c>
      <x:c r="I9" s="26" t="str">
        <x:v>统计判读</x:v>
      </x:c>
      <x:c r="J9" s="26" t="str">
        <x:v>统计判读</x:v>
      </x:c>
    </x:row>
    <x:row r="10">
      <x:c r="A10" s="27" t="str">
        <x:v>问题</x:v>
      </x:c>
      <x:c r="B10" s="28" t="str">
        <x:v>结论</x:v>
      </x:c>
      <x:c r="C10" s="28"/>
      <x:c r="D10" s="28"/>
      <x:c r="E10" s="28"/>
      <x:c r="F10" s="28"/>
      <x:c r="G10" s="28"/>
      <x:c r="H10" s="28"/>
      <x:c r="I10" s="28"/>
      <x:c r="J10" s="29"/>
    </x:row>
    <x:row r="11" ht="31" customHeight="1">
      <x:c r="A11" s="159" t="str">
        <x:v>水平相关能否直接使用？</x:v>
      </x:c>
      <x:c r="B11" s="160" t="str">
        <x:v>不能。沪深300点位非平稳，且两者不协整，水平相关有伪相关风险。</x:v>
      </x:c>
      <x:c r="C11" s="160"/>
      <x:c r="D11" s="160"/>
      <x:c r="E11" s="160"/>
      <x:c r="F11" s="160"/>
      <x:c r="G11" s="160"/>
      <x:c r="H11" s="160"/>
      <x:c r="I11" s="160"/>
      <x:c r="J11" s="161"/>
    </x:row>
    <x:row r="12" ht="31" customHeight="1">
      <x:c r="A12" s="162" t="str">
        <x:v>利差走阔意味着什么？</x:v>
      </x:c>
      <x:c r="B12" s="163" t="str">
        <x:v>同日通常对应沪深300走弱；但美国收盘晚于中国收盘，同日相关不是盘前因果信号。</x:v>
      </x:c>
      <x:c r="C12" s="163"/>
      <x:c r="D12" s="163"/>
      <x:c r="E12" s="163"/>
      <x:c r="F12" s="163"/>
      <x:c r="G12" s="163"/>
      <x:c r="H12" s="163"/>
      <x:c r="I12" s="163"/>
      <x:c r="J12" s="164"/>
    </x:row>
    <x:row r="13" ht="31" customHeight="1">
      <x:c r="A13" s="162" t="str">
        <x:v>盘前有用吗？</x:v>
      </x:c>
      <x:c r="B13" s="163" t="str">
        <x:v>有弱信息量：前一美国收盘相关 r≈-0.077、R²≈0.6%，只能做风险背景变量。</x:v>
      </x:c>
      <x:c r="C13" s="163"/>
      <x:c r="D13" s="163"/>
      <x:c r="E13" s="163"/>
      <x:c r="F13" s="163"/>
      <x:c r="G13" s="163"/>
      <x:c r="H13" s="163"/>
      <x:c r="I13" s="163"/>
      <x:c r="J13" s="164"/>
    </x:row>
    <x:row r="14" ht="31" customHeight="1">
      <x:c r="A14" s="165" t="str">
        <x:v>如何落地？</x:v>
      </x:c>
      <x:c r="B14" s="166" t="str">
        <x:v>与VIX、美元/人民币、中国本土信用利差、指数趋势共同组成风险闸门，不能单指标择时。</x:v>
      </x:c>
      <x:c r="C14" s="166"/>
      <x:c r="D14" s="166"/>
      <x:c r="E14" s="166"/>
      <x:c r="F14" s="166"/>
      <x:c r="G14" s="166"/>
      <x:c r="H14" s="166"/>
      <x:c r="I14" s="166"/>
      <x:c r="J14" s="167"/>
    </x:row>
    <x:row r="15">
      <x:c r="A15" s="25"/>
      <x:c r="B15" s="25"/>
      <x:c r="C15" s="25"/>
      <x:c r="D15" s="25"/>
      <x:c r="E15" s="25"/>
      <x:c r="F15" s="25"/>
      <x:c r="G15" s="25"/>
      <x:c r="H15" s="25"/>
      <x:c r="I15" s="25"/>
      <x:c r="J15" s="25"/>
    </x:row>
    <x:row r="16">
      <x:c r="A16" s="26" t="str">
        <x:v>滚动与分阶段稳定性</x:v>
      </x:c>
      <x:c r="B16" s="26" t="str">
        <x:v>滚动与分阶段稳定性</x:v>
      </x:c>
      <x:c r="C16" s="26" t="str">
        <x:v>滚动与分阶段稳定性</x:v>
      </x:c>
      <x:c r="D16" s="26" t="str">
        <x:v>滚动与分阶段稳定性</x:v>
      </x:c>
      <x:c r="E16" s="26" t="str">
        <x:v>滚动与分阶段稳定性</x:v>
      </x:c>
      <x:c r="F16" s="26" t="str">
        <x:v>滚动与分阶段稳定性</x:v>
      </x:c>
      <x:c r="G16" s="26" t="str">
        <x:v>滚动与分阶段稳定性</x:v>
      </x:c>
      <x:c r="H16" s="26" t="str">
        <x:v>滚动与分阶段稳定性</x:v>
      </x:c>
      <x:c r="I16" s="26" t="str">
        <x:v>滚动与分阶段稳定性</x:v>
      </x:c>
      <x:c r="J16" s="26" t="str">
        <x:v>滚动与分阶段稳定性</x:v>
      </x:c>
    </x:row>
    <x:row r="17">
      <x:c r="A17" s="27" t="str">
        <x:v>252日滚动</x:v>
      </x:c>
      <x:c r="B17" s="28" t="str">
        <x:v>最新</x:v>
      </x:c>
      <x:c r="C17" s="28" t="str">
        <x:v>中位数</x:v>
      </x:c>
      <x:c r="D17" s="29" t="str">
        <x:v>区间</x:v>
      </x:c>
      <x:c r="E17" s="25"/>
      <x:c r="F17" s="25"/>
      <x:c r="G17" s="25"/>
      <x:c r="H17" s="25"/>
      <x:c r="I17" s="25"/>
      <x:c r="J17" s="25"/>
    </x:row>
    <x:row r="18">
      <x:c r="A18" s="25" t="str">
        <x:v>相关系数</x:v>
      </x:c>
      <x:c r="B18" s="168" t="n">
        <x:v>-0.1967382634879866</x:v>
      </x:c>
      <x:c r="C18" s="168" t="n">
        <x:v>-0.21551557101824867</x:v>
      </x:c>
      <x:c r="D18" s="25" t="str">
        <x:v>-0.437 至 -0.043</x:v>
      </x:c>
      <x:c r="E18" s="25"/>
      <x:c r="F18" s="25"/>
      <x:c r="G18" s="25"/>
      <x:c r="H18" s="25"/>
      <x:c r="I18" s="25"/>
      <x:c r="J18" s="25"/>
    </x:row>
    <x:row r="19">
      <x:c r="A19" s="25" t="str">
        <x:v>同日块自助95%CI</x:v>
      </x:c>
      <x:c r="B19" s="168" t="n">
        <x:v>-0.29811696642798</x:v>
      </x:c>
      <x:c r="C19" s="168" t="n">
        <x:v>-0.17080236927374</x:v>
      </x:c>
      <x:c r="D19" s="25" t="str">
        <x:v>不跨0</x:v>
      </x:c>
      <x:c r="E19" s="25"/>
      <x:c r="F19" s="25"/>
      <x:c r="G19" s="25"/>
      <x:c r="H19" s="25"/>
      <x:c r="I19" s="25"/>
      <x:c r="J19" s="25"/>
    </x:row>
    <x:row r="20">
      <x:c r="A20" s="25" t="str">
        <x:v>盘前块自助95%CI</x:v>
      </x:c>
      <x:c r="B20" s="168" t="n">
        <x:v>-0.12727999654999037</x:v>
      </x:c>
      <x:c r="C20" s="168" t="n">
        <x:v>-0.03455892495646187</x:v>
      </x:c>
      <x:c r="D20" s="25" t="str">
        <x:v>弱负相关，不跨0</x:v>
      </x:c>
      <x:c r="E20" s="25"/>
      <x:c r="F20" s="25"/>
      <x:c r="G20" s="25"/>
      <x:c r="H20" s="25"/>
      <x:c r="I20" s="25"/>
      <x:c r="J20" s="25"/>
    </x:row>
    <x:row r="21">
      <x:c r="A21" s="25"/>
      <x:c r="B21" s="25"/>
      <x:c r="C21" s="25"/>
      <x:c r="D21" s="25"/>
      <x:c r="E21" s="25"/>
      <x:c r="F21" s="25"/>
      <x:c r="G21" s="25"/>
      <x:c r="H21" s="25"/>
      <x:c r="I21" s="25"/>
      <x:c r="J21" s="25"/>
    </x:row>
    <x:row r="22">
      <x:c r="A22" s="25"/>
      <x:c r="B22" s="25"/>
      <x:c r="C22" s="25"/>
      <x:c r="D22" s="25"/>
      <x:c r="E22" s="25"/>
      <x:c r="F22" s="25"/>
      <x:c r="G22" s="25"/>
      <x:c r="H22" s="25"/>
      <x:c r="I22" s="25"/>
      <x:c r="J22" s="25"/>
    </x:row>
    <x:row r="23">
      <x:c r="A23" s="25"/>
      <x:c r="B23" s="25"/>
      <x:c r="C23" s="25"/>
      <x:c r="D23" s="25"/>
      <x:c r="E23" s="25"/>
      <x:c r="F23" s="25"/>
      <x:c r="G23" s="25"/>
      <x:c r="H23" s="25"/>
      <x:c r="I23" s="25"/>
      <x:c r="J23" s="25"/>
    </x:row>
    <x:row r="24">
      <x:c r="A24" s="25"/>
      <x:c r="B24" s="25"/>
      <x:c r="C24" s="25"/>
      <x:c r="D24" s="25"/>
      <x:c r="E24" s="25"/>
      <x:c r="F24" s="25"/>
      <x:c r="G24" s="25"/>
      <x:c r="H24" s="25"/>
      <x:c r="I24" s="25"/>
      <x:c r="J24" s="25"/>
    </x:row>
    <x:row r="25">
      <x:c r="A25" s="25"/>
      <x:c r="B25" s="25"/>
      <x:c r="C25" s="25"/>
      <x:c r="D25" s="25"/>
      <x:c r="E25" s="25"/>
      <x:c r="F25" s="25"/>
      <x:c r="G25" s="25"/>
      <x:c r="H25" s="25"/>
      <x:c r="I25" s="25"/>
      <x:c r="J25" s="25"/>
    </x:row>
    <x:row r="26">
      <x:c r="A26" s="25"/>
      <x:c r="B26" s="25"/>
      <x:c r="C26" s="25"/>
      <x:c r="D26" s="25"/>
      <x:c r="E26" s="25"/>
      <x:c r="F26" s="25"/>
      <x:c r="G26" s="25"/>
      <x:c r="H26" s="25"/>
      <x:c r="I26" s="25"/>
      <x:c r="J26" s="25"/>
    </x:row>
    <x:row r="27">
      <x:c r="A27" s="25"/>
      <x:c r="B27" s="25"/>
      <x:c r="C27" s="25"/>
      <x:c r="D27" s="25"/>
      <x:c r="E27" s="25"/>
      <x:c r="F27" s="25"/>
      <x:c r="G27" s="25"/>
      <x:c r="H27" s="25"/>
      <x:c r="I27" s="25"/>
      <x:c r="J27" s="25"/>
    </x:row>
    <x:row r="28">
      <x:c r="A28" s="25"/>
      <x:c r="B28" s="25"/>
      <x:c r="C28" s="25"/>
      <x:c r="D28" s="25"/>
      <x:c r="E28" s="25"/>
      <x:c r="F28" s="25"/>
      <x:c r="G28" s="25"/>
      <x:c r="H28" s="25"/>
      <x:c r="I28" s="25"/>
      <x:c r="J28" s="25"/>
    </x:row>
    <x:row r="29">
      <x:c r="A29" s="25"/>
      <x:c r="B29" s="25"/>
      <x:c r="C29" s="25"/>
      <x:c r="D29" s="25"/>
      <x:c r="E29" s="25"/>
      <x:c r="F29" s="25"/>
      <x:c r="G29" s="25"/>
      <x:c r="H29" s="25"/>
      <x:c r="I29" s="25"/>
      <x:c r="J29" s="25"/>
    </x:row>
    <x:row r="30">
      <x:c r="A30" s="25"/>
      <x:c r="B30" s="25"/>
      <x:c r="C30" s="25"/>
      <x:c r="D30" s="25"/>
      <x:c r="E30" s="25"/>
      <x:c r="F30" s="25"/>
      <x:c r="G30" s="25"/>
      <x:c r="H30" s="25"/>
      <x:c r="I30" s="25"/>
      <x:c r="J30" s="25"/>
    </x:row>
    <x:row r="31">
      <x:c r="A31" s="25"/>
      <x:c r="B31" s="25"/>
      <x:c r="C31" s="25"/>
      <x:c r="D31" s="25"/>
      <x:c r="E31" s="25"/>
      <x:c r="F31" s="25"/>
      <x:c r="G31" s="25"/>
      <x:c r="H31" s="25"/>
      <x:c r="I31" s="25"/>
      <x:c r="J31" s="25"/>
    </x:row>
    <x:row r="32">
      <x:c r="A32" s="25"/>
      <x:c r="B32" s="25"/>
      <x:c r="C32" s="25"/>
      <x:c r="D32" s="25"/>
      <x:c r="E32" s="25"/>
      <x:c r="F32" s="169" t="str">
        <x:v>时间口径提醒：同日美国信用利差收盘发生在中国收盘之后；真正可执行的盘前变量应使用严格早于中国交易日的最近一笔美国收盘。</x:v>
      </x:c>
      <x:c r="G32" s="170"/>
      <x:c r="H32" s="170"/>
      <x:c r="I32" s="170"/>
      <x:c r="J32" s="171"/>
    </x:row>
    <x:row r="33">
      <x:c r="A33" s="25"/>
      <x:c r="B33" s="25"/>
      <x:c r="C33" s="25"/>
      <x:c r="D33" s="25"/>
      <x:c r="E33" s="25"/>
      <x:c r="F33" s="172"/>
      <x:c r="G33" s="173"/>
      <x:c r="H33" s="173"/>
      <x:c r="I33" s="173"/>
      <x:c r="J33" s="174"/>
    </x:row>
    <x:row r="34">
      <x:c r="A34" s="25"/>
      <x:c r="B34" s="25"/>
      <x:c r="C34" s="25"/>
      <x:c r="D34" s="25"/>
      <x:c r="E34" s="25"/>
      <x:c r="F34" s="172"/>
      <x:c r="G34" s="173"/>
      <x:c r="H34" s="173"/>
      <x:c r="I34" s="173"/>
      <x:c r="J34" s="174"/>
    </x:row>
    <x:row r="35">
      <x:c r="A35" s="25"/>
      <x:c r="B35" s="25"/>
      <x:c r="C35" s="25"/>
      <x:c r="D35" s="25"/>
      <x:c r="E35" s="25"/>
      <x:c r="F35" s="175"/>
      <x:c r="G35" s="176"/>
      <x:c r="H35" s="176"/>
      <x:c r="I35" s="176"/>
      <x:c r="J35" s="177"/>
    </x:row>
  </x:sheetData>
  <x:mergeCells>
    <x:mergeCell ref="A1:J2"/>
    <x:mergeCell ref="A3:J3"/>
    <x:mergeCell ref="A5:J5"/>
    <x:mergeCell ref="A6:B6"/>
    <x:mergeCell ref="C6:D6"/>
    <x:mergeCell ref="E6:F6"/>
    <x:mergeCell ref="G6:H6"/>
    <x:mergeCell ref="I6:J6"/>
    <x:mergeCell ref="I7:J7"/>
    <x:mergeCell ref="A7:B7"/>
    <x:mergeCell ref="C7:D7"/>
    <x:mergeCell ref="E7:F7"/>
    <x:mergeCell ref="G7:H7"/>
    <x:mergeCell ref="A9:J9"/>
    <x:mergeCell ref="B10:J10"/>
    <x:mergeCell ref="B11:J11"/>
    <x:mergeCell ref="B12:J12"/>
    <x:mergeCell ref="B13:J13"/>
    <x:mergeCell ref="B14:J14"/>
    <x:mergeCell ref="A16:J16"/>
    <x:mergeCell ref="F32:J35"/>
  </x:mergeCells>
  <x:pageMargins left="0.7" right="0.7" top="0.75" bottom="0.75" header="0.3" footer="0.3"/>
  <x:drawing xmlns:r="http://schemas.openxmlformats.org/officeDocument/2006/relationships" r:id="Rfa603b084210477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23" hidden="0" customWidth="1"/>
    <x:col min="3" max="3" width="23" hidden="0" customWidth="1"/>
    <x:col min="4" max="4" width="23" hidden="0" customWidth="1"/>
    <x:col min="5" max="5" width="23" hidden="0" customWidth="1"/>
    <x:col min="6" max="6" width="23" hidden="0" customWidth="1"/>
    <x:col min="7" max="7" width="36" hidden="0" customWidth="1"/>
    <x:col min="8" max="8" width="23" hidden="0" customWidth="1"/>
  </x:cols>
  <x:sheetData>
    <x:row r="1" ht="34" customHeight="1">
      <x:c r="A1" s="31" t="str">
        <x:v>统计检验明细</x:v>
      </x:c>
      <x:c r="B1" s="31" t="str">
        <x:v>统计检验明细</x:v>
      </x:c>
      <x:c r="C1" s="31" t="str">
        <x:v>统计检验明细</x:v>
      </x:c>
      <x:c r="D1" s="31" t="str">
        <x:v>统计检验明细</x:v>
      </x:c>
      <x:c r="E1" s="31" t="str">
        <x:v>统计检验明细</x:v>
      </x:c>
      <x:c r="F1" s="31" t="str">
        <x:v>统计检验明细</x:v>
      </x:c>
      <x:c r="G1" s="31" t="str">
        <x:v>统计检验明细</x:v>
      </x:c>
      <x:c r="H1" s="31" t="str">
        <x:v>统计检验明细</x:v>
      </x:c>
    </x:row>
    <x:row r="2" ht="34" customHeight="1">
      <x:c r="A2" s="31" t="str">
        <x:v>统计检验明细</x:v>
      </x:c>
      <x:c r="B2" s="31" t="str">
        <x:v>统计检验明细</x:v>
      </x:c>
      <x:c r="C2" s="31" t="str">
        <x:v>统计检验明细</x:v>
      </x:c>
      <x:c r="D2" s="31" t="str">
        <x:v>统计检验明细</x:v>
      </x:c>
      <x:c r="E2" s="31" t="str">
        <x:v>统计检验明细</x:v>
      </x:c>
      <x:c r="F2" s="31" t="str">
        <x:v>统计检验明细</x:v>
      </x:c>
      <x:c r="G2" s="31" t="str">
        <x:v>统计检验明细</x:v>
      </x:c>
      <x:c r="H2" s="31" t="str">
        <x:v>统计检验明细</x:v>
      </x:c>
    </x:row>
    <x:row r="3">
      <x:c r="A3" s="32"/>
      <x:c r="B3" s="32"/>
      <x:c r="C3" s="32"/>
      <x:c r="D3" s="32"/>
      <x:c r="E3" s="32"/>
      <x:c r="F3" s="32"/>
      <x:c r="G3" s="32"/>
      <x:c r="H3" s="32"/>
    </x:row>
    <x:row r="4">
      <x:c r="A4" s="33" t="str">
        <x:v>核心相关性</x:v>
      </x:c>
      <x:c r="B4" s="33" t="str">
        <x:v>核心相关性</x:v>
      </x:c>
      <x:c r="C4" s="33" t="str">
        <x:v>核心相关性</x:v>
      </x:c>
      <x:c r="D4" s="33" t="str">
        <x:v>核心相关性</x:v>
      </x:c>
      <x:c r="E4" s="33" t="str">
        <x:v>核心相关性</x:v>
      </x:c>
      <x:c r="F4" s="33" t="str">
        <x:v>核心相关性</x:v>
      </x:c>
      <x:c r="G4" s="33" t="str">
        <x:v>核心相关性</x:v>
      </x:c>
      <x:c r="H4" s="33" t="str">
        <x:v>核心相关性</x:v>
      </x:c>
    </x:row>
    <x:row r="5">
      <x:c r="A5" s="27" t="str">
        <x:v>口径</x:v>
      </x:c>
      <x:c r="B5" s="28" t="str">
        <x:v>样本数</x:v>
      </x:c>
      <x:c r="C5" s="28" t="str">
        <x:v>Pearson r</x:v>
      </x:c>
      <x:c r="D5" s="28" t="str">
        <x:v>Pearson p</x:v>
      </x:c>
      <x:c r="E5" s="28" t="str">
        <x:v>Spearman ρ</x:v>
      </x:c>
      <x:c r="F5" s="28" t="str">
        <x:v>Spearman p</x:v>
      </x:c>
      <x:c r="G5" s="29" t="str">
        <x:v>判读</x:v>
      </x:c>
      <x:c r="H5" s="32"/>
    </x:row>
    <x:row r="6">
      <x:c r="A6" s="32" t="str">
        <x:v>同日期水平值</x:v>
      </x:c>
      <x:c r="B6" s="32" t="n">
        <x:v>2406</x:v>
      </x:c>
      <x:c r="C6" s="34" t="n">
        <x:v>-0.20101114977627452</x:v>
      </x:c>
      <x:c r="D6" s="34" t="n">
        <x:v>2.3632344173862463e-23</x:v>
      </x:c>
      <x:c r="E6" s="34" t="n">
        <x:v>-0.2599248899680496</x:v>
      </x:c>
      <x:c r="F6" s="34" t="n">
        <x:v>1.8963083268858023e-38</x:v>
      </x:c>
      <x:c r="G6" s="32" t="str">
        <x:v>非平稳点位参与，存在伪相关风险</x:v>
      </x:c>
      <x:c r="H6" s="32"/>
    </x:row>
    <x:row r="7">
      <x:c r="A7" s="32" t="str">
        <x:v>同日期：ΔOAS vs CSI收益</x:v>
      </x:c>
      <x:c r="B7" s="32" t="n">
        <x:v>2405</x:v>
      </x:c>
      <x:c r="C7" s="34" t="n">
        <x:v>-0.23162045565551187</x:v>
      </x:c>
      <x:c r="D7" s="34" t="n">
        <x:v>1.1773799716540561e-30</x:v>
      </x:c>
      <x:c r="E7" s="34" t="n">
        <x:v>-0.19192131293522224</x:v>
      </x:c>
      <x:c r="F7" s="34" t="n">
        <x:v>2.1919574534244758e-21</x:v>
      </x:c>
      <x:c r="G7" s="32" t="str">
        <x:v>显著负相关；有时区错位，不是盘前信号</x:v>
      </x:c>
      <x:c r="H7" s="32"/>
    </x:row>
    <x:row r="8">
      <x:c r="A8" s="32" t="str">
        <x:v>前一美国收盘：ΔOAS vs CSI收益</x:v>
      </x:c>
      <x:c r="B8" s="32" t="n">
        <x:v>2425</x:v>
      </x:c>
      <x:c r="C8" s="34" t="n">
        <x:v>-0.07749154451600823</x:v>
      </x:c>
      <x:c r="D8" s="34" t="n">
        <x:v>0.0001335636033982193</x:v>
      </x:c>
      <x:c r="E8" s="34" t="n">
        <x:v>-0.09255001487247656</x:v>
      </x:c>
      <x:c r="F8" s="34" t="n">
        <x:v>0.0000049947019460703426</x:v>
      </x:c>
      <x:c r="G8" s="32" t="str">
        <x:v>方向稳定但解释力弱，适合风险背景</x:v>
      </x:c>
      <x:c r="H8" s="32"/>
    </x:row>
    <x:row r="9">
      <x:c r="A9" s="32"/>
      <x:c r="B9" s="32"/>
      <x:c r="C9" s="32"/>
      <x:c r="D9" s="32"/>
      <x:c r="E9" s="32"/>
      <x:c r="F9" s="32"/>
      <x:c r="G9" s="32"/>
      <x:c r="H9" s="32"/>
    </x:row>
    <x:row r="10">
      <x:c r="A10" s="33" t="str">
        <x:v>Newey-West(HAC, 5 lag) 回归</x:v>
      </x:c>
      <x:c r="B10" s="33" t="str">
        <x:v>Newey-West(HAC, 5 lag) 回归</x:v>
      </x:c>
      <x:c r="C10" s="33" t="str">
        <x:v>Newey-West(HAC, 5 lag) 回归</x:v>
      </x:c>
      <x:c r="D10" s="33" t="str">
        <x:v>Newey-West(HAC, 5 lag) 回归</x:v>
      </x:c>
      <x:c r="E10" s="33" t="str">
        <x:v>Newey-West(HAC, 5 lag) 回归</x:v>
      </x:c>
      <x:c r="F10" s="33" t="str">
        <x:v>Newey-West(HAC, 5 lag) 回归</x:v>
      </x:c>
      <x:c r="G10" s="33" t="str">
        <x:v>Newey-West(HAC, 5 lag) 回归</x:v>
      </x:c>
      <x:c r="H10" s="33" t="str">
        <x:v>Newey-West(HAC, 5 lag) 回归</x:v>
      </x:c>
    </x:row>
    <x:row r="11">
      <x:c r="A11" s="27" t="str">
        <x:v>口径</x:v>
      </x:c>
      <x:c r="B11" s="28" t="str">
        <x:v>样本数</x:v>
      </x:c>
      <x:c r="C11" s="28" t="str">
        <x:v>β/1bp</x:v>
      </x:c>
      <x:c r="D11" s="28" t="str">
        <x:v>β/100bp（CSI百分点）</x:v>
      </x:c>
      <x:c r="E11" s="28" t="str">
        <x:v>HAC标准误</x:v>
      </x:c>
      <x:c r="F11" s="28" t="str">
        <x:v>t值</x:v>
      </x:c>
      <x:c r="G11" s="28" t="str">
        <x:v>p值</x:v>
      </x:c>
      <x:c r="H11" s="29" t="str">
        <x:v>R²</x:v>
      </x:c>
    </x:row>
    <x:row r="12">
      <x:c r="A12" s="32" t="str">
        <x:v>同日期</x:v>
      </x:c>
      <x:c r="B12" s="32" t="n">
        <x:v>2405</x:v>
      </x:c>
      <x:c r="C12" s="34" t="n">
        <x:v>-0.00026920756255673496</x:v>
      </x:c>
      <x:c r="D12" s="34" t="n">
        <x:f>C12*100*100</x:f>
        <x:v>-2.6920756255673495</x:v>
      </x:c>
      <x:c r="E12" s="34" t="n">
        <x:v>0.000023523926204834713</x:v>
      </x:c>
      <x:c r="F12" s="34" t="n">
        <x:v>-11.443989417948716</x:v>
      </x:c>
      <x:c r="G12" s="34" t="n">
        <x:v>2.5202416776430814e-30</x:v>
      </x:c>
      <x:c r="H12" s="34" t="n">
        <x:v>0.0536480354780674</x:v>
      </x:c>
    </x:row>
    <x:row r="13">
      <x:c r="A13" s="32" t="str">
        <x:v>前一美国收盘</x:v>
      </x:c>
      <x:c r="B13" s="32" t="n">
        <x:v>2425</x:v>
      </x:c>
      <x:c r="C13" s="34" t="n">
        <x:v>-0.00008975050392110362</x:v>
      </x:c>
      <x:c r="D13" s="34" t="n">
        <x:f>C13*100*100</x:f>
        <x:v>-0.8975050392110362</x:v>
      </x:c>
      <x:c r="E13" s="34" t="n">
        <x:v>0.000029155903338659735</x:v>
      </x:c>
      <x:c r="F13" s="34" t="n">
        <x:v>-3.07829611309273</x:v>
      </x:c>
      <x:c r="G13" s="34" t="n">
        <x:v>0.0020818793499434636</x:v>
      </x:c>
      <x:c r="H13" s="34" t="n">
        <x:v>0.0060049394714766224</x:v>
      </x:c>
    </x:row>
    <x:row r="14">
      <x:c r="A14" s="32"/>
      <x:c r="B14" s="32"/>
      <x:c r="C14" s="32"/>
      <x:c r="D14" s="32"/>
      <x:c r="E14" s="32"/>
      <x:c r="F14" s="32"/>
      <x:c r="G14" s="32"/>
      <x:c r="H14" s="32"/>
    </x:row>
    <x:row r="15">
      <x:c r="A15" s="33" t="str">
        <x:v>平稳性与协整</x:v>
      </x:c>
      <x:c r="B15" s="33" t="str">
        <x:v>平稳性与协整</x:v>
      </x:c>
      <x:c r="C15" s="33" t="str">
        <x:v>平稳性与协整</x:v>
      </x:c>
      <x:c r="D15" s="33" t="str">
        <x:v>平稳性与协整</x:v>
      </x:c>
      <x:c r="E15" s="33" t="str">
        <x:v>平稳性与协整</x:v>
      </x:c>
      <x:c r="F15" s="33" t="str">
        <x:v>平稳性与协整</x:v>
      </x:c>
      <x:c r="G15" s="33" t="str">
        <x:v>平稳性与协整</x:v>
      </x:c>
      <x:c r="H15" s="33" t="str">
        <x:v>平稳性与协整</x:v>
      </x:c>
    </x:row>
    <x:row r="16">
      <x:c r="A16" s="27" t="str">
        <x:v>序列</x:v>
      </x:c>
      <x:c r="B16" s="28" t="str">
        <x:v>样本数</x:v>
      </x:c>
      <x:c r="C16" s="28" t="str">
        <x:v>ADF统计量</x:v>
      </x:c>
      <x:c r="D16" s="28" t="str">
        <x:v>p值</x:v>
      </x:c>
      <x:c r="E16" s="28" t="str">
        <x:v>使用滞后</x:v>
      </x:c>
      <x:c r="F16" s="29" t="str">
        <x:v>5%平稳？</x:v>
      </x:c>
      <x:c r="G16" s="32"/>
      <x:c r="H16" s="32"/>
    </x:row>
    <x:row r="17">
      <x:c r="A17" s="32" t="str">
        <x:v>BAMLH0A0HYM2 level (bps)</x:v>
      </x:c>
      <x:c r="B17" s="32" t="n">
        <x:v>2378</x:v>
      </x:c>
      <x:c r="C17" s="34" t="n">
        <x:v>-3.2647820879108114</x:v>
      </x:c>
      <x:c r="D17" s="34" t="n">
        <x:v>0.016528008911569747</x:v>
      </x:c>
      <x:c r="E17" s="32" t="n">
        <x:v>27</x:v>
      </x:c>
      <x:c r="F17" s="32" t="str">
        <x:v>是</x:v>
      </x:c>
      <x:c r="G17" s="32"/>
      <x:c r="H17" s="32"/>
    </x:row>
    <x:row r="18">
      <x:c r="A18" s="32" t="str">
        <x:v>CSI300 close</x:v>
      </x:c>
      <x:c r="B18" s="32" t="n">
        <x:v>2405</x:v>
      </x:c>
      <x:c r="C18" s="34" t="n">
        <x:v>-2.0945606141977504</x:v>
      </x:c>
      <x:c r="D18" s="34" t="n">
        <x:v>0.24670742367565313</x:v>
      </x:c>
      <x:c r="E18" s="32" t="n">
        <x:v>0</x:v>
      </x:c>
      <x:c r="F18" s="32" t="str">
        <x:v>否</x:v>
      </x:c>
      <x:c r="G18" s="32"/>
      <x:c r="H18" s="32"/>
    </x:row>
    <x:row r="19">
      <x:c r="A19" s="32" t="str">
        <x:v>BAMLH0A0HYM2 daily change (bps)</x:v>
      </x:c>
      <x:c r="B19" s="32" t="n">
        <x:v>2377</x:v>
      </x:c>
      <x:c r="C19" s="34" t="n">
        <x:v>-10.274211587677136</x:v>
      </x:c>
      <x:c r="D19" s="34" t="n">
        <x:v>3.92924294510525e-18</x:v>
      </x:c>
      <x:c r="E19" s="32" t="n">
        <x:v>27</x:v>
      </x:c>
      <x:c r="F19" s="32" t="str">
        <x:v>是</x:v>
      </x:c>
      <x:c r="G19" s="32"/>
      <x:c r="H19" s="32"/>
    </x:row>
    <x:row r="20">
      <x:c r="A20" s="32" t="str">
        <x:v>CSI300 log return</x:v>
      </x:c>
      <x:c r="B20" s="32" t="n">
        <x:v>2400</x:v>
      </x:c>
      <x:c r="C20" s="34" t="n">
        <x:v>-21.516935147358915</x:v>
      </x:c>
      <x:c r="D20" s="34" t="n">
        <x:v>0</x:v>
      </x:c>
      <x:c r="E20" s="32" t="n">
        <x:v>5</x:v>
      </x:c>
      <x:c r="F20" s="32" t="str">
        <x:v>是</x:v>
      </x:c>
      <x:c r="G20" s="32"/>
      <x:c r="H20" s="32"/>
    </x:row>
    <x:row r="21">
      <x:c r="A21" s="32"/>
      <x:c r="B21" s="32"/>
      <x:c r="C21" s="32"/>
      <x:c r="D21" s="32"/>
      <x:c r="E21" s="32"/>
      <x:c r="F21" s="32"/>
      <x:c r="G21" s="32"/>
      <x:c r="H21" s="32"/>
    </x:row>
    <x:row r="22">
      <x:c r="A22" s="27" t="str">
        <x:v>Engle-Granger协整</x:v>
      </x:c>
      <x:c r="B22" s="28" t="str">
        <x:v>统计量</x:v>
      </x:c>
      <x:c r="C22" s="28" t="str">
        <x:v>p值</x:v>
      </x:c>
      <x:c r="D22" s="29" t="str">
        <x:v>5%协整？</x:v>
      </x:c>
      <x:c r="E22" s="32"/>
      <x:c r="F22" s="32"/>
      <x:c r="G22" s="32"/>
      <x:c r="H22" s="32"/>
    </x:row>
    <x:row r="23">
      <x:c r="A23" s="32" t="str">
        <x:v>CSI300 close ~ OAS level</x:v>
      </x:c>
      <x:c r="B23" s="34" t="n">
        <x:v>-1.826271328508377</x:v>
      </x:c>
      <x:c r="C23" s="34" t="n">
        <x:v>0.6168755960393735</x:v>
      </x:c>
      <x:c r="D23" s="32" t="str">
        <x:v>否</x:v>
      </x:c>
      <x:c r="E23" s="32"/>
      <x:c r="F23" s="32"/>
      <x:c r="G23" s="32"/>
      <x:c r="H23" s="32"/>
    </x:row>
    <x:row r="24">
      <x:c r="A24" s="32"/>
      <x:c r="B24" s="32"/>
      <x:c r="C24" s="32"/>
      <x:c r="D24" s="32"/>
      <x:c r="E24" s="32"/>
      <x:c r="F24" s="32"/>
      <x:c r="G24" s="32"/>
      <x:c r="H24" s="32"/>
    </x:row>
    <x:row r="25">
      <x:c r="A25" s="33" t="str">
        <x:v>20日块自助法 95% 区间</x:v>
      </x:c>
      <x:c r="B25" s="33" t="str">
        <x:v>20日块自助法 95% 区间</x:v>
      </x:c>
      <x:c r="C25" s="33" t="str">
        <x:v>20日块自助法 95% 区间</x:v>
      </x:c>
      <x:c r="D25" s="33" t="str">
        <x:v>20日块自助法 95% 区间</x:v>
      </x:c>
      <x:c r="E25" s="33" t="str">
        <x:v>20日块自助法 95% 区间</x:v>
      </x:c>
      <x:c r="F25" s="33" t="str">
        <x:v>20日块自助法 95% 区间</x:v>
      </x:c>
      <x:c r="G25" s="33" t="str">
        <x:v>20日块自助法 95% 区间</x:v>
      </x:c>
      <x:c r="H25" s="33" t="str">
        <x:v>20日块自助法 95% 区间</x:v>
      </x:c>
    </x:row>
    <x:row r="26">
      <x:c r="A26" s="27" t="str">
        <x:v>口径</x:v>
      </x:c>
      <x:c r="B26" s="28" t="str">
        <x:v>迭代次数</x:v>
      </x:c>
      <x:c r="C26" s="28" t="str">
        <x:v>块长度</x:v>
      </x:c>
      <x:c r="D26" s="28" t="str">
        <x:v>95%下限</x:v>
      </x:c>
      <x:c r="E26" s="29" t="str">
        <x:v>95%上限</x:v>
      </x:c>
      <x:c r="F26" s="32"/>
      <x:c r="G26" s="32"/>
      <x:c r="H26" s="32"/>
    </x:row>
    <x:row r="27">
      <x:c r="A27" s="32" t="str">
        <x:v>同日期 ΔOAS vs CSI收益</x:v>
      </x:c>
      <x:c r="B27" s="32" t="n">
        <x:v>3000</x:v>
      </x:c>
      <x:c r="C27" s="32" t="n">
        <x:v>20</x:v>
      </x:c>
      <x:c r="D27" s="34" t="n">
        <x:v>-0.29811696642798</x:v>
      </x:c>
      <x:c r="E27" s="34" t="n">
        <x:v>-0.17080236927374</x:v>
      </x:c>
      <x:c r="F27" s="32"/>
      <x:c r="G27" s="32"/>
      <x:c r="H27" s="32"/>
    </x:row>
    <x:row r="28">
      <x:c r="A28" s="32" t="str">
        <x:v>前一美国收盘 ΔOAS vs CSI收益</x:v>
      </x:c>
      <x:c r="B28" s="32" t="n">
        <x:v>3000</x:v>
      </x:c>
      <x:c r="C28" s="32" t="n">
        <x:v>20</x:v>
      </x:c>
      <x:c r="D28" s="34" t="n">
        <x:v>-0.12727999654999037</x:v>
      </x:c>
      <x:c r="E28" s="34" t="n">
        <x:v>-0.03455892495646187</x:v>
      </x:c>
      <x:c r="F28" s="32"/>
      <x:c r="G28" s="32"/>
      <x:c r="H28" s="32"/>
    </x:row>
  </x:sheetData>
  <x:mergeCells>
    <x:mergeCell ref="A1:H2"/>
    <x:mergeCell ref="A4:H4"/>
    <x:mergeCell ref="A10:H10"/>
    <x:mergeCell ref="A15:H15"/>
    <x:mergeCell ref="A25:H2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28" hidden="0" customWidth="1"/>
    <x:col min="3" max="3" width="19.110000610351562" hidden="0" customWidth="1"/>
    <x:col min="4" max="4" width="19.110000610351562" hidden="0" customWidth="1"/>
    <x:col min="5" max="5" width="19.110000610351562" hidden="0" customWidth="1"/>
    <x:col min="6" max="6" width="19.110000610351562" hidden="0" customWidth="1"/>
    <x:col min="7" max="7" width="36" hidden="0" customWidth="1"/>
  </x:cols>
  <x:sheetData>
    <x:row r="1" ht="34" customHeight="1">
      <x:c r="A1" s="37" t="str">
        <x:v>数据与模型检查</x:v>
      </x:c>
      <x:c r="B1" s="37" t="str">
        <x:v>数据与模型检查</x:v>
      </x:c>
      <x:c r="C1" s="37" t="str">
        <x:v>数据与模型检查</x:v>
      </x:c>
      <x:c r="D1" s="37" t="str">
        <x:v>数据与模型检查</x:v>
      </x:c>
      <x:c r="E1" s="37" t="str">
        <x:v>数据与模型检查</x:v>
      </x:c>
      <x:c r="F1" s="37" t="str">
        <x:v>数据与模型检查</x:v>
      </x:c>
      <x:c r="G1" s="37" t="str">
        <x:v>数据与模型检查</x:v>
      </x:c>
    </x:row>
    <x:row r="2" ht="34" customHeight="1">
      <x:c r="A2" s="37" t="str">
        <x:v>数据与模型检查</x:v>
      </x:c>
      <x:c r="B2" s="37" t="str">
        <x:v>数据与模型检查</x:v>
      </x:c>
      <x:c r="C2" s="37" t="str">
        <x:v>数据与模型检查</x:v>
      </x:c>
      <x:c r="D2" s="37" t="str">
        <x:v>数据与模型检查</x:v>
      </x:c>
      <x:c r="E2" s="37" t="str">
        <x:v>数据与模型检查</x:v>
      </x:c>
      <x:c r="F2" s="37" t="str">
        <x:v>数据与模型检查</x:v>
      </x:c>
      <x:c r="G2" s="37" t="str">
        <x:v>数据与模型检查</x:v>
      </x:c>
    </x:row>
    <x:row r="3">
      <x:c r="A3" s="38"/>
      <x:c r="B3" s="38"/>
      <x:c r="C3" s="38"/>
      <x:c r="D3" s="38"/>
      <x:c r="E3" s="38"/>
      <x:c r="F3" s="38"/>
      <x:c r="G3" s="38"/>
    </x:row>
    <x:row r="4">
      <x:c r="A4" s="9" t="str">
        <x:v>检查项</x:v>
      </x:c>
      <x:c r="B4" s="10" t="str">
        <x:v>实际值</x:v>
      </x:c>
      <x:c r="C4" s="10" t="str">
        <x:v>预期值</x:v>
      </x:c>
      <x:c r="D4" s="10" t="str">
        <x:v>差异</x:v>
      </x:c>
      <x:c r="E4" s="10" t="str">
        <x:v>容忍度</x:v>
      </x:c>
      <x:c r="F4" s="10" t="str">
        <x:v>状态</x:v>
      </x:c>
      <x:c r="G4" s="11" t="str">
        <x:v>说明</x:v>
      </x:c>
    </x:row>
    <x:row r="5">
      <x:c r="A5" s="38" t="str">
        <x:v>HF文件SHA256</x:v>
      </x:c>
      <x:c r="B5" s="38" t="str">
        <x:v>416bf42bfb469635224e75544251b6d19f9de93550085645cd5900a6eede675c</x:v>
      </x:c>
      <x:c r="C5" s="38" t="str">
        <x:v>Published SHA256</x:v>
      </x:c>
      <x:c r="D5" s="38"/>
      <x:c r="E5" s="38"/>
      <x:c r="F5" s="38" t="str">
        <x:f>IF(B5="416bf42bfb469635224e75544251b6d19f9de93550085645cd5900a6eede675c","OK","FAIL")</x:f>
        <x:v>OK</x:v>
      </x:c>
      <x:c r="G5" s="38" t="str">
        <x:v>校验历史归档文件完整性</x:v>
      </x:c>
    </x:row>
    <x:row r="6">
      <x:c r="A6" s="38" t="str">
        <x:v>HF-FRED重叠最大差（百分点）</x:v>
      </x:c>
      <x:c r="B6" s="38" t="n">
        <x:v>0</x:v>
      </x:c>
      <x:c r="C6" s="38" t="n">
        <x:v>0</x:v>
      </x:c>
      <x:c r="D6" s="38" t="n">
        <x:f>B6-C6</x:f>
        <x:v>0</x:v>
      </x:c>
      <x:c r="E6" s="38" t="n">
        <x:v>0</x:v>
      </x:c>
      <x:c r="F6" s="38" t="str">
        <x:f>IF(ABS(D6)&lt;=E6,"OK","FAIL")</x:f>
        <x:v>OK</x:v>
      </x:c>
      <x:c r="G6" s="38" t="str">
        <x:v>697条重叠</x:v>
      </x:c>
    </x:row>
    <x:row r="7">
      <x:c r="A7" s="38" t="str">
        <x:v>HF-独立归档最大差（百分点）</x:v>
      </x:c>
      <x:c r="B7" s="38" t="n">
        <x:v>0</x:v>
      </x:c>
      <x:c r="C7" s="38" t="n">
        <x:v>0</x:v>
      </x:c>
      <x:c r="D7" s="38" t="n">
        <x:f>B7-C7</x:f>
        <x:v>0</x:v>
      </x:c>
      <x:c r="E7" s="38" t="n">
        <x:v>0</x:v>
      </x:c>
      <x:c r="F7" s="38" t="str">
        <x:f>IF(ABS(D7)&lt;=E7,"OK","FAIL")</x:f>
        <x:v>OK</x:v>
      </x:c>
      <x:c r="G7" s="38" t="str">
        <x:v>5510条重叠</x:v>
      </x:c>
    </x:row>
    <x:row r="8">
      <x:c r="A8" s="38" t="str">
        <x:v>OAS行数</x:v>
      </x:c>
      <x:c r="B8" s="38" t="n">
        <x:v>2614</x:v>
      </x:c>
      <x:c r="C8" s="38" t="n">
        <x:v>2614</x:v>
      </x:c>
      <x:c r="D8" s="38" t="n">
        <x:f>B8-C8</x:f>
        <x:v>0</x:v>
      </x:c>
      <x:c r="E8" s="38" t="n">
        <x:v>0</x:v>
      </x:c>
      <x:c r="F8" s="38" t="str">
        <x:f>IF(ABS(D8)&lt;=E8,"OK","FAIL")</x:f>
        <x:v>OK</x:v>
      </x:c>
      <x:c r="G8" s="38" t="str">
        <x:v>2016-07-26至2026-07-23</x:v>
      </x:c>
    </x:row>
    <x:row r="9">
      <x:c r="A9" s="38" t="str">
        <x:v>CSI300行数</x:v>
      </x:c>
      <x:c r="B9" s="38" t="n">
        <x:v>2427</x:v>
      </x:c>
      <x:c r="C9" s="38" t="n">
        <x:v>2427</x:v>
      </x:c>
      <x:c r="D9" s="38" t="n">
        <x:f>B9-C9</x:f>
        <x:v>0</x:v>
      </x:c>
      <x:c r="E9" s="38" t="n">
        <x:v>0</x:v>
      </x:c>
      <x:c r="F9" s="38" t="str">
        <x:f>IF(ABS(D9)&lt;=E9,"OK","FAIL")</x:f>
        <x:v>OK</x:v>
      </x:c>
      <x:c r="G9" s="38" t="str">
        <x:v>2016-07-26至2026-07-24</x:v>
      </x:c>
    </x:row>
    <x:row r="10">
      <x:c r="A10" s="38" t="str">
        <x:v>共同日期行数</x:v>
      </x:c>
      <x:c r="B10" s="38" t="n">
        <x:v>2406</x:v>
      </x:c>
      <x:c r="C10" s="38" t="n">
        <x:v>2406</x:v>
      </x:c>
      <x:c r="D10" s="38" t="n">
        <x:f>B10-C10</x:f>
        <x:v>0</x:v>
      </x:c>
      <x:c r="E10" s="38" t="n">
        <x:v>0</x:v>
      </x:c>
      <x:c r="F10" s="38" t="str">
        <x:f>IF(ABS(D10)&lt;=E10,"OK","FAIL")</x:f>
        <x:v>OK</x:v>
      </x:c>
      <x:c r="G10" s="38" t="str">
        <x:v>共同样本截至2026-07-23</x:v>
      </x:c>
    </x:row>
    <x:row r="11">
      <x:c r="A11" s="38" t="str">
        <x:v>协整检验p值</x:v>
      </x:c>
      <x:c r="B11" s="38" t="n">
        <x:v>0.6168755960393735</x:v>
      </x:c>
      <x:c r="C11" s="38" t="n">
        <x:v>0.05</x:v>
      </x:c>
      <x:c r="D11" s="38"/>
      <x:c r="E11" s="38"/>
      <x:c r="F11" s="38" t="str">
        <x:f>IF(B11&gt;C11,"OK","FAIL")</x:f>
        <x:v>OK</x:v>
      </x:c>
      <x:c r="G11" s="38" t="str">
        <x:v>此项预期为不协整，状态按p&gt;0.05判定</x:v>
      </x:c>
    </x:row>
    <x:row r="12">
      <x:c r="A12" s="38"/>
      <x:c r="B12" s="38"/>
      <x:c r="C12" s="38"/>
      <x:c r="D12" s="38"/>
      <x:c r="E12" s="38"/>
      <x:c r="F12" s="38"/>
      <x:c r="G12" s="38"/>
    </x:row>
    <x:row r="13">
      <x:c r="A13" s="39" t="str">
        <x:v>总状态</x:v>
      </x:c>
      <x:c r="B13" s="39" t="str">
        <x:f>IF(COUNTIF(F5:F11,"FAIL")=0,"OK","CHECK")</x:f>
        <x:v>OK</x:v>
      </x:c>
      <x:c r="C13" s="38"/>
      <x:c r="D13" s="38"/>
      <x:c r="E13" s="38"/>
      <x:c r="F13" s="38"/>
      <x:c r="G13" s="38"/>
    </x:row>
    <x:row r="14">
      <x:c r="A14" s="38" t="str">
        <x:v>口径提示</x:v>
      </x:c>
      <x:c r="B14" s="38" t="str">
        <x:v>水平相关不作为交易结论；盘前优先看前一美国收盘。</x:v>
      </x:c>
      <x:c r="C14" s="38"/>
      <x:c r="D14" s="38"/>
      <x:c r="E14" s="38"/>
      <x:c r="F14" s="38"/>
      <x:c r="G14" s="38"/>
    </x:row>
  </x:sheetData>
  <x:mergeCells>
    <x:mergeCell ref="A1:G2"/>
  </x:mergeCells>
  <x:conditionalFormatting sqref="F5:F11">
    <x:cfRule type="containsText" dxfId="0" priority="1" operator="containsText" text="OK"/>
    <x:cfRule type="containsText" dxfId="1" priority="2" operator="containsText" text="FAIL"/>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3.6700000762939453" hidden="0" customWidth="1"/>
    <x:col min="3" max="3" width="10.670000076293945" hidden="0" customWidth="1"/>
    <x:col min="4" max="4" width="10.890000343322754" hidden="0" customWidth="1"/>
    <x:col min="5" max="5" width="13.890000343322754" hidden="0" customWidth="1"/>
    <x:col min="6" max="6" width="12.329999923706055" hidden="0" customWidth="1"/>
  </x:cols>
  <x:sheetData>
    <x:row r="1">
      <x:c r="A1" s="9" t="str">
        <x:v>year</x:v>
      </x:c>
      <x:c r="B1" s="10" t="str">
        <x:v>n</x:v>
      </x:c>
      <x:c r="C1" s="10" t="str">
        <x:v>pearson_r</x:v>
      </x:c>
      <x:c r="D1" s="10" t="str">
        <x:v>pearson_p</x:v>
      </x:c>
      <x:c r="E1" s="10" t="str">
        <x:v>spearman_rho</x:v>
      </x:c>
      <x:c r="F1" s="11" t="str">
        <x:v>spearman_p</x:v>
      </x:c>
    </x:row>
    <x:row r="2">
      <x:c r="A2" s="12" t="n">
        <x:v>2016</x:v>
      </x:c>
      <x:c r="B2" s="12" t="n">
        <x:v>105</x:v>
      </x:c>
      <x:c r="C2" s="12" t="n">
        <x:v>-0.22841850505144576</x:v>
      </x:c>
      <x:c r="D2" s="12" t="n">
        <x:v>0.019096148669563325</x:v>
      </x:c>
      <x:c r="E2" s="12" t="n">
        <x:v>-0.251761252347254</x:v>
      </x:c>
      <x:c r="F2" s="12" t="n">
        <x:v>0.009575963079542959</x:v>
      </x:c>
    </x:row>
    <x:row r="3">
      <x:c r="A3" s="12" t="n">
        <x:v>2017</x:v>
      </x:c>
      <x:c r="B3" s="12" t="n">
        <x:v>242</x:v>
      </x:c>
      <x:c r="C3" s="12" t="n">
        <x:v>-0.11594586811909319</x:v>
      </x:c>
      <x:c r="D3" s="12" t="n">
        <x:v>0.07179235854504502</x:v>
      </x:c>
      <x:c r="E3" s="12" t="n">
        <x:v>-0.1037587269703925</x:v>
      </x:c>
      <x:c r="F3" s="12" t="n">
        <x:v>0.10737635642399829</x:v>
      </x:c>
    </x:row>
    <x:row r="4">
      <x:c r="A4" s="12" t="n">
        <x:v>2018</x:v>
      </x:c>
      <x:c r="B4" s="12" t="n">
        <x:v>241</x:v>
      </x:c>
      <x:c r="C4" s="12" t="n">
        <x:v>-0.30614897920386674</x:v>
      </x:c>
      <x:c r="D4" s="12" t="n">
        <x:v>0.000001267179063582532</x:v>
      </x:c>
      <x:c r="E4" s="12" t="n">
        <x:v>-0.28320970488247615</x:v>
      </x:c>
      <x:c r="F4" s="12" t="n">
        <x:v>0.000007988121365608124</x:v>
      </x:c>
    </x:row>
    <x:row r="5">
      <x:c r="A5" s="12" t="n">
        <x:v>2019</x:v>
      </x:c>
      <x:c r="B5" s="12" t="n">
        <x:v>241</x:v>
      </x:c>
      <x:c r="C5" s="12" t="n">
        <x:v>-0.3145757011969513</x:v>
      </x:c>
      <x:c r="D5" s="12" t="n">
        <x:v>6.187313736955312e-7</x:v>
      </x:c>
      <x:c r="E5" s="12" t="n">
        <x:v>-0.2579032269087039</x:v>
      </x:c>
      <x:c r="F5" s="12" t="n">
        <x:v>0.00005085298263446916</x:v>
      </x:c>
    </x:row>
    <x:row r="6">
      <x:c r="A6" s="12" t="n">
        <x:v>2020</x:v>
      </x:c>
      <x:c r="B6" s="12" t="n">
        <x:v>241</x:v>
      </x:c>
      <x:c r="C6" s="12" t="n">
        <x:v>-0.3931104259136432</x:v>
      </x:c>
      <x:c r="D6" s="12" t="n">
        <x:v>2.490537482257576e-10</x:v>
      </x:c>
      <x:c r="E6" s="12" t="n">
        <x:v>-0.3392769285530313</x:v>
      </x:c>
      <x:c r="F6" s="12" t="n">
        <x:v>6.640057919244175e-8</x:v>
      </x:c>
    </x:row>
    <x:row r="7">
      <x:c r="A7" s="12" t="n">
        <x:v>2021</x:v>
      </x:c>
      <x:c r="B7" s="12" t="n">
        <x:v>241</x:v>
      </x:c>
      <x:c r="C7" s="12" t="n">
        <x:v>-0.09624627847586673</x:v>
      </x:c>
      <x:c r="D7" s="12" t="n">
        <x:v>0.13626721656250051</x:v>
      </x:c>
      <x:c r="E7" s="12" t="n">
        <x:v>-0.09454354922734173</x:v>
      </x:c>
      <x:c r="F7" s="12" t="n">
        <x:v>0.1433690368628074</x:v>
      </x:c>
    </x:row>
    <x:row r="8">
      <x:c r="A8" s="12" t="n">
        <x:v>2022</x:v>
      </x:c>
      <x:c r="B8" s="12" t="n">
        <x:v>240</x:v>
      </x:c>
      <x:c r="C8" s="12" t="n">
        <x:v>-0.2236434583654663</x:v>
      </x:c>
      <x:c r="D8" s="12" t="n">
        <x:v>0.00048139370022300224</x:v>
      </x:c>
      <x:c r="E8" s="12" t="n">
        <x:v>-0.20691996058160383</x:v>
      </x:c>
      <x:c r="F8" s="12" t="n">
        <x:v>0.001264949830149644</x:v>
      </x:c>
    </x:row>
    <x:row r="9">
      <x:c r="A9" s="12" t="n">
        <x:v>2023</x:v>
      </x:c>
      <x:c r="B9" s="12" t="n">
        <x:v>240</x:v>
      </x:c>
      <x:c r="C9" s="12" t="n">
        <x:v>-0.09411889348114517</x:v>
      </x:c>
      <x:c r="D9" s="12" t="n">
        <x:v>0.14602949520505937</x:v>
      </x:c>
      <x:c r="E9" s="12" t="n">
        <x:v>-0.1718435348280285</x:v>
      </x:c>
      <x:c r="F9" s="12" t="n">
        <x:v>0.007626636204957302</x:v>
      </x:c>
    </x:row>
    <x:row r="10">
      <x:c r="A10" s="12" t="n">
        <x:v>2024</x:v>
      </x:c>
      <x:c r="B10" s="12" t="n">
        <x:v>240</x:v>
      </x:c>
      <x:c r="C10" s="12" t="n">
        <x:v>-0.0712371871684784</x:v>
      </x:c>
      <x:c r="D10" s="12" t="n">
        <x:v>0.2716646400488677</x:v>
      </x:c>
      <x:c r="E10" s="12" t="n">
        <x:v>-0.01814146811848163</x:v>
      </x:c>
      <x:c r="F10" s="12" t="n">
        <x:v>0.7797827762194776</x:v>
      </x:c>
    </x:row>
    <x:row r="11">
      <x:c r="A11" s="12" t="n">
        <x:v>2025</x:v>
      </x:c>
      <x:c r="B11" s="12" t="n">
        <x:v>241</x:v>
      </x:c>
      <x:c r="C11" s="12" t="n">
        <x:v>-0.24697488535622283</x:v>
      </x:c>
      <x:c r="D11" s="12" t="n">
        <x:v>0.00010691605755737673</x:v>
      </x:c>
      <x:c r="E11" s="12" t="n">
        <x:v>-0.21489957079644972</x:v>
      </x:c>
      <x:c r="F11" s="12" t="n">
        <x:v>0.0007847635064714854</x:v>
      </x:c>
    </x:row>
    <x:row r="12">
      <x:c r="A12" s="12" t="n">
        <x:v>2026</x:v>
      </x:c>
      <x:c r="B12" s="12" t="n">
        <x:v>133</x:v>
      </x:c>
      <x:c r="C12" s="12" t="n">
        <x:v>-0.15835039611209095</x:v>
      </x:c>
      <x:c r="D12" s="12" t="n">
        <x:v>0.06869027721113982</x:v>
      </x:c>
      <x:c r="E12" s="12" t="n">
        <x:v>-0.1396627617302735</x:v>
      </x:c>
      <x:c r="F12" s="12" t="n">
        <x:v>0.10886088648664653</x:v>
      </x:c>
    </x:row>
  </x:sheetData>
  <x:pageMargins left="0.7" right="0.7" top="0.75" bottom="0.75" header="0.3" footer="0.3"/>
  <x:tableParts count="1">
    <x:tablePart xmlns:r="http://schemas.openxmlformats.org/officeDocument/2006/relationships" r:id="Rb6f3aa9070f04e6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24" hidden="0" customWidth="1"/>
    <x:col min="3" max="3" width="4.110000133514404" hidden="0" customWidth="1"/>
    <x:col min="4" max="4" width="10.670000076293945" hidden="0" customWidth="1"/>
    <x:col min="5" max="5" width="10.890000343322754" hidden="0" customWidth="1"/>
    <x:col min="6" max="6" width="13.890000343322754" hidden="0" customWidth="1"/>
    <x:col min="7" max="7" width="12.329999923706055" hidden="0" customWidth="1"/>
    <x:col min="8" max="8" width="13.670000076293945" hidden="0" customWidth="1"/>
  </x:cols>
  <x:sheetData>
    <x:row r="1">
      <x:c r="A1" s="9" t="str">
        <x:v>k_common_sessions</x:v>
      </x:c>
      <x:c r="B1" s="10" t="str">
        <x:v>definition</x:v>
      </x:c>
      <x:c r="C1" s="10" t="str">
        <x:v>n</x:v>
      </x:c>
      <x:c r="D1" s="10" t="str">
        <x:v>pearson_r</x:v>
      </x:c>
      <x:c r="E1" s="10" t="str">
        <x:v>pearson_p</x:v>
      </x:c>
      <x:c r="F1" s="10" t="str">
        <x:v>spearman_rho</x:v>
      </x:c>
      <x:c r="G1" s="10" t="str">
        <x:v>spearman_p</x:v>
      </x:c>
      <x:c r="H1" s="11" t="str">
        <x:v>pearson_q_bh</x:v>
      </x:c>
    </x:row>
    <x:row r="2">
      <x:c r="A2" s="12" t="n">
        <x:v>-5</x:v>
      </x:c>
      <x:c r="B2" s="12" t="str">
        <x:v>ΔOAS(t) vs CSI return(t+k); k&gt;0 tests future CSI return</x:v>
      </x:c>
      <x:c r="C2" s="12" t="n">
        <x:v>2401</x:v>
      </x:c>
      <x:c r="D2" s="12" t="n">
        <x:v>0.00005068782749948191</x:v>
      </x:c>
      <x:c r="E2" s="12" t="n">
        <x:v>0.9980193252761185</x:v>
      </x:c>
      <x:c r="F2" s="12" t="n">
        <x:v>0.0037309719011615274</x:v>
      </x:c>
      <x:c r="G2" s="12" t="n">
        <x:v>0.8550153223586017</x:v>
      </x:c>
      <x:c r="H2" s="12" t="n">
        <x:v>0.9980193252761185</x:v>
      </x:c>
    </x:row>
    <x:row r="3">
      <x:c r="A3" s="12" t="n">
        <x:v>-4</x:v>
      </x:c>
      <x:c r="B3" s="12" t="str">
        <x:v>ΔOAS(t) vs CSI return(t+k); k&gt;0 tests future CSI return</x:v>
      </x:c>
      <x:c r="C3" s="12" t="n">
        <x:v>2402</x:v>
      </x:c>
      <x:c r="D3" s="12" t="n">
        <x:v>-0.01803368969212141</x:v>
      </x:c>
      <x:c r="E3" s="12" t="n">
        <x:v>0.37699503740499823</x:v>
      </x:c>
      <x:c r="F3" s="12" t="n">
        <x:v>0.000604925183817438</x:v>
      </x:c>
      <x:c r="G3" s="12" t="n">
        <x:v>0.9763604831650236</x:v>
      </x:c>
      <x:c r="H3" s="12" t="n">
        <x:v>0.5924207730649972</x:v>
      </x:c>
    </x:row>
    <x:row r="4">
      <x:c r="A4" s="12" t="n">
        <x:v>-3</x:v>
      </x:c>
      <x:c r="B4" s="12" t="str">
        <x:v>ΔOAS(t) vs CSI return(t+k); k&gt;0 tests future CSI return</x:v>
      </x:c>
      <x:c r="C4" s="12" t="n">
        <x:v>2403</x:v>
      </x:c>
      <x:c r="D4" s="12" t="n">
        <x:v>-0.010442932995320089</x:v>
      </x:c>
      <x:c r="E4" s="12" t="n">
        <x:v>0.6088859124333778</x:v>
      </x:c>
      <x:c r="F4" s="12" t="n">
        <x:v>0.0069855037403368835</x:v>
      </x:c>
      <x:c r="G4" s="12" t="n">
        <x:v>0.7321565743180917</x:v>
      </x:c>
      <x:c r="H4" s="12" t="n">
        <x:v>0.7441938929741283</x:v>
      </x:c>
    </x:row>
    <x:row r="5">
      <x:c r="A5" s="12" t="n">
        <x:v>-2</x:v>
      </x:c>
      <x:c r="B5" s="12" t="str">
        <x:v>ΔOAS(t) vs CSI return(t+k); k&gt;0 tests future CSI return</x:v>
      </x:c>
      <x:c r="C5" s="12" t="n">
        <x:v>2404</x:v>
      </x:c>
      <x:c r="D5" s="12" t="n">
        <x:v>-0.014268701988853804</x:v>
      </x:c>
      <x:c r="E5" s="12" t="n">
        <x:v>0.4843803147000762</x:v>
      </x:c>
      <x:c r="F5" s="12" t="n">
        <x:v>-0.013162839058805423</x:v>
      </x:c>
      <x:c r="G5" s="12" t="n">
        <x:v>0.5188790903239977</x:v>
      </x:c>
      <x:c r="H5" s="12" t="n">
        <x:v>0.6660229327126047</x:v>
      </x:c>
    </x:row>
    <x:row r="6">
      <x:c r="A6" s="12" t="n">
        <x:v>-1</x:v>
      </x:c>
      <x:c r="B6" s="12" t="str">
        <x:v>ΔOAS(t) vs CSI return(t+k); k&gt;0 tests future CSI return</x:v>
      </x:c>
      <x:c r="C6" s="12" t="n">
        <x:v>2405</x:v>
      </x:c>
      <x:c r="D6" s="12" t="n">
        <x:v>-0.01892419899959178</x:v>
      </x:c>
      <x:c r="E6" s="12" t="n">
        <x:v>0.353584774124891</x:v>
      </x:c>
      <x:c r="F6" s="12" t="n">
        <x:v>-0.011218647371358071</x:v>
      </x:c>
      <x:c r="G6" s="12" t="n">
        <x:v>0.5823860998991145</x:v>
      </x:c>
      <x:c r="H6" s="12" t="n">
        <x:v>0.5924207730649972</x:v>
      </x:c>
    </x:row>
    <x:row r="7">
      <x:c r="A7" s="12" t="n">
        <x:v>0</x:v>
      </x:c>
      <x:c r="B7" s="12" t="str">
        <x:v>ΔOAS(t) vs CSI return(t+k); k&gt;0 tests future CSI return</x:v>
      </x:c>
      <x:c r="C7" s="12" t="n">
        <x:v>2405</x:v>
      </x:c>
      <x:c r="D7" s="12" t="n">
        <x:v>-0.23162045565551187</x:v>
      </x:c>
      <x:c r="E7" s="12" t="n">
        <x:v>1.1773799716540561e-30</x:v>
      </x:c>
      <x:c r="F7" s="12" t="n">
        <x:v>-0.19192131293522224</x:v>
      </x:c>
      <x:c r="G7" s="12" t="n">
        <x:v>2.1919574534244758e-21</x:v>
      </x:c>
      <x:c r="H7" s="12" t="n">
        <x:v>1.2951179688194617e-29</x:v>
      </x:c>
    </x:row>
    <x:row r="8">
      <x:c r="A8" s="12" t="n">
        <x:v>1</x:v>
      </x:c>
      <x:c r="B8" s="12" t="str">
        <x:v>ΔOAS(t) vs CSI return(t+k); k&gt;0 tests future CSI return</x:v>
      </x:c>
      <x:c r="C8" s="12" t="n">
        <x:v>2404</x:v>
      </x:c>
      <x:c r="D8" s="12" t="n">
        <x:v>-0.07532389474943395</x:v>
      </x:c>
      <x:c r="E8" s="12" t="n">
        <x:v>0.00021858600960654453</x:v>
      </x:c>
      <x:c r="F8" s="12" t="n">
        <x:v>-0.08916299148745593</x:v>
      </x:c>
      <x:c r="G8" s="12" t="n">
        <x:v>0.000011968342689023271</x:v>
      </x:c>
      <x:c r="H8" s="12" t="n">
        <x:v>0.001202223052835995</x:v>
      </x:c>
    </x:row>
    <x:row r="9">
      <x:c r="A9" s="12" t="n">
        <x:v>2</x:v>
      </x:c>
      <x:c r="B9" s="12" t="str">
        <x:v>ΔOAS(t) vs CSI return(t+k); k&gt;0 tests future CSI return</x:v>
      </x:c>
      <x:c r="C9" s="12" t="n">
        <x:v>2403</x:v>
      </x:c>
      <x:c r="D9" s="12" t="n">
        <x:v>-0.026668795676438872</x:v>
      </x:c>
      <x:c r="E9" s="12" t="n">
        <x:v>0.19125776472279513</x:v>
      </x:c>
      <x:c r="F9" s="12" t="n">
        <x:v>-0.00994818761482955</x:v>
      </x:c>
      <x:c r="G9" s="12" t="n">
        <x:v>0.6259589517727945</x:v>
      </x:c>
      <x:c r="H9" s="12" t="n">
        <x:v>0.4207670823901493</x:v>
      </x:c>
    </x:row>
    <x:row r="10">
      <x:c r="A10" s="12" t="n">
        <x:v>3</x:v>
      </x:c>
      <x:c r="B10" s="12" t="str">
        <x:v>ΔOAS(t) vs CSI return(t+k); k&gt;0 tests future CSI return</x:v>
      </x:c>
      <x:c r="C10" s="12" t="n">
        <x:v>2402</x:v>
      </x:c>
      <x:c r="D10" s="12" t="n">
        <x:v>-0.02890974356092377</x:v>
      </x:c>
      <x:c r="E10" s="12" t="n">
        <x:v>0.15664937611133284</x:v>
      </x:c>
      <x:c r="F10" s="12" t="n">
        <x:v>-0.02539865231630828</x:v>
      </x:c>
      <x:c r="G10" s="12" t="n">
        <x:v>0.2133722901133035</x:v>
      </x:c>
      <x:c r="H10" s="12" t="n">
        <x:v>0.4207670823901493</x:v>
      </x:c>
    </x:row>
    <x:row r="11">
      <x:c r="A11" s="12" t="n">
        <x:v>4</x:v>
      </x:c>
      <x:c r="B11" s="12" t="str">
        <x:v>ΔOAS(t) vs CSI return(t+k); k&gt;0 tests future CSI return</x:v>
      </x:c>
      <x:c r="C11" s="12" t="n">
        <x:v>2401</x:v>
      </x:c>
      <x:c r="D11" s="12" t="n">
        <x:v>-0.0013443203051915278</x:v>
      </x:c>
      <x:c r="E11" s="12" t="n">
        <x:v>0.9475072619298248</x:v>
      </x:c>
      <x:c r="F11" s="12" t="n">
        <x:v>-0.023134929213135317</x:v>
      </x:c>
      <x:c r="G11" s="12" t="n">
        <x:v>0.2571416657589972</x:v>
      </x:c>
      <x:c r="H11" s="12" t="n">
        <x:v>0.9980193252761185</x:v>
      </x:c>
    </x:row>
    <x:row r="12">
      <x:c r="A12" s="12" t="n">
        <x:v>5</x:v>
      </x:c>
      <x:c r="B12" s="12" t="str">
        <x:v>ΔOAS(t) vs CSI return(t+k); k&gt;0 tests future CSI return</x:v>
      </x:c>
      <x:c r="C12" s="12" t="n">
        <x:v>2400</x:v>
      </x:c>
      <x:c r="D12" s="12" t="n">
        <x:v>-0.046168679561527745</x:v>
      </x:c>
      <x:c r="E12" s="12" t="n">
        <x:v>0.02370840752524817</x:v>
      </x:c>
      <x:c r="F12" s="12" t="n">
        <x:v>-0.002802879475435282</x:v>
      </x:c>
      <x:c r="G12" s="12" t="n">
        <x:v>0.8908401255540359</x:v>
      </x:c>
      <x:c r="H12" s="12" t="n">
        <x:v>0.08693082759257663</x:v>
      </x:c>
    </x:row>
  </x:sheetData>
  <x:pageMargins left="0.7" right="0.7" top="0.75" bottom="0.75" header="0.3" footer="0.3"/>
  <x:tableParts count="1">
    <x:tablePart xmlns:r="http://schemas.openxmlformats.org/officeDocument/2006/relationships" r:id="R2458fcd8ec09454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5.779999732971191" hidden="0" customWidth="1"/>
    <x:col min="3" max="3" width="16.440000534057617" hidden="0" customWidth="1"/>
    <x:col min="4" max="4" width="15.220000267028809" hidden="0" customWidth="1"/>
    <x:col min="5" max="5" width="16.110000610351562" hidden="0" customWidth="1"/>
  </x:cols>
  <x:sheetData>
    <x:row r="1" ht="30" customHeight="1">
      <x:c r="A1" s="9" t="str">
        <x:v>date</x:v>
      </x:c>
      <x:c r="B1" s="10" t="str">
        <x:v>oas_change_bps</x:v>
      </x:c>
      <x:c r="C1" s="10" t="str">
        <x:v>csi300_log_return</x:v>
      </x:c>
      <x:c r="D1" s="10" t="str">
        <x:v>rolling_63d_corr</x:v>
      </x:c>
      <x:c r="E1" s="11" t="str">
        <x:v>rolling_252d_corr</x:v>
      </x:c>
    </x:row>
    <x:row r="2" ht="18" customHeight="1">
      <x:c r="A2" s="13" t="n">
        <x:v>42577</x:v>
      </x:c>
      <x:c r="B2" s="12"/>
      <x:c r="C2" s="12" t="n">
        <x:v>0.01190795074409212</x:v>
      </x:c>
      <x:c r="D2" s="12"/>
      <x:c r="E2" s="12"/>
    </x:row>
    <x:row r="3" ht="18" customHeight="1">
      <x:c r="A3" s="13" t="n">
        <x:v>42578</x:v>
      </x:c>
      <x:c r="B3" s="12" t="n">
        <x:v>6</x:v>
      </x:c>
      <x:c r="C3" s="12" t="n">
        <x:v>-0.015828485797177723</x:v>
      </x:c>
      <x:c r="D3" s="12"/>
      <x:c r="E3" s="12"/>
    </x:row>
    <x:row r="4" ht="18" customHeight="1">
      <x:c r="A4" s="13" t="n">
        <x:v>42579</x:v>
      </x:c>
      <x:c r="B4" s="12" t="n">
        <x:v>3</x:v>
      </x:c>
      <x:c r="C4" s="12" t="n">
        <x:v>0.0008986891344864949</x:v>
      </x:c>
      <x:c r="D4" s="12"/>
      <x:c r="E4" s="12"/>
    </x:row>
    <x:row r="5" ht="18" customHeight="1">
      <x:c r="A5" s="13" t="n">
        <x:v>42580</x:v>
      </x:c>
      <x:c r="B5" s="12" t="n">
        <x:v>7</x:v>
      </x:c>
      <x:c r="C5" s="12" t="n">
        <x:v>-0.005355941470840886</x:v>
      </x:c>
      <x:c r="D5" s="12"/>
      <x:c r="E5" s="12"/>
    </x:row>
    <x:row r="6" ht="18" customHeight="1">
      <x:c r="A6" s="13" t="n">
        <x:v>42583</x:v>
      </x:c>
      <x:c r="B6" s="12" t="n">
        <x:v>0</x:v>
      </x:c>
      <x:c r="C6" s="12" t="n">
        <x:v>-0.008501040775170844</x:v>
      </x:c>
      <x:c r="D6" s="12"/>
      <x:c r="E6" s="12"/>
    </x:row>
    <x:row r="7" ht="18" customHeight="1">
      <x:c r="A7" s="13" t="n">
        <x:v>42584</x:v>
      </x:c>
      <x:c r="B7" s="12" t="n">
        <x:v>4</x:v>
      </x:c>
      <x:c r="C7" s="12" t="n">
        <x:v>0.0038467108139667687</x:v>
      </x:c>
      <x:c r="D7" s="12"/>
      <x:c r="E7" s="12"/>
    </x:row>
    <x:row r="8" ht="18" customHeight="1">
      <x:c r="A8" s="13" t="n">
        <x:v>42585</x:v>
      </x:c>
      <x:c r="B8" s="12" t="n">
        <x:v>-1</x:v>
      </x:c>
      <x:c r="C8" s="12" t="n">
        <x:v>0.0013958037475924041</x:v>
      </x:c>
      <x:c r="D8" s="12"/>
      <x:c r="E8" s="12"/>
    </x:row>
    <x:row r="9" ht="18" customHeight="1">
      <x:c r="A9" s="13" t="n">
        <x:v>42586</x:v>
      </x:c>
      <x:c r="B9" s="12" t="n">
        <x:v>-7</x:v>
      </x:c>
      <x:c r="C9" s="12" t="n">
        <x:v>0.0024336988135545256</x:v>
      </x:c>
      <x:c r="D9" s="12"/>
      <x:c r="E9" s="12"/>
    </x:row>
    <x:row r="10" ht="18" customHeight="1">
      <x:c r="A10" s="13" t="n">
        <x:v>42587</x:v>
      </x:c>
      <x:c r="B10" s="12" t="n">
        <x:v>-19</x:v>
      </x:c>
      <x:c r="C10" s="12" t="n">
        <x:v>0.0011929636330307713</x:v>
      </x:c>
      <x:c r="D10" s="12"/>
      <x:c r="E10" s="12"/>
    </x:row>
    <x:row r="11" ht="18" customHeight="1">
      <x:c r="A11" s="13" t="n">
        <x:v>42590</x:v>
      </x:c>
      <x:c r="B11" s="12" t="n">
        <x:v>-4</x:v>
      </x:c>
      <x:c r="C11" s="12" t="n">
        <x:v>0.0090299962272696</x:v>
      </x:c>
      <x:c r="D11" s="12"/>
      <x:c r="E11" s="12"/>
    </x:row>
    <x:row r="12" ht="18" customHeight="1">
      <x:c r="A12" s="13" t="n">
        <x:v>42591</x:v>
      </x:c>
      <x:c r="B12" s="12" t="n">
        <x:v>-6</x:v>
      </x:c>
      <x:c r="C12" s="12" t="n">
        <x:v>0.007024346213754837</x:v>
      </x:c>
      <x:c r="D12" s="12"/>
      <x:c r="E12" s="12"/>
    </x:row>
    <x:row r="13" ht="18" customHeight="1">
      <x:c r="A13" s="13" t="n">
        <x:v>42592</x:v>
      </x:c>
      <x:c r="B13" s="12" t="n">
        <x:v>2</x:v>
      </x:c>
      <x:c r="C13" s="12" t="n">
        <x:v>-0.004196844279891693</x:v>
      </x:c>
      <x:c r="D13" s="12"/>
      <x:c r="E13" s="12"/>
    </x:row>
    <x:row r="14" ht="18" customHeight="1">
      <x:c r="A14" s="13" t="n">
        <x:v>42593</x:v>
      </x:c>
      <x:c r="B14" s="12" t="n">
        <x:v>-7</x:v>
      </x:c>
      <x:c r="C14" s="12" t="n">
        <x:v>-0.0030819725776225675</x:v>
      </x:c>
      <x:c r="D14" s="12"/>
      <x:c r="E14" s="12"/>
    </x:row>
    <x:row r="15" ht="18" customHeight="1">
      <x:c r="A15" s="13" t="n">
        <x:v>42594</x:v>
      </x:c>
      <x:c r="B15" s="12" t="n">
        <x:v>3</x:v>
      </x:c>
      <x:c r="C15" s="12" t="n">
        <x:v>0.0186516084752912</x:v>
      </x:c>
      <x:c r="D15" s="12"/>
      <x:c r="E15" s="12"/>
    </x:row>
    <x:row r="16" ht="18" customHeight="1">
      <x:c r="A16" s="13" t="n">
        <x:v>42597</x:v>
      </x:c>
      <x:c r="B16" s="12" t="n">
        <x:v>-11</x:v>
      </x:c>
      <x:c r="C16" s="12" t="n">
        <x:v>0.029665835270030912</x:v>
      </x:c>
      <x:c r="D16" s="12"/>
      <x:c r="E16" s="12"/>
    </x:row>
    <x:row r="17" ht="18" customHeight="1">
      <x:c r="A17" s="13" t="n">
        <x:v>42598</x:v>
      </x:c>
      <x:c r="B17" s="12" t="n">
        <x:v>-6</x:v>
      </x:c>
      <x:c r="C17" s="12" t="n">
        <x:v>-0.0044830382056433955</x:v>
      </x:c>
      <x:c r="D17" s="12"/>
      <x:c r="E17" s="12"/>
    </x:row>
    <x:row r="18" ht="18" customHeight="1">
      <x:c r="A18" s="13" t="n">
        <x:v>42599</x:v>
      </x:c>
      <x:c r="B18" s="12" t="n">
        <x:v>2</x:v>
      </x:c>
      <x:c r="C18" s="12" t="n">
        <x:v>-0.0015397054335406538</x:v>
      </x:c>
      <x:c r="D18" s="12"/>
      <x:c r="E18" s="12"/>
    </x:row>
    <x:row r="19" ht="18" customHeight="1">
      <x:c r="A19" s="13" t="n">
        <x:v>42600</x:v>
      </x:c>
      <x:c r="B19" s="12" t="n">
        <x:v>1</x:v>
      </x:c>
      <x:c r="C19" s="12" t="n">
        <x:v>-0.0025417330025779114</x:v>
      </x:c>
      <x:c r="D19" s="12"/>
      <x:c r="E19" s="12"/>
    </x:row>
    <x:row r="20" ht="18" customHeight="1">
      <x:c r="A20" s="13" t="n">
        <x:v>42601</x:v>
      </x:c>
      <x:c r="B20" s="12" t="n">
        <x:v>-5</x:v>
      </x:c>
      <x:c r="C20" s="12" t="n">
        <x:v>0.00015888241914154328</x:v>
      </x:c>
      <x:c r="D20" s="12"/>
      <x:c r="E20" s="12"/>
    </x:row>
    <x:row r="21" ht="18" customHeight="1">
      <x:c r="A21" s="13" t="n">
        <x:v>42604</x:v>
      </x:c>
      <x:c r="B21" s="12" t="n">
        <x:v>3</x:v>
      </x:c>
      <x:c r="C21" s="12" t="n">
        <x:v>-0.008423081973935091</x:v>
      </x:c>
      <x:c r="D21" s="12"/>
      <x:c r="E21" s="12"/>
    </x:row>
    <x:row r="22" ht="18" customHeight="1">
      <x:c r="A22" s="13" t="n">
        <x:v>42605</x:v>
      </x:c>
      <x:c r="B22" s="12" t="n">
        <x:v>-4</x:v>
      </x:c>
      <x:c r="C22" s="12" t="n">
        <x:v>0.001507765799100466</x:v>
      </x:c>
      <x:c r="D22" s="12"/>
      <x:c r="E22" s="12"/>
    </x:row>
    <x:row r="23" ht="18" customHeight="1">
      <x:c r="A23" s="13" t="n">
        <x:v>42606</x:v>
      </x:c>
      <x:c r="B23" s="12" t="n">
        <x:v>-1</x:v>
      </x:c>
      <x:c r="C23" s="12" t="n">
        <x:v>-0.0035873092519213734</x:v>
      </x:c>
      <x:c r="D23" s="12"/>
      <x:c r="E23" s="12"/>
    </x:row>
    <x:row r="24" ht="18" customHeight="1">
      <x:c r="A24" s="13" t="n">
        <x:v>42607</x:v>
      </x:c>
      <x:c r="B24" s="12" t="n">
        <x:v>1</x:v>
      </x:c>
      <x:c r="C24" s="12" t="n">
        <x:v>-0.006293594682544413</x:v>
      </x:c>
      <x:c r="D24" s="12"/>
      <x:c r="E24" s="12"/>
    </x:row>
    <x:row r="25" ht="18" customHeight="1">
      <x:c r="A25" s="13" t="n">
        <x:v>42608</x:v>
      </x:c>
      <x:c r="B25" s="12" t="n">
        <x:v>-10</x:v>
      </x:c>
      <x:c r="C25" s="12" t="n">
        <x:v>-0.0005688882496628478</x:v>
      </x:c>
      <x:c r="D25" s="12"/>
      <x:c r="E25" s="12"/>
    </x:row>
    <x:row r="26" ht="18" customHeight="1">
      <x:c r="A26" s="13" t="n">
        <x:v>42611</x:v>
      </x:c>
      <x:c r="B26" s="12" t="n">
        <x:v>5.999999999999943</x:v>
      </x:c>
      <x:c r="C26" s="12" t="n">
        <x:v>0.00020892318557031632</x:v>
      </x:c>
      <x:c r="D26" s="12"/>
      <x:c r="E26" s="12"/>
    </x:row>
    <x:row r="27" ht="18" customHeight="1">
      <x:c r="A27" s="13" t="n">
        <x:v>42612</x:v>
      </x:c>
      <x:c r="B27" s="12" t="n">
        <x:v>-2.999999999999943</x:v>
      </x:c>
      <x:c r="C27" s="12" t="n">
        <x:v>0.0012707394917260413</x:v>
      </x:c>
      <x:c r="D27" s="12"/>
      <x:c r="E27" s="12"/>
    </x:row>
    <x:row r="28" ht="18" customHeight="1">
      <x:c r="A28" s="13" t="n">
        <x:v>42613</x:v>
      </x:c>
      <x:c r="B28" s="12" t="n">
        <x:v>2.999999999999943</x:v>
      </x:c>
      <x:c r="C28" s="12" t="n">
        <x:v>0.004761190123554675</x:v>
      </x:c>
      <x:c r="D28" s="12"/>
      <x:c r="E28" s="12"/>
    </x:row>
    <x:row r="29" ht="18" customHeight="1">
      <x:c r="A29" s="13" t="n">
        <x:v>42614</x:v>
      </x:c>
      <x:c r="B29" s="12" t="n">
        <x:v>2.000000000000057</x:v>
      </x:c>
      <x:c r="C29" s="12" t="n">
        <x:v>-0.007909419657862729</x:v>
      </x:c>
      <x:c r="D29" s="12"/>
      <x:c r="E29" s="12"/>
    </x:row>
    <x:row r="30" ht="18" customHeight="1">
      <x:c r="A30" s="13" t="n">
        <x:v>42615</x:v>
      </x:c>
      <x:c r="B30" s="12" t="n">
        <x:v>-3</x:v>
      </x:c>
      <x:c r="C30" s="12" t="n">
        <x:v>0.003790236030935871</x:v>
      </x:c>
      <x:c r="D30" s="12"/>
      <x:c r="E30" s="12"/>
    </x:row>
    <x:row r="31" ht="18" customHeight="1">
      <x:c r="A31" s="13" t="n">
        <x:v>42618</x:v>
      </x:c>
      <x:c r="B31" s="12" t="n">
        <x:v>0</x:v>
      </x:c>
      <x:c r="C31" s="12" t="n">
        <x:v>0.0016781048331221168</x:v>
      </x:c>
      <x:c r="D31" s="12"/>
      <x:c r="E31" s="12"/>
    </x:row>
    <x:row r="32" ht="18" customHeight="1">
      <x:c r="A32" s="13" t="n">
        <x:v>42619</x:v>
      </x:c>
      <x:c r="B32" s="12" t="n">
        <x:v>0</x:v>
      </x:c>
      <x:c r="C32" s="12" t="n">
        <x:v>0.006888212590956062</x:v>
      </x:c>
      <x:c r="D32" s="12"/>
      <x:c r="E32" s="12"/>
    </x:row>
    <x:row r="33" ht="18" customHeight="1">
      <x:c r="A33" s="13" t="n">
        <x:v>42620</x:v>
      </x:c>
      <x:c r="B33" s="12" t="n">
        <x:v>-2</x:v>
      </x:c>
      <x:c r="C33" s="12" t="n">
        <x:v>-0.0005412479816442902</x:v>
      </x:c>
      <x:c r="D33" s="12"/>
      <x:c r="E33" s="12"/>
    </x:row>
    <x:row r="34" ht="18" customHeight="1">
      <x:c r="A34" s="13" t="n">
        <x:v>42621</x:v>
      </x:c>
      <x:c r="B34" s="12" t="n">
        <x:v>-8</x:v>
      </x:c>
      <x:c r="C34" s="12" t="n">
        <x:v>-0.0003751881748008009</x:v>
      </x:c>
      <x:c r="D34" s="12"/>
      <x:c r="E34" s="12"/>
    </x:row>
    <x:row r="35" ht="18" customHeight="1">
      <x:c r="A35" s="13" t="n">
        <x:v>42622</x:v>
      </x:c>
      <x:c r="B35" s="12" t="n">
        <x:v>10.999999999999943</x:v>
      </x:c>
      <x:c r="C35" s="12" t="n">
        <x:v>-0.006464806864577446</x:v>
      </x:c>
      <x:c r="D35" s="12"/>
      <x:c r="E35" s="12"/>
    </x:row>
    <x:row r="36" ht="18" customHeight="1">
      <x:c r="A36" s="13" t="n">
        <x:v>42625</x:v>
      </x:c>
      <x:c r="B36" s="12" t="n">
        <x:v>8.000000000000057</x:v>
      </x:c>
      <x:c r="C36" s="12" t="n">
        <x:v>-0.016849711194467095</x:v>
      </x:c>
      <x:c r="D36" s="12"/>
      <x:c r="E36" s="12"/>
    </x:row>
    <x:row r="37" ht="18" customHeight="1">
      <x:c r="A37" s="13" t="n">
        <x:v>42626</x:v>
      </x:c>
      <x:c r="B37" s="12" t="n">
        <x:v>6</x:v>
      </x:c>
      <x:c r="C37" s="12" t="n">
        <x:v>-0.0006964040852559073</x:v>
      </x:c>
      <x:c r="D37" s="12"/>
      <x:c r="E37" s="12"/>
    </x:row>
    <x:row r="38" ht="18" customHeight="1">
      <x:c r="A38" s="13" t="n">
        <x:v>42627</x:v>
      </x:c>
      <x:c r="B38" s="12" t="n">
        <x:v>2</x:v>
      </x:c>
      <x:c r="C38" s="12" t="n">
        <x:v>-0.006648090624313015</x:v>
      </x:c>
      <x:c r="D38" s="12"/>
      <x:c r="E38" s="12"/>
    </x:row>
    <x:row r="39" ht="18" customHeight="1">
      <x:c r="A39" s="13" t="n">
        <x:v>42632</x:v>
      </x:c>
      <x:c r="B39" s="12" t="n">
        <x:v>-2</x:v>
      </x:c>
      <x:c r="C39" s="12" t="n">
        <x:v>0.007503833241994968</x:v>
      </x:c>
      <x:c r="D39" s="12"/>
      <x:c r="E39" s="12"/>
    </x:row>
    <x:row r="40" ht="18" customHeight="1">
      <x:c r="A40" s="13" t="n">
        <x:v>42633</x:v>
      </x:c>
      <x:c r="B40" s="12" t="n">
        <x:v>-1</x:v>
      </x:c>
      <x:c r="C40" s="12" t="n">
        <x:v>-0.0017547050848636815</x:v>
      </x:c>
      <x:c r="D40" s="12"/>
      <x:c r="E40" s="12"/>
    </x:row>
    <x:row r="41" ht="18" customHeight="1">
      <x:c r="A41" s="13" t="n">
        <x:v>42634</x:v>
      </x:c>
      <x:c r="B41" s="12" t="n">
        <x:v>-2</x:v>
      </x:c>
      <x:c r="C41" s="12" t="n">
        <x:v>0.0028304261128174898</x:v>
      </x:c>
      <x:c r="D41" s="12"/>
      <x:c r="E41" s="12"/>
    </x:row>
    <x:row r="42" ht="18" customHeight="1">
      <x:c r="A42" s="13" t="n">
        <x:v>42635</x:v>
      </x:c>
      <x:c r="B42" s="12" t="n">
        <x:v>-13</x:v>
      </x:c>
      <x:c r="C42" s="12" t="n">
        <x:v>0.007467465563396537</x:v>
      </x:c>
      <x:c r="D42" s="12"/>
      <x:c r="E42" s="12"/>
    </x:row>
    <x:row r="43" ht="18" customHeight="1">
      <x:c r="A43" s="13" t="n">
        <x:v>42636</x:v>
      </x:c>
      <x:c r="B43" s="12" t="n">
        <x:v>0.9999999999999432</x:v>
      </x:c>
      <x:c r="C43" s="12" t="n">
        <x:v>-0.004706906778287755</x:v>
      </x:c>
      <x:c r="D43" s="12"/>
      <x:c r="E43" s="12"/>
    </x:row>
    <x:row r="44" ht="18" customHeight="1">
      <x:c r="A44" s="13" t="n">
        <x:v>42639</x:v>
      </x:c>
      <x:c r="B44" s="12" t="n">
        <x:v>6.000000000000057</x:v>
      </x:c>
      <x:c r="C44" s="12" t="n">
        <x:v>-0.017051867513477082</x:v>
      </x:c>
      <x:c r="D44" s="12"/>
      <x:c r="E44" s="12"/>
    </x:row>
    <x:row r="45" ht="18" customHeight="1">
      <x:c r="A45" s="13" t="n">
        <x:v>42640</x:v>
      </x:c>
      <x:c r="B45" s="12" t="n">
        <x:v>2</x:v>
      </x:c>
      <x:c r="C45" s="12" t="n">
        <x:v>0.00633671160304996</x:v>
      </x:c>
      <x:c r="D45" s="12"/>
      <x:c r="E45" s="12"/>
    </x:row>
    <x:row r="46" ht="18" customHeight="1">
      <x:c r="A46" s="13" t="n">
        <x:v>42641</x:v>
      </x:c>
      <x:c r="B46" s="12" t="n">
        <x:v>-4</x:v>
      </x:c>
      <x:c r="C46" s="12" t="n">
        <x:v>-0.0030484390410734077</x:v>
      </x:c>
      <x:c r="D46" s="12"/>
      <x:c r="E46" s="12"/>
    </x:row>
    <x:row r="47" ht="18" customHeight="1">
      <x:c r="A47" s="13" t="n">
        <x:v>42642</x:v>
      </x:c>
      <x:c r="B47" s="12" t="n">
        <x:v>-5</x:v>
      </x:c>
      <x:c r="C47" s="12" t="n">
        <x:v>0.004168784711216974</x:v>
      </x:c>
      <x:c r="D47" s="12"/>
      <x:c r="E47" s="12"/>
    </x:row>
    <x:row r="48" ht="18" customHeight="1">
      <x:c r="A48" s="13" t="n">
        <x:v>42643</x:v>
      </x:c>
      <x:c r="B48" s="12" t="n">
        <x:v>-12</x:v>
      </x:c>
      <x:c r="C48" s="12" t="n">
        <x:v>0.00273864402116231</x:v>
      </x:c>
      <x:c r="D48" s="12"/>
      <x:c r="E48" s="12"/>
    </x:row>
    <x:row r="49" ht="18" customHeight="1">
      <x:c r="A49" s="13" t="n">
        <x:v>42653</x:v>
      </x:c>
      <x:c r="B49" s="12" t="n">
        <x:v>0</x:v>
      </x:c>
      <x:c r="C49" s="12" t="n">
        <x:v>0.012397637714891285</x:v>
      </x:c>
      <x:c r="D49" s="12"/>
      <x:c r="E49" s="12"/>
    </x:row>
    <x:row r="50" ht="18" customHeight="1">
      <x:c r="A50" s="13" t="n">
        <x:v>42654</x:v>
      </x:c>
      <x:c r="B50" s="12" t="n">
        <x:v>-1</x:v>
      </x:c>
      <x:c r="C50" s="12" t="n">
        <x:v>0.003844726157200156</x:v>
      </x:c>
      <x:c r="D50" s="12"/>
      <x:c r="E50" s="12"/>
    </x:row>
    <x:row r="51" ht="18" customHeight="1">
      <x:c r="A51" s="13" t="n">
        <x:v>42655</x:v>
      </x:c>
      <x:c r="B51" s="12" t="n">
        <x:v>0</x:v>
      </x:c>
      <x:c r="C51" s="12" t="n">
        <x:v>-0.0019820890169864208</x:v>
      </x:c>
      <x:c r="D51" s="12"/>
      <x:c r="E51" s="12"/>
    </x:row>
    <x:row r="52" ht="18" customHeight="1">
      <x:c r="A52" s="13" t="n">
        <x:v>42656</x:v>
      </x:c>
      <x:c r="B52" s="12" t="n">
        <x:v>7</x:v>
      </x:c>
      <x:c r="C52" s="12" t="n">
        <x:v>0.0007983455080768248</x:v>
      </x:c>
      <x:c r="D52" s="12"/>
      <x:c r="E52" s="12"/>
    </x:row>
    <x:row r="53" ht="18" customHeight="1">
      <x:c r="A53" s="13" t="n">
        <x:v>42657</x:v>
      </x:c>
      <x:c r="B53" s="12" t="n">
        <x:v>-10</x:v>
      </x:c>
      <x:c r="C53" s="12" t="n">
        <x:v>0.0009692376037757813</x:v>
      </x:c>
      <x:c r="D53" s="12"/>
      <x:c r="E53" s="12"/>
    </x:row>
    <x:row r="54" ht="18" customHeight="1">
      <x:c r="A54" s="13" t="n">
        <x:v>42660</x:v>
      </x:c>
      <x:c r="B54" s="12" t="n">
        <x:v>4</x:v>
      </x:c>
      <x:c r="C54" s="12" t="n">
        <x:v>-0.008496576213721017</x:v>
      </x:c>
      <x:c r="D54" s="12"/>
      <x:c r="E54" s="12"/>
    </x:row>
    <x:row r="55" ht="18" customHeight="1">
      <x:c r="A55" s="13" t="n">
        <x:v>42661</x:v>
      </x:c>
      <x:c r="B55" s="12" t="n">
        <x:v>-4</x:v>
      </x:c>
      <x:c r="C55" s="12" t="n">
        <x:v>0.013169552354076618</x:v>
      </x:c>
      <x:c r="D55" s="12"/>
      <x:c r="E55" s="12"/>
    </x:row>
    <x:row r="56" ht="18" customHeight="1">
      <x:c r="A56" s="13" t="n">
        <x:v>42662</x:v>
      </x:c>
      <x:c r="B56" s="12" t="n">
        <x:v>-6</x:v>
      </x:c>
      <x:c r="C56" s="12" t="n">
        <x:v>-0.0015342056266713757</x:v>
      </x:c>
      <x:c r="D56" s="12"/>
      <x:c r="E56" s="12"/>
    </x:row>
    <x:row r="57" ht="18" customHeight="1">
      <x:c r="A57" s="13" t="n">
        <x:v>42663</x:v>
      </x:c>
      <x:c r="B57" s="12" t="n">
        <x:v>-4</x:v>
      </x:c>
      <x:c r="C57" s="12" t="n">
        <x:v>0.0007125110125025173</x:v>
      </x:c>
      <x:c r="D57" s="12"/>
      <x:c r="E57" s="12"/>
    </x:row>
    <x:row r="58" ht="18" customHeight="1">
      <x:c r="A58" s="13" t="n">
        <x:v>42664</x:v>
      </x:c>
      <x:c r="B58" s="12" t="n">
        <x:v>0</x:v>
      </x:c>
      <x:c r="C58" s="12" t="n">
        <x:v>0.0027490618010714697</x:v>
      </x:c>
      <x:c r="D58" s="12"/>
      <x:c r="E58" s="12"/>
    </x:row>
    <x:row r="59" ht="18" customHeight="1">
      <x:c r="A59" s="13" t="n">
        <x:v>42667</x:v>
      </x:c>
      <x:c r="B59" s="12" t="n">
        <x:v>-2.000000000000057</x:v>
      </x:c>
      <x:c r="C59" s="12" t="n">
        <x:v>0.01190033732074127</x:v>
      </x:c>
      <x:c r="D59" s="12"/>
      <x:c r="E59" s="12"/>
    </x:row>
    <x:row r="60" ht="18" customHeight="1">
      <x:c r="A60" s="13" t="n">
        <x:v>42668</x:v>
      </x:c>
      <x:c r="B60" s="12" t="n">
        <x:v>0</x:v>
      </x:c>
      <x:c r="C60" s="12" t="n">
        <x:v>-0.00003655513169800312</x:v>
      </x:c>
      <x:c r="D60" s="12"/>
      <x:c r="E60" s="12"/>
    </x:row>
    <x:row r="61" ht="18" customHeight="1">
      <x:c r="A61" s="13" t="n">
        <x:v>42669</x:v>
      </x:c>
      <x:c r="B61" s="12" t="n">
        <x:v>6.000000000000057</x:v>
      </x:c>
      <x:c r="C61" s="12" t="n">
        <x:v>-0.0037649315438644418</x:v>
      </x:c>
      <x:c r="D61" s="12"/>
      <x:c r="E61" s="12"/>
    </x:row>
    <x:row r="62" ht="18" customHeight="1">
      <x:c r="A62" s="13" t="n">
        <x:v>42670</x:v>
      </x:c>
      <x:c r="B62" s="12" t="n">
        <x:v>3.000000000000057</x:v>
      </x:c>
      <x:c r="C62" s="12" t="n">
        <x:v>-0.002717800758593384</x:v>
      </x:c>
      <x:c r="D62" s="12"/>
      <x:c r="E62" s="12"/>
    </x:row>
    <x:row r="63" ht="18" customHeight="1">
      <x:c r="A63" s="13" t="n">
        <x:v>42671</x:v>
      </x:c>
      <x:c r="B63" s="12" t="n">
        <x:v>6.999999999999943</x:v>
      </x:c>
      <x:c r="C63" s="12" t="n">
        <x:v>-0.0016658540876975168</x:v>
      </x:c>
      <x:c r="D63" s="12"/>
      <x:c r="E63" s="12"/>
    </x:row>
    <x:row r="64" ht="18" customHeight="1">
      <x:c r="A64" s="13" t="n">
        <x:v>42674</x:v>
      </x:c>
      <x:c r="B64" s="12" t="n">
        <x:v>15</x:v>
      </x:c>
      <x:c r="C64" s="12" t="n">
        <x:v>-0.0011528362951734367</x:v>
      </x:c>
      <x:c r="D64" s="12"/>
      <x:c r="E64" s="12"/>
    </x:row>
    <x:row r="65" ht="18" customHeight="1">
      <x:c r="A65" s="13" t="n">
        <x:v>42675</x:v>
      </x:c>
      <x:c r="B65" s="12" t="n">
        <x:v>14</x:v>
      </x:c>
      <x:c r="C65" s="12" t="n">
        <x:v>0.006802888045893891</x:v>
      </x:c>
      <x:c r="D65" s="12" t="n">
        <x:v>-0.3541456725126658</x:v>
      </x:c>
      <x:c r="E65" s="12"/>
    </x:row>
    <x:row r="66" ht="18" customHeight="1">
      <x:c r="A66" s="13" t="n">
        <x:v>42676</x:v>
      </x:c>
      <x:c r="B66" s="12" t="n">
        <x:v>10</x:v>
      </x:c>
      <x:c r="C66" s="12" t="n">
        <x:v>-0.007680118147076697</x:v>
      </x:c>
      <x:c r="D66" s="12" t="n">
        <x:v>-0.35284827798765717</x:v>
      </x:c>
      <x:c r="E66" s="12"/>
    </x:row>
    <x:row r="67" ht="18" customHeight="1">
      <x:c r="A67" s="13" t="n">
        <x:v>42677</x:v>
      </x:c>
      <x:c r="B67" s="12" t="n">
        <x:v>0</x:v>
      </x:c>
      <x:c r="C67" s="12" t="n">
        <x:v>0.00947469849780264</x:v>
      </x:c>
      <x:c r="D67" s="12" t="n">
        <x:v>-0.3487307917821152</x:v>
      </x:c>
      <x:c r="E67" s="12"/>
    </x:row>
    <x:row r="68" ht="18" customHeight="1">
      <x:c r="A68" s="13" t="n">
        <x:v>42678</x:v>
      </x:c>
      <x:c r="B68" s="12" t="n">
        <x:v>5</x:v>
      </x:c>
      <x:c r="C68" s="12" t="n">
        <x:v>-0.003247414075435183</x:v>
      </x:c>
      <x:c r="D68" s="12" t="n">
        <x:v>-0.34353237022033</x:v>
      </x:c>
      <x:c r="E68" s="12"/>
    </x:row>
    <x:row r="69" ht="18" customHeight="1">
      <x:c r="A69" s="13" t="n">
        <x:v>42681</x:v>
      </x:c>
      <x:c r="B69" s="12" t="n">
        <x:v>-19</x:v>
      </x:c>
      <x:c r="C69" s="12" t="n">
        <x:v>0.0007202456245417308</x:v>
      </x:c>
      <x:c r="D69" s="12" t="n">
        <x:v>-0.3241164962363155</x:v>
      </x:c>
      <x:c r="E69" s="12"/>
    </x:row>
    <x:row r="70" ht="18" customHeight="1">
      <x:c r="A70" s="13" t="n">
        <x:v>42682</x:v>
      </x:c>
      <x:c r="B70" s="12" t="n">
        <x:v>-2.999999999999943</x:v>
      </x:c>
      <x:c r="C70" s="12" t="n">
        <x:v>0.004318296741261629</x:v>
      </x:c>
      <x:c r="D70" s="12" t="n">
        <x:v>-0.3321467609440882</x:v>
      </x:c>
      <x:c r="E70" s="12"/>
    </x:row>
    <x:row r="71" ht="18" customHeight="1">
      <x:c r="A71" s="13" t="n">
        <x:v>42683</x:v>
      </x:c>
      <x:c r="B71" s="12" t="n">
        <x:v>-4</x:v>
      </x:c>
      <x:c r="C71" s="12" t="n">
        <x:v>-0.0053725699978424205</x:v>
      </x:c>
      <x:c r="D71" s="12" t="n">
        <x:v>-0.32346511891956337</x:v>
      </x:c>
      <x:c r="E71" s="12"/>
    </x:row>
    <x:row r="72" ht="18" customHeight="1">
      <x:c r="A72" s="13" t="n">
        <x:v>42684</x:v>
      </x:c>
      <x:c r="B72" s="12" t="n">
        <x:v>2.999999999999943</x:v>
      </x:c>
      <x:c r="C72" s="12" t="n">
        <x:v>0.01113862547894849</x:v>
      </x:c>
      <x:c r="D72" s="12" t="n">
        <x:v>-0.3041676645644147</x:v>
      </x:c>
      <x:c r="E72" s="12"/>
    </x:row>
    <x:row r="73" ht="18" customHeight="1">
      <x:c r="A73" s="13" t="n">
        <x:v>42685</x:v>
      </x:c>
      <x:c r="B73" s="12" t="n">
        <x:v>0</x:v>
      </x:c>
      <x:c r="C73" s="12" t="n">
        <x:v>0.007817270343318574</x:v>
      </x:c>
      <x:c r="D73" s="12" t="n">
        <x:v>-0.31944610918858174</x:v>
      </x:c>
      <x:c r="E73" s="12"/>
    </x:row>
    <x:row r="74" ht="18" customHeight="1">
      <x:c r="A74" s="13" t="n">
        <x:v>42688</x:v>
      </x:c>
      <x:c r="B74" s="12" t="n">
        <x:v>14.000000000000057</x:v>
      </x:c>
      <x:c r="C74" s="12" t="n">
        <x:v>0.0038049431537427606</x:v>
      </x:c>
      <x:c r="D74" s="12" t="n">
        <x:v>-0.28704792028057563</x:v>
      </x:c>
      <x:c r="E74" s="12"/>
    </x:row>
    <x:row r="75" ht="18" customHeight="1">
      <x:c r="A75" s="13" t="n">
        <x:v>42689</x:v>
      </x:c>
      <x:c r="B75" s="12" t="n">
        <x:v>-17</x:v>
      </x:c>
      <x:c r="C75" s="12" t="n">
        <x:v>-0.00011034795783432362</x:v>
      </x:c>
      <x:c r="D75" s="12" t="n">
        <x:v>-0.2595524712477577</x:v>
      </x:c>
      <x:c r="E75" s="12"/>
    </x:row>
    <x:row r="76" ht="18" customHeight="1">
      <x:c r="A76" s="13" t="n">
        <x:v>42690</x:v>
      </x:c>
      <x:c r="B76" s="12" t="n">
        <x:v>0</x:v>
      </x:c>
      <x:c r="C76" s="12" t="n">
        <x:v>-0.00008093929472776848</x:v>
      </x:c>
      <x:c r="D76" s="12" t="n">
        <x:v>-0.2570394639291942</x:v>
      </x:c>
      <x:c r="E76" s="12"/>
    </x:row>
    <x:row r="77" ht="18" customHeight="1">
      <x:c r="A77" s="13" t="n">
        <x:v>42691</x:v>
      </x:c>
      <x:c r="B77" s="12" t="n">
        <x:v>-9.000000000000114</x:v>
      </x:c>
      <x:c r="C77" s="12" t="n">
        <x:v>0.0020223634853321413</x:v>
      </x:c>
      <x:c r="D77" s="12" t="n">
        <x:v>-0.2676344012695782</x:v>
      </x:c>
      <x:c r="E77" s="12"/>
    </x:row>
    <x:row r="78" ht="18" customHeight="1">
      <x:c r="A78" s="13" t="n">
        <x:v>42692</x:v>
      </x:c>
      <x:c r="B78" s="12" t="n">
        <x:v>-0.9999999999999432</x:v>
      </x:c>
      <x:c r="C78" s="12" t="n">
        <x:v>-0.005567457253369951</x:v>
      </x:c>
      <x:c r="D78" s="12" t="n">
        <x:v>-0.29911891418704795</x:v>
      </x:c>
      <x:c r="E78" s="12"/>
    </x:row>
    <x:row r="79" ht="18" customHeight="1">
      <x:c r="A79" s="13" t="n">
        <x:v>42695</x:v>
      </x:c>
      <x:c r="B79" s="12" t="n">
        <x:v>-6</x:v>
      </x:c>
      <x:c r="C79" s="12" t="n">
        <x:v>0.006898029062729212</x:v>
      </x:c>
      <x:c r="D79" s="12" t="n">
        <x:v>-0.24591978933818406</x:v>
      </x:c>
      <x:c r="E79" s="12"/>
    </x:row>
    <x:row r="80" ht="18" customHeight="1">
      <x:c r="A80" s="13" t="n">
        <x:v>42696</x:v>
      </x:c>
      <x:c r="B80" s="12" t="n">
        <x:v>-8</x:v>
      </x:c>
      <x:c r="C80" s="12" t="n">
        <x:v>0.007888658427169803</x:v>
      </x:c>
      <x:c r="D80" s="12" t="n">
        <x:v>-0.2755408071559499</x:v>
      </x:c>
      <x:c r="E80" s="12"/>
    </x:row>
    <x:row r="81" ht="18" customHeight="1">
      <x:c r="A81" s="13" t="n">
        <x:v>42697</x:v>
      </x:c>
      <x:c r="B81" s="12" t="n">
        <x:v>-4</x:v>
      </x:c>
      <x:c r="C81" s="12" t="n">
        <x:v>0.001833535039771207</x:v>
      </x:c>
      <x:c r="D81" s="12" t="n">
        <x:v>-0.27534746747845484</x:v>
      </x:c>
      <x:c r="E81" s="12"/>
    </x:row>
    <x:row r="82" ht="18" customHeight="1">
      <x:c r="A82" s="13" t="n">
        <x:v>42698</x:v>
      </x:c>
      <x:c r="B82" s="12" t="n">
        <x:v>0</x:v>
      </x:c>
      <x:c r="C82" s="12" t="n">
        <x:v>0.004024235250442054</x:v>
      </x:c>
      <x:c r="D82" s="12" t="n">
        <x:v>-0.2727492885168136</x:v>
      </x:c>
      <x:c r="E82" s="12"/>
    </x:row>
    <x:row r="83" ht="18" customHeight="1">
      <x:c r="A83" s="13" t="n">
        <x:v>42699</x:v>
      </x:c>
      <x:c r="B83" s="12" t="n">
        <x:v>-2.000000000000057</x:v>
      </x:c>
      <x:c r="C83" s="12" t="n">
        <x:v>0.009289088397475146</x:v>
      </x:c>
      <x:c r="D83" s="12" t="n">
        <x:v>-0.2751058769460755</x:v>
      </x:c>
      <x:c r="E83" s="12"/>
    </x:row>
    <x:row r="84" ht="18" customHeight="1">
      <x:c r="A84" s="13" t="n">
        <x:v>42702</x:v>
      </x:c>
      <x:c r="B84" s="12" t="n">
        <x:v>2.000000000000057</x:v>
      </x:c>
      <x:c r="C84" s="12" t="n">
        <x:v>0.003906342709372829</x:v>
      </x:c>
      <x:c r="D84" s="12" t="n">
        <x:v>-0.2642732335591357</x:v>
      </x:c>
      <x:c r="E84" s="12"/>
    </x:row>
    <x:row r="85" ht="18" customHeight="1">
      <x:c r="A85" s="13" t="n">
        <x:v>42703</x:v>
      </x:c>
      <x:c r="B85" s="12" t="n">
        <x:v>3.000000000000057</x:v>
      </x:c>
      <x:c r="C85" s="12" t="n">
        <x:v>0.00815871718004215</x:v>
      </x:c>
      <x:c r="D85" s="12" t="n">
        <x:v>-0.25120934539225426</x:v>
      </x:c>
      <x:c r="E85" s="12"/>
    </x:row>
    <x:row r="86" ht="18" customHeight="1">
      <x:c r="A86" s="13" t="n">
        <x:v>42704</x:v>
      </x:c>
      <x:c r="B86" s="12" t="n">
        <x:v>-2.000000000000057</x:v>
      </x:c>
      <x:c r="C86" s="12" t="n">
        <x:v>-0.007332966739201804</x:v>
      </x:c>
      <x:c r="D86" s="12" t="n">
        <x:v>-0.2446175991255918</x:v>
      </x:c>
      <x:c r="E86" s="12"/>
    </x:row>
    <x:row r="87" ht="18" customHeight="1">
      <x:c r="A87" s="13" t="n">
        <x:v>42705</x:v>
      </x:c>
      <x:c r="B87" s="12" t="n">
        <x:v>-5</x:v>
      </x:c>
      <x:c r="C87" s="12" t="n">
        <x:v>0.007612273608875042</x:v>
      </x:c>
      <x:c r="D87" s="12" t="n">
        <x:v>-0.25157636661698074</x:v>
      </x:c>
      <x:c r="E87" s="12"/>
    </x:row>
    <x:row r="88" ht="18" customHeight="1">
      <x:c r="A88" s="13" t="n">
        <x:v>42706</x:v>
      </x:c>
      <x:c r="B88" s="12" t="n">
        <x:v>1.9999999999999432</x:v>
      </x:c>
      <x:c r="C88" s="12" t="n">
        <x:v>-0.010172443878838089</x:v>
      </x:c>
      <x:c r="D88" s="12" t="n">
        <x:v>-0.2654483878463647</x:v>
      </x:c>
      <x:c r="E88" s="12"/>
    </x:row>
    <x:row r="89" ht="18" customHeight="1">
      <x:c r="A89" s="13" t="n">
        <x:v>42709</x:v>
      </x:c>
      <x:c r="B89" s="12" t="n">
        <x:v>-5.999999999999943</x:v>
      </x:c>
      <x:c r="C89" s="12" t="n">
        <x:v>-0.01701793565997444</x:v>
      </x:c>
      <x:c r="D89" s="12" t="n">
        <x:v>-0.21365569223696457</x:v>
      </x:c>
      <x:c r="E89" s="12"/>
    </x:row>
    <x:row r="90" ht="18" customHeight="1">
      <x:c r="A90" s="13" t="n">
        <x:v>42710</x:v>
      </x:c>
      <x:c r="B90" s="12" t="n">
        <x:v>-8</x:v>
      </x:c>
      <x:c r="C90" s="12" t="n">
        <x:v>-0.0029599243128228037</x:v>
      </x:c>
      <x:c r="D90" s="12" t="n">
        <x:v>-0.2011723211282069</x:v>
      </x:c>
      <x:c r="E90" s="12"/>
    </x:row>
    <x:row r="91" ht="18" customHeight="1">
      <x:c r="A91" s="13" t="n">
        <x:v>42711</x:v>
      </x:c>
      <x:c r="B91" s="12" t="n">
        <x:v>-8</x:v>
      </x:c>
      <x:c r="C91" s="12" t="n">
        <x:v>0.004785658116097955</x:v>
      </x:c>
      <x:c r="D91" s="12" t="n">
        <x:v>-0.2154017419787901</x:v>
      </x:c>
      <x:c r="E91" s="12"/>
    </x:row>
    <x:row r="92" ht="18" customHeight="1">
      <x:c r="A92" s="13" t="n">
        <x:v>42712</x:v>
      </x:c>
      <x:c r="B92" s="12" t="n">
        <x:v>-4</x:v>
      </x:c>
      <x:c r="C92" s="12" t="n">
        <x:v>-0.0016138180412017936</x:v>
      </x:c>
      <x:c r="D92" s="12" t="n">
        <x:v>-0.20672305442044422</x:v>
      </x:c>
      <x:c r="E92" s="12"/>
    </x:row>
    <x:row r="93" ht="18" customHeight="1">
      <x:c r="A93" s="13" t="n">
        <x:v>42713</x:v>
      </x:c>
      <x:c r="B93" s="12" t="n">
        <x:v>-10</x:v>
      </x:c>
      <x:c r="C93" s="12" t="n">
        <x:v>0.006765772825280966</x:v>
      </x:c>
      <x:c r="D93" s="12" t="n">
        <x:v>-0.21955661290290085</x:v>
      </x:c>
      <x:c r="E93" s="12"/>
    </x:row>
    <x:row r="94" ht="18" customHeight="1">
      <x:c r="A94" s="13" t="n">
        <x:v>42716</x:v>
      </x:c>
      <x:c r="B94" s="12" t="n">
        <x:v>-3</x:v>
      </x:c>
      <x:c r="C94" s="12" t="n">
        <x:v>-0.024489843866090665</x:v>
      </x:c>
      <x:c r="D94" s="12" t="n">
        <x:v>-0.18315765430397485</x:v>
      </x:c>
      <x:c r="E94" s="12"/>
    </x:row>
    <x:row r="95" ht="18" customHeight="1">
      <x:c r="A95" s="13" t="n">
        <x:v>42717</x:v>
      </x:c>
      <x:c r="B95" s="12" t="n">
        <x:v>-5</x:v>
      </x:c>
      <x:c r="C95" s="12" t="n">
        <x:v>-0.0012162517829687064</x:v>
      </x:c>
      <x:c r="D95" s="12" t="n">
        <x:v>-0.1839841767133765</x:v>
      </x:c>
      <x:c r="E95" s="12"/>
    </x:row>
    <x:row r="96" ht="18" customHeight="1">
      <x:c r="A96" s="13" t="n">
        <x:v>42718</x:v>
      </x:c>
      <x:c r="B96" s="12" t="n">
        <x:v>-8</x:v>
      </x:c>
      <x:c r="C96" s="12" t="n">
        <x:v>-0.00769174601171859</x:v>
      </x:c>
      <x:c r="D96" s="12" t="n">
        <x:v>-0.16433685377192095</x:v>
      </x:c>
      <x:c r="E96" s="12"/>
    </x:row>
    <x:row r="97" ht="18" customHeight="1">
      <x:c r="A97" s="13" t="n">
        <x:v>42719</x:v>
      </x:c>
      <x:c r="B97" s="12" t="n">
        <x:v>8</x:v>
      </x:c>
      <x:c r="C97" s="12" t="n">
        <x:v>-0.011462940585333025</x:v>
      </x:c>
      <x:c r="D97" s="12" t="n">
        <x:v>-0.1929422644720604</x:v>
      </x:c>
      <x:c r="E97" s="12"/>
    </x:row>
    <x:row r="98" ht="18" customHeight="1">
      <x:c r="A98" s="13" t="n">
        <x:v>42720</x:v>
      </x:c>
      <x:c r="B98" s="12" t="n">
        <x:v>1</x:v>
      </x:c>
      <x:c r="C98" s="12" t="n">
        <x:v>0.0016740390902915004</x:v>
      </x:c>
      <x:c r="D98" s="12" t="n">
        <x:v>-0.17330360242895865</x:v>
      </x:c>
      <x:c r="E98" s="12"/>
    </x:row>
    <x:row r="99" ht="18" customHeight="1">
      <x:c r="A99" s="13" t="n">
        <x:v>42723</x:v>
      </x:c>
      <x:c r="B99" s="12" t="n">
        <x:v>2.000000000000057</x:v>
      </x:c>
      <x:c r="C99" s="12" t="n">
        <x:v>-0.00510795606111114</x:v>
      </x:c>
      <x:c r="D99" s="12" t="n">
        <x:v>-0.136827827012714</x:v>
      </x:c>
      <x:c r="E99" s="12"/>
    </x:row>
    <x:row r="100" ht="18" customHeight="1">
      <x:c r="A100" s="13" t="n">
        <x:v>42724</x:v>
      </x:c>
      <x:c r="B100" s="12" t="n">
        <x:v>-3.000000000000057</x:v>
      </x:c>
      <x:c r="C100" s="12" t="n">
        <x:v>-0.006001361660447885</x:v>
      </x:c>
      <x:c r="D100" s="12" t="n">
        <x:v>-0.13137184035562519</x:v>
      </x:c>
      <x:c r="E100" s="12"/>
    </x:row>
    <x:row r="101" ht="18" customHeight="1">
      <x:c r="A101" s="13" t="n">
        <x:v>42725</x:v>
      </x:c>
      <x:c r="B101" s="12" t="n">
        <x:v>-0.9999999999999432</x:v>
      </x:c>
      <x:c r="C101" s="12" t="n">
        <x:v>0.008866987380399797</x:v>
      </x:c>
      <x:c r="D101" s="12" t="n">
        <x:v>-0.12249359597258848</x:v>
      </x:c>
      <x:c r="E101" s="12"/>
    </x:row>
    <x:row r="102" ht="18" customHeight="1">
      <x:c r="A102" s="13" t="n">
        <x:v>42726</x:v>
      </x:c>
      <x:c r="B102" s="12" t="n">
        <x:v>-2.000000000000057</x:v>
      </x:c>
      <x:c r="C102" s="12" t="n">
        <x:v>-0.0008582292238395543</x:v>
      </x:c>
      <x:c r="D102" s="12" t="n">
        <x:v>-0.12167289569794223</x:v>
      </x:c>
      <x:c r="E102" s="12"/>
    </x:row>
    <x:row r="103" ht="18" customHeight="1">
      <x:c r="A103" s="13" t="n">
        <x:v>42727</x:v>
      </x:c>
      <x:c r="B103" s="12" t="n">
        <x:v>-1</x:v>
      </x:c>
      <x:c r="C103" s="12" t="n">
        <x:v>-0.008451579554493814</x:v>
      </x:c>
      <x:c r="D103" s="12" t="n">
        <x:v>-0.12121277603574782</x:v>
      </x:c>
      <x:c r="E103" s="12"/>
    </x:row>
    <x:row r="104" ht="18" customHeight="1">
      <x:c r="A104" s="13" t="n">
        <x:v>42731</x:v>
      </x:c>
      <x:c r="B104" s="12" t="n">
        <x:v>-4.999999999999943</x:v>
      </x:c>
      <x:c r="C104" s="12" t="n">
        <x:v>-0.001812199347129835</x:v>
      </x:c>
      <x:c r="D104" s="12" t="n">
        <x:v>-0.11811578080180614</x:v>
      </x:c>
      <x:c r="E104" s="12"/>
    </x:row>
    <x:row r="105" ht="18" customHeight="1">
      <x:c r="A105" s="13" t="n">
        <x:v>42732</x:v>
      </x:c>
      <x:c r="B105" s="12" t="n">
        <x:v>4</x:v>
      </x:c>
      <x:c r="C105" s="12" t="n">
        <x:v>-0.004380756494092432</x:v>
      </x:c>
      <x:c r="D105" s="12" t="n">
        <x:v>-0.10012197926056149</x:v>
      </x:c>
      <x:c r="E105" s="12"/>
    </x:row>
    <x:row r="106" ht="18" customHeight="1">
      <x:c r="A106" s="13" t="n">
        <x:v>42733</x:v>
      </x:c>
      <x:c r="B106" s="12" t="n">
        <x:v>2.999999999999943</x:v>
      </x:c>
      <x:c r="C106" s="12" t="n">
        <x:v>-0.0012497324402671603</x:v>
      </x:c>
      <x:c r="D106" s="12" t="n">
        <x:v>-0.0985571421523899</x:v>
      </x:c>
      <x:c r="E106" s="12"/>
    </x:row>
    <x:row r="107" ht="18" customHeight="1">
      <x:c r="A107" s="13" t="n">
        <x:v>42734</x:v>
      </x:c>
      <x:c r="B107" s="12" t="n">
        <x:v>3</x:v>
      </x:c>
      <x:c r="C107" s="12" t="n">
        <x:v>0.003727694321920061</x:v>
      </x:c>
      <x:c r="D107" s="12" t="n">
        <x:v>-0.055178474222957914</x:v>
      </x:c>
      <x:c r="E107" s="12"/>
    </x:row>
    <x:row r="108" ht="18" customHeight="1">
      <x:c r="A108" s="13" t="n">
        <x:v>42738</x:v>
      </x:c>
      <x:c r="B108" s="12" t="n">
        <x:v>-9</x:v>
      </x:c>
      <x:c r="C108" s="12" t="n">
        <x:v>0.009664811138848765</x:v>
      </x:c>
      <x:c r="D108" s="12" t="n">
        <x:v>-0.08570410299218681</x:v>
      </x:c>
      <x:c r="E108" s="12"/>
    </x:row>
    <x:row r="109" ht="18" customHeight="1">
      <x:c r="A109" s="13" t="n">
        <x:v>42739</x:v>
      </x:c>
      <x:c r="B109" s="12" t="n">
        <x:v>-11.000000000000057</x:v>
      </x:c>
      <x:c r="C109" s="12" t="n">
        <x:v>0.007774228497749764</x:v>
      </x:c>
      <x:c r="D109" s="12" t="n">
        <x:v>-0.1105150266076724</x:v>
      </x:c>
      <x:c r="E109" s="12"/>
    </x:row>
    <x:row r="110" ht="18" customHeight="1">
      <x:c r="A110" s="13" t="n">
        <x:v>42740</x:v>
      </x:c>
      <x:c r="B110" s="12" t="n">
        <x:v>2.000000000000057</x:v>
      </x:c>
      <x:c r="C110" s="12" t="n">
        <x:v>-0.0001551342560940013</x:v>
      </x:c>
      <x:c r="D110" s="12" t="n">
        <x:v>-0.10718292961716545</x:v>
      </x:c>
      <x:c r="E110" s="12"/>
    </x:row>
    <x:row r="111" ht="18" customHeight="1">
      <x:c r="A111" s="13" t="n">
        <x:v>42741</x:v>
      </x:c>
      <x:c r="B111" s="12" t="n">
        <x:v>-6</x:v>
      </x:c>
      <x:c r="C111" s="12" t="n">
        <x:v>-0.005992969390497952</x:v>
      </x:c>
      <x:c r="D111" s="12" t="n">
        <x:v>-0.08965400027781956</x:v>
      </x:c>
      <x:c r="E111" s="12"/>
    </x:row>
    <x:row r="112" ht="18" customHeight="1">
      <x:c r="A112" s="13" t="n">
        <x:v>42744</x:v>
      </x:c>
      <x:c r="B112" s="12" t="n">
        <x:v>3.999999999999943</x:v>
      </x:c>
      <x:c r="C112" s="12" t="n">
        <x:v>0.004837895379147162</x:v>
      </x:c>
      <x:c r="D112" s="12" t="n">
        <x:v>-0.08796282693611583</x:v>
      </x:c>
      <x:c r="E112" s="12"/>
    </x:row>
    <x:row r="113" ht="18" customHeight="1">
      <x:c r="A113" s="13" t="n">
        <x:v>42745</x:v>
      </x:c>
      <x:c r="B113" s="12" t="n">
        <x:v>-1.9999999999999432</x:v>
      </x:c>
      <x:c r="C113" s="12" t="n">
        <x:v>-0.0016749944746291014</x:v>
      </x:c>
      <x:c r="D113" s="12" t="n">
        <x:v>-0.08781201872358055</x:v>
      </x:c>
      <x:c r="E113" s="12"/>
    </x:row>
    <x:row r="114" ht="18" customHeight="1">
      <x:c r="A114" s="13" t="n">
        <x:v>42746</x:v>
      </x:c>
      <x:c r="B114" s="12" t="n">
        <x:v>3</x:v>
      </x:c>
      <x:c r="C114" s="12" t="n">
        <x:v>-0.007105073289585152</x:v>
      </x:c>
      <x:c r="D114" s="12" t="n">
        <x:v>-0.09644176109865085</x:v>
      </x:c>
      <x:c r="E114" s="12"/>
    </x:row>
    <x:row r="115" ht="18" customHeight="1">
      <x:c r="A115" s="13" t="n">
        <x:v>42747</x:v>
      </x:c>
      <x:c r="B115" s="12" t="n">
        <x:v>2</x:v>
      </x:c>
      <x:c r="C115" s="12" t="n">
        <x:v>-0.005072469361016922</x:v>
      </x:c>
      <x:c r="D115" s="12" t="n">
        <x:v>-0.10488323529234192</x:v>
      </x:c>
      <x:c r="E115" s="12"/>
    </x:row>
    <x:row r="116" ht="18" customHeight="1">
      <x:c r="A116" s="13" t="n">
        <x:v>42748</x:v>
      </x:c>
      <x:c r="B116" s="12" t="n">
        <x:v>-3.000000000000057</x:v>
      </x:c>
      <x:c r="C116" s="12" t="n">
        <x:v>0.0006894425844824638</x:v>
      </x:c>
      <x:c r="D116" s="12" t="n">
        <x:v>-0.10382475913029111</x:v>
      </x:c>
      <x:c r="E116" s="12"/>
    </x:row>
    <x:row r="117" ht="18" customHeight="1">
      <x:c r="A117" s="13" t="n">
        <x:v>42751</x:v>
      </x:c>
      <x:c r="B117" s="12" t="n">
        <x:v>-1.9999999999999432</x:v>
      </x:c>
      <x:c r="C117" s="12" t="n">
        <x:v>-0.0001405858885322311</x:v>
      </x:c>
      <x:c r="D117" s="12" t="n">
        <x:v>-0.08969169008948306</x:v>
      </x:c>
      <x:c r="E117" s="12"/>
    </x:row>
    <x:row r="118" ht="18" customHeight="1">
      <x:c r="A118" s="13" t="n">
        <x:v>42752</x:v>
      </x:c>
      <x:c r="B118" s="12" t="n">
        <x:v>5.999999999999943</x:v>
      </x:c>
      <x:c r="C118" s="12" t="n">
        <x:v>0.002079749802642117</x:v>
      </x:c>
      <x:c r="D118" s="12" t="n">
        <x:v>-0.07249805807775496</x:v>
      </x:c>
      <x:c r="E118" s="12"/>
    </x:row>
    <x:row r="119" ht="18" customHeight="1">
      <x:c r="A119" s="13" t="n">
        <x:v>42753</x:v>
      </x:c>
      <x:c r="B119" s="12" t="n">
        <x:v>-4.999999999999943</x:v>
      </x:c>
      <x:c r="C119" s="12" t="n">
        <x:v>0.0039032582808338225</x:v>
      </x:c>
      <x:c r="D119" s="12" t="n">
        <x:v>-0.08084154316931456</x:v>
      </x:c>
      <x:c r="E119" s="12"/>
    </x:row>
    <x:row r="120" ht="18" customHeight="1">
      <x:c r="A120" s="13" t="n">
        <x:v>42754</x:v>
      </x:c>
      <x:c r="B120" s="12" t="n">
        <x:v>-2</x:v>
      </x:c>
      <x:c r="C120" s="12" t="n">
        <x:v>-0.003021961272486019</x:v>
      </x:c>
      <x:c r="D120" s="12" t="n">
        <x:v>-0.0790122556325318</x:v>
      </x:c>
      <x:c r="E120" s="12"/>
    </x:row>
    <x:row r="121" ht="18" customHeight="1">
      <x:c r="A121" s="13" t="n">
        <x:v>42755</x:v>
      </x:c>
      <x:c r="B121" s="12" t="n">
        <x:v>2.999999999999943</x:v>
      </x:c>
      <x:c r="C121" s="12" t="n">
        <x:v>0.007659917017705633</x:v>
      </x:c>
      <x:c r="D121" s="12" t="n">
        <x:v>-0.06808316131831979</x:v>
      </x:c>
      <x:c r="E121" s="12"/>
    </x:row>
    <x:row r="122" ht="18" customHeight="1">
      <x:c r="A122" s="13" t="n">
        <x:v>42758</x:v>
      </x:c>
      <x:c r="B122" s="12" t="n">
        <x:v>8</x:v>
      </x:c>
      <x:c r="C122" s="12" t="n">
        <x:v>0.0027360461114876037</x:v>
      </x:c>
      <x:c r="D122" s="12" t="n">
        <x:v>-0.05495650911542719</x:v>
      </x:c>
      <x:c r="E122" s="12"/>
    </x:row>
    <x:row r="123" ht="18" customHeight="1">
      <x:c r="A123" s="13" t="n">
        <x:v>42759</x:v>
      </x:c>
      <x:c r="B123" s="12" t="n">
        <x:v>-8</x:v>
      </x:c>
      <x:c r="C123" s="12" t="n">
        <x:v>0.00011000914222430327</x:v>
      </x:c>
      <x:c r="D123" s="12" t="n">
        <x:v>-0.05496847061697619</x:v>
      </x:c>
      <x:c r="E123" s="12"/>
    </x:row>
    <x:row r="124" ht="18" customHeight="1">
      <x:c r="A124" s="13" t="n">
        <x:v>42760</x:v>
      </x:c>
      <x:c r="B124" s="12" t="n">
        <x:v>-8.999999999999943</x:v>
      </x:c>
      <x:c r="C124" s="12" t="n">
        <x:v>0.0033984295643869795</x:v>
      </x:c>
      <x:c r="D124" s="12" t="n">
        <x:v>-0.05516433795829954</x:v>
      </x:c>
      <x:c r="E124" s="12"/>
    </x:row>
    <x:row r="125" ht="18" customHeight="1">
      <x:c r="A125" s="13" t="n">
        <x:v>42761</x:v>
      </x:c>
      <x:c r="B125" s="12" t="n">
        <x:v>0</x:v>
      </x:c>
      <x:c r="C125" s="12" t="n">
        <x:v>0.003564947888545204</x:v>
      </x:c>
      <x:c r="D125" s="12" t="n">
        <x:v>-0.049550355680433464</x:v>
      </x:c>
      <x:c r="E125" s="12"/>
    </x:row>
    <x:row r="126" ht="18" customHeight="1">
      <x:c r="A126" s="13" t="n">
        <x:v>42769</x:v>
      </x:c>
      <x:c r="B126" s="12" t="n">
        <x:v>-7</x:v>
      </x:c>
      <x:c r="C126" s="12" t="n">
        <x:v>-0.006951072400334702</x:v>
      </x:c>
      <x:c r="D126" s="12" t="n">
        <x:v>-0.02988340276282537</x:v>
      </x:c>
      <x:c r="E126" s="12"/>
    </x:row>
    <x:row r="127" ht="18" customHeight="1">
      <x:c r="A127" s="13" t="n">
        <x:v>42772</x:v>
      </x:c>
      <x:c r="B127" s="12" t="n">
        <x:v>5</x:v>
      </x:c>
      <x:c r="C127" s="12" t="n">
        <x:v>0.002586285592632144</x:v>
      </x:c>
      <x:c r="D127" s="12" t="n">
        <x:v>-0.01744141817639754</x:v>
      </x:c>
      <x:c r="E127" s="12"/>
    </x:row>
    <x:row r="128" ht="18" customHeight="1">
      <x:c r="A128" s="13" t="n">
        <x:v>42773</x:v>
      </x:c>
      <x:c r="B128" s="12" t="n">
        <x:v>2</x:v>
      </x:c>
      <x:c r="C128" s="12" t="n">
        <x:v>-0.0022318818445456945</x:v>
      </x:c>
      <x:c r="D128" s="12" t="n">
        <x:v>-0.0641133886165756</x:v>
      </x:c>
      <x:c r="E128" s="12"/>
    </x:row>
    <x:row r="129" ht="18" customHeight="1">
      <x:c r="A129" s="13" t="n">
        <x:v>42774</x:v>
      </x:c>
      <x:c r="B129" s="12" t="n">
        <x:v>5</x:v>
      </x:c>
      <x:c r="C129" s="12" t="n">
        <x:v>0.005216479810918396</x:v>
      </x:c>
      <x:c r="D129" s="12" t="n">
        <x:v>-0.01399337177764611</x:v>
      </x:c>
      <x:c r="E129" s="12"/>
    </x:row>
    <x:row r="130" ht="18" customHeight="1">
      <x:c r="A130" s="13" t="n">
        <x:v>42775</x:v>
      </x:c>
      <x:c r="B130" s="12" t="n">
        <x:v>-5</x:v>
      </x:c>
      <x:c r="C130" s="12" t="n">
        <x:v>0.003836407437192441</x:v>
      </x:c>
      <x:c r="D130" s="12" t="n">
        <x:v>-0.026320269811410963</x:v>
      </x:c>
      <x:c r="E130" s="12"/>
    </x:row>
    <x:row r="131" ht="18" customHeight="1">
      <x:c r="A131" s="13" t="n">
        <x:v>42776</x:v>
      </x:c>
      <x:c r="B131" s="12" t="n">
        <x:v>-3</x:v>
      </x:c>
      <x:c r="C131" s="12" t="n">
        <x:v>0.005049924831800413</x:v>
      </x:c>
      <x:c r="D131" s="12" t="n">
        <x:v>-0.018644950308162482</x:v>
      </x:c>
      <x:c r="E131" s="12"/>
    </x:row>
    <x:row r="132" ht="18" customHeight="1">
      <x:c r="A132" s="13" t="n">
        <x:v>42779</x:v>
      </x:c>
      <x:c r="B132" s="12" t="n">
        <x:v>-4</x:v>
      </x:c>
      <x:c r="C132" s="12" t="n">
        <x:v>0.006653744973676488</x:v>
      </x:c>
      <x:c r="D132" s="12" t="n">
        <x:v>-0.022211143448847167</x:v>
      </x:c>
      <x:c r="E132" s="12"/>
    </x:row>
    <x:row r="133" ht="18" customHeight="1">
      <x:c r="A133" s="13" t="n">
        <x:v>42780</x:v>
      </x:c>
      <x:c r="B133" s="12" t="n">
        <x:v>-6</x:v>
      </x:c>
      <x:c r="C133" s="12" t="n">
        <x:v>-0.00013701821152957766</x:v>
      </x:c>
      <x:c r="D133" s="12" t="n">
        <x:v>-0.019384546992284094</x:v>
      </x:c>
      <x:c r="E133" s="12"/>
    </x:row>
    <x:row r="134" ht="18" customHeight="1">
      <x:c r="A134" s="13" t="n">
        <x:v>42781</x:v>
      </x:c>
      <x:c r="B134" s="12" t="n">
        <x:v>-3</x:v>
      </x:c>
      <x:c r="C134" s="12" t="n">
        <x:v>-0.004109685536673305</x:v>
      </x:c>
      <x:c r="D134" s="12" t="n">
        <x:v>-0.022589580972562816</x:v>
      </x:c>
      <x:c r="E134" s="12"/>
    </x:row>
    <x:row r="135" ht="18" customHeight="1">
      <x:c r="A135" s="13" t="n">
        <x:v>42782</x:v>
      </x:c>
      <x:c r="B135" s="12" t="n">
        <x:v>6</x:v>
      </x:c>
      <x:c r="C135" s="12" t="n">
        <x:v>0.005601352508163811</x:v>
      </x:c>
      <x:c r="D135" s="12" t="n">
        <x:v>-0.02753369378583383</x:v>
      </x:c>
      <x:c r="E135" s="12"/>
    </x:row>
    <x:row r="136" ht="18" customHeight="1">
      <x:c r="A136" s="13" t="n">
        <x:v>42783</x:v>
      </x:c>
      <x:c r="B136" s="12" t="n">
        <x:v>3</x:v>
      </x:c>
      <x:c r="C136" s="12" t="n">
        <x:v>-0.005680614193787631</x:v>
      </x:c>
      <x:c r="D136" s="12" t="n">
        <x:v>-0.04621979585835124</x:v>
      </x:c>
      <x:c r="E136" s="12"/>
    </x:row>
    <x:row r="137" ht="18" customHeight="1">
      <x:c r="A137" s="13" t="n">
        <x:v>42786</x:v>
      </x:c>
      <x:c r="B137" s="12" t="n">
        <x:v>0</x:v>
      </x:c>
      <x:c r="C137" s="12" t="n">
        <x:v>0.014493768687695141</x:v>
      </x:c>
      <x:c r="D137" s="12" t="n">
        <x:v>-0.06312090342682908</x:v>
      </x:c>
      <x:c r="E137" s="12"/>
    </x:row>
    <x:row r="138" ht="18" customHeight="1">
      <x:c r="A138" s="13" t="n">
        <x:v>42787</x:v>
      </x:c>
      <x:c r="B138" s="12" t="n">
        <x:v>-5</x:v>
      </x:c>
      <x:c r="C138" s="12" t="n">
        <x:v>0.0032873327348675757</x:v>
      </x:c>
      <x:c r="D138" s="12" t="n">
        <x:v>-0.07454267829214582</x:v>
      </x:c>
      <x:c r="E138" s="12"/>
    </x:row>
    <x:row r="139" ht="18" customHeight="1">
      <x:c r="A139" s="13" t="n">
        <x:v>42788</x:v>
      </x:c>
      <x:c r="B139" s="12" t="n">
        <x:v>-3</x:v>
      </x:c>
      <x:c r="C139" s="12" t="n">
        <x:v>0.0019888484847383437</x:v>
      </x:c>
      <x:c r="D139" s="12" t="n">
        <x:v>-0.07535850351867499</x:v>
      </x:c>
      <x:c r="E139" s="12"/>
    </x:row>
    <x:row r="140" ht="18" customHeight="1">
      <x:c r="A140" s="13" t="n">
        <x:v>42789</x:v>
      </x:c>
      <x:c r="B140" s="12" t="n">
        <x:v>-1</x:v>
      </x:c>
      <x:c r="C140" s="12" t="n">
        <x:v>-0.004720074967268536</x:v>
      </x:c>
      <x:c r="D140" s="12" t="n">
        <x:v>-0.07161953574106143</x:v>
      </x:c>
      <x:c r="E140" s="12"/>
    </x:row>
    <x:row r="141" ht="18" customHeight="1">
      <x:c r="A141" s="13" t="n">
        <x:v>42790</x:v>
      </x:c>
      <x:c r="B141" s="12" t="n">
        <x:v>7</x:v>
      </x:c>
      <x:c r="C141" s="12" t="n">
        <x:v>0.00015203301434385405</x:v>
      </x:c>
      <x:c r="D141" s="12" t="n">
        <x:v>-0.06818338605681087</x:v>
      </x:c>
      <x:c r="E141" s="12"/>
    </x:row>
    <x:row r="142" ht="18" customHeight="1">
      <x:c r="A142" s="13" t="n">
        <x:v>42793</x:v>
      </x:c>
      <x:c r="B142" s="12" t="n">
        <x:v>-9</x:v>
      </x:c>
      <x:c r="C142" s="12" t="n">
        <x:v>-0.007985187676467454</x:v>
      </x:c>
      <x:c r="D142" s="12" t="n">
        <x:v>-0.023397252636303056</x:v>
      </x:c>
      <x:c r="E142" s="12"/>
    </x:row>
    <x:row r="143" ht="18" customHeight="1">
      <x:c r="A143" s="13" t="n">
        <x:v>42794</x:v>
      </x:c>
      <x:c r="B143" s="12" t="n">
        <x:v>-1</x:v>
      </x:c>
      <x:c r="C143" s="12" t="n">
        <x:v>0.0019096884756218898</x:v>
      </x:c>
      <x:c r="D143" s="12" t="n">
        <x:v>0.0023026118213658174</x:v>
      </x:c>
      <x:c r="E143" s="12"/>
    </x:row>
    <x:row r="144" ht="18" customHeight="1">
      <x:c r="A144" s="13" t="n">
        <x:v>42795</x:v>
      </x:c>
      <x:c r="B144" s="12" t="n">
        <x:v>-17</x:v>
      </x:c>
      <x:c r="C144" s="12" t="n">
        <x:v>0.0016284472283388108</x:v>
      </x:c>
      <x:c r="D144" s="12" t="n">
        <x:v>-0.008375048791848921</x:v>
      </x:c>
      <x:c r="E144" s="12"/>
    </x:row>
    <x:row r="145" ht="18" customHeight="1">
      <x:c r="A145" s="13" t="n">
        <x:v>42796</x:v>
      </x:c>
      <x:c r="B145" s="12" t="n">
        <x:v>-2</x:v>
      </x:c>
      <x:c r="C145" s="12" t="n">
        <x:v>-0.0067719661759197015</x:v>
      </x:c>
      <x:c r="D145" s="12" t="n">
        <x:v>-0.01110454795441746</x:v>
      </x:c>
      <x:c r="E145" s="12"/>
    </x:row>
    <x:row r="146" ht="18" customHeight="1">
      <x:c r="A146" s="13" t="n">
        <x:v>42797</x:v>
      </x:c>
      <x:c r="B146" s="12" t="n">
        <x:v>5</x:v>
      </x:c>
      <x:c r="C146" s="12" t="n">
        <x:v>-0.0021079836184837606</x:v>
      </x:c>
      <x:c r="D146" s="12" t="n">
        <x:v>-0.01520677889124223</x:v>
      </x:c>
      <x:c r="E146" s="12"/>
    </x:row>
    <x:row r="147" ht="18" customHeight="1">
      <x:c r="A147" s="13" t="n">
        <x:v>42800</x:v>
      </x:c>
      <x:c r="B147" s="12" t="n">
        <x:v>6</x:v>
      </x:c>
      <x:c r="C147" s="12" t="n">
        <x:v>0.005417604344606997</x:v>
      </x:c>
      <x:c r="D147" s="12" t="n">
        <x:v>-0.0016248378166734629</x:v>
      </x:c>
      <x:c r="E147" s="12"/>
    </x:row>
    <x:row r="148" ht="18" customHeight="1">
      <x:c r="A148" s="13" t="n">
        <x:v>42801</x:v>
      </x:c>
      <x:c r="B148" s="12" t="n">
        <x:v>7</x:v>
      </x:c>
      <x:c r="C148" s="12" t="n">
        <x:v>0.0021658046094139493</x:v>
      </x:c>
      <x:c r="D148" s="12" t="n">
        <x:v>-0.009233212920017305</x:v>
      </x:c>
      <x:c r="E148" s="12"/>
    </x:row>
    <x:row r="149" ht="18" customHeight="1">
      <x:c r="A149" s="13" t="n">
        <x:v>42802</x:v>
      </x:c>
      <x:c r="B149" s="12" t="n">
        <x:v>6</x:v>
      </x:c>
      <x:c r="C149" s="12" t="n">
        <x:v>-0.0015139612711579506</x:v>
      </x:c>
      <x:c r="D149" s="12" t="n">
        <x:v>-0.01415693885007608</x:v>
      </x:c>
      <x:c r="E149" s="12"/>
    </x:row>
    <x:row r="150" ht="18" customHeight="1">
      <x:c r="A150" s="13" t="n">
        <x:v>42803</x:v>
      </x:c>
      <x:c r="B150" s="12" t="n">
        <x:v>9</x:v>
      </x:c>
      <x:c r="C150" s="12" t="n">
        <x:v>-0.0063375807051733735</x:v>
      </x:c>
      <x:c r="D150" s="12" t="n">
        <x:v>-0.02680328031639772</x:v>
      </x:c>
      <x:c r="E150" s="12"/>
    </x:row>
    <x:row r="151" ht="18" customHeight="1">
      <x:c r="A151" s="13" t="n">
        <x:v>42804</x:v>
      </x:c>
      <x:c r="B151" s="12" t="n">
        <x:v>1</x:v>
      </x:c>
      <x:c r="C151" s="12" t="n">
        <x:v>0.00027653472351488564</x:v>
      </x:c>
      <x:c r="D151" s="12" t="n">
        <x:v>-0.012529916109056329</x:v>
      </x:c>
      <x:c r="E151" s="12"/>
    </x:row>
    <x:row r="152" ht="18" customHeight="1">
      <x:c r="A152" s="13" t="n">
        <x:v>42807</x:v>
      </x:c>
      <x:c r="B152" s="12" t="n">
        <x:v>5</x:v>
      </x:c>
      <x:c r="C152" s="12" t="n">
        <x:v>0.00877334864193802</x:v>
      </x:c>
      <x:c r="D152" s="12" t="n">
        <x:v>-0.025169922195470398</x:v>
      </x:c>
      <x:c r="E152" s="12"/>
    </x:row>
    <x:row r="153" ht="18" customHeight="1">
      <x:c r="A153" s="13" t="n">
        <x:v>42808</x:v>
      </x:c>
      <x:c r="B153" s="12" t="n">
        <x:v>11</x:v>
      </x:c>
      <x:c r="C153" s="12" t="n">
        <x:v>-0.00040625954944027487</x:v>
      </x:c>
      <x:c r="D153" s="12" t="n">
        <x:v>-0.03571621209098203</x:v>
      </x:c>
      <x:c r="E153" s="12"/>
    </x:row>
    <x:row r="154" ht="18" customHeight="1">
      <x:c r="A154" s="13" t="n">
        <x:v>42809</x:v>
      </x:c>
      <x:c r="B154" s="12" t="n">
        <x:v>-3.000000000000057</x:v>
      </x:c>
      <x:c r="C154" s="12" t="n">
        <x:v>0.0020086311798897453</x:v>
      </x:c>
      <x:c r="D154" s="12" t="n">
        <x:v>-0.021803860214942863</x:v>
      </x:c>
      <x:c r="E154" s="12"/>
    </x:row>
    <x:row r="155" ht="18" customHeight="1">
      <x:c r="A155" s="13" t="n">
        <x:v>42810</x:v>
      </x:c>
      <x:c r="B155" s="12" t="n">
        <x:v>-13.999999999999943</x:v>
      </x:c>
      <x:c r="C155" s="12" t="n">
        <x:v>0.005144032562317347</x:v>
      </x:c>
      <x:c r="D155" s="12" t="n">
        <x:v>-0.054168191584580146</x:v>
      </x:c>
      <x:c r="E155" s="12"/>
    </x:row>
    <x:row r="156" ht="18" customHeight="1">
      <x:c r="A156" s="13" t="n">
        <x:v>42811</x:v>
      </x:c>
      <x:c r="B156" s="12" t="n">
        <x:v>3</x:v>
      </x:c>
      <x:c r="C156" s="12" t="n">
        <x:v>-0.010307552955506163</x:v>
      </x:c>
      <x:c r="D156" s="12" t="n">
        <x:v>-0.04241787767253077</x:v>
      </x:c>
      <x:c r="E156" s="12"/>
    </x:row>
    <x:row r="157" ht="18" customHeight="1">
      <x:c r="A157" s="13" t="n">
        <x:v>42814</x:v>
      </x:c>
      <x:c r="B157" s="12" t="n">
        <x:v>6</x:v>
      </x:c>
      <x:c r="C157" s="12" t="n">
        <x:v>0.0011043567054596322</x:v>
      </x:c>
      <x:c r="D157" s="12" t="n">
        <x:v>-0.07572359734388492</x:v>
      </x:c>
      <x:c r="E157" s="12"/>
    </x:row>
    <x:row r="158" ht="18" customHeight="1">
      <x:c r="A158" s="13" t="n">
        <x:v>42815</x:v>
      </x:c>
      <x:c r="B158" s="12" t="n">
        <x:v>7</x:v>
      </x:c>
      <x:c r="C158" s="12" t="n">
        <x:v>0.004839309108162561</x:v>
      </x:c>
      <x:c r="D158" s="12" t="n">
        <x:v>-0.060420875917242246</x:v>
      </x:c>
      <x:c r="E158" s="12"/>
    </x:row>
    <x:row r="159" ht="18" customHeight="1">
      <x:c r="A159" s="13" t="n">
        <x:v>42816</x:v>
      </x:c>
      <x:c r="B159" s="12" t="n">
        <x:v>12</x:v>
      </x:c>
      <x:c r="C159" s="12" t="n">
        <x:v>-0.0047124623293353035</x:v>
      </x:c>
      <x:c r="D159" s="12" t="n">
        <x:v>-0.12187691662085956</x:v>
      </x:c>
      <x:c r="E159" s="12"/>
    </x:row>
    <x:row r="160" ht="18" customHeight="1">
      <x:c r="A160" s="13" t="n">
        <x:v>42817</x:v>
      </x:c>
      <x:c r="B160" s="12" t="n">
        <x:v>-4.999999999999943</x:v>
      </x:c>
      <x:c r="C160" s="12" t="n">
        <x:v>0.003451378133960319</x:v>
      </x:c>
      <x:c r="D160" s="12" t="n">
        <x:v>-0.08530217020489389</x:v>
      </x:c>
      <x:c r="E160" s="12"/>
    </x:row>
    <x:row r="161" ht="18" customHeight="1">
      <x:c r="A161" s="13" t="n">
        <x:v>42818</x:v>
      </x:c>
      <x:c r="B161" s="12" t="n">
        <x:v>-4.000000000000057</x:v>
      </x:c>
      <x:c r="C161" s="12" t="n">
        <x:v>0.00794687069947966</x:v>
      </x:c>
      <x:c r="D161" s="12" t="n">
        <x:v>-0.09903191423868604</x:v>
      </x:c>
      <x:c r="E161" s="12"/>
    </x:row>
    <x:row r="162" ht="18" customHeight="1">
      <x:c r="A162" s="13" t="n">
        <x:v>42821</x:v>
      </x:c>
      <x:c r="B162" s="12" t="n">
        <x:v>5</x:v>
      </x:c>
      <x:c r="C162" s="12" t="n">
        <x:v>-0.0033185450444427754</x:v>
      </x:c>
      <x:c r="D162" s="12" t="n">
        <x:v>-0.10312238459583613</x:v>
      </x:c>
      <x:c r="E162" s="12"/>
    </x:row>
    <x:row r="163" ht="18" customHeight="1">
      <x:c r="A163" s="13" t="n">
        <x:v>42822</x:v>
      </x:c>
      <x:c r="B163" s="12" t="n">
        <x:v>-11</x:v>
      </x:c>
      <x:c r="C163" s="12" t="n">
        <x:v>-0.002368849774787695</x:v>
      </x:c>
      <x:c r="D163" s="12" t="n">
        <x:v>-0.0944972513771896</x:v>
      </x:c>
      <x:c r="E163" s="12"/>
    </x:row>
    <x:row r="164" ht="18" customHeight="1">
      <x:c r="A164" s="13" t="n">
        <x:v>42823</x:v>
      </x:c>
      <x:c r="B164" s="12" t="n">
        <x:v>-7</x:v>
      </x:c>
      <x:c r="C164" s="12" t="n">
        <x:v>-0.001331218154607123</x:v>
      </x:c>
      <x:c r="D164" s="12" t="n">
        <x:v>-0.08615851172540522</x:v>
      </x:c>
      <x:c r="E164" s="12"/>
    </x:row>
    <x:row r="165" ht="18" customHeight="1">
      <x:c r="A165" s="13" t="n">
        <x:v>42824</x:v>
      </x:c>
      <x:c r="B165" s="12" t="n">
        <x:v>-9</x:v>
      </x:c>
      <x:c r="C165" s="12" t="n">
        <x:v>-0.008239832374357891</x:v>
      </x:c>
      <x:c r="D165" s="12" t="n">
        <x:v>-0.04681383742920669</x:v>
      </x:c>
      <x:c r="E165" s="12"/>
    </x:row>
    <x:row r="166" ht="18" customHeight="1">
      <x:c r="A166" s="13" t="n">
        <x:v>42825</x:v>
      </x:c>
      <x:c r="B166" s="12" t="n">
        <x:v>7</x:v>
      </x:c>
      <x:c r="C166" s="12" t="n">
        <x:v>0.005596431217114241</x:v>
      </x:c>
      <x:c r="D166" s="12" t="n">
        <x:v>-0.03043688136554549</x:v>
      </x:c>
      <x:c r="E166" s="12"/>
    </x:row>
    <x:row r="167" ht="18" customHeight="1">
      <x:c r="A167" s="13" t="n">
        <x:v>42830</x:v>
      </x:c>
      <x:c r="B167" s="12" t="n">
        <x:v>-7</x:v>
      </x:c>
      <x:c r="C167" s="12" t="n">
        <x:v>0.013749676793178263</x:v>
      </x:c>
      <x:c r="D167" s="12" t="n">
        <x:v>-0.07532711105993949</x:v>
      </x:c>
      <x:c r="E167" s="12"/>
    </x:row>
    <x:row r="168" ht="18" customHeight="1">
      <x:c r="A168" s="13" t="n">
        <x:v>42831</x:v>
      </x:c>
      <x:c r="B168" s="12" t="n">
        <x:v>2</x:v>
      </x:c>
      <x:c r="C168" s="12" t="n">
        <x:v>0.0028936431318037823</x:v>
      </x:c>
      <x:c r="D168" s="12" t="n">
        <x:v>-0.06237927985733963</x:v>
      </x:c>
      <x:c r="E168" s="12"/>
    </x:row>
    <x:row r="169" ht="18" customHeight="1">
      <x:c r="A169" s="13" t="n">
        <x:v>42832</x:v>
      </x:c>
      <x:c r="B169" s="12" t="n">
        <x:v>-7</x:v>
      </x:c>
      <x:c r="C169" s="12" t="n">
        <x:v>0.0009717685456167432</x:v>
      </x:c>
      <x:c r="D169" s="12" t="n">
        <x:v>-0.05817416567905748</x:v>
      </x:c>
      <x:c r="E169" s="12"/>
    </x:row>
    <x:row r="170" ht="18" customHeight="1">
      <x:c r="A170" s="13" t="n">
        <x:v>42835</x:v>
      </x:c>
      <x:c r="B170" s="12" t="n">
        <x:v>0</x:v>
      </x:c>
      <x:c r="C170" s="12" t="n">
        <x:v>-0.003509870443761566</x:v>
      </x:c>
      <x:c r="D170" s="12" t="n">
        <x:v>-0.06431231261629178</x:v>
      </x:c>
      <x:c r="E170" s="12"/>
    </x:row>
    <x:row r="171" ht="18" customHeight="1">
      <x:c r="A171" s="13" t="n">
        <x:v>42836</x:v>
      </x:c>
      <x:c r="B171" s="12" t="n">
        <x:v>8</x:v>
      </x:c>
      <x:c r="C171" s="12" t="n">
        <x:v>0.0034713760542855474</x:v>
      </x:c>
      <x:c r="D171" s="12" t="n">
        <x:v>-0.018264867003220102</x:v>
      </x:c>
      <x:c r="E171" s="12"/>
    </x:row>
    <x:row r="172" ht="18" customHeight="1">
      <x:c r="A172" s="13" t="n">
        <x:v>42837</x:v>
      </x:c>
      <x:c r="B172" s="12" t="n">
        <x:v>2</x:v>
      </x:c>
      <x:c r="C172" s="12" t="n">
        <x:v>-0.0022455002853585654</x:v>
      </x:c>
      <x:c r="D172" s="12" t="n">
        <x:v>0.01583728438563479</x:v>
      </x:c>
      <x:c r="E172" s="12"/>
    </x:row>
    <x:row r="173" ht="18" customHeight="1">
      <x:c r="A173" s="13" t="n">
        <x:v>42838</x:v>
      </x:c>
      <x:c r="B173" s="12" t="n">
        <x:v>7</x:v>
      </x:c>
      <x:c r="C173" s="12" t="n">
        <x:v>0.001459993546077126</x:v>
      </x:c>
      <x:c r="D173" s="12" t="n">
        <x:v>0.01942739816255033</x:v>
      </x:c>
      <x:c r="E173" s="12"/>
    </x:row>
    <x:row r="174" ht="18" customHeight="1">
      <x:c r="A174" s="13" t="n">
        <x:v>42842</x:v>
      </x:c>
      <x:c r="B174" s="12" t="n">
        <x:v>-3</x:v>
      </x:c>
      <x:c r="C174" s="12" t="n">
        <x:v>-0.0018841175982784407</x:v>
      </x:c>
      <x:c r="D174" s="12" t="n">
        <x:v>0.003388687360846956</x:v>
      </x:c>
      <x:c r="E174" s="12"/>
    </x:row>
    <x:row r="175" ht="18" customHeight="1">
      <x:c r="A175" s="13" t="n">
        <x:v>42843</x:v>
      </x:c>
      <x:c r="B175" s="12" t="n">
        <x:v>7</x:v>
      </x:c>
      <x:c r="C175" s="12" t="n">
        <x:v>-0.004954520094993246</x:v>
      </x:c>
      <x:c r="D175" s="12" t="n">
        <x:v>-0.0251361326685477</x:v>
      </x:c>
      <x:c r="E175" s="12"/>
    </x:row>
    <x:row r="176" ht="18" customHeight="1">
      <x:c r="A176" s="13" t="n">
        <x:v>42844</x:v>
      </x:c>
      <x:c r="B176" s="12" t="n">
        <x:v>-6</x:v>
      </x:c>
      <x:c r="C176" s="12" t="n">
        <x:v>-0.004882837948266378</x:v>
      </x:c>
      <x:c r="D176" s="12" t="n">
        <x:v>-0.01082408986348272</x:v>
      </x:c>
      <x:c r="E176" s="12"/>
    </x:row>
    <x:row r="177" ht="18" customHeight="1">
      <x:c r="A177" s="13" t="n">
        <x:v>42845</x:v>
      </x:c>
      <x:c r="B177" s="12" t="n">
        <x:v>-3</x:v>
      </x:c>
      <x:c r="C177" s="12" t="n">
        <x:v>0.0045377340201217834</x:v>
      </x:c>
      <x:c r="D177" s="12" t="n">
        <x:v>-0.00443905623226762</x:v>
      </x:c>
      <x:c r="E177" s="12"/>
    </x:row>
    <x:row r="178" ht="18" customHeight="1">
      <x:c r="A178" s="13" t="n">
        <x:v>42846</x:v>
      </x:c>
      <x:c r="B178" s="12" t="n">
        <x:v>-1</x:v>
      </x:c>
      <x:c r="C178" s="12" t="n">
        <x:v>0.0015121674401230765</x:v>
      </x:c>
      <x:c r="D178" s="12" t="n">
        <x:v>0.0017731026623530582</x:v>
      </x:c>
      <x:c r="E178" s="12"/>
    </x:row>
    <x:row r="179" ht="18" customHeight="1">
      <x:c r="A179" s="13" t="n">
        <x:v>42849</x:v>
      </x:c>
      <x:c r="B179" s="12" t="n">
        <x:v>-11</x:v>
      </x:c>
      <x:c r="C179" s="12" t="n">
        <x:v>-0.010300922397859099</x:v>
      </x:c>
      <x:c r="D179" s="12" t="n">
        <x:v>0.058568130737762555</x:v>
      </x:c>
      <x:c r="E179" s="12"/>
    </x:row>
    <x:row r="180" ht="18" customHeight="1">
      <x:c r="A180" s="13" t="n">
        <x:v>42850</x:v>
      </x:c>
      <x:c r="B180" s="12" t="n">
        <x:v>-8</x:v>
      </x:c>
      <x:c r="C180" s="12" t="n">
        <x:v>0.0028274962367554088</x:v>
      </x:c>
      <x:c r="D180" s="12" t="n">
        <x:v>0.049473960654701846</x:v>
      </x:c>
      <x:c r="E180" s="12"/>
    </x:row>
    <x:row r="181" ht="18" customHeight="1">
      <x:c r="A181" s="13" t="n">
        <x:v>42851</x:v>
      </x:c>
      <x:c r="B181" s="12" t="n">
        <x:v>-2</x:v>
      </x:c>
      <x:c r="C181" s="12" t="n">
        <x:v>0.0012224235429179387</x:v>
      </x:c>
      <x:c r="D181" s="12" t="n">
        <x:v>0.04515888554813916</x:v>
      </x:c>
      <x:c r="E181" s="12"/>
    </x:row>
    <x:row r="182" ht="18" customHeight="1">
      <x:c r="A182" s="13" t="n">
        <x:v>42852</x:v>
      </x:c>
      <x:c r="B182" s="12" t="n">
        <x:v>2</x:v>
      </x:c>
      <x:c r="C182" s="12" t="n">
        <x:v>0.0004460306351600045</x:v>
      </x:c>
      <x:c r="D182" s="12" t="n">
        <x:v>0.05219214119329662</x:v>
      </x:c>
      <x:c r="E182" s="12"/>
    </x:row>
    <x:row r="183" ht="18" customHeight="1">
      <x:c r="A183" s="13" t="n">
        <x:v>42853</x:v>
      </x:c>
      <x:c r="B183" s="12" t="n">
        <x:v>-3</x:v>
      </x:c>
      <x:c r="C183" s="12" t="n">
        <x:v>-0.0020234457246328286</x:v>
      </x:c>
      <x:c r="D183" s="12" t="n">
        <x:v>0.05279860458512627</x:v>
      </x:c>
      <x:c r="E183" s="12"/>
    </x:row>
    <x:row r="184" ht="18" customHeight="1">
      <x:c r="A184" s="13" t="n">
        <x:v>42857</x:v>
      </x:c>
      <x:c r="B184" s="12" t="n">
        <x:v>1</x:v>
      </x:c>
      <x:c r="C184" s="12" t="n">
        <x:v>-0.003837979515030131</x:v>
      </x:c>
      <x:c r="D184" s="12" t="n">
        <x:v>0.03807766635364927</x:v>
      </x:c>
      <x:c r="E184" s="12"/>
    </x:row>
    <x:row r="185" ht="18" customHeight="1">
      <x:c r="A185" s="13" t="n">
        <x:v>42858</x:v>
      </x:c>
      <x:c r="B185" s="12" t="n">
        <x:v>-3</x:v>
      </x:c>
      <x:c r="C185" s="12" t="n">
        <x:v>-0.003932455485719591</x:v>
      </x:c>
      <x:c r="D185" s="12" t="n">
        <x:v>0.03371377377943509</x:v>
      </x:c>
      <x:c r="E185" s="12"/>
    </x:row>
    <x:row r="186" ht="18" customHeight="1">
      <x:c r="A186" s="13" t="n">
        <x:v>42859</x:v>
      </x:c>
      <x:c r="B186" s="12" t="n">
        <x:v>4</x:v>
      </x:c>
      <x:c r="C186" s="12" t="n">
        <x:v>-0.0025645136985957425</x:v>
      </x:c>
      <x:c r="D186" s="12" t="n">
        <x:v>0.02643511199930579</x:v>
      </x:c>
      <x:c r="E186" s="12"/>
    </x:row>
    <x:row r="187" ht="18" customHeight="1">
      <x:c r="A187" s="13" t="n">
        <x:v>42860</x:v>
      </x:c>
      <x:c r="B187" s="12" t="n">
        <x:v>2</x:v>
      </x:c>
      <x:c r="C187" s="12" t="n">
        <x:v>-0.006434795735926154</x:v>
      </x:c>
      <x:c r="D187" s="12" t="n">
        <x:v>0.03205666329782883</x:v>
      </x:c>
      <x:c r="E187" s="12"/>
    </x:row>
    <x:row r="188" ht="18" customHeight="1">
      <x:c r="A188" s="13" t="n">
        <x:v>42863</x:v>
      </x:c>
      <x:c r="B188" s="12" t="n">
        <x:v>-2</x:v>
      </x:c>
      <x:c r="C188" s="12" t="n">
        <x:v>-0.007042433158971218</x:v>
      </x:c>
      <x:c r="D188" s="12" t="n">
        <x:v>0.0369282873589131</x:v>
      </x:c>
      <x:c r="E188" s="12"/>
    </x:row>
    <x:row r="189" ht="18" customHeight="1">
      <x:c r="A189" s="13" t="n">
        <x:v>42864</x:v>
      </x:c>
      <x:c r="B189" s="12" t="n">
        <x:v>-6</x:v>
      </x:c>
      <x:c r="C189" s="12" t="n">
        <x:v>-0.0018714883310459937</x:v>
      </x:c>
      <x:c r="D189" s="12" t="n">
        <x:v>0.019696762602506804</x:v>
      </x:c>
      <x:c r="E189" s="12"/>
    </x:row>
    <x:row r="190" ht="18" customHeight="1">
      <x:c r="A190" s="13" t="n">
        <x:v>42865</x:v>
      </x:c>
      <x:c r="B190" s="12" t="n">
        <x:v>-2</x:v>
      </x:c>
      <x:c r="C190" s="12" t="n">
        <x:v>-0.004433843806724372</x:v>
      </x:c>
      <x:c r="D190" s="12" t="n">
        <x:v>0.01638420806793417</x:v>
      </x:c>
      <x:c r="E190" s="12"/>
    </x:row>
    <x:row r="191" ht="18" customHeight="1">
      <x:c r="A191" s="13" t="n">
        <x:v>42866</x:v>
      </x:c>
      <x:c r="B191" s="12" t="n">
        <x:v>0</x:v>
      </x:c>
      <x:c r="C191" s="12" t="n">
        <x:v>0.005660074600273593</x:v>
      </x:c>
      <x:c r="D191" s="12" t="n">
        <x:v>0.020315388069239246</x:v>
      </x:c>
      <x:c r="E191" s="12"/>
    </x:row>
    <x:row r="192" ht="18" customHeight="1">
      <x:c r="A192" s="13" t="n">
        <x:v>42867</x:v>
      </x:c>
      <x:c r="B192" s="12" t="n">
        <x:v>5</x:v>
      </x:c>
      <x:c r="C192" s="12" t="n">
        <x:v>0.008523544679708842</x:v>
      </x:c>
      <x:c r="D192" s="12" t="n">
        <x:v>0.028926444715359934</x:v>
      </x:c>
      <x:c r="E192" s="12"/>
    </x:row>
    <x:row r="193" ht="18" customHeight="1">
      <x:c r="A193" s="13" t="n">
        <x:v>42870</x:v>
      </x:c>
      <x:c r="B193" s="12" t="n">
        <x:v>-5</x:v>
      </x:c>
      <x:c r="C193" s="12" t="n">
        <x:v>0.004072480409697438</x:v>
      </x:c>
      <x:c r="D193" s="12" t="n">
        <x:v>0.028388497970569092</x:v>
      </x:c>
      <x:c r="E193" s="12"/>
    </x:row>
    <x:row r="194" ht="18" customHeight="1">
      <x:c r="A194" s="13" t="n">
        <x:v>42871</x:v>
      </x:c>
      <x:c r="B194" s="12" t="n">
        <x:v>-1</x:v>
      </x:c>
      <x:c r="C194" s="12" t="n">
        <x:v>0.008628078763215188</x:v>
      </x:c>
      <x:c r="D194" s="12" t="n">
        <x:v>0.03183196221507511</x:v>
      </x:c>
      <x:c r="E194" s="12"/>
    </x:row>
    <x:row r="195" ht="18" customHeight="1">
      <x:c r="A195" s="13" t="n">
        <x:v>42872</x:v>
      </x:c>
      <x:c r="B195" s="12" t="n">
        <x:v>13</x:v>
      </x:c>
      <x:c r="C195" s="12" t="n">
        <x:v>-0.005464131934695424</x:v>
      </x:c>
      <x:c r="D195" s="12" t="n">
        <x:v>0.00746870625397202</x:v>
      </x:c>
      <x:c r="E195" s="12"/>
    </x:row>
    <x:row r="196" ht="18" customHeight="1">
      <x:c r="A196" s="13" t="n">
        <x:v>42873</x:v>
      </x:c>
      <x:c r="B196" s="12" t="n">
        <x:v>1</x:v>
      </x:c>
      <x:c r="C196" s="12" t="n">
        <x:v>-0.0034820139996903057</x:v>
      </x:c>
      <x:c r="D196" s="12" t="n">
        <x:v>0.005347885840318699</x:v>
      </x:c>
      <x:c r="E196" s="12"/>
    </x:row>
    <x:row r="197" ht="18" customHeight="1">
      <x:c r="A197" s="13" t="n">
        <x:v>42874</x:v>
      </x:c>
      <x:c r="B197" s="12" t="n">
        <x:v>-7</x:v>
      </x:c>
      <x:c r="C197" s="12" t="n">
        <x:v>0.0016867196389440404</x:v>
      </x:c>
      <x:c r="D197" s="12" t="n">
        <x:v>-0.005743901444335468</x:v>
      </x:c>
      <x:c r="E197" s="12"/>
    </x:row>
    <x:row r="198" ht="18" customHeight="1">
      <x:c r="A198" s="13" t="n">
        <x:v>42877</x:v>
      </x:c>
      <x:c r="B198" s="12" t="n">
        <x:v>-6</x:v>
      </x:c>
      <x:c r="C198" s="12" t="n">
        <x:v>0.002168571558962522</x:v>
      </x:c>
      <x:c r="D198" s="12" t="n">
        <x:v>-0.02812528691586505</x:v>
      </x:c>
      <x:c r="E198" s="12"/>
    </x:row>
    <x:row r="199" ht="18" customHeight="1">
      <x:c r="A199" s="13" t="n">
        <x:v>42878</x:v>
      </x:c>
      <x:c r="B199" s="12" t="n">
        <x:v>-5</x:v>
      </x:c>
      <x:c r="C199" s="12" t="n">
        <x:v>0.0037906350867286664</x:v>
      </x:c>
      <x:c r="D199" s="12" t="n">
        <x:v>-0.027173044156155807</x:v>
      </x:c>
      <x:c r="E199" s="12"/>
    </x:row>
    <x:row r="200" ht="18" customHeight="1">
      <x:c r="A200" s="13" t="n">
        <x:v>42879</x:v>
      </x:c>
      <x:c r="B200" s="12" t="n">
        <x:v>1</x:v>
      </x:c>
      <x:c r="C200" s="12" t="n">
        <x:v>-0.00000791430253039329</x:v>
      </x:c>
      <x:c r="D200" s="12" t="n">
        <x:v>-0.03219352025631553</x:v>
      </x:c>
      <x:c r="E200" s="12"/>
    </x:row>
    <x:row r="201" ht="18" customHeight="1">
      <x:c r="A201" s="13" t="n">
        <x:v>42880</x:v>
      </x:c>
      <x:c r="B201" s="12" t="n">
        <x:v>-1</x:v>
      </x:c>
      <x:c r="C201" s="12" t="n">
        <x:v>0.017798663011057387</x:v>
      </x:c>
      <x:c r="D201" s="12" t="n">
        <x:v>-0.02750782425101491</x:v>
      </x:c>
      <x:c r="E201" s="12"/>
    </x:row>
    <x:row r="202" ht="18" customHeight="1">
      <x:c r="A202" s="13" t="n">
        <x:v>42881</x:v>
      </x:c>
      <x:c r="B202" s="12" t="n">
        <x:v>0</x:v>
      </x:c>
      <x:c r="C202" s="12" t="n">
        <x:v>-0.0014997219471536538</x:v>
      </x:c>
      <x:c r="D202" s="12" t="n">
        <x:v>-0.025489140338681406</x:v>
      </x:c>
      <x:c r="E202" s="12"/>
    </x:row>
    <x:row r="203" ht="18" customHeight="1">
      <x:c r="A203" s="13" t="n">
        <x:v>42886</x:v>
      </x:c>
      <x:c r="B203" s="12" t="n">
        <x:v>6</x:v>
      </x:c>
      <x:c r="C203" s="12" t="n">
        <x:v>0.0035707568314135704</x:v>
      </x:c>
      <x:c r="D203" s="12" t="n">
        <x:v>-0.01713109148392108</x:v>
      </x:c>
      <x:c r="E203" s="12"/>
    </x:row>
    <x:row r="204" ht="18" customHeight="1">
      <x:c r="A204" s="13" t="n">
        <x:v>42887</x:v>
      </x:c>
      <x:c r="B204" s="12" t="n">
        <x:v>-5</x:v>
      </x:c>
      <x:c r="C204" s="12" t="n">
        <x:v>0.0013886318825212262</x:v>
      </x:c>
      <x:c r="D204" s="12" t="n">
        <x:v>-0.01952019845340984</x:v>
      </x:c>
      <x:c r="E204" s="12"/>
    </x:row>
    <x:row r="205" ht="18" customHeight="1">
      <x:c r="A205" s="13" t="n">
        <x:v>42888</x:v>
      </x:c>
      <x:c r="B205" s="12" t="n">
        <x:v>0</x:v>
      </x:c>
      <x:c r="C205" s="12" t="n">
        <x:v>-0.0032160408791855996</x:v>
      </x:c>
      <x:c r="D205" s="12" t="n">
        <x:v>-0.05506661267888723</x:v>
      </x:c>
      <x:c r="E205" s="12"/>
    </x:row>
    <x:row r="206" ht="18" customHeight="1">
      <x:c r="A206" s="13" t="n">
        <x:v>42891</x:v>
      </x:c>
      <x:c r="B206" s="12" t="n">
        <x:v>-1</x:v>
      </x:c>
      <x:c r="C206" s="12" t="n">
        <x:v>-0.0051050961415664035</x:v>
      </x:c>
      <x:c r="D206" s="12" t="n">
        <x:v>-0.052170253475365164</x:v>
      </x:c>
      <x:c r="E206" s="12"/>
    </x:row>
    <x:row r="207" ht="18" customHeight="1">
      <x:c r="A207" s="13" t="n">
        <x:v>42892</x:v>
      </x:c>
      <x:c r="B207" s="12" t="n">
        <x:v>4</x:v>
      </x:c>
      <x:c r="C207" s="12" t="n">
        <x:v>0.006931674878540226</x:v>
      </x:c>
      <x:c r="D207" s="12" t="n">
        <x:v>-0.02928656842535984</x:v>
      </x:c>
      <x:c r="E207" s="12"/>
    </x:row>
    <x:row r="208" ht="18" customHeight="1">
      <x:c r="A208" s="13" t="n">
        <x:v>42893</x:v>
      </x:c>
      <x:c r="B208" s="12" t="n">
        <x:v>1</x:v>
      </x:c>
      <x:c r="C208" s="12" t="n">
        <x:v>0.011667028179158117</x:v>
      </x:c>
      <x:c r="D208" s="12" t="n">
        <x:v>-0.031215126540740597</x:v>
      </x:c>
      <x:c r="E208" s="12"/>
    </x:row>
    <x:row r="209" ht="18" customHeight="1">
      <x:c r="A209" s="13" t="n">
        <x:v>42894</x:v>
      </x:c>
      <x:c r="B209" s="12" t="n">
        <x:v>3</x:v>
      </x:c>
      <x:c r="C209" s="12" t="n">
        <x:v>0.007641297664501799</x:v>
      </x:c>
      <x:c r="D209" s="12" t="n">
        <x:v>-0.014618287497136135</x:v>
      </x:c>
      <x:c r="E209" s="12"/>
    </x:row>
    <x:row r="210" ht="18" customHeight="1">
      <x:c r="A210" s="13" t="n">
        <x:v>42895</x:v>
      </x:c>
      <x:c r="B210" s="12" t="n">
        <x:v>-3</x:v>
      </x:c>
      <x:c r="C210" s="12" t="n">
        <x:v>0.004257084490128767</x:v>
      </x:c>
      <x:c r="D210" s="12" t="n">
        <x:v>-0.03373850995857577</x:v>
      </x:c>
      <x:c r="E210" s="12"/>
    </x:row>
    <x:row r="211" ht="18" customHeight="1">
      <x:c r="A211" s="13" t="n">
        <x:v>42898</x:v>
      </x:c>
      <x:c r="B211" s="12" t="n">
        <x:v>-2</x:v>
      </x:c>
      <x:c r="C211" s="12" t="n">
        <x:v>-0.0004981148641617354</x:v>
      </x:c>
      <x:c r="D211" s="12" t="n">
        <x:v>-0.03821130318739958</x:v>
      </x:c>
      <x:c r="E211" s="12"/>
    </x:row>
    <x:row r="212" ht="18" customHeight="1">
      <x:c r="A212" s="13" t="n">
        <x:v>42899</x:v>
      </x:c>
      <x:c r="B212" s="12" t="n">
        <x:v>-3</x:v>
      </x:c>
      <x:c r="C212" s="12" t="n">
        <x:v>0.0022015875295422825</x:v>
      </x:c>
      <x:c r="D212" s="12" t="n">
        <x:v>-0.033650332201580396</x:v>
      </x:c>
      <x:c r="E212" s="12"/>
    </x:row>
    <x:row r="213" ht="18" customHeight="1">
      <x:c r="A213" s="13" t="n">
        <x:v>42900</x:v>
      </x:c>
      <x:c r="B213" s="12" t="n">
        <x:v>2</x:v>
      </x:c>
      <x:c r="C213" s="12" t="n">
        <x:v>-0.0131981582280622</x:v>
      </x:c>
      <x:c r="D213" s="12" t="n">
        <x:v>-0.017034760395262746</x:v>
      </x:c>
      <x:c r="E213" s="12"/>
    </x:row>
    <x:row r="214" ht="18" customHeight="1">
      <x:c r="A214" s="13" t="n">
        <x:v>42901</x:v>
      </x:c>
      <x:c r="B214" s="12" t="n">
        <x:v>2</x:v>
      </x:c>
      <x:c r="C214" s="12" t="n">
        <x:v>-0.0018420208809083619</x:v>
      </x:c>
      <x:c r="D214" s="12" t="n">
        <x:v>-0.019690023075787478</x:v>
      </x:c>
      <x:c r="E214" s="12"/>
    </x:row>
    <x:row r="215" ht="18" customHeight="1">
      <x:c r="A215" s="13" t="n">
        <x:v>42902</x:v>
      </x:c>
      <x:c r="B215" s="12" t="n">
        <x:v>4</x:v>
      </x:c>
      <x:c r="C215" s="12" t="n">
        <x:v>-0.0028468053460470708</x:v>
      </x:c>
      <x:c r="D215" s="12" t="n">
        <x:v>-0.04988511314965253</x:v>
      </x:c>
      <x:c r="E215" s="12"/>
    </x:row>
    <x:row r="216" ht="18" customHeight="1">
      <x:c r="A216" s="13" t="n">
        <x:v>42905</x:v>
      </x:c>
      <x:c r="B216" s="12" t="n">
        <x:v>-6</x:v>
      </x:c>
      <x:c r="C216" s="12" t="n">
        <x:v>0.009870582290651478</x:v>
      </x:c>
      <x:c r="D216" s="12" t="n">
        <x:v>-0.0705536324321917</x:v>
      </x:c>
      <x:c r="E216" s="12"/>
    </x:row>
    <x:row r="217" ht="18" customHeight="1">
      <x:c r="A217" s="13" t="n">
        <x:v>42906</x:v>
      </x:c>
      <x:c r="B217" s="12" t="n">
        <x:v>7</x:v>
      </x:c>
      <x:c r="C217" s="12" t="n">
        <x:v>-0.0020200398710990114</x:v>
      </x:c>
      <x:c r="D217" s="12" t="n">
        <x:v>-0.07743794880297099</x:v>
      </x:c>
      <x:c r="E217" s="12"/>
    </x:row>
    <x:row r="218" ht="18" customHeight="1">
      <x:c r="A218" s="13" t="n">
        <x:v>42907</x:v>
      </x:c>
      <x:c r="B218" s="12" t="n">
        <x:v>8</x:v>
      </x:c>
      <x:c r="C218" s="12" t="n">
        <x:v>0.011622892462132673</x:v>
      </x:c>
      <x:c r="D218" s="12" t="n">
        <x:v>-0.0006080531639653849</x:v>
      </x:c>
      <x:c r="E218" s="12"/>
    </x:row>
    <x:row r="219" ht="18" customHeight="1">
      <x:c r="A219" s="13" t="n">
        <x:v>42908</x:v>
      </x:c>
      <x:c r="B219" s="12" t="n">
        <x:v>2</x:v>
      </x:c>
      <x:c r="C219" s="12" t="n">
        <x:v>0.000665199537365851</x:v>
      </x:c>
      <x:c r="D219" s="12" t="n">
        <x:v>0.017495096091124984</x:v>
      </x:c>
      <x:c r="E219" s="12"/>
    </x:row>
    <x:row r="220" ht="18" customHeight="1">
      <x:c r="A220" s="13" t="n">
        <x:v>42909</x:v>
      </x:c>
      <x:c r="B220" s="12" t="n">
        <x:v>-1</x:v>
      </x:c>
      <x:c r="C220" s="12" t="n">
        <x:v>0.009022543465296705</x:v>
      </x:c>
      <x:c r="D220" s="12" t="n">
        <x:v>0.013551484137177404</x:v>
      </x:c>
      <x:c r="E220" s="12"/>
    </x:row>
    <x:row r="221" ht="18" customHeight="1">
      <x:c r="A221" s="13" t="n">
        <x:v>42912</x:v>
      </x:c>
      <x:c r="B221" s="12" t="n">
        <x:v>-3</x:v>
      </x:c>
      <x:c r="C221" s="12" t="n">
        <x:v>0.012401463291442894</x:v>
      </x:c>
      <x:c r="D221" s="12" t="n">
        <x:v>-0.016040361945306936</x:v>
      </x:c>
      <x:c r="E221" s="12"/>
    </x:row>
    <x:row r="222" ht="18" customHeight="1">
      <x:c r="A222" s="13" t="n">
        <x:v>42913</x:v>
      </x:c>
      <x:c r="B222" s="12" t="n">
        <x:v>-6</x:v>
      </x:c>
      <x:c r="C222" s="12" t="n">
        <x:v>0.0018040244571579066</x:v>
      </x:c>
      <x:c r="D222" s="12" t="n">
        <x:v>0.019812697868458996</x:v>
      </x:c>
      <x:c r="E222" s="12"/>
    </x:row>
    <x:row r="223" ht="18" customHeight="1">
      <x:c r="A223" s="13" t="n">
        <x:v>42914</x:v>
      </x:c>
      <x:c r="B223" s="12" t="n">
        <x:v>0</x:v>
      </x:c>
      <x:c r="C223" s="12" t="n">
        <x:v>-0.0077992639394721675</x:v>
      </x:c>
      <x:c r="D223" s="12" t="n">
        <x:v>0.021575975548033414</x:v>
      </x:c>
      <x:c r="E223" s="12"/>
    </x:row>
    <x:row r="224" ht="18" customHeight="1">
      <x:c r="A224" s="13" t="n">
        <x:v>42915</x:v>
      </x:c>
      <x:c r="B224" s="12" t="n">
        <x:v>-1</x:v>
      </x:c>
      <x:c r="C224" s="12" t="n">
        <x:v>0.006195868635291732</x:v>
      </x:c>
      <x:c r="D224" s="12" t="n">
        <x:v>0.03315211006123993</x:v>
      </x:c>
      <x:c r="E224" s="12"/>
    </x:row>
    <x:row r="225" ht="18" customHeight="1">
      <x:c r="A225" s="13" t="n">
        <x:v>42916</x:v>
      </x:c>
      <x:c r="B225" s="12" t="n">
        <x:v>1</x:v>
      </x:c>
      <x:c r="C225" s="12" t="n">
        <x:v>-0.000553517903594956</x:v>
      </x:c>
      <x:c r="D225" s="12" t="n">
        <x:v>0.04518829028449685</x:v>
      </x:c>
      <x:c r="E225" s="12"/>
    </x:row>
    <x:row r="226" ht="18" customHeight="1">
      <x:c r="A226" s="13" t="n">
        <x:v>42919</x:v>
      </x:c>
      <x:c r="B226" s="12" t="n">
        <x:v>-5</x:v>
      </x:c>
      <x:c r="C226" s="12" t="n">
        <x:v>-0.004359716123344102</x:v>
      </x:c>
      <x:c r="D226" s="12" t="n">
        <x:v>0.04017557989237077</x:v>
      </x:c>
      <x:c r="E226" s="12"/>
    </x:row>
    <x:row r="227" ht="18" customHeight="1">
      <x:c r="A227" s="13" t="n">
        <x:v>42920</x:v>
      </x:c>
      <x:c r="B227" s="12" t="n">
        <x:v>0</x:v>
      </x:c>
      <x:c r="C227" s="12" t="n">
        <x:v>-0.00848937016918417</x:v>
      </x:c>
      <x:c r="D227" s="12" t="n">
        <x:v>0.029383247073161357</x:v>
      </x:c>
      <x:c r="E227" s="12"/>
    </x:row>
    <x:row r="228" ht="18" customHeight="1">
      <x:c r="A228" s="13" t="n">
        <x:v>42921</x:v>
      </x:c>
      <x:c r="B228" s="12" t="n">
        <x:v>1</x:v>
      </x:c>
      <x:c r="C228" s="12" t="n">
        <x:v>0.010905941710095658</x:v>
      </x:c>
      <x:c r="D228" s="12" t="n">
        <x:v>-0.0061747998897641885</x:v>
      </x:c>
      <x:c r="E228" s="12"/>
    </x:row>
    <x:row r="229" ht="18" customHeight="1">
      <x:c r="A229" s="13" t="n">
        <x:v>42922</x:v>
      </x:c>
      <x:c r="B229" s="12" t="n">
        <x:v>5</x:v>
      </x:c>
      <x:c r="C229" s="12" t="n">
        <x:v>0.00011399255634387506</x:v>
      </x:c>
      <x:c r="D229" s="12" t="n">
        <x:v>-0.028069534944471616</x:v>
      </x:c>
      <x:c r="E229" s="12"/>
    </x:row>
    <x:row r="230" ht="18" customHeight="1">
      <x:c r="A230" s="13" t="n">
        <x:v>42923</x:v>
      </x:c>
      <x:c r="B230" s="12" t="n">
        <x:v>5</x:v>
      </x:c>
      <x:c r="C230" s="12" t="n">
        <x:v>-0.0011392524987576937</x:v>
      </x:c>
      <x:c r="D230" s="12" t="n">
        <x:v>0.015247767215562999</x:v>
      </x:c>
      <x:c r="E230" s="12"/>
    </x:row>
    <x:row r="231" ht="18" customHeight="1">
      <x:c r="A231" s="13" t="n">
        <x:v>42926</x:v>
      </x:c>
      <x:c r="B231" s="12" t="n">
        <x:v>0</x:v>
      </x:c>
      <x:c r="C231" s="12" t="n">
        <x:v>-0.0006135753341008933</x:v>
      </x:c>
      <x:c r="D231" s="12" t="n">
        <x:v>0.012342526528763772</x:v>
      </x:c>
      <x:c r="E231" s="12"/>
    </x:row>
    <x:row r="232" ht="18" customHeight="1">
      <x:c r="A232" s="13" t="n">
        <x:v>42927</x:v>
      </x:c>
      <x:c r="B232" s="12" t="n">
        <x:v>2</x:v>
      </x:c>
      <x:c r="C232" s="12" t="n">
        <x:v>0.004675224777110892</x:v>
      </x:c>
      <x:c r="D232" s="12" t="n">
        <x:v>0.018355814675933217</x:v>
      </x:c>
      <x:c r="E232" s="12"/>
    </x:row>
    <x:row r="233" ht="18" customHeight="1">
      <x:c r="A233" s="13" t="n">
        <x:v>42928</x:v>
      </x:c>
      <x:c r="B233" s="12" t="n">
        <x:v>-4</x:v>
      </x:c>
      <x:c r="C233" s="12" t="n">
        <x:v>-0.003270289792010191</x:v>
      </x:c>
      <x:c r="D233" s="12" t="n">
        <x:v>0.028011687095394602</x:v>
      </x:c>
      <x:c r="E233" s="12"/>
    </x:row>
    <x:row r="234" ht="18" customHeight="1">
      <x:c r="A234" s="13" t="n">
        <x:v>42929</x:v>
      </x:c>
      <x:c r="B234" s="12" t="n">
        <x:v>-4</x:v>
      </x:c>
      <x:c r="C234" s="12" t="n">
        <x:v>0.0076498817922887085</x:v>
      </x:c>
      <x:c r="D234" s="12" t="n">
        <x:v>-0.00023561591755524226</x:v>
      </x:c>
      <x:c r="E234" s="12"/>
    </x:row>
    <x:row r="235" ht="18" customHeight="1">
      <x:c r="A235" s="13" t="n">
        <x:v>42930</x:v>
      </x:c>
      <x:c r="B235" s="12" t="n">
        <x:v>-4</x:v>
      </x:c>
      <x:c r="C235" s="12" t="n">
        <x:v>0.004377129658592193</x:v>
      </x:c>
      <x:c r="D235" s="12" t="n">
        <x:v>-0.003208874645555506</x:v>
      </x:c>
      <x:c r="E235" s="12"/>
    </x:row>
    <x:row r="236" ht="18" customHeight="1">
      <x:c r="A236" s="13" t="n">
        <x:v>42933</x:v>
      </x:c>
      <x:c r="B236" s="12" t="n">
        <x:v>-4</x:v>
      </x:c>
      <x:c r="C236" s="12" t="n">
        <x:v>-0.010734016564415513</x:v>
      </x:c>
      <x:c r="D236" s="12" t="n">
        <x:v>0.01839842277175063</x:v>
      </x:c>
      <x:c r="E236" s="12"/>
    </x:row>
    <x:row r="237" ht="18" customHeight="1">
      <x:c r="A237" s="13" t="n">
        <x:v>42934</x:v>
      </x:c>
      <x:c r="B237" s="12" t="n">
        <x:v>0</x:v>
      </x:c>
      <x:c r="C237" s="12" t="n">
        <x:v>0.0009884953455373269</x:v>
      </x:c>
      <x:c r="D237" s="12" t="n">
        <x:v>0.014625145019144841</x:v>
      </x:c>
      <x:c r="E237" s="12"/>
    </x:row>
    <x:row r="238" ht="18" customHeight="1">
      <x:c r="A238" s="13" t="n">
        <x:v>42935</x:v>
      </x:c>
      <x:c r="B238" s="12" t="n">
        <x:v>-5</x:v>
      </x:c>
      <x:c r="C238" s="12" t="n">
        <x:v>0.016917130477631895</x:v>
      </x:c>
      <x:c r="D238" s="12" t="n">
        <x:v>0.0004663606090217988</x:v>
      </x:c>
      <x:c r="E238" s="12"/>
    </x:row>
    <x:row r="239" ht="18" customHeight="1">
      <x:c r="A239" s="13" t="n">
        <x:v>42936</x:v>
      </x:c>
      <x:c r="B239" s="12" t="n">
        <x:v>-3</x:v>
      </x:c>
      <x:c r="C239" s="12" t="n">
        <x:v>0.004851198411312107</x:v>
      </x:c>
      <x:c r="D239" s="12" t="n">
        <x:v>-0.023579764449300218</x:v>
      </x:c>
      <x:c r="E239" s="12"/>
    </x:row>
    <x:row r="240" ht="18" customHeight="1">
      <x:c r="A240" s="13" t="n">
        <x:v>42937</x:v>
      </x:c>
      <x:c r="B240" s="12" t="n">
        <x:v>3</x:v>
      </x:c>
      <x:c r="C240" s="12" t="n">
        <x:v>-0.005159309696680246</x:v>
      </x:c>
      <x:c r="D240" s="12" t="n">
        <x:v>-0.0325854518294369</x:v>
      </x:c>
      <x:c r="E240" s="12"/>
    </x:row>
    <x:row r="241" ht="18" customHeight="1">
      <x:c r="A241" s="13" t="n">
        <x:v>42940</x:v>
      </x:c>
      <x:c r="B241" s="12" t="n">
        <x:v>-1</x:v>
      </x:c>
      <x:c r="C241" s="12" t="n">
        <x:v>0.003980430375324101</x:v>
      </x:c>
      <x:c r="D241" s="12" t="n">
        <x:v>-0.03311216939909926</x:v>
      </x:c>
      <x:c r="E241" s="12"/>
    </x:row>
    <x:row r="242" ht="18" customHeight="1">
      <x:c r="A242" s="13" t="n">
        <x:v>42941</x:v>
      </x:c>
      <x:c r="B242" s="12" t="n">
        <x:v>-8</x:v>
      </x:c>
      <x:c r="C242" s="12" t="n">
        <x:v>-0.006407501910569485</x:v>
      </x:c>
      <x:c r="D242" s="12" t="n">
        <x:v>-0.0731743505820828</x:v>
      </x:c>
      <x:c r="E242" s="12"/>
    </x:row>
    <x:row r="243" ht="18" customHeight="1">
      <x:c r="A243" s="13" t="n">
        <x:v>42942</x:v>
      </x:c>
      <x:c r="B243" s="12" t="n">
        <x:v>1</x:v>
      </x:c>
      <x:c r="C243" s="12" t="n">
        <x:v>-0.0038170283078687544</x:v>
      </x:c>
      <x:c r="D243" s="12" t="n">
        <x:v>-0.07197046432595043</x:v>
      </x:c>
      <x:c r="E243" s="12"/>
    </x:row>
    <x:row r="244" ht="18" customHeight="1">
      <x:c r="A244" s="13" t="n">
        <x:v>42943</x:v>
      </x:c>
      <x:c r="B244" s="12" t="n">
        <x:v>-1</x:v>
      </x:c>
      <x:c r="C244" s="12" t="n">
        <x:v>0.0018351804943682085</x:v>
      </x:c>
      <x:c r="D244" s="12" t="n">
        <x:v>-0.072244384842835</x:v>
      </x:c>
      <x:c r="E244" s="12"/>
    </x:row>
    <x:row r="245" ht="18" customHeight="1">
      <x:c r="A245" s="13" t="n">
        <x:v>42944</x:v>
      </x:c>
      <x:c r="B245" s="12" t="n">
        <x:v>4</x:v>
      </x:c>
      <x:c r="C245" s="12" t="n">
        <x:v>0.0026087148759696005</x:v>
      </x:c>
      <x:c r="D245" s="12" t="n">
        <x:v>-0.06680834414949628</x:v>
      </x:c>
      <x:c r="E245" s="12"/>
    </x:row>
    <x:row r="246" ht="18" customHeight="1">
      <x:c r="A246" s="13" t="n">
        <x:v>42947</x:v>
      </x:c>
      <x:c r="B246" s="12" t="n">
        <x:v>2</x:v>
      </x:c>
      <x:c r="C246" s="12" t="n">
        <x:v>0.004284806641638821</x:v>
      </x:c>
      <x:c r="D246" s="12" t="n">
        <x:v>-0.06800154291706453</x:v>
      </x:c>
      <x:c r="E246" s="12"/>
    </x:row>
    <x:row r="247" ht="18" customHeight="1">
      <x:c r="A247" s="13" t="n">
        <x:v>42948</x:v>
      </x:c>
      <x:c r="B247" s="12" t="n">
        <x:v>-1</x:v>
      </x:c>
      <x:c r="C247" s="12" t="n">
        <x:v>0.008659748192126341</x:v>
      </x:c>
      <x:c r="D247" s="12" t="n">
        <x:v>-0.06661438146819194</x:v>
      </x:c>
      <x:c r="E247" s="12"/>
    </x:row>
    <x:row r="248" ht="18" customHeight="1">
      <x:c r="A248" s="13" t="n">
        <x:v>42949</x:v>
      </x:c>
      <x:c r="B248" s="12" t="n">
        <x:v>-1</x:v>
      </x:c>
      <x:c r="C248" s="12" t="n">
        <x:v>-0.0025308743406424234</x:v>
      </x:c>
      <x:c r="D248" s="12" t="n">
        <x:v>-0.07440605385642868</x:v>
      </x:c>
      <x:c r="E248" s="12"/>
    </x:row>
    <x:row r="249" ht="18" customHeight="1">
      <x:c r="A249" s="13" t="n">
        <x:v>42950</x:v>
      </x:c>
      <x:c r="B249" s="12" t="n">
        <x:v>4</x:v>
      </x:c>
      <x:c r="C249" s="12" t="n">
        <x:v>-0.008820331210649436</x:v>
      </x:c>
      <x:c r="D249" s="12" t="n">
        <x:v>-0.089519042550777</x:v>
      </x:c>
      <x:c r="E249" s="12"/>
    </x:row>
    <x:row r="250" ht="18" customHeight="1">
      <x:c r="A250" s="13" t="n">
        <x:v>42951</x:v>
      </x:c>
      <x:c r="B250" s="12" t="n">
        <x:v>0</x:v>
      </x:c>
      <x:c r="C250" s="12" t="n">
        <x:v>-0.005446064422755287</x:v>
      </x:c>
      <x:c r="D250" s="12" t="n">
        <x:v>-0.08013466214574799</x:v>
      </x:c>
      <x:c r="E250" s="12"/>
    </x:row>
    <x:row r="251" ht="18" customHeight="1">
      <x:c r="A251" s="13" t="n">
        <x:v>42954</x:v>
      </x:c>
      <x:c r="B251" s="12" t="n">
        <x:v>1</x:v>
      </x:c>
      <x:c r="C251" s="12" t="n">
        <x:v>0.0051692965015135515</x:v>
      </x:c>
      <x:c r="D251" s="12" t="n">
        <x:v>-0.08732626686058101</x:v>
      </x:c>
      <x:c r="E251" s="12"/>
    </x:row>
    <x:row r="252" ht="18" customHeight="1">
      <x:c r="A252" s="13" t="n">
        <x:v>42955</x:v>
      </x:c>
      <x:c r="B252" s="12" t="n">
        <x:v>0</x:v>
      </x:c>
      <x:c r="C252" s="12" t="n">
        <x:v>0.0014527672234264035</x:v>
      </x:c>
      <x:c r="D252" s="12" t="n">
        <x:v>-0.10206280564434421</x:v>
      </x:c>
      <x:c r="E252" s="12"/>
    </x:row>
    <x:row r="253" ht="18" customHeight="1">
      <x:c r="A253" s="13" t="n">
        <x:v>42956</x:v>
      </x:c>
      <x:c r="B253" s="12" t="n">
        <x:v>17</x:v>
      </x:c>
      <x:c r="C253" s="12" t="n">
        <x:v>-0.00031324126322330027</x:v>
      </x:c>
      <x:c r="D253" s="12" t="n">
        <x:v>-0.11658453513453404</x:v>
      </x:c>
      <x:c r="E253" s="12"/>
    </x:row>
    <x:row r="254" ht="18" customHeight="1">
      <x:c r="A254" s="13" t="n">
        <x:v>42957</x:v>
      </x:c>
      <x:c r="B254" s="12" t="n">
        <x:v>11</x:v>
      </x:c>
      <x:c r="C254" s="12" t="n">
        <x:v>-0.004061579770028071</x:v>
      </x:c>
      <x:c r="D254" s="12" t="n">
        <x:v>-0.1438100251691506</x:v>
      </x:c>
      <x:c r="E254" s="12" t="n">
        <x:v>-0.1392070392487644</x:v>
      </x:c>
    </x:row>
    <x:row r="255" ht="18" customHeight="1">
      <x:c r="A255" s="13" t="n">
        <x:v>42958</x:v>
      </x:c>
      <x:c r="B255" s="12" t="n">
        <x:v>8</x:v>
      </x:c>
      <x:c r="C255" s="12" t="n">
        <x:v>-0.018625548721311613</x:v>
      </x:c>
      <x:c r="D255" s="12" t="n">
        <x:v>-0.2255329806990402</x:v>
      </x:c>
      <x:c r="E255" s="12" t="n">
        <x:v>-0.1441865931327543</x:v>
      </x:c>
    </x:row>
    <x:row r="256" ht="18" customHeight="1">
      <x:c r="A256" s="13" t="n">
        <x:v>42961</x:v>
      </x:c>
      <x:c r="B256" s="12" t="n">
        <x:v>-11</x:v>
      </x:c>
      <x:c r="C256" s="12" t="n">
        <x:v>0.012893827412384441</x:v>
      </x:c>
      <x:c r="D256" s="12" t="n">
        <x:v>-0.2678283643045081</x:v>
      </x:c>
      <x:c r="E256" s="12" t="n">
        <x:v>-0.15562322990425204</x:v>
      </x:c>
    </x:row>
    <x:row r="257" ht="18" customHeight="1">
      <x:c r="A257" s="13" t="n">
        <x:v>42962</x:v>
      </x:c>
      <x:c r="B257" s="12" t="n">
        <x:v>-2</x:v>
      </x:c>
      <x:c r="C257" s="12" t="n">
        <x:v>0.003073614102083343</x:v>
      </x:c>
      <x:c r="D257" s="12" t="n">
        <x:v>-0.26736167306433173</x:v>
      </x:c>
      <x:c r="E257" s="12" t="n">
        <x:v>-0.15202094673184396</x:v>
      </x:c>
    </x:row>
    <x:row r="258" ht="18" customHeight="1">
      <x:c r="A258" s="13" t="n">
        <x:v>42963</x:v>
      </x:c>
      <x:c r="B258" s="12" t="n">
        <x:v>1</x:v>
      </x:c>
      <x:c r="C258" s="12" t="n">
        <x:v>-0.001251681353180175</x:v>
      </x:c>
      <x:c r="D258" s="12" t="n">
        <x:v>-0.24276739263884065</x:v>
      </x:c>
      <x:c r="E258" s="12" t="n">
        <x:v>-0.15223208778213243</x:v>
      </x:c>
    </x:row>
    <x:row r="259" ht="18" customHeight="1">
      <x:c r="A259" s="13" t="n">
        <x:v>42964</x:v>
      </x:c>
      <x:c r="B259" s="12" t="n">
        <x:v>5</x:v>
      </x:c>
      <x:c r="C259" s="12" t="n">
        <x:v>0.005350170023601936</x:v>
      </x:c>
      <x:c r="D259" s="12" t="n">
        <x:v>-0.22900746539485908</x:v>
      </x:c>
      <x:c r="E259" s="12" t="n">
        <x:v>-0.15084966047670162</x:v>
      </x:c>
    </x:row>
    <x:row r="260" ht="18" customHeight="1">
      <x:c r="A260" s="13" t="n">
        <x:v>42965</x:v>
      </x:c>
      <x:c r="B260" s="12" t="n">
        <x:v>5</x:v>
      </x:c>
      <x:c r="C260" s="12" t="n">
        <x:v>0.0009126570590606256</x:v>
      </x:c>
      <x:c r="D260" s="12" t="n">
        <x:v>-0.23182156115441882</x:v>
      </x:c>
      <x:c r="E260" s="12" t="n">
        <x:v>-0.15038198706015757</x:v>
      </x:c>
    </x:row>
    <x:row r="261" ht="18" customHeight="1">
      <x:c r="A261" s="13" t="n">
        <x:v>42968</x:v>
      </x:c>
      <x:c r="B261" s="12" t="n">
        <x:v>2</x:v>
      </x:c>
      <x:c r="C261" s="12" t="n">
        <x:v>0.004371832239290388</x:v>
      </x:c>
      <x:c r="D261" s="12" t="n">
        <x:v>-0.23007325375124413</x:v>
      </x:c>
      <x:c r="E261" s="12" t="n">
        <x:v>-0.14840637813845137</x:v>
      </x:c>
    </x:row>
    <x:row r="262" ht="18" customHeight="1">
      <x:c r="A262" s="13" t="n">
        <x:v>42969</x:v>
      </x:c>
      <x:c r="B262" s="12" t="n">
        <x:v>-7</x:v>
      </x:c>
      <x:c r="C262" s="12" t="n">
        <x:v>0.0030170740507233697</x:v>
      </x:c>
      <x:c r="D262" s="12" t="n">
        <x:v>-0.22740690439438707</x:v>
      </x:c>
      <x:c r="E262" s="12" t="n">
        <x:v>-0.1515123774181386</x:v>
      </x:c>
    </x:row>
    <x:row r="263" ht="18" customHeight="1">
      <x:c r="A263" s="13" t="n">
        <x:v>42970</x:v>
      </x:c>
      <x:c r="B263" s="12" t="n">
        <x:v>2</x:v>
      </x:c>
      <x:c r="C263" s="12" t="n">
        <x:v>0.0010096444482368895</x:v>
      </x:c>
      <x:c r="D263" s="12" t="n">
        <x:v>-0.22721575129371702</x:v>
      </x:c>
      <x:c r="E263" s="12" t="n">
        <x:v>-0.1489144875853497</x:v>
      </x:c>
    </x:row>
    <x:row r="264" ht="18" customHeight="1">
      <x:c r="A264" s="13" t="n">
        <x:v>42971</x:v>
      </x:c>
      <x:c r="B264" s="12" t="n">
        <x:v>-4</x:v>
      </x:c>
      <x:c r="C264" s="12" t="n">
        <x:v>-0.005725115321418205</x:v>
      </x:c>
      <x:c r="D264" s="12" t="n">
        <x:v>-0.20676344552712822</x:v>
      </x:c>
      <x:c r="E264" s="12" t="n">
        <x:v>-0.1431084720552696</x:v>
      </x:c>
    </x:row>
    <x:row r="265" ht="18" customHeight="1">
      <x:c r="A265" s="13" t="n">
        <x:v>42972</x:v>
      </x:c>
      <x:c r="B265" s="12" t="n">
        <x:v>-2</x:v>
      </x:c>
      <x:c r="C265" s="12" t="n">
        <x:v>0.0162301975467989</x:v>
      </x:c>
      <x:c r="D265" s="12" t="n">
        <x:v>-0.21674691109728345</x:v>
      </x:c>
      <x:c r="E265" s="12" t="n">
        <x:v>-0.1428037880075654</x:v>
      </x:c>
    </x:row>
    <x:row r="266" ht="18" customHeight="1">
      <x:c r="A266" s="13" t="n">
        <x:v>42975</x:v>
      </x:c>
      <x:c r="B266" s="12" t="n">
        <x:v>-1</x:v>
      </x:c>
      <x:c r="C266" s="12" t="n">
        <x:v>0.012295162328488495</x:v>
      </x:c>
      <x:c r="D266" s="12" t="n">
        <x:v>-0.22816184732556496</x:v>
      </x:c>
      <x:c r="E266" s="12" t="n">
        <x:v>-0.14544638914241326</x:v>
      </x:c>
    </x:row>
    <x:row r="267" ht="18" customHeight="1">
      <x:c r="A267" s="13" t="n">
        <x:v>42976</x:v>
      </x:c>
      <x:c r="B267" s="12" t="n">
        <x:v>2</x:v>
      </x:c>
      <x:c r="C267" s="12" t="n">
        <x:v>-0.002129487413170702</x:v>
      </x:c>
      <x:c r="D267" s="12" t="n">
        <x:v>-0.2332458389970435</x:v>
      </x:c>
      <x:c r="E267" s="12" t="n">
        <x:v>-0.1550180390049895</x:v>
      </x:c>
    </x:row>
    <x:row r="268" ht="18" customHeight="1">
      <x:c r="A268" s="13" t="n">
        <x:v>42977</x:v>
      </x:c>
      <x:c r="B268" s="12" t="n">
        <x:v>-4</x:v>
      </x:c>
      <x:c r="C268" s="12" t="n">
        <x:v>-0.00006183466047503646</x:v>
      </x:c>
      <x:c r="D268" s="12" t="n">
        <x:v>-0.22973104004677286</x:v>
      </x:c>
      <x:c r="E268" s="12" t="n">
        <x:v>-0.12853473079746516</x:v>
      </x:c>
    </x:row>
    <x:row r="269" ht="18" customHeight="1">
      <x:c r="A269" s="13" t="n">
        <x:v>42978</x:v>
      </x:c>
      <x:c r="B269" s="12" t="n">
        <x:v>-1</x:v>
      </x:c>
      <x:c r="C269" s="12" t="n">
        <x:v>-0.003188893220792988</x:v>
      </x:c>
      <x:c r="D269" s="12" t="n">
        <x:v>-0.23177429718471246</x:v>
      </x:c>
      <x:c r="E269" s="12" t="n">
        <x:v>-0.1316659724108091</x:v>
      </x:c>
    </x:row>
    <x:row r="270" ht="18" customHeight="1">
      <x:c r="A270" s="13" t="n">
        <x:v>42979</x:v>
      </x:c>
      <x:c r="B270" s="12" t="n">
        <x:v>-3</x:v>
      </x:c>
      <x:c r="C270" s="12" t="n">
        <x:v>0.0022072156147009</x:v>
      </x:c>
      <x:c r="D270" s="12" t="n">
        <x:v>-0.244770312157275</x:v>
      </x:c>
      <x:c r="E270" s="12" t="n">
        <x:v>-0.13157729118892872</x:v>
      </x:c>
    </x:row>
    <x:row r="271" ht="18" customHeight="1">
      <x:c r="A271" s="13" t="n">
        <x:v>42982</x:v>
      </x:c>
      <x:c r="B271" s="12" t="n">
        <x:v>0</x:v>
      </x:c>
      <x:c r="C271" s="12" t="n">
        <x:v>0.003928534579551534</x:v>
      </x:c>
      <x:c r="D271" s="12" t="n">
        <x:v>-0.25364684601260906</x:v>
      </x:c>
      <x:c r="E271" s="12" t="n">
        <x:v>-0.1308763259276254</x:v>
      </x:c>
    </x:row>
    <x:row r="272" ht="18" customHeight="1">
      <x:c r="A272" s="13" t="n">
        <x:v>42983</x:v>
      </x:c>
      <x:c r="B272" s="12" t="n">
        <x:v>9</x:v>
      </x:c>
      <x:c r="C272" s="12" t="n">
        <x:v>0.0029678330299271072</x:v>
      </x:c>
      <x:c r="D272" s="12" t="n">
        <x:v>-0.25032981677870914</x:v>
      </x:c>
      <x:c r="E272" s="12" t="n">
        <x:v>-0.1279585662831346</x:v>
      </x:c>
    </x:row>
    <x:row r="273" ht="18" customHeight="1">
      <x:c r="A273" s="13" t="n">
        <x:v>42984</x:v>
      </x:c>
      <x:c r="B273" s="12" t="n">
        <x:v>-7</x:v>
      </x:c>
      <x:c r="C273" s="12" t="n">
        <x:v>-0.0019714542548732172</x:v>
      </x:c>
      <x:c r="D273" s="12" t="n">
        <x:v>-0.23034347661195403</x:v>
      </x:c>
      <x:c r="E273" s="12" t="n">
        <x:v>-0.12293027886866373</x:v>
      </x:c>
    </x:row>
    <x:row r="274" ht="18" customHeight="1">
      <x:c r="A274" s="13" t="n">
        <x:v>42985</x:v>
      </x:c>
      <x:c r="B274" s="12" t="n">
        <x:v>4</x:v>
      </x:c>
      <x:c r="C274" s="12" t="n">
        <x:v>-0.0050990554792473795</x:v>
      </x:c>
      <x:c r="D274" s="12" t="n">
        <x:v>-0.24150350110420968</x:v>
      </x:c>
      <x:c r="E274" s="12" t="n">
        <x:v>-0.12510817359889306</x:v>
      </x:c>
    </x:row>
    <x:row r="275" ht="18" customHeight="1">
      <x:c r="A275" s="13" t="n">
        <x:v>42986</x:v>
      </x:c>
      <x:c r="B275" s="12" t="n">
        <x:v>4</x:v>
      </x:c>
      <x:c r="C275" s="12" t="n">
        <x:v>-0.0010140728610560975</x:v>
      </x:c>
      <x:c r="D275" s="12" t="n">
        <x:v>-0.2430822288950908</x:v>
      </x:c>
      <x:c r="E275" s="12" t="n">
        <x:v>-0.12607100390418083</x:v>
      </x:c>
    </x:row>
    <x:row r="276" ht="18" customHeight="1">
      <x:c r="A276" s="13" t="n">
        <x:v>42989</x:v>
      </x:c>
      <x:c r="B276" s="12" t="n">
        <x:v>-7</x:v>
      </x:c>
      <x:c r="C276" s="12" t="n">
        <x:v>-0.00008996770212613721</x:v>
      </x:c>
      <x:c r="D276" s="12" t="n">
        <x:v>-0.23109896284432196</x:v>
      </x:c>
      <x:c r="E276" s="12" t="n">
        <x:v>-0.12447602245483914</x:v>
      </x:c>
    </x:row>
    <x:row r="277" ht="18" customHeight="1">
      <x:c r="A277" s="13" t="n">
        <x:v>42990</x:v>
      </x:c>
      <x:c r="B277" s="12" t="n">
        <x:v>-4</x:v>
      </x:c>
      <x:c r="C277" s="12" t="n">
        <x:v>0.003207068105229335</x:v>
      </x:c>
      <x:c r="D277" s="12" t="n">
        <x:v>-0.23142449241777274</x:v>
      </x:c>
      <x:c r="E277" s="12" t="n">
        <x:v>-0.1272775492771436</x:v>
      </x:c>
    </x:row>
    <x:row r="278" ht="18" customHeight="1">
      <x:c r="A278" s="13" t="n">
        <x:v>42991</x:v>
      </x:c>
      <x:c r="B278" s="12" t="n">
        <x:v>-3</x:v>
      </x:c>
      <x:c r="C278" s="12" t="n">
        <x:v>0.001216581244178713</x:v>
      </x:c>
      <x:c r="D278" s="12" t="n">
        <x:v>-0.2241525922322383</x:v>
      </x:c>
      <x:c r="E278" s="12" t="n">
        <x:v>-0.1274368584897414</x:v>
      </x:c>
    </x:row>
    <x:row r="279" ht="18" customHeight="1">
      <x:c r="A279" s="13" t="n">
        <x:v>42992</x:v>
      </x:c>
      <x:c r="B279" s="12" t="n">
        <x:v>-4</x:v>
      </x:c>
      <x:c r="C279" s="12" t="n">
        <x:v>-0.0032976500648873265</x:v>
      </x:c>
      <x:c r="D279" s="12" t="n">
        <x:v>-0.19204067535047392</x:v>
      </x:c>
      <x:c r="E279" s="12" t="n">
        <x:v>-0.12559942377962016</x:v>
      </x:c>
    </x:row>
    <x:row r="280" ht="18" customHeight="1">
      <x:c r="A280" s="13" t="n">
        <x:v>42993</x:v>
      </x:c>
      <x:c r="B280" s="12" t="n">
        <x:v>-1</x:v>
      </x:c>
      <x:c r="C280" s="12" t="n">
        <x:v>0.000350099443590409</x:v>
      </x:c>
      <x:c r="D280" s="12" t="n">
        <x:v>-0.18345230369786825</x:v>
      </x:c>
      <x:c r="E280" s="12" t="n">
        <x:v>-0.12740614170656525</x:v>
      </x:c>
    </x:row>
    <x:row r="281" ht="18" customHeight="1">
      <x:c r="A281" s="13" t="n">
        <x:v>42996</x:v>
      </x:c>
      <x:c r="B281" s="12" t="n">
        <x:v>-5</x:v>
      </x:c>
      <x:c r="C281" s="12" t="n">
        <x:v>0.003087211702567067</x:v>
      </x:c>
      <x:c r="D281" s="12" t="n">
        <x:v>-0.24120325051055355</x:v>
      </x:c>
      <x:c r="E281" s="12" t="n">
        <x:v>-0.12658351455712674</x:v>
      </x:c>
    </x:row>
    <x:row r="282" ht="18" customHeight="1">
      <x:c r="A282" s="13" t="n">
        <x:v>42997</x:v>
      </x:c>
      <x:c r="B282" s="12" t="n">
        <x:v>-2</x:v>
      </x:c>
      <x:c r="C282" s="12" t="n">
        <x:v>-0.0028733122178582586</x:v>
      </x:c>
      <x:c r="D282" s="12" t="n">
        <x:v>-0.2366008501849934</x:v>
      </x:c>
      <x:c r="E282" s="12" t="n">
        <x:v>-0.12516448625393245</x:v>
      </x:c>
    </x:row>
    <x:row r="283" ht="18" customHeight="1">
      <x:c r="A283" s="13" t="n">
        <x:v>42998</x:v>
      </x:c>
      <x:c r="B283" s="12" t="n">
        <x:v>-6</x:v>
      </x:c>
      <x:c r="C283" s="12" t="n">
        <x:v>0.00268920114832173</x:v>
      </x:c>
      <x:c r="D283" s="12" t="n">
        <x:v>-0.2393139719572623</x:v>
      </x:c>
      <x:c r="E283" s="12" t="n">
        <x:v>-0.1262517534490686</x:v>
      </x:c>
    </x:row>
    <x:row r="284" ht="18" customHeight="1">
      <x:c r="A284" s="13" t="n">
        <x:v>42999</x:v>
      </x:c>
      <x:c r="B284" s="12" t="n">
        <x:v>2</x:v>
      </x:c>
      <x:c r="C284" s="12" t="n">
        <x:v>-0.0012024865890608793</x:v>
      </x:c>
      <x:c r="D284" s="12" t="n">
        <x:v>-0.2318540688378865</x:v>
      </x:c>
      <x:c r="E284" s="12" t="n">
        <x:v>-0.12732774468703656</x:v>
      </x:c>
    </x:row>
    <x:row r="285" ht="18" customHeight="1">
      <x:c r="A285" s="13" t="n">
        <x:v>43000</x:v>
      </x:c>
      <x:c r="B285" s="12" t="n">
        <x:v>2</x:v>
      </x:c>
      <x:c r="C285" s="12" t="n">
        <x:v>-0.000022721504706530016</x:v>
      </x:c>
      <x:c r="D285" s="12" t="n">
        <x:v>-0.23160880409802384</x:v>
      </x:c>
      <x:c r="E285" s="12" t="n">
        <x:v>-0.1276437836282774</x:v>
      </x:c>
    </x:row>
    <x:row r="286" ht="18" customHeight="1">
      <x:c r="A286" s="13" t="n">
        <x:v>43003</x:v>
      </x:c>
      <x:c r="B286" s="12" t="n">
        <x:v>2</x:v>
      </x:c>
      <x:c r="C286" s="12" t="n">
        <x:v>-0.005209036129921053</x:v>
      </x:c>
      <x:c r="D286" s="12" t="n">
        <x:v>-0.23945524183531877</x:v>
      </x:c>
      <x:c r="E286" s="12" t="n">
        <x:v>-0.1302007933208846</x:v>
      </x:c>
    </x:row>
    <x:row r="287" ht="18" customHeight="1">
      <x:c r="A287" s="13" t="n">
        <x:v>43004</x:v>
      </x:c>
      <x:c r="B287" s="12" t="n">
        <x:v>-4</x:v>
      </x:c>
      <x:c r="C287" s="12" t="n">
        <x:v>0.0007828949500334316</x:v>
      </x:c>
      <x:c r="D287" s="12" t="n">
        <x:v>-0.2375778940750707</x:v>
      </x:c>
      <x:c r="E287" s="12" t="n">
        <x:v>-0.1225128933447753</x:v>
      </x:c>
    </x:row>
    <x:row r="288" ht="18" customHeight="1">
      <x:c r="A288" s="13" t="n">
        <x:v>43005</x:v>
      </x:c>
      <x:c r="B288" s="12" t="n">
        <x:v>-5</x:v>
      </x:c>
      <x:c r="C288" s="12" t="n">
        <x:v>0.00010950039461436072</x:v>
      </x:c>
      <x:c r="D288" s="12" t="n">
        <x:v>-0.23360949762456668</x:v>
      </x:c>
      <x:c r="E288" s="12" t="n">
        <x:v>-0.10751144509522943</x:v>
      </x:c>
    </x:row>
    <x:row r="289" ht="18" customHeight="1">
      <x:c r="A289" s="13" t="n">
        <x:v>43006</x:v>
      </x:c>
      <x:c r="B289" s="12" t="n">
        <x:v>0</x:v>
      </x:c>
      <x:c r="C289" s="12" t="n">
        <x:v>0.00035024745971412797</x:v>
      </x:c>
      <x:c r="D289" s="12" t="n">
        <x:v>-0.250359044711533</x:v>
      </x:c>
      <x:c r="E289" s="12" t="n">
        <x:v>-0.10681827398692818</x:v>
      </x:c>
    </x:row>
    <x:row r="290" ht="18" customHeight="1">
      <x:c r="A290" s="13" t="n">
        <x:v>43007</x:v>
      </x:c>
      <x:c r="B290" s="12" t="n">
        <x:v>-3</x:v>
      </x:c>
      <x:c r="C290" s="12" t="n">
        <x:v>0.003646074612610034</x:v>
      </x:c>
      <x:c r="D290" s="12" t="n">
        <x:v>-0.2572474034837808</x:v>
      </x:c>
      <x:c r="E290" s="12" t="n">
        <x:v>-0.10567188394385389</x:v>
      </x:c>
    </x:row>
    <x:row r="291" ht="18" customHeight="1">
      <x:c r="A291" s="13" t="n">
        <x:v>43017</x:v>
      </x:c>
      <x:c r="B291" s="12" t="n">
        <x:v>-1</x:v>
      </x:c>
      <x:c r="C291" s="12" t="n">
        <x:v>0.01184312941977477</x:v>
      </x:c>
      <x:c r="D291" s="12" t="n">
        <x:v>-0.26799937428220366</x:v>
      </x:c>
      <x:c r="E291" s="12" t="n">
        <x:v>-0.10465000346117787</x:v>
      </x:c>
    </x:row>
    <x:row r="292" ht="18" customHeight="1">
      <x:c r="A292" s="13" t="n">
        <x:v>43018</x:v>
      </x:c>
      <x:c r="B292" s="12" t="n">
        <x:v>1</x:v>
      </x:c>
      <x:c r="C292" s="12" t="n">
        <x:v>0.001970157550263779</x:v>
      </x:c>
      <x:c r="D292" s="12" t="n">
        <x:v>-0.2671961678692443</x:v>
      </x:c>
      <x:c r="E292" s="12" t="n">
        <x:v>-0.10452354748802688</x:v>
      </x:c>
    </x:row>
    <x:row r="293" ht="18" customHeight="1">
      <x:c r="A293" s="13" t="n">
        <x:v>43019</x:v>
      </x:c>
      <x:c r="B293" s="12" t="n">
        <x:v>0</x:v>
      </x:c>
      <x:c r="C293" s="12" t="n">
        <x:v>0.003291120557876686</x:v>
      </x:c>
      <x:c r="D293" s="12" t="n">
        <x:v>-0.26270061618292506</x:v>
      </x:c>
      <x:c r="E293" s="12" t="n">
        <x:v>-0.10400517780191769</x:v>
      </x:c>
    </x:row>
    <x:row r="294" ht="18" customHeight="1">
      <x:c r="A294" s="13" t="n">
        <x:v>43020</x:v>
      </x:c>
      <x:c r="B294" s="12" t="n">
        <x:v>4</x:v>
      </x:c>
      <x:c r="C294" s="12" t="n">
        <x:v>0.002627246234481852</x:v>
      </x:c>
      <x:c r="D294" s="12" t="n">
        <x:v>-0.2564062639916233</x:v>
      </x:c>
      <x:c r="E294" s="12" t="n">
        <x:v>-0.09440301944544001</x:v>
      </x:c>
    </x:row>
    <x:row r="295" ht="18" customHeight="1">
      <x:c r="A295" s="13" t="n">
        <x:v>43021</x:v>
      </x:c>
      <x:c r="B295" s="12" t="n">
        <x:v>4</x:v>
      </x:c>
      <x:c r="C295" s="12" t="n">
        <x:v>0.0020546716245297427</x:v>
      </x:c>
      <x:c r="D295" s="12" t="n">
        <x:v>-0.25832027763967985</x:v>
      </x:c>
      <x:c r="E295" s="12" t="n">
        <x:v>-0.09274994676534518</x:v>
      </x:c>
    </x:row>
    <x:row r="296" ht="18" customHeight="1">
      <x:c r="A296" s="13" t="n">
        <x:v>43024</x:v>
      </x:c>
      <x:c r="B296" s="12" t="n">
        <x:v>-7</x:v>
      </x:c>
      <x:c r="C296" s="12" t="n">
        <x:v>-0.0019287899897451727</x:v>
      </x:c>
      <x:c r="D296" s="12" t="n">
        <x:v>-0.2537096287958684</x:v>
      </x:c>
      <x:c r="E296" s="12" t="n">
        <x:v>-0.07851525169433166</x:v>
      </x:c>
    </x:row>
    <x:row r="297" ht="18" customHeight="1">
      <x:c r="A297" s="13" t="n">
        <x:v>43025</x:v>
      </x:c>
      <x:c r="B297" s="12" t="n">
        <x:v>-3</x:v>
      </x:c>
      <x:c r="C297" s="12" t="n">
        <x:v>-0.00009644139193307079</x:v>
      </x:c>
      <x:c r="D297" s="12" t="n">
        <x:v>-0.2412985443518431</x:v>
      </x:c>
      <x:c r="E297" s="12" t="n">
        <x:v>-0.08011366945881211</x:v>
      </x:c>
    </x:row>
    <x:row r="298" ht="18" customHeight="1">
      <x:c r="A298" s="13" t="n">
        <x:v>43026</x:v>
      </x:c>
      <x:c r="B298" s="12" t="n">
        <x:v>-4</x:v>
      </x:c>
      <x:c r="C298" s="12" t="n">
        <x:v>0.007914737579810524</x:v>
      </x:c>
      <x:c r="D298" s="12" t="n">
        <x:v>-0.24657896163249846</x:v>
      </x:c>
      <x:c r="E298" s="12" t="n">
        <x:v>-0.08431347367772962</x:v>
      </x:c>
    </x:row>
    <x:row r="299" ht="18" customHeight="1">
      <x:c r="A299" s="13" t="n">
        <x:v>43027</x:v>
      </x:c>
      <x:c r="B299" s="12" t="n">
        <x:v>2</x:v>
      </x:c>
      <x:c r="C299" s="12" t="n">
        <x:v>-0.0032793487905036084</x:v>
      </x:c>
      <x:c r="D299" s="12" t="n">
        <x:v>-0.286139329992873</x:v>
      </x:c>
      <x:c r="E299" s="12" t="n">
        <x:v>-0.08385821961939502</x:v>
      </x:c>
    </x:row>
    <x:row r="300" ht="18" customHeight="1">
      <x:c r="A300" s="13" t="n">
        <x:v>43028</x:v>
      </x:c>
      <x:c r="B300" s="12" t="n">
        <x:v>-6</x:v>
      </x:c>
      <x:c r="C300" s="12" t="n">
        <x:v>-0.0011192271973201407</x:v>
      </x:c>
      <x:c r="D300" s="12" t="n">
        <x:v>-0.27519145556527624</x:v>
      </x:c>
      <x:c r="E300" s="12" t="n">
        <x:v>-0.08052968336842341</x:v>
      </x:c>
    </x:row>
    <x:row r="301" ht="18" customHeight="1">
      <x:c r="A301" s="13" t="n">
        <x:v>43031</x:v>
      </x:c>
      <x:c r="B301" s="12" t="n">
        <x:v>-2</x:v>
      </x:c>
      <x:c r="C301" s="12" t="n">
        <x:v>0.0010043970605767502</x:v>
      </x:c>
      <x:c r="D301" s="12" t="n">
        <x:v>-0.24955678660722214</x:v>
      </x:c>
      <x:c r="E301" s="12" t="n">
        <x:v>-0.0819612831571182</x:v>
      </x:c>
    </x:row>
    <x:row r="302" ht="18" customHeight="1">
      <x:c r="A302" s="13" t="n">
        <x:v>43032</x:v>
      </x:c>
      <x:c r="B302" s="12" t="n">
        <x:v>-2</x:v>
      </x:c>
      <x:c r="C302" s="12" t="n">
        <x:v>0.007248827442194198</x:v>
      </x:c>
      <x:c r="D302" s="12" t="n">
        <x:v>-0.24819685534465755</x:v>
      </x:c>
      <x:c r="E302" s="12" t="n">
        <x:v>-0.08275163838626023</x:v>
      </x:c>
    </x:row>
    <x:row r="303" ht="18" customHeight="1">
      <x:c r="A303" s="13" t="n">
        <x:v>43033</x:v>
      </x:c>
      <x:c r="B303" s="12" t="n">
        <x:v>4</x:v>
      </x:c>
      <x:c r="C303" s="12" t="n">
        <x:v>0.004423630820797213</x:v>
      </x:c>
      <x:c r="D303" s="12" t="n">
        <x:v>-0.22696359490258625</x:v>
      </x:c>
      <x:c r="E303" s="12" t="n">
        <x:v>-0.08042928620059149</x:v>
      </x:c>
    </x:row>
    <x:row r="304" ht="18" customHeight="1">
      <x:c r="A304" s="13" t="n">
        <x:v>43034</x:v>
      </x:c>
      <x:c r="B304" s="12" t="n">
        <x:v>-1</x:v>
      </x:c>
      <x:c r="C304" s="12" t="n">
        <x:v>0.004171927390893789</x:v>
      </x:c>
      <x:c r="D304" s="12" t="n">
        <x:v>-0.22697164111428017</x:v>
      </x:c>
      <x:c r="E304" s="12" t="n">
        <x:v>-0.08088032985181938</x:v>
      </x:c>
    </x:row>
    <x:row r="305" ht="18" customHeight="1">
      <x:c r="A305" s="13" t="n">
        <x:v>43035</x:v>
      </x:c>
      <x:c r="B305" s="12" t="n">
        <x:v>3</x:v>
      </x:c>
      <x:c r="C305" s="12" t="n">
        <x:v>0.0070843658265906375</x:v>
      </x:c>
      <x:c r="D305" s="12" t="n">
        <x:v>-0.2579496656993809</x:v>
      </x:c>
      <x:c r="E305" s="12" t="n">
        <x:v>-0.07820354922152739</x:v>
      </x:c>
    </x:row>
    <x:row r="306" ht="18" customHeight="1">
      <x:c r="A306" s="13" t="n">
        <x:v>43038</x:v>
      </x:c>
      <x:c r="B306" s="12" t="n">
        <x:v>5</x:v>
      </x:c>
      <x:c r="C306" s="12" t="n">
        <x:v>-0.0030493732711187656</x:v>
      </x:c>
      <x:c r="D306" s="12" t="n">
        <x:v>-0.26662441567876266</x:v>
      </x:c>
      <x:c r="E306" s="12" t="n">
        <x:v>-0.07595461780565309</x:v>
      </x:c>
    </x:row>
    <x:row r="307" ht="18" customHeight="1">
      <x:c r="A307" s="13" t="n">
        <x:v>43039</x:v>
      </x:c>
      <x:c r="B307" s="12" t="n">
        <x:v>2</x:v>
      </x:c>
      <x:c r="C307" s="12" t="n">
        <x:v>-0.0007494349743803357</x:v>
      </x:c>
      <x:c r="D307" s="12" t="n">
        <x:v>-0.2682777889574827</x:v>
      </x:c>
      <x:c r="E307" s="12" t="n">
        <x:v>-0.07188985701276611</x:v>
      </x:c>
    </x:row>
    <x:row r="308" ht="18" customHeight="1">
      <x:c r="A308" s="13" t="n">
        <x:v>43040</x:v>
      </x:c>
      <x:c r="B308" s="12" t="n">
        <x:v>-3</x:v>
      </x:c>
      <x:c r="C308" s="12" t="n">
        <x:v>-0.002522898028820987</x:v>
      </x:c>
      <x:c r="D308" s="12" t="n">
        <x:v>-0.265067591378716</x:v>
      </x:c>
      <x:c r="E308" s="12" t="n">
        <x:v>-0.07251474998109086</x:v>
      </x:c>
    </x:row>
    <x:row r="309" ht="18" customHeight="1">
      <x:c r="A309" s="13" t="n">
        <x:v>43041</x:v>
      </x:c>
      <x:c r="B309" s="12" t="n">
        <x:v>4</x:v>
      </x:c>
      <x:c r="C309" s="12" t="n">
        <x:v>0.00012815001485439733</x:v>
      </x:c>
      <x:c r="D309" s="12" t="n">
        <x:v>-0.2714516041475811</x:v>
      </x:c>
      <x:c r="E309" s="12" t="n">
        <x:v>-0.07283320146616086</x:v>
      </x:c>
    </x:row>
    <x:row r="310" ht="18" customHeight="1">
      <x:c r="A310" s="13" t="n">
        <x:v>43042</x:v>
      </x:c>
      <x:c r="B310" s="12" t="n">
        <x:v>0</x:v>
      </x:c>
      <x:c r="C310" s="12" t="n">
        <x:v>-0.001110511546394529</x:v>
      </x:c>
      <x:c r="D310" s="12" t="n">
        <x:v>-0.27150508819826175</x:v>
      </x:c>
      <x:c r="E310" s="12" t="n">
        <x:v>-0.07305618544039506</x:v>
      </x:c>
    </x:row>
    <x:row r="311" ht="18" customHeight="1">
      <x:c r="A311" s="13" t="n">
        <x:v>43045</x:v>
      </x:c>
      <x:c r="B311" s="12" t="n">
        <x:v>3</x:v>
      </x:c>
      <x:c r="C311" s="12" t="n">
        <x:v>0.007036003862998055</x:v>
      </x:c>
      <x:c r="D311" s="12" t="n">
        <x:v>-0.25897823287182553</x:v>
      </x:c>
      <x:c r="E311" s="12" t="n">
        <x:v>-0.0686158768692141</x:v>
      </x:c>
    </x:row>
    <x:row r="312" ht="18" customHeight="1">
      <x:c r="A312" s="13" t="n">
        <x:v>43046</x:v>
      </x:c>
      <x:c r="B312" s="12" t="n">
        <x:v>2</x:v>
      </x:c>
      <x:c r="C312" s="12" t="n">
        <x:v>0.008261678643900625</x:v>
      </x:c>
      <x:c r="D312" s="12" t="n">
        <x:v>-0.22795202252693808</x:v>
      </x:c>
      <x:c r="E312" s="12" t="n">
        <x:v>-0.06609948963936085</x:v>
      </x:c>
    </x:row>
    <x:row r="313" ht="18" customHeight="1">
      <x:c r="A313" s="13" t="n">
        <x:v>43047</x:v>
      </x:c>
      <x:c r="B313" s="12" t="n">
        <x:v>10</x:v>
      </x:c>
      <x:c r="C313" s="12" t="n">
        <x:v>-0.0015405102384266635</x:v>
      </x:c>
      <x:c r="D313" s="12" t="n">
        <x:v>-0.241337433064426</x:v>
      </x:c>
      <x:c r="E313" s="12" t="n">
        <x:v>-0.06524568991913238</x:v>
      </x:c>
    </x:row>
    <x:row r="314" ht="18" customHeight="1">
      <x:c r="A314" s="13" t="n">
        <x:v>43048</x:v>
      </x:c>
      <x:c r="B314" s="12" t="n">
        <x:v>12</x:v>
      </x:c>
      <x:c r="C314" s="12" t="n">
        <x:v>0.006867192046937809</x:v>
      </x:c>
      <x:c r="D314" s="12" t="n">
        <x:v>-0.19227335739280316</x:v>
      </x:c>
      <x:c r="E314" s="12" t="n">
        <x:v>-0.05411165769424895</x:v>
      </x:c>
    </x:row>
    <x:row r="315" ht="18" customHeight="1">
      <x:c r="A315" s="13" t="n">
        <x:v>43049</x:v>
      </x:c>
      <x:c r="B315" s="12" t="n">
        <x:v>-3</x:v>
      </x:c>
      <x:c r="C315" s="12" t="n">
        <x:v>0.008796400455064404</x:v>
      </x:c>
      <x:c r="D315" s="12" t="n">
        <x:v>-0.2028323512127537</x:v>
      </x:c>
      <x:c r="E315" s="12" t="n">
        <x:v>-0.054370863403164</x:v>
      </x:c>
    </x:row>
    <x:row r="316" ht="18" customHeight="1">
      <x:c r="A316" s="13" t="n">
        <x:v>43052</x:v>
      </x:c>
      <x:c r="B316" s="12" t="n">
        <x:v>1</x:v>
      </x:c>
      <x:c r="C316" s="12" t="n">
        <x:v>0.0039228522156154084</x:v>
      </x:c>
      <x:c r="D316" s="12" t="n">
        <x:v>-0.20071891855241752</x:v>
      </x:c>
      <x:c r="E316" s="12" t="n">
        <x:v>-0.050901975794797834</x:v>
      </x:c>
    </x:row>
    <x:row r="317" ht="18" customHeight="1">
      <x:c r="A317" s="13" t="n">
        <x:v>43053</x:v>
      </x:c>
      <x:c r="B317" s="12" t="n">
        <x:v>7</x:v>
      </x:c>
      <x:c r="C317" s="12" t="n">
        <x:v>-0.006982116306831353</x:v>
      </x:c>
      <x:c r="D317" s="12" t="n">
        <x:v>-0.20257431557679667</x:v>
      </x:c>
      <x:c r="E317" s="12" t="n">
        <x:v>-0.06911826725968534</x:v>
      </x:c>
    </x:row>
    <x:row r="318" ht="18" customHeight="1">
      <x:c r="A318" s="13" t="n">
        <x:v>43054</x:v>
      </x:c>
      <x:c r="B318" s="12" t="n">
        <x:v>13</x:v>
      </x:c>
      <x:c r="C318" s="12" t="n">
        <x:v>-0.006284453638224415</x:v>
      </x:c>
      <x:c r="D318" s="12" t="n">
        <x:v>-0.1746975927213415</x:v>
      </x:c>
      <x:c r="E318" s="12" t="n">
        <x:v>-0.06967306559934022</x:v>
      </x:c>
    </x:row>
    <x:row r="319" ht="18" customHeight="1">
      <x:c r="A319" s="13" t="n">
        <x:v>43055</x:v>
      </x:c>
      <x:c r="B319" s="12" t="n">
        <x:v>-18</x:v>
      </x:c>
      <x:c r="C319" s="12" t="n">
        <x:v>0.0076645000258571145</x:v>
      </x:c>
      <x:c r="D319" s="12" t="n">
        <x:v>-0.15794639023445234</x:v>
      </x:c>
      <x:c r="E319" s="12" t="n">
        <x:v>-0.08329271102398657</x:v>
      </x:c>
    </x:row>
    <x:row r="320" ht="18" customHeight="1">
      <x:c r="A320" s="13" t="n">
        <x:v>43056</x:v>
      </x:c>
      <x:c r="B320" s="12" t="n">
        <x:v>-3</x:v>
      </x:c>
      <x:c r="C320" s="12" t="n">
        <x:v>0.0038509320112525168</x:v>
      </x:c>
      <x:c r="D320" s="12" t="n">
        <x:v>-0.16004620149004117</x:v>
      </x:c>
      <x:c r="E320" s="12" t="n">
        <x:v>-0.08161471533037969</x:v>
      </x:c>
    </x:row>
    <x:row r="321" ht="18" customHeight="1">
      <x:c r="A321" s="13" t="n">
        <x:v>43059</x:v>
      </x:c>
      <x:c r="B321" s="12" t="n">
        <x:v>-6</x:v>
      </x:c>
      <x:c r="C321" s="12" t="n">
        <x:v>0.005561654549717554</x:v>
      </x:c>
      <x:c r="D321" s="12" t="n">
        <x:v>-0.17079334857423617</x:v>
      </x:c>
      <x:c r="E321" s="12" t="n">
        <x:v>-0.08658800625903856</x:v>
      </x:c>
    </x:row>
    <x:row r="322" ht="18" customHeight="1">
      <x:c r="A322" s="13" t="n">
        <x:v>43060</x:v>
      </x:c>
      <x:c r="B322" s="12" t="n">
        <x:v>-4</x:v>
      </x:c>
      <x:c r="C322" s="12" t="n">
        <x:v>0.01766900996951351</x:v>
      </x:c>
      <x:c r="D322" s="12" t="n">
        <x:v>-0.20622842315052448</x:v>
      </x:c>
      <x:c r="E322" s="12" t="n">
        <x:v>-0.09122735677924235</x:v>
      </x:c>
    </x:row>
    <x:row r="323" ht="18" customHeight="1">
      <x:c r="A323" s="13" t="n">
        <x:v>43061</x:v>
      </x:c>
      <x:c r="B323" s="12" t="n">
        <x:v>4</x:v>
      </x:c>
      <x:c r="C323" s="12" t="n">
        <x:v>0.0023362442423838147</x:v>
      </x:c>
      <x:c r="D323" s="12" t="n">
        <x:v>-0.20227334105355824</x:v>
      </x:c>
      <x:c r="E323" s="12" t="n">
        <x:v>-0.09320456066259199</x:v>
      </x:c>
    </x:row>
    <x:row r="324" ht="18" customHeight="1">
      <x:c r="A324" s="13" t="n">
        <x:v>43062</x:v>
      </x:c>
      <x:c r="B324" s="12" t="n">
        <x:v>0</x:v>
      </x:c>
      <x:c r="C324" s="12" t="n">
        <x:v>-0.03005521613756193</x:v>
      </x:c>
      <x:c r="D324" s="12" t="n">
        <x:v>-0.16797666176467863</x:v>
      </x:c>
      <x:c r="E324" s="12" t="n">
        <x:v>-0.09535765427773477</x:v>
      </x:c>
    </x:row>
    <x:row r="325" ht="18" customHeight="1">
      <x:c r="A325" s="13" t="n">
        <x:v>43063</x:v>
      </x:c>
      <x:c r="B325" s="12" t="n">
        <x:v>-3</x:v>
      </x:c>
      <x:c r="C325" s="12" t="n">
        <x:v>0.00044032852318716474</x:v>
      </x:c>
      <x:c r="D325" s="12" t="n">
        <x:v>-0.16350440763379218</x:v>
      </x:c>
      <x:c r="E325" s="12" t="n">
        <x:v>-0.0959138634190153</x:v>
      </x:c>
    </x:row>
    <x:row r="326" ht="18" customHeight="1">
      <x:c r="A326" s="13" t="n">
        <x:v>43066</x:v>
      </x:c>
      <x:c r="B326" s="12" t="n">
        <x:v>-1</x:v>
      </x:c>
      <x:c r="C326" s="12" t="n">
        <x:v>-0.013307749972386596</x:v>
      </x:c>
      <x:c r="D326" s="12" t="n">
        <x:v>-0.15282452129611895</x:v>
      </x:c>
      <x:c r="E326" s="12" t="n">
        <x:v>-0.10098432194397448</x:v>
      </x:c>
    </x:row>
    <x:row r="327" ht="18" customHeight="1">
      <x:c r="A327" s="13" t="n">
        <x:v>43067</x:v>
      </x:c>
      <x:c r="B327" s="12" t="n">
        <x:v>1</x:v>
      </x:c>
      <x:c r="C327" s="12" t="n">
        <x:v>0.0014498314914854682</x:v>
      </x:c>
      <x:c r="D327" s="12" t="n">
        <x:v>-0.1668960179688601</x:v>
      </x:c>
      <x:c r="E327" s="12" t="n">
        <x:v>-0.10428542391253062</x:v>
      </x:c>
    </x:row>
    <x:row r="328" ht="18" customHeight="1">
      <x:c r="A328" s="13" t="n">
        <x:v>43068</x:v>
      </x:c>
      <x:c r="B328" s="12" t="n">
        <x:v>-3</x:v>
      </x:c>
      <x:c r="C328" s="12" t="n">
        <x:v>-0.000510655536828198</x:v>
      </x:c>
      <x:c r="D328" s="12" t="n">
        <x:v>-0.15910904355460936</x:v>
      </x:c>
      <x:c r="E328" s="12" t="n">
        <x:v>-0.1038436710578073</x:v>
      </x:c>
    </x:row>
    <x:row r="329" ht="18" customHeight="1">
      <x:c r="A329" s="13" t="n">
        <x:v>43069</x:v>
      </x:c>
      <x:c r="B329" s="12" t="n">
        <x:v>-3</x:v>
      </x:c>
      <x:c r="C329" s="12" t="n">
        <x:v>-0.011825069271435942</x:v>
      </x:c>
      <x:c r="D329" s="12" t="n">
        <x:v>-0.13751811887025558</x:v>
      </x:c>
      <x:c r="E329" s="12" t="n">
        <x:v>-0.09856000228166775</x:v>
      </x:c>
    </x:row>
    <x:row r="330" ht="18" customHeight="1">
      <x:c r="A330" s="13" t="n">
        <x:v>43070</x:v>
      </x:c>
      <x:c r="B330" s="12" t="n">
        <x:v>2</x:v>
      </x:c>
      <x:c r="C330" s="12" t="n">
        <x:v>-0.0019896471882695846</x:v>
      </x:c>
      <x:c r="D330" s="12" t="n">
        <x:v>-0.1373696784767646</x:v>
      </x:c>
      <x:c r="E330" s="12" t="n">
        <x:v>-0.09979823249357214</x:v>
      </x:c>
    </x:row>
    <x:row r="331" ht="18" customHeight="1">
      <x:c r="A331" s="13" t="n">
        <x:v>43073</x:v>
      </x:c>
      <x:c r="B331" s="12" t="n">
        <x:v>-5</x:v>
      </x:c>
      <x:c r="C331" s="12" t="n">
        <x:v>0.005169181160029381</x:v>
      </x:c>
      <x:c r="D331" s="12" t="n">
        <x:v>-0.14815379303775564</x:v>
      </x:c>
      <x:c r="E331" s="12" t="n">
        <x:v>-0.09830009569979047</x:v>
      </x:c>
    </x:row>
    <x:row r="332" ht="18" customHeight="1">
      <x:c r="A332" s="13" t="n">
        <x:v>43074</x:v>
      </x:c>
      <x:c r="B332" s="12" t="n">
        <x:v>-1</x:v>
      </x:c>
      <x:c r="C332" s="12" t="n">
        <x:v>0.005289310574958369</x:v>
      </x:c>
      <x:c r="D332" s="12" t="n">
        <x:v>-0.15053150762877895</x:v>
      </x:c>
      <x:c r="E332" s="12" t="n">
        <x:v>-0.09263839036468946</x:v>
      </x:c>
    </x:row>
    <x:row r="333" ht="18" customHeight="1">
      <x:c r="A333" s="13" t="n">
        <x:v>43075</x:v>
      </x:c>
      <x:c r="B333" s="12" t="n">
        <x:v>6</x:v>
      </x:c>
      <x:c r="C333" s="12" t="n">
        <x:v>-0.006045034716964068</x:v>
      </x:c>
      <x:c r="D333" s="12" t="n">
        <x:v>-0.16721540301409796</x:v>
      </x:c>
      <x:c r="E333" s="12" t="n">
        <x:v>-0.09683168822530237</x:v>
      </x:c>
    </x:row>
    <x:row r="334" ht="18" customHeight="1">
      <x:c r="A334" s="13" t="n">
        <x:v>43076</x:v>
      </x:c>
      <x:c r="B334" s="12" t="n">
        <x:v>0</x:v>
      </x:c>
      <x:c r="C334" s="12" t="n">
        <x:v>-0.011209553653571425</x:v>
      </x:c>
      <x:c r="D334" s="12" t="n">
        <x:v>-0.16516779038137966</x:v>
      </x:c>
      <x:c r="E334" s="12" t="n">
        <x:v>-0.09704162588483216</x:v>
      </x:c>
    </x:row>
    <x:row r="335" ht="18" customHeight="1">
      <x:c r="A335" s="13" t="n">
        <x:v>43077</x:v>
      </x:c>
      <x:c r="B335" s="12" t="n">
        <x:v>0</x:v>
      </x:c>
      <x:c r="C335" s="12" t="n">
        <x:v>0.008106523546348764</x:v>
      </x:c>
      <x:c r="D335" s="12" t="n">
        <x:v>-0.1780850250585418</x:v>
      </x:c>
      <x:c r="E335" s="12" t="n">
        <x:v>-0.09514056619730936</x:v>
      </x:c>
    </x:row>
    <x:row r="336" ht="18" customHeight="1">
      <x:c r="A336" s="13" t="n">
        <x:v>43080</x:v>
      </x:c>
      <x:c r="B336" s="12" t="n">
        <x:v>-2</x:v>
      </x:c>
      <x:c r="C336" s="12" t="n">
        <x:v>0.016381263588608606</x:v>
      </x:c>
      <x:c r="D336" s="12" t="n">
        <x:v>-0.19397558461932535</x:v>
      </x:c>
      <x:c r="E336" s="12" t="n">
        <x:v>-0.09792295828783584</x:v>
      </x:c>
    </x:row>
    <x:row r="337" ht="18" customHeight="1">
      <x:c r="A337" s="13" t="n">
        <x:v>43081</x:v>
      </x:c>
      <x:c r="B337" s="12" t="n">
        <x:v>-3</x:v>
      </x:c>
      <x:c r="C337" s="12" t="n">
        <x:v>-0.013229626919694766</x:v>
      </x:c>
      <x:c r="D337" s="12" t="n">
        <x:v>-0.16061855630133653</x:v>
      </x:c>
      <x:c r="E337" s="12" t="n">
        <x:v>-0.09638347186153062</x:v>
      </x:c>
    </x:row>
    <x:row r="338" ht="18" customHeight="1">
      <x:c r="A338" s="13" t="n">
        <x:v>43082</x:v>
      </x:c>
      <x:c r="B338" s="12" t="n">
        <x:v>6</x:v>
      </x:c>
      <x:c r="C338" s="12" t="n">
        <x:v>0.008449328599258595</x:v>
      </x:c>
      <x:c r="D338" s="12" t="n">
        <x:v>-0.13190417827348655</x:v>
      </x:c>
      <x:c r="E338" s="12" t="n">
        <x:v>-0.09157483863573654</x:v>
      </x:c>
    </x:row>
    <x:row r="339" ht="18" customHeight="1">
      <x:c r="A339" s="13" t="n">
        <x:v>43083</x:v>
      </x:c>
      <x:c r="B339" s="12" t="n">
        <x:v>-1</x:v>
      </x:c>
      <x:c r="C339" s="12" t="n">
        <x:v>-0.005928787995797188</x:v>
      </x:c>
      <x:c r="D339" s="12" t="n">
        <x:v>-0.13388904536661891</x:v>
      </x:c>
      <x:c r="E339" s="12" t="n">
        <x:v>-0.08757617748184045</x:v>
      </x:c>
    </x:row>
    <x:row r="340" ht="18" customHeight="1">
      <x:c r="A340" s="13" t="n">
        <x:v>43084</x:v>
      </x:c>
      <x:c r="B340" s="12" t="n">
        <x:v>1</x:v>
      </x:c>
      <x:c r="C340" s="12" t="n">
        <x:v>-0.011314160442207443</x:v>
      </x:c>
      <x:c r="D340" s="12" t="n">
        <x:v>-0.13444945404981512</x:v>
      </x:c>
      <x:c r="E340" s="12" t="n">
        <x:v>-0.08645046462839462</x:v>
      </x:c>
    </x:row>
    <x:row r="341" ht="18" customHeight="1">
      <x:c r="A341" s="13" t="n">
        <x:v>43087</x:v>
      </x:c>
      <x:c r="B341" s="12" t="n">
        <x:v>0</x:v>
      </x:c>
      <x:c r="C341" s="12" t="n">
        <x:v>0.001113612477157036</x:v>
      </x:c>
      <x:c r="D341" s="12" t="n">
        <x:v>-0.13395876592448264</x:v>
      </x:c>
      <x:c r="E341" s="12" t="n">
        <x:v>-0.09940357872396714</x:v>
      </x:c>
    </x:row>
    <x:row r="342" ht="18" customHeight="1">
      <x:c r="A342" s="13" t="n">
        <x:v>43088</x:v>
      </x:c>
      <x:c r="B342" s="12" t="n">
        <x:v>-4</x:v>
      </x:c>
      <x:c r="C342" s="12" t="n">
        <x:v>0.012477500293090553</x:v>
      </x:c>
      <x:c r="D342" s="12" t="n">
        <x:v>-0.15851445430882938</x:v>
      </x:c>
      <x:c r="E342" s="12" t="n">
        <x:v>-0.1073191518778219</x:v>
      </x:c>
    </x:row>
    <x:row r="343" ht="18" customHeight="1">
      <x:c r="A343" s="13" t="n">
        <x:v>43089</x:v>
      </x:c>
      <x:c r="B343" s="12" t="n">
        <x:v>-2</x:v>
      </x:c>
      <x:c r="C343" s="12" t="n">
        <x:v>-0.0012000270427034853</x:v>
      </x:c>
      <x:c r="D343" s="12" t="n">
        <x:v>-0.15682575121578682</x:v>
      </x:c>
      <x:c r="E343" s="12" t="n">
        <x:v>-0.10373256938166066</x:v>
      </x:c>
    </x:row>
    <x:row r="344" ht="18" customHeight="1">
      <x:c r="A344" s="13" t="n">
        <x:v>43090</x:v>
      </x:c>
      <x:c r="B344" s="12" t="n">
        <x:v>-1</x:v>
      </x:c>
      <x:c r="C344" s="12" t="n">
        <x:v>0.009226328569982019</x:v>
      </x:c>
      <x:c r="D344" s="12" t="n">
        <x:v>-0.15493686641752877</x:v>
      </x:c>
      <x:c r="E344" s="12" t="n">
        <x:v>-0.1050980237106914</x:v>
      </x:c>
    </x:row>
    <x:row r="345" ht="18" customHeight="1">
      <x:c r="A345" s="13" t="n">
        <x:v>43091</x:v>
      </x:c>
      <x:c r="B345" s="12" t="n">
        <x:v>-1</x:v>
      </x:c>
      <x:c r="C345" s="12" t="n">
        <x:v>-0.003262591166558445</x:v>
      </x:c>
      <x:c r="D345" s="12" t="n">
        <x:v>-0.1565574729755281</x:v>
      </x:c>
      <x:c r="E345" s="12" t="n">
        <x:v>-0.09859609844485372</x:v>
      </x:c>
    </x:row>
    <x:row r="346" ht="18" customHeight="1">
      <x:c r="A346" s="13" t="n">
        <x:v>43095</x:v>
      </x:c>
      <x:c r="B346" s="12" t="n">
        <x:v>1</x:v>
      </x:c>
      <x:c r="C346" s="12" t="n">
        <x:v>0.0029850689153547018</x:v>
      </x:c>
      <x:c r="D346" s="12" t="n">
        <x:v>-0.15267485192845529</x:v>
      </x:c>
      <x:c r="E346" s="12" t="n">
        <x:v>-0.10956450450216242</x:v>
      </x:c>
    </x:row>
    <x:row r="347" ht="18" customHeight="1">
      <x:c r="A347" s="13" t="n">
        <x:v>43096</x:v>
      </x:c>
      <x:c r="B347" s="12" t="n">
        <x:v>2</x:v>
      </x:c>
      <x:c r="C347" s="12" t="n">
        <x:v>-0.01551708441951503</x:v>
      </x:c>
      <x:c r="D347" s="12" t="n">
        <x:v>-0.16002809538213844</x:v>
      </x:c>
      <x:c r="E347" s="12" t="n">
        <x:v>-0.11389097289515084</x:v>
      </x:c>
    </x:row>
    <x:row r="348" ht="18" customHeight="1">
      <x:c r="A348" s="13" t="n">
        <x:v>43097</x:v>
      </x:c>
      <x:c r="B348" s="12" t="n">
        <x:v>-4</x:v>
      </x:c>
      <x:c r="C348" s="12" t="n">
        <x:v>0.00691376970568803</x:v>
      </x:c>
      <x:c r="D348" s="12" t="n">
        <x:v>-0.1684643414533658</x:v>
      </x:c>
      <x:c r="E348" s="12" t="n">
        <x:v>-0.12515866282385002</x:v>
      </x:c>
    </x:row>
    <x:row r="349" ht="18" customHeight="1">
      <x:c r="A349" s="13" t="n">
        <x:v>43098</x:v>
      </x:c>
      <x:c r="B349" s="12" t="n">
        <x:v>3</x:v>
      </x:c>
      <x:c r="C349" s="12" t="n">
        <x:v>0.002970901053686374</x:v>
      </x:c>
      <x:c r="D349" s="12" t="n">
        <x:v>-0.16045760539237888</x:v>
      </x:c>
      <x:c r="E349" s="12" t="n">
        <x:v>-0.11328850424382715</x:v>
      </x:c>
    </x:row>
    <x:row r="350" ht="18" customHeight="1">
      <x:c r="A350" s="13" t="n">
        <x:v>43102</x:v>
      </x:c>
      <x:c r="B350" s="12" t="n">
        <x:v>-8</x:v>
      </x:c>
      <x:c r="C350" s="12" t="n">
        <x:v>0.013930877221025127</x:v>
      </x:c>
      <x:c r="D350" s="12" t="n">
        <x:v>-0.1973242996382185</x:v>
      </x:c>
      <x:c r="E350" s="12" t="n">
        <x:v>-0.12426513076303772</x:v>
      </x:c>
    </x:row>
    <x:row r="351" ht="18" customHeight="1">
      <x:c r="A351" s="13" t="n">
        <x:v>43103</x:v>
      </x:c>
      <x:c r="B351" s="12" t="n">
        <x:v>-7</x:v>
      </x:c>
      <x:c r="C351" s="12" t="n">
        <x:v>0.005852414234214498</x:v>
      </x:c>
      <x:c r="D351" s="12" t="n">
        <x:v>-0.2105384364523189</x:v>
      </x:c>
      <x:c r="E351" s="12" t="n">
        <x:v>-0.12632211715292976</x:v>
      </x:c>
    </x:row>
    <x:row r="352" ht="18" customHeight="1">
      <x:c r="A352" s="13" t="n">
        <x:v>43104</x:v>
      </x:c>
      <x:c r="B352" s="12" t="n">
        <x:v>-8</x:v>
      </x:c>
      <x:c r="C352" s="12" t="n">
        <x:v>0.004227911129966085</x:v>
      </x:c>
      <x:c r="D352" s="12" t="n">
        <x:v>-0.21533828157110438</x:v>
      </x:c>
      <x:c r="E352" s="12" t="n">
        <x:v>-0.1313381835149983</x:v>
      </x:c>
    </x:row>
    <x:row r="353" ht="18" customHeight="1">
      <x:c r="A353" s="13" t="n">
        <x:v>43105</x:v>
      </x:c>
      <x:c r="B353" s="12" t="n">
        <x:v>-4</x:v>
      </x:c>
      <x:c r="C353" s="12" t="n">
        <x:v>0.0024042406471347275</x:v>
      </x:c>
      <x:c r="D353" s="12" t="n">
        <x:v>-0.21411824014749772</x:v>
      </x:c>
      <x:c r="E353" s="12" t="n">
        <x:v>-0.13167081768931307</x:v>
      </x:c>
    </x:row>
    <x:row r="354" ht="18" customHeight="1">
      <x:c r="A354" s="13" t="n">
        <x:v>43108</x:v>
      </x:c>
      <x:c r="B354" s="12" t="n">
        <x:v>-1</x:v>
      </x:c>
      <x:c r="C354" s="12" t="n">
        <x:v>0.0051594841955802774</x:v>
      </x:c>
      <x:c r="D354" s="12" t="n">
        <x:v>-0.21490869413902494</x:v>
      </x:c>
      <x:c r="E354" s="12" t="n">
        <x:v>-0.13225617394136596</x:v>
      </x:c>
    </x:row>
    <x:row r="355" ht="18" customHeight="1">
      <x:c r="A355" s="13" t="n">
        <x:v>43109</x:v>
      </x:c>
      <x:c r="B355" s="12" t="n">
        <x:v>-2</x:v>
      </x:c>
      <x:c r="C355" s="12" t="n">
        <x:v>0.006979691635886268</x:v>
      </x:c>
      <x:c r="D355" s="12" t="n">
        <x:v>-0.21826590195427836</x:v>
      </x:c>
      <x:c r="E355" s="12" t="n">
        <x:v>-0.13445820663009211</x:v>
      </x:c>
    </x:row>
    <x:row r="356" ht="18" customHeight="1">
      <x:c r="A356" s="13" t="n">
        <x:v>43110</x:v>
      </x:c>
      <x:c r="B356" s="12" t="n">
        <x:v>9</x:v>
      </x:c>
      <x:c r="C356" s="12" t="n">
        <x:v>0.004409976294888542</x:v>
      </x:c>
      <x:c r="D356" s="12" t="n">
        <x:v>-0.20067267401170213</x:v>
      </x:c>
      <x:c r="E356" s="12" t="n">
        <x:v>-0.13145940729125435</x:v>
      </x:c>
    </x:row>
    <x:row r="357" ht="18" customHeight="1">
      <x:c r="A357" s="13" t="n">
        <x:v>43111</x:v>
      </x:c>
      <x:c r="B357" s="12" t="n">
        <x:v>-2</x:v>
      </x:c>
      <x:c r="C357" s="12" t="n">
        <x:v>-0.000529369858641328</x:v>
      </x:c>
      <x:c r="D357" s="12" t="n">
        <x:v>-0.20282604114087233</x:v>
      </x:c>
      <x:c r="E357" s="12" t="n">
        <x:v>-0.12865736356930482</x:v>
      </x:c>
    </x:row>
    <x:row r="358" ht="18" customHeight="1">
      <x:c r="A358" s="13" t="n">
        <x:v>43112</x:v>
      </x:c>
      <x:c r="B358" s="12" t="n">
        <x:v>-3</x:v>
      </x:c>
      <x:c r="C358" s="12" t="n">
        <x:v>0.004605784539051153</x:v>
      </x:c>
      <x:c r="D358" s="12" t="n">
        <x:v>-0.20834825817381009</x:v>
      </x:c>
      <x:c r="E358" s="12" t="n">
        <x:v>-0.12887176197674247</x:v>
      </x:c>
    </x:row>
    <x:row r="359" ht="18" customHeight="1">
      <x:c r="A359" s="13" t="n">
        <x:v>43115</x:v>
      </x:c>
      <x:c r="B359" s="12" t="n">
        <x:v>-2</x:v>
      </x:c>
      <x:c r="C359" s="12" t="n">
        <x:v>0.00005640076296140589</x:v>
      </x:c>
      <x:c r="D359" s="12" t="n">
        <x:v>-0.2190617774219653</x:v>
      </x:c>
      <x:c r="E359" s="12" t="n">
        <x:v>-0.12991954400333322</x:v>
      </x:c>
    </x:row>
    <x:row r="360" ht="18" customHeight="1">
      <x:c r="A360" s="13" t="n">
        <x:v>43116</x:v>
      </x:c>
      <x:c r="B360" s="12" t="n">
        <x:v>-1</x:v>
      </x:c>
      <x:c r="C360" s="12" t="n">
        <x:v>0.0078347470597828</x:v>
      </x:c>
      <x:c r="D360" s="12" t="n">
        <x:v>-0.22167572480843842</x:v>
      </x:c>
      <x:c r="E360" s="12" t="n">
        <x:v>-0.12223881113271529</x:v>
      </x:c>
    </x:row>
    <x:row r="361" ht="18" customHeight="1">
      <x:c r="A361" s="13" t="n">
        <x:v>43117</x:v>
      </x:c>
      <x:c r="B361" s="12" t="n">
        <x:v>0</x:v>
      </x:c>
      <x:c r="C361" s="12" t="n">
        <x:v>-0.002434960624066686</x:v>
      </x:c>
      <x:c r="D361" s="12" t="n">
        <x:v>-0.2140294856348546</x:v>
      </x:c>
      <x:c r="E361" s="12" t="n">
        <x:v>-0.11473455392390859</x:v>
      </x:c>
    </x:row>
    <x:row r="362" ht="18" customHeight="1">
      <x:c r="A362" s="13" t="n">
        <x:v>43118</x:v>
      </x:c>
      <x:c r="B362" s="12" t="n">
        <x:v>1</x:v>
      </x:c>
      <x:c r="C362" s="12" t="n">
        <x:v>0.0054698907905102205</x:v>
      </x:c>
      <x:c r="D362" s="12" t="n">
        <x:v>-0.20796654434679182</x:v>
      </x:c>
      <x:c r="E362" s="12" t="n">
        <x:v>-0.11360280174419987</x:v>
      </x:c>
    </x:row>
    <x:row r="363" ht="18" customHeight="1">
      <x:c r="A363" s="13" t="n">
        <x:v>43119</x:v>
      </x:c>
      <x:c r="B363" s="12" t="n">
        <x:v>0</x:v>
      </x:c>
      <x:c r="C363" s="12" t="n">
        <x:v>0.003267154346892089</x:v>
      </x:c>
      <x:c r="D363" s="12" t="n">
        <x:v>-0.21617634651598092</x:v>
      </x:c>
      <x:c r="E363" s="12" t="n">
        <x:v>-0.11896885739155363</x:v>
      </x:c>
    </x:row>
    <x:row r="364" ht="18" customHeight="1">
      <x:c r="A364" s="13" t="n">
        <x:v>43122</x:v>
      </x:c>
      <x:c r="B364" s="12" t="n">
        <x:v>-3</x:v>
      </x:c>
      <x:c r="C364" s="12" t="n">
        <x:v>0.011877301568188106</x:v>
      </x:c>
      <x:c r="D364" s="12" t="n">
        <x:v>-0.22516896746238196</x:v>
      </x:c>
      <x:c r="E364" s="12" t="n">
        <x:v>-0.12407158889251392</x:v>
      </x:c>
    </x:row>
    <x:row r="365" ht="18" customHeight="1">
      <x:c r="A365" s="13" t="n">
        <x:v>43123</x:v>
      </x:c>
      <x:c r="B365" s="12" t="n">
        <x:v>-1</x:v>
      </x:c>
      <x:c r="C365" s="12" t="n">
        <x:v>0.010555067633287804</x:v>
      </x:c>
      <x:c r="D365" s="12" t="n">
        <x:v>-0.22287333206678925</x:v>
      </x:c>
      <x:c r="E365" s="12" t="n">
        <x:v>-0.12494104640323118</x:v>
      </x:c>
    </x:row>
    <x:row r="366" ht="18" customHeight="1">
      <x:c r="A366" s="13" t="n">
        <x:v>43124</x:v>
      </x:c>
      <x:c r="B366" s="12" t="n">
        <x:v>-3</x:v>
      </x:c>
      <x:c r="C366" s="12" t="n">
        <x:v>0.0016580001500516833</x:v>
      </x:c>
      <x:c r="D366" s="12" t="n">
        <x:v>-0.22868534694487083</x:v>
      </x:c>
      <x:c r="E366" s="12" t="n">
        <x:v>-0.12219027112813008</x:v>
      </x:c>
    </x:row>
    <x:row r="367" ht="18" customHeight="1">
      <x:c r="A367" s="13" t="n">
        <x:v>43125</x:v>
      </x:c>
      <x:c r="B367" s="12" t="n">
        <x:v>0</x:v>
      </x:c>
      <x:c r="C367" s="12" t="n">
        <x:v>-0.005666719908068406</x:v>
      </x:c>
      <x:c r="D367" s="12" t="n">
        <x:v>-0.22759666113883575</x:v>
      </x:c>
      <x:c r="E367" s="12" t="n">
        <x:v>-0.12069155032225137</x:v>
      </x:c>
    </x:row>
    <x:row r="368" ht="18" customHeight="1">
      <x:c r="A368" s="13" t="n">
        <x:v>43126</x:v>
      </x:c>
      <x:c r="B368" s="12" t="n">
        <x:v>-5</x:v>
      </x:c>
      <x:c r="C368" s="12" t="n">
        <x:v>0.003709013431685871</x:v>
      </x:c>
      <x:c r="D368" s="12" t="n">
        <x:v>-0.23939869248699222</x:v>
      </x:c>
      <x:c r="E368" s="12" t="n">
        <x:v>-0.12213052613692187</x:v>
      </x:c>
    </x:row>
    <x:row r="369" ht="18" customHeight="1">
      <x:c r="A369" s="13" t="n">
        <x:v>43129</x:v>
      </x:c>
      <x:c r="B369" s="12" t="n">
        <x:v>3</x:v>
      </x:c>
      <x:c r="C369" s="12" t="n">
        <x:v>-0.018261154524616036</x:v>
      </x:c>
      <x:c r="D369" s="12" t="n">
        <x:v>-0.24795557012868102</x:v>
      </x:c>
      <x:c r="E369" s="12" t="n">
        <x:v>-0.12796232532427843</x:v>
      </x:c>
    </x:row>
    <x:row r="370" ht="18" customHeight="1">
      <x:c r="A370" s="13" t="n">
        <x:v>43130</x:v>
      </x:c>
      <x:c r="B370" s="12" t="n">
        <x:v>7</x:v>
      </x:c>
      <x:c r="C370" s="12" t="n">
        <x:v>-0.010730496768858172</x:v>
      </x:c>
      <x:c r="D370" s="12" t="n">
        <x:v>-0.27162979352475675</x:v>
      </x:c>
      <x:c r="E370" s="12" t="n">
        <x:v>-0.13814853400688928</x:v>
      </x:c>
    </x:row>
    <x:row r="371" ht="18" customHeight="1">
      <x:c r="A371" s="13" t="n">
        <x:v>43131</x:v>
      </x:c>
      <x:c r="B371" s="12" t="n">
        <x:v>-4</x:v>
      </x:c>
      <x:c r="C371" s="12" t="n">
        <x:v>0.0046405377172039795</x:v>
      </x:c>
      <x:c r="D371" s="12" t="n">
        <x:v>-0.2794942512277768</x:v>
      </x:c>
      <x:c r="E371" s="12" t="n">
        <x:v>-0.13818420552488864</x:v>
      </x:c>
    </x:row>
    <x:row r="372" ht="18" customHeight="1">
      <x:c r="A372" s="13" t="n">
        <x:v>43132</x:v>
      </x:c>
      <x:c r="B372" s="12" t="n">
        <x:v>0</x:v>
      </x:c>
      <x:c r="C372" s="12" t="n">
        <x:v>-0.007040985851740781</x:v>
      </x:c>
      <x:c r="D372" s="12" t="n">
        <x:v>-0.2790769097572979</x:v>
      </x:c>
      <x:c r="E372" s="12" t="n">
        <x:v>-0.13902582211924194</x:v>
      </x:c>
    </x:row>
    <x:row r="373" ht="18" customHeight="1">
      <x:c r="A373" s="13" t="n">
        <x:v>43133</x:v>
      </x:c>
      <x:c r="B373" s="12" t="n">
        <x:v>7</x:v>
      </x:c>
      <x:c r="C373" s="12" t="n">
        <x:v>0.005949157411450897</x:v>
      </x:c>
      <x:c r="D373" s="12" t="n">
        <x:v>-0.2599410895331685</x:v>
      </x:c>
      <x:c r="E373" s="12" t="n">
        <x:v>-0.13702030097525608</x:v>
      </x:c>
    </x:row>
    <x:row r="374" ht="18" customHeight="1">
      <x:c r="A374" s="13" t="n">
        <x:v>43136</x:v>
      </x:c>
      <x:c r="B374" s="12" t="n">
        <x:v>12</x:v>
      </x:c>
      <x:c r="C374" s="12" t="n">
        <x:v>0.0006819592467287383</x:v>
      </x:c>
      <x:c r="D374" s="12" t="n">
        <x:v>-0.2584239434102233</x:v>
      </x:c>
      <x:c r="E374" s="12" t="n">
        <x:v>-0.13835863844008872</x:v>
      </x:c>
    </x:row>
    <x:row r="375" ht="18" customHeight="1">
      <x:c r="A375" s="13" t="n">
        <x:v>43137</x:v>
      </x:c>
      <x:c r="B375" s="12" t="n">
        <x:v>12</x:v>
      </x:c>
      <x:c r="C375" s="12" t="n">
        <x:v>-0.02974464187543662</x:v>
      </x:c>
      <x:c r="D375" s="12" t="n">
        <x:v>-0.3484040183339397</x:v>
      </x:c>
      <x:c r="E375" s="12" t="n">
        <x:v>-0.1749653251818887</x:v>
      </x:c>
    </x:row>
    <x:row r="376" ht="18" customHeight="1">
      <x:c r="A376" s="13" t="n">
        <x:v>43138</x:v>
      </x:c>
      <x:c r="B376" s="12" t="n">
        <x:v>-14</x:v>
      </x:c>
      <x:c r="C376" s="12" t="n">
        <x:v>-0.024000129045968894</x:v>
      </x:c>
      <x:c r="D376" s="12" t="n">
        <x:v>-0.22163516973632508</x:v>
      </x:c>
      <x:c r="E376" s="12" t="n">
        <x:v>-0.12935326800307673</x:v>
      </x:c>
    </x:row>
    <x:row r="377" ht="18" customHeight="1">
      <x:c r="A377" s="13" t="n">
        <x:v>43139</x:v>
      </x:c>
      <x:c r="B377" s="12" t="n">
        <x:v>13</x:v>
      </x:c>
      <x:c r="C377" s="12" t="n">
        <x:v>-0.009538004279119664</x:v>
      </x:c>
      <x:c r="D377" s="12" t="n">
        <x:v>-0.2807403644130788</x:v>
      </x:c>
      <x:c r="E377" s="12" t="n">
        <x:v>-0.14187952569752027</x:v>
      </x:c>
    </x:row>
    <x:row r="378" ht="18" customHeight="1">
      <x:c r="A378" s="13" t="n">
        <x:v>43140</x:v>
      </x:c>
      <x:c r="B378" s="12" t="n">
        <x:v>23</x:v>
      </x:c>
      <x:c r="C378" s="12" t="n">
        <x:v>-0.04365930862233555</x:v>
      </x:c>
      <x:c r="D378" s="12" t="n">
        <x:v>-0.4384662638293942</x:v>
      </x:c>
      <x:c r="E378" s="12" t="n">
        <x:v>-0.23179688595524797</x:v>
      </x:c>
    </x:row>
    <x:row r="379" ht="18" customHeight="1">
      <x:c r="A379" s="13" t="n">
        <x:v>43143</x:v>
      </x:c>
      <x:c r="B379" s="12" t="n">
        <x:v>-11</x:v>
      </x:c>
      <x:c r="C379" s="12" t="n">
        <x:v>0.012793720614961816</x:v>
      </x:c>
      <x:c r="D379" s="12" t="n">
        <x:v>-0.4578280034769528</x:v>
      </x:c>
      <x:c r="E379" s="12" t="n">
        <x:v>-0.24290431689960554</x:v>
      </x:c>
    </x:row>
    <x:row r="380" ht="18" customHeight="1">
      <x:c r="A380" s="13" t="n">
        <x:v>43144</x:v>
      </x:c>
      <x:c r="B380" s="12" t="n">
        <x:v>7</x:v>
      </x:c>
      <x:c r="C380" s="12" t="n">
        <x:v>0.011635533790549657</x:v>
      </x:c>
      <x:c r="D380" s="12" t="n">
        <x:v>-0.4257668925419426</x:v>
      </x:c>
      <x:c r="E380" s="12" t="n">
        <x:v>-0.2332143073361769</x:v>
      </x:c>
    </x:row>
    <x:row r="381" ht="18" customHeight="1">
      <x:c r="A381" s="13" t="n">
        <x:v>43145</x:v>
      </x:c>
      <x:c r="B381" s="12" t="n">
        <x:v>-9</x:v>
      </x:c>
      <x:c r="C381" s="12" t="n">
        <x:v>0.007928830690543</x:v>
      </x:c>
      <x:c r="D381" s="12" t="n">
        <x:v>-0.43254939870920983</x:v>
      </x:c>
      <x:c r="E381" s="12" t="n">
        <x:v>-0.24045320825802033</x:v>
      </x:c>
    </x:row>
    <x:row r="382" ht="18" customHeight="1">
      <x:c r="A382" s="13" t="n">
        <x:v>43153</x:v>
      </x:c>
      <x:c r="B382" s="12" t="n">
        <x:v>7</x:v>
      </x:c>
      <x:c r="C382" s="12" t="n">
        <x:v>0.021391106487451253</x:v>
      </x:c>
      <x:c r="D382" s="12" t="n">
        <x:v>-0.3784096422175957</x:v>
      </x:c>
      <x:c r="E382" s="12" t="n">
        <x:v>-0.2215007845386546</x:v>
      </x:c>
    </x:row>
    <x:row r="383" ht="18" customHeight="1">
      <x:c r="A383" s="13" t="n">
        <x:v>43154</x:v>
      </x:c>
      <x:c r="B383" s="12" t="n">
        <x:v>5</x:v>
      </x:c>
      <x:c r="C383" s="12" t="n">
        <x:v>0.004518988971263035</x:v>
      </x:c>
      <x:c r="D383" s="12" t="n">
        <x:v>-0.3688403103489253</x:v>
      </x:c>
      <x:c r="E383" s="12" t="n">
        <x:v>-0.21833103600993872</x:v>
      </x:c>
    </x:row>
    <x:row r="384" ht="18" customHeight="1">
      <x:c r="A384" s="13" t="n">
        <x:v>43157</x:v>
      </x:c>
      <x:c r="B384" s="12" t="n">
        <x:v>-8</x:v>
      </x:c>
      <x:c r="C384" s="12" t="n">
        <x:v>0.011558748057687147</x:v>
      </x:c>
      <x:c r="D384" s="12" t="n">
        <x:v>-0.37763213597666023</x:v>
      </x:c>
      <x:c r="E384" s="12" t="n">
        <x:v>-0.2228368380287717</x:v>
      </x:c>
    </x:row>
    <x:row r="385" ht="18" customHeight="1">
      <x:c r="A385" s="13" t="n">
        <x:v>43158</x:v>
      </x:c>
      <x:c r="B385" s="12" t="n">
        <x:v>-3</x:v>
      </x:c>
      <x:c r="C385" s="12" t="n">
        <x:v>-0.01453739638348993</x:v>
      </x:c>
      <x:c r="D385" s="12" t="n">
        <x:v>-0.355154512963646</x:v>
      </x:c>
      <x:c r="E385" s="12" t="n">
        <x:v>-0.21791312790257153</x:v>
      </x:c>
    </x:row>
    <x:row r="386" ht="18" customHeight="1">
      <x:c r="A386" s="13" t="n">
        <x:v>43159</x:v>
      </x:c>
      <x:c r="B386" s="12" t="n">
        <x:v>0</x:v>
      </x:c>
      <x:c r="C386" s="12" t="n">
        <x:v>-0.008744519971607157</x:v>
      </x:c>
      <x:c r="D386" s="12" t="n">
        <x:v>-0.358103686965278</x:v>
      </x:c>
      <x:c r="E386" s="12" t="n">
        <x:v>-0.21892138709926606</x:v>
      </x:c>
    </x:row>
    <x:row r="387" ht="18" customHeight="1">
      <x:c r="A387" s="13" t="n">
        <x:v>43160</x:v>
      </x:c>
      <x:c r="B387" s="12" t="n">
        <x:v>12</x:v>
      </x:c>
      <x:c r="C387" s="12" t="n">
        <x:v>0.006303912356162683</x:v>
      </x:c>
      <x:c r="D387" s="12" t="n">
        <x:v>-0.3464115547602491</x:v>
      </x:c>
      <x:c r="E387" s="12" t="n">
        <x:v>-0.21389304702031872</x:v>
      </x:c>
    </x:row>
    <x:row r="388" ht="18" customHeight="1">
      <x:c r="A388" s="13" t="n">
        <x:v>43161</x:v>
      </x:c>
      <x:c r="B388" s="12" t="n">
        <x:v>6</x:v>
      </x:c>
      <x:c r="C388" s="12" t="n">
        <x:v>-0.008090084089436332</x:v>
      </x:c>
      <x:c r="D388" s="12" t="n">
        <x:v>-0.35331877875029377</x:v>
      </x:c>
      <x:c r="E388" s="12" t="n">
        <x:v>-0.21632587882126847</x:v>
      </x:c>
    </x:row>
    <x:row r="389" ht="18" customHeight="1">
      <x:c r="A389" s="13" t="n">
        <x:v>43164</x:v>
      </x:c>
      <x:c r="B389" s="12" t="n">
        <x:v>-6</x:v>
      </x:c>
      <x:c r="C389" s="12" t="n">
        <x:v>0.0004072408270897777</x:v>
      </x:c>
      <x:c r="D389" s="12" t="n">
        <x:v>-0.3589385979692142</x:v>
      </x:c>
      <x:c r="E389" s="12" t="n">
        <x:v>-0.21713495359644747</x:v>
      </x:c>
    </x:row>
    <x:row r="390" ht="18" customHeight="1">
      <x:c r="A390" s="13" t="n">
        <x:v>43165</x:v>
      </x:c>
      <x:c r="B390" s="12" t="n">
        <x:v>-6</x:v>
      </x:c>
      <x:c r="C390" s="12" t="n">
        <x:v>0.011990181521049881</x:v>
      </x:c>
      <x:c r="D390" s="12" t="n">
        <x:v>-0.3698684479523375</x:v>
      </x:c>
      <x:c r="E390" s="12" t="n">
        <x:v>-0.22104396765180354</x:v>
      </x:c>
    </x:row>
    <x:row r="391" ht="18" customHeight="1">
      <x:c r="A391" s="13" t="n">
        <x:v>43166</x:v>
      </x:c>
      <x:c r="B391" s="12" t="n">
        <x:v>3</x:v>
      </x:c>
      <x:c r="C391" s="12" t="n">
        <x:v>-0.0073825570888245776</x:v>
      </x:c>
      <x:c r="D391" s="12" t="n">
        <x:v>-0.37389005090441796</x:v>
      </x:c>
      <x:c r="E391" s="12" t="n">
        <x:v>-0.2224475273475449</x:v>
      </x:c>
    </x:row>
    <x:row r="392" ht="18" customHeight="1">
      <x:c r="A392" s="13" t="n">
        <x:v>43167</x:v>
      </x:c>
      <x:c r="B392" s="12" t="n">
        <x:v>0</x:v>
      </x:c>
      <x:c r="C392" s="12" t="n">
        <x:v>0.01009257267049201</x:v>
      </x:c>
      <x:c r="D392" s="12" t="n">
        <x:v>-0.38470254902870843</x:v>
      </x:c>
      <x:c r="E392" s="12" t="n">
        <x:v>-0.22245010893827308</x:v>
      </x:c>
    </x:row>
    <x:row r="393" ht="18" customHeight="1">
      <x:c r="A393" s="13" t="n">
        <x:v>43168</x:v>
      </x:c>
      <x:c r="B393" s="12" t="n">
        <x:v>-3</x:v>
      </x:c>
      <x:c r="C393" s="12" t="n">
        <x:v>0.007638278759686679</x:v>
      </x:c>
      <x:c r="D393" s="12" t="n">
        <x:v>-0.3872174311546368</x:v>
      </x:c>
      <x:c r="E393" s="12" t="n">
        <x:v>-0.22418251200717682</x:v>
      </x:c>
    </x:row>
    <x:row r="394" ht="18" customHeight="1">
      <x:c r="A394" s="13" t="n">
        <x:v>43171</x:v>
      </x:c>
      <x:c r="B394" s="12" t="n">
        <x:v>2</x:v>
      </x:c>
      <x:c r="C394" s="12" t="n">
        <x:v>0.0045652791790092165</x:v>
      </x:c>
      <x:c r="D394" s="12" t="n">
        <x:v>-0.38204803018031663</x:v>
      </x:c>
      <x:c r="E394" s="12" t="n">
        <x:v>-0.23209208851202234</x:v>
      </x:c>
    </x:row>
    <x:row r="395" ht="18" customHeight="1">
      <x:c r="A395" s="13" t="n">
        <x:v>43172</x:v>
      </x:c>
      <x:c r="B395" s="12" t="n">
        <x:v>3</x:v>
      </x:c>
      <x:c r="C395" s="12" t="n">
        <x:v>-0.00886080907424242</x:v>
      </x:c>
      <x:c r="D395" s="12" t="n">
        <x:v>-0.3844001174631031</x:v>
      </x:c>
      <x:c r="E395" s="12" t="n">
        <x:v>-0.23382864114242954</x:v>
      </x:c>
    </x:row>
    <x:row r="396" ht="18" customHeight="1">
      <x:c r="A396" s="13" t="n">
        <x:v>43173</x:v>
      </x:c>
      <x:c r="B396" s="12" t="n">
        <x:v>4</x:v>
      </x:c>
      <x:c r="C396" s="12" t="n">
        <x:v>-0.0043868978535668065</x:v>
      </x:c>
      <x:c r="D396" s="12" t="n">
        <x:v>-0.38208390762425165</x:v>
      </x:c>
      <x:c r="E396" s="12" t="n">
        <x:v>-0.23826184685783172</x:v>
      </x:c>
    </x:row>
    <x:row r="397" ht="18" customHeight="1">
      <x:c r="A397" s="13" t="n">
        <x:v>43174</x:v>
      </x:c>
      <x:c r="B397" s="12" t="n">
        <x:v>0</x:v>
      </x:c>
      <x:c r="C397" s="12" t="n">
        <x:v>0.005586153049198009</x:v>
      </x:c>
      <x:c r="D397" s="12" t="n">
        <x:v>-0.3857040083118798</x:v>
      </x:c>
      <x:c r="E397" s="12" t="n">
        <x:v>-0.24003493468518958</x:v>
      </x:c>
    </x:row>
    <x:row r="398" ht="18" customHeight="1">
      <x:c r="A398" s="13" t="n">
        <x:v>43175</x:v>
      </x:c>
      <x:c r="B398" s="12" t="n">
        <x:v>-2</x:v>
      </x:c>
      <x:c r="C398" s="12" t="n">
        <x:v>-0.00974915644516685</x:v>
      </x:c>
      <x:c r="D398" s="12" t="n">
        <x:v>-0.3786397132780014</x:v>
      </x:c>
      <x:c r="E398" s="12" t="n">
        <x:v>-0.23629504367466764</x:v>
      </x:c>
    </x:row>
    <x:row r="399" ht="18" customHeight="1">
      <x:c r="A399" s="13" t="n">
        <x:v>43178</x:v>
      </x:c>
      <x:c r="B399" s="12" t="n">
        <x:v>5</x:v>
      </x:c>
      <x:c r="C399" s="12" t="n">
        <x:v>0.004384713058697811</x:v>
      </x:c>
      <x:c r="D399" s="12" t="n">
        <x:v>-0.37020648312613263</x:v>
      </x:c>
      <x:c r="E399" s="12" t="n">
        <x:v>-0.23744026855960942</x:v>
      </x:c>
    </x:row>
    <x:row r="400" ht="18" customHeight="1">
      <x:c r="A400" s="13" t="n">
        <x:v>43179</x:v>
      </x:c>
      <x:c r="B400" s="12" t="n">
        <x:v>-3</x:v>
      </x:c>
      <x:c r="C400" s="12" t="n">
        <x:v>0.0008479441996437564</x:v>
      </x:c>
      <x:c r="D400" s="12" t="n">
        <x:v>-0.38548374613737946</x:v>
      </x:c>
      <x:c r="E400" s="12" t="n">
        <x:v>-0.23906958467879894</x:v>
      </x:c>
    </x:row>
    <x:row r="401" ht="18" customHeight="1">
      <x:c r="A401" s="13" t="n">
        <x:v>43180</x:v>
      </x:c>
      <x:c r="B401" s="12" t="n">
        <x:v>-2</x:v>
      </x:c>
      <x:c r="C401" s="12" t="n">
        <x:v>-0.004092499326107085</x:v>
      </x:c>
      <x:c r="D401" s="12" t="n">
        <x:v>-0.3976594667503617</x:v>
      </x:c>
      <x:c r="E401" s="12" t="n">
        <x:v>-0.2373349445244221</x:v>
      </x:c>
    </x:row>
    <x:row r="402" ht="18" customHeight="1">
      <x:c r="A402" s="13" t="n">
        <x:v>43181</x:v>
      </x:c>
      <x:c r="B402" s="12" t="n">
        <x:v>10</x:v>
      </x:c>
      <x:c r="C402" s="12" t="n">
        <x:v>-0.01007289533203283</x:v>
      </x:c>
      <x:c r="D402" s="12" t="n">
        <x:v>-0.4128308774365506</x:v>
      </x:c>
      <x:c r="E402" s="12" t="n">
        <x:v>-0.24064235621041447</x:v>
      </x:c>
    </x:row>
    <x:row r="403" ht="18" customHeight="1">
      <x:c r="A403" s="13" t="n">
        <x:v>43182</x:v>
      </x:c>
      <x:c r="B403" s="12" t="n">
        <x:v>4</x:v>
      </x:c>
      <x:c r="C403" s="12" t="n">
        <x:v>-0.029127448913337784</x:v>
      </x:c>
      <x:c r="D403" s="12" t="n">
        <x:v>-0.4148456703297816</x:v>
      </x:c>
      <x:c r="E403" s="12" t="n">
        <x:v>-0.24462149240114842</x:v>
      </x:c>
    </x:row>
    <x:row r="404" ht="18" customHeight="1">
      <x:c r="A404" s="13" t="n">
        <x:v>43185</x:v>
      </x:c>
      <x:c r="B404" s="12" t="n">
        <x:v>-1</x:v>
      </x:c>
      <x:c r="C404" s="12" t="n">
        <x:v>-0.006433689934372874</x:v>
      </x:c>
      <x:c r="D404" s="12" t="n">
        <x:v>-0.4117674947818528</x:v>
      </x:c>
      <x:c r="E404" s="12" t="n">
        <x:v>-0.24829153331877765</x:v>
      </x:c>
    </x:row>
    <x:row r="405" ht="18" customHeight="1">
      <x:c r="A405" s="13" t="n">
        <x:v>43186</x:v>
      </x:c>
      <x:c r="B405" s="12" t="n">
        <x:v>2</x:v>
      </x:c>
      <x:c r="C405" s="12" t="n">
        <x:v>0.008565484584295732</x:v>
      </x:c>
      <x:c r="D405" s="12" t="n">
        <x:v>-0.39971944682976385</x:v>
      </x:c>
      <x:c r="E405" s="12" t="n">
        <x:v>-0.24737211678715243</x:v>
      </x:c>
    </x:row>
    <x:row r="406" ht="18" customHeight="1">
      <x:c r="A406" s="13" t="n">
        <x:v>43187</x:v>
      </x:c>
      <x:c r="B406" s="12" t="n">
        <x:v>2</x:v>
      </x:c>
      <x:c r="C406" s="12" t="n">
        <x:v>-0.018193782382508124</x:v>
      </x:c>
      <x:c r="D406" s="12" t="n">
        <x:v>-0.39858384954706993</x:v>
      </x:c>
      <x:c r="E406" s="12" t="n">
        <x:v>-0.24797263040405618</x:v>
      </x:c>
    </x:row>
    <x:row r="407" ht="18" customHeight="1">
      <x:c r="A407" s="13" t="n">
        <x:v>43188</x:v>
      </x:c>
      <x:c r="B407" s="12" t="n">
        <x:v>2</x:v>
      </x:c>
      <x:c r="C407" s="12" t="n">
        <x:v>0.013270417637119006</x:v>
      </x:c>
      <x:c r="D407" s="12" t="n">
        <x:v>-0.388851725514598</x:v>
      </x:c>
      <x:c r="E407" s="12" t="n">
        <x:v>-0.24197210006683334</x:v>
      </x:c>
    </x:row>
    <x:row r="408" ht="18" customHeight="1">
      <x:c r="A408" s="13" t="n">
        <x:v>43192</x:v>
      </x:c>
      <x:c r="B408" s="12" t="n">
        <x:v>5</x:v>
      </x:c>
      <x:c r="C408" s="12" t="n">
        <x:v>-0.0029744865642820487</x:v>
      </x:c>
      <x:c r="D408" s="12" t="n">
        <x:v>-0.39076275358202384</x:v>
      </x:c>
      <x:c r="E408" s="12" t="n">
        <x:v>-0.2410866819833759</x:v>
      </x:c>
    </x:row>
    <x:row r="409" ht="18" customHeight="1">
      <x:c r="A409" s="13" t="n">
        <x:v>43193</x:v>
      </x:c>
      <x:c r="B409" s="12" t="n">
        <x:v>-6</x:v>
      </x:c>
      <x:c r="C409" s="12" t="n">
        <x:v>-0.0063074265760417105</x:v>
      </x:c>
      <x:c r="D409" s="12" t="n">
        <x:v>-0.37934959419685205</x:v>
      </x:c>
      <x:c r="E409" s="12" t="n">
        <x:v>-0.23740024915104824</x:v>
      </x:c>
    </x:row>
    <x:row r="410" ht="18" customHeight="1">
      <x:c r="A410" s="13" t="n">
        <x:v>43194</x:v>
      </x:c>
      <x:c r="B410" s="12" t="n">
        <x:v>0</x:v>
      </x:c>
      <x:c r="C410" s="12" t="n">
        <x:v>-0.001974022241025953</x:v>
      </x:c>
      <x:c r="D410" s="12" t="n">
        <x:v>-0.37973194109843494</x:v>
      </x:c>
      <x:c r="E410" s="12" t="n">
        <x:v>-0.24112797966738986</x:v>
      </x:c>
    </x:row>
    <x:row r="411" ht="18" customHeight="1">
      <x:c r="A411" s="13" t="n">
        <x:v>43199</x:v>
      </x:c>
      <x:c r="B411" s="12" t="n">
        <x:v>-3</x:v>
      </x:c>
      <x:c r="C411" s="12" t="n">
        <x:v>-0.0005016482322799196</x:v>
      </x:c>
      <x:c r="D411" s="12" t="n">
        <x:v>-0.37426221199719534</x:v>
      </x:c>
      <x:c r="E411" s="12" t="n">
        <x:v>-0.2376702062557557</x:v>
      </x:c>
    </x:row>
    <x:row r="412" ht="18" customHeight="1">
      <x:c r="A412" s="13" t="n">
        <x:v>43200</x:v>
      </x:c>
      <x:c r="B412" s="12" t="n">
        <x:v>-9</x:v>
      </x:c>
      <x:c r="C412" s="12" t="n">
        <x:v>0.01908611296393232</x:v>
      </x:c>
      <x:c r="D412" s="12" t="n">
        <x:v>-0.40087871833963773</x:v>
      </x:c>
      <x:c r="E412" s="12" t="n">
        <x:v>-0.24806233250821255</x:v>
      </x:c>
    </x:row>
    <x:row r="413" ht="18" customHeight="1">
      <x:c r="A413" s="13" t="n">
        <x:v>43201</x:v>
      </x:c>
      <x:c r="B413" s="12" t="n">
        <x:v>-2</x:v>
      </x:c>
      <x:c r="C413" s="12" t="n">
        <x:v>0.0028403748931388356</x:v>
      </x:c>
      <x:c r="D413" s="12" t="n">
        <x:v>-0.38637958920568233</x:v>
      </x:c>
      <x:c r="E413" s="12" t="n">
        <x:v>-0.2464092117646976</x:v>
      </x:c>
    </x:row>
    <x:row r="414" ht="18" customHeight="1">
      <x:c r="A414" s="13" t="n">
        <x:v>43202</x:v>
      </x:c>
      <x:c r="B414" s="12" t="n">
        <x:v>-8</x:v>
      </x:c>
      <x:c r="C414" s="12" t="n">
        <x:v>-0.010133583568970973</x:v>
      </x:c>
      <x:c r="D414" s="12" t="n">
        <x:v>-0.3569082308894887</x:v>
      </x:c>
      <x:c r="E414" s="12" t="n">
        <x:v>-0.23577991358675202</x:v>
      </x:c>
    </x:row>
    <x:row r="415" ht="18" customHeight="1">
      <x:c r="A415" s="13" t="n">
        <x:v>43203</x:v>
      </x:c>
      <x:c r="B415" s="12" t="n">
        <x:v>-4</x:v>
      </x:c>
      <x:c r="C415" s="12" t="n">
        <x:v>-0.007076446381222022</x:v>
      </x:c>
      <x:c r="D415" s="12" t="n">
        <x:v>-0.345009298740213</x:v>
      </x:c>
      <x:c r="E415" s="12" t="n">
        <x:v>-0.23735846175231237</x:v>
      </x:c>
    </x:row>
    <x:row r="416" ht="18" customHeight="1">
      <x:c r="A416" s="13" t="n">
        <x:v>43206</x:v>
      </x:c>
      <x:c r="B416" s="12" t="n">
        <x:v>-5</x:v>
      </x:c>
      <x:c r="C416" s="12" t="n">
        <x:v>-0.016219428685991556</x:v>
      </x:c>
      <x:c r="D416" s="12" t="n">
        <x:v>-0.3192167271257561</x:v>
      </x:c>
      <x:c r="E416" s="12" t="n">
        <x:v>-0.22971119992852942</x:v>
      </x:c>
    </x:row>
    <x:row r="417" ht="18" customHeight="1">
      <x:c r="A417" s="13" t="n">
        <x:v>43207</x:v>
      </x:c>
      <x:c r="B417" s="12" t="n">
        <x:v>-4</x:v>
      </x:c>
      <x:c r="C417" s="12" t="n">
        <x:v>-0.015937291751862186</x:v>
      </x:c>
      <x:c r="D417" s="12" t="n">
        <x:v>-0.29958024702555414</x:v>
      </x:c>
      <x:c r="E417" s="12" t="n">
        <x:v>-0.23074837591512581</x:v>
      </x:c>
    </x:row>
    <x:row r="418" ht="18" customHeight="1">
      <x:c r="A418" s="13" t="n">
        <x:v>43208</x:v>
      </x:c>
      <x:c r="B418" s="12" t="n">
        <x:v>-5</x:v>
      </x:c>
      <x:c r="C418" s="12" t="n">
        <x:v>0.0046948802891430465</x:v>
      </x:c>
      <x:c r="D418" s="12" t="n">
        <x:v>-0.30157372700731105</x:v>
      </x:c>
      <x:c r="E418" s="12" t="n">
        <x:v>-0.23653331234652777</x:v>
      </x:c>
    </x:row>
    <x:row r="419" ht="18" customHeight="1">
      <x:c r="A419" s="13" t="n">
        <x:v>43209</x:v>
      </x:c>
      <x:c r="B419" s="12" t="n">
        <x:v>9</x:v>
      </x:c>
      <x:c r="C419" s="12" t="n">
        <x:v>0.012024491273144259</x:v>
      </x:c>
      <x:c r="D419" s="12" t="n">
        <x:v>-0.28572079785139237</x:v>
      </x:c>
      <x:c r="E419" s="12" t="n">
        <x:v>-0.21828839679699347</x:v>
      </x:c>
    </x:row>
    <x:row r="420" ht="18" customHeight="1">
      <x:c r="A420" s="13" t="n">
        <x:v>43210</x:v>
      </x:c>
      <x:c r="B420" s="12" t="n">
        <x:v>0</x:v>
      </x:c>
      <x:c r="C420" s="12" t="n">
        <x:v>-0.013466660173615443</x:v>
      </x:c>
      <x:c r="D420" s="12" t="n">
        <x:v>-0.2822264357298562</x:v>
      </x:c>
      <x:c r="E420" s="12" t="n">
        <x:v>-0.2178703277303439</x:v>
      </x:c>
    </x:row>
    <x:row r="421" ht="18" customHeight="1">
      <x:c r="A421" s="13" t="n">
        <x:v>43213</x:v>
      </x:c>
      <x:c r="B421" s="12" t="n">
        <x:v>3</x:v>
      </x:c>
      <x:c r="C421" s="12" t="n">
        <x:v>0.0014537717880077582</x:v>
      </x:c>
      <x:c r="D421" s="12" t="n">
        <x:v>-0.2767546311974483</x:v>
      </x:c>
      <x:c r="E421" s="12" t="n">
        <x:v>-0.21774065699998427</x:v>
      </x:c>
    </x:row>
    <x:row r="422" ht="18" customHeight="1">
      <x:c r="A422" s="13" t="n">
        <x:v>43214</x:v>
      </x:c>
      <x:c r="B422" s="12" t="n">
        <x:v>5</x:v>
      </x:c>
      <x:c r="C422" s="12" t="n">
        <x:v>0.020280532927162264</x:v>
      </x:c>
      <x:c r="D422" s="12" t="n">
        <x:v>-0.2492048760766688</x:v>
      </x:c>
      <x:c r="E422" s="12" t="n">
        <x:v>-0.2060531466346023</x:v>
      </x:c>
    </x:row>
    <x:row r="423" ht="18" customHeight="1">
      <x:c r="A423" s="13" t="n">
        <x:v>43215</x:v>
      </x:c>
      <x:c r="B423" s="12" t="n">
        <x:v>6</x:v>
      </x:c>
      <x:c r="C423" s="12" t="n">
        <x:v>-0.0038547319910832763</x:v>
      </x:c>
      <x:c r="D423" s="12" t="n">
        <x:v>-0.24819612555587015</x:v>
      </x:c>
      <x:c r="E423" s="12" t="n">
        <x:v>-0.21094320149050524</x:v>
      </x:c>
    </x:row>
    <x:row r="424" ht="18" customHeight="1">
      <x:c r="A424" s="13" t="n">
        <x:v>43216</x:v>
      </x:c>
      <x:c r="B424" s="12" t="n">
        <x:v>-4</x:v>
      </x:c>
      <x:c r="C424" s="12" t="n">
        <x:v>-0.01930585065145748</x:v>
      </x:c>
      <x:c r="D424" s="12" t="n">
        <x:v>-0.22722401244771415</x:v>
      </x:c>
      <x:c r="E424" s="12" t="n">
        <x:v>-0.20136673275255332</x:v>
      </x:c>
    </x:row>
    <x:row r="425" ht="18" customHeight="1">
      <x:c r="A425" s="13" t="n">
        <x:v>43217</x:v>
      </x:c>
      <x:c r="B425" s="12" t="n">
        <x:v>1</x:v>
      </x:c>
      <x:c r="C425" s="12" t="n">
        <x:v>0.0003680329656801829</x:v>
      </x:c>
      <x:c r="D425" s="12" t="n">
        <x:v>-0.22807102476003033</x:v>
      </x:c>
      <x:c r="E425" s="12" t="n">
        <x:v>-0.20282299969710257</x:v>
      </x:c>
    </x:row>
    <x:row r="426" ht="18" customHeight="1">
      <x:c r="A426" s="13" t="n">
        <x:v>43222</x:v>
      </x:c>
      <x:c r="B426" s="12" t="n">
        <x:v>-2</x:v>
      </x:c>
      <x:c r="C426" s="12" t="n">
        <x:v>0.0018003009068554776</x:v>
      </x:c>
      <x:c r="D426" s="12" t="n">
        <x:v>-0.22923792682404315</x:v>
      </x:c>
      <x:c r="E426" s="12" t="n">
        <x:v>-0.20371880166643852</x:v>
      </x:c>
    </x:row>
    <x:row r="427" ht="18" customHeight="1">
      <x:c r="A427" s="13" t="n">
        <x:v>43223</x:v>
      </x:c>
      <x:c r="B427" s="12" t="n">
        <x:v>5</x:v>
      </x:c>
      <x:c r="C427" s="12" t="n">
        <x:v>0.0077690940850433</x:v>
      </x:c>
      <x:c r="D427" s="12" t="n">
        <x:v>-0.21169436732155766</x:v>
      </x:c>
      <x:c r="E427" s="12" t="n">
        <x:v>-0.1972303929834224</x:v>
      </x:c>
    </x:row>
    <x:row r="428" ht="18" customHeight="1">
      <x:c r="A428" s="13" t="n">
        <x:v>43224</x:v>
      </x:c>
      <x:c r="B428" s="12" t="n">
        <x:v>-1</x:v>
      </x:c>
      <x:c r="C428" s="12" t="n">
        <x:v>-0.0048633756139366815</x:v>
      </x:c>
      <x:c r="D428" s="12" t="n">
        <x:v>-0.20786046904207017</x:v>
      </x:c>
      <x:c r="E428" s="12" t="n">
        <x:v>-0.20006490545369232</x:v>
      </x:c>
    </x:row>
    <x:row r="429" ht="18" customHeight="1">
      <x:c r="A429" s="13" t="n">
        <x:v>43227</x:v>
      </x:c>
      <x:c r="B429" s="12" t="n">
        <x:v>-3</x:v>
      </x:c>
      <x:c r="C429" s="12" t="n">
        <x:v>0.015663686671114112</x:v>
      </x:c>
      <x:c r="D429" s="12" t="n">
        <x:v>-0.2150493879992392</x:v>
      </x:c>
      <x:c r="E429" s="12" t="n">
        <x:v>-0.20178034847707466</x:v>
      </x:c>
    </x:row>
    <x:row r="430" ht="18" customHeight="1">
      <x:c r="A430" s="13" t="n">
        <x:v>43228</x:v>
      </x:c>
      <x:c r="B430" s="12" t="n">
        <x:v>0</x:v>
      </x:c>
      <x:c r="C430" s="12" t="n">
        <x:v>0.011536438632792785</x:v>
      </x:c>
      <x:c r="D430" s="12" t="n">
        <x:v>-0.21596050349949739</x:v>
      </x:c>
      <x:c r="E430" s="12" t="n">
        <x:v>-0.20096818209524134</x:v>
      </x:c>
    </x:row>
    <x:row r="431" ht="18" customHeight="1">
      <x:c r="A431" s="13" t="n">
        <x:v>43229</x:v>
      </x:c>
      <x:c r="B431" s="12" t="n">
        <x:v>-3</x:v>
      </x:c>
      <x:c r="C431" s="12" t="n">
        <x:v>-0.00182225445058165</x:v>
      </x:c>
      <x:c r="D431" s="12" t="n">
        <x:v>-0.21078271775297672</x:v>
      </x:c>
      <x:c r="E431" s="12" t="n">
        <x:v>-0.2131185089752169</x:v>
      </x:c>
    </x:row>
    <x:row r="432" ht="18" customHeight="1">
      <x:c r="A432" s="13" t="n">
        <x:v>43230</x:v>
      </x:c>
      <x:c r="B432" s="12" t="n">
        <x:v>-2</x:v>
      </x:c>
      <x:c r="C432" s="12" t="n">
        <x:v>0.00552279744136965</x:v>
      </x:c>
      <x:c r="D432" s="12" t="n">
        <x:v>-0.20996939269320097</x:v>
      </x:c>
      <x:c r="E432" s="12" t="n">
        <x:v>-0.21318826371821695</x:v>
      </x:c>
    </x:row>
    <x:row r="433" ht="18" customHeight="1">
      <x:c r="A433" s="13" t="n">
        <x:v>43231</x:v>
      </x:c>
      <x:c r="B433" s="12" t="n">
        <x:v>-1</x:v>
      </x:c>
      <x:c r="C433" s="12" t="n">
        <x:v>-0.005206932671784782</x:v>
      </x:c>
      <x:c r="D433" s="12" t="n">
        <x:v>-0.19954673246466934</x:v>
      </x:c>
      <x:c r="E433" s="12" t="n">
        <x:v>-0.21243911205997584</x:v>
      </x:c>
    </x:row>
    <x:row r="434" ht="18" customHeight="1">
      <x:c r="A434" s="13" t="n">
        <x:v>43234</x:v>
      </x:c>
      <x:c r="B434" s="12" t="n">
        <x:v>-3</x:v>
      </x:c>
      <x:c r="C434" s="12" t="n">
        <x:v>0.009368966893457287</x:v>
      </x:c>
      <x:c r="D434" s="12" t="n">
        <x:v>-0.20125841467994202</x:v>
      </x:c>
      <x:c r="E434" s="12" t="n">
        <x:v>-0.214260503552209</x:v>
      </x:c>
    </x:row>
    <x:row r="435" ht="18" customHeight="1">
      <x:c r="A435" s="13" t="n">
        <x:v>43235</x:v>
      </x:c>
      <x:c r="B435" s="12" t="n">
        <x:v>-1</x:v>
      </x:c>
      <x:c r="C435" s="12" t="n">
        <x:v>0.0037797725156862973</x:v>
      </x:c>
      <x:c r="D435" s="12" t="n">
        <x:v>-0.2036517453650368</x:v>
      </x:c>
      <x:c r="E435" s="12" t="n">
        <x:v>-0.2153099063398451</x:v>
      </x:c>
    </x:row>
    <x:row r="436" ht="18" customHeight="1">
      <x:c r="A436" s="13" t="n">
        <x:v>43236</x:v>
      </x:c>
      <x:c r="B436" s="12" t="n">
        <x:v>1</x:v>
      </x:c>
      <x:c r="C436" s="12" t="n">
        <x:v>-0.007996341211463335</x:v>
      </x:c>
      <x:c r="D436" s="12" t="n">
        <x:v>-0.21522865364784552</x:v>
      </x:c>
      <x:c r="E436" s="12" t="n">
        <x:v>-0.2153984815260568</x:v>
      </x:c>
    </x:row>
    <x:row r="437" ht="18" customHeight="1">
      <x:c r="A437" s="13" t="n">
        <x:v>43237</x:v>
      </x:c>
      <x:c r="B437" s="12" t="n">
        <x:v>-1</x:v>
      </x:c>
      <x:c r="C437" s="12" t="n">
        <x:v>-0.007424009895567731</x:v>
      </x:c>
      <x:c r="D437" s="12" t="n">
        <x:v>-0.22416204909636173</x:v>
      </x:c>
      <x:c r="E437" s="12" t="n">
        <x:v>-0.2157796606858665</x:v>
      </x:c>
    </x:row>
    <x:row r="438" ht="18" customHeight="1">
      <x:c r="A438" s="13" t="n">
        <x:v>43238</x:v>
      </x:c>
      <x:c r="B438" s="12" t="n">
        <x:v>5</x:v>
      </x:c>
      <x:c r="C438" s="12" t="n">
        <x:v>0.010045771461980648</x:v>
      </x:c>
      <x:c r="D438" s="12" t="n">
        <x:v>-0.15425156361411066</x:v>
      </x:c>
      <x:c r="E438" s="12" t="n">
        <x:v>-0.20981050635476575</x:v>
      </x:c>
    </x:row>
    <x:row r="439" ht="18" customHeight="1">
      <x:c r="A439" s="13" t="n">
        <x:v>43241</x:v>
      </x:c>
      <x:c r="B439" s="12" t="n">
        <x:v>-1</x:v>
      </x:c>
      <x:c r="C439" s="12" t="n">
        <x:v>0.004646657012846476</x:v>
      </x:c>
      <x:c r="D439" s="12" t="n">
        <x:v>-0.24575253841970032</x:v>
      </x:c>
      <x:c r="E439" s="12" t="n">
        <x:v>-0.20911391572670807</x:v>
      </x:c>
    </x:row>
    <x:row r="440" ht="18" customHeight="1">
      <x:c r="A440" s="13" t="n">
        <x:v>43242</x:v>
      </x:c>
      <x:c r="B440" s="12" t="n">
        <x:v>-1</x:v>
      </x:c>
      <x:c r="C440" s="12" t="n">
        <x:v>-0.0038413578119837126</x:v>
      </x:c>
      <x:c r="D440" s="12" t="n">
        <x:v>-0.22753166643147613</x:v>
      </x:c>
      <x:c r="E440" s="12" t="n">
        <x:v>-0.2103222967243318</x:v>
      </x:c>
    </x:row>
    <x:row r="441" ht="18" customHeight="1">
      <x:c r="A441" s="13" t="n">
        <x:v>43243</x:v>
      </x:c>
      <x:c r="B441" s="12" t="n">
        <x:v>9</x:v>
      </x:c>
      <x:c r="C441" s="12" t="n">
        <x:v>-0.013304407802632041</x:v>
      </x:c>
      <x:c r="D441" s="12" t="n">
        <x:v>-0.016990012369003375</x:v>
      </x:c>
      <x:c r="E441" s="12" t="n">
        <x:v>-0.22093984879665005</x:v>
      </x:c>
    </x:row>
    <x:row r="442" ht="18" customHeight="1">
      <x:c r="A442" s="13" t="n">
        <x:v>43244</x:v>
      </x:c>
      <x:c r="B442" s="12" t="n">
        <x:v>1</x:v>
      </x:c>
      <x:c r="C442" s="12" t="n">
        <x:v>-0.007124793028526381</x:v>
      </x:c>
      <x:c r="D442" s="12" t="n">
        <x:v>0.026807654870230586</x:v>
      </x:c>
      <x:c r="E442" s="12" t="n">
        <x:v>-0.22235267526827177</x:v>
      </x:c>
    </x:row>
    <x:row r="443" ht="18" customHeight="1">
      <x:c r="A443" s="13" t="n">
        <x:v>43245</x:v>
      </x:c>
      <x:c r="B443" s="12" t="n">
        <x:v>4</x:v>
      </x:c>
      <x:c r="C443" s="12" t="n">
        <x:v>-0.0028046589979882457</x:v>
      </x:c>
      <x:c r="D443" s="12" t="n">
        <x:v>-0.0030979020046989682</x:v>
      </x:c>
      <x:c r="E443" s="12" t="n">
        <x:v>-0.22332445299769682</x:v>
      </x:c>
    </x:row>
    <x:row r="444" ht="18" customHeight="1">
      <x:c r="A444" s="13" t="n">
        <x:v>43248</x:v>
      </x:c>
      <x:c r="B444" s="12" t="n">
        <x:v>0</x:v>
      </x:c>
      <x:c r="C444" s="12" t="n">
        <x:v>0.004382341779967459</x:v>
      </x:c>
      <x:c r="D444" s="12" t="n">
        <x:v>0.023389974112591465</x:v>
      </x:c>
      <x:c r="E444" s="12" t="n">
        <x:v>-0.22755749710414253</x:v>
      </x:c>
    </x:row>
    <x:row r="445" ht="18" customHeight="1">
      <x:c r="A445" s="13" t="n">
        <x:v>43249</x:v>
      </x:c>
      <x:c r="B445" s="12" t="n">
        <x:v>22</x:v>
      </x:c>
      <x:c r="C445" s="12" t="n">
        <x:v>-0.007660000520758945</x:v>
      </x:c>
      <x:c r="D445" s="12" t="n">
        <x:v>-0.07040634748444408</x:v>
      </x:c>
      <x:c r="E445" s="12" t="n">
        <x:v>-0.23344376172284895</x:v>
      </x:c>
    </x:row>
    <x:row r="446" ht="18" customHeight="1">
      <x:c r="A446" s="13" t="n">
        <x:v>43250</x:v>
      </x:c>
      <x:c r="B446" s="12" t="n">
        <x:v>-11</x:v>
      </x:c>
      <x:c r="C446" s="12" t="n">
        <x:v>-0.02142577272682183</x:v>
      </x:c>
      <x:c r="D446" s="12" t="n">
        <x:v>-0.006787402526636437</x:v>
      </x:c>
      <x:c r="E446" s="12" t="n">
        <x:v>-0.2079692983703524</x:v>
      </x:c>
    </x:row>
    <x:row r="447" ht="18" customHeight="1">
      <x:c r="A447" s="13" t="n">
        <x:v>43251</x:v>
      </x:c>
      <x:c r="B447" s="12" t="n">
        <x:v>-1</x:v>
      </x:c>
      <x:c r="C447" s="12" t="n">
        <x:v>0.02099629144703934</x:v>
      </x:c>
      <x:c r="D447" s="12" t="n">
        <x:v>0.015867969070158156</x:v>
      </x:c>
      <x:c r="E447" s="12" t="n">
        <x:v>-0.20388261433237098</x:v>
      </x:c>
    </x:row>
    <x:row r="448" ht="18" customHeight="1">
      <x:c r="A448" s="13" t="n">
        <x:v>43252</x:v>
      </x:c>
      <x:c r="B448" s="12" t="n">
        <x:v>-8</x:v>
      </x:c>
      <x:c r="C448" s="12" t="n">
        <x:v>-0.008394858995770414</x:v>
      </x:c>
      <x:c r="D448" s="12" t="n">
        <x:v>0.020151326889136977</x:v>
      </x:c>
      <x:c r="E448" s="12" t="n">
        <x:v>-0.19642459904351997</x:v>
      </x:c>
    </x:row>
    <x:row r="449" ht="18" customHeight="1">
      <x:c r="A449" s="13" t="n">
        <x:v>43255</x:v>
      </x:c>
      <x:c r="B449" s="12" t="n">
        <x:v>-6</x:v>
      </x:c>
      <x:c r="C449" s="12" t="n">
        <x:v>0.009762068524331617</x:v>
      </x:c>
      <x:c r="D449" s="12" t="n">
        <x:v>0.00011990964332742769</x:v>
      </x:c>
      <x:c r="E449" s="12" t="n">
        <x:v>-0.2001324285626921</x:v>
      </x:c>
    </x:row>
    <x:row r="450" ht="18" customHeight="1">
      <x:c r="A450" s="13" t="n">
        <x:v>43256</x:v>
      </x:c>
      <x:c r="B450" s="12" t="n">
        <x:v>1</x:v>
      </x:c>
      <x:c r="C450" s="12" t="n">
        <x:v>0.009862570534798203</x:v>
      </x:c>
      <x:c r="D450" s="12" t="n">
        <x:v>-0.02214015432839584</x:v>
      </x:c>
      <x:c r="E450" s="12" t="n">
        <x:v>-0.19859601993163192</x:v>
      </x:c>
    </x:row>
    <x:row r="451" ht="18" customHeight="1">
      <x:c r="A451" s="13" t="n">
        <x:v>43257</x:v>
      </x:c>
      <x:c r="B451" s="12" t="n">
        <x:v>-6</x:v>
      </x:c>
      <x:c r="C451" s="12" t="n">
        <x:v>-0.002073577401091168</x:v>
      </x:c>
      <x:c r="D451" s="12" t="n">
        <x:v>-0.006916392661032768</x:v>
      </x:c>
      <x:c r="E451" s="12" t="n">
        <x:v>-0.19579032495628312</x:v>
      </x:c>
    </x:row>
    <x:row r="452" ht="18" customHeight="1">
      <x:c r="A452" s="13" t="n">
        <x:v>43258</x:v>
      </x:c>
      <x:c r="B452" s="12" t="n">
        <x:v>0</x:v>
      </x:c>
      <x:c r="C452" s="12" t="n">
        <x:v>-0.0016531039804767416</x:v>
      </x:c>
      <x:c r="D452" s="12" t="n">
        <x:v>-0.004970287242144534</x:v>
      </x:c>
      <x:c r="E452" s="12" t="n">
        <x:v>-0.19574110520877278</x:v>
      </x:c>
    </x:row>
    <x:row r="453" ht="18" customHeight="1">
      <x:c r="A453" s="13" t="n">
        <x:v>43259</x:v>
      </x:c>
      <x:c r="B453" s="12" t="n">
        <x:v>1</x:v>
      </x:c>
      <x:c r="C453" s="12" t="n">
        <x:v>-0.013506816165262114</x:v>
      </x:c>
      <x:c r="D453" s="12" t="n">
        <x:v>0.014608795032020365</x:v>
      </x:c>
      <x:c r="E453" s="12" t="n">
        <x:v>-0.19590192706509102</x:v>
      </x:c>
    </x:row>
    <x:row r="454" ht="18" customHeight="1">
      <x:c r="A454" s="13" t="n">
        <x:v>43262</x:v>
      </x:c>
      <x:c r="B454" s="12" t="n">
        <x:v>-6</x:v>
      </x:c>
      <x:c r="C454" s="12" t="n">
        <x:v>0.00009680409323518328</x:v>
      </x:c>
      <x:c r="D454" s="12" t="n">
        <x:v>0.018031520628363173</x:v>
      </x:c>
      <x:c r="E454" s="12" t="n">
        <x:v>-0.1952974923895162</x:v>
      </x:c>
    </x:row>
    <x:row r="455" ht="18" customHeight="1">
      <x:c r="A455" s="13" t="n">
        <x:v>43263</x:v>
      </x:c>
      <x:c r="B455" s="12" t="n">
        <x:v>-1</x:v>
      </x:c>
      <x:c r="C455" s="12" t="n">
        <x:v>0.012088496316527605</x:v>
      </x:c>
      <x:c r="D455" s="12" t="n">
        <x:v>0.014097239608134695</x:v>
      </x:c>
      <x:c r="E455" s="12" t="n">
        <x:v>-0.19776089956528226</x:v>
      </x:c>
    </x:row>
    <x:row r="456" ht="18" customHeight="1">
      <x:c r="A456" s="13" t="n">
        <x:v>43264</x:v>
      </x:c>
      <x:c r="B456" s="12" t="n">
        <x:v>-5</x:v>
      </x:c>
      <x:c r="C456" s="12" t="n">
        <x:v>-0.00988000026904556</x:v>
      </x:c>
      <x:c r="D456" s="12" t="n">
        <x:v>0.0342000381625153</x:v>
      </x:c>
      <x:c r="E456" s="12" t="n">
        <x:v>-0.19260114808474138</x:v>
      </x:c>
    </x:row>
    <x:row r="457" ht="18" customHeight="1">
      <x:c r="A457" s="13" t="n">
        <x:v>43265</x:v>
      </x:c>
      <x:c r="B457" s="12" t="n">
        <x:v>-2</x:v>
      </x:c>
      <x:c r="C457" s="12" t="n">
        <x:v>-0.003960382046998095</x:v>
      </x:c>
      <x:c r="D457" s="12" t="n">
        <x:v>0.03184034365799687</x:v>
      </x:c>
      <x:c r="E457" s="12" t="n">
        <x:v>-0.1918101010264417</x:v>
      </x:c>
    </x:row>
    <x:row r="458" ht="18" customHeight="1">
      <x:c r="A458" s="13" t="n">
        <x:v>43266</x:v>
      </x:c>
      <x:c r="B458" s="12" t="n">
        <x:v>2</x:v>
      </x:c>
      <x:c r="C458" s="12" t="n">
        <x:v>-0.0052962078024381964</x:v>
      </x:c>
      <x:c r="D458" s="12" t="n">
        <x:v>0.036586835005582685</x:v>
      </x:c>
      <x:c r="E458" s="12" t="n">
        <x:v>-0.19314163573980644</x:v>
      </x:c>
    </x:row>
    <x:row r="459" ht="18" customHeight="1">
      <x:c r="A459" s="13" t="n">
        <x:v>43270</x:v>
      </x:c>
      <x:c r="B459" s="12" t="n">
        <x:v>6</x:v>
      </x:c>
      <x:c r="C459" s="12" t="n">
        <x:v>-0.035888669688640594</x:v>
      </x:c>
      <x:c r="D459" s="12" t="n">
        <x:v>-0.02171782564576037</x:v>
      </x:c>
      <x:c r="E459" s="12" t="n">
        <x:v>-0.2068932409537809</x:v>
      </x:c>
    </x:row>
    <x:row r="460" ht="18" customHeight="1">
      <x:c r="A460" s="13" t="n">
        <x:v>43271</x:v>
      </x:c>
      <x:c r="B460" s="12" t="n">
        <x:v>-6</x:v>
      </x:c>
      <x:c r="C460" s="12" t="n">
        <x:v>0.00394870798864066</x:v>
      </x:c>
      <x:c r="D460" s="12" t="n">
        <x:v>-0.031211152785561143</x:v>
      </x:c>
      <x:c r="E460" s="12" t="n">
        <x:v>-0.20972856066382128</x:v>
      </x:c>
    </x:row>
    <x:row r="461" ht="18" customHeight="1">
      <x:c r="A461" s="13" t="n">
        <x:v>43272</x:v>
      </x:c>
      <x:c r="B461" s="12" t="n">
        <x:v>5</x:v>
      </x:c>
      <x:c r="C461" s="12" t="n">
        <x:v>-0.011753372382572898</x:v>
      </x:c>
      <x:c r="D461" s="12" t="n">
        <x:v>-0.04854789866810964</x:v>
      </x:c>
      <x:c r="E461" s="12" t="n">
        <x:v>-0.21571413461461247</x:v>
      </x:c>
    </x:row>
    <x:row r="462" ht="18" customHeight="1">
      <x:c r="A462" s="13" t="n">
        <x:v>43273</x:v>
      </x:c>
      <x:c r="B462" s="12" t="n">
        <x:v>0</x:v>
      </x:c>
      <x:c r="C462" s="12" t="n">
        <x:v>0.00442652447549438</x:v>
      </x:c>
      <x:c r="D462" s="12" t="n">
        <x:v>-0.05754472710575585</x:v>
      </x:c>
      <x:c r="E462" s="12" t="n">
        <x:v>-0.21482647117177472</x:v>
      </x:c>
    </x:row>
    <x:row r="463" ht="18" customHeight="1">
      <x:c r="A463" s="13" t="n">
        <x:v>43276</x:v>
      </x:c>
      <x:c r="B463" s="12" t="n">
        <x:v>8</x:v>
      </x:c>
      <x:c r="C463" s="12" t="n">
        <x:v>-0.01350957014091455</x:v>
      </x:c>
      <x:c r="D463" s="12" t="n">
        <x:v>-0.0788103267166132</x:v>
      </x:c>
      <x:c r="E463" s="12" t="n">
        <x:v>-0.221735718616363</x:v>
      </x:c>
    </x:row>
    <x:row r="464" ht="18" customHeight="1">
      <x:c r="A464" s="13" t="n">
        <x:v>43277</x:v>
      </x:c>
      <x:c r="B464" s="12" t="n">
        <x:v>1</x:v>
      </x:c>
      <x:c r="C464" s="12" t="n">
        <x:v>-0.008282112309727857</x:v>
      </x:c>
      <x:c r="D464" s="12" t="n">
        <x:v>-0.08138280619317961</x:v>
      </x:c>
      <x:c r="E464" s="12" t="n">
        <x:v>-0.22164566082006548</x:v>
      </x:c>
    </x:row>
    <x:row r="465" ht="18" customHeight="1">
      <x:c r="A465" s="13" t="n">
        <x:v>43278</x:v>
      </x:c>
      <x:c r="B465" s="12" t="n">
        <x:v>8</x:v>
      </x:c>
      <x:c r="C465" s="12" t="n">
        <x:v>-0.02055730851614087</x:v>
      </x:c>
      <x:c r="D465" s="12" t="n">
        <x:v>-0.09903441577515498</x:v>
      </x:c>
      <x:c r="E465" s="12" t="n">
        <x:v>-0.23032858475200993</x:v>
      </x:c>
    </x:row>
    <x:row r="466" ht="18" customHeight="1">
      <x:c r="A466" s="13" t="n">
        <x:v>43279</x:v>
      </x:c>
      <x:c r="B466" s="12" t="n">
        <x:v>8</x:v>
      </x:c>
      <x:c r="C466" s="12" t="n">
        <x:v>-0.0103844323604346</x:v>
      </x:c>
      <x:c r="D466" s="12" t="n">
        <x:v>-0.09010657116294654</x:v>
      </x:c>
      <x:c r="E466" s="12" t="n">
        <x:v>-0.2349860036112699</x:v>
      </x:c>
    </x:row>
    <x:row r="467" ht="18" customHeight="1">
      <x:c r="A467" s="13" t="n">
        <x:v>43280</x:v>
      </x:c>
      <x:c r="B467" s="12" t="n">
        <x:v>-3</x:v>
      </x:c>
      <x:c r="C467" s="12" t="n">
        <x:v>0.025225614411043255</x:v>
      </x:c>
      <x:c r="D467" s="12" t="n">
        <x:v>-0.10806577171515956</x:v>
      </x:c>
      <x:c r="E467" s="12" t="n">
        <x:v>-0.23701056614630545</x:v>
      </x:c>
    </x:row>
    <x:row r="468" ht="18" customHeight="1">
      <x:c r="A468" s="13" t="n">
        <x:v>43283</x:v>
      </x:c>
      <x:c r="B468" s="12" t="n">
        <x:v>7</x:v>
      </x:c>
      <x:c r="C468" s="12" t="n">
        <x:v>-0.029781495634955715</x:v>
      </x:c>
      <x:c r="D468" s="12" t="n">
        <x:v>-0.15576051661224904</x:v>
      </x:c>
      <x:c r="E468" s="12" t="n">
        <x:v>-0.2439240053745861</x:v>
      </x:c>
    </x:row>
    <x:row r="469" ht="18" customHeight="1">
      <x:c r="A469" s="13" t="n">
        <x:v>43284</x:v>
      </x:c>
      <x:c r="B469" s="12" t="n">
        <x:v>-1</x:v>
      </x:c>
      <x:c r="C469" s="12" t="n">
        <x:v>0.0003861677932213714</x:v>
      </x:c>
      <x:c r="D469" s="12" t="n">
        <x:v>-0.15079082883539638</x:v>
      </x:c>
      <x:c r="E469" s="12" t="n">
        <x:v>-0.24378879351003271</x:v>
      </x:c>
    </x:row>
    <x:row r="470" ht="18" customHeight="1">
      <x:c r="A470" s="13" t="n">
        <x:v>43285</x:v>
      </x:c>
      <x:c r="B470" s="12" t="n">
        <x:v>0</x:v>
      </x:c>
      <x:c r="C470" s="12" t="n">
        <x:v>-0.013445534255077423</x:v>
      </x:c>
      <x:c r="D470" s="12" t="n">
        <x:v>-0.15975434021705376</x:v>
      </x:c>
      <x:c r="E470" s="12" t="n">
        <x:v>-0.25178964082084354</x:v>
      </x:c>
    </x:row>
    <x:row r="471" ht="18" customHeight="1">
      <x:c r="A471" s="13" t="n">
        <x:v>43286</x:v>
      </x:c>
      <x:c r="B471" s="12" t="n">
        <x:v>-3</x:v>
      </x:c>
      <x:c r="C471" s="12" t="n">
        <x:v>-0.0063551694697030125</x:v>
      </x:c>
      <x:c r="D471" s="12" t="n">
        <x:v>-0.1566830990454309</x:v>
      </x:c>
      <x:c r="E471" s="12" t="n">
        <x:v>-0.25022938989481724</x:v>
      </x:c>
    </x:row>
    <x:row r="472" ht="18" customHeight="1">
      <x:c r="A472" s="13" t="n">
        <x:v>43287</x:v>
      </x:c>
      <x:c r="B472" s="12" t="n">
        <x:v>0</x:v>
      </x:c>
      <x:c r="C472" s="12" t="n">
        <x:v>0.006763975114381641</x:v>
      </x:c>
      <x:c r="D472" s="12" t="n">
        <x:v>-0.16336321726356876</x:v>
      </x:c>
      <x:c r="E472" s="12" t="n">
        <x:v>-0.24972439049892442</x:v>
      </x:c>
    </x:row>
    <x:row r="473" ht="18" customHeight="1">
      <x:c r="A473" s="13" t="n">
        <x:v>43290</x:v>
      </x:c>
      <x:c r="B473" s="12" t="n">
        <x:v>-9</x:v>
      </x:c>
      <x:c r="C473" s="12" t="n">
        <x:v>0.027568210351744886</x:v>
      </x:c>
      <x:c r="D473" s="12" t="n">
        <x:v>-0.21446362989803866</x:v>
      </x:c>
      <x:c r="E473" s="12" t="n">
        <x:v>-0.26132628179182105</x:v>
      </x:c>
    </x:row>
    <x:row r="474" ht="18" customHeight="1">
      <x:c r="A474" s="13" t="n">
        <x:v>43291</x:v>
      </x:c>
      <x:c r="B474" s="12" t="n">
        <x:v>-6</x:v>
      </x:c>
      <x:c r="C474" s="12" t="n">
        <x:v>0.002405706896671865</x:v>
      </x:c>
      <x:c r="D474" s="12" t="n">
        <x:v>-0.2176094013238948</x:v>
      </x:c>
      <x:c r="E474" s="12" t="n">
        <x:v>-0.2615829011002606</x:v>
      </x:c>
    </x:row>
    <x:row r="475" ht="18" customHeight="1">
      <x:c r="A475" s="13" t="n">
        <x:v>43292</x:v>
      </x:c>
      <x:c r="B475" s="12" t="n">
        <x:v>7</x:v>
      </x:c>
      <x:c r="C475" s="12" t="n">
        <x:v>-0.017450742658102533</x:v>
      </x:c>
      <x:c r="D475" s="12" t="n">
        <x:v>-0.20330493287315135</x:v>
      </x:c>
      <x:c r="E475" s="12" t="n">
        <x:v>-0.2684043058647567</x:v>
      </x:c>
    </x:row>
    <x:row r="476" ht="18" customHeight="1">
      <x:c r="A476" s="13" t="n">
        <x:v>43293</x:v>
      </x:c>
      <x:c r="B476" s="12" t="n">
        <x:v>-5</x:v>
      </x:c>
      <x:c r="C476" s="12" t="n">
        <x:v>0.021348066686149133</x:v>
      </x:c>
      <x:c r="D476" s="12" t="n">
        <x:v>-0.22154839225041958</x:v>
      </x:c>
      <x:c r="E476" s="12" t="n">
        <x:v>-0.2732085438620355</x:v>
      </x:c>
    </x:row>
    <x:row r="477" ht="18" customHeight="1">
      <x:c r="A477" s="13" t="n">
        <x:v>43294</x:v>
      </x:c>
      <x:c r="B477" s="12" t="n">
        <x:v>1</x:v>
      </x:c>
      <x:c r="C477" s="12" t="n">
        <x:v>0.0033364597619537804</x:v>
      </x:c>
      <x:c r="D477" s="12" t="n">
        <x:v>-0.24038584238190397</x:v>
      </x:c>
      <x:c r="E477" s="12" t="n">
        <x:v>-0.27286072314848436</x:v>
      </x:c>
    </x:row>
    <x:row r="478" ht="18" customHeight="1">
      <x:c r="A478" s="13" t="n">
        <x:v>43297</x:v>
      </x:c>
      <x:c r="B478" s="12" t="n">
        <x:v>-3</x:v>
      </x:c>
      <x:c r="C478" s="12" t="n">
        <x:v>-0.005916589790701419</x:v>
      </x:c>
      <x:c r="D478" s="12" t="n">
        <x:v>-0.24311912018404816</x:v>
      </x:c>
      <x:c r="E478" s="12" t="n">
        <x:v>-0.27334740427343507</x:v>
      </x:c>
    </x:row>
    <x:row r="479" ht="18" customHeight="1">
      <x:c r="A479" s="13" t="n">
        <x:v>43298</x:v>
      </x:c>
      <x:c r="B479" s="12" t="n">
        <x:v>-1</x:v>
      </x:c>
      <x:c r="C479" s="12" t="n">
        <x:v>-0.0065618152765978205</x:v>
      </x:c>
      <x:c r="D479" s="12" t="n">
        <x:v>-0.26388735935558616</x:v>
      </x:c>
      <x:c r="E479" s="12" t="n">
        <x:v>-0.273013936562156</x:v>
      </x:c>
    </x:row>
    <x:row r="480" ht="18" customHeight="1">
      <x:c r="A480" s="13" t="n">
        <x:v>43299</x:v>
      </x:c>
      <x:c r="B480" s="12" t="n">
        <x:v>-2</x:v>
      </x:c>
      <x:c r="C480" s="12" t="n">
        <x:v>-0.005247908333775128</x:v>
      </x:c>
      <x:c r="D480" s="12" t="n">
        <x:v>-0.28030436203692793</x:v>
      </x:c>
      <x:c r="E480" s="12" t="n">
        <x:v>-0.2735461175913487</x:v>
      </x:c>
    </x:row>
    <x:row r="481" ht="18" customHeight="1">
      <x:c r="A481" s="13" t="n">
        <x:v>43300</x:v>
      </x:c>
      <x:c r="B481" s="12" t="n">
        <x:v>3</x:v>
      </x:c>
      <x:c r="C481" s="12" t="n">
        <x:v>-0.000868759592004376</x:v>
      </x:c>
      <x:c r="D481" s="12" t="n">
        <x:v>-0.2741370457495236</x:v>
      </x:c>
      <x:c r="E481" s="12" t="n">
        <x:v>-0.2741168612368248</x:v>
      </x:c>
    </x:row>
    <x:row r="482" ht="18" customHeight="1">
      <x:c r="A482" s="13" t="n">
        <x:v>43301</x:v>
      </x:c>
      <x:c r="B482" s="12" t="n">
        <x:v>-4</x:v>
      </x:c>
      <x:c r="C482" s="12" t="n">
        <x:v>0.018653507624934004</x:v>
      </x:c>
      <x:c r="D482" s="12" t="n">
        <x:v>-0.3259623925116918</x:v>
      </x:c>
      <x:c r="E482" s="12" t="n">
        <x:v>-0.27756400199737435</x:v>
      </x:c>
    </x:row>
    <x:row r="483" ht="18" customHeight="1">
      <x:c r="A483" s="13" t="n">
        <x:v>43304</x:v>
      </x:c>
      <x:c r="B483" s="12" t="n">
        <x:v>-5</x:v>
      </x:c>
      <x:c r="C483" s="12" t="n">
        <x:v>0.009362702980465857</x:v>
      </x:c>
      <x:c r="D483" s="12" t="n">
        <x:v>-0.33761837020882984</x:v>
      </x:c>
      <x:c r="E483" s="12" t="n">
        <x:v>-0.28006229820600753</x:v>
      </x:c>
    </x:row>
    <x:row r="484" ht="18" customHeight="1">
      <x:c r="A484" s="13" t="n">
        <x:v>43305</x:v>
      </x:c>
      <x:c r="B484" s="12" t="n">
        <x:v>-3</x:v>
      </x:c>
      <x:c r="C484" s="12" t="n">
        <x:v>0.015745874780628118</x:v>
      </x:c>
      <x:c r="D484" s="12" t="n">
        <x:v>-0.3468278437971047</x:v>
      </x:c>
      <x:c r="E484" s="12" t="n">
        <x:v>-0.2828548476225295</x:v>
      </x:c>
    </x:row>
    <x:row r="485" ht="18" customHeight="1">
      <x:c r="A485" s="13" t="n">
        <x:v>43306</x:v>
      </x:c>
      <x:c r="B485" s="12" t="n">
        <x:v>1</x:v>
      </x:c>
      <x:c r="C485" s="12" t="n">
        <x:v>-0.001104413338850653</x:v>
      </x:c>
      <x:c r="D485" s="12" t="n">
        <x:v>-0.38460252469909173</x:v>
      </x:c>
      <x:c r="E485" s="12" t="n">
        <x:v>-0.2841801174891895</x:v>
      </x:c>
    </x:row>
    <x:row r="486" ht="18" customHeight="1">
      <x:c r="A486" s="13" t="n">
        <x:v>43307</x:v>
      </x:c>
      <x:c r="B486" s="12" t="n">
        <x:v>-6</x:v>
      </x:c>
      <x:c r="C486" s="12" t="n">
        <x:v>-0.011669126743320535</x:v>
      </x:c>
      <x:c r="D486" s="12" t="n">
        <x:v>-0.36388279901245374</x:v>
      </x:c>
      <x:c r="E486" s="12" t="n">
        <x:v>-0.27615950051103927</x:v>
      </x:c>
    </x:row>
    <x:row r="487" ht="18" customHeight="1">
      <x:c r="A487" s="13" t="n">
        <x:v>43308</x:v>
      </x:c>
      <x:c r="B487" s="12" t="n">
        <x:v>0</x:v>
      </x:c>
      <x:c r="C487" s="12" t="n">
        <x:v>-0.004256119360411777</x:v>
      </x:c>
      <x:c r="D487" s="12" t="n">
        <x:v>-0.38910212031309155</x:v>
      </x:c>
      <x:c r="E487" s="12" t="n">
        <x:v>-0.27518179286132555</x:v>
      </x:c>
    </x:row>
    <x:row r="488" ht="18" customHeight="1">
      <x:c r="A488" s="13" t="n">
        <x:v>43311</x:v>
      </x:c>
      <x:c r="B488" s="12" t="n">
        <x:v>1</x:v>
      </x:c>
      <x:c r="C488" s="12" t="n">
        <x:v>-0.0017473661043363438</x:v>
      </x:c>
      <x:c r="D488" s="12" t="n">
        <x:v>-0.3897998514929292</x:v>
      </x:c>
      <x:c r="E488" s="12" t="n">
        <x:v>-0.2792253957653145</x:v>
      </x:c>
    </x:row>
    <x:row r="489" ht="18" customHeight="1">
      <x:c r="A489" s="13" t="n">
        <x:v>43312</x:v>
      </x:c>
      <x:c r="B489" s="12" t="n">
        <x:v>3</x:v>
      </x:c>
      <x:c r="C489" s="12" t="n">
        <x:v>0.0007329722151080376</x:v>
      </x:c>
      <x:c r="D489" s="12" t="n">
        <x:v>-0.3863150317091126</x:v>
      </x:c>
      <x:c r="E489" s="12" t="n">
        <x:v>-0.278858406191752</x:v>
      </x:c>
    </x:row>
    <x:row r="490" ht="18" customHeight="1">
      <x:c r="A490" s="13" t="n">
        <x:v>43313</x:v>
      </x:c>
      <x:c r="B490" s="12" t="n">
        <x:v>-3</x:v>
      </x:c>
      <x:c r="C490" s="12" t="n">
        <x:v>-0.020178185264417878</x:v>
      </x:c>
      <x:c r="D490" s="12" t="n">
        <x:v>-0.38168877322887795</x:v>
      </x:c>
      <x:c r="E490" s="12" t="n">
        <x:v>-0.26799176514987066</x:v>
      </x:c>
    </x:row>
    <x:row r="491" ht="18" customHeight="1">
      <x:c r="A491" s="13" t="n">
        <x:v>43314</x:v>
      </x:c>
      <x:c r="B491" s="12" t="n">
        <x:v>0</x:v>
      </x:c>
      <x:c r="C491" s="12" t="n">
        <x:v>-0.022419953564654645</x:v>
      </x:c>
      <x:c r="D491" s="12" t="n">
        <x:v>-0.375595750783439</x:v>
      </x:c>
      <x:c r="E491" s="12" t="n">
        <x:v>-0.26467039996791</x:v>
      </x:c>
    </x:row>
    <x:row r="492" ht="18" customHeight="1">
      <x:c r="A492" s="13" t="n">
        <x:v>43315</x:v>
      </x:c>
      <x:c r="B492" s="12" t="n">
        <x:v>0</x:v>
      </x:c>
      <x:c r="C492" s="12" t="n">
        <x:v>-0.01665368630174887</x:v>
      </x:c>
      <x:c r="D492" s="12" t="n">
        <x:v>-0.3671420132575398</x:v>
      </x:c>
      <x:c r="E492" s="12" t="n">
        <x:v>-0.26260738604852596</x:v>
      </x:c>
    </x:row>
    <x:row r="493" ht="18" customHeight="1">
      <x:c r="A493" s="13" t="n">
        <x:v>43318</x:v>
      </x:c>
      <x:c r="B493" s="12" t="n">
        <x:v>0</x:v>
      </x:c>
      <x:c r="C493" s="12" t="n">
        <x:v>-0.012752920340904368</x:v>
      </x:c>
      <x:c r="D493" s="12" t="n">
        <x:v>-0.37021000190895376</x:v>
      </x:c>
      <x:c r="E493" s="12" t="n">
        <x:v>-0.2616637285974968</x:v>
      </x:c>
    </x:row>
    <x:row r="494" ht="18" customHeight="1">
      <x:c r="A494" s="13" t="n">
        <x:v>43319</x:v>
      </x:c>
      <x:c r="B494" s="12" t="n">
        <x:v>-8</x:v>
      </x:c>
      <x:c r="C494" s="12" t="n">
        <x:v>0.028786887488765636</x:v>
      </x:c>
      <x:c r="D494" s="12" t="n">
        <x:v>-0.4037544641722964</x:v>
      </x:c>
      <x:c r="E494" s="12" t="n">
        <x:v>-0.277701266746935</x:v>
      </x:c>
    </x:row>
    <x:row r="495" ht="18" customHeight="1">
      <x:c r="A495" s="13" t="n">
        <x:v>43320</x:v>
      </x:c>
      <x:c r="B495" s="12" t="n">
        <x:v>2</x:v>
      </x:c>
      <x:c r="C495" s="12" t="n">
        <x:v>-0.016268182662861997</x:v>
      </x:c>
      <x:c r="D495" s="12" t="n">
        <x:v>-0.40522805748223517</x:v>
      </x:c>
      <x:c r="E495" s="12" t="n">
        <x:v>-0.2784375427946883</x:v>
      </x:c>
    </x:row>
    <x:row r="496" ht="18" customHeight="1">
      <x:c r="A496" s="13" t="n">
        <x:v>43321</x:v>
      </x:c>
      <x:c r="B496" s="12" t="n">
        <x:v>1</x:v>
      </x:c>
      <x:c r="C496" s="12" t="n">
        <x:v>0.02473959267847368</x:v>
      </x:c>
      <x:c r="D496" s="12" t="n">
        <x:v>-0.38535440243110763</x:v>
      </x:c>
      <x:c r="E496" s="12" t="n">
        <x:v>-0.27345025757219094</x:v>
      </x:c>
    </x:row>
    <x:row r="497" ht="18" customHeight="1">
      <x:c r="A497" s="13" t="n">
        <x:v>43322</x:v>
      </x:c>
      <x:c r="B497" s="12" t="n">
        <x:v>12</x:v>
      </x:c>
      <x:c r="C497" s="12" t="n">
        <x:v>0.0022019108237307785</x:v>
      </x:c>
      <x:c r="D497" s="12" t="n">
        <x:v>-0.35372738048486674</x:v>
      </x:c>
      <x:c r="E497" s="12" t="n">
        <x:v>-0.2697835470414844</x:v>
      </x:c>
    </x:row>
    <x:row r="498" ht="18" customHeight="1">
      <x:c r="A498" s="13" t="n">
        <x:v>43325</x:v>
      </x:c>
      <x:c r="B498" s="12" t="n">
        <x:v>2</x:v>
      </x:c>
      <x:c r="C498" s="12" t="n">
        <x:v>-0.004319128317775212</x:v>
      </x:c>
      <x:c r="D498" s="12" t="n">
        <x:v>-0.3534516787955449</x:v>
      </x:c>
      <x:c r="E498" s="12" t="n">
        <x:v>-0.27097670120553163</x:v>
      </x:c>
    </x:row>
    <x:row r="499" ht="18" customHeight="1">
      <x:c r="A499" s="13" t="n">
        <x:v>43326</x:v>
      </x:c>
      <x:c r="B499" s="12" t="n">
        <x:v>-4</x:v>
      </x:c>
      <x:c r="C499" s="12" t="n">
        <x:v>-0.005154450445881381</x:v>
      </x:c>
      <x:c r="D499" s="12" t="n">
        <x:v>-0.3486581130213013</x:v>
      </x:c>
      <x:c r="E499" s="12" t="n">
        <x:v>-0.26900398267794834</x:v>
      </x:c>
    </x:row>
    <x:row r="500" ht="18" customHeight="1">
      <x:c r="A500" s="13" t="n">
        <x:v>43327</x:v>
      </x:c>
      <x:c r="B500" s="12" t="n">
        <x:v>7</x:v>
      </x:c>
      <x:c r="C500" s="12" t="n">
        <x:v>-0.024288977832754376</x:v>
      </x:c>
      <x:c r="D500" s="12" t="n">
        <x:v>-0.3707420057942765</x:v>
      </x:c>
      <x:c r="E500" s="12" t="n">
        <x:v>-0.27697627646431516</x:v>
      </x:c>
    </x:row>
    <x:row r="501" ht="18" customHeight="1">
      <x:c r="A501" s="13" t="n">
        <x:v>43328</x:v>
      </x:c>
      <x:c r="B501" s="12" t="n">
        <x:v>-6</x:v>
      </x:c>
      <x:c r="C501" s="12" t="n">
        <x:v>-0.0046427509349338284</x:v>
      </x:c>
      <x:c r="D501" s="12" t="n">
        <x:v>-0.3828369726118708</x:v>
      </x:c>
      <x:c r="E501" s="12" t="n">
        <x:v>-0.27288788886417825</x:v>
      </x:c>
    </x:row>
    <x:row r="502" ht="18" customHeight="1">
      <x:c r="A502" s="13" t="n">
        <x:v>43329</x:v>
      </x:c>
      <x:c r="B502" s="12" t="n">
        <x:v>0</x:v>
      </x:c>
      <x:c r="C502" s="12" t="n">
        <x:v>-0.014480820124350875</x:v>
      </x:c>
      <x:c r="D502" s="12" t="n">
        <x:v>-0.3802597182228026</x:v>
      </x:c>
      <x:c r="E502" s="12" t="n">
        <x:v>-0.27206894638732176</x:v>
      </x:c>
    </x:row>
    <x:row r="503" ht="18" customHeight="1">
      <x:c r="A503" s="13" t="n">
        <x:v>43332</x:v>
      </x:c>
      <x:c r="B503" s="12" t="n">
        <x:v>3</x:v>
      </x:c>
      <x:c r="C503" s="12" t="n">
        <x:v>0.01158416995345613</x:v>
      </x:c>
      <x:c r="D503" s="12" t="n">
        <x:v>-0.36722822081773954</x:v>
      </x:c>
      <x:c r="E503" s="12" t="n">
        <x:v>-0.26932228557559473</x:v>
      </x:c>
    </x:row>
    <x:row r="504" ht="18" customHeight="1">
      <x:c r="A504" s="13" t="n">
        <x:v>43333</x:v>
      </x:c>
      <x:c r="B504" s="12" t="n">
        <x:v>-4</x:v>
      </x:c>
      <x:c r="C504" s="12" t="n">
        <x:v>0.018016869678191053</x:v>
      </x:c>
      <x:c r="D504" s="12" t="n">
        <x:v>-0.3656729652358314</x:v>
      </x:c>
      <x:c r="E504" s="12" t="n">
        <x:v>-0.27249616758388984</x:v>
      </x:c>
    </x:row>
    <x:row r="505" ht="18" customHeight="1">
      <x:c r="A505" s="13" t="n">
        <x:v>43334</x:v>
      </x:c>
      <x:c r="B505" s="12" t="n">
        <x:v>0</x:v>
      </x:c>
      <x:c r="C505" s="12" t="n">
        <x:v>-0.005635438427250307</x:v>
      </x:c>
      <x:c r="D505" s="12" t="n">
        <x:v>-0.36492507942674285</x:v>
      </x:c>
      <x:c r="E505" s="12" t="n">
        <x:v>-0.27798903705398237</x:v>
      </x:c>
    </x:row>
    <x:row r="506" ht="18" customHeight="1">
      <x:c r="A506" s="13" t="n">
        <x:v>43335</x:v>
      </x:c>
      <x:c r="B506" s="12" t="n">
        <x:v>-1</x:v>
      </x:c>
      <x:c r="C506" s="12" t="n">
        <x:v>0.003642501329903129</x:v>
      </x:c>
      <x:c r="D506" s="12" t="n">
        <x:v>-0.36660459246747634</x:v>
      </x:c>
      <x:c r="E506" s="12" t="n">
        <x:v>-0.27785212632561596</x:v>
      </x:c>
    </x:row>
    <x:row r="507" ht="18" customHeight="1">
      <x:c r="A507" s="13" t="n">
        <x:v>43336</x:v>
      </x:c>
      <x:c r="B507" s="12" t="n">
        <x:v>-1</x:v>
      </x:c>
      <x:c r="C507" s="12" t="n">
        <x:v>0.0015978068336168277</x:v>
      </x:c>
      <x:c r="D507" s="12" t="n">
        <x:v>-0.3679611370044353</x:v>
      </x:c>
      <x:c r="E507" s="12" t="n">
        <x:v>-0.27046884164324947</x:v>
      </x:c>
    </x:row>
    <x:row r="508" ht="18" customHeight="1">
      <x:c r="A508" s="13" t="n">
        <x:v>43339</x:v>
      </x:c>
      <x:c r="B508" s="12" t="n">
        <x:v>-3</x:v>
      </x:c>
      <x:c r="C508" s="12" t="n">
        <x:v>0.024136616700972842</x:v>
      </x:c>
      <x:c r="D508" s="12" t="n">
        <x:v>-0.4056462972835472</x:v>
      </x:c>
      <x:c r="E508" s="12" t="n">
        <x:v>-0.26551288658152916</x:v>
      </x:c>
    </x:row>
    <x:row r="509" ht="18" customHeight="1">
      <x:c r="A509" s="13" t="n">
        <x:v>43340</x:v>
      </x:c>
      <x:c r="B509" s="12" t="n">
        <x:v>-3</x:v>
      </x:c>
      <x:c r="C509" s="12" t="n">
        <x:v>-0.0018813699732636035</x:v>
      </x:c>
      <x:c r="D509" s="12" t="n">
        <x:v>-0.4807736517703819</x:v>
      </x:c>
      <x:c r="E509" s="12" t="n">
        <x:v>-0.2646941503733662</x:v>
      </x:c>
    </x:row>
    <x:row r="510" ht="18" customHeight="1">
      <x:c r="A510" s="13" t="n">
        <x:v>43341</x:v>
      </x:c>
      <x:c r="B510" s="12" t="n">
        <x:v>-1</x:v>
      </x:c>
      <x:c r="C510" s="12" t="n">
        <x:v>-0.004006904633942815</x:v>
      </x:c>
      <x:c r="D510" s="12" t="n">
        <x:v>-0.4878727830661175</x:v>
      </x:c>
      <x:c r="E510" s="12" t="n">
        <x:v>-0.2643466334184281</x:v>
      </x:c>
    </x:row>
    <x:row r="511" ht="18" customHeight="1">
      <x:c r="A511" s="13" t="n">
        <x:v>43342</x:v>
      </x:c>
      <x:c r="B511" s="12" t="n">
        <x:v>5</x:v>
      </x:c>
      <x:c r="C511" s="12" t="n">
        <x:v>-0.010531753417970224</x:v>
      </x:c>
      <x:c r="D511" s="12" t="n">
        <x:v>-0.5180048283255452</x:v>
      </x:c>
      <x:c r="E511" s="12" t="n">
        <x:v>-0.2697193367076986</x:v>
      </x:c>
    </x:row>
    <x:row r="512" ht="18" customHeight="1">
      <x:c r="A512" s="13" t="n">
        <x:v>43343</x:v>
      </x:c>
      <x:c r="B512" s="12" t="n">
        <x:v>5</x:v>
      </x:c>
      <x:c r="C512" s="12" t="n">
        <x:v>-0.0049630966599312565</x:v>
      </x:c>
      <x:c r="D512" s="12" t="n">
        <x:v>-0.5082677211603452</x:v>
      </x:c>
      <x:c r="E512" s="12" t="n">
        <x:v>-0.27173667961178516</x:v>
      </x:c>
    </x:row>
    <x:row r="513" ht="18" customHeight="1">
      <x:c r="A513" s="13" t="n">
        <x:v>43346</x:v>
      </x:c>
      <x:c r="B513" s="12" t="n">
        <x:v>0</x:v>
      </x:c>
      <x:c r="C513" s="12" t="n">
        <x:v>-0.0038095522251032424</x:v>
      </x:c>
      <x:c r="D513" s="12" t="n">
        <x:v>-0.5154948929093848</x:v>
      </x:c>
      <x:c r="E513" s="12" t="n">
        <x:v>-0.2726226493826365</x:v>
      </x:c>
    </x:row>
    <x:row r="514" ht="18" customHeight="1">
      <x:c r="A514" s="13" t="n">
        <x:v>43347</x:v>
      </x:c>
      <x:c r="B514" s="12" t="n">
        <x:v>-3</x:v>
      </x:c>
      <x:c r="C514" s="12" t="n">
        <x:v>0.012586269027628546</x:v>
      </x:c>
      <x:c r="D514" s="12" t="n">
        <x:v>-0.5273765704253155</x:v>
      </x:c>
      <x:c r="E514" s="12" t="n">
        <x:v>-0.27363892317526584</x:v>
      </x:c>
    </x:row>
    <x:row r="515" ht="18" customHeight="1">
      <x:c r="A515" s="13" t="n">
        <x:v>43348</x:v>
      </x:c>
      <x:c r="B515" s="12" t="n">
        <x:v>3</x:v>
      </x:c>
      <x:c r="C515" s="12" t="n">
        <x:v>-0.019741502466815615</x:v>
      </x:c>
      <x:c r="D515" s="12" t="n">
        <x:v>-0.5329659298213922</x:v>
      </x:c>
      <x:c r="E515" s="12" t="n">
        <x:v>-0.2762356544371467</x:v>
      </x:c>
    </x:row>
    <x:row r="516" ht="18" customHeight="1">
      <x:c r="A516" s="13" t="n">
        <x:v>43349</x:v>
      </x:c>
      <x:c r="B516" s="12" t="n">
        <x:v>3</x:v>
      </x:c>
      <x:c r="C516" s="12" t="n">
        <x:v>-0.01074855090344283</x:v>
      </x:c>
      <x:c r="D516" s="12" t="n">
        <x:v>-0.5358690752229814</x:v>
      </x:c>
      <x:c r="E516" s="12" t="n">
        <x:v>-0.27960983612609475</x:v>
      </x:c>
    </x:row>
    <x:row r="517" ht="18" customHeight="1">
      <x:c r="A517" s="13" t="n">
        <x:v>43350</x:v>
      </x:c>
      <x:c r="B517" s="12" t="n">
        <x:v>-4</x:v>
      </x:c>
      <x:c r="C517" s="12" t="n">
        <x:v>0.004514324453855149</x:v>
      </x:c>
      <x:c r="D517" s="12" t="n">
        <x:v>-0.542828863076342</x:v>
      </x:c>
      <x:c r="E517" s="12" t="n">
        <x:v>-0.27969795650983514</x:v>
      </x:c>
    </x:row>
    <x:row r="518" ht="18" customHeight="1">
      <x:c r="A518" s="13" t="n">
        <x:v>43353</x:v>
      </x:c>
      <x:c r="B518" s="12" t="n">
        <x:v>-2</x:v>
      </x:c>
      <x:c r="C518" s="12" t="n">
        <x:v>-0.014621589994254605</x:v>
      </x:c>
      <x:c r="D518" s="12" t="n">
        <x:v>-0.5336194255511989</x:v>
      </x:c>
      <x:c r="E518" s="12" t="n">
        <x:v>-0.2768144724870304</x:v>
      </x:c>
    </x:row>
    <x:row r="519" ht="18" customHeight="1">
      <x:c r="A519" s="13" t="n">
        <x:v>43354</x:v>
      </x:c>
      <x:c r="B519" s="12" t="n">
        <x:v>-6</x:v>
      </x:c>
      <x:c r="C519" s="12" t="n">
        <x:v>-0.0018147653586513468</x:v>
      </x:c>
      <x:c r="D519" s="12" t="n">
        <x:v>-0.542977300431081</x:v>
      </x:c>
      <x:c r="E519" s="12" t="n">
        <x:v>-0.2755303325256217</x:v>
      </x:c>
    </x:row>
    <x:row r="520" ht="18" customHeight="1">
      <x:c r="A520" s="13" t="n">
        <x:v>43355</x:v>
      </x:c>
      <x:c r="B520" s="12" t="n">
        <x:v>-2</x:v>
      </x:c>
      <x:c r="C520" s="12" t="n">
        <x:v>-0.006905095541184463</x:v>
      </x:c>
      <x:c r="D520" s="12" t="n">
        <x:v>-0.5411080015002402</x:v>
      </x:c>
      <x:c r="E520" s="12" t="n">
        <x:v>-0.27460114330211355</x:v>
      </x:c>
    </x:row>
    <x:row r="521" ht="18" customHeight="1">
      <x:c r="A521" s="13" t="n">
        <x:v>43356</x:v>
      </x:c>
      <x:c r="B521" s="12" t="n">
        <x:v>-3</x:v>
      </x:c>
      <x:c r="C521" s="12" t="n">
        <x:v>0.010729593284784572</x:v>
      </x:c>
      <x:c r="D521" s="12" t="n">
        <x:v>-0.544989108608208</x:v>
      </x:c>
      <x:c r="E521" s="12" t="n">
        <x:v>-0.27632464623073827</x:v>
      </x:c>
    </x:row>
    <x:row r="522" ht="18" customHeight="1">
      <x:c r="A522" s="13" t="n">
        <x:v>43357</x:v>
      </x:c>
      <x:c r="B522" s="12" t="n">
        <x:v>-6</x:v>
      </x:c>
      <x:c r="C522" s="12" t="n">
        <x:v>0.001705292269754922</x:v>
      </x:c>
      <x:c r="D522" s="12" t="n">
        <x:v>-0.5211585577805726</x:v>
      </x:c>
      <x:c r="E522" s="12" t="n">
        <x:v>-0.27620108359119344</x:v>
      </x:c>
    </x:row>
    <x:row r="523" ht="18" customHeight="1">
      <x:c r="A523" s="13" t="n">
        <x:v>43360</x:v>
      </x:c>
      <x:c r="B523" s="12" t="n">
        <x:v>0</x:v>
      </x:c>
      <x:c r="C523" s="12" t="n">
        <x:v>-0.01153036734731709</x:v>
      </x:c>
      <x:c r="D523" s="12" t="n">
        <x:v>-0.518655287065813</x:v>
      </x:c>
      <x:c r="E523" s="12" t="n">
        <x:v>-0.27590119600676555</x:v>
      </x:c>
    </x:row>
    <x:row r="524" ht="18" customHeight="1">
      <x:c r="A524" s="13" t="n">
        <x:v>43361</x:v>
      </x:c>
      <x:c r="B524" s="12" t="n">
        <x:v>-5</x:v>
      </x:c>
      <x:c r="C524" s="12" t="n">
        <x:v>0.01992836101832585</x:v>
      </x:c>
      <x:c r="D524" s="12" t="n">
        <x:v>-0.5250203984761961</x:v>
      </x:c>
      <x:c r="E524" s="12" t="n">
        <x:v>-0.2844400910751903</x:v>
      </x:c>
    </x:row>
    <x:row r="525" ht="18" customHeight="1">
      <x:c r="A525" s="13" t="n">
        <x:v>43362</x:v>
      </x:c>
      <x:c r="B525" s="12" t="n">
        <x:v>0</x:v>
      </x:c>
      <x:c r="C525" s="12" t="n">
        <x:v>0.013081608972484867</x:v>
      </x:c>
      <x:c r="D525" s="12" t="n">
        <x:v>-0.520184155662255</x:v>
      </x:c>
      <x:c r="E525" s="12" t="n">
        <x:v>-0.2850268035676538</x:v>
      </x:c>
    </x:row>
    <x:row r="526" ht="18" customHeight="1">
      <x:c r="A526" s="13" t="n">
        <x:v>43363</x:v>
      </x:c>
      <x:c r="B526" s="12" t="n">
        <x:v>1</x:v>
      </x:c>
      <x:c r="C526" s="12" t="n">
        <x:v>-0.0007116531927820131</x:v>
      </x:c>
      <x:c r="D526" s="12" t="n">
        <x:v>-0.5107450983666377</x:v>
      </x:c>
      <x:c r="E526" s="12" t="n">
        <x:v>-0.2841665104629311</x:v>
      </x:c>
    </x:row>
    <x:row r="527" ht="18" customHeight="1">
      <x:c r="A527" s="13" t="n">
        <x:v>43364</x:v>
      </x:c>
      <x:c r="B527" s="12" t="n">
        <x:v>0</x:v>
      </x:c>
      <x:c r="C527" s="12" t="n">
        <x:v>0.029868491139865755</x:v>
      </x:c>
      <x:c r="D527" s="12" t="n">
        <x:v>-0.4855522265326147</x:v>
      </x:c>
      <x:c r="E527" s="12" t="n">
        <x:v>-0.2798577957624143</x:v>
      </x:c>
    </x:row>
    <x:row r="528" ht="18" customHeight="1">
      <x:c r="A528" s="13" t="n">
        <x:v>43368</x:v>
      </x:c>
      <x:c r="B528" s="12" t="n">
        <x:v>-2</x:v>
      </x:c>
      <x:c r="C528" s="12" t="n">
        <x:v>-0.009036877438513951</x:v>
      </x:c>
      <x:c r="D528" s="12" t="n">
        <x:v>-0.45673644945630093</x:v>
      </x:c>
      <x:c r="E528" s="12" t="n">
        <x:v>-0.2791895471867015</x:v>
      </x:c>
    </x:row>
    <x:row r="529" ht="18" customHeight="1">
      <x:c r="A529" s="13" t="n">
        <x:v>43369</x:v>
      </x:c>
      <x:c r="B529" s="12" t="n">
        <x:v>1</x:v>
      </x:c>
      <x:c r="C529" s="12" t="n">
        <x:v>0.011015779730180341</x:v>
      </x:c>
      <x:c r="D529" s="12" t="n">
        <x:v>-0.4419381101912824</x:v>
      </x:c>
      <x:c r="E529" s="12" t="n">
        <x:v>-0.2770798374885793</x:v>
      </x:c>
    </x:row>
    <x:row r="530" ht="18" customHeight="1">
      <x:c r="A530" s="13" t="n">
        <x:v>43370</x:v>
      </x:c>
      <x:c r="B530" s="12" t="n">
        <x:v>-2</x:v>
      </x:c>
      <x:c r="C530" s="12" t="n">
        <x:v>-0.004002772455734116</x:v>
      </x:c>
      <x:c r="D530" s="12" t="n">
        <x:v>-0.43607025570500196</x:v>
      </x:c>
      <x:c r="E530" s="12" t="n">
        <x:v>-0.27635919889278093</x:v>
      </x:c>
    </x:row>
    <x:row r="531" ht="18" customHeight="1">
      <x:c r="A531" s="13" t="n">
        <x:v>43371</x:v>
      </x:c>
      <x:c r="B531" s="12" t="n">
        <x:v>-1</x:v>
      </x:c>
      <x:c r="C531" s="12" t="n">
        <x:v>0.010310630317834349</x:v>
      </x:c>
      <x:c r="D531" s="12" t="n">
        <x:v>-0.3917890774490817</x:v>
      </x:c>
      <x:c r="E531" s="12" t="n">
        <x:v>-0.2775728732139713</x:v>
      </x:c>
    </x:row>
    <x:row r="532" ht="18" customHeight="1">
      <x:c r="A532" s="13" t="n">
        <x:v>43381</x:v>
      </x:c>
      <x:c r="B532" s="12" t="n">
        <x:v>0</x:v>
      </x:c>
      <x:c r="C532" s="12" t="n">
        <x:v>-0.04398072704604592</x:v>
      </x:c>
      <x:c r="D532" s="12" t="n">
        <x:v>-0.3729940108738393</x:v>
      </x:c>
      <x:c r="E532" s="12" t="n">
        <x:v>-0.2700825610175408</x:v>
      </x:c>
    </x:row>
    <x:row r="533" ht="18" customHeight="1">
      <x:c r="A533" s="13" t="n">
        <x:v>43382</x:v>
      </x:c>
      <x:c r="B533" s="12" t="n">
        <x:v>9</x:v>
      </x:c>
      <x:c r="C533" s="12" t="n">
        <x:v>-0.0006712273209352538</x:v>
      </x:c>
      <x:c r="D533" s="12" t="n">
        <x:v>-0.35376537890925824</x:v>
      </x:c>
      <x:c r="E533" s="12" t="n">
        <x:v>-0.26780512033952053</x:v>
      </x:c>
    </x:row>
    <x:row r="534" ht="18" customHeight="1">
      <x:c r="A534" s="13" t="n">
        <x:v>43383</x:v>
      </x:c>
      <x:c r="B534" s="12" t="n">
        <x:v>10</x:v>
      </x:c>
      <x:c r="C534" s="12" t="n">
        <x:v>-0.0021590537046332764</x:v>
      </x:c>
      <x:c r="D534" s="12" t="n">
        <x:v>-0.34504065267130635</x:v>
      </x:c>
      <x:c r="E534" s="12" t="n">
        <x:v>-0.26722101171856955</x:v>
      </x:c>
    </x:row>
    <x:row r="535" ht="18" customHeight="1">
      <x:c r="A535" s="13" t="n">
        <x:v>43384</x:v>
      </x:c>
      <x:c r="B535" s="12" t="n">
        <x:v>7</x:v>
      </x:c>
      <x:c r="C535" s="12" t="n">
        <x:v>-0.04917974695117834</x:v>
      </x:c>
      <x:c r="D535" s="12" t="n">
        <x:v>-0.39897148931532206</x:v>
      </x:c>
      <x:c r="E535" s="12" t="n">
        <x:v>-0.2784297824545915</x:v>
      </x:c>
    </x:row>
    <x:row r="536" ht="18" customHeight="1">
      <x:c r="A536" s="13" t="n">
        <x:v>43385</x:v>
      </x:c>
      <x:c r="B536" s="12" t="n">
        <x:v>-4</x:v>
      </x:c>
      <x:c r="C536" s="12" t="n">
        <x:v>0.0148099558467938</x:v>
      </x:c>
      <x:c r="D536" s="12" t="n">
        <x:v>-0.3696390971297909</x:v>
      </x:c>
      <x:c r="E536" s="12" t="n">
        <x:v>-0.2811547716476054</x:v>
      </x:c>
    </x:row>
    <x:row r="537" ht="18" customHeight="1">
      <x:c r="A537" s="13" t="n">
        <x:v>43388</x:v>
      </x:c>
      <x:c r="B537" s="12" t="n">
        <x:v>-5</x:v>
      </x:c>
      <x:c r="C537" s="12" t="n">
        <x:v>-0.014061959490625714</x:v>
      </x:c>
      <x:c r="D537" s="12" t="n">
        <x:v>-0.3489568917249775</x:v>
      </x:c>
      <x:c r="E537" s="12" t="n">
        <x:v>-0.27598429820965314</x:v>
      </x:c>
    </x:row>
    <x:row r="538" ht="18" customHeight="1">
      <x:c r="A538" s="13" t="n">
        <x:v>43389</x:v>
      </x:c>
      <x:c r="B538" s="12" t="n">
        <x:v>-4</x:v>
      </x:c>
      <x:c r="C538" s="12" t="n">
        <x:v>-0.008182496140899246</x:v>
      </x:c>
      <x:c r="D538" s="12" t="n">
        <x:v>-0.32149266176768104</x:v>
      </x:c>
      <x:c r="E538" s="12" t="n">
        <x:v>-0.27322526534166114</x:v>
      </x:c>
    </x:row>
    <x:row r="539" ht="18" customHeight="1">
      <x:c r="A539" s="13" t="n">
        <x:v>43390</x:v>
      </x:c>
      <x:c r="B539" s="12" t="n">
        <x:v>0</x:v>
      </x:c>
      <x:c r="C539" s="12" t="n">
        <x:v>0.0055545692648370695</x:v>
      </x:c>
      <x:c r="D539" s="12" t="n">
        <x:v>-0.3012372244453214</x:v>
      </x:c>
      <x:c r="E539" s="12" t="n">
        <x:v>-0.27298347041957116</x:v>
      </x:c>
    </x:row>
    <x:row r="540" ht="18" customHeight="1">
      <x:c r="A540" s="13" t="n">
        <x:v>43391</x:v>
      </x:c>
      <x:c r="B540" s="12" t="n">
        <x:v>6</x:v>
      </x:c>
      <x:c r="C540" s="12" t="n">
        <x:v>-0.023969616522507044</x:v>
      </x:c>
      <x:c r="D540" s="12" t="n">
        <x:v>-0.3293770094157408</x:v>
      </x:c>
      <x:c r="E540" s="12" t="n">
        <x:v>-0.27916627212440664</x:v>
      </x:c>
    </x:row>
    <x:row r="541" ht="18" customHeight="1">
      <x:c r="A541" s="13" t="n">
        <x:v>43392</x:v>
      </x:c>
      <x:c r="B541" s="12" t="n">
        <x:v>0</x:v>
      </x:c>
      <x:c r="C541" s="12" t="n">
        <x:v>0.029310645626263784</x:v>
      </x:c>
      <x:c r="D541" s="12" t="n">
        <x:v>-0.3200950752318196</x:v>
      </x:c>
      <x:c r="E541" s="12" t="n">
        <x:v>-0.27585449875668283</x:v>
      </x:c>
    </x:row>
    <x:row r="542" ht="18" customHeight="1">
      <x:c r="A542" s="13" t="n">
        <x:v>43395</x:v>
      </x:c>
      <x:c r="B542" s="12" t="n">
        <x:v>1</x:v>
      </x:c>
      <x:c r="C542" s="12" t="n">
        <x:v>0.042261739256125835</x:v>
      </x:c>
      <x:c r="D542" s="12" t="n">
        <x:v>-0.2894899896753707</x:v>
      </x:c>
      <x:c r="E542" s="12" t="n">
        <x:v>-0.26632522746383686</x:v>
      </x:c>
    </x:row>
    <x:row r="543" ht="18" customHeight="1">
      <x:c r="A543" s="13" t="n">
        <x:v>43396</x:v>
      </x:c>
      <x:c r="B543" s="12" t="n">
        <x:v>13</x:v>
      </x:c>
      <x:c r="C543" s="12" t="n">
        <x:v>-0.026915647709496032</x:v>
      </x:c>
      <x:c r="D543" s="12" t="n">
        <x:v>-0.33892211576399456</x:v>
      </x:c>
      <x:c r="E543" s="12" t="n">
        <x:v>-0.2807075921820835</x:v>
      </x:c>
    </x:row>
    <x:row r="544" ht="18" customHeight="1">
      <x:c r="A544" s="13" t="n">
        <x:v>43397</x:v>
      </x:c>
      <x:c r="B544" s="12" t="n">
        <x:v>3</x:v>
      </x:c>
      <x:c r="C544" s="12" t="n">
        <x:v>0.0014991776887575102</x:v>
      </x:c>
      <x:c r="D544" s="12" t="n">
        <x:v>-0.3372927856557031</x:v>
      </x:c>
      <x:c r="E544" s="12" t="n">
        <x:v>-0.2803199915616426</x:v>
      </x:c>
    </x:row>
    <x:row r="545" ht="18" customHeight="1">
      <x:c r="A545" s="13" t="n">
        <x:v>43398</x:v>
      </x:c>
      <x:c r="B545" s="12" t="n">
        <x:v>4</x:v>
      </x:c>
      <x:c r="C545" s="12" t="n">
        <x:v>0.0019135423750204369</x:v>
      </x:c>
      <x:c r="D545" s="12" t="n">
        <x:v>-0.3206236302830511</x:v>
      </x:c>
      <x:c r="E545" s="12" t="n">
        <x:v>-0.2794065299713668</x:v>
      </x:c>
    </x:row>
    <x:row r="546" ht="18" customHeight="1">
      <x:c r="A546" s="13" t="n">
        <x:v>43399</x:v>
      </x:c>
      <x:c r="B546" s="12" t="n">
        <x:v>13</x:v>
      </x:c>
      <x:c r="C546" s="12" t="n">
        <x:v>-0.006492982531994522</x:v>
      </x:c>
      <x:c r="D546" s="12" t="n">
        <x:v>-0.30588396954863767</x:v>
      </x:c>
      <x:c r="E546" s="12" t="n">
        <x:v>-0.28145947487782985</x:v>
      </x:c>
    </x:row>
    <x:row r="547" ht="18" customHeight="1">
      <x:c r="A547" s="13" t="n">
        <x:v>43402</x:v>
      </x:c>
      <x:c r="B547" s="12" t="n">
        <x:v>-1</x:v>
      </x:c>
      <x:c r="C547" s="12" t="n">
        <x:v>-0.03095862955146051</x:v>
      </x:c>
      <x:c r="D547" s="12" t="n">
        <x:v>-0.2816349173590426</x:v>
      </x:c>
      <x:c r="E547" s="12" t="n">
        <x:v>-0.2773579310465842</x:v>
      </x:c>
    </x:row>
    <x:row r="548" ht="18" customHeight="1">
      <x:c r="A548" s="13" t="n">
        <x:v>43403</x:v>
      </x:c>
      <x:c r="B548" s="12" t="n">
        <x:v>5</x:v>
      </x:c>
      <x:c r="C548" s="12" t="n">
        <x:v>0.010787495650464536</x:v>
      </x:c>
      <x:c r="D548" s="12" t="n">
        <x:v>-0.26609145209692003</x:v>
      </x:c>
      <x:c r="E548" s="12" t="n">
        <x:v>-0.2745599000010465</x:v>
      </x:c>
    </x:row>
    <x:row r="549" ht="18" customHeight="1">
      <x:c r="A549" s="13" t="n">
        <x:v>43404</x:v>
      </x:c>
      <x:c r="B549" s="12" t="n">
        <x:v>-8</x:v>
      </x:c>
      <x:c r="C549" s="12" t="n">
        <x:v>0.013909009841423929</x:v>
      </x:c>
      <x:c r="D549" s="12" t="n">
        <x:v>-0.3016242975229635</x:v>
      </x:c>
      <x:c r="E549" s="12" t="n">
        <x:v>-0.2795588260372961</x:v>
      </x:c>
    </x:row>
    <x:row r="550" ht="18" customHeight="1">
      <x:c r="A550" s="13" t="n">
        <x:v>43405</x:v>
      </x:c>
      <x:c r="B550" s="12" t="n">
        <x:v>0</x:v>
      </x:c>
      <x:c r="C550" s="12" t="n">
        <x:v>0.007332499615765938</x:v>
      </x:c>
      <x:c r="D550" s="12" t="n">
        <x:v>-0.3020300924417389</x:v>
      </x:c>
      <x:c r="E550" s="12" t="n">
        <x:v>-0.2779047108646998</x:v>
      </x:c>
    </x:row>
    <x:row r="551" ht="18" customHeight="1">
      <x:c r="A551" s="13" t="n">
        <x:v>43406</x:v>
      </x:c>
      <x:c r="B551" s="12" t="n">
        <x:v>-9</x:v>
      </x:c>
      <x:c r="C551" s="12" t="n">
        <x:v>0.03501418785576726</x:v>
      </x:c>
      <x:c r="D551" s="12" t="n">
        <x:v>-0.3466190776104555</x:v>
      </x:c>
      <x:c r="E551" s="12" t="n">
        <x:v>-0.29043319420538344</x:v>
      </x:c>
    </x:row>
    <x:row r="552" ht="18" customHeight="1">
      <x:c r="A552" s="13" t="n">
        <x:v>43409</x:v>
      </x:c>
      <x:c r="B552" s="12" t="n">
        <x:v>0</x:v>
      </x:c>
      <x:c r="C552" s="12" t="n">
        <x:v>-0.008365702036225015</x:v>
      </x:c>
      <x:c r="D552" s="12" t="n">
        <x:v>-0.34767085001821263</x:v>
      </x:c>
      <x:c r="E552" s="12" t="n">
        <x:v>-0.29106880291122256</x:v>
      </x:c>
    </x:row>
    <x:row r="553" ht="18" customHeight="1">
      <x:c r="A553" s="13" t="n">
        <x:v>43410</x:v>
      </x:c>
      <x:c r="B553" s="12" t="n">
        <x:v>-4</x:v>
      </x:c>
      <x:c r="C553" s="12" t="n">
        <x:v>-0.006051276956503466</x:v>
      </x:c>
      <x:c r="D553" s="12" t="n">
        <x:v>-0.35752394471625415</x:v>
      </x:c>
      <x:c r="E553" s="12" t="n">
        <x:v>-0.28928194340656443</x:v>
      </x:c>
    </x:row>
    <x:row r="554" ht="18" customHeight="1">
      <x:c r="A554" s="13" t="n">
        <x:v>43411</x:v>
      </x:c>
      <x:c r="B554" s="12" t="n">
        <x:v>-8</x:v>
      </x:c>
      <x:c r="C554" s="12" t="n">
        <x:v>-0.006570820620157931</x:v>
      </x:c>
      <x:c r="D554" s="12" t="n">
        <x:v>-0.34550663536198967</x:v>
      </x:c>
      <x:c r="E554" s="12" t="n">
        <x:v>-0.2845708477348414</x:v>
      </x:c>
    </x:row>
    <x:row r="555" ht="18" customHeight="1">
      <x:c r="A555" s="13" t="n">
        <x:v>43412</x:v>
      </x:c>
      <x:c r="B555" s="12" t="n">
        <x:v>-3</x:v>
      </x:c>
      <x:c r="C555" s="12" t="n">
        <x:v>-0.0028397374055093238</x:v>
      </x:c>
      <x:c r="D555" s="12" t="n">
        <x:v>-0.3457049174996664</x:v>
      </x:c>
      <x:c r="E555" s="12" t="n">
        <x:v>-0.2855548581403189</x:v>
      </x:c>
    </x:row>
    <x:row r="556" ht="18" customHeight="1">
      <x:c r="A556" s="13" t="n">
        <x:v>43413</x:v>
      </x:c>
      <x:c r="B556" s="12" t="n">
        <x:v>14</x:v>
      </x:c>
      <x:c r="C556" s="12" t="n">
        <x:v>-0.014209628394483092</x:v>
      </x:c>
      <x:c r="D556" s="12" t="n">
        <x:v>-0.3594443141866467</x:v>
      </x:c>
      <x:c r="E556" s="12" t="n">
        <x:v>-0.2913446551645177</x:v>
      </x:c>
    </x:row>
    <x:row r="557" ht="18" customHeight="1">
      <x:c r="A557" s="13" t="n">
        <x:v>43416</x:v>
      </x:c>
      <x:c r="B557" s="12" t="n">
        <x:v>0</x:v>
      </x:c>
      <x:c r="C557" s="12" t="n">
        <x:v>0.011830972923802153</x:v>
      </x:c>
      <x:c r="D557" s="12" t="n">
        <x:v>-0.32973387247554414</x:v>
      </x:c>
      <x:c r="E557" s="12" t="n">
        <x:v>-0.29253482759903016</x:v>
      </x:c>
    </x:row>
    <x:row r="558" ht="18" customHeight="1">
      <x:c r="A558" s="13" t="n">
        <x:v>43417</x:v>
      </x:c>
      <x:c r="B558" s="12" t="n">
        <x:v>18</x:v>
      </x:c>
      <x:c r="C558" s="12" t="n">
        <x:v>0.01000908158737834</x:v>
      </x:c>
      <x:c r="D558" s="12" t="n">
        <x:v>-0.26884080287127377</x:v>
      </x:c>
      <x:c r="E558" s="12" t="n">
        <x:v>-0.2755015131603226</x:v>
      </x:c>
    </x:row>
    <x:row r="559" ht="18" customHeight="1">
      <x:c r="A559" s="13" t="n">
        <x:v>43418</x:v>
      </x:c>
      <x:c r="B559" s="12" t="n">
        <x:v>10</x:v>
      </x:c>
      <x:c r="C559" s="12" t="n">
        <x:v>-0.010070859254752394</x:v>
      </x:c>
      <x:c r="D559" s="12" t="n">
        <x:v>-0.28329349224373174</x:v>
      </x:c>
      <x:c r="E559" s="12" t="n">
        <x:v>-0.2784854852834195</x:v>
      </x:c>
    </x:row>
    <x:row r="560" ht="18" customHeight="1">
      <x:c r="A560" s="13" t="n">
        <x:v>43419</x:v>
      </x:c>
      <x:c r="B560" s="12" t="n">
        <x:v>12.000000000000057</x:v>
      </x:c>
      <x:c r="C560" s="12" t="n">
        <x:v>0.011610794610305406</x:v>
      </x:c>
      <x:c r="D560" s="12" t="n">
        <x:v>-0.26436147634565255</x:v>
      </x:c>
      <x:c r="E560" s="12" t="n">
        <x:v>-0.2682671472897383</x:v>
      </x:c>
    </x:row>
    <x:row r="561" ht="18" customHeight="1">
      <x:c r="A561" s="13" t="n">
        <x:v>43420</x:v>
      </x:c>
      <x:c r="B561" s="12" t="n">
        <x:v>6.999999999999943</x:v>
      </x:c>
      <x:c r="C561" s="12" t="n">
        <x:v>0.004708283794282228</x:v>
      </x:c>
      <x:c r="D561" s="12" t="n">
        <x:v>-0.2556292371395855</x:v>
      </x:c>
      <x:c r="E561" s="12" t="n">
        <x:v>-0.26586932881372605</x:v>
      </x:c>
    </x:row>
    <x:row r="562" ht="18" customHeight="1">
      <x:c r="A562" s="13" t="n">
        <x:v>43423</x:v>
      </x:c>
      <x:c r="B562" s="12" t="n">
        <x:v>7</x:v>
      </x:c>
      <x:c r="C562" s="12" t="n">
        <x:v>0.011272415161681665</x:v>
      </x:c>
      <x:c r="D562" s="12" t="n">
        <x:v>-0.24608840468083598</x:v>
      </x:c>
      <x:c r="E562" s="12" t="n">
        <x:v>-0.26042780749379757</x:v>
      </x:c>
    </x:row>
    <x:row r="563" ht="18" customHeight="1">
      <x:c r="A563" s="13" t="n">
        <x:v>43424</x:v>
      </x:c>
      <x:c r="B563" s="12" t="n">
        <x:v>8</x:v>
      </x:c>
      <x:c r="C563" s="12" t="n">
        <x:v>-0.023399002391473384</x:v>
      </x:c>
      <x:c r="D563" s="12" t="n">
        <x:v>-0.24855968699967523</x:v>
      </x:c>
      <x:c r="E563" s="12" t="n">
        <x:v>-0.26849146370666627</x:v>
      </x:c>
    </x:row>
    <x:row r="564" ht="18" customHeight="1">
      <x:c r="A564" s="13" t="n">
        <x:v>43425</x:v>
      </x:c>
      <x:c r="B564" s="12" t="n">
        <x:v>-9</x:v>
      </x:c>
      <x:c r="C564" s="12" t="n">
        <x:v>0.002508713864462597</x:v>
      </x:c>
      <x:c r="D564" s="12" t="n">
        <x:v>-0.25526354955386066</x:v>
      </x:c>
      <x:c r="E564" s="12" t="n">
        <x:v>-0.2698003807827746</x:v>
      </x:c>
    </x:row>
    <x:row r="565" ht="18" customHeight="1">
      <x:c r="A565" s="13" t="n">
        <x:v>43426</x:v>
      </x:c>
      <x:c r="B565" s="12" t="n">
        <x:v>1</x:v>
      </x:c>
      <x:c r="C565" s="12" t="n">
        <x:v>-0.003746208863114145</x:v>
      </x:c>
      <x:c r="D565" s="12" t="n">
        <x:v>-0.25914272790506376</x:v>
      </x:c>
      <x:c r="E565" s="12" t="n">
        <x:v>-0.2711092273218561</x:v>
      </x:c>
    </x:row>
    <x:row r="566" ht="18" customHeight="1">
      <x:c r="A566" s="13" t="n">
        <x:v>43427</x:v>
      </x:c>
      <x:c r="B566" s="12" t="n">
        <x:v>4</x:v>
      </x:c>
      <x:c r="C566" s="12" t="n">
        <x:v>-0.022320268559339572</x:v>
      </x:c>
      <x:c r="D566" s="12" t="n">
        <x:v>-0.27069659842691224</x:v>
      </x:c>
      <x:c r="E566" s="12" t="n">
        <x:v>-0.28108117414687706</x:v>
      </x:c>
    </x:row>
    <x:row r="567" ht="18" customHeight="1">
      <x:c r="A567" s="13" t="n">
        <x:v>43430</x:v>
      </x:c>
      <x:c r="B567" s="12" t="n">
        <x:v>-3</x:v>
      </x:c>
      <x:c r="C567" s="12" t="n">
        <x:v>-0.0007102307154421204</x:v>
      </x:c>
      <x:c r="D567" s="12" t="n">
        <x:v>-0.25845099248251235</x:v>
      </x:c>
      <x:c r="E567" s="12" t="n">
        <x:v>-0.2797653656178268</x:v>
      </x:c>
    </x:row>
    <x:row r="568" ht="18" customHeight="1">
      <x:c r="A568" s="13" t="n">
        <x:v>43431</x:v>
      </x:c>
      <x:c r="B568" s="12" t="n">
        <x:v>4.999999999999943</x:v>
      </x:c>
      <x:c r="C568" s="12" t="n">
        <x:v>-0.001274861923942222</x:v>
      </x:c>
      <x:c r="D568" s="12" t="n">
        <x:v>-0.25890029242150775</x:v>
      </x:c>
      <x:c r="E568" s="12" t="n">
        <x:v>-0.27971210190941276</x:v>
      </x:c>
    </x:row>
    <x:row r="569" ht="18" customHeight="1">
      <x:c r="A569" s="13" t="n">
        <x:v>43432</x:v>
      </x:c>
      <x:c r="B569" s="12" t="n">
        <x:v>-5.999999999999943</x:v>
      </x:c>
      <x:c r="C569" s="12" t="n">
        <x:v>0.013201633193070952</x:v>
      </x:c>
      <x:c r="D569" s="12" t="n">
        <x:v>-0.2694181822453171</x:v>
      </x:c>
      <x:c r="E569" s="12" t="n">
        <x:v>-0.28185738835368845</x:v>
      </x:c>
    </x:row>
    <x:row r="570" ht="18" customHeight="1">
      <x:c r="A570" s="13" t="n">
        <x:v>43433</x:v>
      </x:c>
      <x:c r="B570" s="12" t="n">
        <x:v>-3</x:v>
      </x:c>
      <x:c r="C570" s="12" t="n">
        <x:v>-0.013070029407606876</x:v>
      </x:c>
      <x:c r="D570" s="12" t="n">
        <x:v>-0.25880973838405374</x:v>
      </x:c>
      <x:c r="E570" s="12" t="n">
        <x:v>-0.2786164118269669</x:v>
      </x:c>
    </x:row>
    <x:row r="571" ht="18" customHeight="1">
      <x:c r="A571" s="13" t="n">
        <x:v>43434</x:v>
      </x:c>
      <x:c r="B571" s="12" t="n">
        <x:v>7</x:v>
      </x:c>
      <x:c r="C571" s="12" t="n">
        <x:v>0.01110435782943523</x:v>
      </x:c>
      <x:c r="D571" s="12" t="n">
        <x:v>-0.23309158642685485</x:v>
      </x:c>
      <x:c r="E571" s="12" t="n">
        <x:v>-0.2705263123670312</x:v>
      </x:c>
    </x:row>
    <x:row r="572" ht="18" customHeight="1">
      <x:c r="A572" s="13" t="n">
        <x:v>43437</x:v>
      </x:c>
      <x:c r="B572" s="12" t="n">
        <x:v>-9</x:v>
      </x:c>
      <x:c r="C572" s="12" t="n">
        <x:v>0.027438816811427395</x:v>
      </x:c>
      <x:c r="D572" s="12" t="n">
        <x:v>-0.2688519770306774</x:v>
      </x:c>
      <x:c r="E572" s="12" t="n">
        <x:v>-0.28003159935236344</x:v>
      </x:c>
    </x:row>
    <x:row r="573" ht="18" customHeight="1">
      <x:c r="A573" s="13" t="n">
        <x:v>43438</x:v>
      </x:c>
      <x:c r="B573" s="12" t="n">
        <x:v>9</x:v>
      </x:c>
      <x:c r="C573" s="12" t="n">
        <x:v>0.002070655456312225</x:v>
      </x:c>
      <x:c r="D573" s="12" t="n">
        <x:v>-0.26357725280360955</x:v>
      </x:c>
      <x:c r="E573" s="12" t="n">
        <x:v>-0.2758897261898673</x:v>
      </x:c>
    </x:row>
    <x:row r="574" ht="18" customHeight="1">
      <x:c r="A574" s="13" t="n">
        <x:v>43439</x:v>
      </x:c>
      <x:c r="B574" s="12" t="n">
        <x:v>0</x:v>
      </x:c>
      <x:c r="C574" s="12" t="n">
        <x:v>-0.00481782831036399</x:v>
      </x:c>
      <x:c r="D574" s="12" t="n">
        <x:v>-0.25824535933364773</x:v>
      </x:c>
      <x:c r="E574" s="12" t="n">
        <x:v>-0.2729117246833746</x:v>
      </x:c>
    </x:row>
    <x:row r="575" ht="18" customHeight="1">
      <x:c r="A575" s="13" t="n">
        <x:v>43440</x:v>
      </x:c>
      <x:c r="B575" s="12" t="n">
        <x:v>21</x:v>
      </x:c>
      <x:c r="C575" s="12" t="n">
        <x:v>-0.02186429336877751</x:v>
      </x:c>
      <x:c r="D575" s="12" t="n">
        <x:v>-0.29414570097031556</x:v>
      </x:c>
      <x:c r="E575" s="12" t="n">
        <x:v>-0.2875985213342727</x:v>
      </x:c>
    </x:row>
    <x:row r="576" ht="18" customHeight="1">
      <x:c r="A576" s="13" t="n">
        <x:v>43441</x:v>
      </x:c>
      <x:c r="B576" s="12" t="n">
        <x:v>0</x:v>
      </x:c>
      <x:c r="C576" s="12" t="n">
        <x:v>-0.00003407070639957803</x:v>
      </x:c>
      <x:c r="D576" s="12" t="n">
        <x:v>-0.29498416919444576</x:v>
      </x:c>
      <x:c r="E576" s="12" t="n">
        <x:v>-0.29081624918015975</x:v>
      </x:c>
    </x:row>
    <x:row r="577" ht="18" customHeight="1">
      <x:c r="A577" s="13" t="n">
        <x:v>43444</x:v>
      </x:c>
      <x:c r="B577" s="12" t="n">
        <x:v>5.999999999999943</x:v>
      </x:c>
      <x:c r="C577" s="12" t="n">
        <x:v>-0.011634526971084672</x:v>
      </x:c>
      <x:c r="D577" s="12" t="n">
        <x:v>-0.29378891804536456</x:v>
      </x:c>
      <x:c r="E577" s="12" t="n">
        <x:v>-0.29296057650835294</x:v>
      </x:c>
    </x:row>
    <x:row r="578" ht="18" customHeight="1">
      <x:c r="A578" s="13" t="n">
        <x:v>43445</x:v>
      </x:c>
      <x:c r="B578" s="12" t="n">
        <x:v>-7.999999999999886</x:v>
      </x:c>
      <x:c r="C578" s="12" t="n">
        <x:v>0.004775173359470306</x:v>
      </x:c>
      <x:c r="D578" s="12" t="n">
        <x:v>-0.2953529186690321</x:v>
      </x:c>
      <x:c r="E578" s="12" t="n">
        <x:v>-0.295521231158451</x:v>
      </x:c>
    </x:row>
    <x:row r="579" ht="18" customHeight="1">
      <x:c r="A579" s="13" t="n">
        <x:v>43446</x:v>
      </x:c>
      <x:c r="B579" s="12" t="n">
        <x:v>-8</x:v>
      </x:c>
      <x:c r="C579" s="12" t="n">
        <x:v>0.003410011321186899</x:v>
      </x:c>
      <x:c r="D579" s="12" t="n">
        <x:v>-0.2945577978142039</x:v>
      </x:c>
      <x:c r="E579" s="12" t="n">
        <x:v>-0.2962203004390924</x:v>
      </x:c>
    </x:row>
    <x:row r="580" ht="18" customHeight="1">
      <x:c r="A580" s="13" t="n">
        <x:v>43447</x:v>
      </x:c>
      <x:c r="B580" s="12" t="n">
        <x:v>-1.0000000000001137</x:v>
      </x:c>
      <x:c r="C580" s="12" t="n">
        <x:v>0.015362080961148552</x:v>
      </x:c>
      <x:c r="D580" s="12" t="n">
        <x:v>-0.29519813355322766</x:v>
      </x:c>
      <x:c r="E580" s="12" t="n">
        <x:v>-0.2965557777178615</x:v>
      </x:c>
    </x:row>
    <x:row r="581" ht="18" customHeight="1">
      <x:c r="A581" s="13" t="n">
        <x:v>43448</x:v>
      </x:c>
      <x:c r="B581" s="12" t="n">
        <x:v>7.000000000000057</x:v>
      </x:c>
      <x:c r="C581" s="12" t="n">
        <x:v>-0.01684500874701418</x:v>
      </x:c>
      <x:c r="D581" s="12" t="n">
        <x:v>-0.3131381450711856</x:v>
      </x:c>
      <x:c r="E581" s="12" t="n">
        <x:v>-0.30286983481281526</x:v>
      </x:c>
    </x:row>
    <x:row r="582" ht="18" customHeight="1">
      <x:c r="A582" s="13" t="n">
        <x:v>43451</x:v>
      </x:c>
      <x:c r="B582" s="12" t="n">
        <x:v>12</x:v>
      </x:c>
      <x:c r="C582" s="12" t="n">
        <x:v>-0.0014901914887359281</x:v>
      </x:c>
      <x:c r="D582" s="12" t="n">
        <x:v>-0.31361923651397955</x:v>
      </x:c>
      <x:c r="E582" s="12" t="n">
        <x:v>-0.30073519296201073</x:v>
      </x:c>
    </x:row>
    <x:row r="583" ht="18" customHeight="1">
      <x:c r="A583" s="13" t="n">
        <x:v>43452</x:v>
      </x:c>
      <x:c r="B583" s="12" t="n">
        <x:v>14</x:v>
      </x:c>
      <x:c r="C583" s="12" t="n">
        <x:v>-0.010420464313941379</x:v>
      </x:c>
      <x:c r="D583" s="12" t="n">
        <x:v>-0.3260684643183529</x:v>
      </x:c>
      <x:c r="E583" s="12" t="n">
        <x:v>-0.30266425362566146</x:v>
      </x:c>
    </x:row>
    <x:row r="584" ht="18" customHeight="1">
      <x:c r="A584" s="13" t="n">
        <x:v>43453</x:v>
      </x:c>
      <x:c r="B584" s="12" t="n">
        <x:v>12</x:v>
      </x:c>
      <x:c r="C584" s="12" t="n">
        <x:v>-0.011994898420471533</x:v>
      </x:c>
      <x:c r="D584" s="12" t="n">
        <x:v>-0.3297315450756022</x:v>
      </x:c>
      <x:c r="E584" s="12" t="n">
        <x:v>-0.30599431071611394</x:v>
      </x:c>
    </x:row>
    <x:row r="585" ht="18" customHeight="1">
      <x:c r="A585" s="13" t="n">
        <x:v>43454</x:v>
      </x:c>
      <x:c r="B585" s="12" t="n">
        <x:v>27.000000000000057</x:v>
      </x:c>
      <x:c r="C585" s="12" t="n">
        <x:v>-0.007699457301329583</x:v>
      </x:c>
      <x:c r="D585" s="12" t="n">
        <x:v>-0.32291022422585197</x:v>
      </x:c>
      <x:c r="E585" s="12" t="n">
        <x:v>-0.3020114520928787</x:v>
      </x:c>
    </x:row>
    <x:row r="586" ht="18" customHeight="1">
      <x:c r="A586" s="13" t="n">
        <x:v>43455</x:v>
      </x:c>
      <x:c r="B586" s="12" t="n">
        <x:v>10.999999999999943</x:v>
      </x:c>
      <x:c r="C586" s="12" t="n">
        <x:v>-0.01247284414395827</x:v>
      </x:c>
      <x:c r="D586" s="12" t="n">
        <x:v>-0.3352988826627248</x:v>
      </x:c>
      <x:c r="E586" s="12" t="n">
        <x:v>-0.3062142448369119</x:v>
      </x:c>
    </x:row>
    <x:row r="587" ht="18" customHeight="1">
      <x:c r="A587" s="13" t="n">
        <x:v>43458</x:v>
      </x:c>
      <x:c r="B587" s="12" t="n">
        <x:v>13</x:v>
      </x:c>
      <x:c r="C587" s="12" t="n">
        <x:v>0.0029016467934745113</x:v>
      </x:c>
      <x:c r="D587" s="12" t="n">
        <x:v>-0.3123912238945461</x:v>
      </x:c>
      <x:c r="E587" s="12" t="n">
        <x:v>-0.30139280485364617</x:v>
      </x:c>
    </x:row>
    <x:row r="588" ht="18" customHeight="1">
      <x:c r="A588" s="13" t="n">
        <x:v>43460</x:v>
      </x:c>
      <x:c r="B588" s="12" t="n">
        <x:v>2</x:v>
      </x:c>
      <x:c r="C588" s="12" t="n">
        <x:v>-0.005066634541426275</x:v>
      </x:c>
      <x:c r="D588" s="12" t="n">
        <x:v>-0.308279889122651</x:v>
      </x:c>
      <x:c r="E588" s="12" t="n">
        <x:v>-0.3004132237682127</x:v>
      </x:c>
    </x:row>
    <x:row r="589" ht="18" customHeight="1">
      <x:c r="A589" s="13" t="n">
        <x:v>43461</x:v>
      </x:c>
      <x:c r="B589" s="12" t="n">
        <x:v>1</x:v>
      </x:c>
      <x:c r="C589" s="12" t="n">
        <x:v>-0.0038471223536812207</x:v>
      </x:c>
      <x:c r="D589" s="12" t="n">
        <x:v>-0.3073850968649003</x:v>
      </x:c>
      <x:c r="E589" s="12" t="n">
        <x:v>-0.30329309122675524</x:v>
      </x:c>
    </x:row>
    <x:row r="590" ht="18" customHeight="1">
      <x:c r="A590" s="13" t="n">
        <x:v>43462</x:v>
      </x:c>
      <x:c r="B590" s="12" t="n">
        <x:v>-8</x:v>
      </x:c>
      <x:c r="C590" s="12" t="n">
        <x:v>0.006714694509391029</x:v>
      </x:c>
      <x:c r="D590" s="12" t="n">
        <x:v>-0.3105043329750987</x:v>
      </x:c>
      <x:c r="E590" s="12" t="n">
        <x:v>-0.3083512293830967</x:v>
      </x:c>
    </x:row>
    <x:row r="591" ht="18" customHeight="1">
      <x:c r="A591" s="13" t="n">
        <x:v>43467</x:v>
      </x:c>
      <x:c r="B591" s="12" t="n">
        <x:v>2</x:v>
      </x:c>
      <x:c r="C591" s="12" t="n">
        <x:v>-0.01375172211955543</x:v>
      </x:c>
      <x:c r="D591" s="12" t="n">
        <x:v>-0.31356013510564823</x:v>
      </x:c>
      <x:c r="E591" s="12" t="n">
        <x:v>-0.30908002538146223</x:v>
      </x:c>
    </x:row>
    <x:row r="592" ht="18" customHeight="1">
      <x:c r="A592" s="13" t="n">
        <x:v>43468</x:v>
      </x:c>
      <x:c r="B592" s="12" t="n">
        <x:v>9</x:v>
      </x:c>
      <x:c r="C592" s="12" t="n">
        <x:v>-0.0015816995321003935</x:v>
      </x:c>
      <x:c r="D592" s="12" t="n">
        <x:v>-0.3100894491538104</x:v>
      </x:c>
      <x:c r="E592" s="12" t="n">
        <x:v>-0.308373446164738</x:v>
      </x:c>
    </x:row>
    <x:row r="593" ht="18" customHeight="1">
      <x:c r="A593" s="13" t="n">
        <x:v>43469</x:v>
      </x:c>
      <x:c r="B593" s="12" t="n">
        <x:v>-39</x:v>
      </x:c>
      <x:c r="C593" s="12" t="n">
        <x:v>0.023675613241137573</x:v>
      </x:c>
      <x:c r="D593" s="12" t="n">
        <x:v>-0.3634033784700655</x:v>
      </x:c>
      <x:c r="E593" s="12" t="n">
        <x:v>-0.32739343612300276</x:v>
      </x:c>
    </x:row>
    <x:row r="594" ht="18" customHeight="1">
      <x:c r="A594" s="13" t="n">
        <x:v>43472</x:v>
      </x:c>
      <x:c r="B594" s="12" t="n">
        <x:v>-22</x:v>
      </x:c>
      <x:c r="C594" s="12" t="n">
        <x:v>0.00605202638511489</x:v>
      </x:c>
      <x:c r="D594" s="12" t="n">
        <x:v>-0.3610927749825851</x:v>
      </x:c>
      <x:c r="E594" s="12" t="n">
        <x:v>-0.32529066163491505</x:v>
      </x:c>
    </x:row>
    <x:row r="595" ht="18" customHeight="1">
      <x:c r="A595" s="13" t="n">
        <x:v>43473</x:v>
      </x:c>
      <x:c r="B595" s="12" t="n">
        <x:v>-17.999999999999943</x:v>
      </x:c>
      <x:c r="C595" s="12" t="n">
        <x:v>-0.0021630598306179886</x:v>
      </x:c>
      <x:c r="D595" s="12" t="n">
        <x:v>-0.3780302251654538</x:v>
      </x:c>
      <x:c r="E595" s="12" t="n">
        <x:v>-0.3199185975267482</x:v>
      </x:c>
    </x:row>
    <x:row r="596" ht="18" customHeight="1">
      <x:c r="A596" s="13" t="n">
        <x:v>43474</x:v>
      </x:c>
      <x:c r="B596" s="12" t="n">
        <x:v>-13.000000000000114</x:v>
      </x:c>
      <x:c r="C596" s="12" t="n">
        <x:v>0.010046280660777089</x:v>
      </x:c>
      <x:c r="D596" s="12" t="n">
        <x:v>-0.38812772803274487</x:v>
      </x:c>
      <x:c r="E596" s="12" t="n">
        <x:v>-0.3232215671228703</x:v>
      </x:c>
    </x:row>
    <x:row r="597" ht="18" customHeight="1">
      <x:c r="A597" s="13" t="n">
        <x:v>43475</x:v>
      </x:c>
      <x:c r="B597" s="12" t="n">
        <x:v>2.000000000000057</x:v>
      </x:c>
      <x:c r="C597" s="12" t="n">
        <x:v>-0.001882409023599767</x:v>
      </x:c>
      <x:c r="D597" s="12" t="n">
        <x:v>-0.3891639425939194</x:v>
      </x:c>
      <x:c r="E597" s="12" t="n">
        <x:v>-0.32341319680424496</x:v>
      </x:c>
    </x:row>
    <x:row r="598" ht="18" customHeight="1">
      <x:c r="A598" s="13" t="n">
        <x:v>43476</x:v>
      </x:c>
      <x:c r="B598" s="12" t="n">
        <x:v>1</x:v>
      </x:c>
      <x:c r="C598" s="12" t="n">
        <x:v>0.007164011767437094</x:v>
      </x:c>
      <x:c r="D598" s="12" t="n">
        <x:v>-0.39520272082835894</x:v>
      </x:c>
      <x:c r="E598" s="12" t="n">
        <x:v>-0.32312624140849466</x:v>
      </x:c>
    </x:row>
    <x:row r="599" ht="18" customHeight="1">
      <x:c r="A599" s="13" t="n">
        <x:v>43479</x:v>
      </x:c>
      <x:c r="B599" s="12" t="n">
        <x:v>4.999999999999943</x:v>
      </x:c>
      <x:c r="C599" s="12" t="n">
        <x:v>-0.008760599755919578</x:v>
      </x:c>
      <x:c r="D599" s="12" t="n">
        <x:v>-0.3922616879002763</x:v>
      </x:c>
      <x:c r="E599" s="12" t="n">
        <x:v>-0.3239420269576353</x:v>
      </x:c>
    </x:row>
    <x:row r="600" ht="18" customHeight="1">
      <x:c r="A600" s="13" t="n">
        <x:v>43480</x:v>
      </x:c>
      <x:c r="B600" s="12" t="n">
        <x:v>-4.999999999999943</x:v>
      </x:c>
      <x:c r="C600" s="12" t="n">
        <x:v>0.019435113786143984</x:v>
      </x:c>
      <x:c r="D600" s="12" t="n">
        <x:v>-0.41317217517721166</x:v>
      </x:c>
      <x:c r="E600" s="12" t="n">
        <x:v>-0.3257407933261432</x:v>
      </x:c>
    </x:row>
    <x:row r="601" ht="18" customHeight="1">
      <x:c r="A601" s="13" t="n">
        <x:v>43481</x:v>
      </x:c>
      <x:c r="B601" s="12" t="n">
        <x:v>-10.999999999999943</x:v>
      </x:c>
      <x:c r="C601" s="12" t="n">
        <x:v>0.0002113913475927562</x:v>
      </x:c>
      <x:c r="D601" s="12" t="n">
        <x:v>-0.4153957422952354</x:v>
      </x:c>
      <x:c r="E601" s="12" t="n">
        <x:v>-0.3251816426847735</x:v>
      </x:c>
    </x:row>
    <x:row r="602" ht="18" customHeight="1">
      <x:c r="A602" s="13" t="n">
        <x:v>43482</x:v>
      </x:c>
      <x:c r="B602" s="12" t="n">
        <x:v>-4</x:v>
      </x:c>
      <x:c r="C602" s="12" t="n">
        <x:v>-0.0055239598173146606</x:v>
      </x:c>
      <x:c r="D602" s="12" t="n">
        <x:v>-0.410331228190178</x:v>
      </x:c>
      <x:c r="E602" s="12" t="n">
        <x:v>-0.32048741970063815</x:v>
      </x:c>
    </x:row>
    <x:row r="603" ht="18" customHeight="1">
      <x:c r="A603" s="13" t="n">
        <x:v>43483</x:v>
      </x:c>
      <x:c r="B603" s="12" t="n">
        <x:v>-13.000000000000114</x:v>
      </x:c>
      <x:c r="C603" s="12" t="n">
        <x:v>0.018077179967474297</x:v>
      </x:c>
      <x:c r="D603" s="12" t="n">
        <x:v>-0.4240695387977148</x:v>
      </x:c>
      <x:c r="E603" s="12" t="n">
        <x:v>-0.3263223910591544</x:v>
      </x:c>
    </x:row>
    <x:row r="604" ht="18" customHeight="1">
      <x:c r="A604" s="13" t="n">
        <x:v>43486</x:v>
      </x:c>
      <x:c r="B604" s="12" t="n">
        <x:v>0</x:v>
      </x:c>
      <x:c r="C604" s="12" t="n">
        <x:v>0.005496715558999611</x:v>
      </x:c>
      <x:c r="D604" s="12" t="n">
        <x:v>-0.43509424025892274</x:v>
      </x:c>
      <x:c r="E604" s="12" t="n">
        <x:v>-0.3254496964568289</x:v>
      </x:c>
    </x:row>
    <x:row r="605" ht="18" customHeight="1">
      <x:c r="A605" s="13" t="n">
        <x:v>43487</x:v>
      </x:c>
      <x:c r="B605" s="12" t="n">
        <x:v>14.000000000000057</x:v>
      </x:c>
      <x:c r="C605" s="12" t="n">
        <x:v>-0.01337343708651259</x:v>
      </x:c>
      <x:c r="D605" s="12" t="n">
        <x:v>-0.48103675914752553</x:v>
      </x:c>
      <x:c r="E605" s="12" t="n">
        <x:v>-0.3291431369437132</x:v>
      </x:c>
    </x:row>
    <x:row r="606" ht="18" customHeight="1">
      <x:c r="A606" s="13" t="n">
        <x:v>43488</x:v>
      </x:c>
      <x:c r="B606" s="12" t="n">
        <x:v>-2.000000000000057</x:v>
      </x:c>
      <x:c r="C606" s="12" t="n">
        <x:v>-0.0007204859006901076</x:v>
      </x:c>
      <x:c r="D606" s="12" t="n">
        <x:v>-0.46478768966587053</x:v>
      </x:c>
      <x:c r="E606" s="12" t="n">
        <x:v>-0.3288923095938556</x:v>
      </x:c>
    </x:row>
    <x:row r="607" ht="18" customHeight="1">
      <x:c r="A607" s="13" t="n">
        <x:v>43489</x:v>
      </x:c>
      <x:c r="B607" s="12" t="n">
        <x:v>6.000000000000057</x:v>
      </x:c>
      <x:c r="C607" s="12" t="n">
        <x:v>0.005628257591068691</x:v>
      </x:c>
      <x:c r="D607" s="12" t="n">
        <x:v>-0.4604083643686625</x:v>
      </x:c>
      <x:c r="E607" s="12" t="n">
        <x:v>-0.3262767749283886</x:v>
      </x:c>
    </x:row>
    <x:row r="608" ht="18" customHeight="1">
      <x:c r="A608" s="13" t="n">
        <x:v>43490</x:v>
      </x:c>
      <x:c r="B608" s="12" t="n">
        <x:v>-11</x:v>
      </x:c>
      <x:c r="C608" s="12" t="n">
        <x:v>0.008099329258855039</x:v>
      </x:c>
      <x:c r="D608" s="12" t="n">
        <x:v>-0.46690048378866605</x:v>
      </x:c>
      <x:c r="E608" s="12" t="n">
        <x:v>-0.33163701871116497</x:v>
      </x:c>
    </x:row>
    <x:row r="609" ht="18" customHeight="1">
      <x:c r="A609" s="13" t="n">
        <x:v>43493</x:v>
      </x:c>
      <x:c r="B609" s="12" t="n">
        <x:v>7</x:v>
      </x:c>
      <x:c r="C609" s="12" t="n">
        <x:v>-0.00021729683855788832</x:v>
      </x:c>
      <x:c r="D609" s="12" t="n">
        <x:v>-0.46212112381630494</x:v>
      </x:c>
      <x:c r="E609" s="12" t="n">
        <x:v>-0.33085789013924793</x:v>
      </x:c>
    </x:row>
    <x:row r="610" ht="18" customHeight="1">
      <x:c r="A610" s="13" t="n">
        <x:v>43494</x:v>
      </x:c>
      <x:c r="B610" s="12" t="n">
        <x:v>-0.9999999999999432</x:v>
      </x:c>
      <x:c r="C610" s="12" t="n">
        <x:v>0.003196146814004265</x:v>
      </x:c>
      <x:c r="D610" s="12" t="n">
        <x:v>-0.4954926590451271</x:v>
      </x:c>
      <x:c r="E610" s="12" t="n">
        <x:v>-0.3304812782741415</x:v>
      </x:c>
    </x:row>
    <x:row r="611" ht="18" customHeight="1">
      <x:c r="A611" s="13" t="n">
        <x:v>43495</x:v>
      </x:c>
      <x:c r="B611" s="12" t="n">
        <x:v>-4</x:v>
      </x:c>
      <x:c r="C611" s="12" t="n">
        <x:v>-0.008011701628187862</x:v>
      </x:c>
      <x:c r="D611" s="12" t="n">
        <x:v>-0.4965334593730062</x:v>
      </x:c>
      <x:c r="E611" s="12" t="n">
        <x:v>-0.3287543060112835</x:v>
      </x:c>
    </x:row>
    <x:row r="612" ht="18" customHeight="1">
      <x:c r="A612" s="13" t="n">
        <x:v>43496</x:v>
      </x:c>
      <x:c r="B612" s="12" t="n">
        <x:v>0.9999999999999432</x:v>
      </x:c>
      <x:c r="C612" s="12" t="n">
        <x:v>0.01040813048322049</x:v>
      </x:c>
      <x:c r="D612" s="12" t="n">
        <x:v>-0.4860444377231674</x:v>
      </x:c>
      <x:c r="E612" s="12" t="n">
        <x:v>-0.32779172918345195</x:v>
      </x:c>
    </x:row>
    <x:row r="613" ht="18" customHeight="1">
      <x:c r="A613" s="13" t="n">
        <x:v>43497</x:v>
      </x:c>
      <x:c r="B613" s="12" t="n">
        <x:v>-8</x:v>
      </x:c>
      <x:c r="C613" s="12" t="n">
        <x:v>0.014192759773769527</x:v>
      </x:c>
      <x:c r="D613" s="12" t="n">
        <x:v>-0.4941642701873793</x:v>
      </x:c>
      <x:c r="E613" s="12" t="n">
        <x:v>-0.33137087187761965</x:v>
      </x:c>
    </x:row>
    <x:row r="614" ht="18" customHeight="1">
      <x:c r="A614" s="13" t="n">
        <x:v>43507</x:v>
      </x:c>
      <x:c r="B614" s="12" t="n">
        <x:v>-4</x:v>
      </x:c>
      <x:c r="C614" s="12" t="n">
        <x:v>0.018028127998166308</x:v>
      </x:c>
      <x:c r="D614" s="12" t="n">
        <x:v>-0.48995773852091923</x:v>
      </x:c>
      <x:c r="E614" s="12" t="n">
        <x:v>-0.33356887602691787</x:v>
      </x:c>
    </x:row>
    <x:row r="615" ht="18" customHeight="1">
      <x:c r="A615" s="13" t="n">
        <x:v>43508</x:v>
      </x:c>
      <x:c r="B615" s="12" t="n">
        <x:v>-11</x:v>
      </x:c>
      <x:c r="C615" s="12" t="n">
        <x:v>0.007191078467541088</x:v>
      </x:c>
      <x:c r="D615" s="12" t="n">
        <x:v>-0.49774404851600357</x:v>
      </x:c>
      <x:c r="E615" s="12" t="n">
        <x:v>-0.33544400281042414</x:v>
      </x:c>
    </x:row>
    <x:row r="616" ht="18" customHeight="1">
      <x:c r="A616" s="13" t="n">
        <x:v>43509</x:v>
      </x:c>
      <x:c r="B616" s="12" t="n">
        <x:v>-5</x:v>
      </x:c>
      <x:c r="C616" s="12" t="n">
        <x:v>0.01982782434737895</x:v>
      </x:c>
      <x:c r="D616" s="12" t="n">
        <x:v>-0.5055172783606894</x:v>
      </x:c>
      <x:c r="E616" s="12" t="n">
        <x:v>-0.3370237096545854</x:v>
      </x:c>
    </x:row>
    <x:row r="617" ht="18" customHeight="1">
      <x:c r="A617" s="13" t="n">
        <x:v>43510</x:v>
      </x:c>
      <x:c r="B617" s="12" t="n">
        <x:v>5</x:v>
      </x:c>
      <x:c r="C617" s="12" t="n">
        <x:v>0.001503919608647295</x:v>
      </x:c>
      <x:c r="D617" s="12" t="n">
        <x:v>-0.5175594490718803</x:v>
      </x:c>
      <x:c r="E617" s="12" t="n">
        <x:v>-0.3361267189455983</x:v>
      </x:c>
    </x:row>
    <x:row r="618" ht="18" customHeight="1">
      <x:c r="A618" s="13" t="n">
        <x:v>43511</x:v>
      </x:c>
      <x:c r="B618" s="12" t="n">
        <x:v>-5</x:v>
      </x:c>
      <x:c r="C618" s="12" t="n">
        <x:v>-0.018821816172192005</x:v>
      </x:c>
      <x:c r="D618" s="12" t="n">
        <x:v>-0.49239476807897786</x:v>
      </x:c>
      <x:c r="E618" s="12" t="n">
        <x:v>-0.33058400124375126</x:v>
      </x:c>
    </x:row>
    <x:row r="619" ht="18" customHeight="1">
      <x:c r="A619" s="13" t="n">
        <x:v>43514</x:v>
      </x:c>
      <x:c r="B619" s="12" t="n">
        <x:v>0</x:v>
      </x:c>
      <x:c r="C619" s="12" t="n">
        <x:v>0.03155716108794263</x:v>
      </x:c>
      <x:c r="D619" s="12" t="n">
        <x:v>-0.4562099716893209</x:v>
      </x:c>
      <x:c r="E619" s="12" t="n">
        <x:v>-0.327536724420519</x:v>
      </x:c>
    </x:row>
    <x:row r="620" ht="18" customHeight="1">
      <x:c r="A620" s="13" t="n">
        <x:v>43515</x:v>
      </x:c>
      <x:c r="B620" s="12" t="n">
        <x:v>-0.9999999999999432</x:v>
      </x:c>
      <x:c r="C620" s="12" t="n">
        <x:v>-0.0017826252282723291</x:v>
      </x:c>
      <x:c r="D620" s="12" t="n">
        <x:v>-0.45733901350668865</x:v>
      </x:c>
      <x:c r="E620" s="12" t="n">
        <x:v>-0.32690582418600594</x:v>
      </x:c>
    </x:row>
    <x:row r="621" ht="18" customHeight="1">
      <x:c r="A621" s="13" t="n">
        <x:v>43516</x:v>
      </x:c>
      <x:c r="B621" s="12" t="n">
        <x:v>-3.000000000000057</x:v>
      </x:c>
      <x:c r="C621" s="12" t="n">
        <x:v>0.0035752594869061863</x:v>
      </x:c>
      <x:c r="D621" s="12" t="n">
        <x:v>-0.4905630960148773</x:v>
      </x:c>
      <x:c r="E621" s="12" t="n">
        <x:v>-0.32657681925029763</x:v>
      </x:c>
    </x:row>
    <x:row r="622" ht="18" customHeight="1">
      <x:c r="A622" s="13" t="n">
        <x:v>43517</x:v>
      </x:c>
      <x:c r="B622" s="12" t="n">
        <x:v>-4</x:v>
      </x:c>
      <x:c r="C622" s="12" t="n">
        <x:v>-0.0026750388694597887</x:v>
      </x:c>
      <x:c r="D622" s="12" t="n">
        <x:v>-0.480007698116335</x:v>
      </x:c>
      <x:c r="E622" s="12" t="n">
        <x:v>-0.324253795886971</x:v>
      </x:c>
    </x:row>
    <x:row r="623" ht="18" customHeight="1">
      <x:c r="A623" s="13" t="n">
        <x:v>43518</x:v>
      </x:c>
      <x:c r="B623" s="12" t="n">
        <x:v>1</x:v>
      </x:c>
      <x:c r="C623" s="12" t="n">
        <x:v>0.022236894716653265</x:v>
      </x:c>
      <x:c r="D623" s="12" t="n">
        <x:v>-0.48971813699851574</x:v>
      </x:c>
      <x:c r="E623" s="12" t="n">
        <x:v>-0.32122950909508113</x:v>
      </x:c>
    </x:row>
    <x:row r="624" ht="18" customHeight="1">
      <x:c r="A624" s="13" t="n">
        <x:v>43521</x:v>
      </x:c>
      <x:c r="B624" s="12" t="n">
        <x:v>-5</x:v>
      </x:c>
      <x:c r="C624" s="12" t="n">
        <x:v>0.05777507637260326</x:v>
      </x:c>
      <x:c r="D624" s="12" t="n">
        <x:v>-0.4560392050561583</x:v>
      </x:c>
      <x:c r="E624" s="12" t="n">
        <x:v>-0.3223013642738932</x:v>
      </x:c>
    </x:row>
    <x:row r="625" ht="18" customHeight="1">
      <x:c r="A625" s="13" t="n">
        <x:v>43522</x:v>
      </x:c>
      <x:c r="B625" s="12" t="n">
        <x:v>1</x:v>
      </x:c>
      <x:c r="C625" s="12" t="n">
        <x:v>-0.012082297816139545</x:v>
      </x:c>
      <x:c r="D625" s="12" t="n">
        <x:v>-0.46577158193258245</x:v>
      </x:c>
      <x:c r="E625" s="12" t="n">
        <x:v>-0.324561793133974</x:v>
      </x:c>
    </x:row>
    <x:row r="626" ht="18" customHeight="1">
      <x:c r="A626" s="13" t="n">
        <x:v>43523</x:v>
      </x:c>
      <x:c r="B626" s="12" t="n">
        <x:v>-7</x:v>
      </x:c>
      <x:c r="C626" s="12" t="n">
        <x:v>-0.0017116197965711278</x:v>
      </x:c>
      <x:c r="D626" s="12" t="n">
        <x:v>-0.4512382000514849</x:v>
      </x:c>
      <x:c r="E626" s="12" t="n">
        <x:v>-0.3258907717696395</x:v>
      </x:c>
    </x:row>
    <x:row r="627" ht="18" customHeight="1">
      <x:c r="A627" s="13" t="n">
        <x:v>43524</x:v>
      </x:c>
      <x:c r="B627" s="12" t="n">
        <x:v>-2</x:v>
      </x:c>
      <x:c r="C627" s="12" t="n">
        <x:v>-0.002455660388162692</x:v>
      </x:c>
      <x:c r="D627" s="12" t="n">
        <x:v>-0.452226131962475</x:v>
      </x:c>
      <x:c r="E627" s="12" t="n">
        <x:v>-0.316600648303307</x:v>
      </x:c>
    </x:row>
    <x:row r="628" ht="18" customHeight="1">
      <x:c r="A628" s="13" t="n">
        <x:v>43525</x:v>
      </x:c>
      <x:c r="B628" s="12" t="n">
        <x:v>-6</x:v>
      </x:c>
      <x:c r="C628" s="12" t="n">
        <x:v>0.021659583449891353</x:v>
      </x:c>
      <x:c r="D628" s="12" t="n">
        <x:v>-0.45566193125668447</x:v>
      </x:c>
      <x:c r="E628" s="12" t="n">
        <x:v>-0.33749137964280684</x:v>
      </x:c>
    </x:row>
    <x:row r="629" ht="18" customHeight="1">
      <x:c r="A629" s="13" t="n">
        <x:v>43528</x:v>
      </x:c>
      <x:c r="B629" s="12" t="n">
        <x:v>4</x:v>
      </x:c>
      <x:c r="C629" s="12" t="n">
        <x:v>0.011768632426515767</x:v>
      </x:c>
      <x:c r="D629" s="12" t="n">
        <x:v>-0.44756799204108655</x:v>
      </x:c>
      <x:c r="E629" s="12" t="n">
        <x:v>-0.3327516062459879</x:v>
      </x:c>
    </x:row>
    <x:row r="630" ht="18" customHeight="1">
      <x:c r="A630" s="13" t="n">
        <x:v>43529</x:v>
      </x:c>
      <x:c r="B630" s="12" t="n">
        <x:v>1</x:v>
      </x:c>
      <x:c r="C630" s="12" t="n">
        <x:v>0.005757929859737223</x:v>
      </x:c>
      <x:c r="D630" s="12" t="n">
        <x:v>-0.4483477471268469</x:v>
      </x:c>
      <x:c r="E630" s="12" t="n">
        <x:v>-0.30487238936610617</x:v>
      </x:c>
    </x:row>
    <x:row r="631" ht="18" customHeight="1">
      <x:c r="A631" s="13" t="n">
        <x:v>43530</x:v>
      </x:c>
      <x:c r="B631" s="12" t="n">
        <x:v>7</x:v>
      </x:c>
      <x:c r="C631" s="12" t="n">
        <x:v>0.008370786564533118</x:v>
      </x:c>
      <x:c r="D631" s="12" t="n">
        <x:v>-0.4397480136990765</x:v>
      </x:c>
      <x:c r="E631" s="12" t="n">
        <x:v>-0.2978210183736921</x:v>
      </x:c>
    </x:row>
    <x:row r="632" ht="18" customHeight="1">
      <x:c r="A632" s="13" t="n">
        <x:v>43531</x:v>
      </x:c>
      <x:c r="B632" s="12" t="n">
        <x:v>11.999999999999943</x:v>
      </x:c>
      <x:c r="C632" s="12" t="n">
        <x:v>-0.010249771721790521</x:v>
      </x:c>
      <x:c r="D632" s="12" t="n">
        <x:v>-0.44689596035595563</x:v>
      </x:c>
      <x:c r="E632" s="12" t="n">
        <x:v>-0.3050798791009416</x:v>
      </x:c>
    </x:row>
    <x:row r="633" ht="18" customHeight="1">
      <x:c r="A633" s="13" t="n">
        <x:v>43532</x:v>
      </x:c>
      <x:c r="B633" s="12" t="n">
        <x:v>8.000000000000057</x:v>
      </x:c>
      <x:c r="C633" s="12" t="n">
        <x:v>-0.04052577441024072</x:v>
      </x:c>
      <x:c r="D633" s="12" t="n">
        <x:v>-0.45986235092767536</x:v>
      </x:c>
      <x:c r="E633" s="12" t="n">
        <x:v>-0.310439419818223</x:v>
      </x:c>
    </x:row>
    <x:row r="634" ht="18" customHeight="1">
      <x:c r="A634" s="13" t="n">
        <x:v>43535</x:v>
      </x:c>
      <x:c r="B634" s="12" t="n">
        <x:v>-6</x:v>
      </x:c>
      <x:c r="C634" s="12" t="n">
        <x:v>0.01959460886782455</x:v>
      </x:c>
      <x:c r="D634" s="12" t="n">
        <x:v>-0.4738836881591074</x:v>
      </x:c>
      <x:c r="E634" s="12" t="n">
        <x:v>-0.3218473722451616</x:v>
      </x:c>
    </x:row>
    <x:row r="635" ht="18" customHeight="1">
      <x:c r="A635" s="13" t="n">
        <x:v>43536</x:v>
      </x:c>
      <x:c r="B635" s="12" t="n">
        <x:v>-4</x:v>
      </x:c>
      <x:c r="C635" s="12" t="n">
        <x:v>0.006785933871841623</x:v>
      </x:c>
      <x:c r="D635" s="12" t="n">
        <x:v>-0.4651179474259145</x:v>
      </x:c>
      <x:c r="E635" s="12" t="n">
        <x:v>-0.324004835690045</x:v>
      </x:c>
    </x:row>
    <x:row r="636" ht="18" customHeight="1">
      <x:c r="A636" s="13" t="n">
        <x:v>43537</x:v>
      </x:c>
      <x:c r="B636" s="12" t="n">
        <x:v>-9</x:v>
      </x:c>
      <x:c r="C636" s="12" t="n">
        <x:v>-0.00833151644030722</x:v>
      </x:c>
      <x:c r="D636" s="12" t="n">
        <x:v>-0.45349582502167995</x:v>
      </x:c>
      <x:c r="E636" s="12" t="n">
        <x:v>-0.3170828101850498</x:v>
      </x:c>
    </x:row>
    <x:row r="637" ht="18" customHeight="1">
      <x:c r="A637" s="13" t="n">
        <x:v>43538</x:v>
      </x:c>
      <x:c r="B637" s="12" t="n">
        <x:v>-4</x:v>
      </x:c>
      <x:c r="C637" s="12" t="n">
        <x:v>-0.006926986787349062</x:v>
      </x:c>
      <x:c r="D637" s="12" t="n">
        <x:v>-0.4486687147370053</x:v>
      </x:c>
      <x:c r="E637" s="12" t="n">
        <x:v>-0.3181891164428282</x:v>
      </x:c>
    </x:row>
    <x:row r="638" ht="18" customHeight="1">
      <x:c r="A638" s="13" t="n">
        <x:v>43539</x:v>
      </x:c>
      <x:c r="B638" s="12" t="n">
        <x:v>0</x:v>
      </x:c>
      <x:c r="C638" s="12" t="n">
        <x:v>0.012499459437710598</x:v>
      </x:c>
      <x:c r="D638" s="12" t="n">
        <x:v>-0.41294683496494994</x:v>
      </x:c>
      <x:c r="E638" s="12" t="n">
        <x:v>-0.31800248496931227</x:v>
      </x:c>
    </x:row>
    <x:row r="639" ht="18" customHeight="1">
      <x:c r="A639" s="13" t="n">
        <x:v>43542</x:v>
      </x:c>
      <x:c r="B639" s="12" t="n">
        <x:v>0</x:v>
      </x:c>
      <x:c r="C639" s="12" t="n">
        <x:v>0.02810409319109816</x:v>
      </x:c>
      <x:c r="D639" s="12" t="n">
        <x:v>-0.3999374700030106</x:v>
      </x:c>
      <x:c r="E639" s="12" t="n">
        <x:v>-0.32080612451313584</x:v>
      </x:c>
    </x:row>
    <x:row r="640" ht="18" customHeight="1">
      <x:c r="A640" s="13" t="n">
        <x:v>43543</x:v>
      </x:c>
      <x:c r="B640" s="12" t="n">
        <x:v>-4</x:v>
      </x:c>
      <x:c r="C640" s="12" t="n">
        <x:v>-0.0046281555222481095</x:v>
      </x:c>
      <x:c r="D640" s="12" t="n">
        <x:v>-0.3891884774733057</x:v>
      </x:c>
      <x:c r="E640" s="12" t="n">
        <x:v>-0.3185347053260609</x:v>
      </x:c>
    </x:row>
    <x:row r="641" ht="18" customHeight="1">
      <x:c r="A641" s="13" t="n">
        <x:v>43544</x:v>
      </x:c>
      <x:c r="B641" s="12" t="n">
        <x:v>6</x:v>
      </x:c>
      <x:c r="C641" s="12" t="n">
        <x:v>0.00038519299431279954</x:v>
      </x:c>
      <x:c r="D641" s="12" t="n">
        <x:v>-0.39012071819635874</x:v>
      </x:c>
      <x:c r="E641" s="12" t="n">
        <x:v>-0.3182804089769831</x:v>
      </x:c>
    </x:row>
    <x:row r="642" ht="18" customHeight="1">
      <x:c r="A642" s="13" t="n">
        <x:v>43545</x:v>
      </x:c>
      <x:c r="B642" s="12" t="n">
        <x:v>-5</x:v>
      </x:c>
      <x:c r="C642" s="12" t="n">
        <x:v>0.0003783986945611922</x:v>
      </x:c>
      <x:c r="D642" s="12" t="n">
        <x:v>-0.38961087467408556</x:v>
      </x:c>
      <x:c r="E642" s="12" t="n">
        <x:v>-0.3159774427744316</x:v>
      </x:c>
    </x:row>
    <x:row r="643" ht="18" customHeight="1">
      <x:c r="A643" s="13" t="n">
        <x:v>43546</x:v>
      </x:c>
      <x:c r="B643" s="12" t="n">
        <x:v>11</x:v>
      </x:c>
      <x:c r="C643" s="12" t="n">
        <x:v>-0.0008056639284805862</x:v>
      </x:c>
      <x:c r="D643" s="12" t="n">
        <x:v>-0.3919211706008249</x:v>
      </x:c>
      <x:c r="E643" s="12" t="n">
        <x:v>-0.3140818198455444</x:v>
      </x:c>
    </x:row>
    <x:row r="644" ht="18" customHeight="1">
      <x:c r="A644" s="13" t="n">
        <x:v>43549</x:v>
      </x:c>
      <x:c r="B644" s="12" t="n">
        <x:v>10</x:v>
      </x:c>
      <x:c r="C644" s="12" t="n">
        <x:v>-0.02401609018684471</x:v>
      </x:c>
      <x:c r="D644" s="12" t="n">
        <x:v>-0.4003153360052854</x:v>
      </x:c>
      <x:c r="E644" s="12" t="n">
        <x:v>-0.3208191123782486</x:v>
      </x:c>
    </x:row>
    <x:row r="645" ht="18" customHeight="1">
      <x:c r="A645" s="13" t="n">
        <x:v>43550</x:v>
      </x:c>
      <x:c r="B645" s="12" t="n">
        <x:v>-4</x:v>
      </x:c>
      <x:c r="C645" s="12" t="n">
        <x:v>-0.011389320111184707</x:v>
      </x:c>
      <x:c r="D645" s="12" t="n">
        <x:v>-0.39154891662633456</x:v>
      </x:c>
      <x:c r="E645" s="12" t="n">
        <x:v>-0.31766693224380643</x:v>
      </x:c>
    </x:row>
    <x:row r="646" ht="18" customHeight="1">
      <x:c r="A646" s="13" t="n">
        <x:v>43551</x:v>
      </x:c>
      <x:c r="B646" s="12" t="n">
        <x:v>0</x:v>
      </x:c>
      <x:c r="C646" s="12" t="n">
        <x:v>0.011539623075062276</x:v>
      </x:c>
      <x:c r="D646" s="12" t="n">
        <x:v>-0.37688739551555983</x:v>
      </x:c>
      <x:c r="E646" s="12" t="n">
        <x:v>-0.3177901822376453</x:v>
      </x:c>
    </x:row>
    <x:row r="647" ht="18" customHeight="1">
      <x:c r="A647" s="13" t="n">
        <x:v>43552</x:v>
      </x:c>
      <x:c r="B647" s="12" t="n">
        <x:v>-1</x:v>
      </x:c>
      <x:c r="C647" s="12" t="n">
        <x:v>-0.004013103678338908</x:v>
      </x:c>
      <x:c r="D647" s="12" t="n">
        <x:v>-0.3622082134963225</x:v>
      </x:c>
      <x:c r="E647" s="12" t="n">
        <x:v>-0.31691286804402613</x:v>
      </x:c>
    </x:row>
    <x:row r="648" ht="18" customHeight="1">
      <x:c r="A648" s="13" t="n">
        <x:v>43553</x:v>
      </x:c>
      <x:c r="B648" s="12" t="n">
        <x:v>-9</x:v>
      </x:c>
      <x:c r="C648" s="12" t="n">
        <x:v>0.03788135875700307</x:v>
      </x:c>
      <x:c r="D648" s="12" t="n">
        <x:v>-0.36761909930935643</x:v>
      </x:c>
      <x:c r="E648" s="12" t="n">
        <x:v>-0.32484545540369336</x:v>
      </x:c>
    </x:row>
    <x:row r="649" ht="18" customHeight="1">
      <x:c r="A649" s="13" t="n">
        <x:v>43556</x:v>
      </x:c>
      <x:c r="B649" s="12" t="n">
        <x:v>-11</x:v>
      </x:c>
      <x:c r="C649" s="12" t="n">
        <x:v>0.02589574083330405</x:v>
      </x:c>
      <x:c r="D649" s="12" t="n">
        <x:v>-0.36596428313699986</x:v>
      </x:c>
      <x:c r="E649" s="12" t="n">
        <x:v>-0.3325449920140374</x:v>
      </x:c>
    </x:row>
    <x:row r="650" ht="18" customHeight="1">
      <x:c r="A650" s="13" t="n">
        <x:v>43557</x:v>
      </x:c>
      <x:c r="B650" s="12" t="n">
        <x:v>1</x:v>
      </x:c>
      <x:c r="C650" s="12" t="n">
        <x:v>-0.00066525592981389</x:v>
      </x:c>
      <x:c r="D650" s="12" t="n">
        <x:v>-0.37403163211007273</x:v>
      </x:c>
      <x:c r="E650" s="12" t="n">
        <x:v>-0.33367851886589195</x:v>
      </x:c>
    </x:row>
    <x:row r="651" ht="18" customHeight="1">
      <x:c r="A651" s="13" t="n">
        <x:v>43558</x:v>
      </x:c>
      <x:c r="B651" s="12" t="n">
        <x:v>-5</x:v>
      </x:c>
      <x:c r="C651" s="12" t="n">
        <x:v>0.012728456175082285</x:v>
      </x:c>
      <x:c r="D651" s="12" t="n">
        <x:v>-0.37216477021080246</x:v>
      </x:c>
      <x:c r="E651" s="12" t="n">
        <x:v>-0.3366106525964188</x:v>
      </x:c>
    </x:row>
    <x:row r="652" ht="18" customHeight="1">
      <x:c r="A652" s="13" t="n">
        <x:v>43559</x:v>
      </x:c>
      <x:c r="B652" s="12" t="n">
        <x:v>0</x:v>
      </x:c>
      <x:c r="C652" s="12" t="n">
        <x:v>0.009914079016601029</x:v>
      </x:c>
      <x:c r="D652" s="12" t="n">
        <x:v>-0.3675712681939139</x:v>
      </x:c>
      <x:c r="E652" s="12" t="n">
        <x:v>-0.3363335059441268</x:v>
      </x:c>
    </x:row>
    <x:row r="653" ht="18" customHeight="1">
      <x:c r="A653" s="13" t="n">
        <x:v>43563</x:v>
      </x:c>
      <x:c r="B653" s="12" t="n">
        <x:v>-2</x:v>
      </x:c>
      <x:c r="C653" s="12" t="n">
        <x:v>-0.0012321757705419608</x:v>
      </x:c>
      <x:c r="D653" s="12" t="n">
        <x:v>-0.3674559122703853</x:v>
      </x:c>
      <x:c r="E653" s="12" t="n">
        <x:v>-0.33660840212121296</x:v>
      </x:c>
    </x:row>
    <x:row r="654" ht="18" customHeight="1">
      <x:c r="A654" s="13" t="n">
        <x:v>43564</x:v>
      </x:c>
      <x:c r="B654" s="12" t="n">
        <x:v>2</x:v>
      </x:c>
      <x:c r="C654" s="12" t="n">
        <x:v>0.004476157444159239</x:v>
      </x:c>
      <x:c r="D654" s="12" t="n">
        <x:v>-0.36163675647053717</x:v>
      </x:c>
      <x:c r="E654" s="12" t="n">
        <x:v>-0.3338715432311697</x:v>
      </x:c>
    </x:row>
    <x:row r="655" ht="18" customHeight="1">
      <x:c r="A655" s="13" t="n">
        <x:v>43565</x:v>
      </x:c>
      <x:c r="B655" s="12" t="n">
        <x:v>0</x:v>
      </x:c>
      <x:c r="C655" s="12" t="n">
        <x:v>0.0025527636249231857</x:v>
      </x:c>
      <x:c r="D655" s="12" t="n">
        <x:v>-0.3583653671323571</x:v>
      </x:c>
      <x:c r="E655" s="12" t="n">
        <x:v>-0.3321013458697215</x:v>
      </x:c>
    </x:row>
    <x:row r="656" ht="18" customHeight="1">
      <x:c r="A656" s="13" t="n">
        <x:v>43566</x:v>
      </x:c>
      <x:c r="B656" s="12" t="n">
        <x:v>-7</x:v>
      </x:c>
      <x:c r="C656" s="12" t="n">
        <x:v>-0.021840423059991402</x:v>
      </x:c>
      <x:c r="D656" s="12" t="n">
        <x:v>-0.30014379348848325</x:v>
      </x:c>
      <x:c r="E656" s="12" t="n">
        <x:v>-0.32425688919845663</x:v>
      </x:c>
    </x:row>
    <x:row r="657" ht="18" customHeight="1">
      <x:c r="A657" s="13" t="n">
        <x:v>43567</x:v>
      </x:c>
      <x:c r="B657" s="12" t="n">
        <x:v>-11</x:v>
      </x:c>
      <x:c r="C657" s="12" t="n">
        <x:v>-0.0022441235681135564</x:v>
      </x:c>
      <x:c r="D657" s="12" t="n">
        <x:v>-0.3021764122992772</x:v>
      </x:c>
      <x:c r="E657" s="12" t="n">
        <x:v>-0.32259372723619173</x:v>
      </x:c>
    </x:row>
    <x:row r="658" ht="18" customHeight="1">
      <x:c r="A658" s="13" t="n">
        <x:v>43570</x:v>
      </x:c>
      <x:c r="B658" s="12" t="n">
        <x:v>0</x:v>
      </x:c>
      <x:c r="C658" s="12" t="n">
        <x:v>-0.003287840199003918</x:v>
      </x:c>
      <x:c r="D658" s="12" t="n">
        <x:v>-0.33842984733577297</x:v>
      </x:c>
      <x:c r="E658" s="12" t="n">
        <x:v>-0.3221318602050767</x:v>
      </x:c>
    </x:row>
    <x:row r="659" ht="18" customHeight="1">
      <x:c r="A659" s="13" t="n">
        <x:v>43571</x:v>
      </x:c>
      <x:c r="B659" s="12" t="n">
        <x:v>-4</x:v>
      </x:c>
      <x:c r="C659" s="12" t="n">
        <x:v>0.02735821585833531</x:v>
      </x:c>
      <x:c r="D659" s="12" t="n">
        <x:v>-0.3404394280344884</x:v>
      </x:c>
      <x:c r="E659" s="12" t="n">
        <x:v>-0.32550397183880525</x:v>
      </x:c>
    </x:row>
    <x:row r="660" ht="18" customHeight="1">
      <x:c r="A660" s="13" t="n">
        <x:v>43572</x:v>
      </x:c>
      <x:c r="B660" s="12" t="n">
        <x:v>3</x:v>
      </x:c>
      <x:c r="C660" s="12" t="n">
        <x:v>0.00035499691313591156</x:v>
      </x:c>
      <x:c r="D660" s="12" t="n">
        <x:v>-0.33947834206368527</x:v>
      </x:c>
      <x:c r="E660" s="12" t="n">
        <x:v>-0.32509471571786697</x:v>
      </x:c>
    </x:row>
    <x:row r="661" ht="18" customHeight="1">
      <x:c r="A661" s="13" t="n">
        <x:v>43573</x:v>
      </x:c>
      <x:c r="B661" s="12" t="n">
        <x:v>6</x:v>
      </x:c>
      <x:c r="C661" s="12" t="n">
        <x:v>-0.0037171054860949664</x:v>
      </x:c>
      <x:c r="D661" s="12" t="n">
        <x:v>-0.34663704923210603</x:v>
      </x:c>
      <x:c r="E661" s="12" t="n">
        <x:v>-0.32760210659186095</x:v>
      </x:c>
    </x:row>
    <x:row r="662" ht="18" customHeight="1">
      <x:c r="A662" s="13" t="n">
        <x:v>43577</x:v>
      </x:c>
      <x:c r="B662" s="12" t="n">
        <x:v>0</x:v>
      </x:c>
      <x:c r="C662" s="12" t="n">
        <x:v>-0.023324001001474155</x:v>
      </x:c>
      <x:c r="D662" s="12" t="n">
        <x:v>-0.3354166368787373</x:v>
      </x:c>
      <x:c r="E662" s="12" t="n">
        <x:v>-0.32600667611683637</x:v>
      </x:c>
    </x:row>
    <x:row r="663" ht="18" customHeight="1">
      <x:c r="A663" s="13" t="n">
        <x:v>43578</x:v>
      </x:c>
      <x:c r="B663" s="12" t="n">
        <x:v>-1</x:v>
      </x:c>
      <x:c r="C663" s="12" t="n">
        <x:v>-0.0016422415489716503</x:v>
      </x:c>
      <x:c r="D663" s="12" t="n">
        <x:v>-0.3295911309081012</x:v>
      </x:c>
      <x:c r="E663" s="12" t="n">
        <x:v>-0.32611115416135605</x:v>
      </x:c>
    </x:row>
    <x:row r="664" ht="18" customHeight="1">
      <x:c r="A664" s="13" t="n">
        <x:v>43579</x:v>
      </x:c>
      <x:c r="B664" s="12" t="n">
        <x:v>1</x:v>
      </x:c>
      <x:c r="C664" s="12" t="n">
        <x:v>0.0027539514397365993</x:v>
      </x:c>
      <x:c r="D664" s="12" t="n">
        <x:v>-0.3430037887581913</x:v>
      </x:c>
      <x:c r="E664" s="12" t="n">
        <x:v>-0.3214652249844873</x:v>
      </x:c>
    </x:row>
    <x:row r="665" ht="18" customHeight="1">
      <x:c r="A665" s="13" t="n">
        <x:v>43580</x:v>
      </x:c>
      <x:c r="B665" s="12" t="n">
        <x:v>2</x:v>
      </x:c>
      <x:c r="C665" s="12" t="n">
        <x:v>-0.022146854814603094</x:v>
      </x:c>
      <x:c r="D665" s="12" t="n">
        <x:v>-0.3549823260584416</x:v>
      </x:c>
      <x:c r="E665" s="12" t="n">
        <x:v>-0.3215726130718964</x:v>
      </x:c>
    </x:row>
    <x:row r="666" ht="18" customHeight="1">
      <x:c r="A666" s="13" t="n">
        <x:v>43581</x:v>
      </x:c>
      <x:c r="B666" s="12" t="n">
        <x:v>1</x:v>
      </x:c>
      <x:c r="C666" s="12" t="n">
        <x:v>-0.013418817311819368</x:v>
      </x:c>
      <x:c r="D666" s="12" t="n">
        <x:v>-0.34103507472579264</x:v>
      </x:c>
      <x:c r="E666" s="12" t="n">
        <x:v>-0.32588763340779553</x:v>
      </x:c>
    </x:row>
    <x:row r="667" ht="18" customHeight="1">
      <x:c r="A667" s="13" t="n">
        <x:v>43584</x:v>
      </x:c>
      <x:c r="B667" s="12" t="n">
        <x:v>-3</x:v>
      </x:c>
      <x:c r="C667" s="12" t="n">
        <x:v>0.0028394513399157798</x:v>
      </x:c>
      <x:c r="D667" s="12" t="n">
        <x:v>-0.3411187870229998</x:v>
      </x:c>
      <x:c r="E667" s="12" t="n">
        <x:v>-0.32755896059574374</x:v>
      </x:c>
    </x:row>
    <x:row r="668" ht="18" customHeight="1">
      <x:c r="A668" s="13" t="n">
        <x:v>43585</x:v>
      </x:c>
      <x:c r="B668" s="12" t="n">
        <x:v>0</x:v>
      </x:c>
      <x:c r="C668" s="12" t="n">
        <x:v>0.0032960997404286934</x:v>
      </x:c>
      <x:c r="D668" s="12" t="n">
        <x:v>-0.31806998802810943</x:v>
      </x:c>
      <x:c r="E668" s="12" t="n">
        <x:v>-0.33190115412375604</x:v>
      </x:c>
    </x:row>
    <x:row r="669" ht="18" customHeight="1">
      <x:c r="A669" s="13" t="n">
        <x:v>43591</x:v>
      </x:c>
      <x:c r="B669" s="12" t="n">
        <x:v>10</x:v>
      </x:c>
      <x:c r="C669" s="12" t="n">
        <x:v>-0.06019173350698634</x:v>
      </x:c>
      <x:c r="D669" s="12" t="n">
        <x:v>-0.3895719837397881</x:v>
      </x:c>
      <x:c r="E669" s="12" t="n">
        <x:v>-0.3461418866044437</x:v>
      </x:c>
    </x:row>
    <x:row r="670" ht="18" customHeight="1">
      <x:c r="A670" s="13" t="n">
        <x:v>43592</x:v>
      </x:c>
      <x:c r="B670" s="12" t="n">
        <x:v>7</x:v>
      </x:c>
      <x:c r="C670" s="12" t="n">
        <x:v>0.009736798475485208</x:v>
      </x:c>
      <x:c r="D670" s="12" t="n">
        <x:v>-0.3817695894502521</x:v>
      </x:c>
      <x:c r="E670" s="12" t="n">
        <x:v>-0.34210763296178953</x:v>
      </x:c>
    </x:row>
    <x:row r="671" ht="18" customHeight="1">
      <x:c r="A671" s="13" t="n">
        <x:v>43593</x:v>
      </x:c>
      <x:c r="B671" s="12" t="n">
        <x:v>-2</x:v>
      </x:c>
      <x:c r="C671" s="12" t="n">
        <x:v>-0.014404714138739342</x:v>
      </x:c>
      <x:c r="D671" s="12" t="n">
        <x:v>-0.37688420394055094</x:v>
      </x:c>
      <x:c r="E671" s="12" t="n">
        <x:v>-0.3459719813761205</x:v>
      </x:c>
    </x:row>
    <x:row r="672" ht="18" customHeight="1">
      <x:c r="A672" s="13" t="n">
        <x:v>43594</x:v>
      </x:c>
      <x:c r="B672" s="12" t="n">
        <x:v>12</x:v>
      </x:c>
      <x:c r="C672" s="12" t="n">
        <x:v>-0.018648078989208245</x:v>
      </x:c>
      <x:c r="D672" s="12" t="n">
        <x:v>-0.4022558882344361</x:v>
      </x:c>
      <x:c r="E672" s="12" t="n">
        <x:v>-0.3518344919410613</x:v>
      </x:c>
    </x:row>
    <x:row r="673" ht="18" customHeight="1">
      <x:c r="A673" s="13" t="n">
        <x:v>43595</x:v>
      </x:c>
      <x:c r="B673" s="12" t="n">
        <x:v>2</x:v>
      </x:c>
      <x:c r="C673" s="12" t="n">
        <x:v>0.035678681857484</x:v>
      </x:c>
      <x:c r="D673" s="12" t="n">
        <x:v>-0.37654485926100395</x:v>
      </x:c>
      <x:c r="E673" s="12" t="n">
        <x:v>-0.34570562344046923</x:v>
      </x:c>
    </x:row>
    <x:row r="674" ht="18" customHeight="1">
      <x:c r="A674" s="13" t="n">
        <x:v>43598</x:v>
      </x:c>
      <x:c r="B674" s="12" t="n">
        <x:v>19</x:v>
      </x:c>
      <x:c r="C674" s="12" t="n">
        <x:v>-0.01668489174577094</x:v>
      </x:c>
      <x:c r="D674" s="12" t="n">
        <x:v>-0.40029517139175025</x:v>
      </x:c>
      <x:c r="E674" s="12" t="n">
        <x:v>-0.35670364286347533</x:v>
      </x:c>
    </x:row>
    <x:row r="675" ht="18" customHeight="1">
      <x:c r="A675" s="13" t="n">
        <x:v>43599</x:v>
      </x:c>
      <x:c r="B675" s="12" t="n">
        <x:v>-7</x:v>
      </x:c>
      <x:c r="C675" s="12" t="n">
        <x:v>-0.006446727369720123</x:v>
      </x:c>
      <x:c r="D675" s="12" t="n">
        <x:v>-0.39045847093473096</x:v>
      </x:c>
      <x:c r="E675" s="12" t="n">
        <x:v>-0.3539398792610149</x:v>
      </x:c>
    </x:row>
    <x:row r="676" ht="18" customHeight="1">
      <x:c r="A676" s="13" t="n">
        <x:v>43600</x:v>
      </x:c>
      <x:c r="B676" s="12" t="n">
        <x:v>4</x:v>
      </x:c>
      <x:c r="C676" s="12" t="n">
        <x:v>0.022230786238790882</x:v>
      </x:c>
      <x:c r="D676" s="12" t="n">
        <x:v>-0.3658322417131312</x:v>
      </x:c>
      <x:c r="E676" s="12" t="n">
        <x:v>-0.35333405225376907</x:v>
      </x:c>
    </x:row>
    <x:row r="677" ht="18" customHeight="1">
      <x:c r="A677" s="13" t="n">
        <x:v>43601</x:v>
      </x:c>
      <x:c r="B677" s="12" t="n">
        <x:v>-11.000000000000057</x:v>
      </x:c>
      <x:c r="C677" s="12" t="n">
        <x:v>0.004516424219008419</x:v>
      </x:c>
      <x:c r="D677" s="12" t="n">
        <x:v>-0.35579373730201547</x:v>
      </x:c>
      <x:c r="E677" s="12" t="n">
        <x:v>-0.3534186745962919</x:v>
      </x:c>
    </x:row>
    <x:row r="678" ht="18" customHeight="1">
      <x:c r="A678" s="13" t="n">
        <x:v>43602</x:v>
      </x:c>
      <x:c r="B678" s="12" t="n">
        <x:v>1.0000000000000568</x:v>
      </x:c>
      <x:c r="C678" s="12" t="n">
        <x:v>-0.025757179130048855</x:v>
      </x:c>
      <x:c r="D678" s="12" t="n">
        <x:v>-0.35503265086915964</x:v>
      </x:c>
      <x:c r="E678" s="12" t="n">
        <x:v>-0.35218808160045245</x:v>
      </x:c>
    </x:row>
    <x:row r="679" ht="18" customHeight="1">
      <x:c r="A679" s="13" t="n">
        <x:v>43605</x:v>
      </x:c>
      <x:c r="B679" s="12" t="n">
        <x:v>-1.0000000000000568</x:v>
      </x:c>
      <x:c r="C679" s="12" t="n">
        <x:v>-0.008523624947157728</x:v>
      </x:c>
      <x:c r="D679" s="12" t="n">
        <x:v>-0.3448746236322713</x:v>
      </x:c>
      <x:c r="E679" s="12" t="n">
        <x:v>-0.35356178214226036</x:v>
      </x:c>
    </x:row>
    <x:row r="680" ht="18" customHeight="1">
      <x:c r="A680" s="13" t="n">
        <x:v>43606</x:v>
      </x:c>
      <x:c r="B680" s="12" t="n">
        <x:v>-6.999999999999943</x:v>
      </x:c>
      <x:c r="C680" s="12" t="n">
        <x:v>0.01344885085235851</x:v>
      </x:c>
      <x:c r="D680" s="12" t="n">
        <x:v>-0.3546001390510927</x:v>
      </x:c>
      <x:c r="E680" s="12" t="n">
        <x:v>-0.3561012801174511</x:v>
      </x:c>
    </x:row>
    <x:row r="681" ht="18" customHeight="1">
      <x:c r="A681" s="13" t="n">
        <x:v>43607</x:v>
      </x:c>
      <x:c r="B681" s="12" t="n">
        <x:v>4</x:v>
      </x:c>
      <x:c r="C681" s="12" t="n">
        <x:v>-0.004755675866671933</x:v>
      </x:c>
      <x:c r="D681" s="12" t="n">
        <x:v>-0.37486125368938</x:v>
      </x:c>
      <x:c r="E681" s="12" t="n">
        <x:v>-0.3555721262423338</x:v>
      </x:c>
    </x:row>
    <x:row r="682" ht="18" customHeight="1">
      <x:c r="A682" s="13" t="n">
        <x:v>43608</x:v>
      </x:c>
      <x:c r="B682" s="12" t="n">
        <x:v>19</x:v>
      </x:c>
      <x:c r="C682" s="12" t="n">
        <x:v>-0.018087562712919548</x:v>
      </x:c>
      <x:c r="D682" s="12" t="n">
        <x:v>-0.40091585377373234</x:v>
      </x:c>
      <x:c r="E682" s="12" t="n">
        <x:v>-0.3621719306062669</x:v>
      </x:c>
    </x:row>
    <x:row r="683" ht="18" customHeight="1">
      <x:c r="A683" s="13" t="n">
        <x:v>43609</x:v>
      </x:c>
      <x:c r="B683" s="12" t="n">
        <x:v>-6</x:v>
      </x:c>
      <x:c r="C683" s="12" t="n">
        <x:v>0.002772213648318633</x:v>
      </x:c>
      <x:c r="D683" s="12" t="n">
        <x:v>-0.40038944032878737</x:v>
      </x:c>
      <x:c r="E683" s="12" t="n">
        <x:v>-0.3626179451138816</x:v>
      </x:c>
    </x:row>
    <x:row r="684" ht="18" customHeight="1">
      <x:c r="A684" s="13" t="n">
        <x:v>43612</x:v>
      </x:c>
      <x:c r="B684" s="12" t="n">
        <x:v>0</x:v>
      </x:c>
      <x:c r="C684" s="12" t="n">
        <x:v>0.011971526072606034</x:v>
      </x:c>
      <x:c r="D684" s="12" t="n">
        <x:v>-0.3988822022683121</x:v>
      </x:c>
      <x:c r="E684" s="12" t="n">
        <x:v>-0.361950994032427</x:v>
      </x:c>
    </x:row>
    <x:row r="685" ht="18" customHeight="1">
      <x:c r="A685" s="13" t="n">
        <x:v>43613</x:v>
      </x:c>
      <x:c r="B685" s="12" t="n">
        <x:v>3.000000000000057</x:v>
      </x:c>
      <x:c r="C685" s="12" t="n">
        <x:v>0.009594054955070116</x:v>
      </x:c>
      <x:c r="D685" s="12" t="n">
        <x:v>-0.39752765268032475</x:v>
      </x:c>
      <x:c r="E685" s="12" t="n">
        <x:v>-0.3608582549511943</x:v>
      </x:c>
    </x:row>
    <x:row r="686" ht="18" customHeight="1">
      <x:c r="A686" s="13" t="n">
        <x:v>43614</x:v>
      </x:c>
      <x:c r="B686" s="12" t="n">
        <x:v>17</x:v>
      </x:c>
      <x:c r="C686" s="12" t="n">
        <x:v>-0.0022768022488379373</x:v>
      </x:c>
      <x:c r="D686" s="12" t="n">
        <x:v>-0.390342674984364</x:v>
      </x:c>
      <x:c r="E686" s="12" t="n">
        <x:v>-0.3575300425947015</x:v>
      </x:c>
    </x:row>
    <x:row r="687" ht="18" customHeight="1">
      <x:c r="A687" s="13" t="n">
        <x:v>43615</x:v>
      </x:c>
      <x:c r="B687" s="12" t="n">
        <x:v>-3.000000000000057</x:v>
      </x:c>
      <x:c r="C687" s="12" t="n">
        <x:v>-0.006221899020526497</x:v>
      </x:c>
      <x:c r="D687" s="12" t="n">
        <x:v>-0.37927857244638097</x:v>
      </x:c>
      <x:c r="E687" s="12" t="n">
        <x:v>-0.3564785160511402</x:v>
      </x:c>
    </x:row>
    <x:row r="688" ht="18" customHeight="1">
      <x:c r="A688" s="13" t="n">
        <x:v>43616</x:v>
      </x:c>
      <x:c r="B688" s="12" t="n">
        <x:v>26</x:v>
      </x:c>
      <x:c r="C688" s="12" t="n">
        <x:v>-0.0031341087233895406</x:v>
      </x:c>
      <x:c r="D688" s="12" t="n">
        <x:v>-0.3526707854497893</x:v>
      </x:c>
      <x:c r="E688" s="12" t="n">
        <x:v>-0.3504474732605572</x:v>
      </x:c>
    </x:row>
    <x:row r="689" ht="18" customHeight="1">
      <x:c r="A689" s="13" t="n">
        <x:v>43619</x:v>
      </x:c>
      <x:c r="B689" s="12" t="n">
        <x:v>11</x:v>
      </x:c>
      <x:c r="C689" s="12" t="n">
        <x:v>0.0006123549139669164</x:v>
      </x:c>
      <x:c r="D689" s="12" t="n">
        <x:v>-0.35103055628753693</x:v>
      </x:c>
      <x:c r="E689" s="12" t="n">
        <x:v>-0.34923107465657854</x:v>
      </x:c>
    </x:row>
    <x:row r="690" ht="18" customHeight="1">
      <x:c r="A690" s="13" t="n">
        <x:v>43620</x:v>
      </x:c>
      <x:c r="B690" s="12" t="n">
        <x:v>-17</x:v>
      </x:c>
      <x:c r="C690" s="12" t="n">
        <x:v>-0.009279147151451426</x:v>
      </x:c>
      <x:c r="D690" s="12" t="n">
        <x:v>-0.31732838951084935</x:v>
      </x:c>
      <x:c r="E690" s="12" t="n">
        <x:v>-0.34217890962193764</x:v>
      </x:c>
    </x:row>
    <x:row r="691" ht="18" customHeight="1">
      <x:c r="A691" s="13" t="n">
        <x:v>43621</x:v>
      </x:c>
      <x:c r="B691" s="12" t="n">
        <x:v>-4.999999999999943</x:v>
      </x:c>
      <x:c r="C691" s="12" t="n">
        <x:v>-0.0003784549975853767</x:v>
      </x:c>
      <x:c r="D691" s="12" t="n">
        <x:v>-0.30365642323632763</x:v>
      </x:c>
      <x:c r="E691" s="12" t="n">
        <x:v>-0.34170352738154913</x:v>
      </x:c>
    </x:row>
    <x:row r="692" ht="18" customHeight="1">
      <x:c r="A692" s="13" t="n">
        <x:v>43622</x:v>
      </x:c>
      <x:c r="B692" s="12" t="n">
        <x:v>-6.000000000000057</x:v>
      </x:c>
      <x:c r="C692" s="12" t="n">
        <x:v>-0.009055684179698723</x:v>
      </x:c>
      <x:c r="D692" s="12" t="n">
        <x:v>-0.3011561186050048</x:v>
      </x:c>
      <x:c r="E692" s="12" t="n">
        <x:v>-0.3393553756598878</x:v>
      </x:c>
    </x:row>
    <x:row r="693" ht="18" customHeight="1">
      <x:c r="A693" s="13" t="n">
        <x:v>43626</x:v>
      </x:c>
      <x:c r="B693" s="12" t="n">
        <x:v>-13.999999999999943</x:v>
      </x:c>
      <x:c r="C693" s="12" t="n">
        <x:v>0.01284003571726754</x:v>
      </x:c>
      <x:c r="D693" s="12" t="n">
        <x:v>-0.3164410791352282</x:v>
      </x:c>
      <x:c r="E693" s="12" t="n">
        <x:v>-0.3403825064515833</x:v>
      </x:c>
    </x:row>
    <x:row r="694" ht="18" customHeight="1">
      <x:c r="A694" s="13" t="n">
        <x:v>43627</x:v>
      </x:c>
      <x:c r="B694" s="12" t="n">
        <x:v>-3.000000000000057</x:v>
      </x:c>
      <x:c r="C694" s="12" t="n">
        <x:v>0.029615291983045522</x:v>
      </x:c>
      <x:c r="D694" s="12" t="n">
        <x:v>-0.3294258090134425</x:v>
      </x:c>
      <x:c r="E694" s="12" t="n">
        <x:v>-0.3409166973716783</x:v>
      </x:c>
    </x:row>
    <x:row r="695" ht="18" customHeight="1">
      <x:c r="A695" s="13" t="n">
        <x:v>43628</x:v>
      </x:c>
      <x:c r="B695" s="12" t="n">
        <x:v>2</x:v>
      </x:c>
      <x:c r="C695" s="12" t="n">
        <x:v>-0.007605647155998182</x:v>
      </x:c>
      <x:c r="D695" s="12" t="n">
        <x:v>-0.3235356357832695</x:v>
      </x:c>
      <x:c r="E695" s="12" t="n">
        <x:v>-0.341026310645096</x:v>
      </x:c>
    </x:row>
    <x:row r="696" ht="18" customHeight="1">
      <x:c r="A696" s="13" t="n">
        <x:v>43629</x:v>
      </x:c>
      <x:c r="B696" s="12" t="n">
        <x:v>2</x:v>
      </x:c>
      <x:c r="C696" s="12" t="n">
        <x:v>-0.0015461017120563174</x:v>
      </x:c>
      <x:c r="D696" s="12" t="n">
        <x:v>-0.30280364392530784</x:v>
      </x:c>
      <x:c r="E696" s="12" t="n">
        <x:v>-0.3410977371159793</x:v>
      </x:c>
    </x:row>
    <x:row r="697" ht="18" customHeight="1">
      <x:c r="A697" s="13" t="n">
        <x:v>43630</x:v>
      </x:c>
      <x:c r="B697" s="12" t="n">
        <x:v>-0.9999999999999432</x:v>
      </x:c>
      <x:c r="C697" s="12" t="n">
        <x:v>-0.00831401636774902</x:v>
      </x:c>
      <x:c r="D697" s="12" t="n">
        <x:v>-0.2905733689456538</x:v>
      </x:c>
      <x:c r="E697" s="12" t="n">
        <x:v>-0.3408662356737001</x:v>
      </x:c>
    </x:row>
    <x:row r="698" ht="18" customHeight="1">
      <x:c r="A698" s="13" t="n">
        <x:v>43633</x:v>
      </x:c>
      <x:c r="B698" s="12" t="n">
        <x:v>0</x:v>
      </x:c>
      <x:c r="C698" s="12" t="n">
        <x:v>-0.000015075848413138367</x:v>
      </x:c>
      <x:c r="D698" s="12" t="n">
        <x:v>-0.2877817158742059</x:v>
      </x:c>
      <x:c r="E698" s="12" t="n">
        <x:v>-0.3518570381779219</x:v>
      </x:c>
    </x:row>
    <x:row r="699" ht="18" customHeight="1">
      <x:c r="A699" s="13" t="n">
        <x:v>43634</x:v>
      </x:c>
      <x:c r="B699" s="12" t="n">
        <x:v>-9.000000000000114</x:v>
      </x:c>
      <x:c r="C699" s="12" t="n">
        <x:v>0.003494383635132153</x:v>
      </x:c>
      <x:c r="D699" s="12" t="n">
        <x:v>-0.30214142043269243</x:v>
      </x:c>
      <x:c r="E699" s="12" t="n">
        <x:v>-0.35242511280426314</x:v>
      </x:c>
    </x:row>
    <x:row r="700" ht="18" customHeight="1">
      <x:c r="A700" s="13" t="n">
        <x:v>43635</x:v>
      </x:c>
      <x:c r="B700" s="12" t="n">
        <x:v>2.000000000000057</x:v>
      </x:c>
      <x:c r="C700" s="12" t="n">
        <x:v>0.013088621764941596</x:v>
      </x:c>
      <x:c r="D700" s="12" t="n">
        <x:v>-0.30238954088808934</x:v>
      </x:c>
      <x:c r="E700" s="12" t="n">
        <x:v>-0.3543732752660953</x:v>
      </x:c>
    </x:row>
    <x:row r="701" ht="18" customHeight="1">
      <x:c r="A701" s="13" t="n">
        <x:v>43636</x:v>
      </x:c>
      <x:c r="B701" s="12" t="n">
        <x:v>-13</x:v>
      </x:c>
      <x:c r="C701" s="12" t="n">
        <x:v>0.029846698383138293</x:v>
      </x:c>
      <x:c r="D701" s="12" t="n">
        <x:v>-0.3367757306961601</x:v>
      </x:c>
      <x:c r="E701" s="12" t="n">
        <x:v>-0.3617317686852147</x:v>
      </x:c>
    </x:row>
    <x:row r="702" ht="18" customHeight="1">
      <x:c r="A702" s="13" t="n">
        <x:v>43637</x:v>
      </x:c>
      <x:c r="B702" s="12" t="n">
        <x:v>-8</x:v>
      </x:c>
      <x:c r="C702" s="12" t="n">
        <x:v>0.001414690141003077</x:v>
      </x:c>
      <x:c r="D702" s="12" t="n">
        <x:v>-0.3431632985388327</x:v>
      </x:c>
      <x:c r="E702" s="12" t="n">
        <x:v>-0.3618888111470789</x:v>
      </x:c>
    </x:row>
    <x:row r="703" ht="18" customHeight="1">
      <x:c r="A703" s="13" t="n">
        <x:v>43640</x:v>
      </x:c>
      <x:c r="B703" s="12" t="n">
        <x:v>5</x:v>
      </x:c>
      <x:c r="C703" s="12" t="n">
        <x:v>0.0019094220910248932</x:v>
      </x:c>
      <x:c r="D703" s="12" t="n">
        <x:v>-0.34402730214893096</x:v>
      </x:c>
      <x:c r="E703" s="12" t="n">
        <x:v>-0.3621650922946804</x:v>
      </x:c>
    </x:row>
    <x:row r="704" ht="18" customHeight="1">
      <x:c r="A704" s="13" t="n">
        <x:v>43641</x:v>
      </x:c>
      <x:c r="B704" s="12" t="n">
        <x:v>9</x:v>
      </x:c>
      <x:c r="C704" s="12" t="n">
        <x:v>-0.010456282178658741</x:v>
      </x:c>
      <x:c r="D704" s="12" t="n">
        <x:v>-0.3524801133612467</x:v>
      </x:c>
      <x:c r="E704" s="12" t="n">
        <x:v>-0.36400582528457454</x:v>
      </x:c>
    </x:row>
    <x:row r="705" ht="18" customHeight="1">
      <x:c r="A705" s="13" t="n">
        <x:v>43642</x:v>
      </x:c>
      <x:c r="B705" s="12" t="n">
        <x:v>-4</x:v>
      </x:c>
      <x:c r="C705" s="12" t="n">
        <x:v>-0.0018375808302514161</x:v>
      </x:c>
      <x:c r="D705" s="12" t="n">
        <x:v>-0.35162553651210077</x:v>
      </x:c>
      <x:c r="E705" s="12" t="n">
        <x:v>-0.3636864183550016</x:v>
      </x:c>
    </x:row>
    <x:row r="706" ht="18" customHeight="1">
      <x:c r="A706" s="13" t="n">
        <x:v>43643</x:v>
      </x:c>
      <x:c r="B706" s="12" t="n">
        <x:v>4</x:v>
      </x:c>
      <x:c r="C706" s="12" t="n">
        <x:v>0.010613656728416262</x:v>
      </x:c>
      <x:c r="D706" s="12" t="n">
        <x:v>-0.3489686318424749</x:v>
      </x:c>
      <x:c r="E706" s="12" t="n">
        <x:v>-0.36223938231421055</x:v>
      </x:c>
    </x:row>
    <x:row r="707" ht="18" customHeight="1">
      <x:c r="A707" s="13" t="n">
        <x:v>43644</x:v>
      </x:c>
      <x:c r="B707" s="12" t="n">
        <x:v>-2</x:v>
      </x:c>
      <x:c r="C707" s="12" t="n">
        <x:v>-0.002409769475356859</x:v>
      </x:c>
      <x:c r="D707" s="12" t="n">
        <x:v>-0.3285690277542482</x:v>
      </x:c>
      <x:c r="E707" s="12" t="n">
        <x:v>-0.3619500854920869</x:v>
      </x:c>
    </x:row>
    <x:row r="708" ht="18" customHeight="1">
      <x:c r="A708" s="13" t="n">
        <x:v>43647</x:v>
      </x:c>
      <x:c r="B708" s="12" t="n">
        <x:v>-8</x:v>
      </x:c>
      <x:c r="C708" s="12" t="n">
        <x:v>0.028405114215023213</x:v>
      </x:c>
      <x:c r="D708" s="12" t="n">
        <x:v>-0.3533607425273799</x:v>
      </x:c>
      <x:c r="E708" s="12" t="n">
        <x:v>-0.3689499090940859</x:v>
      </x:c>
    </x:row>
    <x:row r="709" ht="18" customHeight="1">
      <x:c r="A709" s="13" t="n">
        <x:v>43648</x:v>
      </x:c>
      <x:c r="B709" s="12" t="n">
        <x:v>5</x:v>
      </x:c>
      <x:c r="C709" s="12" t="n">
        <x:v>0.00034485033437294264</x:v>
      </x:c>
      <x:c r="D709" s="12" t="n">
        <x:v>-0.35379791287050055</x:v>
      </x:c>
      <x:c r="E709" s="12" t="n">
        <x:v>-0.3690318964832944</x:v>
      </x:c>
    </x:row>
    <x:row r="710" ht="18" customHeight="1">
      <x:c r="A710" s="13" t="n">
        <x:v>43649</x:v>
      </x:c>
      <x:c r="B710" s="12" t="n">
        <x:v>-2.000000000000057</x:v>
      </x:c>
      <x:c r="C710" s="12" t="n">
        <x:v>-0.011144708341842358</x:v>
      </x:c>
      <x:c r="D710" s="12" t="n">
        <x:v>-0.3501153732425852</x:v>
      </x:c>
      <x:c r="E710" s="12" t="n">
        <x:v>-0.36754668120359285</x:v>
      </x:c>
    </x:row>
    <x:row r="711" ht="18" customHeight="1">
      <x:c r="A711" s="13" t="n">
        <x:v>43650</x:v>
      </x:c>
      <x:c r="B711" s="12" t="n">
        <x:v>0</x:v>
      </x:c>
      <x:c r="C711" s="12" t="n">
        <x:v>-0.005261543643037587</x:v>
      </x:c>
      <x:c r="D711" s="12" t="n">
        <x:v>-0.32538675407985657</x:v>
      </x:c>
      <x:c r="E711" s="12" t="n">
        <x:v>-0.3646369751512453</x:v>
      </x:c>
    </x:row>
    <x:row r="712" ht="18" customHeight="1">
      <x:c r="A712" s="13" t="n">
        <x:v>43651</x:v>
      </x:c>
      <x:c r="B712" s="12" t="n">
        <x:v>-3.999999999999943</x:v>
      </x:c>
      <x:c r="C712" s="12" t="n">
        <x:v>0.005176373175039403</x:v>
      </x:c>
      <x:c r="D712" s="12" t="n">
        <x:v>-0.3009611498745304</x:v>
      </x:c>
      <x:c r="E712" s="12" t="n">
        <x:v>-0.36479031476401996</x:v>
      </x:c>
    </x:row>
    <x:row r="713" ht="18" customHeight="1">
      <x:c r="A713" s="13" t="n">
        <x:v>43654</x:v>
      </x:c>
      <x:c r="B713" s="12" t="n">
        <x:v>2</x:v>
      </x:c>
      <x:c r="C713" s="12" t="n">
        <x:v>-0.02349715474676046</x:v>
      </x:c>
      <x:c r="D713" s="12" t="n">
        <x:v>-0.30090600527405764</x:v>
      </x:c>
      <x:c r="E713" s="12" t="n">
        <x:v>-0.3632832258675765</x:v>
      </x:c>
    </x:row>
    <x:row r="714" ht="18" customHeight="1">
      <x:c r="A714" s="13" t="n">
        <x:v>43655</x:v>
      </x:c>
      <x:c r="B714" s="12" t="n">
        <x:v>3</x:v>
      </x:c>
      <x:c r="C714" s="12" t="n">
        <x:v>-0.002543472277430002</x:v>
      </x:c>
      <x:c r="D714" s="12" t="n">
        <x:v>-0.29446019210030666</x:v>
      </x:c>
      <x:c r="E714" s="12" t="n">
        <x:v>-0.3634551293289154</x:v>
      </x:c>
    </x:row>
    <x:row r="715" ht="18" customHeight="1">
      <x:c r="A715" s="13" t="n">
        <x:v>43656</x:v>
      </x:c>
      <x:c r="B715" s="12" t="n">
        <x:v>-2</x:v>
      </x:c>
      <x:c r="C715" s="12" t="n">
        <x:v>-0.0016862301359550384</x:v>
      </x:c>
      <x:c r="D715" s="12" t="n">
        <x:v>-0.2948260688794841</x:v>
      </x:c>
      <x:c r="E715" s="12" t="n">
        <x:v>-0.3609105205696473</x:v>
      </x:c>
    </x:row>
    <x:row r="716" ht="18" customHeight="1">
      <x:c r="A716" s="13" t="n">
        <x:v>43657</x:v>
      </x:c>
      <x:c r="B716" s="12" t="n">
        <x:v>-1</x:v>
      </x:c>
      <x:c r="C716" s="12" t="n">
        <x:v>-0.0004009529950862193</x:v>
      </x:c>
      <x:c r="D716" s="12" t="n">
        <x:v>-0.29510150328687595</x:v>
      </x:c>
      <x:c r="E716" s="12" t="n">
        <x:v>-0.36083954585988554</x:v>
      </x:c>
    </x:row>
    <x:row r="717" ht="18" customHeight="1">
      <x:c r="A717" s="13" t="n">
        <x:v>43658</x:v>
      </x:c>
      <x:c r="B717" s="12" t="n">
        <x:v>1.9999999999999432</x:v>
      </x:c>
      <x:c r="C717" s="12" t="n">
        <x:v>0.006191815487468652</x:v>
      </x:c>
      <x:c r="D717" s="12" t="n">
        <x:v>-0.29449206972730296</x:v>
      </x:c>
      <x:c r="E717" s="12" t="n">
        <x:v>-0.35673081674834045</x:v>
      </x:c>
    </x:row>
    <x:row r="718" ht="18" customHeight="1">
      <x:c r="A718" s="13" t="n">
        <x:v>43661</x:v>
      </x:c>
      <x:c r="B718" s="12" t="n">
        <x:v>-1.9999999999999432</x:v>
      </x:c>
      <x:c r="C718" s="12" t="n">
        <x:v>0.004050015814405257</x:v>
      </x:c>
      <x:c r="D718" s="12" t="n">
        <x:v>-0.29563598012847186</x:v>
      </x:c>
      <x:c r="E718" s="12" t="n">
        <x:v>-0.35508642802901474</x:v>
      </x:c>
    </x:row>
    <x:row r="719" ht="18" customHeight="1">
      <x:c r="A719" s="13" t="n">
        <x:v>43662</x:v>
      </x:c>
      <x:c r="B719" s="12" t="n">
        <x:v>-4</x:v>
      </x:c>
      <x:c r="C719" s="12" t="n">
        <x:v>-0.004545369032223224</x:v>
      </x:c>
      <x:c r="D719" s="12" t="n">
        <x:v>-0.3201023613952806</x:v>
      </x:c>
      <x:c r="E719" s="12" t="n">
        <x:v>-0.3534562798467928</x:v>
      </x:c>
    </x:row>
    <x:row r="720" ht="18" customHeight="1">
      <x:c r="A720" s="13" t="n">
        <x:v>43663</x:v>
      </x:c>
      <x:c r="B720" s="12" t="n">
        <x:v>5</x:v>
      </x:c>
      <x:c r="C720" s="12" t="n">
        <x:v>-0.0005797818834626863</x:v>
      </x:c>
      <x:c r="D720" s="12" t="n">
        <x:v>-0.3267868758944748</x:v>
      </x:c>
      <x:c r="E720" s="12" t="n">
        <x:v>-0.34932274788552403</x:v>
      </x:c>
    </x:row>
    <x:row r="721" ht="18" customHeight="1">
      <x:c r="A721" s="13" t="n">
        <x:v>43664</x:v>
      </x:c>
      <x:c r="B721" s="12" t="n">
        <x:v>10.000000000000057</x:v>
      </x:c>
      <x:c r="C721" s="12" t="n">
        <x:v>-0.009569941561221082</x:v>
      </x:c>
      <x:c r="D721" s="12" t="n">
        <x:v>-0.3333794217505683</x:v>
      </x:c>
      <x:c r="E721" s="12" t="n">
        <x:v>-0.35127764009454754</x:v>
      </x:c>
    </x:row>
    <x:row r="722" ht="18" customHeight="1">
      <x:c r="A722" s="13" t="n">
        <x:v>43665</x:v>
      </x:c>
      <x:c r="B722" s="12" t="n">
        <x:v>-4.000000000000057</x:v>
      </x:c>
      <x:c r="C722" s="12" t="n">
        <x:v>0.010441313508209052</x:v>
      </x:c>
      <x:c r="D722" s="12" t="n">
        <x:v>-0.3302965961190755</x:v>
      </x:c>
      <x:c r="E722" s="12" t="n">
        <x:v>-0.3528143020716774</x:v>
      </x:c>
    </x:row>
    <x:row r="723" ht="18" customHeight="1">
      <x:c r="A723" s="13" t="n">
        <x:v>43668</x:v>
      </x:c>
      <x:c r="B723" s="12" t="n">
        <x:v>-1.0000000000000568</x:v>
      </x:c>
      <x:c r="C723" s="12" t="n">
        <x:v>-0.00692312436904916</x:v>
      </x:c>
      <x:c r="D723" s="12" t="n">
        <x:v>-0.32922959773613314</x:v>
      </x:c>
      <x:c r="E723" s="12" t="n">
        <x:v>-0.3533492980457294</x:v>
      </x:c>
    </x:row>
    <x:row r="724" ht="18" customHeight="1">
      <x:c r="A724" s="13" t="n">
        <x:v>43669</x:v>
      </x:c>
      <x:c r="B724" s="12" t="n">
        <x:v>-6.999999999999943</x:v>
      </x:c>
      <x:c r="C724" s="12" t="n">
        <x:v>0.0021739940907149675</x:v>
      </x:c>
      <x:c r="D724" s="12" t="n">
        <x:v>-0.3298896779240967</x:v>
      </x:c>
      <x:c r="E724" s="12" t="n">
        <x:v>-0.3532484809785885</x:v>
      </x:c>
    </x:row>
    <x:row r="725" ht="18" customHeight="1">
      <x:c r="A725" s="13" t="n">
        <x:v>43670</x:v>
      </x:c>
      <x:c r="B725" s="12" t="n">
        <x:v>-1</x:v>
      </x:c>
      <x:c r="C725" s="12" t="n">
        <x:v>0.007863377874701536</x:v>
      </x:c>
      <x:c r="D725" s="12" t="n">
        <x:v>-0.33842169492211804</x:v>
      </x:c>
      <x:c r="E725" s="12" t="n">
        <x:v>-0.34797762230892865</x:v>
      </x:c>
    </x:row>
    <x:row r="726" ht="18" customHeight="1">
      <x:c r="A726" s="13" t="n">
        <x:v>43671</x:v>
      </x:c>
      <x:c r="B726" s="12" t="n">
        <x:v>-5</x:v>
      </x:c>
      <x:c r="C726" s="12" t="n">
        <x:v>0.008143549436106876</x:v>
      </x:c>
      <x:c r="D726" s="12" t="n">
        <x:v>-0.3432077924234943</x:v>
      </x:c>
      <x:c r="E726" s="12" t="n">
        <x:v>-0.34890058796592865</x:v>
      </x:c>
    </x:row>
    <x:row r="727" ht="18" customHeight="1">
      <x:c r="A727" s="13" t="n">
        <x:v>43672</x:v>
      </x:c>
      <x:c r="B727" s="12" t="n">
        <x:v>-4</x:v>
      </x:c>
      <x:c r="C727" s="12" t="n">
        <x:v>0.001946214594111988</x:v>
      </x:c>
      <x:c r="D727" s="12" t="n">
        <x:v>-0.34433808950768907</x:v>
      </x:c>
      <x:c r="E727" s="12" t="n">
        <x:v>-0.3460951820532402</x:v>
      </x:c>
    </x:row>
    <x:row r="728" ht="18" customHeight="1">
      <x:c r="A728" s="13" t="n">
        <x:v>43675</x:v>
      </x:c>
      <x:c r="B728" s="12" t="n">
        <x:v>4</x:v>
      </x:c>
      <x:c r="C728" s="12" t="n">
        <x:v>-0.0011146091169672305</x:v>
      </x:c>
      <x:c r="D728" s="12" t="n">
        <x:v>-0.3453507104145687</x:v>
      </x:c>
      <x:c r="E728" s="12" t="n">
        <x:v>-0.3440097369077698</x:v>
      </x:c>
    </x:row>
    <x:row r="729" ht="18" customHeight="1">
      <x:c r="A729" s="13" t="n">
        <x:v>43676</x:v>
      </x:c>
      <x:c r="B729" s="12" t="n">
        <x:v>4</x:v>
      </x:c>
      <x:c r="C729" s="12" t="n">
        <x:v>0.004154842454988661</x:v>
      </x:c>
      <x:c r="D729" s="12" t="n">
        <x:v>-0.34351869521197975</x:v>
      </x:c>
      <x:c r="E729" s="12" t="n">
        <x:v>-0.3433874497518212</x:v>
      </x:c>
    </x:row>
    <x:row r="730" ht="18" customHeight="1">
      <x:c r="A730" s="13" t="n">
        <x:v>43677</x:v>
      </x:c>
      <x:c r="B730" s="12" t="n">
        <x:v>-4</x:v>
      </x:c>
      <x:c r="C730" s="12" t="n">
        <x:v>-0.00907355501979326</x:v>
      </x:c>
      <x:c r="D730" s="12" t="n">
        <x:v>-0.3351338493709865</x:v>
      </x:c>
      <x:c r="E730" s="12" t="n">
        <x:v>-0.34246799793957716</x:v>
      </x:c>
    </x:row>
    <x:row r="731" ht="18" customHeight="1">
      <x:c r="A731" s="13" t="n">
        <x:v>43678</x:v>
      </x:c>
      <x:c r="B731" s="12" t="n">
        <x:v>16.999999999999943</x:v>
      </x:c>
      <x:c r="C731" s="12" t="n">
        <x:v>-0.008349365636683289</x:v>
      </x:c>
      <x:c r="D731" s="12" t="n">
        <x:v>-0.3411698193161143</x:v>
      </x:c>
      <x:c r="E731" s="12" t="n">
        <x:v>-0.3444227979388669</x:v>
      </x:c>
    </x:row>
    <x:row r="732" ht="18" customHeight="1">
      <x:c r="A732" s="13" t="n">
        <x:v>43679</x:v>
      </x:c>
      <x:c r="B732" s="12" t="n">
        <x:v>9.000000000000114</x:v>
      </x:c>
      <x:c r="C732" s="12" t="n">
        <x:v>-0.01484127039139987</x:v>
      </x:c>
      <x:c r="D732" s="12" t="n">
        <x:v>-0.32856939927846374</x:v>
      </x:c>
      <x:c r="E732" s="12" t="n">
        <x:v>-0.3480555575869065</x:v>
      </x:c>
    </x:row>
    <x:row r="733" ht="18" customHeight="1">
      <x:c r="A733" s="13" t="n">
        <x:v>43682</x:v>
      </x:c>
      <x:c r="B733" s="12" t="n">
        <x:v>33.99999999999994</x:v>
      </x:c>
      <x:c r="C733" s="12" t="n">
        <x:v>-0.019331944959407953</x:v>
      </x:c>
      <x:c r="D733" s="12" t="n">
        <x:v>-0.3879044632650134</x:v>
      </x:c>
      <x:c r="E733" s="12" t="n">
        <x:v>-0.3561443283401461</x:v>
      </x:c>
    </x:row>
    <x:row r="734" ht="18" customHeight="1">
      <x:c r="A734" s="13" t="n">
        <x:v>43683</x:v>
      </x:c>
      <x:c r="B734" s="12" t="n">
        <x:v>-7</x:v>
      </x:c>
      <x:c r="C734" s="12" t="n">
        <x:v>-0.010765806080601245</x:v>
      </x:c>
      <x:c r="D734" s="12" t="n">
        <x:v>-0.38173323611627824</x:v>
      </x:c>
      <x:c r="E734" s="12" t="n">
        <x:v>-0.3510666763998766</x:v>
      </x:c>
    </x:row>
    <x:row r="735" ht="18" customHeight="1">
      <x:c r="A735" s="13" t="n">
        <x:v>43684</x:v>
      </x:c>
      <x:c r="B735" s="12" t="n">
        <x:v>5.999999999999943</x:v>
      </x:c>
      <x:c r="C735" s="12" t="n">
        <x:v>-0.004105377176846434</x:v>
      </x:c>
      <x:c r="D735" s="12" t="n">
        <x:v>-0.36526216000810013</x:v>
      </x:c>
      <x:c r="E735" s="12" t="n">
        <x:v>-0.35038096306898103</x:v>
      </x:c>
    </x:row>
    <x:row r="736" ht="18" customHeight="1">
      <x:c r="A736" s="13" t="n">
        <x:v>43685</x:v>
      </x:c>
      <x:c r="B736" s="12" t="n">
        <x:v>-21</x:v>
      </x:c>
      <x:c r="C736" s="12" t="n">
        <x:v>0.013129912382783668</x:v>
      </x:c>
      <x:c r="D736" s="12" t="n">
        <x:v>-0.42184668574441325</x:v>
      </x:c>
      <x:c r="E736" s="12" t="n">
        <x:v>-0.35322887589361995</x:v>
      </x:c>
    </x:row>
    <x:row r="737" ht="18" customHeight="1">
      <x:c r="A737" s="13" t="n">
        <x:v>43686</x:v>
      </x:c>
      <x:c r="B737" s="12" t="n">
        <x:v>0</x:v>
      </x:c>
      <x:c r="C737" s="12" t="n">
        <x:v>-0.009794646519203832</x:v>
      </x:c>
      <x:c r="D737" s="12" t="n">
        <x:v>-0.39237431793719824</x:v>
      </x:c>
      <x:c r="E737" s="12" t="n">
        <x:v>-0.352817123757616</x:v>
      </x:c>
    </x:row>
    <x:row r="738" ht="18" customHeight="1">
      <x:c r="A738" s="13" t="n">
        <x:v>43689</x:v>
      </x:c>
      <x:c r="B738" s="12" t="n">
        <x:v>9.000000000000114</x:v>
      </x:c>
      <x:c r="C738" s="12" t="n">
        <x:v>0.017886299940348738</x:v>
      </x:c>
      <x:c r="D738" s="12" t="n">
        <x:v>-0.36891143436651214</x:v>
      </x:c>
      <x:c r="E738" s="12" t="n">
        <x:v>-0.3492199238040067</x:v>
      </x:c>
    </x:row>
    <x:row r="739" ht="18" customHeight="1">
      <x:c r="A739" s="13" t="n">
        <x:v>43690</x:v>
      </x:c>
      <x:c r="B739" s="12" t="n">
        <x:v>-15.000000000000057</x:v>
      </x:c>
      <x:c r="C739" s="12" t="n">
        <x:v>-0.00905745532884727</x:v>
      </x:c>
      <x:c r="D739" s="12" t="n">
        <x:v>-0.36198412312809575</x:v>
      </x:c>
      <x:c r="E739" s="12" t="n">
        <x:v>-0.3419297449876672</x:v>
      </x:c>
    </x:row>
    <x:row r="740" ht="18" customHeight="1">
      <x:c r="A740" s="13" t="n">
        <x:v>43691</x:v>
      </x:c>
      <x:c r="B740" s="12" t="n">
        <x:v>24</x:v>
      </x:c>
      <x:c r="C740" s="12" t="n">
        <x:v>0.004531758795673605</x:v>
      </x:c>
      <x:c r="D740" s="12" t="n">
        <x:v>-0.32421363890045574</x:v>
      </x:c>
      <x:c r="E740" s="12" t="n">
        <x:v>-0.332776244155878</x:v>
      </x:c>
    </x:row>
    <x:row r="741" ht="18" customHeight="1">
      <x:c r="A741" s="13" t="n">
        <x:v>43692</x:v>
      </x:c>
      <x:c r="B741" s="12" t="n">
        <x:v>2.999999999999943</x:v>
      </x:c>
      <x:c r="C741" s="12" t="n">
        <x:v>0.0031449233387412104</x:v>
      </x:c>
      <x:c r="D741" s="12" t="n">
        <x:v>-0.33655250773179796</x:v>
      </x:c>
      <x:c r="E741" s="12" t="n">
        <x:v>-0.33254693835193927</x:v>
      </x:c>
    </x:row>
    <x:row r="742" ht="18" customHeight="1">
      <x:c r="A742" s="13" t="n">
        <x:v>43693</x:v>
      </x:c>
      <x:c r="B742" s="12" t="n">
        <x:v>-4.999999999999943</x:v>
      </x:c>
      <x:c r="C742" s="12" t="n">
        <x:v>0.004466997082010161</x:v>
      </x:c>
      <x:c r="D742" s="12" t="n">
        <x:v>-0.3432144137614526</x:v>
      </x:c>
      <x:c r="E742" s="12" t="n">
        <x:v>-0.33649376352466553</x:v>
      </x:c>
    </x:row>
    <x:row r="743" ht="18" customHeight="1">
      <x:c r="A743" s="13" t="n">
        <x:v>43696</x:v>
      </x:c>
      <x:c r="B743" s="12" t="n">
        <x:v>-10.999999999999943</x:v>
      </x:c>
      <x:c r="C743" s="12" t="n">
        <x:v>0.021477748776293232</x:v>
      </x:c>
      <x:c r="D743" s="12" t="n">
        <x:v>-0.3565006173481099</x:v>
      </x:c>
      <x:c r="E743" s="12" t="n">
        <x:v>-0.3433992887295699</x:v>
      </x:c>
    </x:row>
    <x:row r="744" ht="18" customHeight="1">
      <x:c r="A744" s="13" t="n">
        <x:v>43697</x:v>
      </x:c>
      <x:c r="B744" s="12" t="n">
        <x:v>-1.0000000000001137</x:v>
      </x:c>
      <x:c r="C744" s="12" t="n">
        <x:v>-0.0008872613718639216</x:v>
      </x:c>
      <x:c r="D744" s="12" t="n">
        <x:v>-0.35434400769777685</x:v>
      </x:c>
      <x:c r="E744" s="12" t="n">
        <x:v>-0.34438666149658465</x:v>
      </x:c>
    </x:row>
    <x:row r="745" ht="18" customHeight="1">
      <x:c r="A745" s="13" t="n">
        <x:v>43698</x:v>
      </x:c>
      <x:c r="B745" s="12" t="n">
        <x:v>-13.999999999999943</x:v>
      </x:c>
      <x:c r="C745" s="12" t="n">
        <x:v>-0.0015785742510702235</x:v>
      </x:c>
      <x:c r="D745" s="12" t="n">
        <x:v>-0.30756092574270966</x:v>
      </x:c>
      <x:c r="E745" s="12" t="n">
        <x:v>-0.3420171013474448</x:v>
      </x:c>
    </x:row>
    <x:row r="746" ht="18" customHeight="1">
      <x:c r="A746" s="13" t="n">
        <x:v>43699</x:v>
      </x:c>
      <x:c r="B746" s="12" t="n">
        <x:v>-5</x:v>
      </x:c>
      <x:c r="C746" s="12" t="n">
        <x:v>0.003101729370447891</x:v>
      </x:c>
      <x:c r="D746" s="12" t="n">
        <x:v>-0.3077841218565187</x:v>
      </x:c>
      <x:c r="E746" s="12" t="n">
        <x:v>-0.3377300648709578</x:v>
      </x:c>
    </x:row>
    <x:row r="747" ht="18" customHeight="1">
      <x:c r="A747" s="13" t="n">
        <x:v>43700</x:v>
      </x:c>
      <x:c r="B747" s="12" t="n">
        <x:v>9</x:v>
      </x:c>
      <x:c r="C747" s="12" t="n">
        <x:v>0.007185838901974463</x:v>
      </x:c>
      <x:c r="D747" s="12" t="n">
        <x:v>-0.29855287221898397</x:v>
      </x:c>
      <x:c r="E747" s="12" t="n">
        <x:v>-0.33491315586374176</x:v>
      </x:c>
    </x:row>
    <x:row r="748" ht="18" customHeight="1">
      <x:c r="A748" s="13" t="n">
        <x:v>43703</x:v>
      </x:c>
      <x:c r="B748" s="12" t="n">
        <x:v>-3</x:v>
      </x:c>
      <x:c r="C748" s="12" t="n">
        <x:v>-0.014486858026008614</x:v>
      </x:c>
      <x:c r="D748" s="12" t="n">
        <x:v>-0.29192924433082357</x:v>
      </x:c>
      <x:c r="E748" s="12" t="n">
        <x:v>-0.3348891725755412</x:v>
      </x:c>
    </x:row>
    <x:row r="749" ht="18" customHeight="1">
      <x:c r="A749" s="13" t="n">
        <x:v>43704</x:v>
      </x:c>
      <x:c r="B749" s="12" t="n">
        <x:v>-2.999999999999943</x:v>
      </x:c>
      <x:c r="C749" s="12" t="n">
        <x:v>0.013460935543640957</x:v>
      </x:c>
      <x:c r="D749" s="12" t="n">
        <x:v>-0.2943026449963373</x:v>
      </x:c>
      <x:c r="E749" s="12" t="n">
        <x:v>-0.3376894978288889</x:v>
      </x:c>
    </x:row>
    <x:row r="750" ht="18" customHeight="1">
      <x:c r="A750" s="13" t="n">
        <x:v>43705</x:v>
      </x:c>
      <x:c r="B750" s="12" t="n">
        <x:v>-2.000000000000057</x:v>
      </x:c>
      <x:c r="C750" s="12" t="n">
        <x:v>-0.003769659399294659</x:v>
      </x:c>
      <x:c r="D750" s="12" t="n">
        <x:v>-0.29676968925866165</x:v>
      </x:c>
      <x:c r="E750" s="12" t="n">
        <x:v>-0.3371077035398678</x:v>
      </x:c>
    </x:row>
    <x:row r="751" ht="18" customHeight="1">
      <x:c r="A751" s="13" t="n">
        <x:v>43706</x:v>
      </x:c>
      <x:c r="B751" s="12" t="n">
        <x:v>-9</x:v>
      </x:c>
      <x:c r="C751" s="12" t="n">
        <x:v>-0.0032656617339578433</x:v>
      </x:c>
      <x:c r="D751" s="12" t="n">
        <x:v>-0.29225199119733214</x:v>
      </x:c>
      <x:c r="E751" s="12" t="n">
        <x:v>-0.3361598970682898</x:v>
      </x:c>
    </x:row>
    <x:row r="752" ht="18" customHeight="1">
      <x:c r="A752" s="13" t="n">
        <x:v>43707</x:v>
      </x:c>
      <x:c r="B752" s="12" t="n">
        <x:v>1</x:v>
      </x:c>
      <x:c r="C752" s="12" t="n">
        <x:v>0.0024769132899290875</x:v>
      </x:c>
      <x:c r="D752" s="12" t="n">
        <x:v>-0.2955012117909313</x:v>
      </x:c>
      <x:c r="E752" s="12" t="n">
        <x:v>-0.3329002425399681</x:v>
      </x:c>
    </x:row>
    <x:row r="753" ht="18" customHeight="1">
      <x:c r="A753" s="13" t="n">
        <x:v>43710</x:v>
      </x:c>
      <x:c r="B753" s="12" t="n">
        <x:v>0</x:v>
      </x:c>
      <x:c r="C753" s="12" t="n">
        <x:v>0.012744445073590072</x:v>
      </x:c>
      <x:c r="D753" s="12" t="n">
        <x:v>-0.32998046071153353</x:v>
      </x:c>
      <x:c r="E753" s="12" t="n">
        <x:v>-0.33402795255370576</x:v>
      </x:c>
    </x:row>
    <x:row r="754" ht="18" customHeight="1">
      <x:c r="A754" s="13" t="n">
        <x:v>43711</x:v>
      </x:c>
      <x:c r="B754" s="12" t="n">
        <x:v>10.000000000000057</x:v>
      </x:c>
      <x:c r="C754" s="12" t="n">
        <x:v>0.0013738895465038698</x:v>
      </x:c>
      <x:c r="D754" s="12" t="n">
        <x:v>-0.32746471890423373</x:v>
      </x:c>
      <x:c r="E754" s="12" t="n">
        <x:v>-0.3336675274795994</x:v>
      </x:c>
    </x:row>
    <x:row r="755" ht="18" customHeight="1">
      <x:c r="A755" s="13" t="n">
        <x:v>43712</x:v>
      </x:c>
      <x:c r="B755" s="12" t="n">
        <x:v>0</x:v>
      </x:c>
      <x:c r="C755" s="12" t="n">
        <x:v>0.00837013275123946</x:v>
      </x:c>
      <x:c r="D755" s="12" t="n">
        <x:v>-0.3394663818859392</x:v>
      </x:c>
      <x:c r="E755" s="12" t="n">
        <x:v>-0.33497509705772627</x:v>
      </x:c>
    </x:row>
    <x:row r="756" ht="18" customHeight="1">
      <x:c r="A756" s="13" t="n">
        <x:v>43713</x:v>
      </x:c>
      <x:c r="B756" s="12" t="n">
        <x:v>-16.000000000000057</x:v>
      </x:c>
      <x:c r="C756" s="12" t="n">
        <x:v>0.01006798108609549</x:v>
      </x:c>
      <x:c r="D756" s="12" t="n">
        <x:v>-0.3351574526078556</x:v>
      </x:c>
      <x:c r="E756" s="12" t="n">
        <x:v>-0.3358718700182312</x:v>
      </x:c>
    </x:row>
    <x:row r="757" ht="18" customHeight="1">
      <x:c r="A757" s="13" t="n">
        <x:v>43714</x:v>
      </x:c>
      <x:c r="B757" s="12" t="n">
        <x:v>-2</x:v>
      </x:c>
      <x:c r="C757" s="12" t="n">
        <x:v>0.005889018567064386</x:v>
      </x:c>
      <x:c r="D757" s="12" t="n">
        <x:v>-0.3430783214665964</x:v>
      </x:c>
      <x:c r="E757" s="12" t="n">
        <x:v>-0.33626734500514854</x:v>
      </x:c>
    </x:row>
    <x:row r="758" ht="18" customHeight="1">
      <x:c r="A758" s="13" t="n">
        <x:v>43717</x:v>
      </x:c>
      <x:c r="B758" s="12" t="n">
        <x:v>-6</x:v>
      </x:c>
      <x:c r="C758" s="12" t="n">
        <x:v>0.006170829672186728</x:v>
      </x:c>
      <x:c r="D758" s="12" t="n">
        <x:v>-0.34498647256954673</x:v>
      </x:c>
      <x:c r="E758" s="12" t="n">
        <x:v>-0.3368369741556189</x:v>
      </x:c>
    </x:row>
    <x:row r="759" ht="18" customHeight="1">
      <x:c r="A759" s="13" t="n">
        <x:v>43718</x:v>
      </x:c>
      <x:c r="B759" s="12" t="n">
        <x:v>-9</x:v>
      </x:c>
      <x:c r="C759" s="12" t="n">
        <x:v>-0.0034500871025243763</x:v>
      </x:c>
      <x:c r="D759" s="12" t="n">
        <x:v>-0.33395778583316227</x:v>
      </x:c>
      <x:c r="E759" s="12" t="n">
        <x:v>-0.3347422863505947</x:v>
      </x:c>
    </x:row>
    <x:row r="760" ht="18" customHeight="1">
      <x:c r="A760" s="13" t="n">
        <x:v>43719</x:v>
      </x:c>
      <x:c r="B760" s="12" t="n">
        <x:v>2</x:v>
      </x:c>
      <x:c r="C760" s="12" t="n">
        <x:v>-0.00739355657342721</x:v>
      </x:c>
      <x:c r="D760" s="12" t="n">
        <x:v>-0.3388880250090483</x:v>
      </x:c>
      <x:c r="E760" s="12" t="n">
        <x:v>-0.33442879004050113</x:v>
      </x:c>
    </x:row>
    <x:row r="761" ht="18" customHeight="1">
      <x:c r="A761" s="13" t="n">
        <x:v>43720</x:v>
      </x:c>
      <x:c r="B761" s="12" t="n">
        <x:v>-7</x:v>
      </x:c>
      <x:c r="C761" s="12" t="n">
        <x:v>0.010700540715443225</x:v>
      </x:c>
      <x:c r="D761" s="12" t="n">
        <x:v>-0.34584297986647183</x:v>
      </x:c>
      <x:c r="E761" s="12" t="n">
        <x:v>-0.3363351676199053</x:v>
      </x:c>
    </x:row>
    <x:row r="762" ht="18" customHeight="1">
      <x:c r="A762" s="13" t="n">
        <x:v>43724</x:v>
      </x:c>
      <x:c r="B762" s="12" t="n">
        <x:v>-3</x:v>
      </x:c>
      <x:c r="C762" s="12" t="n">
        <x:v>-0.0036984465283036883</x:v>
      </x:c>
      <x:c r="D762" s="12" t="n">
        <x:v>-0.3421174047116655</x:v>
      </x:c>
      <x:c r="E762" s="12" t="n">
        <x:v>-0.335994718004645</x:v>
      </x:c>
    </x:row>
    <x:row r="763" ht="18" customHeight="1">
      <x:c r="A763" s="13" t="n">
        <x:v>43725</x:v>
      </x:c>
      <x:c r="B763" s="12" t="n">
        <x:v>1</x:v>
      </x:c>
      <x:c r="C763" s="12" t="n">
        <x:v>-0.016944000862452385</x:v>
      </x:c>
      <x:c r="D763" s="12" t="n">
        <x:v>-0.34828318751277826</x:v>
      </x:c>
      <x:c r="E763" s="12" t="n">
        <x:v>-0.33438417991263913</x:v>
      </x:c>
    </x:row>
    <x:row r="764" ht="18" customHeight="1">
      <x:c r="A764" s="13" t="n">
        <x:v>43726</x:v>
      </x:c>
      <x:c r="B764" s="12" t="n">
        <x:v>1</x:v>
      </x:c>
      <x:c r="C764" s="12" t="n">
        <x:v>0.004835841687665309</x:v>
      </x:c>
      <x:c r="D764" s="12" t="n">
        <x:v>-0.306842088070747</x:v>
      </x:c>
      <x:c r="E764" s="12" t="n">
        <x:v>-0.3336297141704294</x:v>
      </x:c>
    </x:row>
    <x:row r="765" ht="18" customHeight="1">
      <x:c r="A765" s="13" t="n">
        <x:v>43727</x:v>
      </x:c>
      <x:c r="B765" s="12" t="n">
        <x:v>-5</x:v>
      </x:c>
      <x:c r="C765" s="12" t="n">
        <x:v>0.0036501826355516058</x:v>
      </x:c>
      <x:c r="D765" s="12" t="n">
        <x:v>-0.3092055587522059</x:v>
      </x:c>
      <x:c r="E765" s="12" t="n">
        <x:v>-0.33392599908348086</x:v>
      </x:c>
    </x:row>
    <x:row r="766" ht="18" customHeight="1">
      <x:c r="A766" s="13" t="n">
        <x:v>43728</x:v>
      </x:c>
      <x:c r="B766" s="12" t="n">
        <x:v>4</x:v>
      </x:c>
      <x:c r="C766" s="12" t="n">
        <x:v>0.0028673689149518178</x:v>
      </x:c>
      <x:c r="D766" s="12" t="n">
        <x:v>-0.30891672771496853</x:v>
      </x:c>
      <x:c r="E766" s="12" t="n">
        <x:v>-0.3328165535918708</x:v>
      </x:c>
    </x:row>
    <x:row r="767" ht="18" customHeight="1">
      <x:c r="A767" s="13" t="n">
        <x:v>43731</x:v>
      </x:c>
      <x:c r="B767" s="12" t="n">
        <x:v>3</x:v>
      </x:c>
      <x:c r="C767" s="12" t="n">
        <x:v>-0.011497111678571497</x:v>
      </x:c>
      <x:c r="D767" s="12" t="n">
        <x:v>-0.2988450158549513</x:v>
      </x:c>
      <x:c r="E767" s="12" t="n">
        <x:v>-0.33286514277047297</x:v>
      </x:c>
    </x:row>
    <x:row r="768" ht="18" customHeight="1">
      <x:c r="A768" s="13" t="n">
        <x:v>43732</x:v>
      </x:c>
      <x:c r="B768" s="12" t="n">
        <x:v>6</x:v>
      </x:c>
      <x:c r="C768" s="12" t="n">
        <x:v>0.002673140961188054</x:v>
      </x:c>
      <x:c r="D768" s="12" t="n">
        <x:v>-0.29674603075769723</x:v>
      </x:c>
      <x:c r="E768" s="12" t="n">
        <x:v>-0.331534824267322</x:v>
      </x:c>
    </x:row>
    <x:row r="769" ht="18" customHeight="1">
      <x:c r="A769" s="13" t="n">
        <x:v>43733</x:v>
      </x:c>
      <x:c r="B769" s="12" t="n">
        <x:v>1</x:v>
      </x:c>
      <x:c r="C769" s="12" t="n">
        <x:v>-0.007743700462489368</x:v>
      </x:c>
      <x:c r="D769" s="12" t="n">
        <x:v>-0.30910438961647907</x:v>
      </x:c>
      <x:c r="E769" s="12" t="n">
        <x:v>-0.3312427190473472</x:v>
      </x:c>
    </x:row>
    <x:row r="770" ht="18" customHeight="1">
      <x:c r="A770" s="13" t="n">
        <x:v>43734</x:v>
      </x:c>
      <x:c r="B770" s="12" t="n">
        <x:v>4</x:v>
      </x:c>
      <x:c r="C770" s="12" t="n">
        <x:v>-0.00773977565473282</x:v>
      </x:c>
      <x:c r="D770" s="12" t="n">
        <x:v>-0.31448176509216363</x:v>
      </x:c>
      <x:c r="E770" s="12" t="n">
        <x:v>-0.33377548850168853</x:v>
      </x:c>
    </x:row>
    <x:row r="771" ht="18" customHeight="1">
      <x:c r="A771" s="13" t="n">
        <x:v>43735</x:v>
      </x:c>
      <x:c r="B771" s="12" t="n">
        <x:v>4</x:v>
      </x:c>
      <x:c r="C771" s="12" t="n">
        <x:v>0.002993220585542078</x:v>
      </x:c>
      <x:c r="D771" s="12" t="n">
        <x:v>-0.2905538396952677</x:v>
      </x:c>
      <x:c r="E771" s="12" t="n">
        <x:v>-0.3342075789621806</x:v>
      </x:c>
    </x:row>
    <x:row r="772" ht="18" customHeight="1">
      <x:c r="A772" s="13" t="n">
        <x:v>43738</x:v>
      </x:c>
      <x:c r="B772" s="12" t="n">
        <x:v>2.999999999999943</x:v>
      </x:c>
      <x:c r="C772" s="12" t="n">
        <x:v>-0.009945118355292859</x:v>
      </x:c>
      <x:c r="D772" s="12" t="n">
        <x:v>-0.2953590769386394</x:v>
      </x:c>
      <x:c r="E772" s="12" t="n">
        <x:v>-0.33552341040033207</x:v>
      </x:c>
    </x:row>
    <x:row r="773" ht="18" customHeight="1">
      <x:c r="A773" s="13" t="n">
        <x:v>43746</x:v>
      </x:c>
      <x:c r="B773" s="12" t="n">
        <x:v>8</x:v>
      </x:c>
      <x:c r="C773" s="12" t="n">
        <x:v>0.006050795470111036</x:v>
      </x:c>
      <x:c r="D773" s="12" t="n">
        <x:v>-0.28943838103906044</x:v>
      </x:c>
      <x:c r="E773" s="12" t="n">
        <x:v>-0.33284692046575526</x:v>
      </x:c>
    </x:row>
    <x:row r="774" ht="18" customHeight="1">
      <x:c r="A774" s="13" t="n">
        <x:v>43747</x:v>
      </x:c>
      <x:c r="B774" s="12" t="n">
        <x:v>-6.999999999999943</x:v>
      </x:c>
      <x:c r="C774" s="12" t="n">
        <x:v>0.001447769850951804</x:v>
      </x:c>
      <x:c r="D774" s="12" t="n">
        <x:v>-0.290986879069911</x:v>
      </x:c>
      <x:c r="E774" s="12" t="n">
        <x:v>-0.33269489080229375</x:v>
      </x:c>
    </x:row>
    <x:row r="775" ht="18" customHeight="1">
      <x:c r="A775" s="13" t="n">
        <x:v>43748</x:v>
      </x:c>
      <x:c r="B775" s="12" t="n">
        <x:v>-6</x:v>
      </x:c>
      <x:c r="C775" s="12" t="n">
        <x:v>0.008136970299079355</x:v>
      </x:c>
      <x:c r="D775" s="12" t="n">
        <x:v>-0.29506148097399776</x:v>
      </x:c>
      <x:c r="E775" s="12" t="n">
        <x:v>-0.33422693682859217</x:v>
      </x:c>
    </x:row>
    <x:row r="776" ht="18" customHeight="1">
      <x:c r="A776" s="13" t="n">
        <x:v>43749</x:v>
      </x:c>
      <x:c r="B776" s="12" t="n">
        <x:v>-16.000000000000057</x:v>
      </x:c>
      <x:c r="C776" s="12" t="n">
        <x:v>0.009526006886581121</x:v>
      </x:c>
      <x:c r="D776" s="12" t="n">
        <x:v>-0.3226306535380084</x:v>
      </x:c>
      <x:c r="E776" s="12" t="n">
        <x:v>-0.3343444650462645</x:v>
      </x:c>
    </x:row>
    <x:row r="777" ht="18" customHeight="1">
      <x:c r="A777" s="13" t="n">
        <x:v>43752</x:v>
      </x:c>
      <x:c r="B777" s="12" t="n">
        <x:v>-1.9999999999999432</x:v>
      </x:c>
      <x:c r="C777" s="12" t="n">
        <x:v>0.010557244235901198</x:v>
      </x:c>
      <x:c r="D777" s="12" t="n">
        <x:v>-0.32096603438840077</x:v>
      </x:c>
      <x:c r="E777" s="12" t="n">
        <x:v>-0.33510851333105185</x:v>
      </x:c>
    </x:row>
    <x:row r="778" ht="18" customHeight="1">
      <x:c r="A778" s="13" t="n">
        <x:v>43753</x:v>
      </x:c>
      <x:c r="B778" s="12" t="n">
        <x:v>-7</x:v>
      </x:c>
      <x:c r="C778" s="12" t="n">
        <x:v>-0.004307331483228067</x:v>
      </x:c>
      <x:c r="D778" s="12" t="n">
        <x:v>-0.3129524995550834</x:v>
      </x:c>
      <x:c r="E778" s="12" t="n">
        <x:v>-0.3333725223333909</x:v>
      </x:c>
    </x:row>
    <x:row r="779" ht="18" customHeight="1">
      <x:c r="A779" s="13" t="n">
        <x:v>43754</x:v>
      </x:c>
      <x:c r="B779" s="12" t="n">
        <x:v>0</x:v>
      </x:c>
      <x:c r="C779" s="12" t="n">
        <x:v>-0.0034519723408775976</x:v>
      </x:c>
      <x:c r="D779" s="12" t="n">
        <x:v>-0.3129524830059363</x:v>
      </x:c>
      <x:c r="E779" s="12" t="n">
        <x:v>-0.3359255807841324</x:v>
      </x:c>
    </x:row>
    <x:row r="780" ht="18" customHeight="1">
      <x:c r="A780" s="13" t="n">
        <x:v>43755</x:v>
      </x:c>
      <x:c r="B780" s="12" t="n">
        <x:v>-1</x:v>
      </x:c>
      <x:c r="C780" s="12" t="n">
        <x:v>0.0006463379569335288</x:v>
      </x:c>
      <x:c r="D780" s="12" t="n">
        <x:v>-0.3172235381951209</x:v>
      </x:c>
      <x:c r="E780" s="12" t="n">
        <x:v>-0.3369273670575754</x:v>
      </x:c>
    </x:row>
    <x:row r="781" ht="18" customHeight="1">
      <x:c r="A781" s="13" t="n">
        <x:v>43756</x:v>
      </x:c>
      <x:c r="B781" s="12" t="n">
        <x:v>1.9999999999999432</x:v>
      </x:c>
      <x:c r="C781" s="12" t="n">
        <x:v>-0.0143291151611447</x:v>
      </x:c>
      <x:c r="D781" s="12" t="n">
        <x:v>-0.3167635181070016</x:v>
      </x:c>
      <x:c r="E781" s="12" t="n">
        <x:v>-0.3377482388445783</x:v>
      </x:c>
    </x:row>
    <x:row r="782" ht="18" customHeight="1">
      <x:c r="A782" s="13" t="n">
        <x:v>43759</x:v>
      </x:c>
      <x:c r="B782" s="12" t="n">
        <x:v>-3.999999999999943</x:v>
      </x:c>
      <x:c r="C782" s="12" t="n">
        <x:v>0.0029578804354533027</x:v>
      </x:c>
      <x:c r="D782" s="12" t="n">
        <x:v>-0.32274789550011956</x:v>
      </x:c>
      <x:c r="E782" s="12" t="n">
        <x:v>-0.33832386479793247</x:v>
      </x:c>
    </x:row>
    <x:row r="783" ht="18" customHeight="1">
      <x:c r="A783" s="13" t="n">
        <x:v>43760</x:v>
      </x:c>
      <x:c r="B783" s="12" t="n">
        <x:v>1</x:v>
      </x:c>
      <x:c r="C783" s="12" t="n">
        <x:v>0.003868241984147565</x:v>
      </x:c>
      <x:c r="D783" s="12" t="n">
        <x:v>-0.32115066597236447</x:v>
      </x:c>
      <x:c r="E783" s="12" t="n">
        <x:v>-0.3381465981292703</x:v>
      </x:c>
    </x:row>
    <x:row r="784" ht="18" customHeight="1">
      <x:c r="A784" s="13" t="n">
        <x:v>43761</x:v>
      </x:c>
      <x:c r="B784" s="12" t="n">
        <x:v>-1</x:v>
      </x:c>
      <x:c r="C784" s="12" t="n">
        <x:v>-0.006385037658147137</x:v>
      </x:c>
      <x:c r="D784" s="12" t="n">
        <x:v>-0.3039696734894124</x:v>
      </x:c>
      <x:c r="E784" s="12" t="n">
        <x:v>-0.3445760791956507</x:v>
      </x:c>
    </x:row>
    <x:row r="785" ht="18" customHeight="1">
      <x:c r="A785" s="13" t="n">
        <x:v>43762</x:v>
      </x:c>
      <x:c r="B785" s="12" t="n">
        <x:v>-2</x:v>
      </x:c>
      <x:c r="C785" s="12" t="n">
        <x:v>-0.00010772754489811883</x:v>
      </x:c>
      <x:c r="D785" s="12" t="n">
        <x:v>-0.30033205891380516</x:v>
      </x:c>
      <x:c r="E785" s="12" t="n">
        <x:v>-0.3448583009801136</x:v>
      </x:c>
    </x:row>
    <x:row r="786" ht="18" customHeight="1">
      <x:c r="A786" s="13" t="n">
        <x:v>43763</x:v>
      </x:c>
      <x:c r="B786" s="12" t="n">
        <x:v>-7</x:v>
      </x:c>
      <x:c r="C786" s="12" t="n">
        <x:v>0.006726677233170096</x:v>
      </x:c>
      <x:c r="D786" s="12" t="n">
        <x:v>-0.308411908252166</x:v>
      </x:c>
      <x:c r="E786" s="12" t="n">
        <x:v>-0.34573408016613305</x:v>
      </x:c>
    </x:row>
    <x:row r="787" ht="18" customHeight="1">
      <x:c r="A787" s="13" t="n">
        <x:v>43766</x:v>
      </x:c>
      <x:c r="B787" s="12" t="n">
        <x:v>-4</x:v>
      </x:c>
      <x:c r="C787" s="12" t="n">
        <x:v>0.007616363848449757</x:v>
      </x:c>
      <x:c r="D787" s="12" t="n">
        <x:v>-0.31046175256848363</x:v>
      </x:c>
      <x:c r="E787" s="12" t="n">
        <x:v>-0.34379694610088135</x:v>
      </x:c>
    </x:row>
    <x:row r="788" ht="18" customHeight="1">
      <x:c r="A788" s="13" t="n">
        <x:v>43767</x:v>
      </x:c>
      <x:c r="B788" s="12" t="n">
        <x:v>1</x:v>
      </x:c>
      <x:c r="C788" s="12" t="n">
        <x:v>-0.004174918538003564</x:v>
      </x:c>
      <x:c r="D788" s="12" t="n">
        <x:v>-0.3126723471914488</x:v>
      </x:c>
      <x:c r="E788" s="12" t="n">
        <x:v>-0.3428154703707134</x:v>
      </x:c>
    </x:row>
    <x:row r="789" ht="18" customHeight="1">
      <x:c r="A789" s="13" t="n">
        <x:v>43768</x:v>
      </x:c>
      <x:c r="B789" s="12" t="n">
        <x:v>10</x:v>
      </x:c>
      <x:c r="C789" s="12" t="n">
        <x:v>-0.0048710262618592085</x:v>
      </x:c>
      <x:c r="D789" s="12" t="n">
        <x:v>-0.3149756719139434</x:v>
      </x:c>
      <x:c r="E789" s="12" t="n">
        <x:v>-0.347330848193901</x:v>
      </x:c>
    </x:row>
    <x:row r="790" ht="18" customHeight="1">
      <x:c r="A790" s="13" t="n">
        <x:v>43769</x:v>
      </x:c>
      <x:c r="B790" s="12" t="n">
        <x:v>19.000000000000057</x:v>
      </x:c>
      <x:c r="C790" s="12" t="n">
        <x:v>-0.0011503248886546285</x:v>
      </x:c>
      <x:c r="D790" s="12" t="n">
        <x:v>-0.3077597191846719</x:v>
      </x:c>
      <x:c r="E790" s="12" t="n">
        <x:v>-0.346929081829268</x:v>
      </x:c>
    </x:row>
    <x:row r="791" ht="18" customHeight="1">
      <x:c r="A791" s="13" t="n">
        <x:v>43770</x:v>
      </x:c>
      <x:c r="B791" s="12" t="n">
        <x:v>-6.000000000000057</x:v>
      </x:c>
      <x:c r="C791" s="12" t="n">
        <x:v>0.016745929106932903</x:v>
      </x:c>
      <x:c r="D791" s="12" t="n">
        <x:v>-0.31655986201042646</x:v>
      </x:c>
      <x:c r="E791" s="12" t="n">
        <x:v>-0.34901668771643723</x:v>
      </x:c>
    </x:row>
    <x:row r="792" ht="18" customHeight="1">
      <x:c r="A792" s="13" t="n">
        <x:v>43773</x:v>
      </x:c>
      <x:c r="B792" s="12" t="n">
        <x:v>-10</x:v>
      </x:c>
      <x:c r="C792" s="12" t="n">
        <x:v>0.006489997294453441</x:v>
      </x:c>
      <x:c r="D792" s="12" t="n">
        <x:v>-0.328255581404255</x:v>
      </x:c>
      <x:c r="E792" s="12" t="n">
        <x:v>-0.3474466577038855</x:v>
      </x:c>
    </x:row>
    <x:row r="793" ht="18" customHeight="1">
      <x:c r="A793" s="13" t="n">
        <x:v>43774</x:v>
      </x:c>
      <x:c r="B793" s="12" t="n">
        <x:v>-2</x:v>
      </x:c>
      <x:c r="C793" s="12" t="n">
        <x:v>0.00618756590134739</x:v>
      </x:c>
      <x:c r="D793" s="12" t="n">
        <x:v>-0.33910670244873264</x:v>
      </x:c>
      <x:c r="E793" s="12" t="n">
        <x:v>-0.35064610055416606</x:v>
      </x:c>
    </x:row>
    <x:row r="794" ht="18" customHeight="1">
      <x:c r="A794" s="13" t="n">
        <x:v>43775</x:v>
      </x:c>
      <x:c r="B794" s="12" t="n">
        <x:v>4.999999999999943</x:v>
      </x:c>
      <x:c r="C794" s="12" t="n">
        <x:v>-0.00448971360764937</x:v>
      </x:c>
      <x:c r="D794" s="12" t="n">
        <x:v>-0.3238283775156413</x:v>
      </x:c>
      <x:c r="E794" s="12" t="n">
        <x:v>-0.35934804986343594</x:v>
      </x:c>
    </x:row>
    <x:row r="795" ht="18" customHeight="1">
      <x:c r="A795" s="13" t="n">
        <x:v>43776</x:v>
      </x:c>
      <x:c r="B795" s="12" t="n">
        <x:v>-5.999999999999943</x:v>
      </x:c>
      <x:c r="C795" s="12" t="n">
        <x:v>0.0017534198998628825</x:v>
      </x:c>
      <x:c r="D795" s="12" t="n">
        <x:v>-0.30348904903147644</x:v>
      </x:c>
      <x:c r="E795" s="12" t="n">
        <x:v>-0.3512366638298372</x:v>
      </x:c>
    </x:row>
    <x:row r="796" ht="18" customHeight="1">
      <x:c r="A796" s="13" t="n">
        <x:v>43777</x:v>
      </x:c>
      <x:c r="B796" s="12" t="n">
        <x:v>4</x:v>
      </x:c>
      <x:c r="C796" s="12" t="n">
        <x:v>-0.004736850275038381</x:v>
      </x:c>
      <x:c r="D796" s="12" t="n">
        <x:v>-0.19066579571613695</x:v>
      </x:c>
      <x:c r="E796" s="12" t="n">
        <x:v>-0.3519088583162039</x:v>
      </x:c>
    </x:row>
    <x:row r="797" ht="18" customHeight="1">
      <x:c r="A797" s="13" t="n">
        <x:v>43780</x:v>
      </x:c>
      <x:c r="B797" s="12" t="n">
        <x:v>-1</x:v>
      </x:c>
      <x:c r="C797" s="12" t="n">
        <x:v>-0.01778424165054614</x:v>
      </x:c>
      <x:c r="D797" s="12" t="n">
        <x:v>-0.2049344882475362</x:v>
      </x:c>
      <x:c r="E797" s="12" t="n">
        <x:v>-0.35017129657756246</x:v>
      </x:c>
    </x:row>
    <x:row r="798" ht="18" customHeight="1">
      <x:c r="A798" s="13" t="n">
        <x:v>43781</x:v>
      </x:c>
      <x:c r="B798" s="12" t="n">
        <x:v>1</x:v>
      </x:c>
      <x:c r="C798" s="12" t="n">
        <x:v>0.0001820239015856364</x:v>
      </x:c>
      <x:c r="D798" s="12" t="n">
        <x:v>-0.19787936171575538</x:v>
      </x:c>
      <x:c r="E798" s="12" t="n">
        <x:v>-0.34865903945059995</x:v>
      </x:c>
    </x:row>
    <x:row r="799" ht="18" customHeight="1">
      <x:c r="A799" s="13" t="n">
        <x:v>43782</x:v>
      </x:c>
      <x:c r="B799" s="12" t="n">
        <x:v>5</x:v>
      </x:c>
      <x:c r="C799" s="12" t="n">
        <x:v>-0.0009501427242264534</x:v>
      </x:c>
      <x:c r="D799" s="12" t="n">
        <x:v>-0.15098209112558764</x:v>
      </x:c>
      <x:c r="E799" s="12" t="n">
        <x:v>-0.3539244134736315</x:v>
      </x:c>
    </x:row>
    <x:row r="800" ht="18" customHeight="1">
      <x:c r="A800" s="13" t="n">
        <x:v>43783</x:v>
      </x:c>
      <x:c r="B800" s="12" t="n">
        <x:v>3</x:v>
      </x:c>
      <x:c r="C800" s="12" t="n">
        <x:v>0.0015054119066440256</x:v>
      </x:c>
      <x:c r="D800" s="12" t="n">
        <x:v>-0.1497459728280983</x:v>
      </x:c>
      <x:c r="E800" s="12" t="n">
        <x:v>-0.35622105893101236</x:v>
      </x:c>
    </x:row>
    <x:row r="801" ht="18" customHeight="1">
      <x:c r="A801" s="13" t="n">
        <x:v>43784</x:v>
      </x:c>
      <x:c r="B801" s="12" t="n">
        <x:v>-2.000000000000057</x:v>
      </x:c>
      <x:c r="C801" s="12" t="n">
        <x:v>-0.0073925555371158955</x:v>
      </x:c>
      <x:c r="D801" s="12" t="n">
        <x:v>-0.20125201574736457</x:v>
      </x:c>
      <x:c r="E801" s="12" t="n">
        <x:v>-0.35290030178049336</x:v>
      </x:c>
    </x:row>
    <x:row r="802" ht="18" customHeight="1">
      <x:c r="A802" s="13" t="n">
        <x:v>43787</x:v>
      </x:c>
      <x:c r="B802" s="12" t="n">
        <x:v>3.000000000000057</x:v>
      </x:c>
      <x:c r="C802" s="12" t="n">
        <x:v>0.00792292583956696</x:v>
      </x:c>
      <x:c r="D802" s="12" t="n">
        <x:v>-0.2415667414353585</x:v>
      </x:c>
      <x:c r="E802" s="12" t="n">
        <x:v>-0.35200465482081805</x:v>
      </x:c>
    </x:row>
    <x:row r="803" ht="18" customHeight="1">
      <x:c r="A803" s="13" t="n">
        <x:v>43788</x:v>
      </x:c>
      <x:c r="B803" s="12" t="n">
        <x:v>3</x:v>
      </x:c>
      <x:c r="C803" s="12" t="n">
        <x:v>0.009958136481306303</x:v>
      </x:c>
      <x:c r="D803" s="12" t="n">
        <x:v>-0.2842361172364392</x:v>
      </x:c>
      <x:c r="E803" s="12" t="n">
        <x:v>-0.3449946332608997</x:v>
      </x:c>
    </x:row>
    <x:row r="804" ht="18" customHeight="1">
      <x:c r="A804" s="13" t="n">
        <x:v>43789</x:v>
      </x:c>
      <x:c r="B804" s="12" t="n">
        <x:v>6</x:v>
      </x:c>
      <x:c r="C804" s="12" t="n">
        <x:v>-0.009974769470009609</x:v>
      </x:c>
      <x:c r="D804" s="12" t="n">
        <x:v>-0.30552102911748</x:v>
      </x:c>
      <x:c r="E804" s="12" t="n">
        <x:v>-0.3468653343124604</x:v>
      </x:c>
    </x:row>
    <x:row r="805" ht="18" customHeight="1">
      <x:c r="A805" s="13" t="n">
        <x:v>43790</x:v>
      </x:c>
      <x:c r="B805" s="12" t="n">
        <x:v>-1</x:v>
      </x:c>
      <x:c r="C805" s="12" t="n">
        <x:v>-0.0046851483670989165</x:v>
      </x:c>
      <x:c r="D805" s="12" t="n">
        <x:v>-0.3012357713535328</x:v>
      </x:c>
      <x:c r="E805" s="12" t="n">
        <x:v>-0.347877952258177</x:v>
      </x:c>
    </x:row>
    <x:row r="806" ht="18" customHeight="1">
      <x:c r="A806" s="13" t="n">
        <x:v>43791</x:v>
      </x:c>
      <x:c r="B806" s="12" t="n">
        <x:v>-4</x:v>
      </x:c>
      <x:c r="C806" s="12" t="n">
        <x:v>-0.010234012738468922</x:v>
      </x:c>
      <x:c r="D806" s="12" t="n">
        <x:v>-0.23763918275108464</x:v>
      </x:c>
      <x:c r="E806" s="12" t="n">
        <x:v>-0.34858748469807693</x:v>
      </x:c>
    </x:row>
    <x:row r="807" ht="18" customHeight="1">
      <x:c r="A807" s="13" t="n">
        <x:v>43794</x:v>
      </x:c>
      <x:c r="B807" s="12" t="n">
        <x:v>-5</x:v>
      </x:c>
      <x:c r="C807" s="12" t="n">
        <x:v>0.007300903710355269</x:v>
      </x:c>
      <x:c r="D807" s="12" t="n">
        <x:v>-0.24494162831356123</x:v>
      </x:c>
      <x:c r="E807" s="12" t="n">
        <x:v>-0.3499253391101689</x:v>
      </x:c>
    </x:row>
    <x:row r="808" ht="18" customHeight="1">
      <x:c r="A808" s="13" t="n">
        <x:v>43795</x:v>
      </x:c>
      <x:c r="B808" s="12" t="n">
        <x:v>-3</x:v>
      </x:c>
      <x:c r="C808" s="12" t="n">
        <x:v>0.0034613788316599295</x:v>
      </x:c>
      <x:c r="D808" s="12" t="n">
        <x:v>-0.2652786240820433</x:v>
      </x:c>
      <x:c r="E808" s="12" t="n">
        <x:v>-0.3452556202239962</x:v>
      </x:c>
    </x:row>
    <x:row r="809" ht="18" customHeight="1">
      <x:c r="A809" s="13" t="n">
        <x:v>43796</x:v>
      </x:c>
      <x:c r="B809" s="12" t="n">
        <x:v>-6</x:v>
      </x:c>
      <x:c r="C809" s="12" t="n">
        <x:v>-0.004128791417360389</x:v>
      </x:c>
      <x:c r="D809" s="12" t="n">
        <x:v>-0.2520994802004858</x:v>
      </x:c>
      <x:c r="E809" s="12" t="n">
        <x:v>-0.3442393128842505</x:v>
      </x:c>
    </x:row>
    <x:row r="810" ht="18" customHeight="1">
      <x:c r="A810" s="13" t="n">
        <x:v>43798</x:v>
      </x:c>
      <x:c r="B810" s="12" t="n">
        <x:v>2</x:v>
      </x:c>
      <x:c r="C810" s="12" t="n">
        <x:v>-0.008745970684524417</x:v>
      </x:c>
      <x:c r="D810" s="12" t="n">
        <x:v>-0.2890280110569928</x:v>
      </x:c>
      <x:c r="E810" s="12" t="n">
        <x:v>-0.35436985903221446</x:v>
      </x:c>
    </x:row>
    <x:row r="811" ht="18" customHeight="1">
      <x:c r="A811" s="13" t="n">
        <x:v>43801</x:v>
      </x:c>
      <x:c r="B811" s="12" t="n">
        <x:v>1.0000000000000568</x:v>
      </x:c>
      <x:c r="C811" s="12" t="n">
        <x:v>0.00192787032819121</x:v>
      </x:c>
      <x:c r="D811" s="12" t="n">
        <x:v>-0.30789282212925384</x:v>
      </x:c>
      <x:c r="E811" s="12" t="n">
        <x:v>-0.35177207967689733</x:v>
      </x:c>
    </x:row>
    <x:row r="812" ht="18" customHeight="1">
      <x:c r="A812" s="13" t="n">
        <x:v>43802</x:v>
      </x:c>
      <x:c r="B812" s="12" t="n">
        <x:v>10.999999999999943</x:v>
      </x:c>
      <x:c r="C812" s="12" t="n">
        <x:v>0.003910012573047016</x:v>
      </x:c>
      <x:c r="D812" s="12" t="n">
        <x:v>-0.27962166506795744</x:v>
      </x:c>
      <x:c r="E812" s="12" t="n">
        <x:v>-0.35609675191663454</x:v>
      </x:c>
    </x:row>
    <x:row r="813" ht="18" customHeight="1">
      <x:c r="A813" s="13" t="n">
        <x:v>43803</x:v>
      </x:c>
      <x:c r="B813" s="12" t="n">
        <x:v>-12</x:v>
      </x:c>
      <x:c r="C813" s="12" t="n">
        <x:v>-0.00032938980479928193</x:v>
      </x:c>
      <x:c r="D813" s="12" t="n">
        <x:v>-0.27242367878995644</x:v>
      </x:c>
      <x:c r="E813" s="12" t="n">
        <x:v>-0.35589628537751405</x:v>
      </x:c>
    </x:row>
    <x:row r="814" ht="18" customHeight="1">
      <x:c r="A814" s="13" t="n">
        <x:v>43804</x:v>
      </x:c>
      <x:c r="B814" s="12" t="n">
        <x:v>-1.9999999999999432</x:v>
      </x:c>
      <x:c r="C814" s="12" t="n">
        <x:v>0.0076450369110844605</x:v>
      </x:c>
      <x:c r="D814" s="12" t="n">
        <x:v>-0.2886403032076242</x:v>
      </x:c>
      <x:c r="E814" s="12" t="n">
        <x:v>-0.36001724829339615</x:v>
      </x:c>
    </x:row>
    <x:row r="815" ht="18" customHeight="1">
      <x:c r="A815" s="13" t="n">
        <x:v>43805</x:v>
      </x:c>
      <x:c r="B815" s="12" t="n">
        <x:v>-11</x:v>
      </x:c>
      <x:c r="C815" s="12" t="n">
        <x:v>0.005916810441135707</x:v>
      </x:c>
      <x:c r="D815" s="12" t="n">
        <x:v>-0.30194269871254026</x:v>
      </x:c>
      <x:c r="E815" s="12" t="n">
        <x:v>-0.3565877348511305</x:v>
      </x:c>
    </x:row>
    <x:row r="816" ht="18" customHeight="1">
      <x:c r="A816" s="13" t="n">
        <x:v>43808</x:v>
      </x:c>
      <x:c r="B816" s="12" t="n">
        <x:v>-1</x:v>
      </x:c>
      <x:c r="C816" s="12" t="n">
        <x:v>-0.0017795976477017867</x:v>
      </x:c>
      <x:c r="D816" s="12" t="n">
        <x:v>-0.3121472392100536</x:v>
      </x:c>
      <x:c r="E816" s="12" t="n">
        <x:v>-0.3566993780632785</x:v>
      </x:c>
    </x:row>
    <x:row r="817" ht="18" customHeight="1">
      <x:c r="A817" s="13" t="n">
        <x:v>43809</x:v>
      </x:c>
      <x:c r="B817" s="12" t="n">
        <x:v>-4</x:v>
      </x:c>
      <x:c r="C817" s="12" t="n">
        <x:v>0.0012667028304908915</x:v>
      </x:c>
      <x:c r="D817" s="12" t="n">
        <x:v>-0.32507387541579325</x:v>
      </x:c>
      <x:c r="E817" s="12" t="n">
        <x:v>-0.35651662202659057</x:v>
      </x:c>
    </x:row>
    <x:row r="818" ht="18" customHeight="1">
      <x:c r="A818" s="13" t="n">
        <x:v>43810</x:v>
      </x:c>
      <x:c r="B818" s="12" t="n">
        <x:v>-1</x:v>
      </x:c>
      <x:c r="C818" s="12" t="n">
        <x:v>0.0006061411284087119</x:v>
      </x:c>
      <x:c r="D818" s="12" t="n">
        <x:v>-0.33164003015590393</x:v>
      </x:c>
      <x:c r="E818" s="12" t="n">
        <x:v>-0.35529571615598354</x:v>
      </x:c>
    </x:row>
    <x:row r="819" ht="18" customHeight="1">
      <x:c r="A819" s="13" t="n">
        <x:v>43811</x:v>
      </x:c>
      <x:c r="B819" s="12" t="n">
        <x:v>-13</x:v>
      </x:c>
      <x:c r="C819" s="12" t="n">
        <x:v>-0.003008814407023755</x:v>
      </x:c>
      <x:c r="D819" s="12" t="n">
        <x:v>-0.2724949658495923</x:v>
      </x:c>
      <x:c r="E819" s="12" t="n">
        <x:v>-0.3519893286884603</x:v>
      </x:c>
    </x:row>
    <x:row r="820" ht="18" customHeight="1">
      <x:c r="A820" s="13" t="n">
        <x:v>43812</x:v>
      </x:c>
      <x:c r="B820" s="12" t="n">
        <x:v>1</x:v>
      </x:c>
      <x:c r="C820" s="12" t="n">
        <x:v>0.01964549517248232</x:v>
      </x:c>
      <x:c r="D820" s="12" t="n">
        <x:v>-0.24232343468170173</x:v>
      </x:c>
      <x:c r="E820" s="12" t="n">
        <x:v>-0.3493287682220919</x:v>
      </x:c>
    </x:row>
    <x:row r="821" ht="18" customHeight="1">
      <x:c r="A821" s="13" t="n">
        <x:v>43815</x:v>
      </x:c>
      <x:c r="B821" s="12" t="n">
        <x:v>-9</x:v>
      </x:c>
      <x:c r="C821" s="12" t="n">
        <x:v>0.0048581957704862165</x:v>
      </x:c>
      <x:c r="D821" s="12" t="n">
        <x:v>-0.24343309057280332</x:v>
      </x:c>
      <x:c r="E821" s="12" t="n">
        <x:v>-0.34816931438719123</x:v>
      </x:c>
    </x:row>
    <x:row r="822" ht="18" customHeight="1">
      <x:c r="A822" s="13" t="n">
        <x:v>43816</x:v>
      </x:c>
      <x:c r="B822" s="12" t="n">
        <x:v>-4</x:v>
      </x:c>
      <x:c r="C822" s="12" t="n">
        <x:v>0.01351393392930136</x:v>
      </x:c>
      <x:c r="D822" s="12" t="n">
        <x:v>-0.26523857885053376</x:v>
      </x:c>
      <x:c r="E822" s="12" t="n">
        <x:v>-0.35137417842229435</x:v>
      </x:c>
    </x:row>
    <x:row r="823" ht="18" customHeight="1">
      <x:c r="A823" s="13" t="n">
        <x:v>43817</x:v>
      </x:c>
      <x:c r="B823" s="12" t="n">
        <x:v>-7</x:v>
      </x:c>
      <x:c r="C823" s="12" t="n">
        <x:v>-0.002233429179337791</x:v>
      </x:c>
      <x:c r="D823" s="12" t="n">
        <x:v>-0.25178770486894736</x:v>
      </x:c>
      <x:c r="E823" s="12" t="n">
        <x:v>-0.35394262948544336</x:v>
      </x:c>
    </x:row>
    <x:row r="824" ht="18" customHeight="1">
      <x:c r="A824" s="13" t="n">
        <x:v>43818</x:v>
      </x:c>
      <x:c r="B824" s="12" t="n">
        <x:v>3</x:v>
      </x:c>
      <x:c r="C824" s="12" t="n">
        <x:v>-0.001397803566406833</x:v>
      </x:c>
      <x:c r="D824" s="12" t="n">
        <x:v>-0.23705286677071344</x:v>
      </x:c>
      <x:c r="E824" s="12" t="n">
        <x:v>-0.34931137655263467</x:v>
      </x:c>
    </x:row>
    <x:row r="825" ht="18" customHeight="1">
      <x:c r="A825" s="13" t="n">
        <x:v>43819</x:v>
      </x:c>
      <x:c r="B825" s="12" t="n">
        <x:v>-1</x:v>
      </x:c>
      <x:c r="C825" s="12" t="n">
        <x:v>-0.0024605445493925703</x:v>
      </x:c>
      <x:c r="D825" s="12" t="n">
        <x:v>-0.24044731535170424</x:v>
      </x:c>
      <x:c r="E825" s="12" t="n">
        <x:v>-0.35053422807108015</x:v>
      </x:c>
    </x:row>
    <x:row r="826" ht="18" customHeight="1">
      <x:c r="A826" s="13" t="n">
        <x:v>43822</x:v>
      </x:c>
      <x:c r="B826" s="12" t="n">
        <x:v>-1</x:v>
      </x:c>
      <x:c r="C826" s="12" t="n">
        <x:v>-0.012563869739876722</x:v>
      </x:c>
      <x:c r="D826" s="12" t="n">
        <x:v>-0.23282947838478904</x:v>
      </x:c>
      <x:c r="E826" s="12" t="n">
        <x:v>-0.34949596931672494</x:v>
      </x:c>
    </x:row>
    <x:row r="827" ht="18" customHeight="1">
      <x:c r="A827" s="13" t="n">
        <x:v>43823</x:v>
      </x:c>
      <x:c r="B827" s="12" t="n">
        <x:v>1</x:v>
      </x:c>
      <x:c r="C827" s="12" t="n">
        <x:v>0.006497943361457646</x:v>
      </x:c>
      <x:c r="D827" s="12" t="n">
        <x:v>-0.2310530362327544</x:v>
      </x:c>
      <x:c r="E827" s="12" t="n">
        <x:v>-0.33705288779139886</x:v>
      </x:c>
    </x:row>
    <x:row r="828" ht="18" customHeight="1">
      <x:c r="A828" s="13" t="n">
        <x:v>43825</x:v>
      </x:c>
      <x:c r="B828" s="12" t="n">
        <x:v>0</x:v>
      </x:c>
      <x:c r="C828" s="12" t="n">
        <x:v>0.008761796161291392</x:v>
      </x:c>
      <x:c r="D828" s="12" t="n">
        <x:v>-0.2224004676273475</x:v>
      </x:c>
      <x:c r="E828" s="12" t="n">
        <x:v>-0.33661154737330606</x:v>
      </x:c>
    </x:row>
    <x:row r="829" ht="18" customHeight="1">
      <x:c r="A829" s="13" t="n">
        <x:v>43826</x:v>
      </x:c>
      <x:c r="B829" s="12" t="n">
        <x:v>3</x:v>
      </x:c>
      <x:c r="C829" s="12" t="n">
        <x:v>-0.0009841184379423033</x:v>
      </x:c>
      <x:c r="D829" s="12" t="n">
        <x:v>-0.22925572506183214</x:v>
      </x:c>
      <x:c r="E829" s="12" t="n">
        <x:v>-0.33463935486712065</x:v>
      </x:c>
    </x:row>
    <x:row r="830" ht="18" customHeight="1">
      <x:c r="A830" s="13" t="n">
        <x:v>43829</x:v>
      </x:c>
      <x:c r="B830" s="12" t="n">
        <x:v>4</x:v>
      </x:c>
      <x:c r="C830" s="12" t="n">
        <x:v>0.014711048126733142</x:v>
      </x:c>
      <x:c r="D830" s="12" t="n">
        <x:v>-0.18558176420142386</x:v>
      </x:c>
      <x:c r="E830" s="12" t="n">
        <x:v>-0.3307238375096793</x:v>
      </x:c>
    </x:row>
    <x:row r="831" ht="18" customHeight="1">
      <x:c r="A831" s="13" t="n">
        <x:v>43830</x:v>
      </x:c>
      <x:c r="B831" s="12" t="n">
        <x:v>0</x:v>
      </x:c>
      <x:c r="C831" s="12" t="n">
        <x:v>0.0036557404603511975</x:v>
      </x:c>
      <x:c r="D831" s="12" t="n">
        <x:v>-0.1911532677549874</x:v>
      </x:c>
      <x:c r="E831" s="12" t="n">
        <x:v>-0.330519851065346</x:v>
      </x:c>
    </x:row>
    <x:row r="832" ht="18" customHeight="1">
      <x:c r="A832" s="13" t="n">
        <x:v>43832</x:v>
      </x:c>
      <x:c r="B832" s="12" t="n">
        <x:v>-4</x:v>
      </x:c>
      <x:c r="C832" s="12" t="n">
        <x:v>0.013495148430566905</x:v>
      </x:c>
      <x:c r="D832" s="12" t="n">
        <x:v>-0.19602815176111152</x:v>
      </x:c>
      <x:c r="E832" s="12" t="n">
        <x:v>-0.3320382457845685</x:v>
      </x:c>
    </x:row>
    <x:row r="833" ht="18" customHeight="1">
      <x:c r="A833" s="13" t="n">
        <x:v>43833</x:v>
      </x:c>
      <x:c r="B833" s="12" t="n">
        <x:v>5</x:v>
      </x:c>
      <x:c r="C833" s="12" t="n">
        <x:v>-0.0017538198106827857</x:v>
      </x:c>
      <x:c r="D833" s="12" t="n">
        <x:v>-0.18771086247408858</x:v>
      </x:c>
      <x:c r="E833" s="12" t="n">
        <x:v>-0.32898508700696033</x:v>
      </x:c>
    </x:row>
    <x:row r="834" ht="18" customHeight="1">
      <x:c r="A834" s="13" t="n">
        <x:v>43836</x:v>
      </x:c>
      <x:c r="B834" s="12" t="n">
        <x:v>-4</x:v>
      </x:c>
      <x:c r="C834" s="12" t="n">
        <x:v>-0.003787533426308017</x:v>
      </x:c>
      <x:c r="D834" s="12" t="n">
        <x:v>-0.18584869470572676</x:v>
      </x:c>
      <x:c r="E834" s="12" t="n">
        <x:v>-0.3284062449459009</x:v>
      </x:c>
    </x:row>
    <x:row r="835" ht="18" customHeight="1">
      <x:c r="A835" s="13" t="n">
        <x:v>43837</x:v>
      </x:c>
      <x:c r="B835" s="12" t="n">
        <x:v>-3</x:v>
      </x:c>
      <x:c r="C835" s="12" t="n">
        <x:v>0.007462949149397088</x:v>
      </x:c>
      <x:c r="D835" s="12" t="n">
        <x:v>-0.17561253663556037</x:v>
      </x:c>
      <x:c r="E835" s="12" t="n">
        <x:v>-0.3248023419707969</x:v>
      </x:c>
    </x:row>
    <x:row r="836" ht="18" customHeight="1">
      <x:c r="A836" s="13" t="n">
        <x:v>43838</x:v>
      </x:c>
      <x:c r="B836" s="12" t="n">
        <x:v>-4</x:v>
      </x:c>
      <x:c r="C836" s="12" t="n">
        <x:v>-0.0115830709851755</x:v>
      </x:c>
      <x:c r="D836" s="12" t="n">
        <x:v>-0.17903648024892713</x:v>
      </x:c>
      <x:c r="E836" s="12" t="n">
        <x:v>-0.3179894597622971</x:v>
      </x:c>
    </x:row>
    <x:row r="837" ht="18" customHeight="1">
      <x:c r="A837" s="13" t="n">
        <x:v>43839</x:v>
      </x:c>
      <x:c r="B837" s="12" t="n">
        <x:v>-1</x:v>
      </x:c>
      <x:c r="C837" s="12" t="n">
        <x:v>0.012578266378327381</x:v>
      </x:c>
      <x:c r="D837" s="12" t="n">
        <x:v>-0.17529555611346587</x:v>
      </x:c>
      <x:c r="E837" s="12" t="n">
        <x:v>-0.3156261848193603</x:v>
      </x:c>
    </x:row>
    <x:row r="838" ht="18" customHeight="1">
      <x:c r="A838" s="13" t="n">
        <x:v>43840</x:v>
      </x:c>
      <x:c r="B838" s="12" t="n">
        <x:v>-1</x:v>
      </x:c>
      <x:c r="C838" s="12" t="n">
        <x:v>-0.0002845493220769424</x:v>
      </x:c>
      <x:c r="D838" s="12" t="n">
        <x:v>-0.16560246762666445</x:v>
      </x:c>
      <x:c r="E838" s="12" t="n">
        <x:v>-0.3111433210362007</x:v>
      </x:c>
    </x:row>
    <x:row r="839" ht="18" customHeight="1">
      <x:c r="A839" s="13" t="n">
        <x:v>43843</x:v>
      </x:c>
      <x:c r="B839" s="12" t="n">
        <x:v>0</x:v>
      </x:c>
      <x:c r="C839" s="12" t="n">
        <x:v>0.0097532876352903</x:v>
      </x:c>
      <x:c r="D839" s="12" t="n">
        <x:v>-0.12340657740903528</x:v>
      </x:c>
      <x:c r="E839" s="12" t="n">
        <x:v>-0.3134498036531913</x:v>
      </x:c>
    </x:row>
    <x:row r="840" ht="18" customHeight="1">
      <x:c r="A840" s="13" t="n">
        <x:v>43844</x:v>
      </x:c>
      <x:c r="B840" s="12" t="n">
        <x:v>-3</x:v>
      </x:c>
      <x:c r="C840" s="12" t="n">
        <x:v>-0.003360096286408275</x:v>
      </x:c>
      <x:c r="D840" s="12" t="n">
        <x:v>-0.11731089332192722</x:v>
      </x:c>
      <x:c r="E840" s="12" t="n">
        <x:v>-0.31239942862291464</x:v>
      </x:c>
    </x:row>
    <x:row r="841" ht="18" customHeight="1">
      <x:c r="A841" s="13" t="n">
        <x:v>43845</x:v>
      </x:c>
      <x:c r="B841" s="12" t="n">
        <x:v>-1</x:v>
      </x:c>
      <x:c r="C841" s="12" t="n">
        <x:v>-0.00554096215265634</x:v>
      </x:c>
      <x:c r="D841" s="12" t="n">
        <x:v>-0.1308261399793902</x:v>
      </x:c>
      <x:c r="E841" s="12" t="n">
        <x:v>-0.31192168924600555</x:v>
      </x:c>
    </x:row>
    <x:row r="842" ht="18" customHeight="1">
      <x:c r="A842" s="13" t="n">
        <x:v>43846</x:v>
      </x:c>
      <x:c r="B842" s="12" t="n">
        <x:v>-2</x:v>
      </x:c>
      <x:c r="C842" s="12" t="n">
        <x:v>-0.004254809860104781</x:v>
      </x:c>
      <x:c r="D842" s="12" t="n">
        <x:v>-0.12684672041000208</x:v>
      </x:c>
      <x:c r="E842" s="12" t="n">
        <x:v>-0.3105656357851497</x:v>
      </x:c>
    </x:row>
    <x:row r="843" ht="18" customHeight="1">
      <x:c r="A843" s="13" t="n">
        <x:v>43847</x:v>
      </x:c>
      <x:c r="B843" s="12" t="n">
        <x:v>-3</x:v>
      </x:c>
      <x:c r="C843" s="12" t="n">
        <x:v>0.0013992469722722961</x:v>
      </x:c>
      <x:c r="D843" s="12" t="n">
        <x:v>-0.12705373196960434</x:v>
      </x:c>
      <x:c r="E843" s="12" t="n">
        <x:v>-0.30972595863969676</x:v>
      </x:c>
    </x:row>
    <x:row r="844" ht="18" customHeight="1">
      <x:c r="A844" s="13" t="n">
        <x:v>43850</x:v>
      </x:c>
      <x:c r="B844" s="12" t="n">
        <x:v>-1</x:v>
      </x:c>
      <x:c r="C844" s="12" t="n">
        <x:v>0.007428058577093128</x:v>
      </x:c>
      <x:c r="D844" s="12" t="n">
        <x:v>-0.1120461557404327</x:v>
      </x:c>
      <x:c r="E844" s="12" t="n">
        <x:v>-0.3094404518600834</x:v>
      </x:c>
    </x:row>
    <x:row r="845" ht="18" customHeight="1">
      <x:c r="A845" s="13" t="n">
        <x:v>43851</x:v>
      </x:c>
      <x:c r="B845" s="12" t="n">
        <x:v>9</x:v>
      </x:c>
      <x:c r="C845" s="12" t="n">
        <x:v>-0.017234330931583355</x:v>
      </x:c>
      <x:c r="D845" s="12" t="n">
        <x:v>-0.17152546142880326</x:v>
      </x:c>
      <x:c r="E845" s="12" t="n">
        <x:v>-0.29561825817245213</x:v>
      </x:c>
    </x:row>
    <x:row r="846" ht="18" customHeight="1">
      <x:c r="A846" s="13" t="n">
        <x:v>43852</x:v>
      </x:c>
      <x:c r="B846" s="12" t="n">
        <x:v>2</x:v>
      </x:c>
      <x:c r="C846" s="12" t="n">
        <x:v>0.0042741001188863715</x:v>
      </x:c>
      <x:c r="D846" s="12" t="n">
        <x:v>-0.16973015670788386</x:v>
      </x:c>
      <x:c r="E846" s="12" t="n">
        <x:v>-0.29561474348901146</x:v>
      </x:c>
    </x:row>
    <x:row r="847" ht="18" customHeight="1">
      <x:c r="A847" s="13" t="n">
        <x:v>43853</x:v>
      </x:c>
      <x:c r="B847" s="12" t="n">
        <x:v>9</x:v>
      </x:c>
      <x:c r="C847" s="12" t="n">
        <x:v>-0.03147566558508316</x:v>
      </x:c>
      <x:c r="D847" s="12" t="n">
        <x:v>-0.2512662096488857</x:v>
      </x:c>
      <x:c r="E847" s="12" t="n">
        <x:v>-0.31036560254381423</x:v>
      </x:c>
    </x:row>
    <x:row r="848" ht="18" customHeight="1">
      <x:c r="A848" s="13" t="n">
        <x:v>43864</x:v>
      </x:c>
      <x:c r="B848" s="12" t="n">
        <x:v>-6</x:v>
      </x:c>
      <x:c r="C848" s="12" t="n">
        <x:v>-0.08208789245745143</x:v>
      </x:c>
      <x:c r="D848" s="12" t="n">
        <x:v>-0.06888168598265756</x:v>
      </x:c>
      <x:c r="E848" s="12" t="n">
        <x:v>-0.26449315848509924</x:v>
      </x:c>
    </x:row>
    <x:row r="849" ht="18" customHeight="1">
      <x:c r="A849" s="13" t="n">
        <x:v>43865</x:v>
      </x:c>
      <x:c r="B849" s="12" t="n">
        <x:v>-12</x:v>
      </x:c>
      <x:c r="C849" s="12" t="n">
        <x:v>0.026033008785874372</x:v>
      </x:c>
      <x:c r="D849" s="12" t="n">
        <x:v>-0.11629847590953525</x:v>
      </x:c>
      <x:c r="E849" s="12" t="n">
        <x:v>-0.27293036603444143</x:v>
      </x:c>
    </x:row>
    <x:row r="850" ht="18" customHeight="1">
      <x:c r="A850" s="13" t="n">
        <x:v>43866</x:v>
      </x:c>
      <x:c r="B850" s="12" t="n">
        <x:v>-10</x:v>
      </x:c>
      <x:c r="C850" s="12" t="n">
        <x:v>0.01126585902804228</x:v>
      </x:c>
      <x:c r="D850" s="12" t="n">
        <x:v>-0.1298734499436988</x:v>
      </x:c>
      <x:c r="E850" s="12" t="n">
        <x:v>-0.276226486221186</x:v>
      </x:c>
    </x:row>
    <x:row r="851" ht="18" customHeight="1">
      <x:c r="A851" s="13" t="n">
        <x:v>43867</x:v>
      </x:c>
      <x:c r="B851" s="12" t="n">
        <x:v>-5</x:v>
      </x:c>
      <x:c r="C851" s="12" t="n">
        <x:v>0.018438698650183886</x:v>
      </x:c>
      <x:c r="D851" s="12" t="n">
        <x:v>-0.14084979240813242</x:v>
      </x:c>
      <x:c r="E851" s="12" t="n">
        <x:v>-0.2766259166425388</x:v>
      </x:c>
    </x:row>
    <x:row r="852" ht="18" customHeight="1">
      <x:c r="A852" s="13" t="n">
        <x:v>43868</x:v>
      </x:c>
      <x:c r="B852" s="12" t="n">
        <x:v>5</x:v>
      </x:c>
      <x:c r="C852" s="12" t="n">
        <x:v>0.000024154947372948227</x:v>
      </x:c>
      <x:c r="D852" s="12" t="n">
        <x:v>-0.13320926247090487</x:v>
      </x:c>
      <x:c r="E852" s="12" t="n">
        <x:v>-0.27442633712236925</x:v>
      </x:c>
    </x:row>
    <x:row r="853" ht="18" customHeight="1">
      <x:c r="A853" s="13" t="n">
        <x:v>43871</x:v>
      </x:c>
      <x:c r="B853" s="12" t="n">
        <x:v>0</x:v>
      </x:c>
      <x:c r="C853" s="12" t="n">
        <x:v>0.00412901279945909</x:v>
      </x:c>
      <x:c r="D853" s="12" t="n">
        <x:v>-0.14184858005623951</x:v>
      </x:c>
      <x:c r="E853" s="12" t="n">
        <x:v>-0.2757249225946939</x:v>
      </x:c>
    </x:row>
    <x:row r="854" ht="18" customHeight="1">
      <x:c r="A854" s="13" t="n">
        <x:v>43872</x:v>
      </x:c>
      <x:c r="B854" s="12" t="n">
        <x:v>-10</x:v>
      </x:c>
      <x:c r="C854" s="12" t="n">
        <x:v>0.009267205249654655</x:v>
      </x:c>
      <x:c r="D854" s="12" t="n">
        <x:v>-0.14118754091886854</x:v>
      </x:c>
      <x:c r="E854" s="12" t="n">
        <x:v>-0.2789136124074892</x:v>
      </x:c>
    </x:row>
    <x:row r="855" ht="18" customHeight="1">
      <x:c r="A855" s="13" t="n">
        <x:v>43873</x:v>
      </x:c>
      <x:c r="B855" s="12" t="n">
        <x:v>-6</x:v>
      </x:c>
      <x:c r="C855" s="12" t="n">
        <x:v>0.008055635264537581</x:v>
      </x:c>
      <x:c r="D855" s="12" t="n">
        <x:v>-0.1392135319828831</x:v>
      </x:c>
      <x:c r="E855" s="12" t="n">
        <x:v>-0.27385938616618527</x:v>
      </x:c>
    </x:row>
    <x:row r="856" ht="18" customHeight="1">
      <x:c r="A856" s="13" t="n">
        <x:v>43874</x:v>
      </x:c>
      <x:c r="B856" s="12" t="n">
        <x:v>-2</x:v>
      </x:c>
      <x:c r="C856" s="12" t="n">
        <x:v>-0.0061713730615193555</x:v>
      </x:c>
      <x:c r="D856" s="12" t="n">
        <x:v>-0.13747880568524315</x:v>
      </x:c>
      <x:c r="E856" s="12" t="n">
        <x:v>-0.27345913639313024</x:v>
      </x:c>
    </x:row>
    <x:row r="857" ht="18" customHeight="1">
      <x:c r="A857" s="13" t="n">
        <x:v>43875</x:v>
      </x:c>
      <x:c r="B857" s="12" t="n">
        <x:v>-1</x:v>
      </x:c>
      <x:c r="C857" s="12" t="n">
        <x:v>0.006999679922883055</x:v>
      </x:c>
      <x:c r="D857" s="12" t="n">
        <x:v>-0.1319811338123198</x:v>
      </x:c>
      <x:c r="E857" s="12" t="n">
        <x:v>-0.26774303771536906</x:v>
      </x:c>
    </x:row>
    <x:row r="858" ht="18" customHeight="1">
      <x:c r="A858" s="13" t="n">
        <x:v>43878</x:v>
      </x:c>
      <x:c r="B858" s="12" t="n">
        <x:v>0</x:v>
      </x:c>
      <x:c r="C858" s="12" t="n">
        <x:v>0.022242241064220722</x:v>
      </x:c>
      <x:c r="D858" s="12" t="n">
        <x:v>-0.12185198640495477</x:v>
      </x:c>
      <x:c r="E858" s="12" t="n">
        <x:v>-0.2660001919992835</x:v>
      </x:c>
    </x:row>
    <x:row r="859" ht="18" customHeight="1">
      <x:c r="A859" s="13" t="n">
        <x:v>43879</x:v>
      </x:c>
      <x:c r="B859" s="12" t="n">
        <x:v>5</x:v>
      </x:c>
      <x:c r="C859" s="12" t="n">
        <x:v>-0.004895758852166483</x:v>
      </x:c>
      <x:c r="D859" s="12" t="n">
        <x:v>-0.12275101561699975</x:v>
      </x:c>
      <x:c r="E859" s="12" t="n">
        <x:v>-0.268718673140934</x:v>
      </x:c>
    </x:row>
    <x:row r="860" ht="18" customHeight="1">
      <x:c r="A860" s="13" t="n">
        <x:v>43880</x:v>
      </x:c>
      <x:c r="B860" s="12" t="n">
        <x:v>-4</x:v>
      </x:c>
      <x:c r="C860" s="12" t="n">
        <x:v>-0.0015292237492852212</x:v>
      </x:c>
      <x:c r="D860" s="12" t="n">
        <x:v>-0.12137665473524341</x:v>
      </x:c>
      <x:c r="E860" s="12" t="n">
        <x:v>-0.26646292594507687</x:v>
      </x:c>
    </x:row>
    <x:row r="861" ht="18" customHeight="1">
      <x:c r="A861" s="13" t="n">
        <x:v>43881</x:v>
      </x:c>
      <x:c r="B861" s="12" t="n">
        <x:v>5</x:v>
      </x:c>
      <x:c r="C861" s="12" t="n">
        <x:v>0.02277935932332665</x:v>
      </x:c>
      <x:c r="D861" s="12" t="n">
        <x:v>-0.0873207726982519</x:v>
      </x:c>
      <x:c r="E861" s="12" t="n">
        <x:v>-0.25999184259042535</x:v>
      </x:c>
    </x:row>
    <x:row r="862" ht="18" customHeight="1">
      <x:c r="A862" s="13" t="n">
        <x:v>43882</x:v>
      </x:c>
      <x:c r="B862" s="12" t="n">
        <x:v>4</x:v>
      </x:c>
      <x:c r="C862" s="12" t="n">
        <x:v>0.0011656897079620984</x:v>
      </x:c>
      <x:c r="D862" s="12" t="n">
        <x:v>-0.08476473250304604</x:v>
      </x:c>
      <x:c r="E862" s="12" t="n">
        <x:v>-0.25972316205751483</x:v>
      </x:c>
    </x:row>
    <x:row r="863" ht="18" customHeight="1">
      <x:c r="A863" s="13" t="n">
        <x:v>43885</x:v>
      </x:c>
      <x:c r="B863" s="12" t="n">
        <x:v>37</x:v>
      </x:c>
      <x:c r="C863" s="12" t="n">
        <x:v>-0.0040209757990555175</x:v>
      </x:c>
      <x:c r="D863" s="12" t="n">
        <x:v>-0.0923709938091902</x:v>
      </x:c>
      <x:c r="E863" s="12" t="n">
        <x:v>-0.2551869999293046</x:v>
      </x:c>
    </x:row>
    <x:row r="864" ht="18" customHeight="1">
      <x:c r="A864" s="13" t="n">
        <x:v>43886</x:v>
      </x:c>
      <x:c r="B864" s="12" t="n">
        <x:v>15</x:v>
      </x:c>
      <x:c r="C864" s="12" t="n">
        <x:v>-0.0021762958698513814</x:v>
      </x:c>
      <x:c r="D864" s="12" t="n">
        <x:v>-0.09840233892198959</x:v>
      </x:c>
      <x:c r="E864" s="12" t="n">
        <x:v>-0.2556854785147839</x:v>
      </x:c>
    </x:row>
    <x:row r="865" ht="18" customHeight="1">
      <x:c r="A865" s="13" t="n">
        <x:v>43887</x:v>
      </x:c>
      <x:c r="B865" s="12" t="n">
        <x:v>8.999999999999943</x:v>
      </x:c>
      <x:c r="C865" s="12" t="n">
        <x:v>-0.012404675201421004</x:v>
      </x:c>
      <x:c r="D865" s="12" t="n">
        <x:v>-0.1194048363830601</x:v>
      </x:c>
      <x:c r="E865" s="12" t="n">
        <x:v>-0.2563092216405946</x:v>
      </x:c>
    </x:row>
    <x:row r="866" ht="18" customHeight="1">
      <x:c r="A866" s="13" t="n">
        <x:v>43888</x:v>
      </x:c>
      <x:c r="B866" s="12" t="n">
        <x:v>35.00000000000006</x:v>
      </x:c>
      <x:c r="C866" s="12" t="n">
        <x:v>0.002907787861271764</x:v>
      </x:c>
      <x:c r="D866" s="12" t="n">
        <x:v>-0.0962523807683229</x:v>
      </x:c>
      <x:c r="E866" s="12" t="n">
        <x:v>-0.2415913141252416</x:v>
      </x:c>
    </x:row>
    <x:row r="867" ht="18" customHeight="1">
      <x:c r="A867" s="13" t="n">
        <x:v>43889</x:v>
      </x:c>
      <x:c r="B867" s="12" t="n">
        <x:v>42</x:v>
      </x:c>
      <x:c r="C867" s="12" t="n">
        <x:v>-0.036098239393596</x:v>
      </x:c>
      <x:c r="D867" s="12" t="n">
        <x:v>-0.2326591128876605</x:v>
      </x:c>
      <x:c r="E867" s="12" t="n">
        <x:v>-0.2780703313016011</x:v>
      </x:c>
    </x:row>
    <x:row r="868" ht="18" customHeight="1">
      <x:c r="A868" s="13" t="n">
        <x:v>43892</x:v>
      </x:c>
      <x:c r="B868" s="12" t="n">
        <x:v>-8.999999999999943</x:v>
      </x:c>
      <x:c r="C868" s="12" t="n">
        <x:v>0.03236787232915487</x:v>
      </x:c>
      <x:c r="D868" s="12" t="n">
        <x:v>-0.2551070867669245</x:v>
      </x:c>
      <x:c r="E868" s="12" t="n">
        <x:v>-0.2823642566041427</x:v>
      </x:c>
    </x:row>
    <x:row r="869" ht="18" customHeight="1">
      <x:c r="A869" s="13" t="n">
        <x:v>43893</x:v>
      </x:c>
      <x:c r="B869" s="12" t="n">
        <x:v>-13</x:v>
      </x:c>
      <x:c r="C869" s="12" t="n">
        <x:v>0.0053168183972415635</x:v>
      </x:c>
      <x:c r="D869" s="12" t="n">
        <x:v>-0.263733443633548</x:v>
      </x:c>
      <x:c r="E869" s="12" t="n">
        <x:v>-0.28333981661841867</x:v>
      </x:c>
    </x:row>
    <x:row r="870" ht="18" customHeight="1">
      <x:c r="A870" s="13" t="n">
        <x:v>43894</x:v>
      </x:c>
      <x:c r="B870" s="12" t="n">
        <x:v>-9</x:v>
      </x:c>
      <x:c r="C870" s="12" t="n">
        <x:v>0.005773768201984381</x:v>
      </x:c>
      <x:c r="D870" s="12" t="n">
        <x:v>-0.26379731715312593</x:v>
      </x:c>
      <x:c r="E870" s="12" t="n">
        <x:v>-0.2888409705426423</x:v>
      </x:c>
    </x:row>
    <x:row r="871" ht="18" customHeight="1">
      <x:c r="A871" s="13" t="n">
        <x:v>43895</x:v>
      </x:c>
      <x:c r="B871" s="12" t="n">
        <x:v>30</x:v>
      </x:c>
      <x:c r="C871" s="12" t="n">
        <x:v>0.02203289104992335</x:v>
      </x:c>
      <x:c r="D871" s="12" t="n">
        <x:v>-0.18707794719089896</x:v>
      </x:c>
      <x:c r="E871" s="12" t="n">
        <x:v>-0.2615273418950607</x:v>
      </x:c>
    </x:row>
    <x:row r="872" ht="18" customHeight="1">
      <x:c r="A872" s="13" t="n">
        <x:v>43896</x:v>
      </x:c>
      <x:c r="B872" s="12" t="n">
        <x:v>59</x:v>
      </x:c>
      <x:c r="C872" s="12" t="n">
        <x:v>-0.016349315895662495</x:v>
      </x:c>
      <x:c r="D872" s="12" t="n">
        <x:v>-0.23522795916747477</x:v>
      </x:c>
      <x:c r="E872" s="12" t="n">
        <x:v>-0.270315059416361</x:v>
      </x:c>
    </x:row>
    <x:row r="873" ht="18" customHeight="1">
      <x:c r="A873" s="13" t="n">
        <x:v>43899</x:v>
      </x:c>
      <x:c r="B873" s="12" t="n">
        <x:v>104</x:v>
      </x:c>
      <x:c r="C873" s="12" t="n">
        <x:v>-0.034757914060444206</x:v>
      </x:c>
      <x:c r="D873" s="12" t="n">
        <x:v>-0.35371929368420313</x:v>
      </x:c>
      <x:c r="E873" s="12" t="n">
        <x:v>-0.30986143486909096</x:v>
      </x:c>
    </x:row>
    <x:row r="874" ht="18" customHeight="1">
      <x:c r="A874" s="13" t="n">
        <x:v>43900</x:v>
      </x:c>
      <x:c r="B874" s="12" t="n">
        <x:v>-30</x:v>
      </x:c>
      <x:c r="C874" s="12" t="n">
        <x:v>0.02118902066274294</x:v>
      </x:c>
      <x:c r="D874" s="12" t="n">
        <x:v>-0.37502304267686803</x:v>
      </x:c>
      <x:c r="E874" s="12" t="n">
        <x:v>-0.3201864755445463</x:v>
      </x:c>
    </x:row>
    <x:row r="875" ht="18" customHeight="1">
      <x:c r="A875" s="13" t="n">
        <x:v>43901</x:v>
      </x:c>
      <x:c r="B875" s="12" t="n">
        <x:v>23</x:v>
      </x:c>
      <x:c r="C875" s="12" t="n">
        <x:v>-0.013389800874618088</x:v>
      </x:c>
      <x:c r="D875" s="12" t="n">
        <x:v>-0.3856572213387149</x:v>
      </x:c>
      <x:c r="E875" s="12" t="n">
        <x:v>-0.32649997162344147</x:v>
      </x:c>
    </x:row>
    <x:row r="876" ht="18" customHeight="1">
      <x:c r="A876" s="13" t="n">
        <x:v>43902</x:v>
      </x:c>
      <x:c r="B876" s="12" t="n">
        <x:v>81</x:v>
      </x:c>
      <x:c r="C876" s="12" t="n">
        <x:v>-0.01943023828690416</x:v>
      </x:c>
      <x:c r="D876" s="12" t="n">
        <x:v>-0.4097490778014939</x:v>
      </x:c>
      <x:c r="E876" s="12" t="n">
        <x:v>-0.33754027439716305</x:v>
      </x:c>
    </x:row>
    <x:row r="877" ht="18" customHeight="1">
      <x:c r="A877" s="13" t="n">
        <x:v>43903</x:v>
      </x:c>
      <x:c r="B877" s="12" t="n">
        <x:v>-11</x:v>
      </x:c>
      <x:c r="C877" s="12" t="n">
        <x:v>-0.014172226357878227</x:v>
      </x:c>
      <x:c r="D877" s="12" t="n">
        <x:v>-0.39453640086340175</x:v>
      </x:c>
      <x:c r="E877" s="12" t="n">
        <x:v>-0.33275457296620214</x:v>
      </x:c>
    </x:row>
    <x:row r="878" ht="18" customHeight="1">
      <x:c r="A878" s="13" t="n">
        <x:v>43906</x:v>
      </x:c>
      <x:c r="B878" s="12" t="n">
        <x:v>107.00000000000011</x:v>
      </x:c>
      <x:c r="C878" s="12" t="n">
        <x:v>-0.043945060388467926</x:v>
      </x:c>
      <x:c r="D878" s="12" t="n">
        <x:v>-0.4789142508862651</x:v>
      </x:c>
      <x:c r="E878" s="12" t="n">
        <x:v>-0.38226194371216704</x:v>
      </x:c>
    </x:row>
    <x:row r="879" ht="18" customHeight="1">
      <x:c r="A879" s="13" t="n">
        <x:v>43907</x:v>
      </x:c>
      <x:c r="B879" s="12" t="n">
        <x:v>2.9999999999998863</x:v>
      </x:c>
      <x:c r="C879" s="12" t="n">
        <x:v>-0.004882711224087619</x:v>
      </x:c>
      <x:c r="D879" s="12" t="n">
        <x:v>-0.4787602518487632</x:v>
      </x:c>
      <x:c r="E879" s="12" t="n">
        <x:v>-0.3825490641244194</x:v>
      </x:c>
    </x:row>
    <x:row r="880" ht="18" customHeight="1">
      <x:c r="A880" s="13" t="n">
        <x:v>43908</x:v>
      </x:c>
      <x:c r="B880" s="12" t="n">
        <x:v>62.999999999999886</x:v>
      </x:c>
      <x:c r="C880" s="12" t="n">
        <x:v>-0.01999149419138795</x:v>
      </x:c>
      <x:c r="D880" s="12" t="n">
        <x:v>-0.4928098977160308</x:v>
      </x:c>
      <x:c r="E880" s="12" t="n">
        <x:v>-0.390211665626148</x:v>
      </x:c>
    </x:row>
    <x:row r="881" ht="18" customHeight="1">
      <x:c r="A881" s="13" t="n">
        <x:v>43909</x:v>
      </x:c>
      <x:c r="B881" s="12" t="n">
        <x:v>78.00000000000011</x:v>
      </x:c>
      <x:c r="C881" s="12" t="n">
        <x:v>-0.013055305490118364</x:v>
      </x:c>
      <x:c r="D881" s="12" t="n">
        <x:v>-0.49126553127470163</x:v>
      </x:c>
      <x:c r="E881" s="12" t="n">
        <x:v>-0.3896165431740376</x:v>
      </x:c>
    </x:row>
    <x:row r="882" ht="18" customHeight="1">
      <x:c r="A882" s="13" t="n">
        <x:v>43910</x:v>
      </x:c>
      <x:c r="B882" s="12" t="n">
        <x:v>27</x:v>
      </x:c>
      <x:c r="C882" s="12" t="n">
        <x:v>0.01771062513213693</x:v>
      </x:c>
      <x:c r="D882" s="12" t="n">
        <x:v>-0.47839628795206796</x:v>
      </x:c>
      <x:c r="E882" s="12" t="n">
        <x:v>-0.37824358065006664</x:v>
      </x:c>
    </x:row>
    <x:row r="883" ht="18" customHeight="1">
      <x:c r="A883" s="13" t="n">
        <x:v>43913</x:v>
      </x:c>
      <x:c r="B883" s="12" t="n">
        <x:v>78</x:v>
      </x:c>
      <x:c r="C883" s="12" t="n">
        <x:v>-0.03422554193523279</x:v>
      </x:c>
      <x:c r="D883" s="12" t="n">
        <x:v>-0.5115081889578009</x:v>
      </x:c>
      <x:c r="E883" s="12" t="n">
        <x:v>-0.40299590022892523</x:v>
      </x:c>
    </x:row>
    <x:row r="884" ht="18" customHeight="1">
      <x:c r="A884" s="13" t="n">
        <x:v>43914</x:v>
      </x:c>
      <x:c r="B884" s="12" t="n">
        <x:v>-32</x:v>
      </x:c>
      <x:c r="C884" s="12" t="n">
        <x:v>0.026501405511712626</x:v>
      </x:c>
      <x:c r="D884" s="12" t="n">
        <x:v>-0.5272883687338916</x:v>
      </x:c>
      <x:c r="E884" s="12" t="n">
        <x:v>-0.41136067028621287</x:v>
      </x:c>
    </x:row>
    <x:row r="885" ht="18" customHeight="1">
      <x:c r="A885" s="13" t="n">
        <x:v>43915</x:v>
      </x:c>
      <x:c r="B885" s="12" t="n">
        <x:v>-44</x:v>
      </x:c>
      <x:c r="C885" s="12" t="n">
        <x:v>0.02651444628787693</x:v>
      </x:c>
      <x:c r="D885" s="12" t="n">
        <x:v>-0.5444524052919777</x:v>
      </x:c>
      <x:c r="E885" s="12" t="n">
        <x:v>-0.42577116340404375</x:v>
      </x:c>
    </x:row>
    <x:row r="886" ht="18" customHeight="1">
      <x:c r="A886" s="13" t="n">
        <x:v>43916</x:v>
      </x:c>
      <x:c r="B886" s="12" t="n">
        <x:v>-82.00000000000011</x:v>
      </x:c>
      <x:c r="C886" s="12" t="n">
        <x:v>-0.006595451348404441</x:v>
      </x:c>
      <x:c r="D886" s="12" t="n">
        <x:v>-0.4958307193117209</x:v>
      </x:c>
      <x:c r="E886" s="12" t="n">
        <x:v>-0.39609476638369046</x:v>
      </x:c>
    </x:row>
    <x:row r="887" ht="18" customHeight="1">
      <x:c r="A887" s="13" t="n">
        <x:v>43917</x:v>
      </x:c>
      <x:c r="B887" s="12" t="n">
        <x:v>-29.999999999999886</x:v>
      </x:c>
      <x:c r="C887" s="12" t="n">
        <x:v>0.0032432872245010047</x:v>
      </x:c>
      <x:c r="D887" s="12" t="n">
        <x:v>-0.49461284823636437</x:v>
      </x:c>
      <x:c r="E887" s="12" t="n">
        <x:v>-0.3948401266410074</x:v>
      </x:c>
    </x:row>
    <x:row r="888" ht="18" customHeight="1">
      <x:c r="A888" s="13" t="n">
        <x:v>43920</x:v>
      </x:c>
      <x:c r="B888" s="12" t="n">
        <x:v>-17</x:v>
      </x:c>
      <x:c r="C888" s="12" t="n">
        <x:v>-0.009737039559729033</x:v>
      </x:c>
      <x:c r="D888" s="12" t="n">
        <x:v>-0.4866732596843674</x:v>
      </x:c>
      <x:c r="E888" s="12" t="n">
        <x:v>-0.39266864853090694</x:v>
      </x:c>
    </x:row>
    <x:row r="889" ht="18" customHeight="1">
      <x:c r="A889" s="13" t="n">
        <x:v>43921</x:v>
      </x:c>
      <x:c r="B889" s="12" t="n">
        <x:v>-5</x:v>
      </x:c>
      <x:c r="C889" s="12" t="n">
        <x:v>0.003272792291569129</x:v>
      </x:c>
      <x:c r="D889" s="12" t="n">
        <x:v>-0.4915084776904059</x:v>
      </x:c>
      <x:c r="E889" s="12" t="n">
        <x:v>-0.393757257176595</x:v>
      </x:c>
    </x:row>
    <x:row r="890" ht="18" customHeight="1">
      <x:c r="A890" s="13" t="n">
        <x:v>43922</x:v>
      </x:c>
      <x:c r="B890" s="12" t="n">
        <x:v>34</x:v>
      </x:c>
      <x:c r="C890" s="12" t="n">
        <x:v>-0.003010178193419536</x:v>
      </x:c>
      <x:c r="D890" s="12" t="n">
        <x:v>-0.48954795755797376</x:v>
      </x:c>
      <x:c r="E890" s="12" t="n">
        <x:v>-0.3929538969569992</x:v>
      </x:c>
    </x:row>
    <x:row r="891" ht="18" customHeight="1">
      <x:c r="A891" s="13" t="n">
        <x:v>43923</x:v>
      </x:c>
      <x:c r="B891" s="12" t="n">
        <x:v>6</x:v>
      </x:c>
      <x:c r="C891" s="12" t="n">
        <x:v>0.016048376346972232</x:v>
      </x:c>
      <x:c r="D891" s="12" t="n">
        <x:v>-0.4865112800844462</x:v>
      </x:c>
      <x:c r="E891" s="12" t="n">
        <x:v>-0.39318027647683734</x:v>
      </x:c>
    </x:row>
    <x:row r="892" ht="18" customHeight="1">
      <x:c r="A892" s="13" t="n">
        <x:v>43924</x:v>
      </x:c>
      <x:c r="B892" s="12" t="n">
        <x:v>26</x:v>
      </x:c>
      <x:c r="C892" s="12" t="n">
        <x:v>-0.005723167754230772</x:v>
      </x:c>
      <x:c r="D892" s="12" t="n">
        <x:v>-0.4872577247236686</x:v>
      </x:c>
      <x:c r="E892" s="12" t="n">
        <x:v>-0.3943629905250284</x:v>
      </x:c>
    </x:row>
    <x:row r="893" ht="18" customHeight="1">
      <x:c r="A893" s="13" t="n">
        <x:v>43928</x:v>
      </x:c>
      <x:c r="B893" s="12" t="n">
        <x:v>-37.999999999999886</x:v>
      </x:c>
      <x:c r="C893" s="12" t="n">
        <x:v>0.02258128002354555</x:v>
      </x:c>
      <x:c r="D893" s="12" t="n">
        <x:v>-0.5023234520445026</x:v>
      </x:c>
      <x:c r="E893" s="12" t="n">
        <x:v>-0.40281668809487786</x:v>
      </x:c>
    </x:row>
    <x:row r="894" ht="18" customHeight="1">
      <x:c r="A894" s="13" t="n">
        <x:v>43929</x:v>
      </x:c>
      <x:c r="B894" s="12" t="n">
        <x:v>-7.000000000000114</x:v>
      </x:c>
      <x:c r="C894" s="12" t="n">
        <x:v>-0.00466510387385904</x:v>
      </x:c>
      <x:c r="D894" s="12" t="n">
        <x:v>-0.4996115284738905</x:v>
      </x:c>
      <x:c r="E894" s="12" t="n">
        <x:v>-0.40197561213666233</x:v>
      </x:c>
    </x:row>
    <x:row r="895" ht="18" customHeight="1">
      <x:c r="A895" s="13" t="n">
        <x:v>43930</x:v>
      </x:c>
      <x:c r="B895" s="12" t="n">
        <x:v>-85</x:v>
      </x:c>
      <x:c r="C895" s="12" t="n">
        <x:v>0.003292157960371772</x:v>
      </x:c>
      <x:c r="D895" s="12" t="n">
        <x:v>-0.47968678637411527</x:v>
      </x:c>
      <x:c r="E895" s="12" t="n">
        <x:v>-0.38923954427389634</x:v>
      </x:c>
    </x:row>
    <x:row r="896" ht="18" customHeight="1">
      <x:c r="A896" s="13" t="n">
        <x:v>43934</x:v>
      </x:c>
      <x:c r="B896" s="12" t="n">
        <x:v>-26</x:v>
      </x:c>
      <x:c r="C896" s="12" t="n">
        <x:v>-0.004233103828336165</x:v>
      </x:c>
      <x:c r="D896" s="12" t="n">
        <x:v>-0.47426266730801697</x:v>
      </x:c>
      <x:c r="E896" s="12" t="n">
        <x:v>-0.3851108218979706</x:v>
      </x:c>
    </x:row>
    <x:row r="897" ht="18" customHeight="1">
      <x:c r="A897" s="13" t="n">
        <x:v>43935</x:v>
      </x:c>
      <x:c r="B897" s="12" t="n">
        <x:v>-35</x:v>
      </x:c>
      <x:c r="C897" s="12" t="n">
        <x:v>0.01911733203498188</x:v>
      </x:c>
      <x:c r="D897" s="12" t="n">
        <x:v>-0.4852990355095826</x:v>
      </x:c>
      <x:c r="E897" s="12" t="n">
        <x:v>-0.39270278365537037</x:v>
      </x:c>
    </x:row>
    <x:row r="898" ht="18" customHeight="1">
      <x:c r="A898" s="13" t="n">
        <x:v>43936</x:v>
      </x:c>
      <x:c r="B898" s="12" t="n">
        <x:v>29</x:v>
      </x:c>
      <x:c r="C898" s="12" t="n">
        <x:v>-0.007434527687172356</x:v>
      </x:c>
      <x:c r="D898" s="12" t="n">
        <x:v>-0.4858341606294526</x:v>
      </x:c>
      <x:c r="E898" s="12" t="n">
        <x:v>-0.39428866151919717</x:v>
      </x:c>
    </x:row>
    <x:row r="899" ht="18" customHeight="1">
      <x:c r="A899" s="13" t="n">
        <x:v>43937</x:v>
      </x:c>
      <x:c r="B899" s="12" t="n">
        <x:v>-6</x:v>
      </x:c>
      <x:c r="C899" s="12" t="n">
        <x:v>0.0013206501313025463</x:v>
      </x:c>
      <x:c r="D899" s="12" t="n">
        <x:v>-0.4898573560701008</x:v>
      </x:c>
      <x:c r="E899" s="12" t="n">
        <x:v>-0.39451683159370626</x:v>
      </x:c>
    </x:row>
    <x:row r="900" ht="18" customHeight="1">
      <x:c r="A900" s="13" t="n">
        <x:v>43938</x:v>
      </x:c>
      <x:c r="B900" s="12" t="n">
        <x:v>-27</x:v>
      </x:c>
      <x:c r="C900" s="12" t="n">
        <x:v>0.009711445706510577</x:v>
      </x:c>
      <x:c r="D900" s="12" t="n">
        <x:v>-0.49352974869572197</x:v>
      </x:c>
      <x:c r="E900" s="12" t="n">
        <x:v>-0.39691654972280643</x:v>
      </x:c>
    </x:row>
    <x:row r="901" ht="18" customHeight="1">
      <x:c r="A901" s="13" t="n">
        <x:v>43941</x:v>
      </x:c>
      <x:c r="B901" s="12" t="n">
        <x:v>21</x:v>
      </x:c>
      <x:c r="C901" s="12" t="n">
        <x:v>0.0036313844525207206</x:v>
      </x:c>
      <x:c r="D901" s="12" t="n">
        <x:v>-0.4909047810101421</x:v>
      </x:c>
      <x:c r="E901" s="12" t="n">
        <x:v>-0.3932770894532432</x:v>
      </x:c>
    </x:row>
    <x:row r="902" ht="18" customHeight="1">
      <x:c r="A902" s="13" t="n">
        <x:v>43942</x:v>
      </x:c>
      <x:c r="B902" s="12" t="n">
        <x:v>38</x:v>
      </x:c>
      <x:c r="C902" s="12" t="n">
        <x:v>-0.011853610092220858</x:v>
      </x:c>
      <x:c r="D902" s="12" t="n">
        <x:v>-0.4941934152995319</x:v>
      </x:c>
      <x:c r="E902" s="12" t="n">
        <x:v>-0.39636181434544576</x:v>
      </x:c>
    </x:row>
    <x:row r="903" ht="18" customHeight="1">
      <x:c r="A903" s="13" t="n">
        <x:v>43943</x:v>
      </x:c>
      <x:c r="B903" s="12" t="n">
        <x:v>-5</x:v>
      </x:c>
      <x:c r="C903" s="12" t="n">
        <x:v>0.008195216459116533</x:v>
      </x:c>
      <x:c r="D903" s="12" t="n">
        <x:v>-0.4960950136380541</x:v>
      </x:c>
      <x:c r="E903" s="12" t="n">
        <x:v>-0.39633717833402127</x:v>
      </x:c>
    </x:row>
    <x:row r="904" ht="18" customHeight="1">
      <x:c r="A904" s="13" t="n">
        <x:v>43944</x:v>
      </x:c>
      <x:c r="B904" s="12" t="n">
        <x:v>2</x:v>
      </x:c>
      <x:c r="C904" s="12" t="n">
        <x:v>-0.0025116010951781896</x:v>
      </x:c>
      <x:c r="D904" s="12" t="n">
        <x:v>-0.49699040198610533</x:v>
      </x:c>
      <x:c r="E904" s="12" t="n">
        <x:v>-0.3965681698259094</x:v>
      </x:c>
    </x:row>
    <x:row r="905" ht="18" customHeight="1">
      <x:c r="A905" s="13" t="n">
        <x:v>43945</x:v>
      </x:c>
      <x:c r="B905" s="12" t="n">
        <x:v>15.999999999999886</x:v>
      </x:c>
      <x:c r="C905" s="12" t="n">
        <x:v>-0.008596246378152223</x:v>
      </x:c>
      <x:c r="D905" s="12" t="n">
        <x:v>-0.4986333057034348</x:v>
      </x:c>
      <x:c r="E905" s="12" t="n">
        <x:v>-0.39773847040413646</x:v>
      </x:c>
    </x:row>
    <x:row r="906" ht="18" customHeight="1">
      <x:c r="A906" s="13" t="n">
        <x:v>43948</x:v>
      </x:c>
      <x:c r="B906" s="12" t="n">
        <x:v>-1.9999999999998863</x:v>
      </x:c>
      <x:c r="C906" s="12" t="n">
        <x:v>0.006771095821278923</x:v>
      </x:c>
      <x:c r="D906" s="12" t="n">
        <x:v>-0.4991051632322422</x:v>
      </x:c>
      <x:c r="E906" s="12" t="n">
        <x:v>-0.3980033836356624</x:v>
      </x:c>
    </x:row>
    <x:row r="907" ht="18" customHeight="1">
      <x:c r="A907" s="13" t="n">
        <x:v>43949</x:v>
      </x:c>
      <x:c r="B907" s="12" t="n">
        <x:v>1</x:v>
      </x:c>
      <x:c r="C907" s="12" t="n">
        <x:v>0.006876406273812152</x:v>
      </x:c>
      <x:c r="D907" s="12" t="n">
        <x:v>-0.4988179674139317</x:v>
      </x:c>
      <x:c r="E907" s="12" t="n">
        <x:v>-0.3978095004878669</x:v>
      </x:c>
    </x:row>
    <x:row r="908" ht="18" customHeight="1">
      <x:c r="A908" s="13" t="n">
        <x:v>43950</x:v>
      </x:c>
      <x:c r="B908" s="12" t="n">
        <x:v>-15</x:v>
      </x:c>
      <x:c r="C908" s="12" t="n">
        <x:v>0.004635852328096864</x:v>
      </x:c>
      <x:c r="D908" s="12" t="n">
        <x:v>-0.5018202425319842</x:v>
      </x:c>
      <x:c r="E908" s="12" t="n">
        <x:v>-0.4032545294107479</x:v>
      </x:c>
    </x:row>
    <x:row r="909" ht="18" customHeight="1">
      <x:c r="A909" s="13" t="n">
        <x:v>43951</x:v>
      </x:c>
      <x:c r="B909" s="12" t="n">
        <x:v>-24</x:v>
      </x:c>
      <x:c r="C909" s="12" t="n">
        <x:v>0.011708999561383372</x:v>
      </x:c>
      <x:c r="D909" s="12" t="n">
        <x:v>-0.5058153695326687</x:v>
      </x:c>
      <x:c r="E909" s="12" t="n">
        <x:v>-0.4065392851004844</x:v>
      </x:c>
    </x:row>
    <x:row r="910" ht="18" customHeight="1">
      <x:c r="A910" s="13" t="n">
        <x:v>43957</x:v>
      </x:c>
      <x:c r="B910" s="12" t="n">
        <x:v>0</x:v>
      </x:c>
      <x:c r="C910" s="12" t="n">
        <x:v>0.006033196922335174</x:v>
      </x:c>
      <x:c r="D910" s="12" t="n">
        <x:v>-0.5147362169770024</x:v>
      </x:c>
      <x:c r="E910" s="12" t="n">
        <x:v>-0.4066104904361425</x:v>
      </x:c>
    </x:row>
    <x:row r="911" ht="18" customHeight="1">
      <x:c r="A911" s="13" t="n">
        <x:v>43958</x:v>
      </x:c>
      <x:c r="B911" s="12" t="n">
        <x:v>0</x:v>
      </x:c>
      <x:c r="C911" s="12" t="n">
        <x:v>-0.0028899868527085043</x:v>
      </x:c>
      <x:c r="D911" s="12" t="n">
        <x:v>-0.6437013769500316</x:v>
      </x:c>
      <x:c r="E911" s="12" t="n">
        <x:v>-0.4076947969143851</x:v>
      </x:c>
    </x:row>
    <x:row r="912" ht="18" customHeight="1">
      <x:c r="A912" s="13" t="n">
        <x:v>43959</x:v>
      </x:c>
      <x:c r="B912" s="12" t="n">
        <x:v>-8</x:v>
      </x:c>
      <x:c r="C912" s="12" t="n">
        <x:v>0.009818680637865151</x:v>
      </x:c>
      <x:c r="D912" s="12" t="n">
        <x:v>-0.6465221145212691</x:v>
      </x:c>
      <x:c r="E912" s="12" t="n">
        <x:v>-0.4084950578562081</x:v>
      </x:c>
    </x:row>
    <x:row r="913" ht="18" customHeight="1">
      <x:c r="A913" s="13" t="n">
        <x:v>43962</x:v>
      </x:c>
      <x:c r="B913" s="12" t="n">
        <x:v>-1</x:v>
      </x:c>
      <x:c r="C913" s="12" t="n">
        <x:v>-0.0008686234755437449</x:v>
      </x:c>
      <x:c r="D913" s="12" t="n">
        <x:v>-0.6445074732540235</x:v>
      </x:c>
      <x:c r="E913" s="12" t="n">
        <x:v>-0.40830435212700394</x:v>
      </x:c>
    </x:row>
    <x:row r="914" ht="18" customHeight="1">
      <x:c r="A914" s="13" t="n">
        <x:v>43963</x:v>
      </x:c>
      <x:c r="B914" s="12" t="n">
        <x:v>-9</x:v>
      </x:c>
      <x:c r="C914" s="12" t="n">
        <x:v>0.000014519435533601591</x:v>
      </x:c>
      <x:c r="D914" s="12" t="n">
        <x:v>-0.6451208363516628</x:v>
      </x:c>
      <x:c r="E914" s="12" t="n">
        <x:v>-0.4109824077705563</x:v>
      </x:c>
    </x:row>
    <x:row r="915" ht="18" customHeight="1">
      <x:c r="A915" s="13" t="n">
        <x:v>43964</x:v>
      </x:c>
      <x:c r="B915" s="12" t="n">
        <x:v>19</x:v>
      </x:c>
      <x:c r="C915" s="12" t="n">
        <x:v>0.002021848302197205</x:v>
      </x:c>
      <x:c r="D915" s="12" t="n">
        <x:v>-0.6438474692938576</x:v>
      </x:c>
      <x:c r="E915" s="12" t="n">
        <x:v>-0.40982061382488355</x:v>
      </x:c>
    </x:row>
    <x:row r="916" ht="18" customHeight="1">
      <x:c r="A916" s="13" t="n">
        <x:v>43965</x:v>
      </x:c>
      <x:c r="B916" s="12" t="n">
        <x:v>16</x:v>
      </x:c>
      <x:c r="C916" s="12" t="n">
        <x:v>-0.010904107606277304</x:v>
      </x:c>
      <x:c r="D916" s="12" t="n">
        <x:v>-0.6435727522327825</x:v>
      </x:c>
      <x:c r="E916" s="12" t="n">
        <x:v>-0.41126253647804867</x:v>
      </x:c>
    </x:row>
    <x:row r="917" ht="18" customHeight="1">
      <x:c r="A917" s="13" t="n">
        <x:v>43966</x:v>
      </x:c>
      <x:c r="B917" s="12" t="n">
        <x:v>1</x:v>
      </x:c>
      <x:c r="C917" s="12" t="n">
        <x:v>-0.0031645208434674514</x:v>
      </x:c>
      <x:c r="D917" s="12" t="n">
        <x:v>-0.64121155269953</x:v>
      </x:c>
      <x:c r="E917" s="12" t="n">
        <x:v>-0.4132346117977948</x:v>
      </x:c>
    </x:row>
    <x:row r="918" ht="18" customHeight="1">
      <x:c r="A918" s="13" t="n">
        <x:v>43969</x:v>
      </x:c>
      <x:c r="B918" s="12" t="n">
        <x:v>-37</x:v>
      </x:c>
      <x:c r="C918" s="12" t="n">
        <x:v>0.0025768648686913405</x:v>
      </x:c>
      <x:c r="D918" s="12" t="n">
        <x:v>-0.6362341630769175</x:v>
      </x:c>
      <x:c r="E918" s="12" t="n">
        <x:v>-0.41244852953567057</x:v>
      </x:c>
    </x:row>
    <x:row r="919" ht="18" customHeight="1">
      <x:c r="A919" s="13" t="n">
        <x:v>43970</x:v>
      </x:c>
      <x:c r="B919" s="12" t="n">
        <x:v>-6</x:v>
      </x:c>
      <x:c r="C919" s="12" t="n">
        <x:v>0.008462321838410712</x:v>
      </x:c>
      <x:c r="D919" s="12" t="n">
        <x:v>-0.6395974028877575</x:v>
      </x:c>
      <x:c r="E919" s="12" t="n">
        <x:v>-0.41282840804096066</x:v>
      </x:c>
    </x:row>
    <x:row r="920" ht="18" customHeight="1">
      <x:c r="A920" s="13" t="n">
        <x:v>43971</x:v>
      </x:c>
      <x:c r="B920" s="12" t="n">
        <x:v>-19</x:v>
      </x:c>
      <x:c r="C920" s="12" t="n">
        <x:v>-0.005329183477480376</x:v>
      </x:c>
      <x:c r="D920" s="12" t="n">
        <x:v>-0.6326574475876787</x:v>
      </x:c>
      <x:c r="E920" s="12" t="n">
        <x:v>-0.41017392398458663</x:v>
      </x:c>
    </x:row>
    <x:row r="921" ht="18" customHeight="1">
      <x:c r="A921" s="13" t="n">
        <x:v>43972</x:v>
      </x:c>
      <x:c r="B921" s="12" t="n">
        <x:v>-8</x:v>
      </x:c>
      <x:c r="C921" s="12" t="n">
        <x:v>-0.005459831084839416</x:v>
      </x:c>
      <x:c r="D921" s="12" t="n">
        <x:v>-0.6368167132548975</x:v>
      </x:c>
      <x:c r="E921" s="12" t="n">
        <x:v>-0.4185498861091951</x:v>
      </x:c>
    </x:row>
    <x:row r="922" ht="18" customHeight="1">
      <x:c r="A922" s="13" t="n">
        <x:v>43973</x:v>
      </x:c>
      <x:c r="B922" s="12" t="n">
        <x:v>-2</x:v>
      </x:c>
      <x:c r="C922" s="12" t="n">
        <x:v>-0.023193734514938474</x:v>
      </x:c>
      <x:c r="D922" s="12" t="n">
        <x:v>-0.621045382305895</x:v>
      </x:c>
      <x:c r="E922" s="12" t="n">
        <x:v>-0.4160571548450516</x:v>
      </x:c>
    </x:row>
    <x:row r="923" ht="18" customHeight="1">
      <x:c r="A923" s="13" t="n">
        <x:v>43976</x:v>
      </x:c>
      <x:c r="B923" s="12" t="n">
        <x:v>0</x:v>
      </x:c>
      <x:c r="C923" s="12" t="n">
        <x:v>0.0013746854294471086</x:v>
      </x:c>
      <x:c r="D923" s="12" t="n">
        <x:v>-0.6217380090089092</x:v>
      </x:c>
      <x:c r="E923" s="12" t="n">
        <x:v>-0.41785603236667024</x:v>
      </x:c>
    </x:row>
    <x:row r="924" ht="18" customHeight="1">
      <x:c r="A924" s="13" t="n">
        <x:v>43977</x:v>
      </x:c>
      <x:c r="B924" s="12" t="n">
        <x:v>-31</x:v>
      </x:c>
      <x:c r="C924" s="12" t="n">
        <x:v>0.01128162222103003</x:v>
      </x:c>
      <x:c r="D924" s="12" t="n">
        <x:v>-0.6380394625600163</x:v>
      </x:c>
      <x:c r="E924" s="12" t="n">
        <x:v>-0.4193918746376592</x:v>
      </x:c>
    </x:row>
    <x:row r="925" ht="18" customHeight="1">
      <x:c r="A925" s="13" t="n">
        <x:v>43978</x:v>
      </x:c>
      <x:c r="B925" s="12" t="n">
        <x:v>-5</x:v>
      </x:c>
      <x:c r="C925" s="12" t="n">
        <x:v>-0.007036891004288614</x:v>
      </x:c>
      <x:c r="D925" s="12" t="n">
        <x:v>-0.6351622921568809</x:v>
      </x:c>
      <x:c r="E925" s="12" t="n">
        <x:v>-0.42555483358466323</x:v>
      </x:c>
    </x:row>
    <x:row r="926" ht="18" customHeight="1">
      <x:c r="A926" s="13" t="n">
        <x:v>43979</x:v>
      </x:c>
      <x:c r="B926" s="12" t="n">
        <x:v>-10</x:v>
      </x:c>
      <x:c r="C926" s="12" t="n">
        <x:v>0.002861219353501663</x:v>
      </x:c>
      <x:c r="D926" s="12" t="n">
        <x:v>-0.6369757398355519</x:v>
      </x:c>
      <x:c r="E926" s="12" t="n">
        <x:v>-0.4230503223822517</x:v>
      </x:c>
    </x:row>
    <x:row r="927" ht="18" customHeight="1">
      <x:c r="A927" s="13" t="n">
        <x:v>43980</x:v>
      </x:c>
      <x:c r="B927" s="12" t="n">
        <x:v>11</x:v>
      </x:c>
      <x:c r="C927" s="12" t="n">
        <x:v>0.0026906446394998444</x:v>
      </x:c>
      <x:c r="D927" s="12" t="n">
        <x:v>-0.6359053265256821</x:v>
      </x:c>
      <x:c r="E927" s="12" t="n">
        <x:v>-0.42360004239284965</x:v>
      </x:c>
    </x:row>
    <x:row r="928" ht="18" customHeight="1">
      <x:c r="A928" s="13" t="n">
        <x:v>43983</x:v>
      </x:c>
      <x:c r="B928" s="12" t="n">
        <x:v>-11</x:v>
      </x:c>
      <x:c r="C928" s="12" t="n">
        <x:v>0.026618607505175626</x:v>
      </x:c>
      <x:c r="D928" s="12" t="n">
        <x:v>-0.6321199379508722</x:v>
      </x:c>
      <x:c r="E928" s="12" t="n">
        <x:v>-0.42827489865259466</x:v>
      </x:c>
    </x:row>
    <x:row r="929" ht="18" customHeight="1">
      <x:c r="A929" s="13" t="n">
        <x:v>43984</x:v>
      </x:c>
      <x:c r="B929" s="12" t="n">
        <x:v>-25</x:v>
      </x:c>
      <x:c r="C929" s="12" t="n">
        <x:v>0.003074205203533941</x:v>
      </x:c>
      <x:c r="D929" s="12" t="n">
        <x:v>-0.6382707499552467</x:v>
      </x:c>
      <x:c r="E929" s="12" t="n">
        <x:v>-0.4275477845742132</x:v>
      </x:c>
    </x:row>
    <x:row r="930" ht="18" customHeight="1">
      <x:c r="A930" s="13" t="n">
        <x:v>43985</x:v>
      </x:c>
      <x:c r="B930" s="12" t="n">
        <x:v>-38</x:v>
      </x:c>
      <x:c r="C930" s="12" t="n">
        <x:v>0.00002008229876724991</x:v>
      </x:c>
      <x:c r="D930" s="12" t="n">
        <x:v>-0.6260439570086996</x:v>
      </x:c>
      <x:c r="E930" s="12" t="n">
        <x:v>-0.4276961398272618</x:v>
      </x:c>
    </x:row>
    <x:row r="931" ht="18" customHeight="1">
      <x:c r="A931" s="13" t="n">
        <x:v>43986</x:v>
      </x:c>
      <x:c r="B931" s="12" t="n">
        <x:v>3</x:v>
      </x:c>
      <x:c r="C931" s="12" t="n">
        <x:v>-0.00036721835698979503</x:v>
      </x:c>
      <x:c r="D931" s="12" t="n">
        <x:v>-0.6413016995804197</x:v>
      </x:c>
      <x:c r="E931" s="12" t="n">
        <x:v>-0.4283727422505783</x:v>
      </x:c>
    </x:row>
    <x:row r="932" ht="18" customHeight="1">
      <x:c r="A932" s="13" t="n">
        <x:v>43987</x:v>
      </x:c>
      <x:c r="B932" s="12" t="n">
        <x:v>-33</x:v>
      </x:c>
      <x:c r="C932" s="12" t="n">
        <x:v>0.004776348491166621</x:v>
      </x:c>
      <x:c r="D932" s="12" t="n">
        <x:v>-0.6405669686203015</x:v>
      </x:c>
      <x:c r="E932" s="12" t="n">
        <x:v>-0.42772334399318873</x:v>
      </x:c>
    </x:row>
    <x:row r="933" ht="18" customHeight="1">
      <x:c r="A933" s="13" t="n">
        <x:v>43990</x:v>
      </x:c>
      <x:c r="B933" s="12" t="n">
        <x:v>1</x:v>
      </x:c>
      <x:c r="C933" s="12" t="n">
        <x:v>0.005161040729267489</x:v>
      </x:c>
      <x:c r="D933" s="12" t="n">
        <x:v>-0.6393264912073027</x:v>
      </x:c>
      <x:c r="E933" s="12" t="n">
        <x:v>-0.4274378932657765</x:v>
      </x:c>
    </x:row>
    <x:row r="934" ht="18" customHeight="1">
      <x:c r="A934" s="13" t="n">
        <x:v>43991</x:v>
      </x:c>
      <x:c r="B934" s="12" t="n">
        <x:v>24</x:v>
      </x:c>
      <x:c r="C934" s="12" t="n">
        <x:v>0.006215027837446011</x:v>
      </x:c>
      <x:c r="D934" s="12" t="n">
        <x:v>-0.6675227580061274</x:v>
      </x:c>
      <x:c r="E934" s="12" t="n">
        <x:v>-0.4210703111405658</x:v>
      </x:c>
    </x:row>
    <x:row r="935" ht="18" customHeight="1">
      <x:c r="A935" s="13" t="n">
        <x:v>43992</x:v>
      </x:c>
      <x:c r="B935" s="12" t="n">
        <x:v>17</x:v>
      </x:c>
      <x:c r="C935" s="12" t="n">
        <x:v>-0.0018114115390478484</x:v>
      </x:c>
      <x:c r="D935" s="12" t="n">
        <x:v>-0.6583913592771455</x:v>
      </x:c>
      <x:c r="E935" s="12" t="n">
        <x:v>-0.42097207612459553</x:v>
      </x:c>
    </x:row>
    <x:row r="936" ht="18" customHeight="1">
      <x:c r="A936" s="13" t="n">
        <x:v>43993</x:v>
      </x:c>
      <x:c r="B936" s="12" t="n">
        <x:v>48</x:v>
      </x:c>
      <x:c r="C936" s="12" t="n">
        <x:v>-0.010906712768860143</x:v>
      </x:c>
      <x:c r="D936" s="12" t="n">
        <x:v>-0.6204647861905228</x:v>
      </x:c>
      <x:c r="E936" s="12" t="n">
        <x:v>-0.4248137867145853</x:v>
      </x:c>
    </x:row>
    <x:row r="937" ht="18" customHeight="1">
      <x:c r="A937" s="13" t="n">
        <x:v>43994</x:v>
      </x:c>
      <x:c r="B937" s="12" t="n">
        <x:v>-12</x:v>
      </x:c>
      <x:c r="C937" s="12" t="n">
        <x:v>0.0017998077734721176</x:v>
      </x:c>
      <x:c r="D937" s="12" t="n">
        <x:v>-0.6145894538277906</x:v>
      </x:c>
      <x:c r="E937" s="12" t="n">
        <x:v>-0.4255644397940419</x:v>
      </x:c>
    </x:row>
    <x:row r="938" ht="18" customHeight="1">
      <x:c r="A938" s="13" t="n">
        <x:v>43997</x:v>
      </x:c>
      <x:c r="B938" s="12" t="n">
        <x:v>-3</x:v>
      </x:c>
      <x:c r="C938" s="12" t="n">
        <x:v>-0.012087146329313512</x:v>
      </x:c>
      <x:c r="D938" s="12" t="n">
        <x:v>-0.6053750110885657</x:v>
      </x:c>
      <x:c r="E938" s="12" t="n">
        <x:v>-0.4238697037678098</x:v>
      </x:c>
    </x:row>
    <x:row r="939" ht="18" customHeight="1">
      <x:c r="A939" s="13" t="n">
        <x:v>43998</x:v>
      </x:c>
      <x:c r="B939" s="12" t="n">
        <x:v>-47</x:v>
      </x:c>
      <x:c r="C939" s="12" t="n">
        <x:v>0.014952650166163503</x:v>
      </x:c>
      <x:c r="D939" s="12" t="n">
        <x:v>-0.5955514488156579</x:v>
      </x:c>
      <x:c r="E939" s="12" t="n">
        <x:v>-0.42959732654409266</x:v>
      </x:c>
    </x:row>
    <x:row r="940" ht="18" customHeight="1">
      <x:c r="A940" s="13" t="n">
        <x:v>43999</x:v>
      </x:c>
      <x:c r="B940" s="12" t="n">
        <x:v>7</x:v>
      </x:c>
      <x:c r="C940" s="12" t="n">
        <x:v>0.0007529477809265026</x:v>
      </x:c>
      <x:c r="D940" s="12" t="n">
        <x:v>-0.6069856575015864</x:v>
      </x:c>
      <x:c r="E940" s="12" t="n">
        <x:v>-0.42944734715833416</x:v>
      </x:c>
    </x:row>
    <x:row r="941" ht="18" customHeight="1">
      <x:c r="A941" s="13" t="n">
        <x:v>44000</x:v>
      </x:c>
      <x:c r="B941" s="12" t="n">
        <x:v>16</x:v>
      </x:c>
      <x:c r="C941" s="12" t="n">
        <x:v>0.006646060709465059</x:v>
      </x:c>
      <x:c r="D941" s="12" t="n">
        <x:v>-0.5088251508691667</x:v>
      </x:c>
      <x:c r="E941" s="12" t="n">
        <x:v>-0.4274867983008088</x:v>
      </x:c>
    </x:row>
    <x:row r="942" ht="18" customHeight="1">
      <x:c r="A942" s="13" t="n">
        <x:v>44001</x:v>
      </x:c>
      <x:c r="B942" s="12" t="n">
        <x:v>1</x:v>
      </x:c>
      <x:c r="C942" s="12" t="n">
        <x:v>0.013342866475464435</x:v>
      </x:c>
      <x:c r="D942" s="12" t="n">
        <x:v>-0.501637802241397</x:v>
      </x:c>
      <x:c r="E942" s="12" t="n">
        <x:v>-0.4302588085862148</x:v>
      </x:c>
    </x:row>
    <x:row r="943" ht="18" customHeight="1">
      <x:c r="A943" s="13" t="n">
        <x:v>44004</x:v>
      </x:c>
      <x:c r="B943" s="12" t="n">
        <x:v>1</x:v>
      </x:c>
      <x:c r="C943" s="12" t="n">
        <x:v>0.0008136811845599733</x:v>
      </x:c>
      <x:c r="D943" s="12" t="n">
        <x:v>-0.46573996250683825</x:v>
      </x:c>
      <x:c r="E943" s="12" t="n">
        <x:v>-0.43040092133802305</x:v>
      </x:c>
    </x:row>
    <x:row r="944" ht="18" customHeight="1">
      <x:c r="A944" s="13" t="n">
        <x:v>44005</x:v>
      </x:c>
      <x:c r="B944" s="12" t="n">
        <x:v>-1</x:v>
      </x:c>
      <x:c r="C944" s="12" t="n">
        <x:v>0.00480275327345941</x:v>
      </x:c>
      <x:c r="D944" s="12" t="n">
        <x:v>-0.437645529190459</x:v>
      </x:c>
      <x:c r="E944" s="12" t="n">
        <x:v>-0.4319722553496848</x:v>
      </x:c>
    </x:row>
    <x:row r="945" ht="18" customHeight="1">
      <x:c r="A945" s="13" t="n">
        <x:v>44006</x:v>
      </x:c>
      <x:c r="B945" s="12" t="n">
        <x:v>21</x:v>
      </x:c>
      <x:c r="C945" s="12" t="n">
        <x:v>0.004163073394105781</x:v>
      </x:c>
      <x:c r="D945" s="12" t="n">
        <x:v>-0.471766502981925</x:v>
      </x:c>
      <x:c r="E945" s="12" t="n">
        <x:v>-0.42839405082670334</x:v>
      </x:c>
    </x:row>
    <x:row r="946" ht="18" customHeight="1">
      <x:c r="A946" s="13" t="n">
        <x:v>44011</x:v>
      </x:c>
      <x:c r="B946" s="12" t="n">
        <x:v>11</x:v>
      </x:c>
      <x:c r="C946" s="12" t="n">
        <x:v>-0.007097652224453106</x:v>
      </x:c>
      <x:c r="D946" s="12" t="n">
        <x:v>-0.36988830509251935</x:v>
      </x:c>
      <x:c r="E946" s="12" t="n">
        <x:v>-0.43220827706561715</x:v>
      </x:c>
    </x:row>
    <x:row r="947" ht="18" customHeight="1">
      <x:c r="A947" s="13" t="n">
        <x:v>44012</x:v>
      </x:c>
      <x:c r="B947" s="12" t="n">
        <x:v>-8</x:v>
      </x:c>
      <x:c r="C947" s="12" t="n">
        <x:v>0.013113409441197675</x:v>
      </x:c>
      <x:c r="D947" s="12" t="n">
        <x:v>-0.3469753533268438</x:v>
      </x:c>
      <x:c r="E947" s="12" t="n">
        <x:v>-0.4330763287683299</x:v>
      </x:c>
    </x:row>
    <x:row r="948" ht="18" customHeight="1">
      <x:c r="A948" s="13" t="n">
        <x:v>44013</x:v>
      </x:c>
      <x:c r="B948" s="12" t="n">
        <x:v>-11</x:v>
      </x:c>
      <x:c r="C948" s="12" t="n">
        <x:v>0.019929884345320857</x:v>
      </x:c>
      <x:c r="D948" s="12" t="n">
        <x:v>-0.30213924503660966</x:v>
      </x:c>
      <x:c r="E948" s="12" t="n">
        <x:v>-0.4341872910568899</x:v>
      </x:c>
    </x:row>
    <x:row r="949" ht="18" customHeight="1">
      <x:c r="A949" s="13" t="n">
        <x:v>44014</x:v>
      </x:c>
      <x:c r="B949" s="12" t="n">
        <x:v>-16</x:v>
      </x:c>
      <x:c r="C949" s="12" t="n">
        <x:v>0.0205190834673487</x:v>
      </x:c>
      <x:c r="D949" s="12" t="n">
        <x:v>-0.39060980725157823</x:v>
      </x:c>
      <x:c r="E949" s="12" t="n">
        <x:v>-0.4372133483221148</x:v>
      </x:c>
    </x:row>
    <x:row r="950" ht="18" customHeight="1">
      <x:c r="A950" s="13" t="n">
        <x:v>44015</x:v>
      </x:c>
      <x:c r="B950" s="12" t="n">
        <x:v>0</x:v>
      </x:c>
      <x:c r="C950" s="12" t="n">
        <x:v>0.01913177511652984</x:v>
      </x:c>
      <x:c r="D950" s="12" t="n">
        <x:v>-0.3786712930994151</x:v>
      </x:c>
      <x:c r="E950" s="12" t="n">
        <x:v>-0.4354768547786897</x:v>
      </x:c>
    </x:row>
    <x:row r="951" ht="18" customHeight="1">
      <x:c r="A951" s="13" t="n">
        <x:v>44018</x:v>
      </x:c>
      <x:c r="B951" s="12" t="n">
        <x:v>-14</x:v>
      </x:c>
      <x:c r="C951" s="12" t="n">
        <x:v>0.055131216608803546</x:v>
      </x:c>
      <x:c r="D951" s="12" t="n">
        <x:v>-0.358684426040556</x:v>
      </x:c>
      <x:c r="E951" s="12" t="n">
        <x:v>-0.43112836703644414</x:v>
      </x:c>
    </x:row>
    <x:row r="952" ht="18" customHeight="1">
      <x:c r="A952" s="13" t="n">
        <x:v>44019</x:v>
      </x:c>
      <x:c r="B952" s="12" t="n">
        <x:v>1</x:v>
      </x:c>
      <x:c r="C952" s="12" t="n">
        <x:v>0.005984398267295105</x:v>
      </x:c>
      <x:c r="D952" s="12" t="n">
        <x:v>-0.3578244102421968</x:v>
      </x:c>
      <x:c r="E952" s="12" t="n">
        <x:v>-0.4319921024469943</x:v>
      </x:c>
    </x:row>
    <x:row r="953" ht="18" customHeight="1">
      <x:c r="A953" s="13" t="n">
        <x:v>44020</x:v>
      </x:c>
      <x:c r="B953" s="12" t="n">
        <x:v>2</x:v>
      </x:c>
      <x:c r="C953" s="12" t="n">
        <x:v>0.01602161674087557</x:v>
      </x:c>
      <x:c r="D953" s="12" t="n">
        <x:v>-0.3419761454383916</x:v>
      </x:c>
      <x:c r="E953" s="12" t="n">
        <x:v>-0.4292971198857232</x:v>
      </x:c>
    </x:row>
    <x:row r="954" ht="18" customHeight="1">
      <x:c r="A954" s="13" t="n">
        <x:v>44021</x:v>
      </x:c>
      <x:c r="B954" s="12" t="n">
        <x:v>8</x:v>
      </x:c>
      <x:c r="C954" s="12" t="n">
        <x:v>0.013888639196783053</x:v>
      </x:c>
      <x:c r="D954" s="12" t="n">
        <x:v>-0.3428919423037245</x:v>
      </x:c>
      <x:c r="E954" s="12" t="n">
        <x:v>-0.4269599982899615</x:v>
      </x:c>
    </x:row>
    <x:row r="955" ht="18" customHeight="1">
      <x:c r="A955" s="13" t="n">
        <x:v>44022</x:v>
      </x:c>
      <x:c r="B955" s="12" t="n">
        <x:v>0</x:v>
      </x:c>
      <x:c r="C955" s="12" t="n">
        <x:v>-0.018270004194841982</x:v>
      </x:c>
      <x:c r="D955" s="12" t="n">
        <x:v>-0.32749092287708964</x:v>
      </x:c>
      <x:c r="E955" s="12" t="n">
        <x:v>-0.4249984110824892</x:v>
      </x:c>
    </x:row>
    <x:row r="956" ht="18" customHeight="1">
      <x:c r="A956" s="13" t="n">
        <x:v>44025</x:v>
      </x:c>
      <x:c r="B956" s="12" t="n">
        <x:v>-13</x:v>
      </x:c>
      <x:c r="C956" s="12" t="n">
        <x:v>0.02078503265292465</x:v>
      </x:c>
      <x:c r="D956" s="12" t="n">
        <x:v>-0.30331971670002633</x:v>
      </x:c>
      <x:c r="E956" s="12" t="n">
        <x:v>-0.42602457416636413</x:v>
      </x:c>
    </x:row>
    <x:row r="957" ht="18" customHeight="1">
      <x:c r="A957" s="13" t="n">
        <x:v>44026</x:v>
      </x:c>
      <x:c r="B957" s="12" t="n">
        <x:v>2</x:v>
      </x:c>
      <x:c r="C957" s="12" t="n">
        <x:v>-0.009580336181996442</x:v>
      </x:c>
      <x:c r="D957" s="12" t="n">
        <x:v>-0.30837760396722386</x:v>
      </x:c>
      <x:c r="E957" s="12" t="n">
        <x:v>-0.4259587783305859</x:v>
      </x:c>
    </x:row>
    <x:row r="958" ht="18" customHeight="1">
      <x:c r="A958" s="13" t="n">
        <x:v>44027</x:v>
      </x:c>
      <x:c r="B958" s="12" t="n">
        <x:v>-22</x:v>
      </x:c>
      <x:c r="C958" s="12" t="n">
        <x:v>-0.013029283857047434</x:v>
      </x:c>
      <x:c r="D958" s="12" t="n">
        <x:v>-0.32688011280450197</x:v>
      </x:c>
      <x:c r="E958" s="12" t="n">
        <x:v>-0.42029510514893687</x:v>
      </x:c>
    </x:row>
    <x:row r="959" ht="18" customHeight="1">
      <x:c r="A959" s="13" t="n">
        <x:v>44028</x:v>
      </x:c>
      <x:c r="B959" s="12" t="n">
        <x:v>-5</x:v>
      </x:c>
      <x:c r="C959" s="12" t="n">
        <x:v>-0.04929674326555778</x:v>
      </x:c>
      <x:c r="D959" s="12" t="n">
        <x:v>-0.2949897396310855</x:v>
      </x:c>
      <x:c r="E959" s="12" t="n">
        <x:v>-0.4045038593950754</x:v>
      </x:c>
    </x:row>
    <x:row r="960" ht="18" customHeight="1">
      <x:c r="A960" s="13" t="n">
        <x:v>44029</x:v>
      </x:c>
      <x:c r="B960" s="12" t="n">
        <x:v>-2</x:v>
      </x:c>
      <x:c r="C960" s="12" t="n">
        <x:v>0.006279160843895698</x:v>
      </x:c>
      <x:c r="D960" s="12" t="n">
        <x:v>-0.27045528759309273</x:v>
      </x:c>
      <x:c r="E960" s="12" t="n">
        <x:v>-0.40479537042193625</x:v>
      </x:c>
    </x:row>
    <x:row r="961" ht="18" customHeight="1">
      <x:c r="A961" s="13" t="n">
        <x:v>44032</x:v>
      </x:c>
      <x:c r="B961" s="12" t="n">
        <x:v>-20</x:v>
      </x:c>
      <x:c r="C961" s="12" t="n">
        <x:v>0.029401320405866512</x:v>
      </x:c>
      <x:c r="D961" s="12" t="n">
        <x:v>-0.2768052335313365</x:v>
      </x:c>
      <x:c r="E961" s="12" t="n">
        <x:v>-0.40874302471364493</x:v>
      </x:c>
    </x:row>
    <x:row r="962" ht="18" customHeight="1">
      <x:c r="A962" s="13" t="n">
        <x:v>44033</x:v>
      </x:c>
      <x:c r="B962" s="12" t="n">
        <x:v>-21</x:v>
      </x:c>
      <x:c r="C962" s="12" t="n">
        <x:v>0.002291645925546458</x:v>
      </x:c>
      <x:c r="D962" s="12" t="n">
        <x:v>-0.2737135995975999</x:v>
      </x:c>
      <x:c r="E962" s="12" t="n">
        <x:v>-0.4093969078001957</x:v>
      </x:c>
    </x:row>
    <x:row r="963" ht="18" customHeight="1">
      <x:c r="A963" s="13" t="n">
        <x:v>44034</x:v>
      </x:c>
      <x:c r="B963" s="12" t="n">
        <x:v>-5</x:v>
      </x:c>
      <x:c r="C963" s="12" t="n">
        <x:v>0.004976445357551661</x:v>
      </x:c>
      <x:c r="D963" s="12" t="n">
        <x:v>-0.2681937172791711</x:v>
      </x:c>
      <x:c r="E963" s="12" t="n">
        <x:v>-0.4097740175442542</x:v>
      </x:c>
    </x:row>
    <x:row r="964" ht="18" customHeight="1">
      <x:c r="A964" s="13" t="n">
        <x:v>44035</x:v>
      </x:c>
      <x:c r="B964" s="12" t="n">
        <x:v>-2</x:v>
      </x:c>
      <x:c r="C964" s="12" t="n">
        <x:v>-0.0004263764460646308</x:v>
      </x:c>
      <x:c r="D964" s="12" t="n">
        <x:v>-0.2735743705675633</x:v>
      </x:c>
      <x:c r="E964" s="12" t="n">
        <x:v>-0.409570404701826</x:v>
      </x:c>
    </x:row>
    <x:row r="965" ht="18" customHeight="1">
      <x:c r="A965" s="13" t="n">
        <x:v>44036</x:v>
      </x:c>
      <x:c r="B965" s="12" t="n">
        <x:v>3</x:v>
      </x:c>
      <x:c r="C965" s="12" t="n">
        <x:v>-0.044885926871965375</x:v>
      </x:c>
      <x:c r="D965" s="12" t="n">
        <x:v>-0.24620308620528783</x:v>
      </x:c>
      <x:c r="E965" s="12" t="n">
        <x:v>-0.40403674060931183</x:v>
      </x:c>
    </x:row>
    <x:row r="966" ht="18" customHeight="1">
      <x:c r="A966" s="13" t="n">
        <x:v>44039</x:v>
      </x:c>
      <x:c r="B966" s="12" t="n">
        <x:v>-5</x:v>
      </x:c>
      <x:c r="C966" s="12" t="n">
        <x:v>0.005060736341555208</x:v>
      </x:c>
      <x:c r="D966" s="12" t="n">
        <x:v>-0.24623541597700507</x:v>
      </x:c>
      <x:c r="E966" s="12" t="n">
        <x:v>-0.4041595153933864</x:v>
      </x:c>
    </x:row>
    <x:row r="967" ht="18" customHeight="1">
      <x:c r="A967" s="13" t="n">
        <x:v>44040</x:v>
      </x:c>
      <x:c r="B967" s="12" t="n">
        <x:v>3</x:v>
      </x:c>
      <x:c r="C967" s="12" t="n">
        <x:v>0.008752145469647098</x:v>
      </x:c>
      <x:c r="D967" s="12" t="n">
        <x:v>-0.24101999390159135</x:v>
      </x:c>
      <x:c r="E967" s="12" t="n">
        <x:v>-0.4036688434225847</x:v>
      </x:c>
    </x:row>
    <x:row r="968" ht="18" customHeight="1">
      <x:c r="A968" s="13" t="n">
        <x:v>44041</x:v>
      </x:c>
      <x:c r="B968" s="12" t="n">
        <x:v>-12</x:v>
      </x:c>
      <x:c r="C968" s="12" t="n">
        <x:v>0.023954258591717723</x:v>
      </x:c>
      <x:c r="D968" s="12" t="n">
        <x:v>-0.23605071151100598</x:v>
      </x:c>
      <x:c r="E968" s="12" t="n">
        <x:v>-0.40508920008575455</x:v>
      </x:c>
    </x:row>
    <x:row r="969" ht="18" customHeight="1">
      <x:c r="A969" s="13" t="n">
        <x:v>44042</x:v>
      </x:c>
      <x:c r="B969" s="12" t="n">
        <x:v>-1</x:v>
      </x:c>
      <x:c r="C969" s="12" t="n">
        <x:v>-0.004897066382800305</x:v>
      </x:c>
      <x:c r="D969" s="12" t="n">
        <x:v>-0.23809486258149998</x:v>
      </x:c>
      <x:c r="E969" s="12" t="n">
        <x:v>-0.40510796128532484</x:v>
      </x:c>
    </x:row>
    <x:row r="970" ht="18" customHeight="1">
      <x:c r="A970" s="13" t="n">
        <x:v>44043</x:v>
      </x:c>
      <x:c r="B970" s="12" t="n">
        <x:v>2</x:v>
      </x:c>
      <x:c r="C970" s="12" t="n">
        <x:v>0.00831889760054069</x:v>
      </x:c>
      <x:c r="D970" s="12" t="n">
        <x:v>-0.23701405070606535</x:v>
      </x:c>
      <x:c r="E970" s="12" t="n">
        <x:v>-0.4046259384608074</x:v>
      </x:c>
    </x:row>
    <x:row r="971" ht="18" customHeight="1">
      <x:c r="A971" s="13" t="n">
        <x:v>44046</x:v>
      </x:c>
      <x:c r="B971" s="12" t="n">
        <x:v>-8</x:v>
      </x:c>
      <x:c r="C971" s="12" t="n">
        <x:v>0.01611311512058742</x:v>
      </x:c>
      <x:c r="D971" s="12" t="n">
        <x:v>-0.23850293378751164</x:v>
      </x:c>
      <x:c r="E971" s="12" t="n">
        <x:v>-0.40573884015215184</x:v>
      </x:c>
    </x:row>
    <x:row r="972" ht="18" customHeight="1">
      <x:c r="A972" s="13" t="n">
        <x:v>44047</x:v>
      </x:c>
      <x:c r="B972" s="12" t="n">
        <x:v>5</x:v>
      </x:c>
      <x:c r="C972" s="12" t="n">
        <x:v>0.0009409337120644999</x:v>
      </x:c>
      <x:c r="D972" s="12" t="n">
        <x:v>-0.23155222617678664</x:v>
      </x:c>
      <x:c r="E972" s="12" t="n">
        <x:v>-0.4056464550024129</x:v>
      </x:c>
    </x:row>
    <x:row r="973" ht="18" customHeight="1">
      <x:c r="A973" s="13" t="n">
        <x:v>44048</x:v>
      </x:c>
      <x:c r="B973" s="12" t="n">
        <x:v>-9</x:v>
      </x:c>
      <x:c r="C973" s="12" t="n">
        <x:v>0.0002735291822812058</x:v>
      </x:c>
      <x:c r="D973" s="12" t="n">
        <x:v>-0.23131634357170988</x:v>
      </x:c>
      <x:c r="E973" s="12" t="n">
        <x:v>-0.40460366677306636</x:v>
      </x:c>
    </x:row>
    <x:row r="974" ht="18" customHeight="1">
      <x:c r="A974" s="13" t="n">
        <x:v>44049</x:v>
      </x:c>
      <x:c r="B974" s="12" t="n">
        <x:v>1.9999999999999432</x:v>
      </x:c>
      <x:c r="C974" s="12" t="n">
        <x:v>-0.0030073169025837867</x:v>
      </x:c>
      <x:c r="D974" s="12" t="n">
        <x:v>-0.23200554808587448</x:v>
      </x:c>
      <x:c r="E974" s="12" t="n">
        <x:v>-0.4045012199584226</x:v>
      </x:c>
    </x:row>
    <x:row r="975" ht="18" customHeight="1">
      <x:c r="A975" s="13" t="n">
        <x:v>44050</x:v>
      </x:c>
      <x:c r="B975" s="12" t="n">
        <x:v>0</x:v>
      </x:c>
      <x:c r="C975" s="12" t="n">
        <x:v>-0.0115807001506316</x:v>
      </x:c>
      <x:c r="D975" s="12" t="n">
        <x:v>-0.23273354673485738</x:v>
      </x:c>
      <x:c r="E975" s="12" t="n">
        <x:v>-0.4041944283501258</x:v>
      </x:c>
    </x:row>
    <x:row r="976" ht="18" customHeight="1">
      <x:c r="A976" s="13" t="n">
        <x:v>44053</x:v>
      </x:c>
      <x:c r="B976" s="12" t="n">
        <x:v>3.000000000000057</x:v>
      </x:c>
      <x:c r="C976" s="12" t="n">
        <x:v>0.00359247001676474</x:v>
      </x:c>
      <x:c r="D976" s="12" t="n">
        <x:v>-0.23144288161854393</x:v>
      </x:c>
      <x:c r="E976" s="12" t="n">
        <x:v>-0.4040182610063964</x:v>
      </x:c>
    </x:row>
    <x:row r="977" ht="18" customHeight="1">
      <x:c r="A977" s="13" t="n">
        <x:v>44054</x:v>
      </x:c>
      <x:c r="B977" s="12" t="n">
        <x:v>-6</x:v>
      </x:c>
      <x:c r="C977" s="12" t="n">
        <x:v>-0.009160814050230533</x:v>
      </x:c>
      <x:c r="D977" s="12" t="n">
        <x:v>-0.2297686849986068</x:v>
      </x:c>
      <x:c r="E977" s="12" t="n">
        <x:v>-0.40273512835102065</x:v>
      </x:c>
    </x:row>
    <x:row r="978" ht="18" customHeight="1">
      <x:c r="A978" s="13" t="n">
        <x:v>44055</x:v>
      </x:c>
      <x:c r="B978" s="12" t="n">
        <x:v>6.999999999999943</x:v>
      </x:c>
      <x:c r="C978" s="12" t="n">
        <x:v>-0.00731861616432439</x:v>
      </x:c>
      <x:c r="D978" s="12" t="n">
        <x:v>-0.23859154289253587</x:v>
      </x:c>
      <x:c r="E978" s="12" t="n">
        <x:v>-0.40288717887836756</x:v>
      </x:c>
    </x:row>
    <x:row r="979" ht="18" customHeight="1">
      <x:c r="A979" s="13" t="n">
        <x:v>44056</x:v>
      </x:c>
      <x:c r="B979" s="12" t="n">
        <x:v>6.000000000000057</x:v>
      </x:c>
      <x:c r="C979" s="12" t="n">
        <x:v>-0.0025706231729737705</x:v>
      </x:c>
      <x:c r="D979" s="12" t="n">
        <x:v>-0.22729718128948567</x:v>
      </x:c>
      <x:c r="E979" s="12" t="n">
        <x:v>-0.40301768253542947</x:v>
      </x:c>
    </x:row>
    <x:row r="980" ht="18" customHeight="1">
      <x:c r="A980" s="13" t="n">
        <x:v>44057</x:v>
      </x:c>
      <x:c r="B980" s="12" t="n">
        <x:v>10</x:v>
      </x:c>
      <x:c r="C980" s="12" t="n">
        <x:v>0.014756944673855646</x:v>
      </x:c>
      <x:c r="D980" s="12" t="n">
        <x:v>-0.2115652040560754</x:v>
      </x:c>
      <x:c r="E980" s="12" t="n">
        <x:v>-0.40004860390462416</x:v>
      </x:c>
    </x:row>
    <x:row r="981" ht="18" customHeight="1">
      <x:c r="A981" s="13" t="n">
        <x:v>44060</x:v>
      </x:c>
      <x:c r="B981" s="12" t="n">
        <x:v>3</x:v>
      </x:c>
      <x:c r="C981" s="12" t="n">
        <x:v>0.02323612644012645</x:v>
      </x:c>
      <x:c r="D981" s="12" t="n">
        <x:v>-0.2085543449633525</x:v>
      </x:c>
      <x:c r="E981" s="12" t="n">
        <x:v>-0.39732312528608316</x:v>
      </x:c>
    </x:row>
    <x:row r="982" ht="18" customHeight="1">
      <x:c r="A982" s="13" t="n">
        <x:v>44061</x:v>
      </x:c>
      <x:c r="B982" s="12" t="n">
        <x:v>-3</x:v>
      </x:c>
      <x:c r="C982" s="12" t="n">
        <x:v>-0.000513025455575405</x:v>
      </x:c>
      <x:c r="D982" s="12" t="n">
        <x:v>-0.20782225587791806</x:v>
      </x:c>
      <x:c r="E982" s="12" t="n">
        <x:v>-0.39827836138351913</x:v>
      </x:c>
    </x:row>
    <x:row r="983" ht="18" customHeight="1">
      <x:c r="A983" s="13" t="n">
        <x:v>44062</x:v>
      </x:c>
      <x:c r="B983" s="12" t="n">
        <x:v>-1</x:v>
      </x:c>
      <x:c r="C983" s="12" t="n">
        <x:v>-0.01508972828793647</x:v>
      </x:c>
      <x:c r="D983" s="12" t="n">
        <x:v>-0.21998996141688448</x:v>
      </x:c>
      <x:c r="E983" s="12" t="n">
        <x:v>-0.39563265841110595</x:v>
      </x:c>
    </x:row>
    <x:row r="984" ht="18" customHeight="1">
      <x:c r="A984" s="13" t="n">
        <x:v>44063</x:v>
      </x:c>
      <x:c r="B984" s="12" t="n">
        <x:v>3</x:v>
      </x:c>
      <x:c r="C984" s="12" t="n">
        <x:v>-0.013062837985231536</x:v>
      </x:c>
      <x:c r="D984" s="12" t="n">
        <x:v>-0.22813442780383333</x:v>
      </x:c>
      <x:c r="E984" s="12" t="n">
        <x:v>-0.39459076197328413</x:v>
      </x:c>
    </x:row>
    <x:row r="985" ht="18" customHeight="1">
      <x:c r="A985" s="13" t="n">
        <x:v>44064</x:v>
      </x:c>
      <x:c r="B985" s="12" t="n">
        <x:v>-3</x:v>
      </x:c>
      <x:c r="C985" s="12" t="n">
        <x:v>0.00844625377829779</x:v>
      </x:c>
      <x:c r="D985" s="12" t="n">
        <x:v>-0.23153725235024583</x:v>
      </x:c>
      <x:c r="E985" s="12" t="n">
        <x:v>-0.38882175314393164</x:v>
      </x:c>
    </x:row>
    <x:row r="986" ht="18" customHeight="1">
      <x:c r="A986" s="13" t="n">
        <x:v>44067</x:v>
      </x:c>
      <x:c r="B986" s="12" t="n">
        <x:v>-8</x:v>
      </x:c>
      <x:c r="C986" s="12" t="n">
        <x:v>0.007811586360143104</x:v>
      </x:c>
      <x:c r="D986" s="12" t="n">
        <x:v>-0.23243296142747133</x:v>
      </x:c>
      <x:c r="E986" s="12" t="n">
        <x:v>-0.39112419502182505</x:v>
      </x:c>
    </x:row>
    <x:row r="987" ht="18" customHeight="1">
      <x:c r="A987" s="13" t="n">
        <x:v>44068</x:v>
      </x:c>
      <x:c r="B987" s="12" t="n">
        <x:v>-10</x:v>
      </x:c>
      <x:c r="C987" s="12" t="n">
        <x:v>0.001282145236100936</x:v>
      </x:c>
      <x:c r="D987" s="12" t="n">
        <x:v>-0.22227823522385914</x:v>
      </x:c>
      <x:c r="E987" s="12" t="n">
        <x:v>-0.3907016939217842</x:v>
      </x:c>
    </x:row>
    <x:row r="988" ht="18" customHeight="1">
      <x:c r="A988" s="13" t="n">
        <x:v>44069</x:v>
      </x:c>
      <x:c r="B988" s="12" t="n">
        <x:v>-5.000000000000057</x:v>
      </x:c>
      <x:c r="C988" s="12" t="n">
        <x:v>-0.01179143848735509</x:v>
      </x:c>
      <x:c r="D988" s="12" t="n">
        <x:v>-0.22058395925052077</x:v>
      </x:c>
      <x:c r="E988" s="12" t="n">
        <x:v>-0.3868944050830149</x:v>
      </x:c>
    </x:row>
    <x:row r="989" ht="18" customHeight="1">
      <x:c r="A989" s="13" t="n">
        <x:v>44070</x:v>
      </x:c>
      <x:c r="B989" s="12" t="n">
        <x:v>-3.9999999999998863</x:v>
      </x:c>
      <x:c r="C989" s="12" t="n">
        <x:v>0.005343581667131274</x:v>
      </x:c>
      <x:c r="D989" s="12" t="n">
        <x:v>-0.2214205904880762</x:v>
      </x:c>
      <x:c r="E989" s="12" t="n">
        <x:v>-0.38752305847794527</x:v>
      </x:c>
    </x:row>
    <x:row r="990" ht="18" customHeight="1">
      <x:c r="A990" s="13" t="n">
        <x:v>44071</x:v>
      </x:c>
      <x:c r="B990" s="12" t="n">
        <x:v>1.9999999999999432</x:v>
      </x:c>
      <x:c r="C990" s="12" t="n">
        <x:v>0.02358603393633957</x:v>
      </x:c>
      <x:c r="D990" s="12" t="n">
        <x:v>-0.21241664056128928</x:v>
      </x:c>
      <x:c r="E990" s="12" t="n">
        <x:v>-0.3882427529013689</x:v>
      </x:c>
    </x:row>
    <x:row r="991" ht="18" customHeight="1">
      <x:c r="A991" s="13" t="n">
        <x:v>44074</x:v>
      </x:c>
      <x:c r="B991" s="12" t="n">
        <x:v>1.9999999999999432</x:v>
      </x:c>
      <x:c r="C991" s="12" t="n">
        <x:v>-0.005807160177476246</x:v>
      </x:c>
      <x:c r="D991" s="12" t="n">
        <x:v>-0.2048056415741035</x:v>
      </x:c>
      <x:c r="E991" s="12" t="n">
        <x:v>-0.3912318561634661</x:v>
      </x:c>
    </x:row>
    <x:row r="992" ht="18" customHeight="1">
      <x:c r="A992" s="13" t="n">
        <x:v>44075</x:v>
      </x:c>
      <x:c r="B992" s="12" t="n">
        <x:v>-4.999999999999943</x:v>
      </x:c>
      <x:c r="C992" s="12" t="n">
        <x:v>0.005364704197894736</x:v>
      </x:c>
      <x:c r="D992" s="12" t="n">
        <x:v>-0.20958289143001685</x:v>
      </x:c>
      <x:c r="E992" s="12" t="n">
        <x:v>-0.39368373542150964</x:v>
      </x:c>
    </x:row>
    <x:row r="993" ht="18" customHeight="1">
      <x:c r="A993" s="13" t="n">
        <x:v>44076</x:v>
      </x:c>
      <x:c r="B993" s="12" t="n">
        <x:v>-4</x:v>
      </x:c>
      <x:c r="C993" s="12" t="n">
        <x:v>0.0003643812358356593</x:v>
      </x:c>
      <x:c r="D993" s="12" t="n">
        <x:v>-0.230606412176777</x:v>
      </x:c>
      <x:c r="E993" s="12" t="n">
        <x:v>-0.39373246587004573</x:v>
      </x:c>
    </x:row>
    <x:row r="994" ht="18" customHeight="1">
      <x:c r="A994" s="13" t="n">
        <x:v>44077</x:v>
      </x:c>
      <x:c r="B994" s="12" t="n">
        <x:v>11</x:v>
      </x:c>
      <x:c r="C994" s="12" t="n">
        <x:v>-0.005546406799537806</x:v>
      </x:c>
      <x:c r="D994" s="12" t="n">
        <x:v>-0.23596757272341876</x:v>
      </x:c>
      <x:c r="E994" s="12" t="n">
        <x:v>-0.3942163258174139</x:v>
      </x:c>
    </x:row>
    <x:row r="995" ht="18" customHeight="1">
      <x:c r="A995" s="13" t="n">
        <x:v>44078</x:v>
      </x:c>
      <x:c r="B995" s="12" t="n">
        <x:v>9</x:v>
      </x:c>
      <x:c r="C995" s="12" t="n">
        <x:v>-0.009778874994954716</x:v>
      </x:c>
      <x:c r="D995" s="12" t="n">
        <x:v>-0.2512251562833542</x:v>
      </x:c>
      <x:c r="E995" s="12" t="n">
        <x:v>-0.3937297888384947</x:v>
      </x:c>
    </x:row>
    <x:row r="996" ht="18" customHeight="1">
      <x:c r="A996" s="13" t="n">
        <x:v>44081</x:v>
      </x:c>
      <x:c r="B996" s="12" t="n">
        <x:v>0</x:v>
      </x:c>
      <x:c r="C996" s="12" t="n">
        <x:v>-0.021368549427703998</x:v>
      </x:c>
      <x:c r="D996" s="12" t="n">
        <x:v>-0.2488022530894161</x:v>
      </x:c>
      <x:c r="E996" s="12" t="n">
        <x:v>-0.39168650363799357</x:v>
      </x:c>
    </x:row>
    <x:row r="997" ht="18" customHeight="1">
      <x:c r="A997" s="13" t="n">
        <x:v>44082</x:v>
      </x:c>
      <x:c r="B997" s="12" t="n">
        <x:v>12</x:v>
      </x:c>
      <x:c r="C997" s="12" t="n">
        <x:v>0.0053443845861228375</x:v>
      </x:c>
      <x:c r="D997" s="12" t="n">
        <x:v>-0.259671920528743</x:v>
      </x:c>
      <x:c r="E997" s="12" t="n">
        <x:v>-0.39148098824734134</x:v>
      </x:c>
    </x:row>
    <x:row r="998" ht="18" customHeight="1">
      <x:c r="A998" s="13" t="n">
        <x:v>44083</x:v>
      </x:c>
      <x:c r="B998" s="12" t="n">
        <x:v>-9</x:v>
      </x:c>
      <x:c r="C998" s="12" t="n">
        <x:v>-0.02366765483140326</x:v>
      </x:c>
      <x:c r="D998" s="12" t="n">
        <x:v>-0.23588291275149356</x:v>
      </x:c>
      <x:c r="E998" s="12" t="n">
        <x:v>-0.38562340761785835</x:v>
      </x:c>
    </x:row>
    <x:row r="999" ht="18" customHeight="1">
      <x:c r="A999" s="13" t="n">
        <x:v>44084</x:v>
      </x:c>
      <x:c r="B999" s="12" t="n">
        <x:v>0</x:v>
      </x:c>
      <x:c r="C999" s="12" t="n">
        <x:v>-0.0005697226232063961</x:v>
      </x:c>
      <x:c r="D999" s="12" t="n">
        <x:v>-0.21612875905214923</x:v>
      </x:c>
      <x:c r="E999" s="12" t="n">
        <x:v>-0.38671963479060384</x:v>
      </x:c>
    </x:row>
    <x:row r="1000" ht="18" customHeight="1">
      <x:c r="A1000" s="13" t="n">
        <x:v>44085</x:v>
      </x:c>
      <x:c r="B1000" s="12" t="n">
        <x:v>5</x:v>
      </x:c>
      <x:c r="C1000" s="12" t="n">
        <x:v>0.009839110851291967</x:v>
      </x:c>
      <x:c r="D1000" s="12" t="n">
        <x:v>-0.21167229142049154</x:v>
      </x:c>
      <x:c r="E1000" s="12" t="n">
        <x:v>-0.38736744046326255</x:v>
      </x:c>
    </x:row>
    <x:row r="1001" ht="18" customHeight="1">
      <x:c r="A1001" s="13" t="n">
        <x:v>44088</x:v>
      </x:c>
      <x:c r="B1001" s="12" t="n">
        <x:v>-3</x:v>
      </x:c>
      <x:c r="C1001" s="12" t="n">
        <x:v>0.005123366712961365</x:v>
      </x:c>
      <x:c r="D1001" s="12" t="n">
        <x:v>-0.21472284096124705</x:v>
      </x:c>
      <x:c r="E1001" s="12" t="n">
        <x:v>-0.38756798613392973</x:v>
      </x:c>
    </x:row>
    <x:row r="1002" ht="18" customHeight="1">
      <x:c r="A1002" s="13" t="n">
        <x:v>44089</x:v>
      </x:c>
      <x:c r="B1002" s="12" t="n">
        <x:v>-4</x:v>
      </x:c>
      <x:c r="C1002" s="12" t="n">
        <x:v>0.008015839598304212</x:v>
      </x:c>
      <x:c r="D1002" s="12" t="n">
        <x:v>-0.1953371858937621</x:v>
      </x:c>
      <x:c r="E1002" s="12" t="n">
        <x:v>-0.38798199070440276</x:v>
      </x:c>
    </x:row>
    <x:row r="1003" ht="18" customHeight="1">
      <x:c r="A1003" s="13" t="n">
        <x:v>44090</x:v>
      </x:c>
      <x:c r="B1003" s="12" t="n">
        <x:v>-7</x:v>
      </x:c>
      <x:c r="C1003" s="12" t="n">
        <x:v>-0.00666057020743151</x:v>
      </x:c>
      <x:c r="D1003" s="12" t="n">
        <x:v>-0.18801674422325426</x:v>
      </x:c>
      <x:c r="E1003" s="12" t="n">
        <x:v>-0.3876558010151488</x:v>
      </x:c>
    </x:row>
    <x:row r="1004" ht="18" customHeight="1">
      <x:c r="A1004" s="13" t="n">
        <x:v>44091</x:v>
      </x:c>
      <x:c r="B1004" s="12" t="n">
        <x:v>7</x:v>
      </x:c>
      <x:c r="C1004" s="12" t="n">
        <x:v>-0.005305503814429285</x:v>
      </x:c>
      <x:c r="D1004" s="12" t="n">
        <x:v>-0.21058259791449582</x:v>
      </x:c>
      <x:c r="E1004" s="12" t="n">
        <x:v>-0.38803951104943596</x:v>
      </x:c>
    </x:row>
    <x:row r="1005" ht="18" customHeight="1">
      <x:c r="A1005" s="13" t="n">
        <x:v>44092</x:v>
      </x:c>
      <x:c r="B1005" s="12" t="n">
        <x:v>2</x:v>
      </x:c>
      <x:c r="C1005" s="12" t="n">
        <x:v>0.02227983205717658</x:v>
      </x:c>
      <x:c r="D1005" s="12" t="n">
        <x:v>-0.20329131550521976</x:v>
      </x:c>
      <x:c r="E1005" s="12" t="n">
        <x:v>-0.38617413735225464</x:v>
      </x:c>
    </x:row>
    <x:row r="1006" ht="18" customHeight="1">
      <x:c r="A1006" s="13" t="n">
        <x:v>44095</x:v>
      </x:c>
      <x:c r="B1006" s="12" t="n">
        <x:v>26</x:v>
      </x:c>
      <x:c r="C1006" s="12" t="n">
        <x:v>-0.009685713655998145</x:v>
      </x:c>
      <x:c r="D1006" s="12" t="n">
        <x:v>-0.2222832257041305</x:v>
      </x:c>
      <x:c r="E1006" s="12" t="n">
        <x:v>-0.3885617222418663</x:v>
      </x:c>
    </x:row>
    <x:row r="1007" ht="18" customHeight="1">
      <x:c r="A1007" s="13" t="n">
        <x:v>44096</x:v>
      </x:c>
      <x:c r="B1007" s="12" t="n">
        <x:v>3</x:v>
      </x:c>
      <x:c r="C1007" s="12" t="n">
        <x:v>-0.01193670709894685</x:v>
      </x:c>
      <x:c r="D1007" s="12" t="n">
        <x:v>-0.2272189789981951</x:v>
      </x:c>
      <x:c r="E1007" s="12" t="n">
        <x:v>-0.38858970702543916</x:v>
      </x:c>
    </x:row>
    <x:row r="1008" ht="18" customHeight="1">
      <x:c r="A1008" s="13" t="n">
        <x:v>44097</x:v>
      </x:c>
      <x:c r="B1008" s="12" t="n">
        <x:v>2</x:v>
      </x:c>
      <x:c r="C1008" s="12" t="n">
        <x:v>0.003567261074509898</x:v>
      </x:c>
      <x:c r="D1008" s="12" t="n">
        <x:v>-0.24484694894989137</x:v>
      </x:c>
      <x:c r="E1008" s="12" t="n">
        <x:v>-0.38719355998563726</x:v>
      </x:c>
    </x:row>
    <x:row r="1009" ht="18" customHeight="1">
      <x:c r="A1009" s="13" t="n">
        <x:v>44098</x:v>
      </x:c>
      <x:c r="B1009" s="12" t="n">
        <x:v>17</x:v>
      </x:c>
      <x:c r="C1009" s="12" t="n">
        <x:v>-0.019372888753561534</x:v>
      </x:c>
      <x:c r="D1009" s="12" t="n">
        <x:v>-0.26884797117634396</x:v>
      </x:c>
      <x:c r="E1009" s="12" t="n">
        <x:v>-0.3896744072957743</x:v>
      </x:c>
    </x:row>
    <x:row r="1010" ht="18" customHeight="1">
      <x:c r="A1010" s="13" t="n">
        <x:v>44099</x:v>
      </x:c>
      <x:c r="B1010" s="12" t="n">
        <x:v>0</x:v>
      </x:c>
      <x:c r="C1010" s="12" t="n">
        <x:v>0.0015232311082675793</x:v>
      </x:c>
      <x:c r="D1010" s="12" t="n">
        <x:v>-0.2623999310824761</x:v>
      </x:c>
      <x:c r="E1010" s="12" t="n">
        <x:v>-0.389378326593685</x:v>
      </x:c>
    </x:row>
    <x:row r="1011" ht="18" customHeight="1">
      <x:c r="A1011" s="13" t="n">
        <x:v>44102</x:v>
      </x:c>
      <x:c r="B1011" s="12" t="n">
        <x:v>-12</x:v>
      </x:c>
      <x:c r="C1011" s="12" t="n">
        <x:v>0.0025976830142870892</x:v>
      </x:c>
      <x:c r="D1011" s="12" t="n">
        <x:v>-0.24528686340933917</x:v>
      </x:c>
      <x:c r="E1011" s="12" t="n">
        <x:v>-0.3901848383926888</x:v>
      </x:c>
    </x:row>
    <x:row r="1012" ht="18" customHeight="1">
      <x:c r="A1012" s="13" t="n">
        <x:v>44103</x:v>
      </x:c>
      <x:c r="B1012" s="12" t="n">
        <x:v>-2</x:v>
      </x:c>
      <x:c r="C1012" s="12" t="n">
        <x:v>0.0021563372298629402</x:v>
      </x:c>
      <x:c r="D1012" s="12" t="n">
        <x:v>-0.2200318978780455</x:v>
      </x:c>
      <x:c r="E1012" s="12" t="n">
        <x:v>-0.39030198068103544</x:v>
      </x:c>
    </x:row>
    <x:row r="1013" ht="18" customHeight="1">
      <x:c r="A1013" s="13" t="n">
        <x:v>44104</x:v>
      </x:c>
      <x:c r="B1013" s="12" t="n">
        <x:v>-9</x:v>
      </x:c>
      <x:c r="C1013" s="12" t="n">
        <x:v>-0.000959561384158417</x:v>
      </x:c>
      <x:c r="D1013" s="12" t="n">
        <x:v>-0.22169067693507932</x:v>
      </x:c>
      <x:c r="E1013" s="12" t="n">
        <x:v>-0.38938997221566085</x:v>
      </x:c>
    </x:row>
    <x:row r="1014" ht="18" customHeight="1">
      <x:c r="A1014" s="13" t="n">
        <x:v>44113</x:v>
      </x:c>
      <x:c r="B1014" s="12" t="n">
        <x:v>-5</x:v>
      </x:c>
      <x:c r="C1014" s="12" t="n">
        <x:v>0.0202295361258012</x:v>
      </x:c>
      <x:c r="D1014" s="12" t="n">
        <x:v>-0.1631258615631082</x:v>
      </x:c>
      <x:c r="E1014" s="12" t="n">
        <x:v>-0.3895751950166549</x:v>
      </x:c>
    </x:row>
    <x:row r="1015" ht="18" customHeight="1">
      <x:c r="A1015" s="13" t="n">
        <x:v>44116</x:v>
      </x:c>
      <x:c r="B1015" s="12" t="n">
        <x:v>0</x:v>
      </x:c>
      <x:c r="C1015" s="12" t="n">
        <x:v>0.02988693241901605</x:v>
      </x:c>
      <x:c r="D1015" s="12" t="n">
        <x:v>-0.15565619311700604</x:v>
      </x:c>
      <x:c r="E1015" s="12" t="n">
        <x:v>-0.38747905541996625</x:v>
      </x:c>
    </x:row>
    <x:row r="1016" ht="18" customHeight="1">
      <x:c r="A1016" s="13" t="n">
        <x:v>44117</x:v>
      </x:c>
      <x:c r="B1016" s="12" t="n">
        <x:v>-4</x:v>
      </x:c>
      <x:c r="C1016" s="12" t="n">
        <x:v>0.003320765679496209</x:v>
      </x:c>
      <x:c r="D1016" s="12" t="n">
        <x:v>-0.16453053903795684</x:v>
      </x:c>
      <x:c r="E1016" s="12" t="n">
        <x:v>-0.3876637705529728</x:v>
      </x:c>
    </x:row>
    <x:row r="1017" ht="18" customHeight="1">
      <x:c r="A1017" s="13" t="n">
        <x:v>44118</x:v>
      </x:c>
      <x:c r="B1017" s="12" t="n">
        <x:v>0.9999999999999432</x:v>
      </x:c>
      <x:c r="C1017" s="12" t="n">
        <x:v>-0.0066551959114719535</x:v>
      </x:c>
      <x:c r="D1017" s="12" t="n">
        <x:v>-0.1858471706281013</x:v>
      </x:c>
      <x:c r="E1017" s="12" t="n">
        <x:v>-0.3873822431713168</x:v>
      </x:c>
    </x:row>
    <x:row r="1018" ht="18" customHeight="1">
      <x:c r="A1018" s="13" t="n">
        <x:v>44119</x:v>
      </x:c>
      <x:c r="B1018" s="12" t="n">
        <x:v>12.000000000000057</x:v>
      </x:c>
      <x:c r="C1018" s="12" t="n">
        <x:v>-0.00174185780377837</x:v>
      </x:c>
      <x:c r="D1018" s="12" t="n">
        <x:v>-0.18454453419905809</x:v>
      </x:c>
      <x:c r="E1018" s="12" t="n">
        <x:v>-0.3876641515980289</x:v>
      </x:c>
    </x:row>
    <x:row r="1019" ht="18" customHeight="1">
      <x:c r="A1019" s="13" t="n">
        <x:v>44120</x:v>
      </x:c>
      <x:c r="B1019" s="12" t="n">
        <x:v>-6.999999999999943</x:v>
      </x:c>
      <x:c r="C1019" s="12" t="n">
        <x:v>-0.0014723249015277874</x:v>
      </x:c>
      <x:c r="D1019" s="12" t="n">
        <x:v>-0.1552215000133337</x:v>
      </x:c>
      <x:c r="E1019" s="12" t="n">
        <x:v>-0.38747383594400353</x:v>
      </x:c>
    </x:row>
    <x:row r="1020" ht="18" customHeight="1">
      <x:c r="A1020" s="13" t="n">
        <x:v>44123</x:v>
      </x:c>
      <x:c r="B1020" s="12" t="n">
        <x:v>-3.000000000000057</x:v>
      </x:c>
      <x:c r="C1020" s="12" t="n">
        <x:v>-0.007580947324676243</x:v>
      </x:c>
      <x:c r="D1020" s="12" t="n">
        <x:v>-0.14970062216586513</x:v>
      </x:c>
      <x:c r="E1020" s="12" t="n">
        <x:v>-0.38699591513948484</x:v>
      </x:c>
    </x:row>
    <x:row r="1021" ht="18" customHeight="1">
      <x:c r="A1021" s="13" t="n">
        <x:v>44124</x:v>
      </x:c>
      <x:c r="B1021" s="12" t="n">
        <x:v>-0.9999999999999432</x:v>
      </x:c>
      <x:c r="C1021" s="12" t="n">
        <x:v>0.007954692397331964</x:v>
      </x:c>
      <x:c r="D1021" s="12" t="n">
        <x:v>-0.19843562262407877</x:v>
      </x:c>
      <x:c r="E1021" s="12" t="n">
        <x:v>-0.3871393135601832</x:v>
      </x:c>
    </x:row>
    <x:row r="1022" ht="18" customHeight="1">
      <x:c r="A1022" s="13" t="n">
        <x:v>44125</x:v>
      </x:c>
      <x:c r="B1022" s="12" t="n">
        <x:v>0.9999999999999432</x:v>
      </x:c>
      <x:c r="C1022" s="12" t="n">
        <x:v>-0.0001332735871289077</x:v>
      </x:c>
      <x:c r="D1022" s="12" t="n">
        <x:v>-0.2559611410250591</x:v>
      </x:c>
      <x:c r="E1022" s="12" t="n">
        <x:v>-0.3870236323820633</x:v>
      </x:c>
    </x:row>
    <x:row r="1023" ht="18" customHeight="1">
      <x:c r="A1023" s="13" t="n">
        <x:v>44126</x:v>
      </x:c>
      <x:c r="B1023" s="12" t="n">
        <x:v>-3</x:v>
      </x:c>
      <x:c r="C1023" s="12" t="n">
        <x:v>-0.0031019124618266</x:v>
      </x:c>
      <x:c r="D1023" s="12" t="n">
        <x:v>-0.2533514409131088</x:v>
      </x:c>
      <x:c r="E1023" s="12" t="n">
        <x:v>-0.38690526548327164</x:v>
      </x:c>
    </x:row>
    <x:row r="1024" ht="18" customHeight="1">
      <x:c r="A1024" s="13" t="n">
        <x:v>44127</x:v>
      </x:c>
      <x:c r="B1024" s="12" t="n">
        <x:v>-1</x:v>
      </x:c>
      <x:c r="C1024" s="12" t="n">
        <x:v>-0.012530374375044237</x:v>
      </x:c>
      <x:c r="D1024" s="12" t="n">
        <x:v>-0.17665322992186883</x:v>
      </x:c>
      <x:c r="E1024" s="12" t="n">
        <x:v>-0.38602471640315034</x:v>
      </x:c>
    </x:row>
    <x:row r="1025" ht="18" customHeight="1">
      <x:c r="A1025" s="13" t="n">
        <x:v>44130</x:v>
      </x:c>
      <x:c r="B1025" s="12" t="n">
        <x:v>16</x:v>
      </x:c>
      <x:c r="C1025" s="12" t="n">
        <x:v>-0.005792364621097337</x:v>
      </x:c>
      <x:c r="D1025" s="12" t="n">
        <x:v>-0.18977218652085412</x:v>
      </x:c>
      <x:c r="E1025" s="12" t="n">
        <x:v>-0.38761074839761256</x:v>
      </x:c>
    </x:row>
    <x:row r="1026" ht="18" customHeight="1">
      <x:c r="A1026" s="13" t="n">
        <x:v>44131</x:v>
      </x:c>
      <x:c r="B1026" s="12" t="n">
        <x:v>2.999999999999943</x:v>
      </x:c>
      <x:c r="C1026" s="12" t="n">
        <x:v>0.0017130693857238426</x:v>
      </x:c>
      <x:c r="D1026" s="12" t="n">
        <x:v>-0.18499164188499653</x:v>
      </x:c>
      <x:c r="E1026" s="12" t="n">
        <x:v>-0.3876002558340929</x:v>
      </x:c>
    </x:row>
    <x:row r="1027" ht="18" customHeight="1">
      <x:c r="A1027" s="13" t="n">
        <x:v>44132</x:v>
      </x:c>
      <x:c r="B1027" s="12" t="n">
        <x:v>23.000000000000057</x:v>
      </x:c>
      <x:c r="C1027" s="12" t="n">
        <x:v>0.008052265130175401</x:v>
      </x:c>
      <x:c r="D1027" s="12" t="n">
        <x:v>-0.14157256236209295</x:v>
      </x:c>
      <x:c r="E1027" s="12" t="n">
        <x:v>-0.3838644398781808</x:v>
      </x:c>
    </x:row>
    <x:row r="1028" ht="18" customHeight="1">
      <x:c r="A1028" s="13" t="n">
        <x:v>44133</x:v>
      </x:c>
      <x:c r="B1028" s="12" t="n">
        <x:v>-4</x:v>
      </x:c>
      <x:c r="C1028" s="12" t="n">
        <x:v>0.007496834650276579</x:v>
      </x:c>
      <x:c r="D1028" s="12" t="n">
        <x:v>-0.14511261433874342</x:v>
      </x:c>
      <x:c r="E1028" s="12" t="n">
        <x:v>-0.382874434217524</x:v>
      </x:c>
    </x:row>
    <x:row r="1029" ht="18" customHeight="1">
      <x:c r="A1029" s="13" t="n">
        <x:v>44134</x:v>
      </x:c>
      <x:c r="B1029" s="12" t="n">
        <x:v>0</x:v>
      </x:c>
      <x:c r="C1029" s="12" t="n">
        <x:v>-0.016389027988660262</x:v>
      </x:c>
      <x:c r="D1029" s="12" t="n">
        <x:v>-0.13656459836967008</x:v>
      </x:c>
      <x:c r="E1029" s="12" t="n">
        <x:v>-0.38165266796605657</x:v>
      </x:c>
    </x:row>
    <x:row r="1030" ht="18" customHeight="1">
      <x:c r="A1030" s="13" t="n">
        <x:v>44137</x:v>
      </x:c>
      <x:c r="B1030" s="12" t="n">
        <x:v>-7</x:v>
      </x:c>
      <x:c r="C1030" s="12" t="n">
        <x:v>0.005415699926437235</x:v>
      </x:c>
      <x:c r="D1030" s="12" t="n">
        <x:v>-0.14635367132448987</x:v>
      </x:c>
      <x:c r="E1030" s="12" t="n">
        <x:v>-0.3826739091263952</x:v>
      </x:c>
    </x:row>
    <x:row r="1031" ht="18" customHeight="1">
      <x:c r="A1031" s="13" t="n">
        <x:v>44138</x:v>
      </x:c>
      <x:c r="B1031" s="12" t="n">
        <x:v>-18</x:v>
      </x:c>
      <x:c r="C1031" s="12" t="n">
        <x:v>0.011945216401603785</x:v>
      </x:c>
      <x:c r="D1031" s="12" t="n">
        <x:v>-0.13182977768661616</x:v>
      </x:c>
      <x:c r="E1031" s="12" t="n">
        <x:v>-0.3845119963666743</x:v>
      </x:c>
    </x:row>
    <x:row r="1032" ht="18" customHeight="1">
      <x:c r="A1032" s="13" t="n">
        <x:v>44139</x:v>
      </x:c>
      <x:c r="B1032" s="12" t="n">
        <x:v>-28</x:v>
      </x:c>
      <x:c r="C1032" s="12" t="n">
        <x:v>0.007526838285146994</x:v>
      </x:c>
      <x:c r="D1032" s="12" t="n">
        <x:v>-0.1547020101133945</x:v>
      </x:c>
      <x:c r="E1032" s="12" t="n">
        <x:v>-0.38550275042660315</x:v>
      </x:c>
    </x:row>
    <x:row r="1033" ht="18" customHeight="1">
      <x:c r="A1033" s="13" t="n">
        <x:v>44140</x:v>
      </x:c>
      <x:c r="B1033" s="12" t="n">
        <x:v>-20</x:v>
      </x:c>
      <x:c r="C1033" s="12" t="n">
        <x:v>0.01473520996199845</x:v>
      </x:c>
      <x:c r="D1033" s="12" t="n">
        <x:v>-0.19481727977777166</x:v>
      </x:c>
      <x:c r="E1033" s="12" t="n">
        <x:v>-0.388410854582898</x:v>
      </x:c>
    </x:row>
    <x:row r="1034" ht="18" customHeight="1">
      <x:c r="A1034" s="13" t="n">
        <x:v>44141</x:v>
      </x:c>
      <x:c r="B1034" s="12" t="n">
        <x:v>8</x:v>
      </x:c>
      <x:c r="C1034" s="12" t="n">
        <x:v>0.00012404269147779382</x:v>
      </x:c>
      <x:c r="D1034" s="12" t="n">
        <x:v>-0.17859839941151973</x:v>
      </x:c>
      <x:c r="E1034" s="12" t="n">
        <x:v>-0.3883210194332409</x:v>
      </x:c>
    </x:row>
    <x:row r="1035" ht="18" customHeight="1">
      <x:c r="A1035" s="13" t="n">
        <x:v>44144</x:v>
      </x:c>
      <x:c r="B1035" s="12" t="n">
        <x:v>-45</x:v>
      </x:c>
      <x:c r="C1035" s="12" t="n">
        <x:v>0.019384664101318113</x:v>
      </x:c>
      <x:c r="D1035" s="12" t="n">
        <x:v>-0.26181463871961347</x:v>
      </x:c>
      <x:c r="E1035" s="12" t="n">
        <x:v>-0.3946743748627326</x:v>
      </x:c>
    </x:row>
    <x:row r="1036" ht="18" customHeight="1">
      <x:c r="A1036" s="13" t="n">
        <x:v>44145</x:v>
      </x:c>
      <x:c r="B1036" s="12" t="n">
        <x:v>15</x:v>
      </x:c>
      <x:c r="C1036" s="12" t="n">
        <x:v>-0.005530658682067191</x:v>
      </x:c>
      <x:c r="D1036" s="12" t="n">
        <x:v>-0.27116556958104765</x:v>
      </x:c>
      <x:c r="E1036" s="12" t="n">
        <x:v>-0.39575419348490953</x:v>
      </x:c>
    </x:row>
    <x:row r="1037" ht="18" customHeight="1">
      <x:c r="A1037" s="13" t="n">
        <x:v>44146</x:v>
      </x:c>
      <x:c r="B1037" s="12" t="n">
        <x:v>0</x:v>
      </x:c>
      <x:c r="C1037" s="12" t="n">
        <x:v>-0.009935901648628813</x:v>
      </x:c>
      <x:c r="D1037" s="12" t="n">
        <x:v>-0.2691373975901928</x:v>
      </x:c>
      <x:c r="E1037" s="12" t="n">
        <x:v>-0.39529891939853806</x:v>
      </x:c>
    </x:row>
    <x:row r="1038" ht="18" customHeight="1">
      <x:c r="A1038" s="13" t="n">
        <x:v>44147</x:v>
      </x:c>
      <x:c r="B1038" s="12" t="n">
        <x:v>25</x:v>
      </x:c>
      <x:c r="C1038" s="12" t="n">
        <x:v>0.0007265400957911837</x:v>
      </x:c>
      <x:c r="D1038" s="12" t="n">
        <x:v>-0.2593742719288649</x:v>
      </x:c>
      <x:c r="E1038" s="12" t="n">
        <x:v>-0.39395153279073825</x:v>
      </x:c>
    </x:row>
    <x:row r="1039" ht="18" customHeight="1">
      <x:c r="A1039" s="13" t="n">
        <x:v>44148</x:v>
      </x:c>
      <x:c r="B1039" s="12" t="n">
        <x:v>1</x:v>
      </x:c>
      <x:c r="C1039" s="12" t="n">
        <x:v>-0.010570510889047147</x:v>
      </x:c>
      <x:c r="D1039" s="12" t="n">
        <x:v>-0.26042761159835426</x:v>
      </x:c>
      <x:c r="E1039" s="12" t="n">
        <x:v>-0.39335498095959653</x:v>
      </x:c>
    </x:row>
    <x:row r="1040" ht="18" customHeight="1">
      <x:c r="A1040" s="13" t="n">
        <x:v>44151</x:v>
      </x:c>
      <x:c r="B1040" s="12" t="n">
        <x:v>-13</x:v>
      </x:c>
      <x:c r="C1040" s="12" t="n">
        <x:v>0.009695842576503763</x:v>
      </x:c>
      <x:c r="D1040" s="12" t="n">
        <x:v>-0.2802836648306849</x:v>
      </x:c>
      <x:c r="E1040" s="12" t="n">
        <x:v>-0.39436063516112974</x:v>
      </x:c>
    </x:row>
    <x:row r="1041" ht="18" customHeight="1">
      <x:c r="A1041" s="13" t="n">
        <x:v>44152</x:v>
      </x:c>
      <x:c r="B1041" s="12" t="n">
        <x:v>-1.9999999999999432</x:v>
      </x:c>
      <x:c r="C1041" s="12" t="n">
        <x:v>-0.0019156329179655564</x:v>
      </x:c>
      <x:c r="D1041" s="12" t="n">
        <x:v>-0.27413456129785296</x:v>
      </x:c>
      <x:c r="E1041" s="12" t="n">
        <x:v>-0.3937749483112963</x:v>
      </x:c>
    </x:row>
    <x:row r="1042" ht="18" customHeight="1">
      <x:c r="A1042" s="13" t="n">
        <x:v>44153</x:v>
      </x:c>
      <x:c r="B1042" s="12" t="n">
        <x:v>-6.000000000000057</x:v>
      </x:c>
      <x:c r="C1042" s="12" t="n">
        <x:v>-0.0006364713837081073</x:v>
      </x:c>
      <x:c r="D1042" s="12" t="n">
        <x:v>-0.2706661997316628</x:v>
      </x:c>
      <x:c r="E1042" s="12" t="n">
        <x:v>-0.3936801110255017</x:v>
      </x:c>
    </x:row>
    <x:row r="1043" ht="18" customHeight="1">
      <x:c r="A1043" s="13" t="n">
        <x:v>44154</x:v>
      </x:c>
      <x:c r="B1043" s="12" t="n">
        <x:v>6.000000000000057</x:v>
      </x:c>
      <x:c r="C1043" s="12" t="n">
        <x:v>0.007396928814693623</x:v>
      </x:c>
      <x:c r="D1043" s="12" t="n">
        <x:v>-0.2879711065228771</x:v>
      </x:c>
      <x:c r="E1043" s="12" t="n">
        <x:v>-0.3926896888910225</x:v>
      </x:c>
    </x:row>
    <x:row r="1044" ht="18" customHeight="1">
      <x:c r="A1044" s="13" t="n">
        <x:v>44155</x:v>
      </x:c>
      <x:c r="B1044" s="12" t="n">
        <x:v>0.9999999999999432</x:v>
      </x:c>
      <x:c r="C1044" s="12" t="n">
        <x:v>0.003099722920323173</x:v>
      </x:c>
      <x:c r="D1044" s="12" t="n">
        <x:v>-0.3086827966693673</x:v>
      </x:c>
      <x:c r="E1044" s="12" t="n">
        <x:v>-0.39218702277908196</x:v>
      </x:c>
    </x:row>
    <x:row r="1045" ht="18" customHeight="1">
      <x:c r="A1045" s="13" t="n">
        <x:v>44158</x:v>
      </x:c>
      <x:c r="B1045" s="12" t="n">
        <x:v>-6</x:v>
      </x:c>
      <x:c r="C1045" s="12" t="n">
        <x:v>0.012412129999316287</x:v>
      </x:c>
      <x:c r="D1045" s="12" t="n">
        <x:v>-0.313873063076661</x:v>
      </x:c>
      <x:c r="E1045" s="12" t="n">
        <x:v>-0.39252169389445235</x:v>
      </x:c>
    </x:row>
    <x:row r="1046" ht="18" customHeight="1">
      <x:c r="A1046" s="13" t="n">
        <x:v>44159</x:v>
      </x:c>
      <x:c r="B1046" s="12" t="n">
        <x:v>-12.000000000000057</x:v>
      </x:c>
      <x:c r="C1046" s="12" t="n">
        <x:v>-0.006161125091724083</x:v>
      </x:c>
      <x:c r="D1046" s="12" t="n">
        <x:v>-0.30602195748056504</x:v>
      </x:c>
      <x:c r="E1046" s="12" t="n">
        <x:v>-0.3907083138680136</x:v>
      </x:c>
    </x:row>
    <x:row r="1047" ht="18" customHeight="1">
      <x:c r="A1047" s="13" t="n">
        <x:v>44160</x:v>
      </x:c>
      <x:c r="B1047" s="12" t="n">
        <x:v>2.000000000000057</x:v>
      </x:c>
      <x:c r="C1047" s="12" t="n">
        <x:v>-0.012865244369756808</x:v>
      </x:c>
      <x:c r="D1047" s="12" t="n">
        <x:v>-0.30435833284971975</x:v>
      </x:c>
      <x:c r="E1047" s="12" t="n">
        <x:v>-0.39030248530854905</x:v>
      </x:c>
    </x:row>
    <x:row r="1048" ht="18" customHeight="1">
      <x:c r="A1048" s="13" t="n">
        <x:v>44161</x:v>
      </x:c>
      <x:c r="B1048" s="12" t="n">
        <x:v>0</x:v>
      </x:c>
      <x:c r="C1048" s="12" t="n">
        <x:v>0.0018089397849228442</x:v>
      </x:c>
      <x:c r="D1048" s="12" t="n">
        <x:v>-0.30339128603403603</x:v>
      </x:c>
      <x:c r="E1048" s="12" t="n">
        <x:v>-0.39016124089807325</x:v>
      </x:c>
    </x:row>
    <x:row r="1049" ht="18" customHeight="1">
      <x:c r="A1049" s="13" t="n">
        <x:v>44162</x:v>
      </x:c>
      <x:c r="B1049" s="12" t="n">
        <x:v>1.9999999999999432</x:v>
      </x:c>
      <x:c r="C1049" s="12" t="n">
        <x:v>0.012358056075695761</x:v>
      </x:c>
      <x:c r="D1049" s="12" t="n">
        <x:v>-0.2912711723789881</x:v>
      </x:c>
      <x:c r="E1049" s="12" t="n">
        <x:v>-0.3910324696116506</x:v>
      </x:c>
    </x:row>
    <x:row r="1050" ht="18" customHeight="1">
      <x:c r="A1050" s="13" t="n">
        <x:v>44165</x:v>
      </x:c>
      <x:c r="B1050" s="12" t="n">
        <x:v>-1.9999999999999432</x:v>
      </x:c>
      <x:c r="C1050" s="12" t="n">
        <x:v>-0.0041269679593215775</x:v>
      </x:c>
      <x:c r="D1050" s="12" t="n">
        <x:v>-0.2907815940030165</x:v>
      </x:c>
      <x:c r="E1050" s="12" t="n">
        <x:v>-0.3907665784763298</x:v>
      </x:c>
    </x:row>
    <x:row r="1051" ht="18" customHeight="1">
      <x:c r="A1051" s="13" t="n">
        <x:v>44166</x:v>
      </x:c>
      <x:c r="B1051" s="12" t="n">
        <x:v>-12</x:v>
      </x:c>
      <x:c r="C1051" s="12" t="n">
        <x:v>0.02131180060748671</x:v>
      </x:c>
      <x:c r="D1051" s="12" t="n">
        <x:v>-0.3211109850747942</x:v>
      </x:c>
      <x:c r="E1051" s="12" t="n">
        <x:v>-0.3921282836657682</x:v>
      </x:c>
    </x:row>
    <x:row r="1052" ht="18" customHeight="1">
      <x:c r="A1052" s="13" t="n">
        <x:v>44167</x:v>
      </x:c>
      <x:c r="B1052" s="12" t="n">
        <x:v>-4</x:v>
      </x:c>
      <x:c r="C1052" s="12" t="n">
        <x:v>0.000009157072708887299</x:v>
      </x:c>
      <x:c r="D1052" s="12" t="n">
        <x:v>-0.31917439255092767</x:v>
      </x:c>
      <x:c r="E1052" s="12" t="n">
        <x:v>-0.392068653737639</x:v>
      </x:c>
    </x:row>
    <x:row r="1053" ht="18" customHeight="1">
      <x:c r="A1053" s="13" t="n">
        <x:v>44168</x:v>
      </x:c>
      <x:c r="B1053" s="12" t="n">
        <x:v>-7.000000000000057</x:v>
      </x:c>
      <x:c r="C1053" s="12" t="n">
        <x:v>-0.0019921373253678587</x:v>
      </x:c>
      <x:c r="D1053" s="12" t="n">
        <x:v>-0.33611847161739505</x:v>
      </x:c>
      <x:c r="E1053" s="12" t="n">
        <x:v>-0.3921739746617839</x:v>
      </x:c>
    </x:row>
    <x:row r="1054" ht="18" customHeight="1">
      <x:c r="A1054" s="13" t="n">
        <x:v>44169</x:v>
      </x:c>
      <x:c r="B1054" s="12" t="n">
        <x:v>-6.999999999999943</x:v>
      </x:c>
      <x:c r="C1054" s="12" t="n">
        <x:v>0.0017496834398110467</x:v>
      </x:c>
      <x:c r="D1054" s="12" t="n">
        <x:v>-0.3347978017915148</x:v>
      </x:c>
      <x:c r="E1054" s="12" t="n">
        <x:v>-0.39261799572746336</x:v>
      </x:c>
    </x:row>
    <x:row r="1055" ht="18" customHeight="1">
      <x:c r="A1055" s="13" t="n">
        <x:v>44172</x:v>
      </x:c>
      <x:c r="B1055" s="12" t="n">
        <x:v>0</x:v>
      </x:c>
      <x:c r="C1055" s="12" t="n">
        <x:v>-0.008659955874246816</x:v>
      </x:c>
      <x:c r="D1055" s="12" t="n">
        <x:v>-0.33216923728797804</x:v>
      </x:c>
      <x:c r="E1055" s="12" t="n">
        <x:v>-0.39293590814224966</x:v>
      </x:c>
    </x:row>
    <x:row r="1056" ht="18" customHeight="1">
      <x:c r="A1056" s="13" t="n">
        <x:v>44173</x:v>
      </x:c>
      <x:c r="B1056" s="12" t="n">
        <x:v>0</x:v>
      </x:c>
      <x:c r="C1056" s="12" t="n">
        <x:v>-0.0024633903917117748</x:v>
      </x:c>
      <x:c r="D1056" s="12" t="n">
        <x:v>-0.33257353773814835</x:v>
      </x:c>
      <x:c r="E1056" s="12" t="n">
        <x:v>-0.39254012859609744</x:v>
      </x:c>
    </x:row>
    <x:row r="1057" ht="18" customHeight="1">
      <x:c r="A1057" s="13" t="n">
        <x:v>44174</x:v>
      </x:c>
      <x:c r="B1057" s="12" t="n">
        <x:v>1</x:v>
      </x:c>
      <x:c r="C1057" s="12" t="n">
        <x:v>-0.013500225916820758</x:v>
      </x:c>
      <x:c r="D1057" s="12" t="n">
        <x:v>-0.3256840558314041</x:v>
      </x:c>
      <x:c r="E1057" s="12" t="n">
        <x:v>-0.3921181750135006</x:v>
      </x:c>
    </x:row>
    <x:row r="1058" ht="18" customHeight="1">
      <x:c r="A1058" s="13" t="n">
        <x:v>44175</x:v>
      </x:c>
      <x:c r="B1058" s="12" t="n">
        <x:v>4</x:v>
      </x:c>
      <x:c r="C1058" s="12" t="n">
        <x:v>-0.00043987673354727903</x:v>
      </x:c>
      <x:c r="D1058" s="12" t="n">
        <x:v>-0.3163519828826846</x:v>
      </x:c>
      <x:c r="E1058" s="12" t="n">
        <x:v>-0.3932829153916687</x:v>
      </x:c>
    </x:row>
    <x:row r="1059" ht="18" customHeight="1">
      <x:c r="A1059" s="13" t="n">
        <x:v>44176</x:v>
      </x:c>
      <x:c r="B1059" s="12" t="n">
        <x:v>5</x:v>
      </x:c>
      <x:c r="C1059" s="12" t="n">
        <x:v>-0.010355108225073873</x:v>
      </x:c>
      <x:c r="D1059" s="12" t="n">
        <x:v>-0.3302470143049621</x:v>
      </x:c>
      <x:c r="E1059" s="12" t="n">
        <x:v>-0.3932658406490149</x:v>
      </x:c>
    </x:row>
    <x:row r="1060" ht="18" customHeight="1">
      <x:c r="A1060" s="13" t="n">
        <x:v>44179</x:v>
      </x:c>
      <x:c r="B1060" s="12" t="n">
        <x:v>-6</x:v>
      </x:c>
      <x:c r="C1060" s="12" t="n">
        <x:v>0.009202805813425094</x:v>
      </x:c>
      <x:c r="D1060" s="12" t="n">
        <x:v>-0.3463357887743301</x:v>
      </x:c>
      <x:c r="E1060" s="12" t="n">
        <x:v>-0.3935413099473968</x:v>
      </x:c>
    </x:row>
    <x:row r="1061" ht="18" customHeight="1">
      <x:c r="A1061" s="13" t="n">
        <x:v>44180</x:v>
      </x:c>
      <x:c r="B1061" s="12" t="n">
        <x:v>-1.0000000000000568</x:v>
      </x:c>
      <x:c r="C1061" s="12" t="n">
        <x:v>0.0020779091128788284</x:v>
      </x:c>
      <x:c r="D1061" s="12" t="n">
        <x:v>-0.392930437008682</x:v>
      </x:c>
      <x:c r="E1061" s="12" t="n">
        <x:v>-0.39413224197776</x:v>
      </x:c>
    </x:row>
    <x:row r="1062" ht="18" customHeight="1">
      <x:c r="A1062" s="13" t="n">
        <x:v>44181</x:v>
      </x:c>
      <x:c r="B1062" s="12" t="n">
        <x:v>0</x:v>
      </x:c>
      <x:c r="C1062" s="12" t="n">
        <x:v>0.0017712963973308576</x:v>
      </x:c>
      <x:c r="D1062" s="12" t="n">
        <x:v>-0.3926249688391814</x:v>
      </x:c>
      <x:c r="E1062" s="12" t="n">
        <x:v>-0.39425729913988117</x:v>
      </x:c>
    </x:row>
    <x:row r="1063" ht="18" customHeight="1">
      <x:c r="A1063" s="13" t="n">
        <x:v>44182</x:v>
      </x:c>
      <x:c r="B1063" s="12" t="n">
        <x:v>-0.9999999999999432</x:v>
      </x:c>
      <x:c r="C1063" s="12" t="n">
        <x:v>0.012759013031903096</x:v>
      </x:c>
      <x:c r="D1063" s="12" t="n">
        <x:v>-0.3992037812258594</x:v>
      </x:c>
      <x:c r="E1063" s="12" t="n">
        <x:v>-0.3938996934455953</x:v>
      </x:c>
    </x:row>
    <x:row r="1064" ht="18" customHeight="1">
      <x:c r="A1064" s="13" t="n">
        <x:v>44183</x:v>
      </x:c>
      <x:c r="B1064" s="12" t="n">
        <x:v>-2</x:v>
      </x:c>
      <x:c r="C1064" s="12" t="n">
        <x:v>-0.003496024332990864</x:v>
      </x:c>
      <x:c r="D1064" s="12" t="n">
        <x:v>-0.39751474821485083</x:v>
      </x:c>
      <x:c r="E1064" s="12" t="n">
        <x:v>-0.39434900879253976</x:v>
      </x:c>
    </x:row>
    <x:row r="1065" ht="18" customHeight="1">
      <x:c r="A1065" s="13" t="n">
        <x:v>44186</x:v>
      </x:c>
      <x:c r="B1065" s="12" t="n">
        <x:v>15</x:v>
      </x:c>
      <x:c r="C1065" s="12" t="n">
        <x:v>0.009330753183535155</x:v>
      </x:c>
      <x:c r="D1065" s="12" t="n">
        <x:v>-0.3686207931003536</x:v>
      </x:c>
      <x:c r="E1065" s="12" t="n">
        <x:v>-0.392529803495191</x:v>
      </x:c>
    </x:row>
    <x:row r="1066" ht="18" customHeight="1">
      <x:c r="A1066" s="13" t="n">
        <x:v>44187</x:v>
      </x:c>
      <x:c r="B1066" s="12" t="n">
        <x:v>-6</x:v>
      </x:c>
      <x:c r="C1066" s="12" t="n">
        <x:v>-0.016394709610962847</x:v>
      </x:c>
      <x:c r="D1066" s="12" t="n">
        <x:v>-0.35582648645022275</x:v>
      </x:c>
      <x:c r="E1066" s="12" t="n">
        <x:v>-0.38986051052707965</x:v>
      </x:c>
    </x:row>
    <x:row r="1067" ht="18" customHeight="1">
      <x:c r="A1067" s="13" t="n">
        <x:v>44188</x:v>
      </x:c>
      <x:c r="B1067" s="12" t="n">
        <x:v>-5</x:v>
      </x:c>
      <x:c r="C1067" s="12" t="n">
        <x:v>0.00849408252602842</x:v>
      </x:c>
      <x:c r="D1067" s="12" t="n">
        <x:v>-0.35342509529154964</x:v>
      </x:c>
      <x:c r="E1067" s="12" t="n">
        <x:v>-0.38969126414337296</x:v>
      </x:c>
    </x:row>
    <x:row r="1068" ht="18" customHeight="1">
      <x:c r="A1068" s="13" t="n">
        <x:v>44189</x:v>
      </x:c>
      <x:c r="B1068" s="12" t="n">
        <x:v>-2</x:v>
      </x:c>
      <x:c r="C1068" s="12" t="n">
        <x:v>-0.001420606082607069</x:v>
      </x:c>
      <x:c r="D1068" s="12" t="n">
        <x:v>-0.37611530888807493</x:v>
      </x:c>
      <x:c r="E1068" s="12" t="n">
        <x:v>-0.38966562888308426</x:v>
      </x:c>
    </x:row>
    <x:row r="1069" ht="18" customHeight="1">
      <x:c r="A1069" s="13" t="n">
        <x:v>44193</x:v>
      </x:c>
      <x:c r="B1069" s="12" t="n">
        <x:v>-16</x:v>
      </x:c>
      <x:c r="C1069" s="12" t="n">
        <x:v>0.004433027336315451</x:v>
      </x:c>
      <x:c r="D1069" s="12" t="n">
        <x:v>-0.35608739954108254</x:v>
      </x:c>
      <x:c r="E1069" s="12" t="n">
        <x:v>-0.3899135565242819</x:v>
      </x:c>
    </x:row>
    <x:row r="1070" ht="18" customHeight="1">
      <x:c r="A1070" s="13" t="n">
        <x:v>44194</x:v>
      </x:c>
      <x:c r="B1070" s="12" t="n">
        <x:v>-4</x:v>
      </x:c>
      <x:c r="C1070" s="12" t="n">
        <x:v>-0.004250101288915238</x:v>
      </x:c>
      <x:c r="D1070" s="12" t="n">
        <x:v>-0.3492094399899038</x:v>
      </x:c>
      <x:c r="E1070" s="12" t="n">
        <x:v>-0.3895024401628695</x:v>
      </x:c>
    </x:row>
    <x:row r="1071" ht="18" customHeight="1">
      <x:c r="A1071" s="13" t="n">
        <x:v>44195</x:v>
      </x:c>
      <x:c r="B1071" s="12" t="n">
        <x:v>2</x:v>
      </x:c>
      <x:c r="C1071" s="12" t="n">
        <x:v>0.013936793973684268</x:v>
      </x:c>
      <x:c r="D1071" s="12" t="n">
        <x:v>-0.3382571770159362</x:v>
      </x:c>
      <x:c r="E1071" s="12" t="n">
        <x:v>-0.3895968633783298</x:v>
      </x:c>
    </x:row>
    <x:row r="1072" ht="18" customHeight="1">
      <x:c r="A1072" s="13" t="n">
        <x:v>44196</x:v>
      </x:c>
      <x:c r="B1072" s="12" t="n">
        <x:v>-1</x:v>
      </x:c>
      <x:c r="C1072" s="12" t="n">
        <x:v>0.018901872089531136</x:v>
      </x:c>
      <x:c r="D1072" s="12" t="n">
        <x:v>-0.2842056559045635</x:v>
      </x:c>
      <x:c r="E1072" s="12" t="n">
        <x:v>-0.39018292487556167</x:v>
      </x:c>
    </x:row>
    <x:row r="1073" ht="18" customHeight="1">
      <x:c r="A1073" s="13" t="n">
        <x:v>44200</x:v>
      </x:c>
      <x:c r="B1073" s="12" t="n">
        <x:v>7</x:v>
      </x:c>
      <x:c r="C1073" s="12" t="n">
        <x:v>0.010770132631680113</x:v>
      </x:c>
      <x:c r="D1073" s="12" t="n">
        <x:v>-0.26786732133343305</x:v>
      </x:c>
      <x:c r="E1073" s="12" t="n">
        <x:v>-0.388599280549296</x:v>
      </x:c>
    </x:row>
    <x:row r="1074" ht="18" customHeight="1">
      <x:c r="A1074" s="13" t="n">
        <x:v>44201</x:v>
      </x:c>
      <x:c r="B1074" s="12" t="n">
        <x:v>-1</x:v>
      </x:c>
      <x:c r="C1074" s="12" t="n">
        <x:v>0.018952181943255562</x:v>
      </x:c>
      <x:c r="D1074" s="12" t="n">
        <x:v>-0.26029250070764054</x:v>
      </x:c>
      <x:c r="E1074" s="12" t="n">
        <x:v>-0.38759209873616174</x:v>
      </x:c>
    </x:row>
    <x:row r="1075" ht="18" customHeight="1">
      <x:c r="A1075" s="13" t="n">
        <x:v>44202</x:v>
      </x:c>
      <x:c r="B1075" s="12" t="n">
        <x:v>-12</x:v>
      </x:c>
      <x:c r="C1075" s="12" t="n">
        <x:v>0.00911595656361716</x:v>
      </x:c>
      <x:c r="D1075" s="12" t="n">
        <x:v>-0.26771214275774063</x:v>
      </x:c>
      <x:c r="E1075" s="12" t="n">
        <x:v>-0.38883268814628935</x:v>
      </x:c>
    </x:row>
    <x:row r="1076" ht="18" customHeight="1">
      <x:c r="A1076" s="13" t="n">
        <x:v>44203</x:v>
      </x:c>
      <x:c r="B1076" s="12" t="n">
        <x:v>-2</x:v>
      </x:c>
      <x:c r="C1076" s="12" t="n">
        <x:v>0.01756265991066838</x:v>
      </x:c>
      <x:c r="D1076" s="12" t="n">
        <x:v>-0.26783104325574564</x:v>
      </x:c>
      <x:c r="E1076" s="12" t="n">
        <x:v>-0.3882174259765863</x:v>
      </x:c>
    </x:row>
    <x:row r="1077" ht="18" customHeight="1">
      <x:c r="A1077" s="13" t="n">
        <x:v>44204</x:v>
      </x:c>
      <x:c r="B1077" s="12" t="n">
        <x:v>-2</x:v>
      </x:c>
      <x:c r="C1077" s="12" t="n">
        <x:v>-0.0033111221647590546</x:v>
      </x:c>
      <x:c r="D1077" s="12" t="n">
        <x:v>-0.2657466550069408</x:v>
      </x:c>
      <x:c r="E1077" s="12" t="n">
        <x:v>-0.3881123797056417</x:v>
      </x:c>
    </x:row>
    <x:row r="1078" ht="18" customHeight="1">
      <x:c r="A1078" s="13" t="n">
        <x:v>44207</x:v>
      </x:c>
      <x:c r="B1078" s="12" t="n">
        <x:v>6</x:v>
      </x:c>
      <x:c r="C1078" s="12" t="n">
        <x:v>-0.009924985935710723</x:v>
      </x:c>
      <x:c r="D1078" s="12" t="n">
        <x:v>-0.3036772082414824</x:v>
      </x:c>
      <x:c r="E1078" s="12" t="n">
        <x:v>-0.3893777304587603</x:v>
      </x:c>
    </x:row>
    <x:row r="1079" ht="18" customHeight="1">
      <x:c r="A1079" s="13" t="n">
        <x:v>44208</x:v>
      </x:c>
      <x:c r="B1079" s="12" t="n">
        <x:v>3</x:v>
      </x:c>
      <x:c r="C1079" s="12" t="n">
        <x:v>0.02812308524467504</x:v>
      </x:c>
      <x:c r="D1079" s="12" t="n">
        <x:v>-0.26608659413961155</x:v>
      </x:c>
      <x:c r="E1079" s="12" t="n">
        <x:v>-0.3858229171978681</x:v>
      </x:c>
    </x:row>
    <x:row r="1080" ht="18" customHeight="1">
      <x:c r="A1080" s="13" t="n">
        <x:v>44209</x:v>
      </x:c>
      <x:c r="B1080" s="12" t="n">
        <x:v>-3</x:v>
      </x:c>
      <x:c r="C1080" s="12" t="n">
        <x:v>-0.00328993811841089</x:v>
      </x:c>
      <x:c r="D1080" s="12" t="n">
        <x:v>-0.26242806265652113</x:v>
      </x:c>
      <x:c r="E1080" s="12" t="n">
        <x:v>-0.38572669871637066</x:v>
      </x:c>
    </x:row>
    <x:row r="1081" ht="18" customHeight="1">
      <x:c r="A1081" s="13" t="n">
        <x:v>44210</x:v>
      </x:c>
      <x:c r="B1081" s="12" t="n">
        <x:v>-9</x:v>
      </x:c>
      <x:c r="C1081" s="12" t="n">
        <x:v>-0.01946307652147776</x:v>
      </x:c>
      <x:c r="D1081" s="12" t="n">
        <x:v>-0.22505042223450009</x:v>
      </x:c>
      <x:c r="E1081" s="12" t="n">
        <x:v>-0.3814771511143721</x:v>
      </x:c>
    </x:row>
    <x:row r="1082" ht="18" customHeight="1">
      <x:c r="A1082" s="13" t="n">
        <x:v>44211</x:v>
      </x:c>
      <x:c r="B1082" s="12" t="n">
        <x:v>1</x:v>
      </x:c>
      <x:c r="C1082" s="12" t="n">
        <x:v>-0.0022647321820208678</x:v>
      </x:c>
      <x:c r="D1082" s="12" t="n">
        <x:v>-0.22967417540949994</x:v>
      </x:c>
      <x:c r="E1082" s="12" t="n">
        <x:v>-0.38285917121380536</x:v>
      </x:c>
    </x:row>
    <x:row r="1083" ht="18" customHeight="1">
      <x:c r="A1083" s="13" t="n">
        <x:v>44214</x:v>
      </x:c>
      <x:c r="B1083" s="12" t="n">
        <x:v>-1</x:v>
      </x:c>
      <x:c r="C1083" s="12" t="n">
        <x:v>0.011012499581574684</x:v>
      </x:c>
      <x:c r="D1083" s="12" t="n">
        <x:v>-0.23002489339143561</x:v>
      </x:c>
      <x:c r="E1083" s="12" t="n">
        <x:v>-0.38266294196289247</x:v>
      </x:c>
    </x:row>
    <x:row r="1084" ht="18" customHeight="1">
      <x:c r="A1084" s="13" t="n">
        <x:v>44215</x:v>
      </x:c>
      <x:c r="B1084" s="12" t="n">
        <x:v>-2</x:v>
      </x:c>
      <x:c r="C1084" s="12" t="n">
        <x:v>-0.014786099147649704</x:v>
      </x:c>
      <x:c r="D1084" s="12" t="n">
        <x:v>-0.2266141876627926</x:v>
      </x:c>
      <x:c r="E1084" s="12" t="n">
        <x:v>-0.381222288918362</x:v>
      </x:c>
    </x:row>
    <x:row r="1085" ht="18" customHeight="1">
      <x:c r="A1085" s="13" t="n">
        <x:v>44216</x:v>
      </x:c>
      <x:c r="B1085" s="12" t="n">
        <x:v>-4</x:v>
      </x:c>
      <x:c r="C1085" s="12" t="n">
        <x:v>0.007130386322251297</x:v>
      </x:c>
      <x:c r="D1085" s="12" t="n">
        <x:v>-0.22690517925529793</x:v>
      </x:c>
      <x:c r="E1085" s="12" t="n">
        <x:v>-0.38127201362633933</x:v>
      </x:c>
    </x:row>
    <x:row r="1086" ht="18" customHeight="1">
      <x:c r="A1086" s="13" t="n">
        <x:v>44217</x:v>
      </x:c>
      <x:c r="B1086" s="12" t="n">
        <x:v>-2</x:v>
      </x:c>
      <x:c r="C1086" s="12" t="n">
        <x:v>0.016037381914478555</x:v>
      </x:c>
      <x:c r="D1086" s="12" t="n">
        <x:v>-0.22475679757832187</x:v>
      </x:c>
      <x:c r="E1086" s="12" t="n">
        <x:v>-0.381240594887488</x:v>
      </x:c>
    </x:row>
    <x:row r="1087" ht="18" customHeight="1">
      <x:c r="A1087" s="13" t="n">
        <x:v>44218</x:v>
      </x:c>
      <x:c r="B1087" s="12" t="n">
        <x:v>10</x:v>
      </x:c>
      <x:c r="C1087" s="12" t="n">
        <x:v>0.0008633696001252266</x:v>
      </x:c>
      <x:c r="D1087" s="12" t="n">
        <x:v>-0.22659323020969227</x:v>
      </x:c>
      <x:c r="E1087" s="12" t="n">
        <x:v>-0.3810159296040149</x:v>
      </x:c>
    </x:row>
    <x:row r="1088" ht="18" customHeight="1">
      <x:c r="A1088" s="13" t="n">
        <x:v>44221</x:v>
      </x:c>
      <x:c r="B1088" s="12" t="n">
        <x:v>0</x:v>
      </x:c>
      <x:c r="C1088" s="12" t="n">
        <x:v>0.010030221377311308</x:v>
      </x:c>
      <x:c r="D1088" s="12" t="n">
        <x:v>-0.20722829580127883</x:v>
      </x:c>
      <x:c r="E1088" s="12" t="n">
        <x:v>-0.3820572186291321</x:v>
      </x:c>
    </x:row>
    <x:row r="1089" ht="18" customHeight="1">
      <x:c r="A1089" s="13" t="n">
        <x:v>44222</x:v>
      </x:c>
      <x:c r="B1089" s="12" t="n">
        <x:v>-1</x:v>
      </x:c>
      <x:c r="C1089" s="12" t="n">
        <x:v>-0.020281960217564652</x:v>
      </x:c>
      <x:c r="D1089" s="12" t="n">
        <x:v>-0.2032449832180454</x:v>
      </x:c>
      <x:c r="E1089" s="12" t="n">
        <x:v>-0.38037854916456404</x:v>
      </x:c>
    </x:row>
    <x:row r="1090" ht="18" customHeight="1">
      <x:c r="A1090" s="13" t="n">
        <x:v>44223</x:v>
      </x:c>
      <x:c r="B1090" s="12" t="n">
        <x:v>11</x:v>
      </x:c>
      <x:c r="C1090" s="12" t="n">
        <x:v>0.0027236026654103474</x:v>
      </x:c>
      <x:c r="D1090" s="12" t="n">
        <x:v>-0.23235960551392773</x:v>
      </x:c>
      <x:c r="E1090" s="12" t="n">
        <x:v>-0.3799707853358767</x:v>
      </x:c>
    </x:row>
    <x:row r="1091" ht="18" customHeight="1">
      <x:c r="A1091" s="13" t="n">
        <x:v>44224</x:v>
      </x:c>
      <x:c r="B1091" s="12" t="n">
        <x:v>-9</x:v>
      </x:c>
      <x:c r="C1091" s="12" t="n">
        <x:v>-0.027669565078195076</x:v>
      </x:c>
      <x:c r="D1091" s="12" t="n">
        <x:v>-0.1899687585041149</x:v>
      </x:c>
      <x:c r="E1091" s="12" t="n">
        <x:v>-0.3737494497840221</x:v>
      </x:c>
    </x:row>
    <x:row r="1092" ht="18" customHeight="1">
      <x:c r="A1092" s="13" t="n">
        <x:v>44225</x:v>
      </x:c>
      <x:c r="B1092" s="12" t="n">
        <x:v>3</x:v>
      </x:c>
      <x:c r="C1092" s="12" t="n">
        <x:v>-0.004693427983358953</x:v>
      </x:c>
      <x:c r="D1092" s="12" t="n">
        <x:v>-0.19180368199891068</x:v>
      </x:c>
      <x:c r="E1092" s="12" t="n">
        <x:v>-0.3740909368597123</x:v>
      </x:c>
    </x:row>
    <x:row r="1093" ht="18" customHeight="1">
      <x:c r="A1093" s="13" t="n">
        <x:v>44228</x:v>
      </x:c>
      <x:c r="B1093" s="12" t="n">
        <x:v>-1</x:v>
      </x:c>
      <x:c r="C1093" s="12" t="n">
        <x:v>0.012198138307740969</x:v>
      </x:c>
      <x:c r="D1093" s="12" t="n">
        <x:v>-0.18666611991575988</x:v>
      </x:c>
      <x:c r="E1093" s="12" t="n">
        <x:v>-0.37407168632937765</x:v>
      </x:c>
    </x:row>
    <x:row r="1094" ht="18" customHeight="1">
      <x:c r="A1094" s="13" t="n">
        <x:v>44229</x:v>
      </x:c>
      <x:c r="B1094" s="12" t="n">
        <x:v>-8</x:v>
      </x:c>
      <x:c r="C1094" s="12" t="n">
        <x:v>0.015284680332363739</x:v>
      </x:c>
      <x:c r="D1094" s="12" t="n">
        <x:v>-0.17749118681846282</x:v>
      </x:c>
      <x:c r="E1094" s="12" t="n">
        <x:v>-0.37500951406735983</x:v>
      </x:c>
    </x:row>
    <x:row r="1095" ht="18" customHeight="1">
      <x:c r="A1095" s="13" t="n">
        <x:v>44230</x:v>
      </x:c>
      <x:c r="B1095" s="12" t="n">
        <x:v>-7</x:v>
      </x:c>
      <x:c r="C1095" s="12" t="n">
        <x:v>-0.0028928251038237156</x:v>
      </x:c>
      <x:c r="D1095" s="12" t="n">
        <x:v>-0.16225166342078495</x:v>
      </x:c>
      <x:c r="E1095" s="12" t="n">
        <x:v>-0.3745054782782075</x:v>
      </x:c>
    </x:row>
    <x:row r="1096" ht="18" customHeight="1">
      <x:c r="A1096" s="13" t="n">
        <x:v>44231</x:v>
      </x:c>
      <x:c r="B1096" s="12" t="n">
        <x:v>-4</x:v>
      </x:c>
      <x:c r="C1096" s="12" t="n">
        <x:v>-0.0020536822109012143</x:v>
      </x:c>
      <x:c r="D1096" s="12" t="n">
        <x:v>-0.12958974732466672</x:v>
      </x:c>
      <x:c r="E1096" s="12" t="n">
        <x:v>-0.3743264965650349</x:v>
      </x:c>
    </x:row>
    <x:row r="1097" ht="18" customHeight="1">
      <x:c r="A1097" s="13" t="n">
        <x:v>44232</x:v>
      </x:c>
      <x:c r="B1097" s="12" t="n">
        <x:v>-6</x:v>
      </x:c>
      <x:c r="C1097" s="12" t="n">
        <x:v>0.0017278799016058849</x:v>
      </x:c>
      <x:c r="D1097" s="12" t="n">
        <x:v>-0.12817559881755727</x:v>
      </x:c>
      <x:c r="E1097" s="12" t="n">
        <x:v>-0.37350406653091806</x:v>
      </x:c>
    </x:row>
    <x:row r="1098" ht="18" customHeight="1">
      <x:c r="A1098" s="13" t="n">
        <x:v>44235</x:v>
      </x:c>
      <x:c r="B1098" s="12" t="n">
        <x:v>-4</x:v>
      </x:c>
      <x:c r="C1098" s="12" t="n">
        <x:v>0.014690339807556038</x:v>
      </x:c>
      <x:c r="D1098" s="12" t="n">
        <x:v>-0.01022394845545792</x:v>
      </x:c>
      <x:c r="E1098" s="12" t="n">
        <x:v>-0.37366660704628646</x:v>
      </x:c>
    </x:row>
    <x:row r="1099" ht="18" customHeight="1">
      <x:c r="A1099" s="13" t="n">
        <x:v>44236</x:v>
      </x:c>
      <x:c r="B1099" s="12" t="n">
        <x:v>-3</x:v>
      </x:c>
      <x:c r="C1099" s="12" t="n">
        <x:v>0.021632775585823095</x:v>
      </x:c>
      <x:c r="D1099" s="12" t="n">
        <x:v>0.008167578311026982</x:v>
      </x:c>
      <x:c r="E1099" s="12" t="n">
        <x:v>-0.3730657111131306</x:v>
      </x:c>
    </x:row>
    <x:row r="1100" ht="18" customHeight="1">
      <x:c r="A1100" s="13" t="n">
        <x:v>44237</x:v>
      </x:c>
      <x:c r="B1100" s="12" t="n">
        <x:v>0</x:v>
      </x:c>
      <x:c r="C1100" s="12" t="n">
        <x:v>0.021136896953192888</x:v>
      </x:c>
      <x:c r="D1100" s="12" t="n">
        <x:v>0.017612909350214204</x:v>
      </x:c>
      <x:c r="E1100" s="12" t="n">
        <x:v>-0.40576992610777424</x:v>
      </x:c>
    </x:row>
    <x:row r="1101" ht="18" customHeight="1">
      <x:c r="A1101" s="13" t="n">
        <x:v>44245</x:v>
      </x:c>
      <x:c r="B1101" s="12" t="n">
        <x:v>2</x:v>
      </x:c>
      <x:c r="C1101" s="12" t="n">
        <x:v>-0.006796390791577607</x:v>
      </x:c>
      <x:c r="D1101" s="12" t="n">
        <x:v>0.023585734163876205</x:v>
      </x:c>
      <x:c r="E1101" s="12" t="n">
        <x:v>-0.4044491351304736</x:v>
      </x:c>
    </x:row>
    <x:row r="1102" ht="18" customHeight="1">
      <x:c r="A1102" s="13" t="n">
        <x:v>44246</x:v>
      </x:c>
      <x:c r="B1102" s="12" t="n">
        <x:v>-5</x:v>
      </x:c>
      <x:c r="C1102" s="12" t="n">
        <x:v>0.0018117953553229548</x:v>
      </x:c>
      <x:c r="D1102" s="12" t="n">
        <x:v>0.03366523709707167</x:v>
      </x:c>
      <x:c r="E1102" s="12" t="n">
        <x:v>-0.4036488646761222</x:v>
      </x:c>
    </x:row>
    <x:row r="1103" ht="18" customHeight="1">
      <x:c r="A1103" s="13" t="n">
        <x:v>44249</x:v>
      </x:c>
      <x:c r="B1103" s="12" t="n">
        <x:v>3</x:v>
      </x:c>
      <x:c r="C1103" s="12" t="n">
        <x:v>-0.031913135890482676</x:v>
      </x:c>
      <x:c r="D1103" s="12" t="n">
        <x:v>0.013205075310642888</x:v>
      </x:c>
      <x:c r="E1103" s="12" t="n">
        <x:v>-0.40021779062441365</x:v>
      </x:c>
    </x:row>
    <x:row r="1104" ht="18" customHeight="1">
      <x:c r="A1104" s="13" t="n">
        <x:v>44250</x:v>
      </x:c>
      <x:c r="B1104" s="12" t="n">
        <x:v>3</x:v>
      </x:c>
      <x:c r="C1104" s="12" t="n">
        <x:v>-0.00316088636363837</x:v>
      </x:c>
      <x:c r="D1104" s="12" t="n">
        <x:v>0.007170171721292174</x:v>
      </x:c>
      <x:c r="E1104" s="12" t="n">
        <x:v>-0.40025310835863986</x:v>
      </x:c>
    </x:row>
    <x:row r="1105" ht="18" customHeight="1">
      <x:c r="A1105" s="13" t="n">
        <x:v>44251</x:v>
      </x:c>
      <x:c r="B1105" s="12" t="n">
        <x:v>-5</x:v>
      </x:c>
      <x:c r="C1105" s="12" t="n">
        <x:v>-0.025797337082003765</x:v>
      </x:c>
      <x:c r="D1105" s="12" t="n">
        <x:v>0.026125209435690386</x:v>
      </x:c>
      <x:c r="E1105" s="12" t="n">
        <x:v>-0.39520958472652384</x:v>
      </x:c>
    </x:row>
    <x:row r="1106" ht="18" customHeight="1">
      <x:c r="A1106" s="13" t="n">
        <x:v>44252</x:v>
      </x:c>
      <x:c r="B1106" s="12" t="n">
        <x:v>0</x:v>
      </x:c>
      <x:c r="C1106" s="12" t="n">
        <x:v>0.0058659246580651195</x:v>
      </x:c>
      <x:c r="D1106" s="12" t="n">
        <x:v>0.017795927037898836</x:v>
      </x:c>
      <x:c r="E1106" s="12" t="n">
        <x:v>-0.39446461583859926</x:v>
      </x:c>
    </x:row>
    <x:row r="1107" ht="18" customHeight="1">
      <x:c r="A1107" s="13" t="n">
        <x:v>44253</x:v>
      </x:c>
      <x:c r="B1107" s="12" t="n">
        <x:v>10</x:v>
      </x:c>
      <x:c r="C1107" s="12" t="n">
        <x:v>-0.024578986014973294</x:v>
      </x:c>
      <x:c r="D1107" s="12" t="n">
        <x:v>-0.049488055495501934</x:v>
      </x:c>
      <x:c r="E1107" s="12" t="n">
        <x:v>-0.3947104847901386</x:v>
      </x:c>
    </x:row>
    <x:row r="1108" ht="18" customHeight="1">
      <x:c r="A1108" s="13" t="n">
        <x:v>44256</x:v>
      </x:c>
      <x:c r="B1108" s="12" t="n">
        <x:v>-3</x:v>
      </x:c>
      <x:c r="C1108" s="12" t="n">
        <x:v>0.015252484775311331</x:v>
      </x:c>
      <x:c r="D1108" s="12" t="n">
        <x:v>-0.043100127363159414</x:v>
      </x:c>
      <x:c r="E1108" s="12" t="n">
        <x:v>-0.3949475014748719</x:v>
      </x:c>
    </x:row>
    <x:row r="1109" ht="18" customHeight="1">
      <x:c r="A1109" s="13" t="n">
        <x:v>44257</x:v>
      </x:c>
      <x:c r="B1109" s="12" t="n">
        <x:v>-1</x:v>
      </x:c>
      <x:c r="C1109" s="12" t="n">
        <x:v>-0.012843962343151796</x:v>
      </x:c>
      <x:c r="D1109" s="12" t="n">
        <x:v>-0.06237092365322994</x:v>
      </x:c>
      <x:c r="E1109" s="12" t="n">
        <x:v>-0.3939572013750112</x:v>
      </x:c>
    </x:row>
    <x:row r="1110" ht="18" customHeight="1">
      <x:c r="A1110" s="13" t="n">
        <x:v>44258</x:v>
      </x:c>
      <x:c r="B1110" s="12" t="n">
        <x:v>-2</x:v>
      </x:c>
      <x:c r="C1110" s="12" t="n">
        <x:v>0.01899407126639186</x:v>
      </x:c>
      <x:c r="D1110" s="12" t="n">
        <x:v>-0.05448785205148789</x:v>
      </x:c>
      <x:c r="E1110" s="12" t="n">
        <x:v>-0.3949440712558456</x:v>
      </x:c>
    </x:row>
    <x:row r="1111" ht="18" customHeight="1">
      <x:c r="A1111" s="13" t="n">
        <x:v>44259</x:v>
      </x:c>
      <x:c r="B1111" s="12" t="n">
        <x:v>3</x:v>
      </x:c>
      <x:c r="C1111" s="12" t="n">
        <x:v>-0.03196172657010949</x:v>
      </x:c>
      <x:c r="D1111" s="12" t="n">
        <x:v>-0.08212836495570502</x:v>
      </x:c>
      <x:c r="E1111" s="12" t="n">
        <x:v>-0.39158581281126736</x:v>
      </x:c>
    </x:row>
    <x:row r="1112" ht="18" customHeight="1">
      <x:c r="A1112" s="13" t="n">
        <x:v>44260</x:v>
      </x:c>
      <x:c r="B1112" s="12" t="n">
        <x:v>6</x:v>
      </x:c>
      <x:c r="C1112" s="12" t="n">
        <x:v>-0.003397356572028898</x:v>
      </x:c>
      <x:c r="D1112" s="12" t="n">
        <x:v>-0.09596394297605605</x:v>
      </x:c>
      <x:c r="E1112" s="12" t="n">
        <x:v>-0.3919983847113822</x:v>
      </x:c>
    </x:row>
    <x:row r="1113" ht="18" customHeight="1">
      <x:c r="A1113" s="13" t="n">
        <x:v>44263</x:v>
      </x:c>
      <x:c r="B1113" s="12" t="n">
        <x:v>-3</x:v>
      </x:c>
      <x:c r="C1113" s="12" t="n">
        <x:v>-0.03534630235660933</x:v>
      </x:c>
      <x:c r="D1113" s="12" t="n">
        <x:v>-0.07937641417509429</x:v>
      </x:c>
      <x:c r="E1113" s="12" t="n">
        <x:v>-0.38858937038785607</x:v>
      </x:c>
    </x:row>
    <x:row r="1114" ht="18" customHeight="1">
      <x:c r="A1114" s="13" t="n">
        <x:v>44264</x:v>
      </x:c>
      <x:c r="B1114" s="12" t="n">
        <x:v>5</x:v>
      </x:c>
      <x:c r="C1114" s="12" t="n">
        <x:v>-0.02169519768588273</x:v>
      </x:c>
      <x:c r="D1114" s="12" t="n">
        <x:v>-0.060603346240627784</x:v>
      </x:c>
      <x:c r="E1114" s="12" t="n">
        <x:v>-0.3880993487929477</x:v>
      </x:c>
    </x:row>
    <x:row r="1115" ht="18" customHeight="1">
      <x:c r="A1115" s="13" t="n">
        <x:v>44265</x:v>
      </x:c>
      <x:c r="B1115" s="12" t="n">
        <x:v>1</x:v>
      </x:c>
      <x:c r="C1115" s="12" t="n">
        <x:v>0.006539165201911017</x:v>
      </x:c>
      <x:c r="D1115" s="12" t="n">
        <x:v>-0.05760536834030705</x:v>
      </x:c>
      <x:c r="E1115" s="12" t="n">
        <x:v>-0.38803480757576186</x:v>
      </x:c>
    </x:row>
    <x:row r="1116" ht="18" customHeight="1">
      <x:c r="A1116" s="13" t="n">
        <x:v>44266</x:v>
      </x:c>
      <x:c r="B1116" s="12" t="n">
        <x:v>-11</x:v>
      </x:c>
      <x:c r="C1116" s="12" t="n">
        <x:v>0.02459769080192662</x:v>
      </x:c>
      <x:c r="D1116" s="12" t="n">
        <x:v>-0.10615103282705861</x:v>
      </x:c>
      <x:c r="E1116" s="12" t="n">
        <x:v>-0.3889959267269917</x:v>
      </x:c>
    </x:row>
    <x:row r="1117" ht="18" customHeight="1">
      <x:c r="A1117" s="13" t="n">
        <x:v>44267</x:v>
      </x:c>
      <x:c r="B1117" s="12" t="n">
        <x:v>3</x:v>
      </x:c>
      <x:c r="C1117" s="12" t="n">
        <x:v>0.003535520443161178</x:v>
      </x:c>
      <x:c r="D1117" s="12" t="n">
        <x:v>-0.10214754281967788</x:v>
      </x:c>
      <x:c r="E1117" s="12" t="n">
        <x:v>-0.38805005895330136</x:v>
      </x:c>
    </x:row>
    <x:row r="1118" ht="18" customHeight="1">
      <x:c r="A1118" s="13" t="n">
        <x:v>44270</x:v>
      </x:c>
      <x:c r="B1118" s="12" t="n">
        <x:v>0</x:v>
      </x:c>
      <x:c r="C1118" s="12" t="n">
        <x:v>-0.021771698972272314</x:v>
      </x:c>
      <x:c r="D1118" s="12" t="n">
        <x:v>-0.10276141849221855</x:v>
      </x:c>
      <x:c r="E1118" s="12" t="n">
        <x:v>-0.3893331715246896</x:v>
      </x:c>
    </x:row>
    <x:row r="1119" ht="18" customHeight="1">
      <x:c r="A1119" s="13" t="n">
        <x:v>44271</x:v>
      </x:c>
      <x:c r="B1119" s="12" t="n">
        <x:v>0</x:v>
      </x:c>
      <x:c r="C1119" s="12" t="n">
        <x:v>0.00866415801490597</x:v>
      </x:c>
      <x:c r="D1119" s="12" t="n">
        <x:v>-0.10077375489211518</x:v>
      </x:c>
      <x:c r="E1119" s="12" t="n">
        <x:v>-0.3762383034523361</x:v>
      </x:c>
    </x:row>
    <x:row r="1120" ht="18" customHeight="1">
      <x:c r="A1120" s="13" t="n">
        <x:v>44272</x:v>
      </x:c>
      <x:c r="B1120" s="12" t="n">
        <x:v>10</x:v>
      </x:c>
      <x:c r="C1120" s="12" t="n">
        <x:v>0.004223038576872044</x:v>
      </x:c>
      <x:c r="D1120" s="12" t="n">
        <x:v>-0.08587363258679438</x:v>
      </x:c>
      <x:c r="E1120" s="12" t="n">
        <x:v>-0.375671458652321</x:v>
      </x:c>
    </x:row>
    <x:row r="1121" ht="18" customHeight="1">
      <x:c r="A1121" s="13" t="n">
        <x:v>44273</x:v>
      </x:c>
      <x:c r="B1121" s="12" t="n">
        <x:v>1</x:v>
      </x:c>
      <x:c r="C1121" s="12" t="n">
        <x:v>0.007988228164529472</x:v>
      </x:c>
      <x:c r="D1121" s="12" t="n">
        <x:v>-0.08292708467383691</x:v>
      </x:c>
      <x:c r="E1121" s="12" t="n">
        <x:v>-0.37493393084376125</x:v>
      </x:c>
    </x:row>
    <x:row r="1122" ht="18" customHeight="1">
      <x:c r="A1122" s="13" t="n">
        <x:v>44274</x:v>
      </x:c>
      <x:c r="B1122" s="12" t="n">
        <x:v>1</x:v>
      </x:c>
      <x:c r="C1122" s="12" t="n">
        <x:v>-0.0265419608202576</x:v>
      </x:c>
      <x:c r="D1122" s="12" t="n">
        <x:v>-0.07909506617376845</x:v>
      </x:c>
      <x:c r="E1122" s="12" t="n">
        <x:v>-0.37221010050336195</x:v>
      </x:c>
    </x:row>
    <x:row r="1123" ht="18" customHeight="1">
      <x:c r="A1123" s="13" t="n">
        <x:v>44277</x:v>
      </x:c>
      <x:c r="B1123" s="12" t="n">
        <x:v>-9</x:v>
      </x:c>
      <x:c r="C1123" s="12" t="n">
        <x:v>0.009948431169141384</x:v>
      </x:c>
      <x:c r="D1123" s="12" t="n">
        <x:v>-0.08434136231495547</x:v>
      </x:c>
      <x:c r="E1123" s="12" t="n">
        <x:v>-0.3850955722046172</x:v>
      </x:c>
    </x:row>
    <x:row r="1124" ht="18" customHeight="1">
      <x:c r="A1124" s="13" t="n">
        <x:v>44278</x:v>
      </x:c>
      <x:c r="B1124" s="12" t="n">
        <x:v>-1</x:v>
      </x:c>
      <x:c r="C1124" s="12" t="n">
        <x:v>-0.009518094186803952</x:v>
      </x:c>
      <x:c r="D1124" s="12" t="n">
        <x:v>-0.08371345359043086</x:v>
      </x:c>
      <x:c r="E1124" s="12" t="n">
        <x:v>-0.3780758058904963</x:v>
      </x:c>
    </x:row>
    <x:row r="1125" ht="18" customHeight="1">
      <x:c r="A1125" s="13" t="n">
        <x:v>44279</x:v>
      </x:c>
      <x:c r="B1125" s="12" t="n">
        <x:v>-6</x:v>
      </x:c>
      <x:c r="C1125" s="12" t="n">
        <x:v>-0.016213105742656164</x:v>
      </x:c>
      <x:c r="D1125" s="12" t="n">
        <x:v>-0.06774353965796628</x:v>
      </x:c>
      <x:c r="E1125" s="12" t="n">
        <x:v>-0.34678741702228466</x:v>
      </x:c>
    </x:row>
    <x:row r="1126" ht="18" customHeight="1">
      <x:c r="A1126" s="13" t="n">
        <x:v>44280</x:v>
      </x:c>
      <x:c r="B1126" s="12" t="n">
        <x:v>2</x:v>
      </x:c>
      <x:c r="C1126" s="12" t="n">
        <x:v>-0.00047455959482012024</x:v>
      </x:c>
      <x:c r="D1126" s="12" t="n">
        <x:v>-0.06782263230295464</x:v>
      </x:c>
      <x:c r="E1126" s="12" t="n">
        <x:v>-0.3409472547950015</x:v>
      </x:c>
    </x:row>
    <x:row r="1127" ht="18" customHeight="1">
      <x:c r="A1127" s="13" t="n">
        <x:v>44281</x:v>
      </x:c>
      <x:c r="B1127" s="12" t="n">
        <x:v>-5</x:v>
      </x:c>
      <x:c r="C1127" s="12" t="n">
        <x:v>0.022409453696508205</x:v>
      </x:c>
      <x:c r="D1127" s="12" t="n">
        <x:v>-0.08367398412581062</x:v>
      </x:c>
      <x:c r="E1127" s="12" t="n">
        <x:v>-0.33721806653637215</x:v>
      </x:c>
    </x:row>
    <x:row r="1128" ht="18" customHeight="1">
      <x:c r="A1128" s="13" t="n">
        <x:v>44284</x:v>
      </x:c>
      <x:c r="B1128" s="12" t="n">
        <x:v>-5</x:v>
      </x:c>
      <x:c r="C1128" s="12" t="n">
        <x:v>0.0017625224258213089</x:v>
      </x:c>
      <x:c r="D1128" s="12" t="n">
        <x:v>-0.11966526517754042</x:v>
      </x:c>
      <x:c r="E1128" s="12" t="n">
        <x:v>-0.3256858069297944</x:v>
      </x:c>
    </x:row>
    <x:row r="1129" ht="18" customHeight="1">
      <x:c r="A1129" s="13" t="n">
        <x:v>44285</x:v>
      </x:c>
      <x:c r="B1129" s="12" t="n">
        <x:v>1</x:v>
      </x:c>
      <x:c r="C1129" s="12" t="n">
        <x:v>0.00943679989640187</x:v>
      </x:c>
      <x:c r="D1129" s="12" t="n">
        <x:v>-0.1323726967847526</x:v>
      </x:c>
      <x:c r="E1129" s="12" t="n">
        <x:v>-0.3284174058062435</x:v>
      </x:c>
    </x:row>
    <x:row r="1130" ht="18" customHeight="1">
      <x:c r="A1130" s="13" t="n">
        <x:v>44286</x:v>
      </x:c>
      <x:c r="B1130" s="12" t="n">
        <x:v>-8</x:v>
      </x:c>
      <x:c r="C1130" s="12" t="n">
        <x:v>-0.009142918759438923</x:v>
      </x:c>
      <x:c r="D1130" s="12" t="n">
        <x:v>-0.11282155171995444</x:v>
      </x:c>
      <x:c r="E1130" s="12" t="n">
        <x:v>-0.274990445814111</x:v>
      </x:c>
    </x:row>
    <x:row r="1131" ht="18" customHeight="1">
      <x:c r="A1131" s="13" t="n">
        <x:v>44287</x:v>
      </x:c>
      <x:c r="B1131" s="12" t="n">
        <x:v>-3</x:v>
      </x:c>
      <x:c r="C1131" s="12" t="n">
        <x:v>0.012287831590583272</x:v>
      </x:c>
      <x:c r="D1131" s="12" t="n">
        <x:v>-0.11664755951047096</x:v>
      </x:c>
      <x:c r="E1131" s="12" t="n">
        <x:v>-0.2744982497397477</x:v>
      </x:c>
    </x:row>
    <x:row r="1132" ht="18" customHeight="1">
      <x:c r="A1132" s="13" t="n">
        <x:v>44292</x:v>
      </x:c>
      <x:c r="B1132" s="12" t="n">
        <x:v>0</x:v>
      </x:c>
      <x:c r="C1132" s="12" t="n">
        <x:v>-0.004118683479246685</x:v>
      </x:c>
      <x:c r="D1132" s="12" t="n">
        <x:v>-0.11252023056392878</x:v>
      </x:c>
      <x:c r="E1132" s="12" t="n">
        <x:v>-0.25945515988235246</x:v>
      </x:c>
    </x:row>
    <x:row r="1133" ht="18" customHeight="1">
      <x:c r="A1133" s="13" t="n">
        <x:v>44293</x:v>
      </x:c>
      <x:c r="B1133" s="12" t="n">
        <x:v>-3</x:v>
      </x:c>
      <x:c r="C1133" s="12" t="n">
        <x:v>-0.007145422387403772</x:v>
      </x:c>
      <x:c r="D1133" s="12" t="n">
        <x:v>-0.11223915240602841</x:v>
      </x:c>
      <x:c r="E1133" s="12" t="n">
        <x:v>-0.25115305591257264</x:v>
      </x:c>
    </x:row>
    <x:row r="1134" ht="18" customHeight="1">
      <x:c r="A1134" s="13" t="n">
        <x:v>44294</x:v>
      </x:c>
      <x:c r="B1134" s="12" t="n">
        <x:v>-1</x:v>
      </x:c>
      <x:c r="C1134" s="12" t="n">
        <x:v>0.0016573692662383715</x:v>
      </x:c>
      <x:c r="D1134" s="12" t="n">
        <x:v>-0.12172897651452291</x:v>
      </x:c>
      <x:c r="E1134" s="12" t="n">
        <x:v>-0.26303172273836856</x:v>
      </x:c>
    </x:row>
    <x:row r="1135" ht="18" customHeight="1">
      <x:c r="A1135" s="13" t="n">
        <x:v>44295</x:v>
      </x:c>
      <x:c r="B1135" s="12" t="n">
        <x:v>3</x:v>
      </x:c>
      <x:c r="C1135" s="12" t="n">
        <x:v>-0.015150987340556255</x:v>
      </x:c>
      <x:c r="D1135" s="12" t="n">
        <x:v>-0.13338504092544803</x:v>
      </x:c>
      <x:c r="E1135" s="12" t="n">
        <x:v>-0.22437459854296915</x:v>
      </x:c>
    </x:row>
    <x:row r="1136" ht="18" customHeight="1">
      <x:c r="A1136" s="13" t="n">
        <x:v>44298</x:v>
      </x:c>
      <x:c r="B1136" s="12" t="n">
        <x:v>0</x:v>
      </x:c>
      <x:c r="C1136" s="12" t="n">
        <x:v>-0.017548435719811403</x:v>
      </x:c>
      <x:c r="D1136" s="12" t="n">
        <x:v>-0.15819223959560183</x:v>
      </x:c>
      <x:c r="E1136" s="12" t="n">
        <x:v>-0.21254351652267553</x:v>
      </x:c>
    </x:row>
    <x:row r="1137" ht="18" customHeight="1">
      <x:c r="A1137" s="13" t="n">
        <x:v>44299</x:v>
      </x:c>
      <x:c r="B1137" s="12" t="n">
        <x:v>8</x:v>
      </x:c>
      <x:c r="C1137" s="12" t="n">
        <x:v>-0.001638875792154115</x:v>
      </x:c>
      <x:c r="D1137" s="12" t="n">
        <x:v>-0.15666040127810235</x:v>
      </x:c>
      <x:c r="E1137" s="12" t="n">
        <x:v>-0.19558783262367557</x:v>
      </x:c>
    </x:row>
    <x:row r="1138" ht="18" customHeight="1">
      <x:c r="A1138" s="13" t="n">
        <x:v>44300</x:v>
      </x:c>
      <x:c r="B1138" s="12" t="n">
        <x:v>-7</x:v>
      </x:c>
      <x:c r="C1138" s="12" t="n">
        <x:v>0.0082627440889853</x:v>
      </x:c>
      <x:c r="D1138" s="12" t="n">
        <x:v>-0.148859287905378</x:v>
      </x:c>
      <x:c r="E1138" s="12" t="n">
        <x:v>-0.22396005976092273</x:v>
      </x:c>
    </x:row>
    <x:row r="1139" ht="18" customHeight="1">
      <x:c r="A1139" s="13" t="n">
        <x:v>44301</x:v>
      </x:c>
      <x:c r="B1139" s="12" t="n">
        <x:v>0</x:v>
      </x:c>
      <x:c r="C1139" s="12" t="n">
        <x:v>-0.0063756648503750565</x:v>
      </x:c>
      <x:c r="D1139" s="12" t="n">
        <x:v>-0.14642961984718275</x:v>
      </x:c>
      <x:c r="E1139" s="12" t="n">
        <x:v>-0.2248047740409044</x:v>
      </x:c>
    </x:row>
    <x:row r="1140" ht="18" customHeight="1">
      <x:c r="A1140" s="13" t="n">
        <x:v>44302</x:v>
      </x:c>
      <x:c r="B1140" s="12" t="n">
        <x:v>-3</x:v>
      </x:c>
      <x:c r="C1140" s="12" t="n">
        <x:v>0.003470851827739531</x:v>
      </x:c>
      <x:c r="D1140" s="12" t="n">
        <x:v>-0.14904668765486523</x:v>
      </x:c>
      <x:c r="E1140" s="12" t="n">
        <x:v>-0.22950558911949367</x:v>
      </x:c>
    </x:row>
    <x:row r="1141" ht="18" customHeight="1">
      <x:c r="A1141" s="13" t="n">
        <x:v>44305</x:v>
      </x:c>
      <x:c r="B1141" s="12" t="n">
        <x:v>3</x:v>
      </x:c>
      <x:c r="C1141" s="12" t="n">
        <x:v>0.024040354994074857</x:v>
      </x:c>
      <x:c r="D1141" s="12" t="n">
        <x:v>-0.11498407124163021</x:v>
      </x:c>
      <x:c r="E1141" s="12" t="n">
        <x:v>-0.2253416154389355</x:v>
      </x:c>
    </x:row>
    <x:row r="1142" ht="18" customHeight="1">
      <x:c r="A1142" s="13" t="n">
        <x:v>44306</x:v>
      </x:c>
      <x:c r="B1142" s="12" t="n">
        <x:v>10</x:v>
      </x:c>
      <x:c r="C1142" s="12" t="n">
        <x:v>-0.000717986835252842</x:v>
      </x:c>
      <x:c r="D1142" s="12" t="n">
        <x:v>-0.13647278475151073</x:v>
      </x:c>
      <x:c r="E1142" s="12" t="n">
        <x:v>-0.22542313918532964</x:v>
      </x:c>
    </x:row>
    <x:row r="1143" ht="18" customHeight="1">
      <x:c r="A1143" s="13" t="n">
        <x:v>44307</x:v>
      </x:c>
      <x:c r="B1143" s="12" t="n">
        <x:v>-1</x:v>
      </x:c>
      <x:c r="C1143" s="12" t="n">
        <x:v>0.00302088884183706</x:v>
      </x:c>
      <x:c r="D1143" s="12" t="n">
        <x:v>-0.1377099934099962</x:v>
      </x:c>
      <x:c r="E1143" s="12" t="n">
        <x:v>-0.22891143847369053</x:v>
      </x:c>
    </x:row>
    <x:row r="1144" ht="18" customHeight="1">
      <x:c r="A1144" s="13" t="n">
        <x:v>44308</x:v>
      </x:c>
      <x:c r="B1144" s="12" t="n">
        <x:v>0</x:v>
      </x:c>
      <x:c r="C1144" s="12" t="n">
        <x:v>-0.0018652166417151464</x:v>
      </x:c>
      <x:c r="D1144" s="12" t="n">
        <x:v>-0.1756415167742525</x:v>
      </x:c>
      <x:c r="E1144" s="12" t="n">
        <x:v>-0.2267392670626716</x:v>
      </x:c>
    </x:row>
    <x:row r="1145" ht="18" customHeight="1">
      <x:c r="A1145" s="13" t="n">
        <x:v>44309</x:v>
      </x:c>
      <x:c r="B1145" s="12" t="n">
        <x:v>-5</x:v>
      </x:c>
      <x:c r="C1145" s="12" t="n">
        <x:v>0.009038940728190753</x:v>
      </x:c>
      <x:c r="D1145" s="12" t="n">
        <x:v>-0.1834545916259068</x:v>
      </x:c>
      <x:c r="E1145" s="12" t="n">
        <x:v>-0.21340814688393697</x:v>
      </x:c>
    </x:row>
    <x:row r="1146" ht="18" customHeight="1">
      <x:c r="A1146" s="13" t="n">
        <x:v>44312</x:v>
      </x:c>
      <x:c r="B1146" s="12" t="n">
        <x:v>-3</x:v>
      </x:c>
      <x:c r="C1146" s="12" t="n">
        <x:v>-0.011400880112324985</x:v>
      </x:c>
      <x:c r="D1146" s="12" t="n">
        <x:v>-0.1773820717221579</x:v>
      </x:c>
      <x:c r="E1146" s="12" t="n">
        <x:v>-0.21356834785607962</x:v>
      </x:c>
    </x:row>
    <x:row r="1147" ht="18" customHeight="1">
      <x:c r="A1147" s="13" t="n">
        <x:v>44313</x:v>
      </x:c>
      <x:c r="B1147" s="12" t="n">
        <x:v>-2</x:v>
      </x:c>
      <x:c r="C1147" s="12" t="n">
        <x:v>0.002612632844617457</x:v>
      </x:c>
      <x:c r="D1147" s="12" t="n">
        <x:v>-0.18350105918087706</x:v>
      </x:c>
      <x:c r="E1147" s="12" t="n">
        <x:v>-0.23010119552661631</x:v>
      </x:c>
    </x:row>
    <x:row r="1148" ht="18" customHeight="1">
      <x:c r="A1148" s="13" t="n">
        <x:v>44314</x:v>
      </x:c>
      <x:c r="B1148" s="12" t="n">
        <x:v>2</x:v>
      </x:c>
      <x:c r="C1148" s="12" t="n">
        <x:v>0.005626512527797331</x:v>
      </x:c>
      <x:c r="D1148" s="12" t="n">
        <x:v>-0.17384534793378661</x:v>
      </x:c>
      <x:c r="E1148" s="12" t="n">
        <x:v>-0.2352383535535244</x:v>
      </x:c>
    </x:row>
    <x:row r="1149" ht="18" customHeight="1">
      <x:c r="A1149" s="13" t="n">
        <x:v>44315</x:v>
      </x:c>
      <x:c r="B1149" s="12" t="n">
        <x:v>-2</x:v>
      </x:c>
      <x:c r="C1149" s="12" t="n">
        <x:v>0.008737836995305902</x:v>
      </x:c>
      <x:c r="D1149" s="12" t="n">
        <x:v>-0.17282607004825631</x:v>
      </x:c>
      <x:c r="E1149" s="12" t="n">
        <x:v>-0.22381207206970027</x:v>
      </x:c>
    </x:row>
    <x:row r="1150" ht="18" customHeight="1">
      <x:c r="A1150" s="13" t="n">
        <x:v>44316</x:v>
      </x:c>
      <x:c r="B1150" s="12" t="n">
        <x:v>4</x:v>
      </x:c>
      <x:c r="C1150" s="12" t="n">
        <x:v>-0.007908585460357973</x:v>
      </x:c>
      <x:c r="D1150" s="12" t="n">
        <x:v>-0.19030035842128237</x:v>
      </x:c>
      <x:c r="E1150" s="12" t="n">
        <x:v>-0.22122777459156936</x:v>
      </x:c>
    </x:row>
    <x:row r="1151" ht="18" customHeight="1">
      <x:c r="A1151" s="13" t="n">
        <x:v>44322</x:v>
      </x:c>
      <x:c r="B1151" s="12" t="n">
        <x:v>1</x:v>
      </x:c>
      <x:c r="C1151" s="12" t="n">
        <x:v>-0.012246980233125798</x:v>
      </x:c>
      <x:c r="D1151" s="12" t="n">
        <x:v>-0.1960479274807698</x:v>
      </x:c>
      <x:c r="E1151" s="12" t="n">
        <x:v>-0.22172793950902722</x:v>
      </x:c>
    </x:row>
    <x:row r="1152" ht="18" customHeight="1">
      <x:c r="A1152" s="13" t="n">
        <x:v>44323</x:v>
      </x:c>
      <x:c r="B1152" s="12" t="n">
        <x:v>-3</x:v>
      </x:c>
      <x:c r="C1152" s="12" t="n">
        <x:v>-0.012940531405912142</x:v>
      </x:c>
      <x:c r="D1152" s="12" t="n">
        <x:v>-0.19273934082578156</x:v>
      </x:c>
      <x:c r="E1152" s="12" t="n">
        <x:v>-0.21703659500643102</x:v>
      </x:c>
    </x:row>
    <x:row r="1153" ht="18" customHeight="1">
      <x:c r="A1153" s="13" t="n">
        <x:v>44326</x:v>
      </x:c>
      <x:c r="B1153" s="12" t="n">
        <x:v>-1</x:v>
      </x:c>
      <x:c r="C1153" s="12" t="n">
        <x:v>-0.0007269778958146385</x:v>
      </x:c>
      <x:c r="D1153" s="12" t="n">
        <x:v>-0.21559921355664535</x:v>
      </x:c>
      <x:c r="E1153" s="12" t="n">
        <x:v>-0.2206256841054627</x:v>
      </x:c>
    </x:row>
    <x:row r="1154" ht="18" customHeight="1">
      <x:c r="A1154" s="13" t="n">
        <x:v>44327</x:v>
      </x:c>
      <x:c r="B1154" s="12" t="n">
        <x:v>10</x:v>
      </x:c>
      <x:c r="C1154" s="12" t="n">
        <x:v>0.006118047457768018</x:v>
      </x:c>
      <x:c r="D1154" s="12" t="n">
        <x:v>-0.24961785751038615</x:v>
      </x:c>
      <x:c r="E1154" s="12" t="n">
        <x:v>-0.21018074781649154</x:v>
      </x:c>
    </x:row>
    <x:row r="1155" ht="18" customHeight="1">
      <x:c r="A1155" s="13" t="n">
        <x:v>44328</x:v>
      </x:c>
      <x:c r="B1155" s="12" t="n">
        <x:v>-2</x:v>
      </x:c>
      <x:c r="C1155" s="12" t="n">
        <x:v>0.004268865749714823</x:v>
      </x:c>
      <x:c r="D1155" s="12" t="n">
        <x:v>-0.24922665068644909</x:v>
      </x:c>
      <x:c r="E1155" s="12" t="n">
        <x:v>-0.2096575805992432</x:v>
      </x:c>
    </x:row>
    <x:row r="1156" ht="18" customHeight="1">
      <x:c r="A1156" s="13" t="n">
        <x:v>44329</x:v>
      </x:c>
      <x:c r="B1156" s="12" t="n">
        <x:v>3</x:v>
      </x:c>
      <x:c r="C1156" s="12" t="n">
        <x:v>-0.010276391799696024</x:v>
      </x:c>
      <x:c r="D1156" s="12" t="n">
        <x:v>-0.25566811108434423</x:v>
      </x:c>
      <x:c r="E1156" s="12" t="n">
        <x:v>-0.21048470242464387</x:v>
      </x:c>
    </x:row>
    <x:row r="1157" ht="18" customHeight="1">
      <x:c r="A1157" s="13" t="n">
        <x:v>44330</x:v>
      </x:c>
      <x:c r="B1157" s="12" t="n">
        <x:v>-2</x:v>
      </x:c>
      <x:c r="C1157" s="12" t="n">
        <x:v>0.023283192842009297</x:v>
      </x:c>
      <x:c r="D1157" s="12" t="n">
        <x:v>-0.23595947068443635</x:v>
      </x:c>
      <x:c r="E1157" s="12" t="n">
        <x:v>-0.20599519737436173</x:v>
      </x:c>
    </x:row>
    <x:row r="1158" ht="18" customHeight="1">
      <x:c r="A1158" s="13" t="n">
        <x:v>44333</x:v>
      </x:c>
      <x:c r="B1158" s="12" t="n">
        <x:v>0</x:v>
      </x:c>
      <x:c r="C1158" s="12" t="n">
        <x:v>0.014452129575788978</x:v>
      </x:c>
      <x:c r="D1158" s="12" t="n">
        <x:v>-0.23882738871210937</x:v>
      </x:c>
      <x:c r="E1158" s="12" t="n">
        <x:v>-0.20494073009903285</x:v>
      </x:c>
    </x:row>
    <x:row r="1159" ht="18" customHeight="1">
      <x:c r="A1159" s="13" t="n">
        <x:v>44334</x:v>
      </x:c>
      <x:c r="B1159" s="12" t="n">
        <x:v>0</x:v>
      </x:c>
      <x:c r="C1159" s="12" t="n">
        <x:v>0.0005044065007787606</x:v>
      </x:c>
      <x:c r="D1159" s="12" t="n">
        <x:v>-0.24087614381589284</x:v>
      </x:c>
      <x:c r="E1159" s="12" t="n">
        <x:v>-0.2055095564507348</x:v>
      </x:c>
    </x:row>
    <x:row r="1160" ht="18" customHeight="1">
      <x:c r="A1160" s="13" t="n">
        <x:v>44335</x:v>
      </x:c>
      <x:c r="B1160" s="12" t="n">
        <x:v>5</x:v>
      </x:c>
      <x:c r="C1160" s="12" t="n">
        <x:v>-0.002959362676300788</x:v>
      </x:c>
      <x:c r="D1160" s="12" t="n">
        <x:v>-0.2400019135575242</x:v>
      </x:c>
      <x:c r="E1160" s="12" t="n">
        <x:v>-0.2054153958804629</x:v>
      </x:c>
    </x:row>
    <x:row r="1161" ht="18" customHeight="1">
      <x:c r="A1161" s="13" t="n">
        <x:v>44336</x:v>
      </x:c>
      <x:c r="B1161" s="12" t="n">
        <x:v>2</x:v>
      </x:c>
      <x:c r="C1161" s="12" t="n">
        <x:v>0.002730078218913397</x:v>
      </x:c>
      <x:c r="D1161" s="12" t="n">
        <x:v>-0.22562272735451874</x:v>
      </x:c>
      <x:c r="E1161" s="12" t="n">
        <x:v>-0.20038199479569369</x:v>
      </x:c>
    </x:row>
    <x:row r="1162" ht="18" customHeight="1">
      <x:c r="A1162" s="13" t="n">
        <x:v>44337</x:v>
      </x:c>
      <x:c r="B1162" s="12" t="n">
        <x:v>-5</x:v>
      </x:c>
      <x:c r="C1162" s="12" t="n">
        <x:v>-0.010128160728869793</x:v>
      </x:c>
      <x:c r="D1162" s="12" t="n">
        <x:v>-0.20020054703457332</x:v>
      </x:c>
      <x:c r="E1162" s="12" t="n">
        <x:v>-0.1992022901140895</x:v>
      </x:c>
    </x:row>
    <x:row r="1163" ht="18" customHeight="1">
      <x:c r="A1163" s="13" t="n">
        <x:v>44340</x:v>
      </x:c>
      <x:c r="B1163" s="12" t="n">
        <x:v>0</x:v>
      </x:c>
      <x:c r="C1163" s="12" t="n">
        <x:v>0.004167110106744392</x:v>
      </x:c>
      <x:c r="D1163" s="12" t="n">
        <x:v>-0.2046370198593108</x:v>
      </x:c>
      <x:c r="E1163" s="12" t="n">
        <x:v>-0.19890029000677123</x:v>
      </x:c>
    </x:row>
    <x:row r="1164" ht="18" customHeight="1">
      <x:c r="A1164" s="13" t="n">
        <x:v>44341</x:v>
      </x:c>
      <x:c r="B1164" s="12" t="n">
        <x:v>-3</x:v>
      </x:c>
      <x:c r="C1164" s="12" t="n">
        <x:v>0.031106094198889784</x:v>
      </x:c>
      <x:c r="D1164" s="12" t="n">
        <x:v>-0.21674935053392022</x:v>
      </x:c>
      <x:c r="E1164" s="12" t="n">
        <x:v>-0.19683570079138443</x:v>
      </x:c>
    </x:row>
    <x:row r="1165" ht="18" customHeight="1">
      <x:c r="A1165" s="13" t="n">
        <x:v>44342</x:v>
      </x:c>
      <x:c r="B1165" s="12" t="n">
        <x:v>1</x:v>
      </x:c>
      <x:c r="C1165" s="12" t="n">
        <x:v>0.0003975347260076317</x:v>
      </x:c>
      <x:c r="D1165" s="12" t="n">
        <x:v>-0.21428948007727563</x:v>
      </x:c>
      <x:c r="E1165" s="12" t="n">
        <x:v>-0.19684355847117035</x:v>
      </x:c>
    </x:row>
    <x:row r="1166" ht="18" customHeight="1">
      <x:c r="A1166" s="13" t="n">
        <x:v>44343</x:v>
      </x:c>
      <x:c r="B1166" s="12" t="n">
        <x:v>-5</x:v>
      </x:c>
      <x:c r="C1166" s="12" t="n">
        <x:v>0.00330997368141398</x:v>
      </x:c>
      <x:c r="D1166" s="12" t="n">
        <x:v>-0.20186566499848252</x:v>
      </x:c>
      <x:c r="E1166" s="12" t="n">
        <x:v>-0.19746011621369447</x:v>
      </x:c>
    </x:row>
    <x:row r="1167" ht="18" customHeight="1">
      <x:c r="A1167" s="13" t="n">
        <x:v>44344</x:v>
      </x:c>
      <x:c r="B1167" s="12" t="n">
        <x:v>-1</x:v>
      </x:c>
      <x:c r="C1167" s="12" t="n">
        <x:v>-0.003216774122739079</x:v>
      </x:c>
      <x:c r="D1167" s="12" t="n">
        <x:v>-0.20031783376466</x:v>
      </x:c>
      <x:c r="E1167" s="12" t="n">
        <x:v>-0.19960578656519112</x:v>
      </x:c>
    </x:row>
    <x:row r="1168" ht="18" customHeight="1">
      <x:c r="A1168" s="13" t="n">
        <x:v>44347</x:v>
      </x:c>
      <x:c r="B1168" s="12" t="n">
        <x:v>5</x:v>
      </x:c>
      <x:c r="C1168" s="12" t="n">
        <x:v>0.0019677723973122578</x:v>
      </x:c>
      <x:c r="D1168" s="12" t="n">
        <x:v>-0.23399494854534858</x:v>
      </x:c>
      <x:c r="E1168" s="12" t="n">
        <x:v>-0.19456349011095894</x:v>
      </x:c>
    </x:row>
    <x:row r="1169" ht="18" customHeight="1">
      <x:c r="A1169" s="13" t="n">
        <x:v>44348</x:v>
      </x:c>
      <x:c r="B1169" s="12" t="n">
        <x:v>-1</x:v>
      </x:c>
      <x:c r="C1169" s="12" t="n">
        <x:v>0.001894493915579741</x:v>
      </x:c>
      <x:c r="D1169" s="12" t="n">
        <x:v>-0.23502255717425619</x:v>
      </x:c>
      <x:c r="E1169" s="12" t="n">
        <x:v>-0.19428323903940123</x:v>
      </x:c>
    </x:row>
    <x:row r="1170" ht="18" customHeight="1">
      <x:c r="A1170" s="13" t="n">
        <x:v>44349</x:v>
      </x:c>
      <x:c r="B1170" s="12" t="n">
        <x:v>-2</x:v>
      </x:c>
      <x:c r="C1170" s="12" t="n">
        <x:v>-0.00972691748439677</x:v>
      </x:c>
      <x:c r="D1170" s="12" t="n">
        <x:v>-0.17588434452913618</x:v>
      </x:c>
      <x:c r="E1170" s="12" t="n">
        <x:v>-0.19719207953127152</x:v>
      </x:c>
    </x:row>
    <x:row r="1171" ht="18" customHeight="1">
      <x:c r="A1171" s="13" t="n">
        <x:v>44350</x:v>
      </x:c>
      <x:c r="B1171" s="12" t="n">
        <x:v>-3</x:v>
      </x:c>
      <x:c r="C1171" s="12" t="n">
        <x:v>-0.0065789232461387894</x:v>
      </x:c>
      <x:c r="D1171" s="12" t="n">
        <x:v>-0.16066575568746985</x:v>
      </x:c>
      <x:c r="E1171" s="12" t="n">
        <x:v>-0.19589086369363487</x:v>
      </x:c>
    </x:row>
    <x:row r="1172" ht="18" customHeight="1">
      <x:c r="A1172" s="13" t="n">
        <x:v>44351</x:v>
      </x:c>
      <x:c r="B1172" s="12" t="n">
        <x:v>0</x:v>
      </x:c>
      <x:c r="C1172" s="12" t="n">
        <x:v>0.005122960555661023</x:v>
      </x:c>
      <x:c r="D1172" s="12" t="n">
        <x:v>-0.16364856445094558</x:v>
      </x:c>
      <x:c r="E1172" s="12" t="n">
        <x:v>-0.20041017321550333</x:v>
      </x:c>
    </x:row>
    <x:row r="1173" ht="18" customHeight="1">
      <x:c r="A1173" s="13" t="n">
        <x:v>44354</x:v>
      </x:c>
      <x:c r="B1173" s="12" t="n">
        <x:v>-1</x:v>
      </x:c>
      <x:c r="C1173" s="12" t="n">
        <x:v>-0.0008807087959255326</x:v>
      </x:c>
      <x:c r="D1173" s="12" t="n">
        <x:v>-0.1568628425405405</x:v>
      </x:c>
      <x:c r="E1173" s="12" t="n">
        <x:v>-0.20202306749803675</x:v>
      </x:c>
    </x:row>
    <x:row r="1174" ht="18" customHeight="1">
      <x:c r="A1174" s="13" t="n">
        <x:v>44355</x:v>
      </x:c>
      <x:c r="B1174" s="12" t="n">
        <x:v>-1</x:v>
      </x:c>
      <x:c r="C1174" s="12" t="n">
        <x:v>-0.008660703096580333</x:v>
      </x:c>
      <x:c r="D1174" s="12" t="n">
        <x:v>-0.1311978032994176</x:v>
      </x:c>
      <x:c r="E1174" s="12" t="n">
        <x:v>-0.20375258801810855</x:v>
      </x:c>
    </x:row>
    <x:row r="1175" ht="18" customHeight="1">
      <x:c r="A1175" s="13" t="n">
        <x:v>44356</x:v>
      </x:c>
      <x:c r="B1175" s="12" t="n">
        <x:v>-4</x:v>
      </x:c>
      <x:c r="C1175" s="12" t="n">
        <x:v>0.0008277734180943219</x:v>
      </x:c>
      <x:c r="D1175" s="12" t="n">
        <x:v>-0.1278861303169826</x:v>
      </x:c>
      <x:c r="E1175" s="12" t="n">
        <x:v>-0.2037117931275808</x:v>
      </x:c>
    </x:row>
    <x:row r="1176" ht="18" customHeight="1">
      <x:c r="A1176" s="13" t="n">
        <x:v>44357</x:v>
      </x:c>
      <x:c r="B1176" s="12" t="n">
        <x:v>1</x:v>
      </x:c>
      <x:c r="C1176" s="12" t="n">
        <x:v>0.006664867062356995</x:v>
      </x:c>
      <x:c r="D1176" s="12" t="n">
        <x:v>-0.16458521854172398</x:v>
      </x:c>
      <x:c r="E1176" s="12" t="n">
        <x:v>-0.19788131735497855</x:v>
      </x:c>
    </x:row>
    <x:row r="1177" ht="18" customHeight="1">
      <x:c r="A1177" s="13" t="n">
        <x:v>44358</x:v>
      </x:c>
      <x:c r="B1177" s="12" t="n">
        <x:v>-2</x:v>
      </x:c>
      <x:c r="C1177" s="12" t="n">
        <x:v>-0.008910567076980907</x:v>
      </x:c>
      <x:c r="D1177" s="12" t="n">
        <x:v>-0.12322621591220213</x:v>
      </x:c>
      <x:c r="E1177" s="12" t="n">
        <x:v>-0.1985805820614033</x:v>
      </x:c>
    </x:row>
    <x:row r="1178" ht="18" customHeight="1">
      <x:c r="A1178" s="13" t="n">
        <x:v>44362</x:v>
      </x:c>
      <x:c r="B1178" s="12" t="n">
        <x:v>0</x:v>
      </x:c>
      <x:c r="C1178" s="12" t="n">
        <x:v>-0.011190922313067906</x:v>
      </x:c>
      <x:c r="D1178" s="12" t="n">
        <x:v>-0.12805985522027183</x:v>
      </x:c>
      <x:c r="E1178" s="12" t="n">
        <x:v>-0.19854886053471787</x:v>
      </x:c>
    </x:row>
    <x:row r="1179" ht="18" customHeight="1">
      <x:c r="A1179" s="13" t="n">
        <x:v>44363</x:v>
      </x:c>
      <x:c r="B1179" s="12" t="n">
        <x:v>-5</x:v>
      </x:c>
      <x:c r="C1179" s="12" t="n">
        <x:v>-0.016799141037062326</x:v>
      </x:c>
      <x:c r="D1179" s="12" t="n">
        <x:v>-0.01236733128246689</x:v>
      </x:c>
      <x:c r="E1179" s="12" t="n">
        <x:v>-0.19693361505191256</x:v>
      </x:c>
    </x:row>
    <x:row r="1180" ht="18" customHeight="1">
      <x:c r="A1180" s="13" t="n">
        <x:v>44364</x:v>
      </x:c>
      <x:c r="B1180" s="12" t="n">
        <x:v>3</x:v>
      </x:c>
      <x:c r="C1180" s="12" t="n">
        <x:v>0.004203638948601504</x:v>
      </x:c>
      <x:c r="D1180" s="12" t="n">
        <x:v>-0.01150048718237823</x:v>
      </x:c>
      <x:c r="E1180" s="12" t="n">
        <x:v>-0.1904209353737456</x:v>
      </x:c>
    </x:row>
    <x:row r="1181" ht="18" customHeight="1">
      <x:c r="A1181" s="13" t="n">
        <x:v>44365</x:v>
      </x:c>
      <x:c r="B1181" s="12" t="n">
        <x:v>3</x:v>
      </x:c>
      <x:c r="C1181" s="12" t="n">
        <x:v>0.00011236375575712845</x:v>
      </x:c>
      <x:c r="D1181" s="12" t="n">
        <x:v>-0.007881751413692132</x:v>
      </x:c>
      <x:c r="E1181" s="12" t="n">
        <x:v>-0.19119775102870337</x:v>
      </x:c>
    </x:row>
    <x:row r="1182" ht="18" customHeight="1">
      <x:c r="A1182" s="13" t="n">
        <x:v>44368</x:v>
      </x:c>
      <x:c r="B1182" s="12" t="n">
        <x:v>-4</x:v>
      </x:c>
      <x:c r="C1182" s="12" t="n">
        <x:v>-0.0023703486958912613</x:v>
      </x:c>
      <x:c r="D1182" s="12" t="n">
        <x:v>-0.006174459555277208</x:v>
      </x:c>
      <x:c r="E1182" s="12" t="n">
        <x:v>-0.19790990649648513</x:v>
      </x:c>
    </x:row>
    <x:row r="1183" ht="18" customHeight="1">
      <x:c r="A1183" s="13" t="n">
        <x:v>44369</x:v>
      </x:c>
      <x:c r="B1183" s="12" t="n">
        <x:v>1</x:v>
      </x:c>
      <x:c r="C1183" s="12" t="n">
        <x:v>0.0062223484075154345</x:v>
      </x:c>
      <x:c r="D1183" s="12" t="n">
        <x:v>-0.021059244689807004</x:v>
      </x:c>
      <x:c r="E1183" s="12" t="n">
        <x:v>-0.19739904509928483</x:v>
      </x:c>
    </x:row>
    <x:row r="1184" ht="18" customHeight="1">
      <x:c r="A1184" s="13" t="n">
        <x:v>44370</x:v>
      </x:c>
      <x:c r="B1184" s="12" t="n">
        <x:v>-2</x:v>
      </x:c>
      <x:c r="C1184" s="12" t="n">
        <x:v>0.004914635136633502</x:v>
      </x:c>
      <x:c r="D1184" s="12" t="n">
        <x:v>-0.029311664642162182</x:v>
      </x:c>
      <x:c r="E1184" s="12" t="n">
        <x:v>-0.19832953091091696</x:v>
      </x:c>
    </x:row>
    <x:row r="1185" ht="18" customHeight="1">
      <x:c r="A1185" s="13" t="n">
        <x:v>44371</x:v>
      </x:c>
      <x:c r="B1185" s="12" t="n">
        <x:v>-5</x:v>
      </x:c>
      <x:c r="C1185" s="12" t="n">
        <x:v>0.0016654752730112406</x:v>
      </x:c>
      <x:c r="D1185" s="12" t="n">
        <x:v>-0.014146927634829236</x:v>
      </x:c>
      <x:c r="E1185" s="12" t="n">
        <x:v>-0.19866825694355134</x:v>
      </x:c>
    </x:row>
    <x:row r="1186" ht="18" customHeight="1">
      <x:c r="A1186" s="13" t="n">
        <x:v>44372</x:v>
      </x:c>
      <x:c r="B1186" s="12" t="n">
        <x:v>-4</x:v>
      </x:c>
      <x:c r="C1186" s="12" t="n">
        <x:v>0.01615946417488065</x:v>
      </x:c>
      <x:c r="D1186" s="12" t="n">
        <x:v>-0.0024705881310449094</x:v>
      </x:c>
      <x:c r="E1186" s="12" t="n">
        <x:v>-0.20732279914795243</x:v>
      </x:c>
    </x:row>
    <x:row r="1187" ht="18" customHeight="1">
      <x:c r="A1187" s="13" t="n">
        <x:v>44375</x:v>
      </x:c>
      <x:c r="B1187" s="12" t="n">
        <x:v>1</x:v>
      </x:c>
      <x:c r="C1187" s="12" t="n">
        <x:v>0.002247866903559741</x:v>
      </x:c>
      <x:c r="D1187" s="12" t="n">
        <x:v>-0.00267193414602977</x:v>
      </x:c>
      <x:c r="E1187" s="12" t="n">
        <x:v>-0.20723907947129733</x:v>
      </x:c>
    </x:row>
    <x:row r="1188" ht="18" customHeight="1">
      <x:c r="A1188" s="13" t="n">
        <x:v>44376</x:v>
      </x:c>
      <x:c r="B1188" s="12" t="n">
        <x:v>-2</x:v>
      </x:c>
      <x:c r="C1188" s="12" t="n">
        <x:v>-0.011724729714395393</x:v>
      </x:c>
      <x:c r="D1188" s="12" t="n">
        <x:v>-0.03574547254141317</x:v>
      </x:c>
      <x:c r="E1188" s="12" t="n">
        <x:v>-0.19962939261388074</x:v>
      </x:c>
    </x:row>
    <x:row r="1189" ht="18" customHeight="1">
      <x:c r="A1189" s="13" t="n">
        <x:v>44377</x:v>
      </x:c>
      <x:c r="B1189" s="12" t="n">
        <x:v>1</x:v>
      </x:c>
      <x:c r="C1189" s="12" t="n">
        <x:v>0.006432635365788018</x:v>
      </x:c>
      <x:c r="D1189" s="12" t="n">
        <x:v>-0.03026897332739939</x:v>
      </x:c>
      <x:c r="E1189" s="12" t="n">
        <x:v>-0.19945236388974663</x:v>
      </x:c>
    </x:row>
    <x:row r="1190" ht="18" customHeight="1">
      <x:c r="A1190" s="13" t="n">
        <x:v>44378</x:v>
      </x:c>
      <x:c r="B1190" s="12" t="n">
        <x:v>-2</x:v>
      </x:c>
      <x:c r="C1190" s="12" t="n">
        <x:v>0.0010758291791815775</x:v>
      </x:c>
      <x:c r="D1190" s="12" t="n">
        <x:v>0.013335300561563342</x:v>
      </x:c>
      <x:c r="E1190" s="12" t="n">
        <x:v>-0.20074041253013902</x:v>
      </x:c>
    </x:row>
    <x:row r="1191" ht="18" customHeight="1">
      <x:c r="A1191" s="13" t="n">
        <x:v>44379</x:v>
      </x:c>
      <x:c r="B1191" s="12" t="n">
        <x:v>2</x:v>
      </x:c>
      <x:c r="C1191" s="12" t="n">
        <x:v>-0.02881591084345226</x:v>
      </x:c>
      <x:c r="D1191" s="12" t="n">
        <x:v>-0.01654998530291071</x:v>
      </x:c>
      <x:c r="E1191" s="12" t="n">
        <x:v>-0.19131224435060779</x:v>
      </x:c>
    </x:row>
    <x:row r="1192" ht="18" customHeight="1">
      <x:c r="A1192" s="13" t="n">
        <x:v>44382</x:v>
      </x:c>
      <x:c r="B1192" s="12" t="n">
        <x:v>-1</x:v>
      </x:c>
      <x:c r="C1192" s="12" t="n">
        <x:v>0.0009196895641789991</x:v>
      </x:c>
      <x:c r="D1192" s="12" t="n">
        <x:v>-0.023191710088956246</x:v>
      </x:c>
      <x:c r="E1192" s="12" t="n">
        <x:v>-0.1916926298654095</x:v>
      </x:c>
    </x:row>
    <x:row r="1193" ht="18" customHeight="1">
      <x:c r="A1193" s="13" t="n">
        <x:v>44383</x:v>
      </x:c>
      <x:c r="B1193" s="12" t="n">
        <x:v>2</x:v>
      </x:c>
      <x:c r="C1193" s="12" t="n">
        <x:v>-0.0005286906027109014</x:v>
      </x:c>
      <x:c r="D1193" s="12" t="n">
        <x:v>-0.05669847849852421</x:v>
      </x:c>
      <x:c r="E1193" s="12" t="n">
        <x:v>-0.19768557839190826</x:v>
      </x:c>
    </x:row>
    <x:row r="1194" ht="18" customHeight="1">
      <x:c r="A1194" s="13" t="n">
        <x:v>44384</x:v>
      </x:c>
      <x:c r="B1194" s="12" t="n">
        <x:v>0</x:v>
      </x:c>
      <x:c r="C1194" s="12" t="n">
        <x:v>0.011226228576722806</x:v>
      </x:c>
      <x:c r="D1194" s="12" t="n">
        <x:v>-0.03981908270279481</x:v>
      </x:c>
      <x:c r="E1194" s="12" t="n">
        <x:v>-0.19839940766556483</x:v>
      </x:c>
    </x:row>
    <x:row r="1195" ht="18" customHeight="1">
      <x:c r="A1195" s="13" t="n">
        <x:v>44385</x:v>
      </x:c>
      <x:c r="B1195" s="12" t="n">
        <x:v>9</x:v>
      </x:c>
      <x:c r="C1195" s="12" t="n">
        <x:v>-0.010213129053200676</x:v>
      </x:c>
      <x:c r="D1195" s="12" t="n">
        <x:v>-0.07809705935874822</x:v>
      </x:c>
      <x:c r="E1195" s="12" t="n">
        <x:v>-0.20182706096940647</x:v>
      </x:c>
    </x:row>
    <x:row r="1196" ht="18" customHeight="1">
      <x:c r="A1196" s="13" t="n">
        <x:v>44386</x:v>
      </x:c>
      <x:c r="B1196" s="12" t="n">
        <x:v>-7</x:v>
      </x:c>
      <x:c r="C1196" s="12" t="n">
        <x:v>-0.003705668618403645</x:v>
      </x:c>
      <x:c r="D1196" s="12" t="n">
        <x:v>-0.07453024604879174</x:v>
      </x:c>
      <x:c r="E1196" s="12" t="n">
        <x:v>-0.20053656849835402</x:v>
      </x:c>
    </x:row>
    <x:row r="1197" ht="18" customHeight="1">
      <x:c r="A1197" s="13" t="n">
        <x:v>44389</x:v>
      </x:c>
      <x:c r="B1197" s="12" t="n">
        <x:v>-2</x:v>
      </x:c>
      <x:c r="C1197" s="12" t="n">
        <x:v>0.012403962474664831</x:v>
      </x:c>
      <x:c r="D1197" s="12" t="n">
        <x:v>-0.08253245084054675</x:v>
      </x:c>
      <x:c r="E1197" s="12" t="n">
        <x:v>-0.20710845783609405</x:v>
      </x:c>
    </x:row>
    <x:row r="1198" ht="18" customHeight="1">
      <x:c r="A1198" s="13" t="n">
        <x:v>44390</x:v>
      </x:c>
      <x:c r="B1198" s="12" t="n">
        <x:v>-1</x:v>
      </x:c>
      <x:c r="C1198" s="12" t="n">
        <x:v>0.001827830302187363</x:v>
      </x:c>
      <x:c r="D1198" s="12" t="n">
        <x:v>-0.06334361118052927</x:v>
      </x:c>
      <x:c r="E1198" s="12" t="n">
        <x:v>-0.20448092976077017</x:v>
      </x:c>
    </x:row>
    <x:row r="1199" ht="18" customHeight="1">
      <x:c r="A1199" s="13" t="n">
        <x:v>44391</x:v>
      </x:c>
      <x:c r="B1199" s="12" t="n">
        <x:v>6</x:v>
      </x:c>
      <x:c r="C1199" s="12" t="n">
        <x:v>-0.011543040254654557</x:v>
      </x:c>
      <x:c r="D1199" s="12" t="n">
        <x:v>-0.09327106905182846</x:v>
      </x:c>
      <x:c r="E1199" s="12" t="n">
        <x:v>-0.2046102152027926</x:v>
      </x:c>
    </x:row>
    <x:row r="1200" ht="18" customHeight="1">
      <x:c r="A1200" s="13" t="n">
        <x:v>44392</x:v>
      </x:c>
      <x:c r="B1200" s="12" t="n">
        <x:v>4</x:v>
      </x:c>
      <x:c r="C1200" s="12" t="n">
        <x:v>0.013362333295396704</x:v>
      </x:c>
      <x:c r="D1200" s="12" t="n">
        <x:v>-0.06314594908508124</x:v>
      </x:c>
      <x:c r="E1200" s="12" t="n">
        <x:v>-0.1953421943228816</x:v>
      </x:c>
    </x:row>
    <x:row r="1201" ht="18" customHeight="1">
      <x:c r="A1201" s="13" t="n">
        <x:v>44393</x:v>
      </x:c>
      <x:c r="B1201" s="12" t="n">
        <x:v>4</x:v>
      </x:c>
      <x:c r="C1201" s="12" t="n">
        <x:v>-0.011065621040815304</x:v>
      </x:c>
      <x:c r="D1201" s="12" t="n">
        <x:v>-0.061707662422022386</x:v>
      </x:c>
      <x:c r="E1201" s="12" t="n">
        <x:v>-0.18761434146748315</x:v>
      </x:c>
    </x:row>
    <x:row r="1202" ht="18" customHeight="1">
      <x:c r="A1202" s="13" t="n">
        <x:v>44396</x:v>
      </x:c>
      <x:c r="B1202" s="12" t="n">
        <x:v>26</x:v>
      </x:c>
      <x:c r="C1202" s="12" t="n">
        <x:v>0.0036679723646509273</x:v>
      </x:c>
      <x:c r="D1202" s="12" t="n">
        <x:v>-0.018329107323681204</x:v>
      </x:c>
      <x:c r="E1202" s="12" t="n">
        <x:v>-0.1808725321142358</x:v>
      </x:c>
    </x:row>
    <x:row r="1203" ht="18" customHeight="1">
      <x:c r="A1203" s="13" t="n">
        <x:v>44397</x:v>
      </x:c>
      <x:c r="B1203" s="12" t="n">
        <x:v>-6</x:v>
      </x:c>
      <x:c r="C1203" s="12" t="n">
        <x:v>-0.0008804901559389637</x:v>
      </x:c>
      <x:c r="D1203" s="12" t="n">
        <x:v>-0.012099613762592948</x:v>
      </x:c>
      <x:c r="E1203" s="12" t="n">
        <x:v>-0.1582969374079642</x:v>
      </x:c>
    </x:row>
    <x:row r="1204" ht="18" customHeight="1">
      <x:c r="A1204" s="13" t="n">
        <x:v>44398</x:v>
      </x:c>
      <x:c r="B1204" s="12" t="n">
        <x:v>-14</x:v>
      </x:c>
      <x:c r="C1204" s="12" t="n">
        <x:v>0.006836771750779328</x:v>
      </x:c>
      <x:c r="D1204" s="12" t="n">
        <x:v>-0.06306382516563974</x:v>
      </x:c>
      <x:c r="E1204" s="12" t="n">
        <x:v>-0.16134188105456146</x:v>
      </x:c>
    </x:row>
    <x:row r="1205" ht="18" customHeight="1">
      <x:c r="A1205" s="13" t="n">
        <x:v>44399</x:v>
      </x:c>
      <x:c r="B1205" s="12" t="n">
        <x:v>0</x:v>
      </x:c>
      <x:c r="C1205" s="12" t="n">
        <x:v>0.001497485490911058</x:v>
      </x:c>
      <x:c r="D1205" s="12" t="n">
        <x:v>-0.061993840421213926</x:v>
      </x:c>
      <x:c r="E1205" s="12" t="n">
        <x:v>-0.16374610175820495</x:v>
      </x:c>
    </x:row>
    <x:row r="1206" ht="18" customHeight="1">
      <x:c r="A1206" s="13" t="n">
        <x:v>44400</x:v>
      </x:c>
      <x:c r="B1206" s="12" t="n">
        <x:v>-2</x:v>
      </x:c>
      <x:c r="C1206" s="12" t="n">
        <x:v>-0.012210604347853416</x:v>
      </x:c>
      <x:c r="D1206" s="12" t="n">
        <x:v>-0.052875622038176764</x:v>
      </x:c>
      <x:c r="E1206" s="12" t="n">
        <x:v>-0.1688366388930177</x:v>
      </x:c>
    </x:row>
    <x:row r="1207" ht="18" customHeight="1">
      <x:c r="A1207" s="13" t="n">
        <x:v>44403</x:v>
      </x:c>
      <x:c r="B1207" s="12" t="n">
        <x:v>-1</x:v>
      </x:c>
      <x:c r="C1207" s="12" t="n">
        <x:v>-0.03274120497587915</x:v>
      </x:c>
      <x:c r="D1207" s="12" t="n">
        <x:v>-0.04036254476879508</x:v>
      </x:c>
      <x:c r="E1207" s="12" t="n">
        <x:v>-0.16654820740741688</x:v>
      </x:c>
    </x:row>
    <x:row r="1208" ht="18" customHeight="1">
      <x:c r="A1208" s="13" t="n">
        <x:v>44404</x:v>
      </x:c>
      <x:c r="B1208" s="12" t="n">
        <x:v>6</x:v>
      </x:c>
      <x:c r="C1208" s="12" t="n">
        <x:v>-0.03596398253921202</x:v>
      </x:c>
      <x:c r="D1208" s="12" t="n">
        <x:v>-0.0829215396924421</x:v>
      </x:c>
      <x:c r="E1208" s="12" t="n">
        <x:v>-0.1653390141050549</x:v>
      </x:c>
    </x:row>
    <x:row r="1209" ht="18" customHeight="1">
      <x:c r="A1209" s="13" t="n">
        <x:v>44405</x:v>
      </x:c>
      <x:c r="B1209" s="12" t="n">
        <x:v>-1</x:v>
      </x:c>
      <x:c r="C1209" s="12" t="n">
        <x:v>0.0019280487567601367</x:v>
      </x:c>
      <x:c r="D1209" s="12" t="n">
        <x:v>-0.0932442971029432</x:v>
      </x:c>
      <x:c r="E1209" s="12" t="n">
        <x:v>-0.16443580648129696</x:v>
      </x:c>
    </x:row>
    <x:row r="1210" ht="18" customHeight="1">
      <x:c r="A1210" s="13" t="n">
        <x:v>44406</x:v>
      </x:c>
      <x:c r="B1210" s="12" t="n">
        <x:v>-3</x:v>
      </x:c>
      <x:c r="C1210" s="12" t="n">
        <x:v>0.018686272244641713</x:v>
      </x:c>
      <x:c r="D1210" s="12" t="n">
        <x:v>-0.10534399265315846</x:v>
      </x:c>
      <x:c r="E1210" s="12" t="n">
        <x:v>-0.17970721016593974</x:v>
      </x:c>
    </x:row>
    <x:row r="1211" ht="18" customHeight="1">
      <x:c r="A1211" s="13" t="n">
        <x:v>44407</x:v>
      </x:c>
      <x:c r="B1211" s="12" t="n">
        <x:v>3</x:v>
      </x:c>
      <x:c r="C1211" s="12" t="n">
        <x:v>-0.008095128046081285</x:v>
      </x:c>
      <x:c r="D1211" s="12" t="n">
        <x:v>-0.11443514101740182</x:v>
      </x:c>
      <x:c r="E1211" s="12" t="n">
        <x:v>-0.19515608102628604</x:v>
      </x:c>
    </x:row>
    <x:row r="1212" ht="18" customHeight="1">
      <x:c r="A1212" s="13" t="n">
        <x:v>44410</x:v>
      </x:c>
      <x:c r="B1212" s="12" t="n">
        <x:v>4</x:v>
      </x:c>
      <x:c r="C1212" s="12" t="n">
        <x:v>0.025156316535476436</x:v>
      </x:c>
      <x:c r="D1212" s="12" t="n">
        <x:v>-0.07826704569248082</x:v>
      </x:c>
      <x:c r="E1212" s="12" t="n">
        <x:v>-0.18819924484499276</x:v>
      </x:c>
    </x:row>
    <x:row r="1213" ht="18" customHeight="1">
      <x:c r="A1213" s="13" t="n">
        <x:v>44411</x:v>
      </x:c>
      <x:c r="B1213" s="12" t="n">
        <x:v>6</x:v>
      </x:c>
      <x:c r="C1213" s="12" t="n">
        <x:v>0.00014638949727404575</x:v>
      </x:c>
      <x:c r="D1213" s="12" t="n">
        <x:v>-0.06948524546690582</x:v>
      </x:c>
      <x:c r="E1213" s="12" t="n">
        <x:v>-0.16813177535863416</x:v>
      </x:c>
    </x:row>
    <x:row r="1214" ht="18" customHeight="1">
      <x:c r="A1214" s="13" t="n">
        <x:v>44412</x:v>
      </x:c>
      <x:c r="B1214" s="12" t="n">
        <x:v>0</x:v>
      </x:c>
      <x:c r="C1214" s="12" t="n">
        <x:v>0.00895561900057252</x:v>
      </x:c>
      <x:c r="D1214" s="12" t="n">
        <x:v>-0.06752105585733169</x:v>
      </x:c>
      <x:c r="E1214" s="12" t="n">
        <x:v>-0.16844864483969435</x:v>
      </x:c>
    </x:row>
    <x:row r="1215" ht="18" customHeight="1">
      <x:c r="A1215" s="13" t="n">
        <x:v>44413</x:v>
      </x:c>
      <x:c r="B1215" s="12" t="n">
        <x:v>-5</x:v>
      </x:c>
      <x:c r="C1215" s="12" t="n">
        <x:v>-0.0060796046590891285</x:v>
      </x:c>
      <x:c r="D1215" s="12" t="n">
        <x:v>-0.07025490885092439</x:v>
      </x:c>
      <x:c r="E1215" s="12" t="n">
        <x:v>-0.16627786292754015</x:v>
      </x:c>
    </x:row>
    <x:row r="1216" ht="18" customHeight="1">
      <x:c r="A1216" s="13" t="n">
        <x:v>44414</x:v>
      </x:c>
      <x:c r="B1216" s="12" t="n">
        <x:v>-5</x:v>
      </x:c>
      <x:c r="C1216" s="12" t="n">
        <x:v>-0.005492405832303928</x:v>
      </x:c>
      <x:c r="D1216" s="12" t="n">
        <x:v>-0.06271336078359402</x:v>
      </x:c>
      <x:c r="E1216" s="12" t="n">
        <x:v>-0.16505429877382016</x:v>
      </x:c>
    </x:row>
    <x:row r="1217" ht="18" customHeight="1">
      <x:c r="A1217" s="13" t="n">
        <x:v>44417</x:v>
      </x:c>
      <x:c r="B1217" s="12" t="n">
        <x:v>2</x:v>
      </x:c>
      <x:c r="C1217" s="12" t="n">
        <x:v>0.012919767280224079</x:v>
      </x:c>
      <x:c r="D1217" s="12" t="n">
        <x:v>-0.07393556699433282</x:v>
      </x:c>
      <x:c r="E1217" s="12" t="n">
        <x:v>-0.16030120887402102</x:v>
      </x:c>
    </x:row>
    <x:row r="1218" ht="18" customHeight="1">
      <x:c r="A1218" s="13" t="n">
        <x:v>44418</x:v>
      </x:c>
      <x:c r="B1218" s="12" t="n">
        <x:v>-2</x:v>
      </x:c>
      <x:c r="C1218" s="12" t="n">
        <x:v>0.011484214595109173</x:v>
      </x:c>
      <x:c r="D1218" s="12" t="n">
        <x:v>-0.07717500978043446</x:v>
      </x:c>
      <x:c r="E1218" s="12" t="n">
        <x:v>-0.15995506678908708</x:v>
      </x:c>
    </x:row>
    <x:row r="1219" ht="18" customHeight="1">
      <x:c r="A1219" s="13" t="n">
        <x:v>44419</x:v>
      </x:c>
      <x:c r="B1219" s="12" t="n">
        <x:v>5</x:v>
      </x:c>
      <x:c r="C1219" s="12" t="n">
        <x:v>-0.005529154915563814</x:v>
      </x:c>
      <x:c r="D1219" s="12" t="n">
        <x:v>-0.07621546855149106</x:v>
      </x:c>
      <x:c r="E1219" s="12" t="n">
        <x:v>-0.16276178751234419</x:v>
      </x:c>
    </x:row>
    <x:row r="1220" ht="18" customHeight="1">
      <x:c r="A1220" s="13" t="n">
        <x:v>44420</x:v>
      </x:c>
      <x:c r="B1220" s="12" t="n">
        <x:v>-3</x:v>
      </x:c>
      <x:c r="C1220" s="12" t="n">
        <x:v>-0.008407497086092142</x:v>
      </x:c>
      <x:c r="D1220" s="12" t="n">
        <x:v>-0.0590806289018341</x:v>
      </x:c>
      <x:c r="E1220" s="12" t="n">
        <x:v>-0.15133520471620776</x:v>
      </x:c>
    </x:row>
    <x:row r="1221" ht="18" customHeight="1">
      <x:c r="A1221" s="13" t="n">
        <x:v>44421</x:v>
      </x:c>
      <x:c r="B1221" s="12" t="n">
        <x:v>2</x:v>
      </x:c>
      <x:c r="C1221" s="12" t="n">
        <x:v>-0.005518126518865006</x:v>
      </x:c>
      <x:c r="D1221" s="12" t="n">
        <x:v>-0.06260628247009338</x:v>
      </x:c>
      <x:c r="E1221" s="12" t="n">
        <x:v>-0.1520480034463569</x:v>
      </x:c>
    </x:row>
    <x:row r="1222" ht="18" customHeight="1">
      <x:c r="A1222" s="13" t="n">
        <x:v>44424</x:v>
      </x:c>
      <x:c r="B1222" s="12" t="n">
        <x:v>2</x:v>
      </x:c>
      <x:c r="C1222" s="12" t="n">
        <x:v>-0.0009942905429570182</x:v>
      </x:c>
      <x:c r="D1222" s="12" t="n">
        <x:v>-0.0626620428779027</x:v>
      </x:c>
      <x:c r="E1222" s="12" t="n">
        <x:v>-0.153263323011625</x:v>
      </x:c>
    </x:row>
    <x:row r="1223" ht="18" customHeight="1">
      <x:c r="A1223" s="13" t="n">
        <x:v>44425</x:v>
      </x:c>
      <x:c r="B1223" s="12" t="n">
        <x:v>-1</x:v>
      </x:c>
      <x:c r="C1223" s="12" t="n">
        <x:v>-0.02120333204675759</x:v>
      </x:c>
      <x:c r="D1223" s="12" t="n">
        <x:v>-0.053556745738569805</x:v>
      </x:c>
      <x:c r="E1223" s="12" t="n">
        <x:v>-0.14729428988458937</x:v>
      </x:c>
    </x:row>
    <x:row r="1224" ht="18" customHeight="1">
      <x:c r="A1224" s="13" t="n">
        <x:v>44426</x:v>
      </x:c>
      <x:c r="B1224" s="12" t="n">
        <x:v>-2</x:v>
      </x:c>
      <x:c r="C1224" s="12" t="n">
        <x:v>0.011680587379225442</x:v>
      </x:c>
      <x:c r="D1224" s="12" t="n">
        <x:v>-0.06165315388658907</x:v>
      </x:c>
      <x:c r="E1224" s="12" t="n">
        <x:v>-0.14820352825232885</x:v>
      </x:c>
    </x:row>
    <x:row r="1225" ht="18" customHeight="1">
      <x:c r="A1225" s="13" t="n">
        <x:v>44427</x:v>
      </x:c>
      <x:c r="B1225" s="12" t="n">
        <x:v>7</x:v>
      </x:c>
      <x:c r="C1225" s="12" t="n">
        <x:v>-0.006580129731906379</x:v>
      </x:c>
      <x:c r="D1225" s="12" t="n">
        <x:v>-0.08426028144743909</x:v>
      </x:c>
      <x:c r="E1225" s="12" t="n">
        <x:v>-0.15035896641387692</x:v>
      </x:c>
    </x:row>
    <x:row r="1226" ht="18" customHeight="1">
      <x:c r="A1226" s="13" t="n">
        <x:v>44428</x:v>
      </x:c>
      <x:c r="B1226" s="12" t="n">
        <x:v>-5</x:v>
      </x:c>
      <x:c r="C1226" s="12" t="n">
        <x:v>-0.019285754742048165</x:v>
      </x:c>
      <x:c r="D1226" s="12" t="n">
        <x:v>-0.058401379842341866</x:v>
      </x:c>
      <x:c r="E1226" s="12" t="n">
        <x:v>-0.14530694181778112</x:v>
      </x:c>
    </x:row>
    <x:row r="1227" ht="18" customHeight="1">
      <x:c r="A1227" s="13" t="n">
        <x:v>44431</x:v>
      </x:c>
      <x:c r="B1227" s="12" t="n">
        <x:v>-3</x:v>
      </x:c>
      <x:c r="C1227" s="12" t="n">
        <x:v>0.013869954261612503</x:v>
      </x:c>
      <x:c r="D1227" s="12" t="n">
        <x:v>-0.04727159208560722</x:v>
      </x:c>
      <x:c r="E1227" s="12" t="n">
        <x:v>-0.1464430679373807</x:v>
      </x:c>
    </x:row>
    <x:row r="1228" ht="18" customHeight="1">
      <x:c r="A1228" s="13" t="n">
        <x:v>44432</x:v>
      </x:c>
      <x:c r="B1228" s="12" t="n">
        <x:v>-8</x:v>
      </x:c>
      <x:c r="C1228" s="12" t="n">
        <x:v>0.010800300502617191</x:v>
      </x:c>
      <x:c r="D1228" s="12" t="n">
        <x:v>-0.07219035175696138</x:v>
      </x:c>
      <x:c r="E1228" s="12" t="n">
        <x:v>-0.15017724686405096</x:v>
      </x:c>
    </x:row>
    <x:row r="1229" ht="18" customHeight="1">
      <x:c r="A1229" s="13" t="n">
        <x:v>44433</x:v>
      </x:c>
      <x:c r="B1229" s="12" t="n">
        <x:v>-4</x:v>
      </x:c>
      <x:c r="C1229" s="12" t="n">
        <x:v>0.00199600591372526</x:v>
      </x:c>
      <x:c r="D1229" s="12" t="n">
        <x:v>-0.06983610752190894</x:v>
      </x:c>
      <x:c r="E1229" s="12" t="n">
        <x:v>-0.15300439597417526</x:v>
      </x:c>
    </x:row>
    <x:row r="1230" ht="18" customHeight="1">
      <x:c r="A1230" s="13" t="n">
        <x:v>44434</x:v>
      </x:c>
      <x:c r="B1230" s="12" t="n">
        <x:v>-2</x:v>
      </x:c>
      <x:c r="C1230" s="12" t="n">
        <x:v>-0.019907899364672393</x:v>
      </x:c>
      <x:c r="D1230" s="12" t="n">
        <x:v>-0.059984822986098904</x:v>
      </x:c>
      <x:c r="E1230" s="12" t="n">
        <x:v>-0.14884140248661015</x:v>
      </x:c>
    </x:row>
    <x:row r="1231" ht="18" customHeight="1">
      <x:c r="A1231" s="13" t="n">
        <x:v>44435</x:v>
      </x:c>
      <x:c r="B1231" s="12" t="n">
        <x:v>-3</x:v>
      </x:c>
      <x:c r="C1231" s="12" t="n">
        <x:v>0.005282973630273834</x:v>
      </x:c>
      <x:c r="D1231" s="12" t="n">
        <x:v>-0.0701154719928865</x:v>
      </x:c>
      <x:c r="E1231" s="12" t="n">
        <x:v>-0.14879470565241523</x:v>
      </x:c>
    </x:row>
    <x:row r="1232" ht="18" customHeight="1">
      <x:c r="A1232" s="13" t="n">
        <x:v>44438</x:v>
      </x:c>
      <x:c r="B1232" s="12" t="n">
        <x:v>-1</x:v>
      </x:c>
      <x:c r="C1232" s="12" t="n">
        <x:v>-0.0028573778701406795</x:v>
      </x:c>
      <x:c r="D1232" s="12" t="n">
        <x:v>-0.06928793619159533</x:v>
      </x:c>
      <x:c r="E1232" s="12" t="n">
        <x:v>-0.15693168287020992</x:v>
      </x:c>
    </x:row>
    <x:row r="1233" ht="18" customHeight="1">
      <x:c r="A1233" s="13" t="n">
        <x:v>44439</x:v>
      </x:c>
      <x:c r="B1233" s="12" t="n">
        <x:v>5</x:v>
      </x:c>
      <x:c r="C1233" s="12" t="n">
        <x:v>-0.0015927844947090822</x:v>
      </x:c>
      <x:c r="D1233" s="12" t="n">
        <x:v>-0.07278179313502517</x:v>
      </x:c>
      <x:c r="E1233" s="12" t="n">
        <x:v>-0.16224545616297617</x:v>
      </x:c>
    </x:row>
    <x:row r="1234" ht="18" customHeight="1">
      <x:c r="A1234" s="13" t="n">
        <x:v>44440</x:v>
      </x:c>
      <x:c r="B1234" s="12" t="n">
        <x:v>-2</x:v>
      </x:c>
      <x:c r="C1234" s="12" t="n">
        <x:v>0.013198816371313428</x:v>
      </x:c>
      <x:c r="D1234" s="12" t="n">
        <x:v>-0.08278009308419422</x:v>
      </x:c>
      <x:c r="E1234" s="12" t="n">
        <x:v>-0.16274541379612545</x:v>
      </x:c>
    </x:row>
    <x:row r="1235" ht="18" customHeight="1">
      <x:c r="A1235" s="13" t="n">
        <x:v>44441</x:v>
      </x:c>
      <x:c r="B1235" s="12" t="n">
        <x:v>-3</x:v>
      </x:c>
      <x:c r="C1235" s="12" t="n">
        <x:v>-0.000009734188874249115</x:v>
      </x:c>
      <x:c r="D1235" s="12" t="n">
        <x:v>-0.08399909660538916</x:v>
      </x:c>
      <x:c r="E1235" s="12" t="n">
        <x:v>-0.1634293247492691</x:v>
      </x:c>
    </x:row>
    <x:row r="1236" ht="18" customHeight="1">
      <x:c r="A1236" s="13" t="n">
        <x:v>44442</x:v>
      </x:c>
      <x:c r="B1236" s="12" t="n">
        <x:v>-2</x:v>
      </x:c>
      <x:c r="C1236" s="12" t="n">
        <x:v>-0.005425798916923169</x:v>
      </x:c>
      <x:c r="D1236" s="12" t="n">
        <x:v>-0.08189282243568748</x:v>
      </x:c>
      <x:c r="E1236" s="12" t="n">
        <x:v>-0.16127107657001039</x:v>
      </x:c>
    </x:row>
    <x:row r="1237" ht="18" customHeight="1">
      <x:c r="A1237" s="13" t="n">
        <x:v>44445</x:v>
      </x:c>
      <x:c r="B1237" s="12" t="n">
        <x:v>-1</x:v>
      </x:c>
      <x:c r="C1237" s="12" t="n">
        <x:v>0.01854727615262288</x:v>
      </x:c>
      <x:c r="D1237" s="12" t="n">
        <x:v>-0.08566415265137067</x:v>
      </x:c>
      <x:c r="E1237" s="12" t="n">
        <x:v>-0.16010316227686933</x:v>
      </x:c>
    </x:row>
    <x:row r="1238" ht="18" customHeight="1">
      <x:c r="A1238" s="13" t="n">
        <x:v>44446</x:v>
      </x:c>
      <x:c r="B1238" s="12" t="n">
        <x:v>3</x:v>
      </x:c>
      <x:c r="C1238" s="12" t="n">
        <x:v>0.011908239033383661</x:v>
      </x:c>
      <x:c r="D1238" s="12" t="n">
        <x:v>-0.07320342423684964</x:v>
      </x:c>
      <x:c r="E1238" s="12" t="n">
        <x:v>-0.15563295255977636</x:v>
      </x:c>
    </x:row>
    <x:row r="1239" ht="18" customHeight="1">
      <x:c r="A1239" s="13" t="n">
        <x:v>44447</x:v>
      </x:c>
      <x:c r="B1239" s="12" t="n">
        <x:v>0</x:v>
      </x:c>
      <x:c r="C1239" s="12" t="n">
        <x:v>-0.004153960682764128</x:v>
      </x:c>
      <x:c r="D1239" s="12" t="n">
        <x:v>-0.07567567665625881</x:v>
      </x:c>
      <x:c r="E1239" s="12" t="n">
        <x:v>-0.15575670563193963</x:v>
      </x:c>
    </x:row>
    <x:row r="1240" ht="18" customHeight="1">
      <x:c r="A1240" s="13" t="n">
        <x:v>44448</x:v>
      </x:c>
      <x:c r="B1240" s="12" t="n">
        <x:v>-1</x:v>
      </x:c>
      <x:c r="C1240" s="12" t="n">
        <x:v>-0.0004262862557105811</x:v>
      </x:c>
      <x:c r="D1240" s="12" t="n">
        <x:v>-0.07990781092945276</x:v>
      </x:c>
      <x:c r="E1240" s="12" t="n">
        <x:v>-0.15857017576801094</x:v>
      </x:c>
    </x:row>
    <x:row r="1241" ht="18" customHeight="1">
      <x:c r="A1241" s="13" t="n">
        <x:v>44449</x:v>
      </x:c>
      <x:c r="B1241" s="12" t="n">
        <x:v>-4</x:v>
      </x:c>
      <x:c r="C1241" s="12" t="n">
        <x:v>0.008716126016851936</x:v>
      </x:c>
      <x:c r="D1241" s="12" t="n">
        <x:v>-0.08832915750339065</x:v>
      </x:c>
      <x:c r="E1241" s="12" t="n">
        <x:v>-0.15900134129109034</x:v>
      </x:c>
    </x:row>
    <x:row r="1242" ht="18" customHeight="1">
      <x:c r="A1242" s="13" t="n">
        <x:v>44452</x:v>
      </x:c>
      <x:c r="B1242" s="12" t="n">
        <x:v>-2</x:v>
      </x:c>
      <x:c r="C1242" s="12" t="n">
        <x:v>-0.004370162471732712</x:v>
      </x:c>
      <x:c r="D1242" s="12" t="n">
        <x:v>-0.1087021667994305</x:v>
      </x:c>
      <x:c r="E1242" s="12" t="n">
        <x:v>-0.16269273740736837</x:v>
      </x:c>
    </x:row>
    <x:row r="1243" ht="18" customHeight="1">
      <x:c r="A1243" s="13" t="n">
        <x:v>44453</x:v>
      </x:c>
      <x:c r="B1243" s="12" t="n">
        <x:v>2</x:v>
      </x:c>
      <x:c r="C1243" s="12" t="n">
        <x:v>-0.015037005911300897</x:v>
      </x:c>
      <x:c r="D1243" s="12" t="n">
        <x:v>-0.1194995329231208</x:v>
      </x:c>
      <x:c r="E1243" s="12" t="n">
        <x:v>-0.16338144880957484</x:v>
      </x:c>
    </x:row>
    <x:row r="1244" ht="18" customHeight="1">
      <x:c r="A1244" s="13" t="n">
        <x:v>44454</x:v>
      </x:c>
      <x:c r="B1244" s="12" t="n">
        <x:v>-3</x:v>
      </x:c>
      <x:c r="C1244" s="12" t="n">
        <x:v>-0.010188263271322358</x:v>
      </x:c>
      <x:c r="D1244" s="12" t="n">
        <x:v>-0.11286456722755572</x:v>
      </x:c>
      <x:c r="E1244" s="12" t="n">
        <x:v>-0.16108839387260104</x:v>
      </x:c>
    </x:row>
    <x:row r="1245" ht="18" customHeight="1">
      <x:c r="A1245" s="13" t="n">
        <x:v>44455</x:v>
      </x:c>
      <x:c r="B1245" s="12" t="n">
        <x:v>-2</x:v>
      </x:c>
      <x:c r="C1245" s="12" t="n">
        <x:v>-0.012324868843624045</x:v>
      </x:c>
      <x:c r="D1245" s="12" t="n">
        <x:v>-0.10878415347981248</x:v>
      </x:c>
      <x:c r="E1245" s="12" t="n">
        <x:v>-0.15996519681653687</x:v>
      </x:c>
    </x:row>
    <x:row r="1246" ht="18" customHeight="1">
      <x:c r="A1246" s="13" t="n">
        <x:v>44456</x:v>
      </x:c>
      <x:c r="B1246" s="12" t="n">
        <x:v>-2</x:v>
      </x:c>
      <x:c r="C1246" s="12" t="n">
        <x:v>0.009984397338931174</x:v>
      </x:c>
      <x:c r="D1246" s="12" t="n">
        <x:v>-0.11539636503631225</x:v>
      </x:c>
      <x:c r="E1246" s="12" t="n">
        <x:v>-0.15837263256794692</x:v>
      </x:c>
    </x:row>
    <x:row r="1247" ht="18" customHeight="1">
      <x:c r="A1247" s="13" t="n">
        <x:v>44461</x:v>
      </x:c>
      <x:c r="B1247" s="12" t="n">
        <x:v>-8</x:v>
      </x:c>
      <x:c r="C1247" s="12" t="n">
        <x:v>-0.0070621769302446555</x:v>
      </x:c>
      <x:c r="D1247" s="12" t="n">
        <x:v>-0.09933380553873287</x:v>
      </x:c>
      <x:c r="E1247" s="12" t="n">
        <x:v>-0.1519673663565139</x:v>
      </x:c>
    </x:row>
    <x:row r="1248" ht="18" customHeight="1">
      <x:c r="A1248" s="13" t="n">
        <x:v>44462</x:v>
      </x:c>
      <x:c r="B1248" s="12" t="n">
        <x:v>-6</x:v>
      </x:c>
      <x:c r="C1248" s="12" t="n">
        <x:v>0.0064968330929834825</x:v>
      </x:c>
      <x:c r="D1248" s="12" t="n">
        <x:v>-0.1061605263741422</x:v>
      </x:c>
      <x:c r="E1248" s="12" t="n">
        <x:v>-0.15352072910484293</x:v>
      </x:c>
    </x:row>
    <x:row r="1249" ht="18" customHeight="1">
      <x:c r="A1249" s="13" t="n">
        <x:v>44463</x:v>
      </x:c>
      <x:c r="B1249" s="12" t="n">
        <x:v>2</x:v>
      </x:c>
      <x:c r="C1249" s="12" t="n">
        <x:v>-0.0007766971949922549</x:v>
      </x:c>
      <x:c r="D1249" s="12" t="n">
        <x:v>-0.09200230499798709</x:v>
      </x:c>
      <x:c r="E1249" s="12" t="n">
        <x:v>-0.15780904849891517</x:v>
      </x:c>
    </x:row>
    <x:row r="1250" ht="18" customHeight="1">
      <x:c r="A1250" s="13" t="n">
        <x:v>44466</x:v>
      </x:c>
      <x:c r="B1250" s="12" t="n">
        <x:v>1</x:v>
      </x:c>
      <x:c r="C1250" s="12" t="n">
        <x:v>0.005745401168918581</x:v>
      </x:c>
      <x:c r="D1250" s="12" t="n">
        <x:v>-0.09069096950437801</x:v>
      </x:c>
      <x:c r="E1250" s="12" t="n">
        <x:v>-0.16820056316788398</x:v>
      </x:c>
    </x:row>
    <x:row r="1251" ht="18" customHeight="1">
      <x:c r="A1251" s="13" t="n">
        <x:v>44467</x:v>
      </x:c>
      <x:c r="B1251" s="12" t="n">
        <x:v>7</x:v>
      </x:c>
      <x:c r="C1251" s="12" t="n">
        <x:v>0.0013232394373443024</x:v>
      </x:c>
      <x:c r="D1251" s="12" t="n">
        <x:v>-0.09039243773416969</x:v>
      </x:c>
      <x:c r="E1251" s="12" t="n">
        <x:v>-0.16734925908228784</x:v>
      </x:c>
    </x:row>
    <x:row r="1252" ht="18" customHeight="1">
      <x:c r="A1252" s="13" t="n">
        <x:v>44468</x:v>
      </x:c>
      <x:c r="B1252" s="12" t="n">
        <x:v>-4</x:v>
      </x:c>
      <x:c r="C1252" s="12" t="n">
        <x:v>-0.010269930232940807</x:v>
      </x:c>
      <x:c r="D1252" s="12" t="n">
        <x:v>-0.08345120715436519</x:v>
      </x:c>
      <x:c r="E1252" s="12" t="n">
        <x:v>-0.1684752818535704</x:v>
      </x:c>
    </x:row>
    <x:row r="1253" ht="18" customHeight="1">
      <x:c r="A1253" s="13" t="n">
        <x:v>44469</x:v>
      </x:c>
      <x:c r="B1253" s="12" t="n">
        <x:v>6</x:v>
      </x:c>
      <x:c r="C1253" s="12" t="n">
        <x:v>0.0066914601194143246</x:v>
      </x:c>
      <x:c r="D1253" s="12" t="n">
        <x:v>-0.06949852803139814</x:v>
      </x:c>
      <x:c r="E1253" s="12" t="n">
        <x:v>-0.1655302175911786</x:v>
      </x:c>
    </x:row>
    <x:row r="1254" ht="18" customHeight="1">
      <x:c r="A1254" s="13" t="n">
        <x:v>44477</x:v>
      </x:c>
      <x:c r="B1254" s="12" t="n">
        <x:v>1</x:v>
      </x:c>
      <x:c r="C1254" s="12" t="n">
        <x:v>0.01297613167354878</x:v>
      </x:c>
      <x:c r="D1254" s="12" t="n">
        <x:v>-0.053147526032363654</x:v>
      </x:c>
      <x:c r="E1254" s="12" t="n">
        <x:v>-0.16309635521003002</x:v>
      </x:c>
    </x:row>
    <x:row r="1255" ht="18" customHeight="1">
      <x:c r="A1255" s="13" t="n">
        <x:v>44480</x:v>
      </x:c>
      <x:c r="B1255" s="12" t="n">
        <x:v>0</x:v>
      </x:c>
      <x:c r="C1255" s="12" t="n">
        <x:v>0.0012671430694210562</x:v>
      </x:c>
      <x:c r="D1255" s="12" t="n">
        <x:v>-0.05279295170055144</x:v>
      </x:c>
      <x:c r="E1255" s="12" t="n">
        <x:v>-0.16545998910982937</x:v>
      </x:c>
    </x:row>
    <x:row r="1256" ht="18" customHeight="1">
      <x:c r="A1256" s="13" t="n">
        <x:v>44481</x:v>
      </x:c>
      <x:c r="B1256" s="12" t="n">
        <x:v>8</x:v>
      </x:c>
      <x:c r="C1256" s="12" t="n">
        <x:v>-0.010662982290104397</x:v>
      </x:c>
      <x:c r="D1256" s="12" t="n">
        <x:v>-0.07179335441013725</x:v>
      </x:c>
      <x:c r="E1256" s="12" t="n">
        <x:v>-0.16759629794447142</x:v>
      </x:c>
    </x:row>
    <x:row r="1257" ht="18" customHeight="1">
      <x:c r="A1257" s="13" t="n">
        <x:v>44482</x:v>
      </x:c>
      <x:c r="B1257" s="12" t="n">
        <x:v>-3</x:v>
      </x:c>
      <x:c r="C1257" s="12" t="n">
        <x:v>0.011456214558820853</x:v>
      </x:c>
      <x:c r="D1257" s="12" t="n">
        <x:v>-0.08056132743926592</x:v>
      </x:c>
      <x:c r="E1257" s="12" t="n">
        <x:v>-0.17248914095747553</x:v>
      </x:c>
    </x:row>
    <x:row r="1258" ht="18" customHeight="1">
      <x:c r="A1258" s="13" t="n">
        <x:v>44483</x:v>
      </x:c>
      <x:c r="B1258" s="12" t="n">
        <x:v>-7</x:v>
      </x:c>
      <x:c r="C1258" s="12" t="n">
        <x:v>-0.005378001533710975</x:v>
      </x:c>
      <x:c r="D1258" s="12" t="n">
        <x:v>-0.051402454067271376</x:v>
      </x:c>
      <x:c r="E1258" s="12" t="n">
        <x:v>-0.16318550375084687</x:v>
      </x:c>
    </x:row>
    <x:row r="1259" ht="18" customHeight="1">
      <x:c r="A1259" s="13" t="n">
        <x:v>44484</x:v>
      </x:c>
      <x:c r="B1259" s="12" t="n">
        <x:v>-6</x:v>
      </x:c>
      <x:c r="C1259" s="12" t="n">
        <x:v>0.0037571900162288</x:v>
      </x:c>
      <x:c r="D1259" s="12" t="n">
        <x:v>-0.0630638249823797</x:v>
      </x:c>
      <x:c r="E1259" s="12" t="n">
        <x:v>-0.1620581722432861</x:v>
      </x:c>
    </x:row>
    <x:row r="1260" ht="18" customHeight="1">
      <x:c r="A1260" s="13" t="n">
        <x:v>44487</x:v>
      </x:c>
      <x:c r="B1260" s="12" t="n">
        <x:v>-1</x:v>
      </x:c>
      <x:c r="C1260" s="12" t="n">
        <x:v>-0.011692552893949727</x:v>
      </x:c>
      <x:c r="D1260" s="12" t="n">
        <x:v>-0.05560393795604617</x:v>
      </x:c>
      <x:c r="E1260" s="12" t="n">
        <x:v>-0.16221323314382463</x:v>
      </x:c>
    </x:row>
    <x:row r="1261" ht="18" customHeight="1">
      <x:c r="A1261" s="13" t="n">
        <x:v>44488</x:v>
      </x:c>
      <x:c r="B1261" s="12" t="n">
        <x:v>-2</x:v>
      </x:c>
      <x:c r="C1261" s="12" t="n">
        <x:v>0.009787862236965015</x:v>
      </x:c>
      <x:c r="D1261" s="12" t="n">
        <x:v>-0.05931395972663984</x:v>
      </x:c>
      <x:c r="E1261" s="12" t="n">
        <x:v>-0.1483269292789024</x:v>
      </x:c>
    </x:row>
    <x:row r="1262" ht="18" customHeight="1">
      <x:c r="A1262" s="13" t="n">
        <x:v>44489</x:v>
      </x:c>
      <x:c r="B1262" s="12" t="n">
        <x:v>-2</x:v>
      </x:c>
      <x:c r="C1262" s="12" t="n">
        <x:v>-0.002550335475766727</x:v>
      </x:c>
      <x:c r="D1262" s="12" t="n">
        <x:v>-0.041851141291205755</x:v>
      </x:c>
      <x:c r="E1262" s="12" t="n">
        <x:v>-0.14822539421521339</x:v>
      </x:c>
    </x:row>
    <x:row r="1263" ht="18" customHeight="1">
      <x:c r="A1263" s="13" t="n">
        <x:v>44490</x:v>
      </x:c>
      <x:c r="B1263" s="12" t="n">
        <x:v>-4</x:v>
      </x:c>
      <x:c r="C1263" s="12" t="n">
        <x:v>0.003624853969590148</x:v>
      </x:c>
      <x:c r="D1263" s="12" t="n">
        <x:v>-0.062404622285237285</x:v>
      </x:c>
      <x:c r="E1263" s="12" t="n">
        <x:v>-0.14817392044580938</x:v>
      </x:c>
    </x:row>
    <x:row r="1264" ht="18" customHeight="1">
      <x:c r="A1264" s="13" t="n">
        <x:v>44491</x:v>
      </x:c>
      <x:c r="B1264" s="12" t="n">
        <x:v>4</x:v>
      </x:c>
      <x:c r="C1264" s="12" t="n">
        <x:v>0.006413984490404525</x:v>
      </x:c>
      <x:c r="D1264" s="12" t="n">
        <x:v>-0.04208213175882613</x:v>
      </x:c>
      <x:c r="E1264" s="12" t="n">
        <x:v>-0.14633723788923145</x:v>
      </x:c>
    </x:row>
    <x:row r="1265" ht="18" customHeight="1">
      <x:c r="A1265" s="13" t="n">
        <x:v>44494</x:v>
      </x:c>
      <x:c r="B1265" s="12" t="n">
        <x:v>4</x:v>
      </x:c>
      <x:c r="C1265" s="12" t="n">
        <x:v>0.003983827426725137</x:v>
      </x:c>
      <x:c r="D1265" s="12" t="n">
        <x:v>-0.08306565880128051</x:v>
      </x:c>
      <x:c r="E1265" s="12" t="n">
        <x:v>-0.14617784812254084</x:v>
      </x:c>
    </x:row>
    <x:row r="1266" ht="18" customHeight="1">
      <x:c r="A1266" s="13" t="n">
        <x:v>44495</x:v>
      </x:c>
      <x:c r="B1266" s="12" t="n">
        <x:v>-2</x:v>
      </x:c>
      <x:c r="C1266" s="12" t="n">
        <x:v>-0.003303980601285361</x:v>
      </x:c>
      <x:c r="D1266" s="12" t="n">
        <x:v>-0.08366027754893345</x:v>
      </x:c>
      <x:c r="E1266" s="12" t="n">
        <x:v>-0.14266271459106583</x:v>
      </x:c>
    </x:row>
    <x:row r="1267" ht="18" customHeight="1">
      <x:c r="A1267" s="13" t="n">
        <x:v>44496</x:v>
      </x:c>
      <x:c r="B1267" s="12" t="n">
        <x:v>2</x:v>
      </x:c>
      <x:c r="C1267" s="12" t="n">
        <x:v>-0.01316970043948072</x:v>
      </x:c>
      <x:c r="D1267" s="12" t="n">
        <x:v>-0.06699074853928344</x:v>
      </x:c>
      <x:c r="E1267" s="12" t="n">
        <x:v>-0.1471704288489792</x:v>
      </x:c>
    </x:row>
    <x:row r="1268" ht="18" customHeight="1">
      <x:c r="A1268" s="13" t="n">
        <x:v>44497</x:v>
      </x:c>
      <x:c r="B1268" s="12" t="n">
        <x:v>-3</x:v>
      </x:c>
      <x:c r="C1268" s="12" t="n">
        <x:v>-0.0069710067150644435</x:v>
      </x:c>
      <x:c r="D1268" s="12" t="n">
        <x:v>-0.061848990009946925</x:v>
      </x:c>
      <x:c r="E1268" s="12" t="n">
        <x:v>-0.1458125462301855</x:v>
      </x:c>
    </x:row>
    <x:row r="1269" ht="18" customHeight="1">
      <x:c r="A1269" s="13" t="n">
        <x:v>44498</x:v>
      </x:c>
      <x:c r="B1269" s="12" t="n">
        <x:v>0</x:v>
      </x:c>
      <x:c r="C1269" s="12" t="n">
        <x:v>0.009133905658576713</x:v>
      </x:c>
      <x:c r="D1269" s="12" t="n">
        <x:v>-0.065669487031458</x:v>
      </x:c>
      <x:c r="E1269" s="12" t="n">
        <x:v>-0.14476777023217557</x:v>
      </x:c>
    </x:row>
    <x:row r="1270" ht="18" customHeight="1">
      <x:c r="A1270" s="13" t="n">
        <x:v>44501</x:v>
      </x:c>
      <x:c r="B1270" s="12" t="n">
        <x:v>1</x:v>
      </x:c>
      <x:c r="C1270" s="12" t="n">
        <x:v>-0.0036910257076337187</x:v>
      </x:c>
      <x:c r="D1270" s="12" t="n">
        <x:v>-0.07740942660700727</x:v>
      </x:c>
      <x:c r="E1270" s="12" t="n">
        <x:v>-0.14501136534156156</x:v>
      </x:c>
    </x:row>
    <x:row r="1271" ht="18" customHeight="1">
      <x:c r="A1271" s="13" t="n">
        <x:v>44502</x:v>
      </x:c>
      <x:c r="B1271" s="12" t="n">
        <x:v>5</x:v>
      </x:c>
      <x:c r="C1271" s="12" t="n">
        <x:v>-0.010449555867797935</x:v>
      </x:c>
      <x:c r="D1271" s="12" t="n">
        <x:v>-0.009568270433801079</x:v>
      </x:c>
      <x:c r="E1271" s="12" t="n">
        <x:v>-0.14837766618087203</x:v>
      </x:c>
    </x:row>
    <x:row r="1272" ht="18" customHeight="1">
      <x:c r="A1272" s="13" t="n">
        <x:v>44503</x:v>
      </x:c>
      <x:c r="B1272" s="12" t="n">
        <x:v>-3</x:v>
      </x:c>
      <x:c r="C1272" s="12" t="n">
        <x:v>-0.00387825394886795</x:v>
      </x:c>
      <x:c r="D1272" s="12" t="n">
        <x:v>-0.005032935522160089</x:v>
      </x:c>
      <x:c r="E1272" s="12" t="n">
        <x:v>-0.14888185859058417</x:v>
      </x:c>
    </x:row>
    <x:row r="1273" ht="18" customHeight="1">
      <x:c r="A1273" s="13" t="n">
        <x:v>44504</x:v>
      </x:c>
      <x:c r="B1273" s="12" t="n">
        <x:v>1</x:v>
      </x:c>
      <x:c r="C1273" s="12" t="n">
        <x:v>0.00983098085796393</x:v>
      </x:c>
      <x:c r="D1273" s="12" t="n">
        <x:v>0.020885893719436575</x:v>
      </x:c>
      <x:c r="E1273" s="12" t="n">
        <x:v>-0.14780496061580495</x:v>
      </x:c>
    </x:row>
    <x:row r="1274" ht="18" customHeight="1">
      <x:c r="A1274" s="13" t="n">
        <x:v>44505</x:v>
      </x:c>
      <x:c r="B1274" s="12" t="n">
        <x:v>-7</x:v>
      </x:c>
      <x:c r="C1274" s="12" t="n">
        <x:v>-0.005436294228423467</x:v>
      </x:c>
      <x:c r="D1274" s="12" t="n">
        <x:v>0.0482661623478315</x:v>
      </x:c>
      <x:c r="E1274" s="12" t="n">
        <x:v>-0.14579075365965027</x:v>
      </x:c>
    </x:row>
    <x:row r="1275" ht="18" customHeight="1">
      <x:c r="A1275" s="13" t="n">
        <x:v>44508</x:v>
      </x:c>
      <x:c r="B1275" s="12" t="n">
        <x:v>-9</x:v>
      </x:c>
      <x:c r="C1275" s="12" t="n">
        <x:v>0.0012040009234010089</x:v>
      </x:c>
      <x:c r="D1275" s="12" t="n">
        <x:v>-0.008203698266343418</x:v>
      </x:c>
      <x:c r="E1275" s="12" t="n">
        <x:v>-0.14624237087128997</x:v>
      </x:c>
    </x:row>
    <x:row r="1276" ht="18" customHeight="1">
      <x:c r="A1276" s="13" t="n">
        <x:v>44509</x:v>
      </x:c>
      <x:c r="B1276" s="12" t="n">
        <x:v>5</x:v>
      </x:c>
      <x:c r="C1276" s="12" t="n">
        <x:v>-0.0002960518360504767</x:v>
      </x:c>
      <x:c r="D1276" s="12" t="n">
        <x:v>-0.009609199948257303</x:v>
      </x:c>
      <x:c r="E1276" s="12" t="n">
        <x:v>-0.14653711375169443</x:v>
      </x:c>
    </x:row>
    <x:row r="1277" ht="18" customHeight="1">
      <x:c r="A1277" s="13" t="n">
        <x:v>44510</x:v>
      </x:c>
      <x:c r="B1277" s="12" t="n">
        <x:v>-2</x:v>
      </x:c>
      <x:c r="C1277" s="12" t="n">
        <x:v>-0.005285917721553265</x:v>
      </x:c>
      <x:c r="D1277" s="12" t="n">
        <x:v>-0.011254844807369543</x:v>
      </x:c>
      <x:c r="E1277" s="12" t="n">
        <x:v>-0.14309763975227655</x:v>
      </x:c>
    </x:row>
    <x:row r="1278" ht="18" customHeight="1">
      <x:c r="A1278" s="13" t="n">
        <x:v>44511</x:v>
      </x:c>
      <x:c r="B1278" s="12" t="n">
        <x:v>0</x:v>
      </x:c>
      <x:c r="C1278" s="12" t="n">
        <x:v>0.01593894485071449</x:v>
      </x:c>
      <x:c r="D1278" s="12" t="n">
        <x:v>-0.014905422207827724</x:v>
      </x:c>
      <x:c r="E1278" s="12" t="n">
        <x:v>-0.142283155857188</x:v>
      </x:c>
    </x:row>
    <x:row r="1279" ht="18" customHeight="1">
      <x:c r="A1279" s="13" t="n">
        <x:v>44512</x:v>
      </x:c>
      <x:c r="B1279" s="12" t="n">
        <x:v>3</x:v>
      </x:c>
      <x:c r="C1279" s="12" t="n">
        <x:v>-0.002100331988095335</x:v>
      </x:c>
      <x:c r="D1279" s="12" t="n">
        <x:v>-0.028203025416699074</x:v>
      </x:c>
      <x:c r="E1279" s="12" t="n">
        <x:v>-0.156780601897318</x:v>
      </x:c>
    </x:row>
    <x:row r="1280" ht="18" customHeight="1">
      <x:c r="A1280" s="13" t="n">
        <x:v>44515</x:v>
      </x:c>
      <x:c r="B1280" s="12" t="n">
        <x:v>1</x:v>
      </x:c>
      <x:c r="C1280" s="12" t="n">
        <x:v>-0.0012275821522954918</x:v>
      </x:c>
      <x:c r="D1280" s="12" t="n">
        <x:v>-0.04581728381307583</x:v>
      </x:c>
      <x:c r="E1280" s="12" t="n">
        <x:v>-0.15588259687494682</x:v>
      </x:c>
    </x:row>
    <x:row r="1281" ht="18" customHeight="1">
      <x:c r="A1281" s="13" t="n">
        <x:v>44516</x:v>
      </x:c>
      <x:c r="B1281" s="12" t="n">
        <x:v>2</x:v>
      </x:c>
      <x:c r="C1281" s="12" t="n">
        <x:v>0.00019310447117343</x:v>
      </x:c>
      <x:c r="D1281" s="12" t="n">
        <x:v>-0.038651781853059564</x:v>
      </x:c>
      <x:c r="E1281" s="12" t="n">
        <x:v>-0.1555609052337592</x:v>
      </x:c>
    </x:row>
    <x:row r="1282" ht="18" customHeight="1">
      <x:c r="A1282" s="13" t="n">
        <x:v>44517</x:v>
      </x:c>
      <x:c r="B1282" s="12" t="n">
        <x:v>5</x:v>
      </x:c>
      <x:c r="C1282" s="12" t="n">
        <x:v>0.000498266222820992</x:v>
      </x:c>
      <x:c r="D1282" s="12" t="n">
        <x:v>-0.023077868853701965</x:v>
      </x:c>
      <x:c r="E1282" s="12" t="n">
        <x:v>-0.15378547480429944</x:v>
      </x:c>
    </x:row>
    <x:row r="1283" ht="18" customHeight="1">
      <x:c r="A1283" s="13" t="n">
        <x:v>44518</x:v>
      </x:c>
      <x:c r="B1283" s="12" t="n">
        <x:v>2</x:v>
      </x:c>
      <x:c r="C1283" s="12" t="n">
        <x:v>-0.009901151325949787</x:v>
      </x:c>
      <x:c r="D1283" s="12" t="n">
        <x:v>-0.04294415228292749</x:v>
      </x:c>
      <x:c r="E1283" s="12" t="n">
        <x:v>-0.1466303642997008</x:v>
      </x:c>
    </x:row>
    <x:row r="1284" ht="18" customHeight="1">
      <x:c r="A1284" s="13" t="n">
        <x:v>44519</x:v>
      </x:c>
      <x:c r="B1284" s="12" t="n">
        <x:v>5</x:v>
      </x:c>
      <x:c r="C1284" s="12" t="n">
        <x:v>0.010781507928948286</x:v>
      </x:c>
      <x:c r="D1284" s="12" t="n">
        <x:v>-0.008399503749767688</x:v>
      </x:c>
      <x:c r="E1284" s="12" t="n">
        <x:v>-0.1371161486173863</x:v>
      </x:c>
    </x:row>
    <x:row r="1285" ht="18" customHeight="1">
      <x:c r="A1285" s="13" t="n">
        <x:v>44522</x:v>
      </x:c>
      <x:c r="B1285" s="12" t="n">
        <x:v>-6</x:v>
      </x:c>
      <x:c r="C1285" s="12" t="n">
        <x:v>0.004558355078732283</x:v>
      </x:c>
      <x:c r="D1285" s="12" t="n">
        <x:v>-0.018349298422465247</x:v>
      </x:c>
      <x:c r="E1285" s="12" t="n">
        <x:v>-0.12528620861245657</x:v>
      </x:c>
    </x:row>
    <x:row r="1286" ht="18" customHeight="1">
      <x:c r="A1286" s="13" t="n">
        <x:v>44523</x:v>
      </x:c>
      <x:c r="B1286" s="12" t="n">
        <x:v>12</x:v>
      </x:c>
      <x:c r="C1286" s="12" t="n">
        <x:v>0.00019269786297804745</x:v>
      </x:c>
      <x:c r="D1286" s="12" t="n">
        <x:v>-0.020858844345624086</x:v>
      </x:c>
      <x:c r="E1286" s="12" t="n">
        <x:v>-0.12459895439396039</x:v>
      </x:c>
    </x:row>
    <x:row r="1287" ht="18" customHeight="1">
      <x:c r="A1287" s="13" t="n">
        <x:v>44524</x:v>
      </x:c>
      <x:c r="B1287" s="12" t="n">
        <x:v>2</x:v>
      </x:c>
      <x:c r="C1287" s="12" t="n">
        <x:v>0.0006738960147175844</x:v>
      </x:c>
      <x:c r="D1287" s="12" t="n">
        <x:v>-0.012924158814844898</x:v>
      </x:c>
      <x:c r="E1287" s="12" t="n">
        <x:v>-0.08584167499491067</x:v>
      </x:c>
    </x:row>
    <x:row r="1288" ht="18" customHeight="1">
      <x:c r="A1288" s="13" t="n">
        <x:v>44525</x:v>
      </x:c>
      <x:c r="B1288" s="12" t="n">
        <x:v>0</x:v>
      </x:c>
      <x:c r="C1288" s="12" t="n">
        <x:v>-0.004120273844247433</x:v>
      </x:c>
      <x:c r="D1288" s="12" t="n">
        <x:v>0.007943471365900824</x:v>
      </x:c>
      <x:c r="E1288" s="12" t="n">
        <x:v>-0.08199221129375277</x:v>
      </x:c>
    </x:row>
    <x:row r="1289" ht="18" customHeight="1">
      <x:c r="A1289" s="13" t="n">
        <x:v>44526</x:v>
      </x:c>
      <x:c r="B1289" s="12" t="n">
        <x:v>30</x:v>
      </x:c>
      <x:c r="C1289" s="12" t="n">
        <x:v>-0.007444270840791316</x:v>
      </x:c>
      <x:c r="D1289" s="12" t="n">
        <x:v>-0.10418010934523139</x:v>
      </x:c>
      <x:c r="E1289" s="12" t="n">
        <x:v>-0.09041224334437524</x:v>
      </x:c>
    </x:row>
    <x:row r="1290" ht="18" customHeight="1">
      <x:c r="A1290" s="13" t="n">
        <x:v>44529</x:v>
      </x:c>
      <x:c r="B1290" s="12" t="n">
        <x:v>-9</x:v>
      </x:c>
      <x:c r="C1290" s="12" t="n">
        <x:v>-0.0017924024029635618</x:v>
      </x:c>
      <x:c r="D1290" s="12" t="n">
        <x:v>-0.08465262217715057</x:v>
      </x:c>
      <x:c r="E1290" s="12" t="n">
        <x:v>-0.09446288556843031</x:v>
      </x:c>
    </x:row>
    <x:row r="1291" ht="18" customHeight="1">
      <x:c r="A1291" s="13" t="n">
        <x:v>44530</x:v>
      </x:c>
      <x:c r="B1291" s="12" t="n">
        <x:v>14</x:v>
      </x:c>
      <x:c r="C1291" s="12" t="n">
        <x:v>-0.004006222564540432</x:v>
      </x:c>
      <x:c r="D1291" s="12" t="n">
        <x:v>-0.07202022601084421</x:v>
      </x:c>
      <x:c r="E1291" s="12" t="n">
        <x:v>-0.0958224804437108</x:v>
      </x:c>
    </x:row>
    <x:row r="1292" ht="18" customHeight="1">
      <x:c r="A1292" s="13" t="n">
        <x:v>44531</x:v>
      </x:c>
      <x:c r="B1292" s="12" t="n">
        <x:v>-9</x:v>
      </x:c>
      <x:c r="C1292" s="12" t="n">
        <x:v>0.0024442241022921175</x:v>
      </x:c>
      <x:c r="D1292" s="12" t="n">
        <x:v>-0.07588295968219419</x:v>
      </x:c>
      <x:c r="E1292" s="12" t="n">
        <x:v>-0.0900586581916803</x:v>
      </x:c>
    </x:row>
    <x:row r="1293" ht="18" customHeight="1">
      <x:c r="A1293" s="13" t="n">
        <x:v>44532</x:v>
      </x:c>
      <x:c r="B1293" s="12" t="n">
        <x:v>-4</x:v>
      </x:c>
      <x:c r="C1293" s="12" t="n">
        <x:v>0.002538554400397358</x:v>
      </x:c>
      <x:c r="D1293" s="12" t="n">
        <x:v>-0.0982723591745939</x:v>
      </x:c>
      <x:c r="E1293" s="12" t="n">
        <x:v>-0.0907661252746566</x:v>
      </x:c>
    </x:row>
    <x:row r="1294" ht="18" customHeight="1">
      <x:c r="A1294" s="13" t="n">
        <x:v>44533</x:v>
      </x:c>
      <x:c r="B1294" s="12" t="n">
        <x:v>2</x:v>
      </x:c>
      <x:c r="C1294" s="12" t="n">
        <x:v>0.009194216705463765</x:v>
      </x:c>
      <x:c r="D1294" s="12" t="n">
        <x:v>-0.08652189760272884</x:v>
      </x:c>
      <x:c r="E1294" s="12" t="n">
        <x:v>-0.08955890560458273</x:v>
      </x:c>
    </x:row>
    <x:row r="1295" ht="18" customHeight="1">
      <x:c r="A1295" s="13" t="n">
        <x:v>44536</x:v>
      </x:c>
      <x:c r="B1295" s="12" t="n">
        <x:v>-15</x:v>
      </x:c>
      <x:c r="C1295" s="12" t="n">
        <x:v>-0.0017147053453223631</x:v>
      </x:c>
      <x:c r="D1295" s="12" t="n">
        <x:v>-0.07390171936740984</x:v>
      </x:c>
      <x:c r="E1295" s="12" t="n">
        <x:v>-0.09014770748370259</x:v>
      </x:c>
    </x:row>
    <x:row r="1296" ht="18" customHeight="1">
      <x:c r="A1296" s="13" t="n">
        <x:v>44537</x:v>
      </x:c>
      <x:c r="B1296" s="12" t="n">
        <x:v>-25</x:v>
      </x:c>
      <x:c r="C1296" s="12" t="n">
        <x:v>0.006007442179166062</x:v>
      </x:c>
      <x:c r="D1296" s="12" t="n">
        <x:v>-0.10479045730899293</x:v>
      </x:c>
      <x:c r="E1296" s="12" t="n">
        <x:v>-0.09601953470938757</x:v>
      </x:c>
    </x:row>
    <x:row r="1297" ht="18" customHeight="1">
      <x:c r="A1297" s="13" t="n">
        <x:v>44538</x:v>
      </x:c>
      <x:c r="B1297" s="12" t="n">
        <x:v>5</x:v>
      </x:c>
      <x:c r="C1297" s="12" t="n">
        <x:v>0.014887967468882464</x:v>
      </x:c>
      <x:c r="D1297" s="12" t="n">
        <x:v>-0.07490451548219383</x:v>
      </x:c>
      <x:c r="E1297" s="12" t="n">
        <x:v>-0.08674743914726289</x:v>
      </x:c>
    </x:row>
    <x:row r="1298" ht="18" customHeight="1">
      <x:c r="A1298" s="13" t="n">
        <x:v>44539</x:v>
      </x:c>
      <x:c r="B1298" s="12" t="n">
        <x:v>4</x:v>
      </x:c>
      <x:c r="C1298" s="12" t="n">
        <x:v>0.016429833085919086</x:v>
      </x:c>
      <x:c r="D1298" s="12" t="n">
        <x:v>-0.05358975751786</x:v>
      </x:c>
      <x:c r="E1298" s="12" t="n">
        <x:v>-0.08678654988531771</x:v>
      </x:c>
    </x:row>
    <x:row r="1299" ht="18" customHeight="1">
      <x:c r="A1299" s="13" t="n">
        <x:v>44540</x:v>
      </x:c>
      <x:c r="B1299" s="12" t="n">
        <x:v>4</x:v>
      </x:c>
      <x:c r="C1299" s="12" t="n">
        <x:v>-0.004652336840489615</x:v>
      </x:c>
      <x:c r="D1299" s="12" t="n">
        <x:v>-0.06291619779704903</x:v>
      </x:c>
      <x:c r="E1299" s="12" t="n">
        <x:v>-0.08620869183134494</x:v>
      </x:c>
    </x:row>
    <x:row r="1300" ht="18" customHeight="1">
      <x:c r="A1300" s="13" t="n">
        <x:v>44543</x:v>
      </x:c>
      <x:c r="B1300" s="12" t="n">
        <x:v>4</x:v>
      </x:c>
      <x:c r="C1300" s="12" t="n">
        <x:v>0.0056581139735559045</x:v>
      </x:c>
      <x:c r="D1300" s="12" t="n">
        <x:v>-0.054414910406016086</x:v>
      </x:c>
      <x:c r="E1300" s="12" t="n">
        <x:v>-0.08458600592176883</x:v>
      </x:c>
    </x:row>
    <x:row r="1301" ht="18" customHeight="1">
      <x:c r="A1301" s="13" t="n">
        <x:v>44544</x:v>
      </x:c>
      <x:c r="B1301" s="12" t="n">
        <x:v>2</x:v>
      </x:c>
      <x:c r="C1301" s="12" t="n">
        <x:v>-0.006731246309327015</x:v>
      </x:c>
      <x:c r="D1301" s="12" t="n">
        <x:v>-0.06990429240484881</x:v>
      </x:c>
      <x:c r="E1301" s="12" t="n">
        <x:v>-0.08760297625526177</x:v>
      </x:c>
    </x:row>
    <x:row r="1302" ht="18" customHeight="1">
      <x:c r="A1302" s="13" t="n">
        <x:v>44545</x:v>
      </x:c>
      <x:c r="B1302" s="12" t="n">
        <x:v>-2</x:v>
      </x:c>
      <x:c r="C1302" s="12" t="n">
        <x:v>-0.008710867839850396</x:v>
      </x:c>
      <x:c r="D1302" s="12" t="n">
        <x:v>-0.06424185316737098</x:v>
      </x:c>
      <x:c r="E1302" s="12" t="n">
        <x:v>-0.08710578645634076</x:v>
      </x:c>
    </x:row>
    <x:row r="1303" ht="18" customHeight="1">
      <x:c r="A1303" s="13" t="n">
        <x:v>44546</x:v>
      </x:c>
      <x:c r="B1303" s="12" t="n">
        <x:v>-1</x:v>
      </x:c>
      <x:c r="C1303" s="12" t="n">
        <x:v>0.005743280214357276</x:v>
      </x:c>
      <x:c r="D1303" s="12" t="n">
        <x:v>-0.06557576510210587</x:v>
      </x:c>
      <x:c r="E1303" s="12" t="n">
        <x:v>-0.07336980916494988</x:v>
      </x:c>
    </x:row>
    <x:row r="1304" ht="18" customHeight="1">
      <x:c r="A1304" s="13" t="n">
        <x:v>44547</x:v>
      </x:c>
      <x:c r="B1304" s="12" t="n">
        <x:v>4</x:v>
      </x:c>
      <x:c r="C1304" s="12" t="n">
        <x:v>-0.016011606704812265</x:v>
      </x:c>
      <x:c r="D1304" s="12" t="n">
        <x:v>-0.07270696698551252</x:v>
      </x:c>
      <x:c r="E1304" s="12" t="n">
        <x:v>-0.07735407031321087</x:v>
      </x:c>
    </x:row>
    <x:row r="1305" ht="18" customHeight="1">
      <x:c r="A1305" s="13" t="n">
        <x:v>44550</x:v>
      </x:c>
      <x:c r="B1305" s="12" t="n">
        <x:v>5</x:v>
      </x:c>
      <x:c r="C1305" s="12" t="n">
        <x:v>-0.01511787954855152</x:v>
      </x:c>
      <x:c r="D1305" s="12" t="n">
        <x:v>-0.09326728401973605</x:v>
      </x:c>
      <x:c r="E1305" s="12" t="n">
        <x:v>-0.08284140662069427</x:v>
      </x:c>
    </x:row>
    <x:row r="1306" ht="18" customHeight="1">
      <x:c r="A1306" s="13" t="n">
        <x:v>44551</x:v>
      </x:c>
      <x:c r="B1306" s="12" t="n">
        <x:v>-16</x:v>
      </x:c>
      <x:c r="C1306" s="12" t="n">
        <x:v>0.006752696104045924</x:v>
      </x:c>
      <x:c r="D1306" s="12" t="n">
        <x:v>-0.11371755705258355</x:v>
      </x:c>
      <x:c r="E1306" s="12" t="n">
        <x:v>-0.0875270706546488</x:v>
      </x:c>
    </x:row>
    <x:row r="1307" ht="18" customHeight="1">
      <x:c r="A1307" s="13" t="n">
        <x:v>44552</x:v>
      </x:c>
      <x:c r="B1307" s="12" t="n">
        <x:v>-4</x:v>
      </x:c>
      <x:c r="C1307" s="12" t="n">
        <x:v>0.00019721325785909577</x:v>
      </x:c>
      <x:c r="D1307" s="12" t="n">
        <x:v>-0.12328654636509835</x:v>
      </x:c>
      <x:c r="E1307" s="12" t="n">
        <x:v>-0.08742145823342747</x:v>
      </x:c>
    </x:row>
    <x:row r="1308" ht="18" customHeight="1">
      <x:c r="A1308" s="13" t="n">
        <x:v>44553</x:v>
      </x:c>
      <x:c r="B1308" s="12" t="n">
        <x:v>-9</x:v>
      </x:c>
      <x:c r="C1308" s="12" t="n">
        <x:v>0.006952036128708292</x:v>
      </x:c>
      <x:c r="D1308" s="12" t="n">
        <x:v>-0.14615681292751434</x:v>
      </x:c>
      <x:c r="E1308" s="12" t="n">
        <x:v>-0.09056200671099161</x:v>
      </x:c>
    </x:row>
    <x:row r="1309" ht="18" customHeight="1">
      <x:c r="A1309" s="13" t="n">
        <x:v>44557</x:v>
      </x:c>
      <x:c r="B1309" s="12" t="n">
        <x:v>-10</x:v>
      </x:c>
      <x:c r="C1309" s="12" t="n">
        <x:v>-0.00041076477423087026</x:v>
      </x:c>
      <x:c r="D1309" s="12" t="n">
        <x:v>-0.13961072265316887</x:v>
      </x:c>
      <x:c r="E1309" s="12" t="n">
        <x:v>-0.0889378386630498</x:v>
      </x:c>
    </x:row>
    <x:row r="1310" ht="18" customHeight="1">
      <x:c r="A1310" s="13" t="n">
        <x:v>44558</x:v>
      </x:c>
      <x:c r="B1310" s="12" t="n">
        <x:v>-1</x:v>
      </x:c>
      <x:c r="C1310" s="12" t="n">
        <x:v>0.00742069849461029</x:v>
      </x:c>
      <x:c r="D1310" s="12" t="n">
        <x:v>-0.15808163644271345</x:v>
      </x:c>
      <x:c r="E1310" s="12" t="n">
        <x:v>-0.08909463674280454</x:v>
      </x:c>
    </x:row>
    <x:row r="1311" ht="18" customHeight="1">
      <x:c r="A1311" s="13" t="n">
        <x:v>44559</x:v>
      </x:c>
      <x:c r="B1311" s="12" t="n">
        <x:v>2</x:v>
      </x:c>
      <x:c r="C1311" s="12" t="n">
        <x:v>-0.014733618146385177</x:v>
      </x:c>
      <x:c r="D1311" s="12" t="n">
        <x:v>-0.15429535714964887</x:v>
      </x:c>
      <x:c r="E1311" s="12" t="n">
        <x:v>-0.08789107142009</x:v>
      </x:c>
    </x:row>
    <x:row r="1312" ht="18" customHeight="1">
      <x:c r="A1312" s="13" t="n">
        <x:v>44560</x:v>
      </x:c>
      <x:c r="B1312" s="12" t="n">
        <x:v>6</x:v>
      </x:c>
      <x:c r="C1312" s="12" t="n">
        <x:v>0.007757414474152084</x:v>
      </x:c>
      <x:c r="D1312" s="12" t="n">
        <x:v>-0.13943317017226223</x:v>
      </x:c>
      <x:c r="E1312" s="12" t="n">
        <x:v>-0.08175183301345668</x:v>
      </x:c>
    </x:row>
    <x:row r="1313" ht="18" customHeight="1">
      <x:c r="A1313" s="13" t="n">
        <x:v>44561</x:v>
      </x:c>
      <x:c r="B1313" s="12" t="n">
        <x:v>1</x:v>
      </x:c>
      <x:c r="C1313" s="12" t="n">
        <x:v>0.0038253182898282034</x:v>
      </x:c>
      <x:c r="D1313" s="12" t="n">
        <x:v>-0.14031975447079395</x:v>
      </x:c>
      <x:c r="E1313" s="12" t="n">
        <x:v>-0.08131918854146174</x:v>
      </x:c>
    </x:row>
    <x:row r="1314" ht="18" customHeight="1">
      <x:c r="A1314" s="13" t="n">
        <x:v>44565</x:v>
      </x:c>
      <x:c r="B1314" s="12" t="n">
        <x:v>4</x:v>
      </x:c>
      <x:c r="C1314" s="12" t="n">
        <x:v>-0.004586675142669136</x:v>
      </x:c>
      <x:c r="D1314" s="12" t="n">
        <x:v>-0.1480982826877604</x:v>
      </x:c>
      <x:c r="E1314" s="12" t="n">
        <x:v>-0.08245856037631491</x:v>
      </x:c>
    </x:row>
    <x:row r="1315" ht="18" customHeight="1">
      <x:c r="A1315" s="13" t="n">
        <x:v>44566</x:v>
      </x:c>
      <x:c r="B1315" s="12" t="n">
        <x:v>-2</x:v>
      </x:c>
      <x:c r="C1315" s="12" t="n">
        <x:v>-0.01014635331807042</x:v>
      </x:c>
      <x:c r="D1315" s="12" t="n">
        <x:v>-0.15414089393923527</x:v>
      </x:c>
      <x:c r="E1315" s="12" t="n">
        <x:v>-0.08117635185388267</x:v>
      </x:c>
    </x:row>
    <x:row r="1316" ht="18" customHeight="1">
      <x:c r="A1316" s="13" t="n">
        <x:v>44567</x:v>
      </x:c>
      <x:c r="B1316" s="12" t="n">
        <x:v>8</x:v>
      </x:c>
      <x:c r="C1316" s="12" t="n">
        <x:v>-0.010300852400832543</x:v>
      </x:c>
      <x:c r="D1316" s="12" t="n">
        <x:v>-0.18571150315080395</x:v>
      </x:c>
      <x:c r="E1316" s="12" t="n">
        <x:v>-0.08612455545043267</x:v>
      </x:c>
    </x:row>
    <x:row r="1317" ht="18" customHeight="1">
      <x:c r="A1317" s="13" t="n">
        <x:v>44568</x:v>
      </x:c>
      <x:c r="B1317" s="12" t="n">
        <x:v>5</x:v>
      </x:c>
      <x:c r="C1317" s="12" t="n">
        <x:v>0.0008582660733904354</x:v>
      </x:c>
      <x:c r="D1317" s="12" t="n">
        <x:v>-0.19162150733873803</x:v>
      </x:c>
      <x:c r="E1317" s="12" t="n">
        <x:v>-0.09591962525155087</x:v>
      </x:c>
    </x:row>
    <x:row r="1318" ht="18" customHeight="1">
      <x:c r="A1318" s="13" t="n">
        <x:v>44571</x:v>
      </x:c>
      <x:c r="B1318" s="12" t="n">
        <x:v>4</x:v>
      </x:c>
      <x:c r="C1318" s="12" t="n">
        <x:v>0.004484855776462298</x:v>
      </x:c>
      <x:c r="D1318" s="12" t="n">
        <x:v>-0.1855459784590884</x:v>
      </x:c>
      <x:c r="E1318" s="12" t="n">
        <x:v>-0.10054200253222133</x:v>
      </x:c>
    </x:row>
    <x:row r="1319" ht="18" customHeight="1">
      <x:c r="A1319" s="13" t="n">
        <x:v>44572</x:v>
      </x:c>
      <x:c r="B1319" s="12" t="n">
        <x:v>-6</x:v>
      </x:c>
      <x:c r="C1319" s="12" t="n">
        <x:v>-0.009598180001148815</x:v>
      </x:c>
      <x:c r="D1319" s="12" t="n">
        <x:v>-0.14845490260208336</x:v>
      </x:c>
      <x:c r="E1319" s="12" t="n">
        <x:v>-0.094856785915071</x:v>
      </x:c>
    </x:row>
    <x:row r="1320" ht="18" customHeight="1">
      <x:c r="A1320" s="13" t="n">
        <x:v>44573</x:v>
      </x:c>
      <x:c r="B1320" s="12" t="n">
        <x:v>-12</x:v>
      </x:c>
      <x:c r="C1320" s="12" t="n">
        <x:v>0.00991472480091817</x:v>
      </x:c>
      <x:c r="D1320" s="12" t="n">
        <x:v>-0.16991482994451873</x:v>
      </x:c>
      <x:c r="E1320" s="12" t="n">
        <x:v>-0.10108579432217854</x:v>
      </x:c>
    </x:row>
    <x:row r="1321" ht="18" customHeight="1">
      <x:c r="A1321" s="13" t="n">
        <x:v>44574</x:v>
      </x:c>
      <x:c r="B1321" s="12" t="n">
        <x:v>4</x:v>
      </x:c>
      <x:c r="C1321" s="12" t="n">
        <x:v>-0.016576276804004232</x:v>
      </x:c>
      <x:c r="D1321" s="12" t="n">
        <x:v>-0.19255573119569858</x:v>
      </x:c>
      <x:c r="E1321" s="12" t="n">
        <x:v>-0.10213669911347804</x:v>
      </x:c>
    </x:row>
    <x:row r="1322" ht="18" customHeight="1">
      <x:c r="A1322" s="13" t="n">
        <x:v>44575</x:v>
      </x:c>
      <x:c r="B1322" s="12" t="n">
        <x:v>-1</x:v>
      </x:c>
      <x:c r="C1322" s="12" t="n">
        <x:v>-0.008256412974016464</x:v>
      </x:c>
      <x:c r="D1322" s="12" t="n">
        <x:v>-0.18407559053157835</x:v>
      </x:c>
      <x:c r="E1322" s="12" t="n">
        <x:v>-0.10272241104337952</x:v>
      </x:c>
    </x:row>
    <x:row r="1323" ht="18" customHeight="1">
      <x:c r="A1323" s="13" t="n">
        <x:v>44578</x:v>
      </x:c>
      <x:c r="B1323" s="12" t="n">
        <x:v>0</x:v>
      </x:c>
      <x:c r="C1323" s="12" t="n">
        <x:v>0.008541123391974052</x:v>
      </x:c>
      <x:c r="D1323" s="12" t="n">
        <x:v>-0.18776663137577806</x:v>
      </x:c>
      <x:c r="E1323" s="12" t="n">
        <x:v>-0.10479777555363268</x:v>
      </x:c>
    </x:row>
    <x:row r="1324" ht="18" customHeight="1">
      <x:c r="A1324" s="13" t="n">
        <x:v>44579</x:v>
      </x:c>
      <x:c r="B1324" s="12" t="n">
        <x:v>3</x:v>
      </x:c>
      <x:c r="C1324" s="12" t="n">
        <x:v>0.00961761113042047</x:v>
      </x:c>
      <x:c r="D1324" s="12" t="n">
        <x:v>-0.17455203316302317</x:v>
      </x:c>
      <x:c r="E1324" s="12" t="n">
        <x:v>-0.10235527511177793</x:v>
      </x:c>
    </x:row>
    <x:row r="1325" ht="18" customHeight="1">
      <x:c r="A1325" s="13" t="n">
        <x:v>44580</x:v>
      </x:c>
      <x:c r="B1325" s="12" t="n">
        <x:v>-1</x:v>
      </x:c>
      <x:c r="C1325" s="12" t="n">
        <x:v>-0.0068730191288057345</x:v>
      </x:c>
      <x:c r="D1325" s="12" t="n">
        <x:v>-0.17322257560824889</x:v>
      </x:c>
      <x:c r="E1325" s="12" t="n">
        <x:v>-0.10762444176372575</x:v>
      </x:c>
    </x:row>
    <x:row r="1326" ht="18" customHeight="1">
      <x:c r="A1326" s="13" t="n">
        <x:v>44581</x:v>
      </x:c>
      <x:c r="B1326" s="12" t="n">
        <x:v>-1</x:v>
      </x:c>
      <x:c r="C1326" s="12" t="n">
        <x:v>0.008981985673519537</x:v>
      </x:c>
      <x:c r="D1326" s="12" t="n">
        <x:v>-0.17049030785092587</x:v>
      </x:c>
      <x:c r="E1326" s="12" t="n">
        <x:v>-0.10770782021464075</x:v>
      </x:c>
    </x:row>
    <x:row r="1327" ht="18" customHeight="1">
      <x:c r="A1327" s="13" t="n">
        <x:v>44582</x:v>
      </x:c>
      <x:c r="B1327" s="12" t="n">
        <x:v>19</x:v>
      </x:c>
      <x:c r="C1327" s="12" t="n">
        <x:v>-0.009204628816751045</x:v>
      </x:c>
      <x:c r="D1327" s="12" t="n">
        <x:v>-0.21006571714111458</x:v>
      </x:c>
      <x:c r="E1327" s="12" t="n">
        <x:v>-0.10957427737413711</x:v>
      </x:c>
    </x:row>
    <x:row r="1328" ht="18" customHeight="1">
      <x:c r="A1328" s="13" t="n">
        <x:v>44585</x:v>
      </x:c>
      <x:c r="B1328" s="12" t="n">
        <x:v>15</x:v>
      </x:c>
      <x:c r="C1328" s="12" t="n">
        <x:v>0.001552051267918045</x:v>
      </x:c>
      <x:c r="D1328" s="12" t="n">
        <x:v>-0.20187470474613795</x:v>
      </x:c>
      <x:c r="E1328" s="12" t="n">
        <x:v>-0.10472309345115252</x:v>
      </x:c>
    </x:row>
    <x:row r="1329" ht="18" customHeight="1">
      <x:c r="A1329" s="13" t="n">
        <x:v>44586</x:v>
      </x:c>
      <x:c r="B1329" s="12" t="n">
        <x:v>-5</x:v>
      </x:c>
      <x:c r="C1329" s="12" t="n">
        <x:v>-0.022882021063491267</x:v>
      </x:c>
      <x:c r="D1329" s="12" t="n">
        <x:v>-0.16399130828436592</x:v>
      </x:c>
      <x:c r="E1329" s="12" t="n">
        <x:v>-0.09776663790917996</x:v>
      </x:c>
    </x:row>
    <x:row r="1330" ht="18" customHeight="1">
      <x:c r="A1330" s="13" t="n">
        <x:v>44587</x:v>
      </x:c>
      <x:c r="B1330" s="12" t="n">
        <x:v>-14</x:v>
      </x:c>
      <x:c r="C1330" s="12" t="n">
        <x:v>0.007211331036815009</x:v>
      </x:c>
      <x:c r="D1330" s="12" t="n">
        <x:v>-0.18262575124452154</x:v>
      </x:c>
      <x:c r="E1330" s="12" t="n">
        <x:v>-0.0998576548732653</x:v>
      </x:c>
    </x:row>
    <x:row r="1331" ht="18" customHeight="1">
      <x:c r="A1331" s="13" t="n">
        <x:v>44588</x:v>
      </x:c>
      <x:c r="B1331" s="12" t="n">
        <x:v>21</x:v>
      </x:c>
      <x:c r="C1331" s="12" t="n">
        <x:v>-0.019810451513431557</x:v>
      </x:c>
      <x:c r="D1331" s="12" t="n">
        <x:v>-0.2555334221396349</x:v>
      </x:c>
      <x:c r="E1331" s="12" t="n">
        <x:v>-0.12706818956828012</x:v>
      </x:c>
    </x:row>
    <x:row r="1332" ht="18" customHeight="1">
      <x:c r="A1332" s="13" t="n">
        <x:v>44589</x:v>
      </x:c>
      <x:c r="B1332" s="12" t="n">
        <x:v>15</x:v>
      </x:c>
      <x:c r="C1332" s="12" t="n">
        <x:v>-0.01221849856143308</x:v>
      </x:c>
      <x:c r="D1332" s="12" t="n">
        <x:v>-0.2811149437562125</x:v>
      </x:c>
      <x:c r="E1332" s="12" t="n">
        <x:v>-0.13560001481983405</x:v>
      </x:c>
    </x:row>
    <x:row r="1333" ht="18" customHeight="1">
      <x:c r="A1333" s="13" t="n">
        <x:v>44599</x:v>
      </x:c>
      <x:c r="B1333" s="12" t="n">
        <x:v>4</x:v>
      </x:c>
      <x:c r="C1333" s="12" t="n">
        <x:v>0.015290351335136535</x:v>
      </x:c>
      <x:c r="D1333" s="12" t="n">
        <x:v>-0.2634500055293271</x:v>
      </x:c>
      <x:c r="E1333" s="12" t="n">
        <x:v>-0.14200098563264812</x:v>
      </x:c>
    </x:row>
    <x:row r="1334" ht="18" customHeight="1">
      <x:c r="A1334" s="13" t="n">
        <x:v>44600</x:v>
      </x:c>
      <x:c r="B1334" s="12" t="n">
        <x:v>-5</x:v>
      </x:c>
      <x:c r="C1334" s="12" t="n">
        <x:v>-0.005478186545120943</x:v>
      </x:c>
      <x:c r="D1334" s="12" t="n">
        <x:v>-0.2512379307082353</x:v>
      </x:c>
      <x:c r="E1334" s="12" t="n">
        <x:v>-0.14033271758467628</x:v>
      </x:c>
    </x:row>
    <x:row r="1335" ht="18" customHeight="1">
      <x:c r="A1335" s="13" t="n">
        <x:v>44601</x:v>
      </x:c>
      <x:c r="B1335" s="12" t="n">
        <x:v>-9</x:v>
      </x:c>
      <x:c r="C1335" s="12" t="n">
        <x:v>0.009348686351121224</x:v>
      </x:c>
      <x:c r="D1335" s="12" t="n">
        <x:v>-0.2682867741403886</x:v>
      </x:c>
      <x:c r="E1335" s="12" t="n">
        <x:v>-0.1443223533970204</x:v>
      </x:c>
    </x:row>
    <x:row r="1336" ht="18" customHeight="1">
      <x:c r="A1336" s="13" t="n">
        <x:v>44602</x:v>
      </x:c>
      <x:c r="B1336" s="12" t="n">
        <x:v>-2</x:v>
      </x:c>
      <x:c r="C1336" s="12" t="n">
        <x:v>-0.002625593535934055</x:v>
      </x:c>
      <x:c r="D1336" s="12" t="n">
        <x:v>-0.2707029697797005</x:v>
      </x:c>
      <x:c r="E1336" s="12" t="n">
        <x:v>-0.14603316620655912</x:v>
      </x:c>
    </x:row>
    <x:row r="1337" ht="18" customHeight="1">
      <x:c r="A1337" s="13" t="n">
        <x:v>44603</x:v>
      </x:c>
      <x:c r="B1337" s="12" t="n">
        <x:v>22</x:v>
      </x:c>
      <x:c r="C1337" s="12" t="n">
        <x:v>-0.0083251485904409</x:v>
      </x:c>
      <x:c r="D1337" s="12" t="n">
        <x:v>-0.2977635253230612</x:v>
      </x:c>
      <x:c r="E1337" s="12" t="n">
        <x:v>-0.15015188004920732</x:v>
      </x:c>
    </x:row>
    <x:row r="1338" ht="18" customHeight="1">
      <x:c r="A1338" s="13" t="n">
        <x:v>44606</x:v>
      </x:c>
      <x:c r="B1338" s="12" t="n">
        <x:v>8</x:v>
      </x:c>
      <x:c r="C1338" s="12" t="n">
        <x:v>-0.010861474353252425</x:v>
      </x:c>
      <x:c r="D1338" s="12" t="n">
        <x:v>-0.3056302055812609</x:v>
      </x:c>
      <x:c r="E1338" s="12" t="n">
        <x:v>-0.15277502035050466</x:v>
      </x:c>
    </x:row>
    <x:row r="1339" ht="18" customHeight="1">
      <x:c r="A1339" s="13" t="n">
        <x:v>44607</x:v>
      </x:c>
      <x:c r="B1339" s="12" t="n">
        <x:v>-7</x:v>
      </x:c>
      <x:c r="C1339" s="12" t="n">
        <x:v>0.010580476620794905</x:v>
      </x:c>
      <x:c r="D1339" s="12" t="n">
        <x:v>-0.31817513722280505</x:v>
      </x:c>
      <x:c r="E1339" s="12" t="n">
        <x:v>-0.15825867510830488</x:v>
      </x:c>
    </x:row>
    <x:row r="1340" ht="18" customHeight="1">
      <x:c r="A1340" s="13" t="n">
        <x:v>44608</x:v>
      </x:c>
      <x:c r="B1340" s="12" t="n">
        <x:v>1</x:v>
      </x:c>
      <x:c r="C1340" s="12" t="n">
        <x:v>0.0038808080537729023</x:v>
      </x:c>
      <x:c r="D1340" s="12" t="n">
        <x:v>-0.32126453195335475</x:v>
      </x:c>
      <x:c r="E1340" s="12" t="n">
        <x:v>-0.1582417609857729</x:v>
      </x:c>
    </x:row>
    <x:row r="1341" ht="18" customHeight="1">
      <x:c r="A1341" s="13" t="n">
        <x:v>44609</x:v>
      </x:c>
      <x:c r="B1341" s="12" t="n">
        <x:v>6</x:v>
      </x:c>
      <x:c r="C1341" s="12" t="n">
        <x:v>0.0024170907501377373</x:v>
      </x:c>
      <x:c r="D1341" s="12" t="n">
        <x:v>-0.3224091078261378</x:v>
      </x:c>
      <x:c r="E1341" s="12" t="n">
        <x:v>-0.15879021369759524</x:v>
      </x:c>
    </x:row>
    <x:row r="1342" ht="18" customHeight="1">
      <x:c r="A1342" s="13" t="n">
        <x:v>44610</x:v>
      </x:c>
      <x:c r="B1342" s="12" t="n">
        <x:v>4</x:v>
      </x:c>
      <x:c r="C1342" s="12" t="n">
        <x:v>0.0047564630718757005</x:v>
      </x:c>
      <x:c r="D1342" s="12" t="n">
        <x:v>-0.31802290280954465</x:v>
      </x:c>
      <x:c r="E1342" s="12" t="n">
        <x:v>-0.16051428113684718</x:v>
      </x:c>
    </x:row>
    <x:row r="1343" ht="18" customHeight="1">
      <x:c r="A1343" s="13" t="n">
        <x:v>44613</x:v>
      </x:c>
      <x:c r="B1343" s="12" t="n">
        <x:v>0</x:v>
      </x:c>
      <x:c r="C1343" s="12" t="n">
        <x:v>-0.0036447424040068816</x:v>
      </x:c>
      <x:c r="D1343" s="12" t="n">
        <x:v>-0.31704904718407884</x:v>
      </x:c>
      <x:c r="E1343" s="12" t="n">
        <x:v>-0.1768754989693886</x:v>
      </x:c>
    </x:row>
    <x:row r="1344" ht="18" customHeight="1">
      <x:c r="A1344" s="13" t="n">
        <x:v>44614</x:v>
      </x:c>
      <x:c r="B1344" s="12" t="n">
        <x:v>-3</x:v>
      </x:c>
      <x:c r="C1344" s="12" t="n">
        <x:v>-0.013066725937621202</x:v>
      </x:c>
      <x:c r="D1344" s="12" t="n">
        <x:v>-0.3025623691086907</x:v>
      </x:c>
      <x:c r="E1344" s="12" t="n">
        <x:v>-0.17368701576670553</x:v>
      </x:c>
    </x:row>
    <x:row r="1345" ht="18" customHeight="1">
      <x:c r="A1345" s="13" t="n">
        <x:v>44615</x:v>
      </x:c>
      <x:c r="B1345" s="12" t="n">
        <x:v>-3</x:v>
      </x:c>
      <x:c r="C1345" s="12" t="n">
        <x:v>0.010632423969487506</x:v>
      </x:c>
      <x:c r="D1345" s="12" t="n">
        <x:v>-0.30848963166600785</x:v>
      </x:c>
      <x:c r="E1345" s="12" t="n">
        <x:v>-0.1749269150267868</x:v>
      </x:c>
    </x:row>
    <x:row r="1346" ht="18" customHeight="1">
      <x:c r="A1346" s="13" t="n">
        <x:v>44616</x:v>
      </x:c>
      <x:c r="B1346" s="12" t="n">
        <x:v>21</x:v>
      </x:c>
      <x:c r="C1346" s="12" t="n">
        <x:v>-0.020482328369252952</x:v>
      </x:c>
      <x:c r="D1346" s="12" t="n">
        <x:v>-0.35612795517211454</x:v>
      </x:c>
      <x:c r="E1346" s="12" t="n">
        <x:v>-0.18730932565668376</x:v>
      </x:c>
    </x:row>
    <x:row r="1347" ht="18" customHeight="1">
      <x:c r="A1347" s="13" t="n">
        <x:v>44617</x:v>
      </x:c>
      <x:c r="B1347" s="12" t="n">
        <x:v>-31</x:v>
      </x:c>
      <x:c r="C1347" s="12" t="n">
        <x:v>0.009690736574295752</x:v>
      </x:c>
      <x:c r="D1347" s="12" t="n">
        <x:v>-0.3920759765940867</x:v>
      </x:c>
      <x:c r="E1347" s="12" t="n">
        <x:v>-0.19707084106771686</x:v>
      </x:c>
    </x:row>
    <x:row r="1348" ht="18" customHeight="1">
      <x:c r="A1348" s="13" t="n">
        <x:v>44620</x:v>
      </x:c>
      <x:c r="B1348" s="12" t="n">
        <x:v>15</x:v>
      </x:c>
      <x:c r="C1348" s="12" t="n">
        <x:v>0.0017959888173538045</x:v>
      </x:c>
      <x:c r="D1348" s="12" t="n">
        <x:v>-0.3762803261263061</x:v>
      </x:c>
      <x:c r="E1348" s="12" t="n">
        <x:v>-0.19343449561423745</x:v>
      </x:c>
    </x:row>
    <x:row r="1349" ht="18" customHeight="1">
      <x:c r="A1349" s="13" t="n">
        <x:v>44621</x:v>
      </x:c>
      <x:c r="B1349" s="12" t="n">
        <x:v>12</x:v>
      </x:c>
      <x:c r="C1349" s="12" t="n">
        <x:v>0.008268480327382815</x:v>
      </x:c>
      <x:c r="D1349" s="12" t="n">
        <x:v>-0.3595557015314147</x:v>
      </x:c>
      <x:c r="E1349" s="12" t="n">
        <x:v>-0.18585409233162023</x:v>
      </x:c>
    </x:row>
    <x:row r="1350" ht="18" customHeight="1">
      <x:c r="A1350" s="13" t="n">
        <x:v>44622</x:v>
      </x:c>
      <x:c r="B1350" s="12" t="n">
        <x:v>-18</x:v>
      </x:c>
      <x:c r="C1350" s="12" t="n">
        <x:v>-0.008933353282261443</x:v>
      </x:c>
      <x:c r="D1350" s="12" t="n">
        <x:v>-0.326004580700102</x:v>
      </x:c>
      <x:c r="E1350" s="12" t="n">
        <x:v>-0.17280517926416322</x:v>
      </x:c>
    </x:row>
    <x:row r="1351" ht="18" customHeight="1">
      <x:c r="A1351" s="13" t="n">
        <x:v>44623</x:v>
      </x:c>
      <x:c r="B1351" s="12" t="n">
        <x:v>0</x:v>
      </x:c>
      <x:c r="C1351" s="12" t="n">
        <x:v>-0.005908390351454624</x:v>
      </x:c>
      <x:c r="D1351" s="12" t="n">
        <x:v>-0.3253893925553886</x:v>
      </x:c>
      <x:c r="E1351" s="12" t="n">
        <x:v>-0.17056424627223604</x:v>
      </x:c>
    </x:row>
    <x:row r="1352" ht="18" customHeight="1">
      <x:c r="A1352" s="13" t="n">
        <x:v>44624</x:v>
      </x:c>
      <x:c r="B1352" s="12" t="n">
        <x:v>19</x:v>
      </x:c>
      <x:c r="C1352" s="12" t="n">
        <x:v>-0.012201266247817722</x:v>
      </x:c>
      <x:c r="D1352" s="12" t="n">
        <x:v>-0.3378900794580021</x:v>
      </x:c>
      <x:c r="E1352" s="12" t="n">
        <x:v>-0.179869542265773</x:v>
      </x:c>
    </x:row>
    <x:row r="1353" ht="18" customHeight="1">
      <x:c r="A1353" s="13" t="n">
        <x:v>44627</x:v>
      </x:c>
      <x:c r="B1353" s="12" t="n">
        <x:v>11</x:v>
      </x:c>
      <x:c r="C1353" s="12" t="n">
        <x:v>-0.03246962373772898</x:v>
      </x:c>
      <x:c r="D1353" s="12" t="n">
        <x:v>-0.3598234772511927</x:v>
      </x:c>
      <x:c r="E1353" s="12" t="n">
        <x:v>-0.19319432642024525</x:v>
      </x:c>
    </x:row>
    <x:row r="1354" ht="18" customHeight="1">
      <x:c r="A1354" s="13" t="n">
        <x:v>44628</x:v>
      </x:c>
      <x:c r="B1354" s="12" t="n">
        <x:v>2</x:v>
      </x:c>
      <x:c r="C1354" s="12" t="n">
        <x:v>-0.020280293911931237</x:v>
      </x:c>
      <x:c r="D1354" s="12" t="n">
        <x:v>-0.3545398251835675</x:v>
      </x:c>
      <x:c r="E1354" s="12" t="n">
        <x:v>-0.19331467999659716</x:v>
      </x:c>
    </x:row>
    <x:row r="1355" ht="18" customHeight="1">
      <x:c r="A1355" s="13" t="n">
        <x:v>44629</x:v>
      </x:c>
      <x:c r="B1355" s="12" t="n">
        <x:v>-9</x:v>
      </x:c>
      <x:c r="C1355" s="12" t="n">
        <x:v>-0.009195992239422945</x:v>
      </x:c>
      <x:c r="D1355" s="12" t="n">
        <x:v>-0.3374073876205657</x:v>
      </x:c>
      <x:c r="E1355" s="12" t="n">
        <x:v>-0.1870970547497079</x:v>
      </x:c>
    </x:row>
    <x:row r="1356" ht="18" customHeight="1">
      <x:c r="A1356" s="13" t="n">
        <x:v>44630</x:v>
      </x:c>
      <x:c r="B1356" s="12" t="n">
        <x:v>6</x:v>
      </x:c>
      <x:c r="C1356" s="12" t="n">
        <x:v>0.015610051975364502</x:v>
      </x:c>
      <x:c r="D1356" s="12" t="n">
        <x:v>-0.3147472657328617</x:v>
      </x:c>
      <x:c r="E1356" s="12" t="n">
        <x:v>-0.18079930835545072</x:v>
      </x:c>
    </x:row>
    <x:row r="1357" ht="18" customHeight="1">
      <x:c r="A1357" s="13" t="n">
        <x:v>44631</x:v>
      </x:c>
      <x:c r="B1357" s="12" t="n">
        <x:v>5</x:v>
      </x:c>
      <x:c r="C1357" s="12" t="n">
        <x:v>0.003182635215426298</x:v>
      </x:c>
      <x:c r="D1357" s="12" t="n">
        <x:v>-0.3152156011002944</x:v>
      </x:c>
      <x:c r="E1357" s="12" t="n">
        <x:v>-0.18810547954669718</x:v>
      </x:c>
    </x:row>
    <x:row r="1358" ht="18" customHeight="1">
      <x:c r="A1358" s="13" t="n">
        <x:v>44634</x:v>
      </x:c>
      <x:c r="B1358" s="12" t="n">
        <x:v>11</x:v>
      </x:c>
      <x:c r="C1358" s="12" t="n">
        <x:v>-0.031074227438564684</x:v>
      </x:c>
      <x:c r="D1358" s="12" t="n">
        <x:v>-0.34016954866876253</x:v>
      </x:c>
      <x:c r="E1358" s="12" t="n">
        <x:v>-0.20103827868445795</x:v>
      </x:c>
    </x:row>
    <x:row r="1359" ht="18" customHeight="1">
      <x:c r="A1359" s="13" t="n">
        <x:v>44635</x:v>
      </x:c>
      <x:c r="B1359" s="12" t="n">
        <x:v>5</x:v>
      </x:c>
      <x:c r="C1359" s="12" t="n">
        <x:v>-0.046817170836618086</x:v>
      </x:c>
      <x:c r="D1359" s="12" t="n">
        <x:v>-0.31369325650961555</x:v>
      </x:c>
      <x:c r="E1359" s="12" t="n">
        <x:v>-0.1964742543934185</x:v>
      </x:c>
    </x:row>
    <x:row r="1360" ht="18" customHeight="1">
      <x:c r="A1360" s="13" t="n">
        <x:v>44636</x:v>
      </x:c>
      <x:c r="B1360" s="12" t="n">
        <x:v>-25</x:v>
      </x:c>
      <x:c r="C1360" s="12" t="n">
        <x:v>0.042333413087277144</x:v>
      </x:c>
      <x:c r="D1360" s="12" t="n">
        <x:v>-0.41797563813032174</x:v>
      </x:c>
      <x:c r="E1360" s="12" t="n">
        <x:v>-0.23637166155606043</x:v>
      </x:c>
    </x:row>
    <x:row r="1361" ht="18" customHeight="1">
      <x:c r="A1361" s="13" t="n">
        <x:v>44637</x:v>
      </x:c>
      <x:c r="B1361" s="12" t="n">
        <x:v>-15</x:v>
      </x:c>
      <x:c r="C1361" s="12" t="n">
        <x:v>0.019447067992112203</x:v>
      </x:c>
      <x:c r="D1361" s="12" t="n">
        <x:v>-0.4539155448411499</x:v>
      </x:c>
      <x:c r="E1361" s="12" t="n">
        <x:v>-0.24838033147599428</x:v>
      </x:c>
    </x:row>
    <x:row r="1362" ht="18" customHeight="1">
      <x:c r="A1362" s="13" t="n">
        <x:v>44638</x:v>
      </x:c>
      <x:c r="B1362" s="12" t="n">
        <x:v>0</x:v>
      </x:c>
      <x:c r="C1362" s="12" t="n">
        <x:v>0.006633946187459856</x:v>
      </x:c>
      <x:c r="D1362" s="12" t="n">
        <x:v>-0.4530009909804505</x:v>
      </x:c>
      <x:c r="E1362" s="12" t="n">
        <x:v>-0.24769430480633484</x:v>
      </x:c>
    </x:row>
    <x:row r="1363" ht="18" customHeight="1">
      <x:c r="A1363" s="13" t="n">
        <x:v>44641</x:v>
      </x:c>
      <x:c r="B1363" s="12" t="n">
        <x:v>-14</x:v>
      </x:c>
      <x:c r="C1363" s="12" t="n">
        <x:v>-0.001678849851984703</x:v>
      </x:c>
      <x:c r="D1363" s="12" t="n">
        <x:v>-0.45191994356897763</x:v>
      </x:c>
      <x:c r="E1363" s="12" t="n">
        <x:v>-0.2444801071086242</x:v>
      </x:c>
    </x:row>
    <x:row r="1364" ht="18" customHeight="1">
      <x:c r="A1364" s="13" t="n">
        <x:v>44642</x:v>
      </x:c>
      <x:c r="B1364" s="12" t="n">
        <x:v>3</x:v>
      </x:c>
      <x:c r="C1364" s="12" t="n">
        <x:v>-0.0008106374468966272</x:v>
      </x:c>
      <x:c r="D1364" s="12" t="n">
        <x:v>-0.451009849998771</x:v>
      </x:c>
      <x:c r="E1364" s="12" t="n">
        <x:v>-0.24403215054560054</x:v>
      </x:c>
    </x:row>
    <x:row r="1365" ht="18" customHeight="1">
      <x:c r="A1365" s="13" t="n">
        <x:v>44643</x:v>
      </x:c>
      <x:c r="B1365" s="12" t="n">
        <x:v>2</x:v>
      </x:c>
      <x:c r="C1365" s="12" t="n">
        <x:v>0.004974896956354492</x:v>
      </x:c>
      <x:c r="D1365" s="12" t="n">
        <x:v>-0.45169388556146645</x:v>
      </x:c>
      <x:c r="E1365" s="12" t="n">
        <x:v>-0.2527528207961529</x:v>
      </x:c>
    </x:row>
    <x:row r="1366" ht="18" customHeight="1">
      <x:c r="A1366" s="13" t="n">
        <x:v>44644</x:v>
      </x:c>
      <x:c r="B1366" s="12" t="n">
        <x:v>-5</x:v>
      </x:c>
      <x:c r="C1366" s="12" t="n">
        <x:v>-0.005912733407240968</x:v>
      </x:c>
      <x:c r="D1366" s="12" t="n">
        <x:v>-0.4480897980705614</x:v>
      </x:c>
      <x:c r="E1366" s="12" t="n">
        <x:v>-0.24798828338895865</x:v>
      </x:c>
    </x:row>
    <x:row r="1367" ht="18" customHeight="1">
      <x:c r="A1367" s="13" t="n">
        <x:v>44645</x:v>
      </x:c>
      <x:c r="B1367" s="12" t="n">
        <x:v>-16</x:v>
      </x:c>
      <x:c r="C1367" s="12" t="n">
        <x:v>-0.018213888293254144</x:v>
      </x:c>
      <x:c r="D1367" s="12" t="n">
        <x:v>-0.40623732910022275</x:v>
      </x:c>
      <x:c r="E1367" s="12" t="n">
        <x:v>-0.23168051552858526</x:v>
      </x:c>
    </x:row>
    <x:row r="1368" ht="18" customHeight="1">
      <x:c r="A1368" s="13" t="n">
        <x:v>44648</x:v>
      </x:c>
      <x:c r="B1368" s="12" t="n">
        <x:v>3</x:v>
      </x:c>
      <x:c r="C1368" s="12" t="n">
        <x:v>-0.006273665406629652</x:v>
      </x:c>
      <x:c r="D1368" s="12" t="n">
        <x:v>-0.40391132783934985</x:v>
      </x:c>
      <x:c r="E1368" s="12" t="n">
        <x:v>-0.22220573594971083</x:v>
      </x:c>
    </x:row>
    <x:row r="1369" ht="18" customHeight="1">
      <x:c r="A1369" s="13" t="n">
        <x:v>44649</x:v>
      </x:c>
      <x:c r="B1369" s="12" t="n">
        <x:v>-16</x:v>
      </x:c>
      <x:c r="C1369" s="12" t="n">
        <x:v>-0.0034583817379454304</x:v>
      </x:c>
      <x:c r="D1369" s="12" t="n">
        <x:v>-0.38732182458481806</x:v>
      </x:c>
      <x:c r="E1369" s="12" t="n">
        <x:v>-0.21887978429694546</x:v>
      </x:c>
    </x:row>
    <x:row r="1370" ht="18" customHeight="1">
      <x:c r="A1370" s="13" t="n">
        <x:v>44650</x:v>
      </x:c>
      <x:c r="B1370" s="12" t="n">
        <x:v>-5</x:v>
      </x:c>
      <x:c r="C1370" s="12" t="n">
        <x:v>0.02860264728173825</x:v>
      </x:c>
      <x:c r="D1370" s="12" t="n">
        <x:v>-0.3882491021447519</x:v>
      </x:c>
      <x:c r="E1370" s="12" t="n">
        <x:v>-0.22399743062768707</x:v>
      </x:c>
    </x:row>
    <x:row r="1371" ht="18" customHeight="1">
      <x:c r="A1371" s="13" t="n">
        <x:v>44651</x:v>
      </x:c>
      <x:c r="B1371" s="12" t="n">
        <x:v>10</x:v>
      </x:c>
      <x:c r="C1371" s="12" t="n">
        <x:v>-0.00743267097027041</x:v>
      </x:c>
      <x:c r="D1371" s="12" t="n">
        <x:v>-0.3850590721260436</x:v>
      </x:c>
      <x:c r="E1371" s="12" t="n">
        <x:v>-0.22655749804457218</x:v>
      </x:c>
    </x:row>
    <x:row r="1372" ht="18" customHeight="1">
      <x:c r="A1372" s="13" t="n">
        <x:v>44652</x:v>
      </x:c>
      <x:c r="B1372" s="12" t="n">
        <x:v>-3</x:v>
      </x:c>
      <x:c r="C1372" s="12" t="n">
        <x:v>0.01260464865647588</x:v>
      </x:c>
      <x:c r="D1372" s="12" t="n">
        <x:v>-0.3880329598858541</x:v>
      </x:c>
      <x:c r="E1372" s="12" t="n">
        <x:v>-0.23103258536837049</x:v>
      </x:c>
    </x:row>
    <x:row r="1373" ht="18" customHeight="1">
      <x:c r="A1373" s="13" t="n">
        <x:v>44657</x:v>
      </x:c>
      <x:c r="B1373" s="12" t="n">
        <x:v>21</x:v>
      </x:c>
      <x:c r="C1373" s="12" t="n">
        <x:v>-0.0028845222103589074</x:v>
      </x:c>
      <x:c r="D1373" s="12" t="n">
        <x:v>-0.3783945258665887</x:v>
      </x:c>
      <x:c r="E1373" s="12" t="n">
        <x:v>-0.230109309871674</x:v>
      </x:c>
    </x:row>
    <x:row r="1374" ht="18" customHeight="1">
      <x:c r="A1374" s="13" t="n">
        <x:v>44658</x:v>
      </x:c>
      <x:c r="B1374" s="12" t="n">
        <x:v>6</x:v>
      </x:c>
      <x:c r="C1374" s="12" t="n">
        <x:v>-0.012921620088142112</x:v>
      </x:c>
      <x:c r="D1374" s="12" t="n">
        <x:v>-0.3825755165194737</x:v>
      </x:c>
      <x:c r="E1374" s="12" t="n">
        <x:v>-0.23383600901671484</x:v>
      </x:c>
    </x:row>
    <x:row r="1375" ht="18" customHeight="1">
      <x:c r="A1375" s="13" t="n">
        <x:v>44659</x:v>
      </x:c>
      <x:c r="B1375" s="12" t="n">
        <x:v>3</x:v>
      </x:c>
      <x:c r="C1375" s="12" t="n">
        <x:v>0.005134476259089511</x:v>
      </x:c>
      <x:c r="D1375" s="12" t="n">
        <x:v>-0.38737581909128854</x:v>
      </x:c>
      <x:c r="E1375" s="12" t="n">
        <x:v>-0.22936713258574873</x:v>
      </x:c>
    </x:row>
    <x:row r="1376" ht="18" customHeight="1">
      <x:c r="A1376" s="13" t="n">
        <x:v>44662</x:v>
      </x:c>
      <x:c r="B1376" s="12" t="n">
        <x:v>16</x:v>
      </x:c>
      <x:c r="C1376" s="12" t="n">
        <x:v>-0.031379156956962674</x:v>
      </x:c>
      <x:c r="D1376" s="12" t="n">
        <x:v>-0.41181643811816304</x:v>
      </x:c>
      <x:c r="E1376" s="12" t="n">
        <x:v>-0.2473304298389398</x:v>
      </x:c>
    </x:row>
    <x:row r="1377" ht="18" customHeight="1">
      <x:c r="A1377" s="13" t="n">
        <x:v>44663</x:v>
      </x:c>
      <x:c r="B1377" s="12" t="n">
        <x:v>2</x:v>
      </x:c>
      <x:c r="C1377" s="12" t="n">
        <x:v>0.01930059551012999</x:v>
      </x:c>
      <x:c r="D1377" s="12" t="n">
        <x:v>-0.4029186772548483</x:v>
      </x:c>
      <x:c r="E1377" s="12" t="n">
        <x:v>-0.24961544687793435</x:v>
      </x:c>
    </x:row>
    <x:row r="1378" ht="18" customHeight="1">
      <x:c r="A1378" s="13" t="n">
        <x:v>44664</x:v>
      </x:c>
      <x:c r="B1378" s="12" t="n">
        <x:v>2</x:v>
      </x:c>
      <x:c r="C1378" s="12" t="n">
        <x:v>-0.009672456165582058</x:v>
      </x:c>
      <x:c r="D1378" s="12" t="n">
        <x:v>-0.40617787134651334</x:v>
      </x:c>
      <x:c r="E1378" s="12" t="n">
        <x:v>-0.25011617700438843</x:v>
      </x:c>
    </x:row>
    <x:row r="1379" ht="18" customHeight="1">
      <x:c r="A1379" s="13" t="n">
        <x:v>44665</x:v>
      </x:c>
      <x:c r="B1379" s="12" t="n">
        <x:v>-9</x:v>
      </x:c>
      <x:c r="C1379" s="12" t="n">
        <x:v>0.012442724453656956</x:v>
      </x:c>
      <x:c r="D1379" s="12" t="n">
        <x:v>-0.411761491196623</x:v>
      </x:c>
      <x:c r="E1379" s="12" t="n">
        <x:v>-0.25105306850808723</x:v>
      </x:c>
    </x:row>
    <x:row r="1380" ht="18" customHeight="1">
      <x:c r="A1380" s="13" t="n">
        <x:v>44669</x:v>
      </x:c>
      <x:c r="B1380" s="12" t="n">
        <x:v>-4</x:v>
      </x:c>
      <x:c r="C1380" s="12" t="n">
        <x:v>-0.005353082266565374</x:v>
      </x:c>
      <x:c r="D1380" s="12" t="n">
        <x:v>-0.4111864797173912</x:v>
      </x:c>
      <x:c r="E1380" s="12" t="n">
        <x:v>-0.2496135662084774</x:v>
      </x:c>
    </x:row>
    <x:row r="1381" ht="18" customHeight="1">
      <x:c r="A1381" s="13" t="n">
        <x:v>44670</x:v>
      </x:c>
      <x:c r="B1381" s="12" t="n">
        <x:v>-6</x:v>
      </x:c>
      <x:c r="C1381" s="12" t="n">
        <x:v>-0.007585053824646595</x:v>
      </x:c>
      <x:c r="D1381" s="12" t="n">
        <x:v>-0.40912996299929416</x:v>
      </x:c>
      <x:c r="E1381" s="12" t="n">
        <x:v>-0.24804164562094586</x:v>
      </x:c>
    </x:row>
    <x:row r="1382" ht="18" customHeight="1">
      <x:c r="A1382" s="13" t="n">
        <x:v>44671</x:v>
      </x:c>
      <x:c r="B1382" s="12" t="n">
        <x:v>-2</x:v>
      </x:c>
      <x:c r="C1382" s="12" t="n">
        <x:v>-0.015626741925608204</x:v>
      </x:c>
      <x:c r="D1382" s="12" t="n">
        <x:v>-0.40941355493089554</x:v>
      </x:c>
      <x:c r="E1382" s="12" t="n">
        <x:v>-0.24969539572415414</x:v>
      </x:c>
    </x:row>
    <x:row r="1383" ht="18" customHeight="1">
      <x:c r="A1383" s="13" t="n">
        <x:v>44672</x:v>
      </x:c>
      <x:c r="B1383" s="12" t="n">
        <x:v>-6</x:v>
      </x:c>
      <x:c r="C1383" s="12" t="n">
        <x:v>-0.01858549625635768</x:v>
      </x:c>
      <x:c r="D1383" s="12" t="n">
        <x:v>-0.38522474745713753</x:v>
      </x:c>
      <x:c r="E1383" s="12" t="n">
        <x:v>-0.24209899888166803</x:v>
      </x:c>
    </x:row>
    <x:row r="1384" ht="18" customHeight="1">
      <x:c r="A1384" s="13" t="n">
        <x:v>44673</x:v>
      </x:c>
      <x:c r="B1384" s="12" t="n">
        <x:v>15</x:v>
      </x:c>
      <x:c r="C1384" s="12" t="n">
        <x:v>0.00435001970365872</x:v>
      </x:c>
      <x:c r="D1384" s="12" t="n">
        <x:v>-0.36922368336802763</x:v>
      </x:c>
      <x:c r="E1384" s="12" t="n">
        <x:v>-0.23654018919628977</x:v>
      </x:c>
    </x:row>
    <x:row r="1385" ht="18" customHeight="1">
      <x:c r="A1385" s="13" t="n">
        <x:v>44676</x:v>
      </x:c>
      <x:c r="B1385" s="12" t="n">
        <x:v>15</x:v>
      </x:c>
      <x:c r="C1385" s="12" t="n">
        <x:v>-0.05068355592304823</x:v>
      </x:c>
      <x:c r="D1385" s="12" t="n">
        <x:v>-0.396780410347637</x:v>
      </x:c>
      <x:c r="E1385" s="12" t="n">
        <x:v>-0.25984680423303985</x:v>
      </x:c>
    </x:row>
    <x:row r="1386" ht="18" customHeight="1">
      <x:c r="A1386" s="13" t="n">
        <x:v>44677</x:v>
      </x:c>
      <x:c r="B1386" s="12" t="n">
        <x:v>3</x:v>
      </x:c>
      <x:c r="C1386" s="12" t="n">
        <x:v>-0.008104470811488438</x:v>
      </x:c>
      <x:c r="D1386" s="12" t="n">
        <x:v>-0.39740645160027616</x:v>
      </x:c>
      <x:c r="E1386" s="12" t="n">
        <x:v>-0.26034059206878196</x:v>
      </x:c>
    </x:row>
    <x:row r="1387" ht="18" customHeight="1">
      <x:c r="A1387" s="13" t="n">
        <x:v>44678</x:v>
      </x:c>
      <x:c r="B1387" s="12" t="n">
        <x:v>6</x:v>
      </x:c>
      <x:c r="C1387" s="12" t="n">
        <x:v>0.02901799754097714</x:v>
      </x:c>
      <x:c r="D1387" s="12" t="n">
        <x:v>-0.375802863154576</x:v>
      </x:c>
      <x:c r="E1387" s="12" t="n">
        <x:v>-0.24837814675187886</x:v>
      </x:c>
    </x:row>
    <x:row r="1388" ht="18" customHeight="1">
      <x:c r="A1388" s="13" t="n">
        <x:v>44679</x:v>
      </x:c>
      <x:c r="B1388" s="12" t="n">
        <x:v>-6</x:v>
      </x:c>
      <x:c r="C1388" s="12" t="n">
        <x:v>0.006542780554855859</x:v>
      </x:c>
      <x:c r="D1388" s="12" t="n">
        <x:v>-0.3806714640054629</x:v>
      </x:c>
      <x:c r="E1388" s="12" t="n">
        <x:v>-0.2509866222956525</x:v>
      </x:c>
    </x:row>
    <x:row r="1389" ht="18" customHeight="1">
      <x:c r="A1389" s="13" t="n">
        <x:v>44680</x:v>
      </x:c>
      <x:c r="B1389" s="12" t="n">
        <x:v>10</x:v>
      </x:c>
      <x:c r="C1389" s="12" t="n">
        <x:v>0.023972302145301865</x:v>
      </x:c>
      <x:c r="D1389" s="12" t="n">
        <x:v>-0.35149128296755816</x:v>
      </x:c>
      <x:c r="E1389" s="12" t="n">
        <x:v>-0.23789064204367955</x:v>
      </x:c>
    </x:row>
    <x:row r="1390" ht="18" customHeight="1">
      <x:c r="A1390" s="13" t="n">
        <x:v>44686</x:v>
      </x:c>
      <x:c r="B1390" s="12" t="n">
        <x:v>-6.999999999999943</x:v>
      </x:c>
      <x:c r="C1390" s="12" t="n">
        <x:v>-0.0015027316517908444</x:v>
      </x:c>
      <x:c r="D1390" s="12" t="n">
        <x:v>-0.3486240316000408</x:v>
      </x:c>
      <x:c r="E1390" s="12" t="n">
        <x:v>-0.23511650487136554</x:v>
      </x:c>
    </x:row>
    <x:row r="1391" ht="18" customHeight="1">
      <x:c r="A1391" s="13" t="n">
        <x:v>44687</x:v>
      </x:c>
      <x:c r="B1391" s="12" t="n">
        <x:v>15</x:v>
      </x:c>
      <x:c r="C1391" s="12" t="n">
        <x:v>-0.02560939988841187</x:v>
      </x:c>
      <x:c r="D1391" s="12" t="n">
        <x:v>-0.37490580989173933</x:v>
      </x:c>
      <x:c r="E1391" s="12" t="n">
        <x:v>-0.24709486331749786</x:v>
      </x:c>
    </x:row>
    <x:row r="1392" ht="18" customHeight="1">
      <x:c r="A1392" s="13" t="n">
        <x:v>44690</x:v>
      </x:c>
      <x:c r="B1392" s="12" t="n">
        <x:v>29</x:v>
      </x:c>
      <x:c r="C1392" s="12" t="n">
        <x:v>-0.008060045395905031</x:v>
      </x:c>
      <x:c r="D1392" s="12" t="n">
        <x:v>-0.38407823697917237</x:v>
      </x:c>
      <x:c r="E1392" s="12" t="n">
        <x:v>-0.24833099312177548</x:v>
      </x:c>
    </x:row>
    <x:row r="1393" ht="18" customHeight="1">
      <x:c r="A1393" s="13" t="n">
        <x:v>44691</x:v>
      </x:c>
      <x:c r="B1393" s="12" t="n">
        <x:v>4.999999999999943</x:v>
      </x:c>
      <x:c r="C1393" s="12" t="n">
        <x:v>0.010883868197312553</x:v>
      </x:c>
      <x:c r="D1393" s="12" t="n">
        <x:v>-0.37201617432882667</x:v>
      </x:c>
      <x:c r="E1393" s="12" t="n">
        <x:v>-0.25026369922111535</x:v>
      </x:c>
    </x:row>
    <x:row r="1394" ht="18" customHeight="1">
      <x:c r="A1394" s="13" t="n">
        <x:v>44692</x:v>
      </x:c>
      <x:c r="B1394" s="12" t="n">
        <x:v>3.000000000000057</x:v>
      </x:c>
      <x:c r="C1394" s="12" t="n">
        <x:v>0.014324614803433415</x:v>
      </x:c>
      <x:c r="D1394" s="12" t="n">
        <x:v>-0.3516011866132482</x:v>
      </x:c>
      <x:c r="E1394" s="12" t="n">
        <x:v>-0.24861594623537306</x:v>
      </x:c>
    </x:row>
    <x:row r="1395" ht="18" customHeight="1">
      <x:c r="A1395" s="13" t="n">
        <x:v>44693</x:v>
      </x:c>
      <x:c r="B1395" s="12" t="n">
        <x:v>21.999999999999943</x:v>
      </x:c>
      <x:c r="C1395" s="12" t="n">
        <x:v>-0.004456903796067587</x:v>
      </x:c>
      <x:c r="D1395" s="12" t="n">
        <x:v>-0.3404143895783239</x:v>
      </x:c>
      <x:c r="E1395" s="12" t="n">
        <x:v>-0.24785881456412448</x:v>
      </x:c>
    </x:row>
    <x:row r="1396" ht="18" customHeight="1">
      <x:c r="A1396" s="13" t="n">
        <x:v>44694</x:v>
      </x:c>
      <x:c r="B1396" s="12" t="n">
        <x:v>-13.999999999999943</x:v>
      </x:c>
      <x:c r="C1396" s="12" t="n">
        <x:v>0.007514549462257705</x:v>
      </x:c>
      <x:c r="D1396" s="12" t="n">
        <x:v>-0.3534170387722118</x:v>
      </x:c>
      <x:c r="E1396" s="12" t="n">
        <x:v>-0.2510178861088784</x:v>
      </x:c>
    </x:row>
    <x:row r="1397" ht="18" customHeight="1">
      <x:c r="A1397" s="13" t="n">
        <x:v>44697</x:v>
      </x:c>
      <x:c r="B1397" s="12" t="n">
        <x:v>8</x:v>
      </x:c>
      <x:c r="C1397" s="12" t="n">
        <x:v>-0.00807099235976954</x:v>
      </x:c>
      <x:c r="D1397" s="12" t="n">
        <x:v>-0.35786841487304766</x:v>
      </x:c>
      <x:c r="E1397" s="12" t="n">
        <x:v>-0.25093166679526646</x:v>
      </x:c>
    </x:row>
    <x:row r="1398" ht="18" customHeight="1">
      <x:c r="A1398" s="13" t="n">
        <x:v>44698</x:v>
      </x:c>
      <x:c r="B1398" s="12" t="n">
        <x:v>-11.000000000000057</x:v>
      </x:c>
      <x:c r="C1398" s="12" t="n">
        <x:v>0.012397276884578638</x:v>
      </x:c>
      <x:c r="D1398" s="12" t="n">
        <x:v>-0.36111454259933096</x:v>
      </x:c>
      <x:c r="E1398" s="12" t="n">
        <x:v>-0.25743345566764614</x:v>
      </x:c>
    </x:row>
    <x:row r="1399" ht="18" customHeight="1">
      <x:c r="A1399" s="13" t="n">
        <x:v>44699</x:v>
      </x:c>
      <x:c r="B1399" s="12" t="n">
        <x:v>24.000000000000057</x:v>
      </x:c>
      <x:c r="C1399" s="12" t="n">
        <x:v>-0.0034975902707219692</x:v>
      </x:c>
      <x:c r="D1399" s="12" t="n">
        <x:v>-0.3537050341146026</x:v>
      </x:c>
      <x:c r="E1399" s="12" t="n">
        <x:v>-0.25531831469282595</x:v>
      </x:c>
    </x:row>
    <x:row r="1400" ht="18" customHeight="1">
      <x:c r="A1400" s="13" t="n">
        <x:v>44700</x:v>
      </x:c>
      <x:c r="B1400" s="12" t="n">
        <x:v>8</x:v>
      </x:c>
      <x:c r="C1400" s="12" t="n">
        <x:v>0.001924919545495968</x:v>
      </x:c>
      <x:c r="D1400" s="12" t="n">
        <x:v>-0.3494677761241867</x:v>
      </x:c>
      <x:c r="E1400" s="12" t="n">
        <x:v>-0.25456406868866616</x:v>
      </x:c>
    </x:row>
    <x:row r="1401" ht="18" customHeight="1">
      <x:c r="A1401" s="13" t="n">
        <x:v>44701</x:v>
      </x:c>
      <x:c r="B1401" s="12" t="n">
        <x:v>-1</x:v>
      </x:c>
      <x:c r="C1401" s="12" t="n">
        <x:v>0.019314574915760673</x:v>
      </x:c>
      <x:c r="D1401" s="12" t="n">
        <x:v>-0.34693163259454507</x:v>
      </x:c>
      <x:c r="E1401" s="12" t="n">
        <x:v>-0.25380012567347404</x:v>
      </x:c>
    </x:row>
    <x:row r="1402" ht="18" customHeight="1">
      <x:c r="A1402" s="13" t="n">
        <x:v>44704</x:v>
      </x:c>
      <x:c r="B1402" s="12" t="n">
        <x:v>-9</x:v>
      </x:c>
      <x:c r="C1402" s="12" t="n">
        <x:v>-0.005808849033170905</x:v>
      </x:c>
      <x:c r="D1402" s="12" t="n">
        <x:v>-0.3354069922959843</x:v>
      </x:c>
      <x:c r="E1402" s="12" t="n">
        <x:v>-0.2504930059475806</x:v>
      </x:c>
    </x:row>
    <x:row r="1403" ht="18" customHeight="1">
      <x:c r="A1403" s="13" t="n">
        <x:v>44705</x:v>
      </x:c>
      <x:c r="B1403" s="12" t="n">
        <x:v>12.000000000000057</x:v>
      </x:c>
      <x:c r="C1403" s="12" t="n">
        <x:v>-0.023669290624887738</x:v>
      </x:c>
      <x:c r="D1403" s="12" t="n">
        <x:v>-0.3462539222311346</x:v>
      </x:c>
      <x:c r="E1403" s="12" t="n">
        <x:v>-0.258244343883943</x:v>
      </x:c>
    </x:row>
    <x:row r="1404" ht="18" customHeight="1">
      <x:c r="A1404" s="13" t="n">
        <x:v>44706</x:v>
      </x:c>
      <x:c r="B1404" s="12" t="n">
        <x:v>-20.000000000000057</x:v>
      </x:c>
      <x:c r="C1404" s="12" t="n">
        <x:v>0.00604970221829956</x:v>
      </x:c>
      <x:c r="D1404" s="12" t="n">
        <x:v>-0.352863525509324</x:v>
      </x:c>
      <x:c r="E1404" s="12" t="n">
        <x:v>-0.2627300862707579</x:v>
      </x:c>
    </x:row>
    <x:row r="1405" ht="18" customHeight="1">
      <x:c r="A1405" s="13" t="n">
        <x:v>44707</x:v>
      </x:c>
      <x:c r="B1405" s="12" t="n">
        <x:v>-36</x:v>
      </x:c>
      <x:c r="C1405" s="12" t="n">
        <x:v>0.002473904009937255</x:v>
      </x:c>
      <x:c r="D1405" s="12" t="n">
        <x:v>-0.3439708541090279</x:v>
      </x:c>
      <x:c r="E1405" s="12" t="n">
        <x:v>-0.257864540954159</x:v>
      </x:c>
    </x:row>
    <x:row r="1406" ht="18" customHeight="1">
      <x:c r="A1406" s="13" t="n">
        <x:v>44708</x:v>
      </x:c>
      <x:c r="B1406" s="12" t="n">
        <x:v>-18.999999999999943</x:v>
      </x:c>
      <x:c r="C1406" s="12" t="n">
        <x:v>0.002065010850841763</x:v>
      </x:c>
      <x:c r="D1406" s="12" t="n">
        <x:v>-0.3439058208245211</x:v>
      </x:c>
      <x:c r="E1406" s="12" t="n">
        <x:v>-0.26073325118592355</x:v>
      </x:c>
    </x:row>
    <x:row r="1407" ht="18" customHeight="1">
      <x:c r="A1407" s="13" t="n">
        <x:v>44711</x:v>
      </x:c>
      <x:c r="B1407" s="12" t="n">
        <x:v>0</x:v>
      </x:c>
      <x:c r="C1407" s="12" t="n">
        <x:v>0.006903640572861194</x:v>
      </x:c>
      <x:c r="D1407" s="12" t="n">
        <x:v>-0.3475932805638442</x:v>
      </x:c>
      <x:c r="E1407" s="12" t="n">
        <x:v>-0.2602939535436381</x:v>
      </x:c>
    </x:row>
    <x:row r="1408" ht="18" customHeight="1">
      <x:c r="A1408" s="13" t="n">
        <x:v>44712</x:v>
      </x:c>
      <x:c r="B1408" s="12" t="n">
        <x:v>2.999999999999943</x:v>
      </x:c>
      <x:c r="C1408" s="12" t="n">
        <x:v>0.015393303587812266</x:v>
      </x:c>
      <x:c r="D1408" s="12" t="n">
        <x:v>-0.34033200988718765</x:v>
      </x:c>
      <x:c r="E1408" s="12" t="n">
        <x:v>-0.25709859866273527</x:v>
      </x:c>
    </x:row>
    <x:row r="1409" ht="18" customHeight="1">
      <x:c r="A1409" s="13" t="n">
        <x:v>44713</x:v>
      </x:c>
      <x:c r="B1409" s="12" t="n">
        <x:v>-9</x:v>
      </x:c>
      <x:c r="C1409" s="12" t="n">
        <x:v>-0.0020405417200374844</x:v>
      </x:c>
      <x:c r="D1409" s="12" t="n">
        <x:v>-0.3212115392646606</x:v>
      </x:c>
      <x:c r="E1409" s="12" t="n">
        <x:v>-0.2561035204639673</x:v>
      </x:c>
    </x:row>
    <x:row r="1410" ht="18" customHeight="1">
      <x:c r="A1410" s="13" t="n">
        <x:v>44714</x:v>
      </x:c>
      <x:c r="B1410" s="12" t="n">
        <x:v>2.000000000000057</x:v>
      </x:c>
      <x:c r="C1410" s="12" t="n">
        <x:v>0.0015639790523059368</x:v>
      </x:c>
      <x:c r="D1410" s="12" t="n">
        <x:v>-0.3108274749309107</x:v>
      </x:c>
      <x:c r="E1410" s="12" t="n">
        <x:v>-0.2565741548686257</x:v>
      </x:c>
    </x:row>
    <x:row r="1411" ht="18" customHeight="1">
      <x:c r="A1411" s="13" t="n">
        <x:v>44718</x:v>
      </x:c>
      <x:c r="B1411" s="12" t="n">
        <x:v>-1.9999999999999432</x:v>
      </x:c>
      <x:c r="C1411" s="12" t="n">
        <x:v>0.01853735598596303</x:v>
      </x:c>
      <x:c r="D1411" s="12" t="n">
        <x:v>-0.3183913032696785</x:v>
      </x:c>
      <x:c r="E1411" s="12" t="n">
        <x:v>-0.25685780684519854</x:v>
      </x:c>
    </x:row>
    <x:row r="1412" ht="18" customHeight="1">
      <x:c r="A1412" s="13" t="n">
        <x:v>44719</x:v>
      </x:c>
      <x:c r="B1412" s="12" t="n">
        <x:v>14.999999999999943</x:v>
      </x:c>
      <x:c r="C1412" s="12" t="n">
        <x:v>0.0031259860808895245</x:v>
      </x:c>
      <x:c r="D1412" s="12" t="n">
        <x:v>-0.3211255024697258</x:v>
      </x:c>
      <x:c r="E1412" s="12" t="n">
        <x:v>-0.2530030676221164</x:v>
      </x:c>
    </x:row>
    <x:row r="1413" ht="18" customHeight="1">
      <x:c r="A1413" s="13" t="n">
        <x:v>44720</x:v>
      </x:c>
      <x:c r="B1413" s="12" t="n">
        <x:v>0</x:v>
      </x:c>
      <x:c r="C1413" s="12" t="n">
        <x:v>0.009687892711944179</x:v>
      </x:c>
      <x:c r="D1413" s="12" t="n">
        <x:v>-0.33782470604798054</x:v>
      </x:c>
      <x:c r="E1413" s="12" t="n">
        <x:v>-0.2530238722071627</x:v>
      </x:c>
    </x:row>
    <x:row r="1414" ht="18" customHeight="1">
      <x:c r="A1414" s="13" t="n">
        <x:v>44721</x:v>
      </x:c>
      <x:c r="B1414" s="12" t="n">
        <x:v>8</x:v>
      </x:c>
      <x:c r="C1414" s="12" t="n">
        <x:v>-0.010514674651401995</x:v>
      </x:c>
      <x:c r="D1414" s="12" t="n">
        <x:v>-0.341628546559464</x:v>
      </x:c>
      <x:c r="E1414" s="12" t="n">
        <x:v>-0.2573738120444659</x:v>
      </x:c>
    </x:row>
    <x:row r="1415" ht="18" customHeight="1">
      <x:c r="A1415" s="13" t="n">
        <x:v>44722</x:v>
      </x:c>
      <x:c r="B1415" s="12" t="n">
        <x:v>9</x:v>
      </x:c>
      <x:c r="C1415" s="12" t="n">
        <x:v>0.01504993254272511</x:v>
      </x:c>
      <x:c r="D1415" s="12" t="n">
        <x:v>-0.31972634775427333</x:v>
      </x:c>
      <x:c r="E1415" s="12" t="n">
        <x:v>-0.25102776405058774</x:v>
      </x:c>
    </x:row>
    <x:row r="1416" ht="18" customHeight="1">
      <x:c r="A1416" s="13" t="n">
        <x:v>44725</x:v>
      </x:c>
      <x:c r="B1416" s="12" t="n">
        <x:v>36</x:v>
      </x:c>
      <x:c r="C1416" s="12" t="n">
        <x:v>-0.011779647453103595</x:v>
      </x:c>
      <x:c r="D1416" s="12" t="n">
        <x:v>-0.3140984168502138</x:v>
      </x:c>
      <x:c r="E1416" s="12" t="n">
        <x:v>-0.2563596524145754</x:v>
      </x:c>
    </x:row>
    <x:row r="1417" ht="18" customHeight="1">
      <x:c r="A1417" s="13" t="n">
        <x:v>44726</x:v>
      </x:c>
      <x:c r="B1417" s="12" t="n">
        <x:v>3.000000000000057</x:v>
      </x:c>
      <x:c r="C1417" s="12" t="n">
        <x:v>0.007836468093539762</x:v>
      </x:c>
      <x:c r="D1417" s="12" t="n">
        <x:v>-0.31473481679406484</x:v>
      </x:c>
      <x:c r="E1417" s="12" t="n">
        <x:v>-0.2553054216395388</x:v>
      </x:c>
    </x:row>
    <x:row r="1418" ht="18" customHeight="1">
      <x:c r="A1418" s="13" t="n">
        <x:v>44727</x:v>
      </x:c>
      <x:c r="B1418" s="12" t="n">
        <x:v>-8.000000000000057</x:v>
      </x:c>
      <x:c r="C1418" s="12" t="n">
        <x:v>0.013153817785462499</x:v>
      </x:c>
      <x:c r="D1418" s="12" t="n">
        <x:v>-0.3303905511457449</x:v>
      </x:c>
      <x:c r="E1418" s="12" t="n">
        <x:v>-0.2578823997263133</x:v>
      </x:c>
    </x:row>
    <x:row r="1419" ht="18" customHeight="1">
      <x:c r="A1419" s="13" t="n">
        <x:v>44728</x:v>
      </x:c>
      <x:c r="B1419" s="12" t="n">
        <x:v>35</x:v>
      </x:c>
      <x:c r="C1419" s="12" t="n">
        <x:v>-0.006603091114422981</x:v>
      </x:c>
      <x:c r="D1419" s="12" t="n">
        <x:v>-0.33656607920418474</x:v>
      </x:c>
      <x:c r="E1419" s="12" t="n">
        <x:v>-0.25779765875979793</x:v>
      </x:c>
    </x:row>
    <x:row r="1420" ht="18" customHeight="1">
      <x:c r="A1420" s="13" t="n">
        <x:v>44729</x:v>
      </x:c>
      <x:c r="B1420" s="12" t="n">
        <x:v>-2</x:v>
      </x:c>
      <x:c r="C1420" s="12" t="n">
        <x:v>0.013782732704676438</x:v>
      </x:c>
      <x:c r="D1420" s="12" t="n">
        <x:v>-0.33915484621090336</x:v>
      </x:c>
      <x:c r="E1420" s="12" t="n">
        <x:v>-0.25892327518213476</x:v>
      </x:c>
    </x:row>
    <x:row r="1421" ht="18" customHeight="1">
      <x:c r="A1421" s="13" t="n">
        <x:v>44732</x:v>
      </x:c>
      <x:c r="B1421" s="12" t="n">
        <x:v>0</x:v>
      </x:c>
      <x:c r="C1421" s="12" t="n">
        <x:v>0.004951328234505022</x:v>
      </x:c>
      <x:c r="D1421" s="12" t="n">
        <x:v>-0.32886261502957387</x:v>
      </x:c>
      <x:c r="E1421" s="12" t="n">
        <x:v>-0.2588186485861526</x:v>
      </x:c>
    </x:row>
    <x:row r="1422" ht="18" customHeight="1">
      <x:c r="A1422" s="13" t="n">
        <x:v>44733</x:v>
      </x:c>
      <x:c r="B1422" s="12" t="n">
        <x:v>-10</x:v>
      </x:c>
      <x:c r="C1422" s="12" t="n">
        <x:v>-0.0011245613115404183</x:v>
      </x:c>
      <x:c r="D1422" s="12" t="n">
        <x:v>-0.33657793462775654</x:v>
      </x:c>
      <x:c r="E1422" s="12" t="n">
        <x:v>-0.25915911997843327</x:v>
      </x:c>
    </x:row>
    <x:row r="1423" ht="18" customHeight="1">
      <x:c r="A1423" s="13" t="n">
        <x:v>44734</x:v>
      </x:c>
      <x:c r="B1423" s="12" t="n">
        <x:v>27</x:v>
      </x:c>
      <x:c r="C1423" s="12" t="n">
        <x:v>-0.012783281528528277</x:v>
      </x:c>
      <x:c r="D1423" s="12" t="n">
        <x:v>-0.29412668608584164</x:v>
      </x:c>
      <x:c r="E1423" s="12" t="n">
        <x:v>-0.2663932344455031</x:v>
      </x:c>
    </x:row>
    <x:row r="1424" ht="18" customHeight="1">
      <x:c r="A1424" s="13" t="n">
        <x:v>44735</x:v>
      </x:c>
      <x:c r="B1424" s="12" t="n">
        <x:v>6</x:v>
      </x:c>
      <x:c r="C1424" s="12" t="n">
        <x:v>0.017007872553702612</x:v>
      </x:c>
      <x:c r="D1424" s="12" t="n">
        <x:v>-0.2657437401939066</x:v>
      </x:c>
      <x:c r="E1424" s="12" t="n">
        <x:v>-0.2619111013111794</x:v>
      </x:c>
    </x:row>
    <x:row r="1425" ht="18" customHeight="1">
      <x:c r="A1425" s="13" t="n">
        <x:v>44736</x:v>
      </x:c>
      <x:c r="B1425" s="12" t="n">
        <x:v>-20</x:v>
      </x:c>
      <x:c r="C1425" s="12" t="n">
        <x:v>0.011648200377687492</x:v>
      </x:c>
      <x:c r="D1425" s="12" t="n">
        <x:v>-0.2786033748032017</x:v>
      </x:c>
      <x:c r="E1425" s="12" t="n">
        <x:v>-0.26759316880597334</x:v>
      </x:c>
    </x:row>
    <x:row r="1426" ht="18" customHeight="1">
      <x:c r="A1426" s="13" t="n">
        <x:v>44739</x:v>
      </x:c>
      <x:c r="B1426" s="12" t="n">
        <x:v>-6.999999999999943</x:v>
      </x:c>
      <x:c r="C1426" s="12" t="n">
        <x:v>0.01119853253130678</x:v>
      </x:c>
      <x:c r="D1426" s="12" t="n">
        <x:v>-0.2906162246042939</x:v>
      </x:c>
      <x:c r="E1426" s="12" t="n">
        <x:v>-0.27048202134550303</x:v>
      </x:c>
    </x:row>
    <x:row r="1427" ht="18" customHeight="1">
      <x:c r="A1427" s="13" t="n">
        <x:v>44740</x:v>
      </x:c>
      <x:c r="B1427" s="12" t="n">
        <x:v>14.999999999999943</x:v>
      </x:c>
      <x:c r="C1427" s="12" t="n">
        <x:v>0.010353497362452436</x:v>
      </x:c>
      <x:c r="D1427" s="12" t="n">
        <x:v>-0.2773805187951056</x:v>
      </x:c>
      <x:c r="E1427" s="12" t="n">
        <x:v>-0.263554544080323</x:v>
      </x:c>
    </x:row>
    <x:row r="1428" ht="18" customHeight="1">
      <x:c r="A1428" s="13" t="n">
        <x:v>44741</x:v>
      </x:c>
      <x:c r="B1428" s="12" t="n">
        <x:v>36</x:v>
      </x:c>
      <x:c r="C1428" s="12" t="n">
        <x:v>-0.01552108826980948</x:v>
      </x:c>
      <x:c r="D1428" s="12" t="n">
        <x:v>-0.3042494932025353</x:v>
      </x:c>
      <x:c r="E1428" s="12" t="n">
        <x:v>-0.2733574137154066</x:v>
      </x:c>
    </x:row>
    <x:row r="1429" ht="18" customHeight="1">
      <x:c r="A1429" s="13" t="n">
        <x:v>44742</x:v>
      </x:c>
      <x:c r="B1429" s="12" t="n">
        <x:v>25</x:v>
      </x:c>
      <x:c r="C1429" s="12" t="n">
        <x:v>0.014294240989372303</x:v>
      </x:c>
      <x:c r="D1429" s="12" t="n">
        <x:v>-0.2791727715678148</x:v>
      </x:c>
      <x:c r="E1429" s="12" t="n">
        <x:v>-0.2589841410269176</x:v>
      </x:c>
    </x:row>
    <x:row r="1430" ht="18" customHeight="1">
      <x:c r="A1430" s="13" t="n">
        <x:v>44743</x:v>
      </x:c>
      <x:c r="B1430" s="12" t="n">
        <x:v>5</x:v>
      </x:c>
      <x:c r="C1430" s="12" t="n">
        <x:v>-0.004087015162388046</x:v>
      </x:c>
      <x:c r="D1430" s="12" t="n">
        <x:v>-0.31691762656778816</x:v>
      </x:c>
      <x:c r="E1430" s="12" t="n">
        <x:v>-0.2600253262885574</x:v>
      </x:c>
    </x:row>
    <x:row r="1431" ht="18" customHeight="1">
      <x:c r="A1431" s="13" t="n">
        <x:v>44746</x:v>
      </x:c>
      <x:c r="B1431" s="12" t="n">
        <x:v>1</x:v>
      </x:c>
      <x:c r="C1431" s="12" t="n">
        <x:v>0.0065409635202963844</x:v>
      </x:c>
      <x:c r="D1431" s="12" t="n">
        <x:v>-0.3186563448407269</x:v>
      </x:c>
      <x:c r="E1431" s="12" t="n">
        <x:v>-0.26406894212966536</x:v>
      </x:c>
    </x:row>
    <x:row r="1432" ht="18" customHeight="1">
      <x:c r="A1432" s="13" t="n">
        <x:v>44747</x:v>
      </x:c>
      <x:c r="B1432" s="12" t="n">
        <x:v>6</x:v>
      </x:c>
      <x:c r="C1432" s="12" t="n">
        <x:v>-0.0014449839333698677</x:v>
      </x:c>
      <x:c r="D1432" s="12" t="n">
        <x:v>-0.33185023303023636</x:v>
      </x:c>
      <x:c r="E1432" s="12" t="n">
        <x:v>-0.2644879103588309</x:v>
      </x:c>
    </x:row>
    <x:row r="1433" ht="18" customHeight="1">
      <x:c r="A1433" s="13" t="n">
        <x:v>44748</x:v>
      </x:c>
      <x:c r="B1433" s="12" t="n">
        <x:v>-19</x:v>
      </x:c>
      <x:c r="C1433" s="12" t="n">
        <x:v>-0.014712430163867453</x:v>
      </x:c>
      <x:c r="D1433" s="12" t="n">
        <x:v>-0.28450253057678093</x:v>
      </x:c>
      <x:c r="E1433" s="12" t="n">
        <x:v>-0.2527973599110803</x:v>
      </x:c>
    </x:row>
    <x:row r="1434" ht="18" customHeight="1">
      <x:c r="A1434" s="13" t="n">
        <x:v>44749</x:v>
      </x:c>
      <x:c r="B1434" s="12" t="n">
        <x:v>-30</x:v>
      </x:c>
      <x:c r="C1434" s="12" t="n">
        <x:v>0.004398975120938163</x:v>
      </x:c>
      <x:c r="D1434" s="12" t="n">
        <x:v>-0.2790444462043797</x:v>
      </x:c>
      <x:c r="E1434" s="12" t="n">
        <x:v>-0.25331535756624746</x:v>
      </x:c>
    </x:row>
    <x:row r="1435" ht="18" customHeight="1">
      <x:c r="A1435" s="13" t="n">
        <x:v>44750</x:v>
      </x:c>
      <x:c r="B1435" s="12" t="n">
        <x:v>-14</x:v>
      </x:c>
      <x:c r="C1435" s="12" t="n">
        <x:v>-0.0033120360254251173</x:v>
      </x:c>
      <x:c r="D1435" s="12" t="n">
        <x:v>-0.26720008554153934</x:v>
      </x:c>
      <x:c r="E1435" s="12" t="n">
        <x:v>-0.25117478651763425</x:v>
      </x:c>
    </x:row>
    <x:row r="1436" ht="18" customHeight="1">
      <x:c r="A1436" s="13" t="n">
        <x:v>44753</x:v>
      </x:c>
      <x:c r="B1436" s="12" t="n">
        <x:v>8</x:v>
      </x:c>
      <x:c r="C1436" s="12" t="n">
        <x:v>-0.016887784237041334</x:v>
      </x:c>
      <x:c r="D1436" s="12" t="n">
        <x:v>-0.26919073013593325</x:v>
      </x:c>
      <x:c r="E1436" s="12" t="n">
        <x:v>-0.25337480246490124</x:v>
      </x:c>
    </x:row>
    <x:row r="1437" ht="18" customHeight="1">
      <x:c r="A1437" s="13" t="n">
        <x:v>44754</x:v>
      </x:c>
      <x:c r="B1437" s="12" t="n">
        <x:v>-1</x:v>
      </x:c>
      <x:c r="C1437" s="12" t="n">
        <x:v>-0.009459504788425098</x:v>
      </x:c>
      <x:c r="D1437" s="12" t="n">
        <x:v>-0.26387661086204117</x:v>
      </x:c>
      <x:c r="E1437" s="12" t="n">
        <x:v>-0.25237216258356654</x:v>
      </x:c>
    </x:row>
    <x:row r="1438" ht="18" customHeight="1">
      <x:c r="A1438" s="13" t="n">
        <x:v>44755</x:v>
      </x:c>
      <x:c r="B1438" s="12" t="n">
        <x:v>4</x:v>
      </x:c>
      <x:c r="C1438" s="12" t="n">
        <x:v>0.0018166136425214962</x:v>
      </x:c>
      <x:c r="D1438" s="12" t="n">
        <x:v>-0.2640588668745423</x:v>
      </x:c>
      <x:c r="E1438" s="12" t="n">
        <x:v>-0.25056343524740265</x:v>
      </x:c>
    </x:row>
    <x:row r="1439" ht="18" customHeight="1">
      <x:c r="A1439" s="13" t="n">
        <x:v>44756</x:v>
      </x:c>
      <x:c r="B1439" s="12" t="n">
        <x:v>6</x:v>
      </x:c>
      <x:c r="C1439" s="12" t="n">
        <x:v>0.0001417244072591004</x:v>
      </x:c>
      <x:c r="D1439" s="12" t="n">
        <x:v>-0.24289380467538307</x:v>
      </x:c>
      <x:c r="E1439" s="12" t="n">
        <x:v>-0.250338728602153</x:v>
      </x:c>
    </x:row>
    <x:row r="1440" ht="18" customHeight="1">
      <x:c r="A1440" s="13" t="n">
        <x:v>44757</x:v>
      </x:c>
      <x:c r="B1440" s="12" t="n">
        <x:v>-14</x:v>
      </x:c>
      <x:c r="C1440" s="12" t="n">
        <x:v>-0.017163020676960457</x:v>
      </x:c>
      <x:c r="D1440" s="12" t="n">
        <x:v>-0.21719796375646405</x:v>
      </x:c>
      <x:c r="E1440" s="12" t="n">
        <x:v>-0.2423178128862256</x:v>
      </x:c>
    </x:row>
    <x:row r="1441" ht="18" customHeight="1">
      <x:c r="A1441" s="13" t="n">
        <x:v>44760</x:v>
      </x:c>
      <x:c r="B1441" s="12" t="n">
        <x:v>-14</x:v>
      </x:c>
      <x:c r="C1441" s="12" t="n">
        <x:v>0.010316896703351534</x:v>
      </x:c>
      <x:c r="D1441" s="12" t="n">
        <x:v>-0.2279260829805727</x:v>
      </x:c>
      <x:c r="E1441" s="12" t="n">
        <x:v>-0.24620974324731476</x:v>
      </x:c>
    </x:row>
    <x:row r="1442" ht="18" customHeight="1">
      <x:c r="A1442" s="13" t="n">
        <x:v>44761</x:v>
      </x:c>
      <x:c r="B1442" s="12" t="n">
        <x:v>-15.000000000000057</x:v>
      </x:c>
      <x:c r="C1442" s="12" t="n">
        <x:v>-0.005430029969549267</x:v>
      </x:c>
      <x:c r="D1442" s="12" t="n">
        <x:v>-0.20943343504757875</x:v>
      </x:c>
      <x:c r="E1442" s="12" t="n">
        <x:v>-0.24267952331490933</x:v>
      </x:c>
    </x:row>
    <x:row r="1443" ht="18" customHeight="1">
      <x:c r="A1443" s="13" t="n">
        <x:v>44762</x:v>
      </x:c>
      <x:c r="B1443" s="12" t="n">
        <x:v>-19.999999999999886</x:v>
      </x:c>
      <x:c r="C1443" s="12" t="n">
        <x:v>0.0033818244642759895</x:v>
      </x:c>
      <x:c r="D1443" s="12" t="n">
        <x:v>-0.21416049230109643</x:v>
      </x:c>
      <x:c r="E1443" s="12" t="n">
        <x:v>-0.24471741201584765</x:v>
      </x:c>
    </x:row>
    <x:row r="1444" ht="18" customHeight="1">
      <x:c r="A1444" s="13" t="n">
        <x:v>44763</x:v>
      </x:c>
      <x:c r="B1444" s="12" t="n">
        <x:v>8.999999999999943</x:v>
      </x:c>
      <x:c r="C1444" s="12" t="n">
        <x:v>-0.011208023842099372</x:v>
      </x:c>
      <x:c r="D1444" s="12" t="n">
        <x:v>-0.22490955583602587</x:v>
      </x:c>
      <x:c r="E1444" s="12" t="n">
        <x:v>-0.24669003013639348</x:v>
      </x:c>
    </x:row>
    <x:row r="1445" ht="18" customHeight="1">
      <x:c r="A1445" s="13" t="n">
        <x:v>44764</x:v>
      </x:c>
      <x:c r="B1445" s="12" t="n">
        <x:v>-3</x:v>
      </x:c>
      <x:c r="C1445" s="12" t="n">
        <x:v>0.0005136240463570039</x:v>
      </x:c>
      <x:c r="D1445" s="12" t="n">
        <x:v>-0.23238709936918997</x:v>
      </x:c>
      <x:c r="E1445" s="12" t="n">
        <x:v>-0.24677726179113108</x:v>
      </x:c>
    </x:row>
    <x:row r="1446" ht="18" customHeight="1">
      <x:c r="A1446" s="13" t="n">
        <x:v>44767</x:v>
      </x:c>
      <x:c r="B1446" s="12" t="n">
        <x:v>-1</x:v>
      </x:c>
      <x:c r="C1446" s="12" t="n">
        <x:v>-0.006056193831946438</x:v>
      </x:c>
      <x:c r="D1446" s="12" t="n">
        <x:v>-0.24697908527942058</x:v>
      </x:c>
      <x:c r="E1446" s="12" t="n">
        <x:v>-0.2466395669588015</x:v>
      </x:c>
    </x:row>
    <x:row r="1447" ht="18" customHeight="1">
      <x:c r="A1447" s="13" t="n">
        <x:v>44768</x:v>
      </x:c>
      <x:c r="B1447" s="12" t="n">
        <x:v>10.999999999999943</x:v>
      </x:c>
      <x:c r="C1447" s="12" t="n">
        <x:v>0.007881160974413862</x:v>
      </x:c>
      <x:c r="D1447" s="12" t="n">
        <x:v>-0.24584914240809674</x:v>
      </x:c>
      <x:c r="E1447" s="12" t="n">
        <x:v>-0.24136688164428613</x:v>
      </x:c>
    </x:row>
    <x:row r="1448" ht="18" customHeight="1">
      <x:c r="A1448" s="13" t="n">
        <x:v>44769</x:v>
      </x:c>
      <x:c r="B1448" s="12" t="n">
        <x:v>1.0000000000000568</x:v>
      </x:c>
      <x:c r="C1448" s="12" t="n">
        <x:v>-0.004943953305376326</x:v>
      </x:c>
      <x:c r="D1448" s="12" t="n">
        <x:v>-0.22083336690292696</x:v>
      </x:c>
      <x:c r="E1448" s="12" t="n">
        <x:v>-0.24234066267350954</x:v>
      </x:c>
    </x:row>
    <x:row r="1449" ht="18" customHeight="1">
      <x:c r="A1449" s="13" t="n">
        <x:v>44770</x:v>
      </x:c>
      <x:c r="B1449" s="12" t="n">
        <x:v>-8.999999999999943</x:v>
      </x:c>
      <x:c r="C1449" s="12" t="n">
        <x:v>0.000150898581695364</x:v>
      </x:c>
      <x:c r="D1449" s="12" t="n">
        <x:v>-0.21845495034070822</x:v>
      </x:c>
      <x:c r="E1449" s="12" t="n">
        <x:v>-0.24170614985609104</x:v>
      </x:c>
    </x:row>
    <x:row r="1450" ht="18" customHeight="1">
      <x:c r="A1450" s="13" t="n">
        <x:v>44771</x:v>
      </x:c>
      <x:c r="B1450" s="12" t="n">
        <x:v>-21.000000000000114</x:v>
      </x:c>
      <x:c r="C1450" s="12" t="n">
        <x:v>-0.013238137096291935</x:v>
      </x:c>
      <x:c r="D1450" s="12" t="n">
        <x:v>-0.2042453948290545</x:v>
      </x:c>
      <x:c r="E1450" s="12" t="n">
        <x:v>-0.23096572382432692</x:v>
      </x:c>
    </x:row>
    <x:row r="1451" ht="18" customHeight="1">
      <x:c r="A1451" s="13" t="n">
        <x:v>44774</x:v>
      </x:c>
      <x:c r="B1451" s="12" t="n">
        <x:v>-3</x:v>
      </x:c>
      <x:c r="C1451" s="12" t="n">
        <x:v>0.004444794555351318</x:v>
      </x:c>
      <x:c r="D1451" s="12" t="n">
        <x:v>-0.20235703420200754</x:v>
      </x:c>
      <x:c r="E1451" s="12" t="n">
        <x:v>-0.23008447079065622</x:v>
      </x:c>
    </x:row>
    <x:row r="1452" ht="18" customHeight="1">
      <x:c r="A1452" s="13" t="n">
        <x:v>44775</x:v>
      </x:c>
      <x:c r="B1452" s="12" t="n">
        <x:v>-18.999999999999943</x:v>
      </x:c>
      <x:c r="C1452" s="12" t="n">
        <x:v>-0.0196865878794687</x:v>
      </x:c>
      <x:c r="D1452" s="12" t="n">
        <x:v>-0.18379437742414442</x:v>
      </x:c>
      <x:c r="E1452" s="12" t="n">
        <x:v>-0.21856260255353208</x:v>
      </x:c>
    </x:row>
    <x:row r="1453" ht="18" customHeight="1">
      <x:c r="A1453" s="13" t="n">
        <x:v>44776</x:v>
      </x:c>
      <x:c r="B1453" s="12" t="n">
        <x:v>-7.000000000000057</x:v>
      </x:c>
      <x:c r="C1453" s="12" t="n">
        <x:v>-0.009799100416606756</x:v>
      </x:c>
      <x:c r="D1453" s="12" t="n">
        <x:v>-0.17660377155330995</x:v>
      </x:c>
      <x:c r="E1453" s="12" t="n">
        <x:v>-0.21537695426373904</x:v>
      </x:c>
    </x:row>
    <x:row r="1454" ht="18" customHeight="1">
      <x:c r="A1454" s="13" t="n">
        <x:v>44777</x:v>
      </x:c>
      <x:c r="B1454" s="12" t="n">
        <x:v>1</x:v>
      </x:c>
      <x:c r="C1454" s="12" t="n">
        <x:v>0.008462130144248198</x:v>
      </x:c>
      <x:c r="D1454" s="12" t="n">
        <x:v>-0.147843865448242</x:v>
      </x:c>
      <x:c r="E1454" s="12" t="n">
        <x:v>-0.22102181948850672</x:v>
      </x:c>
    </x:row>
    <x:row r="1455" ht="18" customHeight="1">
      <x:c r="A1455" s="13" t="n">
        <x:v>44778</x:v>
      </x:c>
      <x:c r="B1455" s="12" t="n">
        <x:v>-10.999999999999943</x:v>
      </x:c>
      <x:c r="C1455" s="12" t="n">
        <x:v>0.013410566060690658</x:v>
      </x:c>
      <x:c r="D1455" s="12" t="n">
        <x:v>-0.13834206527492532</x:v>
      </x:c>
      <x:c r="E1455" s="12" t="n">
        <x:v>-0.2249784928690667</x:v>
      </x:c>
    </x:row>
    <x:row r="1456" ht="18" customHeight="1">
      <x:c r="A1456" s="13" t="n">
        <x:v>44781</x:v>
      </x:c>
      <x:c r="B1456" s="12" t="n">
        <x:v>-3.000000000000057</x:v>
      </x:c>
      <x:c r="C1456" s="12" t="n">
        <x:v>-0.0021279996507610082</x:v>
      </x:c>
      <x:c r="D1456" s="12" t="n">
        <x:v>-0.14381460354166525</x:v>
      </x:c>
      <x:c r="E1456" s="12" t="n">
        <x:v>-0.22245228820172935</x:v>
      </x:c>
    </x:row>
    <x:row r="1457" ht="18" customHeight="1">
      <x:c r="A1457" s="13" t="n">
        <x:v>44782</x:v>
      </x:c>
      <x:c r="B1457" s="12" t="n">
        <x:v>5</x:v>
      </x:c>
      <x:c r="C1457" s="12" t="n">
        <x:v>0.0019787430788460333</x:v>
      </x:c>
      <x:c r="D1457" s="12" t="n">
        <x:v>-0.1497172655907303</x:v>
      </x:c>
      <x:c r="E1457" s="12" t="n">
        <x:v>-0.22193731692381352</x:v>
      </x:c>
    </x:row>
    <x:row r="1458" ht="18" customHeight="1">
      <x:c r="A1458" s="13" t="n">
        <x:v>44783</x:v>
      </x:c>
      <x:c r="B1458" s="12" t="n">
        <x:v>-13</x:v>
      </x:c>
      <x:c r="C1458" s="12" t="n">
        <x:v>-0.011263908664876135</x:v>
      </x:c>
      <x:c r="D1458" s="12" t="n">
        <x:v>-0.12307198479116302</x:v>
      </x:c>
      <x:c r="E1458" s="12" t="n">
        <x:v>-0.21790569553887582</x:v>
      </x:c>
    </x:row>
    <x:row r="1459" ht="18" customHeight="1">
      <x:c r="A1459" s="13" t="n">
        <x:v>44784</x:v>
      </x:c>
      <x:c r="B1459" s="12" t="n">
        <x:v>-12</x:v>
      </x:c>
      <x:c r="C1459" s="12" t="n">
        <x:v>0.02018680447144849</x:v>
      </x:c>
      <x:c r="D1459" s="12" t="n">
        <x:v>-0.13322735391486212</x:v>
      </x:c>
      <x:c r="E1459" s="12" t="n">
        <x:v>-0.22811268054787293</x:v>
      </x:c>
    </x:row>
    <x:row r="1460" ht="18" customHeight="1">
      <x:c r="A1460" s="13" t="n">
        <x:v>44785</x:v>
      </x:c>
      <x:c r="B1460" s="12" t="n">
        <x:v>4</x:v>
      </x:c>
      <x:c r="C1460" s="12" t="n">
        <x:v>-0.000570277182848478</x:v>
      </x:c>
      <x:c r="D1460" s="12" t="n">
        <x:v>-0.12685124433675776</x:v>
      </x:c>
      <x:c r="E1460" s="12" t="n">
        <x:v>-0.225778647488606</x:v>
      </x:c>
    </x:row>
    <x:row r="1461" ht="18" customHeight="1">
      <x:c r="A1461" s="13" t="n">
        <x:v>44788</x:v>
      </x:c>
      <x:c r="B1461" s="12" t="n">
        <x:v>-1</x:v>
      </x:c>
      <x:c r="C1461" s="12" t="n">
        <x:v>-0.0013066040170212304</x:v>
      </x:c>
      <x:c r="D1461" s="12" t="n">
        <x:v>-0.11632437313222824</x:v>
      </x:c>
      <x:c r="E1461" s="12" t="n">
        <x:v>-0.22566938901370456</x:v>
      </x:c>
    </x:row>
    <x:row r="1462" ht="18" customHeight="1">
      <x:c r="A1462" s="13" t="n">
        <x:v>44789</x:v>
      </x:c>
      <x:c r="B1462" s="12" t="n">
        <x:v>1</x:v>
      </x:c>
      <x:c r="C1462" s="12" t="n">
        <x:v>-0.0018753839709140833</x:v>
      </x:c>
      <x:c r="D1462" s="12" t="n">
        <x:v>-0.10855668702981743</x:v>
      </x:c>
      <x:c r="E1462" s="12" t="n">
        <x:v>-0.22494001976467712</x:v>
      </x:c>
    </x:row>
    <x:row r="1463" ht="18" customHeight="1">
      <x:c r="A1463" s="13" t="n">
        <x:v>44790</x:v>
      </x:c>
      <x:c r="B1463" s="12" t="n">
        <x:v>8</x:v>
      </x:c>
      <x:c r="C1463" s="12" t="n">
        <x:v>0.009320508819420452</x:v>
      </x:c>
      <x:c r="D1463" s="12" t="n">
        <x:v>-0.10088063075787868</x:v>
      </x:c>
      <x:c r="E1463" s="12" t="n">
        <x:v>-0.22159283289981152</x:v>
      </x:c>
    </x:row>
    <x:row r="1464" ht="18" customHeight="1">
      <x:c r="A1464" s="13" t="n">
        <x:v>44791</x:v>
      </x:c>
      <x:c r="B1464" s="12" t="n">
        <x:v>4</x:v>
      </x:c>
      <x:c r="C1464" s="12" t="n">
        <x:v>-0.008779083306508366</x:v>
      </x:c>
      <x:c r="D1464" s="12" t="n">
        <x:v>-0.10805291618630884</x:v>
      </x:c>
      <x:c r="E1464" s="12" t="n">
        <x:v>-0.22741318435459262</x:v>
      </x:c>
    </x:row>
    <x:row r="1465" ht="18" customHeight="1">
      <x:c r="A1465" s="13" t="n">
        <x:v>44792</x:v>
      </x:c>
      <x:c r="B1465" s="12" t="n">
        <x:v>8</x:v>
      </x:c>
      <x:c r="C1465" s="12" t="n">
        <x:v>-0.006968026242654508</x:v>
      </x:c>
      <x:c r="D1465" s="12" t="n">
        <x:v>-0.12025122300795131</x:v>
      </x:c>
      <x:c r="E1465" s="12" t="n">
        <x:v>-0.22885382704206467</x:v>
      </x:c>
    </x:row>
    <x:row r="1466" ht="18" customHeight="1">
      <x:c r="A1466" s="13" t="n">
        <x:v>44795</x:v>
      </x:c>
      <x:c r="B1466" s="12" t="n">
        <x:v>17</x:v>
      </x:c>
      <x:c r="C1466" s="12" t="n">
        <x:v>0.007278233888484915</x:v>
      </x:c>
      <x:c r="D1466" s="12" t="n">
        <x:v>-0.0772794752782058</x:v>
      </x:c>
      <x:c r="E1466" s="12" t="n">
        <x:v>-0.22360794907872858</x:v>
      </x:c>
    </x:row>
    <x:row r="1467" ht="18" customHeight="1">
      <x:c r="A1467" s="13" t="n">
        <x:v>44796</x:v>
      </x:c>
      <x:c r="B1467" s="12" t="n">
        <x:v>6</x:v>
      </x:c>
      <x:c r="C1467" s="12" t="n">
        <x:v>-0.00487007294530757</x:v>
      </x:c>
      <x:c r="D1467" s="12" t="n">
        <x:v>-0.07081504739257416</x:v>
      </x:c>
      <x:c r="E1467" s="12" t="n">
        <x:v>-0.22528393965306362</x:v>
      </x:c>
    </x:row>
    <x:row r="1468" ht="18" customHeight="1">
      <x:c r="A1468" s="13" t="n">
        <x:v>44797</x:v>
      </x:c>
      <x:c r="B1468" s="12" t="n">
        <x:v>-6.999999999999943</x:v>
      </x:c>
      <x:c r="C1468" s="12" t="n">
        <x:v>-0.01908538134629194</x:v>
      </x:c>
      <x:c r="D1468" s="12" t="n">
        <x:v>-0.04856721356191455</x:v>
      </x:c>
      <x:c r="E1468" s="12" t="n">
        <x:v>-0.22075967289504983</x:v>
      </x:c>
    </x:row>
    <x:row r="1469" ht="18" customHeight="1">
      <x:c r="A1469" s="13" t="n">
        <x:v>44798</x:v>
      </x:c>
      <x:c r="B1469" s="12" t="n">
        <x:v>-1.0000000000001137</x:v>
      </x:c>
      <x:c r="C1469" s="12" t="n">
        <x:v>0.00825020077551431</x:v>
      </x:c>
      <x:c r="D1469" s="12" t="n">
        <x:v>-0.04659980666453609</x:v>
      </x:c>
      <x:c r="E1469" s="12" t="n">
        <x:v>-0.2221637438260225</x:v>
      </x:c>
    </x:row>
    <x:row r="1470" ht="18" customHeight="1">
      <x:c r="A1470" s="13" t="n">
        <x:v>44799</x:v>
      </x:c>
      <x:c r="B1470" s="12" t="n">
        <x:v>5.000000000000114</x:v>
      </x:c>
      <x:c r="C1470" s="12" t="n">
        <x:v>-0.002114379968170268</x:v>
      </x:c>
      <x:c r="D1470" s="12" t="n">
        <x:v>-0.04761464365123079</x:v>
      </x:c>
      <x:c r="E1470" s="12" t="n">
        <x:v>-0.22184720014664705</x:v>
      </x:c>
    </x:row>
    <x:row r="1471" ht="18" customHeight="1">
      <x:c r="A1471" s="13" t="n">
        <x:v>44802</x:v>
      </x:c>
      <x:c r="B1471" s="12" t="n">
        <x:v>12.999999999999943</x:v>
      </x:c>
      <x:c r="C1471" s="12" t="n">
        <x:v>-0.004397922147476834</x:v>
      </x:c>
      <x:c r="D1471" s="12" t="n">
        <x:v>-0.05898684849540652</x:v>
      </x:c>
      <x:c r="E1471" s="12" t="n">
        <x:v>-0.22209173618299385</x:v>
      </x:c>
    </x:row>
    <x:row r="1472" ht="18" customHeight="1">
      <x:c r="A1472" s="13" t="n">
        <x:v>44803</x:v>
      </x:c>
      <x:c r="B1472" s="12" t="n">
        <x:v>12.000000000000057</x:v>
      </x:c>
      <x:c r="C1472" s="12" t="n">
        <x:v>-0.0033622252849209834</x:v>
      </x:c>
      <x:c r="D1472" s="12" t="n">
        <x:v>-0.06559903070605277</x:v>
      </x:c>
      <x:c r="E1472" s="12" t="n">
        <x:v>-0.22354527342709227</x:v>
      </x:c>
    </x:row>
    <x:row r="1473" ht="18" customHeight="1">
      <x:c r="A1473" s="13" t="n">
        <x:v>44804</x:v>
      </x:c>
      <x:c r="B1473" s="12" t="n">
        <x:v>12.999999999999943</x:v>
      </x:c>
      <x:c r="C1473" s="12" t="n">
        <x:v>0.0007471825661562693</x:v>
      </x:c>
      <x:c r="D1473" s="12" t="n">
        <x:v>-0.06429254930353001</x:v>
      </x:c>
      <x:c r="E1473" s="12" t="n">
        <x:v>-0.22222562327340065</x:v>
      </x:c>
    </x:row>
    <x:row r="1474" ht="18" customHeight="1">
      <x:c r="A1474" s="13" t="n">
        <x:v>44805</x:v>
      </x:c>
      <x:c r="B1474" s="12" t="n">
        <x:v>5</x:v>
      </x:c>
      <x:c r="C1474" s="12" t="n">
        <x:v>-0.00864280063530641</x:v>
      </x:c>
      <x:c r="D1474" s="12" t="n">
        <x:v>-0.06220068059599483</x:v>
      </x:c>
      <x:c r="E1474" s="12" t="n">
        <x:v>-0.2230409289621179</x:v>
      </x:c>
    </x:row>
    <x:row r="1475" ht="18" customHeight="1">
      <x:c r="A1475" s="13" t="n">
        <x:v>44806</x:v>
      </x:c>
      <x:c r="B1475" s="12" t="n">
        <x:v>-2.000000000000057</x:v>
      </x:c>
      <x:c r="C1475" s="12" t="n">
        <x:v>-0.004989602600431504</x:v>
      </x:c>
      <x:c r="D1475" s="12" t="n">
        <x:v>-0.06703954631887397</x:v>
      </x:c>
      <x:c r="E1475" s="12" t="n">
        <x:v>-0.22495124506884404</x:v>
      </x:c>
    </x:row>
    <x:row r="1476" ht="18" customHeight="1">
      <x:c r="A1476" s="13" t="n">
        <x:v>44809</x:v>
      </x:c>
      <x:c r="B1476" s="12" t="n">
        <x:v>1.0000000000000568</x:v>
      </x:c>
      <x:c r="C1476" s="12" t="n">
        <x:v>-0.0020367365603991064</x:v>
      </x:c>
      <x:c r="D1476" s="12" t="n">
        <x:v>-0.06630190548911201</x:v>
      </x:c>
      <x:c r="E1476" s="12" t="n">
        <x:v>-0.22449302665637363</x:v>
      </x:c>
    </x:row>
    <x:row r="1477" ht="18" customHeight="1">
      <x:c r="A1477" s="13" t="n">
        <x:v>44810</x:v>
      </x:c>
      <x:c r="B1477" s="12" t="n">
        <x:v>-8.999999999999943</x:v>
      </x:c>
      <x:c r="C1477" s="12" t="n">
        <x:v>0.00913619152895841</x:v>
      </x:c>
      <x:c r="D1477" s="12" t="n">
        <x:v>-0.06945736251004206</x:v>
      </x:c>
      <x:c r="E1477" s="12" t="n">
        <x:v>-0.2258559508238314</x:v>
      </x:c>
    </x:row>
    <x:row r="1478" ht="18" customHeight="1">
      <x:c r="A1478" s="13" t="n">
        <x:v>44811</x:v>
      </x:c>
      <x:c r="B1478" s="12" t="n">
        <x:v>-1.0000000000000568</x:v>
      </x:c>
      <x:c r="C1478" s="12" t="n">
        <x:v>0.0006667601713317303</x:v>
      </x:c>
      <x:c r="D1478" s="12" t="n">
        <x:v>-0.08747693967967596</x:v>
      </x:c>
      <x:c r="E1478" s="12" t="n">
        <x:v>-0.23036934936851425</x:v>
      </x:c>
    </x:row>
    <x:row r="1479" ht="18" customHeight="1">
      <x:c r="A1479" s="13" t="n">
        <x:v>44812</x:v>
      </x:c>
      <x:c r="B1479" s="12" t="n">
        <x:v>-17</x:v>
      </x:c>
      <x:c r="C1479" s="12" t="n">
        <x:v>-0.004275259704358225</x:v>
      </x:c>
      <x:c r="D1479" s="12" t="n">
        <x:v>-0.031999361908417505</x:v>
      </x:c>
      <x:c r="E1479" s="12" t="n">
        <x:v>-0.2263203368355383</x:v>
      </x:c>
    </x:row>
    <x:row r="1480" ht="18" customHeight="1">
      <x:c r="A1480" s="13" t="n">
        <x:v>44813</x:v>
      </x:c>
      <x:c r="B1480" s="12" t="n">
        <x:v>-23</x:v>
      </x:c>
      <x:c r="C1480" s="12" t="n">
        <x:v>0.013799320738442802</x:v>
      </x:c>
      <x:c r="D1480" s="12" t="n">
        <x:v>-0.07546834390600378</x:v>
      </x:c>
      <x:c r="E1480" s="12" t="n">
        <x:v>-0.2317894848798892</x:v>
      </x:c>
    </x:row>
    <x:row r="1481" ht="18" customHeight="1">
      <x:c r="A1481" s="13" t="n">
        <x:v>44817</x:v>
      </x:c>
      <x:c r="B1481" s="12" t="n">
        <x:v>18</x:v>
      </x:c>
      <x:c r="C1481" s="12" t="n">
        <x:v>0.004223603394433809</x:v>
      </x:c>
      <x:c r="D1481" s="12" t="n">
        <x:v>-0.05126650337476927</x:v>
      </x:c>
      <x:c r="E1481" s="12" t="n">
        <x:v>-0.2276139417693691</x:v>
      </x:c>
    </x:row>
    <x:row r="1482" ht="18" customHeight="1">
      <x:c r="A1482" s="13" t="n">
        <x:v>44818</x:v>
      </x:c>
      <x:c r="B1482" s="12" t="n">
        <x:v>6</x:v>
      </x:c>
      <x:c r="C1482" s="12" t="n">
        <x:v>-0.011192105648596497</x:v>
      </x:c>
      <x:c r="D1482" s="12" t="n">
        <x:v>-0.034908559994495686</x:v>
      </x:c>
      <x:c r="E1482" s="12" t="n">
        <x:v>-0.23167276560947192</x:v>
      </x:c>
    </x:row>
    <x:row r="1483" ht="18" customHeight="1">
      <x:c r="A1483" s="13" t="n">
        <x:v>44819</x:v>
      </x:c>
      <x:c r="B1483" s="12" t="n">
        <x:v>2.999999999999943</x:v>
      </x:c>
      <x:c r="C1483" s="12" t="n">
        <x:v>-0.009450921343383703</x:v>
      </x:c>
      <x:c r="D1483" s="12" t="n">
        <x:v>-0.036811235297085285</x:v>
      </x:c>
      <x:c r="E1483" s="12" t="n">
        <x:v>-0.23157650842738542</x:v>
      </x:c>
    </x:row>
    <x:row r="1484" ht="18" customHeight="1">
      <x:c r="A1484" s="13" t="n">
        <x:v>44820</x:v>
      </x:c>
      <x:c r="B1484" s="12" t="n">
        <x:v>23.000000000000057</x:v>
      </x:c>
      <x:c r="C1484" s="12" t="n">
        <x:v>-0.023729344201284554</x:v>
      </x:c>
      <x:c r="D1484" s="12" t="n">
        <x:v>-0.10095586827376776</x:v>
      </x:c>
      <x:c r="E1484" s="12" t="n">
        <x:v>-0.24376305022887035</x:v>
      </x:c>
    </x:row>
    <x:row r="1485" ht="18" customHeight="1">
      <x:c r="A1485" s="13" t="n">
        <x:v>44823</x:v>
      </x:c>
      <x:c r="B1485" s="12" t="n">
        <x:v>-12</x:v>
      </x:c>
      <x:c r="C1485" s="12" t="n">
        <x:v>-0.0011913724882571326</x:v>
      </x:c>
      <x:c r="D1485" s="12" t="n">
        <x:v>-0.10075512154961677</x:v>
      </x:c>
      <x:c r="E1485" s="12" t="n">
        <x:v>-0.2429497125012885</x:v>
      </x:c>
    </x:row>
    <x:row r="1486" ht="18" customHeight="1">
      <x:c r="A1486" s="13" t="n">
        <x:v>44824</x:v>
      </x:c>
      <x:c r="B1486" s="12" t="n">
        <x:v>0</x:v>
      </x:c>
      <x:c r="C1486" s="12" t="n">
        <x:v>0.0012304036077226527</x:v>
      </x:c>
      <x:c r="D1486" s="12" t="n">
        <x:v>-0.06425834975338439</x:v>
      </x:c>
      <x:c r="E1486" s="12" t="n">
        <x:v>-0.24258412500924223</x:v>
      </x:c>
    </x:row>
    <x:row r="1487" ht="18" customHeight="1">
      <x:c r="A1487" s="13" t="n">
        <x:v>44825</x:v>
      </x:c>
      <x:c r="B1487" s="12" t="n">
        <x:v>-1</x:v>
      </x:c>
      <x:c r="C1487" s="12" t="n">
        <x:v>-0.007427083642582392</x:v>
      </x:c>
      <x:c r="D1487" s="12" t="n">
        <x:v>-0.08292609345892667</x:v>
      </x:c>
      <x:c r="E1487" s="12" t="n">
        <x:v>-0.24206632758284893</x:v>
      </x:c>
    </x:row>
    <x:row r="1488" ht="18" customHeight="1">
      <x:c r="A1488" s="13" t="n">
        <x:v>44826</x:v>
      </x:c>
      <x:c r="B1488" s="12" t="n">
        <x:v>4</x:v>
      </x:c>
      <x:c r="C1488" s="12" t="n">
        <x:v>-0.008848752286126995</x:v>
      </x:c>
      <x:c r="D1488" s="12" t="n">
        <x:v>-0.053297068265542265</x:v>
      </x:c>
      <x:c r="E1488" s="12" t="n">
        <x:v>-0.2430861376965129</x:v>
      </x:c>
    </x:row>
    <x:row r="1489" ht="18" customHeight="1">
      <x:c r="A1489" s="13" t="n">
        <x:v>44827</x:v>
      </x:c>
      <x:c r="B1489" s="12" t="n">
        <x:v>21</x:v>
      </x:c>
      <x:c r="C1489" s="12" t="n">
        <x:v>-0.0034491089709841913</x:v>
      </x:c>
      <x:c r="D1489" s="12" t="n">
        <x:v>-0.044283980913805567</x:v>
      </x:c>
      <x:c r="E1489" s="12" t="n">
        <x:v>-0.2433950957340167</x:v>
      </x:c>
    </x:row>
    <x:row r="1490" ht="18" customHeight="1">
      <x:c r="A1490" s="13" t="n">
        <x:v>44830</x:v>
      </x:c>
      <x:c r="B1490" s="12" t="n">
        <x:v>6</x:v>
      </x:c>
      <x:c r="C1490" s="12" t="n">
        <x:v>-0.00502916909361511</x:v>
      </x:c>
      <x:c r="D1490" s="12" t="n">
        <x:v>-0.07508874716128017</x:v>
      </x:c>
      <x:c r="E1490" s="12" t="n">
        <x:v>-0.2453950694984237</x:v>
      </x:c>
    </x:row>
    <x:row r="1491" ht="18" customHeight="1">
      <x:c r="A1491" s="13" t="n">
        <x:v>44831</x:v>
      </x:c>
      <x:c r="B1491" s="12" t="n">
        <x:v>4</x:v>
      </x:c>
      <x:c r="C1491" s="12" t="n">
        <x:v>0.01439225239211946</x:v>
      </x:c>
      <x:c r="D1491" s="12" t="n">
        <x:v>0.004601280391880393</x:v>
      </x:c>
      <x:c r="E1491" s="12" t="n">
        <x:v>-0.24308287843133697</x:v>
      </x:c>
    </x:row>
    <x:row r="1492" ht="18" customHeight="1">
      <x:c r="A1492" s="13" t="n">
        <x:v>44832</x:v>
      </x:c>
      <x:c r="B1492" s="12" t="n">
        <x:v>25</x:v>
      </x:c>
      <x:c r="C1492" s="12" t="n">
        <x:v>-0.01647107835755761</x:v>
      </x:c>
      <x:c r="D1492" s="12" t="n">
        <x:v>-0.11624575374688238</x:v>
      </x:c>
      <x:c r="E1492" s="12" t="n">
        <x:v>-0.2512518793790005</x:v>
      </x:c>
    </x:row>
    <x:row r="1493" ht="18" customHeight="1">
      <x:c r="A1493" s="13" t="n">
        <x:v>44833</x:v>
      </x:c>
      <x:c r="B1493" s="12" t="n">
        <x:v>3</x:v>
      </x:c>
      <x:c r="C1493" s="12" t="n">
        <x:v>-0.0004092032542780825</x:v>
      </x:c>
      <x:c r="D1493" s="12" t="n">
        <x:v>-0.11380948298502373</x:v>
      </x:c>
      <x:c r="E1493" s="12" t="n">
        <x:v>-0.25021211497827617</x:v>
      </x:c>
    </x:row>
    <x:row r="1494" ht="18" customHeight="1">
      <x:c r="A1494" s="13" t="n">
        <x:v>44834</x:v>
      </x:c>
      <x:c r="B1494" s="12" t="n">
        <x:v>-7</x:v>
      </x:c>
      <x:c r="C1494" s="12" t="n">
        <x:v>-0.005832830032521587</x:v>
      </x:c>
      <x:c r="D1494" s="12" t="n">
        <x:v>-0.11359962184967405</x:v>
      </x:c>
      <x:c r="E1494" s="12" t="n">
        <x:v>-0.2491188682326012</x:v>
      </x:c>
    </x:row>
    <x:row r="1495" ht="18" customHeight="1">
      <x:c r="A1495" s="13" t="n">
        <x:v>44844</x:v>
      </x:c>
      <x:c r="B1495" s="12" t="n">
        <x:v>1.0000000000000568</x:v>
      </x:c>
      <x:c r="C1495" s="12" t="n">
        <x:v>-0.02231046239879809</x:v>
      </x:c>
      <x:c r="D1495" s="12" t="n">
        <x:v>-0.11648286998867985</x:v>
      </x:c>
      <x:c r="E1495" s="12" t="n">
        <x:v>-0.24782322596667064</x:v>
      </x:c>
    </x:row>
    <x:row r="1496" ht="18" customHeight="1">
      <x:c r="A1496" s="13" t="n">
        <x:v>44845</x:v>
      </x:c>
      <x:c r="B1496" s="12" t="n">
        <x:v>22</x:v>
      </x:c>
      <x:c r="C1496" s="12" t="n">
        <x:v>0.0018124696783947004</x:v>
      </x:c>
      <x:c r="D1496" s="12" t="n">
        <x:v>-0.13367258341993327</x:v>
      </x:c>
      <x:c r="E1496" s="12" t="n">
        <x:v>-0.24569955384180212</x:v>
      </x:c>
    </x:row>
    <x:row r="1497" ht="18" customHeight="1">
      <x:c r="A1497" s="13" t="n">
        <x:v>44846</x:v>
      </x:c>
      <x:c r="B1497" s="12" t="n">
        <x:v>6</x:v>
      </x:c>
      <x:c r="C1497" s="12" t="n">
        <x:v>0.015074766835150348</x:v>
      </x:c>
      <x:c r="D1497" s="12" t="n">
        <x:v>-0.0889830894266225</x:v>
      </x:c>
      <x:c r="E1497" s="12" t="n">
        <x:v>-0.24376754775467174</x:v>
      </x:c>
    </x:row>
    <x:row r="1498" ht="18" customHeight="1">
      <x:c r="A1498" s="13" t="n">
        <x:v>44847</x:v>
      </x:c>
      <x:c r="B1498" s="12" t="n">
        <x:v>-6</x:v>
      </x:c>
      <x:c r="C1498" s="12" t="n">
        <x:v>-0.008394261014007776</x:v>
      </x:c>
      <x:c r="D1498" s="12" t="n">
        <x:v>-0.08552999074450081</x:v>
      </x:c>
      <x:c r="E1498" s="12" t="n">
        <x:v>-0.24135147832646336</x:v>
      </x:c>
    </x:row>
    <x:row r="1499" ht="18" customHeight="1">
      <x:c r="A1499" s="13" t="n">
        <x:v>44848</x:v>
      </x:c>
      <x:c r="B1499" s="12" t="n">
        <x:v>-10</x:v>
      </x:c>
      <x:c r="C1499" s="12" t="n">
        <x:v>0.023646977519851727</x:v>
      </x:c>
      <x:c r="D1499" s="12" t="n">
        <x:v>-0.10522992377025124</x:v>
      </x:c>
      <x:c r="E1499" s="12" t="n">
        <x:v>-0.24878749125006516</x:v>
      </x:c>
    </x:row>
    <x:row r="1500" ht="18" customHeight="1">
      <x:c r="A1500" s="13" t="n">
        <x:v>44851</x:v>
      </x:c>
      <x:c r="B1500" s="12" t="n">
        <x:v>-11</x:v>
      </x:c>
      <x:c r="C1500" s="12" t="n">
        <x:v>0.0010254027826726963</x:v>
      </x:c>
      <x:c r="D1500" s="12" t="n">
        <x:v>-0.11088708701562144</x:v>
      </x:c>
      <x:c r="E1500" s="12" t="n">
        <x:v>-0.24777514905241416</x:v>
      </x:c>
    </x:row>
    <x:row r="1501" ht="18" customHeight="1">
      <x:c r="A1501" s="13" t="n">
        <x:v>44852</x:v>
      </x:c>
      <x:c r="B1501" s="12" t="n">
        <x:v>-9</x:v>
      </x:c>
      <x:c r="C1501" s="12" t="n">
        <x:v>-0.002119855227317334</x:v>
      </x:c>
      <x:c r="D1501" s="12" t="n">
        <x:v>-0.11239288944862606</x:v>
      </x:c>
      <x:c r="E1501" s="12" t="n">
        <x:v>-0.24705513032781004</x:v>
      </x:c>
    </x:row>
    <x:row r="1502" ht="18" customHeight="1">
      <x:c r="A1502" s="13" t="n">
        <x:v>44853</x:v>
      </x:c>
      <x:c r="B1502" s="12" t="n">
        <x:v>2</x:v>
      </x:c>
      <x:c r="C1502" s="12" t="n">
        <x:v>-0.01621435910914368</x:v>
      </x:c>
      <x:c r="D1502" s="12" t="n">
        <x:v>-0.11727391053931327</x:v>
      </x:c>
      <x:c r="E1502" s="12" t="n">
        <x:v>-0.24691852597992875</x:v>
      </x:c>
    </x:row>
    <x:row r="1503" ht="18" customHeight="1">
      <x:c r="A1503" s="13" t="n">
        <x:v>44854</x:v>
      </x:c>
      <x:c r="B1503" s="12" t="n">
        <x:v>-8.000000000000057</x:v>
      </x:c>
      <x:c r="C1503" s="12" t="n">
        <x:v>-0.005737707729671164</x:v>
      </x:c>
      <x:c r="D1503" s="12" t="n">
        <x:v>-0.14726603804088223</x:v>
      </x:c>
      <x:c r="E1503" s="12" t="n">
        <x:v>-0.24590083699196724</x:v>
      </x:c>
    </x:row>
    <x:row r="1504" ht="18" customHeight="1">
      <x:c r="A1504" s="13" t="n">
        <x:v>44855</x:v>
      </x:c>
      <x:c r="B1504" s="12" t="n">
        <x:v>10.000000000000057</x:v>
      </x:c>
      <x:c r="C1504" s="12" t="n">
        <x:v>-0.0032100025485567343</x:v>
      </x:c>
      <x:c r="D1504" s="12" t="n">
        <x:v>-0.12540409773810834</x:v>
      </x:c>
      <x:c r="E1504" s="12" t="n">
        <x:v>-0.24786186669192636</x:v>
      </x:c>
    </x:row>
    <x:row r="1505" ht="18" customHeight="1">
      <x:c r="A1505" s="13" t="n">
        <x:v>44858</x:v>
      </x:c>
      <x:c r="B1505" s="12" t="n">
        <x:v>-8</x:v>
      </x:c>
      <x:c r="C1505" s="12" t="n">
        <x:v>-0.02969731459472971</x:v>
      </x:c>
      <x:c r="D1505" s="12" t="n">
        <x:v>-0.09330739496563777</x:v>
      </x:c>
      <x:c r="E1505" s="12" t="n">
        <x:v>-0.23887926450475694</x:v>
      </x:c>
    </x:row>
    <x:row r="1506" ht="18" customHeight="1">
      <x:c r="A1506" s="13" t="n">
        <x:v>44859</x:v>
      </x:c>
      <x:c r="B1506" s="12" t="n">
        <x:v>-3</x:v>
      </x:c>
      <x:c r="C1506" s="12" t="n">
        <x:v>-0.001630420585316052</x:v>
      </x:c>
      <x:c r="D1506" s="12" t="n">
        <x:v>-0.0784558473040218</x:v>
      </x:c>
      <x:c r="E1506" s="12" t="n">
        <x:v>-0.2395138516882089</x:v>
      </x:c>
    </x:row>
    <x:row r="1507" ht="18" customHeight="1">
      <x:c r="A1507" s="13" t="n">
        <x:v>44860</x:v>
      </x:c>
      <x:c r="B1507" s="12" t="n">
        <x:v>-8</x:v>
      </x:c>
      <x:c r="C1507" s="12" t="n">
        <x:v>0.0080854523840452</x:v>
      </x:c>
      <x:c r="D1507" s="12" t="n">
        <x:v>-0.08058606482654984</x:v>
      </x:c>
      <x:c r="E1507" s="12" t="n">
        <x:v>-0.24127157227890006</x:v>
      </x:c>
    </x:row>
    <x:row r="1508" ht="18" customHeight="1">
      <x:c r="A1508" s="13" t="n">
        <x:v>44861</x:v>
      </x:c>
      <x:c r="B1508" s="12" t="n">
        <x:v>-4</x:v>
      </x:c>
      <x:c r="C1508" s="12" t="n">
        <x:v>-0.007068561846897027</x:v>
      </x:c>
      <x:c r="D1508" s="12" t="n">
        <x:v>-0.07597345737233473</x:v>
      </x:c>
      <x:c r="E1508" s="12" t="n">
        <x:v>-0.23875764744228706</x:v>
      </x:c>
    </x:row>
    <x:row r="1509" ht="18" customHeight="1">
      <x:c r="A1509" s="13" t="n">
        <x:v>44862</x:v>
      </x:c>
      <x:c r="B1509" s="12" t="n">
        <x:v>-22</x:v>
      </x:c>
      <x:c r="C1509" s="12" t="n">
        <x:v>-0.025045748847757898</x:v>
      </x:c>
      <x:c r="D1509" s="12" t="n">
        <x:v>-0.002311453659835625</x:v>
      </x:c>
      <x:c r="E1509" s="12" t="n">
        <x:v>-0.21885663604584216</x:v>
      </x:c>
    </x:row>
    <x:row r="1510" ht="18" customHeight="1">
      <x:c r="A1510" s="13" t="n">
        <x:v>44865</x:v>
      </x:c>
      <x:c r="B1510" s="12" t="n">
        <x:v>9</x:v>
      </x:c>
      <x:c r="C1510" s="12" t="n">
        <x:v>-0.009255654087809153</x:v>
      </x:c>
      <x:c r="D1510" s="12" t="n">
        <x:v>-0.026910986733558257</x:v>
      </x:c>
      <x:c r="E1510" s="12" t="n">
        <x:v>-0.22146666824553005</x:v>
      </x:c>
    </x:row>
    <x:row r="1511" ht="18" customHeight="1">
      <x:c r="A1511" s="13" t="n">
        <x:v>44866</x:v>
      </x:c>
      <x:c r="B1511" s="12" t="n">
        <x:v>-1.9999999999999432</x:v>
      </x:c>
      <x:c r="C1511" s="12" t="n">
        <x:v>0.035135062295113866</x:v>
      </x:c>
      <x:c r="D1511" s="12" t="n">
        <x:v>-0.03365600570751579</x:v>
      </x:c>
      <x:c r="E1511" s="12" t="n">
        <x:v>-0.2195819319896364</x:v>
      </x:c>
    </x:row>
    <x:row r="1512" ht="18" customHeight="1">
      <x:c r="A1512" s="13" t="n">
        <x:v>44867</x:v>
      </x:c>
      <x:c r="B1512" s="12" t="n">
        <x:v>0.9999999999999432</x:v>
      </x:c>
      <x:c r="C1512" s="12" t="n">
        <x:v>0.011934504204356282</x:v>
      </x:c>
      <x:c r="D1512" s="12" t="n">
        <x:v>-0.028883875574235322</x:v>
      </x:c>
      <x:c r="E1512" s="12" t="n">
        <x:v>-0.21983433703811261</x:v>
      </x:c>
    </x:row>
    <x:row r="1513" ht="18" customHeight="1">
      <x:c r="A1513" s="13" t="n">
        <x:v>44868</x:v>
      </x:c>
      <x:c r="B1513" s="12" t="n">
        <x:v>18.999999999999943</x:v>
      </x:c>
      <x:c r="C1513" s="12" t="n">
        <x:v>-0.008165406510091901</x:v>
      </x:c>
      <x:c r="D1513" s="12" t="n">
        <x:v>-0.07396084841993997</x:v>
      </x:c>
      <x:c r="E1513" s="12" t="n">
        <x:v>-0.22171824757408778</x:v>
      </x:c>
    </x:row>
    <x:row r="1514" ht="18" customHeight="1">
      <x:c r="A1514" s="13" t="n">
        <x:v>44869</x:v>
      </x:c>
      <x:c r="B1514" s="12" t="n">
        <x:v>-4</x:v>
      </x:c>
      <x:c r="C1514" s="12" t="n">
        <x:v>0.032174550004190845</x:v>
      </x:c>
      <x:c r="D1514" s="12" t="n">
        <x:v>-0.08600078821420276</x:v>
      </x:c>
      <x:c r="E1514" s="12" t="n">
        <x:v>-0.2230210996955073</x:v>
      </x:c>
    </x:row>
    <x:row r="1515" ht="18" customHeight="1">
      <x:c r="A1515" s="13" t="n">
        <x:v>44872</x:v>
      </x:c>
      <x:c r="B1515" s="12" t="n">
        <x:v>-5.999999999999943</x:v>
      </x:c>
      <x:c r="C1515" s="12" t="n">
        <x:v>0.0021538040745810905</x:v>
      </x:c>
      <x:c r="D1515" s="12" t="n">
        <x:v>-0.13799162157729308</x:v>
      </x:c>
      <x:c r="E1515" s="12" t="n">
        <x:v>-0.22295836476560307</x:v>
      </x:c>
    </x:row>
    <x:row r="1516" ht="18" customHeight="1">
      <x:c r="A1516" s="13" t="n">
        <x:v>44873</x:v>
      </x:c>
      <x:c r="B1516" s="12" t="n">
        <x:v>8</x:v>
      </x:c>
      <x:c r="C1516" s="12" t="n">
        <x:v>-0.006903231139061722</x:v>
      </x:c>
      <x:c r="D1516" s="12" t="n">
        <x:v>-0.1519508806174985</x:v>
      </x:c>
      <x:c r="E1516" s="12" t="n">
        <x:v>-0.2246965008785903</x:v>
      </x:c>
    </x:row>
    <x:row r="1517" ht="18" customHeight="1">
      <x:c r="A1517" s="13" t="n">
        <x:v>44874</x:v>
      </x:c>
      <x:c r="B1517" s="12" t="n">
        <x:v>20</x:v>
      </x:c>
      <x:c r="C1517" s="12" t="n">
        <x:v>-0.00939358457109661</x:v>
      </x:c>
      <x:c r="D1517" s="12" t="n">
        <x:v>-0.16641630585467904</x:v>
      </x:c>
      <x:c r="E1517" s="12" t="n">
        <x:v>-0.22818374590222923</x:v>
      </x:c>
    </x:row>
    <x:row r="1518" ht="18" customHeight="1">
      <x:c r="A1518" s="13" t="n">
        <x:v>44875</x:v>
      </x:c>
      <x:c r="B1518" s="12" t="n">
        <x:v>-19</x:v>
      </x:c>
      <x:c r="C1518" s="12" t="n">
        <x:v>-0.007724919156991287</x:v>
      </x:c>
      <x:c r="D1518" s="12" t="n">
        <x:v>-0.12734338851590168</x:v>
      </x:c>
      <x:c r="E1518" s="12" t="n">
        <x:v>-0.22341452468193085</x:v>
      </x:c>
    </x:row>
    <x:row r="1519" ht="18" customHeight="1">
      <x:c r="A1519" s="13" t="n">
        <x:v>44876</x:v>
      </x:c>
      <x:c r="B1519" s="12" t="n">
        <x:v>0.9999999999999432</x:v>
      </x:c>
      <x:c r="C1519" s="12" t="n">
        <x:v>0.027496634988239666</x:v>
      </x:c>
      <x:c r="D1519" s="12" t="n">
        <x:v>-0.1233611252637362</x:v>
      </x:c>
      <x:c r="E1519" s="12" t="n">
        <x:v>-0.22098986231459222</x:v>
      </x:c>
    </x:row>
    <x:row r="1520" ht="18" customHeight="1">
      <x:c r="A1520" s="13" t="n">
        <x:v>44879</x:v>
      </x:c>
      <x:c r="B1520" s="12" t="n">
        <x:v>-13.999999999999943</x:v>
      </x:c>
      <x:c r="C1520" s="12" t="n">
        <x:v>0.0014713969071710126</x:v>
      </x:c>
      <x:c r="D1520" s="12" t="n">
        <x:v>-0.12820668263330712</x:v>
      </x:c>
      <x:c r="E1520" s="12" t="n">
        <x:v>-0.22201217989899794</x:v>
      </x:c>
    </x:row>
    <x:row r="1521" ht="18" customHeight="1">
      <x:c r="A1521" s="13" t="n">
        <x:v>44880</x:v>
      </x:c>
      <x:c r="B1521" s="12" t="n">
        <x:v>-3.000000000000057</x:v>
      </x:c>
      <x:c r="C1521" s="12" t="n">
        <x:v>0.018787914712990912</x:v>
      </x:c>
      <x:c r="D1521" s="12" t="n">
        <x:v>-0.15383271220443834</x:v>
      </x:c>
      <x:c r="E1521" s="12" t="n">
        <x:v>-0.22294984171929808</x:v>
      </x:c>
    </x:row>
    <x:row r="1522" ht="18" customHeight="1">
      <x:c r="A1522" s="13" t="n">
        <x:v>44881</x:v>
      </x:c>
      <x:c r="B1522" s="12" t="n">
        <x:v>7.000000000000057</x:v>
      </x:c>
      <x:c r="C1522" s="12" t="n">
        <x:v>-0.00820295852199649</x:v>
      </x:c>
      <x:c r="D1522" s="12" t="n">
        <x:v>-0.12928278796844941</x:v>
      </x:c>
      <x:c r="E1522" s="12" t="n">
        <x:v>-0.22389573274387387</x:v>
      </x:c>
    </x:row>
    <x:row r="1523" ht="18" customHeight="1">
      <x:c r="A1523" s="13" t="n">
        <x:v>44882</x:v>
      </x:c>
      <x:c r="B1523" s="12" t="n">
        <x:v>4</x:v>
      </x:c>
      <x:c r="C1523" s="12" t="n">
        <x:v>-0.00410971158424564</x:v>
      </x:c>
      <x:c r="D1523" s="12" t="n">
        <x:v>-0.1302660694076586</x:v>
      </x:c>
      <x:c r="E1523" s="12" t="n">
        <x:v>-0.223343590026122</x:v>
      </x:c>
    </x:row>
    <x:row r="1524" ht="18" customHeight="1">
      <x:c r="A1524" s="13" t="n">
        <x:v>44883</x:v>
      </x:c>
      <x:c r="B1524" s="12" t="n">
        <x:v>-9.999999999999943</x:v>
      </x:c>
      <x:c r="C1524" s="12" t="n">
        <x:v>-0.004486852194025924</x:v>
      </x:c>
      <x:c r="D1524" s="12" t="n">
        <x:v>-0.1250188348249322</x:v>
      </x:c>
      <x:c r="E1524" s="12" t="n">
        <x:v>-0.2222783607419121</x:v>
      </x:c>
    </x:row>
    <x:row r="1525" ht="18" customHeight="1">
      <x:c r="A1525" s="13" t="n">
        <x:v>44886</x:v>
      </x:c>
      <x:c r="B1525" s="12" t="n">
        <x:v>-1.0000000000001137</x:v>
      </x:c>
      <x:c r="C1525" s="12" t="n">
        <x:v>-0.008570387905360253</x:v>
      </x:c>
      <x:c r="D1525" s="12" t="n">
        <x:v>-0.12271338213815296</x:v>
      </x:c>
      <x:c r="E1525" s="12" t="n">
        <x:v>-0.2221492334340414</x:v>
      </x:c>
    </x:row>
    <x:row r="1526" ht="18" customHeight="1">
      <x:c r="A1526" s="13" t="n">
        <x:v>44887</x:v>
      </x:c>
      <x:c r="B1526" s="12" t="n">
        <x:v>-6.999999999999943</x:v>
      </x:c>
      <x:c r="C1526" s="12" t="n">
        <x:v>0.00011826973461562479</x:v>
      </x:c>
      <x:c r="D1526" s="12" t="n">
        <x:v>-0.13378274224496572</x:v>
      </x:c>
      <x:c r="E1526" s="12" t="n">
        <x:v>-0.22335348816419695</x:v>
      </x:c>
    </x:row>
    <x:row r="1527" ht="18" customHeight="1">
      <x:c r="A1527" s="13" t="n">
        <x:v>44888</x:v>
      </x:c>
      <x:c r="B1527" s="12" t="n">
        <x:v>-6</x:v>
      </x:c>
      <x:c r="C1527" s="12" t="n">
        <x:v>0.0010489055238472717</x:v>
      </x:c>
      <x:c r="D1527" s="12" t="n">
        <x:v>-0.13354870582913866</x:v>
      </x:c>
      <x:c r="E1527" s="12" t="n">
        <x:v>-0.22331012966590894</x:v>
      </x:c>
    </x:row>
    <x:row r="1528" ht="18" customHeight="1">
      <x:c r="A1528" s="13" t="n">
        <x:v>44889</x:v>
      </x:c>
      <x:c r="B1528" s="12" t="n">
        <x:v>0</x:v>
      </x:c>
      <x:c r="C1528" s="12" t="n">
        <x:v>-0.0044408444670989014</x:v>
      </x:c>
      <x:c r="D1528" s="12" t="n">
        <x:v>-0.1293424833304812</x:v>
      </x:c>
      <x:c r="E1528" s="12" t="n">
        <x:v>-0.22334242056483722</x:v>
      </x:c>
    </x:row>
    <x:row r="1529" ht="18" customHeight="1">
      <x:c r="A1529" s="13" t="n">
        <x:v>44890</x:v>
      </x:c>
      <x:c r="B1529" s="12" t="n">
        <x:v>0.9999999999999432</x:v>
      </x:c>
      <x:c r="C1529" s="12" t="n">
        <x:v>0.005036316510325149</x:v>
      </x:c>
      <x:c r="D1529" s="12" t="n">
        <x:v>-0.1491266720022187</x:v>
      </x:c>
      <x:c r="E1529" s="12" t="n">
        <x:v>-0.22359289314681863</x:v>
      </x:c>
    </x:row>
    <x:row r="1530" ht="18" customHeight="1">
      <x:c r="A1530" s="13" t="n">
        <x:v>44893</x:v>
      </x:c>
      <x:c r="B1530" s="12" t="n">
        <x:v>11.000000000000057</x:v>
      </x:c>
      <x:c r="C1530" s="12" t="n">
        <x:v>-0.011328898234774747</x:v>
      </x:c>
      <x:c r="D1530" s="12" t="n">
        <x:v>-0.15756608779422882</x:v>
      </x:c>
      <x:c r="E1530" s="12" t="n">
        <x:v>-0.22625605406229485</x:v>
      </x:c>
    </x:row>
    <x:row r="1531" ht="18" customHeight="1">
      <x:c r="A1531" s="13" t="n">
        <x:v>44894</x:v>
      </x:c>
      <x:c r="B1531" s="12" t="n">
        <x:v>0</x:v>
      </x:c>
      <x:c r="C1531" s="12" t="n">
        <x:v>0.030386165895360008</x:v>
      </x:c>
      <x:c r="D1531" s="12" t="n">
        <x:v>-0.17146259782240905</x:v>
      </x:c>
      <x:c r="E1531" s="12" t="n">
        <x:v>-0.2240957629622004</x:v>
      </x:c>
    </x:row>
    <x:row r="1532" ht="18" customHeight="1">
      <x:c r="A1532" s="13" t="n">
        <x:v>44895</x:v>
      </x:c>
      <x:c r="B1532" s="12" t="n">
        <x:v>-8</x:v>
      </x:c>
      <x:c r="C1532" s="12" t="n">
        <x:v>0.0011982406481633547</x:v>
      </x:c>
      <x:c r="D1532" s="12" t="n">
        <x:v>-0.17161894671223282</x:v>
      </x:c>
      <x:c r="E1532" s="12" t="n">
        <x:v>-0.22432857758540223</x:v>
      </x:c>
    </x:row>
    <x:row r="1533" ht="18" customHeight="1">
      <x:c r="A1533" s="13" t="n">
        <x:v>44896</x:v>
      </x:c>
      <x:c r="B1533" s="12" t="n">
        <x:v>-6.999999999999943</x:v>
      </x:c>
      <x:c r="C1533" s="12" t="n">
        <x:v>0.010772754997039927</x:v>
      </x:c>
      <x:c r="D1533" s="12" t="n">
        <x:v>-0.1796437770109559</x:v>
      </x:c>
      <x:c r="E1533" s="12" t="n">
        <x:v>-0.226188238500016</x:v>
      </x:c>
    </x:row>
    <x:row r="1534" ht="18" customHeight="1">
      <x:c r="A1534" s="13" t="n">
        <x:v>44897</x:v>
      </x:c>
      <x:c r="B1534" s="12" t="n">
        <x:v>1.9999999999999432</x:v>
      </x:c>
      <x:c r="C1534" s="12" t="n">
        <x:v>-0.006134907117042015</x:v>
      </x:c>
      <x:c r="D1534" s="12" t="n">
        <x:v>-0.1772760676193602</x:v>
      </x:c>
      <x:c r="E1534" s="12" t="n">
        <x:v>-0.22650820610887296</x:v>
      </x:c>
    </x:row>
    <x:row r="1535" ht="18" customHeight="1">
      <x:c r="A1535" s="13" t="n">
        <x:v>44900</x:v>
      </x:c>
      <x:c r="B1535" s="12" t="n">
        <x:v>-7</x:v>
      </x:c>
      <x:c r="C1535" s="12" t="n">
        <x:v>0.019424967968233346</x:v>
      </x:c>
      <x:c r="D1535" s="12" t="n">
        <x:v>-0.18794231150488858</x:v>
      </x:c>
      <x:c r="E1535" s="12" t="n">
        <x:v>-0.229189799415081</x:v>
      </x:c>
    </x:row>
    <x:row r="1536" ht="18" customHeight="1">
      <x:c r="A1536" s="13" t="n">
        <x:v>44901</x:v>
      </x:c>
      <x:c r="B1536" s="12" t="n">
        <x:v>14</x:v>
      </x:c>
      <x:c r="C1536" s="12" t="n">
        <x:v>0.005387707585699159</x:v>
      </x:c>
      <x:c r="D1536" s="12" t="n">
        <x:v>-0.1797785644997542</x:v>
      </x:c>
      <x:c r="E1536" s="12" t="n">
        <x:v>-0.22809490885625894</x:v>
      </x:c>
    </x:row>
    <x:row r="1537" ht="18" customHeight="1">
      <x:c r="A1537" s="13" t="n">
        <x:v>44902</x:v>
      </x:c>
      <x:c r="B1537" s="12" t="n">
        <x:v>11</x:v>
      </x:c>
      <x:c r="C1537" s="12" t="n">
        <x:v>-0.002461826550684833</x:v>
      </x:c>
      <x:c r="D1537" s="12" t="n">
        <x:v>-0.1770746250634011</x:v>
      </x:c>
      <x:c r="E1537" s="12" t="n">
        <x:v>-0.22746817625395424</x:v>
      </x:c>
    </x:row>
    <x:row r="1538" ht="18" customHeight="1">
      <x:c r="A1538" s="13" t="n">
        <x:v>44903</x:v>
      </x:c>
      <x:c r="B1538" s="12" t="n">
        <x:v>-13</x:v>
      </x:c>
      <x:c r="C1538" s="12" t="n">
        <x:v>0.00018664698149652585</x:v>
      </x:c>
      <x:c r="D1538" s="12" t="n">
        <x:v>-0.17702584698752083</x:v>
      </x:c>
      <x:c r="E1538" s="12" t="n">
        <x:v>-0.22794375808825063</x:v>
      </x:c>
    </x:row>
    <x:row r="1539" ht="18" customHeight="1">
      <x:c r="A1539" s="13" t="n">
        <x:v>44904</x:v>
      </x:c>
      <x:c r="B1539" s="12" t="n">
        <x:v>-9</x:v>
      </x:c>
      <x:c r="C1539" s="12" t="n">
        <x:v>0.00981843215143076</x:v>
      </x:c>
      <x:c r="D1539" s="12" t="n">
        <x:v>-0.18493229291777938</x:v>
      </x:c>
      <x:c r="E1539" s="12" t="n">
        <x:v>-0.23007764739869696</x:v>
      </x:c>
    </x:row>
    <x:row r="1540" ht="18" customHeight="1">
      <x:c r="A1540" s="13" t="n">
        <x:v>44907</x:v>
      </x:c>
      <x:c r="B1540" s="12" t="n">
        <x:v>-5.999999999999943</x:v>
      </x:c>
      <x:c r="C1540" s="12" t="n">
        <x:v>-0.011268394049661413</x:v>
      </x:c>
      <x:c r="D1540" s="12" t="n">
        <x:v>-0.1688478581063917</x:v>
      </x:c>
      <x:c r="E1540" s="12" t="n">
        <x:v>-0.2279118145150002</x:v>
      </x:c>
    </x:row>
    <x:row r="1541" ht="18" customHeight="1">
      <x:c r="A1541" s="13" t="n">
        <x:v>44908</x:v>
      </x:c>
      <x:c r="B1541" s="12" t="n">
        <x:v>-6.000000000000057</x:v>
      </x:c>
      <x:c r="C1541" s="12" t="n">
        <x:v>-0.0019652816967299248</x:v>
      </x:c>
      <x:c r="D1541" s="12" t="n">
        <x:v>-0.16736573945719674</x:v>
      </x:c>
      <x:c r="E1541" s="12" t="n">
        <x:v>-0.22535303453878675</x:v>
      </x:c>
    </x:row>
    <x:row r="1542" ht="18" customHeight="1">
      <x:c r="A1542" s="13" t="n">
        <x:v>44909</x:v>
      </x:c>
      <x:c r="B1542" s="12" t="n">
        <x:v>3</x:v>
      </x:c>
      <x:c r="C1542" s="12" t="n">
        <x:v>0.002330061668831265</x:v>
      </x:c>
      <x:c r="D1542" s="12" t="n">
        <x:v>-0.1771543682662939</x:v>
      </x:c>
      <x:c r="E1542" s="12" t="n">
        <x:v>-0.22564059609288833</x:v>
      </x:c>
    </x:row>
    <x:row r="1543" ht="18" customHeight="1">
      <x:c r="A1543" s="13" t="n">
        <x:v>44910</x:v>
      </x:c>
      <x:c r="B1543" s="12" t="n">
        <x:v>17</x:v>
      </x:c>
      <x:c r="C1543" s="12" t="n">
        <x:v>-0.0007328307132189436</x:v>
      </x:c>
      <x:c r="D1543" s="12" t="n">
        <x:v>-0.14404213997182336</x:v>
      </x:c>
      <x:c r="E1543" s="12" t="n">
        <x:v>-0.22420736827477666</x:v>
      </x:c>
    </x:row>
    <x:row r="1544" ht="18" customHeight="1">
      <x:c r="A1544" s="13" t="n">
        <x:v>44911</x:v>
      </x:c>
      <x:c r="B1544" s="12" t="n">
        <x:v>13</x:v>
      </x:c>
      <x:c r="C1544" s="12" t="n">
        <x:v>0.0005662633556637898</x:v>
      </x:c>
      <x:c r="D1544" s="12" t="n">
        <x:v>-0.1539247265467853</x:v>
      </x:c>
      <x:c r="E1544" s="12" t="n">
        <x:v>-0.22277311269415653</x:v>
      </x:c>
    </x:row>
    <x:row r="1545" ht="18" customHeight="1">
      <x:c r="A1545" s="13" t="n">
        <x:v>44914</x:v>
      </x:c>
      <x:c r="B1545" s="12" t="n">
        <x:v>0</x:v>
      </x:c>
      <x:c r="C1545" s="12" t="n">
        <x:v>-0.015548374799046806</x:v>
      </x:c>
      <x:c r="D1545" s="12" t="n">
        <x:v>-0.1457262514917095</x:v>
      </x:c>
      <x:c r="E1545" s="12" t="n">
        <x:v>-0.22164072677980315</x:v>
      </x:c>
    </x:row>
    <x:row r="1546" ht="18" customHeight="1">
      <x:c r="A1546" s="13" t="n">
        <x:v>44915</x:v>
      </x:c>
      <x:c r="B1546" s="12" t="n">
        <x:v>1</x:v>
      </x:c>
      <x:c r="C1546" s="12" t="n">
        <x:v>-0.01662856788307226</x:v>
      </x:c>
      <x:c r="D1546" s="12" t="n">
        <x:v>-0.14298022579374117</x:v>
      </x:c>
      <x:c r="E1546" s="12" t="n">
        <x:v>-0.2217854025909342</x:v>
      </x:c>
    </x:row>
    <x:row r="1547" ht="18" customHeight="1">
      <x:c r="A1547" s="13" t="n">
        <x:v>44916</x:v>
      </x:c>
      <x:c r="B1547" s="12" t="n">
        <x:v>-12.000000000000057</x:v>
      </x:c>
      <x:c r="C1547" s="12" t="n">
        <x:v>0.0003971770895265506</x:v>
      </x:c>
      <x:c r="D1547" s="12" t="n">
        <x:v>-0.08752277060041233</x:v>
      </x:c>
      <x:c r="E1547" s="12" t="n">
        <x:v>-0.2228133249087988</x:v>
      </x:c>
    </x:row>
    <x:row r="1548" ht="18" customHeight="1">
      <x:c r="A1548" s="13" t="n">
        <x:v>44917</x:v>
      </x:c>
      <x:c r="B1548" s="12" t="n">
        <x:v>5.000000000000114</x:v>
      </x:c>
      <x:c r="C1548" s="12" t="n">
        <x:v>0.0014320885391947411</x:v>
      </x:c>
      <x:c r="D1548" s="12" t="n">
        <x:v>-0.08844490604249049</x:v>
      </x:c>
      <x:c r="E1548" s="12" t="n">
        <x:v>-0.2199799435600892</x:v>
      </x:c>
    </x:row>
    <x:row r="1549" ht="18" customHeight="1">
      <x:c r="A1549" s="13" t="n">
        <x:v>44918</x:v>
      </x:c>
      <x:c r="B1549" s="12" t="n">
        <x:v>-2.000000000000057</x:v>
      </x:c>
      <x:c r="C1549" s="12" t="n">
        <x:v>-0.0020378265226173122</x:v>
      </x:c>
      <x:c r="D1549" s="12" t="n">
        <x:v>-0.0879202675526162</x:v>
      </x:c>
      <x:c r="E1549" s="12" t="n">
        <x:v>-0.22242005960019512</x:v>
      </x:c>
    </x:row>
    <x:row r="1550" ht="18" customHeight="1">
      <x:c r="A1550" s="13" t="n">
        <x:v>44922</x:v>
      </x:c>
      <x:c r="B1550" s="12" t="n">
        <x:v>-4</x:v>
      </x:c>
      <x:c r="C1550" s="12" t="n">
        <x:v>0.011476864678682468</x:v>
      </x:c>
      <x:c r="D1550" s="12" t="n">
        <x:v>-0.09452519306864605</x:v>
      </x:c>
      <x:c r="E1550" s="12" t="n">
        <x:v>-0.22589850381306648</x:v>
      </x:c>
    </x:row>
    <x:row r="1551" ht="18" customHeight="1">
      <x:c r="A1551" s="13" t="n">
        <x:v>44923</x:v>
      </x:c>
      <x:c r="B1551" s="12" t="n">
        <x:v>21.999999999999943</x:v>
      </x:c>
      <x:c r="C1551" s="12" t="n">
        <x:v>-0.004276162425663309</x:v>
      </x:c>
      <x:c r="D1551" s="12" t="n">
        <x:v>-0.09846123797798997</x:v>
      </x:c>
      <x:c r="E1551" s="12" t="n">
        <x:v>-0.22596755724417697</x:v>
      </x:c>
    </x:row>
    <x:row r="1552" ht="18" customHeight="1">
      <x:c r="A1552" s="13" t="n">
        <x:v>44924</x:v>
      </x:c>
      <x:c r="B1552" s="12" t="n">
        <x:v>4</x:v>
      </x:c>
      <x:c r="C1552" s="12" t="n">
        <x:v>-0.0037690949823474674</x:v>
      </x:c>
      <x:c r="D1552" s="12" t="n">
        <x:v>-0.09468911569212013</x:v>
      </x:c>
      <x:c r="E1552" s="12" t="n">
        <x:v>-0.22688490971929928</x:v>
      </x:c>
    </x:row>
    <x:row r="1553" ht="18" customHeight="1">
      <x:c r="A1553" s="13" t="n">
        <x:v>44925</x:v>
      </x:c>
      <x:c r="B1553" s="12" t="n">
        <x:v>-1.9999999999999432</x:v>
      </x:c>
      <x:c r="C1553" s="12" t="n">
        <x:v>0.003864511450635922</x:v>
      </x:c>
      <x:c r="D1553" s="12" t="n">
        <x:v>-0.09228354333996029</x:v>
      </x:c>
      <x:c r="E1553" s="12" t="n">
        <x:v>-0.22705784894350456</x:v>
      </x:c>
    </x:row>
    <x:row r="1554" ht="18" customHeight="1">
      <x:c r="A1554" s="13" t="n">
        <x:v>44929</x:v>
      </x:c>
      <x:c r="B1554" s="12" t="n">
        <x:v>-10.999999999999943</x:v>
      </x:c>
      <x:c r="C1554" s="12" t="n">
        <x:v>0.004192371840768464</x:v>
      </x:c>
      <x:c r="D1554" s="12" t="n">
        <x:v>-0.1053374690282765</x:v>
      </x:c>
      <x:c r="E1554" s="12" t="n">
        <x:v>-0.22889634769983083</x:v>
      </x:c>
    </x:row>
    <x:row r="1555" ht="18" customHeight="1">
      <x:c r="A1555" s="13" t="n">
        <x:v>44930</x:v>
      </x:c>
      <x:c r="B1555" s="12" t="n">
        <x:v>-8</x:v>
      </x:c>
      <x:c r="C1555" s="12" t="n">
        <x:v>0.0012976738325117976</x:v>
      </x:c>
      <x:c r="D1555" s="12" t="n">
        <x:v>-0.05780860906150495</x:v>
      </x:c>
      <x:c r="E1555" s="12" t="n">
        <x:v>-0.22899803459800747</x:v>
      </x:c>
    </x:row>
    <x:row r="1556" ht="18" customHeight="1">
      <x:c r="A1556" s="13" t="n">
        <x:v>44931</x:v>
      </x:c>
      <x:c r="B1556" s="12" t="n">
        <x:v>-4</x:v>
      </x:c>
      <x:c r="C1556" s="12" t="n">
        <x:v>0.019241260364231842</x:v>
      </x:c>
      <x:c r="D1556" s="12" t="n">
        <x:v>-0.0643226993282893</x:v>
      </x:c>
      <x:c r="E1556" s="12" t="n">
        <x:v>-0.22961473289361944</x:v>
      </x:c>
    </x:row>
    <x:row r="1557" ht="18" customHeight="1">
      <x:c r="A1557" s="13" t="n">
        <x:v>44932</x:v>
      </x:c>
      <x:c r="B1557" s="12" t="n">
        <x:v>-11</x:v>
      </x:c>
      <x:c r="C1557" s="12" t="n">
        <x:v>0.0030972164148969136</x:v>
      </x:c>
      <x:c r="D1557" s="12" t="n">
        <x:v>-0.07243623459548328</x:v>
      </x:c>
      <x:c r="E1557" s="12" t="n">
        <x:v>-0.2293132239191578</x:v>
      </x:c>
    </x:row>
    <x:row r="1558" ht="18" customHeight="1">
      <x:c r="A1558" s="13" t="n">
        <x:v>44935</x:v>
      </x:c>
      <x:c r="B1558" s="12" t="n">
        <x:v>-10</x:v>
      </x:c>
      <x:c r="C1558" s="12" t="n">
        <x:v>0.008063783032646063</x:v>
      </x:c>
      <x:c r="D1558" s="12" t="n">
        <x:v>-0.07613085387953285</x:v>
      </x:c>
      <x:c r="E1558" s="12" t="n">
        <x:v>-0.22895648509890282</x:v>
      </x:c>
    </x:row>
    <x:row r="1559" ht="18" customHeight="1">
      <x:c r="A1559" s="13" t="n">
        <x:v>44936</x:v>
      </x:c>
      <x:c r="B1559" s="12" t="n">
        <x:v>-4</x:v>
      </x:c>
      <x:c r="C1559" s="12" t="n">
        <x:v>0.001084378267956015</x:v>
      </x:c>
      <x:c r="D1559" s="12" t="n">
        <x:v>-0.08202150007479192</x:v>
      </x:c>
      <x:c r="E1559" s="12" t="n">
        <x:v>-0.229057624761625</x:v>
      </x:c>
    </x:row>
    <x:row r="1560" ht="18" customHeight="1">
      <x:c r="A1560" s="13" t="n">
        <x:v>44937</x:v>
      </x:c>
      <x:c r="B1560" s="12" t="n">
        <x:v>-3</x:v>
      </x:c>
      <x:c r="C1560" s="12" t="n">
        <x:v>-0.0018543252239770138</x:v>
      </x:c>
      <x:c r="D1560" s="12" t="n">
        <x:v>-0.09759521187081656</x:v>
      </x:c>
      <x:c r="E1560" s="12" t="n">
        <x:v>-0.22740303657244823</x:v>
      </x:c>
    </x:row>
    <x:row r="1561" ht="18" customHeight="1">
      <x:c r="A1561" s="13" t="n">
        <x:v>44938</x:v>
      </x:c>
      <x:c r="B1561" s="12" t="n">
        <x:v>-1</x:v>
      </x:c>
      <x:c r="C1561" s="12" t="n">
        <x:v>0.0019527653292073786</x:v>
      </x:c>
      <x:c r="D1561" s="12" t="n">
        <x:v>-0.1039158017561295</x:v>
      </x:c>
      <x:c r="E1561" s="12" t="n">
        <x:v>-0.2277501746774898</x:v>
      </x:c>
    </x:row>
    <x:row r="1562" ht="18" customHeight="1">
      <x:c r="A1562" s="13" t="n">
        <x:v>44939</x:v>
      </x:c>
      <x:c r="B1562" s="12" t="n">
        <x:v>-8</x:v>
      </x:c>
      <x:c r="C1562" s="12" t="n">
        <x:v>0.013966188302980416</x:v>
      </x:c>
      <x:c r="D1562" s="12" t="n">
        <x:v>-0.09061707391129059</x:v>
      </x:c>
      <x:c r="E1562" s="12" t="n">
        <x:v>-0.2301236297013459</x:v>
      </x:c>
    </x:row>
    <x:row r="1563" ht="18" customHeight="1">
      <x:c r="A1563" s="13" t="n">
        <x:v>44942</x:v>
      </x:c>
      <x:c r="B1563" s="12" t="n">
        <x:v>-1.9999999999999432</x:v>
      </x:c>
      <x:c r="C1563" s="12" t="n">
        <x:v>0.015486051273287112</x:v>
      </x:c>
      <x:c r="D1563" s="12" t="n">
        <x:v>-0.09146707311060338</x:v>
      </x:c>
      <x:c r="E1563" s="12" t="n">
        <x:v>-0.23053880784026604</x:v>
      </x:c>
    </x:row>
    <x:row r="1564" ht="18" customHeight="1">
      <x:c r="A1564" s="13" t="n">
        <x:v>44943</x:v>
      </x:c>
      <x:c r="B1564" s="12" t="n">
        <x:v>0</x:v>
      </x:c>
      <x:c r="C1564" s="12" t="n">
        <x:v>-0.0001745213250770172</x:v>
      </x:c>
      <x:c r="D1564" s="12" t="n">
        <x:v>-0.09585617074362622</x:v>
      </x:c>
      <x:c r="E1564" s="12" t="n">
        <x:v>-0.23205058951785876</x:v>
      </x:c>
    </x:row>
    <x:row r="1565" ht="18" customHeight="1">
      <x:c r="A1565" s="13" t="n">
        <x:v>44944</x:v>
      </x:c>
      <x:c r="B1565" s="12" t="n">
        <x:v>5.999999999999943</x:v>
      </x:c>
      <x:c r="C1565" s="12" t="n">
        <x:v>-0.0016759248325780656</x:v>
      </x:c>
      <x:c r="D1565" s="12" t="n">
        <x:v>-0.09189908616228855</x:v>
      </x:c>
      <x:c r="E1565" s="12" t="n">
        <x:v>-0.23219484269634288</x:v>
      </x:c>
    </x:row>
    <x:row r="1566" ht="18" customHeight="1">
      <x:c r="A1566" s="13" t="n">
        <x:v>44945</x:v>
      </x:c>
      <x:c r="B1566" s="12" t="n">
        <x:v>13.999999999999943</x:v>
      </x:c>
      <x:c r="C1566" s="12" t="n">
        <x:v>0.0062014202060171756</x:v>
      </x:c>
      <x:c r="D1566" s="12" t="n">
        <x:v>-0.08750174493242485</x:v>
      </x:c>
      <x:c r="E1566" s="12" t="n">
        <x:v>-0.2287582361300425</x:v>
      </x:c>
    </x:row>
    <x:row r="1567" ht="18" customHeight="1">
      <x:c r="A1567" s="13" t="n">
        <x:v>44946</x:v>
      </x:c>
      <x:c r="B1567" s="12" t="n">
        <x:v>-4</x:v>
      </x:c>
      <x:c r="C1567" s="12" t="n">
        <x:v>0.006121493109215215</x:v>
      </x:c>
      <x:c r="D1567" s="12" t="n">
        <x:v>-0.0827582119253502</x:v>
      </x:c>
      <x:c r="E1567" s="12" t="n">
        <x:v>-0.23033377878095482</x:v>
      </x:c>
    </x:row>
    <x:row r="1568" ht="18" customHeight="1">
      <x:c r="A1568" s="13" t="n">
        <x:v>44956</x:v>
      </x:c>
      <x:c r="B1568" s="12" t="n">
        <x:v>2.999999999999943</x:v>
      </x:c>
      <x:c r="C1568" s="12" t="n">
        <x:v>0.004728293031784344</x:v>
      </x:c>
      <x:c r="D1568" s="12" t="n">
        <x:v>-0.120767758147135</x:v>
      </x:c>
      <x:c r="E1568" s="12" t="n">
        <x:v>-0.22845228285195432</x:v>
      </x:c>
    </x:row>
    <x:row r="1569" ht="18" customHeight="1">
      <x:c r="A1569" s="13" t="n">
        <x:v>44957</x:v>
      </x:c>
      <x:c r="B1569" s="12" t="n">
        <x:v>4</x:v>
      </x:c>
      <x:c r="C1569" s="12" t="n">
        <x:v>-0.010645259794948916</x:v>
      </x:c>
      <x:c r="D1569" s="12" t="n">
        <x:v>-0.13016470804619953</x:v>
      </x:c>
      <x:c r="E1569" s="12" t="n">
        <x:v>-0.2292667028385857</x:v>
      </x:c>
    </x:row>
    <x:row r="1570" ht="18" customHeight="1">
      <x:c r="A1570" s="13" t="n">
        <x:v>44958</x:v>
      </x:c>
      <x:c r="B1570" s="12" t="n">
        <x:v>0.9999999999999432</x:v>
      </x:c>
      <x:c r="C1570" s="12" t="n">
        <x:v>0.009356318159253127</x:v>
      </x:c>
      <x:c r="D1570" s="12" t="n">
        <x:v>-0.12208239477425131</x:v>
      </x:c>
      <x:c r="E1570" s="12" t="n">
        <x:v>-0.22945295307068814</x:v>
      </x:c>
    </x:row>
    <x:row r="1571" ht="18" customHeight="1">
      <x:c r="A1571" s="13" t="n">
        <x:v>44959</x:v>
      </x:c>
      <x:c r="B1571" s="12" t="n">
        <x:v>-36.99999999999994</x:v>
      </x:c>
      <x:c r="C1571" s="12" t="n">
        <x:v>-0.0035296095862316335</x:v>
      </x:c>
      <x:c r="D1571" s="12" t="n">
        <x:v>-0.08517914983637159</x:v>
      </x:c>
      <x:c r="E1571" s="12" t="n">
        <x:v>-0.22392625432153293</x:v>
      </x:c>
    </x:row>
    <x:row r="1572" ht="18" customHeight="1">
      <x:c r="A1572" s="13" t="n">
        <x:v>44960</x:v>
      </x:c>
      <x:c r="B1572" s="12" t="n">
        <x:v>1</x:v>
      </x:c>
      <x:c r="C1572" s="12" t="n">
        <x:v>-0.009496271984206292</x:v>
      </x:c>
      <x:c r="D1572" s="12" t="n">
        <x:v>-0.18040634094740543</x:v>
      </x:c>
      <x:c r="E1572" s="12" t="n">
        <x:v>-0.2211846478438477</x:v>
      </x:c>
    </x:row>
    <x:row r="1573" ht="18" customHeight="1">
      <x:c r="A1573" s="13" t="n">
        <x:v>44963</x:v>
      </x:c>
      <x:c r="B1573" s="12" t="n">
        <x:v>4</x:v>
      </x:c>
      <x:c r="C1573" s="12" t="n">
        <x:v>-0.0133085599913791</x:v>
      </x:c>
      <x:c r="D1573" s="12" t="n">
        <x:v>-0.1744787404374091</x:v>
      </x:c>
      <x:c r="E1573" s="12" t="n">
        <x:v>-0.22114300088867886</x:v>
      </x:c>
    </x:row>
    <x:row r="1574" ht="18" customHeight="1">
      <x:c r="A1574" s="13" t="n">
        <x:v>44964</x:v>
      </x:c>
      <x:c r="B1574" s="12" t="n">
        <x:v>0</x:v>
      </x:c>
      <x:c r="C1574" s="12" t="n">
        <x:v>0.0017981913758129378</x:v>
      </x:c>
      <x:c r="D1574" s="12" t="n">
        <x:v>-0.1822518808381114</x:v>
      </x:c>
      <x:c r="E1574" s="12" t="n">
        <x:v>-0.22163422290096996</x:v>
      </x:c>
    </x:row>
    <x:row r="1575" ht="18" customHeight="1">
      <x:c r="A1575" s="13" t="n">
        <x:v>44965</x:v>
      </x:c>
      <x:c r="B1575" s="12" t="n">
        <x:v>8</x:v>
      </x:c>
      <x:c r="C1575" s="12" t="n">
        <x:v>-0.004428788264437137</x:v>
      </x:c>
      <x:c r="D1575" s="12" t="n">
        <x:v>-0.1935232018651584</x:v>
      </x:c>
      <x:c r="E1575" s="12" t="n">
        <x:v>-0.22226091153953553</x:v>
      </x:c>
    </x:row>
    <x:row r="1576" ht="18" customHeight="1">
      <x:c r="A1576" s="13" t="n">
        <x:v>44966</x:v>
      </x:c>
      <x:c r="B1576" s="12" t="n">
        <x:v>-2</x:v>
      </x:c>
      <x:c r="C1576" s="12" t="n">
        <x:v>0.013334038426391324</x:v>
      </x:c>
      <x:c r="D1576" s="12" t="n">
        <x:v>-0.1693705911614863</x:v>
      </x:c>
      <x:c r="E1576" s="12" t="n">
        <x:v>-0.22359720370675135</x:v>
      </x:c>
    </x:row>
    <x:row r="1577" ht="18" customHeight="1">
      <x:c r="A1577" s="13" t="n">
        <x:v>44967</x:v>
      </x:c>
      <x:c r="B1577" s="12" t="n">
        <x:v>19</x:v>
      </x:c>
      <x:c r="C1577" s="12" t="n">
        <x:v>-0.0059600285016594545</x:v>
      </x:c>
      <x:c r="D1577" s="12" t="n">
        <x:v>-0.18529260945120843</x:v>
      </x:c>
      <x:c r="E1577" s="12" t="n">
        <x:v>-0.2254010459006471</x:v>
      </x:c>
    </x:row>
    <x:row r="1578" ht="18" customHeight="1">
      <x:c r="A1578" s="13" t="n">
        <x:v>44970</x:v>
      </x:c>
      <x:c r="B1578" s="12" t="n">
        <x:v>-0.9999999999999432</x:v>
      </x:c>
      <x:c r="C1578" s="12" t="n">
        <x:v>0.009033958487298481</x:v>
      </x:c>
      <x:c r="D1578" s="12" t="n">
        <x:v>-0.18453800669873927</x:v>
      </x:c>
      <x:c r="E1578" s="12" t="n">
        <x:v>-0.22540048713825167</x:v>
      </x:c>
    </x:row>
    <x:row r="1579" ht="18" customHeight="1">
      <x:c r="A1579" s="13" t="n">
        <x:v>44971</x:v>
      </x:c>
      <x:c r="B1579" s="12" t="n">
        <x:v>-8</x:v>
      </x:c>
      <x:c r="C1579" s="12" t="n">
        <x:v>0.00041409775407470783</x:v>
      </x:c>
      <x:c r="D1579" s="12" t="n">
        <x:v>-0.17211618395975745</x:v>
      </x:c>
      <x:c r="E1579" s="12" t="n">
        <x:v>-0.22252420618518642</x:v>
      </x:c>
    </x:row>
    <x:row r="1580" ht="18" customHeight="1">
      <x:c r="A1580" s="13" t="n">
        <x:v>44972</x:v>
      </x:c>
      <x:c r="B1580" s="12" t="n">
        <x:v>2.999999999999943</x:v>
      </x:c>
      <x:c r="C1580" s="12" t="n">
        <x:v>-0.00522457435893855</x:v>
      </x:c>
      <x:c r="D1580" s="12" t="n">
        <x:v>-0.14333934363117176</x:v>
      </x:c>
      <x:c r="E1580" s="12" t="n">
        <x:v>-0.22422231857104788</x:v>
      </x:c>
    </x:row>
    <x:row r="1581" ht="18" customHeight="1">
      <x:c r="A1581" s="13" t="n">
        <x:v>44973</x:v>
      </x:c>
      <x:c r="B1581" s="12" t="n">
        <x:v>6</x:v>
      </x:c>
      <x:c r="C1581" s="12" t="n">
        <x:v>-0.007350903203160604</x:v>
      </x:c>
      <x:c r="D1581" s="12" t="n">
        <x:v>-0.18973982401119258</x:v>
      </x:c>
      <x:c r="E1581" s="12" t="n">
        <x:v>-0.22967984915594866</x:v>
      </x:c>
    </x:row>
    <x:row r="1582" ht="18" customHeight="1">
      <x:c r="A1582" s="13" t="n">
        <x:v>44974</x:v>
      </x:c>
      <x:c r="B1582" s="12" t="n">
        <x:v>14</x:v>
      </x:c>
      <x:c r="C1582" s="12" t="n">
        <x:v>-0.014513207296915924</x:v>
      </x:c>
      <x:c r="D1582" s="12" t="n">
        <x:v>-0.24527488934290037</x:v>
      </x:c>
      <x:c r="E1582" s="12" t="n">
        <x:v>-0.2313265737233778</x:v>
      </x:c>
    </x:row>
    <x:row r="1583" ht="18" customHeight="1">
      <x:c r="A1583" s="13" t="n">
        <x:v>44977</x:v>
      </x:c>
      <x:c r="B1583" s="12" t="n">
        <x:v>0</x:v>
      </x:c>
      <x:c r="C1583" s="12" t="n">
        <x:v>0.02423787633960909</x:v>
      </x:c>
      <x:c r="D1583" s="12" t="n">
        <x:v>-0.2349641781425421</x:v>
      </x:c>
      <x:c r="E1583" s="12" t="n">
        <x:v>-0.22202109279133542</x:v>
      </x:c>
    </x:row>
    <x:row r="1584" ht="18" customHeight="1">
      <x:c r="A1584" s="13" t="n">
        <x:v>44978</x:v>
      </x:c>
      <x:c r="B1584" s="12" t="n">
        <x:v>11</x:v>
      </x:c>
      <x:c r="C1584" s="12" t="n">
        <x:v>0.00262483982241926</x:v>
      </x:c>
      <x:c r="D1584" s="12" t="n">
        <x:v>-0.22670727428427942</x:v>
      </x:c>
      <x:c r="E1584" s="12" t="n">
        <x:v>-0.2173465355495174</x:v>
      </x:c>
    </x:row>
    <x:row r="1585" ht="18" customHeight="1">
      <x:c r="A1585" s="13" t="n">
        <x:v>44979</x:v>
      </x:c>
      <x:c r="B1585" s="12" t="n">
        <x:v>-8</x:v>
      </x:c>
      <x:c r="C1585" s="12" t="n">
        <x:v>-0.009066022844646674</x:v>
      </x:c>
      <x:c r="D1585" s="12" t="n">
        <x:v>-0.19926841244130847</x:v>
      </x:c>
      <x:c r="E1585" s="12" t="n">
        <x:v>-0.21713796369038588</x:v>
      </x:c>
    </x:row>
    <x:row r="1586" ht="18" customHeight="1">
      <x:c r="A1586" s="13" t="n">
        <x:v>44980</x:v>
      </x:c>
      <x:c r="B1586" s="12" t="n">
        <x:v>-11</x:v>
      </x:c>
      <x:c r="C1586" s="12" t="n">
        <x:v>-0.0008048867137512138</x:v>
      </x:c>
      <x:c r="D1586" s="12" t="n">
        <x:v>-0.19018687904025366</x:v>
      </x:c>
      <x:c r="E1586" s="12" t="n">
        <x:v>-0.21751865100591755</x:v>
      </x:c>
    </x:row>
    <x:row r="1587" ht="18" customHeight="1">
      <x:c r="A1587" s="13" t="n">
        <x:v>44981</x:v>
      </x:c>
      <x:c r="B1587" s="12" t="n">
        <x:v>-2</x:v>
      </x:c>
      <x:c r="C1587" s="12" t="n">
        <x:v>-0.010435417917162276</x:v>
      </x:c>
      <x:c r="D1587" s="12" t="n">
        <x:v>-0.19643322050879614</x:v>
      </x:c>
      <x:c r="E1587" s="12" t="n">
        <x:v>-0.21465114251766979</x:v>
      </x:c>
    </x:row>
    <x:row r="1588" ht="18" customHeight="1">
      <x:c r="A1588" s="13" t="n">
        <x:v>44984</x:v>
      </x:c>
      <x:c r="B1588" s="12" t="n">
        <x:v>-7</x:v>
      </x:c>
      <x:c r="C1588" s="12" t="n">
        <x:v>-0.00424467836441928</x:v>
      </x:c>
      <x:c r="D1588" s="12" t="n">
        <x:v>-0.191420927869679</x:v>
      </x:c>
      <x:c r="E1588" s="12" t="n">
        <x:v>-0.21388246103177944</x:v>
      </x:c>
    </x:row>
    <x:row r="1589" ht="18" customHeight="1">
      <x:c r="A1589" s="13" t="n">
        <x:v>44985</x:v>
      </x:c>
      <x:c r="B1589" s="12" t="n">
        <x:v>1</x:v>
      </x:c>
      <x:c r="C1589" s="12" t="n">
        <x:v>0.006314169404260476</x:v>
      </x:c>
      <x:c r="D1589" s="12" t="n">
        <x:v>-0.1914643767671731</x:v>
      </x:c>
      <x:c r="E1589" s="12" t="n">
        <x:v>-0.2107583799700981</x:v>
      </x:c>
    </x:row>
    <x:row r="1590" ht="18" customHeight="1">
      <x:c r="A1590" s="13" t="n">
        <x:v>44986</x:v>
      </x:c>
      <x:c r="B1590" s="12" t="n">
        <x:v>-5</x:v>
      </x:c>
      <x:c r="C1590" s="12" t="n">
        <x:v>0.014026582657949621</x:v>
      </x:c>
      <x:c r="D1590" s="12" t="n">
        <x:v>-0.19976848344225356</x:v>
      </x:c>
      <x:c r="E1590" s="12" t="n">
        <x:v>-0.21053390193327082</x:v>
      </x:c>
    </x:row>
    <x:row r="1591" ht="18" customHeight="1">
      <x:c r="A1591" s="13" t="n">
        <x:v>44987</x:v>
      </x:c>
      <x:c r="B1591" s="12" t="n">
        <x:v>1</x:v>
      </x:c>
      <x:c r="C1591" s="12" t="n">
        <x:v>-0.0022326651164919576</x:v>
      </x:c>
      <x:c r="D1591" s="12" t="n">
        <x:v>-0.20061376211678303</x:v>
      </x:c>
      <x:c r="E1591" s="12" t="n">
        <x:v>-0.20887892951496315</x:v>
      </x:c>
    </x:row>
    <x:row r="1592" ht="18" customHeight="1">
      <x:c r="A1592" s="13" t="n">
        <x:v>44988</x:v>
      </x:c>
      <x:c r="B1592" s="12" t="n">
        <x:v>-13</x:v>
      </x:c>
      <x:c r="C1592" s="12" t="n">
        <x:v>0.0031069741391894392</x:v>
      </x:c>
      <x:c r="D1592" s="12" t="n">
        <x:v>-0.20283729979617082</x:v>
      </x:c>
      <x:c r="E1592" s="12" t="n">
        <x:v>-0.20970441721837618</x:v>
      </x:c>
    </x:row>
    <x:row r="1593" ht="18" customHeight="1">
      <x:c r="A1593" s="13" t="n">
        <x:v>44991</x:v>
      </x:c>
      <x:c r="B1593" s="12" t="n">
        <x:v>-8</x:v>
      </x:c>
      <x:c r="C1593" s="12" t="n">
        <x:v>-0.00522871249319971</x:v>
      </x:c>
      <x:c r="D1593" s="12" t="n">
        <x:v>-0.17039776265479792</x:v>
      </x:c>
      <x:c r="E1593" s="12" t="n">
        <x:v>-0.20895162540379147</x:v>
      </x:c>
    </x:row>
    <x:row r="1594" ht="18" customHeight="1">
      <x:c r="A1594" s="13" t="n">
        <x:v>44992</x:v>
      </x:c>
      <x:c r="B1594" s="12" t="n">
        <x:v>1</x:v>
      </x:c>
      <x:c r="C1594" s="12" t="n">
        <x:v>-0.014748812805500063</x:v>
      </x:c>
      <x:c r="D1594" s="12" t="n">
        <x:v>-0.1914470854779536</x:v>
      </x:c>
      <x:c r="E1594" s="12" t="n">
        <x:v>-0.2093474635312098</x:v>
      </x:c>
    </x:row>
    <x:row r="1595" ht="18" customHeight="1">
      <x:c r="A1595" s="13" t="n">
        <x:v>44993</x:v>
      </x:c>
      <x:c r="B1595" s="12" t="n">
        <x:v>11</x:v>
      </x:c>
      <x:c r="C1595" s="12" t="n">
        <x:v>-0.00364822220642755</x:v>
      </x:c>
      <x:c r="D1595" s="12" t="n">
        <x:v>-0.19873573815086612</x:v>
      </x:c>
      <x:c r="E1595" s="12" t="n">
        <x:v>-0.2099031538402908</x:v>
      </x:c>
    </x:row>
    <x:row r="1596" ht="18" customHeight="1">
      <x:c r="A1596" s="13" t="n">
        <x:v>44994</x:v>
      </x:c>
      <x:c r="B1596" s="12" t="n">
        <x:v>17.999999999999943</x:v>
      </x:c>
      <x:c r="C1596" s="12" t="n">
        <x:v>-0.003540424357395067</x:v>
      </x:c>
      <x:c r="D1596" s="12" t="n">
        <x:v>-0.19683548510022036</x:v>
      </x:c>
      <x:c r="E1596" s="12" t="n">
        <x:v>-0.21189317826946577</x:v>
      </x:c>
    </x:row>
    <x:row r="1597" ht="18" customHeight="1">
      <x:c r="A1597" s="13" t="n">
        <x:v>44995</x:v>
      </x:c>
      <x:c r="B1597" s="12" t="n">
        <x:v>34.000000000000114</x:v>
      </x:c>
      <x:c r="C1597" s="12" t="n">
        <x:v>-0.01320049076358043</x:v>
      </x:c>
      <x:c r="D1597" s="12" t="n">
        <x:v>-0.253665457925424</x:v>
      </x:c>
      <x:c r="E1597" s="12" t="n">
        <x:v>-0.2185663124920028</x:v>
      </x:c>
    </x:row>
    <x:row r="1598" ht="18" customHeight="1">
      <x:c r="A1598" s="13" t="n">
        <x:v>44998</x:v>
      </x:c>
      <x:c r="B1598" s="12" t="n">
        <x:v>41.99999999999994</x:v>
      </x:c>
      <x:c r="C1598" s="12" t="n">
        <x:v>0.010419284700296166</x:v>
      </x:c>
      <x:c r="D1598" s="12" t="n">
        <x:v>-0.14515261385265918</x:v>
      </x:c>
      <x:c r="E1598" s="12" t="n">
        <x:v>-0.1934567791490852</x:v>
      </x:c>
    </x:row>
    <x:row r="1599" ht="18" customHeight="1">
      <x:c r="A1599" s="13" t="n">
        <x:v>44999</x:v>
      </x:c>
      <x:c r="B1599" s="12" t="n">
        <x:v>-29</x:v>
      </x:c>
      <x:c r="C1599" s="12" t="n">
        <x:v>-0.006002583945988547</x:v>
      </x:c>
      <x:c r="D1599" s="12" t="n">
        <x:v>-0.12252593469556584</x:v>
      </x:c>
      <x:c r="E1599" s="12" t="n">
        <x:v>-0.18149465437280277</x:v>
      </x:c>
    </x:row>
    <x:row r="1600" ht="18" customHeight="1">
      <x:c r="A1600" s="13" t="n">
        <x:v>45000</x:v>
      </x:c>
      <x:c r="B1600" s="12" t="n">
        <x:v>46</x:v>
      </x:c>
      <x:c r="C1600" s="12" t="n">
        <x:v>0.0005535653371021109</x:v>
      </x:c>
      <x:c r="D1600" s="12" t="n">
        <x:v>-0.10471390357161171</x:v>
      </x:c>
      <x:c r="E1600" s="12" t="n">
        <x:v>-0.17680915247113252</x:v>
      </x:c>
    </x:row>
    <x:row r="1601" ht="18" customHeight="1">
      <x:c r="A1601" s="13" t="n">
        <x:v>45001</x:v>
      </x:c>
      <x:c r="B1601" s="12" t="n">
        <x:v>-27</x:v>
      </x:c>
      <x:c r="C1601" s="12" t="n">
        <x:v>-0.012049397286707548</x:v>
      </x:c>
      <x:c r="D1601" s="12" t="n">
        <x:v>-0.05591357055952603</x:v>
      </x:c>
      <x:c r="E1601" s="12" t="n">
        <x:v>-0.16993041827935143</x:v>
      </x:c>
    </x:row>
    <x:row r="1602" ht="18" customHeight="1">
      <x:c r="A1602" s="13" t="n">
        <x:v>45002</x:v>
      </x:c>
      <x:c r="B1602" s="12" t="n">
        <x:v>24</x:v>
      </x:c>
      <x:c r="C1602" s="12" t="n">
        <x:v>0.004980758577487929</x:v>
      </x:c>
      <x:c r="D1602" s="12" t="n">
        <x:v>-0.026712089305168232</x:v>
      </x:c>
      <x:c r="E1602" s="12" t="n">
        <x:v>-0.17020727551796988</x:v>
      </x:c>
    </x:row>
    <x:row r="1603" ht="18" customHeight="1">
      <x:c r="A1603" s="13" t="n">
        <x:v>45005</x:v>
      </x:c>
      <x:c r="B1603" s="12" t="n">
        <x:v>-2</x:v>
      </x:c>
      <x:c r="C1603" s="12" t="n">
        <x:v>-0.004999417596918964</x:v>
      </x:c>
      <x:c r="D1603" s="12" t="n">
        <x:v>-0.03568111173837238</x:v>
      </x:c>
      <x:c r="E1603" s="12" t="n">
        <x:v>-0.17000932022282467</x:v>
      </x:c>
    </x:row>
    <x:row r="1604" ht="18" customHeight="1">
      <x:c r="A1604" s="13" t="n">
        <x:v>45006</x:v>
      </x:c>
      <x:c r="B1604" s="12" t="n">
        <x:v>-30.000000000000057</x:v>
      </x:c>
      <x:c r="C1604" s="12" t="n">
        <x:v>0.010932746623865211</x:v>
      </x:c>
      <x:c r="D1604" s="12" t="n">
        <x:v>-0.07881873786996613</x:v>
      </x:c>
      <x:c r="E1604" s="12" t="n">
        <x:v>-0.17215754259326066</x:v>
      </x:c>
    </x:row>
    <x:row r="1605" ht="18" customHeight="1">
      <x:c r="A1605" s="13" t="n">
        <x:v>45007</x:v>
      </x:c>
      <x:c r="B1605" s="12" t="n">
        <x:v>15.000000000000057</x:v>
      </x:c>
      <x:c r="C1605" s="12" t="n">
        <x:v>0.00427584788303179</x:v>
      </x:c>
      <x:c r="D1605" s="12" t="n">
        <x:v>-0.07140841915455935</x:v>
      </x:c>
      <x:c r="E1605" s="12" t="n">
        <x:v>-0.16411573762465165</x:v>
      </x:c>
    </x:row>
    <x:row r="1606" ht="18" customHeight="1">
      <x:c r="A1606" s="13" t="n">
        <x:v>45008</x:v>
      </x:c>
      <x:c r="B1606" s="12" t="n">
        <x:v>9.999999999999943</x:v>
      </x:c>
      <x:c r="C1606" s="12" t="n">
        <x:v>0.00986426887274393</x:v>
      </x:c>
      <x:c r="D1606" s="12" t="n">
        <x:v>-0.05861419562594924</x:v>
      </x:c>
      <x:c r="E1606" s="12" t="n">
        <x:v>-0.16146758287916108</x:v>
      </x:c>
    </x:row>
    <x:row r="1607" ht="18" customHeight="1">
      <x:c r="A1607" s="13" t="n">
        <x:v>45009</x:v>
      </x:c>
      <x:c r="B1607" s="12" t="n">
        <x:v>12.000000000000057</x:v>
      </x:c>
      <x:c r="C1607" s="12" t="n">
        <x:v>-0.002986265082769179</x:v>
      </x:c>
      <x:c r="D1607" s="12" t="n">
        <x:v>-0.06349875670371571</x:v>
      </x:c>
      <x:c r="E1607" s="12" t="n">
        <x:v>-0.16449747679502127</x:v>
      </x:c>
    </x:row>
    <x:row r="1608" ht="18" customHeight="1">
      <x:c r="A1608" s="13" t="n">
        <x:v>45012</x:v>
      </x:c>
      <x:c r="B1608" s="12" t="n">
        <x:v>-19</x:v>
      </x:c>
      <x:c r="C1608" s="12" t="n">
        <x:v>-0.0036242489284966603</x:v>
      </x:c>
      <x:c r="D1608" s="12" t="n">
        <x:v>-0.0560167631476133</x:v>
      </x:c>
      <x:c r="E1608" s="12" t="n">
        <x:v>-0.1647753970688221</x:v>
      </x:c>
    </x:row>
    <x:row r="1609" ht="18" customHeight="1">
      <x:c r="A1609" s="13" t="n">
        <x:v>45013</x:v>
      </x:c>
      <x:c r="B1609" s="12" t="n">
        <x:v>-2</x:v>
      </x:c>
      <x:c r="C1609" s="12" t="n">
        <x:v>-0.003235752515321773</x:v>
      </x:c>
      <x:c r="D1609" s="12" t="n">
        <x:v>-0.05579322667658979</x:v>
      </x:c>
      <x:c r="E1609" s="12" t="n">
        <x:v>-0.1650058328456165</x:v>
      </x:c>
    </x:row>
    <x:row r="1610" ht="18" customHeight="1">
      <x:c r="A1610" s="13" t="n">
        <x:v>45014</x:v>
      </x:c>
      <x:c r="B1610" s="12" t="n">
        <x:v>-18</x:v>
      </x:c>
      <x:c r="C1610" s="12" t="n">
        <x:v>0.0016561539190427233</x:v>
      </x:c>
      <x:c r="D1610" s="12" t="n">
        <x:v>-0.05824569282411566</x:v>
      </x:c>
      <x:c r="E1610" s="12" t="n">
        <x:v>-0.159330538795076</x:v>
      </x:c>
    </x:row>
    <x:row r="1611" ht="18" customHeight="1">
      <x:c r="A1611" s="13" t="n">
        <x:v>45015</x:v>
      </x:c>
      <x:c r="B1611" s="12" t="n">
        <x:v>-9</x:v>
      </x:c>
      <x:c r="C1611" s="12" t="n">
        <x:v>0.008050516950421808</x:v>
      </x:c>
      <x:c r="D1611" s="12" t="n">
        <x:v>-0.06708045910585798</x:v>
      </x:c>
      <x:c r="E1611" s="12" t="n">
        <x:v>-0.1603140144976293</x:v>
      </x:c>
    </x:row>
    <x:row r="1612" ht="18" customHeight="1">
      <x:c r="A1612" s="13" t="n">
        <x:v>45016</x:v>
      </x:c>
      <x:c r="B1612" s="12" t="n">
        <x:v>-16</x:v>
      </x:c>
      <x:c r="C1612" s="12" t="n">
        <x:v>0.0030657232731370397</x:v>
      </x:c>
      <x:c r="D1612" s="12" t="n">
        <x:v>-0.07197296487378564</x:v>
      </x:c>
      <x:c r="E1612" s="12" t="n">
        <x:v>-0.1378517260088024</x:v>
      </x:c>
    </x:row>
    <x:row r="1613" ht="18" customHeight="1">
      <x:c r="A1613" s="13" t="n">
        <x:v>45019</x:v>
      </x:c>
      <x:c r="B1613" s="12" t="n">
        <x:v>0</x:v>
      </x:c>
      <x:c r="C1613" s="12" t="n">
        <x:v>0.00973831503009619</x:v>
      </x:c>
      <x:c r="D1613" s="12" t="n">
        <x:v>-0.06682886703144136</x:v>
      </x:c>
      <x:c r="E1613" s="12" t="n">
        <x:v>-0.13081419367549613</x:v>
      </x:c>
    </x:row>
    <x:row r="1614" ht="18" customHeight="1">
      <x:c r="A1614" s="13" t="n">
        <x:v>45020</x:v>
      </x:c>
      <x:c r="B1614" s="12" t="n">
        <x:v>15.000000000000057</x:v>
      </x:c>
      <x:c r="C1614" s="12" t="n">
        <x:v>0.0030603149750138407</x:v>
      </x:c>
      <x:c r="D1614" s="12" t="n">
        <x:v>-0.048939164959755616</x:v>
      </x:c>
      <x:c r="E1614" s="12" t="n">
        <x:v>-0.12920743475544422</x:v>
      </x:c>
    </x:row>
    <x:row r="1615" ht="18" customHeight="1">
      <x:c r="A1615" s="13" t="n">
        <x:v>45022</x:v>
      </x:c>
      <x:c r="B1615" s="12" t="n">
        <x:v>0</x:v>
      </x:c>
      <x:c r="C1615" s="12" t="n">
        <x:v>-0.0015769273756824943</x:v>
      </x:c>
      <x:c r="D1615" s="12" t="n">
        <x:v>-0.046640403736467294</x:v>
      </x:c>
      <x:c r="E1615" s="12" t="n">
        <x:v>-0.1301094845481742</x:v>
      </x:c>
    </x:row>
    <x:row r="1616" ht="18" customHeight="1">
      <x:c r="A1616" s="13" t="n">
        <x:v>45026</x:v>
      </x:c>
      <x:c r="B1616" s="12" t="n">
        <x:v>-14</x:v>
      </x:c>
      <x:c r="C1616" s="12" t="n">
        <x:v>-0.004489043556316856</x:v>
      </x:c>
      <x:c r="D1616" s="12" t="n">
        <x:v>-0.03588015948136447</x:v>
      </x:c>
      <x:c r="E1616" s="12" t="n">
        <x:v>-0.12802263935494773</x:v>
      </x:c>
    </x:row>
    <x:row r="1617" ht="18" customHeight="1">
      <x:c r="A1617" s="13" t="n">
        <x:v>45027</x:v>
      </x:c>
      <x:c r="B1617" s="12" t="n">
        <x:v>-7</x:v>
      </x:c>
      <x:c r="C1617" s="12" t="n">
        <x:v>-0.0011368490944111537</x:v>
      </x:c>
      <x:c r="D1617" s="12" t="n">
        <x:v>-0.029548759949067173</x:v>
      </x:c>
      <x:c r="E1617" s="12" t="n">
        <x:v>-0.12800728699606104</x:v>
      </x:c>
    </x:row>
    <x:row r="1618" ht="18" customHeight="1">
      <x:c r="A1618" s="13" t="n">
        <x:v>45028</x:v>
      </x:c>
      <x:c r="B1618" s="12" t="n">
        <x:v>-1</x:v>
      </x:c>
      <x:c r="C1618" s="12" t="n">
        <x:v>-0.00069785242374403</x:v>
      </x:c>
      <x:c r="D1618" s="12" t="n">
        <x:v>-0.028847033098577512</x:v>
      </x:c>
      <x:c r="E1618" s="12" t="n">
        <x:v>-0.1289368311582626</x:v>
      </x:c>
    </x:row>
    <x:row r="1619" ht="18" customHeight="1">
      <x:c r="A1619" s="13" t="n">
        <x:v>45029</x:v>
      </x:c>
      <x:c r="B1619" s="12" t="n">
        <x:v>-13</x:v>
      </x:c>
      <x:c r="C1619" s="12" t="n">
        <x:v>-0.006933184078369438</x:v>
      </x:c>
      <x:c r="D1619" s="12" t="n">
        <x:v>-0.007158012399152033</x:v>
      </x:c>
      <x:c r="E1619" s="12" t="n">
        <x:v>-0.135206347527672</x:v>
      </x:c>
    </x:row>
    <x:row r="1620" ht="18" customHeight="1">
      <x:c r="A1620" s="13" t="n">
        <x:v>45030</x:v>
      </x:c>
      <x:c r="B1620" s="12" t="n">
        <x:v>-6</x:v>
      </x:c>
      <x:c r="C1620" s="12" t="n">
        <x:v>0.005641545105945867</x:v>
      </x:c>
      <x:c r="D1620" s="12" t="n">
        <x:v>-0.007310973689043488</x:v>
      </x:c>
      <x:c r="E1620" s="12" t="n">
        <x:v>-0.13575133313552454</x:v>
      </x:c>
    </x:row>
    <x:row r="1621" ht="18" customHeight="1">
      <x:c r="A1621" s="13" t="n">
        <x:v>45033</x:v>
      </x:c>
      <x:c r="B1621" s="12" t="n">
        <x:v>-2</x:v>
      </x:c>
      <x:c r="C1621" s="12" t="n">
        <x:v>0.013926238256229347</x:v>
      </x:c>
      <x:c r="D1621" s="12" t="n">
        <x:v>-0.0007176426774042904</x:v>
      </x:c>
      <x:c r="E1621" s="12" t="n">
        <x:v>-0.13827197984672718</x:v>
      </x:c>
    </x:row>
    <x:row r="1622" ht="18" customHeight="1">
      <x:c r="A1622" s="13" t="n">
        <x:v>45034</x:v>
      </x:c>
      <x:c r="B1622" s="12" t="n">
        <x:v>-4</x:v>
      </x:c>
      <x:c r="C1622" s="12" t="n">
        <x:v>0.0030436234626958596</x:v>
      </x:c>
      <x:c r="D1622" s="12" t="n">
        <x:v>-0.0017642449316087455</x:v>
      </x:c>
      <x:c r="E1622" s="12" t="n">
        <x:v>-0.13606099435871843</x:v>
      </x:c>
    </x:row>
    <x:row r="1623" ht="18" customHeight="1">
      <x:c r="A1623" s="13" t="n">
        <x:v>45035</x:v>
      </x:c>
      <x:c r="B1623" s="12" t="n">
        <x:v>4</x:v>
      </x:c>
      <x:c r="C1623" s="12" t="n">
        <x:v>-0.00904433581759568</x:v>
      </x:c>
      <x:c r="D1623" s="12" t="n">
        <x:v>-0.0073988935633727505</x:v>
      </x:c>
      <x:c r="E1623" s="12" t="n">
        <x:v>-0.13508719588529491</x:v>
      </x:c>
    </x:row>
    <x:row r="1624" ht="18" customHeight="1">
      <x:c r="A1624" s="13" t="n">
        <x:v>45036</x:v>
      </x:c>
      <x:c r="B1624" s="12" t="n">
        <x:v>13</x:v>
      </x:c>
      <x:c r="C1624" s="12" t="n">
        <x:v>-0.0028017233726872733</x:v>
      </x:c>
      <x:c r="D1624" s="12" t="n">
        <x:v>-0.012160223181664924</x:v>
      </x:c>
      <x:c r="E1624" s="12" t="n">
        <x:v>-0.13484199302408467</x:v>
      </x:c>
    </x:row>
    <x:row r="1625" ht="18" customHeight="1">
      <x:c r="A1625" s="13" t="n">
        <x:v>45037</x:v>
      </x:c>
      <x:c r="B1625" s="12" t="n">
        <x:v>-8</x:v>
      </x:c>
      <x:c r="C1625" s="12" t="n">
        <x:v>-0.01975416188434926</x:v>
      </x:c>
      <x:c r="D1625" s="12" t="n">
        <x:v>0.02385947276766605</x:v>
      </x:c>
      <x:c r="E1625" s="12" t="n">
        <x:v>-0.1285882808327943</x:v>
      </x:c>
    </x:row>
    <x:row r="1626" ht="18" customHeight="1">
      <x:c r="A1626" s="13" t="n">
        <x:v>45040</x:v>
      </x:c>
      <x:c r="B1626" s="12" t="n">
        <x:v>2.000000000000057</x:v>
      </x:c>
      <x:c r="C1626" s="12" t="n">
        <x:v>-0.012457551336495796</x:v>
      </x:c>
      <x:c r="D1626" s="12" t="n">
        <x:v>0.026772474408292002</x:v>
      </x:c>
      <x:c r="E1626" s="12" t="n">
        <x:v>-0.12724915327060446</x:v>
      </x:c>
    </x:row>
    <x:row r="1627" ht="18" customHeight="1">
      <x:c r="A1627" s="13" t="n">
        <x:v>45041</x:v>
      </x:c>
      <x:c r="B1627" s="12" t="n">
        <x:v>15.999999999999886</x:v>
      </x:c>
      <x:c r="C1627" s="12" t="n">
        <x:v>-0.005028663542673135</x:v>
      </x:c>
      <x:c r="D1627" s="12" t="n">
        <x:v>0.01821388064058988</x:v>
      </x:c>
      <x:c r="E1627" s="12" t="n">
        <x:v>-0.12928775814753807</x:v>
      </x:c>
    </x:row>
    <x:row r="1628" ht="18" customHeight="1">
      <x:c r="A1628" s="13" t="n">
        <x:v>45042</x:v>
      </x:c>
      <x:c r="B1628" s="12" t="n">
        <x:v>-0.9999999999999432</x:v>
      </x:c>
      <x:c r="C1628" s="12" t="n">
        <x:v>-0.0008668377632871743</x:v>
      </x:c>
      <x:c r="D1628" s="12" t="n">
        <x:v>0.018852898540773766</x:v>
      </x:c>
      <x:c r="E1628" s="12" t="n">
        <x:v>-0.118163842299658</x:v>
      </x:c>
    </x:row>
    <x:row r="1629" ht="18" customHeight="1">
      <x:c r="A1629" s="13" t="n">
        <x:v>45043</x:v>
      </x:c>
      <x:c r="B1629" s="12" t="n">
        <x:v>-14.999999999999943</x:v>
      </x:c>
      <x:c r="C1629" s="12" t="n">
        <x:v>0.007344643577210908</x:v>
      </x:c>
      <x:c r="D1629" s="12" t="n">
        <x:v>-0.008884479265431554</x:v>
      </x:c>
      <x:c r="E1629" s="12" t="n">
        <x:v>-0.12254547101228949</x:v>
      </x:c>
    </x:row>
    <x:row r="1630" ht="18" customHeight="1">
      <x:c r="A1630" s="13" t="n">
        <x:v>45044</x:v>
      </x:c>
      <x:c r="B1630" s="12" t="n">
        <x:v>1.9999999999999432</x:v>
      </x:c>
      <x:c r="C1630" s="12" t="n">
        <x:v>0.01014471517605962</x:v>
      </x:c>
      <x:c r="D1630" s="12" t="n">
        <x:v>-0.0027803866808652706</x:v>
      </x:c>
      <x:c r="E1630" s="12" t="n">
        <x:v>-0.12160790551457394</x:v>
      </x:c>
    </x:row>
    <x:row r="1631" ht="18" customHeight="1">
      <x:c r="A1631" s="13" t="n">
        <x:v>45050</x:v>
      </x:c>
      <x:c r="B1631" s="12" t="n">
        <x:v>16</x:v>
      </x:c>
      <x:c r="C1631" s="12" t="n">
        <x:v>0.00028818762605953345</x:v>
      </x:c>
      <x:c r="D1631" s="12" t="n">
        <x:v>-0.0025833441690392943</x:v>
      </x:c>
      <x:c r="E1631" s="12" t="n">
        <x:v>-0.11818236182553059</x:v>
      </x:c>
    </x:row>
    <x:row r="1632" ht="18" customHeight="1">
      <x:c r="A1632" s="13" t="n">
        <x:v>45051</x:v>
      </x:c>
      <x:c r="B1632" s="12" t="n">
        <x:v>-18.000000000000057</x:v>
      </x:c>
      <x:c r="C1632" s="12" t="n">
        <x:v>-0.0033228545927530486</x:v>
      </x:c>
      <x:c r="D1632" s="12" t="n">
        <x:v>0.007960635653081194</x:v>
      </x:c>
      <x:c r="E1632" s="12" t="n">
        <x:v>-0.11679186059595986</x:v>
      </x:c>
    </x:row>
    <x:row r="1633" ht="18" customHeight="1">
      <x:c r="A1633" s="13" t="n">
        <x:v>45054</x:v>
      </x:c>
      <x:c r="B1633" s="12" t="n">
        <x:v>-4.999999999999943</x:v>
      </x:c>
      <x:c r="C1633" s="12" t="n">
        <x:v>0.011333687618858015</x:v>
      </x:c>
      <x:c r="D1633" s="12" t="n">
        <x:v>-0.0007300815264333191</x:v>
      </x:c>
      <x:c r="E1633" s="12" t="n">
        <x:v>-0.11970927684911273</x:v>
      </x:c>
    </x:row>
    <x:row r="1634" ht="18" customHeight="1">
      <x:c r="A1634" s="13" t="n">
        <x:v>45055</x:v>
      </x:c>
      <x:c r="B1634" s="12" t="n">
        <x:v>2</x:v>
      </x:c>
      <x:c r="C1634" s="12" t="n">
        <x:v>-0.008599481329350357</x:v>
      </x:c>
      <x:c r="D1634" s="12" t="n">
        <x:v>-0.01632466382734765</x:v>
      </x:c>
      <x:c r="E1634" s="12" t="n">
        <x:v>-0.1214587025511299</x:v>
      </x:c>
    </x:row>
    <x:row r="1635" ht="18" customHeight="1">
      <x:c r="A1635" s="13" t="n">
        <x:v>45056</x:v>
      </x:c>
      <x:c r="B1635" s="12" t="n">
        <x:v>4</x:v>
      </x:c>
      <x:c r="C1635" s="12" t="n">
        <x:v>-0.0077276112030614744</x:v>
      </x:c>
      <x:c r="D1635" s="12" t="n">
        <x:v>-0.019026759157476092</x:v>
      </x:c>
      <x:c r="E1635" s="12" t="n">
        <x:v>-0.1261624095693069</x:v>
      </x:c>
    </x:row>
    <x:row r="1636" ht="18" customHeight="1">
      <x:c r="A1636" s="13" t="n">
        <x:v>45057</x:v>
      </x:c>
      <x:c r="B1636" s="12" t="n">
        <x:v>2.999999999999943</x:v>
      </x:c>
      <x:c r="C1636" s="12" t="n">
        <x:v>-0.001553871788268113</x:v>
      </x:c>
      <x:c r="D1636" s="12" t="n">
        <x:v>-0.014102215276944842</x:v>
      </x:c>
      <x:c r="E1636" s="12" t="n">
        <x:v>-0.12841471663220605</x:v>
      </x:c>
    </x:row>
    <x:row r="1637" ht="18" customHeight="1">
      <x:c r="A1637" s="13" t="n">
        <x:v>45058</x:v>
      </x:c>
      <x:c r="B1637" s="12" t="n">
        <x:v>-4.999999999999943</x:v>
      </x:c>
      <x:c r="C1637" s="12" t="n">
        <x:v>-0.013344965509902268</x:v>
      </x:c>
      <x:c r="D1637" s="12" t="n">
        <x:v>-0.004364582053069117</x:v>
      </x:c>
      <x:c r="E1637" s="12" t="n">
        <x:v>-0.1102370793816351</x:v>
      </x:c>
    </x:row>
    <x:row r="1638" ht="18" customHeight="1">
      <x:c r="A1638" s="13" t="n">
        <x:v>45061</x:v>
      </x:c>
      <x:c r="B1638" s="12" t="n">
        <x:v>0.9999999999999432</x:v>
      </x:c>
      <x:c r="C1638" s="12" t="n">
        <x:v>0.015403530004197431</x:v>
      </x:c>
      <x:c r="D1638" s="12" t="n">
        <x:v>0.0003282015598567828</x:v>
      </x:c>
      <x:c r="E1638" s="12" t="n">
        <x:v>-0.10898692691786808</x:v>
      </x:c>
    </x:row>
    <x:row r="1639" ht="18" customHeight="1">
      <x:c r="A1639" s="13" t="n">
        <x:v>45062</x:v>
      </x:c>
      <x:c r="B1639" s="12" t="n">
        <x:v>2.000000000000057</x:v>
      </x:c>
      <x:c r="C1639" s="12" t="n">
        <x:v>-0.0051853093293719</x:v>
      </x:c>
      <x:c r="D1639" s="12" t="n">
        <x:v>0.003926276572153434</x:v>
      </x:c>
      <x:c r="E1639" s="12" t="n">
        <x:v>-0.1157323410750452</x:v>
      </x:c>
    </x:row>
    <x:row r="1640" ht="18" customHeight="1">
      <x:c r="A1640" s="13" t="n">
        <x:v>45063</x:v>
      </x:c>
      <x:c r="B1640" s="12" t="n">
        <x:v>-4</x:v>
      </x:c>
      <x:c r="C1640" s="12" t="n">
        <x:v>-0.004545122020695687</x:v>
      </x:c>
      <x:c r="D1640" s="12" t="n">
        <x:v>0.018990675061326016</x:v>
      </x:c>
      <x:c r="E1640" s="12" t="n">
        <x:v>-0.11400233232473987</x:v>
      </x:c>
    </x:row>
    <x:row r="1641" ht="18" customHeight="1">
      <x:c r="A1641" s="13" t="n">
        <x:v>45064</x:v>
      </x:c>
      <x:c r="B1641" s="12" t="n">
        <x:v>-5.999999999999943</x:v>
      </x:c>
      <x:c r="C1641" s="12" t="n">
        <x:v>-0.001034557542444401</x:v>
      </x:c>
      <x:c r="D1641" s="12" t="n">
        <x:v>0.020856327464381524</x:v>
      </x:c>
      <x:c r="E1641" s="12" t="n">
        <x:v>-0.12209326400619566</x:v>
      </x:c>
    </x:row>
    <x:row r="1642" ht="18" customHeight="1">
      <x:c r="A1642" s="13" t="n">
        <x:v>45065</x:v>
      </x:c>
      <x:c r="B1642" s="12" t="n">
        <x:v>-7.000000000000057</x:v>
      </x:c>
      <x:c r="C1642" s="12" t="n">
        <x:v>-0.002918713264252902</x:v>
      </x:c>
      <x:c r="D1642" s="12" t="n">
        <x:v>0.02414889720779996</x:v>
      </x:c>
      <x:c r="E1642" s="12" t="n">
        <x:v>-0.12177182802083308</x:v>
      </x:c>
    </x:row>
    <x:row r="1643" ht="18" customHeight="1">
      <x:c r="A1643" s="13" t="n">
        <x:v>45068</x:v>
      </x:c>
      <x:c r="B1643" s="12" t="n">
        <x:v>-8</x:v>
      </x:c>
      <x:c r="C1643" s="12" t="n">
        <x:v>0.006264315012112265</x:v>
      </x:c>
      <x:c r="D1643" s="12" t="n">
        <x:v>0.018315988694594304</x:v>
      </x:c>
      <x:c r="E1643" s="12" t="n">
        <x:v>-0.11349663478711668</x:v>
      </x:c>
    </x:row>
    <x:row r="1644" ht="18" customHeight="1">
      <x:c r="A1644" s="13" t="n">
        <x:v>45069</x:v>
      </x:c>
      <x:c r="B1644" s="12" t="n">
        <x:v>5.999999999999943</x:v>
      </x:c>
      <x:c r="C1644" s="12" t="n">
        <x:v>-0.014244297108787168</x:v>
      </x:c>
      <x:c r="D1644" s="12" t="n">
        <x:v>0.012645255672868342</x:v>
      </x:c>
      <x:c r="E1644" s="12" t="n">
        <x:v>-0.10975737406430312</x:v>
      </x:c>
    </x:row>
    <x:row r="1645" ht="18" customHeight="1">
      <x:c r="A1645" s="13" t="n">
        <x:v>45070</x:v>
      </x:c>
      <x:c r="B1645" s="12" t="n">
        <x:v>8.000000000000057</x:v>
      </x:c>
      <x:c r="C1645" s="12" t="n">
        <x:v>-0.013920126824799891</x:v>
      </x:c>
      <x:c r="D1645" s="12" t="n">
        <x:v>0.02403268738962101</x:v>
      </x:c>
      <x:c r="E1645" s="12" t="n">
        <x:v>-0.11455039793402713</x:v>
      </x:c>
    </x:row>
    <x:row r="1646" ht="18" customHeight="1">
      <x:c r="A1646" s="13" t="n">
        <x:v>45071</x:v>
      </x:c>
      <x:c r="B1646" s="12" t="n">
        <x:v>-10</x:v>
      </x:c>
      <x:c r="C1646" s="12" t="n">
        <x:v>-0.002229405222302582</x:v>
      </x:c>
      <x:c r="D1646" s="12" t="n">
        <x:v>0.026625597425779468</x:v>
      </x:c>
      <x:c r="E1646" s="12" t="n">
        <x:v>-0.11551728040577457</x:v>
      </x:c>
    </x:row>
    <x:row r="1647" ht="18" customHeight="1">
      <x:c r="A1647" s="13" t="n">
        <x:v>45072</x:v>
      </x:c>
      <x:c r="B1647" s="12" t="n">
        <x:v>-5</x:v>
      </x:c>
      <x:c r="C1647" s="12" t="n">
        <x:v>0.00011725063708255876</x:v>
      </x:c>
      <x:c r="D1647" s="12" t="n">
        <x:v>0.01968921740394776</x:v>
      </x:c>
      <x:c r="E1647" s="12" t="n">
        <x:v>-0.11335025968994347</x:v>
      </x:c>
    </x:row>
    <x:row r="1648" ht="18" customHeight="1">
      <x:c r="A1648" s="13" t="n">
        <x:v>45075</x:v>
      </x:c>
      <x:c r="B1648" s="12" t="n">
        <x:v>1</x:v>
      </x:c>
      <x:c r="C1648" s="12" t="n">
        <x:v>-0.004426744377731629</x:v>
      </x:c>
      <x:c r="D1648" s="12" t="n">
        <x:v>0.010864482314784514</x:v>
      </x:c>
      <x:c r="E1648" s="12" t="n">
        <x:v>-0.1105351272771522</x:v>
      </x:c>
    </x:row>
    <x:row r="1649" ht="18" customHeight="1">
      <x:c r="A1649" s="13" t="n">
        <x:v>45076</x:v>
      </x:c>
      <x:c r="B1649" s="12" t="n">
        <x:v>4</x:v>
      </x:c>
      <x:c r="C1649" s="12" t="n">
        <x:v>0.0009936527619133092</x:v>
      </x:c>
      <x:c r="D1649" s="12" t="n">
        <x:v>0.012799049492893823</x:v>
      </x:c>
      <x:c r="E1649" s="12" t="n">
        <x:v>-0.10862507607043893</x:v>
      </x:c>
    </x:row>
    <x:row r="1650" ht="18" customHeight="1">
      <x:c r="A1650" s="13" t="n">
        <x:v>45077</x:v>
      </x:c>
      <x:c r="B1650" s="12" t="n">
        <x:v>11.000000000000057</x:v>
      </x:c>
      <x:c r="C1650" s="12" t="n">
        <x:v>-0.01026938767722393</x:v>
      </x:c>
      <x:c r="D1650" s="12" t="n">
        <x:v>-0.0040359852968887815</x:v>
      </x:c>
      <x:c r="E1650" s="12" t="n">
        <x:v>-0.10786720797285342</x:v>
      </x:c>
    </x:row>
    <x:row r="1651" ht="18" customHeight="1">
      <x:c r="A1651" s="13" t="n">
        <x:v>45078</x:v>
      </x:c>
      <x:c r="B1651" s="12" t="n">
        <x:v>-4</x:v>
      </x:c>
      <x:c r="C1651" s="12" t="n">
        <x:v>0.002189100101492375</x:v>
      </x:c>
      <x:c r="D1651" s="12" t="n">
        <x:v>-0.009050107370817514</x:v>
      </x:c>
      <x:c r="E1651" s="12" t="n">
        <x:v>-0.10651113882055291</x:v>
      </x:c>
    </x:row>
    <x:row r="1652" ht="18" customHeight="1">
      <x:c r="A1652" s="13" t="n">
        <x:v>45079</x:v>
      </x:c>
      <x:c r="B1652" s="12" t="n">
        <x:v>-28.000000000000057</x:v>
      </x:c>
      <x:c r="C1652" s="12" t="n">
        <x:v>0.01433534492873864</x:v>
      </x:c>
      <x:c r="D1652" s="12" t="n">
        <x:v>-0.06708934420610636</x:v>
      </x:c>
      <x:c r="E1652" s="12" t="n">
        <x:v>-0.11816487034400414</x:v>
      </x:c>
    </x:row>
    <x:row r="1653" ht="18" customHeight="1">
      <x:c r="A1653" s="13" t="n">
        <x:v>45082</x:v>
      </x:c>
      <x:c r="B1653" s="12" t="n">
        <x:v>1.9999999999999432</x:v>
      </x:c>
      <x:c r="C1653" s="12" t="n">
        <x:v>-0.004563805178188675</x:v>
      </x:c>
      <x:c r="D1653" s="12" t="n">
        <x:v>-0.06039844470189403</x:v>
      </x:c>
      <x:c r="E1653" s="12" t="n">
        <x:v>-0.11878019939198044</x:v>
      </x:c>
    </x:row>
    <x:row r="1654" ht="18" customHeight="1">
      <x:c r="A1654" s="13" t="n">
        <x:v>45083</x:v>
      </x:c>
      <x:c r="B1654" s="12" t="n">
        <x:v>0</x:v>
      </x:c>
      <x:c r="C1654" s="12" t="n">
        <x:v>-0.009431422935137213</x:v>
      </x:c>
      <x:c r="D1654" s="12" t="n">
        <x:v>-0.0600517310997093</x:v>
      </x:c>
      <x:c r="E1654" s="12" t="n">
        <x:v>-0.12033740948439015</x:v>
      </x:c>
    </x:row>
    <x:row r="1655" ht="18" customHeight="1">
      <x:c r="A1655" s="13" t="n">
        <x:v>45084</x:v>
      </x:c>
      <x:c r="B1655" s="12" t="n">
        <x:v>-5.999999999999943</x:v>
      </x:c>
      <x:c r="C1655" s="12" t="n">
        <x:v>-0.004954557909288927</x:v>
      </x:c>
      <x:c r="D1655" s="12" t="n">
        <x:v>-0.04964859235881845</x:v>
      </x:c>
      <x:c r="E1655" s="12" t="n">
        <x:v>-0.11193028379550808</x:v>
      </x:c>
    </x:row>
    <x:row r="1656" ht="18" customHeight="1">
      <x:c r="A1656" s="13" t="n">
        <x:v>45085</x:v>
      </x:c>
      <x:c r="B1656" s="12" t="n">
        <x:v>5.999999999999943</x:v>
      </x:c>
      <x:c r="C1656" s="12" t="n">
        <x:v>0.008106959303515378</x:v>
      </x:c>
      <x:c r="D1656" s="12" t="n">
        <x:v>-0.04553550088705825</x:v>
      </x:c>
      <x:c r="E1656" s="12" t="n">
        <x:v>-0.10684092719679503</x:v>
      </x:c>
    </x:row>
    <x:row r="1657" ht="18" customHeight="1">
      <x:c r="A1657" s="13" t="n">
        <x:v>45086</x:v>
      </x:c>
      <x:c r="B1657" s="12" t="n">
        <x:v>-9.999999999999943</x:v>
      </x:c>
      <x:c r="C1657" s="12" t="n">
        <x:v>0.00431400402099796</x:v>
      </x:c>
      <x:c r="D1657" s="12" t="n">
        <x:v>-0.051789599349328974</x:v>
      </x:c>
      <x:c r="E1657" s="12" t="n">
        <x:v>-0.10683171071445974</x:v>
      </x:c>
    </x:row>
    <x:row r="1658" ht="18" customHeight="1">
      <x:c r="A1658" s="13" t="n">
        <x:v>45089</x:v>
      </x:c>
      <x:c r="B1658" s="12" t="n">
        <x:v>5</x:v>
      </x:c>
      <x:c r="C1658" s="12" t="n">
        <x:v>0.002012671983855088</x:v>
      </x:c>
      <x:c r="D1658" s="12" t="n">
        <x:v>-0.04558409931428514</x:v>
      </x:c>
      <x:c r="E1658" s="12" t="n">
        <x:v>-0.10557075655743052</x:v>
      </x:c>
    </x:row>
    <x:row r="1659" ht="18" customHeight="1">
      <x:c r="A1659" s="13" t="n">
        <x:v>45090</x:v>
      </x:c>
      <x:c r="B1659" s="12" t="n">
        <x:v>-16</x:v>
      </x:c>
      <x:c r="C1659" s="12" t="n">
        <x:v>0.005311751374952578</x:v>
      </x:c>
      <x:c r="D1659" s="12" t="n">
        <x:v>-0.05169520925078345</x:v>
      </x:c>
      <x:c r="E1659" s="12" t="n">
        <x:v>-0.10807768030007432</x:v>
      </x:c>
    </x:row>
    <x:row r="1660" ht="18" customHeight="1">
      <x:c r="A1660" s="13" t="n">
        <x:v>45091</x:v>
      </x:c>
      <x:c r="B1660" s="12" t="n">
        <x:v>0</x:v>
      </x:c>
      <x:c r="C1660" s="12" t="n">
        <x:v>-0.00022841448014214406</x:v>
      </x:c>
      <x:c r="D1660" s="12" t="n">
        <x:v>0.010518252676642607</x:v>
      </x:c>
      <x:c r="E1660" s="12" t="n">
        <x:v>-0.11011155926109784</x:v>
      </x:c>
    </x:row>
    <x:row r="1661" ht="18" customHeight="1">
      <x:c r="A1661" s="13" t="n">
        <x:v>45092</x:v>
      </x:c>
      <x:c r="B1661" s="12" t="n">
        <x:v>3</x:v>
      </x:c>
      <x:c r="C1661" s="12" t="n">
        <x:v>0.01578427014000531</x:v>
      </x:c>
      <x:c r="D1661" s="12" t="n">
        <x:v>-0.05253342767598115</x:v>
      </x:c>
      <x:c r="E1661" s="12" t="n">
        <x:v>-0.10867075122376055</x:v>
      </x:c>
    </x:row>
    <x:row r="1662" ht="18" customHeight="1">
      <x:c r="A1662" s="13" t="n">
        <x:v>45093</x:v>
      </x:c>
      <x:c r="B1662" s="12" t="n">
        <x:v>-5.999999999999943</x:v>
      </x:c>
      <x:c r="C1662" s="12" t="n">
        <x:v>0.009596275511414851</x:v>
      </x:c>
      <x:c r="D1662" s="12" t="n">
        <x:v>-0.0863057432543404</x:v>
      </x:c>
      <x:c r="E1662" s="12" t="n">
        <x:v>-0.1104275807261939</x:v>
      </x:c>
    </x:row>
    <x:row r="1663" ht="18" customHeight="1">
      <x:c r="A1663" s="13" t="n">
        <x:v>45096</x:v>
      </x:c>
      <x:c r="B1663" s="12" t="n">
        <x:v>0</x:v>
      </x:c>
      <x:c r="C1663" s="12" t="n">
        <x:v>-0.0082194373084361</x:v>
      </x:c>
      <x:c r="D1663" s="12" t="n">
        <x:v>-0.10827163470963126</x:v>
      </x:c>
      <x:c r="E1663" s="12" t="n">
        <x:v>-0.10982493872323962</x:v>
      </x:c>
    </x:row>
    <x:row r="1664" ht="18" customHeight="1">
      <x:c r="A1664" s="13" t="n">
        <x:v>45097</x:v>
      </x:c>
      <x:c r="B1664" s="12" t="n">
        <x:v>6.999999999999943</x:v>
      </x:c>
      <x:c r="C1664" s="12" t="n">
        <x:v>-0.001698301200985408</x:v>
      </x:c>
      <x:c r="D1664" s="12" t="n">
        <x:v>-0.17520590485798052</x:v>
      </x:c>
      <x:c r="E1664" s="12" t="n">
        <x:v>-0.11206724824156239</x:v>
      </x:c>
    </x:row>
    <x:row r="1665" ht="18" customHeight="1">
      <x:c r="A1665" s="13" t="n">
        <x:v>45098</x:v>
      </x:c>
      <x:c r="B1665" s="12" t="n">
        <x:v>10</x:v>
      </x:c>
      <x:c r="C1665" s="12" t="n">
        <x:v>-0.01546084028279967</x:v>
      </x:c>
      <x:c r="D1665" s="12" t="n">
        <x:v>-0.24127203393814398</x:v>
      </x:c>
      <x:c r="E1665" s="12" t="n">
        <x:v>-0.11648186775448585</x:v>
      </x:c>
    </x:row>
    <x:row r="1666" ht="18" customHeight="1">
      <x:c r="A1666" s="13" t="n">
        <x:v>45103</x:v>
      </x:c>
      <x:c r="B1666" s="12" t="n">
        <x:v>4.999999999999943</x:v>
      </x:c>
      <x:c r="C1666" s="12" t="n">
        <x:v>-0.014161827101988902</x:v>
      </x:c>
      <x:c r="D1666" s="12" t="n">
        <x:v>-0.25401091817381055</x:v>
      </x:c>
      <x:c r="E1666" s="12" t="n">
        <x:v>-0.11595098639347273</x:v>
      </x:c>
    </x:row>
    <x:row r="1667" ht="18" customHeight="1">
      <x:c r="A1667" s="13" t="n">
        <x:v>45104</x:v>
      </x:c>
      <x:c r="B1667" s="12" t="n">
        <x:v>-15</x:v>
      </x:c>
      <x:c r="C1667" s="12" t="n">
        <x:v>0.009336865994181069</x:v>
      </x:c>
      <x:c r="D1667" s="12" t="n">
        <x:v>-0.22848084464159452</x:v>
      </x:c>
      <x:c r="E1667" s="12" t="n">
        <x:v>-0.1252342553319397</x:v>
      </x:c>
    </x:row>
    <x:row r="1668" ht="18" customHeight="1">
      <x:c r="A1668" s="13" t="n">
        <x:v>45105</x:v>
      </x:c>
      <x:c r="B1668" s="12" t="n">
        <x:v>-3.000000000000057</x:v>
      </x:c>
      <x:c r="C1668" s="12" t="n">
        <x:v>-0.0012060006936434353</x:v>
      </x:c>
      <x:c r="D1668" s="12" t="n">
        <x:v>-0.25267519569857916</x:v>
      </x:c>
      <x:c r="E1668" s="12" t="n">
        <x:v>-0.1142089011630979</x:v>
      </x:c>
    </x:row>
    <x:row r="1669" ht="18" customHeight="1">
      <x:c r="A1669" s="13" t="n">
        <x:v>45106</x:v>
      </x:c>
      <x:c r="B1669" s="12" t="n">
        <x:v>-13</x:v>
      </x:c>
      <x:c r="C1669" s="12" t="n">
        <x:v>-0.004947415895498865</x:v>
      </x:c>
      <x:c r="D1669" s="12" t="n">
        <x:v>-0.2748172695750137</x:v>
      </x:c>
      <x:c r="E1669" s="12" t="n">
        <x:v>-0.11306573936263124</x:v>
      </x:c>
    </x:row>
    <x:row r="1670" ht="18" customHeight="1">
      <x:c r="A1670" s="13" t="n">
        <x:v>45107</x:v>
      </x:c>
      <x:c r="B1670" s="12" t="n">
        <x:v>-8.999999999999943</x:v>
      </x:c>
      <x:c r="C1670" s="12" t="n">
        <x:v>0.005377702553482227</x:v>
      </x:c>
      <x:c r="D1670" s="12" t="n">
        <x:v>-0.28042169046254745</x:v>
      </x:c>
      <x:c r="E1670" s="12" t="n">
        <x:v>-0.11160177696095772</x:v>
      </x:c>
    </x:row>
    <x:row r="1671" ht="18" customHeight="1">
      <x:c r="A1671" s="13" t="n">
        <x:v>45110</x:v>
      </x:c>
      <x:c r="B1671" s="12" t="n">
        <x:v>-6</x:v>
      </x:c>
      <x:c r="C1671" s="12" t="n">
        <x:v>0.013039182657447542</x:v>
      </x:c>
      <x:c r="D1671" s="12" t="n">
        <x:v>-0.3025162977484608</x:v>
      </x:c>
      <x:c r="E1671" s="12" t="n">
        <x:v>-0.10842895614743135</x:v>
      </x:c>
    </x:row>
    <x:row r="1672" ht="18" customHeight="1">
      <x:c r="A1672" s="13" t="n">
        <x:v>45111</x:v>
      </x:c>
      <x:c r="B1672" s="12" t="n">
        <x:v>0</x:v>
      </x:c>
      <x:c r="C1672" s="12" t="n">
        <x:v>0.0015737380831380055</x:v>
      </x:c>
      <x:c r="D1672" s="12" t="n">
        <x:v>-0.30109707197898894</x:v>
      </x:c>
      <x:c r="E1672" s="12" t="n">
        <x:v>-0.10809159458290392</x:v>
      </x:c>
    </x:row>
    <x:row r="1673" ht="18" customHeight="1">
      <x:c r="A1673" s="13" t="n">
        <x:v>45112</x:v>
      </x:c>
      <x:c r="B1673" s="12" t="n">
        <x:v>2</x:v>
      </x:c>
      <x:c r="C1673" s="12" t="n">
        <x:v>-0.007777743906701456</x:v>
      </x:c>
      <x:c r="D1673" s="12" t="n">
        <x:v>-0.30562871630741467</x:v>
      </x:c>
      <x:c r="E1673" s="12" t="n">
        <x:v>-0.10870681462841564</x:v>
      </x:c>
    </x:row>
    <x:row r="1674" ht="18" customHeight="1">
      <x:c r="A1674" s="13" t="n">
        <x:v>45113</x:v>
      </x:c>
      <x:c r="B1674" s="12" t="n">
        <x:v>8.999999999999943</x:v>
      </x:c>
      <x:c r="C1674" s="12" t="n">
        <x:v>-0.0067562980144157386</x:v>
      </x:c>
      <x:c r="D1674" s="12" t="n">
        <x:v>-0.30554194827471826</x:v>
      </x:c>
      <x:c r="E1674" s="12" t="n">
        <x:v>-0.11079190730192359</x:v>
      </x:c>
    </x:row>
    <x:row r="1675" ht="18" customHeight="1">
      <x:c r="A1675" s="13" t="n">
        <x:v>45114</x:v>
      </x:c>
      <x:c r="B1675" s="12" t="n">
        <x:v>-1.9999999999999432</x:v>
      </x:c>
      <x:c r="C1675" s="12" t="n">
        <x:v>-0.004448335801926922</x:v>
      </x:c>
      <x:c r="D1675" s="12" t="n">
        <x:v>-0.29911964699881005</x:v>
      </x:c>
      <x:c r="E1675" s="12" t="n">
        <x:v>-0.10066956552874055</x:v>
      </x:c>
    </x:row>
    <x:row r="1676" ht="18" customHeight="1">
      <x:c r="A1676" s="13" t="n">
        <x:v>45117</x:v>
      </x:c>
      <x:c r="B1676" s="12" t="n">
        <x:v>5</x:v>
      </x:c>
      <x:c r="C1676" s="12" t="n">
        <x:v>0.004857385712863811</x:v>
      </x:c>
      <x:c r="D1676" s="12" t="n">
        <x:v>-0.2956538976364538</x:v>
      </x:c>
      <x:c r="E1676" s="12" t="n">
        <x:v>-0.10410968026169419</x:v>
      </x:c>
    </x:row>
    <x:row r="1677" ht="18" customHeight="1">
      <x:c r="A1677" s="13" t="n">
        <x:v>45118</x:v>
      </x:c>
      <x:c r="B1677" s="12" t="n">
        <x:v>-8</x:v>
      </x:c>
      <x:c r="C1677" s="12" t="n">
        <x:v>0.006523178411029411</x:v>
      </x:c>
      <x:c r="D1677" s="12" t="n">
        <x:v>-0.3294166157858665</x:v>
      </x:c>
      <x:c r="E1677" s="12" t="n">
        <x:v>-0.09847555731978702</x:v>
      </x:c>
    </x:row>
    <x:row r="1678" ht="18" customHeight="1">
      <x:c r="A1678" s="13" t="n">
        <x:v>45119</x:v>
      </x:c>
      <x:c r="B1678" s="12" t="n">
        <x:v>-10</x:v>
      </x:c>
      <x:c r="C1678" s="12" t="n">
        <x:v>-0.006754715182223218</x:v>
      </x:c>
      <x:c r="D1678" s="12" t="n">
        <x:v>-0.31503490998902833</x:v>
      </x:c>
      <x:c r="E1678" s="12" t="n">
        <x:v>-0.09393295334121504</x:v>
      </x:c>
    </x:row>
    <x:row r="1679" ht="18" customHeight="1">
      <x:c r="A1679" s="13" t="n">
        <x:v>45120</x:v>
      </x:c>
      <x:c r="B1679" s="12" t="n">
        <x:v>2</x:v>
      </x:c>
      <x:c r="C1679" s="12" t="n">
        <x:v>0.014205094390380651</x:v>
      </x:c>
      <x:c r="D1679" s="12" t="n">
        <x:v>-0.30822918493239176</x:v>
      </x:c>
      <x:c r="E1679" s="12" t="n">
        <x:v>-0.0986296183934823</x:v>
      </x:c>
    </x:row>
    <x:row r="1680" ht="18" customHeight="1">
      <x:c r="A1680" s="13" t="n">
        <x:v>45121</x:v>
      </x:c>
      <x:c r="B1680" s="12" t="n">
        <x:v>-7</x:v>
      </x:c>
      <x:c r="C1680" s="12" t="n">
        <x:v>0.000174363006059742</x:v>
      </x:c>
      <x:c r="D1680" s="12" t="n">
        <x:v>-0.3097769973403474</x:v>
      </x:c>
      <x:c r="E1680" s="12" t="n">
        <x:v>-0.08193949889264632</x:v>
      </x:c>
    </x:row>
    <x:row r="1681" ht="18" customHeight="1">
      <x:c r="A1681" s="13" t="n">
        <x:v>45124</x:v>
      </x:c>
      <x:c r="B1681" s="12" t="n">
        <x:v>7</x:v>
      </x:c>
      <x:c r="C1681" s="12" t="n">
        <x:v>-0.008222209278820985</x:v>
      </x:c>
      <x:c r="D1681" s="12" t="n">
        <x:v>-0.3197049090493094</x:v>
      </x:c>
      <x:c r="E1681" s="12" t="n">
        <x:v>-0.09868600862872269</x:v>
      </x:c>
    </x:row>
    <x:row r="1682" ht="18" customHeight="1">
      <x:c r="A1682" s="13" t="n">
        <x:v>45125</x:v>
      </x:c>
      <x:c r="B1682" s="12" t="n">
        <x:v>-7</x:v>
      </x:c>
      <x:c r="C1682" s="12" t="n">
        <x:v>-0.0031689793553156373</x:v>
      </x:c>
      <x:c r="D1682" s="12" t="n">
        <x:v>-0.33759845415513073</x:v>
      </x:c>
      <x:c r="E1682" s="12" t="n">
        <x:v>-0.09741418810892892</x:v>
      </x:c>
    </x:row>
    <x:row r="1683" ht="18" customHeight="1">
      <x:c r="A1683" s="13" t="n">
        <x:v>45126</x:v>
      </x:c>
      <x:c r="B1683" s="12" t="n">
        <x:v>-1</x:v>
      </x:c>
      <x:c r="C1683" s="12" t="n">
        <x:v>-0.00105712513155086</x:v>
      </x:c>
      <x:c r="D1683" s="12" t="n">
        <x:v>-0.3332246118385258</x:v>
      </x:c>
      <x:c r="E1683" s="12" t="n">
        <x:v>-0.09797727037666061</x:v>
      </x:c>
    </x:row>
    <x:row r="1684" ht="18" customHeight="1">
      <x:c r="A1684" s="13" t="n">
        <x:v>45127</x:v>
      </x:c>
      <x:c r="B1684" s="12" t="n">
        <x:v>1</x:v>
      </x:c>
      <x:c r="C1684" s="12" t="n">
        <x:v>-0.007081007991962629</x:v>
      </x:c>
      <x:c r="D1684" s="12" t="n">
        <x:v>-0.3417912860116703</x:v>
      </x:c>
      <x:c r="E1684" s="12" t="n">
        <x:v>-0.0981842339709078</x:v>
      </x:c>
    </x:row>
    <x:row r="1685" ht="18" customHeight="1">
      <x:c r="A1685" s="13" t="n">
        <x:v>45128</x:v>
      </x:c>
      <x:c r="B1685" s="12" t="n">
        <x:v>-1</x:v>
      </x:c>
      <x:c r="C1685" s="12" t="n">
        <x:v>-0.0004668303229831912</x:v>
      </x:c>
      <x:c r="D1685" s="12" t="n">
        <x:v>-0.34001776158843033</x:v>
      </x:c>
      <x:c r="E1685" s="12" t="n">
        <x:v>-0.10831543105928453</x:v>
      </x:c>
    </x:row>
    <x:row r="1686" ht="18" customHeight="1">
      <x:c r="A1686" s="13" t="n">
        <x:v>45131</x:v>
      </x:c>
      <x:c r="B1686" s="12" t="n">
        <x:v>-7</x:v>
      </x:c>
      <x:c r="C1686" s="12" t="n">
        <x:v>-0.004376226561401382</x:v>
      </x:c>
      <x:c r="D1686" s="12" t="n">
        <x:v>-0.32796901122459315</x:v>
      </x:c>
      <x:c r="E1686" s="12" t="n">
        <x:v>-0.10351085758083386</x:v>
      </x:c>
    </x:row>
    <x:row r="1687" ht="18" customHeight="1">
      <x:c r="A1687" s="13" t="n">
        <x:v>45132</x:v>
      </x:c>
      <x:c r="B1687" s="12" t="n">
        <x:v>2</x:v>
      </x:c>
      <x:c r="C1687" s="12" t="n">
        <x:v>0.028470708740506268</x:v>
      </x:c>
      <x:c r="D1687" s="12" t="n">
        <x:v>-0.2763120816451882</x:v>
      </x:c>
      <x:c r="E1687" s="12" t="n">
        <x:v>-0.10061001996206066</x:v>
      </x:c>
    </x:row>
    <x:row r="1688" ht="18" customHeight="1">
      <x:c r="A1688" s="13" t="n">
        <x:v>45133</x:v>
      </x:c>
      <x:c r="B1688" s="12" t="n">
        <x:v>7</x:v>
      </x:c>
      <x:c r="C1688" s="12" t="n">
        <x:v>-0.002071687600697664</x:v>
      </x:c>
      <x:c r="D1688" s="12" t="n">
        <x:v>-0.3166613797321692</x:v>
      </x:c>
      <x:c r="E1688" s="12" t="n">
        <x:v>-0.09652218690756256</x:v>
      </x:c>
    </x:row>
    <x:row r="1689" ht="18" customHeight="1">
      <x:c r="A1689" s="13" t="n">
        <x:v>45134</x:v>
      </x:c>
      <x:c r="B1689" s="12" t="n">
        <x:v>-13</x:v>
      </x:c>
      <x:c r="C1689" s="12" t="n">
        <x:v>-0.001195232744363619</x:v>
      </x:c>
      <x:c r="D1689" s="12" t="n">
        <x:v>-0.3051883698049642</x:v>
      </x:c>
      <x:c r="E1689" s="12" t="n">
        <x:v>-0.09623695914902618</x:v>
      </x:c>
    </x:row>
    <x:row r="1690" ht="18" customHeight="1">
      <x:c r="A1690" s="13" t="n">
        <x:v>45135</x:v>
      </x:c>
      <x:c r="B1690" s="12" t="n">
        <x:v>4</x:v>
      </x:c>
      <x:c r="C1690" s="12" t="n">
        <x:v>0.022899251426328447</x:v>
      </x:c>
      <x:c r="D1690" s="12" t="n">
        <x:v>-0.24993409608193318</x:v>
      </x:c>
      <x:c r="E1690" s="12" t="n">
        <x:v>-0.09170743606153342</x:v>
      </x:c>
    </x:row>
    <x:row r="1691" ht="18" customHeight="1">
      <x:c r="A1691" s="13" t="n">
        <x:v>45138</x:v>
      </x:c>
      <x:c r="B1691" s="12" t="n">
        <x:v>-3</x:v>
      </x:c>
      <x:c r="C1691" s="12" t="n">
        <x:v>0.005468102719712426</x:v>
      </x:c>
      <x:c r="D1691" s="12" t="n">
        <x:v>-0.2503474984242022</x:v>
      </x:c>
      <x:c r="E1691" s="12" t="n">
        <x:v>-0.0923054878725642</x:v>
      </x:c>
    </x:row>
    <x:row r="1692" ht="18" customHeight="1">
      <x:c r="A1692" s="13" t="n">
        <x:v>45139</x:v>
      </x:c>
      <x:c r="B1692" s="12" t="n">
        <x:v>3</x:v>
      </x:c>
      <x:c r="C1692" s="12" t="n">
        <x:v>-0.004150727436979688</x:v>
      </x:c>
      <x:c r="D1692" s="12" t="n">
        <x:v>-0.2389635692187882</x:v>
      </x:c>
      <x:c r="E1692" s="12" t="n">
        <x:v>-0.10166148539155283</x:v>
      </x:c>
    </x:row>
    <x:row r="1693" ht="18" customHeight="1">
      <x:c r="A1693" s="13" t="n">
        <x:v>45140</x:v>
      </x:c>
      <x:c r="B1693" s="12" t="n">
        <x:v>14</x:v>
      </x:c>
      <x:c r="C1693" s="12" t="n">
        <x:v>-0.00705484021662513</x:v>
      </x:c>
      <x:c r="D1693" s="12" t="n">
        <x:v>-0.2657612407778742</x:v>
      </x:c>
      <x:c r="E1693" s="12" t="n">
        <x:v>-0.10012893793356406</x:v>
      </x:c>
    </x:row>
    <x:row r="1694" ht="18" customHeight="1">
      <x:c r="A1694" s="13" t="n">
        <x:v>45141</x:v>
      </x:c>
      <x:c r="B1694" s="12" t="n">
        <x:v>2</x:v>
      </x:c>
      <x:c r="C1694" s="12" t="n">
        <x:v>0.008799914550596713</x:v>
      </x:c>
      <x:c r="D1694" s="12" t="n">
        <x:v>-0.2684503921257632</x:v>
      </x:c>
      <x:c r="E1694" s="12" t="n">
        <x:v>-0.1022159678548634</x:v>
      </x:c>
    </x:row>
    <x:row r="1695" ht="18" customHeight="1">
      <x:c r="A1695" s="13" t="n">
        <x:v>45142</x:v>
      </x:c>
      <x:c r="B1695" s="12" t="n">
        <x:v>3</x:v>
      </x:c>
      <x:c r="C1695" s="12" t="n">
        <x:v>0.0038864113172395994</x:v>
      </x:c>
      <x:c r="D1695" s="12" t="n">
        <x:v>-0.28671719079101937</x:v>
      </x:c>
      <x:c r="E1695" s="12" t="n">
        <x:v>-0.09969843248740247</x:v>
      </x:c>
    </x:row>
    <x:row r="1696" ht="18" customHeight="1">
      <x:c r="A1696" s="13" t="n">
        <x:v>45145</x:v>
      </x:c>
      <x:c r="B1696" s="12" t="n">
        <x:v>-4</x:v>
      </x:c>
      <x:c r="C1696" s="12" t="n">
        <x:v>-0.00759637076150556</x:v>
      </x:c>
      <x:c r="D1696" s="12" t="n">
        <x:v>-0.27413960528058134</x:v>
      </x:c>
      <x:c r="E1696" s="12" t="n">
        <x:v>-0.09525943160275398</x:v>
      </x:c>
    </x:row>
    <x:row r="1697" ht="18" customHeight="1">
      <x:c r="A1697" s="13" t="n">
        <x:v>45146</x:v>
      </x:c>
      <x:c r="B1697" s="12" t="n">
        <x:v>3</x:v>
      </x:c>
      <x:c r="C1697" s="12" t="n">
        <x:v>-0.002615070492593251</x:v>
      </x:c>
      <x:c r="D1697" s="12" t="n">
        <x:v>-0.27138335067365055</x:v>
      </x:c>
      <x:c r="E1697" s="12" t="n">
        <x:v>-0.09545341164299809</x:v>
      </x:c>
    </x:row>
    <x:row r="1698" ht="18" customHeight="1">
      <x:c r="A1698" s="13" t="n">
        <x:v>45147</x:v>
      </x:c>
      <x:c r="B1698" s="12" t="n">
        <x:v>-6</x:v>
      </x:c>
      <x:c r="C1698" s="12" t="n">
        <x:v>-0.0030619237945844866</x:v>
      </x:c>
      <x:c r="D1698" s="12" t="n">
        <x:v>-0.25978668432027985</x:v>
      </x:c>
      <x:c r="E1698" s="12" t="n">
        <x:v>-0.09501617223656793</x:v>
      </x:c>
    </x:row>
    <x:row r="1699" ht="18" customHeight="1">
      <x:c r="A1699" s="13" t="n">
        <x:v>45148</x:v>
      </x:c>
      <x:c r="B1699" s="12" t="n">
        <x:v>-11</x:v>
      </x:c>
      <x:c r="C1699" s="12" t="n">
        <x:v>0.0020524017821905416</x:v>
      </x:c>
      <x:c r="D1699" s="12" t="n">
        <x:v>-0.26045544507366847</x:v>
      </x:c>
      <x:c r="E1699" s="12" t="n">
        <x:v>-0.09947364895661312</x:v>
      </x:c>
    </x:row>
    <x:row r="1700" ht="18" customHeight="1">
      <x:c r="A1700" s="13" t="n">
        <x:v>45149</x:v>
      </x:c>
      <x:c r="B1700" s="12" t="n">
        <x:v>0</x:v>
      </x:c>
      <x:c r="C1700" s="12" t="n">
        <x:v>-0.023274115288622166</x:v>
      </x:c>
      <x:c r="D1700" s="12" t="n">
        <x:v>-0.2708781675044723</x:v>
      </x:c>
      <x:c r="E1700" s="12" t="n">
        <x:v>-0.0986239912228403</x:v>
      </x:c>
    </x:row>
    <x:row r="1701" ht="18" customHeight="1">
      <x:c r="A1701" s="13" t="n">
        <x:v>45152</x:v>
      </x:c>
      <x:c r="B1701" s="12" t="n">
        <x:v>-4</x:v>
      </x:c>
      <x:c r="C1701" s="12" t="n">
        <x:v>-0.007324868507294283</x:v>
      </x:c>
      <x:c r="D1701" s="12" t="n">
        <x:v>-0.28239271880674915</x:v>
      </x:c>
      <x:c r="E1701" s="12" t="n">
        <x:v>-0.09757694563854342</x:v>
      </x:c>
    </x:row>
    <x:row r="1702" ht="18" customHeight="1">
      <x:c r="A1702" s="13" t="n">
        <x:v>45153</x:v>
      </x:c>
      <x:c r="B1702" s="12" t="n">
        <x:v>6</x:v>
      </x:c>
      <x:c r="C1702" s="12" t="n">
        <x:v>-0.002433099753563938</x:v>
      </x:c>
      <x:c r="D1702" s="12" t="n">
        <x:v>-0.2804813045621929</x:v>
      </x:c>
      <x:c r="E1702" s="12" t="n">
        <x:v>-0.10864501640688724</x:v>
      </x:c>
    </x:row>
    <x:row r="1703" ht="18" customHeight="1">
      <x:c r="A1703" s="13" t="n">
        <x:v>45154</x:v>
      </x:c>
      <x:c r="B1703" s="12" t="n">
        <x:v>-4</x:v>
      </x:c>
      <x:c r="C1703" s="12" t="n">
        <x:v>-0.007358775583763774</x:v>
      </x:c>
      <x:c r="D1703" s="12" t="n">
        <x:v>-0.2780469696975096</x:v>
      </x:c>
      <x:c r="E1703" s="12" t="n">
        <x:v>-0.1071856505958549</x:v>
      </x:c>
    </x:row>
    <x:row r="1704" ht="18" customHeight="1">
      <x:c r="A1704" s="13" t="n">
        <x:v>45155</x:v>
      </x:c>
      <x:c r="B1704" s="12" t="n">
        <x:v>14</x:v>
      </x:c>
      <x:c r="C1704" s="12" t="n">
        <x:v>0.003338027585623975</x:v>
      </x:c>
      <x:c r="D1704" s="12" t="n">
        <x:v>-0.2561781857742274</x:v>
      </x:c>
      <x:c r="E1704" s="12" t="n">
        <x:v>-0.11958189734594668</x:v>
      </x:c>
    </x:row>
    <x:row r="1705" ht="18" customHeight="1">
      <x:c r="A1705" s="13" t="n">
        <x:v>45156</x:v>
      </x:c>
      <x:c r="B1705" s="12" t="n">
        <x:v>6.999999999999943</x:v>
      </x:c>
      <x:c r="C1705" s="12" t="n">
        <x:v>-0.012369521622880495</x:v>
      </x:c>
      <x:c r="D1705" s="12" t="n">
        <x:v>-0.27658234595814374</x:v>
      </x:c>
      <x:c r="E1705" s="12" t="n">
        <x:v>-0.12499224045296577</x:v>
      </x:c>
    </x:row>
    <x:row r="1706" ht="18" customHeight="1">
      <x:c r="A1706" s="13" t="n">
        <x:v>45159</x:v>
      </x:c>
      <x:c r="B1706" s="12" t="n">
        <x:v>-4.999999999999943</x:v>
      </x:c>
      <x:c r="C1706" s="12" t="n">
        <x:v>-0.014493731827957879</x:v>
      </x:c>
      <x:c r="D1706" s="12" t="n">
        <x:v>-0.2511205187140935</x:v>
      </x:c>
      <x:c r="E1706" s="12" t="n">
        <x:v>-0.12252927650594388</x:v>
      </x:c>
    </x:row>
    <x:row r="1707" ht="18" customHeight="1">
      <x:c r="A1707" s="13" t="n">
        <x:v>45160</x:v>
      </x:c>
      <x:c r="B1707" s="12" t="n">
        <x:v>-4</x:v>
      </x:c>
      <x:c r="C1707" s="12" t="n">
        <x:v>0.007658406656251673</x:v>
      </x:c>
      <x:c r="D1707" s="12" t="n">
        <x:v>-0.23901995284264949</x:v>
      </x:c>
      <x:c r="E1707" s="12" t="n">
        <x:v>-0.1186771410626016</x:v>
      </x:c>
    </x:row>
    <x:row r="1708" ht="18" customHeight="1">
      <x:c r="A1708" s="13" t="n">
        <x:v>45161</x:v>
      </x:c>
      <x:c r="B1708" s="12" t="n">
        <x:v>-1</x:v>
      </x:c>
      <x:c r="C1708" s="12" t="n">
        <x:v>-0.016524681432167936</x:v>
      </x:c>
      <x:c r="D1708" s="12" t="n">
        <x:v>-0.21300031733518193</x:v>
      </x:c>
      <x:c r="E1708" s="12" t="n">
        <x:v>-0.11776490192279845</x:v>
      </x:c>
    </x:row>
    <x:row r="1709" ht="18" customHeight="1">
      <x:c r="A1709" s="13" t="n">
        <x:v>45162</x:v>
      </x:c>
      <x:c r="B1709" s="12" t="n">
        <x:v>-1</x:v>
      </x:c>
      <x:c r="C1709" s="12" t="n">
        <x:v>0.007222449662964919</x:v>
      </x:c>
      <x:c r="D1709" s="12" t="n">
        <x:v>-0.21687032261311337</x:v>
      </x:c>
      <x:c r="E1709" s="12" t="n">
        <x:v>-0.11839283878547512</x:v>
      </x:c>
    </x:row>
    <x:row r="1710" ht="18" customHeight="1">
      <x:c r="A1710" s="13" t="n">
        <x:v>45163</x:v>
      </x:c>
      <x:c r="B1710" s="12" t="n">
        <x:v>-1</x:v>
      </x:c>
      <x:c r="C1710" s="12" t="n">
        <x:v>-0.0038419002932303134</x:v>
      </x:c>
      <x:c r="D1710" s="12" t="n">
        <x:v>-0.2166308204667664</x:v>
      </x:c>
      <x:c r="E1710" s="12" t="n">
        <x:v>-0.12396737763494223</x:v>
      </x:c>
    </x:row>
    <x:row r="1711" ht="18" customHeight="1">
      <x:c r="A1711" s="13" t="n">
        <x:v>45166</x:v>
      </x:c>
      <x:c r="B1711" s="12" t="n">
        <x:v>-4</x:v>
      </x:c>
      <x:c r="C1711" s="12" t="n">
        <x:v>0.011650904623430016</x:v>
      </x:c>
      <x:c r="D1711" s="12" t="n">
        <x:v>-0.21976745765679093</x:v>
      </x:c>
      <x:c r="E1711" s="12" t="n">
        <x:v>-0.11758142911424734</x:v>
      </x:c>
    </x:row>
    <x:row r="1712" ht="18" customHeight="1">
      <x:c r="A1712" s="13" t="n">
        <x:v>45167</x:v>
      </x:c>
      <x:c r="B1712" s="12" t="n">
        <x:v>1</x:v>
      </x:c>
      <x:c r="C1712" s="12" t="n">
        <x:v>0.009940068925598318</x:v>
      </x:c>
      <x:c r="D1712" s="12" t="n">
        <x:v>-0.21478718754529297</x:v>
      </x:c>
      <x:c r="E1712" s="12" t="n">
        <x:v>-0.11691479630524956</x:v>
      </x:c>
    </x:row>
    <x:row r="1713" ht="18" customHeight="1">
      <x:c r="A1713" s="13" t="n">
        <x:v>45168</x:v>
      </x:c>
      <x:c r="B1713" s="12" t="n">
        <x:v>-7</x:v>
      </x:c>
      <x:c r="C1713" s="12" t="n">
        <x:v>-0.0004214489662355312</x:v>
      </x:c>
      <x:c r="D1713" s="12" t="n">
        <x:v>-0.19112576332545114</x:v>
      </x:c>
      <x:c r="E1713" s="12" t="n">
        <x:v>-0.11685674219797772</x:v>
      </x:c>
    </x:row>
    <x:row r="1714" ht="18" customHeight="1">
      <x:c r="A1714" s="13" t="n">
        <x:v>45169</x:v>
      </x:c>
      <x:c r="B1714" s="12" t="n">
        <x:v>5</x:v>
      </x:c>
      <x:c r="C1714" s="12" t="n">
        <x:v>-0.006153735225727366</x:v>
      </x:c>
      <x:c r="D1714" s="12" t="n">
        <x:v>-0.19724603571482938</x:v>
      </x:c>
      <x:c r="E1714" s="12" t="n">
        <x:v>-0.11775644286360774</x:v>
      </x:c>
    </x:row>
    <x:row r="1715" ht="18" customHeight="1">
      <x:c r="A1715" s="13" t="n">
        <x:v>45170</x:v>
      </x:c>
      <x:c r="B1715" s="12" t="n">
        <x:v>-4</x:v>
      </x:c>
      <x:c r="C1715" s="12" t="n">
        <x:v>0.006940410634633973</x:v>
      </x:c>
      <x:c r="D1715" s="12" t="n">
        <x:v>-0.1278157225559076</x:v>
      </x:c>
      <x:c r="E1715" s="12" t="n">
        <x:v>-0.12195667591635381</x:v>
      </x:c>
    </x:row>
    <x:row r="1716" ht="18" customHeight="1">
      <x:c r="A1716" s="13" t="n">
        <x:v>45173</x:v>
      </x:c>
      <x:c r="B1716" s="12" t="n">
        <x:v>0</x:v>
      </x:c>
      <x:c r="C1716" s="12" t="n">
        <x:v>0.015041427333904046</x:v>
      </x:c>
      <x:c r="D1716" s="12" t="n">
        <x:v>-0.11807984135553062</x:v>
      </x:c>
      <x:c r="E1716" s="12" t="n">
        <x:v>-0.12019336181946148</x:v>
      </x:c>
    </x:row>
    <x:row r="1717" ht="18" customHeight="1">
      <x:c r="A1717" s="13" t="n">
        <x:v>45174</x:v>
      </x:c>
      <x:c r="B1717" s="12" t="n">
        <x:v>2</x:v>
      </x:c>
      <x:c r="C1717" s="12" t="n">
        <x:v>-0.0074673173369024385</x:v>
      </x:c>
      <x:c r="D1717" s="12" t="n">
        <x:v>-0.12160130276442944</x:v>
      </x:c>
      <x:c r="E1717" s="12" t="n">
        <x:v>-0.11888405575892867</x:v>
      </x:c>
    </x:row>
    <x:row r="1718" ht="18" customHeight="1">
      <x:c r="A1718" s="13" t="n">
        <x:v>45175</x:v>
      </x:c>
      <x:c r="B1718" s="12" t="n">
        <x:v>3</x:v>
      </x:c>
      <x:c r="C1718" s="12" t="n">
        <x:v>-0.0021720984831716575</x:v>
      </x:c>
      <x:c r="D1718" s="12" t="n">
        <x:v>-0.1309092093752369</x:v>
      </x:c>
      <x:c r="E1718" s="12" t="n">
        <x:v>-0.12472189950144544</x:v>
      </x:c>
    </x:row>
    <x:row r="1719" ht="18" customHeight="1">
      <x:c r="A1719" s="13" t="n">
        <x:v>45176</x:v>
      </x:c>
      <x:c r="B1719" s="12" t="n">
        <x:v>4</x:v>
      </x:c>
      <x:c r="C1719" s="12" t="n">
        <x:v>-0.014148172878386153</x:v>
      </x:c>
      <x:c r="D1719" s="12" t="n">
        <x:v>-0.16207769680155473</x:v>
      </x:c>
      <x:c r="E1719" s="12" t="n">
        <x:v>-0.12548423126330305</x:v>
      </x:c>
    </x:row>
    <x:row r="1720" ht="18" customHeight="1">
      <x:c r="A1720" s="13" t="n">
        <x:v>45177</x:v>
      </x:c>
      <x:c r="B1720" s="12" t="n">
        <x:v>-5</x:v>
      </x:c>
      <x:c r="C1720" s="12" t="n">
        <x:v>-0.004929577257583552</x:v>
      </x:c>
      <x:c r="D1720" s="12" t="n">
        <x:v>-0.14815037139072318</x:v>
      </x:c>
      <x:c r="E1720" s="12" t="n">
        <x:v>-0.1302507301524113</x:v>
      </x:c>
    </x:row>
    <x:row r="1721" ht="18" customHeight="1">
      <x:c r="A1721" s="13" t="n">
        <x:v>45180</x:v>
      </x:c>
      <x:c r="B1721" s="12" t="n">
        <x:v>-3</x:v>
      </x:c>
      <x:c r="C1721" s="12" t="n">
        <x:v>0.007337812753509666</x:v>
      </x:c>
      <x:c r="D1721" s="12" t="n">
        <x:v>-0.15617742489960232</x:v>
      </x:c>
      <x:c r="E1721" s="12" t="n">
        <x:v>-0.13082566026423897</x:v>
      </x:c>
    </x:row>
    <x:row r="1722" ht="18" customHeight="1">
      <x:c r="A1722" s="13" t="n">
        <x:v>45181</x:v>
      </x:c>
      <x:c r="B1722" s="12" t="n">
        <x:v>2</x:v>
      </x:c>
      <x:c r="C1722" s="12" t="n">
        <x:v>-0.001841676775899936</x:v>
      </x:c>
      <x:c r="D1722" s="12" t="n">
        <x:v>-0.14133211375366456</x:v>
      </x:c>
      <x:c r="E1722" s="12" t="n">
        <x:v>-0.1306632112812562</x:v>
      </x:c>
    </x:row>
    <x:row r="1723" ht="18" customHeight="1">
      <x:c r="A1723" s="13" t="n">
        <x:v>45182</x:v>
      </x:c>
      <x:c r="B1723" s="12" t="n">
        <x:v>1</x:v>
      </x:c>
      <x:c r="C1723" s="12" t="n">
        <x:v>-0.006389959522627915</x:v>
      </x:c>
      <x:c r="D1723" s="12" t="n">
        <x:v>-0.14354055795573886</x:v>
      </x:c>
      <x:c r="E1723" s="12" t="n">
        <x:v>-0.12930879876729326</x:v>
      </x:c>
    </x:row>
    <x:row r="1724" ht="18" customHeight="1">
      <x:c r="A1724" s="13" t="n">
        <x:v>45183</x:v>
      </x:c>
      <x:c r="B1724" s="12" t="n">
        <x:v>-7</x:v>
      </x:c>
      <x:c r="C1724" s="12" t="n">
        <x:v>-0.0008416421084389641</x:v>
      </x:c>
      <x:c r="D1724" s="12" t="n">
        <x:v>-0.16298299544546832</x:v>
      </x:c>
      <x:c r="E1724" s="12" t="n">
        <x:v>-0.12809006754522398</x:v>
      </x:c>
    </x:row>
    <x:row r="1725" ht="18" customHeight="1">
      <x:c r="A1725" s="13" t="n">
        <x:v>45184</x:v>
      </x:c>
      <x:c r="B1725" s="12" t="n">
        <x:v>1</x:v>
      </x:c>
      <x:c r="C1725" s="12" t="n">
        <x:v>-0.0066461290744070055</x:v>
      </x:c>
      <x:c r="D1725" s="12" t="n">
        <x:v>-0.15233965784487452</x:v>
      </x:c>
      <x:c r="E1725" s="12" t="n">
        <x:v>-0.12930785870901643</x:v>
      </x:c>
    </x:row>
    <x:row r="1726" ht="18" customHeight="1">
      <x:c r="A1726" s="13" t="n">
        <x:v>45187</x:v>
      </x:c>
      <x:c r="B1726" s="12" t="n">
        <x:v>3</x:v>
      </x:c>
      <x:c r="C1726" s="12" t="n">
        <x:v>0.0050923075341599</x:v>
      </x:c>
      <x:c r="D1726" s="12" t="n">
        <x:v>-0.144561774082454</x:v>
      </x:c>
      <x:c r="E1726" s="12" t="n">
        <x:v>-0.12704191291502512</x:v>
      </x:c>
    </x:row>
    <x:row r="1727" ht="18" customHeight="1">
      <x:c r="A1727" s="13" t="n">
        <x:v>45188</x:v>
      </x:c>
      <x:c r="B1727" s="12" t="n">
        <x:v>0</x:v>
      </x:c>
      <x:c r="C1727" s="12" t="n">
        <x:v>-0.0019357400638905927</x:v>
      </x:c>
      <x:c r="D1727" s="12" t="n">
        <x:v>-0.14472455148021035</x:v>
      </x:c>
      <x:c r="E1727" s="12" t="n">
        <x:v>-0.12739132566861672</x:v>
      </x:c>
    </x:row>
    <x:row r="1728" ht="18" customHeight="1">
      <x:c r="A1728" s="13" t="n">
        <x:v>45189</x:v>
      </x:c>
      <x:c r="B1728" s="12" t="n">
        <x:v>-5</x:v>
      </x:c>
      <x:c r="C1728" s="12" t="n">
        <x:v>-0.003989210040026667</x:v>
      </x:c>
      <x:c r="D1728" s="12" t="n">
        <x:v>-0.09964041264254997</x:v>
      </x:c>
      <x:c r="E1728" s="12" t="n">
        <x:v>-0.12661152651880025</x:v>
      </x:c>
    </x:row>
    <x:row r="1729" ht="18" customHeight="1">
      <x:c r="A1729" s="13" t="n">
        <x:v>45190</x:v>
      </x:c>
      <x:c r="B1729" s="12" t="n">
        <x:v>12</x:v>
      </x:c>
      <x:c r="C1729" s="12" t="n">
        <x:v>-0.00901182393540573</x:v>
      </x:c>
      <x:c r="D1729" s="12" t="n">
        <x:v>-0.10605909604830724</x:v>
      </x:c>
      <x:c r="E1729" s="12" t="n">
        <x:v>-0.12743111791683945</x:v>
      </x:c>
    </x:row>
    <x:row r="1730" ht="18" customHeight="1">
      <x:c r="A1730" s="13" t="n">
        <x:v>45191</x:v>
      </x:c>
      <x:c r="B1730" s="12" t="n">
        <x:v>4</x:v>
      </x:c>
      <x:c r="C1730" s="12" t="n">
        <x:v>0.01794259804803621</x:v>
      </x:c>
      <x:c r="D1730" s="12" t="n">
        <x:v>-0.04045505008111782</x:v>
      </x:c>
      <x:c r="E1730" s="12" t="n">
        <x:v>-0.12351406302717165</x:v>
      </x:c>
    </x:row>
    <x:row r="1731" ht="18" customHeight="1">
      <x:c r="A1731" s="13" t="n">
        <x:v>45194</x:v>
      </x:c>
      <x:c r="B1731" s="12" t="n">
        <x:v>4</x:v>
      </x:c>
      <x:c r="C1731" s="12" t="n">
        <x:v>-0.006528199527715004</x:v>
      </x:c>
      <x:c r="D1731" s="12" t="n">
        <x:v>-0.04873663867616362</x:v>
      </x:c>
      <x:c r="E1731" s="12" t="n">
        <x:v>-0.1274583379569743</x:v>
      </x:c>
    </x:row>
    <x:row r="1732" ht="18" customHeight="1">
      <x:c r="A1732" s="13" t="n">
        <x:v>45195</x:v>
      </x:c>
      <x:c r="B1732" s="12" t="n">
        <x:v>7</x:v>
      </x:c>
      <x:c r="C1732" s="12" t="n">
        <x:v>-0.005861889281666779</x:v>
      </x:c>
      <x:c r="D1732" s="12" t="n">
        <x:v>-0.07846149743316858</x:v>
      </x:c>
      <x:c r="E1732" s="12" t="n">
        <x:v>-0.1181953602939562</x:v>
      </x:c>
    </x:row>
    <x:row r="1733" ht="18" customHeight="1">
      <x:c r="A1733" s="13" t="n">
        <x:v>45196</x:v>
      </x:c>
      <x:c r="B1733" s="12" t="n">
        <x:v>-1</x:v>
      </x:c>
      <x:c r="C1733" s="12" t="n">
        <x:v>0.002056486927205133</x:v>
      </x:c>
      <x:c r="D1733" s="12" t="n">
        <x:v>-0.06464907504534831</x:v>
      </x:c>
      <x:c r="E1733" s="12" t="n">
        <x:v>-0.1222628110402141</x:v>
      </x:c>
    </x:row>
    <x:row r="1734" ht="18" customHeight="1">
      <x:c r="A1734" s="13" t="n">
        <x:v>45197</x:v>
      </x:c>
      <x:c r="B1734" s="12" t="n">
        <x:v>6</x:v>
      </x:c>
      <x:c r="C1734" s="12" t="n">
        <x:v>-0.0029709851019892155</x:v>
      </x:c>
      <x:c r="D1734" s="12" t="n">
        <x:v>-0.043890874346448464</x:v>
      </x:c>
      <x:c r="E1734" s="12" t="n">
        <x:v>-0.12056926277568521</x:v>
      </x:c>
    </x:row>
    <x:row r="1735" ht="18" customHeight="1">
      <x:c r="A1735" s="13" t="n">
        <x:v>45208</x:v>
      </x:c>
      <x:c r="B1735" s="12" t="n">
        <x:v>1</x:v>
      </x:c>
      <x:c r="C1735" s="12" t="n">
        <x:v>-0.001299116333512036</x:v>
      </x:c>
      <x:c r="D1735" s="12" t="n">
        <x:v>-0.04389168402646939</x:v>
      </x:c>
      <x:c r="E1735" s="12" t="n">
        <x:v>-0.11970381514011359</x:v>
      </x:c>
    </x:row>
    <x:row r="1736" ht="18" customHeight="1">
      <x:c r="A1736" s="13" t="n">
        <x:v>45209</x:v>
      </x:c>
      <x:c r="B1736" s="12" t="n">
        <x:v>-8</x:v>
      </x:c>
      <x:c r="C1736" s="12" t="n">
        <x:v>-0.00751892734950509</x:v>
      </x:c>
      <x:c r="D1736" s="12" t="n">
        <x:v>-0.022662212725879392</x:v>
      </x:c>
      <x:c r="E1736" s="12" t="n">
        <x:v>-0.09859727567014866</x:v>
      </x:c>
    </x:row>
    <x:row r="1737" ht="18" customHeight="1">
      <x:c r="A1737" s="13" t="n">
        <x:v>45210</x:v>
      </x:c>
      <x:c r="B1737" s="12" t="n">
        <x:v>-1</x:v>
      </x:c>
      <x:c r="C1737" s="12" t="n">
        <x:v>0.0028458349817270063</x:v>
      </x:c>
      <x:c r="D1737" s="12" t="n">
        <x:v>-0.007276480508726816</x:v>
      </x:c>
      <x:c r="E1737" s="12" t="n">
        <x:v>-0.09930114832545715</x:v>
      </x:c>
    </x:row>
    <x:row r="1738" ht="18" customHeight="1">
      <x:c r="A1738" s="13" t="n">
        <x:v>45211</x:v>
      </x:c>
      <x:c r="B1738" s="12" t="n">
        <x:v>0</x:v>
      </x:c>
      <x:c r="C1738" s="12" t="n">
        <x:v>0.009453103650197869</x:v>
      </x:c>
      <x:c r="D1738" s="12" t="n">
        <x:v>-0.009058318074044381</x:v>
      </x:c>
      <x:c r="E1738" s="12" t="n">
        <x:v>-0.09900503324706164</x:v>
      </x:c>
    </x:row>
    <x:row r="1739" ht="18" customHeight="1">
      <x:c r="A1739" s="13" t="n">
        <x:v>45212</x:v>
      </x:c>
      <x:c r="B1739" s="12" t="n">
        <x:v>5</x:v>
      </x:c>
      <x:c r="C1739" s="12" t="n">
        <x:v>-0.010581987499846852</x:v>
      </x:c>
      <x:c r="D1739" s="12" t="n">
        <x:v>-0.03353245367492277</x:v>
      </x:c>
      <x:c r="E1739" s="12" t="n">
        <x:v>-0.10116543984772233</x:v>
      </x:c>
    </x:row>
    <x:row r="1740" ht="18" customHeight="1">
      <x:c r="A1740" s="13" t="n">
        <x:v>45215</x:v>
      </x:c>
      <x:c r="B1740" s="12" t="n">
        <x:v>-3.000000000000057</x:v>
      </x:c>
      <x:c r="C1740" s="12" t="n">
        <x:v>-0.01009971866830757</x:v>
      </x:c>
      <x:c r="D1740" s="12" t="n">
        <x:v>-0.00693896923368887</x:v>
      </x:c>
      <x:c r="E1740" s="12" t="n">
        <x:v>-0.09867725545627264</x:v>
      </x:c>
    </x:row>
    <x:row r="1741" ht="18" customHeight="1">
      <x:c r="A1741" s="13" t="n">
        <x:v>45216</x:v>
      </x:c>
      <x:c r="B1741" s="12" t="n">
        <x:v>-1.9999999999999432</x:v>
      </x:c>
      <x:c r="C1741" s="12" t="n">
        <x:v>0.0035245293194285997</x:v>
      </x:c>
      <x:c r="D1741" s="12" t="n">
        <x:v>-0.02887752707372225</x:v>
      </x:c>
      <x:c r="E1741" s="12" t="n">
        <x:v>-0.09709481249412028</x:v>
      </x:c>
    </x:row>
    <x:row r="1742" ht="18" customHeight="1">
      <x:c r="A1742" s="13" t="n">
        <x:v>45217</x:v>
      </x:c>
      <x:c r="B1742" s="12" t="n">
        <x:v>7</x:v>
      </x:c>
      <x:c r="C1742" s="12" t="n">
        <x:v>-0.007951817205375517</x:v>
      </x:c>
      <x:c r="D1742" s="12" t="n">
        <x:v>-0.053712768199231556</x:v>
      </x:c>
      <x:c r="E1742" s="12" t="n">
        <x:v>-0.09803561041918729</x:v>
      </x:c>
    </x:row>
    <x:row r="1743" ht="18" customHeight="1">
      <x:c r="A1743" s="13" t="n">
        <x:v>45218</x:v>
      </x:c>
      <x:c r="B1743" s="12" t="n">
        <x:v>5</x:v>
      </x:c>
      <x:c r="C1743" s="12" t="n">
        <x:v>-0.021566035463477812</x:v>
      </x:c>
      <x:c r="D1743" s="12" t="n">
        <x:v>-0.07860780583787613</x:v>
      </x:c>
      <x:c r="E1743" s="12" t="n">
        <x:v>-0.10459322500288289</x:v>
      </x:c>
    </x:row>
    <x:row r="1744" ht="18" customHeight="1">
      <x:c r="A1744" s="13" t="n">
        <x:v>45219</x:v>
      </x:c>
      <x:c r="B1744" s="12" t="n">
        <x:v>14.999999999999943</x:v>
      </x:c>
      <x:c r="C1744" s="12" t="n">
        <x:v>-0.006517673632614436</x:v>
      </x:c>
      <x:c r="D1744" s="12" t="n">
        <x:v>-0.0840002464388291</x:v>
      </x:c>
      <x:c r="E1744" s="12" t="n">
        <x:v>-0.09345688257496994</x:v>
      </x:c>
    </x:row>
    <x:row r="1745" ht="18" customHeight="1">
      <x:c r="A1745" s="13" t="n">
        <x:v>45222</x:v>
      </x:c>
      <x:c r="B1745" s="12" t="n">
        <x:v>-0.9999999999999432</x:v>
      </x:c>
      <x:c r="C1745" s="12" t="n">
        <x:v>-0.010406957357291196</x:v>
      </x:c>
      <x:c r="D1745" s="12" t="n">
        <x:v>-0.08406309309518677</x:v>
      </x:c>
      <x:c r="E1745" s="12" t="n">
        <x:v>-0.09307729530572194</x:v>
      </x:c>
    </x:row>
    <x:row r="1746" ht="18" customHeight="1">
      <x:c r="A1746" s="13" t="n">
        <x:v>45223</x:v>
      </x:c>
      <x:c r="B1746" s="12" t="n">
        <x:v>-10</x:v>
      </x:c>
      <x:c r="C1746" s="12" t="n">
        <x:v>0.003702261857848989</x:v>
      </x:c>
      <x:c r="D1746" s="12" t="n">
        <x:v>-0.09789335372957689</x:v>
      </x:c>
      <x:c r="E1746" s="12" t="n">
        <x:v>-0.09595200257326038</x:v>
      </x:c>
    </x:row>
    <x:row r="1747" ht="18" customHeight="1">
      <x:c r="A1747" s="13" t="n">
        <x:v>45224</x:v>
      </x:c>
      <x:c r="B1747" s="12" t="n">
        <x:v>-4</x:v>
      </x:c>
      <x:c r="C1747" s="12" t="n">
        <x:v>0.004956652471855501</x:v>
      </x:c>
      <x:c r="D1747" s="12" t="n">
        <x:v>-0.10470908119076057</x:v>
      </x:c>
      <x:c r="E1747" s="12" t="n">
        <x:v>-0.09626107186544797</x:v>
      </x:c>
    </x:row>
    <x:row r="1748" ht="18" customHeight="1">
      <x:c r="A1748" s="13" t="n">
        <x:v>45225</x:v>
      </x:c>
      <x:c r="B1748" s="12" t="n">
        <x:v>13</x:v>
      </x:c>
      <x:c r="C1748" s="12" t="n">
        <x:v>0.0027604373632512803</x:v>
      </x:c>
      <x:c r="D1748" s="12" t="n">
        <x:v>-0.08590617219442641</x:v>
      </x:c>
      <x:c r="E1748" s="12" t="n">
        <x:v>-0.09709332382149444</x:v>
      </x:c>
    </x:row>
    <x:row r="1749" ht="18" customHeight="1">
      <x:c r="A1749" s="13" t="n">
        <x:v>45226</x:v>
      </x:c>
      <x:c r="B1749" s="12" t="n">
        <x:v>3</x:v>
      </x:c>
      <x:c r="C1749" s="12" t="n">
        <x:v>0.013634096924963092</x:v>
      </x:c>
      <x:c r="D1749" s="12" t="n">
        <x:v>-0.08249628303146442</x:v>
      </x:c>
      <x:c r="E1749" s="12" t="n">
        <x:v>-0.0992871154123566</x:v>
      </x:c>
    </x:row>
    <x:row r="1750" ht="18" customHeight="1">
      <x:c r="A1750" s="13" t="n">
        <x:v>45229</x:v>
      </x:c>
      <x:c r="B1750" s="12" t="n">
        <x:v>-3</x:v>
      </x:c>
      <x:c r="C1750" s="12" t="n">
        <x:v>0.005985528767481468</x:v>
      </x:c>
      <x:c r="D1750" s="12" t="n">
        <x:v>-0.10865742490536043</x:v>
      </x:c>
      <x:c r="E1750" s="12" t="n">
        <x:v>-0.10178381226506095</x:v>
      </x:c>
    </x:row>
    <x:row r="1751" ht="18" customHeight="1">
      <x:c r="A1751" s="13" t="n">
        <x:v>45230</x:v>
      </x:c>
      <x:c r="B1751" s="12" t="n">
        <x:v>-8</x:v>
      </x:c>
      <x:c r="C1751" s="12" t="n">
        <x:v>-0.003148622860146272</x:v>
      </x:c>
      <x:c r="D1751" s="12" t="n">
        <x:v>-0.10211324698429769</x:v>
      </x:c>
      <x:c r="E1751" s="12" t="n">
        <x:v>-0.09299647312263988</x:v>
      </x:c>
    </x:row>
    <x:row r="1752" ht="18" customHeight="1">
      <x:c r="A1752" s="13" t="n">
        <x:v>45231</x:v>
      </x:c>
      <x:c r="B1752" s="12" t="n">
        <x:v>5</x:v>
      </x:c>
      <x:c r="C1752" s="12" t="n">
        <x:v>-0.0004140248656600958</x:v>
      </x:c>
      <x:c r="D1752" s="12" t="n">
        <x:v>-0.10377430258827036</x:v>
      </x:c>
      <x:c r="E1752" s="12" t="n">
        <x:v>-0.09258208031327567</x:v>
      </x:c>
    </x:row>
    <x:row r="1753" ht="18" customHeight="1">
      <x:c r="A1753" s="13" t="n">
        <x:v>45232</x:v>
      </x:c>
      <x:c r="B1753" s="12" t="n">
        <x:v>-31.999999999999943</x:v>
      </x:c>
      <x:c r="C1753" s="12" t="n">
        <x:v>-0.004726293786034514</x:v>
      </x:c>
      <x:c r="D1753" s="12" t="n">
        <x:v>-0.0867216898573422</x:v>
      </x:c>
      <x:c r="E1753" s="12" t="n">
        <x:v>-0.08602086464446415</x:v>
      </x:c>
    </x:row>
    <x:row r="1754" ht="18" customHeight="1">
      <x:c r="A1754" s="13" t="n">
        <x:v>45233</x:v>
      </x:c>
      <x:c r="B1754" s="12" t="n">
        <x:v>-11.000000000000057</x:v>
      </x:c>
      <x:c r="C1754" s="12" t="n">
        <x:v>0.008390672725506256</x:v>
      </x:c>
      <x:c r="D1754" s="12" t="n">
        <x:v>-0.10877109605137945</x:v>
      </x:c>
      <x:c r="E1754" s="12" t="n">
        <x:v>-0.08815606806057871</x:v>
      </x:c>
    </x:row>
    <x:row r="1755" ht="18" customHeight="1">
      <x:c r="A1755" s="13" t="n">
        <x:v>45236</x:v>
      </x:c>
      <x:c r="B1755" s="12" t="n">
        <x:v>-4</x:v>
      </x:c>
      <x:c r="C1755" s="12" t="n">
        <x:v>0.01343340529964992</x:v>
      </x:c>
      <x:c r="D1755" s="12" t="n">
        <x:v>-0.11954121821105188</x:v>
      </x:c>
      <x:c r="E1755" s="12" t="n">
        <x:v>-0.09141720102760083</x:v>
      </x:c>
    </x:row>
    <x:row r="1756" ht="18" customHeight="1">
      <x:c r="A1756" s="13" t="n">
        <x:v>45237</x:v>
      </x:c>
      <x:c r="B1756" s="12" t="n">
        <x:v>8</x:v>
      </x:c>
      <x:c r="C1756" s="12" t="n">
        <x:v>-0.003543425809558976</x:v>
      </x:c>
      <x:c r="D1756" s="12" t="n">
        <x:v>-0.10602625829236915</x:v>
      </x:c>
      <x:c r="E1756" s="12" t="n">
        <x:v>-0.0913508466878141</x:v>
      </x:c>
    </x:row>
    <x:row r="1757" ht="18" customHeight="1">
      <x:c r="A1757" s="13" t="n">
        <x:v>45238</x:v>
      </x:c>
      <x:c r="B1757" s="12" t="n">
        <x:v>0</x:v>
      </x:c>
      <x:c r="C1757" s="12" t="n">
        <x:v>-0.002402767664892778</x:v>
      </x:c>
      <x:c r="D1757" s="12" t="n">
        <x:v>-0.1135382663953061</x:v>
      </x:c>
      <x:c r="E1757" s="12" t="n">
        <x:v>-0.10217863500292344</x:v>
      </x:c>
    </x:row>
    <x:row r="1758" ht="18" customHeight="1">
      <x:c r="A1758" s="13" t="n">
        <x:v>45239</x:v>
      </x:c>
      <x:c r="B1758" s="12" t="n">
        <x:v>-4</x:v>
      </x:c>
      <x:c r="C1758" s="12" t="n">
        <x:v>0.00048561036957762407</x:v>
      </x:c>
      <x:c r="D1758" s="12" t="n">
        <x:v>-0.12087442439498716</x:v>
      </x:c>
      <x:c r="E1758" s="12" t="n">
        <x:v>-0.10240368890283977</x:v>
      </x:c>
    </x:row>
    <x:row r="1759" ht="18" customHeight="1">
      <x:c r="A1759" s="13" t="n">
        <x:v>45240</x:v>
      </x:c>
      <x:c r="B1759" s="12" t="n">
        <x:v>-1</x:v>
      </x:c>
      <x:c r="C1759" s="12" t="n">
        <x:v>-0.007316561449093594</x:v>
      </x:c>
      <x:c r="D1759" s="12" t="n">
        <x:v>-0.12600397193026427</x:v>
      </x:c>
      <x:c r="E1759" s="12" t="n">
        <x:v>-0.0999328501743884</x:v>
      </x:c>
    </x:row>
    <x:row r="1760" ht="18" customHeight="1">
      <x:c r="A1760" s="13" t="n">
        <x:v>45243</x:v>
      </x:c>
      <x:c r="B1760" s="12" t="n">
        <x:v>0</x:v>
      </x:c>
      <x:c r="C1760" s="12" t="n">
        <x:v>-0.001974685368791237</x:v>
      </x:c>
      <x:c r="D1760" s="12" t="n">
        <x:v>-0.12543251445797376</x:v>
      </x:c>
      <x:c r="E1760" s="12" t="n">
        <x:v>-0.10107954284667581</x:v>
      </x:c>
    </x:row>
    <x:row r="1761" ht="18" customHeight="1">
      <x:c r="A1761" s="13" t="n">
        <x:v>45244</x:v>
      </x:c>
      <x:c r="B1761" s="12" t="n">
        <x:v>-11</x:v>
      </x:c>
      <x:c r="C1761" s="12" t="n">
        <x:v>0.0007384794454416723</x:v>
      </x:c>
      <x:c r="D1761" s="12" t="n">
        <x:v>-0.13264071004648054</x:v>
      </x:c>
      <x:c r="E1761" s="12" t="n">
        <x:v>-0.12596215854954387</x:v>
      </x:c>
    </x:row>
    <x:row r="1762" ht="18" customHeight="1">
      <x:c r="A1762" s="13" t="n">
        <x:v>45245</x:v>
      </x:c>
      <x:c r="B1762" s="12" t="n">
        <x:v>-3</x:v>
      </x:c>
      <x:c r="C1762" s="12" t="n">
        <x:v>0.007006826738225458</x:v>
      </x:c>
      <x:c r="D1762" s="12" t="n">
        <x:v>-0.1297382900933852</x:v>
      </x:c>
      <x:c r="E1762" s="12" t="n">
        <x:v>-0.12329876314630753</x:v>
      </x:c>
    </x:row>
    <x:row r="1763" ht="18" customHeight="1">
      <x:c r="A1763" s="13" t="n">
        <x:v>45246</x:v>
      </x:c>
      <x:c r="B1763" s="12" t="n">
        <x:v>12.999999999999943</x:v>
      </x:c>
      <x:c r="C1763" s="12" t="n">
        <x:v>-0.009716844474267466</x:v>
      </x:c>
      <x:c r="D1763" s="12" t="n">
        <x:v>-0.1611824507278004</x:v>
      </x:c>
      <x:c r="E1763" s="12" t="n">
        <x:v>-0.12957646922536756</x:v>
      </x:c>
    </x:row>
    <x:row r="1764" ht="18" customHeight="1">
      <x:c r="A1764" s="13" t="n">
        <x:v>45247</x:v>
      </x:c>
      <x:c r="B1764" s="12" t="n">
        <x:v>-2.999999999999943</x:v>
      </x:c>
      <x:c r="C1764" s="12" t="n">
        <x:v>-0.0012031765465315332</x:v>
      </x:c>
      <x:c r="D1764" s="12" t="n">
        <x:v>-0.16869736535299504</x:v>
      </x:c>
      <x:c r="E1764" s="12" t="n">
        <x:v>-0.13067665305922863</x:v>
      </x:c>
    </x:row>
    <x:row r="1765" ht="18" customHeight="1">
      <x:c r="A1765" s="13" t="n">
        <x:v>45250</x:v>
      </x:c>
      <x:c r="B1765" s="12" t="n">
        <x:v>-7</x:v>
      </x:c>
      <x:c r="C1765" s="12" t="n">
        <x:v>0.0023108485381220117</x:v>
      </x:c>
      <x:c r="D1765" s="12" t="n">
        <x:v>-0.17274154017639312</x:v>
      </x:c>
      <x:c r="E1765" s="12" t="n">
        <x:v>-0.12560796972570323</x:v>
      </x:c>
    </x:row>
    <x:row r="1766" ht="18" customHeight="1">
      <x:c r="A1766" s="13" t="n">
        <x:v>45251</x:v>
      </x:c>
      <x:c r="B1766" s="12" t="n">
        <x:v>3</x:v>
      </x:c>
      <x:c r="C1766" s="12" t="n">
        <x:v>0.001325650895305748</x:v>
      </x:c>
      <x:c r="D1766" s="12" t="n">
        <x:v>-0.17798621863269565</x:v>
      </x:c>
      <x:c r="E1766" s="12" t="n">
        <x:v>-0.12376982464209257</x:v>
      </x:c>
    </x:row>
    <x:row r="1767" ht="18" customHeight="1">
      <x:c r="A1767" s="13" t="n">
        <x:v>45252</x:v>
      </x:c>
      <x:c r="B1767" s="12" t="n">
        <x:v>-5</x:v>
      </x:c>
      <x:c r="C1767" s="12" t="n">
        <x:v>-0.010287448626604224</x:v>
      </x:c>
      <x:c r="D1767" s="12" t="n">
        <x:v>-0.18776485793781303</x:v>
      </x:c>
      <x:c r="E1767" s="12" t="n">
        <x:v>-0.12094117849426222</x:v>
      </x:c>
    </x:row>
    <x:row r="1768" ht="18" customHeight="1">
      <x:c r="A1768" s="13" t="n">
        <x:v>45253</x:v>
      </x:c>
      <x:c r="B1768" s="12" t="n">
        <x:v>0</x:v>
      </x:c>
      <x:c r="C1768" s="12" t="n">
        <x:v>0.004814068572702551</x:v>
      </x:c>
      <x:c r="D1768" s="12" t="n">
        <x:v>-0.16634158435740412</x:v>
      </x:c>
      <x:c r="E1768" s="12" t="n">
        <x:v>-0.11850545132136309</x:v>
      </x:c>
    </x:row>
    <x:row r="1769" ht="18" customHeight="1">
      <x:c r="A1769" s="13" t="n">
        <x:v>45254</x:v>
      </x:c>
      <x:c r="B1769" s="12" t="n">
        <x:v>-5</x:v>
      </x:c>
      <x:c r="C1769" s="12" t="n">
        <x:v>-0.006623477592530993</x:v>
      </x:c>
      <x:c r="D1769" s="12" t="n">
        <x:v>-0.17982703344568177</x:v>
      </x:c>
      <x:c r="E1769" s="12" t="n">
        <x:v>-0.10985739028036058</x:v>
      </x:c>
    </x:row>
    <x:row r="1770" ht="18" customHeight="1">
      <x:c r="A1770" s="13" t="n">
        <x:v>45257</x:v>
      </x:c>
      <x:c r="B1770" s="12" t="n">
        <x:v>4</x:v>
      </x:c>
      <x:c r="C1770" s="12" t="n">
        <x:v>-0.007394780023751533</x:v>
      </x:c>
      <x:c r="D1770" s="12" t="n">
        <x:v>-0.18003169947927863</x:v>
      </x:c>
      <x:c r="E1770" s="12" t="n">
        <x:v>-0.1182673189617036</x:v>
      </x:c>
    </x:row>
    <x:row r="1771" ht="18" customHeight="1">
      <x:c r="A1771" s="13" t="n">
        <x:v>45258</x:v>
      </x:c>
      <x:c r="B1771" s="12" t="n">
        <x:v>1</x:v>
      </x:c>
      <x:c r="C1771" s="12" t="n">
        <x:v>0.0018720813944303417</x:v>
      </x:c>
      <x:c r="D1771" s="12" t="n">
        <x:v>-0.1872433438137848</x:v>
      </x:c>
      <x:c r="E1771" s="12" t="n">
        <x:v>-0.12255637540875725</x:v>
      </x:c>
    </x:row>
    <x:row r="1772" ht="18" customHeight="1">
      <x:c r="A1772" s="13" t="n">
        <x:v>45259</x:v>
      </x:c>
      <x:c r="B1772" s="12" t="n">
        <x:v>-10</x:v>
      </x:c>
      <x:c r="C1772" s="12" t="n">
        <x:v>-0.008624751891447943</x:v>
      </x:c>
      <x:c r="D1772" s="12" t="n">
        <x:v>-0.16133225275709337</x:v>
      </x:c>
      <x:c r="E1772" s="12" t="n">
        <x:v>-0.11785881667877778</x:v>
      </x:c>
    </x:row>
    <x:row r="1773" ht="18" customHeight="1">
      <x:c r="A1773" s="13" t="n">
        <x:v>45260</x:v>
      </x:c>
      <x:c r="B1773" s="12" t="n">
        <x:v>4</x:v>
      </x:c>
      <x:c r="C1773" s="12" t="n">
        <x:v>0.0022608610339468075</x:v>
      </x:c>
      <x:c r="D1773" s="12" t="n">
        <x:v>-0.15677692571029703</x:v>
      </x:c>
      <x:c r="E1773" s="12" t="n">
        <x:v>-0.11623952899337299</x:v>
      </x:c>
    </x:row>
    <x:row r="1774" ht="18" customHeight="1">
      <x:c r="A1774" s="13" t="n">
        <x:v>45261</x:v>
      </x:c>
      <x:c r="B1774" s="12" t="n">
        <x:v>3</x:v>
      </x:c>
      <x:c r="C1774" s="12" t="n">
        <x:v>-0.0038175542772575606</x:v>
      </x:c>
      <x:c r="D1774" s="12" t="n">
        <x:v>-0.14922626511337314</x:v>
      </x:c>
      <x:c r="E1774" s="12" t="n">
        <x:v>-0.11431900533033272</x:v>
      </x:c>
    </x:row>
    <x:row r="1775" ht="18" customHeight="1">
      <x:c r="A1775" s="13" t="n">
        <x:v>45264</x:v>
      </x:c>
      <x:c r="B1775" s="12" t="n">
        <x:v>-7</x:v>
      </x:c>
      <x:c r="C1775" s="12" t="n">
        <x:v>-0.006551438319548501</x:v>
      </x:c>
      <x:c r="D1775" s="12" t="n">
        <x:v>-0.1447665417662059</x:v>
      </x:c>
      <x:c r="E1775" s="12" t="n">
        <x:v>-0.11158687994362075</x:v>
      </x:c>
    </x:row>
    <x:row r="1776" ht="18" customHeight="1">
      <x:c r="A1776" s="13" t="n">
        <x:v>45265</x:v>
      </x:c>
      <x:c r="B1776" s="12" t="n">
        <x:v>0</x:v>
      </x:c>
      <x:c r="C1776" s="12" t="n">
        <x:v>-0.019223557398418245</x:v>
      </x:c>
      <x:c r="D1776" s="12" t="n">
        <x:v>-0.13947792532439823</x:v>
      </x:c>
      <x:c r="E1776" s="12" t="n">
        <x:v>-0.11305107535794674</x:v>
      </x:c>
    </x:row>
    <x:row r="1777" ht="18" customHeight="1">
      <x:c r="A1777" s="13" t="n">
        <x:v>45266</x:v>
      </x:c>
      <x:c r="B1777" s="12" t="n">
        <x:v>-1</x:v>
      </x:c>
      <x:c r="C1777" s="12" t="n">
        <x:v>0.0015722740687378373</x:v>
      </x:c>
      <x:c r="D1777" s="12" t="n">
        <x:v>-0.1336220473406749</x:v>
      </x:c>
      <x:c r="E1777" s="12" t="n">
        <x:v>-0.11343196970577452</x:v>
      </x:c>
    </x:row>
    <x:row r="1778" ht="18" customHeight="1">
      <x:c r="A1778" s="13" t="n">
        <x:v>45267</x:v>
      </x:c>
      <x:c r="B1778" s="12" t="n">
        <x:v>-2</x:v>
      </x:c>
      <x:c r="C1778" s="12" t="n">
        <x:v>-0.002449079880397321</x:v>
      </x:c>
      <x:c r="D1778" s="12" t="n">
        <x:v>-0.12562310200458165</x:v>
      </x:c>
      <x:c r="E1778" s="12" t="n">
        <x:v>-0.1132077075619309</x:v>
      </x:c>
    </x:row>
    <x:row r="1779" ht="18" customHeight="1">
      <x:c r="A1779" s="13" t="n">
        <x:v>45268</x:v>
      </x:c>
      <x:c r="B1779" s="12" t="n">
        <x:v>-2</x:v>
      </x:c>
      <x:c r="C1779" s="12" t="n">
        <x:v>0.0024090155173751376</x:v>
      </x:c>
      <x:c r="D1779" s="12" t="n">
        <x:v>-0.13507010042582804</x:v>
      </x:c>
      <x:c r="E1779" s="12" t="n">
        <x:v>-0.11306408206159892</x:v>
      </x:c>
    </x:row>
    <x:row r="1780" ht="18" customHeight="1">
      <x:c r="A1780" s="13" t="n">
        <x:v>45271</x:v>
      </x:c>
      <x:c r="B1780" s="12" t="n">
        <x:v>4</x:v>
      </x:c>
      <x:c r="C1780" s="12" t="n">
        <x:v>0.005863998187248521</x:v>
      </x:c>
      <x:c r="D1780" s="12" t="n">
        <x:v>-0.1191219922845356</x:v>
      </x:c>
      <x:c r="E1780" s="12" t="n">
        <x:v>-0.11152270478957033</x:v>
      </x:c>
    </x:row>
    <x:row r="1781" ht="18" customHeight="1">
      <x:c r="A1781" s="13" t="n">
        <x:v>45272</x:v>
      </x:c>
      <x:c r="B1781" s="12" t="n">
        <x:v>-3</x:v>
      </x:c>
      <x:c r="C1781" s="12" t="n">
        <x:v>0.0021466333978044914</x:v>
      </x:c>
      <x:c r="D1781" s="12" t="n">
        <x:v>-0.12151587507530165</x:v>
      </x:c>
      <x:c r="E1781" s="12" t="n">
        <x:v>-0.11226517872300844</x:v>
      </x:c>
    </x:row>
    <x:row r="1782" ht="18" customHeight="1">
      <x:c r="A1782" s="13" t="n">
        <x:v>45273</x:v>
      </x:c>
      <x:c r="B1782" s="12" t="n">
        <x:v>3</x:v>
      </x:c>
      <x:c r="C1782" s="12" t="n">
        <x:v>-0.01683222974761668</x:v>
      </x:c>
      <x:c r="D1782" s="12" t="n">
        <x:v>-0.11945828109414922</x:v>
      </x:c>
      <x:c r="E1782" s="12" t="n">
        <x:v>-0.10896818852431873</x:v>
      </x:c>
    </x:row>
    <x:row r="1783" ht="18" customHeight="1">
      <x:c r="A1783" s="13" t="n">
        <x:v>45274</x:v>
      </x:c>
      <x:c r="B1783" s="12" t="n">
        <x:v>-32</x:v>
      </x:c>
      <x:c r="C1783" s="12" t="n">
        <x:v>-0.005249113939963294</x:v>
      </x:c>
      <x:c r="D1783" s="12" t="n">
        <x:v>-0.07827528617696064</x:v>
      </x:c>
      <x:c r="E1783" s="12" t="n">
        <x:v>-0.10363245532507777</x:v>
      </x:c>
    </x:row>
    <x:row r="1784" ht="18" customHeight="1">
      <x:c r="A1784" s="13" t="n">
        <x:v>45275</x:v>
      </x:c>
      <x:c r="B1784" s="12" t="n">
        <x:v>4</x:v>
      </x:c>
      <x:c r="C1784" s="12" t="n">
        <x:v>-0.003111132929438227</x:v>
      </x:c>
      <x:c r="D1784" s="12" t="n">
        <x:v>-0.07560011619486603</x:v>
      </x:c>
      <x:c r="E1784" s="12" t="n">
        <x:v>-0.10362311937271455</x:v>
      </x:c>
    </x:row>
    <x:row r="1785" ht="18" customHeight="1">
      <x:c r="A1785" s="13" t="n">
        <x:v>45278</x:v>
      </x:c>
      <x:c r="B1785" s="12" t="n">
        <x:v>0</x:v>
      </x:c>
      <x:c r="C1785" s="12" t="n">
        <x:v>-0.0036534745745062168</x:v>
      </x:c>
      <x:c r="D1785" s="12" t="n">
        <x:v>-0.0761176199217784</x:v>
      </x:c>
      <x:c r="E1785" s="12" t="n">
        <x:v>-0.10075748827799536</x:v>
      </x:c>
    </x:row>
    <x:row r="1786" ht="18" customHeight="1">
      <x:c r="A1786" s="13" t="n">
        <x:v>45279</x:v>
      </x:c>
      <x:c r="B1786" s="12" t="n">
        <x:v>-5</x:v>
      </x:c>
      <x:c r="C1786" s="12" t="n">
        <x:v>0.0014033364125818817</x:v>
      </x:c>
      <x:c r="D1786" s="12" t="n">
        <x:v>-0.07731561151468637</x:v>
      </x:c>
      <x:c r="E1786" s="12" t="n">
        <x:v>-0.10054665579783427</x:v>
      </x:c>
    </x:row>
    <x:row r="1787" ht="18" customHeight="1">
      <x:c r="A1787" s="13" t="n">
        <x:v>45280</x:v>
      </x:c>
      <x:c r="B1787" s="12" t="n">
        <x:v>-3</x:v>
      </x:c>
      <x:c r="C1787" s="12" t="n">
        <x:v>-0.011019868999532874</x:v>
      </x:c>
      <x:c r="D1787" s="12" t="n">
        <x:v>-0.0699740026900072</x:v>
      </x:c>
      <x:c r="E1787" s="12" t="n">
        <x:v>-0.09429504963896694</x:v>
      </x:c>
    </x:row>
    <x:row r="1788" ht="18" customHeight="1">
      <x:c r="A1788" s="13" t="n">
        <x:v>45281</x:v>
      </x:c>
      <x:c r="B1788" s="12" t="n">
        <x:v>-2</x:v>
      </x:c>
      <x:c r="C1788" s="12" t="n">
        <x:v>0.01006819830524892</x:v>
      </x:c>
      <x:c r="D1788" s="12" t="n">
        <x:v>-0.06960142345822234</x:v>
      </x:c>
      <x:c r="E1788" s="12" t="n">
        <x:v>-0.09940953629576398</x:v>
      </x:c>
    </x:row>
    <x:row r="1789" ht="18" customHeight="1">
      <x:c r="A1789" s="13" t="n">
        <x:v>45282</x:v>
      </x:c>
      <x:c r="B1789" s="12" t="n">
        <x:v>-2</x:v>
      </x:c>
      <x:c r="C1789" s="12" t="n">
        <x:v>0.0019070811564037447</x:v>
      </x:c>
      <x:c r="D1789" s="12" t="n">
        <x:v>-0.07835171489202816</x:v>
      </x:c>
      <x:c r="E1789" s="12" t="n">
        <x:v>-0.09885924371636252</x:v>
      </x:c>
    </x:row>
    <x:row r="1790" ht="18" customHeight="1">
      <x:c r="A1790" s="13" t="n">
        <x:v>45286</x:v>
      </x:c>
      <x:c r="B1790" s="12" t="n">
        <x:v>-2</x:v>
      </x:c>
      <x:c r="C1790" s="12" t="n">
        <x:v>-0.006792526566996367</x:v>
      </x:c>
      <x:c r="D1790" s="12" t="n">
        <x:v>-0.07681209575091259</x:v>
      </x:c>
      <x:c r="E1790" s="12" t="n">
        <x:v>-0.09815111691521435</x:v>
      </x:c>
    </x:row>
    <x:row r="1791" ht="18" customHeight="1">
      <x:c r="A1791" s="13" t="n">
        <x:v>45287</x:v>
      </x:c>
      <x:c r="B1791" s="12" t="n">
        <x:v>-3</x:v>
      </x:c>
      <x:c r="C1791" s="12" t="n">
        <x:v>0.0034729787322696913</x:v>
      </x:c>
      <x:c r="D1791" s="12" t="n">
        <x:v>-0.08166841062456583</x:v>
      </x:c>
      <x:c r="E1791" s="12" t="n">
        <x:v>-0.09481708787066219</x:v>
      </x:c>
    </x:row>
    <x:row r="1792" ht="18" customHeight="1">
      <x:c r="A1792" s="13" t="n">
        <x:v>45288</x:v>
      </x:c>
      <x:c r="B1792" s="12" t="n">
        <x:v>-2</x:v>
      </x:c>
      <x:c r="C1792" s="12" t="n">
        <x:v>0.0231633188509078</x:v>
      </x:c>
      <x:c r="D1792" s="12" t="n">
        <x:v>-0.05769081076201842</x:v>
      </x:c>
      <x:c r="E1792" s="12" t="n">
        <x:v>-0.09777880394777443</x:v>
      </x:c>
    </x:row>
    <x:row r="1793" ht="18" customHeight="1">
      <x:c r="A1793" s="13" t="n">
        <x:v>45289</x:v>
      </x:c>
      <x:c r="B1793" s="12" t="n">
        <x:v>2</x:v>
      </x:c>
      <x:c r="C1793" s="12" t="n">
        <x:v>0.004840922885131526</x:v>
      </x:c>
      <x:c r="D1793" s="12" t="n">
        <x:v>-0.08194466278566832</x:v>
      </x:c>
      <x:c r="E1793" s="12" t="n">
        <x:v>-0.0973987043854486</x:v>
      </x:c>
    </x:row>
    <x:row r="1794" ht="18" customHeight="1">
      <x:c r="A1794" s="13" t="n">
        <x:v>45293</x:v>
      </x:c>
      <x:c r="B1794" s="12" t="n">
        <x:v>15</x:v>
      </x:c>
      <x:c r="C1794" s="12" t="n">
        <x:v>-0.013130500000731902</x:v>
      </x:c>
      <x:c r="D1794" s="12" t="n">
        <x:v>-0.11956489035134872</x:v>
      </x:c>
      <x:c r="E1794" s="12" t="n">
        <x:v>-0.10616688070235568</x:v>
      </x:c>
    </x:row>
    <x:row r="1795" ht="18" customHeight="1">
      <x:c r="A1795" s="13" t="n">
        <x:v>45294</x:v>
      </x:c>
      <x:c r="B1795" s="12" t="n">
        <x:v>17</x:v>
      </x:c>
      <x:c r="C1795" s="12" t="n">
        <x:v>-0.0023815288716185186</x:v>
      </x:c>
      <x:c r="D1795" s="12" t="n">
        <x:v>-0.1114289096543838</x:v>
      </x:c>
      <x:c r="E1795" s="12" t="n">
        <x:v>-0.10751220677369523</x:v>
      </x:c>
    </x:row>
    <x:row r="1796" ht="18" customHeight="1">
      <x:c r="A1796" s="13" t="n">
        <x:v>45295</x:v>
      </x:c>
      <x:c r="B1796" s="12" t="n">
        <x:v>-2</x:v>
      </x:c>
      <x:c r="C1796" s="12" t="n">
        <x:v>-0.009291837436039434</x:v>
      </x:c>
      <x:c r="D1796" s="12" t="n">
        <x:v>-0.10883434471028891</x:v>
      </x:c>
      <x:c r="E1796" s="12" t="n">
        <x:v>-0.10794249364820988</x:v>
      </x:c>
    </x:row>
    <x:row r="1797" ht="18" customHeight="1">
      <x:c r="A1797" s="13" t="n">
        <x:v>45296</x:v>
      </x:c>
      <x:c r="B1797" s="12" t="n">
        <x:v>-1</x:v>
      </x:c>
      <x:c r="C1797" s="12" t="n">
        <x:v>-0.005374506997078489</x:v>
      </x:c>
      <x:c r="D1797" s="12" t="n">
        <x:v>-0.10708780629713972</x:v>
      </x:c>
      <x:c r="E1797" s="12" t="n">
        <x:v>-0.10800185125966291</x:v>
      </x:c>
    </x:row>
    <x:row r="1798" ht="18" customHeight="1">
      <x:c r="A1798" s="13" t="n">
        <x:v>45299</x:v>
      </x:c>
      <x:c r="B1798" s="12" t="n">
        <x:v>-5</x:v>
      </x:c>
      <x:c r="C1798" s="12" t="n">
        <x:v>-0.013017238342875813</x:v>
      </x:c>
      <x:c r="D1798" s="12" t="n">
        <x:v>-0.09511362098042542</x:v>
      </x:c>
      <x:c r="E1798" s="12" t="n">
        <x:v>-0.10449866986896213</x:v>
      </x:c>
    </x:row>
    <x:row r="1799" ht="18" customHeight="1">
      <x:c r="A1799" s="13" t="n">
        <x:v>45300</x:v>
      </x:c>
      <x:c r="B1799" s="12" t="n">
        <x:v>-4</x:v>
      </x:c>
      <x:c r="C1799" s="12" t="n">
        <x:v>0.0019587892102615333</x:v>
      </x:c>
      <x:c r="D1799" s="12" t="n">
        <x:v>-0.1078363018394726</x:v>
      </x:c>
      <x:c r="E1799" s="12" t="n">
        <x:v>-0.10457449140434182</x:v>
      </x:c>
    </x:row>
    <x:row r="1800" ht="18" customHeight="1">
      <x:c r="A1800" s="13" t="n">
        <x:v>45301</x:v>
      </x:c>
      <x:c r="B1800" s="12" t="n">
        <x:v>-9</x:v>
      </x:c>
      <x:c r="C1800" s="12" t="n">
        <x:v>-0.00467923818793512</x:v>
      </x:c>
      <x:c r="D1800" s="12" t="n">
        <x:v>-0.10200365084652924</x:v>
      </x:c>
      <x:c r="E1800" s="12" t="n">
        <x:v>-0.10344994834600428</x:v>
      </x:c>
    </x:row>
    <x:row r="1801" ht="18" customHeight="1">
      <x:c r="A1801" s="13" t="n">
        <x:v>45302</x:v>
      </x:c>
      <x:c r="B1801" s="12" t="n">
        <x:v>5</x:v>
      </x:c>
      <x:c r="C1801" s="12" t="n">
        <x:v>0.005642267288734283</x:v>
      </x:c>
      <x:c r="D1801" s="12" t="n">
        <x:v>-0.0945095241236903</x:v>
      </x:c>
      <x:c r="E1801" s="12" t="n">
        <x:v>-0.10167185683987123</x:v>
      </x:c>
    </x:row>
    <x:row r="1802" ht="18" customHeight="1">
      <x:c r="A1802" s="13" t="n">
        <x:v>45303</x:v>
      </x:c>
      <x:c r="B1802" s="12" t="n">
        <x:v>1</x:v>
      </x:c>
      <x:c r="C1802" s="12" t="n">
        <x:v>-0.003497049935115232</x:v>
      </x:c>
      <x:c r="D1802" s="12" t="n">
        <x:v>-0.0833122473971726</x:v>
      </x:c>
      <x:c r="E1802" s="12" t="n">
        <x:v>-0.10039359392925547</x:v>
      </x:c>
    </x:row>
    <x:row r="1803" ht="18" customHeight="1">
      <x:c r="A1803" s="13" t="n">
        <x:v>45306</x:v>
      </x:c>
      <x:c r="B1803" s="12" t="n">
        <x:v>-2</x:v>
      </x:c>
      <x:c r="C1803" s="12" t="n">
        <x:v>-0.0009892330933307953</x:v>
      </x:c>
      <x:c r="D1803" s="12" t="n">
        <x:v>-0.0878843194085033</x:v>
      </x:c>
      <x:c r="E1803" s="12" t="n">
        <x:v>-0.09757795564595179</x:v>
      </x:c>
    </x:row>
    <x:row r="1804" ht="18" customHeight="1">
      <x:c r="A1804" s="13" t="n">
        <x:v>45307</x:v>
      </x:c>
      <x:c r="B1804" s="12" t="n">
        <x:v>4</x:v>
      </x:c>
      <x:c r="C1804" s="12" t="n">
        <x:v>0.006064229905750575</x:v>
      </x:c>
      <x:c r="D1804" s="12" t="n">
        <x:v>-0.07639299581795907</x:v>
      </x:c>
      <x:c r="E1804" s="12" t="n">
        <x:v>-0.09524789717639161</x:v>
      </x:c>
    </x:row>
    <x:row r="1805" ht="18" customHeight="1">
      <x:c r="A1805" s="13" t="n">
        <x:v>45308</x:v>
      </x:c>
      <x:c r="B1805" s="12" t="n">
        <x:v>4</x:v>
      </x:c>
      <x:c r="C1805" s="12" t="n">
        <x:v>-0.021990062068256426</x:v>
      </x:c>
      <x:c r="D1805" s="12" t="n">
        <x:v>-0.08599522496597475</x:v>
      </x:c>
      <x:c r="E1805" s="12" t="n">
        <x:v>-0.09856647614534067</x:v>
      </x:c>
    </x:row>
    <x:row r="1806" ht="18" customHeight="1">
      <x:c r="A1806" s="13" t="n">
        <x:v>45309</x:v>
      </x:c>
      <x:c r="B1806" s="12" t="n">
        <x:v>-4</x:v>
      </x:c>
      <x:c r="C1806" s="12" t="n">
        <x:v>0.014037109111496884</x:v>
      </x:c>
      <x:c r="D1806" s="12" t="n">
        <x:v>-0.06797771744706461</x:v>
      </x:c>
      <x:c r="E1806" s="12" t="n">
        <x:v>-0.09813590354183302</x:v>
      </x:c>
    </x:row>
    <x:row r="1807" ht="18" customHeight="1">
      <x:c r="A1807" s="13" t="n">
        <x:v>45310</x:v>
      </x:c>
      <x:c r="B1807" s="12" t="n">
        <x:v>-4</x:v>
      </x:c>
      <x:c r="C1807" s="12" t="n">
        <x:v>-0.0015134226411072569</x:v>
      </x:c>
      <x:c r="D1807" s="12" t="n">
        <x:v>-0.04837458837820973</x:v>
      </x:c>
      <x:c r="E1807" s="12" t="n">
        <x:v>-0.09741257177229048</x:v>
      </x:c>
    </x:row>
    <x:row r="1808" ht="18" customHeight="1">
      <x:c r="A1808" s="13" t="n">
        <x:v>45313</x:v>
      </x:c>
      <x:c r="B1808" s="12" t="n">
        <x:v>-5</x:v>
      </x:c>
      <x:c r="C1808" s="12" t="n">
        <x:v>-0.015681389433262163</x:v>
      </x:c>
      <x:c r="D1808" s="12" t="n">
        <x:v>-0.03418321173534491</x:v>
      </x:c>
      <x:c r="E1808" s="12" t="n">
        <x:v>-0.09170409179498976</x:v>
      </x:c>
    </x:row>
    <x:row r="1809" ht="18" customHeight="1">
      <x:c r="A1809" s="13" t="n">
        <x:v>45314</x:v>
      </x:c>
      <x:c r="B1809" s="12" t="n">
        <x:v>2</x:v>
      </x:c>
      <x:c r="C1809" s="12" t="n">
        <x:v>0.004040195954808554</x:v>
      </x:c>
      <x:c r="D1809" s="12" t="n">
        <x:v>-0.019343755802831267</x:v>
      </x:c>
      <x:c r="E1809" s="12" t="n">
        <x:v>-0.08931128899668866</x:v>
      </x:c>
    </x:row>
    <x:row r="1810" ht="18" customHeight="1">
      <x:c r="A1810" s="13" t="n">
        <x:v>45315</x:v>
      </x:c>
      <x:c r="B1810" s="12" t="n">
        <x:v>-7</x:v>
      </x:c>
      <x:c r="C1810" s="12" t="n">
        <x:v>0.013881221474081462</x:v>
      </x:c>
      <x:c r="D1810" s="12" t="n">
        <x:v>-0.0351293623169999</x:v>
      </x:c>
      <x:c r="E1810" s="12" t="n">
        <x:v>-0.08955044671243788</x:v>
      </x:c>
    </x:row>
    <x:row r="1811" ht="18" customHeight="1">
      <x:c r="A1811" s="13" t="n">
        <x:v>45316</x:v>
      </x:c>
      <x:c r="B1811" s="12" t="n">
        <x:v>1</x:v>
      </x:c>
      <x:c r="C1811" s="12" t="n">
        <x:v>0.019882746717866898</x:v>
      </x:c>
      <x:c r="D1811" s="12" t="n">
        <x:v>-0.03433591153312185</x:v>
      </x:c>
      <x:c r="E1811" s="12" t="n">
        <x:v>-0.08669428564617554</x:v>
      </x:c>
    </x:row>
    <x:row r="1812" ht="18" customHeight="1">
      <x:c r="A1812" s="13" t="n">
        <x:v>45317</x:v>
      </x:c>
      <x:c r="B1812" s="12" t="n">
        <x:v>-6</x:v>
      </x:c>
      <x:c r="C1812" s="12" t="n">
        <x:v>-0.002725163884702412</x:v>
      </x:c>
      <x:c r="D1812" s="12" t="n">
        <x:v>-0.05046348155591335</x:v>
      </x:c>
      <x:c r="E1812" s="12" t="n">
        <x:v>-0.0862755974262458</x:v>
      </x:c>
    </x:row>
    <x:row r="1813" ht="18" customHeight="1">
      <x:c r="A1813" s="13" t="n">
        <x:v>45320</x:v>
      </x:c>
      <x:c r="B1813" s="12" t="n">
        <x:v>2</x:v>
      </x:c>
      <x:c r="C1813" s="12" t="n">
        <x:v>-0.00899731349721521</x:v>
      </x:c>
      <x:c r="D1813" s="12" t="n">
        <x:v>-0.05557059529404378</x:v>
      </x:c>
      <x:c r="E1813" s="12" t="n">
        <x:v>-0.0870772334334364</x:v>
      </x:c>
    </x:row>
    <x:row r="1814" ht="18" customHeight="1">
      <x:c r="A1814" s="13" t="n">
        <x:v>45321</x:v>
      </x:c>
      <x:c r="B1814" s="12" t="n">
        <x:v>1</x:v>
      </x:c>
      <x:c r="C1814" s="12" t="n">
        <x:v>-0.01799459398974998</x:v>
      </x:c>
      <x:c r="D1814" s="12" t="n">
        <x:v>-0.06743698138517079</x:v>
      </x:c>
      <x:c r="E1814" s="12" t="n">
        <x:v>-0.08314948354493014</x:v>
      </x:c>
    </x:row>
    <x:row r="1815" ht="18" customHeight="1">
      <x:c r="A1815" s="13" t="n">
        <x:v>45322</x:v>
      </x:c>
      <x:c r="B1815" s="12" t="n">
        <x:v>17</x:v>
      </x:c>
      <x:c r="C1815" s="12" t="n">
        <x:v>-0.009190499849532225</x:v>
      </x:c>
      <x:c r="D1815" s="12" t="n">
        <x:v>-0.09799099687300449</x:v>
      </x:c>
      <x:c r="E1815" s="12" t="n">
        <x:v>-0.08864291467999151</x:v>
      </x:c>
    </x:row>
    <x:row r="1816" ht="18" customHeight="1">
      <x:c r="A1816" s="13" t="n">
        <x:v>45323</x:v>
      </x:c>
      <x:c r="B1816" s="12" t="n">
        <x:v>-3</x:v>
      </x:c>
      <x:c r="C1816" s="12" t="n">
        <x:v>0.0007334298500620088</x:v>
      </x:c>
      <x:c r="D1816" s="12" t="n">
        <x:v>-0.13752123605721853</x:v>
      </x:c>
      <x:c r="E1816" s="12" t="n">
        <x:v>-0.08885233514373107</x:v>
      </x:c>
    </x:row>
    <x:row r="1817" ht="18" customHeight="1">
      <x:c r="A1817" s="13" t="n">
        <x:v>45324</x:v>
      </x:c>
      <x:c r="B1817" s="12" t="n">
        <x:v>-9</x:v>
      </x:c>
      <x:c r="C1817" s="12" t="n">
        <x:v>-0.011906123109234383</x:v>
      </x:c>
      <x:c r="D1817" s="12" t="n">
        <x:v>-0.09079580276305592</x:v>
      </x:c>
      <x:c r="E1817" s="12" t="n">
        <x:v>-0.08408171153412511</x:v>
      </x:c>
    </x:row>
    <x:row r="1818" ht="18" customHeight="1">
      <x:c r="A1818" s="13" t="n">
        <x:v>45327</x:v>
      </x:c>
      <x:c r="B1818" s="12" t="n">
        <x:v>3</x:v>
      </x:c>
      <x:c r="C1818" s="12" t="n">
        <x:v>0.006518530602880647</x:v>
      </x:c>
      <x:c r="D1818" s="12" t="n">
        <x:v>-0.07088431143428824</x:v>
      </x:c>
      <x:c r="E1818" s="12" t="n">
        <x:v>-0.08808643639896502</x:v>
      </x:c>
    </x:row>
    <x:row r="1819" ht="18" customHeight="1">
      <x:c r="A1819" s="13" t="n">
        <x:v>45328</x:v>
      </x:c>
      <x:c r="B1819" s="12" t="n">
        <x:v>2</x:v>
      </x:c>
      <x:c r="C1819" s="12" t="n">
        <x:v>0.034176683802523346</x:v>
      </x:c>
      <x:c r="D1819" s="12" t="n">
        <x:v>-0.03489726421306892</x:v>
      </x:c>
      <x:c r="E1819" s="12" t="n">
        <x:v>-0.08023257788927086</x:v>
      </x:c>
    </x:row>
    <x:row r="1820" ht="18" customHeight="1">
      <x:c r="A1820" s="13" t="n">
        <x:v>45329</x:v>
      </x:c>
      <x:c r="B1820" s="12" t="n">
        <x:v>-9</x:v>
      </x:c>
      <x:c r="C1820" s="12" t="n">
        <x:v>0.009597835468869923</x:v>
      </x:c>
      <x:c r="D1820" s="12" t="n">
        <x:v>-0.05423745935441913</x:v>
      </x:c>
      <x:c r="E1820" s="12" t="n">
        <x:v>-0.08488757058169402</x:v>
      </x:c>
    </x:row>
    <x:row r="1821" ht="18" customHeight="1">
      <x:c r="A1821" s="13" t="n">
        <x:v>45330</x:v>
      </x:c>
      <x:c r="B1821" s="12" t="n">
        <x:v>-5</x:v>
      </x:c>
      <x:c r="C1821" s="12" t="n">
        <x:v>0.006349938457429425</x:v>
      </x:c>
      <x:c r="D1821" s="12" t="n">
        <x:v>-0.05959513904578837</x:v>
      </x:c>
      <x:c r="E1821" s="12" t="n">
        <x:v>-0.08436219007619175</x:v>
      </x:c>
    </x:row>
    <x:row r="1822" ht="18" customHeight="1">
      <x:c r="A1822" s="13" t="n">
        <x:v>45341</x:v>
      </x:c>
      <x:c r="B1822" s="12" t="n">
        <x:v>0</x:v>
      </x:c>
      <x:c r="C1822" s="12" t="n">
        <x:v>0.011487674784309955</x:v>
      </x:c>
      <x:c r="D1822" s="12" t="n">
        <x:v>-0.055647616325178215</x:v>
      </x:c>
      <x:c r="E1822" s="12" t="n">
        <x:v>-0.08466147905166009</x:v>
      </x:c>
    </x:row>
    <x:row r="1823" ht="18" customHeight="1">
      <x:c r="A1823" s="13" t="n">
        <x:v>45342</x:v>
      </x:c>
      <x:c r="B1823" s="12" t="n">
        <x:v>3</x:v>
      </x:c>
      <x:c r="C1823" s="12" t="n">
        <x:v>0.0020680123273212306</x:v>
      </x:c>
      <x:c r="D1823" s="12" t="n">
        <x:v>-0.05247428236720815</x:v>
      </x:c>
      <x:c r="E1823" s="12" t="n">
        <x:v>-0.09104254618249798</x:v>
      </x:c>
    </x:row>
    <x:row r="1824" ht="18" customHeight="1">
      <x:c r="A1824" s="13" t="n">
        <x:v>45343</x:v>
      </x:c>
      <x:c r="B1824" s="12" t="n">
        <x:v>-3</x:v>
      </x:c>
      <x:c r="C1824" s="12" t="n">
        <x:v>0.013401172975739459</x:v>
      </x:c>
      <x:c r="D1824" s="12" t="n">
        <x:v>-0.05563866872967874</x:v>
      </x:c>
      <x:c r="E1824" s="12" t="n">
        <x:v>-0.09176302341149888</x:v>
      </x:c>
    </x:row>
    <x:row r="1825" ht="18" customHeight="1">
      <x:c r="A1825" s="13" t="n">
        <x:v>45344</x:v>
      </x:c>
      <x:c r="B1825" s="12" t="n">
        <x:v>-12</x:v>
      </x:c>
      <x:c r="C1825" s="12" t="n">
        <x:v>0.00858454254593906</x:v>
      </x:c>
      <x:c r="D1825" s="12" t="n">
        <x:v>-0.07364252422454692</x:v>
      </x:c>
      <x:c r="E1825" s="12" t="n">
        <x:v>-0.09395839646856884</x:v>
      </x:c>
    </x:row>
    <x:row r="1826" ht="18" customHeight="1">
      <x:c r="A1826" s="13" t="n">
        <x:v>45345</x:v>
      </x:c>
      <x:c r="B1826" s="12" t="n">
        <x:v>1</x:v>
      </x:c>
      <x:c r="C1826" s="12" t="n">
        <x:v>0.0008792193773087833</x:v>
      </x:c>
      <x:c r="D1826" s="12" t="n">
        <x:v>-0.04553509446671985</x:v>
      </x:c>
      <x:c r="E1826" s="12" t="n">
        <x:v>-0.09391626419212262</x:v>
      </x:c>
    </x:row>
    <x:row r="1827" ht="18" customHeight="1">
      <x:c r="A1827" s="13" t="n">
        <x:v>45348</x:v>
      </x:c>
      <x:c r="B1827" s="12" t="n">
        <x:v>0</x:v>
      </x:c>
      <x:c r="C1827" s="12" t="n">
        <x:v>-0.010480457577157869</x:v>
      </x:c>
      <x:c r="D1827" s="12" t="n">
        <x:v>-0.0483608971027948</x:v>
      </x:c>
      <x:c r="E1827" s="12" t="n">
        <x:v>-0.09266541501420353</x:v>
      </x:c>
    </x:row>
    <x:row r="1828" ht="18" customHeight="1">
      <x:c r="A1828" s="13" t="n">
        <x:v>45349</x:v>
      </x:c>
      <x:c r="B1828" s="12" t="n">
        <x:v>3</x:v>
      </x:c>
      <x:c r="C1828" s="12" t="n">
        <x:v>0.011925308297313279</x:v>
      </x:c>
      <x:c r="D1828" s="12" t="n">
        <x:v>-0.03243360792660232</x:v>
      </x:c>
      <x:c r="E1828" s="12" t="n">
        <x:v>-0.08972944335881569</x:v>
      </x:c>
    </x:row>
    <x:row r="1829" ht="18" customHeight="1">
      <x:c r="A1829" s="13" t="n">
        <x:v>45350</x:v>
      </x:c>
      <x:c r="B1829" s="12" t="n">
        <x:v>5</x:v>
      </x:c>
      <x:c r="C1829" s="12" t="n">
        <x:v>-0.012823011522909118</x:v>
      </x:c>
      <x:c r="D1829" s="12" t="n">
        <x:v>-0.050447343049525604</x:v>
      </x:c>
      <x:c r="E1829" s="12" t="n">
        <x:v>-0.08854755649364196</x:v>
      </x:c>
    </x:row>
    <x:row r="1830" ht="18" customHeight="1">
      <x:c r="A1830" s="13" t="n">
        <x:v>45351</x:v>
      </x:c>
      <x:c r="B1830" s="12" t="n">
        <x:v>-2</x:v>
      </x:c>
      <x:c r="C1830" s="12" t="n">
        <x:v>0.01889793959635261</x:v>
      </x:c>
      <x:c r="D1830" s="12" t="n">
        <x:v>-0.06259398445280694</x:v>
      </x:c>
      <x:c r="E1830" s="12" t="n">
        <x:v>-0.0889793061223175</x:v>
      </x:c>
    </x:row>
    <x:row r="1831" ht="18" customHeight="1">
      <x:c r="A1831" s="13" t="n">
        <x:v>45352</x:v>
      </x:c>
      <x:c r="B1831" s="12" t="n">
        <x:v>3</x:v>
      </x:c>
      <x:c r="C1831" s="12" t="n">
        <x:v>0.00615866698833239</x:v>
      </x:c>
      <x:c r="D1831" s="12" t="n">
        <x:v>-0.057885985820611406</x:v>
      </x:c>
      <x:c r="E1831" s="12" t="n">
        <x:v>-0.08744753909217723</x:v>
      </x:c>
    </x:row>
    <x:row r="1832" ht="18" customHeight="1">
      <x:c r="A1832" s="13" t="n">
        <x:v>45355</x:v>
      </x:c>
      <x:c r="B1832" s="12" t="n">
        <x:v>-6</x:v>
      </x:c>
      <x:c r="C1832" s="12" t="n">
        <x:v>0.0008659251391561114</x:v>
      </x:c>
      <x:c r="D1832" s="12" t="n">
        <x:v>-0.06490162325504288</x:v>
      </x:c>
      <x:c r="E1832" s="12" t="n">
        <x:v>-0.0870675709686769</x:v>
      </x:c>
    </x:row>
    <x:row r="1833" ht="18" customHeight="1">
      <x:c r="A1833" s="13" t="n">
        <x:v>45356</x:v>
      </x:c>
      <x:c r="B1833" s="12" t="n">
        <x:v>5</x:v>
      </x:c>
      <x:c r="C1833" s="12" t="n">
        <x:v>0.0069362428561649415</x:v>
      </x:c>
      <x:c r="D1833" s="12" t="n">
        <x:v>-0.047634675790172575</x:v>
      </x:c>
      <x:c r="E1833" s="12" t="n">
        <x:v>-0.08304091966853533</x:v>
      </x:c>
    </x:row>
    <x:row r="1834" ht="18" customHeight="1">
      <x:c r="A1834" s="13" t="n">
        <x:v>45357</x:v>
      </x:c>
      <x:c r="B1834" s="12" t="n">
        <x:v>-4</x:v>
      </x:c>
      <x:c r="C1834" s="12" t="n">
        <x:v>-0.004065507786512169</x:v>
      </x:c>
      <x:c r="D1834" s="12" t="n">
        <x:v>-0.045485930022900876</x:v>
      </x:c>
      <x:c r="E1834" s="12" t="n">
        <x:v>-0.07374034816892355</x:v>
      </x:c>
    </x:row>
    <x:row r="1835" ht="18" customHeight="1">
      <x:c r="A1835" s="13" t="n">
        <x:v>45358</x:v>
      </x:c>
      <x:c r="B1835" s="12" t="n">
        <x:v>0</x:v>
      </x:c>
      <x:c r="C1835" s="12" t="n">
        <x:v>-0.006024393317779147</x:v>
      </x:c>
      <x:c r="D1835" s="12" t="n">
        <x:v>-0.06534296573120454</x:v>
      </x:c>
      <x:c r="E1835" s="12" t="n">
        <x:v>-0.07585627259253505</x:v>
      </x:c>
    </x:row>
    <x:row r="1836" ht="18" customHeight="1">
      <x:c r="A1836" s="13" t="n">
        <x:v>45359</x:v>
      </x:c>
      <x:c r="B1836" s="12" t="n">
        <x:v>-1</x:v>
      </x:c>
      <x:c r="C1836" s="12" t="n">
        <x:v>0.004294337550533564</x:v>
      </x:c>
      <x:c r="D1836" s="12" t="n">
        <x:v>-0.06798290357661596</x:v>
      </x:c>
      <x:c r="E1836" s="12" t="n">
        <x:v>-0.07794370561856259</x:v>
      </x:c>
    </x:row>
    <x:row r="1837" ht="18" customHeight="1">
      <x:c r="A1837" s="13" t="n">
        <x:v>45362</x:v>
      </x:c>
      <x:c r="B1837" s="12" t="n">
        <x:v>0</x:v>
      </x:c>
      <x:c r="C1837" s="12" t="n">
        <x:v>0.012434284667935624</x:v>
      </x:c>
      <x:c r="D1837" s="12" t="n">
        <x:v>-0.06128703961388799</x:v>
      </x:c>
      <x:c r="E1837" s="12" t="n">
        <x:v>-0.08025636522509395</x:v>
      </x:c>
    </x:row>
    <x:row r="1838" ht="18" customHeight="1">
      <x:c r="A1838" s="13" t="n">
        <x:v>45363</x:v>
      </x:c>
      <x:c r="B1838" s="12" t="n">
        <x:v>-6</x:v>
      </x:c>
      <x:c r="C1838" s="12" t="n">
        <x:v>0.002290435905940713</x:v>
      </x:c>
      <x:c r="D1838" s="12" t="n">
        <x:v>-0.07318693705637008</x:v>
      </x:c>
      <x:c r="E1838" s="12" t="n">
        <x:v>-0.08120521796474857</x:v>
      </x:c>
    </x:row>
    <x:row r="1839" ht="18" customHeight="1">
      <x:c r="A1839" s="13" t="n">
        <x:v>45364</x:v>
      </x:c>
      <x:c r="B1839" s="12" t="n">
        <x:v>-5</x:v>
      </x:c>
      <x:c r="C1839" s="12" t="n">
        <x:v>-0.007010742418553548</x:v>
      </x:c>
      <x:c r="D1839" s="12" t="n">
        <x:v>-0.06312113473643689</x:v>
      </x:c>
      <x:c r="E1839" s="12" t="n">
        <x:v>-0.08057786931750627</x:v>
      </x:c>
    </x:row>
    <x:row r="1840" ht="18" customHeight="1">
      <x:c r="A1840" s="13" t="n">
        <x:v>45365</x:v>
      </x:c>
      <x:c r="B1840" s="12" t="n">
        <x:v>0</x:v>
      </x:c>
      <x:c r="C1840" s="12" t="n">
        <x:v>-0.0028419616240185283</x:v>
      </x:c>
      <x:c r="D1840" s="12" t="n">
        <x:v>-0.0639130415864458</x:v>
      </x:c>
      <x:c r="E1840" s="12" t="n">
        <x:v>-0.08184250860354672</x:v>
      </x:c>
    </x:row>
    <x:row r="1841" ht="18" customHeight="1">
      <x:c r="A1841" s="13" t="n">
        <x:v>45366</x:v>
      </x:c>
      <x:c r="B1841" s="12" t="n">
        <x:v>1</x:v>
      </x:c>
      <x:c r="C1841" s="12" t="n">
        <x:v>0.0021788748918951115</x:v>
      </x:c>
      <x:c r="D1841" s="12" t="n">
        <x:v>-0.06397161328702418</x:v>
      </x:c>
      <x:c r="E1841" s="12" t="n">
        <x:v>-0.0822584922326937</x:v>
      </x:c>
    </x:row>
    <x:row r="1842" ht="18" customHeight="1">
      <x:c r="A1842" s="13" t="n">
        <x:v>45369</x:v>
      </x:c>
      <x:c r="B1842" s="12" t="n">
        <x:v>-3</x:v>
      </x:c>
      <x:c r="C1842" s="12" t="n">
        <x:v>0.009349730570252965</x:v>
      </x:c>
      <x:c r="D1842" s="12" t="n">
        <x:v>-0.06715411319147915</x:v>
      </x:c>
      <x:c r="E1842" s="12" t="n">
        <x:v>-0.08062338097224096</x:v>
      </x:c>
    </x:row>
    <x:row r="1843" ht="18" customHeight="1">
      <x:c r="A1843" s="13" t="n">
        <x:v>45370</x:v>
      </x:c>
      <x:c r="B1843" s="12" t="n">
        <x:v>-3</x:v>
      </x:c>
      <x:c r="C1843" s="12" t="n">
        <x:v>-0.0072127117079038095</x:v>
      </x:c>
      <x:c r="D1843" s="12" t="n">
        <x:v>-0.06956716640882712</x:v>
      </x:c>
      <x:c r="E1843" s="12" t="n">
        <x:v>-0.07968218144312181</x:v>
      </x:c>
    </x:row>
    <x:row r="1844" ht="18" customHeight="1">
      <x:c r="A1844" s="13" t="n">
        <x:v>45371</x:v>
      </x:c>
      <x:c r="B1844" s="12" t="n">
        <x:v>4</x:v>
      </x:c>
      <x:c r="C1844" s="12" t="n">
        <x:v>0.0021648716364173998</x:v>
      </x:c>
      <x:c r="D1844" s="12" t="n">
        <x:v>-0.06691929258156924</x:v>
      </x:c>
      <x:c r="E1844" s="12" t="n">
        <x:v>-0.0771397883454799</x:v>
      </x:c>
    </x:row>
    <x:row r="1845" ht="18" customHeight="1">
      <x:c r="A1845" s="13" t="n">
        <x:v>45372</x:v>
      </x:c>
      <x:c r="B1845" s="12" t="n">
        <x:v>-9</x:v>
      </x:c>
      <x:c r="C1845" s="12" t="n">
        <x:v>-0.0011982463101735089</x:v>
      </x:c>
      <x:c r="D1845" s="12" t="n">
        <x:v>-0.047587565938612485</x:v>
      </x:c>
      <x:c r="E1845" s="12" t="n">
        <x:v>-0.07853428754585266</x:v>
      </x:c>
    </x:row>
    <x:row r="1846" ht="18" customHeight="1">
      <x:c r="A1846" s="13" t="n">
        <x:v>45373</x:v>
      </x:c>
      <x:c r="B1846" s="12" t="n">
        <x:v>3</x:v>
      </x:c>
      <x:c r="C1846" s="12" t="n">
        <x:v>-0.010128470408895992</x:v>
      </x:c>
      <x:c r="D1846" s="12" t="n">
        <x:v>-0.12381858320479165</x:v>
      </x:c>
      <x:c r="E1846" s="12" t="n">
        <x:v>-0.07928050150778945</x:v>
      </x:c>
    </x:row>
    <x:row r="1847" ht="18" customHeight="1">
      <x:c r="A1847" s="13" t="n">
        <x:v>45376</x:v>
      </x:c>
      <x:c r="B1847" s="12" t="n">
        <x:v>3</x:v>
      </x:c>
      <x:c r="C1847" s="12" t="n">
        <x:v>-0.005441828592219171</x:v>
      </x:c>
      <x:c r="D1847" s="12" t="n">
        <x:v>-0.12515710692370574</x:v>
      </x:c>
      <x:c r="E1847" s="12" t="n">
        <x:v>-0.07860769777922905</x:v>
      </x:c>
    </x:row>
    <x:row r="1848" ht="18" customHeight="1">
      <x:c r="A1848" s="13" t="n">
        <x:v>45377</x:v>
      </x:c>
      <x:c r="B1848" s="12" t="n">
        <x:v>4</x:v>
      </x:c>
      <x:c r="C1848" s="12" t="n">
        <x:v>0.005087577083770784</x:v>
      </x:c>
      <x:c r="D1848" s="12" t="n">
        <x:v>-0.11824561655276836</x:v>
      </x:c>
      <x:c r="E1848" s="12" t="n">
        <x:v>-0.07518331843039354</x:v>
      </x:c>
    </x:row>
    <x:row r="1849" ht="18" customHeight="1">
      <x:c r="A1849" s="13" t="n">
        <x:v>45378</x:v>
      </x:c>
      <x:c r="B1849" s="12" t="n">
        <x:v>0</x:v>
      </x:c>
      <x:c r="C1849" s="12" t="n">
        <x:v>-0.011625734128965096</x:v>
      </x:c>
      <x:c r="D1849" s="12" t="n">
        <x:v>-0.11871373629801853</x:v>
      </x:c>
      <x:c r="E1849" s="12" t="n">
        <x:v>-0.05601174283511242</x:v>
      </x:c>
    </x:row>
    <x:row r="1850" ht="18" customHeight="1">
      <x:c r="A1850" s="13" t="n">
        <x:v>45379</x:v>
      </x:c>
      <x:c r="B1850" s="12" t="n">
        <x:v>-3</x:v>
      </x:c>
      <x:c r="C1850" s="12" t="n">
        <x:v>0.005176219815450503</x:v>
      </x:c>
      <x:c r="D1850" s="12" t="n">
        <x:v>-0.13113038225367954</x:v>
      </x:c>
      <x:c r="E1850" s="12" t="n">
        <x:v>-0.08399490368929922</x:v>
      </x:c>
    </x:row>
    <x:row r="1851" ht="18" customHeight="1">
      <x:c r="A1851" s="13" t="n">
        <x:v>45383</x:v>
      </x:c>
      <x:c r="B1851" s="12" t="n">
        <x:v>-3</x:v>
      </x:c>
      <x:c r="C1851" s="12" t="n">
        <x:v>0.016308011120952714</x:v>
      </x:c>
      <x:c r="D1851" s="12" t="n">
        <x:v>-0.13635682588580955</x:v>
      </x:c>
      <x:c r="E1851" s="12" t="n">
        <x:v>-0.09518770901011518</x:v>
      </x:c>
    </x:row>
    <x:row r="1852" ht="18" customHeight="1">
      <x:c r="A1852" s="13" t="n">
        <x:v>45384</x:v>
      </x:c>
      <x:c r="B1852" s="12" t="n">
        <x:v>11</x:v>
      </x:c>
      <x:c r="C1852" s="12" t="n">
        <x:v>-0.0041722544428915275</x:v>
      </x:c>
      <x:c r="D1852" s="12" t="n">
        <x:v>-0.14729005907678014</x:v>
      </x:c>
      <x:c r="E1852" s="12" t="n">
        <x:v>-0.10639612070734725</x:v>
      </x:c>
    </x:row>
    <x:row r="1853" ht="18" customHeight="1">
      <x:c r="A1853" s="13" t="n">
        <x:v>45385</x:v>
      </x:c>
      <x:c r="B1853" s="12" t="n">
        <x:v>0</x:v>
      </x:c>
      <x:c r="C1853" s="12" t="n">
        <x:v>-0.003601553257586781</x:v>
      </x:c>
      <x:c r="D1853" s="12" t="n">
        <x:v>-0.15176222041020382</x:v>
      </x:c>
      <x:c r="E1853" s="12" t="n">
        <x:v>-0.1266081296269524</x:v>
      </x:c>
    </x:row>
    <x:row r="1854" ht="18" customHeight="1">
      <x:c r="A1854" s="13" t="n">
        <x:v>45390</x:v>
      </x:c>
      <x:c r="B1854" s="12" t="n">
        <x:v>-3</x:v>
      </x:c>
      <x:c r="C1854" s="12" t="n">
        <x:v>-0.008838590314792913</x:v>
      </x:c>
      <x:c r="D1854" s="12" t="n">
        <x:v>-0.14185260752315748</x:v>
      </x:c>
      <x:c r="E1854" s="12" t="n">
        <x:v>-0.13622967884716297</x:v>
      </x:c>
    </x:row>
    <x:row r="1855" ht="18" customHeight="1">
      <x:c r="A1855" s="13" t="n">
        <x:v>45391</x:v>
      </x:c>
      <x:c r="B1855" s="12" t="n">
        <x:v>-1</x:v>
      </x:c>
      <x:c r="C1855" s="12" t="n">
        <x:v>-0.0008262075317269229</x:v>
      </x:c>
      <x:c r="D1855" s="12" t="n">
        <x:v>-0.13629534540722194</x:v>
      </x:c>
      <x:c r="E1855" s="12" t="n">
        <x:v>-0.13654780915617865</x:v>
      </x:c>
    </x:row>
    <x:row r="1856" ht="18" customHeight="1">
      <x:c r="A1856" s="13" t="n">
        <x:v>45392</x:v>
      </x:c>
      <x:c r="B1856" s="12" t="n">
        <x:v>-4</x:v>
      </x:c>
      <x:c r="C1856" s="12" t="n">
        <x:v>-0.008177851714302322</x:v>
      </x:c>
      <x:c r="D1856" s="12" t="n">
        <x:v>-0.1296417469820233</x:v>
      </x:c>
      <x:c r="E1856" s="12" t="n">
        <x:v>-0.11934482614999015</x:v>
      </x:c>
    </x:row>
    <x:row r="1857" ht="18" customHeight="1">
      <x:c r="A1857" s="13" t="n">
        <x:v>45393</x:v>
      </x:c>
      <x:c r="B1857" s="12" t="n">
        <x:v>6</x:v>
      </x:c>
      <x:c r="C1857" s="12" t="n">
        <x:v>-0.00013237354589799467</x:v>
      </x:c>
      <x:c r="D1857" s="12" t="n">
        <x:v>-0.07796989159397363</x:v>
      </x:c>
      <x:c r="E1857" s="12" t="n">
        <x:v>-0.12488705301821076</x:v>
      </x:c>
    </x:row>
    <x:row r="1858" ht="18" customHeight="1">
      <x:c r="A1858" s="13" t="n">
        <x:v>45394</x:v>
      </x:c>
      <x:c r="B1858" s="12" t="n">
        <x:v>9</x:v>
      </x:c>
      <x:c r="C1858" s="12" t="n">
        <x:v>-0.008139145156742146</x:v>
      </x:c>
      <x:c r="D1858" s="12" t="n">
        <x:v>-0.09289838520378704</x:v>
      </x:c>
      <x:c r="E1858" s="12" t="n">
        <x:v>-0.1368584108080565</x:v>
      </x:c>
    </x:row>
    <x:row r="1859" ht="18" customHeight="1">
      <x:c r="A1859" s="13" t="n">
        <x:v>45397</x:v>
      </x:c>
      <x:c r="B1859" s="12" t="n">
        <x:v>3</x:v>
      </x:c>
      <x:c r="C1859" s="12" t="n">
        <x:v>0.02085139978770184</x:v>
      </x:c>
      <x:c r="D1859" s="12" t="n">
        <x:v>-0.07251344267254775</x:v>
      </x:c>
      <x:c r="E1859" s="12" t="n">
        <x:v>-0.12891211388979545</x:v>
      </x:c>
    </x:row>
    <x:row r="1860" ht="18" customHeight="1">
      <x:c r="A1860" s="13" t="n">
        <x:v>45398</x:v>
      </x:c>
      <x:c r="B1860" s="12" t="n">
        <x:v>8</x:v>
      </x:c>
      <x:c r="C1860" s="12" t="n">
        <x:v>-0.010753722814637892</x:v>
      </x:c>
      <x:c r="D1860" s="12" t="n">
        <x:v>-0.10040157406695532</x:v>
      </x:c>
      <x:c r="E1860" s="12" t="n">
        <x:v>-0.13880677774819028</x:v>
      </x:c>
    </x:row>
    <x:row r="1861" ht="18" customHeight="1">
      <x:c r="A1861" s="13" t="n">
        <x:v>45399</x:v>
      </x:c>
      <x:c r="B1861" s="12" t="n">
        <x:v>6</x:v>
      </x:c>
      <x:c r="C1861" s="12" t="n">
        <x:v>0.015343554028548092</x:v>
      </x:c>
      <x:c r="D1861" s="12" t="n">
        <x:v>-0.09237374848153708</x:v>
      </x:c>
      <x:c r="E1861" s="12" t="n">
        <x:v>-0.1311909411653885</x:v>
      </x:c>
    </x:row>
    <x:row r="1862" ht="18" customHeight="1">
      <x:c r="A1862" s="13" t="n">
        <x:v>45400</x:v>
      </x:c>
      <x:c r="B1862" s="12" t="n">
        <x:v>-3</x:v>
      </x:c>
      <x:c r="C1862" s="12" t="n">
        <x:v>0.0012329850874846476</x:v>
      </x:c>
      <x:c r="D1862" s="12" t="n">
        <x:v>-0.09174534787655958</x:v>
      </x:c>
      <x:c r="E1862" s="12" t="n">
        <x:v>-0.1306025957464138</x:v>
      </x:c>
    </x:row>
    <x:row r="1863" ht="18" customHeight="1">
      <x:c r="A1863" s="13" t="n">
        <x:v>45401</x:v>
      </x:c>
      <x:c r="B1863" s="12" t="n">
        <x:v>-2</x:v>
      </x:c>
      <x:c r="C1863" s="12" t="n">
        <x:v>-0.007913995783959946</x:v>
      </x:c>
      <x:c r="D1863" s="12" t="n">
        <x:v>-0.10404782165221277</x:v>
      </x:c>
      <x:c r="E1863" s="12" t="n">
        <x:v>-0.12613252821369272</x:v>
      </x:c>
    </x:row>
    <x:row r="1864" ht="18" customHeight="1">
      <x:c r="A1864" s="13" t="n">
        <x:v>45404</x:v>
      </x:c>
      <x:c r="B1864" s="12" t="n">
        <x:v>-8</x:v>
      </x:c>
      <x:c r="C1864" s="12" t="n">
        <x:v>-0.0030420098411770608</x:v>
      </x:c>
      <x:c r="D1864" s="12" t="n">
        <x:v>-0.10051274141635066</x:v>
      </x:c>
      <x:c r="E1864" s="12" t="n">
        <x:v>-0.12249340416315774</x:v>
      </x:c>
    </x:row>
    <x:row r="1865" ht="18" customHeight="1">
      <x:c r="A1865" s="13" t="n">
        <x:v>45405</x:v>
      </x:c>
      <x:c r="B1865" s="12" t="n">
        <x:v>-9</x:v>
      </x:c>
      <x:c r="C1865" s="12" t="n">
        <x:v>-0.007014138799965217</x:v>
      </x:c>
      <x:c r="D1865" s="12" t="n">
        <x:v>-0.07628740507458044</x:v>
      </x:c>
      <x:c r="E1865" s="12" t="n">
        <x:v>-0.11964517888504445</x:v>
      </x:c>
    </x:row>
    <x:row r="1866" ht="18" customHeight="1">
      <x:c r="A1866" s="13" t="n">
        <x:v>45406</x:v>
      </x:c>
      <x:c r="B1866" s="12" t="n">
        <x:v>-1</x:v>
      </x:c>
      <x:c r="C1866" s="12" t="n">
        <x:v>0.004381718916951932</x:v>
      </x:c>
      <x:c r="D1866" s="12" t="n">
        <x:v>-0.07769898105884376</x:v>
      </x:c>
      <x:c r="E1866" s="12" t="n">
        <x:v>-0.12457558260903566</x:v>
      </x:c>
    </x:row>
    <x:row r="1867" ht="18" customHeight="1">
      <x:c r="A1867" s="13" t="n">
        <x:v>45407</x:v>
      </x:c>
      <x:c r="B1867" s="12" t="n">
        <x:v>5</x:v>
      </x:c>
      <x:c r="C1867" s="12" t="n">
        <x:v>0.0024559056206020905</x:v>
      </x:c>
      <x:c r="D1867" s="12" t="n">
        <x:v>-0.08184322651753699</x:v>
      </x:c>
      <x:c r="E1867" s="12" t="n">
        <x:v>-0.12318008090140344</x:v>
      </x:c>
    </x:row>
    <x:row r="1868" ht="18" customHeight="1">
      <x:c r="A1868" s="13" t="n">
        <x:v>45408</x:v>
      </x:c>
      <x:c r="B1868" s="12" t="n">
        <x:v>-8</x:v>
      </x:c>
      <x:c r="C1868" s="12" t="n">
        <x:v>0.015176880345412834</x:v>
      </x:c>
      <x:c r="D1868" s="12" t="n">
        <x:v>-0.082550742529087</x:v>
      </x:c>
      <x:c r="E1868" s="12" t="n">
        <x:v>-0.13334405794100607</x:v>
      </x:c>
    </x:row>
    <x:row r="1869" ht="18" customHeight="1">
      <x:c r="A1869" s="13" t="n">
        <x:v>45411</x:v>
      </x:c>
      <x:c r="B1869" s="12" t="n">
        <x:v>-4</x:v>
      </x:c>
      <x:c r="C1869" s="12" t="n">
        <x:v>0.010999779202213969</x:v>
      </x:c>
      <x:c r="D1869" s="12" t="n">
        <x:v>-0.07995096755194785</x:v>
      </x:c>
      <x:c r="E1869" s="12" t="n">
        <x:v>-0.1355762090470273</x:v>
      </x:c>
    </x:row>
    <x:row r="1870" ht="18" customHeight="1">
      <x:c r="A1870" s="13" t="n">
        <x:v>45412</x:v>
      </x:c>
      <x:c r="B1870" s="12" t="n">
        <x:v>6</x:v>
      </x:c>
      <x:c r="C1870" s="12" t="n">
        <x:v>-0.005400475726166257</x:v>
      </x:c>
      <x:c r="D1870" s="12" t="n">
        <x:v>-0.09528283928237523</x:v>
      </x:c>
      <x:c r="E1870" s="12" t="n">
        <x:v>-0.1373186063906381</x:v>
      </x:c>
    </x:row>
    <x:row r="1871" ht="18" customHeight="1">
      <x:c r="A1871" s="13" t="n">
        <x:v>45418</x:v>
      </x:c>
      <x:c r="B1871" s="12" t="n">
        <x:v>-5</x:v>
      </x:c>
      <x:c r="C1871" s="12" t="n">
        <x:v>0.01472910247991278</x:v>
      </x:c>
      <x:c r="D1871" s="12" t="n">
        <x:v>-0.13689145554405283</x:v>
      </x:c>
      <x:c r="E1871" s="12" t="n">
        <x:v>-0.1463351111663162</x:v>
      </x:c>
    </x:row>
    <x:row r="1872" ht="18" customHeight="1">
      <x:c r="A1872" s="13" t="n">
        <x:v>45419</x:v>
      </x:c>
      <x:c r="B1872" s="12" t="n">
        <x:v>3</x:v>
      </x:c>
      <x:c r="C1872" s="12" t="n">
        <x:v>0.0003091206482533993</x:v>
      </x:c>
      <x:c r="D1872" s="12" t="n">
        <x:v>-0.13987705515179932</x:v>
      </x:c>
      <x:c r="E1872" s="12" t="n">
        <x:v>-0.14436050776749695</x:v>
      </x:c>
    </x:row>
    <x:row r="1873" ht="18" customHeight="1">
      <x:c r="A1873" s="13" t="n">
        <x:v>45420</x:v>
      </x:c>
      <x:c r="B1873" s="12" t="n">
        <x:v>4</x:v>
      </x:c>
      <x:c r="C1873" s="12" t="n">
        <x:v>-0.007897801568855183</x:v>
      </x:c>
      <x:c r="D1873" s="12" t="n">
        <x:v>-0.12998326226676093</x:v>
      </x:c>
      <x:c r="E1873" s="12" t="n">
        <x:v>-0.14580919941122644</x:v>
      </x:c>
    </x:row>
    <x:row r="1874" ht="18" customHeight="1">
      <x:c r="A1874" s="13" t="n">
        <x:v>45421</x:v>
      </x:c>
      <x:c r="B1874" s="12" t="n">
        <x:v>4</x:v>
      </x:c>
      <x:c r="C1874" s="12" t="n">
        <x:v>0.009414384908953369</x:v>
      </x:c>
      <x:c r="D1874" s="12" t="n">
        <x:v>-0.1290667766460985</x:v>
      </x:c>
      <x:c r="E1874" s="12" t="n">
        <x:v>-0.1417694563015551</x:v>
      </x:c>
    </x:row>
    <x:row r="1875" ht="18" customHeight="1">
      <x:c r="A1875" s="13" t="n">
        <x:v>45422</x:v>
      </x:c>
      <x:c r="B1875" s="12" t="n">
        <x:v>-2</x:v>
      </x:c>
      <x:c r="C1875" s="12" t="n">
        <x:v>0.0004681865860184892</x:v>
      </x:c>
      <x:c r="D1875" s="12" t="n">
        <x:v>-0.13717257391525106</x:v>
      </x:c>
      <x:c r="E1875" s="12" t="n">
        <x:v>-0.13969956558482638</x:v>
      </x:c>
    </x:row>
    <x:row r="1876" ht="18" customHeight="1">
      <x:c r="A1876" s="13" t="n">
        <x:v>45425</x:v>
      </x:c>
      <x:c r="B1876" s="12" t="n">
        <x:v>2</x:v>
      </x:c>
      <x:c r="C1876" s="12" t="n">
        <x:v>-0.00043279415980033276</x:v>
      </x:c>
      <x:c r="D1876" s="12" t="n">
        <x:v>-0.13263801772782902</x:v>
      </x:c>
      <x:c r="E1876" s="12" t="n">
        <x:v>-0.13875311137383706</x:v>
      </x:c>
    </x:row>
    <x:row r="1877" ht="18" customHeight="1">
      <x:c r="A1877" s="13" t="n">
        <x:v>45426</x:v>
      </x:c>
      <x:c r="B1877" s="12" t="n">
        <x:v>0</x:v>
      </x:c>
      <x:c r="C1877" s="12" t="n">
        <x:v>-0.0020883852338393584</x:v>
      </x:c>
      <x:c r="D1877" s="12" t="n">
        <x:v>-0.12984871333235187</x:v>
      </x:c>
      <x:c r="E1877" s="12" t="n">
        <x:v>-0.1493389020554397</x:v>
      </x:c>
    </x:row>
    <x:row r="1878" ht="18" customHeight="1">
      <x:c r="A1878" s="13" t="n">
        <x:v>45427</x:v>
      </x:c>
      <x:c r="B1878" s="12" t="n">
        <x:v>-1</x:v>
      </x:c>
      <x:c r="C1878" s="12" t="n">
        <x:v>-0.008510024986955377</x:v>
      </x:c>
      <x:c r="D1878" s="12" t="n">
        <x:v>-0.07323458168526999</x:v>
      </x:c>
      <x:c r="E1878" s="12" t="n">
        <x:v>-0.1474300190942171</x:v>
      </x:c>
    </x:row>
    <x:row r="1879" ht="18" customHeight="1">
      <x:c r="A1879" s="13" t="n">
        <x:v>45428</x:v>
      </x:c>
      <x:c r="B1879" s="12" t="n">
        <x:v>-5</x:v>
      </x:c>
      <x:c r="C1879" s="12" t="n">
        <x:v>0.003936829447977233</x:v>
      </x:c>
      <x:c r="D1879" s="12" t="n">
        <x:v>-0.07712576399576143</x:v>
      </x:c>
      <x:c r="E1879" s="12" t="n">
        <x:v>-0.14523065493154977</x:v>
      </x:c>
    </x:row>
    <x:row r="1880" ht="18" customHeight="1">
      <x:c r="A1880" s="13" t="n">
        <x:v>45429</x:v>
      </x:c>
      <x:c r="B1880" s="12" t="n">
        <x:v>1</x:v>
      </x:c>
      <x:c r="C1880" s="12" t="n">
        <x:v>0.010278502687711856</x:v>
      </x:c>
      <x:c r="D1880" s="12" t="n">
        <x:v>-0.11913322427170223</x:v>
      </x:c>
      <x:c r="E1880" s="12" t="n">
        <x:v>-0.14357333740096365</x:v>
      </x:c>
    </x:row>
    <x:row r="1881" ht="18" customHeight="1">
      <x:c r="A1881" s="13" t="n">
        <x:v>45432</x:v>
      </x:c>
      <x:c r="B1881" s="12" t="n">
        <x:v>-2</x:v>
      </x:c>
      <x:c r="C1881" s="12" t="n">
        <x:v>0.0035263491751993527</x:v>
      </x:c>
      <x:c r="D1881" s="12" t="n">
        <x:v>-0.12578353872600717</x:v>
      </x:c>
      <x:c r="E1881" s="12" t="n">
        <x:v>-0.1381672931630149</x:v>
      </x:c>
    </x:row>
    <x:row r="1882" ht="18" customHeight="1">
      <x:c r="A1882" s="13" t="n">
        <x:v>45433</x:v>
      </x:c>
      <x:c r="B1882" s="12" t="n">
        <x:v>0</x:v>
      </x:c>
      <x:c r="C1882" s="12" t="n">
        <x:v>-0.00401818161882359</x:v>
      </x:c>
      <x:c r="D1882" s="12" t="n">
        <x:v>-0.17273348000558117</x:v>
      </x:c>
      <x:c r="E1882" s="12" t="n">
        <x:v>-0.14061906972160265</x:v>
      </x:c>
    </x:row>
    <x:row r="1883" ht="18" customHeight="1">
      <x:c r="A1883" s="13" t="n">
        <x:v>45434</x:v>
      </x:c>
      <x:c r="B1883" s="12" t="n">
        <x:v>4</x:v>
      </x:c>
      <x:c r="C1883" s="12" t="n">
        <x:v>0.0022525038386657214</x:v>
      </x:c>
      <x:c r="D1883" s="12" t="n">
        <x:v>-0.14726699563101775</x:v>
      </x:c>
      <x:c r="E1883" s="12" t="n">
        <x:v>-0.1421253253580963</x:v>
      </x:c>
    </x:row>
    <x:row r="1884" ht="18" customHeight="1">
      <x:c r="A1884" s="13" t="n">
        <x:v>45435</x:v>
      </x:c>
      <x:c r="B1884" s="12" t="n">
        <x:v>-1</x:v>
      </x:c>
      <x:c r="C1884" s="12" t="n">
        <x:v>-0.01164574636115049</x:v>
      </x:c>
      <x:c r="D1884" s="12" t="n">
        <x:v>-0.13204361111997576</x:v>
      </x:c>
      <x:c r="E1884" s="12" t="n">
        <x:v>-0.14681944661082233</x:v>
      </x:c>
    </x:row>
    <x:row r="1885" ht="18" customHeight="1">
      <x:c r="A1885" s="13" t="n">
        <x:v>45436</x:v>
      </x:c>
      <x:c r="B1885" s="12" t="n">
        <x:v>1</x:v>
      </x:c>
      <x:c r="C1885" s="12" t="n">
        <x:v>-0.011132190983596793</x:v>
      </x:c>
      <x:c r="D1885" s="12" t="n">
        <x:v>-0.13811213851564447</x:v>
      </x:c>
      <x:c r="E1885" s="12" t="n">
        <x:v>-0.1448829540248127</x:v>
      </x:c>
    </x:row>
    <x:row r="1886" ht="18" customHeight="1">
      <x:c r="A1886" s="13" t="n">
        <x:v>45439</x:v>
      </x:c>
      <x:c r="B1886" s="12" t="n">
        <x:v>1</x:v>
      </x:c>
      <x:c r="C1886" s="12" t="n">
        <x:v>0.009460242717951572</x:v>
      </x:c>
      <x:c r="D1886" s="12" t="n">
        <x:v>-0.13485334435379828</x:v>
      </x:c>
      <x:c r="E1886" s="12" t="n">
        <x:v>-0.14217136442444409</x:v>
      </x:c>
    </x:row>
    <x:row r="1887" ht="18" customHeight="1">
      <x:c r="A1887" s="13" t="n">
        <x:v>45440</x:v>
      </x:c>
      <x:c r="B1887" s="12" t="n">
        <x:v>-3</x:v>
      </x:c>
      <x:c r="C1887" s="12" t="n">
        <x:v>-0.007325343569654487</x:v>
      </x:c>
      <x:c r="D1887" s="12" t="n">
        <x:v>-0.11232241063452252</x:v>
      </x:c>
      <x:c r="E1887" s="12" t="n">
        <x:v>-0.1389490457637654</x:v>
      </x:c>
    </x:row>
    <x:row r="1888" ht="18" customHeight="1">
      <x:c r="A1888" s="13" t="n">
        <x:v>45441</x:v>
      </x:c>
      <x:c r="B1888" s="12" t="n">
        <x:v>6</x:v>
      </x:c>
      <x:c r="C1888" s="12" t="n">
        <x:v>0.0012045090389653562</x:v>
      </x:c>
      <x:c r="D1888" s="12" t="n">
        <x:v>-0.07466293678443015</x:v>
      </x:c>
      <x:c r="E1888" s="12" t="n">
        <x:v>-0.1377251450736163</x:v>
      </x:c>
    </x:row>
    <x:row r="1889" ht="18" customHeight="1">
      <x:c r="A1889" s="13" t="n">
        <x:v>45442</x:v>
      </x:c>
      <x:c r="B1889" s="12" t="n">
        <x:v>4</x:v>
      </x:c>
      <x:c r="C1889" s="12" t="n">
        <x:v>-0.005330379256448552</x:v>
      </x:c>
      <x:c r="D1889" s="12" t="n">
        <x:v>-0.08378721200158629</x:v>
      </x:c>
      <x:c r="E1889" s="12" t="n">
        <x:v>-0.14345138170191377</x:v>
      </x:c>
    </x:row>
    <x:row r="1890" ht="18" customHeight="1">
      <x:c r="A1890" s="13" t="n">
        <x:v>45443</x:v>
      </x:c>
      <x:c r="B1890" s="12" t="n">
        <x:v>1</x:v>
      </x:c>
      <x:c r="C1890" s="12" t="n">
        <x:v>-0.00401085709562117</x:v>
      </x:c>
      <x:c r="D1890" s="12" t="n">
        <x:v>-0.0870288623881593</x:v>
      </x:c>
      <x:c r="E1890" s="12" t="n">
        <x:v>-0.14653201974970112</x:v>
      </x:c>
    </x:row>
    <x:row r="1891" ht="18" customHeight="1">
      <x:c r="A1891" s="13" t="n">
        <x:v>45446</x:v>
      </x:c>
      <x:c r="B1891" s="12" t="n">
        <x:v>-3</x:v>
      </x:c>
      <x:c r="C1891" s="12" t="n">
        <x:v>0.0024617120786335107</x:v>
      </x:c>
      <x:c r="D1891" s="12" t="n">
        <x:v>-0.10581974085705695</x:v>
      </x:c>
      <x:c r="E1891" s="12" t="n">
        <x:v>-0.1461794244615273</x:v>
      </x:c>
    </x:row>
    <x:row r="1892" ht="18" customHeight="1">
      <x:c r="A1892" s="13" t="n">
        <x:v>45447</x:v>
      </x:c>
      <x:c r="B1892" s="12" t="n">
        <x:v>5</x:v>
      </x:c>
      <x:c r="C1892" s="12" t="n">
        <x:v>0.007474085756360476</x:v>
      </x:c>
      <x:c r="D1892" s="12" t="n">
        <x:v>-0.062435447046818165</x:v>
      </x:c>
      <x:c r="E1892" s="12" t="n">
        <x:v>-0.1437527060179035</x:v>
      </x:c>
    </x:row>
    <x:row r="1893" ht="18" customHeight="1">
      <x:c r="A1893" s="13" t="n">
        <x:v>45448</x:v>
      </x:c>
      <x:c r="B1893" s="12" t="n">
        <x:v>-2</x:v>
      </x:c>
      <x:c r="C1893" s="12" t="n">
        <x:v>-0.005790988055739421</x:v>
      </x:c>
      <x:c r="D1893" s="12" t="n">
        <x:v>-0.04132494447924136</x:v>
      </x:c>
      <x:c r="E1893" s="12" t="n">
        <x:v>-0.14357349338319617</x:v>
      </x:c>
    </x:row>
    <x:row r="1894" ht="18" customHeight="1">
      <x:c r="A1894" s="13" t="n">
        <x:v>45449</x:v>
      </x:c>
      <x:c r="B1894" s="12" t="n">
        <x:v>0</x:v>
      </x:c>
      <x:c r="C1894" s="12" t="n">
        <x:v>-0.0007091098592278275</x:v>
      </x:c>
      <x:c r="D1894" s="12" t="n">
        <x:v>-0.04994387452225784</x:v>
      </x:c>
      <x:c r="E1894" s="12" t="n">
        <x:v>-0.14494634436293174</x:v>
      </x:c>
    </x:row>
    <x:row r="1895" ht="18" customHeight="1">
      <x:c r="A1895" s="13" t="n">
        <x:v>45450</x:v>
      </x:c>
      <x:c r="B1895" s="12" t="n">
        <x:v>-5</x:v>
      </x:c>
      <x:c r="C1895" s="12" t="n">
        <x:v>-0.0050600693923201785</x:v>
      </x:c>
      <x:c r="D1895" s="12" t="n">
        <x:v>-0.03571030731590454</x:v>
      </x:c>
      <x:c r="E1895" s="12" t="n">
        <x:v>-0.14056741848804527</x:v>
      </x:c>
    </x:row>
    <x:row r="1896" ht="18" customHeight="1">
      <x:c r="A1896" s="13" t="n">
        <x:v>45454</x:v>
      </x:c>
      <x:c r="B1896" s="12" t="n">
        <x:v>4</x:v>
      </x:c>
      <x:c r="C1896" s="12" t="n">
        <x:v>-0.008778260035281154</x:v>
      </x:c>
      <x:c r="D1896" s="12" t="n">
        <x:v>-0.06847241053833279</x:v>
      </x:c>
      <x:c r="E1896" s="12" t="n">
        <x:v>-0.13754015050566834</x:v>
      </x:c>
    </x:row>
    <x:row r="1897" ht="18" customHeight="1">
      <x:c r="A1897" s="13" t="n">
        <x:v>45455</x:v>
      </x:c>
      <x:c r="B1897" s="12" t="n">
        <x:v>-10</x:v>
      </x:c>
      <x:c r="C1897" s="12" t="n">
        <x:v>0.00035146044394283323</x:v>
      </x:c>
      <x:c r="D1897" s="12" t="n">
        <x:v>-0.07559750119020021</x:v>
      </x:c>
      <x:c r="E1897" s="12" t="n">
        <x:v>-0.13056788956333207</x:v>
      </x:c>
    </x:row>
    <x:row r="1898" ht="18" customHeight="1">
      <x:c r="A1898" s="13" t="n">
        <x:v>45456</x:v>
      </x:c>
      <x:c r="B1898" s="12" t="n">
        <x:v>11</x:v>
      </x:c>
      <x:c r="C1898" s="12" t="n">
        <x:v>-0.005089475180636833</x:v>
      </x:c>
      <x:c r="D1898" s="12" t="n">
        <x:v>-0.09621681994929836</x:v>
      </x:c>
      <x:c r="E1898" s="12" t="n">
        <x:v>-0.13513120597123215</x:v>
      </x:c>
    </x:row>
    <x:row r="1899" ht="18" customHeight="1">
      <x:c r="A1899" s="13" t="n">
        <x:v>45457</x:v>
      </x:c>
      <x:c r="B1899" s="12" t="n">
        <x:v>9</x:v>
      </x:c>
      <x:c r="C1899" s="12" t="n">
        <x:v>0.004358590062463737</x:v>
      </x:c>
      <x:c r="D1899" s="12" t="n">
        <x:v>-0.0748382626820765</x:v>
      </x:c>
      <x:c r="E1899" s="12" t="n">
        <x:v>-0.13138271388918063</x:v>
      </x:c>
    </x:row>
    <x:row r="1900" ht="18" customHeight="1">
      <x:c r="A1900" s="13" t="n">
        <x:v>45460</x:v>
      </x:c>
      <x:c r="B1900" s="12" t="n">
        <x:v>-3</x:v>
      </x:c>
      <x:c r="C1900" s="12" t="n">
        <x:v>-0.001507404133478877</x:v>
      </x:c>
      <x:c r="D1900" s="12" t="n">
        <x:v>-0.07319622602499398</x:v>
      </x:c>
      <x:c r="E1900" s="12" t="n">
        <x:v>-0.1307880815873847</x:v>
      </x:c>
    </x:row>
    <x:row r="1901" ht="18" customHeight="1">
      <x:c r="A1901" s="13" t="n">
        <x:v>45461</x:v>
      </x:c>
      <x:c r="B1901" s="12" t="n">
        <x:v>-2</x:v>
      </x:c>
      <x:c r="C1901" s="12" t="n">
        <x:v>0.002652325781218718</x:v>
      </x:c>
      <x:c r="D1901" s="12" t="n">
        <x:v>-0.0698459952272521</x:v>
      </x:c>
      <x:c r="E1901" s="12" t="n">
        <x:v>-0.1315824257302615</x:v>
      </x:c>
    </x:row>
    <x:row r="1902" ht="18" customHeight="1">
      <x:c r="A1902" s="13" t="n">
        <x:v>45462</x:v>
      </x:c>
      <x:c r="B1902" s="12" t="n">
        <x:v>0</x:v>
      </x:c>
      <x:c r="C1902" s="12" t="n">
        <x:v>-0.004761216938729962</x:v>
      </x:c>
      <x:c r="D1902" s="12" t="n">
        <x:v>-0.08592734749120316</x:v>
      </x:c>
      <x:c r="E1902" s="12" t="n">
        <x:v>-0.12495349913724893</x:v>
      </x:c>
    </x:row>
    <x:row r="1903" ht="18" customHeight="1">
      <x:c r="A1903" s="13" t="n">
        <x:v>45463</x:v>
      </x:c>
      <x:c r="B1903" s="12" t="n">
        <x:v>-1</x:v>
      </x:c>
      <x:c r="C1903" s="12" t="n">
        <x:v>-0.007243259431347746</x:v>
      </x:c>
      <x:c r="D1903" s="12" t="n">
        <x:v>-0.08171032681418042</x:v>
      </x:c>
      <x:c r="E1903" s="12" t="n">
        <x:v>-0.1241449223676959</x:v>
      </x:c>
    </x:row>
    <x:row r="1904" ht="18" customHeight="1">
      <x:c r="A1904" s="13" t="n">
        <x:v>45464</x:v>
      </x:c>
      <x:c r="B1904" s="12" t="n">
        <x:v>-2</x:v>
      </x:c>
      <x:c r="C1904" s="12" t="n">
        <x:v>-0.002189458748849752</x:v>
      </x:c>
      <x:c r="D1904" s="12" t="n">
        <x:v>-0.08057332871979958</x:v>
      </x:c>
      <x:c r="E1904" s="12" t="n">
        <x:v>-0.10045931342530169</x:v>
      </x:c>
    </x:row>
    <x:row r="1905" ht="18" customHeight="1">
      <x:c r="A1905" s="13" t="n">
        <x:v>45467</x:v>
      </x:c>
      <x:c r="B1905" s="12" t="n">
        <x:v>-2</x:v>
      </x:c>
      <x:c r="C1905" s="12" t="n">
        <x:v>-0.005395434770963799</x:v>
      </x:c>
      <x:c r="D1905" s="12" t="n">
        <x:v>-0.062261300522220155</x:v>
      </x:c>
      <x:c r="E1905" s="12" t="n">
        <x:v>-0.0991977701981427</x:v>
      </x:c>
    </x:row>
    <x:row r="1906" ht="18" customHeight="1">
      <x:c r="A1906" s="13" t="n">
        <x:v>45468</x:v>
      </x:c>
      <x:c r="B1906" s="12" t="n">
        <x:v>0</x:v>
      </x:c>
      <x:c r="C1906" s="12" t="n">
        <x:v>-0.005453130711547871</x:v>
      </x:c>
      <x:c r="D1906" s="12" t="n">
        <x:v>-0.0717493514511732</x:v>
      </x:c>
      <x:c r="E1906" s="12" t="n">
        <x:v>-0.0991804575687763</x:v>
      </x:c>
    </x:row>
    <x:row r="1907" ht="18" customHeight="1">
      <x:c r="A1907" s="13" t="n">
        <x:v>45469</x:v>
      </x:c>
      <x:c r="B1907" s="12" t="n">
        <x:v>-1</x:v>
      </x:c>
      <x:c r="C1907" s="12" t="n">
        <x:v>0.0064462493092157</x:v>
      </x:c>
      <x:c r="D1907" s="12" t="n">
        <x:v>-0.080238608657913</x:v>
      </x:c>
      <x:c r="E1907" s="12" t="n">
        <x:v>-0.10125626917635719</x:v>
      </x:c>
    </x:row>
    <x:row r="1908" ht="18" customHeight="1">
      <x:c r="A1908" s="13" t="n">
        <x:v>45470</x:v>
      </x:c>
      <x:c r="B1908" s="12" t="n">
        <x:v>3</x:v>
      </x:c>
      <x:c r="C1908" s="12" t="n">
        <x:v>-0.007541385170448812</x:v>
      </x:c>
      <x:c r="D1908" s="12" t="n">
        <x:v>-0.09309301781885163</x:v>
      </x:c>
      <x:c r="E1908" s="12" t="n">
        <x:v>-0.10725951121140487</x:v>
      </x:c>
    </x:row>
    <x:row r="1909" ht="18" customHeight="1">
      <x:c r="A1909" s="13" t="n">
        <x:v>45471</x:v>
      </x:c>
      <x:c r="B1909" s="12" t="n">
        <x:v>-3</x:v>
      </x:c>
      <x:c r="C1909" s="12" t="n">
        <x:v>0.0021803784917885987</x:v>
      </x:c>
      <x:c r="D1909" s="12" t="n">
        <x:v>-0.08679074569527916</x:v>
      </x:c>
      <x:c r="E1909" s="12" t="n">
        <x:v>-0.10498763938229126</x:v>
      </x:c>
    </x:row>
    <x:row r="1910" ht="18" customHeight="1">
      <x:c r="A1910" s="13" t="n">
        <x:v>45474</x:v>
      </x:c>
      <x:c r="B1910" s="12" t="n">
        <x:v>0</x:v>
      </x:c>
      <x:c r="C1910" s="12" t="n">
        <x:v>0.0047625685752935455</x:v>
      </x:c>
      <x:c r="D1910" s="12" t="n">
        <x:v>-0.08151659753698653</x:v>
      </x:c>
      <x:c r="E1910" s="12" t="n">
        <x:v>-0.10586670192842582</x:v>
      </x:c>
    </x:row>
    <x:row r="1911" ht="18" customHeight="1">
      <x:c r="A1911" s="13" t="n">
        <x:v>45475</x:v>
      </x:c>
      <x:c r="B1911" s="12" t="n">
        <x:v>2</x:v>
      </x:c>
      <x:c r="C1911" s="12" t="n">
        <x:v>-0.0018408721992226827</x:v>
      </x:c>
      <x:c r="D1911" s="12" t="n">
        <x:v>-0.09277296568248164</x:v>
      </x:c>
      <x:c r="E1911" s="12" t="n">
        <x:v>-0.10098897975287242</x:v>
      </x:c>
    </x:row>
    <x:row r="1912" ht="18" customHeight="1">
      <x:c r="A1912" s="13" t="n">
        <x:v>45476</x:v>
      </x:c>
      <x:c r="B1912" s="12" t="n">
        <x:v>2</x:v>
      </x:c>
      <x:c r="C1912" s="12" t="n">
        <x:v>-0.002414235871381695</x:v>
      </x:c>
      <x:c r="D1912" s="12" t="n">
        <x:v>-0.09755277475325683</x:v>
      </x:c>
      <x:c r="E1912" s="12" t="n">
        <x:v>-0.10130760831870728</x:v>
      </x:c>
    </x:row>
    <x:row r="1913" ht="18" customHeight="1">
      <x:c r="A1913" s="13" t="n">
        <x:v>45477</x:v>
      </x:c>
      <x:c r="B1913" s="12" t="n">
        <x:v>0</x:v>
      </x:c>
      <x:c r="C1913" s="12" t="n">
        <x:v>-0.0050950238951884145</x:v>
      </x:c>
      <x:c r="D1913" s="12" t="n">
        <x:v>-0.0886049674425213</x:v>
      </x:c>
      <x:c r="E1913" s="12" t="n">
        <x:v>-0.106313298711731</x:v>
      </x:c>
    </x:row>
    <x:row r="1914" ht="18" customHeight="1">
      <x:c r="A1914" s="13" t="n">
        <x:v>45478</x:v>
      </x:c>
      <x:c r="B1914" s="12" t="n">
        <x:v>2</x:v>
      </x:c>
      <x:c r="C1914" s="12" t="n">
        <x:v>-0.004290415712504689</x:v>
      </x:c>
      <x:c r="D1914" s="12" t="n">
        <x:v>-0.06712773425328211</x:v>
      </x:c>
      <x:c r="E1914" s="12" t="n">
        <x:v>-0.10322293205839779</x:v>
      </x:c>
    </x:row>
    <x:row r="1915" ht="18" customHeight="1">
      <x:c r="A1915" s="13" t="n">
        <x:v>45481</x:v>
      </x:c>
      <x:c r="B1915" s="12" t="n">
        <x:v>-7</x:v>
      </x:c>
      <x:c r="C1915" s="12" t="n">
        <x:v>-0.008576334729793503</x:v>
      </x:c>
      <x:c r="D1915" s="12" t="n">
        <x:v>-0.021043232953178816</x:v>
      </x:c>
      <x:c r="E1915" s="12" t="n">
        <x:v>-0.09889401172601309</x:v>
      </x:c>
    </x:row>
    <x:row r="1916" ht="18" customHeight="1">
      <x:c r="A1916" s="13" t="n">
        <x:v>45482</x:v>
      </x:c>
      <x:c r="B1916" s="12" t="n">
        <x:v>1</x:v>
      </x:c>
      <x:c r="C1916" s="12" t="n">
        <x:v>0.011123494752744543</x:v>
      </x:c>
      <x:c r="D1916" s="12" t="n">
        <x:v>-0.015849712424070562</x:v>
      </x:c>
      <x:c r="E1916" s="12" t="n">
        <x:v>-0.09693377558171988</x:v>
      </x:c>
    </x:row>
    <x:row r="1917" ht="18" customHeight="1">
      <x:c r="A1917" s="13" t="n">
        <x:v>45483</x:v>
      </x:c>
      <x:c r="B1917" s="12" t="n">
        <x:v>-4</x:v>
      </x:c>
      <x:c r="C1917" s="12" t="n">
        <x:v>-0.003157886572395083</x:v>
      </x:c>
      <x:c r="D1917" s="12" t="n">
        <x:v>-0.023587803375382667</x:v>
      </x:c>
      <x:c r="E1917" s="12" t="n">
        <x:v>-0.08565139632028936</x:v>
      </x:c>
    </x:row>
    <x:row r="1918" ht="18" customHeight="1">
      <x:c r="A1918" s="13" t="n">
        <x:v>45484</x:v>
      </x:c>
      <x:c r="B1918" s="12" t="n">
        <x:v>1</x:v>
      </x:c>
      <x:c r="C1918" s="12" t="n">
        <x:v>0.01136811847372326</x:v>
      </x:c>
      <x:c r="D1918" s="12" t="n">
        <x:v>-0.018509900049276124</x:v>
      </x:c>
      <x:c r="E1918" s="12" t="n">
        <x:v>-0.07884876565688764</x:v>
      </x:c>
    </x:row>
    <x:row r="1919" ht="18" customHeight="1">
      <x:c r="A1919" s="13" t="n">
        <x:v>45485</x:v>
      </x:c>
      <x:c r="B1919" s="12" t="n">
        <x:v>1</x:v>
      </x:c>
      <x:c r="C1919" s="12" t="n">
        <x:v>0.001219611726616792</x:v>
      </x:c>
      <x:c r="D1919" s="12" t="n">
        <x:v>-0.03493425571661082</x:v>
      </x:c>
      <x:c r="E1919" s="12" t="n">
        <x:v>-0.06909035051874454</x:v>
      </x:c>
    </x:row>
    <x:row r="1920" ht="18" customHeight="1">
      <x:c r="A1920" s="13" t="n">
        <x:v>45488</x:v>
      </x:c>
      <x:c r="B1920" s="12" t="n">
        <x:v>-6</x:v>
      </x:c>
      <x:c r="C1920" s="12" t="n">
        <x:v>0.0011067765519817325</x:v>
      </x:c>
      <x:c r="D1920" s="12" t="n">
        <x:v>-0.03869107116715521</x:v>
      </x:c>
      <x:c r="E1920" s="12" t="n">
        <x:v>-0.0697788878435371</x:v>
      </x:c>
    </x:row>
    <x:row r="1921" ht="18" customHeight="1">
      <x:c r="A1921" s="13" t="n">
        <x:v>45489</x:v>
      </x:c>
      <x:c r="B1921" s="12" t="n">
        <x:v>-5</x:v>
      </x:c>
      <x:c r="C1921" s="12" t="n">
        <x:v>0.006319013674132575</x:v>
      </x:c>
      <x:c r="D1921" s="12" t="n">
        <x:v>-0.018247750245710403</x:v>
      </x:c>
      <x:c r="E1921" s="12" t="n">
        <x:v>-0.07684783123465</x:v>
      </x:c>
    </x:row>
    <x:row r="1922" ht="18" customHeight="1">
      <x:c r="A1922" s="13" t="n">
        <x:v>45490</x:v>
      </x:c>
      <x:c r="B1922" s="12" t="n">
        <x:v>1</x:v>
      </x:c>
      <x:c r="C1922" s="12" t="n">
        <x:v>0.0009431323694506291</x:v>
      </x:c>
      <x:c r="D1922" s="12" t="n">
        <x:v>-0.05554004636482701</x:v>
      </x:c>
      <x:c r="E1922" s="12" t="n">
        <x:v>-0.07331242623677095</x:v>
      </x:c>
    </x:row>
    <x:row r="1923" ht="18" customHeight="1">
      <x:c r="A1923" s="13" t="n">
        <x:v>45491</x:v>
      </x:c>
      <x:c r="B1923" s="12" t="n">
        <x:v>0</x:v>
      </x:c>
      <x:c r="C1923" s="12" t="n">
        <x:v>0.0055101199650592625</x:v>
      </x:c>
      <x:c r="D1923" s="12" t="n">
        <x:v>-0.006581801319635918</x:v>
      </x:c>
      <x:c r="E1923" s="12" t="n">
        <x:v>-0.06778892350396701</x:v>
      </x:c>
    </x:row>
    <x:row r="1924" ht="18" customHeight="1">
      <x:c r="A1924" s="13" t="n">
        <x:v>45492</x:v>
      </x:c>
      <x:c r="B1924" s="12" t="n">
        <x:v>0</x:v>
      </x:c>
      <x:c r="C1924" s="12" t="n">
        <x:v>0.005123166103060624</x:v>
      </x:c>
      <x:c r="D1924" s="12" t="n">
        <x:v>-0.06556581754041517</x:v>
      </x:c>
      <x:c r="E1924" s="12" t="n">
        <x:v>-0.06762660634567348</x:v>
      </x:c>
    </x:row>
    <x:row r="1925" ht="18" customHeight="1">
      <x:c r="A1925" s="13" t="n">
        <x:v>45495</x:v>
      </x:c>
      <x:c r="B1925" s="12" t="n">
        <x:v>-4</x:v>
      </x:c>
      <x:c r="C1925" s="12" t="n">
        <x:v>-0.00683044992019825</x:v>
      </x:c>
      <x:c r="D1925" s="12" t="n">
        <x:v>-0.04828013616498334</x:v>
      </x:c>
      <x:c r="E1925" s="12" t="n">
        <x:v>-0.06450201171486415</x:v>
      </x:c>
    </x:row>
    <x:row r="1926" ht="18" customHeight="1">
      <x:c r="A1926" s="13" t="n">
        <x:v>45496</x:v>
      </x:c>
      <x:c r="B1926" s="12" t="n">
        <x:v>-3</x:v>
      </x:c>
      <x:c r="C1926" s="12" t="n">
        <x:v>-0.02158218288895174</x:v>
      </x:c>
      <x:c r="D1926" s="12" t="n">
        <x:v>-0.021008099923649746</x:v>
      </x:c>
      <x:c r="E1926" s="12" t="n">
        <x:v>-0.05549381077261687</x:v>
      </x:c>
    </x:row>
    <x:row r="1927" ht="18" customHeight="1">
      <x:c r="A1927" s="13" t="n">
        <x:v>45497</x:v>
      </x:c>
      <x:c r="B1927" s="12" t="n">
        <x:v>8</x:v>
      </x:c>
      <x:c r="C1927" s="12" t="n">
        <x:v>-0.006331738875771058</x:v>
      </x:c>
      <x:c r="D1927" s="12" t="n">
        <x:v>-0.058770348264055694</x:v>
      </x:c>
      <x:c r="E1927" s="12" t="n">
        <x:v>-0.05947175249962349</x:v>
      </x:c>
    </x:row>
    <x:row r="1928" ht="18" customHeight="1">
      <x:c r="A1928" s="13" t="n">
        <x:v>45498</x:v>
      </x:c>
      <x:c r="B1928" s="12" t="n">
        <x:v>-2</x:v>
      </x:c>
      <x:c r="C1928" s="12" t="n">
        <x:v>-0.005543064317216502</x:v>
      </x:c>
      <x:c r="D1928" s="12" t="n">
        <x:v>-0.08911496427140733</x:v>
      </x:c>
      <x:c r="E1928" s="12" t="n">
        <x:v>-0.061201203070673234</x:v>
      </x:c>
    </x:row>
    <x:row r="1929" ht="18" customHeight="1">
      <x:c r="A1929" s="13" t="n">
        <x:v>45499</x:v>
      </x:c>
      <x:c r="B1929" s="12" t="n">
        <x:v>2</x:v>
      </x:c>
      <x:c r="C1929" s="12" t="n">
        <x:v>0.0029437943762596146</x:v>
      </x:c>
      <x:c r="D1929" s="12" t="n">
        <x:v>-0.08236605555826197</x:v>
      </x:c>
      <x:c r="E1929" s="12" t="n">
        <x:v>-0.05673772545743316</x:v>
      </x:c>
    </x:row>
    <x:row r="1930" ht="18" customHeight="1">
      <x:c r="A1930" s="13" t="n">
        <x:v>45502</x:v>
      </x:c>
      <x:c r="B1930" s="12" t="n">
        <x:v>3</x:v>
      </x:c>
      <x:c r="C1930" s="12" t="n">
        <x:v>-0.00545619125471861</x:v>
      </x:c>
      <x:c r="D1930" s="12" t="n">
        <x:v>-0.10042880031151427</x:v>
      </x:c>
      <x:c r="E1930" s="12" t="n">
        <x:v>-0.06286637849213235</x:v>
      </x:c>
    </x:row>
    <x:row r="1931" ht="18" customHeight="1">
      <x:c r="A1931" s="13" t="n">
        <x:v>45503</x:v>
      </x:c>
      <x:c r="B1931" s="12" t="n">
        <x:v>7</x:v>
      </x:c>
      <x:c r="C1931" s="12" t="n">
        <x:v>-0.006319402060574553</x:v>
      </x:c>
      <x:c r="D1931" s="12" t="n">
        <x:v>-0.04999930664764362</x:v>
      </x:c>
      <x:c r="E1931" s="12" t="n">
        <x:v>-0.0689465452295461</x:v>
      </x:c>
    </x:row>
    <x:row r="1932" ht="18" customHeight="1">
      <x:c r="A1932" s="13" t="n">
        <x:v>45504</x:v>
      </x:c>
      <x:c r="B1932" s="12" t="n">
        <x:v>5</x:v>
      </x:c>
      <x:c r="C1932" s="12" t="n">
        <x:v>0.02134784367895829</x:v>
      </x:c>
      <x:c r="D1932" s="12" t="n">
        <x:v>0.042723315497252286</x:v>
      </x:c>
      <x:c r="E1932" s="12" t="n">
        <x:v>-0.05890214484463183</x:v>
      </x:c>
    </x:row>
    <x:row r="1933" ht="18" customHeight="1">
      <x:c r="A1933" s="13" t="n">
        <x:v>45505</x:v>
      </x:c>
      <x:c r="B1933" s="12" t="n">
        <x:v>10</x:v>
      </x:c>
      <x:c r="C1933" s="12" t="n">
        <x:v>-0.006651134482692493</x:v>
      </x:c>
      <x:c r="D1933" s="12" t="n">
        <x:v>0.024469565459782086</x:v>
      </x:c>
      <x:c r="E1933" s="12" t="n">
        <x:v>-0.05928202887625095</x:v>
      </x:c>
    </x:row>
    <x:row r="1934" ht="18" customHeight="1">
      <x:c r="A1934" s="13" t="n">
        <x:v>45506</x:v>
      </x:c>
      <x:c r="B1934" s="12" t="n">
        <x:v>37</x:v>
      </x:c>
      <x:c r="C1934" s="12" t="n">
        <x:v>-0.010251838902348195</x:v>
      </x:c>
      <x:c r="D1934" s="12" t="n">
        <x:v>-0.07604223243224895</x:v>
      </x:c>
      <x:c r="E1934" s="12" t="n">
        <x:v>-0.08188328024628162</x:v>
      </x:c>
    </x:row>
    <x:row r="1935" ht="18" customHeight="1">
      <x:c r="A1935" s="13" t="n">
        <x:v>45509</x:v>
      </x:c>
      <x:c r="B1935" s="12" t="n">
        <x:v>21</x:v>
      </x:c>
      <x:c r="C1935" s="12" t="n">
        <x:v>-0.012209769917402505</x:v>
      </x:c>
      <x:c r="D1935" s="12" t="n">
        <x:v>-0.14429529089918058</x:v>
      </x:c>
      <x:c r="E1935" s="12" t="n">
        <x:v>-0.09678641693980632</x:v>
      </x:c>
    </x:row>
    <x:row r="1936" ht="18" customHeight="1">
      <x:c r="A1936" s="13" t="n">
        <x:v>45510</x:v>
      </x:c>
      <x:c r="B1936" s="12" t="n">
        <x:v>-26</x:v>
      </x:c>
      <x:c r="C1936" s="12" t="n">
        <x:v>-0.00010217909185965092</x:v>
      </x:c>
      <x:c r="D1936" s="12" t="n">
        <x:v>-0.13366194392295586</x:v>
      </x:c>
      <x:c r="E1936" s="12" t="n">
        <x:v>-0.09435008089879114</x:v>
      </x:c>
    </x:row>
    <x:row r="1937" ht="18" customHeight="1">
      <x:c r="A1937" s="13" t="n">
        <x:v>45511</x:v>
      </x:c>
      <x:c r="B1937" s="12" t="n">
        <x:v>-10</x:v>
      </x:c>
      <x:c r="C1937" s="12" t="n">
        <x:v>-0.0004457796931518292</x:v>
      </x:c>
      <x:c r="D1937" s="12" t="n">
        <x:v>-0.14819023845884854</x:v>
      </x:c>
      <x:c r="E1937" s="12" t="n">
        <x:v>-0.09402809787240285</x:v>
      </x:c>
    </x:row>
    <x:row r="1938" ht="18" customHeight="1">
      <x:c r="A1938" s="13" t="n">
        <x:v>45512</x:v>
      </x:c>
      <x:c r="B1938" s="12" t="n">
        <x:v>-9</x:v>
      </x:c>
      <x:c r="C1938" s="12" t="n">
        <x:v>0.00043321596927112054</x:v>
      </x:c>
      <x:c r="D1938" s="12" t="n">
        <x:v>-0.15046779102524602</x:v>
      </x:c>
      <x:c r="E1938" s="12" t="n">
        <x:v>-0.09623591199081376</x:v>
      </x:c>
    </x:row>
    <x:row r="1939" ht="18" customHeight="1">
      <x:c r="A1939" s="13" t="n">
        <x:v>45513</x:v>
      </x:c>
      <x:c r="B1939" s="12" t="n">
        <x:v>1</x:v>
      </x:c>
      <x:c r="C1939" s="12" t="n">
        <x:v>-0.003388838676227704</x:v>
      </x:c>
      <x:c r="D1939" s="12" t="n">
        <x:v>-0.15120530276288782</x:v>
      </x:c>
      <x:c r="E1939" s="12" t="n">
        <x:v>-0.10293236663322164</x:v>
      </x:c>
    </x:row>
    <x:row r="1940" ht="18" customHeight="1">
      <x:c r="A1940" s="13" t="n">
        <x:v>45516</x:v>
      </x:c>
      <x:c r="B1940" s="12" t="n">
        <x:v>3</x:v>
      </x:c>
      <x:c r="C1940" s="12" t="n">
        <x:v>-0.0017312530081779588</x:v>
      </x:c>
      <x:c r="D1940" s="12" t="n">
        <x:v>-0.15135186794255776</x:v>
      </x:c>
      <x:c r="E1940" s="12" t="n">
        <x:v>-0.1026659854860474</x:v>
      </x:c>
    </x:row>
    <x:row r="1941" ht="18" customHeight="1">
      <x:c r="A1941" s="13" t="n">
        <x:v>45517</x:v>
      </x:c>
      <x:c r="B1941" s="12" t="n">
        <x:v>2</x:v>
      </x:c>
      <x:c r="C1941" s="12" t="n">
        <x:v>0.002560203749851808</x:v>
      </x:c>
      <x:c r="D1941" s="12" t="n">
        <x:v>-0.15394976252833828</x:v>
      </x:c>
      <x:c r="E1941" s="12" t="n">
        <x:v>-0.10334157755195265</x:v>
      </x:c>
    </x:row>
    <x:row r="1942" ht="18" customHeight="1">
      <x:c r="A1942" s="13" t="n">
        <x:v>45518</x:v>
      </x:c>
      <x:c r="B1942" s="12" t="n">
        <x:v>-8</x:v>
      </x:c>
      <x:c r="C1942" s="12" t="n">
        <x:v>-0.007571620691752355</x:v>
      </x:c>
      <x:c r="D1942" s="12" t="n">
        <x:v>-0.12762840859873995</x:v>
      </x:c>
      <x:c r="E1942" s="12" t="n">
        <x:v>-0.10769571119438268</x:v>
      </x:c>
    </x:row>
    <x:row r="1943" ht="18" customHeight="1">
      <x:c r="A1943" s="13" t="n">
        <x:v>45519</x:v>
      </x:c>
      <x:c r="B1943" s="12" t="n">
        <x:v>-15</x:v>
      </x:c>
      <x:c r="C1943" s="12" t="n">
        <x:v>0.009837143267467686</x:v>
      </x:c>
      <x:c r="D1943" s="12" t="n">
        <x:v>-0.17769651583911988</x:v>
      </x:c>
      <x:c r="E1943" s="12" t="n">
        <x:v>-0.1160375595678401</x:v>
      </x:c>
    </x:row>
    <x:row r="1944" ht="18" customHeight="1">
      <x:c r="A1944" s="13" t="n">
        <x:v>45520</x:v>
      </x:c>
      <x:c r="B1944" s="12" t="n">
        <x:v>-2</x:v>
      </x:c>
      <x:c r="C1944" s="12" t="n">
        <x:v>0.0011008456029771622</x:v>
      </x:c>
      <x:c r="D1944" s="12" t="n">
        <x:v>-0.17660844988959748</x:v>
      </x:c>
      <x:c r="E1944" s="12" t="n">
        <x:v>-0.11556082616599682</x:v>
      </x:c>
    </x:row>
    <x:row r="1945" ht="18" customHeight="1">
      <x:c r="A1945" s="13" t="n">
        <x:v>45523</x:v>
      </x:c>
      <x:c r="B1945" s="12" t="n">
        <x:v>-8</x:v>
      </x:c>
      <x:c r="C1945" s="12" t="n">
        <x:v>0.0033818840233607026</x:v>
      </x:c>
      <x:c r="D1945" s="12" t="n">
        <x:v>-0.18654051275064404</x:v>
      </x:c>
      <x:c r="E1945" s="12" t="n">
        <x:v>-0.112283590145912</x:v>
      </x:c>
    </x:row>
    <x:row r="1946" ht="18" customHeight="1">
      <x:c r="A1946" s="13" t="n">
        <x:v>45524</x:v>
      </x:c>
      <x:c r="B1946" s="12" t="n">
        <x:v>4</x:v>
      </x:c>
      <x:c r="C1946" s="12" t="n">
        <x:v>-0.007254289798614261</x:v>
      </x:c>
      <x:c r="D1946" s="12" t="n">
        <x:v>-0.19658183762384304</x:v>
      </x:c>
      <x:c r="E1946" s="12" t="n">
        <x:v>-0.11587718518493702</x:v>
      </x:c>
    </x:row>
    <x:row r="1947" ht="18" customHeight="1">
      <x:c r="A1947" s="13" t="n">
        <x:v>45525</x:v>
      </x:c>
      <x:c r="B1947" s="12" t="n">
        <x:v>2</x:v>
      </x:c>
      <x:c r="C1947" s="12" t="n">
        <x:v>-0.0033266748825438617</x:v>
      </x:c>
      <x:c r="D1947" s="12" t="n">
        <x:v>-0.2044919551714696</x:v>
      </x:c>
      <x:c r="E1947" s="12" t="n">
        <x:v>-0.11744905281323872</x:v>
      </x:c>
    </x:row>
    <x:row r="1948" ht="18" customHeight="1">
      <x:c r="A1948" s="13" t="n">
        <x:v>45526</x:v>
      </x:c>
      <x:c r="B1948" s="12" t="n">
        <x:v>-6</x:v>
      </x:c>
      <x:c r="C1948" s="12" t="n">
        <x:v>-0.0025620492503788703</x:v>
      </x:c>
      <x:c r="D1948" s="12" t="n">
        <x:v>-0.20234076290368266</x:v>
      </x:c>
      <x:c r="E1948" s="12" t="n">
        <x:v>-0.11851201638249641</x:v>
      </x:c>
    </x:row>
    <x:row r="1949" ht="18" customHeight="1">
      <x:c r="A1949" s="13" t="n">
        <x:v>45527</x:v>
      </x:c>
      <x:c r="B1949" s="12" t="n">
        <x:v>-2</x:v>
      </x:c>
      <x:c r="C1949" s="12" t="n">
        <x:v>0.004233171854778825</x:v>
      </x:c>
      <x:c r="D1949" s="12" t="n">
        <x:v>-0.2120630408648393</x:v>
      </x:c>
      <x:c r="E1949" s="12" t="n">
        <x:v>-0.11861406007292279</x:v>
      </x:c>
    </x:row>
    <x:row r="1950" ht="18" customHeight="1">
      <x:c r="A1950" s="13" t="n">
        <x:v>45530</x:v>
      </x:c>
      <x:c r="B1950" s="12" t="n">
        <x:v>-4</x:v>
      </x:c>
      <x:c r="C1950" s="12" t="n">
        <x:v>-0.0008922615177230389</x:v>
      </x:c>
      <x:c r="D1950" s="12" t="n">
        <x:v>-0.21947575846344167</x:v>
      </x:c>
      <x:c r="E1950" s="12" t="n">
        <x:v>-0.11959150071849954</x:v>
      </x:c>
    </x:row>
    <x:row r="1951" ht="18" customHeight="1">
      <x:c r="A1951" s="13" t="n">
        <x:v>45531</x:v>
      </x:c>
      <x:c r="B1951" s="12" t="n">
        <x:v>2</x:v>
      </x:c>
      <x:c r="C1951" s="12" t="n">
        <x:v>-0.005698525980312443</x:v>
      </x:c>
      <x:c r="D1951" s="12" t="n">
        <x:v>-0.22721880928330157</x:v>
      </x:c>
      <x:c r="E1951" s="12" t="n">
        <x:v>-0.11884219790250561</x:v>
      </x:c>
    </x:row>
    <x:row r="1952" ht="18" customHeight="1">
      <x:c r="A1952" s="13" t="n">
        <x:v>45532</x:v>
      </x:c>
      <x:c r="B1952" s="12" t="n">
        <x:v>2</x:v>
      </x:c>
      <x:c r="C1952" s="12" t="n">
        <x:v>-0.0057156367804732594</x:v>
      </x:c>
      <x:c r="D1952" s="12" t="n">
        <x:v>-0.22526027652797886</x:v>
      </x:c>
      <x:c r="E1952" s="12" t="n">
        <x:v>-0.1207196824435436</x:v>
      </x:c>
    </x:row>
    <x:row r="1953" ht="18" customHeight="1">
      <x:c r="A1953" s="13" t="n">
        <x:v>45533</x:v>
      </x:c>
      <x:c r="B1953" s="12" t="n">
        <x:v>-4</x:v>
      </x:c>
      <x:c r="C1953" s="12" t="n">
        <x:v>-0.002685608741622298</x:v>
      </x:c>
      <x:c r="D1953" s="12" t="n">
        <x:v>-0.2226714942075788</x:v>
      </x:c>
      <x:c r="E1953" s="12" t="n">
        <x:v>-0.12205882308886648</x:v>
      </x:c>
    </x:row>
    <x:row r="1954" ht="18" customHeight="1">
      <x:c r="A1954" s="13" t="n">
        <x:v>45534</x:v>
      </x:c>
      <x:c r="B1954" s="12" t="n">
        <x:v>-2</x:v>
      </x:c>
      <x:c r="C1954" s="12" t="n">
        <x:v>0.013259884389376055</x:v>
      </x:c>
      <x:c r="D1954" s="12" t="n">
        <x:v>-0.21982723341010318</x:v>
      </x:c>
      <x:c r="E1954" s="12" t="n">
        <x:v>-0.12244296501610222</x:v>
      </x:c>
    </x:row>
    <x:row r="1955" ht="18" customHeight="1">
      <x:c r="A1955" s="13" t="n">
        <x:v>45537</x:v>
      </x:c>
      <x:c r="B1955" s="12" t="n">
        <x:v>0</x:v>
      </x:c>
      <x:c r="C1955" s="12" t="n">
        <x:v>-0.017132973769498065</x:v>
      </x:c>
      <x:c r="D1955" s="12" t="n">
        <x:v>-0.22831346662115282</x:v>
      </x:c>
      <x:c r="E1955" s="12" t="n">
        <x:v>-0.1238582290354681</x:v>
      </x:c>
    </x:row>
    <x:row r="1956" ht="18" customHeight="1">
      <x:c r="A1956" s="13" t="n">
        <x:v>45538</x:v>
      </x:c>
      <x:c r="B1956" s="12" t="n">
        <x:v>14</x:v>
      </x:c>
      <x:c r="C1956" s="12" t="n">
        <x:v>0.0025746831597963783</x:v>
      </x:c>
      <x:c r="D1956" s="12" t="n">
        <x:v>-0.20883595159610505</x:v>
      </x:c>
      <x:c r="E1956" s="12" t="n">
        <x:v>-0.12464045453155898</x:v>
      </x:c>
    </x:row>
    <x:row r="1957" ht="18" customHeight="1">
      <x:c r="A1957" s="13" t="n">
        <x:v>45539</x:v>
      </x:c>
      <x:c r="B1957" s="12" t="n">
        <x:v>4</x:v>
      </x:c>
      <x:c r="C1957" s="12" t="n">
        <x:v>-0.006516917291298055</x:v>
      </x:c>
      <x:c r="D1957" s="12" t="n">
        <x:v>-0.21307525982306805</x:v>
      </x:c>
      <x:c r="E1957" s="12" t="n">
        <x:v>-0.12094377584457258</x:v>
      </x:c>
    </x:row>
    <x:row r="1958" ht="18" customHeight="1">
      <x:c r="A1958" s="13" t="n">
        <x:v>45540</x:v>
      </x:c>
      <x:c r="B1958" s="12" t="n">
        <x:v>-6</x:v>
      </x:c>
      <x:c r="C1958" s="12" t="n">
        <x:v>0.001718269673482513</x:v>
      </x:c>
      <x:c r="D1958" s="12" t="n">
        <x:v>-0.22351944013206593</x:v>
      </x:c>
      <x:c r="E1958" s="12" t="n">
        <x:v>-0.1269954617459644</x:v>
      </x:c>
    </x:row>
    <x:row r="1959" ht="18" customHeight="1">
      <x:c r="A1959" s="13" t="n">
        <x:v>45541</x:v>
      </x:c>
      <x:c r="B1959" s="12" t="n">
        <x:v>10</x:v>
      </x:c>
      <x:c r="C1959" s="12" t="n">
        <x:v>-0.008140491473246482</x:v>
      </x:c>
      <x:c r="D1959" s="12" t="n">
        <x:v>-0.23215528035037178</x:v>
      </x:c>
      <x:c r="E1959" s="12" t="n">
        <x:v>-0.12984428894141367</x:v>
      </x:c>
    </x:row>
    <x:row r="1960" ht="18" customHeight="1">
      <x:c r="A1960" s="13" t="n">
        <x:v>45544</x:v>
      </x:c>
      <x:c r="B1960" s="12" t="n">
        <x:v>-3</x:v>
      </x:c>
      <x:c r="C1960" s="12" t="n">
        <x:v>-0.01195292039801617</x:v>
      </x:c>
      <x:c r="D1960" s="12" t="n">
        <x:v>-0.21601017911003126</x:v>
      </x:c>
      <x:c r="E1960" s="12" t="n">
        <x:v>-0.12889038038688594</x:v>
      </x:c>
    </x:row>
    <x:row r="1961" ht="18" customHeight="1">
      <x:c r="A1961" s="13" t="n">
        <x:v>45545</x:v>
      </x:c>
      <x:c r="B1961" s="12" t="n">
        <x:v>10</x:v>
      </x:c>
      <x:c r="C1961" s="12" t="n">
        <x:v>0.000877673766456223</x:v>
      </x:c>
      <x:c r="D1961" s="12" t="n">
        <x:v>-0.19970042115539938</x:v>
      </x:c>
      <x:c r="E1961" s="12" t="n">
        <x:v>-0.127032592003144</x:v>
      </x:c>
    </x:row>
    <x:row r="1962" ht="18" customHeight="1">
      <x:c r="A1962" s="13" t="n">
        <x:v>45546</x:v>
      </x:c>
      <x:c r="B1962" s="12" t="n">
        <x:v>-2</x:v>
      </x:c>
      <x:c r="C1962" s="12" t="n">
        <x:v>-0.003016446440987152</x:v>
      </x:c>
      <x:c r="D1962" s="12" t="n">
        <x:v>-0.2165091931752614</x:v>
      </x:c>
      <x:c r="E1962" s="12" t="n">
        <x:v>-0.12691119308972337</x:v>
      </x:c>
    </x:row>
    <x:row r="1963" ht="18" customHeight="1">
      <x:c r="A1963" s="13" t="n">
        <x:v>45547</x:v>
      </x:c>
      <x:c r="B1963" s="12" t="n">
        <x:v>-5</x:v>
      </x:c>
      <x:c r="C1963" s="12" t="n">
        <x:v>-0.004295036993443384</x:v>
      </x:c>
      <x:c r="D1963" s="12" t="n">
        <x:v>-0.21194167331112784</x:v>
      </x:c>
      <x:c r="E1963" s="12" t="n">
        <x:v>-0.1229124741661193</x:v>
      </x:c>
    </x:row>
    <x:row r="1964" ht="18" customHeight="1">
      <x:c r="A1964" s="13" t="n">
        <x:v>45548</x:v>
      </x:c>
      <x:c r="B1964" s="12" t="n">
        <x:v>-2</x:v>
      </x:c>
      <x:c r="C1964" s="12" t="n">
        <x:v>-0.004178237727577415</x:v>
      </x:c>
      <x:c r="D1964" s="12" t="n">
        <x:v>-0.20838386576961698</x:v>
      </x:c>
      <x:c r="E1964" s="12" t="n">
        <x:v>-0.12379944678675847</x:v>
      </x:c>
    </x:row>
    <x:row r="1965" ht="18" customHeight="1">
      <x:c r="A1965" s="13" t="n">
        <x:v>45553</x:v>
      </x:c>
      <x:c r="B1965" s="12" t="n">
        <x:v>-4</x:v>
      </x:c>
      <x:c r="C1965" s="12" t="n">
        <x:v>0.003716504138199999</x:v>
      </x:c>
      <x:c r="D1965" s="12" t="n">
        <x:v>-0.2135530604236543</x:v>
      </x:c>
      <x:c r="E1965" s="12" t="n">
        <x:v>-0.12492050076304481</x:v>
      </x:c>
    </x:row>
    <x:row r="1966" ht="18" customHeight="1">
      <x:c r="A1966" s="13" t="n">
        <x:v>45554</x:v>
      </x:c>
      <x:c r="B1966" s="12" t="n">
        <x:v>-11</x:v>
      </x:c>
      <x:c r="C1966" s="12" t="n">
        <x:v>0.007860985852472009</x:v>
      </x:c>
      <x:c r="D1966" s="12" t="n">
        <x:v>-0.2383924709433297</x:v>
      </x:c>
      <x:c r="E1966" s="12" t="n">
        <x:v>-0.12871756769344606</x:v>
      </x:c>
    </x:row>
    <x:row r="1967" ht="18" customHeight="1">
      <x:c r="A1967" s="13" t="n">
        <x:v>45555</x:v>
      </x:c>
      <x:c r="B1967" s="12" t="n">
        <x:v>5</x:v>
      </x:c>
      <x:c r="C1967" s="12" t="n">
        <x:v>0.0015675892107855256</x:v>
      </x:c>
      <x:c r="D1967" s="12" t="n">
        <x:v>-0.2337173084798442</x:v>
      </x:c>
      <x:c r="E1967" s="12" t="n">
        <x:v>-0.12600533470244324</x:v>
      </x:c>
    </x:row>
    <x:row r="1968" ht="18" customHeight="1">
      <x:c r="A1968" s="13" t="n">
        <x:v>45558</x:v>
      </x:c>
      <x:c r="B1968" s="12" t="n">
        <x:v>0</x:v>
      </x:c>
      <x:c r="C1968" s="12" t="n">
        <x:v>0.0036528074421164</x:v>
      </x:c>
      <x:c r="D1968" s="12" t="n">
        <x:v>-0.23574338637503223</x:v>
      </x:c>
      <x:c r="E1968" s="12" t="n">
        <x:v>-0.1270776942363776</x:v>
      </x:c>
    </x:row>
    <x:row r="1969" ht="18" customHeight="1">
      <x:c r="A1969" s="13" t="n">
        <x:v>45559</x:v>
      </x:c>
      <x:c r="B1969" s="12" t="n">
        <x:v>6</x:v>
      </x:c>
      <x:c r="C1969" s="12" t="n">
        <x:v>0.04239843957265368</x:v>
      </x:c>
      <x:c r="D1969" s="12" t="n">
        <x:v>-0.13127929891557155</x:v>
      </x:c>
      <x:c r="E1969" s="12" t="n">
        <x:v>-0.1014605929768273</x:v>
      </x:c>
    </x:row>
    <x:row r="1970" ht="18" customHeight="1">
      <x:c r="A1970" s="13" t="n">
        <x:v>45560</x:v>
      </x:c>
      <x:c r="B1970" s="12" t="n">
        <x:v>-2</x:v>
      </x:c>
      <x:c r="C1970" s="12" t="n">
        <x:v>0.014696178078189136</x:v>
      </x:c>
      <x:c r="D1970" s="12" t="n">
        <x:v>-0.13405808406433362</x:v>
      </x:c>
      <x:c r="E1970" s="12" t="n">
        <x:v>-0.10227057219016995</x:v>
      </x:c>
    </x:row>
    <x:row r="1971" ht="18" customHeight="1">
      <x:c r="A1971" s="13" t="n">
        <x:v>45561</x:v>
      </x:c>
      <x:c r="B1971" s="12" t="n">
        <x:v>-5</x:v>
      </x:c>
      <x:c r="C1971" s="12" t="n">
        <x:v>0.04140232435989194</x:v>
      </x:c>
      <x:c r="D1971" s="12" t="n">
        <x:v>-0.15079013414047593</x:v>
      </x:c>
      <x:c r="E1971" s="12" t="n">
        <x:v>-0.10713664084712915</x:v>
      </x:c>
    </x:row>
    <x:row r="1972" ht="18" customHeight="1">
      <x:c r="A1972" s="13" t="n">
        <x:v>45562</x:v>
      </x:c>
      <x:c r="B1972" s="12" t="n">
        <x:v>0</x:v>
      </x:c>
      <x:c r="C1972" s="12" t="n">
        <x:v>0.04369970625282989</x:v>
      </x:c>
      <x:c r="D1972" s="12" t="n">
        <x:v>-0.1332695157240702</x:v>
      </x:c>
      <x:c r="E1972" s="12" t="n">
        <x:v>-0.10315448290982701</x:v>
      </x:c>
    </x:row>
    <x:row r="1973" ht="18" customHeight="1">
      <x:c r="A1973" s="13" t="n">
        <x:v>45565</x:v>
      </x:c>
      <x:c r="B1973" s="12" t="n">
        <x:v>-11</x:v>
      </x:c>
      <x:c r="C1973" s="12" t="n">
        <x:v>0.08141981072040237</x:v>
      </x:c>
      <x:c r="D1973" s="12" t="n">
        <x:v>-0.2070473301398319</x:v>
      </x:c>
      <x:c r="E1973" s="12" t="n">
        <x:v>-0.13635221952046775</x:v>
      </x:c>
    </x:row>
    <x:row r="1974" ht="18" customHeight="1">
      <x:c r="A1974" s="13" t="n">
        <x:v>45573</x:v>
      </x:c>
      <x:c r="B1974" s="12" t="n">
        <x:v>4</x:v>
      </x:c>
      <x:c r="C1974" s="12" t="n">
        <x:v>0.0576043014760725</x:v>
      </x:c>
      <x:c r="D1974" s="12" t="n">
        <x:v>-0.16230525929108194</x:v>
      </x:c>
      <x:c r="E1974" s="12" t="n">
        <x:v>-0.11623675137900127</x:v>
      </x:c>
    </x:row>
    <x:row r="1975" ht="18" customHeight="1">
      <x:c r="A1975" s="13" t="n">
        <x:v>45574</x:v>
      </x:c>
      <x:c r="B1975" s="12" t="n">
        <x:v>-5</x:v>
      </x:c>
      <x:c r="C1975" s="12" t="n">
        <x:v>-0.0731230111826069</x:v>
      </x:c>
      <x:c r="D1975" s="12" t="n">
        <x:v>-0.10447716116412885</x:v>
      </x:c>
      <x:c r="E1975" s="12" t="n">
        <x:v>-0.09098671749246676</x:v>
      </x:c>
    </x:row>
    <x:row r="1976" ht="18" customHeight="1">
      <x:c r="A1976" s="13" t="n">
        <x:v>45575</x:v>
      </x:c>
      <x:c r="B1976" s="12" t="n">
        <x:v>5</x:v>
      </x:c>
      <x:c r="C1976" s="12" t="n">
        <x:v>0.010511839160420986</x:v>
      </x:c>
      <x:c r="D1976" s="12" t="n">
        <x:v>-0.09980797706451747</x:v>
      </x:c>
      <x:c r="E1976" s="12" t="n">
        <x:v>-0.08865148648209516</x:v>
      </x:c>
    </x:row>
    <x:row r="1977" ht="18" customHeight="1">
      <x:c r="A1977" s="13" t="n">
        <x:v>45576</x:v>
      </x:c>
      <x:c r="B1977" s="12" t="n">
        <x:v>-1</x:v>
      </x:c>
      <x:c r="C1977" s="12" t="n">
        <x:v>-0.028060568472753827</x:v>
      </x:c>
      <x:c r="D1977" s="12" t="n">
        <x:v>-0.09436785089579845</x:v>
      </x:c>
      <x:c r="E1977" s="12" t="n">
        <x:v>-0.08646299193278568</x:v>
      </x:c>
    </x:row>
    <x:row r="1978" ht="18" customHeight="1">
      <x:c r="A1978" s="13" t="n">
        <x:v>45579</x:v>
      </x:c>
      <x:c r="B1978" s="12" t="n">
        <x:v>-1</x:v>
      </x:c>
      <x:c r="C1978" s="12" t="n">
        <x:v>0.01890234304887516</x:v>
      </x:c>
      <x:c r="D1978" s="12" t="n">
        <x:v>-0.1029399847993775</x:v>
      </x:c>
      <x:c r="E1978" s="12" t="n">
        <x:v>-0.08749343535261486</x:v>
      </x:c>
    </x:row>
    <x:row r="1979" ht="18" customHeight="1">
      <x:c r="A1979" s="13" t="n">
        <x:v>45580</x:v>
      </x:c>
      <x:c r="B1979" s="12" t="n">
        <x:v>-4</x:v>
      </x:c>
      <x:c r="C1979" s="12" t="n">
        <x:v>-0.026953903587968227</x:v>
      </x:c>
      <x:c r="D1979" s="12" t="n">
        <x:v>-0.0916900739430446</x:v>
      </x:c>
      <x:c r="E1979" s="12" t="n">
        <x:v>-0.0820112101134593</x:v>
      </x:c>
    </x:row>
    <x:row r="1980" ht="18" customHeight="1">
      <x:c r="A1980" s="13" t="n">
        <x:v>45581</x:v>
      </x:c>
      <x:c r="B1980" s="12" t="n">
        <x:v>-3</x:v>
      </x:c>
      <x:c r="C1980" s="12" t="n">
        <x:v>-0.006349454474184984</x:v>
      </x:c>
      <x:c r="D1980" s="12" t="n">
        <x:v>-0.09130366264818805</x:v>
      </x:c>
      <x:c r="E1980" s="12" t="n">
        <x:v>-0.08212659011301211</x:v>
      </x:c>
    </x:row>
    <x:row r="1981" ht="18" customHeight="1">
      <x:c r="A1981" s="13" t="n">
        <x:v>45582</x:v>
      </x:c>
      <x:c r="B1981" s="12" t="n">
        <x:v>-1</x:v>
      </x:c>
      <x:c r="C1981" s="12" t="n">
        <x:v>-0.011382899120795377</x:v>
      </x:c>
      <x:c r="D1981" s="12" t="n">
        <x:v>-0.0912914566703279</x:v>
      </x:c>
      <x:c r="E1981" s="12" t="n">
        <x:v>-0.07702557334798243</x:v>
      </x:c>
    </x:row>
    <x:row r="1982" ht="18" customHeight="1">
      <x:c r="A1982" s="13" t="n">
        <x:v>45583</x:v>
      </x:c>
      <x:c r="B1982" s="12" t="n">
        <x:v>-1</x:v>
      </x:c>
      <x:c r="C1982" s="12" t="n">
        <x:v>0.035529266753357894</x:v>
      </x:c>
      <x:c r="D1982" s="12" t="n">
        <x:v>-0.09169863165440925</x:v>
      </x:c>
      <x:c r="E1982" s="12" t="n">
        <x:v>-0.08079295825168646</x:v>
      </x:c>
    </x:row>
    <x:row r="1983" ht="18" customHeight="1">
      <x:c r="A1983" s="13" t="n">
        <x:v>45586</x:v>
      </x:c>
      <x:c r="B1983" s="12" t="n">
        <x:v>0</x:v>
      </x:c>
      <x:c r="C1983" s="12" t="n">
        <x:v>0.002535078503685626</x:v>
      </x:c>
      <x:c r="D1983" s="12" t="n">
        <x:v>-0.09249701672606946</x:v>
      </x:c>
      <x:c r="E1983" s="12" t="n">
        <x:v>-0.07948259944552236</x:v>
      </x:c>
    </x:row>
    <x:row r="1984" ht="18" customHeight="1">
      <x:c r="A1984" s="13" t="n">
        <x:v>45587</x:v>
      </x:c>
      <x:c r="B1984" s="12" t="n">
        <x:v>4</x:v>
      </x:c>
      <x:c r="C1984" s="12" t="n">
        <x:v>0.005721079210379723</x:v>
      </x:c>
      <x:c r="D1984" s="12" t="n">
        <x:v>-0.08919271562326685</x:v>
      </x:c>
      <x:c r="E1984" s="12" t="n">
        <x:v>-0.07638888409342717</x:v>
      </x:c>
    </x:row>
    <x:row r="1985" ht="18" customHeight="1">
      <x:c r="A1985" s="13" t="n">
        <x:v>45588</x:v>
      </x:c>
      <x:c r="B1985" s="12" t="n">
        <x:v>3</x:v>
      </x:c>
      <x:c r="C1985" s="12" t="n">
        <x:v>0.0038919303588495634</x:v>
      </x:c>
      <x:c r="D1985" s="12" t="n">
        <x:v>-0.08848765814692329</x:v>
      </x:c>
      <x:c r="E1985" s="12" t="n">
        <x:v>-0.07571483121145849</x:v>
      </x:c>
    </x:row>
    <x:row r="1986" ht="18" customHeight="1">
      <x:c r="A1986" s="13" t="n">
        <x:v>45589</x:v>
      </x:c>
      <x:c r="B1986" s="12" t="n">
        <x:v>-2</x:v>
      </x:c>
      <x:c r="C1986" s="12" t="n">
        <x:v>-0.011231518334287871</x:v>
      </x:c>
      <x:c r="D1986" s="12" t="n">
        <x:v>-0.08575299601942564</x:v>
      </x:c>
      <x:c r="E1986" s="12" t="n">
        <x:v>-0.07395102530137938</x:v>
      </x:c>
    </x:row>
    <x:row r="1987" ht="18" customHeight="1">
      <x:c r="A1987" s="13" t="n">
        <x:v>45590</x:v>
      </x:c>
      <x:c r="B1987" s="12" t="n">
        <x:v>-4</x:v>
      </x:c>
      <x:c r="C1987" s="12" t="n">
        <x:v>0.006997291694767125</x:v>
      </x:c>
      <x:c r="D1987" s="12" t="n">
        <x:v>-0.08749196624497924</x:v>
      </x:c>
      <x:c r="E1987" s="12" t="n">
        <x:v>-0.07487746320560965</x:v>
      </x:c>
    </x:row>
    <x:row r="1988" ht="18" customHeight="1">
      <x:c r="A1988" s="13" t="n">
        <x:v>45593</x:v>
      </x:c>
      <x:c r="B1988" s="12" t="n">
        <x:v>-7</x:v>
      </x:c>
      <x:c r="C1988" s="12" t="n">
        <x:v>0.001953368190416609</x:v>
      </x:c>
      <x:c r="D1988" s="12" t="n">
        <x:v>-0.09046911082834112</x:v>
      </x:c>
      <x:c r="E1988" s="12" t="n">
        <x:v>-0.07819588513574821</x:v>
      </x:c>
    </x:row>
    <x:row r="1989" ht="18" customHeight="1">
      <x:c r="A1989" s="13" t="n">
        <x:v>45594</x:v>
      </x:c>
      <x:c r="B1989" s="12" t="n">
        <x:v>3</x:v>
      </x:c>
      <x:c r="C1989" s="12" t="n">
        <x:v>-0.010016276431536042</x:v>
      </x:c>
      <x:c r="D1989" s="12" t="n">
        <x:v>-0.10094240279000077</x:v>
      </x:c>
      <x:c r="E1989" s="12" t="n">
        <x:v>-0.0796450072523062</x:v>
      </x:c>
    </x:row>
    <x:row r="1990" ht="18" customHeight="1">
      <x:c r="A1990" s="13" t="n">
        <x:v>45595</x:v>
      </x:c>
      <x:c r="B1990" s="12" t="n">
        <x:v>-5</x:v>
      </x:c>
      <x:c r="C1990" s="12" t="n">
        <x:v>-0.009009495262216016</x:v>
      </x:c>
      <x:c r="D1990" s="12" t="n">
        <x:v>-0.09000292849967662</x:v>
      </x:c>
      <x:c r="E1990" s="12" t="n">
        <x:v>-0.07784997243391405</x:v>
      </x:c>
    </x:row>
    <x:row r="1991" ht="18" customHeight="1">
      <x:c r="A1991" s="13" t="n">
        <x:v>45596</x:v>
      </x:c>
      <x:c r="B1991" s="12" t="n">
        <x:v>8</x:v>
      </x:c>
      <x:c r="C1991" s="12" t="n">
        <x:v>0.00040894606118007065</x:v>
      </x:c>
      <x:c r="D1991" s="12" t="n">
        <x:v>-0.09202976038380896</x:v>
      </x:c>
      <x:c r="E1991" s="12" t="n">
        <x:v>-0.07501122950714534</x:v>
      </x:c>
    </x:row>
    <x:row r="1992" ht="18" customHeight="1">
      <x:c r="A1992" s="13" t="n">
        <x:v>45597</x:v>
      </x:c>
      <x:c r="B1992" s="12" t="n">
        <x:v>-5</x:v>
      </x:c>
      <x:c r="C1992" s="12" t="n">
        <x:v>-0.0002619951571971654</x:v>
      </x:c>
      <x:c r="D1992" s="12" t="n">
        <x:v>-0.09091541274742444</x:v>
      </x:c>
      <x:c r="E1992" s="12" t="n">
        <x:v>-0.07616582791528596</x:v>
      </x:c>
    </x:row>
    <x:row r="1993" ht="18" customHeight="1">
      <x:c r="A1993" s="13" t="n">
        <x:v>45600</x:v>
      </x:c>
      <x:c r="B1993" s="12" t="n">
        <x:v>4</x:v>
      </x:c>
      <x:c r="C1993" s="12" t="n">
        <x:v>0.013974221471078057</x:v>
      </x:c>
      <x:c r="D1993" s="12" t="n">
        <x:v>-0.08399762429819654</x:v>
      </x:c>
      <x:c r="E1993" s="12" t="n">
        <x:v>-0.0728958540287476</x:v>
      </x:c>
    </x:row>
    <x:row r="1994" ht="18" customHeight="1">
      <x:c r="A1994" s="13" t="n">
        <x:v>45601</x:v>
      </x:c>
      <x:c r="B1994" s="12" t="n">
        <x:v>-1</x:v>
      </x:c>
      <x:c r="C1994" s="12" t="n">
        <x:v>0.024987261296340286</x:v>
      </x:c>
      <x:c r="D1994" s="12" t="n">
        <x:v>-0.07949455538587802</x:v>
      </x:c>
      <x:c r="E1994" s="12" t="n">
        <x:v>-0.07035370392086361</x:v>
      </x:c>
    </x:row>
    <x:row r="1995" ht="18" customHeight="1">
      <x:c r="A1995" s="13" t="n">
        <x:v>45602</x:v>
      </x:c>
      <x:c r="B1995" s="12" t="n">
        <x:v>-12</x:v>
      </x:c>
      <x:c r="C1995" s="12" t="n">
        <x:v>-0.0050290756876604685</x:v>
      </x:c>
      <x:c r="D1995" s="12" t="n">
        <x:v>-0.08006223057792144</x:v>
      </x:c>
      <x:c r="E1995" s="12" t="n">
        <x:v>-0.061966146954940154</x:v>
      </x:c>
    </x:row>
    <x:row r="1996" ht="18" customHeight="1">
      <x:c r="A1996" s="13" t="n">
        <x:v>45603</x:v>
      </x:c>
      <x:c r="B1996" s="12" t="n">
        <x:v>-1</x:v>
      </x:c>
      <x:c r="C1996" s="12" t="n">
        <x:v>0.02972371146306609</x:v>
      </x:c>
      <x:c r="D1996" s="12" t="n">
        <x:v>-0.071890627047627</x:v>
      </x:c>
      <x:c r="E1996" s="12" t="n">
        <x:v>-0.05751815103849988</x:v>
      </x:c>
    </x:row>
    <x:row r="1997" ht="18" customHeight="1">
      <x:c r="A1997" s="13" t="n">
        <x:v>45604</x:v>
      </x:c>
      <x:c r="B1997" s="12" t="n">
        <x:v>-10</x:v>
      </x:c>
      <x:c r="C1997" s="12" t="n">
        <x:v>-0.010096934623952768</x:v>
      </x:c>
      <x:c r="D1997" s="12" t="n">
        <x:v>-0.018235391656089672</x:v>
      </x:c>
      <x:c r="E1997" s="12" t="n">
        <x:v>-0.05288815441025964</x:v>
      </x:c>
    </x:row>
    <x:row r="1998" ht="18" customHeight="1">
      <x:c r="A1998" s="13" t="n">
        <x:v>45607</x:v>
      </x:c>
      <x:c r="B1998" s="12" t="n">
        <x:v>0</x:v>
      </x:c>
      <x:c r="C1998" s="12" t="n">
        <x:v>0.006577707730125924</x:v>
      </x:c>
      <x:c r="D1998" s="12" t="n">
        <x:v>0.022668293929433436</x:v>
      </x:c>
      <x:c r="E1998" s="12" t="n">
        <x:v>-0.05158381919593254</x:v>
      </x:c>
    </x:row>
    <x:row r="1999" ht="18" customHeight="1">
      <x:c r="A1999" s="13" t="n">
        <x:v>45608</x:v>
      </x:c>
      <x:c r="B1999" s="12" t="n">
        <x:v>-2</x:v>
      </x:c>
      <x:c r="C1999" s="12" t="n">
        <x:v>-0.011047671056907763</x:v>
      </x:c>
      <x:c r="D1999" s="12" t="n">
        <x:v>0.015274043338258558</x:v>
      </x:c>
      <x:c r="E1999" s="12" t="n">
        <x:v>-0.050111909429730025</x:v>
      </x:c>
    </x:row>
    <x:row r="2000" ht="18" customHeight="1">
      <x:c r="A2000" s="13" t="n">
        <x:v>45609</x:v>
      </x:c>
      <x:c r="B2000" s="12" t="n">
        <x:v>3</x:v>
      </x:c>
      <x:c r="C2000" s="12" t="n">
        <x:v>0.006135977685628404</x:v>
      </x:c>
      <x:c r="D2000" s="12" t="n">
        <x:v>0.012800040648380976</x:v>
      </x:c>
      <x:c r="E2000" s="12" t="n">
        <x:v>-0.05092300926777062</x:v>
      </x:c>
    </x:row>
    <x:row r="2001" ht="18" customHeight="1">
      <x:c r="A2001" s="13" t="n">
        <x:v>45610</x:v>
      </x:c>
      <x:c r="B2001" s="12" t="n">
        <x:v>-4</x:v>
      </x:c>
      <x:c r="C2001" s="12" t="n">
        <x:v>-0.017489169053457043</x:v>
      </x:c>
      <x:c r="D2001" s="12" t="n">
        <x:v>0.01806277921978891</x:v>
      </x:c>
      <x:c r="E2001" s="12" t="n">
        <x:v>-0.05026687549786979</x:v>
      </x:c>
    </x:row>
    <x:row r="2002" ht="18" customHeight="1">
      <x:c r="A2002" s="13" t="n">
        <x:v>45611</x:v>
      </x:c>
      <x:c r="B2002" s="12" t="n">
        <x:v>12</x:v>
      </x:c>
      <x:c r="C2002" s="12" t="n">
        <x:v>-0.01767886284325673</x:v>
      </x:c>
      <x:c r="D2002" s="12" t="n">
        <x:v>-0.01690517233177654</x:v>
      </x:c>
      <x:c r="E2002" s="12" t="n">
        <x:v>-0.059597463668713144</x:v>
      </x:c>
    </x:row>
    <x:row r="2003" ht="18" customHeight="1">
      <x:c r="A2003" s="13" t="n">
        <x:v>45614</x:v>
      </x:c>
      <x:c r="B2003" s="12" t="n">
        <x:v>0</x:v>
      </x:c>
      <x:c r="C2003" s="12" t="n">
        <x:v>-0.004659613805119821</x:v>
      </x:c>
      <x:c r="D2003" s="12" t="n">
        <x:v>-0.015546919032768072</x:v>
      </x:c>
      <x:c r="E2003" s="12" t="n">
        <x:v>-0.061062794135077855</x:v>
      </x:c>
    </x:row>
    <x:row r="2004" ht="18" customHeight="1">
      <x:c r="A2004" s="13" t="n">
        <x:v>45615</x:v>
      </x:c>
      <x:c r="B2004" s="12" t="n">
        <x:v>-3</x:v>
      </x:c>
      <x:c r="C2004" s="12" t="n">
        <x:v>0.00668847984521444</x:v>
      </x:c>
      <x:c r="D2004" s="12" t="n">
        <x:v>-0.0165026493266042</x:v>
      </x:c>
      <x:c r="E2004" s="12" t="n">
        <x:v>-0.06159463808531726</x:v>
      </x:c>
    </x:row>
    <x:row r="2005" ht="18" customHeight="1">
      <x:c r="A2005" s="13" t="n">
        <x:v>45616</x:v>
      </x:c>
      <x:c r="B2005" s="12" t="n">
        <x:v>-2</x:v>
      </x:c>
      <x:c r="C2005" s="12" t="n">
        <x:v>0.0022307870317534334</x:v>
      </x:c>
      <x:c r="D2005" s="12" t="n">
        <x:v>-0.02651470342659729</x:v>
      </x:c>
      <x:c r="E2005" s="12" t="n">
        <x:v>-0.07239337233901261</x:v>
      </x:c>
    </x:row>
    <x:row r="2006" ht="18" customHeight="1">
      <x:c r="A2006" s="13" t="n">
        <x:v>45617</x:v>
      </x:c>
      <x:c r="B2006" s="12" t="n">
        <x:v>-6</x:v>
      </x:c>
      <x:c r="C2006" s="12" t="n">
        <x:v>0.0008840549272616244</x:v>
      </x:c>
      <x:c r="D2006" s="12" t="n">
        <x:v>-0.012425555113161714</x:v>
      </x:c>
      <x:c r="E2006" s="12" t="n">
        <x:v>-0.06881306479396196</x:v>
      </x:c>
    </x:row>
    <x:row r="2007" ht="18" customHeight="1">
      <x:c r="A2007" s="13" t="n">
        <x:v>45618</x:v>
      </x:c>
      <x:c r="B2007" s="12" t="n">
        <x:v>0</x:v>
      </x:c>
      <x:c r="C2007" s="12" t="n">
        <x:v>-0.031472756870787426</x:v>
      </x:c>
      <x:c r="D2007" s="12" t="n">
        <x:v>-0.016408898351021387</x:v>
      </x:c>
      <x:c r="E2007" s="12" t="n">
        <x:v>-0.0666728426976708</x:v>
      </x:c>
    </x:row>
    <x:row r="2008" ht="18" customHeight="1">
      <x:c r="A2008" s="13" t="n">
        <x:v>45621</x:v>
      </x:c>
      <x:c r="B2008" s="12" t="n">
        <x:v>3</x:v>
      </x:c>
      <x:c r="C2008" s="12" t="n">
        <x:v>-0.004565338449490279</x:v>
      </x:c>
      <x:c r="D2008" s="12" t="n">
        <x:v>-0.018983109790835066</x:v>
      </x:c>
      <x:c r="E2008" s="12" t="n">
        <x:v>-0.06613307356127024</x:v>
      </x:c>
    </x:row>
    <x:row r="2009" ht="18" customHeight="1">
      <x:c r="A2009" s="13" t="n">
        <x:v>45622</x:v>
      </x:c>
      <x:c r="B2009" s="12" t="n">
        <x:v>4</x:v>
      </x:c>
      <x:c r="C2009" s="12" t="n">
        <x:v>-0.002056690784321142</x:v>
      </x:c>
      <x:c r="D2009" s="12" t="n">
        <x:v>-0.015593232480076743</x:v>
      </x:c>
      <x:c r="E2009" s="12" t="n">
        <x:v>-0.06649626415230854</x:v>
      </x:c>
    </x:row>
    <x:row r="2010" ht="18" customHeight="1">
      <x:c r="A2010" s="13" t="n">
        <x:v>45623</x:v>
      </x:c>
      <x:c r="B2010" s="12" t="n">
        <x:v>1</x:v>
      </x:c>
      <x:c r="C2010" s="12" t="n">
        <x:v>0.017260792609562207</x:v>
      </x:c>
      <x:c r="D2010" s="12" t="n">
        <x:v>-0.009941744410657455</x:v>
      </x:c>
      <x:c r="E2010" s="12" t="n">
        <x:v>-0.06509147697813127</x:v>
      </x:c>
    </x:row>
    <x:row r="2011" ht="18" customHeight="1">
      <x:c r="A2011" s="13" t="n">
        <x:v>45624</x:v>
      </x:c>
      <x:c r="B2011" s="12" t="n">
        <x:v>0</x:v>
      </x:c>
      <x:c r="C2011" s="12" t="n">
        <x:v>-0.008867923115554377</x:v>
      </x:c>
      <x:c r="D2011" s="12" t="n">
        <x:v>-0.014892697705346503</x:v>
      </x:c>
      <x:c r="E2011" s="12" t="n">
        <x:v>-0.0654671816388789</x:v>
      </x:c>
    </x:row>
    <x:row r="2012" ht="18" customHeight="1">
      <x:c r="A2012" s="13" t="n">
        <x:v>45625</x:v>
      </x:c>
      <x:c r="B2012" s="12" t="n">
        <x:v>3</x:v>
      </x:c>
      <x:c r="C2012" s="12" t="n">
        <x:v>0.01130630716142679</x:v>
      </x:c>
      <x:c r="D2012" s="12" t="n">
        <x:v>-0.01009930600541251</x:v>
      </x:c>
      <x:c r="E2012" s="12" t="n">
        <x:v>-0.06349832858042609</x:v>
      </x:c>
    </x:row>
    <x:row r="2013" ht="18" customHeight="1">
      <x:c r="A2013" s="13" t="n">
        <x:v>45628</x:v>
      </x:c>
      <x:c r="B2013" s="12" t="n">
        <x:v>-6</x:v>
      </x:c>
      <x:c r="C2013" s="12" t="n">
        <x:v>0.007896264417277947</x:v>
      </x:c>
      <x:c r="D2013" s="12" t="n">
        <x:v>-0.015826319688400748</x:v>
      </x:c>
      <x:c r="E2013" s="12" t="n">
        <x:v>-0.06552772341098494</x:v>
      </x:c>
    </x:row>
    <x:row r="2014" ht="18" customHeight="1">
      <x:c r="A2014" s="13" t="n">
        <x:v>45629</x:v>
      </x:c>
      <x:c r="B2014" s="12" t="n">
        <x:v>-2</x:v>
      </x:c>
      <x:c r="C2014" s="12" t="n">
        <x:v>0.0010783436683179219</x:v>
      </x:c>
      <x:c r="D2014" s="12" t="n">
        <x:v>-0.012466993324958126</x:v>
      </x:c>
      <x:c r="E2014" s="12" t="n">
        <x:v>-0.06480303151482196</x:v>
      </x:c>
    </x:row>
    <x:row r="2015" ht="18" customHeight="1">
      <x:c r="A2015" s="13" t="n">
        <x:v>45630</x:v>
      </x:c>
      <x:c r="B2015" s="12" t="n">
        <x:v>0</x:v>
      </x:c>
      <x:c r="C2015" s="12" t="n">
        <x:v>-0.005413153907375518</x:v>
      </x:c>
      <x:c r="D2015" s="12" t="n">
        <x:v>-0.010051952120889012</x:v>
      </x:c>
      <x:c r="E2015" s="12" t="n">
        <x:v>-0.05904406878942647</x:v>
      </x:c>
    </x:row>
    <x:row r="2016" ht="18" customHeight="1">
      <x:c r="A2016" s="13" t="n">
        <x:v>45631</x:v>
      </x:c>
      <x:c r="B2016" s="12" t="n">
        <x:v>0</x:v>
      </x:c>
      <x:c r="C2016" s="12" t="n">
        <x:v>-0.002284395923523181</x:v>
      </x:c>
      <x:c r="D2016" s="12" t="n">
        <x:v>-0.01318410635305809</x:v>
      </x:c>
      <x:c r="E2016" s="12" t="n">
        <x:v>-0.05930782733143374</x:v>
      </x:c>
    </x:row>
    <x:row r="2017" ht="18" customHeight="1">
      <x:c r="A2017" s="13" t="n">
        <x:v>45632</x:v>
      </x:c>
      <x:c r="B2017" s="12" t="n">
        <x:v>1</x:v>
      </x:c>
      <x:c r="C2017" s="12" t="n">
        <x:v>0.01306014060080671</x:v>
      </x:c>
      <x:c r="D2017" s="12" t="n">
        <x:v>-0.00880426839302634</x:v>
      </x:c>
      <x:c r="E2017" s="12" t="n">
        <x:v>-0.05783418065316478</x:v>
      </x:c>
    </x:row>
    <x:row r="2018" ht="18" customHeight="1">
      <x:c r="A2018" s="13" t="n">
        <x:v>45635</x:v>
      </x:c>
      <x:c r="B2018" s="12" t="n">
        <x:v>0</x:v>
      </x:c>
      <x:c r="C2018" s="12" t="n">
        <x:v>-0.001654896822094964</x:v>
      </x:c>
      <x:c r="D2018" s="12" t="n">
        <x:v>-0.007741658490387648</x:v>
      </x:c>
      <x:c r="E2018" s="12" t="n">
        <x:v>-0.058062774810694974</x:v>
      </x:c>
    </x:row>
    <x:row r="2019" ht="18" customHeight="1">
      <x:c r="A2019" s="13" t="n">
        <x:v>45636</x:v>
      </x:c>
      <x:c r="B2019" s="12" t="n">
        <x:v>0</x:v>
      </x:c>
      <x:c r="C2019" s="12" t="n">
        <x:v>0.007301047701793668</x:v>
      </x:c>
      <x:c r="D2019" s="12" t="n">
        <x:v>-0.006654087935910362</x:v>
      </x:c>
      <x:c r="E2019" s="12" t="n">
        <x:v>-0.060409748272495616</x:v>
      </x:c>
    </x:row>
    <x:row r="2020" ht="18" customHeight="1">
      <x:c r="A2020" s="13" t="n">
        <x:v>45637</x:v>
      </x:c>
      <x:c r="B2020" s="12" t="n">
        <x:v>-3</x:v>
      </x:c>
      <x:c r="C2020" s="12" t="n">
        <x:v>-0.0017048354140059756</x:v>
      </x:c>
      <x:c r="D2020" s="12" t="n">
        <x:v>0.002105317969531986</x:v>
      </x:c>
      <x:c r="E2020" s="12" t="n">
        <x:v>-0.0602175538125965</x:v>
      </x:c>
    </x:row>
    <x:row r="2021" ht="18" customHeight="1">
      <x:c r="A2021" s="13" t="n">
        <x:v>45638</x:v>
      </x:c>
      <x:c r="B2021" s="12" t="n">
        <x:v>2</x:v>
      </x:c>
      <x:c r="C2021" s="12" t="n">
        <x:v>0.00989713436700924</x:v>
      </x:c>
      <x:c r="D2021" s="12" t="n">
        <x:v>0.0036652380698479472</x:v>
      </x:c>
      <x:c r="E2021" s="12" t="n">
        <x:v>-0.060717575433345085</x:v>
      </x:c>
    </x:row>
    <x:row r="2022" ht="18" customHeight="1">
      <x:c r="A2022" s="13" t="n">
        <x:v>45639</x:v>
      </x:c>
      <x:c r="B2022" s="12" t="n">
        <x:v>2</x:v>
      </x:c>
      <x:c r="C2022" s="12" t="n">
        <x:v>-0.023946827354349536</x:v>
      </x:c>
      <x:c r="D2022" s="12" t="n">
        <x:v>0.0112699356582979</x:v>
      </x:c>
      <x:c r="E2022" s="12" t="n">
        <x:v>-0.061541733627014435</x:v>
      </x:c>
    </x:row>
    <x:row r="2023" ht="18" customHeight="1">
      <x:c r="A2023" s="13" t="n">
        <x:v>45642</x:v>
      </x:c>
      <x:c r="B2023" s="12" t="n">
        <x:v>1</x:v>
      </x:c>
      <x:c r="C2023" s="12" t="n">
        <x:v>-0.005440201835291532</x:v>
      </x:c>
      <x:c r="D2023" s="12" t="n">
        <x:v>0.00353948862916705</x:v>
      </x:c>
      <x:c r="E2023" s="12" t="n">
        <x:v>-0.06201000727724471</x:v>
      </x:c>
    </x:row>
    <x:row r="2024" ht="18" customHeight="1">
      <x:c r="A2024" s="13" t="n">
        <x:v>45643</x:v>
      </x:c>
      <x:c r="B2024" s="12" t="n">
        <x:v>6</x:v>
      </x:c>
      <x:c r="C2024" s="12" t="n">
        <x:v>0.002601983245875659</x:v>
      </x:c>
      <x:c r="D2024" s="12" t="n">
        <x:v>0.00710708403370746</x:v>
      </x:c>
      <x:c r="E2024" s="12" t="n">
        <x:v>-0.06576841064233123</x:v>
      </x:c>
    </x:row>
    <x:row r="2025" ht="18" customHeight="1">
      <x:c r="A2025" s="13" t="n">
        <x:v>45644</x:v>
      </x:c>
      <x:c r="B2025" s="12" t="n">
        <x:v>-2</x:v>
      </x:c>
      <x:c r="C2025" s="12" t="n">
        <x:v>0.00505005992311564</x:v>
      </x:c>
      <x:c r="D2025" s="12" t="n">
        <x:v>0.005579230677391308</x:v>
      </x:c>
      <x:c r="E2025" s="12" t="n">
        <x:v>-0.06656199692763788</x:v>
      </x:c>
    </x:row>
    <x:row r="2026" ht="18" customHeight="1">
      <x:c r="A2026" s="13" t="n">
        <x:v>45645</x:v>
      </x:c>
      <x:c r="B2026" s="12" t="n">
        <x:v>18</x:v>
      </x:c>
      <x:c r="C2026" s="12" t="n">
        <x:v>0.0009061341664248782</x:v>
      </x:c>
      <x:c r="D2026" s="12" t="n">
        <x:v>-0.006775220580581849</x:v>
      </x:c>
      <x:c r="E2026" s="12" t="n">
        <x:v>-0.0644145992154871</x:v>
      </x:c>
    </x:row>
    <x:row r="2027" ht="18" customHeight="1">
      <x:c r="A2027" s="13" t="n">
        <x:v>45646</x:v>
      </x:c>
      <x:c r="B2027" s="12" t="n">
        <x:v>-5</x:v>
      </x:c>
      <x:c r="C2027" s="12" t="n">
        <x:v>-0.0045011971784890865</x:v>
      </x:c>
      <x:c r="D2027" s="12" t="n">
        <x:v>-0.00319660108709209</x:v>
      </x:c>
      <x:c r="E2027" s="12" t="n">
        <x:v>-0.06563537308036389</x:v>
      </x:c>
    </x:row>
    <x:row r="2028" ht="18" customHeight="1">
      <x:c r="A2028" s="13" t="n">
        <x:v>45649</x:v>
      </x:c>
      <x:c r="B2028" s="12" t="n">
        <x:v>-1</x:v>
      </x:c>
      <x:c r="C2028" s="12" t="n">
        <x:v>0.001482627372226493</x:v>
      </x:c>
      <x:c r="D2028" s="12" t="n">
        <x:v>-0.002923786810948676</x:v>
      </x:c>
      <x:c r="E2028" s="12" t="n">
        <x:v>-0.06568545753108136</x:v>
      </x:c>
    </x:row>
    <x:row r="2029" ht="18" customHeight="1">
      <x:c r="A2029" s="13" t="n">
        <x:v>45650</x:v>
      </x:c>
      <x:c r="B2029" s="12" t="n">
        <x:v>1</x:v>
      </x:c>
      <x:c r="C2029" s="12" t="n">
        <x:v>0.012660205523026491</x:v>
      </x:c>
      <x:c r="D2029" s="12" t="n">
        <x:v>0.005950611566398577</x:v>
      </x:c>
      <x:c r="E2029" s="12" t="n">
        <x:v>-0.06479715518821685</x:v>
      </x:c>
    </x:row>
    <x:row r="2030" ht="18" customHeight="1">
      <x:c r="A2030" s="13" t="n">
        <x:v>45652</x:v>
      </x:c>
      <x:c r="B2030" s="12" t="n">
        <x:v>0</x:v>
      </x:c>
      <x:c r="C2030" s="12" t="n">
        <x:v>0.00046431071914930863</x:v>
      </x:c>
      <x:c r="D2030" s="12" t="n">
        <x:v>0.007416507935671341</x:v>
      </x:c>
      <x:c r="E2030" s="12" t="n">
        <x:v>-0.06506654188474698</x:v>
      </x:c>
    </x:row>
    <x:row r="2031" ht="18" customHeight="1">
      <x:c r="A2031" s="13" t="n">
        <x:v>45653</x:v>
      </x:c>
      <x:c r="B2031" s="12" t="n">
        <x:v>-2</x:v>
      </x:c>
      <x:c r="C2031" s="12" t="n">
        <x:v>-0.0016187218842093583</x:v>
      </x:c>
      <x:c r="D2031" s="12" t="n">
        <x:v>0.008640885681660016</x:v>
      </x:c>
      <x:c r="E2031" s="12" t="n">
        <x:v>-0.0647330846277047</x:v>
      </x:c>
    </x:row>
    <x:row r="2032" ht="18" customHeight="1">
      <x:c r="A2032" s="13" t="n">
        <x:v>45656</x:v>
      </x:c>
      <x:c r="B2032" s="12" t="n">
        <x:v>10</x:v>
      </x:c>
      <x:c r="C2032" s="12" t="n">
        <x:v>0.004517302583865979</x:v>
      </x:c>
      <x:c r="D2032" s="12" t="n">
        <x:v>-0.027324519862434674</x:v>
      </x:c>
      <x:c r="E2032" s="12" t="n">
        <x:v>-0.06361296946474801</x:v>
      </x:c>
    </x:row>
    <x:row r="2033" ht="18" customHeight="1">
      <x:c r="A2033" s="13" t="n">
        <x:v>45657</x:v>
      </x:c>
      <x:c r="B2033" s="12" t="n">
        <x:v>-2</x:v>
      </x:c>
      <x:c r="C2033" s="12" t="n">
        <x:v>-0.01616981953744762</x:v>
      </x:c>
      <x:c r="D2033" s="12" t="n">
        <x:v>-0.019387142853814113</x:v>
      </x:c>
      <x:c r="E2033" s="12" t="n">
        <x:v>-0.06182959428410067</x:v>
      </x:c>
    </x:row>
    <x:row r="2034" ht="18" customHeight="1">
      <x:c r="A2034" s="13" t="n">
        <x:v>45659</x:v>
      </x:c>
      <x:c r="B2034" s="12" t="n">
        <x:v>-4</x:v>
      </x:c>
      <x:c r="C2034" s="12" t="n">
        <x:v>-0.02953436590039252</x:v>
      </x:c>
      <x:c r="D2034" s="12" t="n">
        <x:v>0.026731945100050093</x:v>
      </x:c>
      <x:c r="E2034" s="12" t="n">
        <x:v>-0.053451503942357106</x:v>
      </x:c>
    </x:row>
    <x:row r="2035" ht="18" customHeight="1">
      <x:c r="A2035" s="13" t="n">
        <x:v>45660</x:v>
      </x:c>
      <x:c r="B2035" s="12" t="n">
        <x:v>-7</x:v>
      </x:c>
      <x:c r="C2035" s="12" t="n">
        <x:v>-0.011909835387467288</x:v>
      </x:c>
      <x:c r="D2035" s="12" t="n">
        <x:v>0.03785036525906236</x:v>
      </x:c>
      <x:c r="E2035" s="12" t="n">
        <x:v>-0.060962530654799264</x:v>
      </x:c>
    </x:row>
    <x:row r="2036" ht="18" customHeight="1">
      <x:c r="A2036" s="13" t="n">
        <x:v>45663</x:v>
      </x:c>
      <x:c r="B2036" s="12" t="n">
        <x:v>-5</x:v>
      </x:c>
      <x:c r="C2036" s="12" t="n">
        <x:v>-0.001642362392274843</x:v>
      </x:c>
      <x:c r="D2036" s="12" t="n">
        <x:v>0.20968256970968005</x:v>
      </x:c>
      <x:c r="E2036" s="12" t="n">
        <x:v>-0.05971666941927879</x:v>
      </x:c>
    </x:row>
    <x:row r="2037" ht="18" customHeight="1">
      <x:c r="A2037" s="13" t="n">
        <x:v>45664</x:v>
      </x:c>
      <x:c r="B2037" s="12" t="n">
        <x:v>3</x:v>
      </x:c>
      <x:c r="C2037" s="12" t="n">
        <x:v>0.00717399778957275</x:v>
      </x:c>
      <x:c r="D2037" s="12" t="n">
        <x:v>0.18451114081433714</x:v>
      </x:c>
      <x:c r="E2037" s="12" t="n">
        <x:v>-0.05856034984579117</x:v>
      </x:c>
    </x:row>
    <x:row r="2038" ht="18" customHeight="1">
      <x:c r="A2038" s="13" t="n">
        <x:v>45665</x:v>
      </x:c>
      <x:c r="B2038" s="12" t="n">
        <x:v>5</x:v>
      </x:c>
      <x:c r="C2038" s="12" t="n">
        <x:v>-0.0018167199718371108</x:v>
      </x:c>
      <x:c r="D2038" s="12" t="n">
        <x:v>0.13775525890316073</x:v>
      </x:c>
      <x:c r="E2038" s="12" t="n">
        <x:v>-0.05891455320590284</x:v>
      </x:c>
    </x:row>
    <x:row r="2039" ht="18" customHeight="1">
      <x:c r="A2039" s="13" t="n">
        <x:v>45666</x:v>
      </x:c>
      <x:c r="B2039" s="12" t="n">
        <x:v>-2</x:v>
      </x:c>
      <x:c r="C2039" s="12" t="n">
        <x:v>-0.002467404015520258</x:v>
      </x:c>
      <x:c r="D2039" s="12" t="n">
        <x:v>0.12527867037420434</x:v>
      </x:c>
      <x:c r="E2039" s="12" t="n">
        <x:v>-0.06036123056372897</x:v>
      </x:c>
    </x:row>
    <x:row r="2040" ht="18" customHeight="1">
      <x:c r="A2040" s="13" t="n">
        <x:v>45667</x:v>
      </x:c>
      <x:c r="B2040" s="12" t="n">
        <x:v>-1</x:v>
      </x:c>
      <x:c r="C2040" s="12" t="n">
        <x:v>-0.012618495958235146</x:v>
      </x:c>
      <x:c r="D2040" s="12" t="n">
        <x:v>0.1261907404207691</x:v>
      </x:c>
      <x:c r="E2040" s="12" t="n">
        <x:v>-0.058891266378047195</x:v>
      </x:c>
    </x:row>
    <x:row r="2041" ht="18" customHeight="1">
      <x:c r="A2041" s="13" t="n">
        <x:v>45670</x:v>
      </x:c>
      <x:c r="B2041" s="12" t="n">
        <x:v>4</x:v>
      </x:c>
      <x:c r="C2041" s="12" t="n">
        <x:v>-0.002674074982328549</x:v>
      </x:c>
      <x:c r="D2041" s="12" t="n">
        <x:v>0.1297290976338414</x:v>
      </x:c>
      <x:c r="E2041" s="12" t="n">
        <x:v>-0.059335491167444646</x:v>
      </x:c>
    </x:row>
    <x:row r="2042" ht="18" customHeight="1">
      <x:c r="A2042" s="13" t="n">
        <x:v>45671</x:v>
      </x:c>
      <x:c r="B2042" s="12" t="n">
        <x:v>-5</x:v>
      </x:c>
      <x:c r="C2042" s="12" t="n">
        <x:v>0.025992665166281924</x:v>
      </x:c>
      <x:c r="D2042" s="12" t="n">
        <x:v>0.0689144807046912</x:v>
      </x:c>
      <x:c r="E2042" s="12" t="n">
        <x:v>-0.06563710890970091</x:v>
      </x:c>
    </x:row>
    <x:row r="2043" ht="18" customHeight="1">
      <x:c r="A2043" s="13" t="n">
        <x:v>45672</x:v>
      </x:c>
      <x:c r="B2043" s="12" t="n">
        <x:v>-8</x:v>
      </x:c>
      <x:c r="C2043" s="12" t="n">
        <x:v>-0.00643691297361315</x:v>
      </x:c>
      <x:c r="D2043" s="12" t="n">
        <x:v>0.07602034217833642</x:v>
      </x:c>
      <x:c r="E2043" s="12" t="n">
        <x:v>-0.06233773411639967</x:v>
      </x:c>
    </x:row>
    <x:row r="2044" ht="18" customHeight="1">
      <x:c r="A2044" s="13" t="n">
        <x:v>45673</x:v>
      </x:c>
      <x:c r="B2044" s="12" t="n">
        <x:v>1</x:v>
      </x:c>
      <x:c r="C2044" s="12" t="n">
        <x:v>0.001147278966625117</x:v>
      </x:c>
      <x:c r="D2044" s="12" t="n">
        <x:v>0.07482601900038424</x:v>
      </x:c>
      <x:c r="E2044" s="12" t="n">
        <x:v>-0.06059756047752662</x:v>
      </x:c>
    </x:row>
    <x:row r="2045" ht="18" customHeight="1">
      <x:c r="A2045" s="13" t="n">
        <x:v>45674</x:v>
      </x:c>
      <x:c r="B2045" s="12" t="n">
        <x:v>-9</x:v>
      </x:c>
      <x:c r="C2045" s="12" t="n">
        <x:v>0.0031419255212209417</x:v>
      </x:c>
      <x:c r="D2045" s="12" t="n">
        <x:v>0.07693988998952092</x:v>
      </x:c>
      <x:c r="E2045" s="12" t="n">
        <x:v>-0.06202232392596051</x:v>
      </x:c>
    </x:row>
    <x:row r="2046" ht="18" customHeight="1">
      <x:c r="A2046" s="13" t="n">
        <x:v>45677</x:v>
      </x:c>
      <x:c r="B2046" s="12" t="n">
        <x:v>0</x:v>
      </x:c>
      <x:c r="C2046" s="12" t="n">
        <x:v>0.004536374234242288</x:v>
      </x:c>
      <x:c r="D2046" s="12" t="n">
        <x:v>0.07709316838732354</x:v>
      </x:c>
      <x:c r="E2046" s="12" t="n">
        <x:v>-0.05262693221215451</x:v>
      </x:c>
    </x:row>
    <x:row r="2047" ht="18" customHeight="1">
      <x:c r="A2047" s="13" t="n">
        <x:v>45678</x:v>
      </x:c>
      <x:c r="B2047" s="12" t="n">
        <x:v>-3</x:v>
      </x:c>
      <x:c r="C2047" s="12" t="n">
        <x:v>0.0007668986161828065</x:v>
      </x:c>
      <x:c r="D2047" s="12" t="n">
        <x:v>0.06900184735383953</x:v>
      </x:c>
      <x:c r="E2047" s="12" t="n">
        <x:v>-0.051049626235877325</x:v>
      </x:c>
    </x:row>
    <x:row r="2048" ht="18" customHeight="1">
      <x:c r="A2048" s="13" t="n">
        <x:v>45679</x:v>
      </x:c>
      <x:c r="B2048" s="12" t="n">
        <x:v>-2</x:v>
      </x:c>
      <x:c r="C2048" s="12" t="n">
        <x:v>-0.009331554264925018</x:v>
      </x:c>
      <x:c r="D2048" s="12" t="n">
        <x:v>0.06800262663034855</x:v>
      </x:c>
      <x:c r="E2048" s="12" t="n">
        <x:v>-0.051045831773239674</x:v>
      </x:c>
    </x:row>
    <x:row r="2049" ht="18" customHeight="1">
      <x:c r="A2049" s="13" t="n">
        <x:v>45680</x:v>
      </x:c>
      <x:c r="B2049" s="12" t="n">
        <x:v>2</x:v>
      </x:c>
      <x:c r="C2049" s="12" t="n">
        <x:v>0.0017701654345399053</x:v>
      </x:c>
      <x:c r="D2049" s="12" t="n">
        <x:v>0.06583296565072647</x:v>
      </x:c>
      <x:c r="E2049" s="12" t="n">
        <x:v>-0.051100880797522584</x:v>
      </x:c>
    </x:row>
    <x:row r="2050" ht="18" customHeight="1">
      <x:c r="A2050" s="13" t="n">
        <x:v>45681</x:v>
      </x:c>
      <x:c r="B2050" s="12" t="n">
        <x:v>-1</x:v>
      </x:c>
      <x:c r="C2050" s="12" t="n">
        <x:v>0.007626407605101042</x:v>
      </x:c>
      <x:c r="D2050" s="12" t="n">
        <x:v>0.0722883243956698</x:v>
      </x:c>
      <x:c r="E2050" s="12" t="n">
        <x:v>-0.054712106694445546</x:v>
      </x:c>
    </x:row>
    <x:row r="2051" ht="18" customHeight="1">
      <x:c r="A2051" s="13" t="n">
        <x:v>45684</x:v>
      </x:c>
      <x:c r="B2051" s="12" t="n">
        <x:v>6</x:v>
      </x:c>
      <x:c r="C2051" s="12" t="n">
        <x:v>-0.004126441344529745</x:v>
      </x:c>
      <x:c r="D2051" s="12" t="n">
        <x:v>0.0705909901717787</x:v>
      </x:c>
      <x:c r="E2051" s="12" t="n">
        <x:v>-0.05585456395866219</x:v>
      </x:c>
    </x:row>
    <x:row r="2052" ht="18" customHeight="1">
      <x:c r="A2052" s="13" t="n">
        <x:v>45693</x:v>
      </x:c>
      <x:c r="B2052" s="12" t="n">
        <x:v>-2</x:v>
      </x:c>
      <x:c r="C2052" s="12" t="n">
        <x:v>-0.005779029018766741</x:v>
      </x:c>
      <x:c r="D2052" s="12" t="n">
        <x:v>0.08239845747292301</x:v>
      </x:c>
      <x:c r="E2052" s="12" t="n">
        <x:v>-0.05784927636476389</x:v>
      </x:c>
    </x:row>
    <x:row r="2053" ht="18" customHeight="1">
      <x:c r="A2053" s="13" t="n">
        <x:v>45694</x:v>
      </x:c>
      <x:c r="B2053" s="12" t="n">
        <x:v>-3</x:v>
      </x:c>
      <x:c r="C2053" s="12" t="n">
        <x:v>0.012502682856300004</x:v>
      </x:c>
      <x:c r="D2053" s="12" t="n">
        <x:v>0.06132279820210361</x:v>
      </x:c>
      <x:c r="E2053" s="12" t="n">
        <x:v>-0.06085721132169967</x:v>
      </x:c>
    </x:row>
    <x:row r="2054" ht="18" customHeight="1">
      <x:c r="A2054" s="13" t="n">
        <x:v>45695</x:v>
      </x:c>
      <x:c r="B2054" s="12" t="n">
        <x:v>1</x:v>
      </x:c>
      <x:c r="C2054" s="12" t="n">
        <x:v>0.012894284916242608</x:v>
      </x:c>
      <x:c r="D2054" s="12" t="n">
        <x:v>0.06603202133458484</x:v>
      </x:c>
      <x:c r="E2054" s="12" t="n">
        <x:v>-0.059714739650168026</x:v>
      </x:c>
    </x:row>
    <x:row r="2055" ht="18" customHeight="1">
      <x:c r="A2055" s="13" t="n">
        <x:v>45698</x:v>
      </x:c>
      <x:c r="B2055" s="12" t="n">
        <x:v>-1</x:v>
      </x:c>
      <x:c r="C2055" s="12" t="n">
        <x:v>0.0021450489292795475</x:v>
      </x:c>
      <x:c r="D2055" s="12" t="n">
        <x:v>0.06575277184263434</x:v>
      </x:c>
      <x:c r="E2055" s="12" t="n">
        <x:v>-0.05992427252908184</x:v>
      </x:c>
    </x:row>
    <x:row r="2056" ht="18" customHeight="1">
      <x:c r="A2056" s="13" t="n">
        <x:v>45699</x:v>
      </x:c>
      <x:c r="B2056" s="12" t="n">
        <x:v>0</x:v>
      </x:c>
      <x:c r="C2056" s="12" t="n">
        <x:v>-0.004605903908072592</x:v>
      </x:c>
      <x:c r="D2056" s="12" t="n">
        <x:v>0.04815003897218779</x:v>
      </x:c>
      <x:c r="E2056" s="12" t="n">
        <x:v>-0.06123507366432209</x:v>
      </x:c>
    </x:row>
    <x:row r="2057" ht="18" customHeight="1">
      <x:c r="A2057" s="13" t="n">
        <x:v>45700</x:v>
      </x:c>
      <x:c r="B2057" s="12" t="n">
        <x:v>-1</x:v>
      </x:c>
      <x:c r="C2057" s="12" t="n">
        <x:v>0.009413503985017354</x:v>
      </x:c>
      <x:c r="D2057" s="12" t="n">
        <x:v>0.05248901205013754</x:v>
      </x:c>
      <x:c r="E2057" s="12" t="n">
        <x:v>-0.05695134975673096</x:v>
      </x:c>
    </x:row>
    <x:row r="2058" ht="18" customHeight="1">
      <x:c r="A2058" s="13" t="n">
        <x:v>45701</x:v>
      </x:c>
      <x:c r="B2058" s="12" t="n">
        <x:v>0</x:v>
      </x:c>
      <x:c r="C2058" s="12" t="n">
        <x:v>-0.0037627896608334837</x:v>
      </x:c>
      <x:c r="D2058" s="12" t="n">
        <x:v>0.037966648843303745</x:v>
      </x:c>
      <x:c r="E2058" s="12" t="n">
        <x:v>-0.05463306027453288</x:v>
      </x:c>
    </x:row>
    <x:row r="2059" ht="18" customHeight="1">
      <x:c r="A2059" s="13" t="n">
        <x:v>45702</x:v>
      </x:c>
      <x:c r="B2059" s="12" t="n">
        <x:v>-3</x:v>
      </x:c>
      <x:c r="C2059" s="12" t="n">
        <x:v>0.008635458987621738</x:v>
      </x:c>
      <x:c r="D2059" s="12" t="n">
        <x:v>0.0390802014016135</x:v>
      </x:c>
      <x:c r="E2059" s="12" t="n">
        <x:v>-0.056144093786909204</x:v>
      </x:c>
    </x:row>
    <x:row r="2060" ht="18" customHeight="1">
      <x:c r="A2060" s="13" t="n">
        <x:v>45705</x:v>
      </x:c>
      <x:c r="B2060" s="12" t="n">
        <x:v>0</x:v>
      </x:c>
      <x:c r="C2060" s="12" t="n">
        <x:v>0.002127661780017049</x:v>
      </x:c>
      <x:c r="D2060" s="12" t="n">
        <x:v>0.008648401089909396</x:v>
      </x:c>
      <x:c r="E2060" s="12" t="n">
        <x:v>-0.06036661731603859</x:v>
      </x:c>
    </x:row>
    <x:row r="2061" ht="18" customHeight="1">
      <x:c r="A2061" s="13" t="n">
        <x:v>45706</x:v>
      </x:c>
      <x:c r="B2061" s="12" t="n">
        <x:v>0</x:v>
      </x:c>
      <x:c r="C2061" s="12" t="n">
        <x:v>-0.008807843713023247</x:v>
      </x:c>
      <x:c r="D2061" s="12" t="n">
        <x:v>0.007952108812125642</x:v>
      </x:c>
      <x:c r="E2061" s="12" t="n">
        <x:v>-0.060838797920725135</x:v>
      </x:c>
    </x:row>
    <x:row r="2062" ht="18" customHeight="1">
      <x:c r="A2062" s="13" t="n">
        <x:v>45707</x:v>
      </x:c>
      <x:c r="B2062" s="12" t="n">
        <x:v>6</x:v>
      </x:c>
      <x:c r="C2062" s="12" t="n">
        <x:v>0.006972522420195474</x:v>
      </x:c>
      <x:c r="D2062" s="12" t="n">
        <x:v>0.017195098539209187</x:v>
      </x:c>
      <x:c r="E2062" s="12" t="n">
        <x:v>-0.05437043743588834</x:v>
      </x:c>
    </x:row>
    <x:row r="2063" ht="18" customHeight="1">
      <x:c r="A2063" s="13" t="n">
        <x:v>45708</x:v>
      </x:c>
      <x:c r="B2063" s="12" t="n">
        <x:v>-2</x:v>
      </x:c>
      <x:c r="C2063" s="12" t="n">
        <x:v>-0.0028629374478347314</x:v>
      </x:c>
      <x:c r="D2063" s="12" t="n">
        <x:v>0.011560084088863333</x:v>
      </x:c>
      <x:c r="E2063" s="12" t="n">
        <x:v>-0.055473396377723444</x:v>
      </x:c>
    </x:row>
    <x:row r="2064" ht="18" customHeight="1">
      <x:c r="A2064" s="13" t="n">
        <x:v>45709</x:v>
      </x:c>
      <x:c r="B2064" s="12" t="n">
        <x:v>12</x:v>
      </x:c>
      <x:c r="C2064" s="12" t="n">
        <x:v>0.012532343145841354</x:v>
      </x:c>
      <x:c r="D2064" s="12" t="n">
        <x:v>0.04040450266306517</x:v>
      </x:c>
      <x:c r="E2064" s="12" t="n">
        <x:v>-0.04860411185918833</x:v>
      </x:c>
    </x:row>
    <x:row r="2065" ht="18" customHeight="1">
      <x:c r="A2065" s="13" t="n">
        <x:v>45712</x:v>
      </x:c>
      <x:c r="B2065" s="12" t="n">
        <x:v>0</x:v>
      </x:c>
      <x:c r="C2065" s="12" t="n">
        <x:v>-0.0021960057469798933</x:v>
      </x:c>
      <x:c r="D2065" s="12" t="n">
        <x:v>0.12020908604385402</x:v>
      </x:c>
      <x:c r="E2065" s="12" t="n">
        <x:v>-0.04761436287799514</x:v>
      </x:c>
    </x:row>
    <x:row r="2066" ht="18" customHeight="1">
      <x:c r="A2066" s="13" t="n">
        <x:v>45713</x:v>
      </x:c>
      <x:c r="B2066" s="12" t="n">
        <x:v>6</x:v>
      </x:c>
      <x:c r="C2066" s="12" t="n">
        <x:v>-0.011162712346417768</x:v>
      </x:c>
      <x:c r="D2066" s="12" t="n">
        <x:v>0.09379879514267415</x:v>
      </x:c>
      <x:c r="E2066" s="12" t="n">
        <x:v>-0.05027405721678837</x:v>
      </x:c>
    </x:row>
    <x:row r="2067" ht="18" customHeight="1">
      <x:c r="A2067" s="13" t="n">
        <x:v>45714</x:v>
      </x:c>
      <x:c r="B2067" s="12" t="n">
        <x:v>-3</x:v>
      </x:c>
      <x:c r="C2067" s="12" t="n">
        <x:v>0.008697131937863404</x:v>
      </x:c>
      <x:c r="D2067" s="12" t="n">
        <x:v>0.09136174468756764</x:v>
      </x:c>
      <x:c r="E2067" s="12" t="n">
        <x:v>-0.04337441650762685</x:v>
      </x:c>
    </x:row>
    <x:row r="2068" ht="18" customHeight="1">
      <x:c r="A2068" s="13" t="n">
        <x:v>45715</x:v>
      </x:c>
      <x:c r="B2068" s="12" t="n">
        <x:v>0</x:v>
      </x:c>
      <x:c r="C2068" s="12" t="n">
        <x:v>0.002062195741215508</x:v>
      </x:c>
      <x:c r="D2068" s="12" t="n">
        <x:v>0.09317937556208974</x:v>
      </x:c>
      <x:c r="E2068" s="12" t="n">
        <x:v>-0.04339029576331615</x:v>
      </x:c>
    </x:row>
    <x:row r="2069" ht="18" customHeight="1">
      <x:c r="A2069" s="13" t="n">
        <x:v>45716</x:v>
      </x:c>
      <x:c r="B2069" s="12" t="n">
        <x:v>6</x:v>
      </x:c>
      <x:c r="C2069" s="12" t="n">
        <x:v>-0.01986972083322121</x:v>
      </x:c>
      <x:c r="D2069" s="12" t="n">
        <x:v>0.05359601369025807</x:v>
      </x:c>
      <x:c r="E2069" s="12" t="n">
        <x:v>-0.05587897620012394</x:v>
      </x:c>
    </x:row>
    <x:row r="2070" ht="18" customHeight="1">
      <x:c r="A2070" s="13" t="n">
        <x:v>45719</x:v>
      </x:c>
      <x:c r="B2070" s="12" t="n">
        <x:v>7</x:v>
      </x:c>
      <x:c r="C2070" s="12" t="n">
        <x:v>-0.0004049355186720422</x:v>
      </x:c>
      <x:c r="D2070" s="12" t="n">
        <x:v>0.0523137077241505</x:v>
      </x:c>
      <x:c r="E2070" s="12" t="n">
        <x:v>-0.05714000554246065</x:v>
      </x:c>
    </x:row>
    <x:row r="2071" ht="18" customHeight="1">
      <x:c r="A2071" s="13" t="n">
        <x:v>45720</x:v>
      </x:c>
      <x:c r="B2071" s="12" t="n">
        <x:v>5</x:v>
      </x:c>
      <x:c r="C2071" s="12" t="n">
        <x:v>-0.0008369251320675289</x:v>
      </x:c>
      <x:c r="D2071" s="12" t="n">
        <x:v>0.05495081973781998</x:v>
      </x:c>
      <x:c r="E2071" s="12" t="n">
        <x:v>-0.06197905452386686</x:v>
      </x:c>
    </x:row>
    <x:row r="2072" ht="18" customHeight="1">
      <x:c r="A2072" s="13" t="n">
        <x:v>45721</x:v>
      </x:c>
      <x:c r="B2072" s="12" t="n">
        <x:v>-11</x:v>
      </x:c>
      <x:c r="C2072" s="12" t="n">
        <x:v>0.004455648029683655</x:v>
      </x:c>
      <x:c r="D2072" s="12" t="n">
        <x:v>0.03854053023175873</x:v>
      </x:c>
      <x:c r="E2072" s="12" t="n">
        <x:v>-0.05988625579126791</x:v>
      </x:c>
    </x:row>
    <x:row r="2073" ht="18" customHeight="1">
      <x:c r="A2073" s="13" t="n">
        <x:v>45722</x:v>
      </x:c>
      <x:c r="B2073" s="12" t="n">
        <x:v>11</x:v>
      </x:c>
      <x:c r="C2073" s="12" t="n">
        <x:v>0.013657831477298408</x:v>
      </x:c>
      <x:c r="D2073" s="12" t="n">
        <x:v>0.08257230465858507</x:v>
      </x:c>
      <x:c r="E2073" s="12" t="n">
        <x:v>-0.050405175242524525</x:v>
      </x:c>
    </x:row>
    <x:row r="2074" ht="18" customHeight="1">
      <x:c r="A2074" s="13" t="n">
        <x:v>45723</x:v>
      </x:c>
      <x:c r="B2074" s="12" t="n">
        <x:v>-2</x:v>
      </x:c>
      <x:c r="C2074" s="12" t="n">
        <x:v>-0.003094233193972485</x:v>
      </x:c>
      <x:c r="D2074" s="12" t="n">
        <x:v>0.08456323023723755</x:v>
      </x:c>
      <x:c r="E2074" s="12" t="n">
        <x:v>-0.050125078042814235</x:v>
      </x:c>
    </x:row>
    <x:row r="2075" ht="18" customHeight="1">
      <x:c r="A2075" s="13" t="n">
        <x:v>45726</x:v>
      </x:c>
      <x:c r="B2075" s="12" t="n">
        <x:v>19</x:v>
      </x:c>
      <x:c r="C2075" s="12" t="n">
        <x:v>-0.0038645685965101716</x:v>
      </x:c>
      <x:c r="D2075" s="12" t="n">
        <x:v>0.04495614936959853</x:v>
      </x:c>
      <x:c r="E2075" s="12" t="n">
        <x:v>-0.05365858567430528</x:v>
      </x:c>
    </x:row>
    <x:row r="2076" ht="18" customHeight="1">
      <x:c r="A2076" s="13" t="n">
        <x:v>45727</x:v>
      </x:c>
      <x:c r="B2076" s="12" t="n">
        <x:v>6</x:v>
      </x:c>
      <x:c r="C2076" s="12" t="n">
        <x:v>0.0032054795946247984</x:v>
      </x:c>
      <x:c r="D2076" s="12" t="n">
        <x:v>0.06753013749647502</x:v>
      </x:c>
      <x:c r="E2076" s="12" t="n">
        <x:v>-0.05086806720398134</x:v>
      </x:c>
    </x:row>
    <x:row r="2077" ht="18" customHeight="1">
      <x:c r="A2077" s="13" t="n">
        <x:v>45728</x:v>
      </x:c>
      <x:c r="B2077" s="12" t="n">
        <x:v>-2</x:v>
      </x:c>
      <x:c r="C2077" s="12" t="n">
        <x:v>-0.0036052487811718</x:v>
      </x:c>
      <x:c r="D2077" s="12" t="n">
        <x:v>0.07158726536176166</x:v>
      </x:c>
      <x:c r="E2077" s="12" t="n">
        <x:v>-0.04582320178264728</x:v>
      </x:c>
    </x:row>
    <x:row r="2078" ht="18" customHeight="1">
      <x:c r="A2078" s="13" t="n">
        <x:v>45729</x:v>
      </x:c>
      <x:c r="B2078" s="12" t="n">
        <x:v>20</x:v>
      </x:c>
      <x:c r="C2078" s="12" t="n">
        <x:v>-0.003993519221569567</x:v>
      </x:c>
      <x:c r="D2078" s="12" t="n">
        <x:v>0.042530104365991334</x:v>
      </x:c>
      <x:c r="E2078" s="12" t="n">
        <x:v>-0.049300832865269484</x:v>
      </x:c>
    </x:row>
    <x:row r="2079" ht="18" customHeight="1">
      <x:c r="A2079" s="13" t="n">
        <x:v>45730</x:v>
      </x:c>
      <x:c r="B2079" s="12" t="n">
        <x:v>-15</x:v>
      </x:c>
      <x:c r="C2079" s="12" t="n">
        <x:v>0.023990988649006423</x:v>
      </x:c>
      <x:c r="D2079" s="12" t="n">
        <x:v>-0.062128008926518916</x:v>
      </x:c>
      <x:c r="E2079" s="12" t="n">
        <x:v>-0.06615253633283787</x:v>
      </x:c>
    </x:row>
    <x:row r="2080" ht="18" customHeight="1">
      <x:c r="A2080" s="13" t="n">
        <x:v>45733</x:v>
      </x:c>
      <x:c r="B2080" s="12" t="n">
        <x:v>-7</x:v>
      </x:c>
      <x:c r="C2080" s="12" t="n">
        <x:v>-0.0024412556765214454</x:v>
      </x:c>
      <x:c r="D2080" s="12" t="n">
        <x:v>-0.05750038818849483</x:v>
      </x:c>
      <x:c r="E2080" s="12" t="n">
        <x:v>-0.06671855239623677</x:v>
      </x:c>
    </x:row>
    <x:row r="2081" ht="18" customHeight="1">
      <x:c r="A2081" s="13" t="n">
        <x:v>45734</x:v>
      </x:c>
      <x:c r="B2081" s="12" t="n">
        <x:v>5</x:v>
      </x:c>
      <x:c r="C2081" s="12" t="n">
        <x:v>0.002732286203639958</x:v>
      </x:c>
      <x:c r="D2081" s="12" t="n">
        <x:v>-0.054759153856402634</x:v>
      </x:c>
      <x:c r="E2081" s="12" t="n">
        <x:v>-0.06301513959443418</x:v>
      </x:c>
    </x:row>
    <x:row r="2082" ht="18" customHeight="1">
      <x:c r="A2082" s="13" t="n">
        <x:v>45735</x:v>
      </x:c>
      <x:c r="B2082" s="12" t="n">
        <x:v>-4</x:v>
      </x:c>
      <x:c r="C2082" s="12" t="n">
        <x:v>0.0006099110367779948</x:v>
      </x:c>
      <x:c r="D2082" s="12" t="n">
        <x:v>-0.05393946032501517</x:v>
      </x:c>
      <x:c r="E2082" s="12" t="n">
        <x:v>-0.061373784254340855</x:v>
      </x:c>
    </x:row>
    <x:row r="2083" ht="18" customHeight="1">
      <x:c r="A2083" s="13" t="n">
        <x:v>45736</x:v>
      </x:c>
      <x:c r="B2083" s="12" t="n">
        <x:v>-2</x:v>
      </x:c>
      <x:c r="C2083" s="12" t="n">
        <x:v>-0.008810450491655575</x:v>
      </x:c>
      <x:c r="D2083" s="12" t="n">
        <x:v>-0.04901208113868603</x:v>
      </x:c>
      <x:c r="E2083" s="12" t="n">
        <x:v>-0.06125896113433604</x:v>
      </x:c>
    </x:row>
    <x:row r="2084" ht="18" customHeight="1">
      <x:c r="A2084" s="13" t="n">
        <x:v>45737</x:v>
      </x:c>
      <x:c r="B2084" s="12" t="n">
        <x:v>4</x:v>
      </x:c>
      <x:c r="C2084" s="12" t="n">
        <x:v>-0.015285111026174561</x:v>
      </x:c>
      <x:c r="D2084" s="12" t="n">
        <x:v>-0.06403072157759426</x:v>
      </x:c>
      <x:c r="E2084" s="12" t="n">
        <x:v>-0.06411383441112396</x:v>
      </x:c>
    </x:row>
    <x:row r="2085" ht="18" customHeight="1">
      <x:c r="A2085" s="13" t="n">
        <x:v>45740</x:v>
      </x:c>
      <x:c r="B2085" s="12" t="n">
        <x:v>-16</x:v>
      </x:c>
      <x:c r="C2085" s="12" t="n">
        <x:v>0.005134831721901653</x:v>
      </x:c>
      <x:c r="D2085" s="12" t="n">
        <x:v>-0.07851047447002817</x:v>
      </x:c>
      <x:c r="E2085" s="12" t="n">
        <x:v>-0.06872276371549778</x:v>
      </x:c>
    </x:row>
    <x:row r="2086" ht="18" customHeight="1">
      <x:c r="A2086" s="13" t="n">
        <x:v>45741</x:v>
      </x:c>
      <x:c r="B2086" s="12" t="n">
        <x:v>4</x:v>
      </x:c>
      <x:c r="C2086" s="12" t="n">
        <x:v>-0.0006491555733679615</x:v>
      </x:c>
      <x:c r="D2086" s="12" t="n">
        <x:v>-0.07851856398731984</x:v>
      </x:c>
      <x:c r="E2086" s="12" t="n">
        <x:v>-0.06981149574753814</x:v>
      </x:c>
    </x:row>
    <x:row r="2087" ht="18" customHeight="1">
      <x:c r="A2087" s="13" t="n">
        <x:v>45742</x:v>
      </x:c>
      <x:c r="B2087" s="12" t="n">
        <x:v>10</x:v>
      </x:c>
      <x:c r="C2087" s="12" t="n">
        <x:v>-0.0032957426553727287</x:v>
      </x:c>
      <x:c r="D2087" s="12" t="n">
        <x:v>-0.0891448926073915</x:v>
      </x:c>
      <x:c r="E2087" s="12" t="n">
        <x:v>-0.07128650386126875</x:v>
      </x:c>
    </x:row>
    <x:row r="2088" ht="18" customHeight="1">
      <x:c r="A2088" s="13" t="n">
        <x:v>45743</x:v>
      </x:c>
      <x:c r="B2088" s="12" t="n">
        <x:v>8</x:v>
      </x:c>
      <x:c r="C2088" s="12" t="n">
        <x:v>0.0033253941104043395</x:v>
      </x:c>
      <x:c r="D2088" s="12" t="n">
        <x:v>-0.0789480059422774</x:v>
      </x:c>
      <x:c r="E2088" s="12" t="n">
        <x:v>-0.06972818549706204</x:v>
      </x:c>
    </x:row>
    <x:row r="2089" ht="18" customHeight="1">
      <x:c r="A2089" s="13" t="n">
        <x:v>45744</x:v>
      </x:c>
      <x:c r="B2089" s="12" t="n">
        <x:v>20</x:v>
      </x:c>
      <x:c r="C2089" s="12" t="n">
        <x:v>-0.004395121139495452</x:v>
      </x:c>
      <x:c r="D2089" s="12" t="n">
        <x:v>-0.10266048723572253</x:v>
      </x:c>
      <x:c r="E2089" s="12" t="n">
        <x:v>-0.07293594938926626</x:v>
      </x:c>
    </x:row>
    <x:row r="2090" ht="18" customHeight="1">
      <x:c r="A2090" s="13" t="n">
        <x:v>45747</x:v>
      </x:c>
      <x:c r="B2090" s="12" t="n">
        <x:v>8</x:v>
      </x:c>
      <x:c r="C2090" s="12" t="n">
        <x:v>-0.007141510824859772</x:v>
      </x:c>
      <x:c r="D2090" s="12" t="n">
        <x:v>-0.12070905632111636</x:v>
      </x:c>
      <x:c r="E2090" s="12" t="n">
        <x:v>-0.07501069660248565</x:v>
      </x:c>
    </x:row>
    <x:row r="2091" ht="18" customHeight="1">
      <x:c r="A2091" s="13" t="n">
        <x:v>45748</x:v>
      </x:c>
      <x:c r="B2091" s="12" t="n">
        <x:v>-5</x:v>
      </x:c>
      <x:c r="C2091" s="12" t="n">
        <x:v>0.00009736347311147538</x:v>
      </x:c>
      <x:c r="D2091" s="12" t="n">
        <x:v>-0.11971576437987229</x:v>
      </x:c>
      <x:c r="E2091" s="12" t="n">
        <x:v>-0.07683257613315563</x:v>
      </x:c>
    </x:row>
    <x:row r="2092" ht="18" customHeight="1">
      <x:c r="A2092" s="13" t="n">
        <x:v>45749</x:v>
      </x:c>
      <x:c r="B2092" s="12" t="n">
        <x:v>-8</x:v>
      </x:c>
      <x:c r="C2092" s="12" t="n">
        <x:v>-0.000848757214086465</x:v>
      </x:c>
      <x:c r="D2092" s="12" t="n">
        <x:v>-0.11929647483877204</x:v>
      </x:c>
      <x:c r="E2092" s="12" t="n">
        <x:v>-0.07616278299857954</x:v>
      </x:c>
    </x:row>
    <x:row r="2093" ht="18" customHeight="1">
      <x:c r="A2093" s="13" t="n">
        <x:v>45750</x:v>
      </x:c>
      <x:c r="B2093" s="12" t="n">
        <x:v>59</x:v>
      </x:c>
      <x:c r="C2093" s="12" t="n">
        <x:v>-0.005908286569494701</x:v>
      </x:c>
      <x:c r="D2093" s="12" t="n">
        <x:v>-0.1369177408173255</x:v>
      </x:c>
      <x:c r="E2093" s="12" t="n">
        <x:v>-0.08107312750721297</x:v>
      </x:c>
    </x:row>
    <x:row r="2094" ht="18" customHeight="1">
      <x:c r="A2094" s="13" t="n">
        <x:v>45754</x:v>
      </x:c>
      <x:c r="B2094" s="12" t="n">
        <x:v>16.000000000000057</x:v>
      </x:c>
      <x:c r="C2094" s="12" t="n">
        <x:v>-0.07306022088195</x:v>
      </x:c>
      <x:c r="D2094" s="12" t="n">
        <x:v>-0.21771987561879672</x:v>
      </x:c>
      <x:c r="E2094" s="12" t="n">
        <x:v>-0.11863022946472612</x:v>
      </x:c>
    </x:row>
    <x:row r="2095" ht="18" customHeight="1">
      <x:c r="A2095" s="13" t="n">
        <x:v>45755</x:v>
      </x:c>
      <x:c r="B2095" s="12" t="n">
        <x:v>-4.000000000000057</x:v>
      </x:c>
      <x:c r="C2095" s="12" t="n">
        <x:v>0.016938722550570866</x:v>
      </x:c>
      <x:c r="D2095" s="12" t="n">
        <x:v>-0.2338546980870903</x:v>
      </x:c>
      <x:c r="E2095" s="12" t="n">
        <x:v>-0.12220300894293185</x:v>
      </x:c>
    </x:row>
    <x:row r="2096" ht="18" customHeight="1">
      <x:c r="A2096" s="13" t="n">
        <x:v>45756</x:v>
      </x:c>
      <x:c r="B2096" s="12" t="n">
        <x:v>-20</x:v>
      </x:c>
      <x:c r="C2096" s="12" t="n">
        <x:v>0.009822235897704312</x:v>
      </x:c>
      <x:c r="D2096" s="12" t="n">
        <x:v>-0.2612170402221404</x:v>
      </x:c>
      <x:c r="E2096" s="12" t="n">
        <x:v>-0.12821209195361272</x:v>
      </x:c>
    </x:row>
    <x:row r="2097" ht="18" customHeight="1">
      <x:c r="A2097" s="13" t="n">
        <x:v>45757</x:v>
      </x:c>
      <x:c r="B2097" s="12" t="n">
        <x:v>5</x:v>
      </x:c>
      <x:c r="C2097" s="12" t="n">
        <x:v>0.013021307629714781</x:v>
      </x:c>
      <x:c r="D2097" s="12" t="n">
        <x:v>-0.2835471429901228</x:v>
      </x:c>
      <x:c r="E2097" s="12" t="n">
        <x:v>-0.12651457542294048</x:v>
      </x:c>
    </x:row>
    <x:row r="2098" ht="18" customHeight="1">
      <x:c r="A2098" s="13" t="n">
        <x:v>45758</x:v>
      </x:c>
      <x:c r="B2098" s="12" t="n">
        <x:v>-16</x:v>
      </x:c>
      <x:c r="C2098" s="12" t="n">
        <x:v>0.00411498244758409</x:v>
      </x:c>
      <x:c r="D2098" s="12" t="n">
        <x:v>-0.3014404226164666</x:v>
      </x:c>
      <x:c r="E2098" s="12" t="n">
        <x:v>-0.1269205236670272</x:v>
      </x:c>
    </x:row>
    <x:row r="2099" ht="18" customHeight="1">
      <x:c r="A2099" s="13" t="n">
        <x:v>45761</x:v>
      </x:c>
      <x:c r="B2099" s="12" t="n">
        <x:v>-12.000000000000057</x:v>
      </x:c>
      <x:c r="C2099" s="12" t="n">
        <x:v>0.002297175919155268</x:v>
      </x:c>
      <x:c r="D2099" s="12" t="n">
        <x:v>-0.30347040882394755</x:v>
      </x:c>
      <x:c r="E2099" s="12" t="n">
        <x:v>-0.12672822329920255</x:v>
      </x:c>
    </x:row>
    <x:row r="2100" ht="18" customHeight="1">
      <x:c r="A2100" s="13" t="n">
        <x:v>45762</x:v>
      </x:c>
      <x:c r="B2100" s="12" t="n">
        <x:v>-4.999999999999943</x:v>
      </x:c>
      <x:c r="C2100" s="12" t="n">
        <x:v>0.0005565146678174699</x:v>
      </x:c>
      <x:c r="D2100" s="12" t="n">
        <x:v>-0.3054004435568694</x:v>
      </x:c>
      <x:c r="E2100" s="12" t="n">
        <x:v>-0.1274416203836015</x:v>
      </x:c>
    </x:row>
    <x:row r="2101" ht="18" customHeight="1">
      <x:c r="A2101" s="13" t="n">
        <x:v>45763</x:v>
      </x:c>
      <x:c r="B2101" s="12" t="n">
        <x:v>7</x:v>
      </x:c>
      <x:c r="C2101" s="12" t="n">
        <x:v>0.0030755307267302905</x:v>
      </x:c>
      <x:c r="D2101" s="12" t="n">
        <x:v>-0.30205718960412764</x:v>
      </x:c>
      <x:c r="E2101" s="12" t="n">
        <x:v>-0.12683738424608165</x:v>
      </x:c>
    </x:row>
    <x:row r="2102" ht="18" customHeight="1">
      <x:c r="A2102" s="13" t="n">
        <x:v>45764</x:v>
      </x:c>
      <x:c r="B2102" s="12" t="n">
        <x:v>-14.000000000000057</x:v>
      </x:c>
      <x:c r="C2102" s="12" t="n">
        <x:v>-0.0001585942030821602</x:v>
      </x:c>
      <x:c r="D2102" s="12" t="n">
        <x:v>-0.2985039222483079</x:v>
      </x:c>
      <x:c r="E2102" s="12" t="n">
        <x:v>-0.12522618716965647</x:v>
      </x:c>
    </x:row>
    <x:row r="2103" ht="18" customHeight="1">
      <x:c r="A2103" s="13" t="n">
        <x:v>45768</x:v>
      </x:c>
      <x:c r="B2103" s="12" t="n">
        <x:v>14.000000000000057</x:v>
      </x:c>
      <x:c r="C2103" s="12" t="n">
        <x:v>0.003270332423105079</x:v>
      </x:c>
      <x:c r="D2103" s="12" t="n">
        <x:v>-0.29645551792540265</x:v>
      </x:c>
      <x:c r="E2103" s="12" t="n">
        <x:v>-0.12130339170515188</x:v>
      </x:c>
    </x:row>
    <x:row r="2104" ht="18" customHeight="1">
      <x:c r="A2104" s="13" t="n">
        <x:v>45769</x:v>
      </x:c>
      <x:c r="B2104" s="12" t="n">
        <x:v>-17</x:v>
      </x:c>
      <x:c r="C2104" s="12" t="n">
        <x:v>-0.000245321842664046</x:v>
      </x:c>
      <x:c r="D2104" s="12" t="n">
        <x:v>-0.28878728045324104</x:v>
      </x:c>
      <x:c r="E2104" s="12" t="n">
        <x:v>-0.1185762740532063</x:v>
      </x:c>
    </x:row>
    <x:row r="2105" ht="18" customHeight="1">
      <x:c r="A2105" s="13" t="n">
        <x:v>45770</x:v>
      </x:c>
      <x:c r="B2105" s="12" t="n">
        <x:v>-24</x:v>
      </x:c>
      <x:c r="C2105" s="12" t="n">
        <x:v>0.0007740758585090369</x:v>
      </x:c>
      <x:c r="D2105" s="12" t="n">
        <x:v>-0.2741587835518097</x:v>
      </x:c>
      <x:c r="E2105" s="12" t="n">
        <x:v>-0.11690845450255731</x:v>
      </x:c>
    </x:row>
    <x:row r="2106" ht="18" customHeight="1">
      <x:c r="A2106" s="13" t="n">
        <x:v>45771</x:v>
      </x:c>
      <x:c r="B2106" s="12" t="n">
        <x:v>-2</x:v>
      </x:c>
      <x:c r="C2106" s="12" t="n">
        <x:v>-0.0006669977864422178</x:v>
      </x:c>
      <x:c r="D2106" s="12" t="n">
        <x:v>-0.28198330706331975</x:v>
      </x:c>
      <x:c r="E2106" s="12" t="n">
        <x:v>-0.11798636127056016</x:v>
      </x:c>
    </x:row>
    <x:row r="2107" ht="18" customHeight="1">
      <x:c r="A2107" s="13" t="n">
        <x:v>45772</x:v>
      </x:c>
      <x:c r="B2107" s="12" t="n">
        <x:v>-6</x:v>
      </x:c>
      <x:c r="C2107" s="12" t="n">
        <x:v>0.0006963882857158247</x:v>
      </x:c>
      <x:c r="D2107" s="12" t="n">
        <x:v>-0.28186660063923036</x:v>
      </x:c>
      <x:c r="E2107" s="12" t="n">
        <x:v>-0.1179930518967006</x:v>
      </x:c>
    </x:row>
    <x:row r="2108" ht="18" customHeight="1">
      <x:c r="A2108" s="13" t="n">
        <x:v>45775</x:v>
      </x:c>
      <x:c r="B2108" s="12" t="n">
        <x:v>6</x:v>
      </x:c>
      <x:c r="C2108" s="12" t="n">
        <x:v>-0.0014203134071299587</x:v>
      </x:c>
      <x:c r="D2108" s="12" t="n">
        <x:v>-0.2803018746212851</x:v>
      </x:c>
      <x:c r="E2108" s="12" t="n">
        <x:v>-0.1196422367915203</x:v>
      </x:c>
    </x:row>
    <x:row r="2109" ht="18" customHeight="1">
      <x:c r="A2109" s="13" t="n">
        <x:v>45776</x:v>
      </x:c>
      <x:c r="B2109" s="12" t="n">
        <x:v>1</x:v>
      </x:c>
      <x:c r="C2109" s="12" t="n">
        <x:v>-0.0017314715498146472</x:v>
      </x:c>
      <x:c r="D2109" s="12" t="n">
        <x:v>-0.28012167704530955</x:v>
      </x:c>
      <x:c r="E2109" s="12" t="n">
        <x:v>-0.11973617599091467</x:v>
      </x:c>
    </x:row>
    <x:row r="2110" ht="18" customHeight="1">
      <x:c r="A2110" s="13" t="n">
        <x:v>45777</x:v>
      </x:c>
      <x:c r="B2110" s="12" t="n">
        <x:v>20</x:v>
      </x:c>
      <x:c r="C2110" s="12" t="n">
        <x:v>-0.0011943841041746196</x:v>
      </x:c>
      <x:c r="D2110" s="12" t="n">
        <x:v>-0.2763713807936701</x:v>
      </x:c>
      <x:c r="E2110" s="12" t="n">
        <x:v>-0.11703634113675904</x:v>
      </x:c>
    </x:row>
    <x:row r="2111" ht="18" customHeight="1">
      <x:c r="A2111" s="13" t="n">
        <x:v>45783</x:v>
      </x:c>
      <x:c r="B2111" s="12" t="n">
        <x:v>6</x:v>
      </x:c>
      <x:c r="C2111" s="12" t="n">
        <x:v>0.010020227489523251</x:v>
      </x:c>
      <x:c r="D2111" s="12" t="n">
        <x:v>-0.27425244140263133</x:v>
      </x:c>
      <x:c r="E2111" s="12" t="n">
        <x:v>-0.11740398730001625</x:v>
      </x:c>
    </x:row>
    <x:row r="2112" ht="18" customHeight="1">
      <x:c r="A2112" s="13" t="n">
        <x:v>45784</x:v>
      </x:c>
      <x:c r="B2112" s="12" t="n">
        <x:v>1</x:v>
      </x:c>
      <x:c r="C2112" s="12" t="n">
        <x:v>0.006042973405624675</x:v>
      </x:c>
      <x:c r="D2112" s="12" t="n">
        <x:v>-0.27415429902107036</x:v>
      </x:c>
      <x:c r="E2112" s="12" t="n">
        <x:v>-0.11442254694694103</x:v>
      </x:c>
    </x:row>
    <x:row r="2113" ht="18" customHeight="1">
      <x:c r="A2113" s="13" t="n">
        <x:v>45785</x:v>
      </x:c>
      <x:c r="B2113" s="12" t="n">
        <x:v>-16</x:v>
      </x:c>
      <x:c r="C2113" s="12" t="n">
        <x:v>0.005535634022564487</x:v>
      </x:c>
      <x:c r="D2113" s="12" t="n">
        <x:v>-0.2786114671028115</x:v>
      </x:c>
      <x:c r="E2113" s="12" t="n">
        <x:v>-0.12009234916460305</x:v>
      </x:c>
    </x:row>
    <x:row r="2114" ht="18" customHeight="1">
      <x:c r="A2114" s="13" t="n">
        <x:v>45786</x:v>
      </x:c>
      <x:c r="B2114" s="12" t="n">
        <x:v>2</x:v>
      </x:c>
      <x:c r="C2114" s="12" t="n">
        <x:v>-0.00175078722256223</x:v>
      </x:c>
      <x:c r="D2114" s="12" t="n">
        <x:v>-0.27710449910426593</x:v>
      </x:c>
      <x:c r="E2114" s="12" t="n">
        <x:v>-0.12014819708031171</x:v>
      </x:c>
    </x:row>
    <x:row r="2115" ht="18" customHeight="1">
      <x:c r="A2115" s="13" t="n">
        <x:v>45789</x:v>
      </x:c>
      <x:c r="B2115" s="12" t="n">
        <x:v>-38</x:v>
      </x:c>
      <x:c r="C2115" s="12" t="n">
        <x:v>0.011491490897917114</x:v>
      </x:c>
      <x:c r="D2115" s="12" t="n">
        <x:v>-0.30188691349073316</x:v>
      </x:c>
      <x:c r="E2115" s="12" t="n">
        <x:v>-0.13035971517890366</x:v>
      </x:c>
    </x:row>
    <x:row r="2116" ht="18" customHeight="1">
      <x:c r="A2116" s="13" t="n">
        <x:v>45790</x:v>
      </x:c>
      <x:c r="B2116" s="12" t="n">
        <x:v>-6</x:v>
      </x:c>
      <x:c r="C2116" s="12" t="n">
        <x:v>0.0014508274863194843</x:v>
      </x:c>
      <x:c r="D2116" s="12" t="n">
        <x:v>-0.30032033968117483</x:v>
      </x:c>
      <x:c r="E2116" s="12" t="n">
        <x:v>-0.1316340644718511</x:v>
      </x:c>
    </x:row>
    <x:row r="2117" ht="18" customHeight="1">
      <x:c r="A2117" s="13" t="n">
        <x:v>45791</x:v>
      </x:c>
      <x:c r="B2117" s="12" t="n">
        <x:v>1</x:v>
      </x:c>
      <x:c r="C2117" s="12" t="n">
        <x:v>0.0119786329469608</x:v>
      </x:c>
      <x:c r="D2117" s="12" t="n">
        <x:v>-0.300745960730937</x:v>
      </x:c>
      <x:c r="E2117" s="12" t="n">
        <x:v>-0.1337104393212122</x:v>
      </x:c>
    </x:row>
    <x:row r="2118" ht="18" customHeight="1">
      <x:c r="A2118" s="13" t="n">
        <x:v>45792</x:v>
      </x:c>
      <x:c r="B2118" s="12" t="n">
        <x:v>10</x:v>
      </x:c>
      <x:c r="C2118" s="12" t="n">
        <x:v>-0.009174515113527595</x:v>
      </x:c>
      <x:c r="D2118" s="12" t="n">
        <x:v>-0.30668462305555244</x:v>
      </x:c>
      <x:c r="E2118" s="12" t="n">
        <x:v>-0.1364064159225597</x:v>
      </x:c>
    </x:row>
    <x:row r="2119" ht="18" customHeight="1">
      <x:c r="A2119" s="13" t="n">
        <x:v>45793</x:v>
      </x:c>
      <x:c r="B2119" s="12" t="n">
        <x:v>-4</x:v>
      </x:c>
      <x:c r="C2119" s="12" t="n">
        <x:v>-0.004646785878926658</x:v>
      </x:c>
      <x:c r="D2119" s="12" t="n">
        <x:v>-0.3044868402804369</x:v>
      </x:c>
      <x:c r="E2119" s="12" t="n">
        <x:v>-0.1360665432364638</x:v>
      </x:c>
    </x:row>
    <x:row r="2120" ht="18" customHeight="1">
      <x:c r="A2120" s="13" t="n">
        <x:v>45796</x:v>
      </x:c>
      <x:c r="B2120" s="12" t="n">
        <x:v>5</x:v>
      </x:c>
      <x:c r="C2120" s="12" t="n">
        <x:v>-0.0030748788875620053</x:v>
      </x:c>
      <x:c r="D2120" s="12" t="n">
        <x:v>-0.3053563214558733</x:v>
      </x:c>
      <x:c r="E2120" s="12" t="n">
        <x:v>-0.1329958736029617</x:v>
      </x:c>
    </x:row>
    <x:row r="2121" ht="18" customHeight="1">
      <x:c r="A2121" s="13" t="n">
        <x:v>45797</x:v>
      </x:c>
      <x:c r="B2121" s="12" t="n">
        <x:v>-1</x:v>
      </x:c>
      <x:c r="C2121" s="12" t="n">
        <x:v>0.005408205090934483</x:v>
      </x:c>
      <x:c r="D2121" s="12" t="n">
        <x:v>-0.3062602830009321</x:v>
      </x:c>
      <x:c r="E2121" s="12" t="n">
        <x:v>-0.13186346658956455</x:v>
      </x:c>
    </x:row>
    <x:row r="2122" ht="18" customHeight="1">
      <x:c r="A2122" s="13" t="n">
        <x:v>45798</x:v>
      </x:c>
      <x:c r="B2122" s="12" t="n">
        <x:v>5</x:v>
      </x:c>
      <x:c r="C2122" s="12" t="n">
        <x:v>0.0046605959820707294</x:v>
      </x:c>
      <x:c r="D2122" s="12" t="n">
        <x:v>-0.3017672349272337</x:v>
      </x:c>
      <x:c r="E2122" s="12" t="n">
        <x:v>-0.1300006842385916</x:v>
      </x:c>
    </x:row>
    <x:row r="2123" ht="18" customHeight="1">
      <x:c r="A2123" s="13" t="n">
        <x:v>45799</x:v>
      </x:c>
      <x:c r="B2123" s="12" t="n">
        <x:v>7</x:v>
      </x:c>
      <x:c r="C2123" s="12" t="n">
        <x:v>-0.0006425341300390055</x:v>
      </x:c>
      <x:c r="D2123" s="12" t="n">
        <x:v>-0.3014729257218568</x:v>
      </x:c>
      <x:c r="E2123" s="12" t="n">
        <x:v>-0.12789275951981113</x:v>
      </x:c>
    </x:row>
    <x:row r="2124" ht="18" customHeight="1">
      <x:c r="A2124" s="13" t="n">
        <x:v>45800</x:v>
      </x:c>
      <x:c r="B2124" s="12" t="n">
        <x:v>8</x:v>
      </x:c>
      <x:c r="C2124" s="12" t="n">
        <x:v>-0.00810431217224979</x:v>
      </x:c>
      <x:c r="D2124" s="12" t="n">
        <x:v>-0.3075684525013426</x:v>
      </x:c>
      <x:c r="E2124" s="12" t="n">
        <x:v>-0.1298931045019239</x:v>
      </x:c>
    </x:row>
    <x:row r="2125" ht="18" customHeight="1">
      <x:c r="A2125" s="13" t="n">
        <x:v>45803</x:v>
      </x:c>
      <x:c r="B2125" s="12" t="n">
        <x:v>0</x:v>
      </x:c>
      <x:c r="C2125" s="12" t="n">
        <x:v>-0.005726264606510733</x:v>
      </x:c>
      <x:c r="D2125" s="12" t="n">
        <x:v>-0.311336723023096</x:v>
      </x:c>
      <x:c r="E2125" s="12" t="n">
        <x:v>-0.12887136823811005</x:v>
      </x:c>
    </x:row>
    <x:row r="2126" ht="18" customHeight="1">
      <x:c r="A2126" s="13" t="n">
        <x:v>45804</x:v>
      </x:c>
      <x:c r="B2126" s="12" t="n">
        <x:v>-16</x:v>
      </x:c>
      <x:c r="C2126" s="12" t="n">
        <x:v>-0.005379528608558668</x:v>
      </x:c>
      <x:c r="D2126" s="12" t="n">
        <x:v>-0.2993873763573381</x:v>
      </x:c>
      <x:c r="E2126" s="12" t="n">
        <x:v>-0.1262344111100804</x:v>
      </x:c>
    </x:row>
    <x:row r="2127" ht="18" customHeight="1">
      <x:c r="A2127" s="13" t="n">
        <x:v>45805</x:v>
      </x:c>
      <x:c r="B2127" s="12" t="n">
        <x:v>-1</x:v>
      </x:c>
      <x:c r="C2127" s="12" t="n">
        <x:v>-0.0008234630219332806</x:v>
      </x:c>
      <x:c r="D2127" s="12" t="n">
        <x:v>-0.3189801334632613</x:v>
      </x:c>
      <x:c r="E2127" s="12" t="n">
        <x:v>-0.1261882154527082</x:v>
      </x:c>
    </x:row>
    <x:row r="2128" ht="18" customHeight="1">
      <x:c r="A2128" s="13" t="n">
        <x:v>45806</x:v>
      </x:c>
      <x:c r="B2128" s="12" t="n">
        <x:v>-1</x:v>
      </x:c>
      <x:c r="C2128" s="12" t="n">
        <x:v>0.005838453404127622</x:v>
      </x:c>
      <x:c r="D2128" s="12" t="n">
        <x:v>-0.3193491170550021</x:v>
      </x:c>
      <x:c r="E2128" s="12" t="n">
        <x:v>-0.12631176083026743</x:v>
      </x:c>
    </x:row>
    <x:row r="2129" ht="18" customHeight="1">
      <x:c r="A2129" s="13" t="n">
        <x:v>45807</x:v>
      </x:c>
      <x:c r="B2129" s="12" t="n">
        <x:v>9</x:v>
      </x:c>
      <x:c r="C2129" s="12" t="n">
        <x:v>-0.004797427793809138</x:v>
      </x:c>
      <x:c r="D2129" s="12" t="n">
        <x:v>-0.3183692403996764</x:v>
      </x:c>
      <x:c r="E2129" s="12" t="n">
        <x:v>-0.1275470022941425</x:v>
      </x:c>
    </x:row>
    <x:row r="2130" ht="18" customHeight="1">
      <x:c r="A2130" s="13" t="n">
        <x:v>45811</x:v>
      </x:c>
      <x:c r="B2130" s="12" t="n">
        <x:v>-8</x:v>
      </x:c>
      <x:c r="C2130" s="12" t="n">
        <x:v>0.003062931357455309</x:v>
      </x:c>
      <x:c r="D2130" s="12" t="n">
        <x:v>-0.3185649324454262</x:v>
      </x:c>
      <x:c r="E2130" s="12" t="n">
        <x:v>-0.12851465405529186</x:v>
      </x:c>
    </x:row>
    <x:row r="2131" ht="18" customHeight="1">
      <x:c r="A2131" s="13" t="n">
        <x:v>45812</x:v>
      </x:c>
      <x:c r="B2131" s="12" t="n">
        <x:v>4</x:v>
      </x:c>
      <x:c r="C2131" s="12" t="n">
        <x:v>0.004333831311970103</x:v>
      </x:c>
      <x:c r="D2131" s="12" t="n">
        <x:v>-0.3162755622309923</x:v>
      </x:c>
      <x:c r="E2131" s="12" t="n">
        <x:v>-0.12734815134827776</x:v>
      </x:c>
    </x:row>
    <x:row r="2132" ht="18" customHeight="1">
      <x:c r="A2132" s="13" t="n">
        <x:v>45813</x:v>
      </x:c>
      <x:c r="B2132" s="12" t="n">
        <x:v>-5</x:v>
      </x:c>
      <x:c r="C2132" s="12" t="n">
        <x:v>0.002275358660244949</x:v>
      </x:c>
      <x:c r="D2132" s="12" t="n">
        <x:v>-0.3137258724568486</x:v>
      </x:c>
      <x:c r="E2132" s="12" t="n">
        <x:v>-0.12808001526127466</x:v>
      </x:c>
    </x:row>
    <x:row r="2133" ht="18" customHeight="1">
      <x:c r="A2133" s="13" t="n">
        <x:v>45814</x:v>
      </x:c>
      <x:c r="B2133" s="12" t="n">
        <x:v>-9</x:v>
      </x:c>
      <x:c r="C2133" s="12" t="n">
        <x:v>-0.0009215201998316871</x:v>
      </x:c>
      <x:c r="D2133" s="12" t="n">
        <x:v>-0.31207210462640894</x:v>
      </x:c>
      <x:c r="E2133" s="12" t="n">
        <x:v>-0.12724683973780773</x:v>
      </x:c>
    </x:row>
    <x:row r="2134" ht="18" customHeight="1">
      <x:c r="A2134" s="13" t="n">
        <x:v>45817</x:v>
      </x:c>
      <x:c r="B2134" s="12" t="n">
        <x:v>3</x:v>
      </x:c>
      <x:c r="C2134" s="12" t="n">
        <x:v>0.0029028158484742258</x:v>
      </x:c>
      <x:c r="D2134" s="12" t="n">
        <x:v>-0.3108437609398746</x:v>
      </x:c>
      <x:c r="E2134" s="12" t="n">
        <x:v>-0.12695623932257613</x:v>
      </x:c>
    </x:row>
    <x:row r="2135" ht="18" customHeight="1">
      <x:c r="A2135" s="13" t="n">
        <x:v>45818</x:v>
      </x:c>
      <x:c r="B2135" s="12" t="n">
        <x:v>0</x:v>
      </x:c>
      <x:c r="C2135" s="12" t="n">
        <x:v>-0.005104239518348043</x:v>
      </x:c>
      <x:c r="D2135" s="12" t="n">
        <x:v>-0.3070604297642191</x:v>
      </x:c>
      <x:c r="E2135" s="12" t="n">
        <x:v>-0.1272563983896716</x:v>
      </x:c>
    </x:row>
    <x:row r="2136" ht="18" customHeight="1">
      <x:c r="A2136" s="13" t="n">
        <x:v>45819</x:v>
      </x:c>
      <x:c r="B2136" s="12" t="n">
        <x:v>0</x:v>
      </x:c>
      <x:c r="C2136" s="12" t="n">
        <x:v>0.00751541174048836</x:v>
      </x:c>
      <x:c r="D2136" s="12" t="n">
        <x:v>-0.3272834404628955</x:v>
      </x:c>
      <x:c r="E2136" s="12" t="n">
        <x:v>-0.1277917490092054</x:v>
      </x:c>
    </x:row>
    <x:row r="2137" ht="18" customHeight="1">
      <x:c r="A2137" s="13" t="n">
        <x:v>45820</x:v>
      </x:c>
      <x:c r="B2137" s="12" t="n">
        <x:v>5</x:v>
      </x:c>
      <x:c r="C2137" s="12" t="n">
        <x:v>-0.0006231038363964183</x:v>
      </x:c>
      <x:c r="D2137" s="12" t="n">
        <x:v>-0.3280337256773505</x:v>
      </x:c>
      <x:c r="E2137" s="12" t="n">
        <x:v>-0.12765746956931648</x:v>
      </x:c>
    </x:row>
    <x:row r="2138" ht="18" customHeight="1">
      <x:c r="A2138" s="13" t="n">
        <x:v>45821</x:v>
      </x:c>
      <x:c r="B2138" s="12" t="n">
        <x:v>1</x:v>
      </x:c>
      <x:c r="C2138" s="12" t="n">
        <x:v>-0.007224276477919164</x:v>
      </x:c>
      <x:c r="D2138" s="12" t="n">
        <x:v>-0.32598996076639736</x:v>
      </x:c>
      <x:c r="E2138" s="12" t="n">
        <x:v>-0.12825582857093537</x:v>
      </x:c>
    </x:row>
    <x:row r="2139" ht="18" customHeight="1">
      <x:c r="A2139" s="13" t="n">
        <x:v>45824</x:v>
      </x:c>
      <x:c r="B2139" s="12" t="n">
        <x:v>-8</x:v>
      </x:c>
      <x:c r="C2139" s="12" t="n">
        <x:v>0.002484604069655626</x:v>
      </x:c>
      <x:c r="D2139" s="12" t="n">
        <x:v>-0.33036066214072934</x:v>
      </x:c>
      <x:c r="E2139" s="12" t="n">
        <x:v>-0.1295331609994341</x:v>
      </x:c>
    </x:row>
    <x:row r="2140" ht="18" customHeight="1">
      <x:c r="A2140" s="13" t="n">
        <x:v>45825</x:v>
      </x:c>
      <x:c r="B2140" s="12" t="n">
        <x:v>7</x:v>
      </x:c>
      <x:c r="C2140" s="12" t="n">
        <x:v>-0.0008823408032937927</x:v>
      </x:c>
      <x:c r="D2140" s="12" t="n">
        <x:v>-0.3309681060108465</x:v>
      </x:c>
      <x:c r="E2140" s="12" t="n">
        <x:v>-0.1299555901254975</x:v>
      </x:c>
    </x:row>
    <x:row r="2141" ht="18" customHeight="1">
      <x:c r="A2141" s="13" t="n">
        <x:v>45826</x:v>
      </x:c>
      <x:c r="B2141" s="12" t="n">
        <x:v>-1</x:v>
      </x:c>
      <x:c r="C2141" s="12" t="n">
        <x:v>0.0011857955789820504</x:v>
      </x:c>
      <x:c r="D2141" s="12" t="n">
        <x:v>-0.32934890097753505</x:v>
      </x:c>
      <x:c r="E2141" s="12" t="n">
        <x:v>-0.12931168945738827</x:v>
      </x:c>
    </x:row>
    <x:row r="2142" ht="18" customHeight="1">
      <x:c r="A2142" s="13" t="n">
        <x:v>45827</x:v>
      </x:c>
      <x:c r="B2142" s="12" t="n">
        <x:v>0</x:v>
      </x:c>
      <x:c r="C2142" s="12" t="n">
        <x:v>-0.008261084532130274</x:v>
      </x:c>
      <x:c r="D2142" s="12" t="n">
        <x:v>-0.3038605704049755</x:v>
      </x:c>
      <x:c r="E2142" s="12" t="n">
        <x:v>-0.12909324847233974</x:v>
      </x:c>
    </x:row>
    <x:row r="2143" ht="18" customHeight="1">
      <x:c r="A2143" s="13" t="n">
        <x:v>45828</x:v>
      </x:c>
      <x:c r="B2143" s="12" t="n">
        <x:v>-3</x:v>
      </x:c>
      <x:c r="C2143" s="12" t="n">
        <x:v>0.0009241150759630508</x:v>
      </x:c>
      <x:c r="D2143" s="12" t="n">
        <x:v>-0.3063592399148927</x:v>
      </x:c>
      <x:c r="E2143" s="12" t="n">
        <x:v>-0.12894194409445783</x:v>
      </x:c>
    </x:row>
    <x:row r="2144" ht="18" customHeight="1">
      <x:c r="A2144" s="13" t="n">
        <x:v>45831</x:v>
      </x:c>
      <x:c r="B2144" s="12" t="n">
        <x:v>-1</x:v>
      </x:c>
      <x:c r="C2144" s="12" t="n">
        <x:v>0.0029222508781529557</x:v>
      </x:c>
      <x:c r="D2144" s="12" t="n">
        <x:v>-0.30905645171067503</x:v>
      </x:c>
      <x:c r="E2144" s="12" t="n">
        <x:v>-0.1304237954044532</x:v>
      </x:c>
    </x:row>
    <x:row r="2145" ht="18" customHeight="1">
      <x:c r="A2145" s="13" t="n">
        <x:v>45832</x:v>
      </x:c>
      <x:c r="B2145" s="12" t="n">
        <x:v>-6</x:v>
      </x:c>
      <x:c r="C2145" s="12" t="n">
        <x:v>0.011887020043343742</x:v>
      </x:c>
      <x:c r="D2145" s="12" t="n">
        <x:v>-0.3132415312356928</x:v>
      </x:c>
      <x:c r="E2145" s="12" t="n">
        <x:v>-0.1329474108533987</x:v>
      </x:c>
    </x:row>
    <x:row r="2146" ht="18" customHeight="1">
      <x:c r="A2146" s="13" t="n">
        <x:v>45833</x:v>
      </x:c>
      <x:c r="B2146" s="12" t="n">
        <x:v>-2</x:v>
      </x:c>
      <x:c r="C2146" s="12" t="n">
        <x:v>0.014250313539999039</x:v>
      </x:c>
      <x:c r="D2146" s="12" t="n">
        <x:v>-0.3148779934816723</x:v>
      </x:c>
      <x:c r="E2146" s="12" t="n">
        <x:v>-0.13357832945251058</x:v>
      </x:c>
    </x:row>
    <x:row r="2147" ht="18" customHeight="1">
      <x:c r="A2147" s="13" t="n">
        <x:v>45834</x:v>
      </x:c>
      <x:c r="B2147" s="12" t="n">
        <x:v>0</x:v>
      </x:c>
      <x:c r="C2147" s="12" t="n">
        <x:v>-0.003553392997035483</x:v>
      </x:c>
      <x:c r="D2147" s="12" t="n">
        <x:v>-0.31232018308810827</x:v>
      </x:c>
      <x:c r="E2147" s="12" t="n">
        <x:v>-0.13461706397056045</x:v>
      </x:c>
    </x:row>
    <x:row r="2148" ht="18" customHeight="1">
      <x:c r="A2148" s="13" t="n">
        <x:v>45835</x:v>
      </x:c>
      <x:c r="B2148" s="12" t="n">
        <x:v>-2</x:v>
      </x:c>
      <x:c r="C2148" s="12" t="n">
        <x:v>-0.006167377641092893</x:v>
      </x:c>
      <x:c r="D2148" s="12" t="n">
        <x:v>-0.30534279494107774</x:v>
      </x:c>
      <x:c r="E2148" s="12" t="n">
        <x:v>-0.133011289632105</x:v>
      </x:c>
    </x:row>
    <x:row r="2149" ht="18" customHeight="1">
      <x:c r="A2149" s="13" t="n">
        <x:v>45838</x:v>
      </x:c>
      <x:c r="B2149" s="12" t="n">
        <x:v>-6</x:v>
      </x:c>
      <x:c r="C2149" s="12" t="n">
        <x:v>0.0036451038725418333</x:v>
      </x:c>
      <x:c r="D2149" s="12" t="n">
        <x:v>-0.3069807711653368</x:v>
      </x:c>
      <x:c r="E2149" s="12" t="n">
        <x:v>-0.13390536239245537</x:v>
      </x:c>
    </x:row>
    <x:row r="2150" ht="18" customHeight="1">
      <x:c r="A2150" s="13" t="n">
        <x:v>45839</x:v>
      </x:c>
      <x:c r="B2150" s="12" t="n">
        <x:v>-5</x:v>
      </x:c>
      <x:c r="C2150" s="12" t="n">
        <x:v>0.0016964174090751496</x:v>
      </x:c>
      <x:c r="D2150" s="12" t="n">
        <x:v>-0.3053384575219878</x:v>
      </x:c>
      <x:c r="E2150" s="12" t="n">
        <x:v>-0.13241893100406382</x:v>
      </x:c>
    </x:row>
    <x:row r="2151" ht="18" customHeight="1">
      <x:c r="A2151" s="13" t="n">
        <x:v>45840</x:v>
      </x:c>
      <x:c r="B2151" s="12" t="n">
        <x:v>-3</x:v>
      </x:c>
      <x:c r="C2151" s="12" t="n">
        <x:v>0.00023404709774001539</x:v>
      </x:c>
      <x:c r="D2151" s="12" t="n">
        <x:v>-0.30995196595800756</x:v>
      </x:c>
      <x:c r="E2151" s="12" t="n">
        <x:v>-0.13393316618377693</x:v>
      </x:c>
    </x:row>
    <x:row r="2152" ht="18" customHeight="1">
      <x:c r="A2152" s="13" t="n">
        <x:v>45841</x:v>
      </x:c>
      <x:c r="B2152" s="12" t="n">
        <x:v>-8</x:v>
      </x:c>
      <x:c r="C2152" s="12" t="n">
        <x:v>0.006163685528228147</x:v>
      </x:c>
      <x:c r="D2152" s="12" t="n">
        <x:v>-0.30977976568494114</x:v>
      </x:c>
      <x:c r="E2152" s="12" t="n">
        <x:v>-0.1354277198871415</x:v>
      </x:c>
    </x:row>
    <x:row r="2153" ht="18" customHeight="1">
      <x:c r="A2153" s="13" t="n">
        <x:v>45842</x:v>
      </x:c>
      <x:c r="B2153" s="12" t="n">
        <x:v>0</x:v>
      </x:c>
      <x:c r="C2153" s="12" t="n">
        <x:v>0.00355605862900712</x:v>
      </x:c>
      <x:c r="D2153" s="12" t="n">
        <x:v>-0.30339787078413183</x:v>
      </x:c>
      <x:c r="E2153" s="12" t="n">
        <x:v>-0.13527616337635442</x:v>
      </x:c>
    </x:row>
    <x:row r="2154" ht="18" customHeight="1">
      <x:c r="A2154" s="13" t="n">
        <x:v>45845</x:v>
      </x:c>
      <x:c r="B2154" s="12" t="n">
        <x:v>6</x:v>
      </x:c>
      <x:c r="C2154" s="12" t="n">
        <x:v>-0.004285394770601262</x:v>
      </x:c>
      <x:c r="D2154" s="12" t="n">
        <x:v>-0.3064540684648113</x:v>
      </x:c>
      <x:c r="E2154" s="12" t="n">
        <x:v>-0.1361191516461833</x:v>
      </x:c>
    </x:row>
    <x:row r="2155" ht="18" customHeight="1">
      <x:c r="A2155" s="13" t="n">
        <x:v>45846</x:v>
      </x:c>
      <x:c r="B2155" s="12" t="n">
        <x:v>6</x:v>
      </x:c>
      <x:c r="C2155" s="12" t="n">
        <x:v>0.008357571857561771</x:v>
      </x:c>
      <x:c r="D2155" s="12" t="n">
        <x:v>-0.2995861542767887</x:v>
      </x:c>
      <x:c r="E2155" s="12" t="n">
        <x:v>-0.1345492147832895</x:v>
      </x:c>
    </x:row>
    <x:row r="2156" ht="18" customHeight="1">
      <x:c r="A2156" s="13" t="n">
        <x:v>45847</x:v>
      </x:c>
      <x:c r="B2156" s="12" t="n">
        <x:v>2</x:v>
      </x:c>
      <x:c r="C2156" s="12" t="n">
        <x:v>-0.0017652644088692639</x:v>
      </x:c>
      <x:c r="D2156" s="12" t="n">
        <x:v>-0.3264630763084803</x:v>
      </x:c>
      <x:c r="E2156" s="12" t="n">
        <x:v>-0.1348909712979289</x:v>
      </x:c>
    </x:row>
    <x:row r="2157" ht="18" customHeight="1">
      <x:c r="A2157" s="13" t="n">
        <x:v>45848</x:v>
      </x:c>
      <x:c r="B2157" s="12" t="n">
        <x:v>-2</x:v>
      </x:c>
      <x:c r="C2157" s="12" t="n">
        <x:v>0.004655104275559548</x:v>
      </x:c>
      <x:c r="D2157" s="12" t="n">
        <x:v>-0.2439273276351038</x:v>
      </x:c>
      <x:c r="E2157" s="12" t="n">
        <x:v>-0.13557166765053882</x:v>
      </x:c>
    </x:row>
    <x:row r="2158" ht="18" customHeight="1">
      <x:c r="A2158" s="13" t="n">
        <x:v>45849</x:v>
      </x:c>
      <x:c r="B2158" s="12" t="n">
        <x:v>5</x:v>
      </x:c>
      <x:c r="C2158" s="12" t="n">
        <x:v>0.0011919753543662215</x:v>
      </x:c>
      <x:c r="D2158" s="12" t="n">
        <x:v>-0.2493708933256699</x:v>
      </x:c>
      <x:c r="E2158" s="12" t="n">
        <x:v>-0.1354004503238457</x:v>
      </x:c>
    </x:row>
    <x:row r="2159" ht="18" customHeight="1">
      <x:c r="A2159" s="13" t="n">
        <x:v>45852</x:v>
      </x:c>
      <x:c r="B2159" s="12" t="n">
        <x:v>-2</x:v>
      </x:c>
      <x:c r="C2159" s="12" t="n">
        <x:v>0.0007123085206467977</x:v>
      </x:c>
      <x:c r="D2159" s="12" t="n">
        <x:v>-0.21116173159964394</x:v>
      </x:c>
      <x:c r="E2159" s="12" t="n">
        <x:v>-0.13526554574978478</x:v>
      </x:c>
    </x:row>
    <x:row r="2160" ht="18" customHeight="1">
      <x:c r="A2160" s="13" t="n">
        <x:v>45853</x:v>
      </x:c>
      <x:c r="B2160" s="12" t="n">
        <x:v>0</x:v>
      </x:c>
      <x:c r="C2160" s="12" t="n">
        <x:v>0.0003475541997177205</x:v>
      </x:c>
      <x:c r="D2160" s="12" t="n">
        <x:v>-0.24908936482136043</x:v>
      </x:c>
      <x:c r="E2160" s="12" t="n">
        <x:v>-0.13453266453108323</x:v>
      </x:c>
    </x:row>
    <x:row r="2161" ht="18" customHeight="1">
      <x:c r="A2161" s="13" t="n">
        <x:v>45854</x:v>
      </x:c>
      <x:c r="B2161" s="12" t="n">
        <x:v>5</x:v>
      </x:c>
      <x:c r="C2161" s="12" t="n">
        <x:v>-0.002955922017528145</x:v>
      </x:c>
      <x:c r="D2161" s="12" t="n">
        <x:v>-0.24670703394785662</x:v>
      </x:c>
      <x:c r="E2161" s="12" t="n">
        <x:v>-0.13491483473812635</x:v>
      </x:c>
    </x:row>
    <x:row r="2162" ht="18" customHeight="1">
      <x:c r="A2162" s="13" t="n">
        <x:v>45855</x:v>
      </x:c>
      <x:c r="B2162" s="12" t="n">
        <x:v>-9</x:v>
      </x:c>
      <x:c r="C2162" s="12" t="n">
        <x:v>0.006786930336544563</x:v>
      </x:c>
      <x:c r="D2162" s="12" t="n">
        <x:v>-0.2566106246843942</x:v>
      </x:c>
      <x:c r="E2162" s="12" t="n">
        <x:v>-0.13650227983118893</x:v>
      </x:c>
    </x:row>
    <x:row r="2163" ht="18" customHeight="1">
      <x:c r="A2163" s="13" t="n">
        <x:v>45856</x:v>
      </x:c>
      <x:c r="B2163" s="12" t="n">
        <x:v>2</x:v>
      </x:c>
      <x:c r="C2163" s="12" t="n">
        <x:v>0.0059452744707187335</x:v>
      </x:c>
      <x:c r="D2163" s="12" t="n">
        <x:v>-0.2501908638004941</x:v>
      </x:c>
      <x:c r="E2163" s="12" t="n">
        <x:v>-0.13590624127129858</x:v>
      </x:c>
    </x:row>
    <x:row r="2164" ht="18" customHeight="1">
      <x:c r="A2164" s="13" t="n">
        <x:v>45859</x:v>
      </x:c>
      <x:c r="B2164" s="12" t="n">
        <x:v>-4</x:v>
      </x:c>
      <x:c r="C2164" s="12" t="n">
        <x:v>0.006644936621844214</x:v>
      </x:c>
      <x:c r="D2164" s="12" t="n">
        <x:v>-0.2603777391003597</x:v>
      </x:c>
      <x:c r="E2164" s="12" t="n">
        <x:v>-0.13640570004447328</x:v>
      </x:c>
    </x:row>
    <x:row r="2165" ht="18" customHeight="1">
      <x:c r="A2165" s="13" t="n">
        <x:v>45860</x:v>
      </x:c>
      <x:c r="B2165" s="12" t="n">
        <x:v>1</x:v>
      </x:c>
      <x:c r="C2165" s="12" t="n">
        <x:v>0.008129908671452656</x:v>
      </x:c>
      <x:c r="D2165" s="12" t="n">
        <x:v>-0.2625434286661522</x:v>
      </x:c>
      <x:c r="E2165" s="12" t="n">
        <x:v>-0.13605461302279542</x:v>
      </x:c>
    </x:row>
    <x:row r="2166" ht="18" customHeight="1">
      <x:c r="A2166" s="13" t="n">
        <x:v>45861</x:v>
      </x:c>
      <x:c r="B2166" s="12" t="n">
        <x:v>-7</x:v>
      </x:c>
      <x:c r="C2166" s="12" t="n">
        <x:v>0.0001967051541138663</x:v>
      </x:c>
      <x:c r="D2166" s="12" t="n">
        <x:v>-0.27685269300599735</x:v>
      </x:c>
      <x:c r="E2166" s="12" t="n">
        <x:v>-0.13544571475527153</x:v>
      </x:c>
    </x:row>
    <x:row r="2167" ht="18" customHeight="1">
      <x:c r="A2167" s="13" t="n">
        <x:v>45862</x:v>
      </x:c>
      <x:c r="B2167" s="12" t="n">
        <x:v>-1</x:v>
      </x:c>
      <x:c r="C2167" s="12" t="n">
        <x:v>0.007079238456162641</x:v>
      </x:c>
      <x:c r="D2167" s="12" t="n">
        <x:v>-0.2911694492983099</x:v>
      </x:c>
      <x:c r="E2167" s="12" t="n">
        <x:v>-0.13806058231021084</x:v>
      </x:c>
    </x:row>
    <x:row r="2168" ht="18" customHeight="1">
      <x:c r="A2168" s="13" t="n">
        <x:v>45863</x:v>
      </x:c>
      <x:c r="B2168" s="12" t="n">
        <x:v>2</x:v>
      </x:c>
      <x:c r="C2168" s="12" t="n">
        <x:v>-0.005285868007222081</x:v>
      </x:c>
      <x:c r="D2168" s="12" t="n">
        <x:v>-0.3209941500675447</x:v>
      </x:c>
      <x:c r="E2168" s="12" t="n">
        <x:v>-0.13900223925273802</x:v>
      </x:c>
    </x:row>
    <x:row r="2169" ht="18" customHeight="1">
      <x:c r="A2169" s="13" t="n">
        <x:v>45866</x:v>
      </x:c>
      <x:c r="B2169" s="12" t="n">
        <x:v>-2</x:v>
      </x:c>
      <x:c r="C2169" s="12" t="n">
        <x:v>0.002096288555873746</x:v>
      </x:c>
      <x:c r="D2169" s="12" t="n">
        <x:v>-0.32257331771485265</x:v>
      </x:c>
      <x:c r="E2169" s="12" t="n">
        <x:v>-0.13966978640765657</x:v>
      </x:c>
    </x:row>
    <x:row r="2170" ht="18" customHeight="1">
      <x:c r="A2170" s="13" t="n">
        <x:v>45867</x:v>
      </x:c>
      <x:c r="B2170" s="12" t="n">
        <x:v>4</x:v>
      </x:c>
      <x:c r="C2170" s="12" t="n">
        <x:v>0.003909463318980385</x:v>
      </x:c>
      <x:c r="D2170" s="12" t="n">
        <x:v>-0.31920426223777304</x:v>
      </x:c>
      <x:c r="E2170" s="12" t="n">
        <x:v>-0.13972590827230913</x:v>
      </x:c>
    </x:row>
    <x:row r="2171" ht="18" customHeight="1">
      <x:c r="A2171" s="13" t="n">
        <x:v>45868</x:v>
      </x:c>
      <x:c r="B2171" s="12" t="n">
        <x:v>3</x:v>
      </x:c>
      <x:c r="C2171" s="12" t="n">
        <x:v>-0.00018951586629451265</x:v>
      </x:c>
      <x:c r="D2171" s="12" t="n">
        <x:v>-0.3158941046713721</x:v>
      </x:c>
      <x:c r="E2171" s="12" t="n">
        <x:v>-0.13980859589745712</x:v>
      </x:c>
    </x:row>
    <x:row r="2172" ht="18" customHeight="1">
      <x:c r="A2172" s="13" t="n">
        <x:v>45869</x:v>
      </x:c>
      <x:c r="B2172" s="12" t="n">
        <x:v>-3</x:v>
      </x:c>
      <x:c r="C2172" s="12" t="n">
        <x:v>-0.01839076299549046</x:v>
      </x:c>
      <x:c r="D2172" s="12" t="n">
        <x:v>-0.2693700716305382</x:v>
      </x:c>
      <x:c r="E2172" s="12" t="n">
        <x:v>-0.13737917694735857</x:v>
      </x:c>
    </x:row>
    <x:row r="2173" ht="18" customHeight="1">
      <x:c r="A2173" s="13" t="n">
        <x:v>45870</x:v>
      </x:c>
      <x:c r="B2173" s="12" t="n">
        <x:v>27</x:v>
      </x:c>
      <x:c r="C2173" s="12" t="n">
        <x:v>-0.005082736403513882</x:v>
      </x:c>
      <x:c r="D2173" s="12" t="n">
        <x:v>-0.29764205910317737</x:v>
      </x:c>
      <x:c r="E2173" s="12" t="n">
        <x:v>-0.139032733119811</x:v>
      </x:c>
    </x:row>
    <x:row r="2174" ht="18" customHeight="1">
      <x:c r="A2174" s="13" t="n">
        <x:v>45873</x:v>
      </x:c>
      <x:c r="B2174" s="12" t="n">
        <x:v>-11</x:v>
      </x:c>
      <x:c r="C2174" s="12" t="n">
        <x:v>0.003882460330244926</x:v>
      </x:c>
      <x:c r="D2174" s="12" t="n">
        <x:v>-0.33077376344676285</x:v>
      </x:c>
      <x:c r="E2174" s="12" t="n">
        <x:v>-0.13980752028855487</x:v>
      </x:c>
    </x:row>
    <x:row r="2175" ht="18" customHeight="1">
      <x:c r="A2175" s="13" t="n">
        <x:v>45874</x:v>
      </x:c>
      <x:c r="B2175" s="12" t="n">
        <x:v>-4</x:v>
      </x:c>
      <x:c r="C2175" s="12" t="n">
        <x:v>0.008012543441925745</x:v>
      </x:c>
      <x:c r="D2175" s="12" t="n">
        <x:v>-0.3392049904373357</x:v>
      </x:c>
      <x:c r="E2175" s="12" t="n">
        <x:v>-0.14069392730305627</x:v>
      </x:c>
    </x:row>
    <x:row r="2176" ht="18" customHeight="1">
      <x:c r="A2176" s="13" t="n">
        <x:v>45875</x:v>
      </x:c>
      <x:c r="B2176" s="12" t="n">
        <x:v>0</x:v>
      </x:c>
      <x:c r="C2176" s="12" t="n">
        <x:v>0.002442566418018243</x:v>
      </x:c>
      <x:c r="D2176" s="12" t="n">
        <x:v>-0.32660659064320363</x:v>
      </x:c>
      <x:c r="E2176" s="12" t="n">
        <x:v>-0.14072267124064014</x:v>
      </x:c>
    </x:row>
    <x:row r="2177" ht="18" customHeight="1">
      <x:c r="A2177" s="13" t="n">
        <x:v>45876</x:v>
      </x:c>
      <x:c r="B2177" s="12" t="n">
        <x:v>-3</x:v>
      </x:c>
      <x:c r="C2177" s="12" t="n">
        <x:v>0.00028701465964952667</x:v>
      </x:c>
      <x:c r="D2177" s="12" t="n">
        <x:v>-0.32393316324155397</x:v>
      </x:c>
      <x:c r="E2177" s="12" t="n">
        <x:v>-0.1417894098982585</x:v>
      </x:c>
    </x:row>
    <x:row r="2178" ht="18" customHeight="1">
      <x:c r="A2178" s="13" t="n">
        <x:v>45877</x:v>
      </x:c>
      <x:c r="B2178" s="12" t="n">
        <x:v>-1</x:v>
      </x:c>
      <x:c r="C2178" s="12" t="n">
        <x:v>-0.002359984836212605</x:v>
      </x:c>
      <x:c r="D2178" s="12" t="n">
        <x:v>-0.23882414262000765</x:v>
      </x:c>
      <x:c r="E2178" s="12" t="n">
        <x:v>-0.1446988071557219</x:v>
      </x:c>
    </x:row>
    <x:row r="2179" ht="18" customHeight="1">
      <x:c r="A2179" s="13" t="n">
        <x:v>45880</x:v>
      </x:c>
      <x:c r="B2179" s="12" t="n">
        <x:v>0</x:v>
      </x:c>
      <x:c r="C2179" s="12" t="n">
        <x:v>0.004264667169128132</x:v>
      </x:c>
      <x:c r="D2179" s="12" t="n">
        <x:v>-0.2380000826808092</x:v>
      </x:c>
      <x:c r="E2179" s="12" t="n">
        <x:v>-0.143084024059159</x:v>
      </x:c>
    </x:row>
    <x:row r="2180" ht="18" customHeight="1">
      <x:c r="A2180" s="13" t="n">
        <x:v>45881</x:v>
      </x:c>
      <x:c r="B2180" s="12" t="n">
        <x:v>-1</x:v>
      </x:c>
      <x:c r="C2180" s="12" t="n">
        <x:v>0.0051569758967200535</x:v>
      </x:c>
      <x:c r="D2180" s="12" t="n">
        <x:v>-0.2522156324033181</x:v>
      </x:c>
      <x:c r="E2180" s="12" t="n">
        <x:v>-0.14368308623054482</x:v>
      </x:c>
    </x:row>
    <x:row r="2181" ht="18" customHeight="1">
      <x:c r="A2181" s="13" t="n">
        <x:v>45882</x:v>
      </x:c>
      <x:c r="B2181" s="12" t="n">
        <x:v>-3</x:v>
      </x:c>
      <x:c r="C2181" s="12" t="n">
        <x:v>0.00787283259172163</x:v>
      </x:c>
      <x:c r="D2181" s="12" t="n">
        <x:v>-0.21996316736018615</x:v>
      </x:c>
      <x:c r="E2181" s="12" t="n">
        <x:v>-0.1444473427117852</x:v>
      </x:c>
    </x:row>
    <x:row r="2182" ht="18" customHeight="1">
      <x:c r="A2182" s="13" t="n">
        <x:v>45883</x:v>
      </x:c>
      <x:c r="B2182" s="12" t="n">
        <x:v>-1</x:v>
      </x:c>
      <x:c r="C2182" s="12" t="n">
        <x:v>-0.0007819264427803516</x:v>
      </x:c>
      <x:c r="D2182" s="12" t="n">
        <x:v>-0.23189684463926472</x:v>
      </x:c>
      <x:c r="E2182" s="12" t="n">
        <x:v>-0.14383703799298292</x:v>
      </x:c>
    </x:row>
    <x:row r="2183" ht="18" customHeight="1">
      <x:c r="A2183" s="13" t="n">
        <x:v>45884</x:v>
      </x:c>
      <x:c r="B2183" s="12" t="n">
        <x:v>-1</x:v>
      </x:c>
      <x:c r="C2183" s="12" t="n">
        <x:v>0.0069344491490834215</x:v>
      </x:c>
      <x:c r="D2183" s="12" t="n">
        <x:v>-0.2228035119862281</x:v>
      </x:c>
      <x:c r="E2183" s="12" t="n">
        <x:v>-0.14251081776789953</x:v>
      </x:c>
    </x:row>
    <x:row r="2184" ht="18" customHeight="1">
      <x:c r="A2184" s="13" t="n">
        <x:v>45887</x:v>
      </x:c>
      <x:c r="B2184" s="12" t="n">
        <x:v>0</x:v>
      </x:c>
      <x:c r="C2184" s="12" t="n">
        <x:v>0.008780020424242996</x:v>
      </x:c>
      <x:c r="D2184" s="12" t="n">
        <x:v>-0.21779894143861045</x:v>
      </x:c>
      <x:c r="E2184" s="12" t="n">
        <x:v>-0.14670397182627765</x:v>
      </x:c>
    </x:row>
    <x:row r="2185" ht="18" customHeight="1">
      <x:c r="A2185" s="13" t="n">
        <x:v>45888</x:v>
      </x:c>
      <x:c r="B2185" s="12" t="n">
        <x:v>2</x:v>
      </x:c>
      <x:c r="C2185" s="12" t="n">
        <x:v>-0.003790339981286738</x:v>
      </x:c>
      <x:c r="D2185" s="12" t="n">
        <x:v>-0.23330373912758856</x:v>
      </x:c>
      <x:c r="E2185" s="12" t="n">
        <x:v>-0.14489085996039391</x:v>
      </x:c>
    </x:row>
    <x:row r="2186" ht="18" customHeight="1">
      <x:c r="A2186" s="13" t="n">
        <x:v>45889</x:v>
      </x:c>
      <x:c r="B2186" s="12" t="n">
        <x:v>4</x:v>
      </x:c>
      <x:c r="C2186" s="12" t="n">
        <x:v>0.01130630072977471</x:v>
      </x:c>
      <x:c r="D2186" s="12" t="n">
        <x:v>-0.20097275930627326</x:v>
      </x:c>
      <x:c r="E2186" s="12" t="n">
        <x:v>-0.1342143525022144</x:v>
      </x:c>
    </x:row>
    <x:row r="2187" ht="18" customHeight="1">
      <x:c r="A2187" s="13" t="n">
        <x:v>45890</x:v>
      </x:c>
      <x:c r="B2187" s="12" t="n">
        <x:v>1</x:v>
      </x:c>
      <x:c r="C2187" s="12" t="n">
        <x:v>0.003896252434618806</x:v>
      </x:c>
      <x:c r="D2187" s="12" t="n">
        <x:v>-0.16592667586314983</x:v>
      </x:c>
      <x:c r="E2187" s="12" t="n">
        <x:v>-0.1259970203866608</x:v>
      </x:c>
    </x:row>
    <x:row r="2188" ht="18" customHeight="1">
      <x:c r="A2188" s="13" t="n">
        <x:v>45891</x:v>
      </x:c>
      <x:c r="B2188" s="12" t="n">
        <x:v>-7</x:v>
      </x:c>
      <x:c r="C2188" s="12" t="n">
        <x:v>0.020754562240778436</x:v>
      </x:c>
      <x:c r="D2188" s="12" t="n">
        <x:v>-0.20523680113611226</x:v>
      </x:c>
      <x:c r="E2188" s="12" t="n">
        <x:v>-0.13360376905831495</x:v>
      </x:c>
    </x:row>
    <x:row r="2189" ht="18" customHeight="1">
      <x:c r="A2189" s="13" t="n">
        <x:v>45894</x:v>
      </x:c>
      <x:c r="B2189" s="12" t="n">
        <x:v>-8</x:v>
      </x:c>
      <x:c r="C2189" s="12" t="n">
        <x:v>0.020622803387883</x:v>
      </x:c>
      <x:c r="D2189" s="12" t="n">
        <x:v>-0.31566741024426376</x:v>
      </x:c>
      <x:c r="E2189" s="12" t="n">
        <x:v>-0.13919558926801714</x:v>
      </x:c>
    </x:row>
    <x:row r="2190" ht="18" customHeight="1">
      <x:c r="A2190" s="13" t="n">
        <x:v>45895</x:v>
      </x:c>
      <x:c r="B2190" s="12" t="n">
        <x:v>-2</x:v>
      </x:c>
      <x:c r="C2190" s="12" t="n">
        <x:v>-0.0037282154995151224</x:v>
      </x:c>
      <x:c r="D2190" s="12" t="n">
        <x:v>-0.3106347466583376</x:v>
      </x:c>
      <x:c r="E2190" s="12" t="n">
        <x:v>-0.13938967890138826</x:v>
      </x:c>
    </x:row>
    <x:row r="2191" ht="18" customHeight="1">
      <x:c r="A2191" s="13" t="n">
        <x:v>45896</x:v>
      </x:c>
      <x:c r="B2191" s="12" t="n">
        <x:v>0</x:v>
      </x:c>
      <x:c r="C2191" s="12" t="n">
        <x:v>-0.01503954748665182</x:v>
      </x:c>
      <x:c r="D2191" s="12" t="n">
        <x:v>-0.2988634785660424</x:v>
      </x:c>
      <x:c r="E2191" s="12" t="n">
        <x:v>-0.13898269659818743</x:v>
      </x:c>
    </x:row>
    <x:row r="2192" ht="18" customHeight="1">
      <x:c r="A2192" s="13" t="n">
        <x:v>45897</x:v>
      </x:c>
      <x:c r="B2192" s="12" t="n">
        <x:v>-3</x:v>
      </x:c>
      <x:c r="C2192" s="12" t="n">
        <x:v>0.017549874612882172</x:v>
      </x:c>
      <x:c r="D2192" s="12" t="n">
        <x:v>-0.2823537627827782</x:v>
      </x:c>
      <x:c r="E2192" s="12" t="n">
        <x:v>-0.1398808370463499</x:v>
      </x:c>
    </x:row>
    <x:row r="2193" ht="18" customHeight="1">
      <x:c r="A2193" s="13" t="n">
        <x:v>45898</x:v>
      </x:c>
      <x:c r="B2193" s="12" t="n">
        <x:v>7</x:v>
      </x:c>
      <x:c r="C2193" s="12" t="n">
        <x:v>0.0073605485465789156</x:v>
      </x:c>
      <x:c r="D2193" s="12" t="n">
        <x:v>-0.2627882921524458</x:v>
      </x:c>
      <x:c r="E2193" s="12" t="n">
        <x:v>-0.13811060438292627</x:v>
      </x:c>
    </x:row>
    <x:row r="2194" ht="18" customHeight="1">
      <x:c r="A2194" s="13" t="n">
        <x:v>45901</x:v>
      </x:c>
      <x:c r="B2194" s="12" t="n">
        <x:v>0</x:v>
      </x:c>
      <x:c r="C2194" s="12" t="n">
        <x:v>0.005975759490662033</x:v>
      </x:c>
      <x:c r="D2194" s="12" t="n">
        <x:v>-0.2666312493401132</x:v>
      </x:c>
      <x:c r="E2194" s="12" t="n">
        <x:v>-0.14085985206397078</x:v>
      </x:c>
    </x:row>
    <x:row r="2195" ht="18" customHeight="1">
      <x:c r="A2195" s="13" t="n">
        <x:v>45902</x:v>
      </x:c>
      <x:c r="B2195" s="12" t="n">
        <x:v>8</x:v>
      </x:c>
      <x:c r="C2195" s="12" t="n">
        <x:v>-0.007379153803648037</x:v>
      </x:c>
      <x:c r="D2195" s="12" t="n">
        <x:v>-0.2933722130659908</x:v>
      </x:c>
      <x:c r="E2195" s="12" t="n">
        <x:v>-0.13942797656919867</x:v>
      </x:c>
    </x:row>
    <x:row r="2196" ht="18" customHeight="1">
      <x:c r="A2196" s="13" t="n">
        <x:v>45903</x:v>
      </x:c>
      <x:c r="B2196" s="12" t="n">
        <x:v>-4</x:v>
      </x:c>
      <x:c r="C2196" s="12" t="n">
        <x:v>-0.006842983970613739</x:v>
      </x:c>
      <x:c r="D2196" s="12" t="n">
        <x:v>-0.2926798905511291</x:v>
      </x:c>
      <x:c r="E2196" s="12" t="n">
        <x:v>-0.13816989128484253</x:v>
      </x:c>
    </x:row>
    <x:row r="2197" ht="18" customHeight="1">
      <x:c r="A2197" s="13" t="n">
        <x:v>45904</x:v>
      </x:c>
      <x:c r="B2197" s="12" t="n">
        <x:v>-4</x:v>
      </x:c>
      <x:c r="C2197" s="12" t="n">
        <x:v>-0.0214446045502523</x:v>
      </x:c>
      <x:c r="D2197" s="12" t="n">
        <x:v>-0.23952617553675287</x:v>
      </x:c>
      <x:c r="E2197" s="12" t="n">
        <x:v>-0.1338375767263297</x:v>
      </x:c>
    </x:row>
    <x:row r="2198" ht="18" customHeight="1">
      <x:c r="A2198" s="13" t="n">
        <x:v>45905</x:v>
      </x:c>
      <x:c r="B2198" s="12" t="n">
        <x:v>-1</x:v>
      </x:c>
      <x:c r="C2198" s="12" t="n">
        <x:v>0.02155565643853706</x:v>
      </x:c>
      <x:c r="D2198" s="12" t="n">
        <x:v>-0.23215267440051365</x:v>
      </x:c>
      <x:c r="E2198" s="12" t="n">
        <x:v>-0.1327859852810015</x:v>
      </x:c>
    </x:row>
    <x:row r="2199" ht="18" customHeight="1">
      <x:c r="A2199" s="13" t="n">
        <x:v>45908</x:v>
      </x:c>
      <x:c r="B2199" s="12" t="n">
        <x:v>1</x:v>
      </x:c>
      <x:c r="C2199" s="12" t="n">
        <x:v>0.0016237643911757873</x:v>
      </x:c>
      <x:c r="D2199" s="12" t="n">
        <x:v>-0.2340769666167873</x:v>
      </x:c>
      <x:c r="E2199" s="12" t="n">
        <x:v>-0.1324575334379695</x:v>
      </x:c>
    </x:row>
    <x:row r="2200" ht="18" customHeight="1">
      <x:c r="A2200" s="13" t="n">
        <x:v>45909</x:v>
      </x:c>
      <x:c r="B2200" s="12" t="n">
        <x:v>3</x:v>
      </x:c>
      <x:c r="C2200" s="12" t="n">
        <x:v>-0.0070340568356272665</x:v>
      </x:c>
      <x:c r="D2200" s="12" t="n">
        <x:v>-0.23923072315957208</x:v>
      </x:c>
      <x:c r="E2200" s="12" t="n">
        <x:v>-0.13420099216127804</x:v>
      </x:c>
    </x:row>
    <x:row r="2201" ht="18" customHeight="1">
      <x:c r="A2201" s="13" t="n">
        <x:v>45910</x:v>
      </x:c>
      <x:c r="B2201" s="12" t="n">
        <x:v>-3</x:v>
      </x:c>
      <x:c r="C2201" s="12" t="n">
        <x:v>0.0020506393670538855</x:v>
      </x:c>
      <x:c r="D2201" s="12" t="n">
        <x:v>-0.23614405990920903</x:v>
      </x:c>
      <x:c r="E2201" s="12" t="n">
        <x:v>-0.1340790750586988</x:v>
      </x:c>
    </x:row>
    <x:row r="2202" ht="18" customHeight="1">
      <x:c r="A2202" s="13" t="n">
        <x:v>45911</x:v>
      </x:c>
      <x:c r="B2202" s="12" t="n">
        <x:v>-6</x:v>
      </x:c>
      <x:c r="C2202" s="12" t="n">
        <x:v>0.022833203776542223</x:v>
      </x:c>
      <x:c r="D2202" s="12" t="n">
        <x:v>-0.2655804057920796</x:v>
      </x:c>
      <x:c r="E2202" s="12" t="n">
        <x:v>-0.13818844566420446</x:v>
      </x:c>
    </x:row>
    <x:row r="2203" ht="18" customHeight="1">
      <x:c r="A2203" s="13" t="n">
        <x:v>45912</x:v>
      </x:c>
      <x:c r="B2203" s="12" t="n">
        <x:v>1</x:v>
      </x:c>
      <x:c r="C2203" s="12" t="n">
        <x:v>-0.00574123003799257</x:v>
      </x:c>
      <x:c r="D2203" s="12" t="n">
        <x:v>-0.2635855997369132</x:v>
      </x:c>
      <x:c r="E2203" s="12" t="n">
        <x:v>-0.13795425956179927</x:v>
      </x:c>
    </x:row>
    <x:row r="2204" ht="18" customHeight="1">
      <x:c r="A2204" s="13" t="n">
        <x:v>45915</x:v>
      </x:c>
      <x:c r="B2204" s="12" t="n">
        <x:v>-4</x:v>
      </x:c>
      <x:c r="C2204" s="12" t="n">
        <x:v>0.0024423279779261227</x:v>
      </x:c>
      <x:c r="D2204" s="12" t="n">
        <x:v>-0.26290819134335414</x:v>
      </x:c>
      <x:c r="E2204" s="12" t="n">
        <x:v>-0.13760241548998225</x:v>
      </x:c>
    </x:row>
    <x:row r="2205" ht="18" customHeight="1">
      <x:c r="A2205" s="13" t="n">
        <x:v>45916</x:v>
      </x:c>
      <x:c r="B2205" s="12" t="n">
        <x:v>4</x:v>
      </x:c>
      <x:c r="C2205" s="12" t="n">
        <x:v>-0.0021463300841667505</x:v>
      </x:c>
      <x:c r="D2205" s="12" t="n">
        <x:v>-0.26935960824734423</x:v>
      </x:c>
      <x:c r="E2205" s="12" t="n">
        <x:v>-0.13865459663077787</x:v>
      </x:c>
    </x:row>
    <x:row r="2206" ht="18" customHeight="1">
      <x:c r="A2206" s="13" t="n">
        <x:v>45917</x:v>
      </x:c>
      <x:c r="B2206" s="12" t="n">
        <x:v>0</x:v>
      </x:c>
      <x:c r="C2206" s="12" t="n">
        <x:v>0.006102113388792819</x:v>
      </x:c>
      <x:c r="D2206" s="12" t="n">
        <x:v>-0.270223727924992</x:v>
      </x:c>
      <x:c r="E2206" s="12" t="n">
        <x:v>-0.13801665871097282</x:v>
      </x:c>
    </x:row>
    <x:row r="2207" ht="18" customHeight="1">
      <x:c r="A2207" s="13" t="n">
        <x:v>45918</x:v>
      </x:c>
      <x:c r="B2207" s="12" t="n">
        <x:v>-8</x:v>
      </x:c>
      <x:c r="C2207" s="12" t="n">
        <x:v>-0.011694956620105569</x:v>
      </x:c>
      <x:c r="D2207" s="12" t="n">
        <x:v>-0.2240690854937984</x:v>
      </x:c>
      <x:c r="E2207" s="12" t="n">
        <x:v>-0.13424884493533526</x:v>
      </x:c>
    </x:row>
    <x:row r="2208" ht="18" customHeight="1">
      <x:c r="A2208" s="13" t="n">
        <x:v>45919</x:v>
      </x:c>
      <x:c r="B2208" s="12" t="n">
        <x:v>1</x:v>
      </x:c>
      <x:c r="C2208" s="12" t="n">
        <x:v>0.000846775146920046</x:v>
      </x:c>
      <x:c r="D2208" s="12" t="n">
        <x:v>-0.21079956379838816</x:v>
      </x:c>
      <x:c r="E2208" s="12" t="n">
        <x:v>-0.13577196509180314</x:v>
      </x:c>
    </x:row>
    <x:row r="2209" ht="18" customHeight="1">
      <x:c r="A2209" s="13" t="n">
        <x:v>45922</x:v>
      </x:c>
      <x:c r="B2209" s="12" t="n">
        <x:v>-3</x:v>
      </x:c>
      <x:c r="C2209" s="12" t="n">
        <x:v>0.004584957216320352</x:v>
      </x:c>
      <x:c r="D2209" s="12" t="n">
        <x:v>-0.2098423231365732</x:v>
      </x:c>
      <x:c r="E2209" s="12" t="n">
        <x:v>-0.13502367859686767</x:v>
      </x:c>
    </x:row>
    <x:row r="2210" ht="18" customHeight="1">
      <x:c r="A2210" s="13" t="n">
        <x:v>45923</x:v>
      </x:c>
      <x:c r="B2210" s="12" t="n">
        <x:v>2</x:v>
      </x:c>
      <x:c r="C2210" s="12" t="n">
        <x:v>-0.0006259188805021417</x:v>
      </x:c>
      <x:c r="D2210" s="12" t="n">
        <x:v>-0.2114273085054845</x:v>
      </x:c>
      <x:c r="E2210" s="12" t="n">
        <x:v>-0.1352062610757285</x:v>
      </x:c>
    </x:row>
    <x:row r="2211" ht="18" customHeight="1">
      <x:c r="A2211" s="13" t="n">
        <x:v>45924</x:v>
      </x:c>
      <x:c r="B2211" s="12" t="n">
        <x:v>-1</x:v>
      </x:c>
      <x:c r="C2211" s="12" t="n">
        <x:v>0.010190154181971384</x:v>
      </x:c>
      <x:c r="D2211" s="12" t="n">
        <x:v>-0.21740119060784466</x:v>
      </x:c>
      <x:c r="E2211" s="12" t="n">
        <x:v>-0.13238651920187394</x:v>
      </x:c>
    </x:row>
    <x:row r="2212" ht="18" customHeight="1">
      <x:c r="A2212" s="13" t="n">
        <x:v>45925</x:v>
      </x:c>
      <x:c r="B2212" s="12" t="n">
        <x:v>6</x:v>
      </x:c>
      <x:c r="C2212" s="12" t="n">
        <x:v>0.0059864855884912554</x:v>
      </x:c>
      <x:c r="D2212" s="12" t="n">
        <x:v>-0.2059713706029492</x:v>
      </x:c>
      <x:c r="E2212" s="12" t="n">
        <x:v>-0.1327808192823225</x:v>
      </x:c>
    </x:row>
    <x:row r="2213" ht="18" customHeight="1">
      <x:c r="A2213" s="13" t="n">
        <x:v>45926</x:v>
      </x:c>
      <x:c r="B2213" s="12" t="n">
        <x:v>-1</x:v>
      </x:c>
      <x:c r="C2213" s="12" t="n">
        <x:v>-0.009501603286869161</x:v>
      </x:c>
      <x:c r="D2213" s="12" t="n">
        <x:v>-0.20224009407005564</x:v>
      </x:c>
      <x:c r="E2213" s="12" t="n">
        <x:v>-0.1325438326343902</x:v>
      </x:c>
    </x:row>
    <x:row r="2214" ht="18" customHeight="1">
      <x:c r="A2214" s="13" t="n">
        <x:v>45929</x:v>
      </x:c>
      <x:c r="B2214" s="12" t="n">
        <x:v>-1</x:v>
      </x:c>
      <x:c r="C2214" s="12" t="n">
        <x:v>0.01526819739748804</x:v>
      </x:c>
      <x:c r="D2214" s="12" t="n">
        <x:v>-0.2044304378303257</x:v>
      </x:c>
      <x:c r="E2214" s="12" t="n">
        <x:v>-0.13296946379640048</x:v>
      </x:c>
    </x:row>
    <x:row r="2215" ht="18" customHeight="1">
      <x:c r="A2215" s="13" t="n">
        <x:v>45930</x:v>
      </x:c>
      <x:c r="B2215" s="12" t="n">
        <x:v>6</x:v>
      </x:c>
      <x:c r="C2215" s="12" t="n">
        <x:v>0.004457682677076719</x:v>
      </x:c>
      <x:c r="D2215" s="12" t="n">
        <x:v>-0.19180444486388143</x:v>
      </x:c>
      <x:c r="E2215" s="12" t="n">
        <x:v>-0.13326530913336873</x:v>
      </x:c>
    </x:row>
    <x:row r="2216" ht="18" customHeight="1">
      <x:c r="A2216" s="13" t="n">
        <x:v>45939</x:v>
      </x:c>
      <x:c r="B2216" s="12" t="n">
        <x:v>11</x:v>
      </x:c>
      <x:c r="C2216" s="12" t="n">
        <x:v>0.014714106934793574</x:v>
      </x:c>
      <x:c r="D2216" s="12" t="n">
        <x:v>-0.13858673915695735</x:v>
      </x:c>
      <x:c r="E2216" s="12" t="n">
        <x:v>-0.12760472813368248</x:v>
      </x:c>
    </x:row>
    <x:row r="2217" ht="18" customHeight="1">
      <x:c r="A2217" s="13" t="n">
        <x:v>45940</x:v>
      </x:c>
      <x:c r="B2217" s="12" t="n">
        <x:v>23</x:v>
      </x:c>
      <x:c r="C2217" s="12" t="n">
        <x:v>-0.01986871275602549</x:v>
      </x:c>
      <x:c r="D2217" s="12" t="n">
        <x:v>-0.25117232799487027</x:v>
      </x:c>
      <x:c r="E2217" s="12" t="n">
        <x:v>-0.1422237689011533</x:v>
      </x:c>
    </x:row>
    <x:row r="2218" ht="18" customHeight="1">
      <x:c r="A2218" s="13" t="n">
        <x:v>45943</x:v>
      </x:c>
      <x:c r="B2218" s="12" t="n">
        <x:v>0</x:v>
      </x:c>
      <x:c r="C2218" s="12" t="n">
        <x:v>-0.00496278621707397</x:v>
      </x:c>
      <x:c r="D2218" s="12" t="n">
        <x:v>-0.26143092156796555</x:v>
      </x:c>
      <x:c r="E2218" s="12" t="n">
        <x:v>-0.14025526616869302</x:v>
      </x:c>
    </x:row>
    <x:row r="2219" ht="18" customHeight="1">
      <x:c r="A2219" s="13" t="n">
        <x:v>45944</x:v>
      </x:c>
      <x:c r="B2219" s="12" t="n">
        <x:v>-7</x:v>
      </x:c>
      <x:c r="C2219" s="12" t="n">
        <x:v>-0.012025512717694411</x:v>
      </x:c>
      <x:c r="D2219" s="12" t="n">
        <x:v>-0.224043950982759</x:v>
      </x:c>
      <x:c r="E2219" s="12" t="n">
        <x:v>-0.1366025133341962</x:v>
      </x:c>
    </x:row>
    <x:row r="2220" ht="18" customHeight="1">
      <x:c r="A2220" s="13" t="n">
        <x:v>45945</x:v>
      </x:c>
      <x:c r="B2220" s="12" t="n">
        <x:v>-16</x:v>
      </x:c>
      <x:c r="C2220" s="12" t="n">
        <x:v>0.01470139335196678</x:v>
      </x:c>
      <x:c r="D2220" s="12" t="n">
        <x:v>-0.2611485953255256</x:v>
      </x:c>
      <x:c r="E2220" s="12" t="n">
        <x:v>-0.1427643413838372</x:v>
      </x:c>
    </x:row>
    <x:row r="2221" ht="18" customHeight="1">
      <x:c r="A2221" s="13" t="n">
        <x:v>45946</x:v>
      </x:c>
      <x:c r="B2221" s="12" t="n">
        <x:v>9</x:v>
      </x:c>
      <x:c r="C2221" s="12" t="n">
        <x:v>0.0026307401300698563</x:v>
      </x:c>
      <x:c r="D2221" s="12" t="n">
        <x:v>-0.25613670844652775</x:v>
      </x:c>
      <x:c r="E2221" s="12" t="n">
        <x:v>-0.1536628502542372</x:v>
      </x:c>
    </x:row>
    <x:row r="2222" ht="18" customHeight="1">
      <x:c r="A2222" s="13" t="n">
        <x:v>45947</x:v>
      </x:c>
      <x:c r="B2222" s="12" t="n">
        <x:v>0</x:v>
      </x:c>
      <x:c r="C2222" s="12" t="n">
        <x:v>-0.02281741846639355</x:v>
      </x:c>
      <x:c r="D2222" s="12" t="n">
        <x:v>-0.2438857310858558</x:v>
      </x:c>
      <x:c r="E2222" s="12" t="n">
        <x:v>-0.1522184639242951</x:v>
      </x:c>
    </x:row>
    <x:row r="2223" ht="18" customHeight="1">
      <x:c r="A2223" s="13" t="n">
        <x:v>45950</x:v>
      </x:c>
      <x:c r="B2223" s="12" t="n">
        <x:v>-5</x:v>
      </x:c>
      <x:c r="C2223" s="12" t="n">
        <x:v>0.005299260187528013</x:v>
      </x:c>
      <x:c r="D2223" s="12" t="n">
        <x:v>-0.24672085548663245</x:v>
      </x:c>
      <x:c r="E2223" s="12" t="n">
        <x:v>-0.1484821058859267</x:v>
      </x:c>
    </x:row>
    <x:row r="2224" ht="18" customHeight="1">
      <x:c r="A2224" s="13" t="n">
        <x:v>45951</x:v>
      </x:c>
      <x:c r="B2224" s="12" t="n">
        <x:v>-2</x:v>
      </x:c>
      <x:c r="C2224" s="12" t="n">
        <x:v>0.015231149996020378</x:v>
      </x:c>
      <x:c r="D2224" s="12" t="n">
        <x:v>-0.24477662649274953</x:v>
      </x:c>
      <x:c r="E2224" s="12" t="n">
        <x:v>-0.1523518829032791</x:v>
      </x:c>
    </x:row>
    <x:row r="2225" ht="18" customHeight="1">
      <x:c r="A2225" s="13" t="n">
        <x:v>45952</x:v>
      </x:c>
      <x:c r="B2225" s="12" t="n">
        <x:v>4</x:v>
      </x:c>
      <x:c r="C2225" s="12" t="n">
        <x:v>-0.0033262564862693283</x:v>
      </x:c>
      <x:c r="D2225" s="12" t="n">
        <x:v>-0.24281732182583118</x:v>
      </x:c>
      <x:c r="E2225" s="12" t="n">
        <x:v>-0.13089745293871013</x:v>
      </x:c>
    </x:row>
    <x:row r="2226" ht="18" customHeight="1">
      <x:c r="A2226" s="13" t="n">
        <x:v>45953</x:v>
      </x:c>
      <x:c r="B2226" s="12" t="n">
        <x:v>-5</x:v>
      </x:c>
      <x:c r="C2226" s="12" t="n">
        <x:v>0.00299485553347343</x:v>
      </x:c>
      <x:c r="D2226" s="12" t="n">
        <x:v>-0.24517800437558582</x:v>
      </x:c>
      <x:c r="E2226" s="12" t="n">
        <x:v>-0.14725016755494258</x:v>
      </x:c>
    </x:row>
    <x:row r="2227" ht="18" customHeight="1">
      <x:c r="A2227" s="13" t="n">
        <x:v>45954</x:v>
      </x:c>
      <x:c r="B2227" s="12" t="n">
        <x:v>-8</x:v>
      </x:c>
      <x:c r="C2227" s="12" t="n">
        <x:v>0.011727475434501661</x:v>
      </x:c>
      <x:c r="D2227" s="12" t="n">
        <x:v>-0.2556873258069847</x:v>
      </x:c>
      <x:c r="E2227" s="12" t="n">
        <x:v>-0.18045832593186925</x:v>
      </x:c>
    </x:row>
    <x:row r="2228" ht="18" customHeight="1">
      <x:c r="A2228" s="13" t="n">
        <x:v>45957</x:v>
      </x:c>
      <x:c r="B2228" s="12" t="n">
        <x:v>-8</x:v>
      </x:c>
      <x:c r="C2228" s="12" t="n">
        <x:v>0.011802815485959269</x:v>
      </x:c>
      <x:c r="D2228" s="12" t="n">
        <x:v>-0.271303024605033</x:v>
      </x:c>
      <x:c r="E2228" s="12" t="n">
        <x:v>-0.18647045880871618</x:v>
      </x:c>
    </x:row>
    <x:row r="2229" ht="18" customHeight="1">
      <x:c r="A2229" s="13" t="n">
        <x:v>45958</x:v>
      </x:c>
      <x:c r="B2229" s="12" t="n">
        <x:v>2</x:v>
      </x:c>
      <x:c r="C2229" s="12" t="n">
        <x:v>-0.005111750388734483</x:v>
      </x:c>
      <x:c r="D2229" s="12" t="n">
        <x:v>-0.2791965722671934</x:v>
      </x:c>
      <x:c r="E2229" s="12" t="n">
        <x:v>-0.1907648374881239</x:v>
      </x:c>
    </x:row>
    <x:row r="2230" ht="18" customHeight="1">
      <x:c r="A2230" s="13" t="n">
        <x:v>45959</x:v>
      </x:c>
      <x:c r="B2230" s="12" t="n">
        <x:v>-6</x:v>
      </x:c>
      <x:c r="C2230" s="12" t="n">
        <x:v>0.01183613811261025</x:v>
      </x:c>
      <x:c r="D2230" s="12" t="n">
        <x:v>-0.2883610601975913</x:v>
      </x:c>
      <x:c r="E2230" s="12" t="n">
        <x:v>-0.19356600341495778</x:v>
      </x:c>
    </x:row>
    <x:row r="2231" ht="18" customHeight="1">
      <x:c r="A2231" s="13" t="n">
        <x:v>45960</x:v>
      </x:c>
      <x:c r="B2231" s="12" t="n">
        <x:v>9</x:v>
      </x:c>
      <x:c r="C2231" s="12" t="n">
        <x:v>-0.00802030252781325</x:v>
      </x:c>
      <x:c r="D2231" s="12" t="n">
        <x:v>-0.30093602821696686</x:v>
      </x:c>
      <x:c r="E2231" s="12" t="n">
        <x:v>-0.20434954095009025</x:v>
      </x:c>
    </x:row>
    <x:row r="2232" ht="18" customHeight="1">
      <x:c r="A2232" s="13" t="n">
        <x:v>45961</x:v>
      </x:c>
      <x:c r="B2232" s="12" t="n">
        <x:v>9</x:v>
      </x:c>
      <x:c r="C2232" s="12" t="n">
        <x:v>-0.014810776684892252</x:v>
      </x:c>
      <x:c r="D2232" s="12" t="n">
        <x:v>-0.3243476312047894</x:v>
      </x:c>
      <x:c r="E2232" s="12" t="n">
        <x:v>-0.21072519293347639</x:v>
      </x:c>
    </x:row>
    <x:row r="2233" ht="18" customHeight="1">
      <x:c r="A2233" s="13" t="n">
        <x:v>45964</x:v>
      </x:c>
      <x:c r="B2233" s="12" t="n">
        <x:v>10</x:v>
      </x:c>
      <x:c r="C2233" s="12" t="n">
        <x:v>0.002740501722578582</x:v>
      </x:c>
      <x:c r="D2233" s="12" t="n">
        <x:v>-0.31968525064146164</x:v>
      </x:c>
      <x:c r="E2233" s="12" t="n">
        <x:v>-0.21029231782336089</x:v>
      </x:c>
    </x:row>
    <x:row r="2234" ht="18" customHeight="1">
      <x:c r="A2234" s="13" t="n">
        <x:v>45965</x:v>
      </x:c>
      <x:c r="B2234" s="12" t="n">
        <x:v>9</x:v>
      </x:c>
      <x:c r="C2234" s="12" t="n">
        <x:v>-0.00748567321661909</x:v>
      </x:c>
      <x:c r="D2234" s="12" t="n">
        <x:v>-0.33049026061279474</x:v>
      </x:c>
      <x:c r="E2234" s="12" t="n">
        <x:v>-0.21617802424741345</x:v>
      </x:c>
    </x:row>
    <x:row r="2235" ht="18" customHeight="1">
      <x:c r="A2235" s="13" t="n">
        <x:v>45966</x:v>
      </x:c>
      <x:c r="B2235" s="12" t="n">
        <x:v>-8</x:v>
      </x:c>
      <x:c r="C2235" s="12" t="n">
        <x:v>0.0018511882262794356</x:v>
      </x:c>
      <x:c r="D2235" s="12" t="n">
        <x:v>-0.35177111941678646</x:v>
      </x:c>
      <x:c r="E2235" s="12" t="n">
        <x:v>-0.21623848632839468</x:v>
      </x:c>
    </x:row>
    <x:row r="2236" ht="18" customHeight="1">
      <x:c r="A2236" s="13" t="n">
        <x:v>45967</x:v>
      </x:c>
      <x:c r="B2236" s="12" t="n">
        <x:v>8</x:v>
      </x:c>
      <x:c r="C2236" s="12" t="n">
        <x:v>0.014193696383509896</x:v>
      </x:c>
      <x:c r="D2236" s="12" t="n">
        <x:v>-0.3223619062614898</x:v>
      </x:c>
      <x:c r="E2236" s="12" t="n">
        <x:v>-0.21114966077714326</x:v>
      </x:c>
    </x:row>
    <x:row r="2237" ht="18" customHeight="1">
      <x:c r="A2237" s="13" t="n">
        <x:v>45968</x:v>
      </x:c>
      <x:c r="B2237" s="12" t="n">
        <x:v>2</x:v>
      </x:c>
      <x:c r="C2237" s="12" t="n">
        <x:v>-0.003117478409014484</x:v>
      </x:c>
      <x:c r="D2237" s="12" t="n">
        <x:v>-0.3279782191150803</x:v>
      </x:c>
      <x:c r="E2237" s="12" t="n">
        <x:v>-0.2119741367484494</x:v>
      </x:c>
    </x:row>
    <x:row r="2238" ht="18" customHeight="1">
      <x:c r="A2238" s="13" t="n">
        <x:v>45971</x:v>
      </x:c>
      <x:c r="B2238" s="12" t="n">
        <x:v>-13</x:v>
      </x:c>
      <x:c r="C2238" s="12" t="n">
        <x:v>0.0034684414183575644</x:v>
      </x:c>
      <x:c r="D2238" s="12" t="n">
        <x:v>-0.3167464850531362</x:v>
      </x:c>
      <x:c r="E2238" s="12" t="n">
        <x:v>-0.21431309587476535</x:v>
      </x:c>
    </x:row>
    <x:row r="2239" ht="18" customHeight="1">
      <x:c r="A2239" s="13" t="n">
        <x:v>45972</x:v>
      </x:c>
      <x:c r="B2239" s="12" t="n">
        <x:v>0</x:v>
      </x:c>
      <x:c r="C2239" s="12" t="n">
        <x:v>-0.009176101204058719</x:v>
      </x:c>
      <x:c r="D2239" s="12" t="n">
        <x:v>-0.3139277356362453</x:v>
      </x:c>
      <x:c r="E2239" s="12" t="n">
        <x:v>-0.2130154325358634</x:v>
      </x:c>
    </x:row>
    <x:row r="2240" ht="18" customHeight="1">
      <x:c r="A2240" s="13" t="n">
        <x:v>45973</x:v>
      </x:c>
      <x:c r="B2240" s="12" t="n">
        <x:v>0</x:v>
      </x:c>
      <x:c r="C2240" s="12" t="n">
        <x:v>-0.001345999472266731</x:v>
      </x:c>
      <x:c r="D2240" s="12" t="n">
        <x:v>-0.3155199368534361</x:v>
      </x:c>
      <x:c r="E2240" s="12" t="n">
        <x:v>-0.21287546182502748</x:v>
      </x:c>
    </x:row>
    <x:row r="2241" ht="18" customHeight="1">
      <x:c r="A2241" s="13" t="n">
        <x:v>45974</x:v>
      </x:c>
      <x:c r="B2241" s="12" t="n">
        <x:v>7</x:v>
      </x:c>
      <x:c r="C2241" s="12" t="n">
        <x:v>0.01201683479581121</x:v>
      </x:c>
      <x:c r="D2241" s="12" t="n">
        <x:v>-0.29540362619264</x:v>
      </x:c>
      <x:c r="E2241" s="12" t="n">
        <x:v>-0.20735684866747633</x:v>
      </x:c>
    </x:row>
    <x:row r="2242" ht="18" customHeight="1">
      <x:c r="A2242" s="13" t="n">
        <x:v>45975</x:v>
      </x:c>
      <x:c r="B2242" s="12" t="n">
        <x:v>-2</x:v>
      </x:c>
      <x:c r="C2242" s="12" t="n">
        <x:v>-0.015848629135239458</x:v>
      </x:c>
      <x:c r="D2242" s="12" t="n">
        <x:v>-0.27978652680395016</x:v>
      </x:c>
      <x:c r="E2242" s="12" t="n">
        <x:v>-0.20749219125993043</x:v>
      </x:c>
    </x:row>
    <x:row r="2243" ht="18" customHeight="1">
      <x:c r="A2243" s="13" t="n">
        <x:v>45978</x:v>
      </x:c>
      <x:c r="B2243" s="12" t="n">
        <x:v>6</x:v>
      </x:c>
      <x:c r="C2243" s="12" t="n">
        <x:v>-0.006522172024576896</x:v>
      </x:c>
      <x:c r="D2243" s="12" t="n">
        <x:v>-0.28714014539532073</x:v>
      </x:c>
      <x:c r="E2243" s="12" t="n">
        <x:v>-0.20936716004115205</x:v>
      </x:c>
    </x:row>
    <x:row r="2244" ht="18" customHeight="1">
      <x:c r="A2244" s="13" t="n">
        <x:v>45979</x:v>
      </x:c>
      <x:c r="B2244" s="12" t="n">
        <x:v>7</x:v>
      </x:c>
      <x:c r="C2244" s="12" t="n">
        <x:v>-0.006515166165609792</x:v>
      </x:c>
      <x:c r="D2244" s="12" t="n">
        <x:v>-0.2923378670059805</x:v>
      </x:c>
      <x:c r="E2244" s="12" t="n">
        <x:v>-0.2115682873133481</x:v>
      </x:c>
    </x:row>
    <x:row r="2245" ht="18" customHeight="1">
      <x:c r="A2245" s="13" t="n">
        <x:v>45980</x:v>
      </x:c>
      <x:c r="B2245" s="12" t="n">
        <x:v>-3</x:v>
      </x:c>
      <x:c r="C2245" s="12" t="n">
        <x:v>0.004390207002542607</x:v>
      </x:c>
      <x:c r="D2245" s="12" t="n">
        <x:v>-0.2946891406217259</x:v>
      </x:c>
      <x:c r="E2245" s="12" t="n">
        <x:v>-0.21526972319572163</x:v>
      </x:c>
    </x:row>
    <x:row r="2246" ht="18" customHeight="1">
      <x:c r="A2246" s="13" t="n">
        <x:v>45981</x:v>
      </x:c>
      <x:c r="B2246" s="12" t="n">
        <x:v>0</x:v>
      </x:c>
      <x:c r="C2246" s="12" t="n">
        <x:v>-0.005100696438971781</x:v>
      </x:c>
      <x:c r="D2246" s="12" t="n">
        <x:v>-0.2923029987915367</x:v>
      </x:c>
      <x:c r="E2246" s="12" t="n">
        <x:v>-0.2164009873596281</x:v>
      </x:c>
    </x:row>
    <x:row r="2247" ht="18" customHeight="1">
      <x:c r="A2247" s="13" t="n">
        <x:v>45982</x:v>
      </x:c>
      <x:c r="B2247" s="12" t="n">
        <x:v>2</x:v>
      </x:c>
      <x:c r="C2247" s="12" t="n">
        <x:v>-0.024692724311248634</x:v>
      </x:c>
      <x:c r="D2247" s="12" t="n">
        <x:v>-0.2894275342492732</x:v>
      </x:c>
      <x:c r="E2247" s="12" t="n">
        <x:v>-0.22018273149735987</x:v>
      </x:c>
    </x:row>
    <x:row r="2248" ht="18" customHeight="1">
      <x:c r="A2248" s="13" t="n">
        <x:v>45985</x:v>
      </x:c>
      <x:c r="B2248" s="12" t="n">
        <x:v>-4</x:v>
      </x:c>
      <x:c r="C2248" s="12" t="n">
        <x:v>-0.0012491610769297722</x:v>
      </x:c>
      <x:c r="D2248" s="12" t="n">
        <x:v>-0.2852133346404985</x:v>
      </x:c>
      <x:c r="E2248" s="12" t="n">
        <x:v>-0.2219085460032938</x:v>
      </x:c>
    </x:row>
    <x:row r="2249" ht="18" customHeight="1">
      <x:c r="A2249" s="13" t="n">
        <x:v>45986</x:v>
      </x:c>
      <x:c r="B2249" s="12" t="n">
        <x:v>-5</x:v>
      </x:c>
      <x:c r="C2249" s="12" t="n">
        <x:v>0.009477528029243936</x:v>
      </x:c>
      <x:c r="D2249" s="12" t="n">
        <x:v>-0.303747474202502</x:v>
      </x:c>
      <x:c r="E2249" s="12" t="n">
        <x:v>-0.22978209961742502</x:v>
      </x:c>
    </x:row>
    <x:row r="2250" ht="18" customHeight="1">
      <x:c r="A2250" s="13" t="n">
        <x:v>45987</x:v>
      </x:c>
      <x:c r="B2250" s="12" t="n">
        <x:v>-10</x:v>
      </x:c>
      <x:c r="C2250" s="12" t="n">
        <x:v>0.006043692627946167</x:v>
      </x:c>
      <x:c r="D2250" s="12" t="n">
        <x:v>-0.30969517004617375</x:v>
      </x:c>
      <x:c r="E2250" s="12" t="n">
        <x:v>-0.2318431401523243</x:v>
      </x:c>
    </x:row>
    <x:row r="2251" ht="18" customHeight="1">
      <x:c r="A2251" s="13" t="n">
        <x:v>45988</x:v>
      </x:c>
      <x:c r="B2251" s="12" t="n">
        <x:v>0</x:v>
      </x:c>
      <x:c r="C2251" s="12" t="n">
        <x:v>-0.0004921494753810251</x:v>
      </x:c>
      <x:c r="D2251" s="12" t="n">
        <x:v>-0.28927257902663106</x:v>
      </x:c>
      <x:c r="E2251" s="12" t="n">
        <x:v>-0.2335950203091563</x:v>
      </x:c>
    </x:row>
    <x:row r="2252" ht="18" customHeight="1">
      <x:c r="A2252" s="13" t="n">
        <x:v>45989</x:v>
      </x:c>
      <x:c r="B2252" s="12" t="n">
        <x:v>-5</x:v>
      </x:c>
      <x:c r="C2252" s="12" t="n">
        <x:v>0.0024903396935098345</x:v>
      </x:c>
      <x:c r="D2252" s="12" t="n">
        <x:v>-0.2641935645288795</x:v>
      </x:c>
      <x:c r="E2252" s="12" t="n">
        <x:v>-0.23492907877940028</x:v>
      </x:c>
    </x:row>
    <x:row r="2253" ht="18" customHeight="1">
      <x:c r="A2253" s="13" t="n">
        <x:v>45992</x:v>
      </x:c>
      <x:c r="B2253" s="12" t="n">
        <x:v>2</x:v>
      </x:c>
      <x:c r="C2253" s="12" t="n">
        <x:v>0.010946653159669466</x:v>
      </x:c>
      <x:c r="D2253" s="12" t="n">
        <x:v>-0.26006585894041556</x:v>
      </x:c>
      <x:c r="E2253" s="12" t="n">
        <x:v>-0.2385176193912607</x:v>
      </x:c>
    </x:row>
    <x:row r="2254" ht="18" customHeight="1">
      <x:c r="A2254" s="13" t="n">
        <x:v>45993</x:v>
      </x:c>
      <x:c r="B2254" s="12" t="n">
        <x:v>-2</x:v>
      </x:c>
      <x:c r="C2254" s="12" t="n">
        <x:v>-0.004851906559699918</x:v>
      </x:c>
      <x:c r="D2254" s="12" t="n">
        <x:v>-0.26170122507566784</x:v>
      </x:c>
      <x:c r="E2254" s="12" t="n">
        <x:v>-0.22983544051222116</x:v>
      </x:c>
    </x:row>
    <x:row r="2255" ht="18" customHeight="1">
      <x:c r="A2255" s="13" t="n">
        <x:v>45994</x:v>
      </x:c>
      <x:c r="B2255" s="12" t="n">
        <x:v>-3</x:v>
      </x:c>
      <x:c r="C2255" s="12" t="n">
        <x:v>-0.005126069032201992</x:v>
      </x:c>
      <x:c r="D2255" s="12" t="n">
        <x:v>-0.2496892884440841</x:v>
      </x:c>
      <x:c r="E2255" s="12" t="n">
        <x:v>-0.22892482708594777</x:v>
      </x:c>
    </x:row>
    <x:row r="2256" ht="18" customHeight="1">
      <x:c r="A2256" s="13" t="n">
        <x:v>45995</x:v>
      </x:c>
      <x:c r="B2256" s="12" t="n">
        <x:v>-1</x:v>
      </x:c>
      <x:c r="C2256" s="12" t="n">
        <x:v>0.0034189189816126045</x:v>
      </x:c>
      <x:c r="D2256" s="12" t="n">
        <x:v>-0.2653405302035981</x:v>
      </x:c>
      <x:c r="E2256" s="12" t="n">
        <x:v>-0.22835664224155908</x:v>
      </x:c>
    </x:row>
    <x:row r="2257" ht="18" customHeight="1">
      <x:c r="A2257" s="13" t="n">
        <x:v>45996</x:v>
      </x:c>
      <x:c r="B2257" s="12" t="n">
        <x:v>-3</x:v>
      </x:c>
      <x:c r="C2257" s="12" t="n">
        <x:v>0.008316764805146162</x:v>
      </x:c>
      <x:c r="D2257" s="12" t="n">
        <x:v>-0.2700643383275398</x:v>
      </x:c>
      <x:c r="E2257" s="12" t="n">
        <x:v>-0.2290298429474163</x:v>
      </x:c>
    </x:row>
    <x:row r="2258" ht="18" customHeight="1">
      <x:c r="A2258" s="13" t="n">
        <x:v>45999</x:v>
      </x:c>
      <x:c r="B2258" s="12" t="n">
        <x:v>4</x:v>
      </x:c>
      <x:c r="C2258" s="12" t="n">
        <x:v>0.008085319383845935</x:v>
      </x:c>
      <x:c r="D2258" s="12" t="n">
        <x:v>-0.2501392085047056</x:v>
      </x:c>
      <x:c r="E2258" s="12" t="n">
        <x:v>-0.22736736970966243</x:v>
      </x:c>
    </x:row>
    <x:row r="2259" ht="18" customHeight="1">
      <x:c r="A2259" s="13" t="n">
        <x:v>46000</x:v>
      </x:c>
      <x:c r="B2259" s="12" t="n">
        <x:v>0</x:v>
      </x:c>
      <x:c r="C2259" s="12" t="n">
        <x:v>-0.005104426899569132</x:v>
      </x:c>
      <x:c r="D2259" s="12" t="n">
        <x:v>-0.25840100491863066</x:v>
      </x:c>
      <x:c r="E2259" s="12" t="n">
        <x:v>-0.23211825870845565</x:v>
      </x:c>
    </x:row>
    <x:row r="2260" ht="18" customHeight="1">
      <x:c r="A2260" s="13" t="n">
        <x:v>46001</x:v>
      </x:c>
      <x:c r="B2260" s="12" t="n">
        <x:v>2</x:v>
      </x:c>
      <x:c r="C2260" s="12" t="n">
        <x:v>-0.0013919185825232096</x:v>
      </x:c>
      <x:c r="D2260" s="12" t="n">
        <x:v>-0.2924126012529177</x:v>
      </x:c>
      <x:c r="E2260" s="12" t="n">
        <x:v>-0.2316969395062679</x:v>
      </x:c>
    </x:row>
    <x:row r="2261" ht="18" customHeight="1">
      <x:c r="A2261" s="13" t="n">
        <x:v>46002</x:v>
      </x:c>
      <x:c r="B2261" s="12" t="n">
        <x:v>-3</x:v>
      </x:c>
      <x:c r="C2261" s="12" t="n">
        <x:v>-0.008670755885500946</x:v>
      </x:c>
      <x:c r="D2261" s="12" t="n">
        <x:v>-0.28737920255861626</x:v>
      </x:c>
      <x:c r="E2261" s="12" t="n">
        <x:v>-0.22941401588039653</x:v>
      </x:c>
    </x:row>
    <x:row r="2262" ht="18" customHeight="1">
      <x:c r="A2262" s="13" t="n">
        <x:v>46003</x:v>
      </x:c>
      <x:c r="B2262" s="12" t="n">
        <x:v>3</x:v>
      </x:c>
      <x:c r="C2262" s="12" t="n">
        <x:v>0.006299106658067917</x:v>
      </x:c>
      <x:c r="D2262" s="12" t="n">
        <x:v>-0.28195548982212676</x:v>
      </x:c>
      <x:c r="E2262" s="12" t="n">
        <x:v>-0.23050774472400604</x:v>
      </x:c>
    </x:row>
    <x:row r="2263" ht="18" customHeight="1">
      <x:c r="A2263" s="13" t="n">
        <x:v>46006</x:v>
      </x:c>
      <x:c r="B2263" s="12" t="n">
        <x:v>0</x:v>
      </x:c>
      <x:c r="C2263" s="12" t="n">
        <x:v>-0.006326610313397728</x:v>
      </x:c>
      <x:c r="D2263" s="12" t="n">
        <x:v>-0.2769173573816642</x:v>
      </x:c>
      <x:c r="E2263" s="12" t="n">
        <x:v>-0.23071395521140042</x:v>
      </x:c>
    </x:row>
    <x:row r="2264" ht="18" customHeight="1">
      <x:c r="A2264" s="13" t="n">
        <x:v>46007</x:v>
      </x:c>
      <x:c r="B2264" s="12" t="n">
        <x:v>7</x:v>
      </x:c>
      <x:c r="C2264" s="12" t="n">
        <x:v>-0.01204598527180826</x:v>
      </x:c>
      <x:c r="D2264" s="12" t="n">
        <x:v>-0.29159425012239804</x:v>
      </x:c>
      <x:c r="E2264" s="12" t="n">
        <x:v>-0.23617904377847665</x:v>
      </x:c>
    </x:row>
    <x:row r="2265" ht="18" customHeight="1">
      <x:c r="A2265" s="13" t="n">
        <x:v>46008</x:v>
      </x:c>
      <x:c r="B2265" s="12" t="n">
        <x:v>1</x:v>
      </x:c>
      <x:c r="C2265" s="12" t="n">
        <x:v>0.01813790056484832</x:v>
      </x:c>
      <x:c r="D2265" s="12" t="n">
        <x:v>-0.2582511379586831</x:v>
      </x:c>
      <x:c r="E2265" s="12" t="n">
        <x:v>-0.2321525441765599</x:v>
      </x:c>
    </x:row>
    <x:row r="2266" ht="18" customHeight="1">
      <x:c r="A2266" s="13" t="n">
        <x:v>46009</x:v>
      </x:c>
      <x:c r="B2266" s="12" t="n">
        <x:v>-4</x:v>
      </x:c>
      <x:c r="C2266" s="12" t="n">
        <x:v>-0.005930902245165715</x:v>
      </x:c>
      <x:c r="D2266" s="12" t="n">
        <x:v>-0.24952726401274233</x:v>
      </x:c>
      <x:c r="E2266" s="12" t="n">
        <x:v>-0.23050964005181615</x:v>
      </x:c>
    </x:row>
    <x:row r="2267" ht="18" customHeight="1">
      <x:c r="A2267" s="13" t="n">
        <x:v>46010</x:v>
      </x:c>
      <x:c r="B2267" s="12" t="n">
        <x:v>-5</x:v>
      </x:c>
      <x:c r="C2267" s="12" t="n">
        <x:v>0.0033736572780755153</x:v>
      </x:c>
      <x:c r="D2267" s="12" t="n">
        <x:v>-0.25081154514023674</x:v>
      </x:c>
      <x:c r="E2267" s="12" t="n">
        <x:v>-0.23118377012010247</x:v>
      </x:c>
    </x:row>
    <x:row r="2268" ht="18" customHeight="1">
      <x:c r="A2268" s="13" t="n">
        <x:v>46013</x:v>
      </x:c>
      <x:c r="B2268" s="12" t="n">
        <x:v>-2</x:v>
      </x:c>
      <x:c r="C2268" s="12" t="n">
        <x:v>0.009465503998802404</x:v>
      </x:c>
      <x:c r="D2268" s="12" t="n">
        <x:v>-0.25245152631105366</x:v>
      </x:c>
      <x:c r="E2268" s="12" t="n">
        <x:v>-0.2317134621392433</x:v>
      </x:c>
    </x:row>
    <x:row r="2269" ht="18" customHeight="1">
      <x:c r="A2269" s="13" t="n">
        <x:v>46014</x:v>
      </x:c>
      <x:c r="B2269" s="12" t="n">
        <x:v>-5</x:v>
      </x:c>
      <x:c r="C2269" s="12" t="n">
        <x:v>0.0019736243659572456</x:v>
      </x:c>
      <x:c r="D2269" s="12" t="n">
        <x:v>-0.25392008831053475</x:v>
      </x:c>
      <x:c r="E2269" s="12" t="n">
        <x:v>-0.2332259694049744</x:v>
      </x:c>
    </x:row>
    <x:row r="2270" ht="18" customHeight="1">
      <x:c r="A2270" s="13" t="n">
        <x:v>46015</x:v>
      </x:c>
      <x:c r="B2270" s="12" t="n">
        <x:v>1</x:v>
      </x:c>
      <x:c r="C2270" s="12" t="n">
        <x:v>0.002879483017828682</x:v>
      </x:c>
      <x:c r="D2270" s="12" t="n">
        <x:v>-0.2853611917356562</x:v>
      </x:c>
      <x:c r="E2270" s="12" t="n">
        <x:v>-0.2331088805725583</x:v>
      </x:c>
    </x:row>
    <x:row r="2271" ht="18" customHeight="1">
      <x:c r="A2271" s="13" t="n">
        <x:v>46017</x:v>
      </x:c>
      <x:c r="B2271" s="12" t="n">
        <x:v>2</x:v>
      </x:c>
      <x:c r="C2271" s="12" t="n">
        <x:v>0.0031622939580590193</x:v>
      </x:c>
      <x:c r="D2271" s="12" t="n">
        <x:v>-0.28385382835262857</x:v>
      </x:c>
      <x:c r="E2271" s="12" t="n">
        <x:v>-0.23301256953414934</x:v>
      </x:c>
    </x:row>
    <x:row r="2272" ht="18" customHeight="1">
      <x:c r="A2272" s="13" t="n">
        <x:v>46020</x:v>
      </x:c>
      <x:c r="B2272" s="12" t="n">
        <x:v>1</x:v>
      </x:c>
      <x:c r="C2272" s="12" t="n">
        <x:v>-0.0038439641902292404</x:v>
      </x:c>
      <x:c r="D2272" s="12" t="n">
        <x:v>-0.28172042910208867</x:v>
      </x:c>
      <x:c r="E2272" s="12" t="n">
        <x:v>-0.23355595135142154</x:v>
      </x:c>
    </x:row>
    <x:row r="2273" ht="18" customHeight="1">
      <x:c r="A2273" s="13" t="n">
        <x:v>46021</x:v>
      </x:c>
      <x:c r="B2273" s="12" t="n">
        <x:v>-3</x:v>
      </x:c>
      <x:c r="C2273" s="12" t="n">
        <x:v>0.0025638037218513182</x:v>
      </x:c>
      <x:c r="D2273" s="12" t="n">
        <x:v>-0.28257737515146425</x:v>
      </x:c>
      <x:c r="E2273" s="12" t="n">
        <x:v>-0.2351351665917123</x:v>
      </x:c>
    </x:row>
    <x:row r="2274" ht="18" customHeight="1">
      <x:c r="A2274" s="13" t="n">
        <x:v>46022</x:v>
      </x:c>
      <x:c r="B2274" s="12" t="n">
        <x:v>-3</x:v>
      </x:c>
      <x:c r="C2274" s="12" t="n">
        <x:v>-0.004599036469006681</x:v>
      </x:c>
      <x:c r="D2274" s="12" t="n">
        <x:v>-0.27673284726207453</x:v>
      </x:c>
      <x:c r="E2274" s="12" t="n">
        <x:v>-0.23475328198972018</x:v>
      </x:c>
    </x:row>
    <x:row r="2275" ht="18" customHeight="1">
      <x:c r="A2275" s="13" t="n">
        <x:v>46027</x:v>
      </x:c>
      <x:c r="B2275" s="12" t="n">
        <x:v>-2</x:v>
      </x:c>
      <x:c r="C2275" s="12" t="n">
        <x:v>0.018787278517093456</x:v>
      </x:c>
      <x:c r="D2275" s="12" t="n">
        <x:v>-0.2898707271205625</x:v>
      </x:c>
      <x:c r="E2275" s="12" t="n">
        <x:v>-0.2347693905688697</x:v>
      </x:c>
    </x:row>
    <x:row r="2276" ht="18" customHeight="1">
      <x:c r="A2276" s="13" t="n">
        <x:v>46028</x:v>
      </x:c>
      <x:c r="B2276" s="12" t="n">
        <x:v>-2</x:v>
      </x:c>
      <x:c r="C2276" s="12" t="n">
        <x:v>0.015344164782608284</x:v>
      </x:c>
      <x:c r="D2276" s="12" t="n">
        <x:v>-0.29722508173636736</x:v>
      </x:c>
      <x:c r="E2276" s="12" t="n">
        <x:v>-0.23593240402887872</x:v>
      </x:c>
    </x:row>
    <x:row r="2277" ht="18" customHeight="1">
      <x:c r="A2277" s="13" t="n">
        <x:v>46029</x:v>
      </x:c>
      <x:c r="B2277" s="12" t="n">
        <x:v>0</x:v>
      </x:c>
      <x:c r="C2277" s="12" t="n">
        <x:v>-0.0029324726234168375</x:v>
      </x:c>
      <x:c r="D2277" s="12" t="n">
        <x:v>-0.2983542552288004</x:v>
      </x:c>
      <x:c r="E2277" s="12" t="n">
        <x:v>-0.23557399548805324</x:v>
      </x:c>
    </x:row>
    <x:row r="2278" ht="18" customHeight="1">
      <x:c r="A2278" s="13" t="n">
        <x:v>46030</x:v>
      </x:c>
      <x:c r="B2278" s="12" t="n">
        <x:v>-3</x:v>
      </x:c>
      <x:c r="C2278" s="12" t="n">
        <x:v>-0.008200779687864628</x:v>
      </x:c>
      <x:c r="D2278" s="12" t="n">
        <x:v>-0.29834384975927586</x:v>
      </x:c>
      <x:c r="E2278" s="12" t="n">
        <x:v>-0.23625406494844542</x:v>
      </x:c>
    </x:row>
    <x:row r="2279" ht="18" customHeight="1">
      <x:c r="A2279" s="13" t="n">
        <x:v>46031</x:v>
      </x:c>
      <x:c r="B2279" s="12" t="n">
        <x:v>-2</x:v>
      </x:c>
      <x:c r="C2279" s="12" t="n">
        <x:v>0.0044792009733730246</x:v>
      </x:c>
      <x:c r="D2279" s="12" t="n">
        <x:v>-0.35722046006695046</x:v>
      </x:c>
      <x:c r="E2279" s="12" t="n">
        <x:v>-0.2380971086631658</x:v>
      </x:c>
    </x:row>
    <x:row r="2280" ht="18" customHeight="1">
      <x:c r="A2280" s="13" t="n">
        <x:v>46034</x:v>
      </x:c>
      <x:c r="B2280" s="12" t="n">
        <x:v>0</x:v>
      </x:c>
      <x:c r="C2280" s="12" t="n">
        <x:v>0.006491577328721426</x:v>
      </x:c>
      <x:c r="D2280" s="12" t="n">
        <x:v>-0.2690972689298982</x:v>
      </x:c>
      <x:c r="E2280" s="12" t="n">
        <x:v>-0.23787801771019718</x:v>
      </x:c>
    </x:row>
    <x:row r="2281" ht="18" customHeight="1">
      <x:c r="A2281" s="13" t="n">
        <x:v>46035</x:v>
      </x:c>
      <x:c r="B2281" s="12" t="n">
        <x:v>1</x:v>
      </x:c>
      <x:c r="C2281" s="12" t="n">
        <x:v>-0.006048234866409194</x:v>
      </x:c>
      <x:c r="D2281" s="12" t="n">
        <x:v>-0.2709417474978105</x:v>
      </x:c>
      <x:c r="E2281" s="12" t="n">
        <x:v>-0.23939767497922748</x:v>
      </x:c>
    </x:row>
    <x:row r="2282" ht="18" customHeight="1">
      <x:c r="A2282" s="13" t="n">
        <x:v>46036</x:v>
      </x:c>
      <x:c r="B2282" s="12" t="n">
        <x:v>1</x:v>
      </x:c>
      <x:c r="C2282" s="12" t="n">
        <x:v>-0.004020183121144707</x:v>
      </x:c>
      <x:c r="D2282" s="12" t="n">
        <x:v>-0.3063242504483602</x:v>
      </x:c>
      <x:c r="E2282" s="12" t="n">
        <x:v>-0.2395373310865923</x:v>
      </x:c>
    </x:row>
    <x:row r="2283" ht="18" customHeight="1">
      <x:c r="A2283" s="13" t="n">
        <x:v>46037</x:v>
      </x:c>
      <x:c r="B2283" s="12" t="n">
        <x:v>-5</x:v>
      </x:c>
      <x:c r="C2283" s="12" t="n">
        <x:v>0.002001125685711866</x:v>
      </x:c>
      <x:c r="D2283" s="12" t="n">
        <x:v>-0.2577878224250979</x:v>
      </x:c>
      <x:c r="E2283" s="12" t="n">
        <x:v>-0.23995026263323843</x:v>
      </x:c>
    </x:row>
    <x:row r="2284" ht="18" customHeight="1">
      <x:c r="A2284" s="13" t="n">
        <x:v>46038</x:v>
      </x:c>
      <x:c r="B2284" s="12" t="n">
        <x:v>-6</x:v>
      </x:c>
      <x:c r="C2284" s="12" t="n">
        <x:v>-0.0041244131034499296</x:v>
      </x:c>
      <x:c r="D2284" s="12" t="n">
        <x:v>-0.26112211852922995</x:v>
      </x:c>
      <x:c r="E2284" s="12" t="n">
        <x:v>-0.2409467438734255</x:v>
      </x:c>
    </x:row>
    <x:row r="2285" ht="18" customHeight="1">
      <x:c r="A2285" s="13" t="n">
        <x:v>46041</x:v>
      </x:c>
      <x:c r="B2285" s="12" t="n">
        <x:v>0</x:v>
      </x:c>
      <x:c r="C2285" s="12" t="n">
        <x:v>0.0005456814838769734</x:v>
      </x:c>
      <x:c r="D2285" s="12" t="n">
        <x:v>-0.2707701286220747</x:v>
      </x:c>
      <x:c r="E2285" s="12" t="n">
        <x:v>-0.24397925010649676</x:v>
      </x:c>
    </x:row>
    <x:row r="2286" ht="18" customHeight="1">
      <x:c r="A2286" s="13" t="n">
        <x:v>46042</x:v>
      </x:c>
      <x:c r="B2286" s="12" t="n">
        <x:v>8</x:v>
      </x:c>
      <x:c r="C2286" s="12" t="n">
        <x:v>-0.0032956445691566306</x:v>
      </x:c>
      <x:c r="D2286" s="12" t="n">
        <x:v>-0.2710917129449036</x:v>
      </x:c>
      <x:c r="E2286" s="12" t="n">
        <x:v>-0.25612930108057613</x:v>
      </x:c>
    </x:row>
    <x:row r="2287" ht="18" customHeight="1">
      <x:c r="A2287" s="13" t="n">
        <x:v>46043</x:v>
      </x:c>
      <x:c r="B2287" s="12" t="n">
        <x:v>-4</x:v>
      </x:c>
      <x:c r="C2287" s="12" t="n">
        <x:v>0.000887740653000851</x:v>
      </x:c>
      <x:c r="D2287" s="12" t="n">
        <x:v>-0.26833330033368963</x:v>
      </x:c>
      <x:c r="E2287" s="12" t="n">
        <x:v>-0.2618508505156219</x:v>
      </x:c>
    </x:row>
    <x:row r="2288" ht="18" customHeight="1">
      <x:c r="A2288" s="13" t="n">
        <x:v>46044</x:v>
      </x:c>
      <x:c r="B2288" s="12" t="n">
        <x:v>-5</x:v>
      </x:c>
      <x:c r="C2288" s="12" t="n">
        <x:v>0.0001354747577760709</x:v>
      </x:c>
      <x:c r="D2288" s="12" t="n">
        <x:v>-0.2618372474784044</x:v>
      </x:c>
      <x:c r="E2288" s="12" t="n">
        <x:v>-0.2623338435729314</x:v>
      </x:c>
    </x:row>
    <x:row r="2289" ht="18" customHeight="1">
      <x:c r="A2289" s="13" t="n">
        <x:v>46045</x:v>
      </x:c>
      <x:c r="B2289" s="12" t="n">
        <x:v>4</x:v>
      </x:c>
      <x:c r="C2289" s="12" t="n">
        <x:v>-0.004500758095729463</x:v>
      </x:c>
      <x:c r="D2289" s="12" t="n">
        <x:v>-0.2652029137475347</x:v>
      </x:c>
      <x:c r="E2289" s="12" t="n">
        <x:v>-0.264493923870961</x:v>
      </x:c>
    </x:row>
    <x:row r="2290" ht="18" customHeight="1">
      <x:c r="A2290" s="13" t="n">
        <x:v>46048</x:v>
      </x:c>
      <x:c r="B2290" s="12" t="n">
        <x:v>1</x:v>
      </x:c>
      <x:c r="C2290" s="12" t="n">
        <x:v>0.0009495550330845036</x:v>
      </x:c>
      <x:c r="D2290" s="12" t="n">
        <x:v>-0.23883076408476395</x:v>
      </x:c>
      <x:c r="E2290" s="12" t="n">
        <x:v>-0.26402267963876935</x:v>
      </x:c>
    </x:row>
    <x:row r="2291" ht="18" customHeight="1">
      <x:c r="A2291" s="13" t="n">
        <x:v>46049</x:v>
      </x:c>
      <x:c r="B2291" s="12" t="n">
        <x:v>2</x:v>
      </x:c>
      <x:c r="C2291" s="12" t="n">
        <x:v>-0.00027031690837922264</x:v>
      </x:c>
      <x:c r="D2291" s="12" t="n">
        <x:v>-0.20981815354947003</x:v>
      </x:c>
      <x:c r="E2291" s="12" t="n">
        <x:v>-0.2645204930698662</x:v>
      </x:c>
    </x:row>
    <x:row r="2292" ht="18" customHeight="1">
      <x:c r="A2292" s="13" t="n">
        <x:v>46050</x:v>
      </x:c>
      <x:c r="B2292" s="12" t="n">
        <x:v>1</x:v>
      </x:c>
      <x:c r="C2292" s="12" t="n">
        <x:v>0.0026103608797261027</x:v>
      </x:c>
      <x:c r="D2292" s="12" t="n">
        <x:v>-0.20478566060958675</x:v>
      </x:c>
      <x:c r="E2292" s="12" t="n">
        <x:v>-0.2661142398312913</x:v>
      </x:c>
    </x:row>
    <x:row r="2293" ht="18" customHeight="1">
      <x:c r="A2293" s="13" t="n">
        <x:v>46051</x:v>
      </x:c>
      <x:c r="B2293" s="12" t="n">
        <x:v>5</x:v>
      </x:c>
      <x:c r="C2293" s="12" t="n">
        <x:v>0.007575801886727559</x:v>
      </x:c>
      <x:c r="D2293" s="12" t="n">
        <x:v>-0.1619063920839382</x:v>
      </x:c>
      <x:c r="E2293" s="12" t="n">
        <x:v>-0.26333349140860873</x:v>
      </x:c>
    </x:row>
    <x:row r="2294" ht="18" customHeight="1">
      <x:c r="A2294" s="13" t="n">
        <x:v>46052</x:v>
      </x:c>
      <x:c r="B2294" s="12" t="n">
        <x:v>3</x:v>
      </x:c>
      <x:c r="C2294" s="12" t="n">
        <x:v>-0.010048402927151283</x:v>
      </x:c>
      <x:c r="D2294" s="12" t="n">
        <x:v>-0.14743990169237917</x:v>
      </x:c>
      <x:c r="E2294" s="12" t="n">
        <x:v>-0.26180674913064833</x:v>
      </x:c>
    </x:row>
    <x:row r="2295" ht="18" customHeight="1">
      <x:c r="A2295" s="13" t="n">
        <x:v>46055</x:v>
      </x:c>
      <x:c r="B2295" s="12" t="n">
        <x:v>-7</x:v>
      </x:c>
      <x:c r="C2295" s="12" t="n">
        <x:v>-0.02155511962136138</x:v>
      </x:c>
      <x:c r="D2295" s="12" t="n">
        <x:v>-0.025799234076897052</x:v>
      </x:c>
      <x:c r="E2295" s="12" t="n">
        <x:v>-0.2541941178777406</x:v>
      </x:c>
    </x:row>
    <x:row r="2296" ht="18" customHeight="1">
      <x:c r="A2296" s="13" t="n">
        <x:v>46056</x:v>
      </x:c>
      <x:c r="B2296" s="12" t="n">
        <x:v>4</x:v>
      </x:c>
      <x:c r="C2296" s="12" t="n">
        <x:v>0.011683057566509144</x:v>
      </x:c>
      <x:c r="D2296" s="12" t="n">
        <x:v>-0.016740731055049314</x:v>
      </x:c>
      <x:c r="E2296" s="12" t="n">
        <x:v>-0.25112995148156747</x:v>
      </x:c>
    </x:row>
    <x:row r="2297" ht="18" customHeight="1">
      <x:c r="A2297" s="13" t="n">
        <x:v>46057</x:v>
      </x:c>
      <x:c r="B2297" s="12" t="n">
        <x:v>1</x:v>
      </x:c>
      <x:c r="C2297" s="12" t="n">
        <x:v>0.008243804165968633</x:v>
      </x:c>
      <x:c r="D2297" s="12" t="n">
        <x:v>0.020415841074242488</x:v>
      </x:c>
      <x:c r="E2297" s="12" t="n">
        <x:v>-0.24996830846828516</x:v>
      </x:c>
    </x:row>
    <x:row r="2298" ht="18" customHeight="1">
      <x:c r="A2298" s="13" t="n">
        <x:v>46058</x:v>
      </x:c>
      <x:c r="B2298" s="12" t="n">
        <x:v>11</x:v>
      </x:c>
      <x:c r="C2298" s="12" t="n">
        <x:v>-0.006033552787481481</x:v>
      </x:c>
      <x:c r="D2298" s="12" t="n">
        <x:v>-0.005488161640554644</x:v>
      </x:c>
      <x:c r="E2298" s="12" t="n">
        <x:v>-0.25275948744287835</x:v>
      </x:c>
    </x:row>
    <x:row r="2299" ht="18" customHeight="1">
      <x:c r="A2299" s="13" t="n">
        <x:v>46059</x:v>
      </x:c>
      <x:c r="B2299" s="12" t="n">
        <x:v>-10</x:v>
      </x:c>
      <x:c r="C2299" s="12" t="n">
        <x:v>-0.005759701915058707</x:v>
      </x:c>
      <x:c r="D2299" s="12" t="n">
        <x:v>-0.03372428455297265</x:v>
      </x:c>
      <x:c r="E2299" s="12" t="n">
        <x:v>-0.2484653154802042</x:v>
      </x:c>
    </x:row>
    <x:row r="2300" ht="18" customHeight="1">
      <x:c r="A2300" s="13" t="n">
        <x:v>46062</x:v>
      </x:c>
      <x:c r="B2300" s="12" t="n">
        <x:v>-3</x:v>
      </x:c>
      <x:c r="C2300" s="12" t="n">
        <x:v>0.016119713858417335</x:v>
      </x:c>
      <x:c r="D2300" s="12" t="n">
        <x:v>-0.046214463918343406</x:v>
      </x:c>
      <x:c r="E2300" s="12" t="n">
        <x:v>-0.2511083157775078</x:v>
      </x:c>
    </x:row>
    <x:row r="2301" ht="18" customHeight="1">
      <x:c r="A2301" s="13" t="n">
        <x:v>46063</x:v>
      </x:c>
      <x:c r="B2301" s="12" t="n">
        <x:v>2</x:v>
      </x:c>
      <x:c r="C2301" s="12" t="n">
        <x:v>0.0011097120630757652</x:v>
      </x:c>
      <x:c r="D2301" s="12" t="n">
        <x:v>-0.028990632470007396</x:v>
      </x:c>
      <x:c r="E2301" s="12" t="n">
        <x:v>-0.2511802849540323</x:v>
      </x:c>
    </x:row>
    <x:row r="2302" ht="18" customHeight="1">
      <x:c r="A2302" s="13" t="n">
        <x:v>46064</x:v>
      </x:c>
      <x:c r="B2302" s="12" t="n">
        <x:v>-2</x:v>
      </x:c>
      <x:c r="C2302" s="12" t="n">
        <x:v>-0.0022201690279628427</x:v>
      </x:c>
      <x:c r="D2302" s="12" t="n">
        <x:v>-0.025846823492154204</x:v>
      </x:c>
      <x:c r="E2302" s="12" t="n">
        <x:v>-0.25069942762493924</x:v>
      </x:c>
    </x:row>
    <x:row r="2303" ht="18" customHeight="1">
      <x:c r="A2303" s="13" t="n">
        <x:v>46065</x:v>
      </x:c>
      <x:c r="B2303" s="12" t="n">
        <x:v>8</x:v>
      </x:c>
      <x:c r="C2303" s="12" t="n">
        <x:v>0.0012210873815480068</x:v>
      </x:c>
      <x:c r="D2303" s="12" t="n">
        <x:v>-0.021030862031261137</x:v>
      </x:c>
      <x:c r="E2303" s="12" t="n">
        <x:v>-0.24893935816142393</x:v>
      </x:c>
    </x:row>
    <x:row r="2304" ht="18" customHeight="1">
      <x:c r="A2304" s="13" t="n">
        <x:v>46066</x:v>
      </x:c>
      <x:c r="B2304" s="12" t="n">
        <x:v>3</x:v>
      </x:c>
      <x:c r="C2304" s="12" t="n">
        <x:v>-0.01261690584425625</x:v>
      </x:c>
      <x:c r="D2304" s="12" t="n">
        <x:v>-0.07997623133754607</x:v>
      </x:c>
      <x:c r="E2304" s="12" t="n">
        <x:v>-0.25088259153355474</x:v>
      </x:c>
    </x:row>
    <x:row r="2305" ht="18" customHeight="1">
      <x:c r="A2305" s="13" t="n">
        <x:v>46077</x:v>
      </x:c>
      <x:c r="B2305" s="12" t="n">
        <x:v>2</x:v>
      </x:c>
      <x:c r="C2305" s="12" t="n">
        <x:v>0.010063845316008837</x:v>
      </x:c>
      <x:c r="D2305" s="12" t="n">
        <x:v>-0.08307619435267435</x:v>
      </x:c>
      <x:c r="E2305" s="12" t="n">
        <x:v>-0.24845333700515856</x:v>
      </x:c>
    </x:row>
    <x:row r="2306" ht="18" customHeight="1">
      <x:c r="A2306" s="13" t="n">
        <x:v>46078</x:v>
      </x:c>
      <x:c r="B2306" s="12" t="n">
        <x:v>-3</x:v>
      </x:c>
      <x:c r="C2306" s="12" t="n">
        <x:v>0.0060024558227702906</x:v>
      </x:c>
      <x:c r="D2306" s="12" t="n">
        <x:v>-0.0711782896991814</x:v>
      </x:c>
      <x:c r="E2306" s="12" t="n">
        <x:v>-0.25046340246229615</x:v>
      </x:c>
    </x:row>
    <x:row r="2307" ht="18" customHeight="1">
      <x:c r="A2307" s="13" t="n">
        <x:v>46079</x:v>
      </x:c>
      <x:c r="B2307" s="12" t="n">
        <x:v>4</x:v>
      </x:c>
      <x:c r="C2307" s="12" t="n">
        <x:v>-0.001904709199058713</x:v>
      </x:c>
      <x:c r="D2307" s="12" t="n">
        <x:v>-0.05293073184647055</x:v>
      </x:c>
      <x:c r="E2307" s="12" t="n">
        <x:v>-0.2507942993708625</x:v>
      </x:c>
    </x:row>
    <x:row r="2308" ht="18" customHeight="1">
      <x:c r="A2308" s="13" t="n">
        <x:v>46080</x:v>
      </x:c>
      <x:c r="B2308" s="12" t="n">
        <x:v>12</x:v>
      </x:c>
      <x:c r="C2308" s="12" t="n">
        <x:v>-0.003438830246838009</x:v>
      </x:c>
      <x:c r="D2308" s="12" t="n">
        <x:v>-0.06636356886368953</x:v>
      </x:c>
      <x:c r="E2308" s="12" t="n">
        <x:v>-0.25238546249587546</x:v>
      </x:c>
    </x:row>
    <x:row r="2309" ht="18" customHeight="1">
      <x:c r="A2309" s="13" t="n">
        <x:v>46083</x:v>
      </x:c>
      <x:c r="B2309" s="12" t="n">
        <x:v>-9</x:v>
      </x:c>
      <x:c r="C2309" s="12" t="n">
        <x:v>0.003818480591298883</x:v>
      </x:c>
      <x:c r="D2309" s="12" t="n">
        <x:v>-0.07648803144195246</x:v>
      </x:c>
      <x:c r="E2309" s="12" t="n">
        <x:v>-0.25309845714707224</x:v>
      </x:c>
    </x:row>
    <x:row r="2310" ht="18" customHeight="1">
      <x:c r="A2310" s="13" t="n">
        <x:v>46084</x:v>
      </x:c>
      <x:c r="B2310" s="12" t="n">
        <x:v>5</x:v>
      </x:c>
      <x:c r="C2310" s="12" t="n">
        <x:v>-0.01550930889451081</x:v>
      </x:c>
      <x:c r="D2310" s="12" t="n">
        <x:v>-0.09158105282825756</x:v>
      </x:c>
      <x:c r="E2310" s="12" t="n">
        <x:v>-0.25563139391782086</x:v>
      </x:c>
    </x:row>
    <x:row r="2311" ht="18" customHeight="1">
      <x:c r="A2311" s="13" t="n">
        <x:v>46085</x:v>
      </x:c>
      <x:c r="B2311" s="12" t="n">
        <x:v>-11</x:v>
      </x:c>
      <x:c r="C2311" s="12" t="n">
        <x:v>-0.01150768863746393</x:v>
      </x:c>
      <x:c r="D2311" s="12" t="n">
        <x:v>-0.034455454641064455</x:v>
      </x:c>
      <x:c r="E2311" s="12" t="n">
        <x:v>-0.24627903909696405</x:v>
      </x:c>
    </x:row>
    <x:row r="2312" ht="18" customHeight="1">
      <x:c r="A2312" s="13" t="n">
        <x:v>46086</x:v>
      </x:c>
      <x:c r="B2312" s="12" t="n">
        <x:v>3</x:v>
      </x:c>
      <x:c r="C2312" s="12" t="n">
        <x:v>0.009744046081069595</x:v>
      </x:c>
      <x:c r="D2312" s="12" t="n">
        <x:v>-0.0034261097672591344</x:v>
      </x:c>
      <x:c r="E2312" s="12" t="n">
        <x:v>-0.24442471787813408</x:v>
      </x:c>
    </x:row>
    <x:row r="2313" ht="18" customHeight="1">
      <x:c r="A2313" s="13" t="n">
        <x:v>46087</x:v>
      </x:c>
      <x:c r="B2313" s="12" t="n">
        <x:v>13</x:v>
      </x:c>
      <x:c r="C2313" s="12" t="n">
        <x:v>0.002738875899232227</x:v>
      </x:c>
      <x:c r="D2313" s="12" t="n">
        <x:v>0.0319944504392354</x:v>
      </x:c>
      <x:c r="E2313" s="12" t="n">
        <x:v>-0.24240655873352285</x:v>
      </x:c>
    </x:row>
    <x:row r="2314" ht="18" customHeight="1">
      <x:c r="A2314" s="13" t="n">
        <x:v>46090</x:v>
      </x:c>
      <x:c r="B2314" s="12" t="n">
        <x:v>6</x:v>
      </x:c>
      <x:c r="C2314" s="12" t="n">
        <x:v>-0.009699173398410947</x:v>
      </x:c>
      <x:c r="D2314" s="12" t="n">
        <x:v>0.006884425195301627</x:v>
      </x:c>
      <x:c r="E2314" s="12" t="n">
        <x:v>-0.24697083127272584</x:v>
      </x:c>
    </x:row>
    <x:row r="2315" ht="18" customHeight="1">
      <x:c r="A2315" s="13" t="n">
        <x:v>46091</x:v>
      </x:c>
      <x:c r="B2315" s="12" t="n">
        <x:v>-13</x:v>
      </x:c>
      <x:c r="C2315" s="12" t="n">
        <x:v>0.012766535337565442</x:v>
      </x:c>
      <x:c r="D2315" s="12" t="n">
        <x:v>-0.05150105488975894</x:v>
      </x:c>
      <x:c r="E2315" s="12" t="n">
        <x:v>-0.25334377626035964</x:v>
      </x:c>
    </x:row>
    <x:row r="2316" ht="18" customHeight="1">
      <x:c r="A2316" s="13" t="n">
        <x:v>46092</x:v>
      </x:c>
      <x:c r="B2316" s="12" t="n">
        <x:v>3</x:v>
      </x:c>
      <x:c r="C2316" s="12" t="n">
        <x:v>0.0063416143101133245</x:v>
      </x:c>
      <x:c r="D2316" s="12" t="n">
        <x:v>-0.05309716678538572</x:v>
      </x:c>
      <x:c r="E2316" s="12" t="n">
        <x:v>-0.2611836252772028</x:v>
      </x:c>
    </x:row>
    <x:row r="2317" ht="18" customHeight="1">
      <x:c r="A2317" s="13" t="n">
        <x:v>46093</x:v>
      </x:c>
      <x:c r="B2317" s="12" t="n">
        <x:v>8</x:v>
      </x:c>
      <x:c r="C2317" s="12" t="n">
        <x:v>-0.003606413410628779</x:v>
      </x:c>
      <x:c r="D2317" s="12" t="n">
        <x:v>-0.06854567181905928</x:v>
      </x:c>
      <x:c r="E2317" s="12" t="n">
        <x:v>-0.26235642809830767</x:v>
      </x:c>
    </x:row>
    <x:row r="2318" ht="18" customHeight="1">
      <x:c r="A2318" s="13" t="n">
        <x:v>46094</x:v>
      </x:c>
      <x:c r="B2318" s="12" t="n">
        <x:v>11</x:v>
      </x:c>
      <x:c r="C2318" s="12" t="n">
        <x:v>-0.00393731200091498</x:v>
      </x:c>
      <x:c r="D2318" s="12" t="n">
        <x:v>-0.09069377006373674</x:v>
      </x:c>
      <x:c r="E2318" s="12" t="n">
        <x:v>-0.26142295349874445</x:v>
      </x:c>
    </x:row>
    <x:row r="2319" ht="18" customHeight="1">
      <x:c r="A2319" s="13" t="n">
        <x:v>46097</x:v>
      </x:c>
      <x:c r="B2319" s="12" t="n">
        <x:v>-1</x:v>
      </x:c>
      <x:c r="C2319" s="12" t="n">
        <x:v>0.0005179698067964963</x:v>
      </x:c>
      <x:c r="D2319" s="12" t="n">
        <x:v>-0.08926092080236443</x:v>
      </x:c>
      <x:c r="E2319" s="12" t="n">
        <x:v>-0.26060323917275885</x:v>
      </x:c>
    </x:row>
    <x:row r="2320" ht="18" customHeight="1">
      <x:c r="A2320" s="13" t="n">
        <x:v>46098</x:v>
      </x:c>
      <x:c r="B2320" s="12" t="n">
        <x:v>-5</x:v>
      </x:c>
      <x:c r="C2320" s="12" t="n">
        <x:v>-0.007330553018070816</x:v>
      </x:c>
      <x:c r="D2320" s="12" t="n">
        <x:v>-0.06364150724456334</x:v>
      </x:c>
      <x:c r="E2320" s="12" t="n">
        <x:v>-0.25802725367028273</x:v>
      </x:c>
    </x:row>
    <x:row r="2321" ht="18" customHeight="1">
      <x:c r="A2321" s="13" t="n">
        <x:v>46099</x:v>
      </x:c>
      <x:c r="B2321" s="12" t="n">
        <x:v>-2</x:v>
      </x:c>
      <x:c r="C2321" s="12" t="n">
        <x:v>0.004495212679770905</x:v>
      </x:c>
      <x:c r="D2321" s="12" t="n">
        <x:v>-0.0787120771342277</x:v>
      </x:c>
      <x:c r="E2321" s="12" t="n">
        <x:v>-0.25484274690826714</x:v>
      </x:c>
    </x:row>
    <x:row r="2322" ht="18" customHeight="1">
      <x:c r="A2322" s="13" t="n">
        <x:v>46100</x:v>
      </x:c>
      <x:c r="B2322" s="12" t="n">
        <x:v>7</x:v>
      </x:c>
      <x:c r="C2322" s="12" t="n">
        <x:v>-0.016248936549918862</x:v>
      </x:c>
      <x:c r="D2322" s="12" t="n">
        <x:v>-0.1146822548696083</x:v>
      </x:c>
      <x:c r="E2322" s="12" t="n">
        <x:v>-0.25875705798378457</x:v>
      </x:c>
    </x:row>
    <x:row r="2323" ht="18" customHeight="1">
      <x:c r="A2323" s="13" t="n">
        <x:v>46101</x:v>
      </x:c>
      <x:c r="B2323" s="12" t="n">
        <x:v>-3</x:v>
      </x:c>
      <x:c r="C2323" s="12" t="n">
        <x:v>-0.0035481398482115844</x:v>
      </x:c>
      <x:c r="D2323" s="12" t="n">
        <x:v>-0.10939812522654173</x:v>
      </x:c>
      <x:c r="E2323" s="12" t="n">
        <x:v>-0.25777778883215025</x:v>
      </x:c>
    </x:row>
    <x:row r="2324" ht="18" customHeight="1">
      <x:c r="A2324" s="13" t="n">
        <x:v>46104</x:v>
      </x:c>
      <x:c r="B2324" s="12" t="n">
        <x:v>-5</x:v>
      </x:c>
      <x:c r="C2324" s="12" t="n">
        <x:v>-0.033174005025024496</x:v>
      </x:c>
      <x:c r="D2324" s="12" t="n">
        <x:v>-0.05127747052070193</x:v>
      </x:c>
      <x:c r="E2324" s="12" t="n">
        <x:v>-0.24185430847477746</x:v>
      </x:c>
    </x:row>
    <x:row r="2325" ht="18" customHeight="1">
      <x:c r="A2325" s="13" t="n">
        <x:v>46105</x:v>
      </x:c>
      <x:c r="B2325" s="12" t="n">
        <x:v>0</x:v>
      </x:c>
      <x:c r="C2325" s="12" t="n">
        <x:v>0.012757867691010732</x:v>
      </x:c>
      <x:c r="D2325" s="12" t="n">
        <x:v>-0.057707229383583206</x:v>
      </x:c>
      <x:c r="E2325" s="12" t="n">
        <x:v>-0.24995853991471884</x:v>
      </x:c>
    </x:row>
    <x:row r="2326" ht="18" customHeight="1">
      <x:c r="A2326" s="13" t="n">
        <x:v>46106</x:v>
      </x:c>
      <x:c r="B2326" s="12" t="n">
        <x:v>-2</x:v>
      </x:c>
      <x:c r="C2326" s="12" t="n">
        <x:v>0.013924302011906592</x:v>
      </x:c>
      <x:c r="D2326" s="12" t="n">
        <x:v>-0.06705126601328264</x:v>
      </x:c>
      <x:c r="E2326" s="12" t="n">
        <x:v>-0.25075339766893</x:v>
      </x:c>
    </x:row>
    <x:row r="2327" ht="18" customHeight="1">
      <x:c r="A2327" s="13" t="n">
        <x:v>46107</x:v>
      </x:c>
      <x:c r="B2327" s="12" t="n">
        <x:v>4</x:v>
      </x:c>
      <x:c r="C2327" s="12" t="n">
        <x:v>-0.013296102846779104</x:v>
      </x:c>
      <x:c r="D2327" s="12" t="n">
        <x:v>-0.057751536940426125</x:v>
      </x:c>
      <x:c r="E2327" s="12" t="n">
        <x:v>-0.25100736402326257</x:v>
      </x:c>
    </x:row>
    <x:row r="2328" ht="18" customHeight="1">
      <x:c r="A2328" s="13" t="n">
        <x:v>46108</x:v>
      </x:c>
      <x:c r="B2328" s="12" t="n">
        <x:v>21</x:v>
      </x:c>
      <x:c r="C2328" s="12" t="n">
        <x:v>0.005575784998188893</x:v>
      </x:c>
      <x:c r="D2328" s="12" t="n">
        <x:v>-0.022561678060363608</x:v>
      </x:c>
      <x:c r="E2328" s="12" t="n">
        <x:v>-0.24355880516595924</x:v>
      </x:c>
    </x:row>
    <x:row r="2329" ht="18" customHeight="1">
      <x:c r="A2329" s="13" t="n">
        <x:v>46111</x:v>
      </x:c>
      <x:c r="B2329" s="12" t="n">
        <x:v>4</x:v>
      </x:c>
      <x:c r="C2329" s="12" t="n">
        <x:v>-0.0023613945315523644</x:v>
      </x:c>
      <x:c r="D2329" s="12" t="n">
        <x:v>-0.03221786629966113</x:v>
      </x:c>
      <x:c r="E2329" s="12" t="n">
        <x:v>-0.24448741486107312</x:v>
      </x:c>
    </x:row>
    <x:row r="2330" ht="18" customHeight="1">
      <x:c r="A2330" s="13" t="n">
        <x:v>46112</x:v>
      </x:c>
      <x:c r="B2330" s="12" t="n">
        <x:v>-18</x:v>
      </x:c>
      <x:c r="C2330" s="12" t="n">
        <x:v>-0.009371731146404768</x:v>
      </x:c>
      <x:c r="D2330" s="12" t="n">
        <x:v>0.020604095050230354</x:v>
      </x:c>
      <x:c r="E2330" s="12" t="n">
        <x:v>-0.2315626741551238</x:v>
      </x:c>
    </x:row>
    <x:row r="2331" ht="18" customHeight="1">
      <x:c r="A2331" s="13" t="n">
        <x:v>46113</x:v>
      </x:c>
      <x:c r="B2331" s="12" t="n">
        <x:v>-12</x:v>
      </x:c>
      <x:c r="C2331" s="12" t="n">
        <x:v>0.016938131503208057</x:v>
      </x:c>
      <x:c r="D2331" s="12" t="n">
        <x:v>-0.02940733250773943</x:v>
      </x:c>
      <x:c r="E2331" s="12" t="n">
        <x:v>-0.22586280436268127</x:v>
      </x:c>
    </x:row>
    <x:row r="2332" ht="18" customHeight="1">
      <x:c r="A2332" s="13" t="n">
        <x:v>46114</x:v>
      </x:c>
      <x:c r="B2332" s="12" t="n">
        <x:v>1</x:v>
      </x:c>
      <x:c r="C2332" s="12" t="n">
        <x:v>-0.010472677618452112</x:v>
      </x:c>
      <x:c r="D2332" s="12" t="n">
        <x:v>-0.027848028502384773</x:v>
      </x:c>
      <x:c r="E2332" s="12" t="n">
        <x:v>-0.22722141733131734</x:v>
      </x:c>
    </x:row>
    <x:row r="2333" ht="18" customHeight="1">
      <x:c r="A2333" s="13" t="n">
        <x:v>46115</x:v>
      </x:c>
      <x:c r="B2333" s="12" t="n">
        <x:v>-4</x:v>
      </x:c>
      <x:c r="C2333" s="12" t="n">
        <x:v>-0.008548587812162561</x:v>
      </x:c>
      <x:c r="D2333" s="12" t="n">
        <x:v>-0.019542050816479913</x:v>
      </x:c>
      <x:c r="E2333" s="12" t="n">
        <x:v>-0.22579931357370592</x:v>
      </x:c>
    </x:row>
    <x:row r="2334" ht="18" customHeight="1">
      <x:c r="A2334" s="13" t="n">
        <x:v>46119</x:v>
      </x:c>
      <x:c r="B2334" s="12" t="n">
        <x:v>7</x:v>
      </x:c>
      <x:c r="C2334" s="12" t="n">
        <x:v>-0.00003889024272089768</x:v>
      </x:c>
      <x:c r="D2334" s="12" t="n">
        <x:v>-0.0199104860061243</x:v>
      </x:c>
      <x:c r="E2334" s="12" t="n">
        <x:v>-0.22567972379554155</x:v>
      </x:c>
    </x:row>
    <x:row r="2335" ht="18" customHeight="1">
      <x:c r="A2335" s="13" t="n">
        <x:v>46120</x:v>
      </x:c>
      <x:c r="B2335" s="12" t="n">
        <x:v>-18</x:v>
      </x:c>
      <x:c r="C2335" s="12" t="n">
        <x:v>0.03429659897740949</x:v>
      </x:c>
      <x:c r="D2335" s="12" t="n">
        <x:v>-0.15389048705503316</x:v>
      </x:c>
      <x:c r="E2335" s="12" t="n">
        <x:v>-0.2485392445897438</x:v>
      </x:c>
    </x:row>
    <x:row r="2336" ht="18" customHeight="1">
      <x:c r="A2336" s="13" t="n">
        <x:v>46121</x:v>
      </x:c>
      <x:c r="B2336" s="12" t="n">
        <x:v>-4</x:v>
      </x:c>
      <x:c r="C2336" s="12" t="n">
        <x:v>-0.006403210114583198</x:v>
      </x:c>
      <x:c r="D2336" s="12" t="n">
        <x:v>-0.14613598763954105</x:v>
      </x:c>
      <x:c r="E2336" s="12" t="n">
        <x:v>-0.2451256635445853</x:v>
      </x:c>
    </x:row>
    <x:row r="2337" ht="18" customHeight="1">
      <x:c r="A2337" s="13" t="n">
        <x:v>46122</x:v>
      </x:c>
      <x:c r="B2337" s="12" t="n">
        <x:v>4</x:v>
      </x:c>
      <x:c r="C2337" s="12" t="n">
        <x:v>0.015287358732672058</x:v>
      </x:c>
      <x:c r="D2337" s="12" t="n">
        <x:v>-0.13384321130415894</x:v>
      </x:c>
      <x:c r="E2337" s="12" t="n">
        <x:v>-0.23947676870317575</x:v>
      </x:c>
    </x:row>
    <x:row r="2338" ht="18" customHeight="1">
      <x:c r="A2338" s="13" t="n">
        <x:v>46125</x:v>
      </x:c>
      <x:c r="B2338" s="12" t="n">
        <x:v>1</x:v>
      </x:c>
      <x:c r="C2338" s="12" t="n">
        <x:v>0.002066011537037725</x:v>
      </x:c>
      <x:c r="D2338" s="12" t="n">
        <x:v>-0.1280059777265591</x:v>
      </x:c>
      <x:c r="E2338" s="12" t="n">
        <x:v>-0.2392527173538082</x:v>
      </x:c>
    </x:row>
    <x:row r="2339" ht="18" customHeight="1">
      <x:c r="A2339" s="13" t="n">
        <x:v>46126</x:v>
      </x:c>
      <x:c r="B2339" s="12" t="n">
        <x:v>-11</x:v>
      </x:c>
      <x:c r="C2339" s="12" t="n">
        <x:v>0.011795689352143368</x:v>
      </x:c>
      <x:c r="D2339" s="12" t="n">
        <x:v>-0.1483458771587717</x:v>
      </x:c>
      <x:c r="E2339" s="12" t="n">
        <x:v>-0.24247910263294634</x:v>
      </x:c>
    </x:row>
    <x:row r="2340" ht="18" customHeight="1">
      <x:c r="A2340" s="13" t="n">
        <x:v>46127</x:v>
      </x:c>
      <x:c r="B2340" s="12" t="n">
        <x:v>1</x:v>
      </x:c>
      <x:c r="C2340" s="12" t="n">
        <x:v>-0.003417091392478743</x:v>
      </x:c>
      <x:c r="D2340" s="12" t="n">
        <x:v>-0.14896116551812355</x:v>
      </x:c>
      <x:c r="E2340" s="12" t="n">
        <x:v>-0.24416406857004735</x:v>
      </x:c>
    </x:row>
    <x:row r="2341" ht="18" customHeight="1">
      <x:c r="A2341" s="13" t="n">
        <x:v>46128</x:v>
      </x:c>
      <x:c r="B2341" s="12" t="n">
        <x:v>1</x:v>
      </x:c>
      <x:c r="C2341" s="12" t="n">
        <x:v>0.010902696693278813</x:v>
      </x:c>
      <x:c r="D2341" s="12" t="n">
        <x:v>-0.1517387988586932</x:v>
      </x:c>
      <x:c r="E2341" s="12" t="n">
        <x:v>-0.2410901136254694</x:v>
      </x:c>
    </x:row>
    <x:row r="2342" ht="18" customHeight="1">
      <x:c r="A2342" s="13" t="n">
        <x:v>46129</x:v>
      </x:c>
      <x:c r="B2342" s="12" t="n">
        <x:v>-3</x:v>
      </x:c>
      <x:c r="C2342" s="12" t="n">
        <x:v>-0.0016768869904682999</x:v>
      </x:c>
      <x:c r="D2342" s="12" t="n">
        <x:v>-0.14865465618634968</x:v>
      </x:c>
      <x:c r="E2342" s="12" t="n">
        <x:v>-0.2382930380856223</x:v>
      </x:c>
    </x:row>
    <x:row r="2343" ht="18" customHeight="1">
      <x:c r="A2343" s="13" t="n">
        <x:v>46132</x:v>
      </x:c>
      <x:c r="B2343" s="12" t="n">
        <x:v>4</x:v>
      </x:c>
      <x:c r="C2343" s="12" t="n">
        <x:v>0.006065790423872393</x:v>
      </x:c>
      <x:c r="D2343" s="12" t="n">
        <x:v>-0.14304943360524539</x:v>
      </x:c>
      <x:c r="E2343" s="12" t="n">
        <x:v>-0.23723300311966955</x:v>
      </x:c>
    </x:row>
    <x:row r="2344" ht="18" customHeight="1">
      <x:c r="A2344" s="13" t="n">
        <x:v>46133</x:v>
      </x:c>
      <x:c r="B2344" s="12" t="n">
        <x:v>-2</x:v>
      </x:c>
      <x:c r="C2344" s="12" t="n">
        <x:v>0.0022161927509973633</x:v>
      </x:c>
      <x:c r="D2344" s="12" t="n">
        <x:v>-0.143239303818836</x:v>
      </x:c>
      <x:c r="E2344" s="12" t="n">
        <x:v>-0.2383738636888288</x:v>
      </x:c>
    </x:row>
    <x:row r="2345" ht="18" customHeight="1">
      <x:c r="A2345" s="13" t="n">
        <x:v>46134</x:v>
      </x:c>
      <x:c r="B2345" s="12" t="n">
        <x:v>-1</x:v>
      </x:c>
      <x:c r="C2345" s="12" t="n">
        <x:v>0.006611905992843182</x:v>
      </x:c>
      <x:c r="D2345" s="12" t="n">
        <x:v>-0.1437255837318721</x:v>
      </x:c>
      <x:c r="E2345" s="12" t="n">
        <x:v>-0.24668612512196686</x:v>
      </x:c>
    </x:row>
    <x:row r="2346" ht="18" customHeight="1">
      <x:c r="A2346" s="13" t="n">
        <x:v>46135</x:v>
      </x:c>
      <x:c r="B2346" s="12" t="n">
        <x:v>2</x:v>
      </x:c>
      <x:c r="C2346" s="12" t="n">
        <x:v>-0.002774832451190693</x:v>
      </x:c>
      <x:c r="D2346" s="12" t="n">
        <x:v>-0.1433069504264975</x:v>
      </x:c>
      <x:c r="E2346" s="12" t="n">
        <x:v>-0.20553435898110947</x:v>
      </x:c>
    </x:row>
    <x:row r="2347" ht="18" customHeight="1">
      <x:c r="A2347" s="13" t="n">
        <x:v>46136</x:v>
      </x:c>
      <x:c r="B2347" s="12" t="n">
        <x:v>0</x:v>
      </x:c>
      <x:c r="C2347" s="12" t="n">
        <x:v>-0.0035494050096433406</x:v>
      </x:c>
      <x:c r="D2347" s="12" t="n">
        <x:v>-0.14980231887353207</x:v>
      </x:c>
      <x:c r="E2347" s="12" t="n">
        <x:v>-0.20356574332175287</x:v>
      </x:c>
    </x:row>
    <x:row r="2348" ht="18" customHeight="1">
      <x:c r="A2348" s="13" t="n">
        <x:v>46139</x:v>
      </x:c>
      <x:c r="B2348" s="12" t="n">
        <x:v>-2</x:v>
      </x:c>
      <x:c r="C2348" s="12" t="n">
        <x:v>0.0003308276296125082</x:v>
      </x:c>
      <x:c r="D2348" s="12" t="n">
        <x:v>-0.1497581610616636</x:v>
      </x:c>
      <x:c r="E2348" s="12" t="n">
        <x:v>-0.19598471252570196</x:v>
      </x:c>
    </x:row>
    <x:row r="2349" ht="18" customHeight="1">
      <x:c r="A2349" s="13" t="n">
        <x:v>46140</x:v>
      </x:c>
      <x:c r="B2349" s="12" t="n">
        <x:v>1</x:v>
      </x:c>
      <x:c r="C2349" s="12" t="n">
        <x:v>-0.002673606908646539</x:v>
      </x:c>
      <x:c r="D2349" s="12" t="n">
        <x:v>-0.14589267008444276</x:v>
      </x:c>
      <x:c r="E2349" s="12" t="n">
        <x:v>-0.20147389476263153</x:v>
      </x:c>
    </x:row>
    <x:row r="2350" ht="18" customHeight="1">
      <x:c r="A2350" s="13" t="n">
        <x:v>46141</x:v>
      </x:c>
      <x:c r="B2350" s="12" t="n">
        <x:v>-3</x:v>
      </x:c>
      <x:c r="C2350" s="12" t="n">
        <x:v>0.010897991489509644</x:v>
      </x:c>
      <x:c r="D2350" s="12" t="n">
        <x:v>-0.15159542864064438</x:v>
      </x:c>
      <x:c r="E2350" s="12" t="n">
        <x:v>-0.2013848648435461</x:v>
      </x:c>
    </x:row>
    <x:row r="2351" ht="18" customHeight="1">
      <x:c r="A2351" s="13" t="n">
        <x:v>46142</x:v>
      </x:c>
      <x:c r="B2351" s="12" t="n">
        <x:v>1</x:v>
      </x:c>
      <x:c r="C2351" s="12" t="n">
        <x:v>-0.0006321500432548737</x:v>
      </x:c>
      <x:c r="D2351" s="12" t="n">
        <x:v>-0.15257155194940913</x:v>
      </x:c>
      <x:c r="E2351" s="12" t="n">
        <x:v>-0.20162410504374392</x:v>
      </x:c>
    </x:row>
    <x:row r="2352" ht="18" customHeight="1">
      <x:c r="A2352" s="13" t="n">
        <x:v>46148</x:v>
      </x:c>
      <x:c r="B2352" s="12" t="n">
        <x:v>-2</x:v>
      </x:c>
      <x:c r="C2352" s="12" t="n">
        <x:v>0.014412355386543571</x:v>
      </x:c>
      <x:c r="D2352" s="12" t="n">
        <x:v>-0.1536217269133672</x:v>
      </x:c>
      <x:c r="E2352" s="12" t="n">
        <x:v>-0.20238395188870828</x:v>
      </x:c>
    </x:row>
    <x:row r="2353" ht="18" customHeight="1">
      <x:c r="A2353" s="13" t="n">
        <x:v>46149</x:v>
      </x:c>
      <x:c r="B2353" s="12" t="n">
        <x:v>4</x:v>
      </x:c>
      <x:c r="C2353" s="12" t="n">
        <x:v>0.004789853867043837</x:v>
      </x:c>
      <x:c r="D2353" s="12" t="n">
        <x:v>-0.14972275246779465</x:v>
      </x:c>
      <x:c r="E2353" s="12" t="n">
        <x:v>-0.202538568374634</x:v>
      </x:c>
    </x:row>
    <x:row r="2354" ht="18" customHeight="1">
      <x:c r="A2354" s="13" t="n">
        <x:v>46150</x:v>
      </x:c>
      <x:c r="B2354" s="12" t="n">
        <x:v>2</x:v>
      </x:c>
      <x:c r="C2354" s="12" t="n">
        <x:v>-0.005852731622297235</x:v>
      </x:c>
      <x:c r="D2354" s="12" t="n">
        <x:v>-0.15142126844752946</x:v>
      </x:c>
      <x:c r="E2354" s="12" t="n">
        <x:v>-0.20594173102120666</x:v>
      </x:c>
    </x:row>
    <x:row r="2355" ht="18" customHeight="1">
      <x:c r="A2355" s="13" t="n">
        <x:v>46153</x:v>
      </x:c>
      <x:c r="B2355" s="12" t="n">
        <x:v>-2</x:v>
      </x:c>
      <x:c r="C2355" s="12" t="n">
        <x:v>0.016272029170167585</x:v>
      </x:c>
      <x:c r="D2355" s="12" t="n">
        <x:v>-0.1563902765245443</x:v>
      </x:c>
      <x:c r="E2355" s="12" t="n">
        <x:v>-0.21027778186005208</x:v>
      </x:c>
    </x:row>
    <x:row r="2356" ht="18" customHeight="1">
      <x:c r="A2356" s="13" t="n">
        <x:v>46154</x:v>
      </x:c>
      <x:c r="B2356" s="12" t="n">
        <x:v>3</x:v>
      </x:c>
      <x:c r="C2356" s="12" t="n">
        <x:v>-0.0007656858463650147</x:v>
      </x:c>
      <x:c r="D2356" s="12" t="n">
        <x:v>-0.16521440613306201</x:v>
      </x:c>
      <x:c r="E2356" s="12" t="n">
        <x:v>-0.2145442290124691</x:v>
      </x:c>
    </x:row>
    <x:row r="2357" ht="18" customHeight="1">
      <x:c r="A2357" s="13" t="n">
        <x:v>46155</x:v>
      </x:c>
      <x:c r="B2357" s="12" t="n">
        <x:v>0</x:v>
      </x:c>
      <x:c r="C2357" s="12" t="n">
        <x:v>0.01011334520021664</x:v>
      </x:c>
      <x:c r="D2357" s="12" t="n">
        <x:v>-0.1593743276692929</x:v>
      </x:c>
      <x:c r="E2357" s="12" t="n">
        <x:v>-0.2199020423463787</x:v>
      </x:c>
    </x:row>
    <x:row r="2358" ht="18" customHeight="1">
      <x:c r="A2358" s="13" t="n">
        <x:v>46156</x:v>
      </x:c>
      <x:c r="B2358" s="12" t="n">
        <x:v>-6</x:v>
      </x:c>
      <x:c r="C2358" s="12" t="n">
        <x:v>-0.016896420734000092</x:v>
      </x:c>
      <x:c r="D2358" s="12" t="n">
        <x:v>-0.17286092831522346</x:v>
      </x:c>
      <x:c r="E2358" s="12" t="n">
        <x:v>-0.2110976294281673</x:v>
      </x:c>
    </x:row>
    <x:row r="2359" ht="18" customHeight="1">
      <x:c r="A2359" s="13" t="n">
        <x:v>46157</x:v>
      </x:c>
      <x:c r="B2359" s="12" t="n">
        <x:v>4</x:v>
      </x:c>
      <x:c r="C2359" s="12" t="n">
        <x:v>-0.011255148872686452</x:v>
      </x:c>
      <x:c r="D2359" s="12" t="n">
        <x:v>-0.19175370374006517</x:v>
      </x:c>
      <x:c r="E2359" s="12" t="n">
        <x:v>-0.21405968891860827</x:v>
      </x:c>
    </x:row>
    <x:row r="2360" ht="18" customHeight="1">
      <x:c r="A2360" s="13" t="n">
        <x:v>46160</x:v>
      </x:c>
      <x:c r="B2360" s="12" t="n">
        <x:v>3</x:v>
      </x:c>
      <x:c r="C2360" s="12" t="n">
        <x:v>-0.005378881626373026</x:v>
      </x:c>
      <x:c r="D2360" s="12" t="n">
        <x:v>-0.19697011036399673</x:v>
      </x:c>
      <x:c r="E2360" s="12" t="n">
        <x:v>-0.2145254697251105</x:v>
      </x:c>
    </x:row>
    <x:row r="2361" ht="18" customHeight="1">
      <x:c r="A2361" s="13" t="n">
        <x:v>46161</x:v>
      </x:c>
      <x:c r="B2361" s="12" t="n">
        <x:v>3</x:v>
      </x:c>
      <x:c r="C2361" s="12" t="n">
        <x:v>0.003997256356691384</x:v>
      </x:c>
      <x:c r="D2361" s="12" t="n">
        <x:v>-0.1830763172507044</x:v>
      </x:c>
      <x:c r="E2361" s="12" t="n">
        <x:v>-0.21356062190586309</x:v>
      </x:c>
    </x:row>
    <x:row r="2362" ht="18" customHeight="1">
      <x:c r="A2362" s="13" t="n">
        <x:v>46162</x:v>
      </x:c>
      <x:c r="B2362" s="12" t="n">
        <x:v>-6</x:v>
      </x:c>
      <x:c r="C2362" s="12" t="n">
        <x:v>-0.0004499781146490447</x:v>
      </x:c>
      <x:c r="D2362" s="12" t="n">
        <x:v>-0.19855789729704332</x:v>
      </x:c>
      <x:c r="E2362" s="12" t="n">
        <x:v>-0.21379600243833466</x:v>
      </x:c>
    </x:row>
    <x:row r="2363" ht="18" customHeight="1">
      <x:c r="A2363" s="13" t="n">
        <x:v>46163</x:v>
      </x:c>
      <x:c r="B2363" s="12" t="n">
        <x:v>-2</x:v>
      </x:c>
      <x:c r="C2363" s="12" t="n">
        <x:v>-0.014034654338595203</x:v>
      </x:c>
      <x:c r="D2363" s="12" t="n">
        <x:v>-0.1816152891764844</x:v>
      </x:c>
      <x:c r="E2363" s="12" t="n">
        <x:v>-0.21563266051044053</x:v>
      </x:c>
    </x:row>
    <x:row r="2364" ht="18" customHeight="1">
      <x:c r="A2364" s="13" t="n">
        <x:v>46164</x:v>
      </x:c>
      <x:c r="B2364" s="12" t="n">
        <x:v>-4</x:v>
      </x:c>
      <x:c r="C2364" s="12" t="n">
        <x:v>0.01287860673706273</x:v>
      </x:c>
      <x:c r="D2364" s="12" t="n">
        <x:v>-0.19080818570807542</x:v>
      </x:c>
      <x:c r="E2364" s="12" t="n">
        <x:v>-0.21834392205533654</x:v>
      </x:c>
    </x:row>
    <x:row r="2365" ht="18" customHeight="1">
      <x:c r="A2365" s="13" t="n">
        <x:v>46167</x:v>
      </x:c>
      <x:c r="B2365" s="12" t="n">
        <x:v>0</x:v>
      </x:c>
      <x:c r="C2365" s="12" t="n">
        <x:v>0.015666175775299437</x:v>
      </x:c>
      <x:c r="D2365" s="12" t="n">
        <x:v>-0.18931138684217597</x:v>
      </x:c>
      <x:c r="E2365" s="12" t="n">
        <x:v>-0.21466678443699458</x:v>
      </x:c>
    </x:row>
    <x:row r="2366" ht="18" customHeight="1">
      <x:c r="A2366" s="13" t="n">
        <x:v>46168</x:v>
      </x:c>
      <x:c r="B2366" s="12" t="n">
        <x:v>-2</x:v>
      </x:c>
      <x:c r="C2366" s="12" t="n">
        <x:v>0.005319844710714726</x:v>
      </x:c>
      <x:c r="D2366" s="12" t="n">
        <x:v>-0.19395550048273597</x:v>
      </x:c>
      <x:c r="E2366" s="12" t="n">
        <x:v>-0.2147084047551176</x:v>
      </x:c>
    </x:row>
    <x:row r="2367" ht="18" customHeight="1">
      <x:c r="A2367" s="13" t="n">
        <x:v>46169</x:v>
      </x:c>
      <x:c r="B2367" s="12" t="n">
        <x:v>-1</x:v>
      </x:c>
      <x:c r="C2367" s="12" t="n">
        <x:v>-0.008051548501949888</x:v>
      </x:c>
      <x:c r="D2367" s="12" t="n">
        <x:v>-0.1845808942738819</x:v>
      </x:c>
      <x:c r="E2367" s="12" t="n">
        <x:v>-0.20176556844066157</x:v>
      </x:c>
    </x:row>
    <x:row r="2368" ht="18" customHeight="1">
      <x:c r="A2368" s="13" t="n">
        <x:v>46170</x:v>
      </x:c>
      <x:c r="B2368" s="12" t="n">
        <x:v>1</x:v>
      </x:c>
      <x:c r="C2368" s="12" t="n">
        <x:v>0.0012302309360817918</x:v>
      </x:c>
      <x:c r="D2368" s="12" t="n">
        <x:v>-0.19025086866341234</x:v>
      </x:c>
      <x:c r="E2368" s="12" t="n">
        <x:v>-0.20188656211207526</x:v>
      </x:c>
    </x:row>
    <x:row r="2369" ht="18" customHeight="1">
      <x:c r="A2369" s="13" t="n">
        <x:v>46171</x:v>
      </x:c>
      <x:c r="B2369" s="12" t="n">
        <x:v>0</x:v>
      </x:c>
      <x:c r="C2369" s="12" t="n">
        <x:v>-0.004505666648206661</x:v>
      </x:c>
      <x:c r="D2369" s="12" t="n">
        <x:v>-0.18736279018088897</x:v>
      </x:c>
      <x:c r="E2369" s="12" t="n">
        <x:v>-0.20334695346142265</x:v>
      </x:c>
    </x:row>
    <x:row r="2370" ht="18" customHeight="1">
      <x:c r="A2370" s="13" t="n">
        <x:v>46174</x:v>
      </x:c>
      <x:c r="B2370" s="12" t="n">
        <x:v>-2</x:v>
      </x:c>
      <x:c r="C2370" s="12" t="n">
        <x:v>-0.009832422494559519</x:v>
      </x:c>
      <x:c r="D2370" s="12" t="n">
        <x:v>-0.18023020841463266</x:v>
      </x:c>
      <x:c r="E2370" s="12" t="n">
        <x:v>-0.19540113795259326</x:v>
      </x:c>
    </x:row>
    <x:row r="2371" ht="18" customHeight="1">
      <x:c r="A2371" s="13" t="n">
        <x:v>46175</x:v>
      </x:c>
      <x:c r="B2371" s="12" t="n">
        <x:v>-1</x:v>
      </x:c>
      <x:c r="C2371" s="12" t="n">
        <x:v>0.01440845398306778</x:v>
      </x:c>
      <x:c r="D2371" s="12" t="n">
        <x:v>-0.1740909192324415</x:v>
      </x:c>
      <x:c r="E2371" s="12" t="n">
        <x:v>-0.19723962817333945</x:v>
      </x:c>
    </x:row>
    <x:row r="2372" ht="18" customHeight="1">
      <x:c r="A2372" s="13" t="n">
        <x:v>46176</x:v>
      </x:c>
      <x:c r="B2372" s="12" t="n">
        <x:v>4</x:v>
      </x:c>
      <x:c r="C2372" s="12" t="n">
        <x:v>0.00492218467194442</x:v>
      </x:c>
      <x:c r="D2372" s="12" t="n">
        <x:v>-0.1654430357234827</x:v>
      </x:c>
      <x:c r="E2372" s="12" t="n">
        <x:v>-0.1945666202035542</x:v>
      </x:c>
    </x:row>
    <x:row r="2373" ht="18" customHeight="1">
      <x:c r="A2373" s="13" t="n">
        <x:v>46177</x:v>
      </x:c>
      <x:c r="B2373" s="12" t="n">
        <x:v>-1</x:v>
      </x:c>
      <x:c r="C2373" s="12" t="n">
        <x:v>-0.0069210438105936824</x:v>
      </x:c>
      <x:c r="D2373" s="12" t="n">
        <x:v>-0.14730881020144582</x:v>
      </x:c>
      <x:c r="E2373" s="12" t="n">
        <x:v>-0.19362213854399396</x:v>
      </x:c>
    </x:row>
    <x:row r="2374" ht="18" customHeight="1">
      <x:c r="A2374" s="13" t="n">
        <x:v>46178</x:v>
      </x:c>
      <x:c r="B2374" s="12" t="n">
        <x:v>2</x:v>
      </x:c>
      <x:c r="C2374" s="12" t="n">
        <x:v>-0.018068486549197182</x:v>
      </x:c>
      <x:c r="D2374" s="12" t="n">
        <x:v>-0.18959614136679298</x:v>
      </x:c>
      <x:c r="E2374" s="12" t="n">
        <x:v>-0.19680713437441713</x:v>
      </x:c>
    </x:row>
    <x:row r="2375" ht="18" customHeight="1">
      <x:c r="A2375" s="13" t="n">
        <x:v>46181</x:v>
      </x:c>
      <x:c r="B2375" s="12" t="n">
        <x:v>-1</x:v>
      </x:c>
      <x:c r="C2375" s="12" t="n">
        <x:v>-0.021675156601350522</x:v>
      </x:c>
      <x:c r="D2375" s="12" t="n">
        <x:v>-0.18756824546938278</x:v>
      </x:c>
      <x:c r="E2375" s="12" t="n">
        <x:v>-0.19306923591295821</x:v>
      </x:c>
    </x:row>
    <x:row r="2376" ht="18" customHeight="1">
      <x:c r="A2376" s="13" t="n">
        <x:v>46182</x:v>
      </x:c>
      <x:c r="B2376" s="12" t="n">
        <x:v>3</x:v>
      </x:c>
      <x:c r="C2376" s="12" t="n">
        <x:v>0.01853351282054119</x:v>
      </x:c>
      <x:c r="D2376" s="12" t="n">
        <x:v>-0.18392876656892745</x:v>
      </x:c>
      <x:c r="E2376" s="12" t="n">
        <x:v>-0.18315634217530505</x:v>
      </x:c>
    </x:row>
    <x:row r="2377" ht="18" customHeight="1">
      <x:c r="A2377" s="13" t="n">
        <x:v>46183</x:v>
      </x:c>
      <x:c r="B2377" s="12" t="n">
        <x:v>2</x:v>
      </x:c>
      <x:c r="C2377" s="12" t="n">
        <x:v>-0.011144649363031658</x:v>
      </x:c>
      <x:c r="D2377" s="12" t="n">
        <x:v>-0.17630684731834273</x:v>
      </x:c>
      <x:c r="E2377" s="12" t="n">
        <x:v>-0.18452503944776363</x:v>
      </x:c>
    </x:row>
    <x:row r="2378" ht="18" customHeight="1">
      <x:c r="A2378" s="13" t="n">
        <x:v>46184</x:v>
      </x:c>
      <x:c r="B2378" s="12" t="n">
        <x:v>-2</x:v>
      </x:c>
      <x:c r="C2378" s="12" t="n">
        <x:v>-0.005528677385810438</x:v>
      </x:c>
      <x:c r="D2378" s="12" t="n">
        <x:v>-0.14325112112559765</x:v>
      </x:c>
      <x:c r="E2378" s="12" t="n">
        <x:v>-0.1936332629802677</x:v>
      </x:c>
    </x:row>
    <x:row r="2379" ht="18" customHeight="1">
      <x:c r="A2379" s="13" t="n">
        <x:v>46185</x:v>
      </x:c>
      <x:c r="B2379" s="12" t="n">
        <x:v>-7</x:v>
      </x:c>
      <x:c r="C2379" s="12" t="n">
        <x:v>0.01156011703366715</x:v>
      </x:c>
      <x:c r="D2379" s="12" t="n">
        <x:v>-0.16457277650176055</x:v>
      </x:c>
      <x:c r="E2379" s="12" t="n">
        <x:v>-0.19807615801744294</x:v>
      </x:c>
    </x:row>
    <x:row r="2380" ht="18" customHeight="1">
      <x:c r="A2380" s="13" t="n">
        <x:v>46188</x:v>
      </x:c>
      <x:c r="B2380" s="12" t="n">
        <x:v>-5</x:v>
      </x:c>
      <x:c r="C2380" s="12" t="n">
        <x:v>0.02366262171438832</x:v>
      </x:c>
      <x:c r="D2380" s="12" t="n">
        <x:v>-0.17808869668605548</x:v>
      </x:c>
      <x:c r="E2380" s="12" t="n">
        <x:v>-0.20328704366102937</x:v>
      </x:c>
    </x:row>
    <x:row r="2381" ht="18" customHeight="1">
      <x:c r="A2381" s="13" t="n">
        <x:v>46189</x:v>
      </x:c>
      <x:c r="B2381" s="12" t="n">
        <x:v>5</x:v>
      </x:c>
      <x:c r="C2381" s="12" t="n">
        <x:v>-0.001530369005345078</x:v>
      </x:c>
      <x:c r="D2381" s="12" t="n">
        <x:v>-0.17287784263918424</x:v>
      </x:c>
      <x:c r="E2381" s="12" t="n">
        <x:v>-0.2011999269194908</x:v>
      </x:c>
    </x:row>
    <x:row r="2382" ht="18" customHeight="1">
      <x:c r="A2382" s="13" t="n">
        <x:v>46190</x:v>
      </x:c>
      <x:c r="B2382" s="12" t="n">
        <x:v>-8</x:v>
      </x:c>
      <x:c r="C2382" s="12" t="n">
        <x:v>0.009608006608348506</x:v>
      </x:c>
      <x:c r="D2382" s="12" t="n">
        <x:v>-0.18513572946182189</x:v>
      </x:c>
      <x:c r="E2382" s="12" t="n">
        <x:v>-0.20458801446934516</x:v>
      </x:c>
    </x:row>
    <x:row r="2383" ht="18" customHeight="1">
      <x:c r="A2383" s="13" t="n">
        <x:v>46191</x:v>
      </x:c>
      <x:c r="B2383" s="12" t="n">
        <x:v>3</x:v>
      </x:c>
      <x:c r="C2383" s="12" t="n">
        <x:v>0.0020687773662452385</x:v>
      </x:c>
      <x:c r="D2383" s="12" t="n">
        <x:v>-0.19343509318453483</x:v>
      </x:c>
      <x:c r="E2383" s="12" t="n">
        <x:v>-0.20550453409925815</x:v>
      </x:c>
    </x:row>
    <x:row r="2384" ht="18" customHeight="1">
      <x:c r="A2384" s="13" t="n">
        <x:v>46195</x:v>
      </x:c>
      <x:c r="B2384" s="12" t="n">
        <x:v>-1</x:v>
      </x:c>
      <x:c r="C2384" s="12" t="n">
        <x:v>0.023610049520233017</x:v>
      </x:c>
      <x:c r="D2384" s="12" t="n">
        <x:v>-0.18885863481069462</x:v>
      </x:c>
      <x:c r="E2384" s="12" t="n">
        <x:v>-0.2043423090020974</x:v>
      </x:c>
    </x:row>
    <x:row r="2385" ht="18" customHeight="1">
      <x:c r="A2385" s="13" t="n">
        <x:v>46196</x:v>
      </x:c>
      <x:c r="B2385" s="12" t="n">
        <x:v>6</x:v>
      </x:c>
      <x:c r="C2385" s="12" t="n">
        <x:v>-0.02811520564220836</x:v>
      </x:c>
      <x:c r="D2385" s="12" t="n">
        <x:v>-0.1982183562761377</x:v>
      </x:c>
      <x:c r="E2385" s="12" t="n">
        <x:v>-0.21522518866825835</x:v>
      </x:c>
    </x:row>
    <x:row r="2386" ht="18" customHeight="1">
      <x:c r="A2386" s="13" t="n">
        <x:v>46197</x:v>
      </x:c>
      <x:c r="B2386" s="12" t="n">
        <x:v>5</x:v>
      </x:c>
      <x:c r="C2386" s="12" t="n">
        <x:v>0.004792693782340063</x:v>
      </x:c>
      <x:c r="D2386" s="12" t="n">
        <x:v>-0.1949416818795989</x:v>
      </x:c>
      <x:c r="E2386" s="12" t="n">
        <x:v>-0.2139892688155431</x:v>
      </x:c>
    </x:row>
    <x:row r="2387" ht="18" customHeight="1">
      <x:c r="A2387" s="13" t="n">
        <x:v>46198</x:v>
      </x:c>
      <x:c r="B2387" s="12" t="n">
        <x:v>2</x:v>
      </x:c>
      <x:c r="C2387" s="12" t="n">
        <x:v>0.01547419102987474</x:v>
      </x:c>
      <x:c r="D2387" s="12" t="n">
        <x:v>-0.235981326416918</x:v>
      </x:c>
      <x:c r="E2387" s="12" t="n">
        <x:v>-0.21090439385441323</x:v>
      </x:c>
    </x:row>
    <x:row r="2388" ht="18" customHeight="1">
      <x:c r="A2388" s="13" t="n">
        <x:v>46199</x:v>
      </x:c>
      <x:c r="B2388" s="12" t="n">
        <x:v>5</x:v>
      </x:c>
      <x:c r="C2388" s="12" t="n">
        <x:v>-0.03072214087187831</x:v>
      </x:c>
      <x:c r="D2388" s="12" t="n">
        <x:v>-0.2636973420810359</x:v>
      </x:c>
      <x:c r="E2388" s="12" t="n">
        <x:v>-0.21785738328503557</x:v>
      </x:c>
    </x:row>
    <x:row r="2389" ht="18" customHeight="1">
      <x:c r="A2389" s="13" t="n">
        <x:v>46202</x:v>
      </x:c>
      <x:c r="B2389" s="12" t="n">
        <x:v>-3</x:v>
      </x:c>
      <x:c r="C2389" s="12" t="n">
        <x:v>0.011985779426626321</x:v>
      </x:c>
      <x:c r="D2389" s="12" t="n">
        <x:v>-0.26575485642173563</x:v>
      </x:c>
      <x:c r="E2389" s="12" t="n">
        <x:v>-0.21922809818058236</x:v>
      </x:c>
    </x:row>
    <x:row r="2390" ht="18" customHeight="1">
      <x:c r="A2390" s="13" t="n">
        <x:v>46203</x:v>
      </x:c>
      <x:c r="B2390" s="12" t="n">
        <x:v>-5</x:v>
      </x:c>
      <x:c r="C2390" s="12" t="n">
        <x:v>0.01060173963218757</x:v>
      </x:c>
      <x:c r="D2390" s="12" t="n">
        <x:v>-0.261926064199185</x:v>
      </x:c>
      <x:c r="E2390" s="12" t="n">
        <x:v>-0.22137430740008393</x:v>
      </x:c>
    </x:row>
    <x:row r="2391" ht="18" customHeight="1">
      <x:c r="A2391" s="13" t="n">
        <x:v>46204</x:v>
      </x:c>
      <x:c r="B2391" s="12" t="n">
        <x:v>-1</x:v>
      </x:c>
      <x:c r="C2391" s="12" t="n">
        <x:v>-0.004116459006911529</x:v>
      </x:c>
      <x:c r="D2391" s="12" t="n">
        <x:v>-0.3211821178588725</x:v>
      </x:c>
      <x:c r="E2391" s="12" t="n">
        <x:v>-0.22098318899070693</x:v>
      </x:c>
    </x:row>
    <x:row r="2392" ht="18" customHeight="1">
      <x:c r="A2392" s="13" t="n">
        <x:v>46205</x:v>
      </x:c>
      <x:c r="B2392" s="12" t="n">
        <x:v>1</x:v>
      </x:c>
      <x:c r="C2392" s="12" t="n">
        <x:v>-0.030025283195985117</x:v>
      </x:c>
      <x:c r="D2392" s="12" t="n">
        <x:v>-0.31849812415046713</x:v>
      </x:c>
      <x:c r="E2392" s="12" t="n">
        <x:v>-0.21921023551527924</x:v>
      </x:c>
    </x:row>
    <x:row r="2393" ht="18" customHeight="1">
      <x:c r="A2393" s="13" t="n">
        <x:v>46206</x:v>
      </x:c>
      <x:c r="B2393" s="12" t="n">
        <x:v>-1</x:v>
      </x:c>
      <x:c r="C2393" s="12" t="n">
        <x:v>0.006189484713631253</x:v>
      </x:c>
      <x:c r="D2393" s="12" t="n">
        <x:v>-0.4078076751888191</x:v>
      </x:c>
      <x:c r="E2393" s="12" t="n">
        <x:v>-0.21937333412894297</x:v>
      </x:c>
    </x:row>
    <x:row r="2394" ht="18" customHeight="1">
      <x:c r="A2394" s="13" t="n">
        <x:v>46209</x:v>
      </x:c>
      <x:c r="B2394" s="12" t="n">
        <x:v>-2</x:v>
      </x:c>
      <x:c r="C2394" s="12" t="n">
        <x:v>-0.0000362860150486603</x:v>
      </x:c>
      <x:c r="D2394" s="12" t="n">
        <x:v>-0.38176135568274344</x:v>
      </x:c>
      <x:c r="E2394" s="12" t="n">
        <x:v>-0.21944426712602855</x:v>
      </x:c>
    </x:row>
    <x:row r="2395" ht="18" customHeight="1">
      <x:c r="A2395" s="13" t="n">
        <x:v>46210</x:v>
      </x:c>
      <x:c r="B2395" s="12" t="n">
        <x:v>-5</x:v>
      </x:c>
      <x:c r="C2395" s="12" t="n">
        <x:v>-0.010324828219453176</x:v>
      </x:c>
      <x:c r="D2395" s="12" t="n">
        <x:v>-0.3583879687046949</x:v>
      </x:c>
      <x:c r="E2395" s="12" t="n">
        <x:v>-0.21504676234014758</x:v>
      </x:c>
    </x:row>
    <x:row r="2396" ht="18" customHeight="1">
      <x:c r="A2396" s="13" t="n">
        <x:v>46211</x:v>
      </x:c>
      <x:c r="B2396" s="12" t="n">
        <x:v>3</x:v>
      </x:c>
      <x:c r="C2396" s="12" t="n">
        <x:v>-0.0076936667691582285</x:v>
      </x:c>
      <x:c r="D2396" s="12" t="n">
        <x:v>-0.3777566863357875</x:v>
      </x:c>
      <x:c r="E2396" s="12" t="n">
        <x:v>-0.21637560444588919</x:v>
      </x:c>
    </x:row>
    <x:row r="2397" ht="18" customHeight="1">
      <x:c r="A2397" s="13" t="n">
        <x:v>46212</x:v>
      </x:c>
      <x:c r="B2397" s="12" t="n">
        <x:v>0</x:v>
      </x:c>
      <x:c r="C2397" s="12" t="n">
        <x:v>0.02508034850822912</x:v>
      </x:c>
      <x:c r="D2397" s="12" t="n">
        <x:v>-0.3704828939075902</x:v>
      </x:c>
      <x:c r="E2397" s="12" t="n">
        <x:v>-0.21034351280746766</x:v>
      </x:c>
    </x:row>
    <x:row r="2398" ht="18" customHeight="1">
      <x:c r="A2398" s="13" t="n">
        <x:v>46213</x:v>
      </x:c>
      <x:c r="B2398" s="12" t="n">
        <x:v>-1</x:v>
      </x:c>
      <x:c r="C2398" s="12" t="n">
        <x:v>-0.019784184431682877</x:v>
      </x:c>
      <x:c r="D2398" s="12" t="n">
        <x:v>-0.23739685787102127</x:v>
      </x:c>
      <x:c r="E2398" s="12" t="n">
        <x:v>-0.2066018082340923</x:v>
      </x:c>
    </x:row>
    <x:row r="2399" ht="18" customHeight="1">
      <x:c r="A2399" s="13" t="n">
        <x:v>46216</x:v>
      </x:c>
      <x:c r="B2399" s="12" t="n">
        <x:v>0</x:v>
      </x:c>
      <x:c r="C2399" s="12" t="n">
        <x:v>-0.01802542907335032</x:v>
      </x:c>
      <x:c r="D2399" s="12" t="n">
        <x:v>-0.24745801557586752</x:v>
      </x:c>
      <x:c r="E2399" s="12" t="n">
        <x:v>-0.20549962094528443</x:v>
      </x:c>
    </x:row>
    <x:row r="2400" ht="18" customHeight="1">
      <x:c r="A2400" s="13" t="n">
        <x:v>46217</x:v>
      </x:c>
      <x:c r="B2400" s="12" t="n">
        <x:v>3</x:v>
      </x:c>
      <x:c r="C2400" s="12" t="n">
        <x:v>0.02130721676857777</x:v>
      </x:c>
      <x:c r="D2400" s="12" t="n">
        <x:v>-0.2444007614020057</x:v>
      </x:c>
      <x:c r="E2400" s="12" t="n">
        <x:v>-0.20060885470034961</x:v>
      </x:c>
    </x:row>
    <x:row r="2401" ht="18" customHeight="1">
      <x:c r="A2401" s="13" t="n">
        <x:v>46218</x:v>
      </x:c>
      <x:c r="B2401" s="12" t="n">
        <x:v>-1</x:v>
      </x:c>
      <x:c r="C2401" s="12" t="n">
        <x:v>-0.0020283657503912377</x:v>
      </x:c>
      <x:c r="D2401" s="12" t="n">
        <x:v>-0.24465118440370176</x:v>
      </x:c>
      <x:c r="E2401" s="12" t="n">
        <x:v>-0.19974625593298678</x:v>
      </x:c>
    </x:row>
    <x:row r="2402" ht="18" customHeight="1">
      <x:c r="A2402" s="13" t="n">
        <x:v>46219</x:v>
      </x:c>
      <x:c r="B2402" s="12" t="n">
        <x:v>0</x:v>
      </x:c>
      <x:c r="C2402" s="12" t="n">
        <x:v>-0.01862918965531543</x:v>
      </x:c>
      <x:c r="D2402" s="12" t="n">
        <x:v>-0.2171265313376926</x:v>
      </x:c>
      <x:c r="E2402" s="12" t="n">
        <x:v>-0.198537730764555</x:v>
      </x:c>
    </x:row>
    <x:row r="2403" ht="18" customHeight="1">
      <x:c r="A2403" s="13" t="n">
        <x:v>46220</x:v>
      </x:c>
      <x:c r="B2403" s="12" t="n">
        <x:v>2</x:v>
      </x:c>
      <x:c r="C2403" s="12" t="n">
        <x:v>-0.036707140315421015</x:v>
      </x:c>
      <x:c r="D2403" s="12" t="n">
        <x:v>-0.2316307420515533</x:v>
      </x:c>
      <x:c r="E2403" s="12" t="n">
        <x:v>-0.19897105453500957</x:v>
      </x:c>
    </x:row>
    <x:row r="2404" ht="18" customHeight="1">
      <x:c r="A2404" s="13" t="n">
        <x:v>46223</x:v>
      </x:c>
      <x:c r="B2404" s="12" t="n">
        <x:v>-4</x:v>
      </x:c>
      <x:c r="C2404" s="12" t="n">
        <x:v>0.015168986846840348</x:v>
      </x:c>
      <x:c r="D2404" s="12" t="n">
        <x:v>-0.2546207761770948</x:v>
      </x:c>
      <x:c r="E2404" s="12" t="n">
        <x:v>-0.19979215913943493</x:v>
      </x:c>
    </x:row>
    <x:row r="2405" ht="18" customHeight="1">
      <x:c r="A2405" s="13" t="n">
        <x:v>46224</x:v>
      </x:c>
      <x:c r="B2405" s="12" t="n">
        <x:v>0</x:v>
      </x:c>
      <x:c r="C2405" s="12" t="n">
        <x:v>0.0301832075752162</x:v>
      </x:c>
      <x:c r="D2405" s="12" t="n">
        <x:v>-0.24653666644170263</x:v>
      </x:c>
      <x:c r="E2405" s="12" t="n">
        <x:v>-0.19687614332739736</x:v>
      </x:c>
    </x:row>
    <x:row r="2406" ht="18" customHeight="1">
      <x:c r="A2406" s="13" t="n">
        <x:v>46225</x:v>
      </x:c>
      <x:c r="B2406" s="12" t="n">
        <x:v>-1</x:v>
      </x:c>
      <x:c r="C2406" s="12" t="n">
        <x:v>-0.004649627792401307</x:v>
      </x:c>
      <x:c r="D2406" s="12" t="n">
        <x:v>-0.2579686313707633</x:v>
      </x:c>
      <x:c r="E2406" s="12" t="n">
        <x:v>-0.19506974271828373</x:v>
      </x:c>
    </x:row>
    <x:row r="2407" ht="18" customHeight="1">
      <x:c r="A2407" s="13" t="n">
        <x:v>46226</x:v>
      </x:c>
      <x:c r="B2407" s="12" t="n">
        <x:v>9</x:v>
      </x:c>
      <x:c r="C2407" s="12" t="n">
        <x:v>0.002277887659370913</x:v>
      </x:c>
      <x:c r="D2407" s="12" t="n">
        <x:v>-0.23350199486130138</x:v>
      </x:c>
      <x:c r="E2407" s="12" t="n">
        <x:v>-0.1967382634879866</x:v>
      </x:c>
    </x:row>
  </x:sheetData>
  <x:pageMargins left="0.7" right="0.7" top="0.75" bottom="0.75" header="0.3" footer="0.3"/>
  <x:tableParts count="1">
    <x:tablePart xmlns:r="http://schemas.openxmlformats.org/officeDocument/2006/relationships" r:id="Rd02f14ab71a6485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9" hidden="0" customWidth="1"/>
    <x:col min="2" max="2" width="8.220000267028809" hidden="0" customWidth="1"/>
    <x:col min="3" max="3" width="10.220000267028809" hidden="0" customWidth="1"/>
    <x:col min="4" max="4" width="14.670000076293945" hidden="0" customWidth="1"/>
    <x:col min="5" max="5" width="16.440000534057617" hidden="0" customWidth="1"/>
    <x:col min="6" max="6" width="12.329999923706055" hidden="0" customWidth="1"/>
    <x:col min="7" max="7" width="9.220000267028809" hidden="0" customWidth="1"/>
    <x:col min="8" max="8" width="15.779999732971191" hidden="0" customWidth="1"/>
    <x:col min="9" max="9" width="15" hidden="0" customWidth="1"/>
    <x:col min="10" max="10" width="24" hidden="0" customWidth="1"/>
  </x:cols>
  <x:sheetData>
    <x:row r="1" ht="30" customHeight="1">
      <x:c r="A1" s="9" t="str">
        <x:v>date</x:v>
      </x:c>
      <x:c r="B1" s="10" t="str">
        <x:v>close</x:v>
      </x:c>
      <x:c r="C1" s="10" t="str">
        <x:v>pre_close</x:v>
      </x:c>
      <x:c r="D1" s="10" t="str">
        <x:v>csi300_pct_chg</x:v>
      </x:c>
      <x:c r="E1" s="10" t="str">
        <x:v>csi300_log_return</x:v>
      </x:c>
      <x:c r="F1" s="10" t="str">
        <x:v>oas_percent</x:v>
      </x:c>
      <x:c r="G1" s="10" t="str">
        <x:v>oas_bps</x:v>
      </x:c>
      <x:c r="H1" s="10" t="str">
        <x:v>oas_change_bps</x:v>
      </x:c>
      <x:c r="I1" s="10" t="str">
        <x:v>csi300_source</x:v>
      </x:c>
      <x:c r="J1" s="11" t="str">
        <x:v>oas_source</x:v>
      </x:c>
    </x:row>
    <x:row r="2" ht="18" customHeight="1">
      <x:c r="A2" s="13" t="n">
        <x:v>42577</x:v>
      </x:c>
      <x:c r="B2" s="12" t="n">
        <x:v>3269.5882</x:v>
      </x:c>
      <x:c r="C2" s="12" t="n">
        <x:v>3230.885</x:v>
      </x:c>
      <x:c r="D2" s="12" t="n">
        <x:v>1.1979</x:v>
      </x:c>
      <x:c r="E2" s="12" t="n">
        <x:v>0.01190795074409212</x:v>
      </x:c>
      <x:c r="F2" s="12" t="n">
        <x:v>5.45</x:v>
      </x:c>
      <x:c r="G2" s="12" t="n">
        <x:v>545</x:v>
      </x:c>
      <x:c r="H2" s="12"/>
      <x:c r="I2" s="12" t="str">
        <x:v>TuShare index_daily</x:v>
      </x:c>
      <x:c r="J2" s="12" t="str">
        <x:v>Archived FRED mirror (Hugging Face)</x:v>
      </x:c>
    </x:row>
    <x:row r="3" ht="18" customHeight="1">
      <x:c r="A3" s="13" t="n">
        <x:v>42578</x:v>
      </x:c>
      <x:c r="B3" s="12" t="n">
        <x:v>3218.243</x:v>
      </x:c>
      <x:c r="C3" s="12" t="n">
        <x:v>3269.5882</x:v>
      </x:c>
      <x:c r="D3" s="12" t="n">
        <x:v>-1.5704</x:v>
      </x:c>
      <x:c r="E3" s="12" t="n">
        <x:v>-0.015828485797177723</x:v>
      </x:c>
      <x:c r="F3" s="12" t="n">
        <x:v>5.51</x:v>
      </x:c>
      <x:c r="G3" s="12" t="n">
        <x:v>551</x:v>
      </x:c>
      <x:c r="H3" s="12" t="n">
        <x:v>6</x:v>
      </x:c>
      <x:c r="I3" s="12" t="str">
        <x:v>TuShare index_daily</x:v>
      </x:c>
      <x:c r="J3" s="12" t="str">
        <x:v>Archived FRED mirror (Hugging Face)</x:v>
      </x:c>
    </x:row>
    <x:row r="4" ht="18" customHeight="1">
      <x:c r="A4" s="13" t="n">
        <x:v>42579</x:v>
      </x:c>
      <x:c r="B4" s="12" t="n">
        <x:v>3221.1365</x:v>
      </x:c>
      <x:c r="C4" s="12" t="n">
        <x:v>3218.243</x:v>
      </x:c>
      <x:c r="D4" s="12" t="n">
        <x:v>0.0899</x:v>
      </x:c>
      <x:c r="E4" s="12" t="n">
        <x:v>0.0008986891344864949</x:v>
      </x:c>
      <x:c r="F4" s="12" t="n">
        <x:v>5.54</x:v>
      </x:c>
      <x:c r="G4" s="12" t="n">
        <x:v>554</x:v>
      </x:c>
      <x:c r="H4" s="12" t="n">
        <x:v>3</x:v>
      </x:c>
      <x:c r="I4" s="12" t="str">
        <x:v>TuShare index_daily</x:v>
      </x:c>
      <x:c r="J4" s="12" t="str">
        <x:v>Archived FRED mirror (Hugging Face)</x:v>
      </x:c>
    </x:row>
    <x:row r="5" ht="18" customHeight="1">
      <x:c r="A5" s="13" t="n">
        <x:v>42580</x:v>
      </x:c>
      <x:c r="B5" s="12" t="n">
        <x:v>3203.9304</x:v>
      </x:c>
      <x:c r="C5" s="12" t="n">
        <x:v>3221.1365</x:v>
      </x:c>
      <x:c r="D5" s="12" t="n">
        <x:v>-0.5342</x:v>
      </x:c>
      <x:c r="E5" s="12" t="n">
        <x:v>-0.005355941470840886</x:v>
      </x:c>
      <x:c r="F5" s="12" t="n">
        <x:v>5.61</x:v>
      </x:c>
      <x:c r="G5" s="12" t="n">
        <x:v>561</x:v>
      </x:c>
      <x:c r="H5" s="12" t="n">
        <x:v>7</x:v>
      </x:c>
      <x:c r="I5" s="12" t="str">
        <x:v>TuShare index_daily</x:v>
      </x:c>
      <x:c r="J5" s="12" t="str">
        <x:v>Archived FRED mirror (Hugging Face)</x:v>
      </x:c>
    </x:row>
    <x:row r="6" ht="18" customHeight="1">
      <x:c r="A6" s="13" t="n">
        <x:v>42583</x:v>
      </x:c>
      <x:c r="B6" s="12" t="n">
        <x:v>3176.8091</x:v>
      </x:c>
      <x:c r="C6" s="12" t="n">
        <x:v>3203.9304</x:v>
      </x:c>
      <x:c r="D6" s="12" t="n">
        <x:v>-0.8465</x:v>
      </x:c>
      <x:c r="E6" s="12" t="n">
        <x:v>-0.008501040775170844</x:v>
      </x:c>
      <x:c r="F6" s="12" t="n">
        <x:v>5.69</x:v>
      </x:c>
      <x:c r="G6" s="12" t="n">
        <x:v>569</x:v>
      </x:c>
      <x:c r="H6" s="12" t="n">
        <x:v>0</x:v>
      </x:c>
      <x:c r="I6" s="12" t="str">
        <x:v>TuShare index_daily</x:v>
      </x:c>
      <x:c r="J6" s="12" t="str">
        <x:v>Archived FRED mirror (Hugging Face)</x:v>
      </x:c>
    </x:row>
    <x:row r="7" ht="18" customHeight="1">
      <x:c r="A7" s="13" t="n">
        <x:v>42584</x:v>
      </x:c>
      <x:c r="B7" s="12" t="n">
        <x:v>3189.0529</x:v>
      </x:c>
      <x:c r="C7" s="12" t="n">
        <x:v>3176.8091</x:v>
      </x:c>
      <x:c r="D7" s="12" t="n">
        <x:v>0.3854</x:v>
      </x:c>
      <x:c r="E7" s="12" t="n">
        <x:v>0.0038467108139667687</x:v>
      </x:c>
      <x:c r="F7" s="12" t="n">
        <x:v>5.73</x:v>
      </x:c>
      <x:c r="G7" s="12" t="n">
        <x:v>573</x:v>
      </x:c>
      <x:c r="H7" s="12" t="n">
        <x:v>4</x:v>
      </x:c>
      <x:c r="I7" s="12" t="str">
        <x:v>TuShare index_daily</x:v>
      </x:c>
      <x:c r="J7" s="12" t="str">
        <x:v>Archived FRED mirror (Hugging Face)</x:v>
      </x:c>
    </x:row>
    <x:row r="8" ht="18" customHeight="1">
      <x:c r="A8" s="13" t="n">
        <x:v>42585</x:v>
      </x:c>
      <x:c r="B8" s="12" t="n">
        <x:v>3193.5073</x:v>
      </x:c>
      <x:c r="C8" s="12" t="n">
        <x:v>3189.0529</x:v>
      </x:c>
      <x:c r="D8" s="12" t="n">
        <x:v>0.1397</x:v>
      </x:c>
      <x:c r="E8" s="12" t="n">
        <x:v>0.0013958037475924041</x:v>
      </x:c>
      <x:c r="F8" s="12" t="n">
        <x:v>5.72</x:v>
      </x:c>
      <x:c r="G8" s="12" t="n">
        <x:v>572</x:v>
      </x:c>
      <x:c r="H8" s="12" t="n">
        <x:v>-1</x:v>
      </x:c>
      <x:c r="I8" s="12" t="str">
        <x:v>TuShare index_daily</x:v>
      </x:c>
      <x:c r="J8" s="12" t="str">
        <x:v>Archived FRED mirror (Hugging Face)</x:v>
      </x:c>
    </x:row>
    <x:row r="9" ht="18" customHeight="1">
      <x:c r="A9" s="13" t="n">
        <x:v>42586</x:v>
      </x:c>
      <x:c r="B9" s="12" t="n">
        <x:v>3201.2888</x:v>
      </x:c>
      <x:c r="C9" s="12" t="n">
        <x:v>3193.5073</x:v>
      </x:c>
      <x:c r="D9" s="12" t="n">
        <x:v>0.2437</x:v>
      </x:c>
      <x:c r="E9" s="12" t="n">
        <x:v>0.0024336988135545256</x:v>
      </x:c>
      <x:c r="F9" s="12" t="n">
        <x:v>5.65</x:v>
      </x:c>
      <x:c r="G9" s="12" t="n">
        <x:v>565</x:v>
      </x:c>
      <x:c r="H9" s="12" t="n">
        <x:v>-7</x:v>
      </x:c>
      <x:c r="I9" s="12" t="str">
        <x:v>TuShare index_daily</x:v>
      </x:c>
      <x:c r="J9" s="12" t="str">
        <x:v>Archived FRED mirror (Hugging Face)</x:v>
      </x:c>
    </x:row>
    <x:row r="10" ht="18" customHeight="1">
      <x:c r="A10" s="13" t="n">
        <x:v>42587</x:v>
      </x:c>
      <x:c r="B10" s="12" t="n">
        <x:v>3205.1101</x:v>
      </x:c>
      <x:c r="C10" s="12" t="n">
        <x:v>3201.2888</x:v>
      </x:c>
      <x:c r="D10" s="12" t="n">
        <x:v>0.1194</x:v>
      </x:c>
      <x:c r="E10" s="12" t="n">
        <x:v>0.0011929636330307713</x:v>
      </x:c>
      <x:c r="F10" s="12" t="n">
        <x:v>5.46</x:v>
      </x:c>
      <x:c r="G10" s="12" t="n">
        <x:v>546</x:v>
      </x:c>
      <x:c r="H10" s="12" t="n">
        <x:v>-19</x:v>
      </x:c>
      <x:c r="I10" s="12" t="str">
        <x:v>TuShare index_daily</x:v>
      </x:c>
      <x:c r="J10" s="12" t="str">
        <x:v>Archived FRED mirror (Hugging Face)</x:v>
      </x:c>
    </x:row>
    <x:row r="11" ht="18" customHeight="1">
      <x:c r="A11" s="13" t="n">
        <x:v>42590</x:v>
      </x:c>
      <x:c r="B11" s="12" t="n">
        <x:v>3234.1833</x:v>
      </x:c>
      <x:c r="C11" s="12" t="n">
        <x:v>3205.1101</x:v>
      </x:c>
      <x:c r="D11" s="12" t="n">
        <x:v>0.9071</x:v>
      </x:c>
      <x:c r="E11" s="12" t="n">
        <x:v>0.0090299962272696</x:v>
      </x:c>
      <x:c r="F11" s="12" t="n">
        <x:v>5.42</x:v>
      </x:c>
      <x:c r="G11" s="12" t="n">
        <x:v>542</x:v>
      </x:c>
      <x:c r="H11" s="12" t="n">
        <x:v>-4</x:v>
      </x:c>
      <x:c r="I11" s="12" t="str">
        <x:v>TuShare index_daily</x:v>
      </x:c>
      <x:c r="J11" s="12" t="str">
        <x:v>Archived FRED mirror (Hugging Face)</x:v>
      </x:c>
    </x:row>
    <x:row r="12" ht="18" customHeight="1">
      <x:c r="A12" s="13" t="n">
        <x:v>42591</x:v>
      </x:c>
      <x:c r="B12" s="12" t="n">
        <x:v>3256.9813</x:v>
      </x:c>
      <x:c r="C12" s="12" t="n">
        <x:v>3234.1833</x:v>
      </x:c>
      <x:c r="D12" s="12" t="n">
        <x:v>0.7049</x:v>
      </x:c>
      <x:c r="E12" s="12" t="n">
        <x:v>0.007024346213754837</x:v>
      </x:c>
      <x:c r="F12" s="12" t="n">
        <x:v>5.36</x:v>
      </x:c>
      <x:c r="G12" s="12" t="n">
        <x:v>536</x:v>
      </x:c>
      <x:c r="H12" s="12" t="n">
        <x:v>-6</x:v>
      </x:c>
      <x:c r="I12" s="12" t="str">
        <x:v>TuShare index_daily</x:v>
      </x:c>
      <x:c r="J12" s="12" t="str">
        <x:v>Archived FRED mirror (Hugging Face)</x:v>
      </x:c>
    </x:row>
    <x:row r="13" ht="18" customHeight="1">
      <x:c r="A13" s="13" t="n">
        <x:v>42592</x:v>
      </x:c>
      <x:c r="B13" s="12" t="n">
        <x:v>3243.3409</x:v>
      </x:c>
      <x:c r="C13" s="12" t="n">
        <x:v>3256.9813</x:v>
      </x:c>
      <x:c r="D13" s="12" t="n">
        <x:v>-0.4188</x:v>
      </x:c>
      <x:c r="E13" s="12" t="n">
        <x:v>-0.004196844279891693</x:v>
      </x:c>
      <x:c r="F13" s="12" t="n">
        <x:v>5.38</x:v>
      </x:c>
      <x:c r="G13" s="12" t="n">
        <x:v>538</x:v>
      </x:c>
      <x:c r="H13" s="12" t="n">
        <x:v>2</x:v>
      </x:c>
      <x:c r="I13" s="12" t="str">
        <x:v>TuShare index_daily</x:v>
      </x:c>
      <x:c r="J13" s="12" t="str">
        <x:v>Archived FRED mirror (Hugging Face)</x:v>
      </x:c>
    </x:row>
    <x:row r="14" ht="18" customHeight="1">
      <x:c r="A14" s="13" t="n">
        <x:v>42593</x:v>
      </x:c>
      <x:c r="B14" s="12" t="n">
        <x:v>3233.3604</x:v>
      </x:c>
      <x:c r="C14" s="12" t="n">
        <x:v>3243.3409</x:v>
      </x:c>
      <x:c r="D14" s="12" t="n">
        <x:v>-0.3077</x:v>
      </x:c>
      <x:c r="E14" s="12" t="n">
        <x:v>-0.0030819725776225675</x:v>
      </x:c>
      <x:c r="F14" s="12" t="n">
        <x:v>5.31</x:v>
      </x:c>
      <x:c r="G14" s="12" t="n">
        <x:v>531</x:v>
      </x:c>
      <x:c r="H14" s="12" t="n">
        <x:v>-7</x:v>
      </x:c>
      <x:c r="I14" s="12" t="str">
        <x:v>TuShare index_daily</x:v>
      </x:c>
      <x:c r="J14" s="12" t="str">
        <x:v>Archived FRED mirror (Hugging Face)</x:v>
      </x:c>
    </x:row>
    <x:row r="15" ht="18" customHeight="1">
      <x:c r="A15" s="13" t="n">
        <x:v>42594</x:v>
      </x:c>
      <x:c r="B15" s="12" t="n">
        <x:v>3294.2337</x:v>
      </x:c>
      <x:c r="C15" s="12" t="n">
        <x:v>3233.3604</x:v>
      </x:c>
      <x:c r="D15" s="12" t="n">
        <x:v>1.8827</x:v>
      </x:c>
      <x:c r="E15" s="12" t="n">
        <x:v>0.0186516084752912</x:v>
      </x:c>
      <x:c r="F15" s="12" t="n">
        <x:v>5.34</x:v>
      </x:c>
      <x:c r="G15" s="12" t="n">
        <x:v>534</x:v>
      </x:c>
      <x:c r="H15" s="12" t="n">
        <x:v>3</x:v>
      </x:c>
      <x:c r="I15" s="12" t="str">
        <x:v>TuShare index_daily</x:v>
      </x:c>
      <x:c r="J15" s="12" t="str">
        <x:v>Archived FRED mirror (Hugging Face)</x:v>
      </x:c>
    </x:row>
    <x:row r="16" ht="18" customHeight="1">
      <x:c r="A16" s="13" t="n">
        <x:v>42597</x:v>
      </x:c>
      <x:c r="B16" s="12" t="n">
        <x:v>3393.4239</x:v>
      </x:c>
      <x:c r="C16" s="12" t="n">
        <x:v>3294.2337</x:v>
      </x:c>
      <x:c r="D16" s="12" t="n">
        <x:v>3.011</x:v>
      </x:c>
      <x:c r="E16" s="12" t="n">
        <x:v>0.029665835270030912</x:v>
      </x:c>
      <x:c r="F16" s="12" t="n">
        <x:v>5.23</x:v>
      </x:c>
      <x:c r="G16" s="12" t="n">
        <x:v>523</x:v>
      </x:c>
      <x:c r="H16" s="12" t="n">
        <x:v>-11</x:v>
      </x:c>
      <x:c r="I16" s="12" t="str">
        <x:v>TuShare index_daily</x:v>
      </x:c>
      <x:c r="J16" s="12" t="str">
        <x:v>Archived FRED mirror (Hugging Face)</x:v>
      </x:c>
    </x:row>
    <x:row r="17" ht="18" customHeight="1">
      <x:c r="A17" s="13" t="n">
        <x:v>42598</x:v>
      </x:c>
      <x:c r="B17" s="12" t="n">
        <x:v>3378.2451</x:v>
      </x:c>
      <x:c r="C17" s="12" t="n">
        <x:v>3393.4239</x:v>
      </x:c>
      <x:c r="D17" s="12" t="n">
        <x:v>-0.4473</x:v>
      </x:c>
      <x:c r="E17" s="12" t="n">
        <x:v>-0.0044830382056433955</x:v>
      </x:c>
      <x:c r="F17" s="12" t="n">
        <x:v>5.17</x:v>
      </x:c>
      <x:c r="G17" s="12" t="n">
        <x:v>517</x:v>
      </x:c>
      <x:c r="H17" s="12" t="n">
        <x:v>-6</x:v>
      </x:c>
      <x:c r="I17" s="12" t="str">
        <x:v>TuShare index_daily</x:v>
      </x:c>
      <x:c r="J17" s="12" t="str">
        <x:v>Archived FRED mirror (Hugging Face)</x:v>
      </x:c>
    </x:row>
    <x:row r="18" ht="18" customHeight="1">
      <x:c r="A18" s="13" t="n">
        <x:v>42599</x:v>
      </x:c>
      <x:c r="B18" s="12" t="n">
        <x:v>3373.0476</x:v>
      </x:c>
      <x:c r="C18" s="12" t="n">
        <x:v>3378.2451</x:v>
      </x:c>
      <x:c r="D18" s="12" t="n">
        <x:v>-0.1539</x:v>
      </x:c>
      <x:c r="E18" s="12" t="n">
        <x:v>-0.0015397054335406538</x:v>
      </x:c>
      <x:c r="F18" s="12" t="n">
        <x:v>5.19</x:v>
      </x:c>
      <x:c r="G18" s="12" t="n">
        <x:v>519</x:v>
      </x:c>
      <x:c r="H18" s="12" t="n">
        <x:v>2</x:v>
      </x:c>
      <x:c r="I18" s="12" t="str">
        <x:v>TuShare index_daily</x:v>
      </x:c>
      <x:c r="J18" s="12" t="str">
        <x:v>Archived FRED mirror (Hugging Face)</x:v>
      </x:c>
    </x:row>
    <x:row r="19" ht="18" customHeight="1">
      <x:c r="A19" s="13" t="n">
        <x:v>42600</x:v>
      </x:c>
      <x:c r="B19" s="12" t="n">
        <x:v>3364.4851</x:v>
      </x:c>
      <x:c r="C19" s="12" t="n">
        <x:v>3373.0476</x:v>
      </x:c>
      <x:c r="D19" s="12" t="n">
        <x:v>-0.2539</x:v>
      </x:c>
      <x:c r="E19" s="12" t="n">
        <x:v>-0.0025417330025779114</x:v>
      </x:c>
      <x:c r="F19" s="12" t="n">
        <x:v>5.2</x:v>
      </x:c>
      <x:c r="G19" s="12" t="n">
        <x:v>520</x:v>
      </x:c>
      <x:c r="H19" s="12" t="n">
        <x:v>1</x:v>
      </x:c>
      <x:c r="I19" s="12" t="str">
        <x:v>TuShare index_daily</x:v>
      </x:c>
      <x:c r="J19" s="12" t="str">
        <x:v>Archived FRED mirror (Hugging Face)</x:v>
      </x:c>
    </x:row>
    <x:row r="20" ht="18" customHeight="1">
      <x:c r="A20" s="13" t="n">
        <x:v>42601</x:v>
      </x:c>
      <x:c r="B20" s="12" t="n">
        <x:v>3365.0197</x:v>
      </x:c>
      <x:c r="C20" s="12" t="n">
        <x:v>3364.4851</x:v>
      </x:c>
      <x:c r="D20" s="12" t="n">
        <x:v>0.0159</x:v>
      </x:c>
      <x:c r="E20" s="12" t="n">
        <x:v>0.00015888241914154328</x:v>
      </x:c>
      <x:c r="F20" s="12" t="n">
        <x:v>5.15</x:v>
      </x:c>
      <x:c r="G20" s="12" t="n">
        <x:v>515</x:v>
      </x:c>
      <x:c r="H20" s="12" t="n">
        <x:v>-5</x:v>
      </x:c>
      <x:c r="I20" s="12" t="str">
        <x:v>TuShare index_daily</x:v>
      </x:c>
      <x:c r="J20" s="12" t="str">
        <x:v>Archived FRED mirror (Hugging Face)</x:v>
      </x:c>
    </x:row>
    <x:row r="21" ht="18" customHeight="1">
      <x:c r="A21" s="13" t="n">
        <x:v>42604</x:v>
      </x:c>
      <x:c r="B21" s="12" t="n">
        <x:v>3336.7949</x:v>
      </x:c>
      <x:c r="C21" s="12" t="n">
        <x:v>3365.0197</x:v>
      </x:c>
      <x:c r="D21" s="12" t="n">
        <x:v>-0.8388</x:v>
      </x:c>
      <x:c r="E21" s="12" t="n">
        <x:v>-0.008423081973935091</x:v>
      </x:c>
      <x:c r="F21" s="12" t="n">
        <x:v>5.18</x:v>
      </x:c>
      <x:c r="G21" s="12" t="n">
        <x:v>518</x:v>
      </x:c>
      <x:c r="H21" s="12" t="n">
        <x:v>3</x:v>
      </x:c>
      <x:c r="I21" s="12" t="str">
        <x:v>TuShare index_daily</x:v>
      </x:c>
      <x:c r="J21" s="12" t="str">
        <x:v>Archived FRED mirror (Hugging Face)</x:v>
      </x:c>
    </x:row>
    <x:row r="22" ht="18" customHeight="1">
      <x:c r="A22" s="13" t="n">
        <x:v>42605</x:v>
      </x:c>
      <x:c r="B22" s="12" t="n">
        <x:v>3341.8298</x:v>
      </x:c>
      <x:c r="C22" s="12" t="n">
        <x:v>3336.7949</x:v>
      </x:c>
      <x:c r="D22" s="12" t="n">
        <x:v>0.1509</x:v>
      </x:c>
      <x:c r="E22" s="12" t="n">
        <x:v>0.001507765799100466</x:v>
      </x:c>
      <x:c r="F22" s="12" t="n">
        <x:v>5.14</x:v>
      </x:c>
      <x:c r="G22" s="12" t="n">
        <x:v>514</x:v>
      </x:c>
      <x:c r="H22" s="12" t="n">
        <x:v>-4</x:v>
      </x:c>
      <x:c r="I22" s="12" t="str">
        <x:v>TuShare index_daily</x:v>
      </x:c>
      <x:c r="J22" s="12" t="str">
        <x:v>Archived FRED mirror (Hugging Face)</x:v>
      </x:c>
    </x:row>
    <x:row r="23" ht="18" customHeight="1">
      <x:c r="A23" s="13" t="n">
        <x:v>42606</x:v>
      </x:c>
      <x:c r="B23" s="12" t="n">
        <x:v>3329.8631</x:v>
      </x:c>
      <x:c r="C23" s="12" t="n">
        <x:v>3341.8298</x:v>
      </x:c>
      <x:c r="D23" s="12" t="n">
        <x:v>-0.3581</x:v>
      </x:c>
      <x:c r="E23" s="12" t="n">
        <x:v>-0.0035873092519213734</x:v>
      </x:c>
      <x:c r="F23" s="12" t="n">
        <x:v>5.13</x:v>
      </x:c>
      <x:c r="G23" s="12" t="n">
        <x:v>513</x:v>
      </x:c>
      <x:c r="H23" s="12" t="n">
        <x:v>-1</x:v>
      </x:c>
      <x:c r="I23" s="12" t="str">
        <x:v>TuShare index_daily</x:v>
      </x:c>
      <x:c r="J23" s="12" t="str">
        <x:v>Archived FRED mirror (Hugging Face)</x:v>
      </x:c>
    </x:row>
    <x:row r="24" ht="18" customHeight="1">
      <x:c r="A24" s="13" t="n">
        <x:v>42607</x:v>
      </x:c>
      <x:c r="B24" s="12" t="n">
        <x:v>3308.9721</x:v>
      </x:c>
      <x:c r="C24" s="12" t="n">
        <x:v>3329.8631</x:v>
      </x:c>
      <x:c r="D24" s="12" t="n">
        <x:v>-0.6274</x:v>
      </x:c>
      <x:c r="E24" s="12" t="n">
        <x:v>-0.006293594682544413</x:v>
      </x:c>
      <x:c r="F24" s="12" t="n">
        <x:v>5.14</x:v>
      </x:c>
      <x:c r="G24" s="12" t="n">
        <x:v>514</x:v>
      </x:c>
      <x:c r="H24" s="12" t="n">
        <x:v>1</x:v>
      </x:c>
      <x:c r="I24" s="12" t="str">
        <x:v>TuShare index_daily</x:v>
      </x:c>
      <x:c r="J24" s="12" t="str">
        <x:v>Archived FRED mirror (Hugging Face)</x:v>
      </x:c>
    </x:row>
    <x:row r="25" ht="18" customHeight="1">
      <x:c r="A25" s="13" t="n">
        <x:v>42608</x:v>
      </x:c>
      <x:c r="B25" s="12" t="n">
        <x:v>3307.0902</x:v>
      </x:c>
      <x:c r="C25" s="12" t="n">
        <x:v>3308.9721</x:v>
      </x:c>
      <x:c r="D25" s="12" t="n">
        <x:v>-0.0569</x:v>
      </x:c>
      <x:c r="E25" s="12" t="n">
        <x:v>-0.0005688882496628478</x:v>
      </x:c>
      <x:c r="F25" s="12" t="n">
        <x:v>5.04</x:v>
      </x:c>
      <x:c r="G25" s="12" t="n">
        <x:v>504</x:v>
      </x:c>
      <x:c r="H25" s="12" t="n">
        <x:v>-10</x:v>
      </x:c>
      <x:c r="I25" s="12" t="str">
        <x:v>TuShare index_daily</x:v>
      </x:c>
      <x:c r="J25" s="12" t="str">
        <x:v>Archived FRED mirror (Hugging Face)</x:v>
      </x:c>
    </x:row>
    <x:row r="26" ht="18" customHeight="1">
      <x:c r="A26" s="13" t="n">
        <x:v>42611</x:v>
      </x:c>
      <x:c r="B26" s="12" t="n">
        <x:v>3307.7812</x:v>
      </x:c>
      <x:c r="C26" s="12" t="n">
        <x:v>3307.0902</x:v>
      </x:c>
      <x:c r="D26" s="12" t="n">
        <x:v>0.0209</x:v>
      </x:c>
      <x:c r="E26" s="12" t="n">
        <x:v>0.00020892318557031632</x:v>
      </x:c>
      <x:c r="F26" s="12" t="n">
        <x:v>5.1</x:v>
      </x:c>
      <x:c r="G26" s="12" t="n">
        <x:v>509.99999999999994</x:v>
      </x:c>
      <x:c r="H26" s="12" t="n">
        <x:v>5.999999999999943</x:v>
      </x:c>
      <x:c r="I26" s="12" t="str">
        <x:v>TuShare index_daily</x:v>
      </x:c>
      <x:c r="J26" s="12" t="str">
        <x:v>Archived FRED mirror (Hugging Face)</x:v>
      </x:c>
    </x:row>
    <x:row r="27" ht="18" customHeight="1">
      <x:c r="A27" s="13" t="n">
        <x:v>42612</x:v>
      </x:c>
      <x:c r="B27" s="12" t="n">
        <x:v>3311.9872</x:v>
      </x:c>
      <x:c r="C27" s="12" t="n">
        <x:v>3307.7812</x:v>
      </x:c>
      <x:c r="D27" s="12" t="n">
        <x:v>0.1272</x:v>
      </x:c>
      <x:c r="E27" s="12" t="n">
        <x:v>0.0012707394917260413</x:v>
      </x:c>
      <x:c r="F27" s="12" t="n">
        <x:v>5.07</x:v>
      </x:c>
      <x:c r="G27" s="12" t="n">
        <x:v>507</x:v>
      </x:c>
      <x:c r="H27" s="12" t="n">
        <x:v>-2.999999999999943</x:v>
      </x:c>
      <x:c r="I27" s="12" t="str">
        <x:v>TuShare index_daily</x:v>
      </x:c>
      <x:c r="J27" s="12" t="str">
        <x:v>Archived FRED mirror (Hugging Face)</x:v>
      </x:c>
    </x:row>
    <x:row r="28" ht="18" customHeight="1">
      <x:c r="A28" s="13" t="n">
        <x:v>42613</x:v>
      </x:c>
      <x:c r="B28" s="12" t="n">
        <x:v>3327.7938</x:v>
      </x:c>
      <x:c r="C28" s="12" t="n">
        <x:v>3311.9872</x:v>
      </x:c>
      <x:c r="D28" s="12" t="n">
        <x:v>0.4773</x:v>
      </x:c>
      <x:c r="E28" s="12" t="n">
        <x:v>0.004761190123554675</x:v>
      </x:c>
      <x:c r="F28" s="12" t="n">
        <x:v>5.1</x:v>
      </x:c>
      <x:c r="G28" s="12" t="n">
        <x:v>509.99999999999994</x:v>
      </x:c>
      <x:c r="H28" s="12" t="n">
        <x:v>2.999999999999943</x:v>
      </x:c>
      <x:c r="I28" s="12" t="str">
        <x:v>TuShare index_daily</x:v>
      </x:c>
      <x:c r="J28" s="12" t="str">
        <x:v>Archived FRED mirror (Hugging Face)</x:v>
      </x:c>
    </x:row>
    <x:row r="29" ht="18" customHeight="1">
      <x:c r="A29" s="13" t="n">
        <x:v>42614</x:v>
      </x:c>
      <x:c r="B29" s="12" t="n">
        <x:v>3301.5767</x:v>
      </x:c>
      <x:c r="C29" s="12" t="n">
        <x:v>3327.7938</x:v>
      </x:c>
      <x:c r="D29" s="12" t="n">
        <x:v>-0.7878</x:v>
      </x:c>
      <x:c r="E29" s="12" t="n">
        <x:v>-0.007909419657862729</x:v>
      </x:c>
      <x:c r="F29" s="12" t="n">
        <x:v>5.12</x:v>
      </x:c>
      <x:c r="G29" s="12" t="n">
        <x:v>512</x:v>
      </x:c>
      <x:c r="H29" s="12" t="n">
        <x:v>2.000000000000057</x:v>
      </x:c>
      <x:c r="I29" s="12" t="str">
        <x:v>TuShare index_daily</x:v>
      </x:c>
      <x:c r="J29" s="12" t="str">
        <x:v>Archived FRED mirror (Hugging Face)</x:v>
      </x:c>
    </x:row>
    <x:row r="30" ht="18" customHeight="1">
      <x:c r="A30" s="13" t="n">
        <x:v>42615</x:v>
      </x:c>
      <x:c r="B30" s="12" t="n">
        <x:v>3314.1142</x:v>
      </x:c>
      <x:c r="C30" s="12" t="n">
        <x:v>3301.5767</x:v>
      </x:c>
      <x:c r="D30" s="12" t="n">
        <x:v>0.3797</x:v>
      </x:c>
      <x:c r="E30" s="12" t="n">
        <x:v>0.003790236030935871</x:v>
      </x:c>
      <x:c r="F30" s="12" t="n">
        <x:v>5.09</x:v>
      </x:c>
      <x:c r="G30" s="12" t="n">
        <x:v>509</x:v>
      </x:c>
      <x:c r="H30" s="12" t="n">
        <x:v>-3</x:v>
      </x:c>
      <x:c r="I30" s="12" t="str">
        <x:v>TuShare index_daily</x:v>
      </x:c>
      <x:c r="J30" s="12" t="str">
        <x:v>Archived FRED mirror (Hugging Face)</x:v>
      </x:c>
    </x:row>
    <x:row r="31" ht="18" customHeight="1">
      <x:c r="A31" s="13" t="n">
        <x:v>42618</x:v>
      </x:c>
      <x:c r="B31" s="12" t="n">
        <x:v>3319.6803</x:v>
      </x:c>
      <x:c r="C31" s="12" t="n">
        <x:v>3314.1142</x:v>
      </x:c>
      <x:c r="D31" s="12" t="n">
        <x:v>0.168</x:v>
      </x:c>
      <x:c r="E31" s="12" t="n">
        <x:v>0.0016781048331221168</x:v>
      </x:c>
      <x:c r="F31" s="12" t="n">
        <x:v>5.09</x:v>
      </x:c>
      <x:c r="G31" s="12" t="n">
        <x:v>509</x:v>
      </x:c>
      <x:c r="H31" s="12" t="n">
        <x:v>0</x:v>
      </x:c>
      <x:c r="I31" s="12" t="str">
        <x:v>TuShare index_daily</x:v>
      </x:c>
      <x:c r="J31" s="12" t="str">
        <x:v>Archived FRED mirror (Hugging Face)</x:v>
      </x:c>
    </x:row>
    <x:row r="32" ht="18" customHeight="1">
      <x:c r="A32" s="13" t="n">
        <x:v>42619</x:v>
      </x:c>
      <x:c r="B32" s="12" t="n">
        <x:v>3342.6259</x:v>
      </x:c>
      <x:c r="C32" s="12" t="n">
        <x:v>3319.6803</x:v>
      </x:c>
      <x:c r="D32" s="12" t="n">
        <x:v>0.6912</x:v>
      </x:c>
      <x:c r="E32" s="12" t="n">
        <x:v>0.006888212590956062</x:v>
      </x:c>
      <x:c r="F32" s="12" t="n">
        <x:v>5.09</x:v>
      </x:c>
      <x:c r="G32" s="12" t="n">
        <x:v>509</x:v>
      </x:c>
      <x:c r="H32" s="12" t="n">
        <x:v>0</x:v>
      </x:c>
      <x:c r="I32" s="12" t="str">
        <x:v>TuShare index_daily</x:v>
      </x:c>
      <x:c r="J32" s="12" t="str">
        <x:v>Archived FRED mirror (Hugging Face)</x:v>
      </x:c>
    </x:row>
    <x:row r="33" ht="18" customHeight="1">
      <x:c r="A33" s="13" t="n">
        <x:v>42620</x:v>
      </x:c>
      <x:c r="B33" s="12" t="n">
        <x:v>3340.8172</x:v>
      </x:c>
      <x:c r="C33" s="12" t="n">
        <x:v>3342.6259</x:v>
      </x:c>
      <x:c r="D33" s="12" t="n">
        <x:v>-0.0541</x:v>
      </x:c>
      <x:c r="E33" s="12" t="n">
        <x:v>-0.0005412479816442902</x:v>
      </x:c>
      <x:c r="F33" s="12" t="n">
        <x:v>5.07</x:v>
      </x:c>
      <x:c r="G33" s="12" t="n">
        <x:v>507</x:v>
      </x:c>
      <x:c r="H33" s="12" t="n">
        <x:v>-2</x:v>
      </x:c>
      <x:c r="I33" s="12" t="str">
        <x:v>TuShare index_daily</x:v>
      </x:c>
      <x:c r="J33" s="12" t="str">
        <x:v>Archived FRED mirror (Hugging Face)</x:v>
      </x:c>
    </x:row>
    <x:row r="34" ht="18" customHeight="1">
      <x:c r="A34" s="13" t="n">
        <x:v>42621</x:v>
      </x:c>
      <x:c r="B34" s="12" t="n">
        <x:v>3339.564</x:v>
      </x:c>
      <x:c r="C34" s="12" t="n">
        <x:v>3340.8172</x:v>
      </x:c>
      <x:c r="D34" s="12" t="n">
        <x:v>-0.0375</x:v>
      </x:c>
      <x:c r="E34" s="12" t="n">
        <x:v>-0.0003751881748008009</x:v>
      </x:c>
      <x:c r="F34" s="12" t="n">
        <x:v>4.99</x:v>
      </x:c>
      <x:c r="G34" s="12" t="n">
        <x:v>499</x:v>
      </x:c>
      <x:c r="H34" s="12" t="n">
        <x:v>-8</x:v>
      </x:c>
      <x:c r="I34" s="12" t="str">
        <x:v>TuShare index_daily</x:v>
      </x:c>
      <x:c r="J34" s="12" t="str">
        <x:v>Archived FRED mirror (Hugging Face)</x:v>
      </x:c>
    </x:row>
    <x:row r="35" ht="18" customHeight="1">
      <x:c r="A35" s="13" t="n">
        <x:v>42622</x:v>
      </x:c>
      <x:c r="B35" s="12" t="n">
        <x:v>3318.044</x:v>
      </x:c>
      <x:c r="C35" s="12" t="n">
        <x:v>3339.564</x:v>
      </x:c>
      <x:c r="D35" s="12" t="n">
        <x:v>-0.6444</x:v>
      </x:c>
      <x:c r="E35" s="12" t="n">
        <x:v>-0.006464806864577446</x:v>
      </x:c>
      <x:c r="F35" s="12" t="n">
        <x:v>5.1</x:v>
      </x:c>
      <x:c r="G35" s="12" t="n">
        <x:v>509.99999999999994</x:v>
      </x:c>
      <x:c r="H35" s="12" t="n">
        <x:v>10.999999999999943</x:v>
      </x:c>
      <x:c r="I35" s="12" t="str">
        <x:v>TuShare index_daily</x:v>
      </x:c>
      <x:c r="J35" s="12" t="str">
        <x:v>Archived FRED mirror (Hugging Face)</x:v>
      </x:c>
    </x:row>
    <x:row r="36" ht="18" customHeight="1">
      <x:c r="A36" s="13" t="n">
        <x:v>42625</x:v>
      </x:c>
      <x:c r="B36" s="12" t="n">
        <x:v>3262.6043</x:v>
      </x:c>
      <x:c r="C36" s="12" t="n">
        <x:v>3318.044</x:v>
      </x:c>
      <x:c r="D36" s="12" t="n">
        <x:v>-1.6709</x:v>
      </x:c>
      <x:c r="E36" s="12" t="n">
        <x:v>-0.016849711194467095</x:v>
      </x:c>
      <x:c r="F36" s="12" t="n">
        <x:v>5.18</x:v>
      </x:c>
      <x:c r="G36" s="12" t="n">
        <x:v>518</x:v>
      </x:c>
      <x:c r="H36" s="12" t="n">
        <x:v>8.000000000000057</x:v>
      </x:c>
      <x:c r="I36" s="12" t="str">
        <x:v>TuShare index_daily</x:v>
      </x:c>
      <x:c r="J36" s="12" t="str">
        <x:v>Archived FRED mirror (Hugging Face)</x:v>
      </x:c>
    </x:row>
    <x:row r="37" ht="18" customHeight="1">
      <x:c r="A37" s="13" t="n">
        <x:v>42626</x:v>
      </x:c>
      <x:c r="B37" s="12" t="n">
        <x:v>3260.333</x:v>
      </x:c>
      <x:c r="C37" s="12" t="n">
        <x:v>3262.6043</x:v>
      </x:c>
      <x:c r="D37" s="12" t="n">
        <x:v>-0.0696</x:v>
      </x:c>
      <x:c r="E37" s="12" t="n">
        <x:v>-0.0006964040852559073</x:v>
      </x:c>
      <x:c r="F37" s="12" t="n">
        <x:v>5.24</x:v>
      </x:c>
      <x:c r="G37" s="12" t="n">
        <x:v>524</x:v>
      </x:c>
      <x:c r="H37" s="12" t="n">
        <x:v>6</x:v>
      </x:c>
      <x:c r="I37" s="12" t="str">
        <x:v>TuShare index_daily</x:v>
      </x:c>
      <x:c r="J37" s="12" t="str">
        <x:v>Archived FRED mirror (Hugging Face)</x:v>
      </x:c>
    </x:row>
    <x:row r="38" ht="18" customHeight="1">
      <x:c r="A38" s="13" t="n">
        <x:v>42627</x:v>
      </x:c>
      <x:c r="B38" s="12" t="n">
        <x:v>3238.7299</x:v>
      </x:c>
      <x:c r="C38" s="12" t="n">
        <x:v>3260.333</x:v>
      </x:c>
      <x:c r="D38" s="12" t="n">
        <x:v>-0.6626</x:v>
      </x:c>
      <x:c r="E38" s="12" t="n">
        <x:v>-0.006648090624313015</x:v>
      </x:c>
      <x:c r="F38" s="12" t="n">
        <x:v>5.26</x:v>
      </x:c>
      <x:c r="G38" s="12" t="n">
        <x:v>526</x:v>
      </x:c>
      <x:c r="H38" s="12" t="n">
        <x:v>2</x:v>
      </x:c>
      <x:c r="I38" s="12" t="str">
        <x:v>TuShare index_daily</x:v>
      </x:c>
      <x:c r="J38" s="12" t="str">
        <x:v>Archived FRED mirror (Hugging Face)</x:v>
      </x:c>
    </x:row>
    <x:row r="39" ht="18" customHeight="1">
      <x:c r="A39" s="13" t="n">
        <x:v>42632</x:v>
      </x:c>
      <x:c r="B39" s="12" t="n">
        <x:v>3263.1242</x:v>
      </x:c>
      <x:c r="C39" s="12" t="n">
        <x:v>3238.7299</x:v>
      </x:c>
      <x:c r="D39" s="12" t="n">
        <x:v>0.7532</x:v>
      </x:c>
      <x:c r="E39" s="12" t="n">
        <x:v>0.007503833241994968</x:v>
      </x:c>
      <x:c r="F39" s="12" t="n">
        <x:v>5.25</x:v>
      </x:c>
      <x:c r="G39" s="12" t="n">
        <x:v>525</x:v>
      </x:c>
      <x:c r="H39" s="12" t="n">
        <x:v>-2</x:v>
      </x:c>
      <x:c r="I39" s="12" t="str">
        <x:v>TuShare index_daily</x:v>
      </x:c>
      <x:c r="J39" s="12" t="str">
        <x:v>Archived FRED mirror (Hugging Face)</x:v>
      </x:c>
    </x:row>
    <x:row r="40" ht="18" customHeight="1">
      <x:c r="A40" s="13" t="n">
        <x:v>42633</x:v>
      </x:c>
      <x:c r="B40" s="12" t="n">
        <x:v>3257.4034</x:v>
      </x:c>
      <x:c r="C40" s="12" t="n">
        <x:v>3263.1242</x:v>
      </x:c>
      <x:c r="D40" s="12" t="n">
        <x:v>-0.1753</x:v>
      </x:c>
      <x:c r="E40" s="12" t="n">
        <x:v>-0.0017547050848636815</x:v>
      </x:c>
      <x:c r="F40" s="12" t="n">
        <x:v>5.24</x:v>
      </x:c>
      <x:c r="G40" s="12" t="n">
        <x:v>524</x:v>
      </x:c>
      <x:c r="H40" s="12" t="n">
        <x:v>-1</x:v>
      </x:c>
      <x:c r="I40" s="12" t="str">
        <x:v>TuShare index_daily</x:v>
      </x:c>
      <x:c r="J40" s="12" t="str">
        <x:v>Archived FRED mirror (Hugging Face)</x:v>
      </x:c>
    </x:row>
    <x:row r="41" ht="18" customHeight="1">
      <x:c r="A41" s="13" t="n">
        <x:v>42634</x:v>
      </x:c>
      <x:c r="B41" s="12" t="n">
        <x:v>3266.6363</x:v>
      </x:c>
      <x:c r="C41" s="12" t="n">
        <x:v>3257.4034</x:v>
      </x:c>
      <x:c r="D41" s="12" t="n">
        <x:v>0.2834</x:v>
      </x:c>
      <x:c r="E41" s="12" t="n">
        <x:v>0.0028304261128174898</x:v>
      </x:c>
      <x:c r="F41" s="12" t="n">
        <x:v>5.22</x:v>
      </x:c>
      <x:c r="G41" s="12" t="n">
        <x:v>522</x:v>
      </x:c>
      <x:c r="H41" s="12" t="n">
        <x:v>-2</x:v>
      </x:c>
      <x:c r="I41" s="12" t="str">
        <x:v>TuShare index_daily</x:v>
      </x:c>
      <x:c r="J41" s="12" t="str">
        <x:v>Archived FRED mirror (Hugging Face)</x:v>
      </x:c>
    </x:row>
    <x:row r="42" ht="18" customHeight="1">
      <x:c r="A42" s="13" t="n">
        <x:v>42635</x:v>
      </x:c>
      <x:c r="B42" s="12" t="n">
        <x:v>3291.1211</x:v>
      </x:c>
      <x:c r="C42" s="12" t="n">
        <x:v>3266.6363</x:v>
      </x:c>
      <x:c r="D42" s="12" t="n">
        <x:v>0.7495</x:v>
      </x:c>
      <x:c r="E42" s="12" t="n">
        <x:v>0.007467465563396537</x:v>
      </x:c>
      <x:c r="F42" s="12" t="n">
        <x:v>5.09</x:v>
      </x:c>
      <x:c r="G42" s="12" t="n">
        <x:v>509</x:v>
      </x:c>
      <x:c r="H42" s="12" t="n">
        <x:v>-13</x:v>
      </x:c>
      <x:c r="I42" s="12" t="str">
        <x:v>TuShare index_daily</x:v>
      </x:c>
      <x:c r="J42" s="12" t="str">
        <x:v>Archived FRED mirror (Hugging Face)</x:v>
      </x:c>
    </x:row>
    <x:row r="43" ht="18" customHeight="1">
      <x:c r="A43" s="13" t="n">
        <x:v>42636</x:v>
      </x:c>
      <x:c r="B43" s="12" t="n">
        <x:v>3275.6665</x:v>
      </x:c>
      <x:c r="C43" s="12" t="n">
        <x:v>3291.1211</x:v>
      </x:c>
      <x:c r="D43" s="12" t="n">
        <x:v>-0.4696</x:v>
      </x:c>
      <x:c r="E43" s="12" t="n">
        <x:v>-0.004706906778287755</x:v>
      </x:c>
      <x:c r="F43" s="12" t="n">
        <x:v>5.1</x:v>
      </x:c>
      <x:c r="G43" s="12" t="n">
        <x:v>509.99999999999994</x:v>
      </x:c>
      <x:c r="H43" s="12" t="n">
        <x:v>0.9999999999999432</x:v>
      </x:c>
      <x:c r="I43" s="12" t="str">
        <x:v>TuShare index_daily</x:v>
      </x:c>
      <x:c r="J43" s="12" t="str">
        <x:v>Archived FRED mirror (Hugging Face)</x:v>
      </x:c>
    </x:row>
    <x:row r="44" ht="18" customHeight="1">
      <x:c r="A44" s="13" t="n">
        <x:v>42639</x:v>
      </x:c>
      <x:c r="B44" s="12" t="n">
        <x:v>3220.2838</x:v>
      </x:c>
      <x:c r="C44" s="12" t="n">
        <x:v>3275.6665</x:v>
      </x:c>
      <x:c r="D44" s="12" t="n">
        <x:v>-1.6907</x:v>
      </x:c>
      <x:c r="E44" s="12" t="n">
        <x:v>-0.017051867513477082</x:v>
      </x:c>
      <x:c r="F44" s="12" t="n">
        <x:v>5.16</x:v>
      </x:c>
      <x:c r="G44" s="12" t="n">
        <x:v>516</x:v>
      </x:c>
      <x:c r="H44" s="12" t="n">
        <x:v>6.000000000000057</x:v>
      </x:c>
      <x:c r="I44" s="12" t="str">
        <x:v>TuShare index_daily</x:v>
      </x:c>
      <x:c r="J44" s="12" t="str">
        <x:v>Archived FRED mirror (Hugging Face)</x:v>
      </x:c>
    </x:row>
    <x:row r="45" ht="18" customHeight="1">
      <x:c r="A45" s="13" t="n">
        <x:v>42640</x:v>
      </x:c>
      <x:c r="B45" s="12" t="n">
        <x:v>3240.7546</x:v>
      </x:c>
      <x:c r="C45" s="12" t="n">
        <x:v>3220.2838</x:v>
      </x:c>
      <x:c r="D45" s="12" t="n">
        <x:v>0.6357</x:v>
      </x:c>
      <x:c r="E45" s="12" t="n">
        <x:v>0.00633671160304996</x:v>
      </x:c>
      <x:c r="F45" s="12" t="n">
        <x:v>5.18</x:v>
      </x:c>
      <x:c r="G45" s="12" t="n">
        <x:v>518</x:v>
      </x:c>
      <x:c r="H45" s="12" t="n">
        <x:v>2</x:v>
      </x:c>
      <x:c r="I45" s="12" t="str">
        <x:v>TuShare index_daily</x:v>
      </x:c>
      <x:c r="J45" s="12" t="str">
        <x:v>Archived FRED mirror (Hugging Face)</x:v>
      </x:c>
    </x:row>
    <x:row r="46" ht="18" customHeight="1">
      <x:c r="A46" s="13" t="n">
        <x:v>42641</x:v>
      </x:c>
      <x:c r="B46" s="12" t="n">
        <x:v>3230.8904</x:v>
      </x:c>
      <x:c r="C46" s="12" t="n">
        <x:v>3240.7546</x:v>
      </x:c>
      <x:c r="D46" s="12" t="n">
        <x:v>-0.3044</x:v>
      </x:c>
      <x:c r="E46" s="12" t="n">
        <x:v>-0.0030484390410734077</x:v>
      </x:c>
      <x:c r="F46" s="12" t="n">
        <x:v>5.14</x:v>
      </x:c>
      <x:c r="G46" s="12" t="n">
        <x:v>514</x:v>
      </x:c>
      <x:c r="H46" s="12" t="n">
        <x:v>-4</x:v>
      </x:c>
      <x:c r="I46" s="12" t="str">
        <x:v>TuShare index_daily</x:v>
      </x:c>
      <x:c r="J46" s="12" t="str">
        <x:v>Archived FRED mirror (Hugging Face)</x:v>
      </x:c>
    </x:row>
    <x:row r="47" ht="18" customHeight="1">
      <x:c r="A47" s="13" t="n">
        <x:v>42642</x:v>
      </x:c>
      <x:c r="B47" s="12" t="n">
        <x:v>3244.3874</x:v>
      </x:c>
      <x:c r="C47" s="12" t="n">
        <x:v>3230.8904</x:v>
      </x:c>
      <x:c r="D47" s="12" t="n">
        <x:v>0.4177</x:v>
      </x:c>
      <x:c r="E47" s="12" t="n">
        <x:v>0.004168784711216974</x:v>
      </x:c>
      <x:c r="F47" s="12" t="n">
        <x:v>5.09</x:v>
      </x:c>
      <x:c r="G47" s="12" t="n">
        <x:v>509</x:v>
      </x:c>
      <x:c r="H47" s="12" t="n">
        <x:v>-5</x:v>
      </x:c>
      <x:c r="I47" s="12" t="str">
        <x:v>TuShare index_daily</x:v>
      </x:c>
      <x:c r="J47" s="12" t="str">
        <x:v>Archived FRED mirror (Hugging Face)</x:v>
      </x:c>
    </x:row>
    <x:row r="48" ht="18" customHeight="1">
      <x:c r="A48" s="13" t="n">
        <x:v>42643</x:v>
      </x:c>
      <x:c r="B48" s="12" t="n">
        <x:v>3253.2848</x:v>
      </x:c>
      <x:c r="C48" s="12" t="n">
        <x:v>3244.3874</x:v>
      </x:c>
      <x:c r="D48" s="12" t="n">
        <x:v>0.2742</x:v>
      </x:c>
      <x:c r="E48" s="12" t="n">
        <x:v>0.00273864402116231</x:v>
      </x:c>
      <x:c r="F48" s="12" t="n">
        <x:v>4.97</x:v>
      </x:c>
      <x:c r="G48" s="12" t="n">
        <x:v>497</x:v>
      </x:c>
      <x:c r="H48" s="12" t="n">
        <x:v>-12</x:v>
      </x:c>
      <x:c r="I48" s="12" t="str">
        <x:v>TuShare index_daily</x:v>
      </x:c>
      <x:c r="J48" s="12" t="str">
        <x:v>Archived FRED mirror (Hugging Face)</x:v>
      </x:c>
    </x:row>
    <x:row r="49" ht="18" customHeight="1">
      <x:c r="A49" s="13" t="n">
        <x:v>42653</x:v>
      </x:c>
      <x:c r="B49" s="12" t="n">
        <x:v>3293.8689</x:v>
      </x:c>
      <x:c r="C49" s="12" t="n">
        <x:v>3253.2848</x:v>
      </x:c>
      <x:c r="D49" s="12" t="n">
        <x:v>1.2475</x:v>
      </x:c>
      <x:c r="E49" s="12" t="n">
        <x:v>0.012397637714891285</x:v>
      </x:c>
      <x:c r="F49" s="12" t="n">
        <x:v>4.76</x:v>
      </x:c>
      <x:c r="G49" s="12" t="n">
        <x:v>476</x:v>
      </x:c>
      <x:c r="H49" s="12" t="n">
        <x:v>0</x:v>
      </x:c>
      <x:c r="I49" s="12" t="str">
        <x:v>TuShare index_daily</x:v>
      </x:c>
      <x:c r="J49" s="12" t="str">
        <x:v>Archived FRED mirror (Hugging Face)</x:v>
      </x:c>
    </x:row>
    <x:row r="50" ht="18" customHeight="1">
      <x:c r="A50" s="13" t="n">
        <x:v>42654</x:v>
      </x:c>
      <x:c r="B50" s="12" t="n">
        <x:v>3306.5573</x:v>
      </x:c>
      <x:c r="C50" s="12" t="n">
        <x:v>3293.8689</x:v>
      </x:c>
      <x:c r="D50" s="12" t="n">
        <x:v>0.3852</x:v>
      </x:c>
      <x:c r="E50" s="12" t="n">
        <x:v>0.003844726157200156</x:v>
      </x:c>
      <x:c r="F50" s="12" t="n">
        <x:v>4.75</x:v>
      </x:c>
      <x:c r="G50" s="12" t="n">
        <x:v>475</x:v>
      </x:c>
      <x:c r="H50" s="12" t="n">
        <x:v>-1</x:v>
      </x:c>
      <x:c r="I50" s="12" t="str">
        <x:v>TuShare index_daily</x:v>
      </x:c>
      <x:c r="J50" s="12" t="str">
        <x:v>Archived FRED mirror (Hugging Face)</x:v>
      </x:c>
    </x:row>
    <x:row r="51" ht="18" customHeight="1">
      <x:c r="A51" s="13" t="n">
        <x:v>42655</x:v>
      </x:c>
      <x:c r="B51" s="12" t="n">
        <x:v>3300.0099</x:v>
      </x:c>
      <x:c r="C51" s="12" t="n">
        <x:v>3306.5573</x:v>
      </x:c>
      <x:c r="D51" s="12" t="n">
        <x:v>-0.198</x:v>
      </x:c>
      <x:c r="E51" s="12" t="n">
        <x:v>-0.0019820890169864208</x:v>
      </x:c>
      <x:c r="F51" s="12" t="n">
        <x:v>4.75</x:v>
      </x:c>
      <x:c r="G51" s="12" t="n">
        <x:v>475</x:v>
      </x:c>
      <x:c r="H51" s="12" t="n">
        <x:v>0</x:v>
      </x:c>
      <x:c r="I51" s="12" t="str">
        <x:v>TuShare index_daily</x:v>
      </x:c>
      <x:c r="J51" s="12" t="str">
        <x:v>Archived FRED mirror (Hugging Face)</x:v>
      </x:c>
    </x:row>
    <x:row r="52" ht="18" customHeight="1">
      <x:c r="A52" s="13" t="n">
        <x:v>42656</x:v>
      </x:c>
      <x:c r="B52" s="12" t="n">
        <x:v>3302.6455</x:v>
      </x:c>
      <x:c r="C52" s="12" t="n">
        <x:v>3300.0099</x:v>
      </x:c>
      <x:c r="D52" s="12" t="n">
        <x:v>0.0799</x:v>
      </x:c>
      <x:c r="E52" s="12" t="n">
        <x:v>0.0007983455080768248</x:v>
      </x:c>
      <x:c r="F52" s="12" t="n">
        <x:v>4.82</x:v>
      </x:c>
      <x:c r="G52" s="12" t="n">
        <x:v>482</x:v>
      </x:c>
      <x:c r="H52" s="12" t="n">
        <x:v>7</x:v>
      </x:c>
      <x:c r="I52" s="12" t="str">
        <x:v>TuShare index_daily</x:v>
      </x:c>
      <x:c r="J52" s="12" t="str">
        <x:v>Archived FRED mirror (Hugging Face)</x:v>
      </x:c>
    </x:row>
    <x:row r="53" ht="18" customHeight="1">
      <x:c r="A53" s="13" t="n">
        <x:v>42657</x:v>
      </x:c>
      <x:c r="B53" s="12" t="n">
        <x:v>3305.8481</x:v>
      </x:c>
      <x:c r="C53" s="12" t="n">
        <x:v>3302.6455</x:v>
      </x:c>
      <x:c r="D53" s="12" t="n">
        <x:v>0.097</x:v>
      </x:c>
      <x:c r="E53" s="12" t="n">
        <x:v>0.0009692376037757813</x:v>
      </x:c>
      <x:c r="F53" s="12" t="n">
        <x:v>4.72</x:v>
      </x:c>
      <x:c r="G53" s="12" t="n">
        <x:v>472</x:v>
      </x:c>
      <x:c r="H53" s="12" t="n">
        <x:v>-10</x:v>
      </x:c>
      <x:c r="I53" s="12" t="str">
        <x:v>TuShare index_daily</x:v>
      </x:c>
      <x:c r="J53" s="12" t="str">
        <x:v>Archived FRED mirror (Hugging Face)</x:v>
      </x:c>
    </x:row>
    <x:row r="54" ht="18" customHeight="1">
      <x:c r="A54" s="13" t="n">
        <x:v>42660</x:v>
      </x:c>
      <x:c r="B54" s="12" t="n">
        <x:v>3277.8787</x:v>
      </x:c>
      <x:c r="C54" s="12" t="n">
        <x:v>3305.8481</x:v>
      </x:c>
      <x:c r="D54" s="12" t="n">
        <x:v>-0.8461</x:v>
      </x:c>
      <x:c r="E54" s="12" t="n">
        <x:v>-0.008496576213721017</x:v>
      </x:c>
      <x:c r="F54" s="12" t="n">
        <x:v>4.76</x:v>
      </x:c>
      <x:c r="G54" s="12" t="n">
        <x:v>476</x:v>
      </x:c>
      <x:c r="H54" s="12" t="n">
        <x:v>4</x:v>
      </x:c>
      <x:c r="I54" s="12" t="str">
        <x:v>TuShare index_daily</x:v>
      </x:c>
      <x:c r="J54" s="12" t="str">
        <x:v>Archived FRED mirror (Hugging Face)</x:v>
      </x:c>
    </x:row>
    <x:row r="55" ht="18" customHeight="1">
      <x:c r="A55" s="13" t="n">
        <x:v>42661</x:v>
      </x:c>
      <x:c r="B55" s="12" t="n">
        <x:v>3321.3324</x:v>
      </x:c>
      <x:c r="C55" s="12" t="n">
        <x:v>3277.8787</x:v>
      </x:c>
      <x:c r="D55" s="12" t="n">
        <x:v>1.3257</x:v>
      </x:c>
      <x:c r="E55" s="12" t="n">
        <x:v>0.013169552354076618</x:v>
      </x:c>
      <x:c r="F55" s="12" t="n">
        <x:v>4.72</x:v>
      </x:c>
      <x:c r="G55" s="12" t="n">
        <x:v>472</x:v>
      </x:c>
      <x:c r="H55" s="12" t="n">
        <x:v>-4</x:v>
      </x:c>
      <x:c r="I55" s="12" t="str">
        <x:v>TuShare index_daily</x:v>
      </x:c>
      <x:c r="J55" s="12" t="str">
        <x:v>Archived FRED mirror (Hugging Face)</x:v>
      </x:c>
    </x:row>
    <x:row r="56" ht="18" customHeight="1">
      <x:c r="A56" s="13" t="n">
        <x:v>42662</x:v>
      </x:c>
      <x:c r="B56" s="12" t="n">
        <x:v>3316.2407</x:v>
      </x:c>
      <x:c r="C56" s="12" t="n">
        <x:v>3321.3324</x:v>
      </x:c>
      <x:c r="D56" s="12" t="n">
        <x:v>-0.1533</x:v>
      </x:c>
      <x:c r="E56" s="12" t="n">
        <x:v>-0.0015342056266713757</x:v>
      </x:c>
      <x:c r="F56" s="12" t="n">
        <x:v>4.66</x:v>
      </x:c>
      <x:c r="G56" s="12" t="n">
        <x:v>466</x:v>
      </x:c>
      <x:c r="H56" s="12" t="n">
        <x:v>-6</x:v>
      </x:c>
      <x:c r="I56" s="12" t="str">
        <x:v>TuShare index_daily</x:v>
      </x:c>
      <x:c r="J56" s="12" t="str">
        <x:v>Archived FRED mirror (Hugging Face)</x:v>
      </x:c>
    </x:row>
    <x:row r="57" ht="18" customHeight="1">
      <x:c r="A57" s="13" t="n">
        <x:v>42663</x:v>
      </x:c>
      <x:c r="B57" s="12" t="n">
        <x:v>3318.6044</x:v>
      </x:c>
      <x:c r="C57" s="12" t="n">
        <x:v>3316.2407</x:v>
      </x:c>
      <x:c r="D57" s="12" t="n">
        <x:v>0.0713</x:v>
      </x:c>
      <x:c r="E57" s="12" t="n">
        <x:v>0.0007125110125025173</x:v>
      </x:c>
      <x:c r="F57" s="12" t="n">
        <x:v>4.62</x:v>
      </x:c>
      <x:c r="G57" s="12" t="n">
        <x:v>462</x:v>
      </x:c>
      <x:c r="H57" s="12" t="n">
        <x:v>-4</x:v>
      </x:c>
      <x:c r="I57" s="12" t="str">
        <x:v>TuShare index_daily</x:v>
      </x:c>
      <x:c r="J57" s="12" t="str">
        <x:v>Archived FRED mirror (Hugging Face)</x:v>
      </x:c>
    </x:row>
    <x:row r="58" ht="18" customHeight="1">
      <x:c r="A58" s="13" t="n">
        <x:v>42664</x:v>
      </x:c>
      <x:c r="B58" s="12" t="n">
        <x:v>3327.74</x:v>
      </x:c>
      <x:c r="C58" s="12" t="n">
        <x:v>3318.6044</x:v>
      </x:c>
      <x:c r="D58" s="12" t="n">
        <x:v>0.2753</x:v>
      </x:c>
      <x:c r="E58" s="12" t="n">
        <x:v>0.0027490618010714697</x:v>
      </x:c>
      <x:c r="F58" s="12" t="n">
        <x:v>4.62</x:v>
      </x:c>
      <x:c r="G58" s="12" t="n">
        <x:v>462</x:v>
      </x:c>
      <x:c r="H58" s="12" t="n">
        <x:v>0</x:v>
      </x:c>
      <x:c r="I58" s="12" t="str">
        <x:v>TuShare index_daily</x:v>
      </x:c>
      <x:c r="J58" s="12" t="str">
        <x:v>Archived FRED mirror (Hugging Face)</x:v>
      </x:c>
    </x:row>
    <x:row r="59" ht="18" customHeight="1">
      <x:c r="A59" s="13" t="n">
        <x:v>42667</x:v>
      </x:c>
      <x:c r="B59" s="12" t="n">
        <x:v>3367.5778</x:v>
      </x:c>
      <x:c r="C59" s="12" t="n">
        <x:v>3327.74</x:v>
      </x:c>
      <x:c r="D59" s="12" t="n">
        <x:v>1.1971</x:v>
      </x:c>
      <x:c r="E59" s="12" t="n">
        <x:v>0.01190033732074127</x:v>
      </x:c>
      <x:c r="F59" s="12" t="n">
        <x:v>4.6</x:v>
      </x:c>
      <x:c r="G59" s="12" t="n">
        <x:v>459.99999999999994</x:v>
      </x:c>
      <x:c r="H59" s="12" t="n">
        <x:v>-2.000000000000057</x:v>
      </x:c>
      <x:c r="I59" s="12" t="str">
        <x:v>TuShare index_daily</x:v>
      </x:c>
      <x:c r="J59" s="12" t="str">
        <x:v>Archived FRED mirror (Hugging Face)</x:v>
      </x:c>
    </x:row>
    <x:row r="60" ht="18" customHeight="1">
      <x:c r="A60" s="13" t="n">
        <x:v>42668</x:v>
      </x:c>
      <x:c r="B60" s="12" t="n">
        <x:v>3367.4547</x:v>
      </x:c>
      <x:c r="C60" s="12" t="n">
        <x:v>3367.5778</x:v>
      </x:c>
      <x:c r="D60" s="12" t="n">
        <x:v>-0.0037</x:v>
      </x:c>
      <x:c r="E60" s="12" t="n">
        <x:v>-0.00003655513169800312</x:v>
      </x:c>
      <x:c r="F60" s="12" t="n">
        <x:v>4.6</x:v>
      </x:c>
      <x:c r="G60" s="12" t="n">
        <x:v>459.99999999999994</x:v>
      </x:c>
      <x:c r="H60" s="12" t="n">
        <x:v>0</x:v>
      </x:c>
      <x:c r="I60" s="12" t="str">
        <x:v>TuShare index_daily</x:v>
      </x:c>
      <x:c r="J60" s="12" t="str">
        <x:v>Archived FRED mirror (Hugging Face)</x:v>
      </x:c>
    </x:row>
    <x:row r="61" ht="18" customHeight="1">
      <x:c r="A61" s="13" t="n">
        <x:v>42669</x:v>
      </x:c>
      <x:c r="B61" s="12" t="n">
        <x:v>3354.8003</x:v>
      </x:c>
      <x:c r="C61" s="12" t="n">
        <x:v>3367.4547</x:v>
      </x:c>
      <x:c r="D61" s="12" t="n">
        <x:v>-0.3758</x:v>
      </x:c>
      <x:c r="E61" s="12" t="n">
        <x:v>-0.0037649315438644418</x:v>
      </x:c>
      <x:c r="F61" s="12" t="n">
        <x:v>4.66</x:v>
      </x:c>
      <x:c r="G61" s="12" t="n">
        <x:v>466</x:v>
      </x:c>
      <x:c r="H61" s="12" t="n">
        <x:v>6.000000000000057</x:v>
      </x:c>
      <x:c r="I61" s="12" t="str">
        <x:v>TuShare index_daily</x:v>
      </x:c>
      <x:c r="J61" s="12" t="str">
        <x:v>Archived FRED mirror (Hugging Face)</x:v>
      </x:c>
    </x:row>
    <x:row r="62" ht="18" customHeight="1">
      <x:c r="A62" s="13" t="n">
        <x:v>42670</x:v>
      </x:c>
      <x:c r="B62" s="12" t="n">
        <x:v>3345.695</x:v>
      </x:c>
      <x:c r="C62" s="12" t="n">
        <x:v>3354.8003</x:v>
      </x:c>
      <x:c r="D62" s="12" t="n">
        <x:v>-0.2714</x:v>
      </x:c>
      <x:c r="E62" s="12" t="n">
        <x:v>-0.002717800758593384</x:v>
      </x:c>
      <x:c r="F62" s="12" t="n">
        <x:v>4.69</x:v>
      </x:c>
      <x:c r="G62" s="12" t="n">
        <x:v>469.00000000000006</x:v>
      </x:c>
      <x:c r="H62" s="12" t="n">
        <x:v>3.000000000000057</x:v>
      </x:c>
      <x:c r="I62" s="12" t="str">
        <x:v>TuShare index_daily</x:v>
      </x:c>
      <x:c r="J62" s="12" t="str">
        <x:v>Archived FRED mirror (Hugging Face)</x:v>
      </x:c>
    </x:row>
    <x:row r="63" ht="18" customHeight="1">
      <x:c r="A63" s="13" t="n">
        <x:v>42671</x:v>
      </x:c>
      <x:c r="B63" s="12" t="n">
        <x:v>3340.1262</x:v>
      </x:c>
      <x:c r="C63" s="12" t="n">
        <x:v>3345.695</x:v>
      </x:c>
      <x:c r="D63" s="12" t="n">
        <x:v>-0.1664</x:v>
      </x:c>
      <x:c r="E63" s="12" t="n">
        <x:v>-0.0016658540876975168</x:v>
      </x:c>
      <x:c r="F63" s="12" t="n">
        <x:v>4.76</x:v>
      </x:c>
      <x:c r="G63" s="12" t="n">
        <x:v>476</x:v>
      </x:c>
      <x:c r="H63" s="12" t="n">
        <x:v>6.999999999999943</x:v>
      </x:c>
      <x:c r="I63" s="12" t="str">
        <x:v>TuShare index_daily</x:v>
      </x:c>
      <x:c r="J63" s="12" t="str">
        <x:v>Archived FRED mirror (Hugging Face)</x:v>
      </x:c>
    </x:row>
    <x:row r="64" ht="18" customHeight="1">
      <x:c r="A64" s="13" t="n">
        <x:v>42674</x:v>
      </x:c>
      <x:c r="B64" s="12" t="n">
        <x:v>3336.2778</x:v>
      </x:c>
      <x:c r="C64" s="12" t="n">
        <x:v>3340.1262</x:v>
      </x:c>
      <x:c r="D64" s="12" t="n">
        <x:v>-0.1152</x:v>
      </x:c>
      <x:c r="E64" s="12" t="n">
        <x:v>-0.0011528362951734367</x:v>
      </x:c>
      <x:c r="F64" s="12" t="n">
        <x:v>4.91</x:v>
      </x:c>
      <x:c r="G64" s="12" t="n">
        <x:v>491</x:v>
      </x:c>
      <x:c r="H64" s="12" t="n">
        <x:v>15</x:v>
      </x:c>
      <x:c r="I64" s="12" t="str">
        <x:v>TuShare index_daily</x:v>
      </x:c>
      <x:c r="J64" s="12" t="str">
        <x:v>Archived FRED mirror (Hugging Face)</x:v>
      </x:c>
    </x:row>
    <x:row r="65" ht="18" customHeight="1">
      <x:c r="A65" s="13" t="n">
        <x:v>42675</x:v>
      </x:c>
      <x:c r="B65" s="12" t="n">
        <x:v>3359.0515</x:v>
      </x:c>
      <x:c r="C65" s="12" t="n">
        <x:v>3336.2778</x:v>
      </x:c>
      <x:c r="D65" s="12" t="n">
        <x:v>0.6826</x:v>
      </x:c>
      <x:c r="E65" s="12" t="n">
        <x:v>0.006802888045893891</x:v>
      </x:c>
      <x:c r="F65" s="12" t="n">
        <x:v>5.05</x:v>
      </x:c>
      <x:c r="G65" s="12" t="n">
        <x:v>505</x:v>
      </x:c>
      <x:c r="H65" s="12" t="n">
        <x:v>14</x:v>
      </x:c>
      <x:c r="I65" s="12" t="str">
        <x:v>TuShare index_daily</x:v>
      </x:c>
      <x:c r="J65" s="12" t="str">
        <x:v>Archived FRED mirror (Hugging Face)</x:v>
      </x:c>
    </x:row>
    <x:row r="66" ht="18" customHeight="1">
      <x:c r="A66" s="13" t="n">
        <x:v>42676</x:v>
      </x:c>
      <x:c r="B66" s="12" t="n">
        <x:v>3333.3524</x:v>
      </x:c>
      <x:c r="C66" s="12" t="n">
        <x:v>3359.0515</x:v>
      </x:c>
      <x:c r="D66" s="12" t="n">
        <x:v>-0.7651</x:v>
      </x:c>
      <x:c r="E66" s="12" t="n">
        <x:v>-0.007680118147076697</x:v>
      </x:c>
      <x:c r="F66" s="12" t="n">
        <x:v>5.15</x:v>
      </x:c>
      <x:c r="G66" s="12" t="n">
        <x:v>515</x:v>
      </x:c>
      <x:c r="H66" s="12" t="n">
        <x:v>10</x:v>
      </x:c>
      <x:c r="I66" s="12" t="str">
        <x:v>TuShare index_daily</x:v>
      </x:c>
      <x:c r="J66" s="12" t="str">
        <x:v>Archived FRED mirror (Hugging Face)</x:v>
      </x:c>
    </x:row>
    <x:row r="67" ht="18" customHeight="1">
      <x:c r="A67" s="13" t="n">
        <x:v>42677</x:v>
      </x:c>
      <x:c r="B67" s="12" t="n">
        <x:v>3365.085</x:v>
      </x:c>
      <x:c r="C67" s="12" t="n">
        <x:v>3333.3524</x:v>
      </x:c>
      <x:c r="D67" s="12" t="n">
        <x:v>0.952</x:v>
      </x:c>
      <x:c r="E67" s="12" t="n">
        <x:v>0.00947469849780264</x:v>
      </x:c>
      <x:c r="F67" s="12" t="n">
        <x:v>5.15</x:v>
      </x:c>
      <x:c r="G67" s="12" t="n">
        <x:v>515</x:v>
      </x:c>
      <x:c r="H67" s="12" t="n">
        <x:v>0</x:v>
      </x:c>
      <x:c r="I67" s="12" t="str">
        <x:v>TuShare index_daily</x:v>
      </x:c>
      <x:c r="J67" s="12" t="str">
        <x:v>Archived FRED mirror (Hugging Face)</x:v>
      </x:c>
    </x:row>
    <x:row r="68" ht="18" customHeight="1">
      <x:c r="A68" s="13" t="n">
        <x:v>42678</x:v>
      </x:c>
      <x:c r="B68" s="12" t="n">
        <x:v>3354.1749</x:v>
      </x:c>
      <x:c r="C68" s="12" t="n">
        <x:v>3365.085</x:v>
      </x:c>
      <x:c r="D68" s="12" t="n">
        <x:v>-0.3242</x:v>
      </x:c>
      <x:c r="E68" s="12" t="n">
        <x:v>-0.003247414075435183</x:v>
      </x:c>
      <x:c r="F68" s="12" t="n">
        <x:v>5.2</x:v>
      </x:c>
      <x:c r="G68" s="12" t="n">
        <x:v>520</x:v>
      </x:c>
      <x:c r="H68" s="12" t="n">
        <x:v>5</x:v>
      </x:c>
      <x:c r="I68" s="12" t="str">
        <x:v>TuShare index_daily</x:v>
      </x:c>
      <x:c r="J68" s="12" t="str">
        <x:v>Archived FRED mirror (Hugging Face)</x:v>
      </x:c>
    </x:row>
    <x:row r="69" ht="18" customHeight="1">
      <x:c r="A69" s="13" t="n">
        <x:v>42681</x:v>
      </x:c>
      <x:c r="B69" s="12" t="n">
        <x:v>3356.5916</x:v>
      </x:c>
      <x:c r="C69" s="12" t="n">
        <x:v>3354.1749</x:v>
      </x:c>
      <x:c r="D69" s="12" t="n">
        <x:v>0.0721</x:v>
      </x:c>
      <x:c r="E69" s="12" t="n">
        <x:v>0.0007202456245417308</x:v>
      </x:c>
      <x:c r="F69" s="12" t="n">
        <x:v>5.01</x:v>
      </x:c>
      <x:c r="G69" s="12" t="n">
        <x:v>501</x:v>
      </x:c>
      <x:c r="H69" s="12" t="n">
        <x:v>-19</x:v>
      </x:c>
      <x:c r="I69" s="12" t="str">
        <x:v>TuShare index_daily</x:v>
      </x:c>
      <x:c r="J69" s="12" t="str">
        <x:v>Archived FRED mirror (Hugging Face)</x:v>
      </x:c>
    </x:row>
    <x:row r="70" ht="18" customHeight="1">
      <x:c r="A70" s="13" t="n">
        <x:v>42682</x:v>
      </x:c>
      <x:c r="B70" s="12" t="n">
        <x:v>3371.1177</x:v>
      </x:c>
      <x:c r="C70" s="12" t="n">
        <x:v>3356.5916</x:v>
      </x:c>
      <x:c r="D70" s="12" t="n">
        <x:v>0.4328</x:v>
      </x:c>
      <x:c r="E70" s="12" t="n">
        <x:v>0.004318296741261629</x:v>
      </x:c>
      <x:c r="F70" s="12" t="n">
        <x:v>4.98</x:v>
      </x:c>
      <x:c r="G70" s="12" t="n">
        <x:v>498.00000000000006</x:v>
      </x:c>
      <x:c r="H70" s="12" t="n">
        <x:v>-2.999999999999943</x:v>
      </x:c>
      <x:c r="I70" s="12" t="str">
        <x:v>TuShare index_daily</x:v>
      </x:c>
      <x:c r="J70" s="12" t="str">
        <x:v>Archived FRED mirror (Hugging Face)</x:v>
      </x:c>
    </x:row>
    <x:row r="71" ht="18" customHeight="1">
      <x:c r="A71" s="13" t="n">
        <x:v>42683</x:v>
      </x:c>
      <x:c r="B71" s="12" t="n">
        <x:v>3353.0547</x:v>
      </x:c>
      <x:c r="C71" s="12" t="n">
        <x:v>3371.1177</x:v>
      </x:c>
      <x:c r="D71" s="12" t="n">
        <x:v>-0.5358</x:v>
      </x:c>
      <x:c r="E71" s="12" t="n">
        <x:v>-0.0053725699978424205</x:v>
      </x:c>
      <x:c r="F71" s="12" t="n">
        <x:v>4.94</x:v>
      </x:c>
      <x:c r="G71" s="12" t="n">
        <x:v>494.00000000000006</x:v>
      </x:c>
      <x:c r="H71" s="12" t="n">
        <x:v>-4</x:v>
      </x:c>
      <x:c r="I71" s="12" t="str">
        <x:v>TuShare index_daily</x:v>
      </x:c>
      <x:c r="J71" s="12" t="str">
        <x:v>Archived FRED mirror (Hugging Face)</x:v>
      </x:c>
    </x:row>
    <x:row r="72" ht="18" customHeight="1">
      <x:c r="A72" s="13" t="n">
        <x:v>42684</x:v>
      </x:c>
      <x:c r="B72" s="12" t="n">
        <x:v>3390.6119</x:v>
      </x:c>
      <x:c r="C72" s="12" t="n">
        <x:v>3353.0547</x:v>
      </x:c>
      <x:c r="D72" s="12" t="n">
        <x:v>1.1201</x:v>
      </x:c>
      <x:c r="E72" s="12" t="n">
        <x:v>0.01113862547894849</x:v>
      </x:c>
      <x:c r="F72" s="12" t="n">
        <x:v>4.97</x:v>
      </x:c>
      <x:c r="G72" s="12" t="n">
        <x:v>497</x:v>
      </x:c>
      <x:c r="H72" s="12" t="n">
        <x:v>2.999999999999943</x:v>
      </x:c>
      <x:c r="I72" s="12" t="str">
        <x:v>TuShare index_daily</x:v>
      </x:c>
      <x:c r="J72" s="12" t="str">
        <x:v>Archived FRED mirror (Hugging Face)</x:v>
      </x:c>
    </x:row>
    <x:row r="73" ht="18" customHeight="1">
      <x:c r="A73" s="13" t="n">
        <x:v>42685</x:v>
      </x:c>
      <x:c r="B73" s="12" t="n">
        <x:v>3417.2211</x:v>
      </x:c>
      <x:c r="C73" s="12" t="n">
        <x:v>3390.6119</x:v>
      </x:c>
      <x:c r="D73" s="12" t="n">
        <x:v>0.7848</x:v>
      </x:c>
      <x:c r="E73" s="12" t="n">
        <x:v>0.007817270343318574</x:v>
      </x:c>
      <x:c r="F73" s="12" t="n">
        <x:v>4.97</x:v>
      </x:c>
      <x:c r="G73" s="12" t="n">
        <x:v>497</x:v>
      </x:c>
      <x:c r="H73" s="12" t="n">
        <x:v>0</x:v>
      </x:c>
      <x:c r="I73" s="12" t="str">
        <x:v>TuShare index_daily</x:v>
      </x:c>
      <x:c r="J73" s="12" t="str">
        <x:v>Archived FRED mirror (Hugging Face)</x:v>
      </x:c>
    </x:row>
    <x:row r="74" ht="18" customHeight="1">
      <x:c r="A74" s="13" t="n">
        <x:v>42688</x:v>
      </x:c>
      <x:c r="B74" s="12" t="n">
        <x:v>3430.2482</x:v>
      </x:c>
      <x:c r="C74" s="12" t="n">
        <x:v>3417.2211</x:v>
      </x:c>
      <x:c r="D74" s="12" t="n">
        <x:v>0.3812</x:v>
      </x:c>
      <x:c r="E74" s="12" t="n">
        <x:v>0.0038049431537427606</x:v>
      </x:c>
      <x:c r="F74" s="12" t="n">
        <x:v>5.11</x:v>
      </x:c>
      <x:c r="G74" s="12" t="n">
        <x:v>511.00000000000006</x:v>
      </x:c>
      <x:c r="H74" s="12" t="n">
        <x:v>14.000000000000057</x:v>
      </x:c>
      <x:c r="I74" s="12" t="str">
        <x:v>TuShare index_daily</x:v>
      </x:c>
      <x:c r="J74" s="12" t="str">
        <x:v>Archived FRED mirror (Hugging Face)</x:v>
      </x:c>
    </x:row>
    <x:row r="75" ht="18" customHeight="1">
      <x:c r="A75" s="13" t="n">
        <x:v>42689</x:v>
      </x:c>
      <x:c r="B75" s="12" t="n">
        <x:v>3429.8697</x:v>
      </x:c>
      <x:c r="C75" s="12" t="n">
        <x:v>3430.2482</x:v>
      </x:c>
      <x:c r="D75" s="12" t="n">
        <x:v>-0.011</x:v>
      </x:c>
      <x:c r="E75" s="12" t="n">
        <x:v>-0.00011034795783432362</x:v>
      </x:c>
      <x:c r="F75" s="12" t="n">
        <x:v>4.94</x:v>
      </x:c>
      <x:c r="G75" s="12" t="n">
        <x:v>494.00000000000006</x:v>
      </x:c>
      <x:c r="H75" s="12" t="n">
        <x:v>-17</x:v>
      </x:c>
      <x:c r="I75" s="12" t="str">
        <x:v>TuShare index_daily</x:v>
      </x:c>
      <x:c r="J75" s="12" t="str">
        <x:v>Archived FRED mirror (Hugging Face)</x:v>
      </x:c>
    </x:row>
    <x:row r="76" ht="18" customHeight="1">
      <x:c r="A76" s="13" t="n">
        <x:v>42690</x:v>
      </x:c>
      <x:c r="B76" s="12" t="n">
        <x:v>3429.5921</x:v>
      </x:c>
      <x:c r="C76" s="12" t="n">
        <x:v>3429.8697</x:v>
      </x:c>
      <x:c r="D76" s="12" t="n">
        <x:v>-0.0081</x:v>
      </x:c>
      <x:c r="E76" s="12" t="n">
        <x:v>-0.00008093929472776848</x:v>
      </x:c>
      <x:c r="F76" s="12" t="n">
        <x:v>4.94</x:v>
      </x:c>
      <x:c r="G76" s="12" t="n">
        <x:v>494.00000000000006</x:v>
      </x:c>
      <x:c r="H76" s="12" t="n">
        <x:v>0</x:v>
      </x:c>
      <x:c r="I76" s="12" t="str">
        <x:v>TuShare index_daily</x:v>
      </x:c>
      <x:c r="J76" s="12" t="str">
        <x:v>Archived FRED mirror (Hugging Face)</x:v>
      </x:c>
    </x:row>
    <x:row r="77" ht="18" customHeight="1">
      <x:c r="A77" s="13" t="n">
        <x:v>42691</x:v>
      </x:c>
      <x:c r="B77" s="12" t="n">
        <x:v>3436.535</x:v>
      </x:c>
      <x:c r="C77" s="12" t="n">
        <x:v>3429.5921</x:v>
      </x:c>
      <x:c r="D77" s="12" t="n">
        <x:v>0.2024</x:v>
      </x:c>
      <x:c r="E77" s="12" t="n">
        <x:v>0.0020223634853321413</x:v>
      </x:c>
      <x:c r="F77" s="12" t="n">
        <x:v>4.85</x:v>
      </x:c>
      <x:c r="G77" s="12" t="n">
        <x:v>484.99999999999994</x:v>
      </x:c>
      <x:c r="H77" s="12" t="n">
        <x:v>-9.000000000000114</x:v>
      </x:c>
      <x:c r="I77" s="12" t="str">
        <x:v>TuShare index_daily</x:v>
      </x:c>
      <x:c r="J77" s="12" t="str">
        <x:v>Archived FRED mirror (Hugging Face)</x:v>
      </x:c>
    </x:row>
    <x:row r="78" ht="18" customHeight="1">
      <x:c r="A78" s="13" t="n">
        <x:v>42692</x:v>
      </x:c>
      <x:c r="B78" s="12" t="n">
        <x:v>3417.4554</x:v>
      </x:c>
      <x:c r="C78" s="12" t="n">
        <x:v>3436.535</x:v>
      </x:c>
      <x:c r="D78" s="12" t="n">
        <x:v>-0.5552</x:v>
      </x:c>
      <x:c r="E78" s="12" t="n">
        <x:v>-0.005567457253369951</x:v>
      </x:c>
      <x:c r="F78" s="12" t="n">
        <x:v>4.84</x:v>
      </x:c>
      <x:c r="G78" s="12" t="n">
        <x:v>484</x:v>
      </x:c>
      <x:c r="H78" s="12" t="n">
        <x:v>-0.9999999999999432</x:v>
      </x:c>
      <x:c r="I78" s="12" t="str">
        <x:v>TuShare index_daily</x:v>
      </x:c>
      <x:c r="J78" s="12" t="str">
        <x:v>Archived FRED mirror (Hugging Face)</x:v>
      </x:c>
    </x:row>
    <x:row r="79" ht="18" customHeight="1">
      <x:c r="A79" s="13" t="n">
        <x:v>42695</x:v>
      </x:c>
      <x:c r="B79" s="12" t="n">
        <x:v>3441.1106</x:v>
      </x:c>
      <x:c r="C79" s="12" t="n">
        <x:v>3417.4554</x:v>
      </x:c>
      <x:c r="D79" s="12" t="n">
        <x:v>0.6922</x:v>
      </x:c>
      <x:c r="E79" s="12" t="n">
        <x:v>0.006898029062729212</x:v>
      </x:c>
      <x:c r="F79" s="12" t="n">
        <x:v>4.78</x:v>
      </x:c>
      <x:c r="G79" s="12" t="n">
        <x:v>478</x:v>
      </x:c>
      <x:c r="H79" s="12" t="n">
        <x:v>-6</x:v>
      </x:c>
      <x:c r="I79" s="12" t="str">
        <x:v>TuShare index_daily</x:v>
      </x:c>
      <x:c r="J79" s="12" t="str">
        <x:v>Archived FRED mirror (Hugging Face)</x:v>
      </x:c>
    </x:row>
    <x:row r="80" ht="18" customHeight="1">
      <x:c r="A80" s="13" t="n">
        <x:v>42696</x:v>
      </x:c>
      <x:c r="B80" s="12" t="n">
        <x:v>3468.3637</x:v>
      </x:c>
      <x:c r="C80" s="12" t="n">
        <x:v>3441.1106</x:v>
      </x:c>
      <x:c r="D80" s="12" t="n">
        <x:v>0.792</x:v>
      </x:c>
      <x:c r="E80" s="12" t="n">
        <x:v>0.007888658427169803</x:v>
      </x:c>
      <x:c r="F80" s="12" t="n">
        <x:v>4.7</x:v>
      </x:c>
      <x:c r="G80" s="12" t="n">
        <x:v>470</x:v>
      </x:c>
      <x:c r="H80" s="12" t="n">
        <x:v>-8</x:v>
      </x:c>
      <x:c r="I80" s="12" t="str">
        <x:v>TuShare index_daily</x:v>
      </x:c>
      <x:c r="J80" s="12" t="str">
        <x:v>Archived FRED mirror (Hugging Face)</x:v>
      </x:c>
    </x:row>
    <x:row r="81" ht="18" customHeight="1">
      <x:c r="A81" s="13" t="n">
        <x:v>42697</x:v>
      </x:c>
      <x:c r="B81" s="12" t="n">
        <x:v>3474.7289</x:v>
      </x:c>
      <x:c r="C81" s="12" t="n">
        <x:v>3468.3637</x:v>
      </x:c>
      <x:c r="D81" s="12" t="n">
        <x:v>0.1835</x:v>
      </x:c>
      <x:c r="E81" s="12" t="n">
        <x:v>0.001833535039771207</x:v>
      </x:c>
      <x:c r="F81" s="12" t="n">
        <x:v>4.66</x:v>
      </x:c>
      <x:c r="G81" s="12" t="n">
        <x:v>466</x:v>
      </x:c>
      <x:c r="H81" s="12" t="n">
        <x:v>-4</x:v>
      </x:c>
      <x:c r="I81" s="12" t="str">
        <x:v>TuShare index_daily</x:v>
      </x:c>
      <x:c r="J81" s="12" t="str">
        <x:v>Archived FRED mirror (Hugging Face)</x:v>
      </x:c>
    </x:row>
    <x:row r="82" ht="18" customHeight="1">
      <x:c r="A82" s="13" t="n">
        <x:v>42698</x:v>
      </x:c>
      <x:c r="B82" s="12" t="n">
        <x:v>3488.7402</x:v>
      </x:c>
      <x:c r="C82" s="12" t="n">
        <x:v>3474.7289</x:v>
      </x:c>
      <x:c r="D82" s="12" t="n">
        <x:v>0.4032</x:v>
      </x:c>
      <x:c r="E82" s="12" t="n">
        <x:v>0.004024235250442054</x:v>
      </x:c>
      <x:c r="F82" s="12" t="n">
        <x:v>4.66</x:v>
      </x:c>
      <x:c r="G82" s="12" t="n">
        <x:v>466</x:v>
      </x:c>
      <x:c r="H82" s="12" t="n">
        <x:v>0</x:v>
      </x:c>
      <x:c r="I82" s="12" t="str">
        <x:v>TuShare index_daily</x:v>
      </x:c>
      <x:c r="J82" s="12" t="str">
        <x:v>Archived FRED mirror (Hugging Face)</x:v>
      </x:c>
    </x:row>
    <x:row r="83" ht="18" customHeight="1">
      <x:c r="A83" s="13" t="n">
        <x:v>42699</x:v>
      </x:c>
      <x:c r="B83" s="12" t="n">
        <x:v>3521.2984</x:v>
      </x:c>
      <x:c r="C83" s="12" t="n">
        <x:v>3488.7402</x:v>
      </x:c>
      <x:c r="D83" s="12" t="n">
        <x:v>0.9332</x:v>
      </x:c>
      <x:c r="E83" s="12" t="n">
        <x:v>0.009289088397475146</x:v>
      </x:c>
      <x:c r="F83" s="12" t="n">
        <x:v>4.64</x:v>
      </x:c>
      <x:c r="G83" s="12" t="n">
        <x:v>463.99999999999994</x:v>
      </x:c>
      <x:c r="H83" s="12" t="n">
        <x:v>-2.000000000000057</x:v>
      </x:c>
      <x:c r="I83" s="12" t="str">
        <x:v>TuShare index_daily</x:v>
      </x:c>
      <x:c r="J83" s="12" t="str">
        <x:v>Archived FRED mirror (Hugging Face)</x:v>
      </x:c>
    </x:row>
    <x:row r="84" ht="18" customHeight="1">
      <x:c r="A84" s="13" t="n">
        <x:v>42702</x:v>
      </x:c>
      <x:c r="B84" s="12" t="n">
        <x:v>3535.0807</x:v>
      </x:c>
      <x:c r="C84" s="12" t="n">
        <x:v>3521.2984</x:v>
      </x:c>
      <x:c r="D84" s="12" t="n">
        <x:v>0.3914</x:v>
      </x:c>
      <x:c r="E84" s="12" t="n">
        <x:v>0.003906342709372829</x:v>
      </x:c>
      <x:c r="F84" s="12" t="n">
        <x:v>4.66</x:v>
      </x:c>
      <x:c r="G84" s="12" t="n">
        <x:v>466</x:v>
      </x:c>
      <x:c r="H84" s="12" t="n">
        <x:v>2.000000000000057</x:v>
      </x:c>
      <x:c r="I84" s="12" t="str">
        <x:v>TuShare index_daily</x:v>
      </x:c>
      <x:c r="J84" s="12" t="str">
        <x:v>Archived FRED mirror (Hugging Face)</x:v>
      </x:c>
    </x:row>
    <x:row r="85" ht="18" customHeight="1">
      <x:c r="A85" s="13" t="n">
        <x:v>42703</x:v>
      </x:c>
      <x:c r="B85" s="12" t="n">
        <x:v>3564.0404</x:v>
      </x:c>
      <x:c r="C85" s="12" t="n">
        <x:v>3535.0807</x:v>
      </x:c>
      <x:c r="D85" s="12" t="n">
        <x:v>0.8192</x:v>
      </x:c>
      <x:c r="E85" s="12" t="n">
        <x:v>0.00815871718004215</x:v>
      </x:c>
      <x:c r="F85" s="12" t="n">
        <x:v>4.69</x:v>
      </x:c>
      <x:c r="G85" s="12" t="n">
        <x:v>469.00000000000006</x:v>
      </x:c>
      <x:c r="H85" s="12" t="n">
        <x:v>3.000000000000057</x:v>
      </x:c>
      <x:c r="I85" s="12" t="str">
        <x:v>TuShare index_daily</x:v>
      </x:c>
      <x:c r="J85" s="12" t="str">
        <x:v>Archived FRED mirror (Hugging Face)</x:v>
      </x:c>
    </x:row>
    <x:row r="86" ht="18" customHeight="1">
      <x:c r="A86" s="13" t="n">
        <x:v>42704</x:v>
      </x:c>
      <x:c r="B86" s="12" t="n">
        <x:v>3538.001</x:v>
      </x:c>
      <x:c r="C86" s="12" t="n">
        <x:v>3564.0404</x:v>
      </x:c>
      <x:c r="D86" s="12" t="n">
        <x:v>-0.7306</x:v>
      </x:c>
      <x:c r="E86" s="12" t="n">
        <x:v>-0.007332966739201804</x:v>
      </x:c>
      <x:c r="F86" s="12" t="n">
        <x:v>4.67</x:v>
      </x:c>
      <x:c r="G86" s="12" t="n">
        <x:v>467</x:v>
      </x:c>
      <x:c r="H86" s="12" t="n">
        <x:v>-2.000000000000057</x:v>
      </x:c>
      <x:c r="I86" s="12" t="str">
        <x:v>TuShare index_daily</x:v>
      </x:c>
      <x:c r="J86" s="12" t="str">
        <x:v>Archived FRED mirror (Hugging Face)</x:v>
      </x:c>
    </x:row>
    <x:row r="87" ht="18" customHeight="1">
      <x:c r="A87" s="13" t="n">
        <x:v>42705</x:v>
      </x:c>
      <x:c r="B87" s="12" t="n">
        <x:v>3565.036</x:v>
      </x:c>
      <x:c r="C87" s="12" t="n">
        <x:v>3538.001</x:v>
      </x:c>
      <x:c r="D87" s="12" t="n">
        <x:v>0.7641</x:v>
      </x:c>
      <x:c r="E87" s="12" t="n">
        <x:v>0.007612273608875042</x:v>
      </x:c>
      <x:c r="F87" s="12" t="n">
        <x:v>4.62</x:v>
      </x:c>
      <x:c r="G87" s="12" t="n">
        <x:v>462</x:v>
      </x:c>
      <x:c r="H87" s="12" t="n">
        <x:v>-5</x:v>
      </x:c>
      <x:c r="I87" s="12" t="str">
        <x:v>TuShare index_daily</x:v>
      </x:c>
      <x:c r="J87" s="12" t="str">
        <x:v>Archived FRED mirror (Hugging Face)</x:v>
      </x:c>
    </x:row>
    <x:row r="88" ht="18" customHeight="1">
      <x:c r="A88" s="13" t="n">
        <x:v>42706</x:v>
      </x:c>
      <x:c r="B88" s="12" t="n">
        <x:v>3528.9547</x:v>
      </x:c>
      <x:c r="C88" s="12" t="n">
        <x:v>3565.036</x:v>
      </x:c>
      <x:c r="D88" s="12" t="n">
        <x:v>-1.0121</x:v>
      </x:c>
      <x:c r="E88" s="12" t="n">
        <x:v>-0.010172443878838089</x:v>
      </x:c>
      <x:c r="F88" s="12" t="n">
        <x:v>4.64</x:v>
      </x:c>
      <x:c r="G88" s="12" t="n">
        <x:v>463.99999999999994</x:v>
      </x:c>
      <x:c r="H88" s="12" t="n">
        <x:v>1.9999999999999432</x:v>
      </x:c>
      <x:c r="I88" s="12" t="str">
        <x:v>TuShare index_daily</x:v>
      </x:c>
      <x:c r="J88" s="12" t="str">
        <x:v>Archived FRED mirror (Hugging Face)</x:v>
      </x:c>
    </x:row>
    <x:row r="89" ht="18" customHeight="1">
      <x:c r="A89" s="13" t="n">
        <x:v>42709</x:v>
      </x:c>
      <x:c r="B89" s="12" t="n">
        <x:v>3469.4073</x:v>
      </x:c>
      <x:c r="C89" s="12" t="n">
        <x:v>3528.9547</x:v>
      </x:c>
      <x:c r="D89" s="12" t="n">
        <x:v>-1.6874</x:v>
      </x:c>
      <x:c r="E89" s="12" t="n">
        <x:v>-0.01701793565997444</x:v>
      </x:c>
      <x:c r="F89" s="12" t="n">
        <x:v>4.58</x:v>
      </x:c>
      <x:c r="G89" s="12" t="n">
        <x:v>458</x:v>
      </x:c>
      <x:c r="H89" s="12" t="n">
        <x:v>-5.999999999999943</x:v>
      </x:c>
      <x:c r="I89" s="12" t="str">
        <x:v>TuShare index_daily</x:v>
      </x:c>
      <x:c r="J89" s="12" t="str">
        <x:v>Archived FRED mirror (Hugging Face)</x:v>
      </x:c>
    </x:row>
    <x:row r="90" ht="18" customHeight="1">
      <x:c r="A90" s="13" t="n">
        <x:v>42710</x:v>
      </x:c>
      <x:c r="B90" s="12" t="n">
        <x:v>3459.1533</x:v>
      </x:c>
      <x:c r="C90" s="12" t="n">
        <x:v>3469.4073</x:v>
      </x:c>
      <x:c r="D90" s="12" t="n">
        <x:v>-0.2956</x:v>
      </x:c>
      <x:c r="E90" s="12" t="n">
        <x:v>-0.0029599243128228037</x:v>
      </x:c>
      <x:c r="F90" s="12" t="n">
        <x:v>4.5</x:v>
      </x:c>
      <x:c r="G90" s="12" t="n">
        <x:v>450</x:v>
      </x:c>
      <x:c r="H90" s="12" t="n">
        <x:v>-8</x:v>
      </x:c>
      <x:c r="I90" s="12" t="str">
        <x:v>TuShare index_daily</x:v>
      </x:c>
      <x:c r="J90" s="12" t="str">
        <x:v>Archived FRED mirror (Hugging Face)</x:v>
      </x:c>
    </x:row>
    <x:row r="91" ht="18" customHeight="1">
      <x:c r="A91" s="13" t="n">
        <x:v>42711</x:v>
      </x:c>
      <x:c r="B91" s="12" t="n">
        <x:v>3475.7473</x:v>
      </x:c>
      <x:c r="C91" s="12" t="n">
        <x:v>3459.1533</x:v>
      </x:c>
      <x:c r="D91" s="12" t="n">
        <x:v>0.4797</x:v>
      </x:c>
      <x:c r="E91" s="12" t="n">
        <x:v>0.004785658116097955</x:v>
      </x:c>
      <x:c r="F91" s="12" t="n">
        <x:v>4.42</x:v>
      </x:c>
      <x:c r="G91" s="12" t="n">
        <x:v>442</x:v>
      </x:c>
      <x:c r="H91" s="12" t="n">
        <x:v>-8</x:v>
      </x:c>
      <x:c r="I91" s="12" t="str">
        <x:v>TuShare index_daily</x:v>
      </x:c>
      <x:c r="J91" s="12" t="str">
        <x:v>Archived FRED mirror (Hugging Face)</x:v>
      </x:c>
    </x:row>
    <x:row r="92" ht="18" customHeight="1">
      <x:c r="A92" s="13" t="n">
        <x:v>42712</x:v>
      </x:c>
      <x:c r="B92" s="12" t="n">
        <x:v>3470.1426</x:v>
      </x:c>
      <x:c r="C92" s="12" t="n">
        <x:v>3475.7473</x:v>
      </x:c>
      <x:c r="D92" s="12" t="n">
        <x:v>-0.1613</x:v>
      </x:c>
      <x:c r="E92" s="12" t="n">
        <x:v>-0.0016138180412017936</x:v>
      </x:c>
      <x:c r="F92" s="12" t="n">
        <x:v>4.38</x:v>
      </x:c>
      <x:c r="G92" s="12" t="n">
        <x:v>438</x:v>
      </x:c>
      <x:c r="H92" s="12" t="n">
        <x:v>-4</x:v>
      </x:c>
      <x:c r="I92" s="12" t="str">
        <x:v>TuShare index_daily</x:v>
      </x:c>
      <x:c r="J92" s="12" t="str">
        <x:v>Archived FRED mirror (Hugging Face)</x:v>
      </x:c>
    </x:row>
    <x:row r="93" ht="18" customHeight="1">
      <x:c r="A93" s="13" t="n">
        <x:v>42713</x:v>
      </x:c>
      <x:c r="B93" s="12" t="n">
        <x:v>3493.7004</x:v>
      </x:c>
      <x:c r="C93" s="12" t="n">
        <x:v>3470.1426</x:v>
      </x:c>
      <x:c r="D93" s="12" t="n">
        <x:v>0.6789</x:v>
      </x:c>
      <x:c r="E93" s="12" t="n">
        <x:v>0.006765772825280966</x:v>
      </x:c>
      <x:c r="F93" s="12" t="n">
        <x:v>4.28</x:v>
      </x:c>
      <x:c r="G93" s="12" t="n">
        <x:v>428</x:v>
      </x:c>
      <x:c r="H93" s="12" t="n">
        <x:v>-10</x:v>
      </x:c>
      <x:c r="I93" s="12" t="str">
        <x:v>TuShare index_daily</x:v>
      </x:c>
      <x:c r="J93" s="12" t="str">
        <x:v>Archived FRED mirror (Hugging Face)</x:v>
      </x:c>
    </x:row>
    <x:row r="94" ht="18" customHeight="1">
      <x:c r="A94" s="13" t="n">
        <x:v>42716</x:v>
      </x:c>
      <x:c r="B94" s="12" t="n">
        <x:v>3409.1794</x:v>
      </x:c>
      <x:c r="C94" s="12" t="n">
        <x:v>3493.7004</x:v>
      </x:c>
      <x:c r="D94" s="12" t="n">
        <x:v>-2.4192</x:v>
      </x:c>
      <x:c r="E94" s="12" t="n">
        <x:v>-0.024489843866090665</x:v>
      </x:c>
      <x:c r="F94" s="12" t="n">
        <x:v>4.25</x:v>
      </x:c>
      <x:c r="G94" s="12" t="n">
        <x:v>425</x:v>
      </x:c>
      <x:c r="H94" s="12" t="n">
        <x:v>-3</x:v>
      </x:c>
      <x:c r="I94" s="12" t="str">
        <x:v>TuShare index_daily</x:v>
      </x:c>
      <x:c r="J94" s="12" t="str">
        <x:v>Archived FRED mirror (Hugging Face)</x:v>
      </x:c>
    </x:row>
    <x:row r="95" ht="18" customHeight="1">
      <x:c r="A95" s="13" t="n">
        <x:v>42717</x:v>
      </x:c>
      <x:c r="B95" s="12" t="n">
        <x:v>3405.0355</x:v>
      </x:c>
      <x:c r="C95" s="12" t="n">
        <x:v>3409.1794</x:v>
      </x:c>
      <x:c r="D95" s="12" t="n">
        <x:v>-0.1216</x:v>
      </x:c>
      <x:c r="E95" s="12" t="n">
        <x:v>-0.0012162517829687064</x:v>
      </x:c>
      <x:c r="F95" s="12" t="n">
        <x:v>4.2</x:v>
      </x:c>
      <x:c r="G95" s="12" t="n">
        <x:v>420</x:v>
      </x:c>
      <x:c r="H95" s="12" t="n">
        <x:v>-5</x:v>
      </x:c>
      <x:c r="I95" s="12" t="str">
        <x:v>TuShare index_daily</x:v>
      </x:c>
      <x:c r="J95" s="12" t="str">
        <x:v>Archived FRED mirror (Hugging Face)</x:v>
      </x:c>
    </x:row>
    <x:row r="96" ht="18" customHeight="1">
      <x:c r="A96" s="13" t="n">
        <x:v>42718</x:v>
      </x:c>
      <x:c r="B96" s="12" t="n">
        <x:v>3378.9453</x:v>
      </x:c>
      <x:c r="C96" s="12" t="n">
        <x:v>3405.0355</x:v>
      </x:c>
      <x:c r="D96" s="12" t="n">
        <x:v>-0.7662</x:v>
      </x:c>
      <x:c r="E96" s="12" t="n">
        <x:v>-0.00769174601171859</x:v>
      </x:c>
      <x:c r="F96" s="12" t="n">
        <x:v>4.12</x:v>
      </x:c>
      <x:c r="G96" s="12" t="n">
        <x:v>412</x:v>
      </x:c>
      <x:c r="H96" s="12" t="n">
        <x:v>-8</x:v>
      </x:c>
      <x:c r="I96" s="12" t="str">
        <x:v>TuShare index_daily</x:v>
      </x:c>
      <x:c r="J96" s="12" t="str">
        <x:v>Archived FRED mirror (Hugging Face)</x:v>
      </x:c>
    </x:row>
    <x:row r="97" ht="18" customHeight="1">
      <x:c r="A97" s="13" t="n">
        <x:v>42719</x:v>
      </x:c>
      <x:c r="B97" s="12" t="n">
        <x:v>3340.4338</x:v>
      </x:c>
      <x:c r="C97" s="12" t="n">
        <x:v>3378.9453</x:v>
      </x:c>
      <x:c r="D97" s="12" t="n">
        <x:v>-1.1397</x:v>
      </x:c>
      <x:c r="E97" s="12" t="n">
        <x:v>-0.011462940585333025</x:v>
      </x:c>
      <x:c r="F97" s="12" t="n">
        <x:v>4.2</x:v>
      </x:c>
      <x:c r="G97" s="12" t="n">
        <x:v>420</x:v>
      </x:c>
      <x:c r="H97" s="12" t="n">
        <x:v>8</x:v>
      </x:c>
      <x:c r="I97" s="12" t="str">
        <x:v>TuShare index_daily</x:v>
      </x:c>
      <x:c r="J97" s="12" t="str">
        <x:v>Archived FRED mirror (Hugging Face)</x:v>
      </x:c>
    </x:row>
    <x:row r="98" ht="18" customHeight="1">
      <x:c r="A98" s="13" t="n">
        <x:v>42720</x:v>
      </x:c>
      <x:c r="B98" s="12" t="n">
        <x:v>3346.0305</x:v>
      </x:c>
      <x:c r="C98" s="12" t="n">
        <x:v>3340.4338</x:v>
      </x:c>
      <x:c r="D98" s="12" t="n">
        <x:v>0.1675</x:v>
      </x:c>
      <x:c r="E98" s="12" t="n">
        <x:v>0.0016740390902915004</x:v>
      </x:c>
      <x:c r="F98" s="12" t="n">
        <x:v>4.21</x:v>
      </x:c>
      <x:c r="G98" s="12" t="n">
        <x:v>421</x:v>
      </x:c>
      <x:c r="H98" s="12" t="n">
        <x:v>1</x:v>
      </x:c>
      <x:c r="I98" s="12" t="str">
        <x:v>TuShare index_daily</x:v>
      </x:c>
      <x:c r="J98" s="12" t="str">
        <x:v>Archived FRED mirror (Hugging Face)</x:v>
      </x:c>
    </x:row>
    <x:row r="99" ht="18" customHeight="1">
      <x:c r="A99" s="13" t="n">
        <x:v>42723</x:v>
      </x:c>
      <x:c r="B99" s="12" t="n">
        <x:v>3328.9827</x:v>
      </x:c>
      <x:c r="C99" s="12" t="n">
        <x:v>3346.0305</x:v>
      </x:c>
      <x:c r="D99" s="12" t="n">
        <x:v>-0.5095</x:v>
      </x:c>
      <x:c r="E99" s="12" t="n">
        <x:v>-0.00510795606111114</x:v>
      </x:c>
      <x:c r="F99" s="12" t="n">
        <x:v>4.23</x:v>
      </x:c>
      <x:c r="G99" s="12" t="n">
        <x:v>423.00000000000006</x:v>
      </x:c>
      <x:c r="H99" s="12" t="n">
        <x:v>2.000000000000057</x:v>
      </x:c>
      <x:c r="I99" s="12" t="str">
        <x:v>TuShare index_daily</x:v>
      </x:c>
      <x:c r="J99" s="12" t="str">
        <x:v>Archived FRED mirror (Hugging Face)</x:v>
      </x:c>
    </x:row>
    <x:row r="100" ht="18" customHeight="1">
      <x:c r="A100" s="13" t="n">
        <x:v>42724</x:v>
      </x:c>
      <x:c r="B100" s="12" t="n">
        <x:v>3309.0641</x:v>
      </x:c>
      <x:c r="C100" s="12" t="n">
        <x:v>3328.9827</x:v>
      </x:c>
      <x:c r="D100" s="12" t="n">
        <x:v>-0.5983</x:v>
      </x:c>
      <x:c r="E100" s="12" t="n">
        <x:v>-0.006001361660447885</x:v>
      </x:c>
      <x:c r="F100" s="12" t="n">
        <x:v>4.2</x:v>
      </x:c>
      <x:c r="G100" s="12" t="n">
        <x:v>420</x:v>
      </x:c>
      <x:c r="H100" s="12" t="n">
        <x:v>-3.000000000000057</x:v>
      </x:c>
      <x:c r="I100" s="12" t="str">
        <x:v>TuShare index_daily</x:v>
      </x:c>
      <x:c r="J100" s="12" t="str">
        <x:v>Archived FRED mirror (Hugging Face)</x:v>
      </x:c>
    </x:row>
    <x:row r="101" ht="18" customHeight="1">
      <x:c r="A101" s="13" t="n">
        <x:v>42725</x:v>
      </x:c>
      <x:c r="B101" s="12" t="n">
        <x:v>3338.536</x:v>
      </x:c>
      <x:c r="C101" s="12" t="n">
        <x:v>3309.0641</x:v>
      </x:c>
      <x:c r="D101" s="12" t="n">
        <x:v>0.8906</x:v>
      </x:c>
      <x:c r="E101" s="12" t="n">
        <x:v>0.008866987380399797</x:v>
      </x:c>
      <x:c r="F101" s="12" t="n">
        <x:v>4.19</x:v>
      </x:c>
      <x:c r="G101" s="12" t="n">
        <x:v>419.00000000000006</x:v>
      </x:c>
      <x:c r="H101" s="12" t="n">
        <x:v>-0.9999999999999432</x:v>
      </x:c>
      <x:c r="I101" s="12" t="str">
        <x:v>TuShare index_daily</x:v>
      </x:c>
      <x:c r="J101" s="12" t="str">
        <x:v>Archived FRED mirror (Hugging Face)</x:v>
      </x:c>
    </x:row>
    <x:row r="102" ht="18" customHeight="1">
      <x:c r="A102" s="13" t="n">
        <x:v>42726</x:v>
      </x:c>
      <x:c r="B102" s="12" t="n">
        <x:v>3335.672</x:v>
      </x:c>
      <x:c r="C102" s="12" t="n">
        <x:v>3338.536</x:v>
      </x:c>
      <x:c r="D102" s="12" t="n">
        <x:v>-0.0858</x:v>
      </x:c>
      <x:c r="E102" s="12" t="n">
        <x:v>-0.0008582292238395543</x:v>
      </x:c>
      <x:c r="F102" s="12" t="n">
        <x:v>4.17</x:v>
      </x:c>
      <x:c r="G102" s="12" t="n">
        <x:v>417</x:v>
      </x:c>
      <x:c r="H102" s="12" t="n">
        <x:v>-2.000000000000057</x:v>
      </x:c>
      <x:c r="I102" s="12" t="str">
        <x:v>TuShare index_daily</x:v>
      </x:c>
      <x:c r="J102" s="12" t="str">
        <x:v>Archived FRED mirror (Hugging Face)</x:v>
      </x:c>
    </x:row>
    <x:row r="103" ht="18" customHeight="1">
      <x:c r="A103" s="13" t="n">
        <x:v>42727</x:v>
      </x:c>
      <x:c r="B103" s="12" t="n">
        <x:v>3307.5991</x:v>
      </x:c>
      <x:c r="C103" s="12" t="n">
        <x:v>3335.672</x:v>
      </x:c>
      <x:c r="D103" s="12" t="n">
        <x:v>-0.8416</x:v>
      </x:c>
      <x:c r="E103" s="12" t="n">
        <x:v>-0.008451579554493814</x:v>
      </x:c>
      <x:c r="F103" s="12" t="n">
        <x:v>4.16</x:v>
      </x:c>
      <x:c r="G103" s="12" t="n">
        <x:v>416</x:v>
      </x:c>
      <x:c r="H103" s="12" t="n">
        <x:v>-1</x:v>
      </x:c>
      <x:c r="I103" s="12" t="str">
        <x:v>TuShare index_daily</x:v>
      </x:c>
      <x:c r="J103" s="12" t="str">
        <x:v>Archived FRED mirror (Hugging Face)</x:v>
      </x:c>
    </x:row>
    <x:row r="104" ht="18" customHeight="1">
      <x:c r="A104" s="13" t="n">
        <x:v>42731</x:v>
      </x:c>
      <x:c r="B104" s="12" t="n">
        <x:v>3316.3852</x:v>
      </x:c>
      <x:c r="C104" s="12" t="n">
        <x:v>3322.4006</x:v>
      </x:c>
      <x:c r="D104" s="12" t="n">
        <x:v>-0.1811</x:v>
      </x:c>
      <x:c r="E104" s="12" t="n">
        <x:v>-0.001812199347129835</x:v>
      </x:c>
      <x:c r="F104" s="12" t="n">
        <x:v>4.11</x:v>
      </x:c>
      <x:c r="G104" s="12" t="n">
        <x:v>411.00000000000006</x:v>
      </x:c>
      <x:c r="H104" s="12" t="n">
        <x:v>-4.999999999999943</x:v>
      </x:c>
      <x:c r="I104" s="12" t="str">
        <x:v>TuShare index_daily</x:v>
      </x:c>
      <x:c r="J104" s="12" t="str">
        <x:v>Archived FRED mirror (Hugging Face)</x:v>
      </x:c>
    </x:row>
    <x:row r="105" ht="18" customHeight="1">
      <x:c r="A105" s="13" t="n">
        <x:v>42732</x:v>
      </x:c>
      <x:c r="B105" s="12" t="n">
        <x:v>3301.8887</x:v>
      </x:c>
      <x:c r="C105" s="12" t="n">
        <x:v>3316.3852</x:v>
      </x:c>
      <x:c r="D105" s="12" t="n">
        <x:v>-0.4371</x:v>
      </x:c>
      <x:c r="E105" s="12" t="n">
        <x:v>-0.004380756494092432</x:v>
      </x:c>
      <x:c r="F105" s="12" t="n">
        <x:v>4.15</x:v>
      </x:c>
      <x:c r="G105" s="12" t="n">
        <x:v>415.00000000000006</x:v>
      </x:c>
      <x:c r="H105" s="12" t="n">
        <x:v>4</x:v>
      </x:c>
      <x:c r="I105" s="12" t="str">
        <x:v>TuShare index_daily</x:v>
      </x:c>
      <x:c r="J105" s="12" t="str">
        <x:v>Archived FRED mirror (Hugging Face)</x:v>
      </x:c>
    </x:row>
    <x:row r="106" ht="18" customHeight="1">
      <x:c r="A106" s="13" t="n">
        <x:v>42733</x:v>
      </x:c>
      <x:c r="B106" s="12" t="n">
        <x:v>3297.7648</x:v>
      </x:c>
      <x:c r="C106" s="12" t="n">
        <x:v>3301.8887</x:v>
      </x:c>
      <x:c r="D106" s="12" t="n">
        <x:v>-0.1249</x:v>
      </x:c>
      <x:c r="E106" s="12" t="n">
        <x:v>-0.0012497324402671603</x:v>
      </x:c>
      <x:c r="F106" s="12" t="n">
        <x:v>4.18</x:v>
      </x:c>
      <x:c r="G106" s="12" t="n">
        <x:v>418</x:v>
      </x:c>
      <x:c r="H106" s="12" t="n">
        <x:v>2.999999999999943</x:v>
      </x:c>
      <x:c r="I106" s="12" t="str">
        <x:v>TuShare index_daily</x:v>
      </x:c>
      <x:c r="J106" s="12" t="str">
        <x:v>Archived FRED mirror (Hugging Face)</x:v>
      </x:c>
    </x:row>
    <x:row r="107" ht="18" customHeight="1">
      <x:c r="A107" s="13" t="n">
        <x:v>42734</x:v>
      </x:c>
      <x:c r="B107" s="12" t="n">
        <x:v>3310.0808</x:v>
      </x:c>
      <x:c r="C107" s="12" t="n">
        <x:v>3297.7648</x:v>
      </x:c>
      <x:c r="D107" s="12" t="n">
        <x:v>0.3735</x:v>
      </x:c>
      <x:c r="E107" s="12" t="n">
        <x:v>0.003727694321920061</x:v>
      </x:c>
      <x:c r="F107" s="12" t="n">
        <x:v>4.21</x:v>
      </x:c>
      <x:c r="G107" s="12" t="n">
        <x:v>421</x:v>
      </x:c>
      <x:c r="H107" s="12" t="n">
        <x:v>3</x:v>
      </x:c>
      <x:c r="I107" s="12" t="str">
        <x:v>TuShare index_daily</x:v>
      </x:c>
      <x:c r="J107" s="12" t="str">
        <x:v>Archived FRED mirror (Hugging Face)</x:v>
      </x:c>
    </x:row>
    <x:row r="108" ht="18" customHeight="1">
      <x:c r="A108" s="13" t="n">
        <x:v>42738</x:v>
      </x:c>
      <x:c r="B108" s="12" t="n">
        <x:v>3342.2272</x:v>
      </x:c>
      <x:c r="C108" s="12" t="n">
        <x:v>3310.0808</x:v>
      </x:c>
      <x:c r="D108" s="12" t="n">
        <x:v>0.9712</x:v>
      </x:c>
      <x:c r="E108" s="12" t="n">
        <x:v>0.009664811138848765</x:v>
      </x:c>
      <x:c r="F108" s="12" t="n">
        <x:v>4.13</x:v>
      </x:c>
      <x:c r="G108" s="12" t="n">
        <x:v>413</x:v>
      </x:c>
      <x:c r="H108" s="12" t="n">
        <x:v>-9</x:v>
      </x:c>
      <x:c r="I108" s="12" t="str">
        <x:v>TuShare index_daily</x:v>
      </x:c>
      <x:c r="J108" s="12" t="str">
        <x:v>Archived FRED mirror (Hugging Face)</x:v>
      </x:c>
    </x:row>
    <x:row r="109" ht="18" customHeight="1">
      <x:c r="A109" s="13" t="n">
        <x:v>42739</x:v>
      </x:c>
      <x:c r="B109" s="12" t="n">
        <x:v>3368.3117</x:v>
      </x:c>
      <x:c r="C109" s="12" t="n">
        <x:v>3342.2272</x:v>
      </x:c>
      <x:c r="D109" s="12" t="n">
        <x:v>0.7805</x:v>
      </x:c>
      <x:c r="E109" s="12" t="n">
        <x:v>0.007774228497749764</x:v>
      </x:c>
      <x:c r="F109" s="12" t="n">
        <x:v>4.02</x:v>
      </x:c>
      <x:c r="G109" s="12" t="n">
        <x:v>401.99999999999994</x:v>
      </x:c>
      <x:c r="H109" s="12" t="n">
        <x:v>-11.000000000000057</x:v>
      </x:c>
      <x:c r="I109" s="12" t="str">
        <x:v>TuShare index_daily</x:v>
      </x:c>
      <x:c r="J109" s="12" t="str">
        <x:v>Archived FRED mirror (Hugging Face)</x:v>
      </x:c>
    </x:row>
    <x:row r="110" ht="18" customHeight="1">
      <x:c r="A110" s="13" t="n">
        <x:v>42740</x:v>
      </x:c>
      <x:c r="B110" s="12" t="n">
        <x:v>3367.7892</x:v>
      </x:c>
      <x:c r="C110" s="12" t="n">
        <x:v>3368.3117</x:v>
      </x:c>
      <x:c r="D110" s="12" t="n">
        <x:v>-0.0155</x:v>
      </x:c>
      <x:c r="E110" s="12" t="n">
        <x:v>-0.0001551342560940013</x:v>
      </x:c>
      <x:c r="F110" s="12" t="n">
        <x:v>4.04</x:v>
      </x:c>
      <x:c r="G110" s="12" t="n">
        <x:v>404</x:v>
      </x:c>
      <x:c r="H110" s="12" t="n">
        <x:v>2.000000000000057</x:v>
      </x:c>
      <x:c r="I110" s="12" t="str">
        <x:v>TuShare index_daily</x:v>
      </x:c>
      <x:c r="J110" s="12" t="str">
        <x:v>Archived FRED mirror (Hugging Face)</x:v>
      </x:c>
    </x:row>
    <x:row r="111" ht="18" customHeight="1">
      <x:c r="A111" s="13" t="n">
        <x:v>42741</x:v>
      </x:c>
      <x:c r="B111" s="12" t="n">
        <x:v>3347.6665</x:v>
      </x:c>
      <x:c r="C111" s="12" t="n">
        <x:v>3367.7892</x:v>
      </x:c>
      <x:c r="D111" s="12" t="n">
        <x:v>-0.5975</x:v>
      </x:c>
      <x:c r="E111" s="12" t="n">
        <x:v>-0.005992969390497952</x:v>
      </x:c>
      <x:c r="F111" s="12" t="n">
        <x:v>3.98</x:v>
      </x:c>
      <x:c r="G111" s="12" t="n">
        <x:v>398</x:v>
      </x:c>
      <x:c r="H111" s="12" t="n">
        <x:v>-6</x:v>
      </x:c>
      <x:c r="I111" s="12" t="str">
        <x:v>TuShare index_daily</x:v>
      </x:c>
      <x:c r="J111" s="12" t="str">
        <x:v>Archived FRED mirror (Hugging Face)</x:v>
      </x:c>
    </x:row>
    <x:row r="112" ht="18" customHeight="1">
      <x:c r="A112" s="13" t="n">
        <x:v>42744</x:v>
      </x:c>
      <x:c r="B112" s="12" t="n">
        <x:v>3363.9014</x:v>
      </x:c>
      <x:c r="C112" s="12" t="n">
        <x:v>3347.6665</x:v>
      </x:c>
      <x:c r="D112" s="12" t="n">
        <x:v>0.485</x:v>
      </x:c>
      <x:c r="E112" s="12" t="n">
        <x:v>0.004837895379147162</x:v>
      </x:c>
      <x:c r="F112" s="12" t="n">
        <x:v>4.02</x:v>
      </x:c>
      <x:c r="G112" s="12" t="n">
        <x:v>401.99999999999994</x:v>
      </x:c>
      <x:c r="H112" s="12" t="n">
        <x:v>3.999999999999943</x:v>
      </x:c>
      <x:c r="I112" s="12" t="str">
        <x:v>TuShare index_daily</x:v>
      </x:c>
      <x:c r="J112" s="12" t="str">
        <x:v>Archived FRED mirror (Hugging Face)</x:v>
      </x:c>
    </x:row>
    <x:row r="113" ht="18" customHeight="1">
      <x:c r="A113" s="13" t="n">
        <x:v>42745</x:v>
      </x:c>
      <x:c r="B113" s="12" t="n">
        <x:v>3358.2716</x:v>
      </x:c>
      <x:c r="C113" s="12" t="n">
        <x:v>3363.9014</x:v>
      </x:c>
      <x:c r="D113" s="12" t="n">
        <x:v>-0.1674</x:v>
      </x:c>
      <x:c r="E113" s="12" t="n">
        <x:v>-0.0016749944746291014</x:v>
      </x:c>
      <x:c r="F113" s="12" t="n">
        <x:v>4</x:v>
      </x:c>
      <x:c r="G113" s="12" t="n">
        <x:v>400</x:v>
      </x:c>
      <x:c r="H113" s="12" t="n">
        <x:v>-1.9999999999999432</x:v>
      </x:c>
      <x:c r="I113" s="12" t="str">
        <x:v>TuShare index_daily</x:v>
      </x:c>
      <x:c r="J113" s="12" t="str">
        <x:v>Archived FRED mirror (Hugging Face)</x:v>
      </x:c>
    </x:row>
    <x:row r="114" ht="18" customHeight="1">
      <x:c r="A114" s="13" t="n">
        <x:v>42746</x:v>
      </x:c>
      <x:c r="B114" s="12" t="n">
        <x:v>3334.4954</x:v>
      </x:c>
      <x:c r="C114" s="12" t="n">
        <x:v>3358.2716</x:v>
      </x:c>
      <x:c r="D114" s="12" t="n">
        <x:v>-0.708</x:v>
      </x:c>
      <x:c r="E114" s="12" t="n">
        <x:v>-0.007105073289585152</x:v>
      </x:c>
      <x:c r="F114" s="12" t="n">
        <x:v>4.03</x:v>
      </x:c>
      <x:c r="G114" s="12" t="n">
        <x:v>403</x:v>
      </x:c>
      <x:c r="H114" s="12" t="n">
        <x:v>3</x:v>
      </x:c>
      <x:c r="I114" s="12" t="str">
        <x:v>TuShare index_daily</x:v>
      </x:c>
      <x:c r="J114" s="12" t="str">
        <x:v>Archived FRED mirror (Hugging Face)</x:v>
      </x:c>
    </x:row>
    <x:row r="115" ht="18" customHeight="1">
      <x:c r="A115" s="13" t="n">
        <x:v>42747</x:v>
      </x:c>
      <x:c r="B115" s="12" t="n">
        <x:v>3317.6241</x:v>
      </x:c>
      <x:c r="C115" s="12" t="n">
        <x:v>3334.4954</x:v>
      </x:c>
      <x:c r="D115" s="12" t="n">
        <x:v>-0.506</x:v>
      </x:c>
      <x:c r="E115" s="12" t="n">
        <x:v>-0.005072469361016922</x:v>
      </x:c>
      <x:c r="F115" s="12" t="n">
        <x:v>4.05</x:v>
      </x:c>
      <x:c r="G115" s="12" t="n">
        <x:v>405</x:v>
      </x:c>
      <x:c r="H115" s="12" t="n">
        <x:v>2</x:v>
      </x:c>
      <x:c r="I115" s="12" t="str">
        <x:v>TuShare index_daily</x:v>
      </x:c>
      <x:c r="J115" s="12" t="str">
        <x:v>Archived FRED mirror (Hugging Face)</x:v>
      </x:c>
    </x:row>
    <x:row r="116" ht="18" customHeight="1">
      <x:c r="A116" s="13" t="n">
        <x:v>42748</x:v>
      </x:c>
      <x:c r="B116" s="12" t="n">
        <x:v>3319.9122</x:v>
      </x:c>
      <x:c r="C116" s="12" t="n">
        <x:v>3317.6241</x:v>
      </x:c>
      <x:c r="D116" s="12" t="n">
        <x:v>0.069</x:v>
      </x:c>
      <x:c r="E116" s="12" t="n">
        <x:v>0.0006894425844824638</x:v>
      </x:c>
      <x:c r="F116" s="12" t="n">
        <x:v>4.02</x:v>
      </x:c>
      <x:c r="G116" s="12" t="n">
        <x:v>401.99999999999994</x:v>
      </x:c>
      <x:c r="H116" s="12" t="n">
        <x:v>-3.000000000000057</x:v>
      </x:c>
      <x:c r="I116" s="12" t="str">
        <x:v>TuShare index_daily</x:v>
      </x:c>
      <x:c r="J116" s="12" t="str">
        <x:v>Archived FRED mirror (Hugging Face)</x:v>
      </x:c>
    </x:row>
    <x:row r="117" ht="18" customHeight="1">
      <x:c r="A117" s="13" t="n">
        <x:v>42751</x:v>
      </x:c>
      <x:c r="B117" s="12" t="n">
        <x:v>3319.4455</x:v>
      </x:c>
      <x:c r="C117" s="12" t="n">
        <x:v>3319.9122</x:v>
      </x:c>
      <x:c r="D117" s="12" t="n">
        <x:v>-0.0141</x:v>
      </x:c>
      <x:c r="E117" s="12" t="n">
        <x:v>-0.0001405858885322311</x:v>
      </x:c>
      <x:c r="F117" s="12" t="n">
        <x:v>4</x:v>
      </x:c>
      <x:c r="G117" s="12" t="n">
        <x:v>400</x:v>
      </x:c>
      <x:c r="H117" s="12" t="n">
        <x:v>-1.9999999999999432</x:v>
      </x:c>
      <x:c r="I117" s="12" t="str">
        <x:v>TuShare index_daily</x:v>
      </x:c>
      <x:c r="J117" s="12" t="str">
        <x:v>Archived FRED mirror (Hugging Face)</x:v>
      </x:c>
    </x:row>
    <x:row r="118" ht="18" customHeight="1">
      <x:c r="A118" s="13" t="n">
        <x:v>42752</x:v>
      </x:c>
      <x:c r="B118" s="12" t="n">
        <x:v>3326.3563</x:v>
      </x:c>
      <x:c r="C118" s="12" t="n">
        <x:v>3319.4455</x:v>
      </x:c>
      <x:c r="D118" s="12" t="n">
        <x:v>0.2082</x:v>
      </x:c>
      <x:c r="E118" s="12" t="n">
        <x:v>0.002079749802642117</x:v>
      </x:c>
      <x:c r="F118" s="12" t="n">
        <x:v>4.06</x:v>
      </x:c>
      <x:c r="G118" s="12" t="n">
        <x:v>405.99999999999994</x:v>
      </x:c>
      <x:c r="H118" s="12" t="n">
        <x:v>5.999999999999943</x:v>
      </x:c>
      <x:c r="I118" s="12" t="str">
        <x:v>TuShare index_daily</x:v>
      </x:c>
      <x:c r="J118" s="12" t="str">
        <x:v>Archived FRED mirror (Hugging Face)</x:v>
      </x:c>
    </x:row>
    <x:row r="119" ht="18" customHeight="1">
      <x:c r="A119" s="13" t="n">
        <x:v>42753</x:v>
      </x:c>
      <x:c r="B119" s="12" t="n">
        <x:v>3339.3653</x:v>
      </x:c>
      <x:c r="C119" s="12" t="n">
        <x:v>3326.3563</x:v>
      </x:c>
      <x:c r="D119" s="12" t="n">
        <x:v>0.3911</x:v>
      </x:c>
      <x:c r="E119" s="12" t="n">
        <x:v>0.0039032582808338225</x:v>
      </x:c>
      <x:c r="F119" s="12" t="n">
        <x:v>4.01</x:v>
      </x:c>
      <x:c r="G119" s="12" t="n">
        <x:v>401</x:v>
      </x:c>
      <x:c r="H119" s="12" t="n">
        <x:v>-4.999999999999943</x:v>
      </x:c>
      <x:c r="I119" s="12" t="str">
        <x:v>TuShare index_daily</x:v>
      </x:c>
      <x:c r="J119" s="12" t="str">
        <x:v>Archived FRED mirror (Hugging Face)</x:v>
      </x:c>
    </x:row>
    <x:row r="120" ht="18" customHeight="1">
      <x:c r="A120" s="13" t="n">
        <x:v>42754</x:v>
      </x:c>
      <x:c r="B120" s="12" t="n">
        <x:v>3329.2891</x:v>
      </x:c>
      <x:c r="C120" s="12" t="n">
        <x:v>3339.3653</x:v>
      </x:c>
      <x:c r="D120" s="12" t="n">
        <x:v>-0.3017</x:v>
      </x:c>
      <x:c r="E120" s="12" t="n">
        <x:v>-0.003021961272486019</x:v>
      </x:c>
      <x:c r="F120" s="12" t="n">
        <x:v>3.99</x:v>
      </x:c>
      <x:c r="G120" s="12" t="n">
        <x:v>399</x:v>
      </x:c>
      <x:c r="H120" s="12" t="n">
        <x:v>-2</x:v>
      </x:c>
      <x:c r="I120" s="12" t="str">
        <x:v>TuShare index_daily</x:v>
      </x:c>
      <x:c r="J120" s="12" t="str">
        <x:v>Archived FRED mirror (Hugging Face)</x:v>
      </x:c>
    </x:row>
    <x:row r="121" ht="18" customHeight="1">
      <x:c r="A121" s="13" t="n">
        <x:v>42755</x:v>
      </x:c>
      <x:c r="B121" s="12" t="n">
        <x:v>3354.8891</x:v>
      </x:c>
      <x:c r="C121" s="12" t="n">
        <x:v>3329.2891</x:v>
      </x:c>
      <x:c r="D121" s="12" t="n">
        <x:v>0.7689</x:v>
      </x:c>
      <x:c r="E121" s="12" t="n">
        <x:v>0.007659917017705633</x:v>
      </x:c>
      <x:c r="F121" s="12" t="n">
        <x:v>4.02</x:v>
      </x:c>
      <x:c r="G121" s="12" t="n">
        <x:v>401.99999999999994</x:v>
      </x:c>
      <x:c r="H121" s="12" t="n">
        <x:v>2.999999999999943</x:v>
      </x:c>
      <x:c r="I121" s="12" t="str">
        <x:v>TuShare index_daily</x:v>
      </x:c>
      <x:c r="J121" s="12" t="str">
        <x:v>Archived FRED mirror (Hugging Face)</x:v>
      </x:c>
    </x:row>
    <x:row r="122" ht="18" customHeight="1">
      <x:c r="A122" s="13" t="n">
        <x:v>42758</x:v>
      </x:c>
      <x:c r="B122" s="12" t="n">
        <x:v>3364.0808</x:v>
      </x:c>
      <x:c r="C122" s="12" t="n">
        <x:v>3354.8891</x:v>
      </x:c>
      <x:c r="D122" s="12" t="n">
        <x:v>0.274</x:v>
      </x:c>
      <x:c r="E122" s="12" t="n">
        <x:v>0.0027360461114876037</x:v>
      </x:c>
      <x:c r="F122" s="12" t="n">
        <x:v>4.1</x:v>
      </x:c>
      <x:c r="G122" s="12" t="n">
        <x:v>409.99999999999994</x:v>
      </x:c>
      <x:c r="H122" s="12" t="n">
        <x:v>8</x:v>
      </x:c>
      <x:c r="I122" s="12" t="str">
        <x:v>TuShare index_daily</x:v>
      </x:c>
      <x:c r="J122" s="12" t="str">
        <x:v>Archived FRED mirror (Hugging Face)</x:v>
      </x:c>
    </x:row>
    <x:row r="123" ht="18" customHeight="1">
      <x:c r="A123" s="13" t="n">
        <x:v>42759</x:v>
      </x:c>
      <x:c r="B123" s="12" t="n">
        <x:v>3364.4509</x:v>
      </x:c>
      <x:c r="C123" s="12" t="n">
        <x:v>3364.0808</x:v>
      </x:c>
      <x:c r="D123" s="12" t="n">
        <x:v>0.011</x:v>
      </x:c>
      <x:c r="E123" s="12" t="n">
        <x:v>0.00011000914222430327</x:v>
      </x:c>
      <x:c r="F123" s="12" t="n">
        <x:v>4.02</x:v>
      </x:c>
      <x:c r="G123" s="12" t="n">
        <x:v>401.99999999999994</x:v>
      </x:c>
      <x:c r="H123" s="12" t="n">
        <x:v>-8</x:v>
      </x:c>
      <x:c r="I123" s="12" t="str">
        <x:v>TuShare index_daily</x:v>
      </x:c>
      <x:c r="J123" s="12" t="str">
        <x:v>Archived FRED mirror (Hugging Face)</x:v>
      </x:c>
    </x:row>
    <x:row r="124" ht="18" customHeight="1">
      <x:c r="A124" s="13" t="n">
        <x:v>42760</x:v>
      </x:c>
      <x:c r="B124" s="12" t="n">
        <x:v>3375.9042</x:v>
      </x:c>
      <x:c r="C124" s="12" t="n">
        <x:v>3364.4509</x:v>
      </x:c>
      <x:c r="D124" s="12" t="n">
        <x:v>0.3404</x:v>
      </x:c>
      <x:c r="E124" s="12" t="n">
        <x:v>0.0033984295643869795</x:v>
      </x:c>
      <x:c r="F124" s="12" t="n">
        <x:v>3.93</x:v>
      </x:c>
      <x:c r="G124" s="12" t="n">
        <x:v>393</x:v>
      </x:c>
      <x:c r="H124" s="12" t="n">
        <x:v>-8.999999999999943</x:v>
      </x:c>
      <x:c r="I124" s="12" t="str">
        <x:v>TuShare index_daily</x:v>
      </x:c>
      <x:c r="J124" s="12" t="str">
        <x:v>Archived FRED mirror (Hugging Face)</x:v>
      </x:c>
    </x:row>
    <x:row r="125" ht="18" customHeight="1">
      <x:c r="A125" s="13" t="n">
        <x:v>42761</x:v>
      </x:c>
      <x:c r="B125" s="12" t="n">
        <x:v>3387.9606</x:v>
      </x:c>
      <x:c r="C125" s="12" t="n">
        <x:v>3375.9042</x:v>
      </x:c>
      <x:c r="D125" s="12" t="n">
        <x:v>0.3571</x:v>
      </x:c>
      <x:c r="E125" s="12" t="n">
        <x:v>0.003564947888545204</x:v>
      </x:c>
      <x:c r="F125" s="12" t="n">
        <x:v>3.93</x:v>
      </x:c>
      <x:c r="G125" s="12" t="n">
        <x:v>393</x:v>
      </x:c>
      <x:c r="H125" s="12" t="n">
        <x:v>0</x:v>
      </x:c>
      <x:c r="I125" s="12" t="str">
        <x:v>TuShare index_daily</x:v>
      </x:c>
      <x:c r="J125" s="12" t="str">
        <x:v>Archived FRED mirror (Hugging Face)</x:v>
      </x:c>
    </x:row>
    <x:row r="126" ht="18" customHeight="1">
      <x:c r="A126" s="13" t="n">
        <x:v>42769</x:v>
      </x:c>
      <x:c r="B126" s="12" t="n">
        <x:v>3364.4923</x:v>
      </x:c>
      <x:c r="C126" s="12" t="n">
        <x:v>3387.9606</x:v>
      </x:c>
      <x:c r="D126" s="12" t="n">
        <x:v>-0.6927</x:v>
      </x:c>
      <x:c r="E126" s="12" t="n">
        <x:v>-0.006951072400334702</x:v>
      </x:c>
      <x:c r="F126" s="12" t="n">
        <x:v>3.86</x:v>
      </x:c>
      <x:c r="G126" s="12" t="n">
        <x:v>386</x:v>
      </x:c>
      <x:c r="H126" s="12" t="n">
        <x:v>-7</x:v>
      </x:c>
      <x:c r="I126" s="12" t="str">
        <x:v>TuShare index_daily</x:v>
      </x:c>
      <x:c r="J126" s="12" t="str">
        <x:v>Archived FRED mirror (Hugging Face)</x:v>
      </x:c>
    </x:row>
    <x:row r="127" ht="18" customHeight="1">
      <x:c r="A127" s="13" t="n">
        <x:v>42772</x:v>
      </x:c>
      <x:c r="B127" s="12" t="n">
        <x:v>3373.2051</x:v>
      </x:c>
      <x:c r="C127" s="12" t="n">
        <x:v>3364.4923</x:v>
      </x:c>
      <x:c r="D127" s="12" t="n">
        <x:v>0.259</x:v>
      </x:c>
      <x:c r="E127" s="12" t="n">
        <x:v>0.002586285592632144</x:v>
      </x:c>
      <x:c r="F127" s="12" t="n">
        <x:v>3.91</x:v>
      </x:c>
      <x:c r="G127" s="12" t="n">
        <x:v>391</x:v>
      </x:c>
      <x:c r="H127" s="12" t="n">
        <x:v>5</x:v>
      </x:c>
      <x:c r="I127" s="12" t="str">
        <x:v>TuShare index_daily</x:v>
      </x:c>
      <x:c r="J127" s="12" t="str">
        <x:v>Archived FRED mirror (Hugging Face)</x:v>
      </x:c>
    </x:row>
    <x:row r="128" ht="18" customHeight="1">
      <x:c r="A128" s="13" t="n">
        <x:v>42773</x:v>
      </x:c>
      <x:c r="B128" s="12" t="n">
        <x:v>3365.6849</x:v>
      </x:c>
      <x:c r="C128" s="12" t="n">
        <x:v>3373.2051</x:v>
      </x:c>
      <x:c r="D128" s="12" t="n">
        <x:v>-0.2229</x:v>
      </x:c>
      <x:c r="E128" s="12" t="n">
        <x:v>-0.0022318818445456945</x:v>
      </x:c>
      <x:c r="F128" s="12" t="n">
        <x:v>3.93</x:v>
      </x:c>
      <x:c r="G128" s="12" t="n">
        <x:v>393</x:v>
      </x:c>
      <x:c r="H128" s="12" t="n">
        <x:v>2</x:v>
      </x:c>
      <x:c r="I128" s="12" t="str">
        <x:v>TuShare index_daily</x:v>
      </x:c>
      <x:c r="J128" s="12" t="str">
        <x:v>Archived FRED mirror (Hugging Face)</x:v>
      </x:c>
    </x:row>
    <x:row r="129" ht="18" customHeight="1">
      <x:c r="A129" s="13" t="n">
        <x:v>42774</x:v>
      </x:c>
      <x:c r="B129" s="12" t="n">
        <x:v>3383.2878</x:v>
      </x:c>
      <x:c r="C129" s="12" t="n">
        <x:v>3365.6849</x:v>
      </x:c>
      <x:c r="D129" s="12" t="n">
        <x:v>0.523</x:v>
      </x:c>
      <x:c r="E129" s="12" t="n">
        <x:v>0.005216479810918396</x:v>
      </x:c>
      <x:c r="F129" s="12" t="n">
        <x:v>3.98</x:v>
      </x:c>
      <x:c r="G129" s="12" t="n">
        <x:v>398</x:v>
      </x:c>
      <x:c r="H129" s="12" t="n">
        <x:v>5</x:v>
      </x:c>
      <x:c r="I129" s="12" t="str">
        <x:v>TuShare index_daily</x:v>
      </x:c>
      <x:c r="J129" s="12" t="str">
        <x:v>Archived FRED mirror (Hugging Face)</x:v>
      </x:c>
    </x:row>
    <x:row r="130" ht="18" customHeight="1">
      <x:c r="A130" s="13" t="n">
        <x:v>42775</x:v>
      </x:c>
      <x:c r="B130" s="12" t="n">
        <x:v>3396.2924</x:v>
      </x:c>
      <x:c r="C130" s="12" t="n">
        <x:v>3383.2878</x:v>
      </x:c>
      <x:c r="D130" s="12" t="n">
        <x:v>0.3844</x:v>
      </x:c>
      <x:c r="E130" s="12" t="n">
        <x:v>0.003836407437192441</x:v>
      </x:c>
      <x:c r="F130" s="12" t="n">
        <x:v>3.93</x:v>
      </x:c>
      <x:c r="G130" s="12" t="n">
        <x:v>393</x:v>
      </x:c>
      <x:c r="H130" s="12" t="n">
        <x:v>-5</x:v>
      </x:c>
      <x:c r="I130" s="12" t="str">
        <x:v>TuShare index_daily</x:v>
      </x:c>
      <x:c r="J130" s="12" t="str">
        <x:v>Archived FRED mirror (Hugging Face)</x:v>
      </x:c>
    </x:row>
    <x:row r="131" ht="18" customHeight="1">
      <x:c r="A131" s="13" t="n">
        <x:v>42776</x:v>
      </x:c>
      <x:c r="B131" s="12" t="n">
        <x:v>3413.4868</x:v>
      </x:c>
      <x:c r="C131" s="12" t="n">
        <x:v>3396.2924</x:v>
      </x:c>
      <x:c r="D131" s="12" t="n">
        <x:v>0.5063</x:v>
      </x:c>
      <x:c r="E131" s="12" t="n">
        <x:v>0.005049924831800413</x:v>
      </x:c>
      <x:c r="F131" s="12" t="n">
        <x:v>3.9</x:v>
      </x:c>
      <x:c r="G131" s="12" t="n">
        <x:v>390</x:v>
      </x:c>
      <x:c r="H131" s="12" t="n">
        <x:v>-3</x:v>
      </x:c>
      <x:c r="I131" s="12" t="str">
        <x:v>TuShare index_daily</x:v>
      </x:c>
      <x:c r="J131" s="12" t="str">
        <x:v>Archived FRED mirror (Hugging Face)</x:v>
      </x:c>
    </x:row>
    <x:row r="132" ht="18" customHeight="1">
      <x:c r="A132" s="13" t="n">
        <x:v>42779</x:v>
      </x:c>
      <x:c r="B132" s="12" t="n">
        <x:v>3436.275</x:v>
      </x:c>
      <x:c r="C132" s="12" t="n">
        <x:v>3413.4868</x:v>
      </x:c>
      <x:c r="D132" s="12" t="n">
        <x:v>0.6676</x:v>
      </x:c>
      <x:c r="E132" s="12" t="n">
        <x:v>0.006653744973676488</x:v>
      </x:c>
      <x:c r="F132" s="12" t="n">
        <x:v>3.86</x:v>
      </x:c>
      <x:c r="G132" s="12" t="n">
        <x:v>386</x:v>
      </x:c>
      <x:c r="H132" s="12" t="n">
        <x:v>-4</x:v>
      </x:c>
      <x:c r="I132" s="12" t="str">
        <x:v>TuShare index_daily</x:v>
      </x:c>
      <x:c r="J132" s="12" t="str">
        <x:v>Archived FRED mirror (Hugging Face)</x:v>
      </x:c>
    </x:row>
    <x:row r="133" ht="18" customHeight="1">
      <x:c r="A133" s="13" t="n">
        <x:v>42780</x:v>
      </x:c>
      <x:c r="B133" s="12" t="n">
        <x:v>3435.8042</x:v>
      </x:c>
      <x:c r="C133" s="12" t="n">
        <x:v>3436.275</x:v>
      </x:c>
      <x:c r="D133" s="12" t="n">
        <x:v>-0.0137</x:v>
      </x:c>
      <x:c r="E133" s="12" t="n">
        <x:v>-0.00013701821152957766</x:v>
      </x:c>
      <x:c r="F133" s="12" t="n">
        <x:v>3.8</x:v>
      </x:c>
      <x:c r="G133" s="12" t="n">
        <x:v>380</x:v>
      </x:c>
      <x:c r="H133" s="12" t="n">
        <x:v>-6</x:v>
      </x:c>
      <x:c r="I133" s="12" t="str">
        <x:v>TuShare index_daily</x:v>
      </x:c>
      <x:c r="J133" s="12" t="str">
        <x:v>Archived FRED mirror (Hugging Face)</x:v>
      </x:c>
    </x:row>
    <x:row r="134" ht="18" customHeight="1">
      <x:c r="A134" s="13" t="n">
        <x:v>42781</x:v>
      </x:c>
      <x:c r="B134" s="12" t="n">
        <x:v>3421.7131</x:v>
      </x:c>
      <x:c r="C134" s="12" t="n">
        <x:v>3435.8042</x:v>
      </x:c>
      <x:c r="D134" s="12" t="n">
        <x:v>-0.4101</x:v>
      </x:c>
      <x:c r="E134" s="12" t="n">
        <x:v>-0.004109685536673305</x:v>
      </x:c>
      <x:c r="F134" s="12" t="n">
        <x:v>3.77</x:v>
      </x:c>
      <x:c r="G134" s="12" t="n">
        <x:v>377</x:v>
      </x:c>
      <x:c r="H134" s="12" t="n">
        <x:v>-3</x:v>
      </x:c>
      <x:c r="I134" s="12" t="str">
        <x:v>TuShare index_daily</x:v>
      </x:c>
      <x:c r="J134" s="12" t="str">
        <x:v>Archived FRED mirror (Hugging Face)</x:v>
      </x:c>
    </x:row>
    <x:row r="135" ht="18" customHeight="1">
      <x:c r="A135" s="13" t="n">
        <x:v>42782</x:v>
      </x:c>
      <x:c r="B135" s="12" t="n">
        <x:v>3440.9331</x:v>
      </x:c>
      <x:c r="C135" s="12" t="n">
        <x:v>3421.7131</x:v>
      </x:c>
      <x:c r="D135" s="12" t="n">
        <x:v>0.5617</x:v>
      </x:c>
      <x:c r="E135" s="12" t="n">
        <x:v>0.005601352508163811</x:v>
      </x:c>
      <x:c r="F135" s="12" t="n">
        <x:v>3.83</x:v>
      </x:c>
      <x:c r="G135" s="12" t="n">
        <x:v>383</x:v>
      </x:c>
      <x:c r="H135" s="12" t="n">
        <x:v>6</x:v>
      </x:c>
      <x:c r="I135" s="12" t="str">
        <x:v>TuShare index_daily</x:v>
      </x:c>
      <x:c r="J135" s="12" t="str">
        <x:v>Archived FRED mirror (Hugging Face)</x:v>
      </x:c>
    </x:row>
    <x:row r="136" ht="18" customHeight="1">
      <x:c r="A136" s="13" t="n">
        <x:v>42783</x:v>
      </x:c>
      <x:c r="B136" s="12" t="n">
        <x:v>3421.4419</x:v>
      </x:c>
      <x:c r="C136" s="12" t="n">
        <x:v>3440.9331</x:v>
      </x:c>
      <x:c r="D136" s="12" t="n">
        <x:v>-0.5665</x:v>
      </x:c>
      <x:c r="E136" s="12" t="n">
        <x:v>-0.005680614193787631</x:v>
      </x:c>
      <x:c r="F136" s="12" t="n">
        <x:v>3.86</x:v>
      </x:c>
      <x:c r="G136" s="12" t="n">
        <x:v>386</x:v>
      </x:c>
      <x:c r="H136" s="12" t="n">
        <x:v>3</x:v>
      </x:c>
      <x:c r="I136" s="12" t="str">
        <x:v>TuShare index_daily</x:v>
      </x:c>
      <x:c r="J136" s="12" t="str">
        <x:v>Archived FRED mirror (Hugging Face)</x:v>
      </x:c>
    </x:row>
    <x:row r="137" ht="18" customHeight="1">
      <x:c r="A137" s="13" t="n">
        <x:v>42786</x:v>
      </x:c>
      <x:c r="B137" s="12" t="n">
        <x:v>3471.3926</x:v>
      </x:c>
      <x:c r="C137" s="12" t="n">
        <x:v>3421.4419</x:v>
      </x:c>
      <x:c r="D137" s="12" t="n">
        <x:v>1.4599</x:v>
      </x:c>
      <x:c r="E137" s="12" t="n">
        <x:v>0.014493768687695141</x:v>
      </x:c>
      <x:c r="F137" s="12" t="n">
        <x:v>3.86</x:v>
      </x:c>
      <x:c r="G137" s="12" t="n">
        <x:v>386</x:v>
      </x:c>
      <x:c r="H137" s="12" t="n">
        <x:v>0</x:v>
      </x:c>
      <x:c r="I137" s="12" t="str">
        <x:v>TuShare index_daily</x:v>
      </x:c>
      <x:c r="J137" s="12" t="str">
        <x:v>Archived FRED mirror (Hugging Face)</x:v>
      </x:c>
    </x:row>
    <x:row r="138" ht="18" customHeight="1">
      <x:c r="A138" s="13" t="n">
        <x:v>42787</x:v>
      </x:c>
      <x:c r="B138" s="12" t="n">
        <x:v>3482.823</x:v>
      </x:c>
      <x:c r="C138" s="12" t="n">
        <x:v>3471.3926</x:v>
      </x:c>
      <x:c r="D138" s="12" t="n">
        <x:v>0.3293</x:v>
      </x:c>
      <x:c r="E138" s="12" t="n">
        <x:v>0.0032873327348675757</x:v>
      </x:c>
      <x:c r="F138" s="12" t="n">
        <x:v>3.81</x:v>
      </x:c>
      <x:c r="G138" s="12" t="n">
        <x:v>381</x:v>
      </x:c>
      <x:c r="H138" s="12" t="n">
        <x:v>-5</x:v>
      </x:c>
      <x:c r="I138" s="12" t="str">
        <x:v>TuShare index_daily</x:v>
      </x:c>
      <x:c r="J138" s="12" t="str">
        <x:v>Archived FRED mirror (Hugging Face)</x:v>
      </x:c>
    </x:row>
    <x:row r="139" ht="18" customHeight="1">
      <x:c r="A139" s="13" t="n">
        <x:v>42788</x:v>
      </x:c>
      <x:c r="B139" s="12" t="n">
        <x:v>3489.7567</x:v>
      </x:c>
      <x:c r="C139" s="12" t="n">
        <x:v>3482.823</x:v>
      </x:c>
      <x:c r="D139" s="12" t="n">
        <x:v>0.1991</x:v>
      </x:c>
      <x:c r="E139" s="12" t="n">
        <x:v>0.0019888484847383437</x:v>
      </x:c>
      <x:c r="F139" s="12" t="n">
        <x:v>3.78</x:v>
      </x:c>
      <x:c r="G139" s="12" t="n">
        <x:v>378</x:v>
      </x:c>
      <x:c r="H139" s="12" t="n">
        <x:v>-3</x:v>
      </x:c>
      <x:c r="I139" s="12" t="str">
        <x:v>TuShare index_daily</x:v>
      </x:c>
      <x:c r="J139" s="12" t="str">
        <x:v>Archived FRED mirror (Hugging Face)</x:v>
      </x:c>
    </x:row>
    <x:row r="140" ht="18" customHeight="1">
      <x:c r="A140" s="13" t="n">
        <x:v>42789</x:v>
      </x:c>
      <x:c r="B140" s="12" t="n">
        <x:v>3473.3236</x:v>
      </x:c>
      <x:c r="C140" s="12" t="n">
        <x:v>3489.7567</x:v>
      </x:c>
      <x:c r="D140" s="12" t="n">
        <x:v>-0.4709</x:v>
      </x:c>
      <x:c r="E140" s="12" t="n">
        <x:v>-0.004720074967268536</x:v>
      </x:c>
      <x:c r="F140" s="12" t="n">
        <x:v>3.77</x:v>
      </x:c>
      <x:c r="G140" s="12" t="n">
        <x:v>377</x:v>
      </x:c>
      <x:c r="H140" s="12" t="n">
        <x:v>-1</x:v>
      </x:c>
      <x:c r="I140" s="12" t="str">
        <x:v>TuShare index_daily</x:v>
      </x:c>
      <x:c r="J140" s="12" t="str">
        <x:v>Archived FRED mirror (Hugging Face)</x:v>
      </x:c>
    </x:row>
    <x:row r="141" ht="18" customHeight="1">
      <x:c r="A141" s="13" t="n">
        <x:v>42790</x:v>
      </x:c>
      <x:c r="B141" s="12" t="n">
        <x:v>3473.8517</x:v>
      </x:c>
      <x:c r="C141" s="12" t="n">
        <x:v>3473.3236</x:v>
      </x:c>
      <x:c r="D141" s="12" t="n">
        <x:v>0.0152</x:v>
      </x:c>
      <x:c r="E141" s="12" t="n">
        <x:v>0.00015203301434385405</x:v>
      </x:c>
      <x:c r="F141" s="12" t="n">
        <x:v>3.84</x:v>
      </x:c>
      <x:c r="G141" s="12" t="n">
        <x:v>384</x:v>
      </x:c>
      <x:c r="H141" s="12" t="n">
        <x:v>7</x:v>
      </x:c>
      <x:c r="I141" s="12" t="str">
        <x:v>TuShare index_daily</x:v>
      </x:c>
      <x:c r="J141" s="12" t="str">
        <x:v>Archived FRED mirror (Hugging Face)</x:v>
      </x:c>
    </x:row>
    <x:row r="142" ht="18" customHeight="1">
      <x:c r="A142" s="13" t="n">
        <x:v>42793</x:v>
      </x:c>
      <x:c r="B142" s="12" t="n">
        <x:v>3446.2228</x:v>
      </x:c>
      <x:c r="C142" s="12" t="n">
        <x:v>3473.8517</x:v>
      </x:c>
      <x:c r="D142" s="12" t="n">
        <x:v>-0.7953</x:v>
      </x:c>
      <x:c r="E142" s="12" t="n">
        <x:v>-0.007985187676467454</x:v>
      </x:c>
      <x:c r="F142" s="12" t="n">
        <x:v>3.75</x:v>
      </x:c>
      <x:c r="G142" s="12" t="n">
        <x:v>375</x:v>
      </x:c>
      <x:c r="H142" s="12" t="n">
        <x:v>-9</x:v>
      </x:c>
      <x:c r="I142" s="12" t="str">
        <x:v>TuShare index_daily</x:v>
      </x:c>
      <x:c r="J142" s="12" t="str">
        <x:v>Archived FRED mirror (Hugging Face)</x:v>
      </x:c>
    </x:row>
    <x:row r="143" ht="18" customHeight="1">
      <x:c r="A143" s="13" t="n">
        <x:v>42794</x:v>
      </x:c>
      <x:c r="B143" s="12" t="n">
        <x:v>3452.8103</x:v>
      </x:c>
      <x:c r="C143" s="12" t="n">
        <x:v>3446.2228</x:v>
      </x:c>
      <x:c r="D143" s="12" t="n">
        <x:v>0.1912</x:v>
      </x:c>
      <x:c r="E143" s="12" t="n">
        <x:v>0.0019096884756218898</x:v>
      </x:c>
      <x:c r="F143" s="12" t="n">
        <x:v>3.74</x:v>
      </x:c>
      <x:c r="G143" s="12" t="n">
        <x:v>374</x:v>
      </x:c>
      <x:c r="H143" s="12" t="n">
        <x:v>-1</x:v>
      </x:c>
      <x:c r="I143" s="12" t="str">
        <x:v>TuShare index_daily</x:v>
      </x:c>
      <x:c r="J143" s="12" t="str">
        <x:v>Archived FRED mirror (Hugging Face)</x:v>
      </x:c>
    </x:row>
    <x:row r="144" ht="18" customHeight="1">
      <x:c r="A144" s="13" t="n">
        <x:v>42795</x:v>
      </x:c>
      <x:c r="B144" s="12" t="n">
        <x:v>3458.4376</x:v>
      </x:c>
      <x:c r="C144" s="12" t="n">
        <x:v>3452.8103</x:v>
      </x:c>
      <x:c r="D144" s="12" t="n">
        <x:v>0.163</x:v>
      </x:c>
      <x:c r="E144" s="12" t="n">
        <x:v>0.0016284472283388108</x:v>
      </x:c>
      <x:c r="F144" s="12" t="n">
        <x:v>3.57</x:v>
      </x:c>
      <x:c r="G144" s="12" t="n">
        <x:v>357</x:v>
      </x:c>
      <x:c r="H144" s="12" t="n">
        <x:v>-17</x:v>
      </x:c>
      <x:c r="I144" s="12" t="str">
        <x:v>TuShare index_daily</x:v>
      </x:c>
      <x:c r="J144" s="12" t="str">
        <x:v>Archived FRED mirror (Hugging Face)</x:v>
      </x:c>
    </x:row>
    <x:row r="145" ht="18" customHeight="1">
      <x:c r="A145" s="13" t="n">
        <x:v>42796</x:v>
      </x:c>
      <x:c r="B145" s="12" t="n">
        <x:v>3435.0963</x:v>
      </x:c>
      <x:c r="C145" s="12" t="n">
        <x:v>3458.4376</x:v>
      </x:c>
      <x:c r="D145" s="12" t="n">
        <x:v>-0.6749</x:v>
      </x:c>
      <x:c r="E145" s="12" t="n">
        <x:v>-0.0067719661759197015</x:v>
      </x:c>
      <x:c r="F145" s="12" t="n">
        <x:v>3.55</x:v>
      </x:c>
      <x:c r="G145" s="12" t="n">
        <x:v>355</x:v>
      </x:c>
      <x:c r="H145" s="12" t="n">
        <x:v>-2</x:v>
      </x:c>
      <x:c r="I145" s="12" t="str">
        <x:v>TuShare index_daily</x:v>
      </x:c>
      <x:c r="J145" s="12" t="str">
        <x:v>Archived FRED mirror (Hugging Face)</x:v>
      </x:c>
    </x:row>
    <x:row r="146" ht="18" customHeight="1">
      <x:c r="A146" s="13" t="n">
        <x:v>42797</x:v>
      </x:c>
      <x:c r="B146" s="12" t="n">
        <x:v>3427.8628</x:v>
      </x:c>
      <x:c r="C146" s="12" t="n">
        <x:v>3435.0963</x:v>
      </x:c>
      <x:c r="D146" s="12" t="n">
        <x:v>-0.2106</x:v>
      </x:c>
      <x:c r="E146" s="12" t="n">
        <x:v>-0.0021079836184837606</x:v>
      </x:c>
      <x:c r="F146" s="12" t="n">
        <x:v>3.6</x:v>
      </x:c>
      <x:c r="G146" s="12" t="n">
        <x:v>360</x:v>
      </x:c>
      <x:c r="H146" s="12" t="n">
        <x:v>5</x:v>
      </x:c>
      <x:c r="I146" s="12" t="str">
        <x:v>TuShare index_daily</x:v>
      </x:c>
      <x:c r="J146" s="12" t="str">
        <x:v>Archived FRED mirror (Hugging Face)</x:v>
      </x:c>
    </x:row>
    <x:row r="147" ht="18" customHeight="1">
      <x:c r="A147" s="13" t="n">
        <x:v>42800</x:v>
      </x:c>
      <x:c r="B147" s="12" t="n">
        <x:v>3446.484</x:v>
      </x:c>
      <x:c r="C147" s="12" t="n">
        <x:v>3427.8628</x:v>
      </x:c>
      <x:c r="D147" s="12" t="n">
        <x:v>0.5432</x:v>
      </x:c>
      <x:c r="E147" s="12" t="n">
        <x:v>0.005417604344606997</x:v>
      </x:c>
      <x:c r="F147" s="12" t="n">
        <x:v>3.66</x:v>
      </x:c>
      <x:c r="G147" s="12" t="n">
        <x:v>366</x:v>
      </x:c>
      <x:c r="H147" s="12" t="n">
        <x:v>6</x:v>
      </x:c>
      <x:c r="I147" s="12" t="str">
        <x:v>TuShare index_daily</x:v>
      </x:c>
      <x:c r="J147" s="12" t="str">
        <x:v>Archived FRED mirror (Hugging Face)</x:v>
      </x:c>
    </x:row>
    <x:row r="148" ht="18" customHeight="1">
      <x:c r="A148" s="13" t="n">
        <x:v>42801</x:v>
      </x:c>
      <x:c r="B148" s="12" t="n">
        <x:v>3453.9565</x:v>
      </x:c>
      <x:c r="C148" s="12" t="n">
        <x:v>3446.484</x:v>
      </x:c>
      <x:c r="D148" s="12" t="n">
        <x:v>0.2168</x:v>
      </x:c>
      <x:c r="E148" s="12" t="n">
        <x:v>0.0021658046094139493</x:v>
      </x:c>
      <x:c r="F148" s="12" t="n">
        <x:v>3.73</x:v>
      </x:c>
      <x:c r="G148" s="12" t="n">
        <x:v>373</x:v>
      </x:c>
      <x:c r="H148" s="12" t="n">
        <x:v>7</x:v>
      </x:c>
      <x:c r="I148" s="12" t="str">
        <x:v>TuShare index_daily</x:v>
      </x:c>
      <x:c r="J148" s="12" t="str">
        <x:v>Archived FRED mirror (Hugging Face)</x:v>
      </x:c>
    </x:row>
    <x:row r="149" ht="18" customHeight="1">
      <x:c r="A149" s="13" t="n">
        <x:v>42802</x:v>
      </x:c>
      <x:c r="B149" s="12" t="n">
        <x:v>3448.7313</x:v>
      </x:c>
      <x:c r="C149" s="12" t="n">
        <x:v>3453.9565</x:v>
      </x:c>
      <x:c r="D149" s="12" t="n">
        <x:v>-0.1513</x:v>
      </x:c>
      <x:c r="E149" s="12" t="n">
        <x:v>-0.0015139612711579506</x:v>
      </x:c>
      <x:c r="F149" s="12" t="n">
        <x:v>3.79</x:v>
      </x:c>
      <x:c r="G149" s="12" t="n">
        <x:v>379</x:v>
      </x:c>
      <x:c r="H149" s="12" t="n">
        <x:v>6</x:v>
      </x:c>
      <x:c r="I149" s="12" t="str">
        <x:v>TuShare index_daily</x:v>
      </x:c>
      <x:c r="J149" s="12" t="str">
        <x:v>Archived FRED mirror (Hugging Face)</x:v>
      </x:c>
    </x:row>
    <x:row r="150" ht="18" customHeight="1">
      <x:c r="A150" s="13" t="n">
        <x:v>42803</x:v>
      </x:c>
      <x:c r="B150" s="12" t="n">
        <x:v>3426.9438</x:v>
      </x:c>
      <x:c r="C150" s="12" t="n">
        <x:v>3448.7313</x:v>
      </x:c>
      <x:c r="D150" s="12" t="n">
        <x:v>-0.6318</x:v>
      </x:c>
      <x:c r="E150" s="12" t="n">
        <x:v>-0.0063375807051733735</x:v>
      </x:c>
      <x:c r="F150" s="12" t="n">
        <x:v>3.88</x:v>
      </x:c>
      <x:c r="G150" s="12" t="n">
        <x:v>388</x:v>
      </x:c>
      <x:c r="H150" s="12" t="n">
        <x:v>9</x:v>
      </x:c>
      <x:c r="I150" s="12" t="str">
        <x:v>TuShare index_daily</x:v>
      </x:c>
      <x:c r="J150" s="12" t="str">
        <x:v>Archived FRED mirror (Hugging Face)</x:v>
      </x:c>
    </x:row>
    <x:row r="151" ht="18" customHeight="1">
      <x:c r="A151" s="13" t="n">
        <x:v>42804</x:v>
      </x:c>
      <x:c r="B151" s="12" t="n">
        <x:v>3427.8916</x:v>
      </x:c>
      <x:c r="C151" s="12" t="n">
        <x:v>3426.9438</x:v>
      </x:c>
      <x:c r="D151" s="12" t="n">
        <x:v>0.0277</x:v>
      </x:c>
      <x:c r="E151" s="12" t="n">
        <x:v>0.00027653472351488564</x:v>
      </x:c>
      <x:c r="F151" s="12" t="n">
        <x:v>3.89</x:v>
      </x:c>
      <x:c r="G151" s="12" t="n">
        <x:v>389</x:v>
      </x:c>
      <x:c r="H151" s="12" t="n">
        <x:v>1</x:v>
      </x:c>
      <x:c r="I151" s="12" t="str">
        <x:v>TuShare index_daily</x:v>
      </x:c>
      <x:c r="J151" s="12" t="str">
        <x:v>Archived FRED mirror (Hugging Face)</x:v>
      </x:c>
    </x:row>
    <x:row r="152" ht="18" customHeight="1">
      <x:c r="A152" s="13" t="n">
        <x:v>42807</x:v>
      </x:c>
      <x:c r="B152" s="12" t="n">
        <x:v>3458.098</x:v>
      </x:c>
      <x:c r="C152" s="12" t="n">
        <x:v>3427.8916</x:v>
      </x:c>
      <x:c r="D152" s="12" t="n">
        <x:v>0.8812</x:v>
      </x:c>
      <x:c r="E152" s="12" t="n">
        <x:v>0.00877334864193802</x:v>
      </x:c>
      <x:c r="F152" s="12" t="n">
        <x:v>3.94</x:v>
      </x:c>
      <x:c r="G152" s="12" t="n">
        <x:v>394</x:v>
      </x:c>
      <x:c r="H152" s="12" t="n">
        <x:v>5</x:v>
      </x:c>
      <x:c r="I152" s="12" t="str">
        <x:v>TuShare index_daily</x:v>
      </x:c>
      <x:c r="J152" s="12" t="str">
        <x:v>Archived FRED mirror (Hugging Face)</x:v>
      </x:c>
    </x:row>
    <x:row r="153" ht="18" customHeight="1">
      <x:c r="A153" s="13" t="n">
        <x:v>42808</x:v>
      </x:c>
      <x:c r="B153" s="12" t="n">
        <x:v>3456.6934</x:v>
      </x:c>
      <x:c r="C153" s="12" t="n">
        <x:v>3458.098</x:v>
      </x:c>
      <x:c r="D153" s="12" t="n">
        <x:v>-0.0406</x:v>
      </x:c>
      <x:c r="E153" s="12" t="n">
        <x:v>-0.00040625954944027487</x:v>
      </x:c>
      <x:c r="F153" s="12" t="n">
        <x:v>4.05</x:v>
      </x:c>
      <x:c r="G153" s="12" t="n">
        <x:v>405</x:v>
      </x:c>
      <x:c r="H153" s="12" t="n">
        <x:v>11</x:v>
      </x:c>
      <x:c r="I153" s="12" t="str">
        <x:v>TuShare index_daily</x:v>
      </x:c>
      <x:c r="J153" s="12" t="str">
        <x:v>Archived FRED mirror (Hugging Face)</x:v>
      </x:c>
    </x:row>
    <x:row r="154" ht="18" customHeight="1">
      <x:c r="A154" s="13" t="n">
        <x:v>42809</x:v>
      </x:c>
      <x:c r="B154" s="12" t="n">
        <x:v>3463.6436</x:v>
      </x:c>
      <x:c r="C154" s="12" t="n">
        <x:v>3456.6934</x:v>
      </x:c>
      <x:c r="D154" s="12" t="n">
        <x:v>0.2011</x:v>
      </x:c>
      <x:c r="E154" s="12" t="n">
        <x:v>0.0020086311798897453</x:v>
      </x:c>
      <x:c r="F154" s="12" t="n">
        <x:v>4.02</x:v>
      </x:c>
      <x:c r="G154" s="12" t="n">
        <x:v>401.99999999999994</x:v>
      </x:c>
      <x:c r="H154" s="12" t="n">
        <x:v>-3.000000000000057</x:v>
      </x:c>
      <x:c r="I154" s="12" t="str">
        <x:v>TuShare index_daily</x:v>
      </x:c>
      <x:c r="J154" s="12" t="str">
        <x:v>Archived FRED mirror (Hugging Face)</x:v>
      </x:c>
    </x:row>
    <x:row r="155" ht="18" customHeight="1">
      <x:c r="A155" s="13" t="n">
        <x:v>42810</x:v>
      </x:c>
      <x:c r="B155" s="12" t="n">
        <x:v>3481.5066</x:v>
      </x:c>
      <x:c r="C155" s="12" t="n">
        <x:v>3463.6436</x:v>
      </x:c>
      <x:c r="D155" s="12" t="n">
        <x:v>0.5157</x:v>
      </x:c>
      <x:c r="E155" s="12" t="n">
        <x:v>0.005144032562317347</x:v>
      </x:c>
      <x:c r="F155" s="12" t="n">
        <x:v>3.88</x:v>
      </x:c>
      <x:c r="G155" s="12" t="n">
        <x:v>388</x:v>
      </x:c>
      <x:c r="H155" s="12" t="n">
        <x:v>-13.999999999999943</x:v>
      </x:c>
      <x:c r="I155" s="12" t="str">
        <x:v>TuShare index_daily</x:v>
      </x:c>
      <x:c r="J155" s="12" t="str">
        <x:v>Archived FRED mirror (Hugging Face)</x:v>
      </x:c>
    </x:row>
    <x:row r="156" ht="18" customHeight="1">
      <x:c r="A156" s="13" t="n">
        <x:v>42811</x:v>
      </x:c>
      <x:c r="B156" s="12" t="n">
        <x:v>3445.8051</x:v>
      </x:c>
      <x:c r="C156" s="12" t="n">
        <x:v>3481.5066</x:v>
      </x:c>
      <x:c r="D156" s="12" t="n">
        <x:v>-1.0255</x:v>
      </x:c>
      <x:c r="E156" s="12" t="n">
        <x:v>-0.010307552955506163</x:v>
      </x:c>
      <x:c r="F156" s="12" t="n">
        <x:v>3.91</x:v>
      </x:c>
      <x:c r="G156" s="12" t="n">
        <x:v>391</x:v>
      </x:c>
      <x:c r="H156" s="12" t="n">
        <x:v>3</x:v>
      </x:c>
      <x:c r="I156" s="12" t="str">
        <x:v>TuShare index_daily</x:v>
      </x:c>
      <x:c r="J156" s="12" t="str">
        <x:v>Archived FRED mirror (Hugging Face)</x:v>
      </x:c>
    </x:row>
    <x:row r="157" ht="18" customHeight="1">
      <x:c r="A157" s="13" t="n">
        <x:v>42814</x:v>
      </x:c>
      <x:c r="B157" s="12" t="n">
        <x:v>3449.6126</x:v>
      </x:c>
      <x:c r="C157" s="12" t="n">
        <x:v>3445.8051</x:v>
      </x:c>
      <x:c r="D157" s="12" t="n">
        <x:v>0.1105</x:v>
      </x:c>
      <x:c r="E157" s="12" t="n">
        <x:v>0.0011043567054596322</x:v>
      </x:c>
      <x:c r="F157" s="12" t="n">
        <x:v>3.97</x:v>
      </x:c>
      <x:c r="G157" s="12" t="n">
        <x:v>397</x:v>
      </x:c>
      <x:c r="H157" s="12" t="n">
        <x:v>6</x:v>
      </x:c>
      <x:c r="I157" s="12" t="str">
        <x:v>TuShare index_daily</x:v>
      </x:c>
      <x:c r="J157" s="12" t="str">
        <x:v>Archived FRED mirror (Hugging Face)</x:v>
      </x:c>
    </x:row>
    <x:row r="158" ht="18" customHeight="1">
      <x:c r="A158" s="13" t="n">
        <x:v>42815</x:v>
      </x:c>
      <x:c r="B158" s="12" t="n">
        <x:v>3466.3468</x:v>
      </x:c>
      <x:c r="C158" s="12" t="n">
        <x:v>3449.6126</x:v>
      </x:c>
      <x:c r="D158" s="12" t="n">
        <x:v>0.4851</x:v>
      </x:c>
      <x:c r="E158" s="12" t="n">
        <x:v>0.004839309108162561</x:v>
      </x:c>
      <x:c r="F158" s="12" t="n">
        <x:v>4.04</x:v>
      </x:c>
      <x:c r="G158" s="12" t="n">
        <x:v>404</x:v>
      </x:c>
      <x:c r="H158" s="12" t="n">
        <x:v>7</x:v>
      </x:c>
      <x:c r="I158" s="12" t="str">
        <x:v>TuShare index_daily</x:v>
      </x:c>
      <x:c r="J158" s="12" t="str">
        <x:v>Archived FRED mirror (Hugging Face)</x:v>
      </x:c>
    </x:row>
    <x:row r="159" ht="18" customHeight="1">
      <x:c r="A159" s="13" t="n">
        <x:v>42816</x:v>
      </x:c>
      <x:c r="B159" s="12" t="n">
        <x:v>3450.0502</x:v>
      </x:c>
      <x:c r="C159" s="12" t="n">
        <x:v>3466.3468</x:v>
      </x:c>
      <x:c r="D159" s="12" t="n">
        <x:v>-0.4701</x:v>
      </x:c>
      <x:c r="E159" s="12" t="n">
        <x:v>-0.0047124623293353035</x:v>
      </x:c>
      <x:c r="F159" s="12" t="n">
        <x:v>4.16</x:v>
      </x:c>
      <x:c r="G159" s="12" t="n">
        <x:v>416</x:v>
      </x:c>
      <x:c r="H159" s="12" t="n">
        <x:v>12</x:v>
      </x:c>
      <x:c r="I159" s="12" t="str">
        <x:v>TuShare index_daily</x:v>
      </x:c>
      <x:c r="J159" s="12" t="str">
        <x:v>Archived FRED mirror (Hugging Face)</x:v>
      </x:c>
    </x:row>
    <x:row r="160" ht="18" customHeight="1">
      <x:c r="A160" s="13" t="n">
        <x:v>42817</x:v>
      </x:c>
      <x:c r="B160" s="12" t="n">
        <x:v>3461.9782</x:v>
      </x:c>
      <x:c r="C160" s="12" t="n">
        <x:v>3450.0502</x:v>
      </x:c>
      <x:c r="D160" s="12" t="n">
        <x:v>0.3457</x:v>
      </x:c>
      <x:c r="E160" s="12" t="n">
        <x:v>0.003451378133960319</x:v>
      </x:c>
      <x:c r="F160" s="12" t="n">
        <x:v>4.11</x:v>
      </x:c>
      <x:c r="G160" s="12" t="n">
        <x:v>411.00000000000006</x:v>
      </x:c>
      <x:c r="H160" s="12" t="n">
        <x:v>-4.999999999999943</x:v>
      </x:c>
      <x:c r="I160" s="12" t="str">
        <x:v>TuShare index_daily</x:v>
      </x:c>
      <x:c r="J160" s="12" t="str">
        <x:v>Archived FRED mirror (Hugging Face)</x:v>
      </x:c>
    </x:row>
    <x:row r="161" ht="18" customHeight="1">
      <x:c r="A161" s="13" t="n">
        <x:v>42818</x:v>
      </x:c>
      <x:c r="B161" s="12" t="n">
        <x:v>3489.5997</x:v>
      </x:c>
      <x:c r="C161" s="12" t="n">
        <x:v>3461.9782</x:v>
      </x:c>
      <x:c r="D161" s="12" t="n">
        <x:v>0.7979</x:v>
      </x:c>
      <x:c r="E161" s="12" t="n">
        <x:v>0.00794687069947966</x:v>
      </x:c>
      <x:c r="F161" s="12" t="n">
        <x:v>4.07</x:v>
      </x:c>
      <x:c r="G161" s="12" t="n">
        <x:v>407</x:v>
      </x:c>
      <x:c r="H161" s="12" t="n">
        <x:v>-4.000000000000057</x:v>
      </x:c>
      <x:c r="I161" s="12" t="str">
        <x:v>TuShare index_daily</x:v>
      </x:c>
      <x:c r="J161" s="12" t="str">
        <x:v>Archived FRED mirror (Hugging Face)</x:v>
      </x:c>
    </x:row>
    <x:row r="162" ht="18" customHeight="1">
      <x:c r="A162" s="13" t="n">
        <x:v>42821</x:v>
      </x:c>
      <x:c r="B162" s="12" t="n">
        <x:v>3478.0385</x:v>
      </x:c>
      <x:c r="C162" s="12" t="n">
        <x:v>3489.5997</x:v>
      </x:c>
      <x:c r="D162" s="12" t="n">
        <x:v>-0.3313</x:v>
      </x:c>
      <x:c r="E162" s="12" t="n">
        <x:v>-0.0033185450444427754</x:v>
      </x:c>
      <x:c r="F162" s="12" t="n">
        <x:v>4.12</x:v>
      </x:c>
      <x:c r="G162" s="12" t="n">
        <x:v>412</x:v>
      </x:c>
      <x:c r="H162" s="12" t="n">
        <x:v>5</x:v>
      </x:c>
      <x:c r="I162" s="12" t="str">
        <x:v>TuShare index_daily</x:v>
      </x:c>
      <x:c r="J162" s="12" t="str">
        <x:v>Archived FRED mirror (Hugging Face)</x:v>
      </x:c>
    </x:row>
    <x:row r="163" ht="18" customHeight="1">
      <x:c r="A163" s="13" t="n">
        <x:v>42822</x:v>
      </x:c>
      <x:c r="B163" s="12" t="n">
        <x:v>3469.8093</x:v>
      </x:c>
      <x:c r="C163" s="12" t="n">
        <x:v>3478.0385</x:v>
      </x:c>
      <x:c r="D163" s="12" t="n">
        <x:v>-0.2366</x:v>
      </x:c>
      <x:c r="E163" s="12" t="n">
        <x:v>-0.002368849774787695</x:v>
      </x:c>
      <x:c r="F163" s="12" t="n">
        <x:v>4.01</x:v>
      </x:c>
      <x:c r="G163" s="12" t="n">
        <x:v>401</x:v>
      </x:c>
      <x:c r="H163" s="12" t="n">
        <x:v>-11</x:v>
      </x:c>
      <x:c r="I163" s="12" t="str">
        <x:v>TuShare index_daily</x:v>
      </x:c>
      <x:c r="J163" s="12" t="str">
        <x:v>Archived FRED mirror (Hugging Face)</x:v>
      </x:c>
    </x:row>
    <x:row r="164" ht="18" customHeight="1">
      <x:c r="A164" s="13" t="n">
        <x:v>42823</x:v>
      </x:c>
      <x:c r="B164" s="12" t="n">
        <x:v>3465.1933</x:v>
      </x:c>
      <x:c r="C164" s="12" t="n">
        <x:v>3469.8093</x:v>
      </x:c>
      <x:c r="D164" s="12" t="n">
        <x:v>-0.133</x:v>
      </x:c>
      <x:c r="E164" s="12" t="n">
        <x:v>-0.001331218154607123</x:v>
      </x:c>
      <x:c r="F164" s="12" t="n">
        <x:v>3.94</x:v>
      </x:c>
      <x:c r="G164" s="12" t="n">
        <x:v>394</x:v>
      </x:c>
      <x:c r="H164" s="12" t="n">
        <x:v>-7</x:v>
      </x:c>
      <x:c r="I164" s="12" t="str">
        <x:v>TuShare index_daily</x:v>
      </x:c>
      <x:c r="J164" s="12" t="str">
        <x:v>Archived FRED mirror (Hugging Face)</x:v>
      </x:c>
    </x:row>
    <x:row r="165" ht="18" customHeight="1">
      <x:c r="A165" s="13" t="n">
        <x:v>42824</x:v>
      </x:c>
      <x:c r="B165" s="12" t="n">
        <x:v>3436.758</x:v>
      </x:c>
      <x:c r="C165" s="12" t="n">
        <x:v>3465.1933</x:v>
      </x:c>
      <x:c r="D165" s="12" t="n">
        <x:v>-0.8206</x:v>
      </x:c>
      <x:c r="E165" s="12" t="n">
        <x:v>-0.008239832374357891</x:v>
      </x:c>
      <x:c r="F165" s="12" t="n">
        <x:v>3.85</x:v>
      </x:c>
      <x:c r="G165" s="12" t="n">
        <x:v>385</x:v>
      </x:c>
      <x:c r="H165" s="12" t="n">
        <x:v>-9</x:v>
      </x:c>
      <x:c r="I165" s="12" t="str">
        <x:v>TuShare index_daily</x:v>
      </x:c>
      <x:c r="J165" s="12" t="str">
        <x:v>Archived FRED mirror (Hugging Face)</x:v>
      </x:c>
    </x:row>
    <x:row r="166" ht="18" customHeight="1">
      <x:c r="A166" s="13" t="n">
        <x:v>42825</x:v>
      </x:c>
      <x:c r="B166" s="12" t="n">
        <x:v>3456.0455</x:v>
      </x:c>
      <x:c r="C166" s="12" t="n">
        <x:v>3436.758</x:v>
      </x:c>
      <x:c r="D166" s="12" t="n">
        <x:v>0.5612</x:v>
      </x:c>
      <x:c r="E166" s="12" t="n">
        <x:v>0.005596431217114241</x:v>
      </x:c>
      <x:c r="F166" s="12" t="n">
        <x:v>3.92</x:v>
      </x:c>
      <x:c r="G166" s="12" t="n">
        <x:v>392</x:v>
      </x:c>
      <x:c r="H166" s="12" t="n">
        <x:v>7</x:v>
      </x:c>
      <x:c r="I166" s="12" t="str">
        <x:v>TuShare index_daily</x:v>
      </x:c>
      <x:c r="J166" s="12" t="str">
        <x:v>Archived FRED mirror (Hugging Face)</x:v>
      </x:c>
    </x:row>
    <x:row r="167" ht="18" customHeight="1">
      <x:c r="A167" s="13" t="n">
        <x:v>42830</x:v>
      </x:c>
      <x:c r="B167" s="12" t="n">
        <x:v>3503.8932</x:v>
      </x:c>
      <x:c r="C167" s="12" t="n">
        <x:v>3456.0455</x:v>
      </x:c>
      <x:c r="D167" s="12" t="n">
        <x:v>1.3845</x:v>
      </x:c>
      <x:c r="E167" s="12" t="n">
        <x:v>0.013749676793178263</x:v>
      </x:c>
      <x:c r="F167" s="12" t="n">
        <x:v>3.91</x:v>
      </x:c>
      <x:c r="G167" s="12" t="n">
        <x:v>391</x:v>
      </x:c>
      <x:c r="H167" s="12" t="n">
        <x:v>-7</x:v>
      </x:c>
      <x:c r="I167" s="12" t="str">
        <x:v>TuShare index_daily</x:v>
      </x:c>
      <x:c r="J167" s="12" t="str">
        <x:v>Archived FRED mirror (Hugging Face)</x:v>
      </x:c>
    </x:row>
    <x:row r="168" ht="18" customHeight="1">
      <x:c r="A168" s="13" t="n">
        <x:v>42831</x:v>
      </x:c>
      <x:c r="B168" s="12" t="n">
        <x:v>3514.0469</x:v>
      </x:c>
      <x:c r="C168" s="12" t="n">
        <x:v>3503.8932</x:v>
      </x:c>
      <x:c r="D168" s="12" t="n">
        <x:v>0.2898</x:v>
      </x:c>
      <x:c r="E168" s="12" t="n">
        <x:v>0.0028936431318037823</x:v>
      </x:c>
      <x:c r="F168" s="12" t="n">
        <x:v>3.93</x:v>
      </x:c>
      <x:c r="G168" s="12" t="n">
        <x:v>393</x:v>
      </x:c>
      <x:c r="H168" s="12" t="n">
        <x:v>2</x:v>
      </x:c>
      <x:c r="I168" s="12" t="str">
        <x:v>TuShare index_daily</x:v>
      </x:c>
      <x:c r="J168" s="12" t="str">
        <x:v>Archived FRED mirror (Hugging Face)</x:v>
      </x:c>
    </x:row>
    <x:row r="169" ht="18" customHeight="1">
      <x:c r="A169" s="13" t="n">
        <x:v>42832</x:v>
      </x:c>
      <x:c r="B169" s="12" t="n">
        <x:v>3517.4634</x:v>
      </x:c>
      <x:c r="C169" s="12" t="n">
        <x:v>3514.0469</x:v>
      </x:c>
      <x:c r="D169" s="12" t="n">
        <x:v>0.0972</x:v>
      </x:c>
      <x:c r="E169" s="12" t="n">
        <x:v>0.0009717685456167432</x:v>
      </x:c>
      <x:c r="F169" s="12" t="n">
        <x:v>3.86</x:v>
      </x:c>
      <x:c r="G169" s="12" t="n">
        <x:v>386</x:v>
      </x:c>
      <x:c r="H169" s="12" t="n">
        <x:v>-7</x:v>
      </x:c>
      <x:c r="I169" s="12" t="str">
        <x:v>TuShare index_daily</x:v>
      </x:c>
      <x:c r="J169" s="12" t="str">
        <x:v>Archived FRED mirror (Hugging Face)</x:v>
      </x:c>
    </x:row>
    <x:row r="170" ht="18" customHeight="1">
      <x:c r="A170" s="13" t="n">
        <x:v>42835</x:v>
      </x:c>
      <x:c r="B170" s="12" t="n">
        <x:v>3505.1392</x:v>
      </x:c>
      <x:c r="C170" s="12" t="n">
        <x:v>3517.4634</x:v>
      </x:c>
      <x:c r="D170" s="12" t="n">
        <x:v>-0.3504</x:v>
      </x:c>
      <x:c r="E170" s="12" t="n">
        <x:v>-0.003509870443761566</x:v>
      </x:c>
      <x:c r="F170" s="12" t="n">
        <x:v>3.86</x:v>
      </x:c>
      <x:c r="G170" s="12" t="n">
        <x:v>386</x:v>
      </x:c>
      <x:c r="H170" s="12" t="n">
        <x:v>0</x:v>
      </x:c>
      <x:c r="I170" s="12" t="str">
        <x:v>TuShare index_daily</x:v>
      </x:c>
      <x:c r="J170" s="12" t="str">
        <x:v>Archived FRED mirror (Hugging Face)</x:v>
      </x:c>
    </x:row>
    <x:row r="171" ht="18" customHeight="1">
      <x:c r="A171" s="13" t="n">
        <x:v>42836</x:v>
      </x:c>
      <x:c r="B171" s="12" t="n">
        <x:v>3517.328</x:v>
      </x:c>
      <x:c r="C171" s="12" t="n">
        <x:v>3505.1392</x:v>
      </x:c>
      <x:c r="D171" s="12" t="n">
        <x:v>0.3477</x:v>
      </x:c>
      <x:c r="E171" s="12" t="n">
        <x:v>0.0034713760542855474</x:v>
      </x:c>
      <x:c r="F171" s="12" t="n">
        <x:v>3.94</x:v>
      </x:c>
      <x:c r="G171" s="12" t="n">
        <x:v>394</x:v>
      </x:c>
      <x:c r="H171" s="12" t="n">
        <x:v>8</x:v>
      </x:c>
      <x:c r="I171" s="12" t="str">
        <x:v>TuShare index_daily</x:v>
      </x:c>
      <x:c r="J171" s="12" t="str">
        <x:v>Archived FRED mirror (Hugging Face)</x:v>
      </x:c>
    </x:row>
    <x:row r="172" ht="18" customHeight="1">
      <x:c r="A172" s="13" t="n">
        <x:v>42837</x:v>
      </x:c>
      <x:c r="B172" s="12" t="n">
        <x:v>3509.4387</x:v>
      </x:c>
      <x:c r="C172" s="12" t="n">
        <x:v>3517.328</x:v>
      </x:c>
      <x:c r="D172" s="12" t="n">
        <x:v>-0.2243</x:v>
      </x:c>
      <x:c r="E172" s="12" t="n">
        <x:v>-0.0022455002853585654</x:v>
      </x:c>
      <x:c r="F172" s="12" t="n">
        <x:v>3.96</x:v>
      </x:c>
      <x:c r="G172" s="12" t="n">
        <x:v>396</x:v>
      </x:c>
      <x:c r="H172" s="12" t="n">
        <x:v>2</x:v>
      </x:c>
      <x:c r="I172" s="12" t="str">
        <x:v>TuShare index_daily</x:v>
      </x:c>
      <x:c r="J172" s="12" t="str">
        <x:v>Archived FRED mirror (Hugging Face)</x:v>
      </x:c>
    </x:row>
    <x:row r="173" ht="18" customHeight="1">
      <x:c r="A173" s="13" t="n">
        <x:v>42838</x:v>
      </x:c>
      <x:c r="B173" s="12" t="n">
        <x:v>3514.5662</x:v>
      </x:c>
      <x:c r="C173" s="12" t="n">
        <x:v>3509.4387</x:v>
      </x:c>
      <x:c r="D173" s="12" t="n">
        <x:v>0.1461</x:v>
      </x:c>
      <x:c r="E173" s="12" t="n">
        <x:v>0.001459993546077126</x:v>
      </x:c>
      <x:c r="F173" s="12" t="n">
        <x:v>4.03</x:v>
      </x:c>
      <x:c r="G173" s="12" t="n">
        <x:v>403</x:v>
      </x:c>
      <x:c r="H173" s="12" t="n">
        <x:v>7</x:v>
      </x:c>
      <x:c r="I173" s="12" t="str">
        <x:v>TuShare index_daily</x:v>
      </x:c>
      <x:c r="J173" s="12" t="str">
        <x:v>Archived FRED mirror (Hugging Face)</x:v>
      </x:c>
    </x:row>
    <x:row r="174" ht="18" customHeight="1">
      <x:c r="A174" s="13" t="n">
        <x:v>42842</x:v>
      </x:c>
      <x:c r="B174" s="12" t="n">
        <x:v>3479.9417</x:v>
      </x:c>
      <x:c r="C174" s="12" t="n">
        <x:v>3486.5045</x:v>
      </x:c>
      <x:c r="D174" s="12" t="n">
        <x:v>-0.1882</x:v>
      </x:c>
      <x:c r="E174" s="12" t="n">
        <x:v>-0.0018841175982784407</x:v>
      </x:c>
      <x:c r="F174" s="12" t="n">
        <x:v>4</x:v>
      </x:c>
      <x:c r="G174" s="12" t="n">
        <x:v>400</x:v>
      </x:c>
      <x:c r="H174" s="12" t="n">
        <x:v>-3</x:v>
      </x:c>
      <x:c r="I174" s="12" t="str">
        <x:v>TuShare index_daily</x:v>
      </x:c>
      <x:c r="J174" s="12" t="str">
        <x:v>Archived FRED mirror (Hugging Face)</x:v>
      </x:c>
    </x:row>
    <x:row r="175" ht="18" customHeight="1">
      <x:c r="A175" s="13" t="n">
        <x:v>42843</x:v>
      </x:c>
      <x:c r="B175" s="12" t="n">
        <x:v>3462.7429</x:v>
      </x:c>
      <x:c r="C175" s="12" t="n">
        <x:v>3479.9417</x:v>
      </x:c>
      <x:c r="D175" s="12" t="n">
        <x:v>-0.4942</x:v>
      </x:c>
      <x:c r="E175" s="12" t="n">
        <x:v>-0.004954520094993246</x:v>
      </x:c>
      <x:c r="F175" s="12" t="n">
        <x:v>4.07</x:v>
      </x:c>
      <x:c r="G175" s="12" t="n">
        <x:v>407</x:v>
      </x:c>
      <x:c r="H175" s="12" t="n">
        <x:v>7</x:v>
      </x:c>
      <x:c r="I175" s="12" t="str">
        <x:v>TuShare index_daily</x:v>
      </x:c>
      <x:c r="J175" s="12" t="str">
        <x:v>Archived FRED mirror (Hugging Face)</x:v>
      </x:c>
    </x:row>
    <x:row r="176" ht="18" customHeight="1">
      <x:c r="A176" s="13" t="n">
        <x:v>42844</x:v>
      </x:c>
      <x:c r="B176" s="12" t="n">
        <x:v>3445.8761</x:v>
      </x:c>
      <x:c r="C176" s="12" t="n">
        <x:v>3462.7429</x:v>
      </x:c>
      <x:c r="D176" s="12" t="n">
        <x:v>-0.4871</x:v>
      </x:c>
      <x:c r="E176" s="12" t="n">
        <x:v>-0.004882837948266378</x:v>
      </x:c>
      <x:c r="F176" s="12" t="n">
        <x:v>4.01</x:v>
      </x:c>
      <x:c r="G176" s="12" t="n">
        <x:v>401</x:v>
      </x:c>
      <x:c r="H176" s="12" t="n">
        <x:v>-6</x:v>
      </x:c>
      <x:c r="I176" s="12" t="str">
        <x:v>TuShare index_daily</x:v>
      </x:c>
      <x:c r="J176" s="12" t="str">
        <x:v>Archived FRED mirror (Hugging Face)</x:v>
      </x:c>
    </x:row>
    <x:row r="177" ht="18" customHeight="1">
      <x:c r="A177" s="13" t="n">
        <x:v>42845</x:v>
      </x:c>
      <x:c r="B177" s="12" t="n">
        <x:v>3461.5481</x:v>
      </x:c>
      <x:c r="C177" s="12" t="n">
        <x:v>3445.8761</x:v>
      </x:c>
      <x:c r="D177" s="12" t="n">
        <x:v>0.4548</x:v>
      </x:c>
      <x:c r="E177" s="12" t="n">
        <x:v>0.0045377340201217834</x:v>
      </x:c>
      <x:c r="F177" s="12" t="n">
        <x:v>3.98</x:v>
      </x:c>
      <x:c r="G177" s="12" t="n">
        <x:v>398</x:v>
      </x:c>
      <x:c r="H177" s="12" t="n">
        <x:v>-3</x:v>
      </x:c>
      <x:c r="I177" s="12" t="str">
        <x:v>TuShare index_daily</x:v>
      </x:c>
      <x:c r="J177" s="12" t="str">
        <x:v>Archived FRED mirror (Hugging Face)</x:v>
      </x:c>
    </x:row>
    <x:row r="178" ht="18" customHeight="1">
      <x:c r="A178" s="13" t="n">
        <x:v>42846</x:v>
      </x:c>
      <x:c r="B178" s="12" t="n">
        <x:v>3466.7865</x:v>
      </x:c>
      <x:c r="C178" s="12" t="n">
        <x:v>3461.5481</x:v>
      </x:c>
      <x:c r="D178" s="12" t="n">
        <x:v>0.1513</x:v>
      </x:c>
      <x:c r="E178" s="12" t="n">
        <x:v>0.0015121674401230765</x:v>
      </x:c>
      <x:c r="F178" s="12" t="n">
        <x:v>3.97</x:v>
      </x:c>
      <x:c r="G178" s="12" t="n">
        <x:v>397</x:v>
      </x:c>
      <x:c r="H178" s="12" t="n">
        <x:v>-1</x:v>
      </x:c>
      <x:c r="I178" s="12" t="str">
        <x:v>TuShare index_daily</x:v>
      </x:c>
      <x:c r="J178" s="12" t="str">
        <x:v>Archived FRED mirror (Hugging Face)</x:v>
      </x:c>
    </x:row>
    <x:row r="179" ht="18" customHeight="1">
      <x:c r="A179" s="13" t="n">
        <x:v>42849</x:v>
      </x:c>
      <x:c r="B179" s="12" t="n">
        <x:v>3431.2587</x:v>
      </x:c>
      <x:c r="C179" s="12" t="n">
        <x:v>3466.7865</x:v>
      </x:c>
      <x:c r="D179" s="12" t="n">
        <x:v>-1.0248</x:v>
      </x:c>
      <x:c r="E179" s="12" t="n">
        <x:v>-0.010300922397859099</x:v>
      </x:c>
      <x:c r="F179" s="12" t="n">
        <x:v>3.86</x:v>
      </x:c>
      <x:c r="G179" s="12" t="n">
        <x:v>386</x:v>
      </x:c>
      <x:c r="H179" s="12" t="n">
        <x:v>-11</x:v>
      </x:c>
      <x:c r="I179" s="12" t="str">
        <x:v>TuShare index_daily</x:v>
      </x:c>
      <x:c r="J179" s="12" t="str">
        <x:v>Archived FRED mirror (Hugging Face)</x:v>
      </x:c>
    </x:row>
    <x:row r="180" ht="18" customHeight="1">
      <x:c r="A180" s="13" t="n">
        <x:v>42850</x:v>
      </x:c>
      <x:c r="B180" s="12" t="n">
        <x:v>3440.9743</x:v>
      </x:c>
      <x:c r="C180" s="12" t="n">
        <x:v>3431.2587</x:v>
      </x:c>
      <x:c r="D180" s="12" t="n">
        <x:v>0.2831</x:v>
      </x:c>
      <x:c r="E180" s="12" t="n">
        <x:v>0.0028274962367554088</x:v>
      </x:c>
      <x:c r="F180" s="12" t="n">
        <x:v>3.78</x:v>
      </x:c>
      <x:c r="G180" s="12" t="n">
        <x:v>378</x:v>
      </x:c>
      <x:c r="H180" s="12" t="n">
        <x:v>-8</x:v>
      </x:c>
      <x:c r="I180" s="12" t="str">
        <x:v>TuShare index_daily</x:v>
      </x:c>
      <x:c r="J180" s="12" t="str">
        <x:v>Archived FRED mirror (Hugging Face)</x:v>
      </x:c>
    </x:row>
    <x:row r="181" ht="18" customHeight="1">
      <x:c r="A181" s="13" t="n">
        <x:v>42851</x:v>
      </x:c>
      <x:c r="B181" s="12" t="n">
        <x:v>3445.1832</x:v>
      </x:c>
      <x:c r="C181" s="12" t="n">
        <x:v>3440.9743</x:v>
      </x:c>
      <x:c r="D181" s="12" t="n">
        <x:v>0.1223</x:v>
      </x:c>
      <x:c r="E181" s="12" t="n">
        <x:v>0.0012224235429179387</x:v>
      </x:c>
      <x:c r="F181" s="12" t="n">
        <x:v>3.76</x:v>
      </x:c>
      <x:c r="G181" s="12" t="n">
        <x:v>376</x:v>
      </x:c>
      <x:c r="H181" s="12" t="n">
        <x:v>-2</x:v>
      </x:c>
      <x:c r="I181" s="12" t="str">
        <x:v>TuShare index_daily</x:v>
      </x:c>
      <x:c r="J181" s="12" t="str">
        <x:v>Archived FRED mirror (Hugging Face)</x:v>
      </x:c>
    </x:row>
    <x:row r="182" ht="18" customHeight="1">
      <x:c r="A182" s="13" t="n">
        <x:v>42852</x:v>
      </x:c>
      <x:c r="B182" s="12" t="n">
        <x:v>3446.7202</x:v>
      </x:c>
      <x:c r="C182" s="12" t="n">
        <x:v>3445.1832</x:v>
      </x:c>
      <x:c r="D182" s="12" t="n">
        <x:v>0.0446</x:v>
      </x:c>
      <x:c r="E182" s="12" t="n">
        <x:v>0.0004460306351600045</x:v>
      </x:c>
      <x:c r="F182" s="12" t="n">
        <x:v>3.78</x:v>
      </x:c>
      <x:c r="G182" s="12" t="n">
        <x:v>378</x:v>
      </x:c>
      <x:c r="H182" s="12" t="n">
        <x:v>2</x:v>
      </x:c>
      <x:c r="I182" s="12" t="str">
        <x:v>TuShare index_daily</x:v>
      </x:c>
      <x:c r="J182" s="12" t="str">
        <x:v>Archived FRED mirror (Hugging Face)</x:v>
      </x:c>
    </x:row>
    <x:row r="183" ht="18" customHeight="1">
      <x:c r="A183" s="13" t="n">
        <x:v>42853</x:v>
      </x:c>
      <x:c r="B183" s="12" t="n">
        <x:v>3439.753</x:v>
      </x:c>
      <x:c r="C183" s="12" t="n">
        <x:v>3446.7202</x:v>
      </x:c>
      <x:c r="D183" s="12" t="n">
        <x:v>-0.2021</x:v>
      </x:c>
      <x:c r="E183" s="12" t="n">
        <x:v>-0.0020234457246328286</x:v>
      </x:c>
      <x:c r="F183" s="12" t="n">
        <x:v>3.75</x:v>
      </x:c>
      <x:c r="G183" s="12" t="n">
        <x:v>375</x:v>
      </x:c>
      <x:c r="H183" s="12" t="n">
        <x:v>-3</x:v>
      </x:c>
      <x:c r="I183" s="12" t="str">
        <x:v>TuShare index_daily</x:v>
      </x:c>
      <x:c r="J183" s="12" t="str">
        <x:v>Archived FRED mirror (Hugging Face)</x:v>
      </x:c>
    </x:row>
    <x:row r="184" ht="18" customHeight="1">
      <x:c r="A184" s="13" t="n">
        <x:v>42857</x:v>
      </x:c>
      <x:c r="B184" s="12" t="n">
        <x:v>3426.5766</x:v>
      </x:c>
      <x:c r="C184" s="12" t="n">
        <x:v>3439.753</x:v>
      </x:c>
      <x:c r="D184" s="12" t="n">
        <x:v>-0.3831</x:v>
      </x:c>
      <x:c r="E184" s="12" t="n">
        <x:v>-0.003837979515030131</x:v>
      </x:c>
      <x:c r="F184" s="12" t="n">
        <x:v>3.79</x:v>
      </x:c>
      <x:c r="G184" s="12" t="n">
        <x:v>379</x:v>
      </x:c>
      <x:c r="H184" s="12" t="n">
        <x:v>1</x:v>
      </x:c>
      <x:c r="I184" s="12" t="str">
        <x:v>TuShare index_daily</x:v>
      </x:c>
      <x:c r="J184" s="12" t="str">
        <x:v>Archived FRED mirror (Hugging Face)</x:v>
      </x:c>
    </x:row>
    <x:row r="185" ht="18" customHeight="1">
      <x:c r="A185" s="13" t="n">
        <x:v>42858</x:v>
      </x:c>
      <x:c r="B185" s="12" t="n">
        <x:v>3413.1282</x:v>
      </x:c>
      <x:c r="C185" s="12" t="n">
        <x:v>3426.5766</x:v>
      </x:c>
      <x:c r="D185" s="12" t="n">
        <x:v>-0.3925</x:v>
      </x:c>
      <x:c r="E185" s="12" t="n">
        <x:v>-0.003932455485719591</x:v>
      </x:c>
      <x:c r="F185" s="12" t="n">
        <x:v>3.76</x:v>
      </x:c>
      <x:c r="G185" s="12" t="n">
        <x:v>376</x:v>
      </x:c>
      <x:c r="H185" s="12" t="n">
        <x:v>-3</x:v>
      </x:c>
      <x:c r="I185" s="12" t="str">
        <x:v>TuShare index_daily</x:v>
      </x:c>
      <x:c r="J185" s="12" t="str">
        <x:v>Archived FRED mirror (Hugging Face)</x:v>
      </x:c>
    </x:row>
    <x:row r="186" ht="18" customHeight="1">
      <x:c r="A186" s="13" t="n">
        <x:v>42859</x:v>
      </x:c>
      <x:c r="B186" s="12" t="n">
        <x:v>3404.3864</x:v>
      </x:c>
      <x:c r="C186" s="12" t="n">
        <x:v>3413.1282</x:v>
      </x:c>
      <x:c r="D186" s="12" t="n">
        <x:v>-0.2561</x:v>
      </x:c>
      <x:c r="E186" s="12" t="n">
        <x:v>-0.0025645136985957425</x:v>
      </x:c>
      <x:c r="F186" s="12" t="n">
        <x:v>3.8</x:v>
      </x:c>
      <x:c r="G186" s="12" t="n">
        <x:v>380</x:v>
      </x:c>
      <x:c r="H186" s="12" t="n">
        <x:v>4</x:v>
      </x:c>
      <x:c r="I186" s="12" t="str">
        <x:v>TuShare index_daily</x:v>
      </x:c>
      <x:c r="J186" s="12" t="str">
        <x:v>Archived FRED mirror (Hugging Face)</x:v>
      </x:c>
    </x:row>
    <x:row r="187" ht="18" customHeight="1">
      <x:c r="A187" s="13" t="n">
        <x:v>42860</x:v>
      </x:c>
      <x:c r="B187" s="12" t="n">
        <x:v>3382.5502</x:v>
      </x:c>
      <x:c r="C187" s="12" t="n">
        <x:v>3404.3864</x:v>
      </x:c>
      <x:c r="D187" s="12" t="n">
        <x:v>-0.6414</x:v>
      </x:c>
      <x:c r="E187" s="12" t="n">
        <x:v>-0.006434795735926154</x:v>
      </x:c>
      <x:c r="F187" s="12" t="n">
        <x:v>3.82</x:v>
      </x:c>
      <x:c r="G187" s="12" t="n">
        <x:v>382</x:v>
      </x:c>
      <x:c r="H187" s="12" t="n">
        <x:v>2</x:v>
      </x:c>
      <x:c r="I187" s="12" t="str">
        <x:v>TuShare index_daily</x:v>
      </x:c>
      <x:c r="J187" s="12" t="str">
        <x:v>Archived FRED mirror (Hugging Face)</x:v>
      </x:c>
    </x:row>
    <x:row r="188" ht="18" customHeight="1">
      <x:c r="A188" s="13" t="n">
        <x:v>42863</x:v>
      </x:c>
      <x:c r="B188" s="12" t="n">
        <x:v>3358.8125</x:v>
      </x:c>
      <x:c r="C188" s="12" t="n">
        <x:v>3382.5502</x:v>
      </x:c>
      <x:c r="D188" s="12" t="n">
        <x:v>-0.7018</x:v>
      </x:c>
      <x:c r="E188" s="12" t="n">
        <x:v>-0.007042433158971218</x:v>
      </x:c>
      <x:c r="F188" s="12" t="n">
        <x:v>3.8</x:v>
      </x:c>
      <x:c r="G188" s="12" t="n">
        <x:v>380</x:v>
      </x:c>
      <x:c r="H188" s="12" t="n">
        <x:v>-2</x:v>
      </x:c>
      <x:c r="I188" s="12" t="str">
        <x:v>TuShare index_daily</x:v>
      </x:c>
      <x:c r="J188" s="12" t="str">
        <x:v>Archived FRED mirror (Hugging Face)</x:v>
      </x:c>
    </x:row>
    <x:row r="189" ht="18" customHeight="1">
      <x:c r="A189" s="13" t="n">
        <x:v>42864</x:v>
      </x:c>
      <x:c r="B189" s="12" t="n">
        <x:v>3352.5324</x:v>
      </x:c>
      <x:c r="C189" s="12" t="n">
        <x:v>3358.8125</x:v>
      </x:c>
      <x:c r="D189" s="12" t="n">
        <x:v>-0.187</x:v>
      </x:c>
      <x:c r="E189" s="12" t="n">
        <x:v>-0.0018714883310459937</x:v>
      </x:c>
      <x:c r="F189" s="12" t="n">
        <x:v>3.74</x:v>
      </x:c>
      <x:c r="G189" s="12" t="n">
        <x:v>374</x:v>
      </x:c>
      <x:c r="H189" s="12" t="n">
        <x:v>-6</x:v>
      </x:c>
      <x:c r="I189" s="12" t="str">
        <x:v>TuShare index_daily</x:v>
      </x:c>
      <x:c r="J189" s="12" t="str">
        <x:v>Archived FRED mirror (Hugging Face)</x:v>
      </x:c>
    </x:row>
    <x:row r="190" ht="18" customHeight="1">
      <x:c r="A190" s="13" t="n">
        <x:v>42865</x:v>
      </x:c>
      <x:c r="B190" s="12" t="n">
        <x:v>3337.7007</x:v>
      </x:c>
      <x:c r="C190" s="12" t="n">
        <x:v>3352.5324</x:v>
      </x:c>
      <x:c r="D190" s="12" t="n">
        <x:v>-0.4424</x:v>
      </x:c>
      <x:c r="E190" s="12" t="n">
        <x:v>-0.004433843806724372</x:v>
      </x:c>
      <x:c r="F190" s="12" t="n">
        <x:v>3.72</x:v>
      </x:c>
      <x:c r="G190" s="12" t="n">
        <x:v>372</x:v>
      </x:c>
      <x:c r="H190" s="12" t="n">
        <x:v>-2</x:v>
      </x:c>
      <x:c r="I190" s="12" t="str">
        <x:v>TuShare index_daily</x:v>
      </x:c>
      <x:c r="J190" s="12" t="str">
        <x:v>Archived FRED mirror (Hugging Face)</x:v>
      </x:c>
    </x:row>
    <x:row r="191" ht="18" customHeight="1">
      <x:c r="A191" s="13" t="n">
        <x:v>42866</x:v>
      </x:c>
      <x:c r="B191" s="12" t="n">
        <x:v>3356.6459</x:v>
      </x:c>
      <x:c r="C191" s="12" t="n">
        <x:v>3337.7007</x:v>
      </x:c>
      <x:c r="D191" s="12" t="n">
        <x:v>0.5676</x:v>
      </x:c>
      <x:c r="E191" s="12" t="n">
        <x:v>0.005660074600273593</x:v>
      </x:c>
      <x:c r="F191" s="12" t="n">
        <x:v>3.72</x:v>
      </x:c>
      <x:c r="G191" s="12" t="n">
        <x:v>372</x:v>
      </x:c>
      <x:c r="H191" s="12" t="n">
        <x:v>0</x:v>
      </x:c>
      <x:c r="I191" s="12" t="str">
        <x:v>TuShare index_daily</x:v>
      </x:c>
      <x:c r="J191" s="12" t="str">
        <x:v>Archived FRED mirror (Hugging Face)</x:v>
      </x:c>
    </x:row>
    <x:row r="192" ht="18" customHeight="1">
      <x:c r="A192" s="13" t="n">
        <x:v>42867</x:v>
      </x:c>
      <x:c r="B192" s="12" t="n">
        <x:v>3385.3787</x:v>
      </x:c>
      <x:c r="C192" s="12" t="n">
        <x:v>3356.6459</x:v>
      </x:c>
      <x:c r="D192" s="12" t="n">
        <x:v>0.856</x:v>
      </x:c>
      <x:c r="E192" s="12" t="n">
        <x:v>0.008523544679708842</x:v>
      </x:c>
      <x:c r="F192" s="12" t="n">
        <x:v>3.77</x:v>
      </x:c>
      <x:c r="G192" s="12" t="n">
        <x:v>377</x:v>
      </x:c>
      <x:c r="H192" s="12" t="n">
        <x:v>5</x:v>
      </x:c>
      <x:c r="I192" s="12" t="str">
        <x:v>TuShare index_daily</x:v>
      </x:c>
      <x:c r="J192" s="12" t="str">
        <x:v>Archived FRED mirror (Hugging Face)</x:v>
      </x:c>
    </x:row>
    <x:row r="193" ht="18" customHeight="1">
      <x:c r="A193" s="13" t="n">
        <x:v>42870</x:v>
      </x:c>
      <x:c r="B193" s="12" t="n">
        <x:v>3399.1937</x:v>
      </x:c>
      <x:c r="C193" s="12" t="n">
        <x:v>3385.3787</x:v>
      </x:c>
      <x:c r="D193" s="12" t="n">
        <x:v>0.4081</x:v>
      </x:c>
      <x:c r="E193" s="12" t="n">
        <x:v>0.004072480409697438</x:v>
      </x:c>
      <x:c r="F193" s="12" t="n">
        <x:v>3.72</x:v>
      </x:c>
      <x:c r="G193" s="12" t="n">
        <x:v>372</x:v>
      </x:c>
      <x:c r="H193" s="12" t="n">
        <x:v>-5</x:v>
      </x:c>
      <x:c r="I193" s="12" t="str">
        <x:v>TuShare index_daily</x:v>
      </x:c>
      <x:c r="J193" s="12" t="str">
        <x:v>Archived FRED mirror (Hugging Face)</x:v>
      </x:c>
    </x:row>
    <x:row r="194" ht="18" customHeight="1">
      <x:c r="A194" s="13" t="n">
        <x:v>42871</x:v>
      </x:c>
      <x:c r="B194" s="12" t="n">
        <x:v>3428.6491</x:v>
      </x:c>
      <x:c r="C194" s="12" t="n">
        <x:v>3399.1937</x:v>
      </x:c>
      <x:c r="D194" s="12" t="n">
        <x:v>0.8665</x:v>
      </x:c>
      <x:c r="E194" s="12" t="n">
        <x:v>0.008628078763215188</x:v>
      </x:c>
      <x:c r="F194" s="12" t="n">
        <x:v>3.71</x:v>
      </x:c>
      <x:c r="G194" s="12" t="n">
        <x:v>371</x:v>
      </x:c>
      <x:c r="H194" s="12" t="n">
        <x:v>-1</x:v>
      </x:c>
      <x:c r="I194" s="12" t="str">
        <x:v>TuShare index_daily</x:v>
      </x:c>
      <x:c r="J194" s="12" t="str">
        <x:v>Archived FRED mirror (Hugging Face)</x:v>
      </x:c>
    </x:row>
    <x:row r="195" ht="18" customHeight="1">
      <x:c r="A195" s="13" t="n">
        <x:v>42872</x:v>
      </x:c>
      <x:c r="B195" s="12" t="n">
        <x:v>3409.9656</x:v>
      </x:c>
      <x:c r="C195" s="12" t="n">
        <x:v>3428.6491</x:v>
      </x:c>
      <x:c r="D195" s="12" t="n">
        <x:v>-0.5449</x:v>
      </x:c>
      <x:c r="E195" s="12" t="n">
        <x:v>-0.005464131934695424</x:v>
      </x:c>
      <x:c r="F195" s="12" t="n">
        <x:v>3.84</x:v>
      </x:c>
      <x:c r="G195" s="12" t="n">
        <x:v>384</x:v>
      </x:c>
      <x:c r="H195" s="12" t="n">
        <x:v>13</x:v>
      </x:c>
      <x:c r="I195" s="12" t="str">
        <x:v>TuShare index_daily</x:v>
      </x:c>
      <x:c r="J195" s="12" t="str">
        <x:v>Archived FRED mirror (Hugging Face)</x:v>
      </x:c>
    </x:row>
    <x:row r="196" ht="18" customHeight="1">
      <x:c r="A196" s="13" t="n">
        <x:v>42873</x:v>
      </x:c>
      <x:c r="B196" s="12" t="n">
        <x:v>3398.1127</x:v>
      </x:c>
      <x:c r="C196" s="12" t="n">
        <x:v>3409.9656</x:v>
      </x:c>
      <x:c r="D196" s="12" t="n">
        <x:v>-0.3476</x:v>
      </x:c>
      <x:c r="E196" s="12" t="n">
        <x:v>-0.0034820139996903057</x:v>
      </x:c>
      <x:c r="F196" s="12" t="n">
        <x:v>3.85</x:v>
      </x:c>
      <x:c r="G196" s="12" t="n">
        <x:v>385</x:v>
      </x:c>
      <x:c r="H196" s="12" t="n">
        <x:v>1</x:v>
      </x:c>
      <x:c r="I196" s="12" t="str">
        <x:v>TuShare index_daily</x:v>
      </x:c>
      <x:c r="J196" s="12" t="str">
        <x:v>Archived FRED mirror (Hugging Face)</x:v>
      </x:c>
    </x:row>
    <x:row r="197" ht="18" customHeight="1">
      <x:c r="A197" s="13" t="n">
        <x:v>42874</x:v>
      </x:c>
      <x:c r="B197" s="12" t="n">
        <x:v>3403.8492</x:v>
      </x:c>
      <x:c r="C197" s="12" t="n">
        <x:v>3398.1127</x:v>
      </x:c>
      <x:c r="D197" s="12" t="n">
        <x:v>0.1688</x:v>
      </x:c>
      <x:c r="E197" s="12" t="n">
        <x:v>0.0016867196389440404</x:v>
      </x:c>
      <x:c r="F197" s="12" t="n">
        <x:v>3.78</x:v>
      </x:c>
      <x:c r="G197" s="12" t="n">
        <x:v>378</x:v>
      </x:c>
      <x:c r="H197" s="12" t="n">
        <x:v>-7</x:v>
      </x:c>
      <x:c r="I197" s="12" t="str">
        <x:v>TuShare index_daily</x:v>
      </x:c>
      <x:c r="J197" s="12" t="str">
        <x:v>Archived FRED mirror (Hugging Face)</x:v>
      </x:c>
    </x:row>
    <x:row r="198" ht="18" customHeight="1">
      <x:c r="A198" s="13" t="n">
        <x:v>42877</x:v>
      </x:c>
      <x:c r="B198" s="12" t="n">
        <x:v>3411.2387</x:v>
      </x:c>
      <x:c r="C198" s="12" t="n">
        <x:v>3403.8492</x:v>
      </x:c>
      <x:c r="D198" s="12" t="n">
        <x:v>0.2171</x:v>
      </x:c>
      <x:c r="E198" s="12" t="n">
        <x:v>0.002168571558962522</x:v>
      </x:c>
      <x:c r="F198" s="12" t="n">
        <x:v>3.72</x:v>
      </x:c>
      <x:c r="G198" s="12" t="n">
        <x:v>372</x:v>
      </x:c>
      <x:c r="H198" s="12" t="n">
        <x:v>-6</x:v>
      </x:c>
      <x:c r="I198" s="12" t="str">
        <x:v>TuShare index_daily</x:v>
      </x:c>
      <x:c r="J198" s="12" t="str">
        <x:v>Archived FRED mirror (Hugging Face)</x:v>
      </x:c>
    </x:row>
    <x:row r="199" ht="18" customHeight="1">
      <x:c r="A199" s="13" t="n">
        <x:v>42878</x:v>
      </x:c>
      <x:c r="B199" s="12" t="n">
        <x:v>3424.194</x:v>
      </x:c>
      <x:c r="C199" s="12" t="n">
        <x:v>3411.2387</x:v>
      </x:c>
      <x:c r="D199" s="12" t="n">
        <x:v>0.3798</x:v>
      </x:c>
      <x:c r="E199" s="12" t="n">
        <x:v>0.0037906350867286664</x:v>
      </x:c>
      <x:c r="F199" s="12" t="n">
        <x:v>3.67</x:v>
      </x:c>
      <x:c r="G199" s="12" t="n">
        <x:v>367</x:v>
      </x:c>
      <x:c r="H199" s="12" t="n">
        <x:v>-5</x:v>
      </x:c>
      <x:c r="I199" s="12" t="str">
        <x:v>TuShare index_daily</x:v>
      </x:c>
      <x:c r="J199" s="12" t="str">
        <x:v>Archived FRED mirror (Hugging Face)</x:v>
      </x:c>
    </x:row>
    <x:row r="200" ht="18" customHeight="1">
      <x:c r="A200" s="13" t="n">
        <x:v>42879</x:v>
      </x:c>
      <x:c r="B200" s="12" t="n">
        <x:v>3424.1669</x:v>
      </x:c>
      <x:c r="C200" s="12" t="n">
        <x:v>3424.194</x:v>
      </x:c>
      <x:c r="D200" s="12" t="n">
        <x:v>-0.0008</x:v>
      </x:c>
      <x:c r="E200" s="12" t="n">
        <x:v>-0.00000791430253039329</x:v>
      </x:c>
      <x:c r="F200" s="12" t="n">
        <x:v>3.68</x:v>
      </x:c>
      <x:c r="G200" s="12" t="n">
        <x:v>368</x:v>
      </x:c>
      <x:c r="H200" s="12" t="n">
        <x:v>1</x:v>
      </x:c>
      <x:c r="I200" s="12" t="str">
        <x:v>TuShare index_daily</x:v>
      </x:c>
      <x:c r="J200" s="12" t="str">
        <x:v>Archived FRED mirror (Hugging Face)</x:v>
      </x:c>
    </x:row>
    <x:row r="201" ht="18" customHeight="1">
      <x:c r="A201" s="13" t="n">
        <x:v>42880</x:v>
      </x:c>
      <x:c r="B201" s="12" t="n">
        <x:v>3485.6581</x:v>
      </x:c>
      <x:c r="C201" s="12" t="n">
        <x:v>3424.1669</x:v>
      </x:c>
      <x:c r="D201" s="12" t="n">
        <x:v>1.7958</x:v>
      </x:c>
      <x:c r="E201" s="12" t="n">
        <x:v>0.017798663011057387</x:v>
      </x:c>
      <x:c r="F201" s="12" t="n">
        <x:v>3.67</x:v>
      </x:c>
      <x:c r="G201" s="12" t="n">
        <x:v>367</x:v>
      </x:c>
      <x:c r="H201" s="12" t="n">
        <x:v>-1</x:v>
      </x:c>
      <x:c r="I201" s="12" t="str">
        <x:v>TuShare index_daily</x:v>
      </x:c>
      <x:c r="J201" s="12" t="str">
        <x:v>Archived FRED mirror (Hugging Face)</x:v>
      </x:c>
    </x:row>
    <x:row r="202" ht="18" customHeight="1">
      <x:c r="A202" s="13" t="n">
        <x:v>42881</x:v>
      </x:c>
      <x:c r="B202" s="12" t="n">
        <x:v>3480.4345</x:v>
      </x:c>
      <x:c r="C202" s="12" t="n">
        <x:v>3485.6581</x:v>
      </x:c>
      <x:c r="D202" s="12" t="n">
        <x:v>-0.1499</x:v>
      </x:c>
      <x:c r="E202" s="12" t="n">
        <x:v>-0.0014997219471536538</x:v>
      </x:c>
      <x:c r="F202" s="12" t="n">
        <x:v>3.67</x:v>
      </x:c>
      <x:c r="G202" s="12" t="n">
        <x:v>367</x:v>
      </x:c>
      <x:c r="H202" s="12" t="n">
        <x:v>0</x:v>
      </x:c>
      <x:c r="I202" s="12" t="str">
        <x:v>TuShare index_daily</x:v>
      </x:c>
      <x:c r="J202" s="12" t="str">
        <x:v>Archived FRED mirror (Hugging Face)</x:v>
      </x:c>
    </x:row>
    <x:row r="203" ht="18" customHeight="1">
      <x:c r="A203" s="13" t="n">
        <x:v>42886</x:v>
      </x:c>
      <x:c r="B203" s="12" t="n">
        <x:v>3492.8845</x:v>
      </x:c>
      <x:c r="C203" s="12" t="n">
        <x:v>3480.4345</x:v>
      </x:c>
      <x:c r="D203" s="12" t="n">
        <x:v>0.3577</x:v>
      </x:c>
      <x:c r="E203" s="12" t="n">
        <x:v>0.0035707568314135704</x:v>
      </x:c>
      <x:c r="F203" s="12" t="n">
        <x:v>3.74</x:v>
      </x:c>
      <x:c r="G203" s="12" t="n">
        <x:v>374</x:v>
      </x:c>
      <x:c r="H203" s="12" t="n">
        <x:v>6</x:v>
      </x:c>
      <x:c r="I203" s="12" t="str">
        <x:v>TuShare index_daily</x:v>
      </x:c>
      <x:c r="J203" s="12" t="str">
        <x:v>Archived FRED mirror (Hugging Face)</x:v>
      </x:c>
    </x:row>
    <x:row r="204" ht="18" customHeight="1">
      <x:c r="A204" s="13" t="n">
        <x:v>42887</x:v>
      </x:c>
      <x:c r="B204" s="12" t="n">
        <x:v>3497.7382</x:v>
      </x:c>
      <x:c r="C204" s="12" t="n">
        <x:v>3492.8845</x:v>
      </x:c>
      <x:c r="D204" s="12" t="n">
        <x:v>0.139</x:v>
      </x:c>
      <x:c r="E204" s="12" t="n">
        <x:v>0.0013886318825212262</x:v>
      </x:c>
      <x:c r="F204" s="12" t="n">
        <x:v>3.69</x:v>
      </x:c>
      <x:c r="G204" s="12" t="n">
        <x:v>369</x:v>
      </x:c>
      <x:c r="H204" s="12" t="n">
        <x:v>-5</x:v>
      </x:c>
      <x:c r="I204" s="12" t="str">
        <x:v>TuShare index_daily</x:v>
      </x:c>
      <x:c r="J204" s="12" t="str">
        <x:v>Archived FRED mirror (Hugging Face)</x:v>
      </x:c>
    </x:row>
    <x:row r="205" ht="18" customHeight="1">
      <x:c r="A205" s="13" t="n">
        <x:v>42888</x:v>
      </x:c>
      <x:c r="B205" s="12" t="n">
        <x:v>3486.5074</x:v>
      </x:c>
      <x:c r="C205" s="12" t="n">
        <x:v>3497.7382</x:v>
      </x:c>
      <x:c r="D205" s="12" t="n">
        <x:v>-0.3211</x:v>
      </x:c>
      <x:c r="E205" s="12" t="n">
        <x:v>-0.0032160408791855996</x:v>
      </x:c>
      <x:c r="F205" s="12" t="n">
        <x:v>3.69</x:v>
      </x:c>
      <x:c r="G205" s="12" t="n">
        <x:v>369</x:v>
      </x:c>
      <x:c r="H205" s="12" t="n">
        <x:v>0</x:v>
      </x:c>
      <x:c r="I205" s="12" t="str">
        <x:v>TuShare index_daily</x:v>
      </x:c>
      <x:c r="J205" s="12" t="str">
        <x:v>Archived FRED mirror (Hugging Face)</x:v>
      </x:c>
    </x:row>
    <x:row r="206" ht="18" customHeight="1">
      <x:c r="A206" s="13" t="n">
        <x:v>42891</x:v>
      </x:c>
      <x:c r="B206" s="12" t="n">
        <x:v>3468.7538</x:v>
      </x:c>
      <x:c r="C206" s="12" t="n">
        <x:v>3486.5074</x:v>
      </x:c>
      <x:c r="D206" s="12" t="n">
        <x:v>-0.5092</x:v>
      </x:c>
      <x:c r="E206" s="12" t="n">
        <x:v>-0.0051050961415664035</x:v>
      </x:c>
      <x:c r="F206" s="12" t="n">
        <x:v>3.68</x:v>
      </x:c>
      <x:c r="G206" s="12" t="n">
        <x:v>368</x:v>
      </x:c>
      <x:c r="H206" s="12" t="n">
        <x:v>-1</x:v>
      </x:c>
      <x:c r="I206" s="12" t="str">
        <x:v>TuShare index_daily</x:v>
      </x:c>
      <x:c r="J206" s="12" t="str">
        <x:v>Archived FRED mirror (Hugging Face)</x:v>
      </x:c>
    </x:row>
    <x:row r="207" ht="18" customHeight="1">
      <x:c r="A207" s="13" t="n">
        <x:v>42892</x:v>
      </x:c>
      <x:c r="B207" s="12" t="n">
        <x:v>3492.8816</x:v>
      </x:c>
      <x:c r="C207" s="12" t="n">
        <x:v>3468.7538</x:v>
      </x:c>
      <x:c r="D207" s="12" t="n">
        <x:v>0.6956</x:v>
      </x:c>
      <x:c r="E207" s="12" t="n">
        <x:v>0.006931674878540226</x:v>
      </x:c>
      <x:c r="F207" s="12" t="n">
        <x:v>3.72</x:v>
      </x:c>
      <x:c r="G207" s="12" t="n">
        <x:v>372</x:v>
      </x:c>
      <x:c r="H207" s="12" t="n">
        <x:v>4</x:v>
      </x:c>
      <x:c r="I207" s="12" t="str">
        <x:v>TuShare index_daily</x:v>
      </x:c>
      <x:c r="J207" s="12" t="str">
        <x:v>Archived FRED mirror (Hugging Face)</x:v>
      </x:c>
    </x:row>
    <x:row r="208" ht="18" customHeight="1">
      <x:c r="A208" s="13" t="n">
        <x:v>42893</x:v>
      </x:c>
      <x:c r="B208" s="12" t="n">
        <x:v>3533.8718</x:v>
      </x:c>
      <x:c r="C208" s="12" t="n">
        <x:v>3492.8816</x:v>
      </x:c>
      <x:c r="D208" s="12" t="n">
        <x:v>1.1735</x:v>
      </x:c>
      <x:c r="E208" s="12" t="n">
        <x:v>0.011667028179158117</x:v>
      </x:c>
      <x:c r="F208" s="12" t="n">
        <x:v>3.73</x:v>
      </x:c>
      <x:c r="G208" s="12" t="n">
        <x:v>373</x:v>
      </x:c>
      <x:c r="H208" s="12" t="n">
        <x:v>1</x:v>
      </x:c>
      <x:c r="I208" s="12" t="str">
        <x:v>TuShare index_daily</x:v>
      </x:c>
      <x:c r="J208" s="12" t="str">
        <x:v>Archived FRED mirror (Hugging Face)</x:v>
      </x:c>
    </x:row>
    <x:row r="209" ht="18" customHeight="1">
      <x:c r="A209" s="13" t="n">
        <x:v>42894</x:v>
      </x:c>
      <x:c r="B209" s="12" t="n">
        <x:v>3560.9786</x:v>
      </x:c>
      <x:c r="C209" s="12" t="n">
        <x:v>3533.8718</x:v>
      </x:c>
      <x:c r="D209" s="12" t="n">
        <x:v>0.7671</x:v>
      </x:c>
      <x:c r="E209" s="12" t="n">
        <x:v>0.007641297664501799</x:v>
      </x:c>
      <x:c r="F209" s="12" t="n">
        <x:v>3.76</x:v>
      </x:c>
      <x:c r="G209" s="12" t="n">
        <x:v>376</x:v>
      </x:c>
      <x:c r="H209" s="12" t="n">
        <x:v>3</x:v>
      </x:c>
      <x:c r="I209" s="12" t="str">
        <x:v>TuShare index_daily</x:v>
      </x:c>
      <x:c r="J209" s="12" t="str">
        <x:v>Archived FRED mirror (Hugging Face)</x:v>
      </x:c>
    </x:row>
    <x:row r="210" ht="18" customHeight="1">
      <x:c r="A210" s="13" t="n">
        <x:v>42895</x:v>
      </x:c>
      <x:c r="B210" s="12" t="n">
        <x:v>3576.1703</x:v>
      </x:c>
      <x:c r="C210" s="12" t="n">
        <x:v>3560.9786</x:v>
      </x:c>
      <x:c r="D210" s="12" t="n">
        <x:v>0.4266</x:v>
      </x:c>
      <x:c r="E210" s="12" t="n">
        <x:v>0.004257084490128767</x:v>
      </x:c>
      <x:c r="F210" s="12" t="n">
        <x:v>3.73</x:v>
      </x:c>
      <x:c r="G210" s="12" t="n">
        <x:v>373</x:v>
      </x:c>
      <x:c r="H210" s="12" t="n">
        <x:v>-3</x:v>
      </x:c>
      <x:c r="I210" s="12" t="str">
        <x:v>TuShare index_daily</x:v>
      </x:c>
      <x:c r="J210" s="12" t="str">
        <x:v>Archived FRED mirror (Hugging Face)</x:v>
      </x:c>
    </x:row>
    <x:row r="211" ht="18" customHeight="1">
      <x:c r="A211" s="13" t="n">
        <x:v>42898</x:v>
      </x:c>
      <x:c r="B211" s="12" t="n">
        <x:v>3574.3894</x:v>
      </x:c>
      <x:c r="C211" s="12" t="n">
        <x:v>3576.1703</x:v>
      </x:c>
      <x:c r="D211" s="12" t="n">
        <x:v>-0.0498</x:v>
      </x:c>
      <x:c r="E211" s="12" t="n">
        <x:v>-0.0004981148641617354</x:v>
      </x:c>
      <x:c r="F211" s="12" t="n">
        <x:v>3.71</x:v>
      </x:c>
      <x:c r="G211" s="12" t="n">
        <x:v>371</x:v>
      </x:c>
      <x:c r="H211" s="12" t="n">
        <x:v>-2</x:v>
      </x:c>
      <x:c r="I211" s="12" t="str">
        <x:v>TuShare index_daily</x:v>
      </x:c>
      <x:c r="J211" s="12" t="str">
        <x:v>Archived FRED mirror (Hugging Face)</x:v>
      </x:c>
    </x:row>
    <x:row r="212" ht="18" customHeight="1">
      <x:c r="A212" s="13" t="n">
        <x:v>42899</x:v>
      </x:c>
      <x:c r="B212" s="12" t="n">
        <x:v>3582.2674</x:v>
      </x:c>
      <x:c r="C212" s="12" t="n">
        <x:v>3574.3894</x:v>
      </x:c>
      <x:c r="D212" s="12" t="n">
        <x:v>0.2204</x:v>
      </x:c>
      <x:c r="E212" s="12" t="n">
        <x:v>0.0022015875295422825</x:v>
      </x:c>
      <x:c r="F212" s="12" t="n">
        <x:v>3.68</x:v>
      </x:c>
      <x:c r="G212" s="12" t="n">
        <x:v>368</x:v>
      </x:c>
      <x:c r="H212" s="12" t="n">
        <x:v>-3</x:v>
      </x:c>
      <x:c r="I212" s="12" t="str">
        <x:v>TuShare index_daily</x:v>
      </x:c>
      <x:c r="J212" s="12" t="str">
        <x:v>Archived FRED mirror (Hugging Face)</x:v>
      </x:c>
    </x:row>
    <x:row r="213" ht="18" customHeight="1">
      <x:c r="A213" s="13" t="n">
        <x:v>42900</x:v>
      </x:c>
      <x:c r="B213" s="12" t="n">
        <x:v>3535.2987</x:v>
      </x:c>
      <x:c r="C213" s="12" t="n">
        <x:v>3582.2674</x:v>
      </x:c>
      <x:c r="D213" s="12" t="n">
        <x:v>-1.3111</x:v>
      </x:c>
      <x:c r="E213" s="12" t="n">
        <x:v>-0.0131981582280622</x:v>
      </x:c>
      <x:c r="F213" s="12" t="n">
        <x:v>3.7</x:v>
      </x:c>
      <x:c r="G213" s="12" t="n">
        <x:v>370</x:v>
      </x:c>
      <x:c r="H213" s="12" t="n">
        <x:v>2</x:v>
      </x:c>
      <x:c r="I213" s="12" t="str">
        <x:v>TuShare index_daily</x:v>
      </x:c>
      <x:c r="J213" s="12" t="str">
        <x:v>Archived FRED mirror (Hugging Face)</x:v>
      </x:c>
    </x:row>
    <x:row r="214" ht="18" customHeight="1">
      <x:c r="A214" s="13" t="n">
        <x:v>42901</x:v>
      </x:c>
      <x:c r="B214" s="12" t="n">
        <x:v>3528.7926</x:v>
      </x:c>
      <x:c r="C214" s="12" t="n">
        <x:v>3535.2987</x:v>
      </x:c>
      <x:c r="D214" s="12" t="n">
        <x:v>-0.184</x:v>
      </x:c>
      <x:c r="E214" s="12" t="n">
        <x:v>-0.0018420208809083619</x:v>
      </x:c>
      <x:c r="F214" s="12" t="n">
        <x:v>3.72</x:v>
      </x:c>
      <x:c r="G214" s="12" t="n">
        <x:v>372</x:v>
      </x:c>
      <x:c r="H214" s="12" t="n">
        <x:v>2</x:v>
      </x:c>
      <x:c r="I214" s="12" t="str">
        <x:v>TuShare index_daily</x:v>
      </x:c>
      <x:c r="J214" s="12" t="str">
        <x:v>Archived FRED mirror (Hugging Face)</x:v>
      </x:c>
    </x:row>
    <x:row r="215" ht="18" customHeight="1">
      <x:c r="A215" s="13" t="n">
        <x:v>42902</x:v>
      </x:c>
      <x:c r="B215" s="12" t="n">
        <x:v>3518.7611</x:v>
      </x:c>
      <x:c r="C215" s="12" t="n">
        <x:v>3528.7926</x:v>
      </x:c>
      <x:c r="D215" s="12" t="n">
        <x:v>-0.2843</x:v>
      </x:c>
      <x:c r="E215" s="12" t="n">
        <x:v>-0.0028468053460470708</x:v>
      </x:c>
      <x:c r="F215" s="12" t="n">
        <x:v>3.76</x:v>
      </x:c>
      <x:c r="G215" s="12" t="n">
        <x:v>376</x:v>
      </x:c>
      <x:c r="H215" s="12" t="n">
        <x:v>4</x:v>
      </x:c>
      <x:c r="I215" s="12" t="str">
        <x:v>TuShare index_daily</x:v>
      </x:c>
      <x:c r="J215" s="12" t="str">
        <x:v>Archived FRED mirror (Hugging Face)</x:v>
      </x:c>
    </x:row>
    <x:row r="216" ht="18" customHeight="1">
      <x:c r="A216" s="13" t="n">
        <x:v>42905</x:v>
      </x:c>
      <x:c r="B216" s="12" t="n">
        <x:v>3553.6653</x:v>
      </x:c>
      <x:c r="C216" s="12" t="n">
        <x:v>3518.7611</x:v>
      </x:c>
      <x:c r="D216" s="12" t="n">
        <x:v>0.9919</x:v>
      </x:c>
      <x:c r="E216" s="12" t="n">
        <x:v>0.009870582290651478</x:v>
      </x:c>
      <x:c r="F216" s="12" t="n">
        <x:v>3.7</x:v>
      </x:c>
      <x:c r="G216" s="12" t="n">
        <x:v>370</x:v>
      </x:c>
      <x:c r="H216" s="12" t="n">
        <x:v>-6</x:v>
      </x:c>
      <x:c r="I216" s="12" t="str">
        <x:v>TuShare index_daily</x:v>
      </x:c>
      <x:c r="J216" s="12" t="str">
        <x:v>Archived FRED mirror (Hugging Face)</x:v>
      </x:c>
    </x:row>
    <x:row r="217" ht="18" customHeight="1">
      <x:c r="A217" s="13" t="n">
        <x:v>42906</x:v>
      </x:c>
      <x:c r="B217" s="12" t="n">
        <x:v>3546.494</x:v>
      </x:c>
      <x:c r="C217" s="12" t="n">
        <x:v>3553.6653</x:v>
      </x:c>
      <x:c r="D217" s="12" t="n">
        <x:v>-0.2018</x:v>
      </x:c>
      <x:c r="E217" s="12" t="n">
        <x:v>-0.0020200398710990114</x:v>
      </x:c>
      <x:c r="F217" s="12" t="n">
        <x:v>3.77</x:v>
      </x:c>
      <x:c r="G217" s="12" t="n">
        <x:v>377</x:v>
      </x:c>
      <x:c r="H217" s="12" t="n">
        <x:v>7</x:v>
      </x:c>
      <x:c r="I217" s="12" t="str">
        <x:v>TuShare index_daily</x:v>
      </x:c>
      <x:c r="J217" s="12" t="str">
        <x:v>Archived FRED mirror (Hugging Face)</x:v>
      </x:c>
    </x:row>
    <x:row r="218" ht="18" customHeight="1">
      <x:c r="A218" s="13" t="n">
        <x:v>42907</x:v>
      </x:c>
      <x:c r="B218" s="12" t="n">
        <x:v>3587.955</x:v>
      </x:c>
      <x:c r="C218" s="12" t="n">
        <x:v>3546.494</x:v>
      </x:c>
      <x:c r="D218" s="12" t="n">
        <x:v>1.1691</x:v>
      </x:c>
      <x:c r="E218" s="12" t="n">
        <x:v>0.011622892462132673</x:v>
      </x:c>
      <x:c r="F218" s="12" t="n">
        <x:v>3.85</x:v>
      </x:c>
      <x:c r="G218" s="12" t="n">
        <x:v>385</x:v>
      </x:c>
      <x:c r="H218" s="12" t="n">
        <x:v>8</x:v>
      </x:c>
      <x:c r="I218" s="12" t="str">
        <x:v>TuShare index_daily</x:v>
      </x:c>
      <x:c r="J218" s="12" t="str">
        <x:v>Archived FRED mirror (Hugging Face)</x:v>
      </x:c>
    </x:row>
    <x:row r="219" ht="18" customHeight="1">
      <x:c r="A219" s="13" t="n">
        <x:v>42908</x:v>
      </x:c>
      <x:c r="B219" s="12" t="n">
        <x:v>3590.3425</x:v>
      </x:c>
      <x:c r="C219" s="12" t="n">
        <x:v>3587.955</x:v>
      </x:c>
      <x:c r="D219" s="12" t="n">
        <x:v>0.0665</x:v>
      </x:c>
      <x:c r="E219" s="12" t="n">
        <x:v>0.000665199537365851</x:v>
      </x:c>
      <x:c r="F219" s="12" t="n">
        <x:v>3.87</x:v>
      </x:c>
      <x:c r="G219" s="12" t="n">
        <x:v>387</x:v>
      </x:c>
      <x:c r="H219" s="12" t="n">
        <x:v>2</x:v>
      </x:c>
      <x:c r="I219" s="12" t="str">
        <x:v>TuShare index_daily</x:v>
      </x:c>
      <x:c r="J219" s="12" t="str">
        <x:v>Archived FRED mirror (Hugging Face)</x:v>
      </x:c>
    </x:row>
    <x:row r="220" ht="18" customHeight="1">
      <x:c r="A220" s="13" t="n">
        <x:v>42909</x:v>
      </x:c>
      <x:c r="B220" s="12" t="n">
        <x:v>3622.8831</x:v>
      </x:c>
      <x:c r="C220" s="12" t="n">
        <x:v>3590.3425</x:v>
      </x:c>
      <x:c r="D220" s="12" t="n">
        <x:v>0.9063</x:v>
      </x:c>
      <x:c r="E220" s="12" t="n">
        <x:v>0.009022543465296705</x:v>
      </x:c>
      <x:c r="F220" s="12" t="n">
        <x:v>3.86</x:v>
      </x:c>
      <x:c r="G220" s="12" t="n">
        <x:v>386</x:v>
      </x:c>
      <x:c r="H220" s="12" t="n">
        <x:v>-1</x:v>
      </x:c>
      <x:c r="I220" s="12" t="str">
        <x:v>TuShare index_daily</x:v>
      </x:c>
      <x:c r="J220" s="12" t="str">
        <x:v>Archived FRED mirror (Hugging Face)</x:v>
      </x:c>
    </x:row>
    <x:row r="221" ht="18" customHeight="1">
      <x:c r="A221" s="13" t="n">
        <x:v>42912</x:v>
      </x:c>
      <x:c r="B221" s="12" t="n">
        <x:v>3668.0919</x:v>
      </x:c>
      <x:c r="C221" s="12" t="n">
        <x:v>3622.8831</x:v>
      </x:c>
      <x:c r="D221" s="12" t="n">
        <x:v>1.2479</x:v>
      </x:c>
      <x:c r="E221" s="12" t="n">
        <x:v>0.012401463291442894</x:v>
      </x:c>
      <x:c r="F221" s="12" t="n">
        <x:v>3.83</x:v>
      </x:c>
      <x:c r="G221" s="12" t="n">
        <x:v>383</x:v>
      </x:c>
      <x:c r="H221" s="12" t="n">
        <x:v>-3</x:v>
      </x:c>
      <x:c r="I221" s="12" t="str">
        <x:v>TuShare index_daily</x:v>
      </x:c>
      <x:c r="J221" s="12" t="str">
        <x:v>Archived FRED mirror (Hugging Face)</x:v>
      </x:c>
    </x:row>
    <x:row r="222" ht="18" customHeight="1">
      <x:c r="A222" s="13" t="n">
        <x:v>42913</x:v>
      </x:c>
      <x:c r="B222" s="12" t="n">
        <x:v>3674.7152</x:v>
      </x:c>
      <x:c r="C222" s="12" t="n">
        <x:v>3668.0919</x:v>
      </x:c>
      <x:c r="D222" s="12" t="n">
        <x:v>0.1806</x:v>
      </x:c>
      <x:c r="E222" s="12" t="n">
        <x:v>0.0018040244571579066</x:v>
      </x:c>
      <x:c r="F222" s="12" t="n">
        <x:v>3.77</x:v>
      </x:c>
      <x:c r="G222" s="12" t="n">
        <x:v>377</x:v>
      </x:c>
      <x:c r="H222" s="12" t="n">
        <x:v>-6</x:v>
      </x:c>
      <x:c r="I222" s="12" t="str">
        <x:v>TuShare index_daily</x:v>
      </x:c>
      <x:c r="J222" s="12" t="str">
        <x:v>Archived FRED mirror (Hugging Face)</x:v>
      </x:c>
    </x:row>
    <x:row r="223" ht="18" customHeight="1">
      <x:c r="A223" s="13" t="n">
        <x:v>42914</x:v>
      </x:c>
      <x:c r="B223" s="12" t="n">
        <x:v>3646.1666</x:v>
      </x:c>
      <x:c r="C223" s="12" t="n">
        <x:v>3674.7152</x:v>
      </x:c>
      <x:c r="D223" s="12" t="n">
        <x:v>-0.7769</x:v>
      </x:c>
      <x:c r="E223" s="12" t="n">
        <x:v>-0.0077992639394721675</x:v>
      </x:c>
      <x:c r="F223" s="12" t="n">
        <x:v>3.77</x:v>
      </x:c>
      <x:c r="G223" s="12" t="n">
        <x:v>377</x:v>
      </x:c>
      <x:c r="H223" s="12" t="n">
        <x:v>0</x:v>
      </x:c>
      <x:c r="I223" s="12" t="str">
        <x:v>TuShare index_daily</x:v>
      </x:c>
      <x:c r="J223" s="12" t="str">
        <x:v>Archived FRED mirror (Hugging Face)</x:v>
      </x:c>
    </x:row>
    <x:row r="224" ht="18" customHeight="1">
      <x:c r="A224" s="13" t="n">
        <x:v>42915</x:v>
      </x:c>
      <x:c r="B224" s="12" t="n">
        <x:v>3668.8279</x:v>
      </x:c>
      <x:c r="C224" s="12" t="n">
        <x:v>3646.1666</x:v>
      </x:c>
      <x:c r="D224" s="12" t="n">
        <x:v>0.6215</x:v>
      </x:c>
      <x:c r="E224" s="12" t="n">
        <x:v>0.006195868635291732</x:v>
      </x:c>
      <x:c r="F224" s="12" t="n">
        <x:v>3.76</x:v>
      </x:c>
      <x:c r="G224" s="12" t="n">
        <x:v>376</x:v>
      </x:c>
      <x:c r="H224" s="12" t="n">
        <x:v>-1</x:v>
      </x:c>
      <x:c r="I224" s="12" t="str">
        <x:v>TuShare index_daily</x:v>
      </x:c>
      <x:c r="J224" s="12" t="str">
        <x:v>Archived FRED mirror (Hugging Face)</x:v>
      </x:c>
    </x:row>
    <x:row r="225" ht="18" customHeight="1">
      <x:c r="A225" s="13" t="n">
        <x:v>42916</x:v>
      </x:c>
      <x:c r="B225" s="12" t="n">
        <x:v>3666.7977</x:v>
      </x:c>
      <x:c r="C225" s="12" t="n">
        <x:v>3668.8279</x:v>
      </x:c>
      <x:c r="D225" s="12" t="n">
        <x:v>-0.0553</x:v>
      </x:c>
      <x:c r="E225" s="12" t="n">
        <x:v>-0.000553517903594956</x:v>
      </x:c>
      <x:c r="F225" s="12" t="n">
        <x:v>3.77</x:v>
      </x:c>
      <x:c r="G225" s="12" t="n">
        <x:v>377</x:v>
      </x:c>
      <x:c r="H225" s="12" t="n">
        <x:v>1</x:v>
      </x:c>
      <x:c r="I225" s="12" t="str">
        <x:v>TuShare index_daily</x:v>
      </x:c>
      <x:c r="J225" s="12" t="str">
        <x:v>Archived FRED mirror (Hugging Face)</x:v>
      </x:c>
    </x:row>
    <x:row r="226" ht="18" customHeight="1">
      <x:c r="A226" s="13" t="n">
        <x:v>42919</x:v>
      </x:c>
      <x:c r="B226" s="12" t="n">
        <x:v>3650.8463</x:v>
      </x:c>
      <x:c r="C226" s="12" t="n">
        <x:v>3666.7977</x:v>
      </x:c>
      <x:c r="D226" s="12" t="n">
        <x:v>-0.435</x:v>
      </x:c>
      <x:c r="E226" s="12" t="n">
        <x:v>-0.004359716123344102</x:v>
      </x:c>
      <x:c r="F226" s="12" t="n">
        <x:v>3.72</x:v>
      </x:c>
      <x:c r="G226" s="12" t="n">
        <x:v>372</x:v>
      </x:c>
      <x:c r="H226" s="12" t="n">
        <x:v>-5</x:v>
      </x:c>
      <x:c r="I226" s="12" t="str">
        <x:v>TuShare index_daily</x:v>
      </x:c>
      <x:c r="J226" s="12" t="str">
        <x:v>Archived FRED mirror (Hugging Face)</x:v>
      </x:c>
    </x:row>
    <x:row r="227" ht="18" customHeight="1">
      <x:c r="A227" s="13" t="n">
        <x:v>42920</x:v>
      </x:c>
      <x:c r="B227" s="12" t="n">
        <x:v>3619.9841</x:v>
      </x:c>
      <x:c r="C227" s="12" t="n">
        <x:v>3650.8463</x:v>
      </x:c>
      <x:c r="D227" s="12" t="n">
        <x:v>-0.8453</x:v>
      </x:c>
      <x:c r="E227" s="12" t="n">
        <x:v>-0.00848937016918417</x:v>
      </x:c>
      <x:c r="F227" s="12" t="n">
        <x:v>3.72</x:v>
      </x:c>
      <x:c r="G227" s="12" t="n">
        <x:v>372</x:v>
      </x:c>
      <x:c r="H227" s="12" t="n">
        <x:v>0</x:v>
      </x:c>
      <x:c r="I227" s="12" t="str">
        <x:v>TuShare index_daily</x:v>
      </x:c>
      <x:c r="J227" s="12" t="str">
        <x:v>Archived FRED mirror (Hugging Face)</x:v>
      </x:c>
    </x:row>
    <x:row r="228" ht="18" customHeight="1">
      <x:c r="A228" s="13" t="n">
        <x:v>42921</x:v>
      </x:c>
      <x:c r="B228" s="12" t="n">
        <x:v>3659.6795</x:v>
      </x:c>
      <x:c r="C228" s="12" t="n">
        <x:v>3619.9841</x:v>
      </x:c>
      <x:c r="D228" s="12" t="n">
        <x:v>1.0966</x:v>
      </x:c>
      <x:c r="E228" s="12" t="n">
        <x:v>0.010905941710095658</x:v>
      </x:c>
      <x:c r="F228" s="12" t="n">
        <x:v>3.73</x:v>
      </x:c>
      <x:c r="G228" s="12" t="n">
        <x:v>373</x:v>
      </x:c>
      <x:c r="H228" s="12" t="n">
        <x:v>1</x:v>
      </x:c>
      <x:c r="I228" s="12" t="str">
        <x:v>TuShare index_daily</x:v>
      </x:c>
      <x:c r="J228" s="12" t="str">
        <x:v>Archived FRED mirror (Hugging Face)</x:v>
      </x:c>
    </x:row>
    <x:row r="229" ht="18" customHeight="1">
      <x:c r="A229" s="13" t="n">
        <x:v>42922</x:v>
      </x:c>
      <x:c r="B229" s="12" t="n">
        <x:v>3660.0967</x:v>
      </x:c>
      <x:c r="C229" s="12" t="n">
        <x:v>3659.6795</x:v>
      </x:c>
      <x:c r="D229" s="12" t="n">
        <x:v>0.0114</x:v>
      </x:c>
      <x:c r="E229" s="12" t="n">
        <x:v>0.00011399255634387506</x:v>
      </x:c>
      <x:c r="F229" s="12" t="n">
        <x:v>3.78</x:v>
      </x:c>
      <x:c r="G229" s="12" t="n">
        <x:v>378</x:v>
      </x:c>
      <x:c r="H229" s="12" t="n">
        <x:v>5</x:v>
      </x:c>
      <x:c r="I229" s="12" t="str">
        <x:v>TuShare index_daily</x:v>
      </x:c>
      <x:c r="J229" s="12" t="str">
        <x:v>Archived FRED mirror (Hugging Face)</x:v>
      </x:c>
    </x:row>
    <x:row r="230" ht="18" customHeight="1">
      <x:c r="A230" s="13" t="n">
        <x:v>42923</x:v>
      </x:c>
      <x:c r="B230" s="12" t="n">
        <x:v>3655.9293</x:v>
      </x:c>
      <x:c r="C230" s="12" t="n">
        <x:v>3660.0967</x:v>
      </x:c>
      <x:c r="D230" s="12" t="n">
        <x:v>-0.1139</x:v>
      </x:c>
      <x:c r="E230" s="12" t="n">
        <x:v>-0.0011392524987576937</x:v>
      </x:c>
      <x:c r="F230" s="12" t="n">
        <x:v>3.83</x:v>
      </x:c>
      <x:c r="G230" s="12" t="n">
        <x:v>383</x:v>
      </x:c>
      <x:c r="H230" s="12" t="n">
        <x:v>5</x:v>
      </x:c>
      <x:c r="I230" s="12" t="str">
        <x:v>TuShare index_daily</x:v>
      </x:c>
      <x:c r="J230" s="12" t="str">
        <x:v>Archived FRED mirror (Hugging Face)</x:v>
      </x:c>
    </x:row>
    <x:row r="231" ht="18" customHeight="1">
      <x:c r="A231" s="13" t="n">
        <x:v>42926</x:v>
      </x:c>
      <x:c r="B231" s="12" t="n">
        <x:v>3653.6868</x:v>
      </x:c>
      <x:c r="C231" s="12" t="n">
        <x:v>3655.9293</x:v>
      </x:c>
      <x:c r="D231" s="12" t="n">
        <x:v>-0.0613</x:v>
      </x:c>
      <x:c r="E231" s="12" t="n">
        <x:v>-0.0006135753341008933</x:v>
      </x:c>
      <x:c r="F231" s="12" t="n">
        <x:v>3.83</x:v>
      </x:c>
      <x:c r="G231" s="12" t="n">
        <x:v>383</x:v>
      </x:c>
      <x:c r="H231" s="12" t="n">
        <x:v>0</x:v>
      </x:c>
      <x:c r="I231" s="12" t="str">
        <x:v>TuShare index_daily</x:v>
      </x:c>
      <x:c r="J231" s="12" t="str">
        <x:v>Archived FRED mirror (Hugging Face)</x:v>
      </x:c>
    </x:row>
    <x:row r="232" ht="18" customHeight="1">
      <x:c r="A232" s="13" t="n">
        <x:v>42927</x:v>
      </x:c>
      <x:c r="B232" s="12" t="n">
        <x:v>3670.8086</x:v>
      </x:c>
      <x:c r="C232" s="12" t="n">
        <x:v>3653.6868</x:v>
      </x:c>
      <x:c r="D232" s="12" t="n">
        <x:v>0.4686</x:v>
      </x:c>
      <x:c r="E232" s="12" t="n">
        <x:v>0.004675224777110892</x:v>
      </x:c>
      <x:c r="F232" s="12" t="n">
        <x:v>3.85</x:v>
      </x:c>
      <x:c r="G232" s="12" t="n">
        <x:v>385</x:v>
      </x:c>
      <x:c r="H232" s="12" t="n">
        <x:v>2</x:v>
      </x:c>
      <x:c r="I232" s="12" t="str">
        <x:v>TuShare index_daily</x:v>
      </x:c>
      <x:c r="J232" s="12" t="str">
        <x:v>Archived FRED mirror (Hugging Face)</x:v>
      </x:c>
    </x:row>
    <x:row r="233" ht="18" customHeight="1">
      <x:c r="A233" s="13" t="n">
        <x:v>42928</x:v>
      </x:c>
      <x:c r="B233" s="12" t="n">
        <x:v>3658.8236</x:v>
      </x:c>
      <x:c r="C233" s="12" t="n">
        <x:v>3670.8086</x:v>
      </x:c>
      <x:c r="D233" s="12" t="n">
        <x:v>-0.3265</x:v>
      </x:c>
      <x:c r="E233" s="12" t="n">
        <x:v>-0.003270289792010191</x:v>
      </x:c>
      <x:c r="F233" s="12" t="n">
        <x:v>3.81</x:v>
      </x:c>
      <x:c r="G233" s="12" t="n">
        <x:v>381</x:v>
      </x:c>
      <x:c r="H233" s="12" t="n">
        <x:v>-4</x:v>
      </x:c>
      <x:c r="I233" s="12" t="str">
        <x:v>TuShare index_daily</x:v>
      </x:c>
      <x:c r="J233" s="12" t="str">
        <x:v>Archived FRED mirror (Hugging Face)</x:v>
      </x:c>
    </x:row>
    <x:row r="234" ht="18" customHeight="1">
      <x:c r="A234" s="13" t="n">
        <x:v>42929</x:v>
      </x:c>
      <x:c r="B234" s="12" t="n">
        <x:v>3686.9205</x:v>
      </x:c>
      <x:c r="C234" s="12" t="n">
        <x:v>3658.8236</x:v>
      </x:c>
      <x:c r="D234" s="12" t="n">
        <x:v>0.7679</x:v>
      </x:c>
      <x:c r="E234" s="12" t="n">
        <x:v>0.0076498817922887085</x:v>
      </x:c>
      <x:c r="F234" s="12" t="n">
        <x:v>3.77</x:v>
      </x:c>
      <x:c r="G234" s="12" t="n">
        <x:v>377</x:v>
      </x:c>
      <x:c r="H234" s="12" t="n">
        <x:v>-4</x:v>
      </x:c>
      <x:c r="I234" s="12" t="str">
        <x:v>TuShare index_daily</x:v>
      </x:c>
      <x:c r="J234" s="12" t="str">
        <x:v>Archived FRED mirror (Hugging Face)</x:v>
      </x:c>
    </x:row>
    <x:row r="235" ht="18" customHeight="1">
      <x:c r="A235" s="13" t="n">
        <x:v>42930</x:v>
      </x:c>
      <x:c r="B235" s="12" t="n">
        <x:v>3703.094</x:v>
      </x:c>
      <x:c r="C235" s="12" t="n">
        <x:v>3686.9205</x:v>
      </x:c>
      <x:c r="D235" s="12" t="n">
        <x:v>0.4387</x:v>
      </x:c>
      <x:c r="E235" s="12" t="n">
        <x:v>0.004377129658592193</x:v>
      </x:c>
      <x:c r="F235" s="12" t="n">
        <x:v>3.73</x:v>
      </x:c>
      <x:c r="G235" s="12" t="n">
        <x:v>373</x:v>
      </x:c>
      <x:c r="H235" s="12" t="n">
        <x:v>-4</x:v>
      </x:c>
      <x:c r="I235" s="12" t="str">
        <x:v>TuShare index_daily</x:v>
      </x:c>
      <x:c r="J235" s="12" t="str">
        <x:v>Archived FRED mirror (Hugging Face)</x:v>
      </x:c>
    </x:row>
    <x:row r="236" ht="18" customHeight="1">
      <x:c r="A236" s="13" t="n">
        <x:v>42933</x:v>
      </x:c>
      <x:c r="B236" s="12" t="n">
        <x:v>3663.5575</x:v>
      </x:c>
      <x:c r="C236" s="12" t="n">
        <x:v>3703.094</x:v>
      </x:c>
      <x:c r="D236" s="12" t="n">
        <x:v>-1.0677</x:v>
      </x:c>
      <x:c r="E236" s="12" t="n">
        <x:v>-0.010734016564415513</x:v>
      </x:c>
      <x:c r="F236" s="12" t="n">
        <x:v>3.69</x:v>
      </x:c>
      <x:c r="G236" s="12" t="n">
        <x:v>369</x:v>
      </x:c>
      <x:c r="H236" s="12" t="n">
        <x:v>-4</x:v>
      </x:c>
      <x:c r="I236" s="12" t="str">
        <x:v>TuShare index_daily</x:v>
      </x:c>
      <x:c r="J236" s="12" t="str">
        <x:v>Archived FRED mirror (Hugging Face)</x:v>
      </x:c>
    </x:row>
    <x:row r="237" ht="18" customHeight="1">
      <x:c r="A237" s="13" t="n">
        <x:v>42934</x:v>
      </x:c>
      <x:c r="B237" s="12" t="n">
        <x:v>3667.1807</x:v>
      </x:c>
      <x:c r="C237" s="12" t="n">
        <x:v>3663.5575</x:v>
      </x:c>
      <x:c r="D237" s="12" t="n">
        <x:v>0.0989</x:v>
      </x:c>
      <x:c r="E237" s="12" t="n">
        <x:v>0.0009884953455373269</x:v>
      </x:c>
      <x:c r="F237" s="12" t="n">
        <x:v>3.69</x:v>
      </x:c>
      <x:c r="G237" s="12" t="n">
        <x:v>369</x:v>
      </x:c>
      <x:c r="H237" s="12" t="n">
        <x:v>0</x:v>
      </x:c>
      <x:c r="I237" s="12" t="str">
        <x:v>TuShare index_daily</x:v>
      </x:c>
      <x:c r="J237" s="12" t="str">
        <x:v>Archived FRED mirror (Hugging Face)</x:v>
      </x:c>
    </x:row>
    <x:row r="238" ht="18" customHeight="1">
      <x:c r="A238" s="13" t="n">
        <x:v>42935</x:v>
      </x:c>
      <x:c r="B238" s="12" t="n">
        <x:v>3729.7466</x:v>
      </x:c>
      <x:c r="C238" s="12" t="n">
        <x:v>3667.1807</x:v>
      </x:c>
      <x:c r="D238" s="12" t="n">
        <x:v>1.7061</x:v>
      </x:c>
      <x:c r="E238" s="12" t="n">
        <x:v>0.016917130477631895</x:v>
      </x:c>
      <x:c r="F238" s="12" t="n">
        <x:v>3.64</x:v>
      </x:c>
      <x:c r="G238" s="12" t="n">
        <x:v>364</x:v>
      </x:c>
      <x:c r="H238" s="12" t="n">
        <x:v>-5</x:v>
      </x:c>
      <x:c r="I238" s="12" t="str">
        <x:v>TuShare index_daily</x:v>
      </x:c>
      <x:c r="J238" s="12" t="str">
        <x:v>Archived FRED mirror (Hugging Face)</x:v>
      </x:c>
    </x:row>
    <x:row r="239" ht="18" customHeight="1">
      <x:c r="A239" s="13" t="n">
        <x:v>42936</x:v>
      </x:c>
      <x:c r="B239" s="12" t="n">
        <x:v>3747.8843</x:v>
      </x:c>
      <x:c r="C239" s="12" t="n">
        <x:v>3729.7466</x:v>
      </x:c>
      <x:c r="D239" s="12" t="n">
        <x:v>0.4863</x:v>
      </x:c>
      <x:c r="E239" s="12" t="n">
        <x:v>0.004851198411312107</x:v>
      </x:c>
      <x:c r="F239" s="12" t="n">
        <x:v>3.61</x:v>
      </x:c>
      <x:c r="G239" s="12" t="n">
        <x:v>361</x:v>
      </x:c>
      <x:c r="H239" s="12" t="n">
        <x:v>-3</x:v>
      </x:c>
      <x:c r="I239" s="12" t="str">
        <x:v>TuShare index_daily</x:v>
      </x:c>
      <x:c r="J239" s="12" t="str">
        <x:v>Archived FRED mirror (Hugging Face)</x:v>
      </x:c>
    </x:row>
    <x:row r="240" ht="18" customHeight="1">
      <x:c r="A240" s="13" t="n">
        <x:v>42937</x:v>
      </x:c>
      <x:c r="B240" s="12" t="n">
        <x:v>3728.5976</x:v>
      </x:c>
      <x:c r="C240" s="12" t="n">
        <x:v>3747.8843</x:v>
      </x:c>
      <x:c r="D240" s="12" t="n">
        <x:v>-0.5146</x:v>
      </x:c>
      <x:c r="E240" s="12" t="n">
        <x:v>-0.005159309696680246</x:v>
      </x:c>
      <x:c r="F240" s="12" t="n">
        <x:v>3.64</x:v>
      </x:c>
      <x:c r="G240" s="12" t="n">
        <x:v>364</x:v>
      </x:c>
      <x:c r="H240" s="12" t="n">
        <x:v>3</x:v>
      </x:c>
      <x:c r="I240" s="12" t="str">
        <x:v>TuShare index_daily</x:v>
      </x:c>
      <x:c r="J240" s="12" t="str">
        <x:v>Archived FRED mirror (Hugging Face)</x:v>
      </x:c>
    </x:row>
    <x:row r="241" ht="18" customHeight="1">
      <x:c r="A241" s="13" t="n">
        <x:v>42940</x:v>
      </x:c>
      <x:c r="B241" s="12" t="n">
        <x:v>3743.4686</x:v>
      </x:c>
      <x:c r="C241" s="12" t="n">
        <x:v>3728.5976</x:v>
      </x:c>
      <x:c r="D241" s="12" t="n">
        <x:v>0.3988</x:v>
      </x:c>
      <x:c r="E241" s="12" t="n">
        <x:v>0.003980430375324101</x:v>
      </x:c>
      <x:c r="F241" s="12" t="n">
        <x:v>3.63</x:v>
      </x:c>
      <x:c r="G241" s="12" t="n">
        <x:v>363</x:v>
      </x:c>
      <x:c r="H241" s="12" t="n">
        <x:v>-1</x:v>
      </x:c>
      <x:c r="I241" s="12" t="str">
        <x:v>TuShare index_daily</x:v>
      </x:c>
      <x:c r="J241" s="12" t="str">
        <x:v>Archived FRED mirror (Hugging Face)</x:v>
      </x:c>
    </x:row>
    <x:row r="242" ht="18" customHeight="1">
      <x:c r="A242" s="13" t="n">
        <x:v>42941</x:v>
      </x:c>
      <x:c r="B242" s="12" t="n">
        <x:v>3719.559</x:v>
      </x:c>
      <x:c r="C242" s="12" t="n">
        <x:v>3743.4686</x:v>
      </x:c>
      <x:c r="D242" s="12" t="n">
        <x:v>-0.6387</x:v>
      </x:c>
      <x:c r="E242" s="12" t="n">
        <x:v>-0.006407501910569485</x:v>
      </x:c>
      <x:c r="F242" s="12" t="n">
        <x:v>3.55</x:v>
      </x:c>
      <x:c r="G242" s="12" t="n">
        <x:v>355</x:v>
      </x:c>
      <x:c r="H242" s="12" t="n">
        <x:v>-8</x:v>
      </x:c>
      <x:c r="I242" s="12" t="str">
        <x:v>TuShare index_daily</x:v>
      </x:c>
      <x:c r="J242" s="12" t="str">
        <x:v>Archived FRED mirror (Hugging Face)</x:v>
      </x:c>
    </x:row>
    <x:row r="243" ht="18" customHeight="1">
      <x:c r="A243" s="13" t="n">
        <x:v>42942</x:v>
      </x:c>
      <x:c r="B243" s="12" t="n">
        <x:v>3705.3884</x:v>
      </x:c>
      <x:c r="C243" s="12" t="n">
        <x:v>3719.559</x:v>
      </x:c>
      <x:c r="D243" s="12" t="n">
        <x:v>-0.381</x:v>
      </x:c>
      <x:c r="E243" s="12" t="n">
        <x:v>-0.0038170283078687544</x:v>
      </x:c>
      <x:c r="F243" s="12" t="n">
        <x:v>3.56</x:v>
      </x:c>
      <x:c r="G243" s="12" t="n">
        <x:v>356</x:v>
      </x:c>
      <x:c r="H243" s="12" t="n">
        <x:v>1</x:v>
      </x:c>
      <x:c r="I243" s="12" t="str">
        <x:v>TuShare index_daily</x:v>
      </x:c>
      <x:c r="J243" s="12" t="str">
        <x:v>Archived FRED mirror (Hugging Face)</x:v>
      </x:c>
    </x:row>
    <x:row r="244" ht="18" customHeight="1">
      <x:c r="A244" s="13" t="n">
        <x:v>42943</x:v>
      </x:c>
      <x:c r="B244" s="12" t="n">
        <x:v>3712.1947</x:v>
      </x:c>
      <x:c r="C244" s="12" t="n">
        <x:v>3705.3884</x:v>
      </x:c>
      <x:c r="D244" s="12" t="n">
        <x:v>0.1837</x:v>
      </x:c>
      <x:c r="E244" s="12" t="n">
        <x:v>0.0018351804943682085</x:v>
      </x:c>
      <x:c r="F244" s="12" t="n">
        <x:v>3.55</x:v>
      </x:c>
      <x:c r="G244" s="12" t="n">
        <x:v>355</x:v>
      </x:c>
      <x:c r="H244" s="12" t="n">
        <x:v>-1</x:v>
      </x:c>
      <x:c r="I244" s="12" t="str">
        <x:v>TuShare index_daily</x:v>
      </x:c>
      <x:c r="J244" s="12" t="str">
        <x:v>Archived FRED mirror (Hugging Face)</x:v>
      </x:c>
    </x:row>
    <x:row r="245" ht="18" customHeight="1">
      <x:c r="A245" s="13" t="n">
        <x:v>42944</x:v>
      </x:c>
      <x:c r="B245" s="12" t="n">
        <x:v>3721.8914</x:v>
      </x:c>
      <x:c r="C245" s="12" t="n">
        <x:v>3712.1947</x:v>
      </x:c>
      <x:c r="D245" s="12" t="n">
        <x:v>0.2612</x:v>
      </x:c>
      <x:c r="E245" s="12" t="n">
        <x:v>0.0026087148759696005</x:v>
      </x:c>
      <x:c r="F245" s="12" t="n">
        <x:v>3.59</x:v>
      </x:c>
      <x:c r="G245" s="12" t="n">
        <x:v>359</x:v>
      </x:c>
      <x:c r="H245" s="12" t="n">
        <x:v>4</x:v>
      </x:c>
      <x:c r="I245" s="12" t="str">
        <x:v>TuShare index_daily</x:v>
      </x:c>
      <x:c r="J245" s="12" t="str">
        <x:v>Archived FRED mirror (Hugging Face)</x:v>
      </x:c>
    </x:row>
    <x:row r="246" ht="18" customHeight="1">
      <x:c r="A246" s="13" t="n">
        <x:v>42947</x:v>
      </x:c>
      <x:c r="B246" s="12" t="n">
        <x:v>3737.8732</x:v>
      </x:c>
      <x:c r="C246" s="12" t="n">
        <x:v>3721.8914</x:v>
      </x:c>
      <x:c r="D246" s="12" t="n">
        <x:v>0.4294</x:v>
      </x:c>
      <x:c r="E246" s="12" t="n">
        <x:v>0.004284806641638821</x:v>
      </x:c>
      <x:c r="F246" s="12" t="n">
        <x:v>3.61</x:v>
      </x:c>
      <x:c r="G246" s="12" t="n">
        <x:v>361</x:v>
      </x:c>
      <x:c r="H246" s="12" t="n">
        <x:v>2</x:v>
      </x:c>
      <x:c r="I246" s="12" t="str">
        <x:v>TuShare index_daily</x:v>
      </x:c>
      <x:c r="J246" s="12" t="str">
        <x:v>Archived FRED mirror (Hugging Face)</x:v>
      </x:c>
    </x:row>
    <x:row r="247" ht="18" customHeight="1">
      <x:c r="A247" s="13" t="n">
        <x:v>42948</x:v>
      </x:c>
      <x:c r="B247" s="12" t="n">
        <x:v>3770.3828</x:v>
      </x:c>
      <x:c r="C247" s="12" t="n">
        <x:v>3737.8732</x:v>
      </x:c>
      <x:c r="D247" s="12" t="n">
        <x:v>0.8697</x:v>
      </x:c>
      <x:c r="E247" s="12" t="n">
        <x:v>0.008659748192126341</x:v>
      </x:c>
      <x:c r="F247" s="12" t="n">
        <x:v>3.6</x:v>
      </x:c>
      <x:c r="G247" s="12" t="n">
        <x:v>360</x:v>
      </x:c>
      <x:c r="H247" s="12" t="n">
        <x:v>-1</x:v>
      </x:c>
      <x:c r="I247" s="12" t="str">
        <x:v>TuShare index_daily</x:v>
      </x:c>
      <x:c r="J247" s="12" t="str">
        <x:v>Archived FRED mirror (Hugging Face)</x:v>
      </x:c>
    </x:row>
    <x:row r="248" ht="18" customHeight="1">
      <x:c r="A248" s="13" t="n">
        <x:v>42949</x:v>
      </x:c>
      <x:c r="B248" s="12" t="n">
        <x:v>3760.8525</x:v>
      </x:c>
      <x:c r="C248" s="12" t="n">
        <x:v>3770.3828</x:v>
      </x:c>
      <x:c r="D248" s="12" t="n">
        <x:v>-0.2528</x:v>
      </x:c>
      <x:c r="E248" s="12" t="n">
        <x:v>-0.0025308743406424234</x:v>
      </x:c>
      <x:c r="F248" s="12" t="n">
        <x:v>3.59</x:v>
      </x:c>
      <x:c r="G248" s="12" t="n">
        <x:v>359</x:v>
      </x:c>
      <x:c r="H248" s="12" t="n">
        <x:v>-1</x:v>
      </x:c>
      <x:c r="I248" s="12" t="str">
        <x:v>TuShare index_daily</x:v>
      </x:c>
      <x:c r="J248" s="12" t="str">
        <x:v>Archived FRED mirror (Hugging Face)</x:v>
      </x:c>
    </x:row>
    <x:row r="249" ht="18" customHeight="1">
      <x:c r="A249" s="13" t="n">
        <x:v>42950</x:v>
      </x:c>
      <x:c r="B249" s="12" t="n">
        <x:v>3727.8264</x:v>
      </x:c>
      <x:c r="C249" s="12" t="n">
        <x:v>3760.8525</x:v>
      </x:c>
      <x:c r="D249" s="12" t="n">
        <x:v>-0.8782</x:v>
      </x:c>
      <x:c r="E249" s="12" t="n">
        <x:v>-0.008820331210649436</x:v>
      </x:c>
      <x:c r="F249" s="12" t="n">
        <x:v>3.63</x:v>
      </x:c>
      <x:c r="G249" s="12" t="n">
        <x:v>363</x:v>
      </x:c>
      <x:c r="H249" s="12" t="n">
        <x:v>4</x:v>
      </x:c>
      <x:c r="I249" s="12" t="str">
        <x:v>TuShare index_daily</x:v>
      </x:c>
      <x:c r="J249" s="12" t="str">
        <x:v>Archived FRED mirror (Hugging Face)</x:v>
      </x:c>
    </x:row>
    <x:row r="250" ht="18" customHeight="1">
      <x:c r="A250" s="13" t="n">
        <x:v>42951</x:v>
      </x:c>
      <x:c r="B250" s="12" t="n">
        <x:v>3707.5796</x:v>
      </x:c>
      <x:c r="C250" s="12" t="n">
        <x:v>3727.8264</x:v>
      </x:c>
      <x:c r="D250" s="12" t="n">
        <x:v>-0.5431</x:v>
      </x:c>
      <x:c r="E250" s="12" t="n">
        <x:v>-0.005446064422755287</x:v>
      </x:c>
      <x:c r="F250" s="12" t="n">
        <x:v>3.63</x:v>
      </x:c>
      <x:c r="G250" s="12" t="n">
        <x:v>363</x:v>
      </x:c>
      <x:c r="H250" s="12" t="n">
        <x:v>0</x:v>
      </x:c>
      <x:c r="I250" s="12" t="str">
        <x:v>TuShare index_daily</x:v>
      </x:c>
      <x:c r="J250" s="12" t="str">
        <x:v>Archived FRED mirror (Hugging Face)</x:v>
      </x:c>
    </x:row>
    <x:row r="251" ht="18" customHeight="1">
      <x:c r="A251" s="13" t="n">
        <x:v>42954</x:v>
      </x:c>
      <x:c r="B251" s="12" t="n">
        <x:v>3726.7948</x:v>
      </x:c>
      <x:c r="C251" s="12" t="n">
        <x:v>3707.5796</x:v>
      </x:c>
      <x:c r="D251" s="12" t="n">
        <x:v>0.5183</x:v>
      </x:c>
      <x:c r="E251" s="12" t="n">
        <x:v>0.0051692965015135515</x:v>
      </x:c>
      <x:c r="F251" s="12" t="n">
        <x:v>3.64</x:v>
      </x:c>
      <x:c r="G251" s="12" t="n">
        <x:v>364</x:v>
      </x:c>
      <x:c r="H251" s="12" t="n">
        <x:v>1</x:v>
      </x:c>
      <x:c r="I251" s="12" t="str">
        <x:v>TuShare index_daily</x:v>
      </x:c>
      <x:c r="J251" s="12" t="str">
        <x:v>Archived FRED mirror (Hugging Face)</x:v>
      </x:c>
    </x:row>
    <x:row r="252" ht="18" customHeight="1">
      <x:c r="A252" s="13" t="n">
        <x:v>42955</x:v>
      </x:c>
      <x:c r="B252" s="12" t="n">
        <x:v>3732.2129</x:v>
      </x:c>
      <x:c r="C252" s="12" t="n">
        <x:v>3726.7948</x:v>
      </x:c>
      <x:c r="D252" s="12" t="n">
        <x:v>0.1454</x:v>
      </x:c>
      <x:c r="E252" s="12" t="n">
        <x:v>0.0014527672234264035</x:v>
      </x:c>
      <x:c r="F252" s="12" t="n">
        <x:v>3.64</x:v>
      </x:c>
      <x:c r="G252" s="12" t="n">
        <x:v>364</x:v>
      </x:c>
      <x:c r="H252" s="12" t="n">
        <x:v>0</x:v>
      </x:c>
      <x:c r="I252" s="12" t="str">
        <x:v>TuShare index_daily</x:v>
      </x:c>
      <x:c r="J252" s="12" t="str">
        <x:v>Archived FRED mirror (Hugging Face)</x:v>
      </x:c>
    </x:row>
    <x:row r="253" ht="18" customHeight="1">
      <x:c r="A253" s="13" t="n">
        <x:v>42956</x:v>
      </x:c>
      <x:c r="B253" s="12" t="n">
        <x:v>3731.044</x:v>
      </x:c>
      <x:c r="C253" s="12" t="n">
        <x:v>3732.2129</x:v>
      </x:c>
      <x:c r="D253" s="12" t="n">
        <x:v>-0.0313</x:v>
      </x:c>
      <x:c r="E253" s="12" t="n">
        <x:v>-0.00031324126322330027</x:v>
      </x:c>
      <x:c r="F253" s="12" t="n">
        <x:v>3.81</x:v>
      </x:c>
      <x:c r="G253" s="12" t="n">
        <x:v>381</x:v>
      </x:c>
      <x:c r="H253" s="12" t="n">
        <x:v>17</x:v>
      </x:c>
      <x:c r="I253" s="12" t="str">
        <x:v>TuShare index_daily</x:v>
      </x:c>
      <x:c r="J253" s="12" t="str">
        <x:v>Archived FRED mirror (Hugging Face)</x:v>
      </x:c>
    </x:row>
    <x:row r="254" ht="18" customHeight="1">
      <x:c r="A254" s="13" t="n">
        <x:v>42957</x:v>
      </x:c>
      <x:c r="B254" s="12" t="n">
        <x:v>3715.9208</x:v>
      </x:c>
      <x:c r="C254" s="12" t="n">
        <x:v>3731.044</x:v>
      </x:c>
      <x:c r="D254" s="12" t="n">
        <x:v>-0.4053</x:v>
      </x:c>
      <x:c r="E254" s="12" t="n">
        <x:v>-0.004061579770028071</x:v>
      </x:c>
      <x:c r="F254" s="12" t="n">
        <x:v>3.92</x:v>
      </x:c>
      <x:c r="G254" s="12" t="n">
        <x:v>392</x:v>
      </x:c>
      <x:c r="H254" s="12" t="n">
        <x:v>11</x:v>
      </x:c>
      <x:c r="I254" s="12" t="str">
        <x:v>TuShare index_daily</x:v>
      </x:c>
      <x:c r="J254" s="12" t="str">
        <x:v>Archived FRED mirror (Hugging Face)</x:v>
      </x:c>
    </x:row>
    <x:row r="255" ht="18" customHeight="1">
      <x:c r="A255" s="13" t="n">
        <x:v>42958</x:v>
      </x:c>
      <x:c r="B255" s="12" t="n">
        <x:v>3647.3503</x:v>
      </x:c>
      <x:c r="C255" s="12" t="n">
        <x:v>3715.9208</x:v>
      </x:c>
      <x:c r="D255" s="12" t="n">
        <x:v>-1.8453</x:v>
      </x:c>
      <x:c r="E255" s="12" t="n">
        <x:v>-0.018625548721311613</x:v>
      </x:c>
      <x:c r="F255" s="12" t="n">
        <x:v>4</x:v>
      </x:c>
      <x:c r="G255" s="12" t="n">
        <x:v>400</x:v>
      </x:c>
      <x:c r="H255" s="12" t="n">
        <x:v>8</x:v>
      </x:c>
      <x:c r="I255" s="12" t="str">
        <x:v>TuShare index_daily</x:v>
      </x:c>
      <x:c r="J255" s="12" t="str">
        <x:v>Archived FRED mirror (Hugging Face)</x:v>
      </x:c>
    </x:row>
    <x:row r="256" ht="18" customHeight="1">
      <x:c r="A256" s="13" t="n">
        <x:v>42961</x:v>
      </x:c>
      <x:c r="B256" s="12" t="n">
        <x:v>3694.6831</x:v>
      </x:c>
      <x:c r="C256" s="12" t="n">
        <x:v>3647.3503</x:v>
      </x:c>
      <x:c r="D256" s="12" t="n">
        <x:v>1.2977</x:v>
      </x:c>
      <x:c r="E256" s="12" t="n">
        <x:v>0.012893827412384441</x:v>
      </x:c>
      <x:c r="F256" s="12" t="n">
        <x:v>3.89</x:v>
      </x:c>
      <x:c r="G256" s="12" t="n">
        <x:v>389</x:v>
      </x:c>
      <x:c r="H256" s="12" t="n">
        <x:v>-11</x:v>
      </x:c>
      <x:c r="I256" s="12" t="str">
        <x:v>TuShare index_daily</x:v>
      </x:c>
      <x:c r="J256" s="12" t="str">
        <x:v>Archived FRED mirror (Hugging Face)</x:v>
      </x:c>
    </x:row>
    <x:row r="257" ht="18" customHeight="1">
      <x:c r="A257" s="13" t="n">
        <x:v>42962</x:v>
      </x:c>
      <x:c r="B257" s="12" t="n">
        <x:v>3706.0566</x:v>
      </x:c>
      <x:c r="C257" s="12" t="n">
        <x:v>3694.6831</x:v>
      </x:c>
      <x:c r="D257" s="12" t="n">
        <x:v>0.3078</x:v>
      </x:c>
      <x:c r="E257" s="12" t="n">
        <x:v>0.003073614102083343</x:v>
      </x:c>
      <x:c r="F257" s="12" t="n">
        <x:v>3.87</x:v>
      </x:c>
      <x:c r="G257" s="12" t="n">
        <x:v>387</x:v>
      </x:c>
      <x:c r="H257" s="12" t="n">
        <x:v>-2</x:v>
      </x:c>
      <x:c r="I257" s="12" t="str">
        <x:v>TuShare index_daily</x:v>
      </x:c>
      <x:c r="J257" s="12" t="str">
        <x:v>Archived FRED mirror (Hugging Face)</x:v>
      </x:c>
    </x:row>
    <x:row r="258" ht="18" customHeight="1">
      <x:c r="A258" s="13" t="n">
        <x:v>42963</x:v>
      </x:c>
      <x:c r="B258" s="12" t="n">
        <x:v>3701.4207</x:v>
      </x:c>
      <x:c r="C258" s="12" t="n">
        <x:v>3706.0566</x:v>
      </x:c>
      <x:c r="D258" s="12" t="n">
        <x:v>-0.1251</x:v>
      </x:c>
      <x:c r="E258" s="12" t="n">
        <x:v>-0.001251681353180175</x:v>
      </x:c>
      <x:c r="F258" s="12" t="n">
        <x:v>3.88</x:v>
      </x:c>
      <x:c r="G258" s="12" t="n">
        <x:v>388</x:v>
      </x:c>
      <x:c r="H258" s="12" t="n">
        <x:v>1</x:v>
      </x:c>
      <x:c r="I258" s="12" t="str">
        <x:v>TuShare index_daily</x:v>
      </x:c>
      <x:c r="J258" s="12" t="str">
        <x:v>Archived FRED mirror (Hugging Face)</x:v>
      </x:c>
    </x:row>
    <x:row r="259" ht="18" customHeight="1">
      <x:c r="A259" s="13" t="n">
        <x:v>42964</x:v>
      </x:c>
      <x:c r="B259" s="12" t="n">
        <x:v>3721.277</x:v>
      </x:c>
      <x:c r="C259" s="12" t="n">
        <x:v>3701.4207</x:v>
      </x:c>
      <x:c r="D259" s="12" t="n">
        <x:v>0.5365</x:v>
      </x:c>
      <x:c r="E259" s="12" t="n">
        <x:v>0.005350170023601936</x:v>
      </x:c>
      <x:c r="F259" s="12" t="n">
        <x:v>3.93</x:v>
      </x:c>
      <x:c r="G259" s="12" t="n">
        <x:v>393</x:v>
      </x:c>
      <x:c r="H259" s="12" t="n">
        <x:v>5</x:v>
      </x:c>
      <x:c r="I259" s="12" t="str">
        <x:v>TuShare index_daily</x:v>
      </x:c>
      <x:c r="J259" s="12" t="str">
        <x:v>Archived FRED mirror (Hugging Face)</x:v>
      </x:c>
    </x:row>
    <x:row r="260" ht="18" customHeight="1">
      <x:c r="A260" s="13" t="n">
        <x:v>42965</x:v>
      </x:c>
      <x:c r="B260" s="12" t="n">
        <x:v>3724.6748</x:v>
      </x:c>
      <x:c r="C260" s="12" t="n">
        <x:v>3721.277</x:v>
      </x:c>
      <x:c r="D260" s="12" t="n">
        <x:v>0.0913</x:v>
      </x:c>
      <x:c r="E260" s="12" t="n">
        <x:v>0.0009126570590606256</x:v>
      </x:c>
      <x:c r="F260" s="12" t="n">
        <x:v>3.98</x:v>
      </x:c>
      <x:c r="G260" s="12" t="n">
        <x:v>398</x:v>
      </x:c>
      <x:c r="H260" s="12" t="n">
        <x:v>5</x:v>
      </x:c>
      <x:c r="I260" s="12" t="str">
        <x:v>TuShare index_daily</x:v>
      </x:c>
      <x:c r="J260" s="12" t="str">
        <x:v>Archived FRED mirror (Hugging Face)</x:v>
      </x:c>
    </x:row>
    <x:row r="261" ht="18" customHeight="1">
      <x:c r="A261" s="13" t="n">
        <x:v>42968</x:v>
      </x:c>
      <x:c r="B261" s="12" t="n">
        <x:v>3740.9941</x:v>
      </x:c>
      <x:c r="C261" s="12" t="n">
        <x:v>3724.6748</x:v>
      </x:c>
      <x:c r="D261" s="12" t="n">
        <x:v>0.4381</x:v>
      </x:c>
      <x:c r="E261" s="12" t="n">
        <x:v>0.004371832239290388</x:v>
      </x:c>
      <x:c r="F261" s="12" t="n">
        <x:v>4</x:v>
      </x:c>
      <x:c r="G261" s="12" t="n">
        <x:v>400</x:v>
      </x:c>
      <x:c r="H261" s="12" t="n">
        <x:v>2</x:v>
      </x:c>
      <x:c r="I261" s="12" t="str">
        <x:v>TuShare index_daily</x:v>
      </x:c>
      <x:c r="J261" s="12" t="str">
        <x:v>Archived FRED mirror (Hugging Face)</x:v>
      </x:c>
    </x:row>
    <x:row r="262" ht="18" customHeight="1">
      <x:c r="A262" s="13" t="n">
        <x:v>42969</x:v>
      </x:c>
      <x:c r="B262" s="12" t="n">
        <x:v>3752.298</x:v>
      </x:c>
      <x:c r="C262" s="12" t="n">
        <x:v>3740.9941</x:v>
      </x:c>
      <x:c r="D262" s="12" t="n">
        <x:v>0.3022</x:v>
      </x:c>
      <x:c r="E262" s="12" t="n">
        <x:v>0.0030170740507233697</x:v>
      </x:c>
      <x:c r="F262" s="12" t="n">
        <x:v>3.93</x:v>
      </x:c>
      <x:c r="G262" s="12" t="n">
        <x:v>393</x:v>
      </x:c>
      <x:c r="H262" s="12" t="n">
        <x:v>-7</x:v>
      </x:c>
      <x:c r="I262" s="12" t="str">
        <x:v>TuShare index_daily</x:v>
      </x:c>
      <x:c r="J262" s="12" t="str">
        <x:v>Archived FRED mirror (Hugging Face)</x:v>
      </x:c>
    </x:row>
    <x:row r="263" ht="18" customHeight="1">
      <x:c r="A263" s="13" t="n">
        <x:v>42970</x:v>
      </x:c>
      <x:c r="B263" s="12" t="n">
        <x:v>3756.0884</x:v>
      </x:c>
      <x:c r="C263" s="12" t="n">
        <x:v>3752.298</x:v>
      </x:c>
      <x:c r="D263" s="12" t="n">
        <x:v>0.101</x:v>
      </x:c>
      <x:c r="E263" s="12" t="n">
        <x:v>0.0010096444482368895</x:v>
      </x:c>
      <x:c r="F263" s="12" t="n">
        <x:v>3.95</x:v>
      </x:c>
      <x:c r="G263" s="12" t="n">
        <x:v>395</x:v>
      </x:c>
      <x:c r="H263" s="12" t="n">
        <x:v>2</x:v>
      </x:c>
      <x:c r="I263" s="12" t="str">
        <x:v>TuShare index_daily</x:v>
      </x:c>
      <x:c r="J263" s="12" t="str">
        <x:v>Archived FRED mirror (Hugging Face)</x:v>
      </x:c>
    </x:row>
    <x:row r="264" ht="18" customHeight="1">
      <x:c r="A264" s="13" t="n">
        <x:v>42971</x:v>
      </x:c>
      <x:c r="B264" s="12" t="n">
        <x:v>3734.6458</x:v>
      </x:c>
      <x:c r="C264" s="12" t="n">
        <x:v>3756.0884</x:v>
      </x:c>
      <x:c r="D264" s="12" t="n">
        <x:v>-0.5709</x:v>
      </x:c>
      <x:c r="E264" s="12" t="n">
        <x:v>-0.005725115321418205</x:v>
      </x:c>
      <x:c r="F264" s="12" t="n">
        <x:v>3.91</x:v>
      </x:c>
      <x:c r="G264" s="12" t="n">
        <x:v>391</x:v>
      </x:c>
      <x:c r="H264" s="12" t="n">
        <x:v>-4</x:v>
      </x:c>
      <x:c r="I264" s="12" t="str">
        <x:v>TuShare index_daily</x:v>
      </x:c>
      <x:c r="J264" s="12" t="str">
        <x:v>Archived FRED mirror (Hugging Face)</x:v>
      </x:c>
    </x:row>
    <x:row r="265" ht="18" customHeight="1">
      <x:c r="A265" s="13" t="n">
        <x:v>42972</x:v>
      </x:c>
      <x:c r="B265" s="12" t="n">
        <x:v>3795.7544</x:v>
      </x:c>
      <x:c r="C265" s="12" t="n">
        <x:v>3734.6458</x:v>
      </x:c>
      <x:c r="D265" s="12" t="n">
        <x:v>1.6363</x:v>
      </x:c>
      <x:c r="E265" s="12" t="n">
        <x:v>0.0162301975467989</x:v>
      </x:c>
      <x:c r="F265" s="12" t="n">
        <x:v>3.89</x:v>
      </x:c>
      <x:c r="G265" s="12" t="n">
        <x:v>389</x:v>
      </x:c>
      <x:c r="H265" s="12" t="n">
        <x:v>-2</x:v>
      </x:c>
      <x:c r="I265" s="12" t="str">
        <x:v>TuShare index_daily</x:v>
      </x:c>
      <x:c r="J265" s="12" t="str">
        <x:v>Archived FRED mirror (Hugging Face)</x:v>
      </x:c>
    </x:row>
    <x:row r="266" ht="18" customHeight="1">
      <x:c r="A266" s="13" t="n">
        <x:v>42975</x:v>
      </x:c>
      <x:c r="B266" s="12" t="n">
        <x:v>3842.7119</x:v>
      </x:c>
      <x:c r="C266" s="12" t="n">
        <x:v>3795.7544</x:v>
      </x:c>
      <x:c r="D266" s="12" t="n">
        <x:v>1.2371</x:v>
      </x:c>
      <x:c r="E266" s="12" t="n">
        <x:v>0.012295162328488495</x:v>
      </x:c>
      <x:c r="F266" s="12" t="n">
        <x:v>3.88</x:v>
      </x:c>
      <x:c r="G266" s="12" t="n">
        <x:v>388</x:v>
      </x:c>
      <x:c r="H266" s="12" t="n">
        <x:v>-1</x:v>
      </x:c>
      <x:c r="I266" s="12" t="str">
        <x:v>TuShare index_daily</x:v>
      </x:c>
      <x:c r="J266" s="12" t="str">
        <x:v>Archived FRED mirror (Hugging Face)</x:v>
      </x:c>
    </x:row>
    <x:row r="267" ht="18" customHeight="1">
      <x:c r="A267" s="13" t="n">
        <x:v>42976</x:v>
      </x:c>
      <x:c r="B267" s="12" t="n">
        <x:v>3834.5376</x:v>
      </x:c>
      <x:c r="C267" s="12" t="n">
        <x:v>3842.7119</x:v>
      </x:c>
      <x:c r="D267" s="12" t="n">
        <x:v>-0.2127</x:v>
      </x:c>
      <x:c r="E267" s="12" t="n">
        <x:v>-0.002129487413170702</x:v>
      </x:c>
      <x:c r="F267" s="12" t="n">
        <x:v>3.9</x:v>
      </x:c>
      <x:c r="G267" s="12" t="n">
        <x:v>390</x:v>
      </x:c>
      <x:c r="H267" s="12" t="n">
        <x:v>2</x:v>
      </x:c>
      <x:c r="I267" s="12" t="str">
        <x:v>TuShare index_daily</x:v>
      </x:c>
      <x:c r="J267" s="12" t="str">
        <x:v>Archived FRED mirror (Hugging Face)</x:v>
      </x:c>
    </x:row>
    <x:row r="268" ht="18" customHeight="1">
      <x:c r="A268" s="13" t="n">
        <x:v>42977</x:v>
      </x:c>
      <x:c r="B268" s="12" t="n">
        <x:v>3834.3005</x:v>
      </x:c>
      <x:c r="C268" s="12" t="n">
        <x:v>3834.5376</x:v>
      </x:c>
      <x:c r="D268" s="12" t="n">
        <x:v>-0.0062</x:v>
      </x:c>
      <x:c r="E268" s="12" t="n">
        <x:v>-0.00006183466047503646</x:v>
      </x:c>
      <x:c r="F268" s="12" t="n">
        <x:v>3.86</x:v>
      </x:c>
      <x:c r="G268" s="12" t="n">
        <x:v>386</x:v>
      </x:c>
      <x:c r="H268" s="12" t="n">
        <x:v>-4</x:v>
      </x:c>
      <x:c r="I268" s="12" t="str">
        <x:v>TuShare index_daily</x:v>
      </x:c>
      <x:c r="J268" s="12" t="str">
        <x:v>Archived FRED mirror (Hugging Face)</x:v>
      </x:c>
    </x:row>
    <x:row r="269" ht="18" customHeight="1">
      <x:c r="A269" s="13" t="n">
        <x:v>42978</x:v>
      </x:c>
      <x:c r="B269" s="12" t="n">
        <x:v>3822.0928</x:v>
      </x:c>
      <x:c r="C269" s="12" t="n">
        <x:v>3834.3005</x:v>
      </x:c>
      <x:c r="D269" s="12" t="n">
        <x:v>-0.3184</x:v>
      </x:c>
      <x:c r="E269" s="12" t="n">
        <x:v>-0.003188893220792988</x:v>
      </x:c>
      <x:c r="F269" s="12" t="n">
        <x:v>3.85</x:v>
      </x:c>
      <x:c r="G269" s="12" t="n">
        <x:v>385</x:v>
      </x:c>
      <x:c r="H269" s="12" t="n">
        <x:v>-1</x:v>
      </x:c>
      <x:c r="I269" s="12" t="str">
        <x:v>TuShare index_daily</x:v>
      </x:c>
      <x:c r="J269" s="12" t="str">
        <x:v>Archived FRED mirror (Hugging Face)</x:v>
      </x:c>
    </x:row>
    <x:row r="270" ht="18" customHeight="1">
      <x:c r="A270" s="13" t="n">
        <x:v>42979</x:v>
      </x:c>
      <x:c r="B270" s="12" t="n">
        <x:v>3830.5383</x:v>
      </x:c>
      <x:c r="C270" s="12" t="n">
        <x:v>3822.0928</x:v>
      </x:c>
      <x:c r="D270" s="12" t="n">
        <x:v>0.221</x:v>
      </x:c>
      <x:c r="E270" s="12" t="n">
        <x:v>0.0022072156147009</x:v>
      </x:c>
      <x:c r="F270" s="12" t="n">
        <x:v>3.82</x:v>
      </x:c>
      <x:c r="G270" s="12" t="n">
        <x:v>382</x:v>
      </x:c>
      <x:c r="H270" s="12" t="n">
        <x:v>-3</x:v>
      </x:c>
      <x:c r="I270" s="12" t="str">
        <x:v>TuShare index_daily</x:v>
      </x:c>
      <x:c r="J270" s="12" t="str">
        <x:v>Archived FRED mirror (Hugging Face)</x:v>
      </x:c>
    </x:row>
    <x:row r="271" ht="18" customHeight="1">
      <x:c r="A271" s="13" t="n">
        <x:v>42982</x:v>
      </x:c>
      <x:c r="B271" s="12" t="n">
        <x:v>3845.6163</x:v>
      </x:c>
      <x:c r="C271" s="12" t="n">
        <x:v>3830.5383</x:v>
      </x:c>
      <x:c r="D271" s="12" t="n">
        <x:v>0.3936</x:v>
      </x:c>
      <x:c r="E271" s="12" t="n">
        <x:v>0.003928534579551534</x:v>
      </x:c>
      <x:c r="F271" s="12" t="n">
        <x:v>3.82</x:v>
      </x:c>
      <x:c r="G271" s="12" t="n">
        <x:v>382</x:v>
      </x:c>
      <x:c r="H271" s="12" t="n">
        <x:v>0</x:v>
      </x:c>
      <x:c r="I271" s="12" t="str">
        <x:v>TuShare index_daily</x:v>
      </x:c>
      <x:c r="J271" s="12" t="str">
        <x:v>Archived FRED mirror (Hugging Face)</x:v>
      </x:c>
    </x:row>
    <x:row r="272" ht="18" customHeight="1">
      <x:c r="A272" s="13" t="n">
        <x:v>42983</x:v>
      </x:c>
      <x:c r="B272" s="12" t="n">
        <x:v>3857.0464</x:v>
      </x:c>
      <x:c r="C272" s="12" t="n">
        <x:v>3845.6163</x:v>
      </x:c>
      <x:c r="D272" s="12" t="n">
        <x:v>0.2972</x:v>
      </x:c>
      <x:c r="E272" s="12" t="n">
        <x:v>0.0029678330299271072</x:v>
      </x:c>
      <x:c r="F272" s="12" t="n">
        <x:v>3.91</x:v>
      </x:c>
      <x:c r="G272" s="12" t="n">
        <x:v>391</x:v>
      </x:c>
      <x:c r="H272" s="12" t="n">
        <x:v>9</x:v>
      </x:c>
      <x:c r="I272" s="12" t="str">
        <x:v>TuShare index_daily</x:v>
      </x:c>
      <x:c r="J272" s="12" t="str">
        <x:v>Archived FRED mirror (Hugging Face)</x:v>
      </x:c>
    </x:row>
    <x:row r="273" ht="18" customHeight="1">
      <x:c r="A273" s="13" t="n">
        <x:v>42984</x:v>
      </x:c>
      <x:c r="B273" s="12" t="n">
        <x:v>3849.4499</x:v>
      </x:c>
      <x:c r="C273" s="12" t="n">
        <x:v>3857.0464</x:v>
      </x:c>
      <x:c r="D273" s="12" t="n">
        <x:v>-0.197</x:v>
      </x:c>
      <x:c r="E273" s="12" t="n">
        <x:v>-0.0019714542548732172</x:v>
      </x:c>
      <x:c r="F273" s="12" t="n">
        <x:v>3.84</x:v>
      </x:c>
      <x:c r="G273" s="12" t="n">
        <x:v>384</x:v>
      </x:c>
      <x:c r="H273" s="12" t="n">
        <x:v>-7</x:v>
      </x:c>
      <x:c r="I273" s="12" t="str">
        <x:v>TuShare index_daily</x:v>
      </x:c>
      <x:c r="J273" s="12" t="str">
        <x:v>Archived FRED mirror (Hugging Face)</x:v>
      </x:c>
    </x:row>
    <x:row r="274" ht="18" customHeight="1">
      <x:c r="A274" s="13" t="n">
        <x:v>42985</x:v>
      </x:c>
      <x:c r="B274" s="12" t="n">
        <x:v>3829.8713</x:v>
      </x:c>
      <x:c r="C274" s="12" t="n">
        <x:v>3849.4499</x:v>
      </x:c>
      <x:c r="D274" s="12" t="n">
        <x:v>-0.5086</x:v>
      </x:c>
      <x:c r="E274" s="12" t="n">
        <x:v>-0.0050990554792473795</x:v>
      </x:c>
      <x:c r="F274" s="12" t="n">
        <x:v>3.88</x:v>
      </x:c>
      <x:c r="G274" s="12" t="n">
        <x:v>388</x:v>
      </x:c>
      <x:c r="H274" s="12" t="n">
        <x:v>4</x:v>
      </x:c>
      <x:c r="I274" s="12" t="str">
        <x:v>TuShare index_daily</x:v>
      </x:c>
      <x:c r="J274" s="12" t="str">
        <x:v>Archived FRED mirror (Hugging Face)</x:v>
      </x:c>
    </x:row>
    <x:row r="275" ht="18" customHeight="1">
      <x:c r="A275" s="13" t="n">
        <x:v>42986</x:v>
      </x:c>
      <x:c r="B275" s="12" t="n">
        <x:v>3825.9895</x:v>
      </x:c>
      <x:c r="C275" s="12" t="n">
        <x:v>3829.8713</x:v>
      </x:c>
      <x:c r="D275" s="12" t="n">
        <x:v>-0.1014</x:v>
      </x:c>
      <x:c r="E275" s="12" t="n">
        <x:v>-0.0010140728610560975</x:v>
      </x:c>
      <x:c r="F275" s="12" t="n">
        <x:v>3.92</x:v>
      </x:c>
      <x:c r="G275" s="12" t="n">
        <x:v>392</x:v>
      </x:c>
      <x:c r="H275" s="12" t="n">
        <x:v>4</x:v>
      </x:c>
      <x:c r="I275" s="12" t="str">
        <x:v>TuShare index_daily</x:v>
      </x:c>
      <x:c r="J275" s="12" t="str">
        <x:v>Archived FRED mirror (Hugging Face)</x:v>
      </x:c>
    </x:row>
    <x:row r="276" ht="18" customHeight="1">
      <x:c r="A276" s="13" t="n">
        <x:v>42989</x:v>
      </x:c>
      <x:c r="B276" s="12" t="n">
        <x:v>3825.6453</x:v>
      </x:c>
      <x:c r="C276" s="12" t="n">
        <x:v>3825.9895</x:v>
      </x:c>
      <x:c r="D276" s="12" t="n">
        <x:v>-0.009</x:v>
      </x:c>
      <x:c r="E276" s="12" t="n">
        <x:v>-0.00008996770212613721</x:v>
      </x:c>
      <x:c r="F276" s="12" t="n">
        <x:v>3.85</x:v>
      </x:c>
      <x:c r="G276" s="12" t="n">
        <x:v>385</x:v>
      </x:c>
      <x:c r="H276" s="12" t="n">
        <x:v>-7</x:v>
      </x:c>
      <x:c r="I276" s="12" t="str">
        <x:v>TuShare index_daily</x:v>
      </x:c>
      <x:c r="J276" s="12" t="str">
        <x:v>Archived FRED mirror (Hugging Face)</x:v>
      </x:c>
    </x:row>
    <x:row r="277" ht="18" customHeight="1">
      <x:c r="A277" s="13" t="n">
        <x:v>42990</x:v>
      </x:c>
      <x:c r="B277" s="12" t="n">
        <x:v>3837.9341</x:v>
      </x:c>
      <x:c r="C277" s="12" t="n">
        <x:v>3825.6453</x:v>
      </x:c>
      <x:c r="D277" s="12" t="n">
        <x:v>0.3212</x:v>
      </x:c>
      <x:c r="E277" s="12" t="n">
        <x:v>0.003207068105229335</x:v>
      </x:c>
      <x:c r="F277" s="12" t="n">
        <x:v>3.81</x:v>
      </x:c>
      <x:c r="G277" s="12" t="n">
        <x:v>381</x:v>
      </x:c>
      <x:c r="H277" s="12" t="n">
        <x:v>-4</x:v>
      </x:c>
      <x:c r="I277" s="12" t="str">
        <x:v>TuShare index_daily</x:v>
      </x:c>
      <x:c r="J277" s="12" t="str">
        <x:v>Archived FRED mirror (Hugging Face)</x:v>
      </x:c>
    </x:row>
    <x:row r="278" ht="18" customHeight="1">
      <x:c r="A278" s="13" t="n">
        <x:v>42991</x:v>
      </x:c>
      <x:c r="B278" s="12" t="n">
        <x:v>3842.6061</x:v>
      </x:c>
      <x:c r="C278" s="12" t="n">
        <x:v>3837.9341</x:v>
      </x:c>
      <x:c r="D278" s="12" t="n">
        <x:v>0.1217</x:v>
      </x:c>
      <x:c r="E278" s="12" t="n">
        <x:v>0.001216581244178713</x:v>
      </x:c>
      <x:c r="F278" s="12" t="n">
        <x:v>3.78</x:v>
      </x:c>
      <x:c r="G278" s="12" t="n">
        <x:v>378</x:v>
      </x:c>
      <x:c r="H278" s="12" t="n">
        <x:v>-3</x:v>
      </x:c>
      <x:c r="I278" s="12" t="str">
        <x:v>TuShare index_daily</x:v>
      </x:c>
      <x:c r="J278" s="12" t="str">
        <x:v>Archived FRED mirror (Hugging Face)</x:v>
      </x:c>
    </x:row>
    <x:row r="279" ht="18" customHeight="1">
      <x:c r="A279" s="13" t="n">
        <x:v>42992</x:v>
      </x:c>
      <x:c r="B279" s="12" t="n">
        <x:v>3829.9554</x:v>
      </x:c>
      <x:c r="C279" s="12" t="n">
        <x:v>3842.6061</x:v>
      </x:c>
      <x:c r="D279" s="12" t="n">
        <x:v>-0.3292</x:v>
      </x:c>
      <x:c r="E279" s="12" t="n">
        <x:v>-0.0032976500648873265</x:v>
      </x:c>
      <x:c r="F279" s="12" t="n">
        <x:v>3.74</x:v>
      </x:c>
      <x:c r="G279" s="12" t="n">
        <x:v>374</x:v>
      </x:c>
      <x:c r="H279" s="12" t="n">
        <x:v>-4</x:v>
      </x:c>
      <x:c r="I279" s="12" t="str">
        <x:v>TuShare index_daily</x:v>
      </x:c>
      <x:c r="J279" s="12" t="str">
        <x:v>Archived FRED mirror (Hugging Face)</x:v>
      </x:c>
    </x:row>
    <x:row r="280" ht="18" customHeight="1">
      <x:c r="A280" s="13" t="n">
        <x:v>42993</x:v>
      </x:c>
      <x:c r="B280" s="12" t="n">
        <x:v>3831.2965</x:v>
      </x:c>
      <x:c r="C280" s="12" t="n">
        <x:v>3829.9554</x:v>
      </x:c>
      <x:c r="D280" s="12" t="n">
        <x:v>0.035</x:v>
      </x:c>
      <x:c r="E280" s="12" t="n">
        <x:v>0.000350099443590409</x:v>
      </x:c>
      <x:c r="F280" s="12" t="n">
        <x:v>3.73</x:v>
      </x:c>
      <x:c r="G280" s="12" t="n">
        <x:v>373</x:v>
      </x:c>
      <x:c r="H280" s="12" t="n">
        <x:v>-1</x:v>
      </x:c>
      <x:c r="I280" s="12" t="str">
        <x:v>TuShare index_daily</x:v>
      </x:c>
      <x:c r="J280" s="12" t="str">
        <x:v>Archived FRED mirror (Hugging Face)</x:v>
      </x:c>
    </x:row>
    <x:row r="281" ht="18" customHeight="1">
      <x:c r="A281" s="13" t="n">
        <x:v>42996</x:v>
      </x:c>
      <x:c r="B281" s="12" t="n">
        <x:v>3843.1428</x:v>
      </x:c>
      <x:c r="C281" s="12" t="n">
        <x:v>3831.2965</x:v>
      </x:c>
      <x:c r="D281" s="12" t="n">
        <x:v>0.3092</x:v>
      </x:c>
      <x:c r="E281" s="12" t="n">
        <x:v>0.003087211702567067</x:v>
      </x:c>
      <x:c r="F281" s="12" t="n">
        <x:v>3.68</x:v>
      </x:c>
      <x:c r="G281" s="12" t="n">
        <x:v>368</x:v>
      </x:c>
      <x:c r="H281" s="12" t="n">
        <x:v>-5</x:v>
      </x:c>
      <x:c r="I281" s="12" t="str">
        <x:v>TuShare index_daily</x:v>
      </x:c>
      <x:c r="J281" s="12" t="str">
        <x:v>Archived FRED mirror (Hugging Face)</x:v>
      </x:c>
    </x:row>
    <x:row r="282" ht="18" customHeight="1">
      <x:c r="A282" s="13" t="n">
        <x:v>42997</x:v>
      </x:c>
      <x:c r="B282" s="12" t="n">
        <x:v>3832.1161</x:v>
      </x:c>
      <x:c r="C282" s="12" t="n">
        <x:v>3843.1428</x:v>
      </x:c>
      <x:c r="D282" s="12" t="n">
        <x:v>-0.2869</x:v>
      </x:c>
      <x:c r="E282" s="12" t="n">
        <x:v>-0.0028733122178582586</x:v>
      </x:c>
      <x:c r="F282" s="12" t="n">
        <x:v>3.66</x:v>
      </x:c>
      <x:c r="G282" s="12" t="n">
        <x:v>366</x:v>
      </x:c>
      <x:c r="H282" s="12" t="n">
        <x:v>-2</x:v>
      </x:c>
      <x:c r="I282" s="12" t="str">
        <x:v>TuShare index_daily</x:v>
      </x:c>
      <x:c r="J282" s="12" t="str">
        <x:v>Archived FRED mirror (Hugging Face)</x:v>
      </x:c>
    </x:row>
    <x:row r="283" ht="18" customHeight="1">
      <x:c r="A283" s="13" t="n">
        <x:v>42998</x:v>
      </x:c>
      <x:c r="B283" s="12" t="n">
        <x:v>3842.4353</x:v>
      </x:c>
      <x:c r="C283" s="12" t="n">
        <x:v>3832.1161</x:v>
      </x:c>
      <x:c r="D283" s="12" t="n">
        <x:v>0.2693</x:v>
      </x:c>
      <x:c r="E283" s="12" t="n">
        <x:v>0.00268920114832173</x:v>
      </x:c>
      <x:c r="F283" s="12" t="n">
        <x:v>3.6</x:v>
      </x:c>
      <x:c r="G283" s="12" t="n">
        <x:v>360</x:v>
      </x:c>
      <x:c r="H283" s="12" t="n">
        <x:v>-6</x:v>
      </x:c>
      <x:c r="I283" s="12" t="str">
        <x:v>TuShare index_daily</x:v>
      </x:c>
      <x:c r="J283" s="12" t="str">
        <x:v>Archived FRED mirror (Hugging Face)</x:v>
      </x:c>
    </x:row>
    <x:row r="284" ht="18" customHeight="1">
      <x:c r="A284" s="13" t="n">
        <x:v>42999</x:v>
      </x:c>
      <x:c r="B284" s="12" t="n">
        <x:v>3837.8176</x:v>
      </x:c>
      <x:c r="C284" s="12" t="n">
        <x:v>3842.4353</x:v>
      </x:c>
      <x:c r="D284" s="12" t="n">
        <x:v>-0.1202</x:v>
      </x:c>
      <x:c r="E284" s="12" t="n">
        <x:v>-0.0012024865890608793</x:v>
      </x:c>
      <x:c r="F284" s="12" t="n">
        <x:v>3.62</x:v>
      </x:c>
      <x:c r="G284" s="12" t="n">
        <x:v>362</x:v>
      </x:c>
      <x:c r="H284" s="12" t="n">
        <x:v>2</x:v>
      </x:c>
      <x:c r="I284" s="12" t="str">
        <x:v>TuShare index_daily</x:v>
      </x:c>
      <x:c r="J284" s="12" t="str">
        <x:v>Archived FRED mirror (Hugging Face)</x:v>
      </x:c>
    </x:row>
    <x:row r="285" ht="18" customHeight="1">
      <x:c r="A285" s="13" t="n">
        <x:v>43000</x:v>
      </x:c>
      <x:c r="B285" s="12" t="n">
        <x:v>3837.7304</x:v>
      </x:c>
      <x:c r="C285" s="12" t="n">
        <x:v>3837.8176</x:v>
      </x:c>
      <x:c r="D285" s="12" t="n">
        <x:v>-0.0023</x:v>
      </x:c>
      <x:c r="E285" s="12" t="n">
        <x:v>-0.000022721504706530016</x:v>
      </x:c>
      <x:c r="F285" s="12" t="n">
        <x:v>3.64</x:v>
      </x:c>
      <x:c r="G285" s="12" t="n">
        <x:v>364</x:v>
      </x:c>
      <x:c r="H285" s="12" t="n">
        <x:v>2</x:v>
      </x:c>
      <x:c r="I285" s="12" t="str">
        <x:v>TuShare index_daily</x:v>
      </x:c>
      <x:c r="J285" s="12" t="str">
        <x:v>Archived FRED mirror (Hugging Face)</x:v>
      </x:c>
    </x:row>
    <x:row r="286" ht="18" customHeight="1">
      <x:c r="A286" s="13" t="n">
        <x:v>43003</x:v>
      </x:c>
      <x:c r="B286" s="12" t="n">
        <x:v>3817.7915</x:v>
      </x:c>
      <x:c r="C286" s="12" t="n">
        <x:v>3837.7304</x:v>
      </x:c>
      <x:c r="D286" s="12" t="n">
        <x:v>-0.5195</x:v>
      </x:c>
      <x:c r="E286" s="12" t="n">
        <x:v>-0.005209036129921053</x:v>
      </x:c>
      <x:c r="F286" s="12" t="n">
        <x:v>3.66</x:v>
      </x:c>
      <x:c r="G286" s="12" t="n">
        <x:v>366</x:v>
      </x:c>
      <x:c r="H286" s="12" t="n">
        <x:v>2</x:v>
      </x:c>
      <x:c r="I286" s="12" t="str">
        <x:v>TuShare index_daily</x:v>
      </x:c>
      <x:c r="J286" s="12" t="str">
        <x:v>Archived FRED mirror (Hugging Face)</x:v>
      </x:c>
    </x:row>
    <x:row r="287" ht="18" customHeight="1">
      <x:c r="A287" s="13" t="n">
        <x:v>43004</x:v>
      </x:c>
      <x:c r="B287" s="12" t="n">
        <x:v>3820.7816</x:v>
      </x:c>
      <x:c r="C287" s="12" t="n">
        <x:v>3817.7915</x:v>
      </x:c>
      <x:c r="D287" s="12" t="n">
        <x:v>0.0783</x:v>
      </x:c>
      <x:c r="E287" s="12" t="n">
        <x:v>0.0007828949500334316</x:v>
      </x:c>
      <x:c r="F287" s="12" t="n">
        <x:v>3.62</x:v>
      </x:c>
      <x:c r="G287" s="12" t="n">
        <x:v>362</x:v>
      </x:c>
      <x:c r="H287" s="12" t="n">
        <x:v>-4</x:v>
      </x:c>
      <x:c r="I287" s="12" t="str">
        <x:v>TuShare index_daily</x:v>
      </x:c>
      <x:c r="J287" s="12" t="str">
        <x:v>Archived FRED mirror (Hugging Face)</x:v>
      </x:c>
    </x:row>
    <x:row r="288" ht="18" customHeight="1">
      <x:c r="A288" s="13" t="n">
        <x:v>43005</x:v>
      </x:c>
      <x:c r="B288" s="12" t="n">
        <x:v>3821.2</x:v>
      </x:c>
      <x:c r="C288" s="12" t="n">
        <x:v>3820.7816</x:v>
      </x:c>
      <x:c r="D288" s="12" t="n">
        <x:v>0.011</x:v>
      </x:c>
      <x:c r="E288" s="12" t="n">
        <x:v>0.00010950039461436072</x:v>
      </x:c>
      <x:c r="F288" s="12" t="n">
        <x:v>3.57</x:v>
      </x:c>
      <x:c r="G288" s="12" t="n">
        <x:v>357</x:v>
      </x:c>
      <x:c r="H288" s="12" t="n">
        <x:v>-5</x:v>
      </x:c>
      <x:c r="I288" s="12" t="str">
        <x:v>TuShare index_daily</x:v>
      </x:c>
      <x:c r="J288" s="12" t="str">
        <x:v>Archived FRED mirror (Hugging Face)</x:v>
      </x:c>
    </x:row>
    <x:row r="289" ht="18" customHeight="1">
      <x:c r="A289" s="13" t="n">
        <x:v>43006</x:v>
      </x:c>
      <x:c r="B289" s="12" t="n">
        <x:v>3822.5386</x:v>
      </x:c>
      <x:c r="C289" s="12" t="n">
        <x:v>3821.2</x:v>
      </x:c>
      <x:c r="D289" s="12" t="n">
        <x:v>0.035</x:v>
      </x:c>
      <x:c r="E289" s="12" t="n">
        <x:v>0.00035024745971412797</x:v>
      </x:c>
      <x:c r="F289" s="12" t="n">
        <x:v>3.57</x:v>
      </x:c>
      <x:c r="G289" s="12" t="n">
        <x:v>357</x:v>
      </x:c>
      <x:c r="H289" s="12" t="n">
        <x:v>0</x:v>
      </x:c>
      <x:c r="I289" s="12" t="str">
        <x:v>TuShare index_daily</x:v>
      </x:c>
      <x:c r="J289" s="12" t="str">
        <x:v>Archived FRED mirror (Hugging Face)</x:v>
      </x:c>
    </x:row>
    <x:row r="290" ht="18" customHeight="1">
      <x:c r="A290" s="13" t="n">
        <x:v>43007</x:v>
      </x:c>
      <x:c r="B290" s="12" t="n">
        <x:v>3836.5013</x:v>
      </x:c>
      <x:c r="C290" s="12" t="n">
        <x:v>3822.5386</x:v>
      </x:c>
      <x:c r="D290" s="12" t="n">
        <x:v>0.3653</x:v>
      </x:c>
      <x:c r="E290" s="12" t="n">
        <x:v>0.003646074612610034</x:v>
      </x:c>
      <x:c r="F290" s="12" t="n">
        <x:v>3.54</x:v>
      </x:c>
      <x:c r="G290" s="12" t="n">
        <x:v>354</x:v>
      </x:c>
      <x:c r="H290" s="12" t="n">
        <x:v>-3</x:v>
      </x:c>
      <x:c r="I290" s="12" t="str">
        <x:v>TuShare index_daily</x:v>
      </x:c>
      <x:c r="J290" s="12" t="str">
        <x:v>Archived FRED mirror (Hugging Face)</x:v>
      </x:c>
    </x:row>
    <x:row r="291" ht="18" customHeight="1">
      <x:c r="A291" s="13" t="n">
        <x:v>43017</x:v>
      </x:c>
      <x:c r="B291" s="12" t="n">
        <x:v>3882.2076</x:v>
      </x:c>
      <x:c r="C291" s="12" t="n">
        <x:v>3836.5013</x:v>
      </x:c>
      <x:c r="D291" s="12" t="n">
        <x:v>1.1914</x:v>
      </x:c>
      <x:c r="E291" s="12" t="n">
        <x:v>0.01184312941977477</x:v>
      </x:c>
      <x:c r="F291" s="12" t="n">
        <x:v>3.51</x:v>
      </x:c>
      <x:c r="G291" s="12" t="n">
        <x:v>351</x:v>
      </x:c>
      <x:c r="H291" s="12" t="n">
        <x:v>-1</x:v>
      </x:c>
      <x:c r="I291" s="12" t="str">
        <x:v>TuShare index_daily</x:v>
      </x:c>
      <x:c r="J291" s="12" t="str">
        <x:v>Archived FRED mirror (Hugging Face)</x:v>
      </x:c>
    </x:row>
    <x:row r="292" ht="18" customHeight="1">
      <x:c r="A292" s="13" t="n">
        <x:v>43018</x:v>
      </x:c>
      <x:c r="B292" s="12" t="n">
        <x:v>3889.8637</x:v>
      </x:c>
      <x:c r="C292" s="12" t="n">
        <x:v>3882.2076</x:v>
      </x:c>
      <x:c r="D292" s="12" t="n">
        <x:v>0.1972</x:v>
      </x:c>
      <x:c r="E292" s="12" t="n">
        <x:v>0.001970157550263779</x:v>
      </x:c>
      <x:c r="F292" s="12" t="n">
        <x:v>3.52</x:v>
      </x:c>
      <x:c r="G292" s="12" t="n">
        <x:v>352</x:v>
      </x:c>
      <x:c r="H292" s="12" t="n">
        <x:v>1</x:v>
      </x:c>
      <x:c r="I292" s="12" t="str">
        <x:v>TuShare index_daily</x:v>
      </x:c>
      <x:c r="J292" s="12" t="str">
        <x:v>Archived FRED mirror (Hugging Face)</x:v>
      </x:c>
    </x:row>
    <x:row r="293" ht="18" customHeight="1">
      <x:c r="A293" s="13" t="n">
        <x:v>43019</x:v>
      </x:c>
      <x:c r="B293" s="12" t="n">
        <x:v>3902.6868</x:v>
      </x:c>
      <x:c r="C293" s="12" t="n">
        <x:v>3889.8637</x:v>
      </x:c>
      <x:c r="D293" s="12" t="n">
        <x:v>0.3297</x:v>
      </x:c>
      <x:c r="E293" s="12" t="n">
        <x:v>0.003291120557876686</x:v>
      </x:c>
      <x:c r="F293" s="12" t="n">
        <x:v>3.52</x:v>
      </x:c>
      <x:c r="G293" s="12" t="n">
        <x:v>352</x:v>
      </x:c>
      <x:c r="H293" s="12" t="n">
        <x:v>0</x:v>
      </x:c>
      <x:c r="I293" s="12" t="str">
        <x:v>TuShare index_daily</x:v>
      </x:c>
      <x:c r="J293" s="12" t="str">
        <x:v>Archived FRED mirror (Hugging Face)</x:v>
      </x:c>
    </x:row>
    <x:row r="294" ht="18" customHeight="1">
      <x:c r="A294" s="13" t="n">
        <x:v>43020</x:v>
      </x:c>
      <x:c r="B294" s="12" t="n">
        <x:v>3912.9536</x:v>
      </x:c>
      <x:c r="C294" s="12" t="n">
        <x:v>3902.6868</x:v>
      </x:c>
      <x:c r="D294" s="12" t="n">
        <x:v>0.2631</x:v>
      </x:c>
      <x:c r="E294" s="12" t="n">
        <x:v>0.002627246234481852</x:v>
      </x:c>
      <x:c r="F294" s="12" t="n">
        <x:v>3.56</x:v>
      </x:c>
      <x:c r="G294" s="12" t="n">
        <x:v>356</x:v>
      </x:c>
      <x:c r="H294" s="12" t="n">
        <x:v>4</x:v>
      </x:c>
      <x:c r="I294" s="12" t="str">
        <x:v>TuShare index_daily</x:v>
      </x:c>
      <x:c r="J294" s="12" t="str">
        <x:v>Archived FRED mirror (Hugging Face)</x:v>
      </x:c>
    </x:row>
    <x:row r="295" ht="18" customHeight="1">
      <x:c r="A295" s="13" t="n">
        <x:v>43021</x:v>
      </x:c>
      <x:c r="B295" s="12" t="n">
        <x:v>3921.0017</x:v>
      </x:c>
      <x:c r="C295" s="12" t="n">
        <x:v>3912.9536</x:v>
      </x:c>
      <x:c r="D295" s="12" t="n">
        <x:v>0.2057</x:v>
      </x:c>
      <x:c r="E295" s="12" t="n">
        <x:v>0.0020546716245297427</x:v>
      </x:c>
      <x:c r="F295" s="12" t="n">
        <x:v>3.6</x:v>
      </x:c>
      <x:c r="G295" s="12" t="n">
        <x:v>360</x:v>
      </x:c>
      <x:c r="H295" s="12" t="n">
        <x:v>4</x:v>
      </x:c>
      <x:c r="I295" s="12" t="str">
        <x:v>TuShare index_daily</x:v>
      </x:c>
      <x:c r="J295" s="12" t="str">
        <x:v>Archived FRED mirror (Hugging Face)</x:v>
      </x:c>
    </x:row>
    <x:row r="296" ht="18" customHeight="1">
      <x:c r="A296" s="13" t="n">
        <x:v>43024</x:v>
      </x:c>
      <x:c r="B296" s="12" t="n">
        <x:v>3913.4462</x:v>
      </x:c>
      <x:c r="C296" s="12" t="n">
        <x:v>3921.0017</x:v>
      </x:c>
      <x:c r="D296" s="12" t="n">
        <x:v>-0.1927</x:v>
      </x:c>
      <x:c r="E296" s="12" t="n">
        <x:v>-0.0019287899897451727</x:v>
      </x:c>
      <x:c r="F296" s="12" t="n">
        <x:v>3.53</x:v>
      </x:c>
      <x:c r="G296" s="12" t="n">
        <x:v>353</x:v>
      </x:c>
      <x:c r="H296" s="12" t="n">
        <x:v>-7</x:v>
      </x:c>
      <x:c r="I296" s="12" t="str">
        <x:v>TuShare index_daily</x:v>
      </x:c>
      <x:c r="J296" s="12" t="str">
        <x:v>Archived FRED mirror (Hugging Face)</x:v>
      </x:c>
    </x:row>
    <x:row r="297" ht="18" customHeight="1">
      <x:c r="A297" s="13" t="n">
        <x:v>43025</x:v>
      </x:c>
      <x:c r="B297" s="12" t="n">
        <x:v>3913.0688</x:v>
      </x:c>
      <x:c r="C297" s="12" t="n">
        <x:v>3913.4462</x:v>
      </x:c>
      <x:c r="D297" s="12" t="n">
        <x:v>-0.0096</x:v>
      </x:c>
      <x:c r="E297" s="12" t="n">
        <x:v>-0.00009644139193307079</x:v>
      </x:c>
      <x:c r="F297" s="12" t="n">
        <x:v>3.5</x:v>
      </x:c>
      <x:c r="G297" s="12" t="n">
        <x:v>350</x:v>
      </x:c>
      <x:c r="H297" s="12" t="n">
        <x:v>-3</x:v>
      </x:c>
      <x:c r="I297" s="12" t="str">
        <x:v>TuShare index_daily</x:v>
      </x:c>
      <x:c r="J297" s="12" t="str">
        <x:v>Archived FRED mirror (Hugging Face)</x:v>
      </x:c>
    </x:row>
    <x:row r="298" ht="18" customHeight="1">
      <x:c r="A298" s="13" t="n">
        <x:v>43026</x:v>
      </x:c>
      <x:c r="B298" s="12" t="n">
        <x:v>3944.1626</x:v>
      </x:c>
      <x:c r="C298" s="12" t="n">
        <x:v>3913.0688</x:v>
      </x:c>
      <x:c r="D298" s="12" t="n">
        <x:v>0.7946</x:v>
      </x:c>
      <x:c r="E298" s="12" t="n">
        <x:v>0.007914737579810524</x:v>
      </x:c>
      <x:c r="F298" s="12" t="n">
        <x:v>3.46</x:v>
      </x:c>
      <x:c r="G298" s="12" t="n">
        <x:v>346</x:v>
      </x:c>
      <x:c r="H298" s="12" t="n">
        <x:v>-4</x:v>
      </x:c>
      <x:c r="I298" s="12" t="str">
        <x:v>TuShare index_daily</x:v>
      </x:c>
      <x:c r="J298" s="12" t="str">
        <x:v>Archived FRED mirror (Hugging Face)</x:v>
      </x:c>
    </x:row>
    <x:row r="299" ht="18" customHeight="1">
      <x:c r="A299" s="13" t="n">
        <x:v>43027</x:v>
      </x:c>
      <x:c r="B299" s="12" t="n">
        <x:v>3931.2495</x:v>
      </x:c>
      <x:c r="C299" s="12" t="n">
        <x:v>3944.1626</x:v>
      </x:c>
      <x:c r="D299" s="12" t="n">
        <x:v>-0.3274</x:v>
      </x:c>
      <x:c r="E299" s="12" t="n">
        <x:v>-0.0032793487905036084</x:v>
      </x:c>
      <x:c r="F299" s="12" t="n">
        <x:v>3.48</x:v>
      </x:c>
      <x:c r="G299" s="12" t="n">
        <x:v>348</x:v>
      </x:c>
      <x:c r="H299" s="12" t="n">
        <x:v>2</x:v>
      </x:c>
      <x:c r="I299" s="12" t="str">
        <x:v>TuShare index_daily</x:v>
      </x:c>
      <x:c r="J299" s="12" t="str">
        <x:v>Archived FRED mirror (Hugging Face)</x:v>
      </x:c>
    </x:row>
    <x:row r="300" ht="18" customHeight="1">
      <x:c r="A300" s="13" t="n">
        <x:v>43028</x:v>
      </x:c>
      <x:c r="B300" s="12" t="n">
        <x:v>3926.852</x:v>
      </x:c>
      <x:c r="C300" s="12" t="n">
        <x:v>3931.2495</x:v>
      </x:c>
      <x:c r="D300" s="12" t="n">
        <x:v>-0.1119</x:v>
      </x:c>
      <x:c r="E300" s="12" t="n">
        <x:v>-0.0011192271973201407</x:v>
      </x:c>
      <x:c r="F300" s="12" t="n">
        <x:v>3.42</x:v>
      </x:c>
      <x:c r="G300" s="12" t="n">
        <x:v>342</x:v>
      </x:c>
      <x:c r="H300" s="12" t="n">
        <x:v>-6</x:v>
      </x:c>
      <x:c r="I300" s="12" t="str">
        <x:v>TuShare index_daily</x:v>
      </x:c>
      <x:c r="J300" s="12" t="str">
        <x:v>Archived FRED mirror (Hugging Face)</x:v>
      </x:c>
    </x:row>
    <x:row r="301" ht="18" customHeight="1">
      <x:c r="A301" s="13" t="n">
        <x:v>43031</x:v>
      </x:c>
      <x:c r="B301" s="12" t="n">
        <x:v>3930.7981</x:v>
      </x:c>
      <x:c r="C301" s="12" t="n">
        <x:v>3926.852</x:v>
      </x:c>
      <x:c r="D301" s="12" t="n">
        <x:v>0.1005</x:v>
      </x:c>
      <x:c r="E301" s="12" t="n">
        <x:v>0.0010043970605767502</x:v>
      </x:c>
      <x:c r="F301" s="12" t="n">
        <x:v>3.4</x:v>
      </x:c>
      <x:c r="G301" s="12" t="n">
        <x:v>340</x:v>
      </x:c>
      <x:c r="H301" s="12" t="n">
        <x:v>-2</x:v>
      </x:c>
      <x:c r="I301" s="12" t="str">
        <x:v>TuShare index_daily</x:v>
      </x:c>
      <x:c r="J301" s="12" t="str">
        <x:v>Archived FRED mirror (Hugging Face)</x:v>
      </x:c>
    </x:row>
    <x:row r="302" ht="18" customHeight="1">
      <x:c r="A302" s="13" t="n">
        <x:v>43032</x:v>
      </x:c>
      <x:c r="B302" s="12" t="n">
        <x:v>3959.3953</x:v>
      </x:c>
      <x:c r="C302" s="12" t="n">
        <x:v>3930.7981</x:v>
      </x:c>
      <x:c r="D302" s="12" t="n">
        <x:v>0.7275</x:v>
      </x:c>
      <x:c r="E302" s="12" t="n">
        <x:v>0.007248827442194198</x:v>
      </x:c>
      <x:c r="F302" s="12" t="n">
        <x:v>3.38</x:v>
      </x:c>
      <x:c r="G302" s="12" t="n">
        <x:v>338</x:v>
      </x:c>
      <x:c r="H302" s="12" t="n">
        <x:v>-2</x:v>
      </x:c>
      <x:c r="I302" s="12" t="str">
        <x:v>TuShare index_daily</x:v>
      </x:c>
      <x:c r="J302" s="12" t="str">
        <x:v>Archived FRED mirror (Hugging Face)</x:v>
      </x:c>
    </x:row>
    <x:row r="303" ht="18" customHeight="1">
      <x:c r="A303" s="13" t="n">
        <x:v>43033</x:v>
      </x:c>
      <x:c r="B303" s="12" t="n">
        <x:v>3976.949</x:v>
      </x:c>
      <x:c r="C303" s="12" t="n">
        <x:v>3959.3953</x:v>
      </x:c>
      <x:c r="D303" s="12" t="n">
        <x:v>0.4433</x:v>
      </x:c>
      <x:c r="E303" s="12" t="n">
        <x:v>0.004423630820797213</x:v>
      </x:c>
      <x:c r="F303" s="12" t="n">
        <x:v>3.42</x:v>
      </x:c>
      <x:c r="G303" s="12" t="n">
        <x:v>342</x:v>
      </x:c>
      <x:c r="H303" s="12" t="n">
        <x:v>4</x:v>
      </x:c>
      <x:c r="I303" s="12" t="str">
        <x:v>TuShare index_daily</x:v>
      </x:c>
      <x:c r="J303" s="12" t="str">
        <x:v>Archived FRED mirror (Hugging Face)</x:v>
      </x:c>
    </x:row>
    <x:row r="304" ht="18" customHeight="1">
      <x:c r="A304" s="13" t="n">
        <x:v>43034</x:v>
      </x:c>
      <x:c r="B304" s="12" t="n">
        <x:v>3993.5752</x:v>
      </x:c>
      <x:c r="C304" s="12" t="n">
        <x:v>3976.949</x:v>
      </x:c>
      <x:c r="D304" s="12" t="n">
        <x:v>0.4181</x:v>
      </x:c>
      <x:c r="E304" s="12" t="n">
        <x:v>0.004171927390893789</x:v>
      </x:c>
      <x:c r="F304" s="12" t="n">
        <x:v>3.41</x:v>
      </x:c>
      <x:c r="G304" s="12" t="n">
        <x:v>341</x:v>
      </x:c>
      <x:c r="H304" s="12" t="n">
        <x:v>-1</x:v>
      </x:c>
      <x:c r="I304" s="12" t="str">
        <x:v>TuShare index_daily</x:v>
      </x:c>
      <x:c r="J304" s="12" t="str">
        <x:v>Archived FRED mirror (Hugging Face)</x:v>
      </x:c>
    </x:row>
    <x:row r="305" ht="18" customHeight="1">
      <x:c r="A305" s="13" t="n">
        <x:v>43035</x:v>
      </x:c>
      <x:c r="B305" s="12" t="n">
        <x:v>4021.9676</x:v>
      </x:c>
      <x:c r="C305" s="12" t="n">
        <x:v>3993.5752</x:v>
      </x:c>
      <x:c r="D305" s="12" t="n">
        <x:v>0.711</x:v>
      </x:c>
      <x:c r="E305" s="12" t="n">
        <x:v>0.0070843658265906375</x:v>
      </x:c>
      <x:c r="F305" s="12" t="n">
        <x:v>3.44</x:v>
      </x:c>
      <x:c r="G305" s="12" t="n">
        <x:v>344</x:v>
      </x:c>
      <x:c r="H305" s="12" t="n">
        <x:v>3</x:v>
      </x:c>
      <x:c r="I305" s="12" t="str">
        <x:v>TuShare index_daily</x:v>
      </x:c>
      <x:c r="J305" s="12" t="str">
        <x:v>Archived FRED mirror (Hugging Face)</x:v>
      </x:c>
    </x:row>
    <x:row r="306" ht="18" customHeight="1">
      <x:c r="A306" s="13" t="n">
        <x:v>43038</x:v>
      </x:c>
      <x:c r="B306" s="12" t="n">
        <x:v>4009.7218</x:v>
      </x:c>
      <x:c r="C306" s="12" t="n">
        <x:v>4021.9676</x:v>
      </x:c>
      <x:c r="D306" s="12" t="n">
        <x:v>-0.3045</x:v>
      </x:c>
      <x:c r="E306" s="12" t="n">
        <x:v>-0.0030493732711187656</x:v>
      </x:c>
      <x:c r="F306" s="12" t="n">
        <x:v>3.49</x:v>
      </x:c>
      <x:c r="G306" s="12" t="n">
        <x:v>349</x:v>
      </x:c>
      <x:c r="H306" s="12" t="n">
        <x:v>5</x:v>
      </x:c>
      <x:c r="I306" s="12" t="str">
        <x:v>TuShare index_daily</x:v>
      </x:c>
      <x:c r="J306" s="12" t="str">
        <x:v>Archived FRED mirror (Hugging Face)</x:v>
      </x:c>
    </x:row>
    <x:row r="307" ht="18" customHeight="1">
      <x:c r="A307" s="13" t="n">
        <x:v>43039</x:v>
      </x:c>
      <x:c r="B307" s="12" t="n">
        <x:v>4006.7179</x:v>
      </x:c>
      <x:c r="C307" s="12" t="n">
        <x:v>4009.7218</x:v>
      </x:c>
      <x:c r="D307" s="12" t="n">
        <x:v>-0.0749</x:v>
      </x:c>
      <x:c r="E307" s="12" t="n">
        <x:v>-0.0007494349743803357</x:v>
      </x:c>
      <x:c r="F307" s="12" t="n">
        <x:v>3.51</x:v>
      </x:c>
      <x:c r="G307" s="12" t="n">
        <x:v>351</x:v>
      </x:c>
      <x:c r="H307" s="12" t="n">
        <x:v>2</x:v>
      </x:c>
      <x:c r="I307" s="12" t="str">
        <x:v>TuShare index_daily</x:v>
      </x:c>
      <x:c r="J307" s="12" t="str">
        <x:v>Archived FRED mirror (Hugging Face)</x:v>
      </x:c>
    </x:row>
    <x:row r="308" ht="18" customHeight="1">
      <x:c r="A308" s="13" t="n">
        <x:v>43040</x:v>
      </x:c>
      <x:c r="B308" s="12" t="n">
        <x:v>3996.6221</x:v>
      </x:c>
      <x:c r="C308" s="12" t="n">
        <x:v>4006.7179</x:v>
      </x:c>
      <x:c r="D308" s="12" t="n">
        <x:v>-0.252</x:v>
      </x:c>
      <x:c r="E308" s="12" t="n">
        <x:v>-0.002522898028820987</x:v>
      </x:c>
      <x:c r="F308" s="12" t="n">
        <x:v>3.48</x:v>
      </x:c>
      <x:c r="G308" s="12" t="n">
        <x:v>348</x:v>
      </x:c>
      <x:c r="H308" s="12" t="n">
        <x:v>-3</x:v>
      </x:c>
      <x:c r="I308" s="12" t="str">
        <x:v>TuShare index_daily</x:v>
      </x:c>
      <x:c r="J308" s="12" t="str">
        <x:v>Archived FRED mirror (Hugging Face)</x:v>
      </x:c>
    </x:row>
    <x:row r="309" ht="18" customHeight="1">
      <x:c r="A309" s="13" t="n">
        <x:v>43041</x:v>
      </x:c>
      <x:c r="B309" s="12" t="n">
        <x:v>3997.1343</x:v>
      </x:c>
      <x:c r="C309" s="12" t="n">
        <x:v>3996.6221</x:v>
      </x:c>
      <x:c r="D309" s="12" t="n">
        <x:v>0.0128</x:v>
      </x:c>
      <x:c r="E309" s="12" t="n">
        <x:v>0.00012815001485439733</x:v>
      </x:c>
      <x:c r="F309" s="12" t="n">
        <x:v>3.52</x:v>
      </x:c>
      <x:c r="G309" s="12" t="n">
        <x:v>352</x:v>
      </x:c>
      <x:c r="H309" s="12" t="n">
        <x:v>4</x:v>
      </x:c>
      <x:c r="I309" s="12" t="str">
        <x:v>TuShare index_daily</x:v>
      </x:c>
      <x:c r="J309" s="12" t="str">
        <x:v>Archived FRED mirror (Hugging Face)</x:v>
      </x:c>
    </x:row>
    <x:row r="310" ht="18" customHeight="1">
      <x:c r="A310" s="13" t="n">
        <x:v>43042</x:v>
      </x:c>
      <x:c r="B310" s="12" t="n">
        <x:v>3992.6979</x:v>
      </x:c>
      <x:c r="C310" s="12" t="n">
        <x:v>3997.1343</x:v>
      </x:c>
      <x:c r="D310" s="12" t="n">
        <x:v>-0.111</x:v>
      </x:c>
      <x:c r="E310" s="12" t="n">
        <x:v>-0.001110511546394529</x:v>
      </x:c>
      <x:c r="F310" s="12" t="n">
        <x:v>3.52</x:v>
      </x:c>
      <x:c r="G310" s="12" t="n">
        <x:v>352</x:v>
      </x:c>
      <x:c r="H310" s="12" t="n">
        <x:v>0</x:v>
      </x:c>
      <x:c r="I310" s="12" t="str">
        <x:v>TuShare index_daily</x:v>
      </x:c>
      <x:c r="J310" s="12" t="str">
        <x:v>Archived FRED mirror (Hugging Face)</x:v>
      </x:c>
    </x:row>
    <x:row r="311" ht="18" customHeight="1">
      <x:c r="A311" s="13" t="n">
        <x:v>43045</x:v>
      </x:c>
      <x:c r="B311" s="12" t="n">
        <x:v>4020.8896</x:v>
      </x:c>
      <x:c r="C311" s="12" t="n">
        <x:v>3992.6979</x:v>
      </x:c>
      <x:c r="D311" s="12" t="n">
        <x:v>0.7061</x:v>
      </x:c>
      <x:c r="E311" s="12" t="n">
        <x:v>0.007036003862998055</x:v>
      </x:c>
      <x:c r="F311" s="12" t="n">
        <x:v>3.55</x:v>
      </x:c>
      <x:c r="G311" s="12" t="n">
        <x:v>355</x:v>
      </x:c>
      <x:c r="H311" s="12" t="n">
        <x:v>3</x:v>
      </x:c>
      <x:c r="I311" s="12" t="str">
        <x:v>TuShare index_daily</x:v>
      </x:c>
      <x:c r="J311" s="12" t="str">
        <x:v>Archived FRED mirror (Hugging Face)</x:v>
      </x:c>
    </x:row>
    <x:row r="312" ht="18" customHeight="1">
      <x:c r="A312" s="13" t="n">
        <x:v>43046</x:v>
      </x:c>
      <x:c r="B312" s="12" t="n">
        <x:v>4054.2465</x:v>
      </x:c>
      <x:c r="C312" s="12" t="n">
        <x:v>4020.8896</x:v>
      </x:c>
      <x:c r="D312" s="12" t="n">
        <x:v>0.8296</x:v>
      </x:c>
      <x:c r="E312" s="12" t="n">
        <x:v>0.008261678643900625</x:v>
      </x:c>
      <x:c r="F312" s="12" t="n">
        <x:v>3.57</x:v>
      </x:c>
      <x:c r="G312" s="12" t="n">
        <x:v>357</x:v>
      </x:c>
      <x:c r="H312" s="12" t="n">
        <x:v>2</x:v>
      </x:c>
      <x:c r="I312" s="12" t="str">
        <x:v>TuShare index_daily</x:v>
      </x:c>
      <x:c r="J312" s="12" t="str">
        <x:v>Archived FRED mirror (Hugging Face)</x:v>
      </x:c>
    </x:row>
    <x:row r="313" ht="18" customHeight="1">
      <x:c r="A313" s="13" t="n">
        <x:v>43047</x:v>
      </x:c>
      <x:c r="B313" s="12" t="n">
        <x:v>4048.0057</x:v>
      </x:c>
      <x:c r="C313" s="12" t="n">
        <x:v>4054.2465</x:v>
      </x:c>
      <x:c r="D313" s="12" t="n">
        <x:v>-0.1539</x:v>
      </x:c>
      <x:c r="E313" s="12" t="n">
        <x:v>-0.0015405102384266635</x:v>
      </x:c>
      <x:c r="F313" s="12" t="n">
        <x:v>3.67</x:v>
      </x:c>
      <x:c r="G313" s="12" t="n">
        <x:v>367</x:v>
      </x:c>
      <x:c r="H313" s="12" t="n">
        <x:v>10</x:v>
      </x:c>
      <x:c r="I313" s="12" t="str">
        <x:v>TuShare index_daily</x:v>
      </x:c>
      <x:c r="J313" s="12" t="str">
        <x:v>Archived FRED mirror (Hugging Face)</x:v>
      </x:c>
    </x:row>
    <x:row r="314" ht="18" customHeight="1">
      <x:c r="A314" s="13" t="n">
        <x:v>43048</x:v>
      </x:c>
      <x:c r="B314" s="12" t="n">
        <x:v>4075.8998</x:v>
      </x:c>
      <x:c r="C314" s="12" t="n">
        <x:v>4048.0057</x:v>
      </x:c>
      <x:c r="D314" s="12" t="n">
        <x:v>0.6891</x:v>
      </x:c>
      <x:c r="E314" s="12" t="n">
        <x:v>0.006867192046937809</x:v>
      </x:c>
      <x:c r="F314" s="12" t="n">
        <x:v>3.79</x:v>
      </x:c>
      <x:c r="G314" s="12" t="n">
        <x:v>379</x:v>
      </x:c>
      <x:c r="H314" s="12" t="n">
        <x:v>12</x:v>
      </x:c>
      <x:c r="I314" s="12" t="str">
        <x:v>TuShare index_daily</x:v>
      </x:c>
      <x:c r="J314" s="12" t="str">
        <x:v>Archived FRED mirror (Hugging Face)</x:v>
      </x:c>
    </x:row>
    <x:row r="315" ht="18" customHeight="1">
      <x:c r="A315" s="13" t="n">
        <x:v>43049</x:v>
      </x:c>
      <x:c r="B315" s="12" t="n">
        <x:v>4111.9112</x:v>
      </x:c>
      <x:c r="C315" s="12" t="n">
        <x:v>4075.8998</x:v>
      </x:c>
      <x:c r="D315" s="12" t="n">
        <x:v>0.8835</x:v>
      </x:c>
      <x:c r="E315" s="12" t="n">
        <x:v>0.008796400455064404</x:v>
      </x:c>
      <x:c r="F315" s="12" t="n">
        <x:v>3.76</x:v>
      </x:c>
      <x:c r="G315" s="12" t="n">
        <x:v>376</x:v>
      </x:c>
      <x:c r="H315" s="12" t="n">
        <x:v>-3</x:v>
      </x:c>
      <x:c r="I315" s="12" t="str">
        <x:v>TuShare index_daily</x:v>
      </x:c>
      <x:c r="J315" s="12" t="str">
        <x:v>Archived FRED mirror (Hugging Face)</x:v>
      </x:c>
    </x:row>
    <x:row r="316" ht="18" customHeight="1">
      <x:c r="A316" s="13" t="n">
        <x:v>43052</x:v>
      </x:c>
      <x:c r="B316" s="12" t="n">
        <x:v>4128.0733</x:v>
      </x:c>
      <x:c r="C316" s="12" t="n">
        <x:v>4111.9112</x:v>
      </x:c>
      <x:c r="D316" s="12" t="n">
        <x:v>0.3931</x:v>
      </x:c>
      <x:c r="E316" s="12" t="n">
        <x:v>0.0039228522156154084</x:v>
      </x:c>
      <x:c r="F316" s="12" t="n">
        <x:v>3.77</x:v>
      </x:c>
      <x:c r="G316" s="12" t="n">
        <x:v>377</x:v>
      </x:c>
      <x:c r="H316" s="12" t="n">
        <x:v>1</x:v>
      </x:c>
      <x:c r="I316" s="12" t="str">
        <x:v>TuShare index_daily</x:v>
      </x:c>
      <x:c r="J316" s="12" t="str">
        <x:v>Archived FRED mirror (Hugging Face)</x:v>
      </x:c>
    </x:row>
    <x:row r="317" ht="18" customHeight="1">
      <x:c r="A317" s="13" t="n">
        <x:v>43053</x:v>
      </x:c>
      <x:c r="B317" s="12" t="n">
        <x:v>4099.351</x:v>
      </x:c>
      <x:c r="C317" s="12" t="n">
        <x:v>4128.0733</x:v>
      </x:c>
      <x:c r="D317" s="12" t="n">
        <x:v>-0.6958</x:v>
      </x:c>
      <x:c r="E317" s="12" t="n">
        <x:v>-0.006982116306831353</x:v>
      </x:c>
      <x:c r="F317" s="12" t="n">
        <x:v>3.84</x:v>
      </x:c>
      <x:c r="G317" s="12" t="n">
        <x:v>384</x:v>
      </x:c>
      <x:c r="H317" s="12" t="n">
        <x:v>7</x:v>
      </x:c>
      <x:c r="I317" s="12" t="str">
        <x:v>TuShare index_daily</x:v>
      </x:c>
      <x:c r="J317" s="12" t="str">
        <x:v>Archived FRED mirror (Hugging Face)</x:v>
      </x:c>
    </x:row>
    <x:row r="318" ht="18" customHeight="1">
      <x:c r="A318" s="13" t="n">
        <x:v>43054</x:v>
      </x:c>
      <x:c r="B318" s="12" t="n">
        <x:v>4073.6696</x:v>
      </x:c>
      <x:c r="C318" s="12" t="n">
        <x:v>4099.351</x:v>
      </x:c>
      <x:c r="D318" s="12" t="n">
        <x:v>-0.6265</x:v>
      </x:c>
      <x:c r="E318" s="12" t="n">
        <x:v>-0.006284453638224415</x:v>
      </x:c>
      <x:c r="F318" s="12" t="n">
        <x:v>3.97</x:v>
      </x:c>
      <x:c r="G318" s="12" t="n">
        <x:v>397</x:v>
      </x:c>
      <x:c r="H318" s="12" t="n">
        <x:v>13</x:v>
      </x:c>
      <x:c r="I318" s="12" t="str">
        <x:v>TuShare index_daily</x:v>
      </x:c>
      <x:c r="J318" s="12" t="str">
        <x:v>Archived FRED mirror (Hugging Face)</x:v>
      </x:c>
    </x:row>
    <x:row r="319" ht="18" customHeight="1">
      <x:c r="A319" s="13" t="n">
        <x:v>43055</x:v>
      </x:c>
      <x:c r="B319" s="12" t="n">
        <x:v>4105.0122</x:v>
      </x:c>
      <x:c r="C319" s="12" t="n">
        <x:v>4073.6696</x:v>
      </x:c>
      <x:c r="D319" s="12" t="n">
        <x:v>0.7694</x:v>
      </x:c>
      <x:c r="E319" s="12" t="n">
        <x:v>0.0076645000258571145</x:v>
      </x:c>
      <x:c r="F319" s="12" t="n">
        <x:v>3.79</x:v>
      </x:c>
      <x:c r="G319" s="12" t="n">
        <x:v>379</x:v>
      </x:c>
      <x:c r="H319" s="12" t="n">
        <x:v>-18</x:v>
      </x:c>
      <x:c r="I319" s="12" t="str">
        <x:v>TuShare index_daily</x:v>
      </x:c>
      <x:c r="J319" s="12" t="str">
        <x:v>Archived FRED mirror (Hugging Face)</x:v>
      </x:c>
    </x:row>
    <x:row r="320" ht="18" customHeight="1">
      <x:c r="A320" s="13" t="n">
        <x:v>43056</x:v>
      </x:c>
      <x:c r="B320" s="12" t="n">
        <x:v>4120.8508</x:v>
      </x:c>
      <x:c r="C320" s="12" t="n">
        <x:v>4105.0122</x:v>
      </x:c>
      <x:c r="D320" s="12" t="n">
        <x:v>0.3858</x:v>
      </x:c>
      <x:c r="E320" s="12" t="n">
        <x:v>0.0038509320112525168</x:v>
      </x:c>
      <x:c r="F320" s="12" t="n">
        <x:v>3.76</x:v>
      </x:c>
      <x:c r="G320" s="12" t="n">
        <x:v>376</x:v>
      </x:c>
      <x:c r="H320" s="12" t="n">
        <x:v>-3</x:v>
      </x:c>
      <x:c r="I320" s="12" t="str">
        <x:v>TuShare index_daily</x:v>
      </x:c>
      <x:c r="J320" s="12" t="str">
        <x:v>Archived FRED mirror (Hugging Face)</x:v>
      </x:c>
    </x:row>
    <x:row r="321" ht="18" customHeight="1">
      <x:c r="A321" s="13" t="n">
        <x:v>43059</x:v>
      </x:c>
      <x:c r="B321" s="12" t="n">
        <x:v>4143.8334</x:v>
      </x:c>
      <x:c r="C321" s="12" t="n">
        <x:v>4120.8508</x:v>
      </x:c>
      <x:c r="D321" s="12" t="n">
        <x:v>0.5577</x:v>
      </x:c>
      <x:c r="E321" s="12" t="n">
        <x:v>0.005561654549717554</x:v>
      </x:c>
      <x:c r="F321" s="12" t="n">
        <x:v>3.7</x:v>
      </x:c>
      <x:c r="G321" s="12" t="n">
        <x:v>370</x:v>
      </x:c>
      <x:c r="H321" s="12" t="n">
        <x:v>-6</x:v>
      </x:c>
      <x:c r="I321" s="12" t="str">
        <x:v>TuShare index_daily</x:v>
      </x:c>
      <x:c r="J321" s="12" t="str">
        <x:v>Archived FRED mirror (Hugging Face)</x:v>
      </x:c>
    </x:row>
    <x:row r="322" ht="18" customHeight="1">
      <x:c r="A322" s="13" t="n">
        <x:v>43060</x:v>
      </x:c>
      <x:c r="B322" s="12" t="n">
        <x:v>4217.7015</x:v>
      </x:c>
      <x:c r="C322" s="12" t="n">
        <x:v>4143.8334</x:v>
      </x:c>
      <x:c r="D322" s="12" t="n">
        <x:v>1.7826</x:v>
      </x:c>
      <x:c r="E322" s="12" t="n">
        <x:v>0.01766900996951351</x:v>
      </x:c>
      <x:c r="F322" s="12" t="n">
        <x:v>3.66</x:v>
      </x:c>
      <x:c r="G322" s="12" t="n">
        <x:v>366</x:v>
      </x:c>
      <x:c r="H322" s="12" t="n">
        <x:v>-4</x:v>
      </x:c>
      <x:c r="I322" s="12" t="str">
        <x:v>TuShare index_daily</x:v>
      </x:c>
      <x:c r="J322" s="12" t="str">
        <x:v>Archived FRED mirror (Hugging Face)</x:v>
      </x:c>
    </x:row>
    <x:row r="323" ht="18" customHeight="1">
      <x:c r="A323" s="13" t="n">
        <x:v>43061</x:v>
      </x:c>
      <x:c r="B323" s="12" t="n">
        <x:v>4227.5666</x:v>
      </x:c>
      <x:c r="C323" s="12" t="n">
        <x:v>4217.7015</x:v>
      </x:c>
      <x:c r="D323" s="12" t="n">
        <x:v>0.2339</x:v>
      </x:c>
      <x:c r="E323" s="12" t="n">
        <x:v>0.0023362442423838147</x:v>
      </x:c>
      <x:c r="F323" s="12" t="n">
        <x:v>3.7</x:v>
      </x:c>
      <x:c r="G323" s="12" t="n">
        <x:v>370</x:v>
      </x:c>
      <x:c r="H323" s="12" t="n">
        <x:v>4</x:v>
      </x:c>
      <x:c r="I323" s="12" t="str">
        <x:v>TuShare index_daily</x:v>
      </x:c>
      <x:c r="J323" s="12" t="str">
        <x:v>Archived FRED mirror (Hugging Face)</x:v>
      </x:c>
    </x:row>
    <x:row r="324" ht="18" customHeight="1">
      <x:c r="A324" s="13" t="n">
        <x:v>43062</x:v>
      </x:c>
      <x:c r="B324" s="12" t="n">
        <x:v>4102.3966</x:v>
      </x:c>
      <x:c r="C324" s="12" t="n">
        <x:v>4227.5666</x:v>
      </x:c>
      <x:c r="D324" s="12" t="n">
        <x:v>-2.9608</x:v>
      </x:c>
      <x:c r="E324" s="12" t="n">
        <x:v>-0.03005521613756193</x:v>
      </x:c>
      <x:c r="F324" s="12" t="n">
        <x:v>3.7</x:v>
      </x:c>
      <x:c r="G324" s="12" t="n">
        <x:v>370</x:v>
      </x:c>
      <x:c r="H324" s="12" t="n">
        <x:v>0</x:v>
      </x:c>
      <x:c r="I324" s="12" t="str">
        <x:v>TuShare index_daily</x:v>
      </x:c>
      <x:c r="J324" s="12" t="str">
        <x:v>Archived FRED mirror (Hugging Face)</x:v>
      </x:c>
    </x:row>
    <x:row r="325" ht="18" customHeight="1">
      <x:c r="A325" s="13" t="n">
        <x:v>43063</x:v>
      </x:c>
      <x:c r="B325" s="12" t="n">
        <x:v>4104.2034</x:v>
      </x:c>
      <x:c r="C325" s="12" t="n">
        <x:v>4102.3966</x:v>
      </x:c>
      <x:c r="D325" s="12" t="n">
        <x:v>0.044</x:v>
      </x:c>
      <x:c r="E325" s="12" t="n">
        <x:v>0.00044032852318716474</x:v>
      </x:c>
      <x:c r="F325" s="12" t="n">
        <x:v>3.67</x:v>
      </x:c>
      <x:c r="G325" s="12" t="n">
        <x:v>367</x:v>
      </x:c>
      <x:c r="H325" s="12" t="n">
        <x:v>-3</x:v>
      </x:c>
      <x:c r="I325" s="12" t="str">
        <x:v>TuShare index_daily</x:v>
      </x:c>
      <x:c r="J325" s="12" t="str">
        <x:v>Archived FRED mirror (Hugging Face)</x:v>
      </x:c>
    </x:row>
    <x:row r="326" ht="18" customHeight="1">
      <x:c r="A326" s="13" t="n">
        <x:v>43066</x:v>
      </x:c>
      <x:c r="B326" s="12" t="n">
        <x:v>4049.9475</x:v>
      </x:c>
      <x:c r="C326" s="12" t="n">
        <x:v>4104.2034</x:v>
      </x:c>
      <x:c r="D326" s="12" t="n">
        <x:v>-1.322</x:v>
      </x:c>
      <x:c r="E326" s="12" t="n">
        <x:v>-0.013307749972386596</x:v>
      </x:c>
      <x:c r="F326" s="12" t="n">
        <x:v>3.66</x:v>
      </x:c>
      <x:c r="G326" s="12" t="n">
        <x:v>366</x:v>
      </x:c>
      <x:c r="H326" s="12" t="n">
        <x:v>-1</x:v>
      </x:c>
      <x:c r="I326" s="12" t="str">
        <x:v>TuShare index_daily</x:v>
      </x:c>
      <x:c r="J326" s="12" t="str">
        <x:v>Archived FRED mirror (Hugging Face)</x:v>
      </x:c>
    </x:row>
    <x:row r="327" ht="18" customHeight="1">
      <x:c r="A327" s="13" t="n">
        <x:v>43067</x:v>
      </x:c>
      <x:c r="B327" s="12" t="n">
        <x:v>4055.8235</x:v>
      </x:c>
      <x:c r="C327" s="12" t="n">
        <x:v>4049.9475</x:v>
      </x:c>
      <x:c r="D327" s="12" t="n">
        <x:v>0.1451</x:v>
      </x:c>
      <x:c r="E327" s="12" t="n">
        <x:v>0.0014498314914854682</x:v>
      </x:c>
      <x:c r="F327" s="12" t="n">
        <x:v>3.67</x:v>
      </x:c>
      <x:c r="G327" s="12" t="n">
        <x:v>367</x:v>
      </x:c>
      <x:c r="H327" s="12" t="n">
        <x:v>1</x:v>
      </x:c>
      <x:c r="I327" s="12" t="str">
        <x:v>TuShare index_daily</x:v>
      </x:c>
      <x:c r="J327" s="12" t="str">
        <x:v>Archived FRED mirror (Hugging Face)</x:v>
      </x:c>
    </x:row>
    <x:row r="328" ht="18" customHeight="1">
      <x:c r="A328" s="13" t="n">
        <x:v>43068</x:v>
      </x:c>
      <x:c r="B328" s="12" t="n">
        <x:v>4053.7529</x:v>
      </x:c>
      <x:c r="C328" s="12" t="n">
        <x:v>4055.8235</x:v>
      </x:c>
      <x:c r="D328" s="12" t="n">
        <x:v>-0.0511</x:v>
      </x:c>
      <x:c r="E328" s="12" t="n">
        <x:v>-0.000510655536828198</x:v>
      </x:c>
      <x:c r="F328" s="12" t="n">
        <x:v>3.64</x:v>
      </x:c>
      <x:c r="G328" s="12" t="n">
        <x:v>364</x:v>
      </x:c>
      <x:c r="H328" s="12" t="n">
        <x:v>-3</x:v>
      </x:c>
      <x:c r="I328" s="12" t="str">
        <x:v>TuShare index_daily</x:v>
      </x:c>
      <x:c r="J328" s="12" t="str">
        <x:v>Archived FRED mirror (Hugging Face)</x:v>
      </x:c>
    </x:row>
    <x:row r="329" ht="18" customHeight="1">
      <x:c r="A329" s="13" t="n">
        <x:v>43069</x:v>
      </x:c>
      <x:c r="B329" s="12" t="n">
        <x:v>4006.0993</x:v>
      </x:c>
      <x:c r="C329" s="12" t="n">
        <x:v>4053.7529</x:v>
      </x:c>
      <x:c r="D329" s="12" t="n">
        <x:v>-1.1755</x:v>
      </x:c>
      <x:c r="E329" s="12" t="n">
        <x:v>-0.011825069271435942</x:v>
      </x:c>
      <x:c r="F329" s="12" t="n">
        <x:v>3.61</x:v>
      </x:c>
      <x:c r="G329" s="12" t="n">
        <x:v>361</x:v>
      </x:c>
      <x:c r="H329" s="12" t="n">
        <x:v>-3</x:v>
      </x:c>
      <x:c r="I329" s="12" t="str">
        <x:v>TuShare index_daily</x:v>
      </x:c>
      <x:c r="J329" s="12" t="str">
        <x:v>Archived FRED mirror (Hugging Face)</x:v>
      </x:c>
    </x:row>
    <x:row r="330" ht="18" customHeight="1">
      <x:c r="A330" s="13" t="n">
        <x:v>43070</x:v>
      </x:c>
      <x:c r="B330" s="12" t="n">
        <x:v>3998.1365</x:v>
      </x:c>
      <x:c r="C330" s="12" t="n">
        <x:v>4006.0993</x:v>
      </x:c>
      <x:c r="D330" s="12" t="n">
        <x:v>-0.1988</x:v>
      </x:c>
      <x:c r="E330" s="12" t="n">
        <x:v>-0.0019896471882695846</x:v>
      </x:c>
      <x:c r="F330" s="12" t="n">
        <x:v>3.63</x:v>
      </x:c>
      <x:c r="G330" s="12" t="n">
        <x:v>363</x:v>
      </x:c>
      <x:c r="H330" s="12" t="n">
        <x:v>2</x:v>
      </x:c>
      <x:c r="I330" s="12" t="str">
        <x:v>TuShare index_daily</x:v>
      </x:c>
      <x:c r="J330" s="12" t="str">
        <x:v>Archived FRED mirror (Hugging Face)</x:v>
      </x:c>
    </x:row>
    <x:row r="331" ht="18" customHeight="1">
      <x:c r="A331" s="13" t="n">
        <x:v>43073</x:v>
      </x:c>
      <x:c r="B331" s="12" t="n">
        <x:v>4018.8571</x:v>
      </x:c>
      <x:c r="C331" s="12" t="n">
        <x:v>3998.1365</x:v>
      </x:c>
      <x:c r="D331" s="12" t="n">
        <x:v>0.5183</x:v>
      </x:c>
      <x:c r="E331" s="12" t="n">
        <x:v>0.005169181160029381</x:v>
      </x:c>
      <x:c r="F331" s="12" t="n">
        <x:v>3.58</x:v>
      </x:c>
      <x:c r="G331" s="12" t="n">
        <x:v>358</x:v>
      </x:c>
      <x:c r="H331" s="12" t="n">
        <x:v>-5</x:v>
      </x:c>
      <x:c r="I331" s="12" t="str">
        <x:v>TuShare index_daily</x:v>
      </x:c>
      <x:c r="J331" s="12" t="str">
        <x:v>Archived FRED mirror (Hugging Face)</x:v>
      </x:c>
    </x:row>
    <x:row r="332" ht="18" customHeight="1">
      <x:c r="A332" s="13" t="n">
        <x:v>43074</x:v>
      </x:c>
      <x:c r="B332" s="12" t="n">
        <x:v>4040.1704</x:v>
      </x:c>
      <x:c r="C332" s="12" t="n">
        <x:v>4018.8571</x:v>
      </x:c>
      <x:c r="D332" s="12" t="n">
        <x:v>0.5303</x:v>
      </x:c>
      <x:c r="E332" s="12" t="n">
        <x:v>0.005289310574958369</x:v>
      </x:c>
      <x:c r="F332" s="12" t="n">
        <x:v>3.57</x:v>
      </x:c>
      <x:c r="G332" s="12" t="n">
        <x:v>357</x:v>
      </x:c>
      <x:c r="H332" s="12" t="n">
        <x:v>-1</x:v>
      </x:c>
      <x:c r="I332" s="12" t="str">
        <x:v>TuShare index_daily</x:v>
      </x:c>
      <x:c r="J332" s="12" t="str">
        <x:v>Archived FRED mirror (Hugging Face)</x:v>
      </x:c>
    </x:row>
    <x:row r="333" ht="18" customHeight="1">
      <x:c r="A333" s="13" t="n">
        <x:v>43075</x:v>
      </x:c>
      <x:c r="B333" s="12" t="n">
        <x:v>4015.8211</x:v>
      </x:c>
      <x:c r="C333" s="12" t="n">
        <x:v>4040.1704</x:v>
      </x:c>
      <x:c r="D333" s="12" t="n">
        <x:v>-0.6027</x:v>
      </x:c>
      <x:c r="E333" s="12" t="n">
        <x:v>-0.006045034716964068</x:v>
      </x:c>
      <x:c r="F333" s="12" t="n">
        <x:v>3.63</x:v>
      </x:c>
      <x:c r="G333" s="12" t="n">
        <x:v>363</x:v>
      </x:c>
      <x:c r="H333" s="12" t="n">
        <x:v>6</x:v>
      </x:c>
      <x:c r="I333" s="12" t="str">
        <x:v>TuShare index_daily</x:v>
      </x:c>
      <x:c r="J333" s="12" t="str">
        <x:v>Archived FRED mirror (Hugging Face)</x:v>
      </x:c>
    </x:row>
    <x:row r="334" ht="18" customHeight="1">
      <x:c r="A334" s="13" t="n">
        <x:v>43076</x:v>
      </x:c>
      <x:c r="B334" s="12" t="n">
        <x:v>3971.0569</x:v>
      </x:c>
      <x:c r="C334" s="12" t="n">
        <x:v>4015.8211</x:v>
      </x:c>
      <x:c r="D334" s="12" t="n">
        <x:v>-1.1147</x:v>
      </x:c>
      <x:c r="E334" s="12" t="n">
        <x:v>-0.011209553653571425</x:v>
      </x:c>
      <x:c r="F334" s="12" t="n">
        <x:v>3.63</x:v>
      </x:c>
      <x:c r="G334" s="12" t="n">
        <x:v>363</x:v>
      </x:c>
      <x:c r="H334" s="12" t="n">
        <x:v>0</x:v>
      </x:c>
      <x:c r="I334" s="12" t="str">
        <x:v>TuShare index_daily</x:v>
      </x:c>
      <x:c r="J334" s="12" t="str">
        <x:v>Archived FRED mirror (Hugging Face)</x:v>
      </x:c>
    </x:row>
    <x:row r="335" ht="18" customHeight="1">
      <x:c r="A335" s="13" t="n">
        <x:v>43077</x:v>
      </x:c>
      <x:c r="B335" s="12" t="n">
        <x:v>4003.3792</x:v>
      </x:c>
      <x:c r="C335" s="12" t="n">
        <x:v>3971.0569</x:v>
      </x:c>
      <x:c r="D335" s="12" t="n">
        <x:v>0.8139</x:v>
      </x:c>
      <x:c r="E335" s="12" t="n">
        <x:v>0.008106523546348764</x:v>
      </x:c>
      <x:c r="F335" s="12" t="n">
        <x:v>3.63</x:v>
      </x:c>
      <x:c r="G335" s="12" t="n">
        <x:v>363</x:v>
      </x:c>
      <x:c r="H335" s="12" t="n">
        <x:v>0</x:v>
      </x:c>
      <x:c r="I335" s="12" t="str">
        <x:v>TuShare index_daily</x:v>
      </x:c>
      <x:c r="J335" s="12" t="str">
        <x:v>Archived FRED mirror (Hugging Face)</x:v>
      </x:c>
    </x:row>
    <x:row r="336" ht="18" customHeight="1">
      <x:c r="A336" s="13" t="n">
        <x:v>43080</x:v>
      </x:c>
      <x:c r="B336" s="12" t="n">
        <x:v>4069.4997</x:v>
      </x:c>
      <x:c r="C336" s="12" t="n">
        <x:v>4003.3792</x:v>
      </x:c>
      <x:c r="D336" s="12" t="n">
        <x:v>1.6516</x:v>
      </x:c>
      <x:c r="E336" s="12" t="n">
        <x:v>0.016381263588608606</x:v>
      </x:c>
      <x:c r="F336" s="12" t="n">
        <x:v>3.61</x:v>
      </x:c>
      <x:c r="G336" s="12" t="n">
        <x:v>361</x:v>
      </x:c>
      <x:c r="H336" s="12" t="n">
        <x:v>-2</x:v>
      </x:c>
      <x:c r="I336" s="12" t="str">
        <x:v>TuShare index_daily</x:v>
      </x:c>
      <x:c r="J336" s="12" t="str">
        <x:v>Archived FRED mirror (Hugging Face)</x:v>
      </x:c>
    </x:row>
    <x:row r="337" ht="18" customHeight="1">
      <x:c r="A337" s="13" t="n">
        <x:v>43081</x:v>
      </x:c>
      <x:c r="B337" s="12" t="n">
        <x:v>4016.0163</x:v>
      </x:c>
      <x:c r="C337" s="12" t="n">
        <x:v>4069.4997</x:v>
      </x:c>
      <x:c r="D337" s="12" t="n">
        <x:v>-1.3143</x:v>
      </x:c>
      <x:c r="E337" s="12" t="n">
        <x:v>-0.013229626919694766</x:v>
      </x:c>
      <x:c r="F337" s="12" t="n">
        <x:v>3.58</x:v>
      </x:c>
      <x:c r="G337" s="12" t="n">
        <x:v>358</x:v>
      </x:c>
      <x:c r="H337" s="12" t="n">
        <x:v>-3</x:v>
      </x:c>
      <x:c r="I337" s="12" t="str">
        <x:v>TuShare index_daily</x:v>
      </x:c>
      <x:c r="J337" s="12" t="str">
        <x:v>Archived FRED mirror (Hugging Face)</x:v>
      </x:c>
    </x:row>
    <x:row r="338" ht="18" customHeight="1">
      <x:c r="A338" s="13" t="n">
        <x:v>43082</x:v>
      </x:c>
      <x:c r="B338" s="12" t="n">
        <x:v>4050.0927</x:v>
      </x:c>
      <x:c r="C338" s="12" t="n">
        <x:v>4016.0163</x:v>
      </x:c>
      <x:c r="D338" s="12" t="n">
        <x:v>0.8485</x:v>
      </x:c>
      <x:c r="E338" s="12" t="n">
        <x:v>0.008449328599258595</x:v>
      </x:c>
      <x:c r="F338" s="12" t="n">
        <x:v>3.64</x:v>
      </x:c>
      <x:c r="G338" s="12" t="n">
        <x:v>364</x:v>
      </x:c>
      <x:c r="H338" s="12" t="n">
        <x:v>6</x:v>
      </x:c>
      <x:c r="I338" s="12" t="str">
        <x:v>TuShare index_daily</x:v>
      </x:c>
      <x:c r="J338" s="12" t="str">
        <x:v>Archived FRED mirror (Hugging Face)</x:v>
      </x:c>
    </x:row>
    <x:row r="339" ht="18" customHeight="1">
      <x:c r="A339" s="13" t="n">
        <x:v>43083</x:v>
      </x:c>
      <x:c r="B339" s="12" t="n">
        <x:v>4026.1516</x:v>
      </x:c>
      <x:c r="C339" s="12" t="n">
        <x:v>4050.0927</x:v>
      </x:c>
      <x:c r="D339" s="12" t="n">
        <x:v>-0.5911</x:v>
      </x:c>
      <x:c r="E339" s="12" t="n">
        <x:v>-0.005928787995797188</x:v>
      </x:c>
      <x:c r="F339" s="12" t="n">
        <x:v>3.63</x:v>
      </x:c>
      <x:c r="G339" s="12" t="n">
        <x:v>363</x:v>
      </x:c>
      <x:c r="H339" s="12" t="n">
        <x:v>-1</x:v>
      </x:c>
      <x:c r="I339" s="12" t="str">
        <x:v>TuShare index_daily</x:v>
      </x:c>
      <x:c r="J339" s="12" t="str">
        <x:v>Archived FRED mirror (Hugging Face)</x:v>
      </x:c>
    </x:row>
    <x:row r="340" ht="18" customHeight="1">
      <x:c r="A340" s="13" t="n">
        <x:v>43084</x:v>
      </x:c>
      <x:c r="B340" s="12" t="n">
        <x:v>3980.8558</x:v>
      </x:c>
      <x:c r="C340" s="12" t="n">
        <x:v>4026.1516</x:v>
      </x:c>
      <x:c r="D340" s="12" t="n">
        <x:v>-1.125</x:v>
      </x:c>
      <x:c r="E340" s="12" t="n">
        <x:v>-0.011314160442207443</x:v>
      </x:c>
      <x:c r="F340" s="12" t="n">
        <x:v>3.64</x:v>
      </x:c>
      <x:c r="G340" s="12" t="n">
        <x:v>364</x:v>
      </x:c>
      <x:c r="H340" s="12" t="n">
        <x:v>1</x:v>
      </x:c>
      <x:c r="I340" s="12" t="str">
        <x:v>TuShare index_daily</x:v>
      </x:c>
      <x:c r="J340" s="12" t="str">
        <x:v>Archived FRED mirror (Hugging Face)</x:v>
      </x:c>
    </x:row>
    <x:row r="341" ht="18" customHeight="1">
      <x:c r="A341" s="13" t="n">
        <x:v>43087</x:v>
      </x:c>
      <x:c r="B341" s="12" t="n">
        <x:v>3985.2914</x:v>
      </x:c>
      <x:c r="C341" s="12" t="n">
        <x:v>3980.8558</x:v>
      </x:c>
      <x:c r="D341" s="12" t="n">
        <x:v>0.1114</x:v>
      </x:c>
      <x:c r="E341" s="12" t="n">
        <x:v>0.001113612477157036</x:v>
      </x:c>
      <x:c r="F341" s="12" t="n">
        <x:v>3.64</x:v>
      </x:c>
      <x:c r="G341" s="12" t="n">
        <x:v>364</x:v>
      </x:c>
      <x:c r="H341" s="12" t="n">
        <x:v>0</x:v>
      </x:c>
      <x:c r="I341" s="12" t="str">
        <x:v>TuShare index_daily</x:v>
      </x:c>
      <x:c r="J341" s="12" t="str">
        <x:v>Archived FRED mirror (Hugging Face)</x:v>
      </x:c>
    </x:row>
    <x:row r="342" ht="18" customHeight="1">
      <x:c r="A342" s="13" t="n">
        <x:v>43088</x:v>
      </x:c>
      <x:c r="B342" s="12" t="n">
        <x:v>4035.3294</x:v>
      </x:c>
      <x:c r="C342" s="12" t="n">
        <x:v>3985.2914</x:v>
      </x:c>
      <x:c r="D342" s="12" t="n">
        <x:v>1.2556</x:v>
      </x:c>
      <x:c r="E342" s="12" t="n">
        <x:v>0.012477500293090553</x:v>
      </x:c>
      <x:c r="F342" s="12" t="n">
        <x:v>3.6</x:v>
      </x:c>
      <x:c r="G342" s="12" t="n">
        <x:v>360</x:v>
      </x:c>
      <x:c r="H342" s="12" t="n">
        <x:v>-4</x:v>
      </x:c>
      <x:c r="I342" s="12" t="str">
        <x:v>TuShare index_daily</x:v>
      </x:c>
      <x:c r="J342" s="12" t="str">
        <x:v>Archived FRED mirror (Hugging Face)</x:v>
      </x:c>
    </x:row>
    <x:row r="343" ht="18" customHeight="1">
      <x:c r="A343" s="13" t="n">
        <x:v>43089</x:v>
      </x:c>
      <x:c r="B343" s="12" t="n">
        <x:v>4030.4898</x:v>
      </x:c>
      <x:c r="C343" s="12" t="n">
        <x:v>4035.3294</x:v>
      </x:c>
      <x:c r="D343" s="12" t="n">
        <x:v>-0.1199</x:v>
      </x:c>
      <x:c r="E343" s="12" t="n">
        <x:v>-0.0012000270427034853</x:v>
      </x:c>
      <x:c r="F343" s="12" t="n">
        <x:v>3.58</x:v>
      </x:c>
      <x:c r="G343" s="12" t="n">
        <x:v>358</x:v>
      </x:c>
      <x:c r="H343" s="12" t="n">
        <x:v>-2</x:v>
      </x:c>
      <x:c r="I343" s="12" t="str">
        <x:v>TuShare index_daily</x:v>
      </x:c>
      <x:c r="J343" s="12" t="str">
        <x:v>Archived FRED mirror (Hugging Face)</x:v>
      </x:c>
    </x:row>
    <x:row r="344" ht="18" customHeight="1">
      <x:c r="A344" s="13" t="n">
        <x:v>43090</x:v>
      </x:c>
      <x:c r="B344" s="12" t="n">
        <x:v>4067.8485</x:v>
      </x:c>
      <x:c r="C344" s="12" t="n">
        <x:v>4030.4898</x:v>
      </x:c>
      <x:c r="D344" s="12" t="n">
        <x:v>0.9269</x:v>
      </x:c>
      <x:c r="E344" s="12" t="n">
        <x:v>0.009226328569982019</x:v>
      </x:c>
      <x:c r="F344" s="12" t="n">
        <x:v>3.57</x:v>
      </x:c>
      <x:c r="G344" s="12" t="n">
        <x:v>357</x:v>
      </x:c>
      <x:c r="H344" s="12" t="n">
        <x:v>-1</x:v>
      </x:c>
      <x:c r="I344" s="12" t="str">
        <x:v>TuShare index_daily</x:v>
      </x:c>
      <x:c r="J344" s="12" t="str">
        <x:v>Archived FRED mirror (Hugging Face)</x:v>
      </x:c>
    </x:row>
    <x:row r="345" ht="18" customHeight="1">
      <x:c r="A345" s="13" t="n">
        <x:v>43091</x:v>
      </x:c>
      <x:c r="B345" s="12" t="n">
        <x:v>4054.5984</x:v>
      </x:c>
      <x:c r="C345" s="12" t="n">
        <x:v>4067.8485</x:v>
      </x:c>
      <x:c r="D345" s="12" t="n">
        <x:v>-0.3257</x:v>
      </x:c>
      <x:c r="E345" s="12" t="n">
        <x:v>-0.003262591166558445</x:v>
      </x:c>
      <x:c r="F345" s="12" t="n">
        <x:v>3.56</x:v>
      </x:c>
      <x:c r="G345" s="12" t="n">
        <x:v>356</x:v>
      </x:c>
      <x:c r="H345" s="12" t="n">
        <x:v>-1</x:v>
      </x:c>
      <x:c r="I345" s="12" t="str">
        <x:v>TuShare index_daily</x:v>
      </x:c>
      <x:c r="J345" s="12" t="str">
        <x:v>Archived FRED mirror (Hugging Face)</x:v>
      </x:c>
    </x:row>
    <x:row r="346" ht="18" customHeight="1">
      <x:c r="A346" s="13" t="n">
        <x:v>43095</x:v>
      </x:c>
      <x:c r="B346" s="12" t="n">
        <x:v>4053.6224</x:v>
      </x:c>
      <x:c r="C346" s="12" t="n">
        <x:v>4041.5401</x:v>
      </x:c>
      <x:c r="D346" s="12" t="n">
        <x:v>0.299</x:v>
      </x:c>
      <x:c r="E346" s="12" t="n">
        <x:v>0.0029850689153547018</x:v>
      </x:c>
      <x:c r="F346" s="12" t="n">
        <x:v>3.57</x:v>
      </x:c>
      <x:c r="G346" s="12" t="n">
        <x:v>357</x:v>
      </x:c>
      <x:c r="H346" s="12" t="n">
        <x:v>1</x:v>
      </x:c>
      <x:c r="I346" s="12" t="str">
        <x:v>TuShare index_daily</x:v>
      </x:c>
      <x:c r="J346" s="12" t="str">
        <x:v>Archived FRED mirror (Hugging Face)</x:v>
      </x:c>
    </x:row>
    <x:row r="347" ht="18" customHeight="1">
      <x:c r="A347" s="13" t="n">
        <x:v>43096</x:v>
      </x:c>
      <x:c r="B347" s="12" t="n">
        <x:v>3991.2075</x:v>
      </x:c>
      <x:c r="C347" s="12" t="n">
        <x:v>4053.6224</x:v>
      </x:c>
      <x:c r="D347" s="12" t="n">
        <x:v>-1.5397</x:v>
      </x:c>
      <x:c r="E347" s="12" t="n">
        <x:v>-0.01551708441951503</x:v>
      </x:c>
      <x:c r="F347" s="12" t="n">
        <x:v>3.59</x:v>
      </x:c>
      <x:c r="G347" s="12" t="n">
        <x:v>359</x:v>
      </x:c>
      <x:c r="H347" s="12" t="n">
        <x:v>2</x:v>
      </x:c>
      <x:c r="I347" s="12" t="str">
        <x:v>TuShare index_daily</x:v>
      </x:c>
      <x:c r="J347" s="12" t="str">
        <x:v>Archived FRED mirror (Hugging Face)</x:v>
      </x:c>
    </x:row>
    <x:row r="348" ht="18" customHeight="1">
      <x:c r="A348" s="13" t="n">
        <x:v>43097</x:v>
      </x:c>
      <x:c r="B348" s="12" t="n">
        <x:v>4018.8974</x:v>
      </x:c>
      <x:c r="C348" s="12" t="n">
        <x:v>3991.2075</x:v>
      </x:c>
      <x:c r="D348" s="12" t="n">
        <x:v>0.6938</x:v>
      </x:c>
      <x:c r="E348" s="12" t="n">
        <x:v>0.00691376970568803</x:v>
      </x:c>
      <x:c r="F348" s="12" t="n">
        <x:v>3.55</x:v>
      </x:c>
      <x:c r="G348" s="12" t="n">
        <x:v>355</x:v>
      </x:c>
      <x:c r="H348" s="12" t="n">
        <x:v>-4</x:v>
      </x:c>
      <x:c r="I348" s="12" t="str">
        <x:v>TuShare index_daily</x:v>
      </x:c>
      <x:c r="J348" s="12" t="str">
        <x:v>Archived FRED mirror (Hugging Face)</x:v>
      </x:c>
    </x:row>
    <x:row r="349" ht="18" customHeight="1">
      <x:c r="A349" s="13" t="n">
        <x:v>43098</x:v>
      </x:c>
      <x:c r="B349" s="12" t="n">
        <x:v>4030.8549</x:v>
      </x:c>
      <x:c r="C349" s="12" t="n">
        <x:v>4018.8974</x:v>
      </x:c>
      <x:c r="D349" s="12" t="n">
        <x:v>0.2975</x:v>
      </x:c>
      <x:c r="E349" s="12" t="n">
        <x:v>0.002970901053686374</x:v>
      </x:c>
      <x:c r="F349" s="12" t="n">
        <x:v>3.58</x:v>
      </x:c>
      <x:c r="G349" s="12" t="n">
        <x:v>358</x:v>
      </x:c>
      <x:c r="H349" s="12" t="n">
        <x:v>3</x:v>
      </x:c>
      <x:c r="I349" s="12" t="str">
        <x:v>TuShare index_daily</x:v>
      </x:c>
      <x:c r="J349" s="12" t="str">
        <x:v>Archived FRED mirror (Hugging Face)</x:v>
      </x:c>
    </x:row>
    <x:row r="350" ht="18" customHeight="1">
      <x:c r="A350" s="13" t="n">
        <x:v>43102</x:v>
      </x:c>
      <x:c r="B350" s="12" t="n">
        <x:v>4087.4012</x:v>
      </x:c>
      <x:c r="C350" s="12" t="n">
        <x:v>4030.8549</x:v>
      </x:c>
      <x:c r="D350" s="12" t="n">
        <x:v>1.4028</x:v>
      </x:c>
      <x:c r="E350" s="12" t="n">
        <x:v>0.013930877221025127</x:v>
      </x:c>
      <x:c r="F350" s="12" t="n">
        <x:v>3.55</x:v>
      </x:c>
      <x:c r="G350" s="12" t="n">
        <x:v>355</x:v>
      </x:c>
      <x:c r="H350" s="12" t="n">
        <x:v>-8</x:v>
      </x:c>
      <x:c r="I350" s="12" t="str">
        <x:v>TuShare index_daily</x:v>
      </x:c>
      <x:c r="J350" s="12" t="str">
        <x:v>Archived FRED mirror (Hugging Face)</x:v>
      </x:c>
    </x:row>
    <x:row r="351" ht="18" customHeight="1">
      <x:c r="A351" s="13" t="n">
        <x:v>43103</x:v>
      </x:c>
      <x:c r="B351" s="12" t="n">
        <x:v>4111.3925</x:v>
      </x:c>
      <x:c r="C351" s="12" t="n">
        <x:v>4087.4012</x:v>
      </x:c>
      <x:c r="D351" s="12" t="n">
        <x:v>0.587</x:v>
      </x:c>
      <x:c r="E351" s="12" t="n">
        <x:v>0.005852414234214498</x:v>
      </x:c>
      <x:c r="F351" s="12" t="n">
        <x:v>3.48</x:v>
      </x:c>
      <x:c r="G351" s="12" t="n">
        <x:v>348</x:v>
      </x:c>
      <x:c r="H351" s="12" t="n">
        <x:v>-7</x:v>
      </x:c>
      <x:c r="I351" s="12" t="str">
        <x:v>TuShare index_daily</x:v>
      </x:c>
      <x:c r="J351" s="12" t="str">
        <x:v>Archived FRED mirror (Hugging Face)</x:v>
      </x:c>
    </x:row>
    <x:row r="352" ht="18" customHeight="1">
      <x:c r="A352" s="13" t="n">
        <x:v>43104</x:v>
      </x:c>
      <x:c r="B352" s="12" t="n">
        <x:v>4128.8119</x:v>
      </x:c>
      <x:c r="C352" s="12" t="n">
        <x:v>4111.3925</x:v>
      </x:c>
      <x:c r="D352" s="12" t="n">
        <x:v>0.4237</x:v>
      </x:c>
      <x:c r="E352" s="12" t="n">
        <x:v>0.004227911129966085</x:v>
      </x:c>
      <x:c r="F352" s="12" t="n">
        <x:v>3.4</x:v>
      </x:c>
      <x:c r="G352" s="12" t="n">
        <x:v>340</x:v>
      </x:c>
      <x:c r="H352" s="12" t="n">
        <x:v>-8</x:v>
      </x:c>
      <x:c r="I352" s="12" t="str">
        <x:v>TuShare index_daily</x:v>
      </x:c>
      <x:c r="J352" s="12" t="str">
        <x:v>Archived FRED mirror (Hugging Face)</x:v>
      </x:c>
    </x:row>
    <x:row r="353" ht="18" customHeight="1">
      <x:c r="A353" s="13" t="n">
        <x:v>43105</x:v>
      </x:c>
      <x:c r="B353" s="12" t="n">
        <x:v>4138.7505</x:v>
      </x:c>
      <x:c r="C353" s="12" t="n">
        <x:v>4128.8119</x:v>
      </x:c>
      <x:c r="D353" s="12" t="n">
        <x:v>0.2407</x:v>
      </x:c>
      <x:c r="E353" s="12" t="n">
        <x:v>0.0024042406471347275</x:v>
      </x:c>
      <x:c r="F353" s="12" t="n">
        <x:v>3.36</x:v>
      </x:c>
      <x:c r="G353" s="12" t="n">
        <x:v>336</x:v>
      </x:c>
      <x:c r="H353" s="12" t="n">
        <x:v>-4</x:v>
      </x:c>
      <x:c r="I353" s="12" t="str">
        <x:v>TuShare index_daily</x:v>
      </x:c>
      <x:c r="J353" s="12" t="str">
        <x:v>Archived FRED mirror (Hugging Face)</x:v>
      </x:c>
    </x:row>
    <x:row r="354" ht="18" customHeight="1">
      <x:c r="A354" s="13" t="n">
        <x:v>43108</x:v>
      </x:c>
      <x:c r="B354" s="12" t="n">
        <x:v>4160.1595</x:v>
      </x:c>
      <x:c r="C354" s="12" t="n">
        <x:v>4138.7505</x:v>
      </x:c>
      <x:c r="D354" s="12" t="n">
        <x:v>0.5173</x:v>
      </x:c>
      <x:c r="E354" s="12" t="n">
        <x:v>0.0051594841955802774</x:v>
      </x:c>
      <x:c r="F354" s="12" t="n">
        <x:v>3.35</x:v>
      </x:c>
      <x:c r="G354" s="12" t="n">
        <x:v>335</x:v>
      </x:c>
      <x:c r="H354" s="12" t="n">
        <x:v>-1</x:v>
      </x:c>
      <x:c r="I354" s="12" t="str">
        <x:v>TuShare index_daily</x:v>
      </x:c>
      <x:c r="J354" s="12" t="str">
        <x:v>Archived FRED mirror (Hugging Face)</x:v>
      </x:c>
    </x:row>
    <x:row r="355" ht="18" customHeight="1">
      <x:c r="A355" s="13" t="n">
        <x:v>43109</x:v>
      </x:c>
      <x:c r="B355" s="12" t="n">
        <x:v>4189.2977</x:v>
      </x:c>
      <x:c r="C355" s="12" t="n">
        <x:v>4160.1595</x:v>
      </x:c>
      <x:c r="D355" s="12" t="n">
        <x:v>0.7004</x:v>
      </x:c>
      <x:c r="E355" s="12" t="n">
        <x:v>0.006979691635886268</x:v>
      </x:c>
      <x:c r="F355" s="12" t="n">
        <x:v>3.33</x:v>
      </x:c>
      <x:c r="G355" s="12" t="n">
        <x:v>333</x:v>
      </x:c>
      <x:c r="H355" s="12" t="n">
        <x:v>-2</x:v>
      </x:c>
      <x:c r="I355" s="12" t="str">
        <x:v>TuShare index_daily</x:v>
      </x:c>
      <x:c r="J355" s="12" t="str">
        <x:v>Archived FRED mirror (Hugging Face)</x:v>
      </x:c>
    </x:row>
    <x:row r="356" ht="18" customHeight="1">
      <x:c r="A356" s="13" t="n">
        <x:v>43110</x:v>
      </x:c>
      <x:c r="B356" s="12" t="n">
        <x:v>4207.8132</x:v>
      </x:c>
      <x:c r="C356" s="12" t="n">
        <x:v>4189.2977</x:v>
      </x:c>
      <x:c r="D356" s="12" t="n">
        <x:v>0.442</x:v>
      </x:c>
      <x:c r="E356" s="12" t="n">
        <x:v>0.004409976294888542</x:v>
      </x:c>
      <x:c r="F356" s="12" t="n">
        <x:v>3.42</x:v>
      </x:c>
      <x:c r="G356" s="12" t="n">
        <x:v>342</x:v>
      </x:c>
      <x:c r="H356" s="12" t="n">
        <x:v>9</x:v>
      </x:c>
      <x:c r="I356" s="12" t="str">
        <x:v>TuShare index_daily</x:v>
      </x:c>
      <x:c r="J356" s="12" t="str">
        <x:v>Archived FRED mirror (Hugging Face)</x:v>
      </x:c>
    </x:row>
    <x:row r="357" ht="18" customHeight="1">
      <x:c r="A357" s="13" t="n">
        <x:v>43111</x:v>
      </x:c>
      <x:c r="B357" s="12" t="n">
        <x:v>4205.5863</x:v>
      </x:c>
      <x:c r="C357" s="12" t="n">
        <x:v>4207.8132</x:v>
      </x:c>
      <x:c r="D357" s="12" t="n">
        <x:v>-0.0529</x:v>
      </x:c>
      <x:c r="E357" s="12" t="n">
        <x:v>-0.000529369858641328</x:v>
      </x:c>
      <x:c r="F357" s="12" t="n">
        <x:v>3.4</x:v>
      </x:c>
      <x:c r="G357" s="12" t="n">
        <x:v>340</x:v>
      </x:c>
      <x:c r="H357" s="12" t="n">
        <x:v>-2</x:v>
      </x:c>
      <x:c r="I357" s="12" t="str">
        <x:v>TuShare index_daily</x:v>
      </x:c>
      <x:c r="J357" s="12" t="str">
        <x:v>Archived FRED mirror (Hugging Face)</x:v>
      </x:c>
    </x:row>
    <x:row r="358" ht="18" customHeight="1">
      <x:c r="A358" s="13" t="n">
        <x:v>43112</x:v>
      </x:c>
      <x:c r="B358" s="12" t="n">
        <x:v>4225.001</x:v>
      </x:c>
      <x:c r="C358" s="12" t="n">
        <x:v>4205.5863</x:v>
      </x:c>
      <x:c r="D358" s="12" t="n">
        <x:v>0.4616</x:v>
      </x:c>
      <x:c r="E358" s="12" t="n">
        <x:v>0.004605784539051153</x:v>
      </x:c>
      <x:c r="F358" s="12" t="n">
        <x:v>3.37</x:v>
      </x:c>
      <x:c r="G358" s="12" t="n">
        <x:v>337</x:v>
      </x:c>
      <x:c r="H358" s="12" t="n">
        <x:v>-3</x:v>
      </x:c>
      <x:c r="I358" s="12" t="str">
        <x:v>TuShare index_daily</x:v>
      </x:c>
      <x:c r="J358" s="12" t="str">
        <x:v>Archived FRED mirror (Hugging Face)</x:v>
      </x:c>
    </x:row>
    <x:row r="359" ht="18" customHeight="1">
      <x:c r="A359" s="13" t="n">
        <x:v>43115</x:v>
      </x:c>
      <x:c r="B359" s="12" t="n">
        <x:v>4225.2393</x:v>
      </x:c>
      <x:c r="C359" s="12" t="n">
        <x:v>4225.001</x:v>
      </x:c>
      <x:c r="D359" s="12" t="n">
        <x:v>0.0056</x:v>
      </x:c>
      <x:c r="E359" s="12" t="n">
        <x:v>0.00005640076296140589</x:v>
      </x:c>
      <x:c r="F359" s="12" t="n">
        <x:v>3.35</x:v>
      </x:c>
      <x:c r="G359" s="12" t="n">
        <x:v>335</x:v>
      </x:c>
      <x:c r="H359" s="12" t="n">
        <x:v>-2</x:v>
      </x:c>
      <x:c r="I359" s="12" t="str">
        <x:v>TuShare index_daily</x:v>
      </x:c>
      <x:c r="J359" s="12" t="str">
        <x:v>Archived FRED mirror (Hugging Face)</x:v>
      </x:c>
    </x:row>
    <x:row r="360" ht="18" customHeight="1">
      <x:c r="A360" s="13" t="n">
        <x:v>43116</x:v>
      </x:c>
      <x:c r="B360" s="12" t="n">
        <x:v>4258.473</x:v>
      </x:c>
      <x:c r="C360" s="12" t="n">
        <x:v>4225.2393</x:v>
      </x:c>
      <x:c r="D360" s="12" t="n">
        <x:v>0.7866</x:v>
      </x:c>
      <x:c r="E360" s="12" t="n">
        <x:v>0.0078347470597828</x:v>
      </x:c>
      <x:c r="F360" s="12" t="n">
        <x:v>3.34</x:v>
      </x:c>
      <x:c r="G360" s="12" t="n">
        <x:v>334</x:v>
      </x:c>
      <x:c r="H360" s="12" t="n">
        <x:v>-1</x:v>
      </x:c>
      <x:c r="I360" s="12" t="str">
        <x:v>TuShare index_daily</x:v>
      </x:c>
      <x:c r="J360" s="12" t="str">
        <x:v>Archived FRED mirror (Hugging Face)</x:v>
      </x:c>
    </x:row>
    <x:row r="361" ht="18" customHeight="1">
      <x:c r="A361" s="13" t="n">
        <x:v>43117</x:v>
      </x:c>
      <x:c r="B361" s="12" t="n">
        <x:v>4248.1164</x:v>
      </x:c>
      <x:c r="C361" s="12" t="n">
        <x:v>4258.473</x:v>
      </x:c>
      <x:c r="D361" s="12" t="n">
        <x:v>-0.2432</x:v>
      </x:c>
      <x:c r="E361" s="12" t="n">
        <x:v>-0.002434960624066686</x:v>
      </x:c>
      <x:c r="F361" s="12" t="n">
        <x:v>3.34</x:v>
      </x:c>
      <x:c r="G361" s="12" t="n">
        <x:v>334</x:v>
      </x:c>
      <x:c r="H361" s="12" t="n">
        <x:v>0</x:v>
      </x:c>
      <x:c r="I361" s="12" t="str">
        <x:v>TuShare index_daily</x:v>
      </x:c>
      <x:c r="J361" s="12" t="str">
        <x:v>Archived FRED mirror (Hugging Face)</x:v>
      </x:c>
    </x:row>
    <x:row r="362" ht="18" customHeight="1">
      <x:c r="A362" s="13" t="n">
        <x:v>43118</x:v>
      </x:c>
      <x:c r="B362" s="12" t="n">
        <x:v>4271.4168</x:v>
      </x:c>
      <x:c r="C362" s="12" t="n">
        <x:v>4248.1164</x:v>
      </x:c>
      <x:c r="D362" s="12" t="n">
        <x:v>0.5485</x:v>
      </x:c>
      <x:c r="E362" s="12" t="n">
        <x:v>0.0054698907905102205</x:v>
      </x:c>
      <x:c r="F362" s="12" t="n">
        <x:v>3.35</x:v>
      </x:c>
      <x:c r="G362" s="12" t="n">
        <x:v>335</x:v>
      </x:c>
      <x:c r="H362" s="12" t="n">
        <x:v>1</x:v>
      </x:c>
      <x:c r="I362" s="12" t="str">
        <x:v>TuShare index_daily</x:v>
      </x:c>
      <x:c r="J362" s="12" t="str">
        <x:v>Archived FRED mirror (Hugging Face)</x:v>
      </x:c>
    </x:row>
    <x:row r="363" ht="18" customHeight="1">
      <x:c r="A363" s="13" t="n">
        <x:v>43119</x:v>
      </x:c>
      <x:c r="B363" s="12" t="n">
        <x:v>4285.395</x:v>
      </x:c>
      <x:c r="C363" s="12" t="n">
        <x:v>4271.4168</x:v>
      </x:c>
      <x:c r="D363" s="12" t="n">
        <x:v>0.3272</x:v>
      </x:c>
      <x:c r="E363" s="12" t="n">
        <x:v>0.003267154346892089</x:v>
      </x:c>
      <x:c r="F363" s="12" t="n">
        <x:v>3.35</x:v>
      </x:c>
      <x:c r="G363" s="12" t="n">
        <x:v>335</x:v>
      </x:c>
      <x:c r="H363" s="12" t="n">
        <x:v>0</x:v>
      </x:c>
      <x:c r="I363" s="12" t="str">
        <x:v>TuShare index_daily</x:v>
      </x:c>
      <x:c r="J363" s="12" t="str">
        <x:v>Archived FRED mirror (Hugging Face)</x:v>
      </x:c>
    </x:row>
    <x:row r="364" ht="18" customHeight="1">
      <x:c r="A364" s="13" t="n">
        <x:v>43122</x:v>
      </x:c>
      <x:c r="B364" s="12" t="n">
        <x:v>4336.5974</x:v>
      </x:c>
      <x:c r="C364" s="12" t="n">
        <x:v>4285.395</x:v>
      </x:c>
      <x:c r="D364" s="12" t="n">
        <x:v>1.1948</x:v>
      </x:c>
      <x:c r="E364" s="12" t="n">
        <x:v>0.011877301568188106</x:v>
      </x:c>
      <x:c r="F364" s="12" t="n">
        <x:v>3.32</x:v>
      </x:c>
      <x:c r="G364" s="12" t="n">
        <x:v>332</x:v>
      </x:c>
      <x:c r="H364" s="12" t="n">
        <x:v>-3</x:v>
      </x:c>
      <x:c r="I364" s="12" t="str">
        <x:v>TuShare index_daily</x:v>
      </x:c>
      <x:c r="J364" s="12" t="str">
        <x:v>Archived FRED mirror (Hugging Face)</x:v>
      </x:c>
    </x:row>
    <x:row r="365" ht="18" customHeight="1">
      <x:c r="A365" s="13" t="n">
        <x:v>43123</x:v>
      </x:c>
      <x:c r="B365" s="12" t="n">
        <x:v>4382.6129</x:v>
      </x:c>
      <x:c r="C365" s="12" t="n">
        <x:v>4336.5974</x:v>
      </x:c>
      <x:c r="D365" s="12" t="n">
        <x:v>1.0611</x:v>
      </x:c>
      <x:c r="E365" s="12" t="n">
        <x:v>0.010555067633287804</x:v>
      </x:c>
      <x:c r="F365" s="12" t="n">
        <x:v>3.31</x:v>
      </x:c>
      <x:c r="G365" s="12" t="n">
        <x:v>331</x:v>
      </x:c>
      <x:c r="H365" s="12" t="n">
        <x:v>-1</x:v>
      </x:c>
      <x:c r="I365" s="12" t="str">
        <x:v>TuShare index_daily</x:v>
      </x:c>
      <x:c r="J365" s="12" t="str">
        <x:v>Archived FRED mirror (Hugging Face)</x:v>
      </x:c>
    </x:row>
    <x:row r="366" ht="18" customHeight="1">
      <x:c r="A366" s="13" t="n">
        <x:v>43124</x:v>
      </x:c>
      <x:c r="B366" s="12" t="n">
        <x:v>4389.8853</x:v>
      </x:c>
      <x:c r="C366" s="12" t="n">
        <x:v>4382.6129</x:v>
      </x:c>
      <x:c r="D366" s="12" t="n">
        <x:v>0.1659</x:v>
      </x:c>
      <x:c r="E366" s="12" t="n">
        <x:v>0.0016580001500516833</x:v>
      </x:c>
      <x:c r="F366" s="12" t="n">
        <x:v>3.28</x:v>
      </x:c>
      <x:c r="G366" s="12" t="n">
        <x:v>328</x:v>
      </x:c>
      <x:c r="H366" s="12" t="n">
        <x:v>-3</x:v>
      </x:c>
      <x:c r="I366" s="12" t="str">
        <x:v>TuShare index_daily</x:v>
      </x:c>
      <x:c r="J366" s="12" t="str">
        <x:v>Archived FRED mirror (Hugging Face)</x:v>
      </x:c>
    </x:row>
    <x:row r="367" ht="18" customHeight="1">
      <x:c r="A367" s="13" t="n">
        <x:v>43125</x:v>
      </x:c>
      <x:c r="B367" s="12" t="n">
        <x:v>4365.0794</x:v>
      </x:c>
      <x:c r="C367" s="12" t="n">
        <x:v>4389.8853</x:v>
      </x:c>
      <x:c r="D367" s="12" t="n">
        <x:v>-0.5651</x:v>
      </x:c>
      <x:c r="E367" s="12" t="n">
        <x:v>-0.005666719908068406</x:v>
      </x:c>
      <x:c r="F367" s="12" t="n">
        <x:v>3.28</x:v>
      </x:c>
      <x:c r="G367" s="12" t="n">
        <x:v>328</x:v>
      </x:c>
      <x:c r="H367" s="12" t="n">
        <x:v>0</x:v>
      </x:c>
      <x:c r="I367" s="12" t="str">
        <x:v>TuShare index_daily</x:v>
      </x:c>
      <x:c r="J367" s="12" t="str">
        <x:v>Archived FRED mirror (Hugging Face)</x:v>
      </x:c>
    </x:row>
    <x:row r="368" ht="18" customHeight="1">
      <x:c r="A368" s="13" t="n">
        <x:v>43126</x:v>
      </x:c>
      <x:c r="B368" s="12" t="n">
        <x:v>4381.2996</x:v>
      </x:c>
      <x:c r="C368" s="12" t="n">
        <x:v>4365.0794</x:v>
      </x:c>
      <x:c r="D368" s="12" t="n">
        <x:v>0.3716</x:v>
      </x:c>
      <x:c r="E368" s="12" t="n">
        <x:v>0.003709013431685871</x:v>
      </x:c>
      <x:c r="F368" s="12" t="n">
        <x:v>3.23</x:v>
      </x:c>
      <x:c r="G368" s="12" t="n">
        <x:v>323</x:v>
      </x:c>
      <x:c r="H368" s="12" t="n">
        <x:v>-5</x:v>
      </x:c>
      <x:c r="I368" s="12" t="str">
        <x:v>TuShare index_daily</x:v>
      </x:c>
      <x:c r="J368" s="12" t="str">
        <x:v>Archived FRED mirror (Hugging Face)</x:v>
      </x:c>
    </x:row>
    <x:row r="369" ht="18" customHeight="1">
      <x:c r="A369" s="13" t="n">
        <x:v>43129</x:v>
      </x:c>
      <x:c r="B369" s="12" t="n">
        <x:v>4302.0181</x:v>
      </x:c>
      <x:c r="C369" s="12" t="n">
        <x:v>4381.2996</x:v>
      </x:c>
      <x:c r="D369" s="12" t="n">
        <x:v>-1.8095</x:v>
      </x:c>
      <x:c r="E369" s="12" t="n">
        <x:v>-0.018261154524616036</x:v>
      </x:c>
      <x:c r="F369" s="12" t="n">
        <x:v>3.26</x:v>
      </x:c>
      <x:c r="G369" s="12" t="n">
        <x:v>326</x:v>
      </x:c>
      <x:c r="H369" s="12" t="n">
        <x:v>3</x:v>
      </x:c>
      <x:c r="I369" s="12" t="str">
        <x:v>TuShare index_daily</x:v>
      </x:c>
      <x:c r="J369" s="12" t="str">
        <x:v>Archived FRED mirror (Hugging Face)</x:v>
      </x:c>
    </x:row>
    <x:row r="370" ht="18" customHeight="1">
      <x:c r="A370" s="13" t="n">
        <x:v>43130</x:v>
      </x:c>
      <x:c r="B370" s="12" t="n">
        <x:v>4256.1021</x:v>
      </x:c>
      <x:c r="C370" s="12" t="n">
        <x:v>4302.0181</x:v>
      </x:c>
      <x:c r="D370" s="12" t="n">
        <x:v>-1.0673</x:v>
      </x:c>
      <x:c r="E370" s="12" t="n">
        <x:v>-0.010730496768858172</x:v>
      </x:c>
      <x:c r="F370" s="12" t="n">
        <x:v>3.33</x:v>
      </x:c>
      <x:c r="G370" s="12" t="n">
        <x:v>333</x:v>
      </x:c>
      <x:c r="H370" s="12" t="n">
        <x:v>7</x:v>
      </x:c>
      <x:c r="I370" s="12" t="str">
        <x:v>TuShare index_daily</x:v>
      </x:c>
      <x:c r="J370" s="12" t="str">
        <x:v>Archived FRED mirror (Hugging Face)</x:v>
      </x:c>
    </x:row>
    <x:row r="371" ht="18" customHeight="1">
      <x:c r="A371" s="13" t="n">
        <x:v>43131</x:v>
      </x:c>
      <x:c r="B371" s="12" t="n">
        <x:v>4275.8986</x:v>
      </x:c>
      <x:c r="C371" s="12" t="n">
        <x:v>4256.1021</x:v>
      </x:c>
      <x:c r="D371" s="12" t="n">
        <x:v>0.4651</x:v>
      </x:c>
      <x:c r="E371" s="12" t="n">
        <x:v>0.0046405377172039795</x:v>
      </x:c>
      <x:c r="F371" s="12" t="n">
        <x:v>3.29</x:v>
      </x:c>
      <x:c r="G371" s="12" t="n">
        <x:v>329</x:v>
      </x:c>
      <x:c r="H371" s="12" t="n">
        <x:v>-4</x:v>
      </x:c>
      <x:c r="I371" s="12" t="str">
        <x:v>TuShare index_daily</x:v>
      </x:c>
      <x:c r="J371" s="12" t="str">
        <x:v>Archived FRED mirror (Hugging Face)</x:v>
      </x:c>
    </x:row>
    <x:row r="372" ht="18" customHeight="1">
      <x:c r="A372" s="13" t="n">
        <x:v>43132</x:v>
      </x:c>
      <x:c r="B372" s="12" t="n">
        <x:v>4245.8978</x:v>
      </x:c>
      <x:c r="C372" s="12" t="n">
        <x:v>4275.8986</x:v>
      </x:c>
      <x:c r="D372" s="12" t="n">
        <x:v>-0.7016</x:v>
      </x:c>
      <x:c r="E372" s="12" t="n">
        <x:v>-0.007040985851740781</x:v>
      </x:c>
      <x:c r="F372" s="12" t="n">
        <x:v>3.29</x:v>
      </x:c>
      <x:c r="G372" s="12" t="n">
        <x:v>329</x:v>
      </x:c>
      <x:c r="H372" s="12" t="n">
        <x:v>0</x:v>
      </x:c>
      <x:c r="I372" s="12" t="str">
        <x:v>TuShare index_daily</x:v>
      </x:c>
      <x:c r="J372" s="12" t="str">
        <x:v>Archived FRED mirror (Hugging Face)</x:v>
      </x:c>
    </x:row>
    <x:row r="373" ht="18" customHeight="1">
      <x:c r="A373" s="13" t="n">
        <x:v>43133</x:v>
      </x:c>
      <x:c r="B373" s="12" t="n">
        <x:v>4271.2326</x:v>
      </x:c>
      <x:c r="C373" s="12" t="n">
        <x:v>4245.8978</x:v>
      </x:c>
      <x:c r="D373" s="12" t="n">
        <x:v>0.5967</x:v>
      </x:c>
      <x:c r="E373" s="12" t="n">
        <x:v>0.005949157411450897</x:v>
      </x:c>
      <x:c r="F373" s="12" t="n">
        <x:v>3.36</x:v>
      </x:c>
      <x:c r="G373" s="12" t="n">
        <x:v>336</x:v>
      </x:c>
      <x:c r="H373" s="12" t="n">
        <x:v>7</x:v>
      </x:c>
      <x:c r="I373" s="12" t="str">
        <x:v>TuShare index_daily</x:v>
      </x:c>
      <x:c r="J373" s="12" t="str">
        <x:v>Archived FRED mirror (Hugging Face)</x:v>
      </x:c>
    </x:row>
    <x:row r="374" ht="18" customHeight="1">
      <x:c r="A374" s="13" t="n">
        <x:v>43136</x:v>
      </x:c>
      <x:c r="B374" s="12" t="n">
        <x:v>4274.1464</x:v>
      </x:c>
      <x:c r="C374" s="12" t="n">
        <x:v>4271.2326</x:v>
      </x:c>
      <x:c r="D374" s="12" t="n">
        <x:v>0.0682</x:v>
      </x:c>
      <x:c r="E374" s="12" t="n">
        <x:v>0.0006819592467287383</x:v>
      </x:c>
      <x:c r="F374" s="12" t="n">
        <x:v>3.48</x:v>
      </x:c>
      <x:c r="G374" s="12" t="n">
        <x:v>348</x:v>
      </x:c>
      <x:c r="H374" s="12" t="n">
        <x:v>12</x:v>
      </x:c>
      <x:c r="I374" s="12" t="str">
        <x:v>TuShare index_daily</x:v>
      </x:c>
      <x:c r="J374" s="12" t="str">
        <x:v>Archived FRED mirror (Hugging Face)</x:v>
      </x:c>
    </x:row>
    <x:row r="375" ht="18" customHeight="1">
      <x:c r="A375" s="13" t="n">
        <x:v>43137</x:v>
      </x:c>
      <x:c r="B375" s="12" t="n">
        <x:v>4148.8856</x:v>
      </x:c>
      <x:c r="C375" s="12" t="n">
        <x:v>4274.1464</x:v>
      </x:c>
      <x:c r="D375" s="12" t="n">
        <x:v>-2.9307</x:v>
      </x:c>
      <x:c r="E375" s="12" t="n">
        <x:v>-0.02974464187543662</x:v>
      </x:c>
      <x:c r="F375" s="12" t="n">
        <x:v>3.6</x:v>
      </x:c>
      <x:c r="G375" s="12" t="n">
        <x:v>360</x:v>
      </x:c>
      <x:c r="H375" s="12" t="n">
        <x:v>12</x:v>
      </x:c>
      <x:c r="I375" s="12" t="str">
        <x:v>TuShare index_daily</x:v>
      </x:c>
      <x:c r="J375" s="12" t="str">
        <x:v>Archived FRED mirror (Hugging Face)</x:v>
      </x:c>
    </x:row>
    <x:row r="376" ht="18" customHeight="1">
      <x:c r="A376" s="13" t="n">
        <x:v>43138</x:v>
      </x:c>
      <x:c r="B376" s="12" t="n">
        <x:v>4050.4972</x:v>
      </x:c>
      <x:c r="C376" s="12" t="n">
        <x:v>4148.8856</x:v>
      </x:c>
      <x:c r="D376" s="12" t="n">
        <x:v>-2.3714</x:v>
      </x:c>
      <x:c r="E376" s="12" t="n">
        <x:v>-0.024000129045968894</x:v>
      </x:c>
      <x:c r="F376" s="12" t="n">
        <x:v>3.46</x:v>
      </x:c>
      <x:c r="G376" s="12" t="n">
        <x:v>346</x:v>
      </x:c>
      <x:c r="H376" s="12" t="n">
        <x:v>-14</x:v>
      </x:c>
      <x:c r="I376" s="12" t="str">
        <x:v>TuShare index_daily</x:v>
      </x:c>
      <x:c r="J376" s="12" t="str">
        <x:v>Archived FRED mirror (Hugging Face)</x:v>
      </x:c>
    </x:row>
    <x:row r="377" ht="18" customHeight="1">
      <x:c r="A377" s="13" t="n">
        <x:v>43139</x:v>
      </x:c>
      <x:c r="B377" s="12" t="n">
        <x:v>4012.0472</x:v>
      </x:c>
      <x:c r="C377" s="12" t="n">
        <x:v>4050.4972</x:v>
      </x:c>
      <x:c r="D377" s="12" t="n">
        <x:v>-0.9493</x:v>
      </x:c>
      <x:c r="E377" s="12" t="n">
        <x:v>-0.009538004279119664</x:v>
      </x:c>
      <x:c r="F377" s="12" t="n">
        <x:v>3.59</x:v>
      </x:c>
      <x:c r="G377" s="12" t="n">
        <x:v>359</x:v>
      </x:c>
      <x:c r="H377" s="12" t="n">
        <x:v>13</x:v>
      </x:c>
      <x:c r="I377" s="12" t="str">
        <x:v>TuShare index_daily</x:v>
      </x:c>
      <x:c r="J377" s="12" t="str">
        <x:v>Archived FRED mirror (Hugging Face)</x:v>
      </x:c>
    </x:row>
    <x:row r="378" ht="18" customHeight="1">
      <x:c r="A378" s="13" t="n">
        <x:v>43140</x:v>
      </x:c>
      <x:c r="B378" s="12" t="n">
        <x:v>3840.6527</x:v>
      </x:c>
      <x:c r="C378" s="12" t="n">
        <x:v>4012.0472</x:v>
      </x:c>
      <x:c r="D378" s="12" t="n">
        <x:v>-4.272</x:v>
      </x:c>
      <x:c r="E378" s="12" t="n">
        <x:v>-0.04365930862233555</x:v>
      </x:c>
      <x:c r="F378" s="12" t="n">
        <x:v>3.82</x:v>
      </x:c>
      <x:c r="G378" s="12" t="n">
        <x:v>382</x:v>
      </x:c>
      <x:c r="H378" s="12" t="n">
        <x:v>23</x:v>
      </x:c>
      <x:c r="I378" s="12" t="str">
        <x:v>TuShare index_daily</x:v>
      </x:c>
      <x:c r="J378" s="12" t="str">
        <x:v>Archived FRED mirror (Hugging Face)</x:v>
      </x:c>
    </x:row>
    <x:row r="379" ht="18" customHeight="1">
      <x:c r="A379" s="13" t="n">
        <x:v>43143</x:v>
      </x:c>
      <x:c r="B379" s="12" t="n">
        <x:v>3890.1046</x:v>
      </x:c>
      <x:c r="C379" s="12" t="n">
        <x:v>3840.6527</x:v>
      </x:c>
      <x:c r="D379" s="12" t="n">
        <x:v>1.2876</x:v>
      </x:c>
      <x:c r="E379" s="12" t="n">
        <x:v>0.012793720614961816</x:v>
      </x:c>
      <x:c r="F379" s="12" t="n">
        <x:v>3.71</x:v>
      </x:c>
      <x:c r="G379" s="12" t="n">
        <x:v>371</x:v>
      </x:c>
      <x:c r="H379" s="12" t="n">
        <x:v>-11</x:v>
      </x:c>
      <x:c r="I379" s="12" t="str">
        <x:v>TuShare index_daily</x:v>
      </x:c>
      <x:c r="J379" s="12" t="str">
        <x:v>Archived FRED mirror (Hugging Face)</x:v>
      </x:c>
    </x:row>
    <x:row r="380" ht="18" customHeight="1">
      <x:c r="A380" s="13" t="n">
        <x:v>43144</x:v>
      </x:c>
      <x:c r="B380" s="12" t="n">
        <x:v>3935.6324</x:v>
      </x:c>
      <x:c r="C380" s="12" t="n">
        <x:v>3890.1046</x:v>
      </x:c>
      <x:c r="D380" s="12" t="n">
        <x:v>1.1703</x:v>
      </x:c>
      <x:c r="E380" s="12" t="n">
        <x:v>0.011635533790549657</x:v>
      </x:c>
      <x:c r="F380" s="12" t="n">
        <x:v>3.78</x:v>
      </x:c>
      <x:c r="G380" s="12" t="n">
        <x:v>378</x:v>
      </x:c>
      <x:c r="H380" s="12" t="n">
        <x:v>7</x:v>
      </x:c>
      <x:c r="I380" s="12" t="str">
        <x:v>TuShare index_daily</x:v>
      </x:c>
      <x:c r="J380" s="12" t="str">
        <x:v>Archived FRED mirror (Hugging Face)</x:v>
      </x:c>
    </x:row>
    <x:row r="381" ht="18" customHeight="1">
      <x:c r="A381" s="13" t="n">
        <x:v>43145</x:v>
      </x:c>
      <x:c r="B381" s="12" t="n">
        <x:v>3966.9614</x:v>
      </x:c>
      <x:c r="C381" s="12" t="n">
        <x:v>3935.6324</x:v>
      </x:c>
      <x:c r="D381" s="12" t="n">
        <x:v>0.796</x:v>
      </x:c>
      <x:c r="E381" s="12" t="n">
        <x:v>0.007928830690543</x:v>
      </x:c>
      <x:c r="F381" s="12" t="n">
        <x:v>3.69</x:v>
      </x:c>
      <x:c r="G381" s="12" t="n">
        <x:v>369</x:v>
      </x:c>
      <x:c r="H381" s="12" t="n">
        <x:v>-9</x:v>
      </x:c>
      <x:c r="I381" s="12" t="str">
        <x:v>TuShare index_daily</x:v>
      </x:c>
      <x:c r="J381" s="12" t="str">
        <x:v>Archived FRED mirror (Hugging Face)</x:v>
      </x:c>
    </x:row>
    <x:row r="382" ht="18" customHeight="1">
      <x:c r="A382" s="13" t="n">
        <x:v>43153</x:v>
      </x:c>
      <x:c r="B382" s="12" t="n">
        <x:v>4052.7332</x:v>
      </x:c>
      <x:c r="C382" s="12" t="n">
        <x:v>3966.9614</x:v>
      </x:c>
      <x:c r="D382" s="12" t="n">
        <x:v>2.1622</x:v>
      </x:c>
      <x:c r="E382" s="12" t="n">
        <x:v>0.021391106487451253</x:v>
      </x:c>
      <x:c r="F382" s="12" t="n">
        <x:v>3.53</x:v>
      </x:c>
      <x:c r="G382" s="12" t="n">
        <x:v>353</x:v>
      </x:c>
      <x:c r="H382" s="12" t="n">
        <x:v>7</x:v>
      </x:c>
      <x:c r="I382" s="12" t="str">
        <x:v>TuShare index_daily</x:v>
      </x:c>
      <x:c r="J382" s="12" t="str">
        <x:v>Archived FRED mirror (Hugging Face)</x:v>
      </x:c>
    </x:row>
    <x:row r="383" ht="18" customHeight="1">
      <x:c r="A383" s="13" t="n">
        <x:v>43154</x:v>
      </x:c>
      <x:c r="B383" s="12" t="n">
        <x:v>4071.0889</x:v>
      </x:c>
      <x:c r="C383" s="12" t="n">
        <x:v>4052.7332</x:v>
      </x:c>
      <x:c r="D383" s="12" t="n">
        <x:v>0.4529</x:v>
      </x:c>
      <x:c r="E383" s="12" t="n">
        <x:v>0.004518988971263035</x:v>
      </x:c>
      <x:c r="F383" s="12" t="n">
        <x:v>3.58</x:v>
      </x:c>
      <x:c r="G383" s="12" t="n">
        <x:v>358</x:v>
      </x:c>
      <x:c r="H383" s="12" t="n">
        <x:v>5</x:v>
      </x:c>
      <x:c r="I383" s="12" t="str">
        <x:v>TuShare index_daily</x:v>
      </x:c>
      <x:c r="J383" s="12" t="str">
        <x:v>Archived FRED mirror (Hugging Face)</x:v>
      </x:c>
    </x:row>
    <x:row r="384" ht="18" customHeight="1">
      <x:c r="A384" s="13" t="n">
        <x:v>43157</x:v>
      </x:c>
      <x:c r="B384" s="12" t="n">
        <x:v>4118.4186</x:v>
      </x:c>
      <x:c r="C384" s="12" t="n">
        <x:v>4071.0889</x:v>
      </x:c>
      <x:c r="D384" s="12" t="n">
        <x:v>1.1626</x:v>
      </x:c>
      <x:c r="E384" s="12" t="n">
        <x:v>0.011558748057687147</x:v>
      </x:c>
      <x:c r="F384" s="12" t="n">
        <x:v>3.5</x:v>
      </x:c>
      <x:c r="G384" s="12" t="n">
        <x:v>350</x:v>
      </x:c>
      <x:c r="H384" s="12" t="n">
        <x:v>-8</x:v>
      </x:c>
      <x:c r="I384" s="12" t="str">
        <x:v>TuShare index_daily</x:v>
      </x:c>
      <x:c r="J384" s="12" t="str">
        <x:v>Archived FRED mirror (Hugging Face)</x:v>
      </x:c>
    </x:row>
    <x:row r="385" ht="18" customHeight="1">
      <x:c r="A385" s="13" t="n">
        <x:v>43158</x:v>
      </x:c>
      <x:c r="B385" s="12" t="n">
        <x:v>4058.9806</x:v>
      </x:c>
      <x:c r="C385" s="12" t="n">
        <x:v>4118.4186</x:v>
      </x:c>
      <x:c r="D385" s="12" t="n">
        <x:v>-1.4432</x:v>
      </x:c>
      <x:c r="E385" s="12" t="n">
        <x:v>-0.01453739638348993</x:v>
      </x:c>
      <x:c r="F385" s="12" t="n">
        <x:v>3.47</x:v>
      </x:c>
      <x:c r="G385" s="12" t="n">
        <x:v>347</x:v>
      </x:c>
      <x:c r="H385" s="12" t="n">
        <x:v>-3</x:v>
      </x:c>
      <x:c r="I385" s="12" t="str">
        <x:v>TuShare index_daily</x:v>
      </x:c>
      <x:c r="J385" s="12" t="str">
        <x:v>Archived FRED mirror (Hugging Face)</x:v>
      </x:c>
    </x:row>
    <x:row r="386" ht="18" customHeight="1">
      <x:c r="A386" s="13" t="n">
        <x:v>43159</x:v>
      </x:c>
      <x:c r="B386" s="12" t="n">
        <x:v>4023.6415</x:v>
      </x:c>
      <x:c r="C386" s="12" t="n">
        <x:v>4058.9806</x:v>
      </x:c>
      <x:c r="D386" s="12" t="n">
        <x:v>-0.8706</x:v>
      </x:c>
      <x:c r="E386" s="12" t="n">
        <x:v>-0.008744519971607157</x:v>
      </x:c>
      <x:c r="F386" s="12" t="n">
        <x:v>3.47</x:v>
      </x:c>
      <x:c r="G386" s="12" t="n">
        <x:v>347</x:v>
      </x:c>
      <x:c r="H386" s="12" t="n">
        <x:v>0</x:v>
      </x:c>
      <x:c r="I386" s="12" t="str">
        <x:v>TuShare index_daily</x:v>
      </x:c>
      <x:c r="J386" s="12" t="str">
        <x:v>Archived FRED mirror (Hugging Face)</x:v>
      </x:c>
    </x:row>
    <x:row r="387" ht="18" customHeight="1">
      <x:c r="A387" s="13" t="n">
        <x:v>43160</x:v>
      </x:c>
      <x:c r="B387" s="12" t="n">
        <x:v>4049.0863</x:v>
      </x:c>
      <x:c r="C387" s="12" t="n">
        <x:v>4023.6415</x:v>
      </x:c>
      <x:c r="D387" s="12" t="n">
        <x:v>0.6324</x:v>
      </x:c>
      <x:c r="E387" s="12" t="n">
        <x:v>0.006303912356162683</x:v>
      </x:c>
      <x:c r="F387" s="12" t="n">
        <x:v>3.59</x:v>
      </x:c>
      <x:c r="G387" s="12" t="n">
        <x:v>359</x:v>
      </x:c>
      <x:c r="H387" s="12" t="n">
        <x:v>12</x:v>
      </x:c>
      <x:c r="I387" s="12" t="str">
        <x:v>TuShare index_daily</x:v>
      </x:c>
      <x:c r="J387" s="12" t="str">
        <x:v>Archived FRED mirror (Hugging Face)</x:v>
      </x:c>
    </x:row>
    <x:row r="388" ht="18" customHeight="1">
      <x:c r="A388" s="13" t="n">
        <x:v>43161</x:v>
      </x:c>
      <x:c r="B388" s="12" t="n">
        <x:v>4016.461</x:v>
      </x:c>
      <x:c r="C388" s="12" t="n">
        <x:v>4049.0863</x:v>
      </x:c>
      <x:c r="D388" s="12" t="n">
        <x:v>-0.8057</x:v>
      </x:c>
      <x:c r="E388" s="12" t="n">
        <x:v>-0.008090084089436332</x:v>
      </x:c>
      <x:c r="F388" s="12" t="n">
        <x:v>3.65</x:v>
      </x:c>
      <x:c r="G388" s="12" t="n">
        <x:v>365</x:v>
      </x:c>
      <x:c r="H388" s="12" t="n">
        <x:v>6</x:v>
      </x:c>
      <x:c r="I388" s="12" t="str">
        <x:v>TuShare index_daily</x:v>
      </x:c>
      <x:c r="J388" s="12" t="str">
        <x:v>Archived FRED mirror (Hugging Face)</x:v>
      </x:c>
    </x:row>
    <x:row r="389" ht="18" customHeight="1">
      <x:c r="A389" s="13" t="n">
        <x:v>43164</x:v>
      </x:c>
      <x:c r="B389" s="12" t="n">
        <x:v>4018.097</x:v>
      </x:c>
      <x:c r="C389" s="12" t="n">
        <x:v>4016.461</x:v>
      </x:c>
      <x:c r="D389" s="12" t="n">
        <x:v>0.0407</x:v>
      </x:c>
      <x:c r="E389" s="12" t="n">
        <x:v>0.0004072408270897777</x:v>
      </x:c>
      <x:c r="F389" s="12" t="n">
        <x:v>3.59</x:v>
      </x:c>
      <x:c r="G389" s="12" t="n">
        <x:v>359</x:v>
      </x:c>
      <x:c r="H389" s="12" t="n">
        <x:v>-6</x:v>
      </x:c>
      <x:c r="I389" s="12" t="str">
        <x:v>TuShare index_daily</x:v>
      </x:c>
      <x:c r="J389" s="12" t="str">
        <x:v>Archived FRED mirror (Hugging Face)</x:v>
      </x:c>
    </x:row>
    <x:row r="390" ht="18" customHeight="1">
      <x:c r="A390" s="13" t="n">
        <x:v>43165</x:v>
      </x:c>
      <x:c r="B390" s="12" t="n">
        <x:v>4066.5647</x:v>
      </x:c>
      <x:c r="C390" s="12" t="n">
        <x:v>4018.097</x:v>
      </x:c>
      <x:c r="D390" s="12" t="n">
        <x:v>1.2062</x:v>
      </x:c>
      <x:c r="E390" s="12" t="n">
        <x:v>0.011990181521049881</x:v>
      </x:c>
      <x:c r="F390" s="12" t="n">
        <x:v>3.53</x:v>
      </x:c>
      <x:c r="G390" s="12" t="n">
        <x:v>353</x:v>
      </x:c>
      <x:c r="H390" s="12" t="n">
        <x:v>-6</x:v>
      </x:c>
      <x:c r="I390" s="12" t="str">
        <x:v>TuShare index_daily</x:v>
      </x:c>
      <x:c r="J390" s="12" t="str">
        <x:v>Archived FRED mirror (Hugging Face)</x:v>
      </x:c>
    </x:row>
    <x:row r="391" ht="18" customHeight="1">
      <x:c r="A391" s="13" t="n">
        <x:v>43166</x:v>
      </x:c>
      <x:c r="B391" s="12" t="n">
        <x:v>4036.6536</x:v>
      </x:c>
      <x:c r="C391" s="12" t="n">
        <x:v>4066.5647</x:v>
      </x:c>
      <x:c r="D391" s="12" t="n">
        <x:v>-0.7355</x:v>
      </x:c>
      <x:c r="E391" s="12" t="n">
        <x:v>-0.0073825570888245776</x:v>
      </x:c>
      <x:c r="F391" s="12" t="n">
        <x:v>3.56</x:v>
      </x:c>
      <x:c r="G391" s="12" t="n">
        <x:v>356</x:v>
      </x:c>
      <x:c r="H391" s="12" t="n">
        <x:v>3</x:v>
      </x:c>
      <x:c r="I391" s="12" t="str">
        <x:v>TuShare index_daily</x:v>
      </x:c>
      <x:c r="J391" s="12" t="str">
        <x:v>Archived FRED mirror (Hugging Face)</x:v>
      </x:c>
    </x:row>
    <x:row r="392" ht="18" customHeight="1">
      <x:c r="A392" s="13" t="n">
        <x:v>43167</x:v>
      </x:c>
      <x:c r="B392" s="12" t="n">
        <x:v>4077.6001</x:v>
      </x:c>
      <x:c r="C392" s="12" t="n">
        <x:v>4036.6536</x:v>
      </x:c>
      <x:c r="D392" s="12" t="n">
        <x:v>1.0144</x:v>
      </x:c>
      <x:c r="E392" s="12" t="n">
        <x:v>0.01009257267049201</x:v>
      </x:c>
      <x:c r="F392" s="12" t="n">
        <x:v>3.56</x:v>
      </x:c>
      <x:c r="G392" s="12" t="n">
        <x:v>356</x:v>
      </x:c>
      <x:c r="H392" s="12" t="n">
        <x:v>0</x:v>
      </x:c>
      <x:c r="I392" s="12" t="str">
        <x:v>TuShare index_daily</x:v>
      </x:c>
      <x:c r="J392" s="12" t="str">
        <x:v>Archived FRED mirror (Hugging Face)</x:v>
      </x:c>
    </x:row>
    <x:row r="393" ht="18" customHeight="1">
      <x:c r="A393" s="13" t="n">
        <x:v>43168</x:v>
      </x:c>
      <x:c r="B393" s="12" t="n">
        <x:v>4108.8652</x:v>
      </x:c>
      <x:c r="C393" s="12" t="n">
        <x:v>4077.6001</x:v>
      </x:c>
      <x:c r="D393" s="12" t="n">
        <x:v>0.7668</x:v>
      </x:c>
      <x:c r="E393" s="12" t="n">
        <x:v>0.007638278759686679</x:v>
      </x:c>
      <x:c r="F393" s="12" t="n">
        <x:v>3.53</x:v>
      </x:c>
      <x:c r="G393" s="12" t="n">
        <x:v>353</x:v>
      </x:c>
      <x:c r="H393" s="12" t="n">
        <x:v>-3</x:v>
      </x:c>
      <x:c r="I393" s="12" t="str">
        <x:v>TuShare index_daily</x:v>
      </x:c>
      <x:c r="J393" s="12" t="str">
        <x:v>Archived FRED mirror (Hugging Face)</x:v>
      </x:c>
    </x:row>
    <x:row r="394" ht="18" customHeight="1">
      <x:c r="A394" s="13" t="n">
        <x:v>43171</x:v>
      </x:c>
      <x:c r="B394" s="12" t="n">
        <x:v>4127.6662</x:v>
      </x:c>
      <x:c r="C394" s="12" t="n">
        <x:v>4108.8652</x:v>
      </x:c>
      <x:c r="D394" s="12" t="n">
        <x:v>0.4576</x:v>
      </x:c>
      <x:c r="E394" s="12" t="n">
        <x:v>0.0045652791790092165</x:v>
      </x:c>
      <x:c r="F394" s="12" t="n">
        <x:v>3.55</x:v>
      </x:c>
      <x:c r="G394" s="12" t="n">
        <x:v>355</x:v>
      </x:c>
      <x:c r="H394" s="12" t="n">
        <x:v>2</x:v>
      </x:c>
      <x:c r="I394" s="12" t="str">
        <x:v>TuShare index_daily</x:v>
      </x:c>
      <x:c r="J394" s="12" t="str">
        <x:v>Archived FRED mirror (Hugging Face)</x:v>
      </x:c>
    </x:row>
    <x:row r="395" ht="18" customHeight="1">
      <x:c r="A395" s="13" t="n">
        <x:v>43172</x:v>
      </x:c>
      <x:c r="B395" s="12" t="n">
        <x:v>4091.2533</x:v>
      </x:c>
      <x:c r="C395" s="12" t="n">
        <x:v>4127.6662</x:v>
      </x:c>
      <x:c r="D395" s="12" t="n">
        <x:v>-0.8822</x:v>
      </x:c>
      <x:c r="E395" s="12" t="n">
        <x:v>-0.00886080907424242</x:v>
      </x:c>
      <x:c r="F395" s="12" t="n">
        <x:v>3.58</x:v>
      </x:c>
      <x:c r="G395" s="12" t="n">
        <x:v>358</x:v>
      </x:c>
      <x:c r="H395" s="12" t="n">
        <x:v>3</x:v>
      </x:c>
      <x:c r="I395" s="12" t="str">
        <x:v>TuShare index_daily</x:v>
      </x:c>
      <x:c r="J395" s="12" t="str">
        <x:v>Archived FRED mirror (Hugging Face)</x:v>
      </x:c>
    </x:row>
    <x:row r="396" ht="18" customHeight="1">
      <x:c r="A396" s="13" t="n">
        <x:v>43173</x:v>
      </x:c>
      <x:c r="B396" s="12" t="n">
        <x:v>4073.3447</x:v>
      </x:c>
      <x:c r="C396" s="12" t="n">
        <x:v>4091.2533</x:v>
      </x:c>
      <x:c r="D396" s="12" t="n">
        <x:v>-0.4377</x:v>
      </x:c>
      <x:c r="E396" s="12" t="n">
        <x:v>-0.0043868978535668065</x:v>
      </x:c>
      <x:c r="F396" s="12" t="n">
        <x:v>3.62</x:v>
      </x:c>
      <x:c r="G396" s="12" t="n">
        <x:v>362</x:v>
      </x:c>
      <x:c r="H396" s="12" t="n">
        <x:v>4</x:v>
      </x:c>
      <x:c r="I396" s="12" t="str">
        <x:v>TuShare index_daily</x:v>
      </x:c>
      <x:c r="J396" s="12" t="str">
        <x:v>Archived FRED mirror (Hugging Face)</x:v>
      </x:c>
    </x:row>
    <x:row r="397" ht="18" customHeight="1">
      <x:c r="A397" s="13" t="n">
        <x:v>43174</x:v>
      </x:c>
      <x:c r="B397" s="12" t="n">
        <x:v>4096.1627</x:v>
      </x:c>
      <x:c r="C397" s="12" t="n">
        <x:v>4073.3447</x:v>
      </x:c>
      <x:c r="D397" s="12" t="n">
        <x:v>0.5602</x:v>
      </x:c>
      <x:c r="E397" s="12" t="n">
        <x:v>0.005586153049198009</x:v>
      </x:c>
      <x:c r="F397" s="12" t="n">
        <x:v>3.62</x:v>
      </x:c>
      <x:c r="G397" s="12" t="n">
        <x:v>362</x:v>
      </x:c>
      <x:c r="H397" s="12" t="n">
        <x:v>0</x:v>
      </x:c>
      <x:c r="I397" s="12" t="str">
        <x:v>TuShare index_daily</x:v>
      </x:c>
      <x:c r="J397" s="12" t="str">
        <x:v>Archived FRED mirror (Hugging Face)</x:v>
      </x:c>
    </x:row>
    <x:row r="398" ht="18" customHeight="1">
      <x:c r="A398" s="13" t="n">
        <x:v>43175</x:v>
      </x:c>
      <x:c r="B398" s="12" t="n">
        <x:v>4056.4226</x:v>
      </x:c>
      <x:c r="C398" s="12" t="n">
        <x:v>4096.1627</x:v>
      </x:c>
      <x:c r="D398" s="12" t="n">
        <x:v>-0.9702</x:v>
      </x:c>
      <x:c r="E398" s="12" t="n">
        <x:v>-0.00974915644516685</x:v>
      </x:c>
      <x:c r="F398" s="12" t="n">
        <x:v>3.6</x:v>
      </x:c>
      <x:c r="G398" s="12" t="n">
        <x:v>360</x:v>
      </x:c>
      <x:c r="H398" s="12" t="n">
        <x:v>-2</x:v>
      </x:c>
      <x:c r="I398" s="12" t="str">
        <x:v>TuShare index_daily</x:v>
      </x:c>
      <x:c r="J398" s="12" t="str">
        <x:v>Archived FRED mirror (Hugging Face)</x:v>
      </x:c>
    </x:row>
    <x:row r="399" ht="18" customHeight="1">
      <x:c r="A399" s="13" t="n">
        <x:v>43178</x:v>
      </x:c>
      <x:c r="B399" s="12" t="n">
        <x:v>4074.2479</x:v>
      </x:c>
      <x:c r="C399" s="12" t="n">
        <x:v>4056.4226</x:v>
      </x:c>
      <x:c r="D399" s="12" t="n">
        <x:v>0.4394</x:v>
      </x:c>
      <x:c r="E399" s="12" t="n">
        <x:v>0.004384713058697811</x:v>
      </x:c>
      <x:c r="F399" s="12" t="n">
        <x:v>3.65</x:v>
      </x:c>
      <x:c r="G399" s="12" t="n">
        <x:v>365</x:v>
      </x:c>
      <x:c r="H399" s="12" t="n">
        <x:v>5</x:v>
      </x:c>
      <x:c r="I399" s="12" t="str">
        <x:v>TuShare index_daily</x:v>
      </x:c>
      <x:c r="J399" s="12" t="str">
        <x:v>Archived FRED mirror (Hugging Face)</x:v>
      </x:c>
    </x:row>
    <x:row r="400" ht="18" customHeight="1">
      <x:c r="A400" s="13" t="n">
        <x:v>43179</x:v>
      </x:c>
      <x:c r="B400" s="12" t="n">
        <x:v>4077.7041</x:v>
      </x:c>
      <x:c r="C400" s="12" t="n">
        <x:v>4074.2479</x:v>
      </x:c>
      <x:c r="D400" s="12" t="n">
        <x:v>0.0848</x:v>
      </x:c>
      <x:c r="E400" s="12" t="n">
        <x:v>0.0008479441996437564</x:v>
      </x:c>
      <x:c r="F400" s="12" t="n">
        <x:v>3.62</x:v>
      </x:c>
      <x:c r="G400" s="12" t="n">
        <x:v>362</x:v>
      </x:c>
      <x:c r="H400" s="12" t="n">
        <x:v>-3</x:v>
      </x:c>
      <x:c r="I400" s="12" t="str">
        <x:v>TuShare index_daily</x:v>
      </x:c>
      <x:c r="J400" s="12" t="str">
        <x:v>Archived FRED mirror (Hugging Face)</x:v>
      </x:c>
    </x:row>
    <x:row r="401" ht="18" customHeight="1">
      <x:c r="A401" s="13" t="n">
        <x:v>43180</x:v>
      </x:c>
      <x:c r="B401" s="12" t="n">
        <x:v>4061.0502</x:v>
      </x:c>
      <x:c r="C401" s="12" t="n">
        <x:v>4077.7041</x:v>
      </x:c>
      <x:c r="D401" s="12" t="n">
        <x:v>-0.4084</x:v>
      </x:c>
      <x:c r="E401" s="12" t="n">
        <x:v>-0.004092499326107085</x:v>
      </x:c>
      <x:c r="F401" s="12" t="n">
        <x:v>3.6</x:v>
      </x:c>
      <x:c r="G401" s="12" t="n">
        <x:v>360</x:v>
      </x:c>
      <x:c r="H401" s="12" t="n">
        <x:v>-2</x:v>
      </x:c>
      <x:c r="I401" s="12" t="str">
        <x:v>TuShare index_daily</x:v>
      </x:c>
      <x:c r="J401" s="12" t="str">
        <x:v>Archived FRED mirror (Hugging Face)</x:v>
      </x:c>
    </x:row>
    <x:row r="402" ht="18" customHeight="1">
      <x:c r="A402" s="13" t="n">
        <x:v>43181</x:v>
      </x:c>
      <x:c r="B402" s="12" t="n">
        <x:v>4020.349</x:v>
      </x:c>
      <x:c r="C402" s="12" t="n">
        <x:v>4061.0502</x:v>
      </x:c>
      <x:c r="D402" s="12" t="n">
        <x:v>-1.0022</x:v>
      </x:c>
      <x:c r="E402" s="12" t="n">
        <x:v>-0.01007289533203283</x:v>
      </x:c>
      <x:c r="F402" s="12" t="n">
        <x:v>3.7</x:v>
      </x:c>
      <x:c r="G402" s="12" t="n">
        <x:v>370</x:v>
      </x:c>
      <x:c r="H402" s="12" t="n">
        <x:v>10</x:v>
      </x:c>
      <x:c r="I402" s="12" t="str">
        <x:v>TuShare index_daily</x:v>
      </x:c>
      <x:c r="J402" s="12" t="str">
        <x:v>Archived FRED mirror (Hugging Face)</x:v>
      </x:c>
    </x:row>
    <x:row r="403" ht="18" customHeight="1">
      <x:c r="A403" s="13" t="n">
        <x:v>43182</x:v>
      </x:c>
      <x:c r="B403" s="12" t="n">
        <x:v>3904.9355</x:v>
      </x:c>
      <x:c r="C403" s="12" t="n">
        <x:v>4020.349</x:v>
      </x:c>
      <x:c r="D403" s="12" t="n">
        <x:v>-2.8707</x:v>
      </x:c>
      <x:c r="E403" s="12" t="n">
        <x:v>-0.029127448913337784</x:v>
      </x:c>
      <x:c r="F403" s="12" t="n">
        <x:v>3.74</x:v>
      </x:c>
      <x:c r="G403" s="12" t="n">
        <x:v>374</x:v>
      </x:c>
      <x:c r="H403" s="12" t="n">
        <x:v>4</x:v>
      </x:c>
      <x:c r="I403" s="12" t="str">
        <x:v>TuShare index_daily</x:v>
      </x:c>
      <x:c r="J403" s="12" t="str">
        <x:v>Archived FRED mirror (Hugging Face)</x:v>
      </x:c>
    </x:row>
    <x:row r="404" ht="18" customHeight="1">
      <x:c r="A404" s="13" t="n">
        <x:v>43185</x:v>
      </x:c>
      <x:c r="B404" s="12" t="n">
        <x:v>3879.893</x:v>
      </x:c>
      <x:c r="C404" s="12" t="n">
        <x:v>3904.9355</x:v>
      </x:c>
      <x:c r="D404" s="12" t="n">
        <x:v>-0.6413</x:v>
      </x:c>
      <x:c r="E404" s="12" t="n">
        <x:v>-0.006433689934372874</x:v>
      </x:c>
      <x:c r="F404" s="12" t="n">
        <x:v>3.73</x:v>
      </x:c>
      <x:c r="G404" s="12" t="n">
        <x:v>373</x:v>
      </x:c>
      <x:c r="H404" s="12" t="n">
        <x:v>-1</x:v>
      </x:c>
      <x:c r="I404" s="12" t="str">
        <x:v>TuShare index_daily</x:v>
      </x:c>
      <x:c r="J404" s="12" t="str">
        <x:v>Archived FRED mirror (Hugging Face)</x:v>
      </x:c>
    </x:row>
    <x:row r="405" ht="18" customHeight="1">
      <x:c r="A405" s="13" t="n">
        <x:v>43186</x:v>
      </x:c>
      <x:c r="B405" s="12" t="n">
        <x:v>3913.2689</x:v>
      </x:c>
      <x:c r="C405" s="12" t="n">
        <x:v>3879.893</x:v>
      </x:c>
      <x:c r="D405" s="12" t="n">
        <x:v>0.8602</x:v>
      </x:c>
      <x:c r="E405" s="12" t="n">
        <x:v>0.008565484584295732</x:v>
      </x:c>
      <x:c r="F405" s="12" t="n">
        <x:v>3.75</x:v>
      </x:c>
      <x:c r="G405" s="12" t="n">
        <x:v>375</x:v>
      </x:c>
      <x:c r="H405" s="12" t="n">
        <x:v>2</x:v>
      </x:c>
      <x:c r="I405" s="12" t="str">
        <x:v>TuShare index_daily</x:v>
      </x:c>
      <x:c r="J405" s="12" t="str">
        <x:v>Archived FRED mirror (Hugging Face)</x:v>
      </x:c>
    </x:row>
    <x:row r="406" ht="18" customHeight="1">
      <x:c r="A406" s="13" t="n">
        <x:v>43187</x:v>
      </x:c>
      <x:c r="B406" s="12" t="n">
        <x:v>3842.7155</x:v>
      </x:c>
      <x:c r="C406" s="12" t="n">
        <x:v>3913.2689</x:v>
      </x:c>
      <x:c r="D406" s="12" t="n">
        <x:v>-1.8029</x:v>
      </x:c>
      <x:c r="E406" s="12" t="n">
        <x:v>-0.018193782382508124</x:v>
      </x:c>
      <x:c r="F406" s="12" t="n">
        <x:v>3.77</x:v>
      </x:c>
      <x:c r="G406" s="12" t="n">
        <x:v>377</x:v>
      </x:c>
      <x:c r="H406" s="12" t="n">
        <x:v>2</x:v>
      </x:c>
      <x:c r="I406" s="12" t="str">
        <x:v>TuShare index_daily</x:v>
      </x:c>
      <x:c r="J406" s="12" t="str">
        <x:v>Archived FRED mirror (Hugging Face)</x:v>
      </x:c>
    </x:row>
    <x:row r="407" ht="18" customHeight="1">
      <x:c r="A407" s="13" t="n">
        <x:v>43188</x:v>
      </x:c>
      <x:c r="B407" s="12" t="n">
        <x:v>3894.0498</x:v>
      </x:c>
      <x:c r="C407" s="12" t="n">
        <x:v>3842.7155</x:v>
      </x:c>
      <x:c r="D407" s="12" t="n">
        <x:v>1.3359</x:v>
      </x:c>
      <x:c r="E407" s="12" t="n">
        <x:v>0.013270417637119006</x:v>
      </x:c>
      <x:c r="F407" s="12" t="n">
        <x:v>3.79</x:v>
      </x:c>
      <x:c r="G407" s="12" t="n">
        <x:v>379</x:v>
      </x:c>
      <x:c r="H407" s="12" t="n">
        <x:v>2</x:v>
      </x:c>
      <x:c r="I407" s="12" t="str">
        <x:v>TuShare index_daily</x:v>
      </x:c>
      <x:c r="J407" s="12" t="str">
        <x:v>Archived FRED mirror (Hugging Face)</x:v>
      </x:c>
    </x:row>
    <x:row r="408" ht="18" customHeight="1">
      <x:c r="A408" s="13" t="n">
        <x:v>43192</x:v>
      </x:c>
      <x:c r="B408" s="12" t="n">
        <x:v>3886.9189</x:v>
      </x:c>
      <x:c r="C408" s="12" t="n">
        <x:v>3898.4977</x:v>
      </x:c>
      <x:c r="D408" s="12" t="n">
        <x:v>-0.297</x:v>
      </x:c>
      <x:c r="E408" s="12" t="n">
        <x:v>-0.0029744865642820487</x:v>
      </x:c>
      <x:c r="F408" s="12" t="n">
        <x:v>3.77</x:v>
      </x:c>
      <x:c r="G408" s="12" t="n">
        <x:v>377</x:v>
      </x:c>
      <x:c r="H408" s="12" t="n">
        <x:v>5</x:v>
      </x:c>
      <x:c r="I408" s="12" t="str">
        <x:v>TuShare index_daily</x:v>
      </x:c>
      <x:c r="J408" s="12" t="str">
        <x:v>Archived FRED mirror (Hugging Face)</x:v>
      </x:c>
    </x:row>
    <x:row r="409" ht="18" customHeight="1">
      <x:c r="A409" s="13" t="n">
        <x:v>43193</x:v>
      </x:c>
      <x:c r="B409" s="12" t="n">
        <x:v>3862.4796</x:v>
      </x:c>
      <x:c r="C409" s="12" t="n">
        <x:v>3886.9189</x:v>
      </x:c>
      <x:c r="D409" s="12" t="n">
        <x:v>-0.6288</x:v>
      </x:c>
      <x:c r="E409" s="12" t="n">
        <x:v>-0.0063074265760417105</x:v>
      </x:c>
      <x:c r="F409" s="12" t="n">
        <x:v>3.71</x:v>
      </x:c>
      <x:c r="G409" s="12" t="n">
        <x:v>371</x:v>
      </x:c>
      <x:c r="H409" s="12" t="n">
        <x:v>-6</x:v>
      </x:c>
      <x:c r="I409" s="12" t="str">
        <x:v>TuShare index_daily</x:v>
      </x:c>
      <x:c r="J409" s="12" t="str">
        <x:v>Archived FRED mirror (Hugging Face)</x:v>
      </x:c>
    </x:row>
    <x:row r="410" ht="18" customHeight="1">
      <x:c r="A410" s="13" t="n">
        <x:v>43194</x:v>
      </x:c>
      <x:c r="B410" s="12" t="n">
        <x:v>3854.8625</x:v>
      </x:c>
      <x:c r="C410" s="12" t="n">
        <x:v>3862.4796</x:v>
      </x:c>
      <x:c r="D410" s="12" t="n">
        <x:v>-0.1972</x:v>
      </x:c>
      <x:c r="E410" s="12" t="n">
        <x:v>-0.001974022241025953</x:v>
      </x:c>
      <x:c r="F410" s="12" t="n">
        <x:v>3.71</x:v>
      </x:c>
      <x:c r="G410" s="12" t="n">
        <x:v>371</x:v>
      </x:c>
      <x:c r="H410" s="12" t="n">
        <x:v>0</x:v>
      </x:c>
      <x:c r="I410" s="12" t="str">
        <x:v>TuShare index_daily</x:v>
      </x:c>
      <x:c r="J410" s="12" t="str">
        <x:v>Archived FRED mirror (Hugging Face)</x:v>
      </x:c>
    </x:row>
    <x:row r="411" ht="18" customHeight="1">
      <x:c r="A411" s="13" t="n">
        <x:v>43199</x:v>
      </x:c>
      <x:c r="B411" s="12" t="n">
        <x:v>3852.9292</x:v>
      </x:c>
      <x:c r="C411" s="12" t="n">
        <x:v>3854.8625</x:v>
      </x:c>
      <x:c r="D411" s="12" t="n">
        <x:v>-0.0502</x:v>
      </x:c>
      <x:c r="E411" s="12" t="n">
        <x:v>-0.0005016482322799196</x:v>
      </x:c>
      <x:c r="F411" s="12" t="n">
        <x:v>3.61</x:v>
      </x:c>
      <x:c r="G411" s="12" t="n">
        <x:v>361</x:v>
      </x:c>
      <x:c r="H411" s="12" t="n">
        <x:v>-3</x:v>
      </x:c>
      <x:c r="I411" s="12" t="str">
        <x:v>TuShare index_daily</x:v>
      </x:c>
      <x:c r="J411" s="12" t="str">
        <x:v>Archived FRED mirror (Hugging Face)</x:v>
      </x:c>
    </x:row>
    <x:row r="412" ht="18" customHeight="1">
      <x:c r="A412" s="13" t="n">
        <x:v>43200</x:v>
      </x:c>
      <x:c r="B412" s="12" t="n">
        <x:v>3927.1729</x:v>
      </x:c>
      <x:c r="C412" s="12" t="n">
        <x:v>3852.9292</x:v>
      </x:c>
      <x:c r="D412" s="12" t="n">
        <x:v>1.9269</x:v>
      </x:c>
      <x:c r="E412" s="12" t="n">
        <x:v>0.01908611296393232</x:v>
      </x:c>
      <x:c r="F412" s="12" t="n">
        <x:v>3.52</x:v>
      </x:c>
      <x:c r="G412" s="12" t="n">
        <x:v>352</x:v>
      </x:c>
      <x:c r="H412" s="12" t="n">
        <x:v>-9</x:v>
      </x:c>
      <x:c r="I412" s="12" t="str">
        <x:v>TuShare index_daily</x:v>
      </x:c>
      <x:c r="J412" s="12" t="str">
        <x:v>Archived FRED mirror (Hugging Face)</x:v>
      </x:c>
    </x:row>
    <x:row r="413" ht="18" customHeight="1">
      <x:c r="A413" s="13" t="n">
        <x:v>43201</x:v>
      </x:c>
      <x:c r="B413" s="12" t="n">
        <x:v>3938.3434</x:v>
      </x:c>
      <x:c r="C413" s="12" t="n">
        <x:v>3927.1729</x:v>
      </x:c>
      <x:c r="D413" s="12" t="n">
        <x:v>0.2844</x:v>
      </x:c>
      <x:c r="E413" s="12" t="n">
        <x:v>0.0028403748931388356</x:v>
      </x:c>
      <x:c r="F413" s="12" t="n">
        <x:v>3.5</x:v>
      </x:c>
      <x:c r="G413" s="12" t="n">
        <x:v>350</x:v>
      </x:c>
      <x:c r="H413" s="12" t="n">
        <x:v>-2</x:v>
      </x:c>
      <x:c r="I413" s="12" t="str">
        <x:v>TuShare index_daily</x:v>
      </x:c>
      <x:c r="J413" s="12" t="str">
        <x:v>Archived FRED mirror (Hugging Face)</x:v>
      </x:c>
    </x:row>
    <x:row r="414" ht="18" customHeight="1">
      <x:c r="A414" s="13" t="n">
        <x:v>43202</x:v>
      </x:c>
      <x:c r="B414" s="12" t="n">
        <x:v>3898.6354</x:v>
      </x:c>
      <x:c r="C414" s="12" t="n">
        <x:v>3938.3434</x:v>
      </x:c>
      <x:c r="D414" s="12" t="n">
        <x:v>-1.0082</x:v>
      </x:c>
      <x:c r="E414" s="12" t="n">
        <x:v>-0.010133583568970973</x:v>
      </x:c>
      <x:c r="F414" s="12" t="n">
        <x:v>3.42</x:v>
      </x:c>
      <x:c r="G414" s="12" t="n">
        <x:v>342</x:v>
      </x:c>
      <x:c r="H414" s="12" t="n">
        <x:v>-8</x:v>
      </x:c>
      <x:c r="I414" s="12" t="str">
        <x:v>TuShare index_daily</x:v>
      </x:c>
      <x:c r="J414" s="12" t="str">
        <x:v>Archived FRED mirror (Hugging Face)</x:v>
      </x:c>
    </x:row>
    <x:row r="415" ht="18" customHeight="1">
      <x:c r="A415" s="13" t="n">
        <x:v>43203</x:v>
      </x:c>
      <x:c r="B415" s="12" t="n">
        <x:v>3871.1443</x:v>
      </x:c>
      <x:c r="C415" s="12" t="n">
        <x:v>3898.6354</x:v>
      </x:c>
      <x:c r="D415" s="12" t="n">
        <x:v>-0.7051</x:v>
      </x:c>
      <x:c r="E415" s="12" t="n">
        <x:v>-0.007076446381222022</x:v>
      </x:c>
      <x:c r="F415" s="12" t="n">
        <x:v>3.38</x:v>
      </x:c>
      <x:c r="G415" s="12" t="n">
        <x:v>338</x:v>
      </x:c>
      <x:c r="H415" s="12" t="n">
        <x:v>-4</x:v>
      </x:c>
      <x:c r="I415" s="12" t="str">
        <x:v>TuShare index_daily</x:v>
      </x:c>
      <x:c r="J415" s="12" t="str">
        <x:v>Archived FRED mirror (Hugging Face)</x:v>
      </x:c>
    </x:row>
    <x:row r="416" ht="18" customHeight="1">
      <x:c r="A416" s="13" t="n">
        <x:v>43206</x:v>
      </x:c>
      <x:c r="B416" s="12" t="n">
        <x:v>3808.863</x:v>
      </x:c>
      <x:c r="C416" s="12" t="n">
        <x:v>3871.1443</x:v>
      </x:c>
      <x:c r="D416" s="12" t="n">
        <x:v>-1.6089</x:v>
      </x:c>
      <x:c r="E416" s="12" t="n">
        <x:v>-0.016219428685991556</x:v>
      </x:c>
      <x:c r="F416" s="12" t="n">
        <x:v>3.33</x:v>
      </x:c>
      <x:c r="G416" s="12" t="n">
        <x:v>333</x:v>
      </x:c>
      <x:c r="H416" s="12" t="n">
        <x:v>-5</x:v>
      </x:c>
      <x:c r="I416" s="12" t="str">
        <x:v>TuShare index_daily</x:v>
      </x:c>
      <x:c r="J416" s="12" t="str">
        <x:v>Archived FRED mirror (Hugging Face)</x:v>
      </x:c>
    </x:row>
    <x:row r="417" ht="18" customHeight="1">
      <x:c r="A417" s="13" t="n">
        <x:v>43207</x:v>
      </x:c>
      <x:c r="B417" s="12" t="n">
        <x:v>3748.6412</x:v>
      </x:c>
      <x:c r="C417" s="12" t="n">
        <x:v>3808.863</x:v>
      </x:c>
      <x:c r="D417" s="12" t="n">
        <x:v>-1.5811</x:v>
      </x:c>
      <x:c r="E417" s="12" t="n">
        <x:v>-0.015937291751862186</x:v>
      </x:c>
      <x:c r="F417" s="12" t="n">
        <x:v>3.29</x:v>
      </x:c>
      <x:c r="G417" s="12" t="n">
        <x:v>329</x:v>
      </x:c>
      <x:c r="H417" s="12" t="n">
        <x:v>-4</x:v>
      </x:c>
      <x:c r="I417" s="12" t="str">
        <x:v>TuShare index_daily</x:v>
      </x:c>
      <x:c r="J417" s="12" t="str">
        <x:v>Archived FRED mirror (Hugging Face)</x:v>
      </x:c>
    </x:row>
    <x:row r="418" ht="18" customHeight="1">
      <x:c r="A418" s="13" t="n">
        <x:v>43208</x:v>
      </x:c>
      <x:c r="B418" s="12" t="n">
        <x:v>3766.282</x:v>
      </x:c>
      <x:c r="C418" s="12" t="n">
        <x:v>3748.6412</x:v>
      </x:c>
      <x:c r="D418" s="12" t="n">
        <x:v>0.4706</x:v>
      </x:c>
      <x:c r="E418" s="12" t="n">
        <x:v>0.0046948802891430465</x:v>
      </x:c>
      <x:c r="F418" s="12" t="n">
        <x:v>3.24</x:v>
      </x:c>
      <x:c r="G418" s="12" t="n">
        <x:v>324</x:v>
      </x:c>
      <x:c r="H418" s="12" t="n">
        <x:v>-5</x:v>
      </x:c>
      <x:c r="I418" s="12" t="str">
        <x:v>TuShare index_daily</x:v>
      </x:c>
      <x:c r="J418" s="12" t="str">
        <x:v>Archived FRED mirror (Hugging Face)</x:v>
      </x:c>
    </x:row>
    <x:row r="419" ht="18" customHeight="1">
      <x:c r="A419" s="13" t="n">
        <x:v>43209</x:v>
      </x:c>
      <x:c r="B419" s="12" t="n">
        <x:v>3811.843</x:v>
      </x:c>
      <x:c r="C419" s="12" t="n">
        <x:v>3766.282</x:v>
      </x:c>
      <x:c r="D419" s="12" t="n">
        <x:v>1.2097</x:v>
      </x:c>
      <x:c r="E419" s="12" t="n">
        <x:v>0.012024491273144259</x:v>
      </x:c>
      <x:c r="F419" s="12" t="n">
        <x:v>3.33</x:v>
      </x:c>
      <x:c r="G419" s="12" t="n">
        <x:v>333</x:v>
      </x:c>
      <x:c r="H419" s="12" t="n">
        <x:v>9</x:v>
      </x:c>
      <x:c r="I419" s="12" t="str">
        <x:v>TuShare index_daily</x:v>
      </x:c>
      <x:c r="J419" s="12" t="str">
        <x:v>Archived FRED mirror (Hugging Face)</x:v>
      </x:c>
    </x:row>
    <x:row r="420" ht="18" customHeight="1">
      <x:c r="A420" s="13" t="n">
        <x:v>43210</x:v>
      </x:c>
      <x:c r="B420" s="12" t="n">
        <x:v>3760.8543</x:v>
      </x:c>
      <x:c r="C420" s="12" t="n">
        <x:v>3811.843</x:v>
      </x:c>
      <x:c r="D420" s="12" t="n">
        <x:v>-1.3376</x:v>
      </x:c>
      <x:c r="E420" s="12" t="n">
        <x:v>-0.013466660173615443</x:v>
      </x:c>
      <x:c r="F420" s="12" t="n">
        <x:v>3.33</x:v>
      </x:c>
      <x:c r="G420" s="12" t="n">
        <x:v>333</x:v>
      </x:c>
      <x:c r="H420" s="12" t="n">
        <x:v>0</x:v>
      </x:c>
      <x:c r="I420" s="12" t="str">
        <x:v>TuShare index_daily</x:v>
      </x:c>
      <x:c r="J420" s="12" t="str">
        <x:v>Archived FRED mirror (Hugging Face)</x:v>
      </x:c>
    </x:row>
    <x:row r="421" ht="18" customHeight="1">
      <x:c r="A421" s="13" t="n">
        <x:v>43213</x:v>
      </x:c>
      <x:c r="B421" s="12" t="n">
        <x:v>3766.3257</x:v>
      </x:c>
      <x:c r="C421" s="12" t="n">
        <x:v>3760.8543</x:v>
      </x:c>
      <x:c r="D421" s="12" t="n">
        <x:v>0.1455</x:v>
      </x:c>
      <x:c r="E421" s="12" t="n">
        <x:v>0.0014537717880077582</x:v>
      </x:c>
      <x:c r="F421" s="12" t="n">
        <x:v>3.36</x:v>
      </x:c>
      <x:c r="G421" s="12" t="n">
        <x:v>336</x:v>
      </x:c>
      <x:c r="H421" s="12" t="n">
        <x:v>3</x:v>
      </x:c>
      <x:c r="I421" s="12" t="str">
        <x:v>TuShare index_daily</x:v>
      </x:c>
      <x:c r="J421" s="12" t="str">
        <x:v>Archived FRED mirror (Hugging Face)</x:v>
      </x:c>
    </x:row>
    <x:row r="422" ht="18" customHeight="1">
      <x:c r="A422" s="13" t="n">
        <x:v>43214</x:v>
      </x:c>
      <x:c r="B422" s="12" t="n">
        <x:v>3843.4886</x:v>
      </x:c>
      <x:c r="C422" s="12" t="n">
        <x:v>3766.3257</x:v>
      </x:c>
      <x:c r="D422" s="12" t="n">
        <x:v>2.0488</x:v>
      </x:c>
      <x:c r="E422" s="12" t="n">
        <x:v>0.020280532927162264</x:v>
      </x:c>
      <x:c r="F422" s="12" t="n">
        <x:v>3.41</x:v>
      </x:c>
      <x:c r="G422" s="12" t="n">
        <x:v>341</x:v>
      </x:c>
      <x:c r="H422" s="12" t="n">
        <x:v>5</x:v>
      </x:c>
      <x:c r="I422" s="12" t="str">
        <x:v>TuShare index_daily</x:v>
      </x:c>
      <x:c r="J422" s="12" t="str">
        <x:v>Archived FRED mirror (Hugging Face)</x:v>
      </x:c>
    </x:row>
    <x:row r="423" ht="18" customHeight="1">
      <x:c r="A423" s="13" t="n">
        <x:v>43215</x:v>
      </x:c>
      <x:c r="B423" s="12" t="n">
        <x:v>3828.7015</x:v>
      </x:c>
      <x:c r="C423" s="12" t="n">
        <x:v>3843.4886</x:v>
      </x:c>
      <x:c r="D423" s="12" t="n">
        <x:v>-0.3847</x:v>
      </x:c>
      <x:c r="E423" s="12" t="n">
        <x:v>-0.0038547319910832763</x:v>
      </x:c>
      <x:c r="F423" s="12" t="n">
        <x:v>3.47</x:v>
      </x:c>
      <x:c r="G423" s="12" t="n">
        <x:v>347</x:v>
      </x:c>
      <x:c r="H423" s="12" t="n">
        <x:v>6</x:v>
      </x:c>
      <x:c r="I423" s="12" t="str">
        <x:v>TuShare index_daily</x:v>
      </x:c>
      <x:c r="J423" s="12" t="str">
        <x:v>Archived FRED mirror (Hugging Face)</x:v>
      </x:c>
    </x:row>
    <x:row r="424" ht="18" customHeight="1">
      <x:c r="A424" s="13" t="n">
        <x:v>43216</x:v>
      </x:c>
      <x:c r="B424" s="12" t="n">
        <x:v>3755.4941</x:v>
      </x:c>
      <x:c r="C424" s="12" t="n">
        <x:v>3828.7015</x:v>
      </x:c>
      <x:c r="D424" s="12" t="n">
        <x:v>-1.9121</x:v>
      </x:c>
      <x:c r="E424" s="12" t="n">
        <x:v>-0.01930585065145748</x:v>
      </x:c>
      <x:c r="F424" s="12" t="n">
        <x:v>3.43</x:v>
      </x:c>
      <x:c r="G424" s="12" t="n">
        <x:v>343</x:v>
      </x:c>
      <x:c r="H424" s="12" t="n">
        <x:v>-4</x:v>
      </x:c>
      <x:c r="I424" s="12" t="str">
        <x:v>TuShare index_daily</x:v>
      </x:c>
      <x:c r="J424" s="12" t="str">
        <x:v>Archived FRED mirror (Hugging Face)</x:v>
      </x:c>
    </x:row>
    <x:row r="425" ht="18" customHeight="1">
      <x:c r="A425" s="13" t="n">
        <x:v>43217</x:v>
      </x:c>
      <x:c r="B425" s="12" t="n">
        <x:v>3756.8765</x:v>
      </x:c>
      <x:c r="C425" s="12" t="n">
        <x:v>3755.4941</x:v>
      </x:c>
      <x:c r="D425" s="12" t="n">
        <x:v>0.0368</x:v>
      </x:c>
      <x:c r="E425" s="12" t="n">
        <x:v>0.0003680329656801829</x:v>
      </x:c>
      <x:c r="F425" s="12" t="n">
        <x:v>3.44</x:v>
      </x:c>
      <x:c r="G425" s="12" t="n">
        <x:v>344</x:v>
      </x:c>
      <x:c r="H425" s="12" t="n">
        <x:v>1</x:v>
      </x:c>
      <x:c r="I425" s="12" t="str">
        <x:v>TuShare index_daily</x:v>
      </x:c>
      <x:c r="J425" s="12" t="str">
        <x:v>Archived FRED mirror (Hugging Face)</x:v>
      </x:c>
    </x:row>
    <x:row r="426" ht="18" customHeight="1">
      <x:c r="A426" s="13" t="n">
        <x:v>43222</x:v>
      </x:c>
      <x:c r="B426" s="12" t="n">
        <x:v>3763.6461</x:v>
      </x:c>
      <x:c r="C426" s="12" t="n">
        <x:v>3756.8765</x:v>
      </x:c>
      <x:c r="D426" s="12" t="n">
        <x:v>0.1802</x:v>
      </x:c>
      <x:c r="E426" s="12" t="n">
        <x:v>0.0018003009068554776</x:v>
      </x:c>
      <x:c r="F426" s="12" t="n">
        <x:v>3.45</x:v>
      </x:c>
      <x:c r="G426" s="12" t="n">
        <x:v>345</x:v>
      </x:c>
      <x:c r="H426" s="12" t="n">
        <x:v>-2</x:v>
      </x:c>
      <x:c r="I426" s="12" t="str">
        <x:v>TuShare index_daily</x:v>
      </x:c>
      <x:c r="J426" s="12" t="str">
        <x:v>Archived FRED mirror (Hugging Face)</x:v>
      </x:c>
    </x:row>
    <x:row r="427" ht="18" customHeight="1">
      <x:c r="A427" s="13" t="n">
        <x:v>43223</x:v>
      </x:c>
      <x:c r="B427" s="12" t="n">
        <x:v>3793.0001</x:v>
      </x:c>
      <x:c r="C427" s="12" t="n">
        <x:v>3763.6461</x:v>
      </x:c>
      <x:c r="D427" s="12" t="n">
        <x:v>0.7799</x:v>
      </x:c>
      <x:c r="E427" s="12" t="n">
        <x:v>0.0077690940850433</x:v>
      </x:c>
      <x:c r="F427" s="12" t="n">
        <x:v>3.5</x:v>
      </x:c>
      <x:c r="G427" s="12" t="n">
        <x:v>350</x:v>
      </x:c>
      <x:c r="H427" s="12" t="n">
        <x:v>5</x:v>
      </x:c>
      <x:c r="I427" s="12" t="str">
        <x:v>TuShare index_daily</x:v>
      </x:c>
      <x:c r="J427" s="12" t="str">
        <x:v>Archived FRED mirror (Hugging Face)</x:v>
      </x:c>
    </x:row>
    <x:row r="428" ht="18" customHeight="1">
      <x:c r="A428" s="13" t="n">
        <x:v>43224</x:v>
      </x:c>
      <x:c r="B428" s="12" t="n">
        <x:v>3774.5981</x:v>
      </x:c>
      <x:c r="C428" s="12" t="n">
        <x:v>3793.0001</x:v>
      </x:c>
      <x:c r="D428" s="12" t="n">
        <x:v>-0.4852</x:v>
      </x:c>
      <x:c r="E428" s="12" t="n">
        <x:v>-0.0048633756139366815</x:v>
      </x:c>
      <x:c r="F428" s="12" t="n">
        <x:v>3.49</x:v>
      </x:c>
      <x:c r="G428" s="12" t="n">
        <x:v>349</x:v>
      </x:c>
      <x:c r="H428" s="12" t="n">
        <x:v>-1</x:v>
      </x:c>
      <x:c r="I428" s="12" t="str">
        <x:v>TuShare index_daily</x:v>
      </x:c>
      <x:c r="J428" s="12" t="str">
        <x:v>Archived FRED mirror (Hugging Face)</x:v>
      </x:c>
    </x:row>
    <x:row r="429" ht="18" customHeight="1">
      <x:c r="A429" s="13" t="n">
        <x:v>43227</x:v>
      </x:c>
      <x:c r="B429" s="12" t="n">
        <x:v>3834.1877</x:v>
      </x:c>
      <x:c r="C429" s="12" t="n">
        <x:v>3774.5981</x:v>
      </x:c>
      <x:c r="D429" s="12" t="n">
        <x:v>1.5787</x:v>
      </x:c>
      <x:c r="E429" s="12" t="n">
        <x:v>0.015663686671114112</x:v>
      </x:c>
      <x:c r="F429" s="12" t="n">
        <x:v>3.46</x:v>
      </x:c>
      <x:c r="G429" s="12" t="n">
        <x:v>346</x:v>
      </x:c>
      <x:c r="H429" s="12" t="n">
        <x:v>-3</x:v>
      </x:c>
      <x:c r="I429" s="12" t="str">
        <x:v>TuShare index_daily</x:v>
      </x:c>
      <x:c r="J429" s="12" t="str">
        <x:v>Archived FRED mirror (Hugging Face)</x:v>
      </x:c>
    </x:row>
    <x:row r="430" ht="18" customHeight="1">
      <x:c r="A430" s="13" t="n">
        <x:v>43228</x:v>
      </x:c>
      <x:c r="B430" s="12" t="n">
        <x:v>3878.6767</x:v>
      </x:c>
      <x:c r="C430" s="12" t="n">
        <x:v>3834.1877</x:v>
      </x:c>
      <x:c r="D430" s="12" t="n">
        <x:v>1.1603</x:v>
      </x:c>
      <x:c r="E430" s="12" t="n">
        <x:v>0.011536438632792785</x:v>
      </x:c>
      <x:c r="F430" s="12" t="n">
        <x:v>3.46</x:v>
      </x:c>
      <x:c r="G430" s="12" t="n">
        <x:v>346</x:v>
      </x:c>
      <x:c r="H430" s="12" t="n">
        <x:v>0</x:v>
      </x:c>
      <x:c r="I430" s="12" t="str">
        <x:v>TuShare index_daily</x:v>
      </x:c>
      <x:c r="J430" s="12" t="str">
        <x:v>Archived FRED mirror (Hugging Face)</x:v>
      </x:c>
    </x:row>
    <x:row r="431" ht="18" customHeight="1">
      <x:c r="A431" s="13" t="n">
        <x:v>43229</x:v>
      </x:c>
      <x:c r="B431" s="12" t="n">
        <x:v>3871.6152</x:v>
      </x:c>
      <x:c r="C431" s="12" t="n">
        <x:v>3878.6767</x:v>
      </x:c>
      <x:c r="D431" s="12" t="n">
        <x:v>-0.1821</x:v>
      </x:c>
      <x:c r="E431" s="12" t="n">
        <x:v>-0.00182225445058165</x:v>
      </x:c>
      <x:c r="F431" s="12" t="n">
        <x:v>3.43</x:v>
      </x:c>
      <x:c r="G431" s="12" t="n">
        <x:v>343</x:v>
      </x:c>
      <x:c r="H431" s="12" t="n">
        <x:v>-3</x:v>
      </x:c>
      <x:c r="I431" s="12" t="str">
        <x:v>TuShare index_daily</x:v>
      </x:c>
      <x:c r="J431" s="12" t="str">
        <x:v>Archived FRED mirror (Hugging Face)</x:v>
      </x:c>
    </x:row>
    <x:row r="432" ht="18" customHeight="1">
      <x:c r="A432" s="13" t="n">
        <x:v>43230</x:v>
      </x:c>
      <x:c r="B432" s="12" t="n">
        <x:v>3893.0565</x:v>
      </x:c>
      <x:c r="C432" s="12" t="n">
        <x:v>3871.6152</x:v>
      </x:c>
      <x:c r="D432" s="12" t="n">
        <x:v>0.5538</x:v>
      </x:c>
      <x:c r="E432" s="12" t="n">
        <x:v>0.00552279744136965</x:v>
      </x:c>
      <x:c r="F432" s="12" t="n">
        <x:v>3.41</x:v>
      </x:c>
      <x:c r="G432" s="12" t="n">
        <x:v>341</x:v>
      </x:c>
      <x:c r="H432" s="12" t="n">
        <x:v>-2</x:v>
      </x:c>
      <x:c r="I432" s="12" t="str">
        <x:v>TuShare index_daily</x:v>
      </x:c>
      <x:c r="J432" s="12" t="str">
        <x:v>Archived FRED mirror (Hugging Face)</x:v>
      </x:c>
    </x:row>
    <x:row r="433" ht="18" customHeight="1">
      <x:c r="A433" s="13" t="n">
        <x:v>43231</x:v>
      </x:c>
      <x:c r="B433" s="12" t="n">
        <x:v>3872.8383</x:v>
      </x:c>
      <x:c r="C433" s="12" t="n">
        <x:v>3893.0565</x:v>
      </x:c>
      <x:c r="D433" s="12" t="n">
        <x:v>-0.5193</x:v>
      </x:c>
      <x:c r="E433" s="12" t="n">
        <x:v>-0.005206932671784782</x:v>
      </x:c>
      <x:c r="F433" s="12" t="n">
        <x:v>3.4</x:v>
      </x:c>
      <x:c r="G433" s="12" t="n">
        <x:v>340</x:v>
      </x:c>
      <x:c r="H433" s="12" t="n">
        <x:v>-1</x:v>
      </x:c>
      <x:c r="I433" s="12" t="str">
        <x:v>TuShare index_daily</x:v>
      </x:c>
      <x:c r="J433" s="12" t="str">
        <x:v>Archived FRED mirror (Hugging Face)</x:v>
      </x:c>
    </x:row>
    <x:row r="434" ht="18" customHeight="1">
      <x:c r="A434" s="13" t="n">
        <x:v>43234</x:v>
      </x:c>
      <x:c r="B434" s="12" t="n">
        <x:v>3909.2933</x:v>
      </x:c>
      <x:c r="C434" s="12" t="n">
        <x:v>3872.8383</x:v>
      </x:c>
      <x:c r="D434" s="12" t="n">
        <x:v>0.9413</x:v>
      </x:c>
      <x:c r="E434" s="12" t="n">
        <x:v>0.009368966893457287</x:v>
      </x:c>
      <x:c r="F434" s="12" t="n">
        <x:v>3.37</x:v>
      </x:c>
      <x:c r="G434" s="12" t="n">
        <x:v>337</x:v>
      </x:c>
      <x:c r="H434" s="12" t="n">
        <x:v>-3</x:v>
      </x:c>
      <x:c r="I434" s="12" t="str">
        <x:v>TuShare index_daily</x:v>
      </x:c>
      <x:c r="J434" s="12" t="str">
        <x:v>Archived FRED mirror (Hugging Face)</x:v>
      </x:c>
    </x:row>
    <x:row r="435" ht="18" customHeight="1">
      <x:c r="A435" s="13" t="n">
        <x:v>43235</x:v>
      </x:c>
      <x:c r="B435" s="12" t="n">
        <x:v>3924.0975</x:v>
      </x:c>
      <x:c r="C435" s="12" t="n">
        <x:v>3909.2933</x:v>
      </x:c>
      <x:c r="D435" s="12" t="n">
        <x:v>0.3787</x:v>
      </x:c>
      <x:c r="E435" s="12" t="n">
        <x:v>0.0037797725156862973</x:v>
      </x:c>
      <x:c r="F435" s="12" t="n">
        <x:v>3.36</x:v>
      </x:c>
      <x:c r="G435" s="12" t="n">
        <x:v>336</x:v>
      </x:c>
      <x:c r="H435" s="12" t="n">
        <x:v>-1</x:v>
      </x:c>
      <x:c r="I435" s="12" t="str">
        <x:v>TuShare index_daily</x:v>
      </x:c>
      <x:c r="J435" s="12" t="str">
        <x:v>Archived FRED mirror (Hugging Face)</x:v>
      </x:c>
    </x:row>
    <x:row r="436" ht="18" customHeight="1">
      <x:c r="A436" s="13" t="n">
        <x:v>43236</x:v>
      </x:c>
      <x:c r="B436" s="12" t="n">
        <x:v>3892.8442</x:v>
      </x:c>
      <x:c r="C436" s="12" t="n">
        <x:v>3924.0975</x:v>
      </x:c>
      <x:c r="D436" s="12" t="n">
        <x:v>-0.7964</x:v>
      </x:c>
      <x:c r="E436" s="12" t="n">
        <x:v>-0.007996341211463335</x:v>
      </x:c>
      <x:c r="F436" s="12" t="n">
        <x:v>3.37</x:v>
      </x:c>
      <x:c r="G436" s="12" t="n">
        <x:v>337</x:v>
      </x:c>
      <x:c r="H436" s="12" t="n">
        <x:v>1</x:v>
      </x:c>
      <x:c r="I436" s="12" t="str">
        <x:v>TuShare index_daily</x:v>
      </x:c>
      <x:c r="J436" s="12" t="str">
        <x:v>Archived FRED mirror (Hugging Face)</x:v>
      </x:c>
    </x:row>
    <x:row r="437" ht="18" customHeight="1">
      <x:c r="A437" s="13" t="n">
        <x:v>43237</x:v>
      </x:c>
      <x:c r="B437" s="12" t="n">
        <x:v>3864.0507</x:v>
      </x:c>
      <x:c r="C437" s="12" t="n">
        <x:v>3892.8442</x:v>
      </x:c>
      <x:c r="D437" s="12" t="n">
        <x:v>-0.7397</x:v>
      </x:c>
      <x:c r="E437" s="12" t="n">
        <x:v>-0.007424009895567731</x:v>
      </x:c>
      <x:c r="F437" s="12" t="n">
        <x:v>3.36</x:v>
      </x:c>
      <x:c r="G437" s="12" t="n">
        <x:v>336</x:v>
      </x:c>
      <x:c r="H437" s="12" t="n">
        <x:v>-1</x:v>
      </x:c>
      <x:c r="I437" s="12" t="str">
        <x:v>TuShare index_daily</x:v>
      </x:c>
      <x:c r="J437" s="12" t="str">
        <x:v>Archived FRED mirror (Hugging Face)</x:v>
      </x:c>
    </x:row>
    <x:row r="438" ht="18" customHeight="1">
      <x:c r="A438" s="13" t="n">
        <x:v>43238</x:v>
      </x:c>
      <x:c r="B438" s="12" t="n">
        <x:v>3903.0637</x:v>
      </x:c>
      <x:c r="C438" s="12" t="n">
        <x:v>3864.0507</x:v>
      </x:c>
      <x:c r="D438" s="12" t="n">
        <x:v>1.0096</x:v>
      </x:c>
      <x:c r="E438" s="12" t="n">
        <x:v>0.010045771461980648</x:v>
      </x:c>
      <x:c r="F438" s="12" t="n">
        <x:v>3.41</x:v>
      </x:c>
      <x:c r="G438" s="12" t="n">
        <x:v>341</x:v>
      </x:c>
      <x:c r="H438" s="12" t="n">
        <x:v>5</x:v>
      </x:c>
      <x:c r="I438" s="12" t="str">
        <x:v>TuShare index_daily</x:v>
      </x:c>
      <x:c r="J438" s="12" t="str">
        <x:v>Archived FRED mirror (Hugging Face)</x:v>
      </x:c>
    </x:row>
    <x:row r="439" ht="18" customHeight="1">
      <x:c r="A439" s="13" t="n">
        <x:v>43241</x:v>
      </x:c>
      <x:c r="B439" s="12" t="n">
        <x:v>3921.2421</x:v>
      </x:c>
      <x:c r="C439" s="12" t="n">
        <x:v>3903.0637</x:v>
      </x:c>
      <x:c r="D439" s="12" t="n">
        <x:v>0.4657</x:v>
      </x:c>
      <x:c r="E439" s="12" t="n">
        <x:v>0.004646657012846476</x:v>
      </x:c>
      <x:c r="F439" s="12" t="n">
        <x:v>3.4</x:v>
      </x:c>
      <x:c r="G439" s="12" t="n">
        <x:v>340</x:v>
      </x:c>
      <x:c r="H439" s="12" t="n">
        <x:v>-1</x:v>
      </x:c>
      <x:c r="I439" s="12" t="str">
        <x:v>TuShare index_daily</x:v>
      </x:c>
      <x:c r="J439" s="12" t="str">
        <x:v>Archived FRED mirror (Hugging Face)</x:v>
      </x:c>
    </x:row>
    <x:row r="440" ht="18" customHeight="1">
      <x:c r="A440" s="13" t="n">
        <x:v>43242</x:v>
      </x:c>
      <x:c r="B440" s="12" t="n">
        <x:v>3906.2081</x:v>
      </x:c>
      <x:c r="C440" s="12" t="n">
        <x:v>3921.2421</x:v>
      </x:c>
      <x:c r="D440" s="12" t="n">
        <x:v>-0.3834</x:v>
      </x:c>
      <x:c r="E440" s="12" t="n">
        <x:v>-0.0038413578119837126</x:v>
      </x:c>
      <x:c r="F440" s="12" t="n">
        <x:v>3.39</x:v>
      </x:c>
      <x:c r="G440" s="12" t="n">
        <x:v>339</x:v>
      </x:c>
      <x:c r="H440" s="12" t="n">
        <x:v>-1</x:v>
      </x:c>
      <x:c r="I440" s="12" t="str">
        <x:v>TuShare index_daily</x:v>
      </x:c>
      <x:c r="J440" s="12" t="str">
        <x:v>Archived FRED mirror (Hugging Face)</x:v>
      </x:c>
    </x:row>
    <x:row r="441" ht="18" customHeight="1">
      <x:c r="A441" s="13" t="n">
        <x:v>43243</x:v>
      </x:c>
      <x:c r="B441" s="12" t="n">
        <x:v>3854.5825</x:v>
      </x:c>
      <x:c r="C441" s="12" t="n">
        <x:v>3906.2081</x:v>
      </x:c>
      <x:c r="D441" s="12" t="n">
        <x:v>-1.3216</x:v>
      </x:c>
      <x:c r="E441" s="12" t="n">
        <x:v>-0.013304407802632041</x:v>
      </x:c>
      <x:c r="F441" s="12" t="n">
        <x:v>3.48</x:v>
      </x:c>
      <x:c r="G441" s="12" t="n">
        <x:v>348</x:v>
      </x:c>
      <x:c r="H441" s="12" t="n">
        <x:v>9</x:v>
      </x:c>
      <x:c r="I441" s="12" t="str">
        <x:v>TuShare index_daily</x:v>
      </x:c>
      <x:c r="J441" s="12" t="str">
        <x:v>Archived FRED mirror (Hugging Face)</x:v>
      </x:c>
    </x:row>
    <x:row r="442" ht="18" customHeight="1">
      <x:c r="A442" s="13" t="n">
        <x:v>43244</x:v>
      </x:c>
      <x:c r="B442" s="12" t="n">
        <x:v>3827.217</x:v>
      </x:c>
      <x:c r="C442" s="12" t="n">
        <x:v>3854.5825</x:v>
      </x:c>
      <x:c r="D442" s="12" t="n">
        <x:v>-0.7099</x:v>
      </x:c>
      <x:c r="E442" s="12" t="n">
        <x:v>-0.007124793028526381</x:v>
      </x:c>
      <x:c r="F442" s="12" t="n">
        <x:v>3.49</x:v>
      </x:c>
      <x:c r="G442" s="12" t="n">
        <x:v>349</x:v>
      </x:c>
      <x:c r="H442" s="12" t="n">
        <x:v>1</x:v>
      </x:c>
      <x:c r="I442" s="12" t="str">
        <x:v>TuShare index_daily</x:v>
      </x:c>
      <x:c r="J442" s="12" t="str">
        <x:v>Archived FRED mirror (Hugging Face)</x:v>
      </x:c>
    </x:row>
    <x:row r="443" ht="18" customHeight="1">
      <x:c r="A443" s="13" t="n">
        <x:v>43245</x:v>
      </x:c>
      <x:c r="B443" s="12" t="n">
        <x:v>3816.498</x:v>
      </x:c>
      <x:c r="C443" s="12" t="n">
        <x:v>3827.217</x:v>
      </x:c>
      <x:c r="D443" s="12" t="n">
        <x:v>-0.2801</x:v>
      </x:c>
      <x:c r="E443" s="12" t="n">
        <x:v>-0.0028046589979882457</x:v>
      </x:c>
      <x:c r="F443" s="12" t="n">
        <x:v>3.53</x:v>
      </x:c>
      <x:c r="G443" s="12" t="n">
        <x:v>353</x:v>
      </x:c>
      <x:c r="H443" s="12" t="n">
        <x:v>4</x:v>
      </x:c>
      <x:c r="I443" s="12" t="str">
        <x:v>TuShare index_daily</x:v>
      </x:c>
      <x:c r="J443" s="12" t="str">
        <x:v>Archived FRED mirror (Hugging Face)</x:v>
      </x:c>
    </x:row>
    <x:row r="444" ht="18" customHeight="1">
      <x:c r="A444" s="13" t="n">
        <x:v>43248</x:v>
      </x:c>
      <x:c r="B444" s="12" t="n">
        <x:v>3833.2599</x:v>
      </x:c>
      <x:c r="C444" s="12" t="n">
        <x:v>3816.498</x:v>
      </x:c>
      <x:c r="D444" s="12" t="n">
        <x:v>0.4392</x:v>
      </x:c>
      <x:c r="E444" s="12" t="n">
        <x:v>0.004382341779967459</x:v>
      </x:c>
      <x:c r="F444" s="12" t="n">
        <x:v>3.53</x:v>
      </x:c>
      <x:c r="G444" s="12" t="n">
        <x:v>353</x:v>
      </x:c>
      <x:c r="H444" s="12" t="n">
        <x:v>0</x:v>
      </x:c>
      <x:c r="I444" s="12" t="str">
        <x:v>TuShare index_daily</x:v>
      </x:c>
      <x:c r="J444" s="12" t="str">
        <x:v>Archived FRED mirror (Hugging Face)</x:v>
      </x:c>
    </x:row>
    <x:row r="445" ht="18" customHeight="1">
      <x:c r="A445" s="13" t="n">
        <x:v>43249</x:v>
      </x:c>
      <x:c r="B445" s="12" t="n">
        <x:v>3804.0093</x:v>
      </x:c>
      <x:c r="C445" s="12" t="n">
        <x:v>3833.2599</x:v>
      </x:c>
      <x:c r="D445" s="12" t="n">
        <x:v>-0.7631</x:v>
      </x:c>
      <x:c r="E445" s="12" t="n">
        <x:v>-0.007660000520758945</x:v>
      </x:c>
      <x:c r="F445" s="12" t="n">
        <x:v>3.75</x:v>
      </x:c>
      <x:c r="G445" s="12" t="n">
        <x:v>375</x:v>
      </x:c>
      <x:c r="H445" s="12" t="n">
        <x:v>22</x:v>
      </x:c>
      <x:c r="I445" s="12" t="str">
        <x:v>TuShare index_daily</x:v>
      </x:c>
      <x:c r="J445" s="12" t="str">
        <x:v>Archived FRED mirror (Hugging Face)</x:v>
      </x:c>
    </x:row>
    <x:row r="446" ht="18" customHeight="1">
      <x:c r="A446" s="13" t="n">
        <x:v>43250</x:v>
      </x:c>
      <x:c r="B446" s="12" t="n">
        <x:v>3723.3724</x:v>
      </x:c>
      <x:c r="C446" s="12" t="n">
        <x:v>3804.0093</x:v>
      </x:c>
      <x:c r="D446" s="12" t="n">
        <x:v>-2.1198</x:v>
      </x:c>
      <x:c r="E446" s="12" t="n">
        <x:v>-0.02142577272682183</x:v>
      </x:c>
      <x:c r="F446" s="12" t="n">
        <x:v>3.64</x:v>
      </x:c>
      <x:c r="G446" s="12" t="n">
        <x:v>364</x:v>
      </x:c>
      <x:c r="H446" s="12" t="n">
        <x:v>-11</x:v>
      </x:c>
      <x:c r="I446" s="12" t="str">
        <x:v>TuShare index_daily</x:v>
      </x:c>
      <x:c r="J446" s="12" t="str">
        <x:v>Archived FRED mirror (Hugging Face)</x:v>
      </x:c>
    </x:row>
    <x:row r="447" ht="18" customHeight="1">
      <x:c r="A447" s="13" t="n">
        <x:v>43251</x:v>
      </x:c>
      <x:c r="B447" s="12" t="n">
        <x:v>3802.3759</x:v>
      </x:c>
      <x:c r="C447" s="12" t="n">
        <x:v>3723.3724</x:v>
      </x:c>
      <x:c r="D447" s="12" t="n">
        <x:v>2.1218</x:v>
      </x:c>
      <x:c r="E447" s="12" t="n">
        <x:v>0.02099629144703934</x:v>
      </x:c>
      <x:c r="F447" s="12" t="n">
        <x:v>3.63</x:v>
      </x:c>
      <x:c r="G447" s="12" t="n">
        <x:v>363</x:v>
      </x:c>
      <x:c r="H447" s="12" t="n">
        <x:v>-1</x:v>
      </x:c>
      <x:c r="I447" s="12" t="str">
        <x:v>TuShare index_daily</x:v>
      </x:c>
      <x:c r="J447" s="12" t="str">
        <x:v>Archived FRED mirror (Hugging Face)</x:v>
      </x:c>
    </x:row>
    <x:row r="448" ht="18" customHeight="1">
      <x:c r="A448" s="13" t="n">
        <x:v>43252</x:v>
      </x:c>
      <x:c r="B448" s="12" t="n">
        <x:v>3770.5891</x:v>
      </x:c>
      <x:c r="C448" s="12" t="n">
        <x:v>3802.3759</x:v>
      </x:c>
      <x:c r="D448" s="12" t="n">
        <x:v>-0.836</x:v>
      </x:c>
      <x:c r="E448" s="12" t="n">
        <x:v>-0.008394858995770414</x:v>
      </x:c>
      <x:c r="F448" s="12" t="n">
        <x:v>3.55</x:v>
      </x:c>
      <x:c r="G448" s="12" t="n">
        <x:v>355</x:v>
      </x:c>
      <x:c r="H448" s="12" t="n">
        <x:v>-8</x:v>
      </x:c>
      <x:c r="I448" s="12" t="str">
        <x:v>TuShare index_daily</x:v>
      </x:c>
      <x:c r="J448" s="12" t="str">
        <x:v>Archived FRED mirror (Hugging Face)</x:v>
      </x:c>
    </x:row>
    <x:row r="449" ht="18" customHeight="1">
      <x:c r="A449" s="13" t="n">
        <x:v>43255</x:v>
      </x:c>
      <x:c r="B449" s="12" t="n">
        <x:v>3807.5781</x:v>
      </x:c>
      <x:c r="C449" s="12" t="n">
        <x:v>3770.5891</x:v>
      </x:c>
      <x:c r="D449" s="12" t="n">
        <x:v>0.981</x:v>
      </x:c>
      <x:c r="E449" s="12" t="n">
        <x:v>0.009762068524331617</x:v>
      </x:c>
      <x:c r="F449" s="12" t="n">
        <x:v>3.49</x:v>
      </x:c>
      <x:c r="G449" s="12" t="n">
        <x:v>349</x:v>
      </x:c>
      <x:c r="H449" s="12" t="n">
        <x:v>-6</x:v>
      </x:c>
      <x:c r="I449" s="12" t="str">
        <x:v>TuShare index_daily</x:v>
      </x:c>
      <x:c r="J449" s="12" t="str">
        <x:v>Archived FRED mirror (Hugging Face)</x:v>
      </x:c>
    </x:row>
    <x:row r="450" ht="18" customHeight="1">
      <x:c r="A450" s="13" t="n">
        <x:v>43256</x:v>
      </x:c>
      <x:c r="B450" s="12" t="n">
        <x:v>3845.3164</x:v>
      </x:c>
      <x:c r="C450" s="12" t="n">
        <x:v>3807.5781</x:v>
      </x:c>
      <x:c r="D450" s="12" t="n">
        <x:v>0.9911</x:v>
      </x:c>
      <x:c r="E450" s="12" t="n">
        <x:v>0.009862570534798203</x:v>
      </x:c>
      <x:c r="F450" s="12" t="n">
        <x:v>3.5</x:v>
      </x:c>
      <x:c r="G450" s="12" t="n">
        <x:v>350</x:v>
      </x:c>
      <x:c r="H450" s="12" t="n">
        <x:v>1</x:v>
      </x:c>
      <x:c r="I450" s="12" t="str">
        <x:v>TuShare index_daily</x:v>
      </x:c>
      <x:c r="J450" s="12" t="str">
        <x:v>Archived FRED mirror (Hugging Face)</x:v>
      </x:c>
    </x:row>
    <x:row r="451" ht="18" customHeight="1">
      <x:c r="A451" s="13" t="n">
        <x:v>43257</x:v>
      </x:c>
      <x:c r="B451" s="12" t="n">
        <x:v>3837.3511</x:v>
      </x:c>
      <x:c r="C451" s="12" t="n">
        <x:v>3845.3164</x:v>
      </x:c>
      <x:c r="D451" s="12" t="n">
        <x:v>-0.2071</x:v>
      </x:c>
      <x:c r="E451" s="12" t="n">
        <x:v>-0.002073577401091168</x:v>
      </x:c>
      <x:c r="F451" s="12" t="n">
        <x:v>3.44</x:v>
      </x:c>
      <x:c r="G451" s="12" t="n">
        <x:v>344</x:v>
      </x:c>
      <x:c r="H451" s="12" t="n">
        <x:v>-6</x:v>
      </x:c>
      <x:c r="I451" s="12" t="str">
        <x:v>TuShare index_daily</x:v>
      </x:c>
      <x:c r="J451" s="12" t="str">
        <x:v>Archived FRED mirror (Hugging Face)</x:v>
      </x:c>
    </x:row>
    <x:row r="452" ht="18" customHeight="1">
      <x:c r="A452" s="13" t="n">
        <x:v>43258</x:v>
      </x:c>
      <x:c r="B452" s="12" t="n">
        <x:v>3831.0128</x:v>
      </x:c>
      <x:c r="C452" s="12" t="n">
        <x:v>3837.3511</x:v>
      </x:c>
      <x:c r="D452" s="12" t="n">
        <x:v>-0.1652</x:v>
      </x:c>
      <x:c r="E452" s="12" t="n">
        <x:v>-0.0016531039804767416</x:v>
      </x:c>
      <x:c r="F452" s="12" t="n">
        <x:v>3.44</x:v>
      </x:c>
      <x:c r="G452" s="12" t="n">
        <x:v>344</x:v>
      </x:c>
      <x:c r="H452" s="12" t="n">
        <x:v>0</x:v>
      </x:c>
      <x:c r="I452" s="12" t="str">
        <x:v>TuShare index_daily</x:v>
      </x:c>
      <x:c r="J452" s="12" t="str">
        <x:v>Archived FRED mirror (Hugging Face)</x:v>
      </x:c>
    </x:row>
    <x:row r="453" ht="18" customHeight="1">
      <x:c r="A453" s="13" t="n">
        <x:v>43259</x:v>
      </x:c>
      <x:c r="B453" s="12" t="n">
        <x:v>3779.6159</x:v>
      </x:c>
      <x:c r="C453" s="12" t="n">
        <x:v>3831.0128</x:v>
      </x:c>
      <x:c r="D453" s="12" t="n">
        <x:v>-1.3416</x:v>
      </x:c>
      <x:c r="E453" s="12" t="n">
        <x:v>-0.013506816165262114</x:v>
      </x:c>
      <x:c r="F453" s="12" t="n">
        <x:v>3.45</x:v>
      </x:c>
      <x:c r="G453" s="12" t="n">
        <x:v>345</x:v>
      </x:c>
      <x:c r="H453" s="12" t="n">
        <x:v>1</x:v>
      </x:c>
      <x:c r="I453" s="12" t="str">
        <x:v>TuShare index_daily</x:v>
      </x:c>
      <x:c r="J453" s="12" t="str">
        <x:v>Archived FRED mirror (Hugging Face)</x:v>
      </x:c>
    </x:row>
    <x:row r="454" ht="18" customHeight="1">
      <x:c r="A454" s="13" t="n">
        <x:v>43262</x:v>
      </x:c>
      <x:c r="B454" s="12" t="n">
        <x:v>3779.9818</x:v>
      </x:c>
      <x:c r="C454" s="12" t="n">
        <x:v>3779.6159</x:v>
      </x:c>
      <x:c r="D454" s="12" t="n">
        <x:v>0.0097</x:v>
      </x:c>
      <x:c r="E454" s="12" t="n">
        <x:v>0.00009680409323518328</x:v>
      </x:c>
      <x:c r="F454" s="12" t="n">
        <x:v>3.39</x:v>
      </x:c>
      <x:c r="G454" s="12" t="n">
        <x:v>339</x:v>
      </x:c>
      <x:c r="H454" s="12" t="n">
        <x:v>-6</x:v>
      </x:c>
      <x:c r="I454" s="12" t="str">
        <x:v>TuShare index_daily</x:v>
      </x:c>
      <x:c r="J454" s="12" t="str">
        <x:v>Archived FRED mirror (Hugging Face)</x:v>
      </x:c>
    </x:row>
    <x:row r="455" ht="18" customHeight="1">
      <x:c r="A455" s="13" t="n">
        <x:v>43263</x:v>
      </x:c>
      <x:c r="B455" s="12" t="n">
        <x:v>3825.9534</x:v>
      </x:c>
      <x:c r="C455" s="12" t="n">
        <x:v>3779.9818</x:v>
      </x:c>
      <x:c r="D455" s="12" t="n">
        <x:v>1.2162</x:v>
      </x:c>
      <x:c r="E455" s="12" t="n">
        <x:v>0.012088496316527605</x:v>
      </x:c>
      <x:c r="F455" s="12" t="n">
        <x:v>3.38</x:v>
      </x:c>
      <x:c r="G455" s="12" t="n">
        <x:v>338</x:v>
      </x:c>
      <x:c r="H455" s="12" t="n">
        <x:v>-1</x:v>
      </x:c>
      <x:c r="I455" s="12" t="str">
        <x:v>TuShare index_daily</x:v>
      </x:c>
      <x:c r="J455" s="12" t="str">
        <x:v>Archived FRED mirror (Hugging Face)</x:v>
      </x:c>
    </x:row>
    <x:row r="456" ht="18" customHeight="1">
      <x:c r="A456" s="13" t="n">
        <x:v>43264</x:v>
      </x:c>
      <x:c r="B456" s="12" t="n">
        <x:v>3788.3391</x:v>
      </x:c>
      <x:c r="C456" s="12" t="n">
        <x:v>3825.9534</x:v>
      </x:c>
      <x:c r="D456" s="12" t="n">
        <x:v>-0.9831</x:v>
      </x:c>
      <x:c r="E456" s="12" t="n">
        <x:v>-0.00988000026904556</x:v>
      </x:c>
      <x:c r="F456" s="12" t="n">
        <x:v>3.33</x:v>
      </x:c>
      <x:c r="G456" s="12" t="n">
        <x:v>333</x:v>
      </x:c>
      <x:c r="H456" s="12" t="n">
        <x:v>-5</x:v>
      </x:c>
      <x:c r="I456" s="12" t="str">
        <x:v>TuShare index_daily</x:v>
      </x:c>
      <x:c r="J456" s="12" t="str">
        <x:v>Archived FRED mirror (Hugging Face)</x:v>
      </x:c>
    </x:row>
    <x:row r="457" ht="18" customHeight="1">
      <x:c r="A457" s="13" t="n">
        <x:v>43265</x:v>
      </x:c>
      <x:c r="B457" s="12" t="n">
        <x:v>3773.3655</x:v>
      </x:c>
      <x:c r="C457" s="12" t="n">
        <x:v>3788.3391</x:v>
      </x:c>
      <x:c r="D457" s="12" t="n">
        <x:v>-0.3953</x:v>
      </x:c>
      <x:c r="E457" s="12" t="n">
        <x:v>-0.003960382046998095</x:v>
      </x:c>
      <x:c r="F457" s="12" t="n">
        <x:v>3.31</x:v>
      </x:c>
      <x:c r="G457" s="12" t="n">
        <x:v>331</x:v>
      </x:c>
      <x:c r="H457" s="12" t="n">
        <x:v>-2</x:v>
      </x:c>
      <x:c r="I457" s="12" t="str">
        <x:v>TuShare index_daily</x:v>
      </x:c>
      <x:c r="J457" s="12" t="str">
        <x:v>Archived FRED mirror (Hugging Face)</x:v>
      </x:c>
    </x:row>
    <x:row r="458" ht="18" customHeight="1">
      <x:c r="A458" s="13" t="n">
        <x:v>43266</x:v>
      </x:c>
      <x:c r="B458" s="12" t="n">
        <x:v>3753.4338</x:v>
      </x:c>
      <x:c r="C458" s="12" t="n">
        <x:v>3773.3655</x:v>
      </x:c>
      <x:c r="D458" s="12" t="n">
        <x:v>-0.5282</x:v>
      </x:c>
      <x:c r="E458" s="12" t="n">
        <x:v>-0.0052962078024381964</x:v>
      </x:c>
      <x:c r="F458" s="12" t="n">
        <x:v>3.33</x:v>
      </x:c>
      <x:c r="G458" s="12" t="n">
        <x:v>333</x:v>
      </x:c>
      <x:c r="H458" s="12" t="n">
        <x:v>2</x:v>
      </x:c>
      <x:c r="I458" s="12" t="str">
        <x:v>TuShare index_daily</x:v>
      </x:c>
      <x:c r="J458" s="12" t="str">
        <x:v>Archived FRED mirror (Hugging Face)</x:v>
      </x:c>
    </x:row>
    <x:row r="459" ht="18" customHeight="1">
      <x:c r="A459" s="13" t="n">
        <x:v>43270</x:v>
      </x:c>
      <x:c r="B459" s="12" t="n">
        <x:v>3621.1166</x:v>
      </x:c>
      <x:c r="C459" s="12" t="n">
        <x:v>3753.4338</x:v>
      </x:c>
      <x:c r="D459" s="12" t="n">
        <x:v>-3.5252</x:v>
      </x:c>
      <x:c r="E459" s="12" t="n">
        <x:v>-0.035888669688640594</x:v>
      </x:c>
      <x:c r="F459" s="12" t="n">
        <x:v>3.4</x:v>
      </x:c>
      <x:c r="G459" s="12" t="n">
        <x:v>340</x:v>
      </x:c>
      <x:c r="H459" s="12" t="n">
        <x:v>6</x:v>
      </x:c>
      <x:c r="I459" s="12" t="str">
        <x:v>TuShare index_daily</x:v>
      </x:c>
      <x:c r="J459" s="12" t="str">
        <x:v>Archived FRED mirror (Hugging Face)</x:v>
      </x:c>
    </x:row>
    <x:row r="460" ht="18" customHeight="1">
      <x:c r="A460" s="13" t="n">
        <x:v>43271</x:v>
      </x:c>
      <x:c r="B460" s="12" t="n">
        <x:v>3635.4436</x:v>
      </x:c>
      <x:c r="C460" s="12" t="n">
        <x:v>3621.1166</x:v>
      </x:c>
      <x:c r="D460" s="12" t="n">
        <x:v>0.3957</x:v>
      </x:c>
      <x:c r="E460" s="12" t="n">
        <x:v>0.00394870798864066</x:v>
      </x:c>
      <x:c r="F460" s="12" t="n">
        <x:v>3.34</x:v>
      </x:c>
      <x:c r="G460" s="12" t="n">
        <x:v>334</x:v>
      </x:c>
      <x:c r="H460" s="12" t="n">
        <x:v>-6</x:v>
      </x:c>
      <x:c r="I460" s="12" t="str">
        <x:v>TuShare index_daily</x:v>
      </x:c>
      <x:c r="J460" s="12" t="str">
        <x:v>Archived FRED mirror (Hugging Face)</x:v>
      </x:c>
    </x:row>
    <x:row r="461" ht="18" customHeight="1">
      <x:c r="A461" s="13" t="n">
        <x:v>43272</x:v>
      </x:c>
      <x:c r="B461" s="12" t="n">
        <x:v>3592.965</x:v>
      </x:c>
      <x:c r="C461" s="12" t="n">
        <x:v>3635.4436</x:v>
      </x:c>
      <x:c r="D461" s="12" t="n">
        <x:v>-1.1685</x:v>
      </x:c>
      <x:c r="E461" s="12" t="n">
        <x:v>-0.011753372382572898</x:v>
      </x:c>
      <x:c r="F461" s="12" t="n">
        <x:v>3.39</x:v>
      </x:c>
      <x:c r="G461" s="12" t="n">
        <x:v>339</x:v>
      </x:c>
      <x:c r="H461" s="12" t="n">
        <x:v>5</x:v>
      </x:c>
      <x:c r="I461" s="12" t="str">
        <x:v>TuShare index_daily</x:v>
      </x:c>
      <x:c r="J461" s="12" t="str">
        <x:v>Archived FRED mirror (Hugging Face)</x:v>
      </x:c>
    </x:row>
    <x:row r="462" ht="18" customHeight="1">
      <x:c r="A462" s="13" t="n">
        <x:v>43273</x:v>
      </x:c>
      <x:c r="B462" s="12" t="n">
        <x:v>3608.9046</x:v>
      </x:c>
      <x:c r="C462" s="12" t="n">
        <x:v>3592.965</x:v>
      </x:c>
      <x:c r="D462" s="12" t="n">
        <x:v>0.4436</x:v>
      </x:c>
      <x:c r="E462" s="12" t="n">
        <x:v>0.00442652447549438</x:v>
      </x:c>
      <x:c r="F462" s="12" t="n">
        <x:v>3.39</x:v>
      </x:c>
      <x:c r="G462" s="12" t="n">
        <x:v>339</x:v>
      </x:c>
      <x:c r="H462" s="12" t="n">
        <x:v>0</x:v>
      </x:c>
      <x:c r="I462" s="12" t="str">
        <x:v>TuShare index_daily</x:v>
      </x:c>
      <x:c r="J462" s="12" t="str">
        <x:v>Archived FRED mirror (Hugging Face)</x:v>
      </x:c>
    </x:row>
    <x:row r="463" ht="18" customHeight="1">
      <x:c r="A463" s="13" t="n">
        <x:v>43276</x:v>
      </x:c>
      <x:c r="B463" s="12" t="n">
        <x:v>3560.4777</x:v>
      </x:c>
      <x:c r="C463" s="12" t="n">
        <x:v>3608.9046</x:v>
      </x:c>
      <x:c r="D463" s="12" t="n">
        <x:v>-1.3419</x:v>
      </x:c>
      <x:c r="E463" s="12" t="n">
        <x:v>-0.01350957014091455</x:v>
      </x:c>
      <x:c r="F463" s="12" t="n">
        <x:v>3.47</x:v>
      </x:c>
      <x:c r="G463" s="12" t="n">
        <x:v>347</x:v>
      </x:c>
      <x:c r="H463" s="12" t="n">
        <x:v>8</x:v>
      </x:c>
      <x:c r="I463" s="12" t="str">
        <x:v>TuShare index_daily</x:v>
      </x:c>
      <x:c r="J463" s="12" t="str">
        <x:v>Archived FRED mirror (Hugging Face)</x:v>
      </x:c>
    </x:row>
    <x:row r="464" ht="18" customHeight="1">
      <x:c r="A464" s="13" t="n">
        <x:v>43277</x:v>
      </x:c>
      <x:c r="B464" s="12" t="n">
        <x:v>3531.1112</x:v>
      </x:c>
      <x:c r="C464" s="12" t="n">
        <x:v>3560.4777</x:v>
      </x:c>
      <x:c r="D464" s="12" t="n">
        <x:v>-0.8248</x:v>
      </x:c>
      <x:c r="E464" s="12" t="n">
        <x:v>-0.008282112309727857</x:v>
      </x:c>
      <x:c r="F464" s="12" t="n">
        <x:v>3.48</x:v>
      </x:c>
      <x:c r="G464" s="12" t="n">
        <x:v>348</x:v>
      </x:c>
      <x:c r="H464" s="12" t="n">
        <x:v>1</x:v>
      </x:c>
      <x:c r="I464" s="12" t="str">
        <x:v>TuShare index_daily</x:v>
      </x:c>
      <x:c r="J464" s="12" t="str">
        <x:v>Archived FRED mirror (Hugging Face)</x:v>
      </x:c>
    </x:row>
    <x:row r="465" ht="18" customHeight="1">
      <x:c r="A465" s="13" t="n">
        <x:v>43278</x:v>
      </x:c>
      <x:c r="B465" s="12" t="n">
        <x:v>3459.2621</x:v>
      </x:c>
      <x:c r="C465" s="12" t="n">
        <x:v>3531.1112</x:v>
      </x:c>
      <x:c r="D465" s="12" t="n">
        <x:v>-2.0347</x:v>
      </x:c>
      <x:c r="E465" s="12" t="n">
        <x:v>-0.02055730851614087</x:v>
      </x:c>
      <x:c r="F465" s="12" t="n">
        <x:v>3.56</x:v>
      </x:c>
      <x:c r="G465" s="12" t="n">
        <x:v>356</x:v>
      </x:c>
      <x:c r="H465" s="12" t="n">
        <x:v>8</x:v>
      </x:c>
      <x:c r="I465" s="12" t="str">
        <x:v>TuShare index_daily</x:v>
      </x:c>
      <x:c r="J465" s="12" t="str">
        <x:v>Archived FRED mirror (Hugging Face)</x:v>
      </x:c>
    </x:row>
    <x:row r="466" ht="18" customHeight="1">
      <x:c r="A466" s="13" t="n">
        <x:v>43279</x:v>
      </x:c>
      <x:c r="B466" s="12" t="n">
        <x:v>3423.5255</x:v>
      </x:c>
      <x:c r="C466" s="12" t="n">
        <x:v>3459.2621</x:v>
      </x:c>
      <x:c r="D466" s="12" t="n">
        <x:v>-1.0331</x:v>
      </x:c>
      <x:c r="E466" s="12" t="n">
        <x:v>-0.0103844323604346</x:v>
      </x:c>
      <x:c r="F466" s="12" t="n">
        <x:v>3.64</x:v>
      </x:c>
      <x:c r="G466" s="12" t="n">
        <x:v>364</x:v>
      </x:c>
      <x:c r="H466" s="12" t="n">
        <x:v>8</x:v>
      </x:c>
      <x:c r="I466" s="12" t="str">
        <x:v>TuShare index_daily</x:v>
      </x:c>
      <x:c r="J466" s="12" t="str">
        <x:v>Archived FRED mirror (Hugging Face)</x:v>
      </x:c>
    </x:row>
    <x:row r="467" ht="18" customHeight="1">
      <x:c r="A467" s="13" t="n">
        <x:v>43280</x:v>
      </x:c>
      <x:c r="B467" s="12" t="n">
        <x:v>3510.9845</x:v>
      </x:c>
      <x:c r="C467" s="12" t="n">
        <x:v>3423.5255</x:v>
      </x:c>
      <x:c r="D467" s="12" t="n">
        <x:v>2.5546</x:v>
      </x:c>
      <x:c r="E467" s="12" t="n">
        <x:v>0.025225614411043255</x:v>
      </x:c>
      <x:c r="F467" s="12" t="n">
        <x:v>3.61</x:v>
      </x:c>
      <x:c r="G467" s="12" t="n">
        <x:v>361</x:v>
      </x:c>
      <x:c r="H467" s="12" t="n">
        <x:v>-3</x:v>
      </x:c>
      <x:c r="I467" s="12" t="str">
        <x:v>TuShare index_daily</x:v>
      </x:c>
      <x:c r="J467" s="12" t="str">
        <x:v>Archived FRED mirror (Hugging Face)</x:v>
      </x:c>
    </x:row>
    <x:row r="468" ht="18" customHeight="1">
      <x:c r="A468" s="13" t="n">
        <x:v>43283</x:v>
      </x:c>
      <x:c r="B468" s="12" t="n">
        <x:v>3407.9638</x:v>
      </x:c>
      <x:c r="C468" s="12" t="n">
        <x:v>3510.9845</x:v>
      </x:c>
      <x:c r="D468" s="12" t="n">
        <x:v>-2.9342</x:v>
      </x:c>
      <x:c r="E468" s="12" t="n">
        <x:v>-0.029781495634955715</x:v>
      </x:c>
      <x:c r="F468" s="12" t="n">
        <x:v>3.78</x:v>
      </x:c>
      <x:c r="G468" s="12" t="n">
        <x:v>378</x:v>
      </x:c>
      <x:c r="H468" s="12" t="n">
        <x:v>7</x:v>
      </x:c>
      <x:c r="I468" s="12" t="str">
        <x:v>TuShare index_daily</x:v>
      </x:c>
      <x:c r="J468" s="12" t="str">
        <x:v>Archived FRED mirror (Hugging Face)</x:v>
      </x:c>
    </x:row>
    <x:row r="469" ht="18" customHeight="1">
      <x:c r="A469" s="13" t="n">
        <x:v>43284</x:v>
      </x:c>
      <x:c r="B469" s="12" t="n">
        <x:v>3409.2801</x:v>
      </x:c>
      <x:c r="C469" s="12" t="n">
        <x:v>3407.9638</x:v>
      </x:c>
      <x:c r="D469" s="12" t="n">
        <x:v>0.0386</x:v>
      </x:c>
      <x:c r="E469" s="12" t="n">
        <x:v>0.0003861677932213714</x:v>
      </x:c>
      <x:c r="F469" s="12" t="n">
        <x:v>3.77</x:v>
      </x:c>
      <x:c r="G469" s="12" t="n">
        <x:v>377</x:v>
      </x:c>
      <x:c r="H469" s="12" t="n">
        <x:v>-1</x:v>
      </x:c>
      <x:c r="I469" s="12" t="str">
        <x:v>TuShare index_daily</x:v>
      </x:c>
      <x:c r="J469" s="12" t="str">
        <x:v>Archived FRED mirror (Hugging Face)</x:v>
      </x:c>
    </x:row>
    <x:row r="470" ht="18" customHeight="1">
      <x:c r="A470" s="13" t="n">
        <x:v>43285</x:v>
      </x:c>
      <x:c r="B470" s="12" t="n">
        <x:v>3363.7473</x:v>
      </x:c>
      <x:c r="C470" s="12" t="n">
        <x:v>3409.2801</x:v>
      </x:c>
      <x:c r="D470" s="12" t="n">
        <x:v>-1.3356</x:v>
      </x:c>
      <x:c r="E470" s="12" t="n">
        <x:v>-0.013445534255077423</x:v>
      </x:c>
      <x:c r="F470" s="12" t="n">
        <x:v>3.77</x:v>
      </x:c>
      <x:c r="G470" s="12" t="n">
        <x:v>377</x:v>
      </x:c>
      <x:c r="H470" s="12" t="n">
        <x:v>0</x:v>
      </x:c>
      <x:c r="I470" s="12" t="str">
        <x:v>TuShare index_daily</x:v>
      </x:c>
      <x:c r="J470" s="12" t="str">
        <x:v>Archived FRED mirror (Hugging Face)</x:v>
      </x:c>
    </x:row>
    <x:row r="471" ht="18" customHeight="1">
      <x:c r="A471" s="13" t="n">
        <x:v>43286</x:v>
      </x:c>
      <x:c r="B471" s="12" t="n">
        <x:v>3342.4379</x:v>
      </x:c>
      <x:c r="C471" s="12" t="n">
        <x:v>3363.7473</x:v>
      </x:c>
      <x:c r="D471" s="12" t="n">
        <x:v>-0.6335</x:v>
      </x:c>
      <x:c r="E471" s="12" t="n">
        <x:v>-0.0063551694697030125</x:v>
      </x:c>
      <x:c r="F471" s="12" t="n">
        <x:v>3.74</x:v>
      </x:c>
      <x:c r="G471" s="12" t="n">
        <x:v>374</x:v>
      </x:c>
      <x:c r="H471" s="12" t="n">
        <x:v>-3</x:v>
      </x:c>
      <x:c r="I471" s="12" t="str">
        <x:v>TuShare index_daily</x:v>
      </x:c>
      <x:c r="J471" s="12" t="str">
        <x:v>Archived FRED mirror (Hugging Face)</x:v>
      </x:c>
    </x:row>
    <x:row r="472" ht="18" customHeight="1">
      <x:c r="A472" s="13" t="n">
        <x:v>43287</x:v>
      </x:c>
      <x:c r="B472" s="12" t="n">
        <x:v>3365.1227</x:v>
      </x:c>
      <x:c r="C472" s="12" t="n">
        <x:v>3342.4379</x:v>
      </x:c>
      <x:c r="D472" s="12" t="n">
        <x:v>0.6787</x:v>
      </x:c>
      <x:c r="E472" s="12" t="n">
        <x:v>0.006763975114381641</x:v>
      </x:c>
      <x:c r="F472" s="12" t="n">
        <x:v>3.74</x:v>
      </x:c>
      <x:c r="G472" s="12" t="n">
        <x:v>374</x:v>
      </x:c>
      <x:c r="H472" s="12" t="n">
        <x:v>0</x:v>
      </x:c>
      <x:c r="I472" s="12" t="str">
        <x:v>TuShare index_daily</x:v>
      </x:c>
      <x:c r="J472" s="12" t="str">
        <x:v>Archived FRED mirror (Hugging Face)</x:v>
      </x:c>
    </x:row>
    <x:row r="473" ht="18" customHeight="1">
      <x:c r="A473" s="13" t="n">
        <x:v>43290</x:v>
      </x:c>
      <x:c r="B473" s="12" t="n">
        <x:v>3459.1837</x:v>
      </x:c>
      <x:c r="C473" s="12" t="n">
        <x:v>3365.1227</x:v>
      </x:c>
      <x:c r="D473" s="12" t="n">
        <x:v>2.7952</x:v>
      </x:c>
      <x:c r="E473" s="12" t="n">
        <x:v>0.027568210351744886</x:v>
      </x:c>
      <x:c r="F473" s="12" t="n">
        <x:v>3.65</x:v>
      </x:c>
      <x:c r="G473" s="12" t="n">
        <x:v>365</x:v>
      </x:c>
      <x:c r="H473" s="12" t="n">
        <x:v>-9</x:v>
      </x:c>
      <x:c r="I473" s="12" t="str">
        <x:v>TuShare index_daily</x:v>
      </x:c>
      <x:c r="J473" s="12" t="str">
        <x:v>Archived FRED mirror (Hugging Face)</x:v>
      </x:c>
    </x:row>
    <x:row r="474" ht="18" customHeight="1">
      <x:c r="A474" s="13" t="n">
        <x:v>43291</x:v>
      </x:c>
      <x:c r="B474" s="12" t="n">
        <x:v>3467.5155</x:v>
      </x:c>
      <x:c r="C474" s="12" t="n">
        <x:v>3459.1837</x:v>
      </x:c>
      <x:c r="D474" s="12" t="n">
        <x:v>0.2409</x:v>
      </x:c>
      <x:c r="E474" s="12" t="n">
        <x:v>0.002405706896671865</x:v>
      </x:c>
      <x:c r="F474" s="12" t="n">
        <x:v>3.59</x:v>
      </x:c>
      <x:c r="G474" s="12" t="n">
        <x:v>359</x:v>
      </x:c>
      <x:c r="H474" s="12" t="n">
        <x:v>-6</x:v>
      </x:c>
      <x:c r="I474" s="12" t="str">
        <x:v>TuShare index_daily</x:v>
      </x:c>
      <x:c r="J474" s="12" t="str">
        <x:v>Archived FRED mirror (Hugging Face)</x:v>
      </x:c>
    </x:row>
    <x:row r="475" ht="18" customHeight="1">
      <x:c r="A475" s="13" t="n">
        <x:v>43292</x:v>
      </x:c>
      <x:c r="B475" s="12" t="n">
        <x:v>3407.5297</x:v>
      </x:c>
      <x:c r="C475" s="12" t="n">
        <x:v>3467.5155</x:v>
      </x:c>
      <x:c r="D475" s="12" t="n">
        <x:v>-1.7299</x:v>
      </x:c>
      <x:c r="E475" s="12" t="n">
        <x:v>-0.017450742658102533</x:v>
      </x:c>
      <x:c r="F475" s="12" t="n">
        <x:v>3.66</x:v>
      </x:c>
      <x:c r="G475" s="12" t="n">
        <x:v>366</x:v>
      </x:c>
      <x:c r="H475" s="12" t="n">
        <x:v>7</x:v>
      </x:c>
      <x:c r="I475" s="12" t="str">
        <x:v>TuShare index_daily</x:v>
      </x:c>
      <x:c r="J475" s="12" t="str">
        <x:v>Archived FRED mirror (Hugging Face)</x:v>
      </x:c>
    </x:row>
    <x:row r="476" ht="18" customHeight="1">
      <x:c r="A476" s="13" t="n">
        <x:v>43293</x:v>
      </x:c>
      <x:c r="B476" s="12" t="n">
        <x:v>3481.0559</x:v>
      </x:c>
      <x:c r="C476" s="12" t="n">
        <x:v>3407.5297</x:v>
      </x:c>
      <x:c r="D476" s="12" t="n">
        <x:v>2.1578</x:v>
      </x:c>
      <x:c r="E476" s="12" t="n">
        <x:v>0.021348066686149133</x:v>
      </x:c>
      <x:c r="F476" s="12" t="n">
        <x:v>3.61</x:v>
      </x:c>
      <x:c r="G476" s="12" t="n">
        <x:v>361</x:v>
      </x:c>
      <x:c r="H476" s="12" t="n">
        <x:v>-5</x:v>
      </x:c>
      <x:c r="I476" s="12" t="str">
        <x:v>TuShare index_daily</x:v>
      </x:c>
      <x:c r="J476" s="12" t="str">
        <x:v>Archived FRED mirror (Hugging Face)</x:v>
      </x:c>
    </x:row>
    <x:row r="477" ht="18" customHeight="1">
      <x:c r="A477" s="13" t="n">
        <x:v>43294</x:v>
      </x:c>
      <x:c r="B477" s="12" t="n">
        <x:v>3492.6897</x:v>
      </x:c>
      <x:c r="C477" s="12" t="n">
        <x:v>3481.0559</x:v>
      </x:c>
      <x:c r="D477" s="12" t="n">
        <x:v>0.3342</x:v>
      </x:c>
      <x:c r="E477" s="12" t="n">
        <x:v>0.0033364597619537804</x:v>
      </x:c>
      <x:c r="F477" s="12" t="n">
        <x:v>3.62</x:v>
      </x:c>
      <x:c r="G477" s="12" t="n">
        <x:v>362</x:v>
      </x:c>
      <x:c r="H477" s="12" t="n">
        <x:v>1</x:v>
      </x:c>
      <x:c r="I477" s="12" t="str">
        <x:v>TuShare index_daily</x:v>
      </x:c>
      <x:c r="J477" s="12" t="str">
        <x:v>Archived FRED mirror (Hugging Face)</x:v>
      </x:c>
    </x:row>
    <x:row r="478" ht="18" customHeight="1">
      <x:c r="A478" s="13" t="n">
        <x:v>43297</x:v>
      </x:c>
      <x:c r="B478" s="12" t="n">
        <x:v>3472.0859</x:v>
      </x:c>
      <x:c r="C478" s="12" t="n">
        <x:v>3492.6897</x:v>
      </x:c>
      <x:c r="D478" s="12" t="n">
        <x:v>-0.5899</x:v>
      </x:c>
      <x:c r="E478" s="12" t="n">
        <x:v>-0.005916589790701419</x:v>
      </x:c>
      <x:c r="F478" s="12" t="n">
        <x:v>3.59</x:v>
      </x:c>
      <x:c r="G478" s="12" t="n">
        <x:v>359</x:v>
      </x:c>
      <x:c r="H478" s="12" t="n">
        <x:v>-3</x:v>
      </x:c>
      <x:c r="I478" s="12" t="str">
        <x:v>TuShare index_daily</x:v>
      </x:c>
      <x:c r="J478" s="12" t="str">
        <x:v>Archived FRED mirror (Hugging Face)</x:v>
      </x:c>
    </x:row>
    <x:row r="479" ht="18" customHeight="1">
      <x:c r="A479" s="13" t="n">
        <x:v>43298</x:v>
      </x:c>
      <x:c r="B479" s="12" t="n">
        <x:v>3449.3773</x:v>
      </x:c>
      <x:c r="C479" s="12" t="n">
        <x:v>3472.0859</x:v>
      </x:c>
      <x:c r="D479" s="12" t="n">
        <x:v>-0.654</x:v>
      </x:c>
      <x:c r="E479" s="12" t="n">
        <x:v>-0.0065618152765978205</x:v>
      </x:c>
      <x:c r="F479" s="12" t="n">
        <x:v>3.58</x:v>
      </x:c>
      <x:c r="G479" s="12" t="n">
        <x:v>358</x:v>
      </x:c>
      <x:c r="H479" s="12" t="n">
        <x:v>-1</x:v>
      </x:c>
      <x:c r="I479" s="12" t="str">
        <x:v>TuShare index_daily</x:v>
      </x:c>
      <x:c r="J479" s="12" t="str">
        <x:v>Archived FRED mirror (Hugging Face)</x:v>
      </x:c>
    </x:row>
    <x:row r="480" ht="18" customHeight="1">
      <x:c r="A480" s="13" t="n">
        <x:v>43299</x:v>
      </x:c>
      <x:c r="B480" s="12" t="n">
        <x:v>3431.3227</x:v>
      </x:c>
      <x:c r="C480" s="12" t="n">
        <x:v>3449.3773</x:v>
      </x:c>
      <x:c r="D480" s="12" t="n">
        <x:v>-0.5234</x:v>
      </x:c>
      <x:c r="E480" s="12" t="n">
        <x:v>-0.005247908333775128</x:v>
      </x:c>
      <x:c r="F480" s="12" t="n">
        <x:v>3.56</x:v>
      </x:c>
      <x:c r="G480" s="12" t="n">
        <x:v>356</x:v>
      </x:c>
      <x:c r="H480" s="12" t="n">
        <x:v>-2</x:v>
      </x:c>
      <x:c r="I480" s="12" t="str">
        <x:v>TuShare index_daily</x:v>
      </x:c>
      <x:c r="J480" s="12" t="str">
        <x:v>Archived FRED mirror (Hugging Face)</x:v>
      </x:c>
    </x:row>
    <x:row r="481" ht="18" customHeight="1">
      <x:c r="A481" s="13" t="n">
        <x:v>43300</x:v>
      </x:c>
      <x:c r="B481" s="12" t="n">
        <x:v>3428.343</x:v>
      </x:c>
      <x:c r="C481" s="12" t="n">
        <x:v>3431.3227</x:v>
      </x:c>
      <x:c r="D481" s="12" t="n">
        <x:v>-0.0868</x:v>
      </x:c>
      <x:c r="E481" s="12" t="n">
        <x:v>-0.000868759592004376</x:v>
      </x:c>
      <x:c r="F481" s="12" t="n">
        <x:v>3.59</x:v>
      </x:c>
      <x:c r="G481" s="12" t="n">
        <x:v>359</x:v>
      </x:c>
      <x:c r="H481" s="12" t="n">
        <x:v>3</x:v>
      </x:c>
      <x:c r="I481" s="12" t="str">
        <x:v>TuShare index_daily</x:v>
      </x:c>
      <x:c r="J481" s="12" t="str">
        <x:v>Archived FRED mirror (Hugging Face)</x:v>
      </x:c>
    </x:row>
    <x:row r="482" ht="18" customHeight="1">
      <x:c r="A482" s="13" t="n">
        <x:v>43301</x:v>
      </x:c>
      <x:c r="B482" s="12" t="n">
        <x:v>3492.8938</x:v>
      </x:c>
      <x:c r="C482" s="12" t="n">
        <x:v>3428.343</x:v>
      </x:c>
      <x:c r="D482" s="12" t="n">
        <x:v>1.8829</x:v>
      </x:c>
      <x:c r="E482" s="12" t="n">
        <x:v>0.018653507624934004</x:v>
      </x:c>
      <x:c r="F482" s="12" t="n">
        <x:v>3.55</x:v>
      </x:c>
      <x:c r="G482" s="12" t="n">
        <x:v>355</x:v>
      </x:c>
      <x:c r="H482" s="12" t="n">
        <x:v>-4</x:v>
      </x:c>
      <x:c r="I482" s="12" t="str">
        <x:v>TuShare index_daily</x:v>
      </x:c>
      <x:c r="J482" s="12" t="str">
        <x:v>Archived FRED mirror (Hugging Face)</x:v>
      </x:c>
    </x:row>
    <x:row r="483" ht="18" customHeight="1">
      <x:c r="A483" s="13" t="n">
        <x:v>43304</x:v>
      </x:c>
      <x:c r="B483" s="12" t="n">
        <x:v>3525.7503</x:v>
      </x:c>
      <x:c r="C483" s="12" t="n">
        <x:v>3492.8938</x:v>
      </x:c>
      <x:c r="D483" s="12" t="n">
        <x:v>0.9407</x:v>
      </x:c>
      <x:c r="E483" s="12" t="n">
        <x:v>0.009362702980465857</x:v>
      </x:c>
      <x:c r="F483" s="12" t="n">
        <x:v>3.5</x:v>
      </x:c>
      <x:c r="G483" s="12" t="n">
        <x:v>350</x:v>
      </x:c>
      <x:c r="H483" s="12" t="n">
        <x:v>-5</x:v>
      </x:c>
      <x:c r="I483" s="12" t="str">
        <x:v>TuShare index_daily</x:v>
      </x:c>
      <x:c r="J483" s="12" t="str">
        <x:v>Archived FRED mirror (Hugging Face)</x:v>
      </x:c>
    </x:row>
    <x:row r="484" ht="18" customHeight="1">
      <x:c r="A484" s="13" t="n">
        <x:v>43305</x:v>
      </x:c>
      <x:c r="B484" s="12" t="n">
        <x:v>3581.7057</x:v>
      </x:c>
      <x:c r="C484" s="12" t="n">
        <x:v>3525.7503</x:v>
      </x:c>
      <x:c r="D484" s="12" t="n">
        <x:v>1.587</x:v>
      </x:c>
      <x:c r="E484" s="12" t="n">
        <x:v>0.015745874780628118</x:v>
      </x:c>
      <x:c r="F484" s="12" t="n">
        <x:v>3.47</x:v>
      </x:c>
      <x:c r="G484" s="12" t="n">
        <x:v>347</x:v>
      </x:c>
      <x:c r="H484" s="12" t="n">
        <x:v>-3</x:v>
      </x:c>
      <x:c r="I484" s="12" t="str">
        <x:v>TuShare index_daily</x:v>
      </x:c>
      <x:c r="J484" s="12" t="str">
        <x:v>Archived FRED mirror (Hugging Face)</x:v>
      </x:c>
    </x:row>
    <x:row r="485" ht="18" customHeight="1">
      <x:c r="A485" s="13" t="n">
        <x:v>43306</x:v>
      </x:c>
      <x:c r="B485" s="12" t="n">
        <x:v>3577.7522</x:v>
      </x:c>
      <x:c r="C485" s="12" t="n">
        <x:v>3581.7057</x:v>
      </x:c>
      <x:c r="D485" s="12" t="n">
        <x:v>-0.1104</x:v>
      </x:c>
      <x:c r="E485" s="12" t="n">
        <x:v>-0.001104413338850653</x:v>
      </x:c>
      <x:c r="F485" s="12" t="n">
        <x:v>3.48</x:v>
      </x:c>
      <x:c r="G485" s="12" t="n">
        <x:v>348</x:v>
      </x:c>
      <x:c r="H485" s="12" t="n">
        <x:v>1</x:v>
      </x:c>
      <x:c r="I485" s="12" t="str">
        <x:v>TuShare index_daily</x:v>
      </x:c>
      <x:c r="J485" s="12" t="str">
        <x:v>Archived FRED mirror (Hugging Face)</x:v>
      </x:c>
    </x:row>
    <x:row r="486" ht="18" customHeight="1">
      <x:c r="A486" s="13" t="n">
        <x:v>43307</x:v>
      </x:c>
      <x:c r="B486" s="12" t="n">
        <x:v>3536.2456</x:v>
      </x:c>
      <x:c r="C486" s="12" t="n">
        <x:v>3577.7522</x:v>
      </x:c>
      <x:c r="D486" s="12" t="n">
        <x:v>-1.1601</x:v>
      </x:c>
      <x:c r="E486" s="12" t="n">
        <x:v>-0.011669126743320535</x:v>
      </x:c>
      <x:c r="F486" s="12" t="n">
        <x:v>3.42</x:v>
      </x:c>
      <x:c r="G486" s="12" t="n">
        <x:v>342</x:v>
      </x:c>
      <x:c r="H486" s="12" t="n">
        <x:v>-6</x:v>
      </x:c>
      <x:c r="I486" s="12" t="str">
        <x:v>TuShare index_daily</x:v>
      </x:c>
      <x:c r="J486" s="12" t="str">
        <x:v>Archived FRED mirror (Hugging Face)</x:v>
      </x:c>
    </x:row>
    <x:row r="487" ht="18" customHeight="1">
      <x:c r="A487" s="13" t="n">
        <x:v>43308</x:v>
      </x:c>
      <x:c r="B487" s="12" t="n">
        <x:v>3521.2269</x:v>
      </x:c>
      <x:c r="C487" s="12" t="n">
        <x:v>3536.2456</x:v>
      </x:c>
      <x:c r="D487" s="12" t="n">
        <x:v>-0.4247</x:v>
      </x:c>
      <x:c r="E487" s="12" t="n">
        <x:v>-0.004256119360411777</x:v>
      </x:c>
      <x:c r="F487" s="12" t="n">
        <x:v>3.42</x:v>
      </x:c>
      <x:c r="G487" s="12" t="n">
        <x:v>342</x:v>
      </x:c>
      <x:c r="H487" s="12" t="n">
        <x:v>0</x:v>
      </x:c>
      <x:c r="I487" s="12" t="str">
        <x:v>TuShare index_daily</x:v>
      </x:c>
      <x:c r="J487" s="12" t="str">
        <x:v>Archived FRED mirror (Hugging Face)</x:v>
      </x:c>
    </x:row>
    <x:row r="488" ht="18" customHeight="1">
      <x:c r="A488" s="13" t="n">
        <x:v>43311</x:v>
      </x:c>
      <x:c r="B488" s="12" t="n">
        <x:v>3515.0794</x:v>
      </x:c>
      <x:c r="C488" s="12" t="n">
        <x:v>3521.2269</x:v>
      </x:c>
      <x:c r="D488" s="12" t="n">
        <x:v>-0.1746</x:v>
      </x:c>
      <x:c r="E488" s="12" t="n">
        <x:v>-0.0017473661043363438</x:v>
      </x:c>
      <x:c r="F488" s="12" t="n">
        <x:v>3.43</x:v>
      </x:c>
      <x:c r="G488" s="12" t="n">
        <x:v>343</x:v>
      </x:c>
      <x:c r="H488" s="12" t="n">
        <x:v>1</x:v>
      </x:c>
      <x:c r="I488" s="12" t="str">
        <x:v>TuShare index_daily</x:v>
      </x:c>
      <x:c r="J488" s="12" t="str">
        <x:v>Archived FRED mirror (Hugging Face)</x:v>
      </x:c>
    </x:row>
    <x:row r="489" ht="18" customHeight="1">
      <x:c r="A489" s="13" t="n">
        <x:v>43312</x:v>
      </x:c>
      <x:c r="B489" s="12" t="n">
        <x:v>3517.6568</x:v>
      </x:c>
      <x:c r="C489" s="12" t="n">
        <x:v>3515.0794</x:v>
      </x:c>
      <x:c r="D489" s="12" t="n">
        <x:v>0.0733</x:v>
      </x:c>
      <x:c r="E489" s="12" t="n">
        <x:v>0.0007329722151080376</x:v>
      </x:c>
      <x:c r="F489" s="12" t="n">
        <x:v>3.46</x:v>
      </x:c>
      <x:c r="G489" s="12" t="n">
        <x:v>346</x:v>
      </x:c>
      <x:c r="H489" s="12" t="n">
        <x:v>3</x:v>
      </x:c>
      <x:c r="I489" s="12" t="str">
        <x:v>TuShare index_daily</x:v>
      </x:c>
      <x:c r="J489" s="12" t="str">
        <x:v>Archived FRED mirror (Hugging Face)</x:v>
      </x:c>
    </x:row>
    <x:row r="490" ht="18" customHeight="1">
      <x:c r="A490" s="13" t="n">
        <x:v>43313</x:v>
      </x:c>
      <x:c r="B490" s="12" t="n">
        <x:v>3447.3882</x:v>
      </x:c>
      <x:c r="C490" s="12" t="n">
        <x:v>3517.6568</x:v>
      </x:c>
      <x:c r="D490" s="12" t="n">
        <x:v>-1.9976</x:v>
      </x:c>
      <x:c r="E490" s="12" t="n">
        <x:v>-0.020178185264417878</x:v>
      </x:c>
      <x:c r="F490" s="12" t="n">
        <x:v>3.43</x:v>
      </x:c>
      <x:c r="G490" s="12" t="n">
        <x:v>343</x:v>
      </x:c>
      <x:c r="H490" s="12" t="n">
        <x:v>-3</x:v>
      </x:c>
      <x:c r="I490" s="12" t="str">
        <x:v>TuShare index_daily</x:v>
      </x:c>
      <x:c r="J490" s="12" t="str">
        <x:v>Archived FRED mirror (Hugging Face)</x:v>
      </x:c>
    </x:row>
    <x:row r="491" ht="18" customHeight="1">
      <x:c r="A491" s="13" t="n">
        <x:v>43314</x:v>
      </x:c>
      <x:c r="B491" s="12" t="n">
        <x:v>3370.9579</x:v>
      </x:c>
      <x:c r="C491" s="12" t="n">
        <x:v>3447.3882</x:v>
      </x:c>
      <x:c r="D491" s="12" t="n">
        <x:v>-2.217</x:v>
      </x:c>
      <x:c r="E491" s="12" t="n">
        <x:v>-0.022419953564654645</x:v>
      </x:c>
      <x:c r="F491" s="12" t="n">
        <x:v>3.43</x:v>
      </x:c>
      <x:c r="G491" s="12" t="n">
        <x:v>343</x:v>
      </x:c>
      <x:c r="H491" s="12" t="n">
        <x:v>0</x:v>
      </x:c>
      <x:c r="I491" s="12" t="str">
        <x:v>TuShare index_daily</x:v>
      </x:c>
      <x:c r="J491" s="12" t="str">
        <x:v>Archived FRED mirror (Hugging Face)</x:v>
      </x:c>
    </x:row>
    <x:row r="492" ht="18" customHeight="1">
      <x:c r="A492" s="13" t="n">
        <x:v>43315</x:v>
      </x:c>
      <x:c r="B492" s="12" t="n">
        <x:v>3315.2839</x:v>
      </x:c>
      <x:c r="C492" s="12" t="n">
        <x:v>3370.9579</x:v>
      </x:c>
      <x:c r="D492" s="12" t="n">
        <x:v>-1.6516</x:v>
      </x:c>
      <x:c r="E492" s="12" t="n">
        <x:v>-0.01665368630174887</x:v>
      </x:c>
      <x:c r="F492" s="12" t="n">
        <x:v>3.43</x:v>
      </x:c>
      <x:c r="G492" s="12" t="n">
        <x:v>343</x:v>
      </x:c>
      <x:c r="H492" s="12" t="n">
        <x:v>0</x:v>
      </x:c>
      <x:c r="I492" s="12" t="str">
        <x:v>TuShare index_daily</x:v>
      </x:c>
      <x:c r="J492" s="12" t="str">
        <x:v>Archived FRED mirror (Hugging Face)</x:v>
      </x:c>
    </x:row>
    <x:row r="493" ht="18" customHeight="1">
      <x:c r="A493" s="13" t="n">
        <x:v>43318</x:v>
      </x:c>
      <x:c r="B493" s="12" t="n">
        <x:v>3273.2728</x:v>
      </x:c>
      <x:c r="C493" s="12" t="n">
        <x:v>3315.2839</x:v>
      </x:c>
      <x:c r="D493" s="12" t="n">
        <x:v>-1.2672</x:v>
      </x:c>
      <x:c r="E493" s="12" t="n">
        <x:v>-0.012752920340904368</x:v>
      </x:c>
      <x:c r="F493" s="12" t="n">
        <x:v>3.43</x:v>
      </x:c>
      <x:c r="G493" s="12" t="n">
        <x:v>343</x:v>
      </x:c>
      <x:c r="H493" s="12" t="n">
        <x:v>0</x:v>
      </x:c>
      <x:c r="I493" s="12" t="str">
        <x:v>TuShare index_daily</x:v>
      </x:c>
      <x:c r="J493" s="12" t="str">
        <x:v>Archived FRED mirror (Hugging Face)</x:v>
      </x:c>
    </x:row>
    <x:row r="494" ht="18" customHeight="1">
      <x:c r="A494" s="13" t="n">
        <x:v>43319</x:v>
      </x:c>
      <x:c r="B494" s="12" t="n">
        <x:v>3368.8695</x:v>
      </x:c>
      <x:c r="C494" s="12" t="n">
        <x:v>3273.2728</x:v>
      </x:c>
      <x:c r="D494" s="12" t="n">
        <x:v>2.9205</x:v>
      </x:c>
      <x:c r="E494" s="12" t="n">
        <x:v>0.028786887488765636</x:v>
      </x:c>
      <x:c r="F494" s="12" t="n">
        <x:v>3.35</x:v>
      </x:c>
      <x:c r="G494" s="12" t="n">
        <x:v>335</x:v>
      </x:c>
      <x:c r="H494" s="12" t="n">
        <x:v>-8</x:v>
      </x:c>
      <x:c r="I494" s="12" t="str">
        <x:v>TuShare index_daily</x:v>
      </x:c>
      <x:c r="J494" s="12" t="str">
        <x:v>Archived FRED mirror (Hugging Face)</x:v>
      </x:c>
    </x:row>
    <x:row r="495" ht="18" customHeight="1">
      <x:c r="A495" s="13" t="n">
        <x:v>43320</x:v>
      </x:c>
      <x:c r="B495" s="12" t="n">
        <x:v>3314.5075</x:v>
      </x:c>
      <x:c r="C495" s="12" t="n">
        <x:v>3368.8695</x:v>
      </x:c>
      <x:c r="D495" s="12" t="n">
        <x:v>-1.6137</x:v>
      </x:c>
      <x:c r="E495" s="12" t="n">
        <x:v>-0.016268182662861997</x:v>
      </x:c>
      <x:c r="F495" s="12" t="n">
        <x:v>3.37</x:v>
      </x:c>
      <x:c r="G495" s="12" t="n">
        <x:v>337</x:v>
      </x:c>
      <x:c r="H495" s="12" t="n">
        <x:v>2</x:v>
      </x:c>
      <x:c r="I495" s="12" t="str">
        <x:v>TuShare index_daily</x:v>
      </x:c>
      <x:c r="J495" s="12" t="str">
        <x:v>Archived FRED mirror (Hugging Face)</x:v>
      </x:c>
    </x:row>
    <x:row r="496" ht="18" customHeight="1">
      <x:c r="A496" s="13" t="n">
        <x:v>43321</x:v>
      </x:c>
      <x:c r="B496" s="12" t="n">
        <x:v>3397.5298</x:v>
      </x:c>
      <x:c r="C496" s="12" t="n">
        <x:v>3314.5075</x:v>
      </x:c>
      <x:c r="D496" s="12" t="n">
        <x:v>2.5048</x:v>
      </x:c>
      <x:c r="E496" s="12" t="n">
        <x:v>0.02473959267847368</x:v>
      </x:c>
      <x:c r="F496" s="12" t="n">
        <x:v>3.38</x:v>
      </x:c>
      <x:c r="G496" s="12" t="n">
        <x:v>338</x:v>
      </x:c>
      <x:c r="H496" s="12" t="n">
        <x:v>1</x:v>
      </x:c>
      <x:c r="I496" s="12" t="str">
        <x:v>TuShare index_daily</x:v>
      </x:c>
      <x:c r="J496" s="12" t="str">
        <x:v>Archived FRED mirror (Hugging Face)</x:v>
      </x:c>
    </x:row>
    <x:row r="497" ht="18" customHeight="1">
      <x:c r="A497" s="13" t="n">
        <x:v>43322</x:v>
      </x:c>
      <x:c r="B497" s="12" t="n">
        <x:v>3405.0191</x:v>
      </x:c>
      <x:c r="C497" s="12" t="n">
        <x:v>3397.5298</x:v>
      </x:c>
      <x:c r="D497" s="12" t="n">
        <x:v>0.2204</x:v>
      </x:c>
      <x:c r="E497" s="12" t="n">
        <x:v>0.0022019108237307785</x:v>
      </x:c>
      <x:c r="F497" s="12" t="n">
        <x:v>3.5</x:v>
      </x:c>
      <x:c r="G497" s="12" t="n">
        <x:v>350</x:v>
      </x:c>
      <x:c r="H497" s="12" t="n">
        <x:v>12</x:v>
      </x:c>
      <x:c r="I497" s="12" t="str">
        <x:v>TuShare index_daily</x:v>
      </x:c>
      <x:c r="J497" s="12" t="str">
        <x:v>Archived FRED mirror (Hugging Face)</x:v>
      </x:c>
    </x:row>
    <x:row r="498" ht="18" customHeight="1">
      <x:c r="A498" s="13" t="n">
        <x:v>43325</x:v>
      </x:c>
      <x:c r="B498" s="12" t="n">
        <x:v>3390.3441</x:v>
      </x:c>
      <x:c r="C498" s="12" t="n">
        <x:v>3405.0191</x:v>
      </x:c>
      <x:c r="D498" s="12" t="n">
        <x:v>-0.431</x:v>
      </x:c>
      <x:c r="E498" s="12" t="n">
        <x:v>-0.004319128317775212</x:v>
      </x:c>
      <x:c r="F498" s="12" t="n">
        <x:v>3.52</x:v>
      </x:c>
      <x:c r="G498" s="12" t="n">
        <x:v>352</x:v>
      </x:c>
      <x:c r="H498" s="12" t="n">
        <x:v>2</x:v>
      </x:c>
      <x:c r="I498" s="12" t="str">
        <x:v>TuShare index_daily</x:v>
      </x:c>
      <x:c r="J498" s="12" t="str">
        <x:v>Archived FRED mirror (Hugging Face)</x:v>
      </x:c>
    </x:row>
    <x:row r="499" ht="18" customHeight="1">
      <x:c r="A499" s="13" t="n">
        <x:v>43326</x:v>
      </x:c>
      <x:c r="B499" s="12" t="n">
        <x:v>3372.9137</x:v>
      </x:c>
      <x:c r="C499" s="12" t="n">
        <x:v>3390.3441</x:v>
      </x:c>
      <x:c r="D499" s="12" t="n">
        <x:v>-0.5141</x:v>
      </x:c>
      <x:c r="E499" s="12" t="n">
        <x:v>-0.005154450445881381</x:v>
      </x:c>
      <x:c r="F499" s="12" t="n">
        <x:v>3.48</x:v>
      </x:c>
      <x:c r="G499" s="12" t="n">
        <x:v>348</x:v>
      </x:c>
      <x:c r="H499" s="12" t="n">
        <x:v>-4</x:v>
      </x:c>
      <x:c r="I499" s="12" t="str">
        <x:v>TuShare index_daily</x:v>
      </x:c>
      <x:c r="J499" s="12" t="str">
        <x:v>Archived FRED mirror (Hugging Face)</x:v>
      </x:c>
    </x:row>
    <x:row r="500" ht="18" customHeight="1">
      <x:c r="A500" s="13" t="n">
        <x:v>43327</x:v>
      </x:c>
      <x:c r="B500" s="12" t="n">
        <x:v>3291.976</x:v>
      </x:c>
      <x:c r="C500" s="12" t="n">
        <x:v>3372.9137</x:v>
      </x:c>
      <x:c r="D500" s="12" t="n">
        <x:v>-2.3996</x:v>
      </x:c>
      <x:c r="E500" s="12" t="n">
        <x:v>-0.024288977832754376</x:v>
      </x:c>
      <x:c r="F500" s="12" t="n">
        <x:v>3.55</x:v>
      </x:c>
      <x:c r="G500" s="12" t="n">
        <x:v>355</x:v>
      </x:c>
      <x:c r="H500" s="12" t="n">
        <x:v>7</x:v>
      </x:c>
      <x:c r="I500" s="12" t="str">
        <x:v>TuShare index_daily</x:v>
      </x:c>
      <x:c r="J500" s="12" t="str">
        <x:v>Archived FRED mirror (Hugging Face)</x:v>
      </x:c>
    </x:row>
    <x:row r="501" ht="18" customHeight="1">
      <x:c r="A501" s="13" t="n">
        <x:v>43328</x:v>
      </x:c>
      <x:c r="B501" s="12" t="n">
        <x:v>3276.7276</x:v>
      </x:c>
      <x:c r="C501" s="12" t="n">
        <x:v>3291.976</x:v>
      </x:c>
      <x:c r="D501" s="12" t="n">
        <x:v>-0.4632</x:v>
      </x:c>
      <x:c r="E501" s="12" t="n">
        <x:v>-0.0046427509349338284</x:v>
      </x:c>
      <x:c r="F501" s="12" t="n">
        <x:v>3.49</x:v>
      </x:c>
      <x:c r="G501" s="12" t="n">
        <x:v>349</x:v>
      </x:c>
      <x:c r="H501" s="12" t="n">
        <x:v>-6</x:v>
      </x:c>
      <x:c r="I501" s="12" t="str">
        <x:v>TuShare index_daily</x:v>
      </x:c>
      <x:c r="J501" s="12" t="str">
        <x:v>Archived FRED mirror (Hugging Face)</x:v>
      </x:c>
    </x:row>
    <x:row r="502" ht="18" customHeight="1">
      <x:c r="A502" s="13" t="n">
        <x:v>43329</x:v>
      </x:c>
      <x:c r="B502" s="12" t="n">
        <x:v>3229.6198</x:v>
      </x:c>
      <x:c r="C502" s="12" t="n">
        <x:v>3276.7276</x:v>
      </x:c>
      <x:c r="D502" s="12" t="n">
        <x:v>-1.4376</x:v>
      </x:c>
      <x:c r="E502" s="12" t="n">
        <x:v>-0.014480820124350875</x:v>
      </x:c>
      <x:c r="F502" s="12" t="n">
        <x:v>3.49</x:v>
      </x:c>
      <x:c r="G502" s="12" t="n">
        <x:v>349</x:v>
      </x:c>
      <x:c r="H502" s="12" t="n">
        <x:v>0</x:v>
      </x:c>
      <x:c r="I502" s="12" t="str">
        <x:v>TuShare index_daily</x:v>
      </x:c>
      <x:c r="J502" s="12" t="str">
        <x:v>Archived FRED mirror (Hugging Face)</x:v>
      </x:c>
    </x:row>
    <x:row r="503" ht="18" customHeight="1">
      <x:c r="A503" s="13" t="n">
        <x:v>43332</x:v>
      </x:c>
      <x:c r="B503" s="12" t="n">
        <x:v>3267.2498</x:v>
      </x:c>
      <x:c r="C503" s="12" t="n">
        <x:v>3229.6198</x:v>
      </x:c>
      <x:c r="D503" s="12" t="n">
        <x:v>1.1652</x:v>
      </x:c>
      <x:c r="E503" s="12" t="n">
        <x:v>0.01158416995345613</x:v>
      </x:c>
      <x:c r="F503" s="12" t="n">
        <x:v>3.52</x:v>
      </x:c>
      <x:c r="G503" s="12" t="n">
        <x:v>352</x:v>
      </x:c>
      <x:c r="H503" s="12" t="n">
        <x:v>3</x:v>
      </x:c>
      <x:c r="I503" s="12" t="str">
        <x:v>TuShare index_daily</x:v>
      </x:c>
      <x:c r="J503" s="12" t="str">
        <x:v>Archived FRED mirror (Hugging Face)</x:v>
      </x:c>
    </x:row>
    <x:row r="504" ht="18" customHeight="1">
      <x:c r="A504" s="13" t="n">
        <x:v>43333</x:v>
      </x:c>
      <x:c r="B504" s="12" t="n">
        <x:v>3326.6489</x:v>
      </x:c>
      <x:c r="C504" s="12" t="n">
        <x:v>3267.2498</x:v>
      </x:c>
      <x:c r="D504" s="12" t="n">
        <x:v>1.818</x:v>
      </x:c>
      <x:c r="E504" s="12" t="n">
        <x:v>0.018016869678191053</x:v>
      </x:c>
      <x:c r="F504" s="12" t="n">
        <x:v>3.48</x:v>
      </x:c>
      <x:c r="G504" s="12" t="n">
        <x:v>348</x:v>
      </x:c>
      <x:c r="H504" s="12" t="n">
        <x:v>-4</x:v>
      </x:c>
      <x:c r="I504" s="12" t="str">
        <x:v>TuShare index_daily</x:v>
      </x:c>
      <x:c r="J504" s="12" t="str">
        <x:v>Archived FRED mirror (Hugging Face)</x:v>
      </x:c>
    </x:row>
    <x:row r="505" ht="18" customHeight="1">
      <x:c r="A505" s="13" t="n">
        <x:v>43334</x:v>
      </x:c>
      <x:c r="B505" s="12" t="n">
        <x:v>3307.9545</x:v>
      </x:c>
      <x:c r="C505" s="12" t="n">
        <x:v>3326.6489</x:v>
      </x:c>
      <x:c r="D505" s="12" t="n">
        <x:v>-0.562</x:v>
      </x:c>
      <x:c r="E505" s="12" t="n">
        <x:v>-0.005635438427250307</x:v>
      </x:c>
      <x:c r="F505" s="12" t="n">
        <x:v>3.48</x:v>
      </x:c>
      <x:c r="G505" s="12" t="n">
        <x:v>348</x:v>
      </x:c>
      <x:c r="H505" s="12" t="n">
        <x:v>0</x:v>
      </x:c>
      <x:c r="I505" s="12" t="str">
        <x:v>TuShare index_daily</x:v>
      </x:c>
      <x:c r="J505" s="12" t="str">
        <x:v>Archived FRED mirror (Hugging Face)</x:v>
      </x:c>
    </x:row>
    <x:row r="506" ht="18" customHeight="1">
      <x:c r="A506" s="13" t="n">
        <x:v>43335</x:v>
      </x:c>
      <x:c r="B506" s="12" t="n">
        <x:v>3320.0257</x:v>
      </x:c>
      <x:c r="C506" s="12" t="n">
        <x:v>3307.9545</x:v>
      </x:c>
      <x:c r="D506" s="12" t="n">
        <x:v>0.3649</x:v>
      </x:c>
      <x:c r="E506" s="12" t="n">
        <x:v>0.003642501329903129</x:v>
      </x:c>
      <x:c r="F506" s="12" t="n">
        <x:v>3.47</x:v>
      </x:c>
      <x:c r="G506" s="12" t="n">
        <x:v>347</x:v>
      </x:c>
      <x:c r="H506" s="12" t="n">
        <x:v>-1</x:v>
      </x:c>
      <x:c r="I506" s="12" t="str">
        <x:v>TuShare index_daily</x:v>
      </x:c>
      <x:c r="J506" s="12" t="str">
        <x:v>Archived FRED mirror (Hugging Face)</x:v>
      </x:c>
    </x:row>
    <x:row r="507" ht="18" customHeight="1">
      <x:c r="A507" s="13" t="n">
        <x:v>43336</x:v>
      </x:c>
      <x:c r="B507" s="12" t="n">
        <x:v>3325.3347</x:v>
      </x:c>
      <x:c r="C507" s="12" t="n">
        <x:v>3320.0257</x:v>
      </x:c>
      <x:c r="D507" s="12" t="n">
        <x:v>0.1599</x:v>
      </x:c>
      <x:c r="E507" s="12" t="n">
        <x:v>0.0015978068336168277</x:v>
      </x:c>
      <x:c r="F507" s="12" t="n">
        <x:v>3.46</x:v>
      </x:c>
      <x:c r="G507" s="12" t="n">
        <x:v>346</x:v>
      </x:c>
      <x:c r="H507" s="12" t="n">
        <x:v>-1</x:v>
      </x:c>
      <x:c r="I507" s="12" t="str">
        <x:v>TuShare index_daily</x:v>
      </x:c>
      <x:c r="J507" s="12" t="str">
        <x:v>Archived FRED mirror (Hugging Face)</x:v>
      </x:c>
    </x:row>
    <x:row r="508" ht="18" customHeight="1">
      <x:c r="A508" s="13" t="n">
        <x:v>43339</x:v>
      </x:c>
      <x:c r="B508" s="12" t="n">
        <x:v>3406.5735</x:v>
      </x:c>
      <x:c r="C508" s="12" t="n">
        <x:v>3325.3347</x:v>
      </x:c>
      <x:c r="D508" s="12" t="n">
        <x:v>2.443</x:v>
      </x:c>
      <x:c r="E508" s="12" t="n">
        <x:v>0.024136616700972842</x:v>
      </x:c>
      <x:c r="F508" s="12" t="n">
        <x:v>3.43</x:v>
      </x:c>
      <x:c r="G508" s="12" t="n">
        <x:v>343</x:v>
      </x:c>
      <x:c r="H508" s="12" t="n">
        <x:v>-3</x:v>
      </x:c>
      <x:c r="I508" s="12" t="str">
        <x:v>TuShare index_daily</x:v>
      </x:c>
      <x:c r="J508" s="12" t="str">
        <x:v>Archived FRED mirror (Hugging Face)</x:v>
      </x:c>
    </x:row>
    <x:row r="509" ht="18" customHeight="1">
      <x:c r="A509" s="13" t="n">
        <x:v>43340</x:v>
      </x:c>
      <x:c r="B509" s="12" t="n">
        <x:v>3400.1705</x:v>
      </x:c>
      <x:c r="C509" s="12" t="n">
        <x:v>3406.5735</x:v>
      </x:c>
      <x:c r="D509" s="12" t="n">
        <x:v>-0.188</x:v>
      </x:c>
      <x:c r="E509" s="12" t="n">
        <x:v>-0.0018813699732636035</x:v>
      </x:c>
      <x:c r="F509" s="12" t="n">
        <x:v>3.4</x:v>
      </x:c>
      <x:c r="G509" s="12" t="n">
        <x:v>340</x:v>
      </x:c>
      <x:c r="H509" s="12" t="n">
        <x:v>-3</x:v>
      </x:c>
      <x:c r="I509" s="12" t="str">
        <x:v>TuShare index_daily</x:v>
      </x:c>
      <x:c r="J509" s="12" t="str">
        <x:v>Archived FRED mirror (Hugging Face)</x:v>
      </x:c>
    </x:row>
    <x:row r="510" ht="18" customHeight="1">
      <x:c r="A510" s="13" t="n">
        <x:v>43341</x:v>
      </x:c>
      <x:c r="B510" s="12" t="n">
        <x:v>3386.5736</x:v>
      </x:c>
      <x:c r="C510" s="12" t="n">
        <x:v>3400.1705</x:v>
      </x:c>
      <x:c r="D510" s="12" t="n">
        <x:v>-0.3999</x:v>
      </x:c>
      <x:c r="E510" s="12" t="n">
        <x:v>-0.004006904633942815</x:v>
      </x:c>
      <x:c r="F510" s="12" t="n">
        <x:v>3.39</x:v>
      </x:c>
      <x:c r="G510" s="12" t="n">
        <x:v>339</x:v>
      </x:c>
      <x:c r="H510" s="12" t="n">
        <x:v>-1</x:v>
      </x:c>
      <x:c r="I510" s="12" t="str">
        <x:v>TuShare index_daily</x:v>
      </x:c>
      <x:c r="J510" s="12" t="str">
        <x:v>Archived FRED mirror (Hugging Face)</x:v>
      </x:c>
    </x:row>
    <x:row r="511" ht="18" customHeight="1">
      <x:c r="A511" s="13" t="n">
        <x:v>43342</x:v>
      </x:c>
      <x:c r="B511" s="12" t="n">
        <x:v>3351.0942</x:v>
      </x:c>
      <x:c r="C511" s="12" t="n">
        <x:v>3386.5736</x:v>
      </x:c>
      <x:c r="D511" s="12" t="n">
        <x:v>-1.0476</x:v>
      </x:c>
      <x:c r="E511" s="12" t="n">
        <x:v>-0.010531753417970224</x:v>
      </x:c>
      <x:c r="F511" s="12" t="n">
        <x:v>3.44</x:v>
      </x:c>
      <x:c r="G511" s="12" t="n">
        <x:v>344</x:v>
      </x:c>
      <x:c r="H511" s="12" t="n">
        <x:v>5</x:v>
      </x:c>
      <x:c r="I511" s="12" t="str">
        <x:v>TuShare index_daily</x:v>
      </x:c>
      <x:c r="J511" s="12" t="str">
        <x:v>Archived FRED mirror (Hugging Face)</x:v>
      </x:c>
    </x:row>
    <x:row r="512" ht="18" customHeight="1">
      <x:c r="A512" s="13" t="n">
        <x:v>43343</x:v>
      </x:c>
      <x:c r="B512" s="12" t="n">
        <x:v>3334.5036</x:v>
      </x:c>
      <x:c r="C512" s="12" t="n">
        <x:v>3351.0942</x:v>
      </x:c>
      <x:c r="D512" s="12" t="n">
        <x:v>-0.4951</x:v>
      </x:c>
      <x:c r="E512" s="12" t="n">
        <x:v>-0.0049630966599312565</x:v>
      </x:c>
      <x:c r="F512" s="12" t="n">
        <x:v>3.49</x:v>
      </x:c>
      <x:c r="G512" s="12" t="n">
        <x:v>349</x:v>
      </x:c>
      <x:c r="H512" s="12" t="n">
        <x:v>5</x:v>
      </x:c>
      <x:c r="I512" s="12" t="str">
        <x:v>TuShare index_daily</x:v>
      </x:c>
      <x:c r="J512" s="12" t="str">
        <x:v>Archived FRED mirror (Hugging Face)</x:v>
      </x:c>
    </x:row>
    <x:row r="513" ht="18" customHeight="1">
      <x:c r="A513" s="13" t="n">
        <x:v>43346</x:v>
      </x:c>
      <x:c r="B513" s="12" t="n">
        <x:v>3321.8248</x:v>
      </x:c>
      <x:c r="C513" s="12" t="n">
        <x:v>3334.5036</x:v>
      </x:c>
      <x:c r="D513" s="12" t="n">
        <x:v>-0.3802</x:v>
      </x:c>
      <x:c r="E513" s="12" t="n">
        <x:v>-0.0038095522251032424</x:v>
      </x:c>
      <x:c r="F513" s="12" t="n">
        <x:v>3.49</x:v>
      </x:c>
      <x:c r="G513" s="12" t="n">
        <x:v>349</x:v>
      </x:c>
      <x:c r="H513" s="12" t="n">
        <x:v>0</x:v>
      </x:c>
      <x:c r="I513" s="12" t="str">
        <x:v>TuShare index_daily</x:v>
      </x:c>
      <x:c r="J513" s="12" t="str">
        <x:v>Archived FRED mirror (Hugging Face)</x:v>
      </x:c>
    </x:row>
    <x:row r="514" ht="18" customHeight="1">
      <x:c r="A514" s="13" t="n">
        <x:v>43347</x:v>
      </x:c>
      <x:c r="B514" s="12" t="n">
        <x:v>3363.8984</x:v>
      </x:c>
      <x:c r="C514" s="12" t="n">
        <x:v>3321.8248</x:v>
      </x:c>
      <x:c r="D514" s="12" t="n">
        <x:v>1.2666</x:v>
      </x:c>
      <x:c r="E514" s="12" t="n">
        <x:v>0.012586269027628546</x:v>
      </x:c>
      <x:c r="F514" s="12" t="n">
        <x:v>3.46</x:v>
      </x:c>
      <x:c r="G514" s="12" t="n">
        <x:v>346</x:v>
      </x:c>
      <x:c r="H514" s="12" t="n">
        <x:v>-3</x:v>
      </x:c>
      <x:c r="I514" s="12" t="str">
        <x:v>TuShare index_daily</x:v>
      </x:c>
      <x:c r="J514" s="12" t="str">
        <x:v>Archived FRED mirror (Hugging Face)</x:v>
      </x:c>
    </x:row>
    <x:row r="515" ht="18" customHeight="1">
      <x:c r="A515" s="13" t="n">
        <x:v>43348</x:v>
      </x:c>
      <x:c r="B515" s="12" t="n">
        <x:v>3298.1412</x:v>
      </x:c>
      <x:c r="C515" s="12" t="n">
        <x:v>3363.8984</x:v>
      </x:c>
      <x:c r="D515" s="12" t="n">
        <x:v>-1.9548</x:v>
      </x:c>
      <x:c r="E515" s="12" t="n">
        <x:v>-0.019741502466815615</x:v>
      </x:c>
      <x:c r="F515" s="12" t="n">
        <x:v>3.49</x:v>
      </x:c>
      <x:c r="G515" s="12" t="n">
        <x:v>349</x:v>
      </x:c>
      <x:c r="H515" s="12" t="n">
        <x:v>3</x:v>
      </x:c>
      <x:c r="I515" s="12" t="str">
        <x:v>TuShare index_daily</x:v>
      </x:c>
      <x:c r="J515" s="12" t="str">
        <x:v>Archived FRED mirror (Hugging Face)</x:v>
      </x:c>
    </x:row>
    <x:row r="516" ht="18" customHeight="1">
      <x:c r="A516" s="13" t="n">
        <x:v>43349</x:v>
      </x:c>
      <x:c r="B516" s="12" t="n">
        <x:v>3262.8808</x:v>
      </x:c>
      <x:c r="C516" s="12" t="n">
        <x:v>3298.1412</x:v>
      </x:c>
      <x:c r="D516" s="12" t="n">
        <x:v>-1.0691</x:v>
      </x:c>
      <x:c r="E516" s="12" t="n">
        <x:v>-0.01074855090344283</x:v>
      </x:c>
      <x:c r="F516" s="12" t="n">
        <x:v>3.52</x:v>
      </x:c>
      <x:c r="G516" s="12" t="n">
        <x:v>352</x:v>
      </x:c>
      <x:c r="H516" s="12" t="n">
        <x:v>3</x:v>
      </x:c>
      <x:c r="I516" s="12" t="str">
        <x:v>TuShare index_daily</x:v>
      </x:c>
      <x:c r="J516" s="12" t="str">
        <x:v>Archived FRED mirror (Hugging Face)</x:v>
      </x:c>
    </x:row>
    <x:row r="517" ht="18" customHeight="1">
      <x:c r="A517" s="13" t="n">
        <x:v>43350</x:v>
      </x:c>
      <x:c r="B517" s="12" t="n">
        <x:v>3277.6438</x:v>
      </x:c>
      <x:c r="C517" s="12" t="n">
        <x:v>3262.8808</x:v>
      </x:c>
      <x:c r="D517" s="12" t="n">
        <x:v>0.4525</x:v>
      </x:c>
      <x:c r="E517" s="12" t="n">
        <x:v>0.004514324453855149</x:v>
      </x:c>
      <x:c r="F517" s="12" t="n">
        <x:v>3.48</x:v>
      </x:c>
      <x:c r="G517" s="12" t="n">
        <x:v>348</x:v>
      </x:c>
      <x:c r="H517" s="12" t="n">
        <x:v>-4</x:v>
      </x:c>
      <x:c r="I517" s="12" t="str">
        <x:v>TuShare index_daily</x:v>
      </x:c>
      <x:c r="J517" s="12" t="str">
        <x:v>Archived FRED mirror (Hugging Face)</x:v>
      </x:c>
    </x:row>
    <x:row r="518" ht="18" customHeight="1">
      <x:c r="A518" s="13" t="n">
        <x:v>43353</x:v>
      </x:c>
      <x:c r="B518" s="12" t="n">
        <x:v>3230.0681</x:v>
      </x:c>
      <x:c r="C518" s="12" t="n">
        <x:v>3277.6438</x:v>
      </x:c>
      <x:c r="D518" s="12" t="n">
        <x:v>-1.4515</x:v>
      </x:c>
      <x:c r="E518" s="12" t="n">
        <x:v>-0.014621589994254605</x:v>
      </x:c>
      <x:c r="F518" s="12" t="n">
        <x:v>3.46</x:v>
      </x:c>
      <x:c r="G518" s="12" t="n">
        <x:v>346</x:v>
      </x:c>
      <x:c r="H518" s="12" t="n">
        <x:v>-2</x:v>
      </x:c>
      <x:c r="I518" s="12" t="str">
        <x:v>TuShare index_daily</x:v>
      </x:c>
      <x:c r="J518" s="12" t="str">
        <x:v>Archived FRED mirror (Hugging Face)</x:v>
      </x:c>
    </x:row>
    <x:row r="519" ht="18" customHeight="1">
      <x:c r="A519" s="13" t="n">
        <x:v>43354</x:v>
      </x:c>
      <x:c r="B519" s="12" t="n">
        <x:v>3224.2116</x:v>
      </x:c>
      <x:c r="C519" s="12" t="n">
        <x:v>3230.0681</x:v>
      </x:c>
      <x:c r="D519" s="12" t="n">
        <x:v>-0.1813</x:v>
      </x:c>
      <x:c r="E519" s="12" t="n">
        <x:v>-0.0018147653586513468</x:v>
      </x:c>
      <x:c r="F519" s="12" t="n">
        <x:v>3.4</x:v>
      </x:c>
      <x:c r="G519" s="12" t="n">
        <x:v>340</x:v>
      </x:c>
      <x:c r="H519" s="12" t="n">
        <x:v>-6</x:v>
      </x:c>
      <x:c r="I519" s="12" t="str">
        <x:v>TuShare index_daily</x:v>
      </x:c>
      <x:c r="J519" s="12" t="str">
        <x:v>Archived FRED mirror (Hugging Face)</x:v>
      </x:c>
    </x:row>
    <x:row r="520" ht="18" customHeight="1">
      <x:c r="A520" s="13" t="n">
        <x:v>43355</x:v>
      </x:c>
      <x:c r="B520" s="12" t="n">
        <x:v>3202.0248</x:v>
      </x:c>
      <x:c r="C520" s="12" t="n">
        <x:v>3224.2116</x:v>
      </x:c>
      <x:c r="D520" s="12" t="n">
        <x:v>-0.6881</x:v>
      </x:c>
      <x:c r="E520" s="12" t="n">
        <x:v>-0.006905095541184463</x:v>
      </x:c>
      <x:c r="F520" s="12" t="n">
        <x:v>3.38</x:v>
      </x:c>
      <x:c r="G520" s="12" t="n">
        <x:v>338</x:v>
      </x:c>
      <x:c r="H520" s="12" t="n">
        <x:v>-2</x:v>
      </x:c>
      <x:c r="I520" s="12" t="str">
        <x:v>TuShare index_daily</x:v>
      </x:c>
      <x:c r="J520" s="12" t="str">
        <x:v>Archived FRED mirror (Hugging Face)</x:v>
      </x:c>
    </x:row>
    <x:row r="521" ht="18" customHeight="1">
      <x:c r="A521" s="13" t="n">
        <x:v>43356</x:v>
      </x:c>
      <x:c r="B521" s="12" t="n">
        <x:v>3236.5662</x:v>
      </x:c>
      <x:c r="C521" s="12" t="n">
        <x:v>3202.0248</x:v>
      </x:c>
      <x:c r="D521" s="12" t="n">
        <x:v>1.0787</x:v>
      </x:c>
      <x:c r="E521" s="12" t="n">
        <x:v>0.010729593284784572</x:v>
      </x:c>
      <x:c r="F521" s="12" t="n">
        <x:v>3.35</x:v>
      </x:c>
      <x:c r="G521" s="12" t="n">
        <x:v>335</x:v>
      </x:c>
      <x:c r="H521" s="12" t="n">
        <x:v>-3</x:v>
      </x:c>
      <x:c r="I521" s="12" t="str">
        <x:v>TuShare index_daily</x:v>
      </x:c>
      <x:c r="J521" s="12" t="str">
        <x:v>Archived FRED mirror (Hugging Face)</x:v>
      </x:c>
    </x:row>
    <x:row r="522" ht="18" customHeight="1">
      <x:c r="A522" s="13" t="n">
        <x:v>43357</x:v>
      </x:c>
      <x:c r="B522" s="12" t="n">
        <x:v>3242.0902</x:v>
      </x:c>
      <x:c r="C522" s="12" t="n">
        <x:v>3236.5662</x:v>
      </x:c>
      <x:c r="D522" s="12" t="n">
        <x:v>0.1707</x:v>
      </x:c>
      <x:c r="E522" s="12" t="n">
        <x:v>0.001705292269754922</x:v>
      </x:c>
      <x:c r="F522" s="12" t="n">
        <x:v>3.29</x:v>
      </x:c>
      <x:c r="G522" s="12" t="n">
        <x:v>329</x:v>
      </x:c>
      <x:c r="H522" s="12" t="n">
        <x:v>-6</x:v>
      </x:c>
      <x:c r="I522" s="12" t="str">
        <x:v>TuShare index_daily</x:v>
      </x:c>
      <x:c r="J522" s="12" t="str">
        <x:v>Archived FRED mirror (Hugging Face)</x:v>
      </x:c>
    </x:row>
    <x:row r="523" ht="18" customHeight="1">
      <x:c r="A523" s="13" t="n">
        <x:v>43360</x:v>
      </x:c>
      <x:c r="B523" s="12" t="n">
        <x:v>3204.9224</x:v>
      </x:c>
      <x:c r="C523" s="12" t="n">
        <x:v>3242.0902</x:v>
      </x:c>
      <x:c r="D523" s="12" t="n">
        <x:v>-1.1464</x:v>
      </x:c>
      <x:c r="E523" s="12" t="n">
        <x:v>-0.01153036734731709</x:v>
      </x:c>
      <x:c r="F523" s="12" t="n">
        <x:v>3.29</x:v>
      </x:c>
      <x:c r="G523" s="12" t="n">
        <x:v>329</x:v>
      </x:c>
      <x:c r="H523" s="12" t="n">
        <x:v>0</x:v>
      </x:c>
      <x:c r="I523" s="12" t="str">
        <x:v>TuShare index_daily</x:v>
      </x:c>
      <x:c r="J523" s="12" t="str">
        <x:v>Archived FRED mirror (Hugging Face)</x:v>
      </x:c>
    </x:row>
    <x:row r="524" ht="18" customHeight="1">
      <x:c r="A524" s="13" t="n">
        <x:v>43361</x:v>
      </x:c>
      <x:c r="B524" s="12" t="n">
        <x:v>3269.4319</x:v>
      </x:c>
      <x:c r="C524" s="12" t="n">
        <x:v>3204.9224</x:v>
      </x:c>
      <x:c r="D524" s="12" t="n">
        <x:v>2.0128</x:v>
      </x:c>
      <x:c r="E524" s="12" t="n">
        <x:v>0.01992836101832585</x:v>
      </x:c>
      <x:c r="F524" s="12" t="n">
        <x:v>3.24</x:v>
      </x:c>
      <x:c r="G524" s="12" t="n">
        <x:v>324</x:v>
      </x:c>
      <x:c r="H524" s="12" t="n">
        <x:v>-5</x:v>
      </x:c>
      <x:c r="I524" s="12" t="str">
        <x:v>TuShare index_daily</x:v>
      </x:c>
      <x:c r="J524" s="12" t="str">
        <x:v>Archived FRED mirror (Hugging Face)</x:v>
      </x:c>
    </x:row>
    <x:row r="525" ht="18" customHeight="1">
      <x:c r="A525" s="13" t="n">
        <x:v>43362</x:v>
      </x:c>
      <x:c r="B525" s="12" t="n">
        <x:v>3312.4823</x:v>
      </x:c>
      <x:c r="C525" s="12" t="n">
        <x:v>3269.4319</x:v>
      </x:c>
      <x:c r="D525" s="12" t="n">
        <x:v>1.3168</x:v>
      </x:c>
      <x:c r="E525" s="12" t="n">
        <x:v>0.013081608972484867</x:v>
      </x:c>
      <x:c r="F525" s="12" t="n">
        <x:v>3.24</x:v>
      </x:c>
      <x:c r="G525" s="12" t="n">
        <x:v>324</x:v>
      </x:c>
      <x:c r="H525" s="12" t="n">
        <x:v>0</x:v>
      </x:c>
      <x:c r="I525" s="12" t="str">
        <x:v>TuShare index_daily</x:v>
      </x:c>
      <x:c r="J525" s="12" t="str">
        <x:v>Archived FRED mirror (Hugging Face)</x:v>
      </x:c>
    </x:row>
    <x:row r="526" ht="18" customHeight="1">
      <x:c r="A526" s="13" t="n">
        <x:v>43363</x:v>
      </x:c>
      <x:c r="B526" s="12" t="n">
        <x:v>3310.1258</x:v>
      </x:c>
      <x:c r="C526" s="12" t="n">
        <x:v>3312.4823</x:v>
      </x:c>
      <x:c r="D526" s="12" t="n">
        <x:v>-0.0711</x:v>
      </x:c>
      <x:c r="E526" s="12" t="n">
        <x:v>-0.0007116531927820131</x:v>
      </x:c>
      <x:c r="F526" s="12" t="n">
        <x:v>3.25</x:v>
      </x:c>
      <x:c r="G526" s="12" t="n">
        <x:v>325</x:v>
      </x:c>
      <x:c r="H526" s="12" t="n">
        <x:v>1</x:v>
      </x:c>
      <x:c r="I526" s="12" t="str">
        <x:v>TuShare index_daily</x:v>
      </x:c>
      <x:c r="J526" s="12" t="str">
        <x:v>Archived FRED mirror (Hugging Face)</x:v>
      </x:c>
    </x:row>
    <x:row r="527" ht="18" customHeight="1">
      <x:c r="A527" s="13" t="n">
        <x:v>43364</x:v>
      </x:c>
      <x:c r="B527" s="12" t="n">
        <x:v>3410.4856</x:v>
      </x:c>
      <x:c r="C527" s="12" t="n">
        <x:v>3310.1258</x:v>
      </x:c>
      <x:c r="D527" s="12" t="n">
        <x:v>3.0319</x:v>
      </x:c>
      <x:c r="E527" s="12" t="n">
        <x:v>0.029868491139865755</x:v>
      </x:c>
      <x:c r="F527" s="12" t="n">
        <x:v>3.25</x:v>
      </x:c>
      <x:c r="G527" s="12" t="n">
        <x:v>325</x:v>
      </x:c>
      <x:c r="H527" s="12" t="n">
        <x:v>0</x:v>
      </x:c>
      <x:c r="I527" s="12" t="str">
        <x:v>TuShare index_daily</x:v>
      </x:c>
      <x:c r="J527" s="12" t="str">
        <x:v>Archived FRED mirror (Hugging Face)</x:v>
      </x:c>
    </x:row>
    <x:row r="528" ht="18" customHeight="1">
      <x:c r="A528" s="13" t="n">
        <x:v>43368</x:v>
      </x:c>
      <x:c r="B528" s="12" t="n">
        <x:v>3379.8043</x:v>
      </x:c>
      <x:c r="C528" s="12" t="n">
        <x:v>3410.4856</x:v>
      </x:c>
      <x:c r="D528" s="12" t="n">
        <x:v>-0.8996</x:v>
      </x:c>
      <x:c r="E528" s="12" t="n">
        <x:v>-0.009036877438513951</x:v>
      </x:c>
      <x:c r="F528" s="12" t="n">
        <x:v>3.26</x:v>
      </x:c>
      <x:c r="G528" s="12" t="n">
        <x:v>326</x:v>
      </x:c>
      <x:c r="H528" s="12" t="n">
        <x:v>-2</x:v>
      </x:c>
      <x:c r="I528" s="12" t="str">
        <x:v>TuShare index_daily</x:v>
      </x:c>
      <x:c r="J528" s="12" t="str">
        <x:v>Archived FRED mirror (Hugging Face)</x:v>
      </x:c>
    </x:row>
    <x:row r="529" ht="18" customHeight="1">
      <x:c r="A529" s="13" t="n">
        <x:v>43369</x:v>
      </x:c>
      <x:c r="B529" s="12" t="n">
        <x:v>3417.2413</x:v>
      </x:c>
      <x:c r="C529" s="12" t="n">
        <x:v>3379.8043</x:v>
      </x:c>
      <x:c r="D529" s="12" t="n">
        <x:v>1.1077</x:v>
      </x:c>
      <x:c r="E529" s="12" t="n">
        <x:v>0.011015779730180341</x:v>
      </x:c>
      <x:c r="F529" s="12" t="n">
        <x:v>3.27</x:v>
      </x:c>
      <x:c r="G529" s="12" t="n">
        <x:v>327</x:v>
      </x:c>
      <x:c r="H529" s="12" t="n">
        <x:v>1</x:v>
      </x:c>
      <x:c r="I529" s="12" t="str">
        <x:v>TuShare index_daily</x:v>
      </x:c>
      <x:c r="J529" s="12" t="str">
        <x:v>Archived FRED mirror (Hugging Face)</x:v>
      </x:c>
    </x:row>
    <x:row r="530" ht="18" customHeight="1">
      <x:c r="A530" s="13" t="n">
        <x:v>43370</x:v>
      </x:c>
      <x:c r="B530" s="12" t="n">
        <x:v>3403.5902</x:v>
      </x:c>
      <x:c r="C530" s="12" t="n">
        <x:v>3417.2413</x:v>
      </x:c>
      <x:c r="D530" s="12" t="n">
        <x:v>-0.3995</x:v>
      </x:c>
      <x:c r="E530" s="12" t="n">
        <x:v>-0.004002772455734116</x:v>
      </x:c>
      <x:c r="F530" s="12" t="n">
        <x:v>3.25</x:v>
      </x:c>
      <x:c r="G530" s="12" t="n">
        <x:v>325</x:v>
      </x:c>
      <x:c r="H530" s="12" t="n">
        <x:v>-2</x:v>
      </x:c>
      <x:c r="I530" s="12" t="str">
        <x:v>TuShare index_daily</x:v>
      </x:c>
      <x:c r="J530" s="12" t="str">
        <x:v>Archived FRED mirror (Hugging Face)</x:v>
      </x:c>
    </x:row>
    <x:row r="531" ht="18" customHeight="1">
      <x:c r="A531" s="13" t="n">
        <x:v>43371</x:v>
      </x:c>
      <x:c r="B531" s="12" t="n">
        <x:v>3438.8649</x:v>
      </x:c>
      <x:c r="C531" s="12" t="n">
        <x:v>3403.5902</x:v>
      </x:c>
      <x:c r="D531" s="12" t="n">
        <x:v>1.0364</x:v>
      </x:c>
      <x:c r="E531" s="12" t="n">
        <x:v>0.010310630317834349</x:v>
      </x:c>
      <x:c r="F531" s="12" t="n">
        <x:v>3.24</x:v>
      </x:c>
      <x:c r="G531" s="12" t="n">
        <x:v>324</x:v>
      </x:c>
      <x:c r="H531" s="12" t="n">
        <x:v>-1</x:v>
      </x:c>
      <x:c r="I531" s="12" t="str">
        <x:v>TuShare index_daily</x:v>
      </x:c>
      <x:c r="J531" s="12" t="str">
        <x:v>Archived FRED mirror (Hugging Face)</x:v>
      </x:c>
    </x:row>
    <x:row r="532" ht="18" customHeight="1">
      <x:c r="A532" s="13" t="n">
        <x:v>43381</x:v>
      </x:c>
      <x:c r="B532" s="12" t="n">
        <x:v>3290.8988</x:v>
      </x:c>
      <x:c r="C532" s="12" t="n">
        <x:v>3438.8649</x:v>
      </x:c>
      <x:c r="D532" s="12" t="n">
        <x:v>-4.3028</x:v>
      </x:c>
      <x:c r="E532" s="12" t="n">
        <x:v>-0.04398072704604592</x:v>
      </x:c>
      <x:c r="F532" s="12" t="n">
        <x:v>3.32</x:v>
      </x:c>
      <x:c r="G532" s="12" t="n">
        <x:v>332</x:v>
      </x:c>
      <x:c r="H532" s="12" t="n">
        <x:v>0</x:v>
      </x:c>
      <x:c r="I532" s="12" t="str">
        <x:v>TuShare index_daily</x:v>
      </x:c>
      <x:c r="J532" s="12" t="str">
        <x:v>Archived FRED mirror (Hugging Face)</x:v>
      </x:c>
    </x:row>
    <x:row r="533" ht="18" customHeight="1">
      <x:c r="A533" s="13" t="n">
        <x:v>43382</x:v>
      </x:c>
      <x:c r="B533" s="12" t="n">
        <x:v>3288.6906</x:v>
      </x:c>
      <x:c r="C533" s="12" t="n">
        <x:v>3290.8988</x:v>
      </x:c>
      <x:c r="D533" s="12" t="n">
        <x:v>-0.0671</x:v>
      </x:c>
      <x:c r="E533" s="12" t="n">
        <x:v>-0.0006712273209352538</x:v>
      </x:c>
      <x:c r="F533" s="12" t="n">
        <x:v>3.41</x:v>
      </x:c>
      <x:c r="G533" s="12" t="n">
        <x:v>341</x:v>
      </x:c>
      <x:c r="H533" s="12" t="n">
        <x:v>9</x:v>
      </x:c>
      <x:c r="I533" s="12" t="str">
        <x:v>TuShare index_daily</x:v>
      </x:c>
      <x:c r="J533" s="12" t="str">
        <x:v>Archived FRED mirror (Hugging Face)</x:v>
      </x:c>
    </x:row>
    <x:row r="534" ht="18" customHeight="1">
      <x:c r="A534" s="13" t="n">
        <x:v>43383</x:v>
      </x:c>
      <x:c r="B534" s="12" t="n">
        <x:v>3281.5978</x:v>
      </x:c>
      <x:c r="C534" s="12" t="n">
        <x:v>3288.6906</x:v>
      </x:c>
      <x:c r="D534" s="12" t="n">
        <x:v>-0.2157</x:v>
      </x:c>
      <x:c r="E534" s="12" t="n">
        <x:v>-0.0021590537046332764</x:v>
      </x:c>
      <x:c r="F534" s="12" t="n">
        <x:v>3.51</x:v>
      </x:c>
      <x:c r="G534" s="12" t="n">
        <x:v>351</x:v>
      </x:c>
      <x:c r="H534" s="12" t="n">
        <x:v>10</x:v>
      </x:c>
      <x:c r="I534" s="12" t="str">
        <x:v>TuShare index_daily</x:v>
      </x:c>
      <x:c r="J534" s="12" t="str">
        <x:v>Archived FRED mirror (Hugging Face)</x:v>
      </x:c>
    </x:row>
    <x:row r="535" ht="18" customHeight="1">
      <x:c r="A535" s="13" t="n">
        <x:v>43384</x:v>
      </x:c>
      <x:c r="B535" s="12" t="n">
        <x:v>3124.1139</x:v>
      </x:c>
      <x:c r="C535" s="12" t="n">
        <x:v>3281.5978</x:v>
      </x:c>
      <x:c r="D535" s="12" t="n">
        <x:v>-4.799</x:v>
      </x:c>
      <x:c r="E535" s="12" t="n">
        <x:v>-0.04917974695117834</x:v>
      </x:c>
      <x:c r="F535" s="12" t="n">
        <x:v>3.58</x:v>
      </x:c>
      <x:c r="G535" s="12" t="n">
        <x:v>358</x:v>
      </x:c>
      <x:c r="H535" s="12" t="n">
        <x:v>7</x:v>
      </x:c>
      <x:c r="I535" s="12" t="str">
        <x:v>TuShare index_daily</x:v>
      </x:c>
      <x:c r="J535" s="12" t="str">
        <x:v>Archived FRED mirror (Hugging Face)</x:v>
      </x:c>
    </x:row>
    <x:row r="536" ht="18" customHeight="1">
      <x:c r="A536" s="13" t="n">
        <x:v>43385</x:v>
      </x:c>
      <x:c r="B536" s="12" t="n">
        <x:v>3170.7262</x:v>
      </x:c>
      <x:c r="C536" s="12" t="n">
        <x:v>3124.1139</x:v>
      </x:c>
      <x:c r="D536" s="12" t="n">
        <x:v>1.492</x:v>
      </x:c>
      <x:c r="E536" s="12" t="n">
        <x:v>0.0148099558467938</x:v>
      </x:c>
      <x:c r="F536" s="12" t="n">
        <x:v>3.54</x:v>
      </x:c>
      <x:c r="G536" s="12" t="n">
        <x:v>354</x:v>
      </x:c>
      <x:c r="H536" s="12" t="n">
        <x:v>-4</x:v>
      </x:c>
      <x:c r="I536" s="12" t="str">
        <x:v>TuShare index_daily</x:v>
      </x:c>
      <x:c r="J536" s="12" t="str">
        <x:v>Archived FRED mirror (Hugging Face)</x:v>
      </x:c>
    </x:row>
    <x:row r="537" ht="18" customHeight="1">
      <x:c r="A537" s="13" t="n">
        <x:v>43388</x:v>
      </x:c>
      <x:c r="B537" s="12" t="n">
        <x:v>3126.4516</x:v>
      </x:c>
      <x:c r="C537" s="12" t="n">
        <x:v>3170.7262</x:v>
      </x:c>
      <x:c r="D537" s="12" t="n">
        <x:v>-1.3964</x:v>
      </x:c>
      <x:c r="E537" s="12" t="n">
        <x:v>-0.014061959490625714</x:v>
      </x:c>
      <x:c r="F537" s="12" t="n">
        <x:v>3.49</x:v>
      </x:c>
      <x:c r="G537" s="12" t="n">
        <x:v>349</x:v>
      </x:c>
      <x:c r="H537" s="12" t="n">
        <x:v>-5</x:v>
      </x:c>
      <x:c r="I537" s="12" t="str">
        <x:v>TuShare index_daily</x:v>
      </x:c>
      <x:c r="J537" s="12" t="str">
        <x:v>Archived FRED mirror (Hugging Face)</x:v>
      </x:c>
    </x:row>
    <x:row r="538" ht="18" customHeight="1">
      <x:c r="A538" s="13" t="n">
        <x:v>43389</x:v>
      </x:c>
      <x:c r="B538" s="12" t="n">
        <x:v>3100.9738</x:v>
      </x:c>
      <x:c r="C538" s="12" t="n">
        <x:v>3126.4516</x:v>
      </x:c>
      <x:c r="D538" s="12" t="n">
        <x:v>-0.8149</x:v>
      </x:c>
      <x:c r="E538" s="12" t="n">
        <x:v>-0.008182496140899246</x:v>
      </x:c>
      <x:c r="F538" s="12" t="n">
        <x:v>3.45</x:v>
      </x:c>
      <x:c r="G538" s="12" t="n">
        <x:v>345</x:v>
      </x:c>
      <x:c r="H538" s="12" t="n">
        <x:v>-4</x:v>
      </x:c>
      <x:c r="I538" s="12" t="str">
        <x:v>TuShare index_daily</x:v>
      </x:c>
      <x:c r="J538" s="12" t="str">
        <x:v>Archived FRED mirror (Hugging Face)</x:v>
      </x:c>
    </x:row>
    <x:row r="539" ht="18" customHeight="1">
      <x:c r="A539" s="13" t="n">
        <x:v>43390</x:v>
      </x:c>
      <x:c r="B539" s="12" t="n">
        <x:v>3118.2463</x:v>
      </x:c>
      <x:c r="C539" s="12" t="n">
        <x:v>3100.9738</x:v>
      </x:c>
      <x:c r="D539" s="12" t="n">
        <x:v>0.557</x:v>
      </x:c>
      <x:c r="E539" s="12" t="n">
        <x:v>0.0055545692648370695</x:v>
      </x:c>
      <x:c r="F539" s="12" t="n">
        <x:v>3.45</x:v>
      </x:c>
      <x:c r="G539" s="12" t="n">
        <x:v>345</x:v>
      </x:c>
      <x:c r="H539" s="12" t="n">
        <x:v>0</x:v>
      </x:c>
      <x:c r="I539" s="12" t="str">
        <x:v>TuShare index_daily</x:v>
      </x:c>
      <x:c r="J539" s="12" t="str">
        <x:v>Archived FRED mirror (Hugging Face)</x:v>
      </x:c>
    </x:row>
    <x:row r="540" ht="18" customHeight="1">
      <x:c r="A540" s="13" t="n">
        <x:v>43391</x:v>
      </x:c>
      <x:c r="B540" s="12" t="n">
        <x:v>3044.3918</x:v>
      </x:c>
      <x:c r="C540" s="12" t="n">
        <x:v>3118.2463</x:v>
      </x:c>
      <x:c r="D540" s="12" t="n">
        <x:v>-2.3685</x:v>
      </x:c>
      <x:c r="E540" s="12" t="n">
        <x:v>-0.023969616522507044</x:v>
      </x:c>
      <x:c r="F540" s="12" t="n">
        <x:v>3.51</x:v>
      </x:c>
      <x:c r="G540" s="12" t="n">
        <x:v>351</x:v>
      </x:c>
      <x:c r="H540" s="12" t="n">
        <x:v>6</x:v>
      </x:c>
      <x:c r="I540" s="12" t="str">
        <x:v>TuShare index_daily</x:v>
      </x:c>
      <x:c r="J540" s="12" t="str">
        <x:v>Archived FRED mirror (Hugging Face)</x:v>
      </x:c>
    </x:row>
    <x:row r="541" ht="18" customHeight="1">
      <x:c r="A541" s="13" t="n">
        <x:v>43392</x:v>
      </x:c>
      <x:c r="B541" s="12" t="n">
        <x:v>3134.9455</x:v>
      </x:c>
      <x:c r="C541" s="12" t="n">
        <x:v>3044.3918</x:v>
      </x:c>
      <x:c r="D541" s="12" t="n">
        <x:v>2.9744</x:v>
      </x:c>
      <x:c r="E541" s="12" t="n">
        <x:v>0.029310645626263784</x:v>
      </x:c>
      <x:c r="F541" s="12" t="n">
        <x:v>3.51</x:v>
      </x:c>
      <x:c r="G541" s="12" t="n">
        <x:v>351</x:v>
      </x:c>
      <x:c r="H541" s="12" t="n">
        <x:v>0</x:v>
      </x:c>
      <x:c r="I541" s="12" t="str">
        <x:v>TuShare index_daily</x:v>
      </x:c>
      <x:c r="J541" s="12" t="str">
        <x:v>Archived FRED mirror (Hugging Face)</x:v>
      </x:c>
    </x:row>
    <x:row r="542" ht="18" customHeight="1">
      <x:c r="A542" s="13" t="n">
        <x:v>43395</x:v>
      </x:c>
      <x:c r="B542" s="12" t="n">
        <x:v>3270.2732</x:v>
      </x:c>
      <x:c r="C542" s="12" t="n">
        <x:v>3134.9455</x:v>
      </x:c>
      <x:c r="D542" s="12" t="n">
        <x:v>4.3167</x:v>
      </x:c>
      <x:c r="E542" s="12" t="n">
        <x:v>0.042261739256125835</x:v>
      </x:c>
      <x:c r="F542" s="12" t="n">
        <x:v>3.52</x:v>
      </x:c>
      <x:c r="G542" s="12" t="n">
        <x:v>352</x:v>
      </x:c>
      <x:c r="H542" s="12" t="n">
        <x:v>1</x:v>
      </x:c>
      <x:c r="I542" s="12" t="str">
        <x:v>TuShare index_daily</x:v>
      </x:c>
      <x:c r="J542" s="12" t="str">
        <x:v>Archived FRED mirror (Hugging Face)</x:v>
      </x:c>
    </x:row>
    <x:row r="543" ht="18" customHeight="1">
      <x:c r="A543" s="13" t="n">
        <x:v>43396</x:v>
      </x:c>
      <x:c r="B543" s="12" t="n">
        <x:v>3183.4257</x:v>
      </x:c>
      <x:c r="C543" s="12" t="n">
        <x:v>3270.2732</x:v>
      </x:c>
      <x:c r="D543" s="12" t="n">
        <x:v>-2.6557</x:v>
      </x:c>
      <x:c r="E543" s="12" t="n">
        <x:v>-0.026915647709496032</x:v>
      </x:c>
      <x:c r="F543" s="12" t="n">
        <x:v>3.65</x:v>
      </x:c>
      <x:c r="G543" s="12" t="n">
        <x:v>365</x:v>
      </x:c>
      <x:c r="H543" s="12" t="n">
        <x:v>13</x:v>
      </x:c>
      <x:c r="I543" s="12" t="str">
        <x:v>TuShare index_daily</x:v>
      </x:c>
      <x:c r="J543" s="12" t="str">
        <x:v>Archived FRED mirror (Hugging Face)</x:v>
      </x:c>
    </x:row>
    <x:row r="544" ht="18" customHeight="1">
      <x:c r="A544" s="13" t="n">
        <x:v>43397</x:v>
      </x:c>
      <x:c r="B544" s="12" t="n">
        <x:v>3188.2018</x:v>
      </x:c>
      <x:c r="C544" s="12" t="n">
        <x:v>3183.4257</x:v>
      </x:c>
      <x:c r="D544" s="12" t="n">
        <x:v>0.15</x:v>
      </x:c>
      <x:c r="E544" s="12" t="n">
        <x:v>0.0014991776887575102</x:v>
      </x:c>
      <x:c r="F544" s="12" t="n">
        <x:v>3.68</x:v>
      </x:c>
      <x:c r="G544" s="12" t="n">
        <x:v>368</x:v>
      </x:c>
      <x:c r="H544" s="12" t="n">
        <x:v>3</x:v>
      </x:c>
      <x:c r="I544" s="12" t="str">
        <x:v>TuShare index_daily</x:v>
      </x:c>
      <x:c r="J544" s="12" t="str">
        <x:v>Archived FRED mirror (Hugging Face)</x:v>
      </x:c>
    </x:row>
    <x:row r="545" ht="18" customHeight="1">
      <x:c r="A545" s="13" t="n">
        <x:v>43398</x:v>
      </x:c>
      <x:c r="B545" s="12" t="n">
        <x:v>3194.3084</x:v>
      </x:c>
      <x:c r="C545" s="12" t="n">
        <x:v>3188.2018</x:v>
      </x:c>
      <x:c r="D545" s="12" t="n">
        <x:v>0.1915</x:v>
      </x:c>
      <x:c r="E545" s="12" t="n">
        <x:v>0.0019135423750204369</x:v>
      </x:c>
      <x:c r="F545" s="12" t="n">
        <x:v>3.72</x:v>
      </x:c>
      <x:c r="G545" s="12" t="n">
        <x:v>372</x:v>
      </x:c>
      <x:c r="H545" s="12" t="n">
        <x:v>4</x:v>
      </x:c>
      <x:c r="I545" s="12" t="str">
        <x:v>TuShare index_daily</x:v>
      </x:c>
      <x:c r="J545" s="12" t="str">
        <x:v>Archived FRED mirror (Hugging Face)</x:v>
      </x:c>
    </x:row>
    <x:row r="546" ht="18" customHeight="1">
      <x:c r="A546" s="13" t="n">
        <x:v>43399</x:v>
      </x:c>
      <x:c r="B546" s="12" t="n">
        <x:v>3173.635</x:v>
      </x:c>
      <x:c r="C546" s="12" t="n">
        <x:v>3194.3084</x:v>
      </x:c>
      <x:c r="D546" s="12" t="n">
        <x:v>-0.6472</x:v>
      </x:c>
      <x:c r="E546" s="12" t="n">
        <x:v>-0.006492982531994522</x:v>
      </x:c>
      <x:c r="F546" s="12" t="n">
        <x:v>3.85</x:v>
      </x:c>
      <x:c r="G546" s="12" t="n">
        <x:v>385</x:v>
      </x:c>
      <x:c r="H546" s="12" t="n">
        <x:v>13</x:v>
      </x:c>
      <x:c r="I546" s="12" t="str">
        <x:v>TuShare index_daily</x:v>
      </x:c>
      <x:c r="J546" s="12" t="str">
        <x:v>Archived FRED mirror (Hugging Face)</x:v>
      </x:c>
    </x:row>
    <x:row r="547" ht="18" customHeight="1">
      <x:c r="A547" s="13" t="n">
        <x:v>43402</x:v>
      </x:c>
      <x:c r="B547" s="12" t="n">
        <x:v>3076.8889</x:v>
      </x:c>
      <x:c r="C547" s="12" t="n">
        <x:v>3173.635</x:v>
      </x:c>
      <x:c r="D547" s="12" t="n">
        <x:v>-3.0484</x:v>
      </x:c>
      <x:c r="E547" s="12" t="n">
        <x:v>-0.03095862955146051</x:v>
      </x:c>
      <x:c r="F547" s="12" t="n">
        <x:v>3.84</x:v>
      </x:c>
      <x:c r="G547" s="12" t="n">
        <x:v>384</x:v>
      </x:c>
      <x:c r="H547" s="12" t="n">
        <x:v>-1</x:v>
      </x:c>
      <x:c r="I547" s="12" t="str">
        <x:v>TuShare index_daily</x:v>
      </x:c>
      <x:c r="J547" s="12" t="str">
        <x:v>Archived FRED mirror (Hugging Face)</x:v>
      </x:c>
    </x:row>
    <x:row r="548" ht="18" customHeight="1">
      <x:c r="A548" s="13" t="n">
        <x:v>43403</x:v>
      </x:c>
      <x:c r="B548" s="12" t="n">
        <x:v>3110.2605</x:v>
      </x:c>
      <x:c r="C548" s="12" t="n">
        <x:v>3076.8889</x:v>
      </x:c>
      <x:c r="D548" s="12" t="n">
        <x:v>1.0846</x:v>
      </x:c>
      <x:c r="E548" s="12" t="n">
        <x:v>0.010787495650464536</x:v>
      </x:c>
      <x:c r="F548" s="12" t="n">
        <x:v>3.89</x:v>
      </x:c>
      <x:c r="G548" s="12" t="n">
        <x:v>389</x:v>
      </x:c>
      <x:c r="H548" s="12" t="n">
        <x:v>5</x:v>
      </x:c>
      <x:c r="I548" s="12" t="str">
        <x:v>TuShare index_daily</x:v>
      </x:c>
      <x:c r="J548" s="12" t="str">
        <x:v>Archived FRED mirror (Hugging Face)</x:v>
      </x:c>
    </x:row>
    <x:row r="549" ht="18" customHeight="1">
      <x:c r="A549" s="13" t="n">
        <x:v>43404</x:v>
      </x:c>
      <x:c r="B549" s="12" t="n">
        <x:v>3153.8234</x:v>
      </x:c>
      <x:c r="C549" s="12" t="n">
        <x:v>3110.2605</x:v>
      </x:c>
      <x:c r="D549" s="12" t="n">
        <x:v>1.4006</x:v>
      </x:c>
      <x:c r="E549" s="12" t="n">
        <x:v>0.013909009841423929</x:v>
      </x:c>
      <x:c r="F549" s="12" t="n">
        <x:v>3.81</x:v>
      </x:c>
      <x:c r="G549" s="12" t="n">
        <x:v>381</x:v>
      </x:c>
      <x:c r="H549" s="12" t="n">
        <x:v>-8</x:v>
      </x:c>
      <x:c r="I549" s="12" t="str">
        <x:v>TuShare index_daily</x:v>
      </x:c>
      <x:c r="J549" s="12" t="str">
        <x:v>Archived FRED mirror (Hugging Face)</x:v>
      </x:c>
    </x:row>
    <x:row r="550" ht="18" customHeight="1">
      <x:c r="A550" s="13" t="n">
        <x:v>43405</x:v>
      </x:c>
      <x:c r="B550" s="12" t="n">
        <x:v>3177.0338</x:v>
      </x:c>
      <x:c r="C550" s="12" t="n">
        <x:v>3153.8234</x:v>
      </x:c>
      <x:c r="D550" s="12" t="n">
        <x:v>0.7359</x:v>
      </x:c>
      <x:c r="E550" s="12" t="n">
        <x:v>0.007332499615765938</x:v>
      </x:c>
      <x:c r="F550" s="12" t="n">
        <x:v>3.81</x:v>
      </x:c>
      <x:c r="G550" s="12" t="n">
        <x:v>381</x:v>
      </x:c>
      <x:c r="H550" s="12" t="n">
        <x:v>0</x:v>
      </x:c>
      <x:c r="I550" s="12" t="str">
        <x:v>TuShare index_daily</x:v>
      </x:c>
      <x:c r="J550" s="12" t="str">
        <x:v>Archived FRED mirror (Hugging Face)</x:v>
      </x:c>
    </x:row>
    <x:row r="551" ht="18" customHeight="1">
      <x:c r="A551" s="13" t="n">
        <x:v>43406</x:v>
      </x:c>
      <x:c r="B551" s="12" t="n">
        <x:v>3290.2455</x:v>
      </x:c>
      <x:c r="C551" s="12" t="n">
        <x:v>3177.0338</x:v>
      </x:c>
      <x:c r="D551" s="12" t="n">
        <x:v>3.5634</x:v>
      </x:c>
      <x:c r="E551" s="12" t="n">
        <x:v>0.03501418785576726</x:v>
      </x:c>
      <x:c r="F551" s="12" t="n">
        <x:v>3.72</x:v>
      </x:c>
      <x:c r="G551" s="12" t="n">
        <x:v>372</x:v>
      </x:c>
      <x:c r="H551" s="12" t="n">
        <x:v>-9</x:v>
      </x:c>
      <x:c r="I551" s="12" t="str">
        <x:v>TuShare index_daily</x:v>
      </x:c>
      <x:c r="J551" s="12" t="str">
        <x:v>Archived FRED mirror (Hugging Face)</x:v>
      </x:c>
    </x:row>
    <x:row r="552" ht="18" customHeight="1">
      <x:c r="A552" s="13" t="n">
        <x:v>43409</x:v>
      </x:c>
      <x:c r="B552" s="12" t="n">
        <x:v>3262.8351</x:v>
      </x:c>
      <x:c r="C552" s="12" t="n">
        <x:v>3290.2455</x:v>
      </x:c>
      <x:c r="D552" s="12" t="n">
        <x:v>-0.8331</x:v>
      </x:c>
      <x:c r="E552" s="12" t="n">
        <x:v>-0.008365702036225015</x:v>
      </x:c>
      <x:c r="F552" s="12" t="n">
        <x:v>3.72</x:v>
      </x:c>
      <x:c r="G552" s="12" t="n">
        <x:v>372</x:v>
      </x:c>
      <x:c r="H552" s="12" t="n">
        <x:v>0</x:v>
      </x:c>
      <x:c r="I552" s="12" t="str">
        <x:v>TuShare index_daily</x:v>
      </x:c>
      <x:c r="J552" s="12" t="str">
        <x:v>Archived FRED mirror (Hugging Face)</x:v>
      </x:c>
    </x:row>
    <x:row r="553" ht="18" customHeight="1">
      <x:c r="A553" s="13" t="n">
        <x:v>43410</x:v>
      </x:c>
      <x:c r="B553" s="12" t="n">
        <x:v>3243.1504</x:v>
      </x:c>
      <x:c r="C553" s="12" t="n">
        <x:v>3262.8351</x:v>
      </x:c>
      <x:c r="D553" s="12" t="n">
        <x:v>-0.6033</x:v>
      </x:c>
      <x:c r="E553" s="12" t="n">
        <x:v>-0.006051276956503466</x:v>
      </x:c>
      <x:c r="F553" s="12" t="n">
        <x:v>3.68</x:v>
      </x:c>
      <x:c r="G553" s="12" t="n">
        <x:v>368</x:v>
      </x:c>
      <x:c r="H553" s="12" t="n">
        <x:v>-4</x:v>
      </x:c>
      <x:c r="I553" s="12" t="str">
        <x:v>TuShare index_daily</x:v>
      </x:c>
      <x:c r="J553" s="12" t="str">
        <x:v>Archived FRED mirror (Hugging Face)</x:v>
      </x:c>
    </x:row>
    <x:row r="554" ht="18" customHeight="1">
      <x:c r="A554" s="13" t="n">
        <x:v>43411</x:v>
      </x:c>
      <x:c r="B554" s="12" t="n">
        <x:v>3221.9101</x:v>
      </x:c>
      <x:c r="C554" s="12" t="n">
        <x:v>3243.1504</x:v>
      </x:c>
      <x:c r="D554" s="12" t="n">
        <x:v>-0.6549</x:v>
      </x:c>
      <x:c r="E554" s="12" t="n">
        <x:v>-0.006570820620157931</x:v>
      </x:c>
      <x:c r="F554" s="12" t="n">
        <x:v>3.6</x:v>
      </x:c>
      <x:c r="G554" s="12" t="n">
        <x:v>360</x:v>
      </x:c>
      <x:c r="H554" s="12" t="n">
        <x:v>-8</x:v>
      </x:c>
      <x:c r="I554" s="12" t="str">
        <x:v>TuShare index_daily</x:v>
      </x:c>
      <x:c r="J554" s="12" t="str">
        <x:v>Archived FRED mirror (Hugging Face)</x:v>
      </x:c>
    </x:row>
    <x:row r="555" ht="18" customHeight="1">
      <x:c r="A555" s="13" t="n">
        <x:v>43412</x:v>
      </x:c>
      <x:c r="B555" s="12" t="n">
        <x:v>3212.7737</x:v>
      </x:c>
      <x:c r="C555" s="12" t="n">
        <x:v>3221.9101</x:v>
      </x:c>
      <x:c r="D555" s="12" t="n">
        <x:v>-0.2836</x:v>
      </x:c>
      <x:c r="E555" s="12" t="n">
        <x:v>-0.0028397374055093238</x:v>
      </x:c>
      <x:c r="F555" s="12" t="n">
        <x:v>3.57</x:v>
      </x:c>
      <x:c r="G555" s="12" t="n">
        <x:v>357</x:v>
      </x:c>
      <x:c r="H555" s="12" t="n">
        <x:v>-3</x:v>
      </x:c>
      <x:c r="I555" s="12" t="str">
        <x:v>TuShare index_daily</x:v>
      </x:c>
      <x:c r="J555" s="12" t="str">
        <x:v>Archived FRED mirror (Hugging Face)</x:v>
      </x:c>
    </x:row>
    <x:row r="556" ht="18" customHeight="1">
      <x:c r="A556" s="13" t="n">
        <x:v>43413</x:v>
      </x:c>
      <x:c r="B556" s="12" t="n">
        <x:v>3167.4442</x:v>
      </x:c>
      <x:c r="C556" s="12" t="n">
        <x:v>3212.7737</x:v>
      </x:c>
      <x:c r="D556" s="12" t="n">
        <x:v>-1.4109</x:v>
      </x:c>
      <x:c r="E556" s="12" t="n">
        <x:v>-0.014209628394483092</x:v>
      </x:c>
      <x:c r="F556" s="12" t="n">
        <x:v>3.71</x:v>
      </x:c>
      <x:c r="G556" s="12" t="n">
        <x:v>371</x:v>
      </x:c>
      <x:c r="H556" s="12" t="n">
        <x:v>14</x:v>
      </x:c>
      <x:c r="I556" s="12" t="str">
        <x:v>TuShare index_daily</x:v>
      </x:c>
      <x:c r="J556" s="12" t="str">
        <x:v>Archived FRED mirror (Hugging Face)</x:v>
      </x:c>
    </x:row>
    <x:row r="557" ht="18" customHeight="1">
      <x:c r="A557" s="13" t="n">
        <x:v>43416</x:v>
      </x:c>
      <x:c r="B557" s="12" t="n">
        <x:v>3205.1407</x:v>
      </x:c>
      <x:c r="C557" s="12" t="n">
        <x:v>3167.4442</x:v>
      </x:c>
      <x:c r="D557" s="12" t="n">
        <x:v>1.1901</x:v>
      </x:c>
      <x:c r="E557" s="12" t="n">
        <x:v>0.011830972923802153</x:v>
      </x:c>
      <x:c r="F557" s="12" t="n">
        <x:v>3.71</x:v>
      </x:c>
      <x:c r="G557" s="12" t="n">
        <x:v>371</x:v>
      </x:c>
      <x:c r="H557" s="12" t="n">
        <x:v>0</x:v>
      </x:c>
      <x:c r="I557" s="12" t="str">
        <x:v>TuShare index_daily</x:v>
      </x:c>
      <x:c r="J557" s="12" t="str">
        <x:v>Archived FRED mirror (Hugging Face)</x:v>
      </x:c>
    </x:row>
    <x:row r="558" ht="18" customHeight="1">
      <x:c r="A558" s="13" t="n">
        <x:v>43417</x:v>
      </x:c>
      <x:c r="B558" s="12" t="n">
        <x:v>3237.3823</x:v>
      </x:c>
      <x:c r="C558" s="12" t="n">
        <x:v>3205.1407</x:v>
      </x:c>
      <x:c r="D558" s="12" t="n">
        <x:v>1.0059</x:v>
      </x:c>
      <x:c r="E558" s="12" t="n">
        <x:v>0.01000908158737834</x:v>
      </x:c>
      <x:c r="F558" s="12" t="n">
        <x:v>3.89</x:v>
      </x:c>
      <x:c r="G558" s="12" t="n">
        <x:v>389</x:v>
      </x:c>
      <x:c r="H558" s="12" t="n">
        <x:v>18</x:v>
      </x:c>
      <x:c r="I558" s="12" t="str">
        <x:v>TuShare index_daily</x:v>
      </x:c>
      <x:c r="J558" s="12" t="str">
        <x:v>Archived FRED mirror (Hugging Face)</x:v>
      </x:c>
    </x:row>
    <x:row r="559" ht="18" customHeight="1">
      <x:c r="A559" s="13" t="n">
        <x:v>43418</x:v>
      </x:c>
      <x:c r="B559" s="12" t="n">
        <x:v>3204.9427</x:v>
      </x:c>
      <x:c r="C559" s="12" t="n">
        <x:v>3237.3823</x:v>
      </x:c>
      <x:c r="D559" s="12" t="n">
        <x:v>-1.002</x:v>
      </x:c>
      <x:c r="E559" s="12" t="n">
        <x:v>-0.010070859254752394</x:v>
      </x:c>
      <x:c r="F559" s="12" t="n">
        <x:v>3.99</x:v>
      </x:c>
      <x:c r="G559" s="12" t="n">
        <x:v>399</x:v>
      </x:c>
      <x:c r="H559" s="12" t="n">
        <x:v>10</x:v>
      </x:c>
      <x:c r="I559" s="12" t="str">
        <x:v>TuShare index_daily</x:v>
      </x:c>
      <x:c r="J559" s="12" t="str">
        <x:v>Archived FRED mirror (Hugging Face)</x:v>
      </x:c>
    </x:row>
    <x:row r="560" ht="18" customHeight="1">
      <x:c r="A560" s="13" t="n">
        <x:v>43419</x:v>
      </x:c>
      <x:c r="B560" s="12" t="n">
        <x:v>3242.3715</x:v>
      </x:c>
      <x:c r="C560" s="12" t="n">
        <x:v>3204.9427</x:v>
      </x:c>
      <x:c r="D560" s="12" t="n">
        <x:v>1.1678</x:v>
      </x:c>
      <x:c r="E560" s="12" t="n">
        <x:v>0.011610794610305406</x:v>
      </x:c>
      <x:c r="F560" s="12" t="n">
        <x:v>4.11</x:v>
      </x:c>
      <x:c r="G560" s="12" t="n">
        <x:v>411.00000000000006</x:v>
      </x:c>
      <x:c r="H560" s="12" t="n">
        <x:v>12.000000000000057</x:v>
      </x:c>
      <x:c r="I560" s="12" t="str">
        <x:v>TuShare index_daily</x:v>
      </x:c>
      <x:c r="J560" s="12" t="str">
        <x:v>Archived FRED mirror (Hugging Face)</x:v>
      </x:c>
    </x:row>
    <x:row r="561" ht="18" customHeight="1">
      <x:c r="A561" s="13" t="n">
        <x:v>43420</x:v>
      </x:c>
      <x:c r="B561" s="12" t="n">
        <x:v>3257.6735</x:v>
      </x:c>
      <x:c r="C561" s="12" t="n">
        <x:v>3242.3715</x:v>
      </x:c>
      <x:c r="D561" s="12" t="n">
        <x:v>0.4719</x:v>
      </x:c>
      <x:c r="E561" s="12" t="n">
        <x:v>0.004708283794282228</x:v>
      </x:c>
      <x:c r="F561" s="12" t="n">
        <x:v>4.18</x:v>
      </x:c>
      <x:c r="G561" s="12" t="n">
        <x:v>418</x:v>
      </x:c>
      <x:c r="H561" s="12" t="n">
        <x:v>6.999999999999943</x:v>
      </x:c>
      <x:c r="I561" s="12" t="str">
        <x:v>TuShare index_daily</x:v>
      </x:c>
      <x:c r="J561" s="12" t="str">
        <x:v>Archived FRED mirror (Hugging Face)</x:v>
      </x:c>
    </x:row>
    <x:row r="562" ht="18" customHeight="1">
      <x:c r="A562" s="13" t="n">
        <x:v>43423</x:v>
      </x:c>
      <x:c r="B562" s="12" t="n">
        <x:v>3294.6031</x:v>
      </x:c>
      <x:c r="C562" s="12" t="n">
        <x:v>3257.6735</x:v>
      </x:c>
      <x:c r="D562" s="12" t="n">
        <x:v>1.1336</x:v>
      </x:c>
      <x:c r="E562" s="12" t="n">
        <x:v>0.011272415161681665</x:v>
      </x:c>
      <x:c r="F562" s="12" t="n">
        <x:v>4.25</x:v>
      </x:c>
      <x:c r="G562" s="12" t="n">
        <x:v>425</x:v>
      </x:c>
      <x:c r="H562" s="12" t="n">
        <x:v>7</x:v>
      </x:c>
      <x:c r="I562" s="12" t="str">
        <x:v>TuShare index_daily</x:v>
      </x:c>
      <x:c r="J562" s="12" t="str">
        <x:v>Archived FRED mirror (Hugging Face)</x:v>
      </x:c>
    </x:row>
    <x:row r="563" ht="18" customHeight="1">
      <x:c r="A563" s="13" t="n">
        <x:v>43424</x:v>
      </x:c>
      <x:c r="B563" s="12" t="n">
        <x:v>3218.4076</x:v>
      </x:c>
      <x:c r="C563" s="12" t="n">
        <x:v>3294.6031</x:v>
      </x:c>
      <x:c r="D563" s="12" t="n">
        <x:v>-2.3127</x:v>
      </x:c>
      <x:c r="E563" s="12" t="n">
        <x:v>-0.023399002391473384</x:v>
      </x:c>
      <x:c r="F563" s="12" t="n">
        <x:v>4.33</x:v>
      </x:c>
      <x:c r="G563" s="12" t="n">
        <x:v>433</x:v>
      </x:c>
      <x:c r="H563" s="12" t="n">
        <x:v>8</x:v>
      </x:c>
      <x:c r="I563" s="12" t="str">
        <x:v>TuShare index_daily</x:v>
      </x:c>
      <x:c r="J563" s="12" t="str">
        <x:v>Archived FRED mirror (Hugging Face)</x:v>
      </x:c>
    </x:row>
    <x:row r="564" ht="18" customHeight="1">
      <x:c r="A564" s="13" t="n">
        <x:v>43425</x:v>
      </x:c>
      <x:c r="B564" s="12" t="n">
        <x:v>3226.4918</x:v>
      </x:c>
      <x:c r="C564" s="12" t="n">
        <x:v>3218.4076</x:v>
      </x:c>
      <x:c r="D564" s="12" t="n">
        <x:v>0.2512</x:v>
      </x:c>
      <x:c r="E564" s="12" t="n">
        <x:v>0.002508713864462597</x:v>
      </x:c>
      <x:c r="F564" s="12" t="n">
        <x:v>4.24</x:v>
      </x:c>
      <x:c r="G564" s="12" t="n">
        <x:v>424</x:v>
      </x:c>
      <x:c r="H564" s="12" t="n">
        <x:v>-9</x:v>
      </x:c>
      <x:c r="I564" s="12" t="str">
        <x:v>TuShare index_daily</x:v>
      </x:c>
      <x:c r="J564" s="12" t="str">
        <x:v>Archived FRED mirror (Hugging Face)</x:v>
      </x:c>
    </x:row>
    <x:row r="565" ht="18" customHeight="1">
      <x:c r="A565" s="13" t="n">
        <x:v>43426</x:v>
      </x:c>
      <x:c r="B565" s="12" t="n">
        <x:v>3214.4273</x:v>
      </x:c>
      <x:c r="C565" s="12" t="n">
        <x:v>3226.4918</x:v>
      </x:c>
      <x:c r="D565" s="12" t="n">
        <x:v>-0.3739</x:v>
      </x:c>
      <x:c r="E565" s="12" t="n">
        <x:v>-0.003746208863114145</x:v>
      </x:c>
      <x:c r="F565" s="12" t="n">
        <x:v>4.25</x:v>
      </x:c>
      <x:c r="G565" s="12" t="n">
        <x:v>425</x:v>
      </x:c>
      <x:c r="H565" s="12" t="n">
        <x:v>1</x:v>
      </x:c>
      <x:c r="I565" s="12" t="str">
        <x:v>TuShare index_daily</x:v>
      </x:c>
      <x:c r="J565" s="12" t="str">
        <x:v>Archived FRED mirror (Hugging Face)</x:v>
      </x:c>
    </x:row>
    <x:row r="566" ht="18" customHeight="1">
      <x:c r="A566" s="13" t="n">
        <x:v>43427</x:v>
      </x:c>
      <x:c r="B566" s="12" t="n">
        <x:v>3143.4752</x:v>
      </x:c>
      <x:c r="C566" s="12" t="n">
        <x:v>3214.4273</x:v>
      </x:c>
      <x:c r="D566" s="12" t="n">
        <x:v>-2.2073</x:v>
      </x:c>
      <x:c r="E566" s="12" t="n">
        <x:v>-0.022320268559339572</x:v>
      </x:c>
      <x:c r="F566" s="12" t="n">
        <x:v>4.29</x:v>
      </x:c>
      <x:c r="G566" s="12" t="n">
        <x:v>429</x:v>
      </x:c>
      <x:c r="H566" s="12" t="n">
        <x:v>4</x:v>
      </x:c>
      <x:c r="I566" s="12" t="str">
        <x:v>TuShare index_daily</x:v>
      </x:c>
      <x:c r="J566" s="12" t="str">
        <x:v>Archived FRED mirror (Hugging Face)</x:v>
      </x:c>
    </x:row>
    <x:row r="567" ht="18" customHeight="1">
      <x:c r="A567" s="13" t="n">
        <x:v>43430</x:v>
      </x:c>
      <x:c r="B567" s="12" t="n">
        <x:v>3141.2434</x:v>
      </x:c>
      <x:c r="C567" s="12" t="n">
        <x:v>3143.4752</x:v>
      </x:c>
      <x:c r="D567" s="12" t="n">
        <x:v>-0.071</x:v>
      </x:c>
      <x:c r="E567" s="12" t="n">
        <x:v>-0.0007102307154421204</x:v>
      </x:c>
      <x:c r="F567" s="12" t="n">
        <x:v>4.26</x:v>
      </x:c>
      <x:c r="G567" s="12" t="n">
        <x:v>426</x:v>
      </x:c>
      <x:c r="H567" s="12" t="n">
        <x:v>-3</x:v>
      </x:c>
      <x:c r="I567" s="12" t="str">
        <x:v>TuShare index_daily</x:v>
      </x:c>
      <x:c r="J567" s="12" t="str">
        <x:v>Archived FRED mirror (Hugging Face)</x:v>
      </x:c>
    </x:row>
    <x:row r="568" ht="18" customHeight="1">
      <x:c r="A568" s="13" t="n">
        <x:v>43431</x:v>
      </x:c>
      <x:c r="B568" s="12" t="n">
        <x:v>3137.2413</x:v>
      </x:c>
      <x:c r="C568" s="12" t="n">
        <x:v>3141.2434</x:v>
      </x:c>
      <x:c r="D568" s="12" t="n">
        <x:v>-0.1274</x:v>
      </x:c>
      <x:c r="E568" s="12" t="n">
        <x:v>-0.001274861923942222</x:v>
      </x:c>
      <x:c r="F568" s="12" t="n">
        <x:v>4.31</x:v>
      </x:c>
      <x:c r="G568" s="12" t="n">
        <x:v>430.99999999999994</x:v>
      </x:c>
      <x:c r="H568" s="12" t="n">
        <x:v>4.999999999999943</x:v>
      </x:c>
      <x:c r="I568" s="12" t="str">
        <x:v>TuShare index_daily</x:v>
      </x:c>
      <x:c r="J568" s="12" t="str">
        <x:v>Archived FRED mirror (Hugging Face)</x:v>
      </x:c>
    </x:row>
    <x:row r="569" ht="18" customHeight="1">
      <x:c r="A569" s="13" t="n">
        <x:v>43432</x:v>
      </x:c>
      <x:c r="B569" s="12" t="n">
        <x:v>3178.9326</x:v>
      </x:c>
      <x:c r="C569" s="12" t="n">
        <x:v>3137.2413</x:v>
      </x:c>
      <x:c r="D569" s="12" t="n">
        <x:v>1.3289</x:v>
      </x:c>
      <x:c r="E569" s="12" t="n">
        <x:v>0.013201633193070952</x:v>
      </x:c>
      <x:c r="F569" s="12" t="n">
        <x:v>4.25</x:v>
      </x:c>
      <x:c r="G569" s="12" t="n">
        <x:v>425</x:v>
      </x:c>
      <x:c r="H569" s="12" t="n">
        <x:v>-5.999999999999943</x:v>
      </x:c>
      <x:c r="I569" s="12" t="str">
        <x:v>TuShare index_daily</x:v>
      </x:c>
      <x:c r="J569" s="12" t="str">
        <x:v>Archived FRED mirror (Hugging Face)</x:v>
      </x:c>
    </x:row>
    <x:row r="570" ht="18" customHeight="1">
      <x:c r="A570" s="13" t="n">
        <x:v>43433</x:v>
      </x:c>
      <x:c r="B570" s="12" t="n">
        <x:v>3137.6542</x:v>
      </x:c>
      <x:c r="C570" s="12" t="n">
        <x:v>3178.9326</x:v>
      </x:c>
      <x:c r="D570" s="12" t="n">
        <x:v>-1.2985</x:v>
      </x:c>
      <x:c r="E570" s="12" t="n">
        <x:v>-0.013070029407606876</x:v>
      </x:c>
      <x:c r="F570" s="12" t="n">
        <x:v>4.22</x:v>
      </x:c>
      <x:c r="G570" s="12" t="n">
        <x:v>422</x:v>
      </x:c>
      <x:c r="H570" s="12" t="n">
        <x:v>-3</x:v>
      </x:c>
      <x:c r="I570" s="12" t="str">
        <x:v>TuShare index_daily</x:v>
      </x:c>
      <x:c r="J570" s="12" t="str">
        <x:v>Archived FRED mirror (Hugging Face)</x:v>
      </x:c>
    </x:row>
    <x:row r="571" ht="18" customHeight="1">
      <x:c r="A571" s="13" t="n">
        <x:v>43434</x:v>
      </x:c>
      <x:c r="B571" s="12" t="n">
        <x:v>3172.69</x:v>
      </x:c>
      <x:c r="C571" s="12" t="n">
        <x:v>3137.6542</x:v>
      </x:c>
      <x:c r="D571" s="12" t="n">
        <x:v>1.1166</x:v>
      </x:c>
      <x:c r="E571" s="12" t="n">
        <x:v>0.01110435782943523</x:v>
      </x:c>
      <x:c r="F571" s="12" t="n">
        <x:v>4.29</x:v>
      </x:c>
      <x:c r="G571" s="12" t="n">
        <x:v>429</x:v>
      </x:c>
      <x:c r="H571" s="12" t="n">
        <x:v>7</x:v>
      </x:c>
      <x:c r="I571" s="12" t="str">
        <x:v>TuShare index_daily</x:v>
      </x:c>
      <x:c r="J571" s="12" t="str">
        <x:v>Archived FRED mirror (Hugging Face)</x:v>
      </x:c>
    </x:row>
    <x:row r="572" ht="18" customHeight="1">
      <x:c r="A572" s="13" t="n">
        <x:v>43437</x:v>
      </x:c>
      <x:c r="B572" s="12" t="n">
        <x:v>3260.9502</x:v>
      </x:c>
      <x:c r="C572" s="12" t="n">
        <x:v>3172.69</x:v>
      </x:c>
      <x:c r="D572" s="12" t="n">
        <x:v>2.7819</x:v>
      </x:c>
      <x:c r="E572" s="12" t="n">
        <x:v>0.027438816811427395</x:v>
      </x:c>
      <x:c r="F572" s="12" t="n">
        <x:v>4.2</x:v>
      </x:c>
      <x:c r="G572" s="12" t="n">
        <x:v>420</x:v>
      </x:c>
      <x:c r="H572" s="12" t="n">
        <x:v>-9</x:v>
      </x:c>
      <x:c r="I572" s="12" t="str">
        <x:v>TuShare index_daily</x:v>
      </x:c>
      <x:c r="J572" s="12" t="str">
        <x:v>Archived FRED mirror (Hugging Face)</x:v>
      </x:c>
    </x:row>
    <x:row r="573" ht="18" customHeight="1">
      <x:c r="A573" s="13" t="n">
        <x:v>43438</x:v>
      </x:c>
      <x:c r="B573" s="12" t="n">
        <x:v>3267.7095</x:v>
      </x:c>
      <x:c r="C573" s="12" t="n">
        <x:v>3260.9502</x:v>
      </x:c>
      <x:c r="D573" s="12" t="n">
        <x:v>0.2073</x:v>
      </x:c>
      <x:c r="E573" s="12" t="n">
        <x:v>0.002070655456312225</x:v>
      </x:c>
      <x:c r="F573" s="12" t="n">
        <x:v>4.29</x:v>
      </x:c>
      <x:c r="G573" s="12" t="n">
        <x:v>429</x:v>
      </x:c>
      <x:c r="H573" s="12" t="n">
        <x:v>9</x:v>
      </x:c>
      <x:c r="I573" s="12" t="str">
        <x:v>TuShare index_daily</x:v>
      </x:c>
      <x:c r="J573" s="12" t="str">
        <x:v>Archived FRED mirror (Hugging Face)</x:v>
      </x:c>
    </x:row>
    <x:row r="574" ht="18" customHeight="1">
      <x:c r="A574" s="13" t="n">
        <x:v>43439</x:v>
      </x:c>
      <x:c r="B574" s="12" t="n">
        <x:v>3252.0041</x:v>
      </x:c>
      <x:c r="C574" s="12" t="n">
        <x:v>3267.7095</x:v>
      </x:c>
      <x:c r="D574" s="12" t="n">
        <x:v>-0.4806</x:v>
      </x:c>
      <x:c r="E574" s="12" t="n">
        <x:v>-0.00481782831036399</x:v>
      </x:c>
      <x:c r="F574" s="12" t="n">
        <x:v>4.29</x:v>
      </x:c>
      <x:c r="G574" s="12" t="n">
        <x:v>429</x:v>
      </x:c>
      <x:c r="H574" s="12" t="n">
        <x:v>0</x:v>
      </x:c>
      <x:c r="I574" s="12" t="str">
        <x:v>TuShare index_daily</x:v>
      </x:c>
      <x:c r="J574" s="12" t="str">
        <x:v>Archived FRED mirror (Hugging Face)</x:v>
      </x:c>
    </x:row>
    <x:row r="575" ht="18" customHeight="1">
      <x:c r="A575" s="13" t="n">
        <x:v>43440</x:v>
      </x:c>
      <x:c r="B575" s="12" t="n">
        <x:v>3181.673</x:v>
      </x:c>
      <x:c r="C575" s="12" t="n">
        <x:v>3252.0041</x:v>
      </x:c>
      <x:c r="D575" s="12" t="n">
        <x:v>-2.1627</x:v>
      </x:c>
      <x:c r="E575" s="12" t="n">
        <x:v>-0.02186429336877751</x:v>
      </x:c>
      <x:c r="F575" s="12" t="n">
        <x:v>4.5</x:v>
      </x:c>
      <x:c r="G575" s="12" t="n">
        <x:v>450</x:v>
      </x:c>
      <x:c r="H575" s="12" t="n">
        <x:v>21</x:v>
      </x:c>
      <x:c r="I575" s="12" t="str">
        <x:v>TuShare index_daily</x:v>
      </x:c>
      <x:c r="J575" s="12" t="str">
        <x:v>Archived FRED mirror (Hugging Face)</x:v>
      </x:c>
    </x:row>
    <x:row r="576" ht="18" customHeight="1">
      <x:c r="A576" s="13" t="n">
        <x:v>43441</x:v>
      </x:c>
      <x:c r="B576" s="12" t="n">
        <x:v>3181.5646</x:v>
      </x:c>
      <x:c r="C576" s="12" t="n">
        <x:v>3181.673</x:v>
      </x:c>
      <x:c r="D576" s="12" t="n">
        <x:v>-0.0034</x:v>
      </x:c>
      <x:c r="E576" s="12" t="n">
        <x:v>-0.00003407070639957803</x:v>
      </x:c>
      <x:c r="F576" s="12" t="n">
        <x:v>4.5</x:v>
      </x:c>
      <x:c r="G576" s="12" t="n">
        <x:v>450</x:v>
      </x:c>
      <x:c r="H576" s="12" t="n">
        <x:v>0</x:v>
      </x:c>
      <x:c r="I576" s="12" t="str">
        <x:v>TuShare index_daily</x:v>
      </x:c>
      <x:c r="J576" s="12" t="str">
        <x:v>Archived FRED mirror (Hugging Face)</x:v>
      </x:c>
    </x:row>
    <x:row r="577" ht="18" customHeight="1">
      <x:c r="A577" s="13" t="n">
        <x:v>43444</x:v>
      </x:c>
      <x:c r="B577" s="12" t="n">
        <x:v>3144.7631</x:v>
      </x:c>
      <x:c r="C577" s="12" t="n">
        <x:v>3181.5646</x:v>
      </x:c>
      <x:c r="D577" s="12" t="n">
        <x:v>-1.1567</x:v>
      </x:c>
      <x:c r="E577" s="12" t="n">
        <x:v>-0.011634526971084672</x:v>
      </x:c>
      <x:c r="F577" s="12" t="n">
        <x:v>4.56</x:v>
      </x:c>
      <x:c r="G577" s="12" t="n">
        <x:v>455.99999999999994</x:v>
      </x:c>
      <x:c r="H577" s="12" t="n">
        <x:v>5.999999999999943</x:v>
      </x:c>
      <x:c r="I577" s="12" t="str">
        <x:v>TuShare index_daily</x:v>
      </x:c>
      <x:c r="J577" s="12" t="str">
        <x:v>Archived FRED mirror (Hugging Face)</x:v>
      </x:c>
    </x:row>
    <x:row r="578" ht="18" customHeight="1">
      <x:c r="A578" s="13" t="n">
        <x:v>43445</x:v>
      </x:c>
      <x:c r="B578" s="12" t="n">
        <x:v>3159.8158</x:v>
      </x:c>
      <x:c r="C578" s="12" t="n">
        <x:v>3144.7631</x:v>
      </x:c>
      <x:c r="D578" s="12" t="n">
        <x:v>0.4787</x:v>
      </x:c>
      <x:c r="E578" s="12" t="n">
        <x:v>0.004775173359470306</x:v>
      </x:c>
      <x:c r="F578" s="12" t="n">
        <x:v>4.48</x:v>
      </x:c>
      <x:c r="G578" s="12" t="n">
        <x:v>448.00000000000006</x:v>
      </x:c>
      <x:c r="H578" s="12" t="n">
        <x:v>-7.999999999999886</x:v>
      </x:c>
      <x:c r="I578" s="12" t="str">
        <x:v>TuShare index_daily</x:v>
      </x:c>
      <x:c r="J578" s="12" t="str">
        <x:v>Archived FRED mirror (Hugging Face)</x:v>
      </x:c>
    </x:row>
    <x:row r="579" ht="18" customHeight="1">
      <x:c r="A579" s="13" t="n">
        <x:v>43446</x:v>
      </x:c>
      <x:c r="B579" s="12" t="n">
        <x:v>3170.6092</x:v>
      </x:c>
      <x:c r="C579" s="12" t="n">
        <x:v>3159.8158</x:v>
      </x:c>
      <x:c r="D579" s="12" t="n">
        <x:v>0.3416</x:v>
      </x:c>
      <x:c r="E579" s="12" t="n">
        <x:v>0.003410011321186899</x:v>
      </x:c>
      <x:c r="F579" s="12" t="n">
        <x:v>4.4</x:v>
      </x:c>
      <x:c r="G579" s="12" t="n">
        <x:v>440.00000000000006</x:v>
      </x:c>
      <x:c r="H579" s="12" t="n">
        <x:v>-8</x:v>
      </x:c>
      <x:c r="I579" s="12" t="str">
        <x:v>TuShare index_daily</x:v>
      </x:c>
      <x:c r="J579" s="12" t="str">
        <x:v>Archived FRED mirror (Hugging Face)</x:v>
      </x:c>
    </x:row>
    <x:row r="580" ht="18" customHeight="1">
      <x:c r="A580" s="13" t="n">
        <x:v>43447</x:v>
      </x:c>
      <x:c r="B580" s="12" t="n">
        <x:v>3219.6924</x:v>
      </x:c>
      <x:c r="C580" s="12" t="n">
        <x:v>3170.6092</x:v>
      </x:c>
      <x:c r="D580" s="12" t="n">
        <x:v>1.5481</x:v>
      </x:c>
      <x:c r="E580" s="12" t="n">
        <x:v>0.015362080961148552</x:v>
      </x:c>
      <x:c r="F580" s="12" t="n">
        <x:v>4.39</x:v>
      </x:c>
      <x:c r="G580" s="12" t="n">
        <x:v>438.99999999999994</x:v>
      </x:c>
      <x:c r="H580" s="12" t="n">
        <x:v>-1.0000000000001137</x:v>
      </x:c>
      <x:c r="I580" s="12" t="str">
        <x:v>TuShare index_daily</x:v>
      </x:c>
      <x:c r="J580" s="12" t="str">
        <x:v>Archived FRED mirror (Hugging Face)</x:v>
      </x:c>
    </x:row>
    <x:row r="581" ht="18" customHeight="1">
      <x:c r="A581" s="13" t="n">
        <x:v>43448</x:v>
      </x:c>
      <x:c r="B581" s="12" t="n">
        <x:v>3165.9109</x:v>
      </x:c>
      <x:c r="C581" s="12" t="n">
        <x:v>3219.6924</x:v>
      </x:c>
      <x:c r="D581" s="12" t="n">
        <x:v>-1.6704</x:v>
      </x:c>
      <x:c r="E581" s="12" t="n">
        <x:v>-0.01684500874701418</x:v>
      </x:c>
      <x:c r="F581" s="12" t="n">
        <x:v>4.46</x:v>
      </x:c>
      <x:c r="G581" s="12" t="n">
        <x:v>446</x:v>
      </x:c>
      <x:c r="H581" s="12" t="n">
        <x:v>7.000000000000057</x:v>
      </x:c>
      <x:c r="I581" s="12" t="str">
        <x:v>TuShare index_daily</x:v>
      </x:c>
      <x:c r="J581" s="12" t="str">
        <x:v>Archived FRED mirror (Hugging Face)</x:v>
      </x:c>
    </x:row>
    <x:row r="582" ht="18" customHeight="1">
      <x:c r="A582" s="13" t="n">
        <x:v>43451</x:v>
      </x:c>
      <x:c r="B582" s="12" t="n">
        <x:v>3161.1966</x:v>
      </x:c>
      <x:c r="C582" s="12" t="n">
        <x:v>3165.9109</x:v>
      </x:c>
      <x:c r="D582" s="12" t="n">
        <x:v>-0.1489</x:v>
      </x:c>
      <x:c r="E582" s="12" t="n">
        <x:v>-0.0014901914887359281</x:v>
      </x:c>
      <x:c r="F582" s="12" t="n">
        <x:v>4.58</x:v>
      </x:c>
      <x:c r="G582" s="12" t="n">
        <x:v>458</x:v>
      </x:c>
      <x:c r="H582" s="12" t="n">
        <x:v>12</x:v>
      </x:c>
      <x:c r="I582" s="12" t="str">
        <x:v>TuShare index_daily</x:v>
      </x:c>
      <x:c r="J582" s="12" t="str">
        <x:v>Archived FRED mirror (Hugging Face)</x:v>
      </x:c>
    </x:row>
    <x:row r="583" ht="18" customHeight="1">
      <x:c r="A583" s="13" t="n">
        <x:v>43452</x:v>
      </x:c>
      <x:c r="B583" s="12" t="n">
        <x:v>3128.4265</x:v>
      </x:c>
      <x:c r="C583" s="12" t="n">
        <x:v>3161.1966</x:v>
      </x:c>
      <x:c r="D583" s="12" t="n">
        <x:v>-1.0366</x:v>
      </x:c>
      <x:c r="E583" s="12" t="n">
        <x:v>-0.010420464313941379</x:v>
      </x:c>
      <x:c r="F583" s="12" t="n">
        <x:v>4.72</x:v>
      </x:c>
      <x:c r="G583" s="12" t="n">
        <x:v>472</x:v>
      </x:c>
      <x:c r="H583" s="12" t="n">
        <x:v>14</x:v>
      </x:c>
      <x:c r="I583" s="12" t="str">
        <x:v>TuShare index_daily</x:v>
      </x:c>
      <x:c r="J583" s="12" t="str">
        <x:v>Archived FRED mirror (Hugging Face)</x:v>
      </x:c>
    </x:row>
    <x:row r="584" ht="18" customHeight="1">
      <x:c r="A584" s="13" t="n">
        <x:v>43453</x:v>
      </x:c>
      <x:c r="B584" s="12" t="n">
        <x:v>3091.1255</x:v>
      </x:c>
      <x:c r="C584" s="12" t="n">
        <x:v>3128.4265</x:v>
      </x:c>
      <x:c r="D584" s="12" t="n">
        <x:v>-1.1923</x:v>
      </x:c>
      <x:c r="E584" s="12" t="n">
        <x:v>-0.011994898420471533</x:v>
      </x:c>
      <x:c r="F584" s="12" t="n">
        <x:v>4.84</x:v>
      </x:c>
      <x:c r="G584" s="12" t="n">
        <x:v>484</x:v>
      </x:c>
      <x:c r="H584" s="12" t="n">
        <x:v>12</x:v>
      </x:c>
      <x:c r="I584" s="12" t="str">
        <x:v>TuShare index_daily</x:v>
      </x:c>
      <x:c r="J584" s="12" t="str">
        <x:v>Archived FRED mirror (Hugging Face)</x:v>
      </x:c>
    </x:row>
    <x:row r="585" ht="18" customHeight="1">
      <x:c r="A585" s="13" t="n">
        <x:v>43454</x:v>
      </x:c>
      <x:c r="B585" s="12" t="n">
        <x:v>3067.4169</x:v>
      </x:c>
      <x:c r="C585" s="12" t="n">
        <x:v>3091.1255</x:v>
      </x:c>
      <x:c r="D585" s="12" t="n">
        <x:v>-0.767</x:v>
      </x:c>
      <x:c r="E585" s="12" t="n">
        <x:v>-0.007699457301329583</x:v>
      </x:c>
      <x:c r="F585" s="12" t="n">
        <x:v>5.11</x:v>
      </x:c>
      <x:c r="G585" s="12" t="n">
        <x:v>511.00000000000006</x:v>
      </x:c>
      <x:c r="H585" s="12" t="n">
        <x:v>27.000000000000057</x:v>
      </x:c>
      <x:c r="I585" s="12" t="str">
        <x:v>TuShare index_daily</x:v>
      </x:c>
      <x:c r="J585" s="12" t="str">
        <x:v>Archived FRED mirror (Hugging Face)</x:v>
      </x:c>
    </x:row>
    <x:row r="586" ht="18" customHeight="1">
      <x:c r="A586" s="13" t="n">
        <x:v>43455</x:v>
      </x:c>
      <x:c r="B586" s="12" t="n">
        <x:v>3029.3951</x:v>
      </x:c>
      <x:c r="C586" s="12" t="n">
        <x:v>3067.4169</x:v>
      </x:c>
      <x:c r="D586" s="12" t="n">
        <x:v>-1.2395</x:v>
      </x:c>
      <x:c r="E586" s="12" t="n">
        <x:v>-0.01247284414395827</x:v>
      </x:c>
      <x:c r="F586" s="12" t="n">
        <x:v>5.22</x:v>
      </x:c>
      <x:c r="G586" s="12" t="n">
        <x:v>522</x:v>
      </x:c>
      <x:c r="H586" s="12" t="n">
        <x:v>10.999999999999943</x:v>
      </x:c>
      <x:c r="I586" s="12" t="str">
        <x:v>TuShare index_daily</x:v>
      </x:c>
      <x:c r="J586" s="12" t="str">
        <x:v>Archived FRED mirror (Hugging Face)</x:v>
      </x:c>
    </x:row>
    <x:row r="587" ht="18" customHeight="1">
      <x:c r="A587" s="13" t="n">
        <x:v>43458</x:v>
      </x:c>
      <x:c r="B587" s="12" t="n">
        <x:v>3038.1981</x:v>
      </x:c>
      <x:c r="C587" s="12" t="n">
        <x:v>3029.3951</x:v>
      </x:c>
      <x:c r="D587" s="12" t="n">
        <x:v>0.2906</x:v>
      </x:c>
      <x:c r="E587" s="12" t="n">
        <x:v>0.0029016467934745113</x:v>
      </x:c>
      <x:c r="F587" s="12" t="n">
        <x:v>5.35</x:v>
      </x:c>
      <x:c r="G587" s="12" t="n">
        <x:v>535</x:v>
      </x:c>
      <x:c r="H587" s="12" t="n">
        <x:v>13</x:v>
      </x:c>
      <x:c r="I587" s="12" t="str">
        <x:v>TuShare index_daily</x:v>
      </x:c>
      <x:c r="J587" s="12" t="str">
        <x:v>Archived FRED mirror (Hugging Face)</x:v>
      </x:c>
    </x:row>
    <x:row r="588" ht="18" customHeight="1">
      <x:c r="A588" s="13" t="n">
        <x:v>43460</x:v>
      </x:c>
      <x:c r="B588" s="12" t="n">
        <x:v>3002.0327</x:v>
      </x:c>
      <x:c r="C588" s="12" t="n">
        <x:v>3017.2815</x:v>
      </x:c>
      <x:c r="D588" s="12" t="n">
        <x:v>-0.5054</x:v>
      </x:c>
      <x:c r="E588" s="12" t="n">
        <x:v>-0.005066634541426275</x:v>
      </x:c>
      <x:c r="F588" s="12" t="n">
        <x:v>5.37</x:v>
      </x:c>
      <x:c r="G588" s="12" t="n">
        <x:v>537</x:v>
      </x:c>
      <x:c r="H588" s="12" t="n">
        <x:v>2</x:v>
      </x:c>
      <x:c r="I588" s="12" t="str">
        <x:v>TuShare index_daily</x:v>
      </x:c>
      <x:c r="J588" s="12" t="str">
        <x:v>Archived FRED mirror (Hugging Face)</x:v>
      </x:c>
    </x:row>
    <x:row r="589" ht="18" customHeight="1">
      <x:c r="A589" s="13" t="n">
        <x:v>43461</x:v>
      </x:c>
      <x:c r="B589" s="12" t="n">
        <x:v>2990.5057</x:v>
      </x:c>
      <x:c r="C589" s="12" t="n">
        <x:v>3002.0327</x:v>
      </x:c>
      <x:c r="D589" s="12" t="n">
        <x:v>-0.384</x:v>
      </x:c>
      <x:c r="E589" s="12" t="n">
        <x:v>-0.0038471223536812207</x:v>
      </x:c>
      <x:c r="F589" s="12" t="n">
        <x:v>5.38</x:v>
      </x:c>
      <x:c r="G589" s="12" t="n">
        <x:v>538</x:v>
      </x:c>
      <x:c r="H589" s="12" t="n">
        <x:v>1</x:v>
      </x:c>
      <x:c r="I589" s="12" t="str">
        <x:v>TuShare index_daily</x:v>
      </x:c>
      <x:c r="J589" s="12" t="str">
        <x:v>Archived FRED mirror (Hugging Face)</x:v>
      </x:c>
    </x:row>
    <x:row r="590" ht="18" customHeight="1">
      <x:c r="A590" s="13" t="n">
        <x:v>43462</x:v>
      </x:c>
      <x:c r="B590" s="12" t="n">
        <x:v>3010.6536</x:v>
      </x:c>
      <x:c r="C590" s="12" t="n">
        <x:v>2990.5057</x:v>
      </x:c>
      <x:c r="D590" s="12" t="n">
        <x:v>0.6737</x:v>
      </x:c>
      <x:c r="E590" s="12" t="n">
        <x:v>0.006714694509391029</x:v>
      </x:c>
      <x:c r="F590" s="12" t="n">
        <x:v>5.3</x:v>
      </x:c>
      <x:c r="G590" s="12" t="n">
        <x:v>530</x:v>
      </x:c>
      <x:c r="H590" s="12" t="n">
        <x:v>-8</x:v>
      </x:c>
      <x:c r="I590" s="12" t="str">
        <x:v>TuShare index_daily</x:v>
      </x:c>
      <x:c r="J590" s="12" t="str">
        <x:v>Archived FRED mirror (Hugging Face)</x:v>
      </x:c>
    </x:row>
    <x:row r="591" ht="18" customHeight="1">
      <x:c r="A591" s="13" t="n">
        <x:v>43467</x:v>
      </x:c>
      <x:c r="B591" s="12" t="n">
        <x:v>2969.5353</x:v>
      </x:c>
      <x:c r="C591" s="12" t="n">
        <x:v>3010.6536</x:v>
      </x:c>
      <x:c r="D591" s="12" t="n">
        <x:v>-1.3658</x:v>
      </x:c>
      <x:c r="E591" s="12" t="n">
        <x:v>-0.01375172211955543</x:v>
      </x:c>
      <x:c r="F591" s="12" t="n">
        <x:v>5.35</x:v>
      </x:c>
      <x:c r="G591" s="12" t="n">
        <x:v>535</x:v>
      </x:c>
      <x:c r="H591" s="12" t="n">
        <x:v>2</x:v>
      </x:c>
      <x:c r="I591" s="12" t="str">
        <x:v>TuShare index_daily</x:v>
      </x:c>
      <x:c r="J591" s="12" t="str">
        <x:v>Archived FRED mirror (Hugging Face)</x:v>
      </x:c>
    </x:row>
    <x:row r="592" ht="18" customHeight="1">
      <x:c r="A592" s="13" t="n">
        <x:v>43468</x:v>
      </x:c>
      <x:c r="B592" s="12" t="n">
        <x:v>2964.8421</x:v>
      </x:c>
      <x:c r="C592" s="12" t="n">
        <x:v>2969.5353</x:v>
      </x:c>
      <x:c r="D592" s="12" t="n">
        <x:v>-0.158</x:v>
      </x:c>
      <x:c r="E592" s="12" t="n">
        <x:v>-0.0015816995321003935</x:v>
      </x:c>
      <x:c r="F592" s="12" t="n">
        <x:v>5.44</x:v>
      </x:c>
      <x:c r="G592" s="12" t="n">
        <x:v>544</x:v>
      </x:c>
      <x:c r="H592" s="12" t="n">
        <x:v>9</x:v>
      </x:c>
      <x:c r="I592" s="12" t="str">
        <x:v>TuShare index_daily</x:v>
      </x:c>
      <x:c r="J592" s="12" t="str">
        <x:v>Archived FRED mirror (Hugging Face)</x:v>
      </x:c>
    </x:row>
    <x:row r="593" ht="18" customHeight="1">
      <x:c r="A593" s="13" t="n">
        <x:v>43469</x:v>
      </x:c>
      <x:c r="B593" s="12" t="n">
        <x:v>3035.8741</x:v>
      </x:c>
      <x:c r="C593" s="12" t="n">
        <x:v>2964.8421</x:v>
      </x:c>
      <x:c r="D593" s="12" t="n">
        <x:v>2.3958</x:v>
      </x:c>
      <x:c r="E593" s="12" t="n">
        <x:v>0.023675613241137573</x:v>
      </x:c>
      <x:c r="F593" s="12" t="n">
        <x:v>5.05</x:v>
      </x:c>
      <x:c r="G593" s="12" t="n">
        <x:v>505</x:v>
      </x:c>
      <x:c r="H593" s="12" t="n">
        <x:v>-39</x:v>
      </x:c>
      <x:c r="I593" s="12" t="str">
        <x:v>TuShare index_daily</x:v>
      </x:c>
      <x:c r="J593" s="12" t="str">
        <x:v>Archived FRED mirror (Hugging Face)</x:v>
      </x:c>
    </x:row>
    <x:row r="594" ht="18" customHeight="1">
      <x:c r="A594" s="13" t="n">
        <x:v>43472</x:v>
      </x:c>
      <x:c r="B594" s="12" t="n">
        <x:v>3054.303</x:v>
      </x:c>
      <x:c r="C594" s="12" t="n">
        <x:v>3035.8741</x:v>
      </x:c>
      <x:c r="D594" s="12" t="n">
        <x:v>0.607</x:v>
      </x:c>
      <x:c r="E594" s="12" t="n">
        <x:v>0.00605202638511489</x:v>
      </x:c>
      <x:c r="F594" s="12" t="n">
        <x:v>4.83</x:v>
      </x:c>
      <x:c r="G594" s="12" t="n">
        <x:v>483</x:v>
      </x:c>
      <x:c r="H594" s="12" t="n">
        <x:v>-22</x:v>
      </x:c>
      <x:c r="I594" s="12" t="str">
        <x:v>TuShare index_daily</x:v>
      </x:c>
      <x:c r="J594" s="12" t="str">
        <x:v>Archived FRED mirror (Hugging Face)</x:v>
      </x:c>
    </x:row>
    <x:row r="595" ht="18" customHeight="1">
      <x:c r="A595" s="13" t="n">
        <x:v>43473</x:v>
      </x:c>
      <x:c r="B595" s="12" t="n">
        <x:v>3047.7035</x:v>
      </x:c>
      <x:c r="C595" s="12" t="n">
        <x:v>3054.303</x:v>
      </x:c>
      <x:c r="D595" s="12" t="n">
        <x:v>-0.2161</x:v>
      </x:c>
      <x:c r="E595" s="12" t="n">
        <x:v>-0.0021630598306179886</x:v>
      </x:c>
      <x:c r="F595" s="12" t="n">
        <x:v>4.65</x:v>
      </x:c>
      <x:c r="G595" s="12" t="n">
        <x:v>465.00000000000006</x:v>
      </x:c>
      <x:c r="H595" s="12" t="n">
        <x:v>-17.999999999999943</x:v>
      </x:c>
      <x:c r="I595" s="12" t="str">
        <x:v>TuShare index_daily</x:v>
      </x:c>
      <x:c r="J595" s="12" t="str">
        <x:v>Archived FRED mirror (Hugging Face)</x:v>
      </x:c>
    </x:row>
    <x:row r="596" ht="18" customHeight="1">
      <x:c r="A596" s="13" t="n">
        <x:v>43474</x:v>
      </x:c>
      <x:c r="B596" s="12" t="n">
        <x:v>3078.4759</x:v>
      </x:c>
      <x:c r="C596" s="12" t="n">
        <x:v>3047.7035</x:v>
      </x:c>
      <x:c r="D596" s="12" t="n">
        <x:v>1.0097</x:v>
      </x:c>
      <x:c r="E596" s="12" t="n">
        <x:v>0.010046280660777089</x:v>
      </x:c>
      <x:c r="F596" s="12" t="n">
        <x:v>4.52</x:v>
      </x:c>
      <x:c r="G596" s="12" t="n">
        <x:v>451.99999999999994</x:v>
      </x:c>
      <x:c r="H596" s="12" t="n">
        <x:v>-13.000000000000114</x:v>
      </x:c>
      <x:c r="I596" s="12" t="str">
        <x:v>TuShare index_daily</x:v>
      </x:c>
      <x:c r="J596" s="12" t="str">
        <x:v>Archived FRED mirror (Hugging Face)</x:v>
      </x:c>
    </x:row>
    <x:row r="597" ht="18" customHeight="1">
      <x:c r="A597" s="13" t="n">
        <x:v>43475</x:v>
      </x:c>
      <x:c r="B597" s="12" t="n">
        <x:v>3072.6864</x:v>
      </x:c>
      <x:c r="C597" s="12" t="n">
        <x:v>3078.4759</x:v>
      </x:c>
      <x:c r="D597" s="12" t="n">
        <x:v>-0.1881</x:v>
      </x:c>
      <x:c r="E597" s="12" t="n">
        <x:v>-0.001882409023599767</x:v>
      </x:c>
      <x:c r="F597" s="12" t="n">
        <x:v>4.54</x:v>
      </x:c>
      <x:c r="G597" s="12" t="n">
        <x:v>454</x:v>
      </x:c>
      <x:c r="H597" s="12" t="n">
        <x:v>2.000000000000057</x:v>
      </x:c>
      <x:c r="I597" s="12" t="str">
        <x:v>TuShare index_daily</x:v>
      </x:c>
      <x:c r="J597" s="12" t="str">
        <x:v>Archived FRED mirror (Hugging Face)</x:v>
      </x:c>
    </x:row>
    <x:row r="598" ht="18" customHeight="1">
      <x:c r="A598" s="13" t="n">
        <x:v>43476</x:v>
      </x:c>
      <x:c r="B598" s="12" t="n">
        <x:v>3094.7782</x:v>
      </x:c>
      <x:c r="C598" s="12" t="n">
        <x:v>3072.6864</x:v>
      </x:c>
      <x:c r="D598" s="12" t="n">
        <x:v>0.719</x:v>
      </x:c>
      <x:c r="E598" s="12" t="n">
        <x:v>0.007164011767437094</x:v>
      </x:c>
      <x:c r="F598" s="12" t="n">
        <x:v>4.55</x:v>
      </x:c>
      <x:c r="G598" s="12" t="n">
        <x:v>455</x:v>
      </x:c>
      <x:c r="H598" s="12" t="n">
        <x:v>1</x:v>
      </x:c>
      <x:c r="I598" s="12" t="str">
        <x:v>TuShare index_daily</x:v>
      </x:c>
      <x:c r="J598" s="12" t="str">
        <x:v>Archived FRED mirror (Hugging Face)</x:v>
      </x:c>
    </x:row>
    <x:row r="599" ht="18" customHeight="1">
      <x:c r="A599" s="13" t="n">
        <x:v>43479</x:v>
      </x:c>
      <x:c r="B599" s="12" t="n">
        <x:v>3067.7845</x:v>
      </x:c>
      <x:c r="C599" s="12" t="n">
        <x:v>3094.7782</x:v>
      </x:c>
      <x:c r="D599" s="12" t="n">
        <x:v>-0.8722</x:v>
      </x:c>
      <x:c r="E599" s="12" t="n">
        <x:v>-0.008760599755919578</x:v>
      </x:c>
      <x:c r="F599" s="12" t="n">
        <x:v>4.6</x:v>
      </x:c>
      <x:c r="G599" s="12" t="n">
        <x:v>459.99999999999994</x:v>
      </x:c>
      <x:c r="H599" s="12" t="n">
        <x:v>4.999999999999943</x:v>
      </x:c>
      <x:c r="I599" s="12" t="str">
        <x:v>TuShare index_daily</x:v>
      </x:c>
      <x:c r="J599" s="12" t="str">
        <x:v>Archived FRED mirror (Hugging Face)</x:v>
      </x:c>
    </x:row>
    <x:row r="600" ht="18" customHeight="1">
      <x:c r="A600" s="13" t="n">
        <x:v>43480</x:v>
      </x:c>
      <x:c r="B600" s="12" t="n">
        <x:v>3127.9904</x:v>
      </x:c>
      <x:c r="C600" s="12" t="n">
        <x:v>3067.7845</x:v>
      </x:c>
      <x:c r="D600" s="12" t="n">
        <x:v>1.9625</x:v>
      </x:c>
      <x:c r="E600" s="12" t="n">
        <x:v>0.019435113786143984</x:v>
      </x:c>
      <x:c r="F600" s="12" t="n">
        <x:v>4.55</x:v>
      </x:c>
      <x:c r="G600" s="12" t="n">
        <x:v>455</x:v>
      </x:c>
      <x:c r="H600" s="12" t="n">
        <x:v>-4.999999999999943</x:v>
      </x:c>
      <x:c r="I600" s="12" t="str">
        <x:v>TuShare index_daily</x:v>
      </x:c>
      <x:c r="J600" s="12" t="str">
        <x:v>Archived FRED mirror (Hugging Face)</x:v>
      </x:c>
    </x:row>
    <x:row r="601" ht="18" customHeight="1">
      <x:c r="A601" s="13" t="n">
        <x:v>43481</x:v>
      </x:c>
      <x:c r="B601" s="12" t="n">
        <x:v>3128.6517</x:v>
      </x:c>
      <x:c r="C601" s="12" t="n">
        <x:v>3127.9904</x:v>
      </x:c>
      <x:c r="D601" s="12" t="n">
        <x:v>0.0211</x:v>
      </x:c>
      <x:c r="E601" s="12" t="n">
        <x:v>0.0002113913475927562</x:v>
      </x:c>
      <x:c r="F601" s="12" t="n">
        <x:v>4.44</x:v>
      </x:c>
      <x:c r="G601" s="12" t="n">
        <x:v>444.00000000000006</x:v>
      </x:c>
      <x:c r="H601" s="12" t="n">
        <x:v>-10.999999999999943</x:v>
      </x:c>
      <x:c r="I601" s="12" t="str">
        <x:v>TuShare index_daily</x:v>
      </x:c>
      <x:c r="J601" s="12" t="str">
        <x:v>Archived FRED mirror (Hugging Face)</x:v>
      </x:c>
    </x:row>
    <x:row r="602" ht="18" customHeight="1">
      <x:c r="A602" s="13" t="n">
        <x:v>43482</x:v>
      </x:c>
      <x:c r="B602" s="12" t="n">
        <x:v>3111.4168</x:v>
      </x:c>
      <x:c r="C602" s="12" t="n">
        <x:v>3128.6517</x:v>
      </x:c>
      <x:c r="D602" s="12" t="n">
        <x:v>-0.5509</x:v>
      </x:c>
      <x:c r="E602" s="12" t="n">
        <x:v>-0.0055239598173146606</x:v>
      </x:c>
      <x:c r="F602" s="12" t="n">
        <x:v>4.4</x:v>
      </x:c>
      <x:c r="G602" s="12" t="n">
        <x:v>440.00000000000006</x:v>
      </x:c>
      <x:c r="H602" s="12" t="n">
        <x:v>-4</x:v>
      </x:c>
      <x:c r="I602" s="12" t="str">
        <x:v>TuShare index_daily</x:v>
      </x:c>
      <x:c r="J602" s="12" t="str">
        <x:v>Archived FRED mirror (Hugging Face)</x:v>
      </x:c>
    </x:row>
    <x:row r="603" ht="18" customHeight="1">
      <x:c r="A603" s="13" t="n">
        <x:v>43483</x:v>
      </x:c>
      <x:c r="B603" s="12" t="n">
        <x:v>3168.1739</x:v>
      </x:c>
      <x:c r="C603" s="12" t="n">
        <x:v>3111.4168</x:v>
      </x:c>
      <x:c r="D603" s="12" t="n">
        <x:v>1.8242</x:v>
      </x:c>
      <x:c r="E603" s="12" t="n">
        <x:v>0.018077179967474297</x:v>
      </x:c>
      <x:c r="F603" s="12" t="n">
        <x:v>4.27</x:v>
      </x:c>
      <x:c r="G603" s="12" t="n">
        <x:v>426.99999999999994</x:v>
      </x:c>
      <x:c r="H603" s="12" t="n">
        <x:v>-13.000000000000114</x:v>
      </x:c>
      <x:c r="I603" s="12" t="str">
        <x:v>TuShare index_daily</x:v>
      </x:c>
      <x:c r="J603" s="12" t="str">
        <x:v>Archived FRED mirror (Hugging Face)</x:v>
      </x:c>
    </x:row>
    <x:row r="604" ht="18" customHeight="1">
      <x:c r="A604" s="13" t="n">
        <x:v>43486</x:v>
      </x:c>
      <x:c r="B604" s="12" t="n">
        <x:v>3185.6364</x:v>
      </x:c>
      <x:c r="C604" s="12" t="n">
        <x:v>3168.1739</x:v>
      </x:c>
      <x:c r="D604" s="12" t="n">
        <x:v>0.5512</x:v>
      </x:c>
      <x:c r="E604" s="12" t="n">
        <x:v>0.005496715558999611</x:v>
      </x:c>
      <x:c r="F604" s="12" t="n">
        <x:v>4.27</x:v>
      </x:c>
      <x:c r="G604" s="12" t="n">
        <x:v>426.99999999999994</x:v>
      </x:c>
      <x:c r="H604" s="12" t="n">
        <x:v>0</x:v>
      </x:c>
      <x:c r="I604" s="12" t="str">
        <x:v>TuShare index_daily</x:v>
      </x:c>
      <x:c r="J604" s="12" t="str">
        <x:v>Archived FRED mirror (Hugging Face)</x:v>
      </x:c>
    </x:row>
    <x:row r="605" ht="18" customHeight="1">
      <x:c r="A605" s="13" t="n">
        <x:v>43487</x:v>
      </x:c>
      <x:c r="B605" s="12" t="n">
        <x:v>3143.3171</x:v>
      </x:c>
      <x:c r="C605" s="12" t="n">
        <x:v>3185.6364</x:v>
      </x:c>
      <x:c r="D605" s="12" t="n">
        <x:v>-1.3284</x:v>
      </x:c>
      <x:c r="E605" s="12" t="n">
        <x:v>-0.01337343708651259</x:v>
      </x:c>
      <x:c r="F605" s="12" t="n">
        <x:v>4.41</x:v>
      </x:c>
      <x:c r="G605" s="12" t="n">
        <x:v>441</x:v>
      </x:c>
      <x:c r="H605" s="12" t="n">
        <x:v>14.000000000000057</x:v>
      </x:c>
      <x:c r="I605" s="12" t="str">
        <x:v>TuShare index_daily</x:v>
      </x:c>
      <x:c r="J605" s="12" t="str">
        <x:v>Archived FRED mirror (Hugging Face)</x:v>
      </x:c>
    </x:row>
    <x:row r="606" ht="18" customHeight="1">
      <x:c r="A606" s="13" t="n">
        <x:v>43488</x:v>
      </x:c>
      <x:c r="B606" s="12" t="n">
        <x:v>3141.0532</x:v>
      </x:c>
      <x:c r="C606" s="12" t="n">
        <x:v>3143.3171</x:v>
      </x:c>
      <x:c r="D606" s="12" t="n">
        <x:v>-0.072</x:v>
      </x:c>
      <x:c r="E606" s="12" t="n">
        <x:v>-0.0007204859006901076</x:v>
      </x:c>
      <x:c r="F606" s="12" t="n">
        <x:v>4.39</x:v>
      </x:c>
      <x:c r="G606" s="12" t="n">
        <x:v>438.99999999999994</x:v>
      </x:c>
      <x:c r="H606" s="12" t="n">
        <x:v>-2.000000000000057</x:v>
      </x:c>
      <x:c r="I606" s="12" t="str">
        <x:v>TuShare index_daily</x:v>
      </x:c>
      <x:c r="J606" s="12" t="str">
        <x:v>Archived FRED mirror (Hugging Face)</x:v>
      </x:c>
    </x:row>
    <x:row r="607" ht="18" customHeight="1">
      <x:c r="A607" s="13" t="n">
        <x:v>43489</x:v>
      </x:c>
      <x:c r="B607" s="12" t="n">
        <x:v>3158.7817</x:v>
      </x:c>
      <x:c r="C607" s="12" t="n">
        <x:v>3141.0532</x:v>
      </x:c>
      <x:c r="D607" s="12" t="n">
        <x:v>0.5644</x:v>
      </x:c>
      <x:c r="E607" s="12" t="n">
        <x:v>0.005628257591068691</x:v>
      </x:c>
      <x:c r="F607" s="12" t="n">
        <x:v>4.45</x:v>
      </x:c>
      <x:c r="G607" s="12" t="n">
        <x:v>445</x:v>
      </x:c>
      <x:c r="H607" s="12" t="n">
        <x:v>6.000000000000057</x:v>
      </x:c>
      <x:c r="I607" s="12" t="str">
        <x:v>TuShare index_daily</x:v>
      </x:c>
      <x:c r="J607" s="12" t="str">
        <x:v>Archived FRED mirror (Hugging Face)</x:v>
      </x:c>
    </x:row>
    <x:row r="608" ht="18" customHeight="1">
      <x:c r="A608" s="13" t="n">
        <x:v>43490</x:v>
      </x:c>
      <x:c r="B608" s="12" t="n">
        <x:v>3184.4696</x:v>
      </x:c>
      <x:c r="C608" s="12" t="n">
        <x:v>3158.7817</x:v>
      </x:c>
      <x:c r="D608" s="12" t="n">
        <x:v>0.8132</x:v>
      </x:c>
      <x:c r="E608" s="12" t="n">
        <x:v>0.008099329258855039</x:v>
      </x:c>
      <x:c r="F608" s="12" t="n">
        <x:v>4.34</x:v>
      </x:c>
      <x:c r="G608" s="12" t="n">
        <x:v>434</x:v>
      </x:c>
      <x:c r="H608" s="12" t="n">
        <x:v>-11</x:v>
      </x:c>
      <x:c r="I608" s="12" t="str">
        <x:v>TuShare index_daily</x:v>
      </x:c>
      <x:c r="J608" s="12" t="str">
        <x:v>Archived FRED mirror (Hugging Face)</x:v>
      </x:c>
    </x:row>
    <x:row r="609" ht="18" customHeight="1">
      <x:c r="A609" s="13" t="n">
        <x:v>43493</x:v>
      </x:c>
      <x:c r="B609" s="12" t="n">
        <x:v>3183.7777</x:v>
      </x:c>
      <x:c r="C609" s="12" t="n">
        <x:v>3184.4696</x:v>
      </x:c>
      <x:c r="D609" s="12" t="n">
        <x:v>-0.0217</x:v>
      </x:c>
      <x:c r="E609" s="12" t="n">
        <x:v>-0.00021729683855788832</x:v>
      </x:c>
      <x:c r="F609" s="12" t="n">
        <x:v>4.41</x:v>
      </x:c>
      <x:c r="G609" s="12" t="n">
        <x:v>441</x:v>
      </x:c>
      <x:c r="H609" s="12" t="n">
        <x:v>7</x:v>
      </x:c>
      <x:c r="I609" s="12" t="str">
        <x:v>TuShare index_daily</x:v>
      </x:c>
      <x:c r="J609" s="12" t="str">
        <x:v>Archived FRED mirror (Hugging Face)</x:v>
      </x:c>
    </x:row>
    <x:row r="610" ht="18" customHeight="1">
      <x:c r="A610" s="13" t="n">
        <x:v>43494</x:v>
      </x:c>
      <x:c r="B610" s="12" t="n">
        <x:v>3193.9698</x:v>
      </x:c>
      <x:c r="C610" s="12" t="n">
        <x:v>3183.7777</x:v>
      </x:c>
      <x:c r="D610" s="12" t="n">
        <x:v>0.3201</x:v>
      </x:c>
      <x:c r="E610" s="12" t="n">
        <x:v>0.003196146814004265</x:v>
      </x:c>
      <x:c r="F610" s="12" t="n">
        <x:v>4.4</x:v>
      </x:c>
      <x:c r="G610" s="12" t="n">
        <x:v>440.00000000000006</x:v>
      </x:c>
      <x:c r="H610" s="12" t="n">
        <x:v>-0.9999999999999432</x:v>
      </x:c>
      <x:c r="I610" s="12" t="str">
        <x:v>TuShare index_daily</x:v>
      </x:c>
      <x:c r="J610" s="12" t="str">
        <x:v>Archived FRED mirror (Hugging Face)</x:v>
      </x:c>
    </x:row>
    <x:row r="611" ht="18" customHeight="1">
      <x:c r="A611" s="13" t="n">
        <x:v>43495</x:v>
      </x:c>
      <x:c r="B611" s="12" t="n">
        <x:v>3168.4829</x:v>
      </x:c>
      <x:c r="C611" s="12" t="n">
        <x:v>3193.9698</x:v>
      </x:c>
      <x:c r="D611" s="12" t="n">
        <x:v>-0.798</x:v>
      </x:c>
      <x:c r="E611" s="12" t="n">
        <x:v>-0.008011701628187862</x:v>
      </x:c>
      <x:c r="F611" s="12" t="n">
        <x:v>4.36</x:v>
      </x:c>
      <x:c r="G611" s="12" t="n">
        <x:v>436.00000000000006</x:v>
      </x:c>
      <x:c r="H611" s="12" t="n">
        <x:v>-4</x:v>
      </x:c>
      <x:c r="I611" s="12" t="str">
        <x:v>TuShare index_daily</x:v>
      </x:c>
      <x:c r="J611" s="12" t="str">
        <x:v>Archived FRED mirror (Hugging Face)</x:v>
      </x:c>
    </x:row>
    <x:row r="612" ht="18" customHeight="1">
      <x:c r="A612" s="13" t="n">
        <x:v>43496</x:v>
      </x:c>
      <x:c r="B612" s="12" t="n">
        <x:v>3201.6331</x:v>
      </x:c>
      <x:c r="C612" s="12" t="n">
        <x:v>3168.4829</x:v>
      </x:c>
      <x:c r="D612" s="12" t="n">
        <x:v>1.0462</x:v>
      </x:c>
      <x:c r="E612" s="12" t="n">
        <x:v>0.01040813048322049</x:v>
      </x:c>
      <x:c r="F612" s="12" t="n">
        <x:v>4.37</x:v>
      </x:c>
      <x:c r="G612" s="12" t="n">
        <x:v>437</x:v>
      </x:c>
      <x:c r="H612" s="12" t="n">
        <x:v>0.9999999999999432</x:v>
      </x:c>
      <x:c r="I612" s="12" t="str">
        <x:v>TuShare index_daily</x:v>
      </x:c>
      <x:c r="J612" s="12" t="str">
        <x:v>Archived FRED mirror (Hugging Face)</x:v>
      </x:c>
    </x:row>
    <x:row r="613" ht="18" customHeight="1">
      <x:c r="A613" s="13" t="n">
        <x:v>43497</x:v>
      </x:c>
      <x:c r="B613" s="12" t="n">
        <x:v>3247.3971</x:v>
      </x:c>
      <x:c r="C613" s="12" t="n">
        <x:v>3201.6331</x:v>
      </x:c>
      <x:c r="D613" s="12" t="n">
        <x:v>1.4294</x:v>
      </x:c>
      <x:c r="E613" s="12" t="n">
        <x:v>0.014192759773769527</x:v>
      </x:c>
      <x:c r="F613" s="12" t="n">
        <x:v>4.29</x:v>
      </x:c>
      <x:c r="G613" s="12" t="n">
        <x:v>429</x:v>
      </x:c>
      <x:c r="H613" s="12" t="n">
        <x:v>-8</x:v>
      </x:c>
      <x:c r="I613" s="12" t="str">
        <x:v>TuShare index_daily</x:v>
      </x:c>
      <x:c r="J613" s="12" t="str">
        <x:v>Archived FRED mirror (Hugging Face)</x:v>
      </x:c>
    </x:row>
    <x:row r="614" ht="18" customHeight="1">
      <x:c r="A614" s="13" t="n">
        <x:v>43507</x:v>
      </x:c>
      <x:c r="B614" s="12" t="n">
        <x:v>3306.4725</x:v>
      </x:c>
      <x:c r="C614" s="12" t="n">
        <x:v>3247.3971</x:v>
      </x:c>
      <x:c r="D614" s="12" t="n">
        <x:v>1.8192</x:v>
      </x:c>
      <x:c r="E614" s="12" t="n">
        <x:v>0.018028127998166308</x:v>
      </x:c>
      <x:c r="F614" s="12" t="n">
        <x:v>4.28</x:v>
      </x:c>
      <x:c r="G614" s="12" t="n">
        <x:v>428</x:v>
      </x:c>
      <x:c r="H614" s="12" t="n">
        <x:v>-4</x:v>
      </x:c>
      <x:c r="I614" s="12" t="str">
        <x:v>TuShare index_daily</x:v>
      </x:c>
      <x:c r="J614" s="12" t="str">
        <x:v>Archived FRED mirror (Hugging Face)</x:v>
      </x:c>
    </x:row>
    <x:row r="615" ht="18" customHeight="1">
      <x:c r="A615" s="13" t="n">
        <x:v>43508</x:v>
      </x:c>
      <x:c r="B615" s="12" t="n">
        <x:v>3330.3353</x:v>
      </x:c>
      <x:c r="C615" s="12" t="n">
        <x:v>3306.4725</x:v>
      </x:c>
      <x:c r="D615" s="12" t="n">
        <x:v>0.7217</x:v>
      </x:c>
      <x:c r="E615" s="12" t="n">
        <x:v>0.007191078467541088</x:v>
      </x:c>
      <x:c r="F615" s="12" t="n">
        <x:v>4.17</x:v>
      </x:c>
      <x:c r="G615" s="12" t="n">
        <x:v>417</x:v>
      </x:c>
      <x:c r="H615" s="12" t="n">
        <x:v>-11</x:v>
      </x:c>
      <x:c r="I615" s="12" t="str">
        <x:v>TuShare index_daily</x:v>
      </x:c>
      <x:c r="J615" s="12" t="str">
        <x:v>Archived FRED mirror (Hugging Face)</x:v>
      </x:c>
    </x:row>
    <x:row r="616" ht="18" customHeight="1">
      <x:c r="A616" s="13" t="n">
        <x:v>43509</x:v>
      </x:c>
      <x:c r="B616" s="12" t="n">
        <x:v>3397.0276</x:v>
      </x:c>
      <x:c r="C616" s="12" t="n">
        <x:v>3330.3353</x:v>
      </x:c>
      <x:c r="D616" s="12" t="n">
        <x:v>2.0026</x:v>
      </x:c>
      <x:c r="E616" s="12" t="n">
        <x:v>0.01982782434737895</x:v>
      </x:c>
      <x:c r="F616" s="12" t="n">
        <x:v>4.12</x:v>
      </x:c>
      <x:c r="G616" s="12" t="n">
        <x:v>412</x:v>
      </x:c>
      <x:c r="H616" s="12" t="n">
        <x:v>-5</x:v>
      </x:c>
      <x:c r="I616" s="12" t="str">
        <x:v>TuShare index_daily</x:v>
      </x:c>
      <x:c r="J616" s="12" t="str">
        <x:v>Archived FRED mirror (Hugging Face)</x:v>
      </x:c>
    </x:row>
    <x:row r="617" ht="18" customHeight="1">
      <x:c r="A617" s="13" t="n">
        <x:v>43510</x:v>
      </x:c>
      <x:c r="B617" s="12" t="n">
        <x:v>3402.1403</x:v>
      </x:c>
      <x:c r="C617" s="12" t="n">
        <x:v>3397.0276</x:v>
      </x:c>
      <x:c r="D617" s="12" t="n">
        <x:v>0.1505</x:v>
      </x:c>
      <x:c r="E617" s="12" t="n">
        <x:v>0.001503919608647295</x:v>
      </x:c>
      <x:c r="F617" s="12" t="n">
        <x:v>4.17</x:v>
      </x:c>
      <x:c r="G617" s="12" t="n">
        <x:v>417</x:v>
      </x:c>
      <x:c r="H617" s="12" t="n">
        <x:v>5</x:v>
      </x:c>
      <x:c r="I617" s="12" t="str">
        <x:v>TuShare index_daily</x:v>
      </x:c>
      <x:c r="J617" s="12" t="str">
        <x:v>Archived FRED mirror (Hugging Face)</x:v>
      </x:c>
    </x:row>
    <x:row r="618" ht="18" customHeight="1">
      <x:c r="A618" s="13" t="n">
        <x:v>43511</x:v>
      </x:c>
      <x:c r="B618" s="12" t="n">
        <x:v>3338.7047</x:v>
      </x:c>
      <x:c r="C618" s="12" t="n">
        <x:v>3402.1403</x:v>
      </x:c>
      <x:c r="D618" s="12" t="n">
        <x:v>-1.8646</x:v>
      </x:c>
      <x:c r="E618" s="12" t="n">
        <x:v>-0.018821816172192005</x:v>
      </x:c>
      <x:c r="F618" s="12" t="n">
        <x:v>4.12</x:v>
      </x:c>
      <x:c r="G618" s="12" t="n">
        <x:v>412</x:v>
      </x:c>
      <x:c r="H618" s="12" t="n">
        <x:v>-5</x:v>
      </x:c>
      <x:c r="I618" s="12" t="str">
        <x:v>TuShare index_daily</x:v>
      </x:c>
      <x:c r="J618" s="12" t="str">
        <x:v>Archived FRED mirror (Hugging Face)</x:v>
      </x:c>
    </x:row>
    <x:row r="619" ht="18" customHeight="1">
      <x:c r="A619" s="13" t="n">
        <x:v>43514</x:v>
      </x:c>
      <x:c r="B619" s="12" t="n">
        <x:v>3445.7448</x:v>
      </x:c>
      <x:c r="C619" s="12" t="n">
        <x:v>3338.7047</x:v>
      </x:c>
      <x:c r="D619" s="12" t="n">
        <x:v>3.206</x:v>
      </x:c>
      <x:c r="E619" s="12" t="n">
        <x:v>0.03155716108794263</x:v>
      </x:c>
      <x:c r="F619" s="12" t="n">
        <x:v>4.12</x:v>
      </x:c>
      <x:c r="G619" s="12" t="n">
        <x:v>412</x:v>
      </x:c>
      <x:c r="H619" s="12" t="n">
        <x:v>0</x:v>
      </x:c>
      <x:c r="I619" s="12" t="str">
        <x:v>TuShare index_daily</x:v>
      </x:c>
      <x:c r="J619" s="12" t="str">
        <x:v>Archived FRED mirror (Hugging Face)</x:v>
      </x:c>
    </x:row>
    <x:row r="620" ht="18" customHeight="1">
      <x:c r="A620" s="13" t="n">
        <x:v>43515</x:v>
      </x:c>
      <x:c r="B620" s="12" t="n">
        <x:v>3439.6078</x:v>
      </x:c>
      <x:c r="C620" s="12" t="n">
        <x:v>3445.7448</x:v>
      </x:c>
      <x:c r="D620" s="12" t="n">
        <x:v>-0.1781</x:v>
      </x:c>
      <x:c r="E620" s="12" t="n">
        <x:v>-0.0017826252282723291</x:v>
      </x:c>
      <x:c r="F620" s="12" t="n">
        <x:v>4.11</x:v>
      </x:c>
      <x:c r="G620" s="12" t="n">
        <x:v>411.00000000000006</x:v>
      </x:c>
      <x:c r="H620" s="12" t="n">
        <x:v>-0.9999999999999432</x:v>
      </x:c>
      <x:c r="I620" s="12" t="str">
        <x:v>TuShare index_daily</x:v>
      </x:c>
      <x:c r="J620" s="12" t="str">
        <x:v>Archived FRED mirror (Hugging Face)</x:v>
      </x:c>
    </x:row>
    <x:row r="621" ht="18" customHeight="1">
      <x:c r="A621" s="13" t="n">
        <x:v>43516</x:v>
      </x:c>
      <x:c r="B621" s="12" t="n">
        <x:v>3451.9273</x:v>
      </x:c>
      <x:c r="C621" s="12" t="n">
        <x:v>3439.6078</x:v>
      </x:c>
      <x:c r="D621" s="12" t="n">
        <x:v>0.3582</x:v>
      </x:c>
      <x:c r="E621" s="12" t="n">
        <x:v>0.0035752594869061863</x:v>
      </x:c>
      <x:c r="F621" s="12" t="n">
        <x:v>4.08</x:v>
      </x:c>
      <x:c r="G621" s="12" t="n">
        <x:v>408</x:v>
      </x:c>
      <x:c r="H621" s="12" t="n">
        <x:v>-3.000000000000057</x:v>
      </x:c>
      <x:c r="I621" s="12" t="str">
        <x:v>TuShare index_daily</x:v>
      </x:c>
      <x:c r="J621" s="12" t="str">
        <x:v>Archived FRED mirror (Hugging Face)</x:v>
      </x:c>
    </x:row>
    <x:row r="622" ht="18" customHeight="1">
      <x:c r="A622" s="13" t="n">
        <x:v>43517</x:v>
      </x:c>
      <x:c r="B622" s="12" t="n">
        <x:v>3442.7056</x:v>
      </x:c>
      <x:c r="C622" s="12" t="n">
        <x:v>3451.9273</x:v>
      </x:c>
      <x:c r="D622" s="12" t="n">
        <x:v>-0.2671</x:v>
      </x:c>
      <x:c r="E622" s="12" t="n">
        <x:v>-0.0026750388694597887</x:v>
      </x:c>
      <x:c r="F622" s="12" t="n">
        <x:v>4.04</x:v>
      </x:c>
      <x:c r="G622" s="12" t="n">
        <x:v>404</x:v>
      </x:c>
      <x:c r="H622" s="12" t="n">
        <x:v>-4</x:v>
      </x:c>
      <x:c r="I622" s="12" t="str">
        <x:v>TuShare index_daily</x:v>
      </x:c>
      <x:c r="J622" s="12" t="str">
        <x:v>Archived FRED mirror (Hugging Face)</x:v>
      </x:c>
    </x:row>
    <x:row r="623" ht="18" customHeight="1">
      <x:c r="A623" s="13" t="n">
        <x:v>43518</x:v>
      </x:c>
      <x:c r="B623" s="12" t="n">
        <x:v>3520.1182</x:v>
      </x:c>
      <x:c r="C623" s="12" t="n">
        <x:v>3442.7056</x:v>
      </x:c>
      <x:c r="D623" s="12" t="n">
        <x:v>2.2486</x:v>
      </x:c>
      <x:c r="E623" s="12" t="n">
        <x:v>0.022236894716653265</x:v>
      </x:c>
      <x:c r="F623" s="12" t="n">
        <x:v>4.05</x:v>
      </x:c>
      <x:c r="G623" s="12" t="n">
        <x:v>405</x:v>
      </x:c>
      <x:c r="H623" s="12" t="n">
        <x:v>1</x:v>
      </x:c>
      <x:c r="I623" s="12" t="str">
        <x:v>TuShare index_daily</x:v>
      </x:c>
      <x:c r="J623" s="12" t="str">
        <x:v>Archived FRED mirror (Hugging Face)</x:v>
      </x:c>
    </x:row>
    <x:row r="624" ht="18" customHeight="1">
      <x:c r="A624" s="13" t="n">
        <x:v>43521</x:v>
      </x:c>
      <x:c r="B624" s="12" t="n">
        <x:v>3729.4831</x:v>
      </x:c>
      <x:c r="C624" s="12" t="n">
        <x:v>3520.1182</x:v>
      </x:c>
      <x:c r="D624" s="12" t="n">
        <x:v>5.9477</x:v>
      </x:c>
      <x:c r="E624" s="12" t="n">
        <x:v>0.05777507637260326</x:v>
      </x:c>
      <x:c r="F624" s="12" t="n">
        <x:v>4</x:v>
      </x:c>
      <x:c r="G624" s="12" t="n">
        <x:v>400</x:v>
      </x:c>
      <x:c r="H624" s="12" t="n">
        <x:v>-5</x:v>
      </x:c>
      <x:c r="I624" s="12" t="str">
        <x:v>TuShare index_daily</x:v>
      </x:c>
      <x:c r="J624" s="12" t="str">
        <x:v>Archived FRED mirror (Hugging Face)</x:v>
      </x:c>
    </x:row>
    <x:row r="625" ht="18" customHeight="1">
      <x:c r="A625" s="13" t="n">
        <x:v>43522</x:v>
      </x:c>
      <x:c r="B625" s="12" t="n">
        <x:v>3684.6935</x:v>
      </x:c>
      <x:c r="C625" s="12" t="n">
        <x:v>3729.4831</x:v>
      </x:c>
      <x:c r="D625" s="12" t="n">
        <x:v>-1.201</x:v>
      </x:c>
      <x:c r="E625" s="12" t="n">
        <x:v>-0.012082297816139545</x:v>
      </x:c>
      <x:c r="F625" s="12" t="n">
        <x:v>4.01</x:v>
      </x:c>
      <x:c r="G625" s="12" t="n">
        <x:v>401</x:v>
      </x:c>
      <x:c r="H625" s="12" t="n">
        <x:v>1</x:v>
      </x:c>
      <x:c r="I625" s="12" t="str">
        <x:v>TuShare index_daily</x:v>
      </x:c>
      <x:c r="J625" s="12" t="str">
        <x:v>Archived FRED mirror (Hugging Face)</x:v>
      </x:c>
    </x:row>
    <x:row r="626" ht="18" customHeight="1">
      <x:c r="A626" s="13" t="n">
        <x:v>43523</x:v>
      </x:c>
      <x:c r="B626" s="12" t="n">
        <x:v>3678.3921</x:v>
      </x:c>
      <x:c r="C626" s="12" t="n">
        <x:v>3684.6935</x:v>
      </x:c>
      <x:c r="D626" s="12" t="n">
        <x:v>-0.171</x:v>
      </x:c>
      <x:c r="E626" s="12" t="n">
        <x:v>-0.0017116197965711278</x:v>
      </x:c>
      <x:c r="F626" s="12" t="n">
        <x:v>3.94</x:v>
      </x:c>
      <x:c r="G626" s="12" t="n">
        <x:v>394</x:v>
      </x:c>
      <x:c r="H626" s="12" t="n">
        <x:v>-7</x:v>
      </x:c>
      <x:c r="I626" s="12" t="str">
        <x:v>TuShare index_daily</x:v>
      </x:c>
      <x:c r="J626" s="12" t="str">
        <x:v>Archived FRED mirror (Hugging Face)</x:v>
      </x:c>
    </x:row>
    <x:row r="627" ht="18" customHeight="1">
      <x:c r="A627" s="13" t="n">
        <x:v>43524</x:v>
      </x:c>
      <x:c r="B627" s="12" t="n">
        <x:v>3669.3703</x:v>
      </x:c>
      <x:c r="C627" s="12" t="n">
        <x:v>3678.3921</x:v>
      </x:c>
      <x:c r="D627" s="12" t="n">
        <x:v>-0.2453</x:v>
      </x:c>
      <x:c r="E627" s="12" t="n">
        <x:v>-0.002455660388162692</x:v>
      </x:c>
      <x:c r="F627" s="12" t="n">
        <x:v>3.92</x:v>
      </x:c>
      <x:c r="G627" s="12" t="n">
        <x:v>392</x:v>
      </x:c>
      <x:c r="H627" s="12" t="n">
        <x:v>-2</x:v>
      </x:c>
      <x:c r="I627" s="12" t="str">
        <x:v>TuShare index_daily</x:v>
      </x:c>
      <x:c r="J627" s="12" t="str">
        <x:v>Archived FRED mirror (Hugging Face)</x:v>
      </x:c>
    </x:row>
    <x:row r="628" ht="18" customHeight="1">
      <x:c r="A628" s="13" t="n">
        <x:v>43525</x:v>
      </x:c>
      <x:c r="B628" s="12" t="n">
        <x:v>3749.7143</x:v>
      </x:c>
      <x:c r="C628" s="12" t="n">
        <x:v>3669.3703</x:v>
      </x:c>
      <x:c r="D628" s="12" t="n">
        <x:v>2.1896</x:v>
      </x:c>
      <x:c r="E628" s="12" t="n">
        <x:v>0.021659583449891353</x:v>
      </x:c>
      <x:c r="F628" s="12" t="n">
        <x:v>3.86</x:v>
      </x:c>
      <x:c r="G628" s="12" t="n">
        <x:v>386</x:v>
      </x:c>
      <x:c r="H628" s="12" t="n">
        <x:v>-6</x:v>
      </x:c>
      <x:c r="I628" s="12" t="str">
        <x:v>TuShare index_daily</x:v>
      </x:c>
      <x:c r="J628" s="12" t="str">
        <x:v>Archived FRED mirror (Hugging Face)</x:v>
      </x:c>
    </x:row>
    <x:row r="629" ht="18" customHeight="1">
      <x:c r="A629" s="13" t="n">
        <x:v>43528</x:v>
      </x:c>
      <x:c r="B629" s="12" t="n">
        <x:v>3794.104</x:v>
      </x:c>
      <x:c r="C629" s="12" t="n">
        <x:v>3749.7143</x:v>
      </x:c>
      <x:c r="D629" s="12" t="n">
        <x:v>1.1838</x:v>
      </x:c>
      <x:c r="E629" s="12" t="n">
        <x:v>0.011768632426515767</x:v>
      </x:c>
      <x:c r="F629" s="12" t="n">
        <x:v>3.9</x:v>
      </x:c>
      <x:c r="G629" s="12" t="n">
        <x:v>390</x:v>
      </x:c>
      <x:c r="H629" s="12" t="n">
        <x:v>4</x:v>
      </x:c>
      <x:c r="I629" s="12" t="str">
        <x:v>TuShare index_daily</x:v>
      </x:c>
      <x:c r="J629" s="12" t="str">
        <x:v>Archived FRED mirror (Hugging Face)</x:v>
      </x:c>
    </x:row>
    <x:row r="630" ht="18" customHeight="1">
      <x:c r="A630" s="13" t="n">
        <x:v>43529</x:v>
      </x:c>
      <x:c r="B630" s="12" t="n">
        <x:v>3816.0132</x:v>
      </x:c>
      <x:c r="C630" s="12" t="n">
        <x:v>3794.104</x:v>
      </x:c>
      <x:c r="D630" s="12" t="n">
        <x:v>0.5775</x:v>
      </x:c>
      <x:c r="E630" s="12" t="n">
        <x:v>0.005757929859737223</x:v>
      </x:c>
      <x:c r="F630" s="12" t="n">
        <x:v>3.91</x:v>
      </x:c>
      <x:c r="G630" s="12" t="n">
        <x:v>391</x:v>
      </x:c>
      <x:c r="H630" s="12" t="n">
        <x:v>1</x:v>
      </x:c>
      <x:c r="I630" s="12" t="str">
        <x:v>TuShare index_daily</x:v>
      </x:c>
      <x:c r="J630" s="12" t="str">
        <x:v>Archived FRED mirror (Hugging Face)</x:v>
      </x:c>
    </x:row>
    <x:row r="631" ht="18" customHeight="1">
      <x:c r="A631" s="13" t="n">
        <x:v>43530</x:v>
      </x:c>
      <x:c r="B631" s="12" t="n">
        <x:v>3848.0903</x:v>
      </x:c>
      <x:c r="C631" s="12" t="n">
        <x:v>3816.0132</x:v>
      </x:c>
      <x:c r="D631" s="12" t="n">
        <x:v>0.8406</x:v>
      </x:c>
      <x:c r="E631" s="12" t="n">
        <x:v>0.008370786564533118</x:v>
      </x:c>
      <x:c r="F631" s="12" t="n">
        <x:v>3.98</x:v>
      </x:c>
      <x:c r="G631" s="12" t="n">
        <x:v>398</x:v>
      </x:c>
      <x:c r="H631" s="12" t="n">
        <x:v>7</x:v>
      </x:c>
      <x:c r="I631" s="12" t="str">
        <x:v>TuShare index_daily</x:v>
      </x:c>
      <x:c r="J631" s="12" t="str">
        <x:v>Archived FRED mirror (Hugging Face)</x:v>
      </x:c>
    </x:row>
    <x:row r="632" ht="18" customHeight="1">
      <x:c r="A632" s="13" t="n">
        <x:v>43531</x:v>
      </x:c>
      <x:c r="B632" s="12" t="n">
        <x:v>3808.8497</x:v>
      </x:c>
      <x:c r="C632" s="12" t="n">
        <x:v>3848.0903</x:v>
      </x:c>
      <x:c r="D632" s="12" t="n">
        <x:v>-1.0197</x:v>
      </x:c>
      <x:c r="E632" s="12" t="n">
        <x:v>-0.010249771721790521</x:v>
      </x:c>
      <x:c r="F632" s="12" t="n">
        <x:v>4.1</x:v>
      </x:c>
      <x:c r="G632" s="12" t="n">
        <x:v>409.99999999999994</x:v>
      </x:c>
      <x:c r="H632" s="12" t="n">
        <x:v>11.999999999999943</x:v>
      </x:c>
      <x:c r="I632" s="12" t="str">
        <x:v>TuShare index_daily</x:v>
      </x:c>
      <x:c r="J632" s="12" t="str">
        <x:v>Archived FRED mirror (Hugging Face)</x:v>
      </x:c>
    </x:row>
    <x:row r="633" ht="18" customHeight="1">
      <x:c r="A633" s="13" t="n">
        <x:v>43532</x:v>
      </x:c>
      <x:c r="B633" s="12" t="n">
        <x:v>3657.579</x:v>
      </x:c>
      <x:c r="C633" s="12" t="n">
        <x:v>3808.8497</x:v>
      </x:c>
      <x:c r="D633" s="12" t="n">
        <x:v>-3.9716</x:v>
      </x:c>
      <x:c r="E633" s="12" t="n">
        <x:v>-0.04052577441024072</x:v>
      </x:c>
      <x:c r="F633" s="12" t="n">
        <x:v>4.18</x:v>
      </x:c>
      <x:c r="G633" s="12" t="n">
        <x:v>418</x:v>
      </x:c>
      <x:c r="H633" s="12" t="n">
        <x:v>8.000000000000057</x:v>
      </x:c>
      <x:c r="I633" s="12" t="str">
        <x:v>TuShare index_daily</x:v>
      </x:c>
      <x:c r="J633" s="12" t="str">
        <x:v>Archived FRED mirror (Hugging Face)</x:v>
      </x:c>
    </x:row>
    <x:row r="634" ht="18" customHeight="1">
      <x:c r="A634" s="13" t="n">
        <x:v>43535</x:v>
      </x:c>
      <x:c r="B634" s="12" t="n">
        <x:v>3729.9546</x:v>
      </x:c>
      <x:c r="C634" s="12" t="n">
        <x:v>3657.579</x:v>
      </x:c>
      <x:c r="D634" s="12" t="n">
        <x:v>1.9788</x:v>
      </x:c>
      <x:c r="E634" s="12" t="n">
        <x:v>0.01959460886782455</x:v>
      </x:c>
      <x:c r="F634" s="12" t="n">
        <x:v>4.12</x:v>
      </x:c>
      <x:c r="G634" s="12" t="n">
        <x:v>412</x:v>
      </x:c>
      <x:c r="H634" s="12" t="n">
        <x:v>-6</x:v>
      </x:c>
      <x:c r="I634" s="12" t="str">
        <x:v>TuShare index_daily</x:v>
      </x:c>
      <x:c r="J634" s="12" t="str">
        <x:v>Archived FRED mirror (Hugging Face)</x:v>
      </x:c>
    </x:row>
    <x:row r="635" ht="18" customHeight="1">
      <x:c r="A635" s="13" t="n">
        <x:v>43536</x:v>
      </x:c>
      <x:c r="B635" s="12" t="n">
        <x:v>3755.3519</x:v>
      </x:c>
      <x:c r="C635" s="12" t="n">
        <x:v>3729.9546</x:v>
      </x:c>
      <x:c r="D635" s="12" t="n">
        <x:v>0.6809</x:v>
      </x:c>
      <x:c r="E635" s="12" t="n">
        <x:v>0.006785933871841623</x:v>
      </x:c>
      <x:c r="F635" s="12" t="n">
        <x:v>4.08</x:v>
      </x:c>
      <x:c r="G635" s="12" t="n">
        <x:v>408</x:v>
      </x:c>
      <x:c r="H635" s="12" t="n">
        <x:v>-4</x:v>
      </x:c>
      <x:c r="I635" s="12" t="str">
        <x:v>TuShare index_daily</x:v>
      </x:c>
      <x:c r="J635" s="12" t="str">
        <x:v>Archived FRED mirror (Hugging Face)</x:v>
      </x:c>
    </x:row>
    <x:row r="636" ht="18" customHeight="1">
      <x:c r="A636" s="13" t="n">
        <x:v>43537</x:v>
      </x:c>
      <x:c r="B636" s="12" t="n">
        <x:v>3724.1941</x:v>
      </x:c>
      <x:c r="C636" s="12" t="n">
        <x:v>3755.3519</x:v>
      </x:c>
      <x:c r="D636" s="12" t="n">
        <x:v>-0.8297</x:v>
      </x:c>
      <x:c r="E636" s="12" t="n">
        <x:v>-0.00833151644030722</x:v>
      </x:c>
      <x:c r="F636" s="12" t="n">
        <x:v>3.99</x:v>
      </x:c>
      <x:c r="G636" s="12" t="n">
        <x:v>399</x:v>
      </x:c>
      <x:c r="H636" s="12" t="n">
        <x:v>-9</x:v>
      </x:c>
      <x:c r="I636" s="12" t="str">
        <x:v>TuShare index_daily</x:v>
      </x:c>
      <x:c r="J636" s="12" t="str">
        <x:v>Archived FRED mirror (Hugging Face)</x:v>
      </x:c>
    </x:row>
    <x:row r="637" ht="18" customHeight="1">
      <x:c r="A637" s="13" t="n">
        <x:v>43538</x:v>
      </x:c>
      <x:c r="B637" s="12" t="n">
        <x:v>3698.4858</x:v>
      </x:c>
      <x:c r="C637" s="12" t="n">
        <x:v>3724.1941</x:v>
      </x:c>
      <x:c r="D637" s="12" t="n">
        <x:v>-0.6903</x:v>
      </x:c>
      <x:c r="E637" s="12" t="n">
        <x:v>-0.006926986787349062</x:v>
      </x:c>
      <x:c r="F637" s="12" t="n">
        <x:v>3.95</x:v>
      </x:c>
      <x:c r="G637" s="12" t="n">
        <x:v>395</x:v>
      </x:c>
      <x:c r="H637" s="12" t="n">
        <x:v>-4</x:v>
      </x:c>
      <x:c r="I637" s="12" t="str">
        <x:v>TuShare index_daily</x:v>
      </x:c>
      <x:c r="J637" s="12" t="str">
        <x:v>Archived FRED mirror (Hugging Face)</x:v>
      </x:c>
    </x:row>
    <x:row r="638" ht="18" customHeight="1">
      <x:c r="A638" s="13" t="n">
        <x:v>43539</x:v>
      </x:c>
      <x:c r="B638" s="12" t="n">
        <x:v>3745.005</x:v>
      </x:c>
      <x:c r="C638" s="12" t="n">
        <x:v>3698.4858</x:v>
      </x:c>
      <x:c r="D638" s="12" t="n">
        <x:v>1.2578</x:v>
      </x:c>
      <x:c r="E638" s="12" t="n">
        <x:v>0.012499459437710598</x:v>
      </x:c>
      <x:c r="F638" s="12" t="n">
        <x:v>3.95</x:v>
      </x:c>
      <x:c r="G638" s="12" t="n">
        <x:v>395</x:v>
      </x:c>
      <x:c r="H638" s="12" t="n">
        <x:v>0</x:v>
      </x:c>
      <x:c r="I638" s="12" t="str">
        <x:v>TuShare index_daily</x:v>
      </x:c>
      <x:c r="J638" s="12" t="str">
        <x:v>Archived FRED mirror (Hugging Face)</x:v>
      </x:c>
    </x:row>
    <x:row r="639" ht="18" customHeight="1">
      <x:c r="A639" s="13" t="n">
        <x:v>43542</x:v>
      </x:c>
      <x:c r="B639" s="12" t="n">
        <x:v>3851.7479</x:v>
      </x:c>
      <x:c r="C639" s="12" t="n">
        <x:v>3745.005</x:v>
      </x:c>
      <x:c r="D639" s="12" t="n">
        <x:v>2.8503</x:v>
      </x:c>
      <x:c r="E639" s="12" t="n">
        <x:v>0.02810409319109816</x:v>
      </x:c>
      <x:c r="F639" s="12" t="n">
        <x:v>3.95</x:v>
      </x:c>
      <x:c r="G639" s="12" t="n">
        <x:v>395</x:v>
      </x:c>
      <x:c r="H639" s="12" t="n">
        <x:v>0</x:v>
      </x:c>
      <x:c r="I639" s="12" t="str">
        <x:v>TuShare index_daily</x:v>
      </x:c>
      <x:c r="J639" s="12" t="str">
        <x:v>Archived FRED mirror (Hugging Face)</x:v>
      </x:c>
    </x:row>
    <x:row r="640" ht="18" customHeight="1">
      <x:c r="A640" s="13" t="n">
        <x:v>43543</x:v>
      </x:c>
      <x:c r="B640" s="12" t="n">
        <x:v>3833.9626</x:v>
      </x:c>
      <x:c r="C640" s="12" t="n">
        <x:v>3851.7479</x:v>
      </x:c>
      <x:c r="D640" s="12" t="n">
        <x:v>-0.4617</x:v>
      </x:c>
      <x:c r="E640" s="12" t="n">
        <x:v>-0.0046281555222481095</x:v>
      </x:c>
      <x:c r="F640" s="12" t="n">
        <x:v>3.91</x:v>
      </x:c>
      <x:c r="G640" s="12" t="n">
        <x:v>391</x:v>
      </x:c>
      <x:c r="H640" s="12" t="n">
        <x:v>-4</x:v>
      </x:c>
      <x:c r="I640" s="12" t="str">
        <x:v>TuShare index_daily</x:v>
      </x:c>
      <x:c r="J640" s="12" t="str">
        <x:v>Archived FRED mirror (Hugging Face)</x:v>
      </x:c>
    </x:row>
    <x:row r="641" ht="18" customHeight="1">
      <x:c r="A641" s="13" t="n">
        <x:v>43544</x:v>
      </x:c>
      <x:c r="B641" s="12" t="n">
        <x:v>3835.4397</x:v>
      </x:c>
      <x:c r="C641" s="12" t="n">
        <x:v>3833.9626</x:v>
      </x:c>
      <x:c r="D641" s="12" t="n">
        <x:v>0.0385</x:v>
      </x:c>
      <x:c r="E641" s="12" t="n">
        <x:v>0.00038519299431279954</x:v>
      </x:c>
      <x:c r="F641" s="12" t="n">
        <x:v>3.97</x:v>
      </x:c>
      <x:c r="G641" s="12" t="n">
        <x:v>397</x:v>
      </x:c>
      <x:c r="H641" s="12" t="n">
        <x:v>6</x:v>
      </x:c>
      <x:c r="I641" s="12" t="str">
        <x:v>TuShare index_daily</x:v>
      </x:c>
      <x:c r="J641" s="12" t="str">
        <x:v>Archived FRED mirror (Hugging Face)</x:v>
      </x:c>
    </x:row>
    <x:row r="642" ht="18" customHeight="1">
      <x:c r="A642" s="13" t="n">
        <x:v>43545</x:v>
      </x:c>
      <x:c r="B642" s="12" t="n">
        <x:v>3836.8913</x:v>
      </x:c>
      <x:c r="C642" s="12" t="n">
        <x:v>3835.4397</x:v>
      </x:c>
      <x:c r="D642" s="12" t="n">
        <x:v>0.0378</x:v>
      </x:c>
      <x:c r="E642" s="12" t="n">
        <x:v>0.0003783986945611922</x:v>
      </x:c>
      <x:c r="F642" s="12" t="n">
        <x:v>3.92</x:v>
      </x:c>
      <x:c r="G642" s="12" t="n">
        <x:v>392</x:v>
      </x:c>
      <x:c r="H642" s="12" t="n">
        <x:v>-5</x:v>
      </x:c>
      <x:c r="I642" s="12" t="str">
        <x:v>TuShare index_daily</x:v>
      </x:c>
      <x:c r="J642" s="12" t="str">
        <x:v>Archived FRED mirror (Hugging Face)</x:v>
      </x:c>
    </x:row>
    <x:row r="643" ht="18" customHeight="1">
      <x:c r="A643" s="13" t="n">
        <x:v>43546</x:v>
      </x:c>
      <x:c r="B643" s="12" t="n">
        <x:v>3833.8013</x:v>
      </x:c>
      <x:c r="C643" s="12" t="n">
        <x:v>3836.8913</x:v>
      </x:c>
      <x:c r="D643" s="12" t="n">
        <x:v>-0.0805</x:v>
      </x:c>
      <x:c r="E643" s="12" t="n">
        <x:v>-0.0008056639284805862</x:v>
      </x:c>
      <x:c r="F643" s="12" t="n">
        <x:v>4.03</x:v>
      </x:c>
      <x:c r="G643" s="12" t="n">
        <x:v>403</x:v>
      </x:c>
      <x:c r="H643" s="12" t="n">
        <x:v>11</x:v>
      </x:c>
      <x:c r="I643" s="12" t="str">
        <x:v>TuShare index_daily</x:v>
      </x:c>
      <x:c r="J643" s="12" t="str">
        <x:v>Archived FRED mirror (Hugging Face)</x:v>
      </x:c>
    </x:row>
    <x:row r="644" ht="18" customHeight="1">
      <x:c r="A644" s="13" t="n">
        <x:v>43549</x:v>
      </x:c>
      <x:c r="B644" s="12" t="n">
        <x:v>3742.8252</x:v>
      </x:c>
      <x:c r="C644" s="12" t="n">
        <x:v>3833.8013</x:v>
      </x:c>
      <x:c r="D644" s="12" t="n">
        <x:v>-2.373</x:v>
      </x:c>
      <x:c r="E644" s="12" t="n">
        <x:v>-0.02401609018684471</x:v>
      </x:c>
      <x:c r="F644" s="12" t="n">
        <x:v>4.13</x:v>
      </x:c>
      <x:c r="G644" s="12" t="n">
        <x:v>413</x:v>
      </x:c>
      <x:c r="H644" s="12" t="n">
        <x:v>10</x:v>
      </x:c>
      <x:c r="I644" s="12" t="str">
        <x:v>TuShare index_daily</x:v>
      </x:c>
      <x:c r="J644" s="12" t="str">
        <x:v>Archived FRED mirror (Hugging Face)</x:v>
      </x:c>
    </x:row>
    <x:row r="645" ht="18" customHeight="1">
      <x:c r="A645" s="13" t="n">
        <x:v>43550</x:v>
      </x:c>
      <x:c r="B645" s="12" t="n">
        <x:v>3700.4388</x:v>
      </x:c>
      <x:c r="C645" s="12" t="n">
        <x:v>3742.8252</x:v>
      </x:c>
      <x:c r="D645" s="12" t="n">
        <x:v>-1.1325</x:v>
      </x:c>
      <x:c r="E645" s="12" t="n">
        <x:v>-0.011389320111184707</x:v>
      </x:c>
      <x:c r="F645" s="12" t="n">
        <x:v>4.09</x:v>
      </x:c>
      <x:c r="G645" s="12" t="n">
        <x:v>409</x:v>
      </x:c>
      <x:c r="H645" s="12" t="n">
        <x:v>-4</x:v>
      </x:c>
      <x:c r="I645" s="12" t="str">
        <x:v>TuShare index_daily</x:v>
      </x:c>
      <x:c r="J645" s="12" t="str">
        <x:v>Archived FRED mirror (Hugging Face)</x:v>
      </x:c>
    </x:row>
    <x:row r="646" ht="18" customHeight="1">
      <x:c r="A646" s="13" t="n">
        <x:v>43551</x:v>
      </x:c>
      <x:c r="B646" s="12" t="n">
        <x:v>3743.3878</x:v>
      </x:c>
      <x:c r="C646" s="12" t="n">
        <x:v>3700.4388</x:v>
      </x:c>
      <x:c r="D646" s="12" t="n">
        <x:v>1.1606</x:v>
      </x:c>
      <x:c r="E646" s="12" t="n">
        <x:v>0.011539623075062276</x:v>
      </x:c>
      <x:c r="F646" s="12" t="n">
        <x:v>4.09</x:v>
      </x:c>
      <x:c r="G646" s="12" t="n">
        <x:v>409</x:v>
      </x:c>
      <x:c r="H646" s="12" t="n">
        <x:v>0</x:v>
      </x:c>
      <x:c r="I646" s="12" t="str">
        <x:v>TuShare index_daily</x:v>
      </x:c>
      <x:c r="J646" s="12" t="str">
        <x:v>Archived FRED mirror (Hugging Face)</x:v>
      </x:c>
    </x:row>
    <x:row r="647" ht="18" customHeight="1">
      <x:c r="A647" s="13" t="n">
        <x:v>43552</x:v>
      </x:c>
      <x:c r="B647" s="12" t="n">
        <x:v>3728.3953</x:v>
      </x:c>
      <x:c r="C647" s="12" t="n">
        <x:v>3743.3878</x:v>
      </x:c>
      <x:c r="D647" s="12" t="n">
        <x:v>-0.4005</x:v>
      </x:c>
      <x:c r="E647" s="12" t="n">
        <x:v>-0.004013103678338908</x:v>
      </x:c>
      <x:c r="F647" s="12" t="n">
        <x:v>4.08</x:v>
      </x:c>
      <x:c r="G647" s="12" t="n">
        <x:v>408</x:v>
      </x:c>
      <x:c r="H647" s="12" t="n">
        <x:v>-1</x:v>
      </x:c>
      <x:c r="I647" s="12" t="str">
        <x:v>TuShare index_daily</x:v>
      </x:c>
      <x:c r="J647" s="12" t="str">
        <x:v>Archived FRED mirror (Hugging Face)</x:v>
      </x:c>
    </x:row>
    <x:row r="648" ht="18" customHeight="1">
      <x:c r="A648" s="13" t="n">
        <x:v>43553</x:v>
      </x:c>
      <x:c r="B648" s="12" t="n">
        <x:v>3872.3412</x:v>
      </x:c>
      <x:c r="C648" s="12" t="n">
        <x:v>3728.3953</x:v>
      </x:c>
      <x:c r="D648" s="12" t="n">
        <x:v>3.8608</x:v>
      </x:c>
      <x:c r="E648" s="12" t="n">
        <x:v>0.03788135875700307</x:v>
      </x:c>
      <x:c r="F648" s="12" t="n">
        <x:v>3.99</x:v>
      </x:c>
      <x:c r="G648" s="12" t="n">
        <x:v>399</x:v>
      </x:c>
      <x:c r="H648" s="12" t="n">
        <x:v>-9</x:v>
      </x:c>
      <x:c r="I648" s="12" t="str">
        <x:v>TuShare index_daily</x:v>
      </x:c>
      <x:c r="J648" s="12" t="str">
        <x:v>Archived FRED mirror (Hugging Face)</x:v>
      </x:c>
    </x:row>
    <x:row r="649" ht="18" customHeight="1">
      <x:c r="A649" s="13" t="n">
        <x:v>43556</x:v>
      </x:c>
      <x:c r="B649" s="12" t="n">
        <x:v>3973.928</x:v>
      </x:c>
      <x:c r="C649" s="12" t="n">
        <x:v>3872.3412</x:v>
      </x:c>
      <x:c r="D649" s="12" t="n">
        <x:v>2.6234</x:v>
      </x:c>
      <x:c r="E649" s="12" t="n">
        <x:v>0.02589574083330405</x:v>
      </x:c>
      <x:c r="F649" s="12" t="n">
        <x:v>3.94</x:v>
      </x:c>
      <x:c r="G649" s="12" t="n">
        <x:v>394</x:v>
      </x:c>
      <x:c r="H649" s="12" t="n">
        <x:v>-11</x:v>
      </x:c>
      <x:c r="I649" s="12" t="str">
        <x:v>TuShare index_daily</x:v>
      </x:c>
      <x:c r="J649" s="12" t="str">
        <x:v>Archived FRED mirror (Hugging Face)</x:v>
      </x:c>
    </x:row>
    <x:row r="650" ht="18" customHeight="1">
      <x:c r="A650" s="13" t="n">
        <x:v>43557</x:v>
      </x:c>
      <x:c r="B650" s="12" t="n">
        <x:v>3971.2852</x:v>
      </x:c>
      <x:c r="C650" s="12" t="n">
        <x:v>3973.928</x:v>
      </x:c>
      <x:c r="D650" s="12" t="n">
        <x:v>-0.0665</x:v>
      </x:c>
      <x:c r="E650" s="12" t="n">
        <x:v>-0.00066525592981389</x:v>
      </x:c>
      <x:c r="F650" s="12" t="n">
        <x:v>3.95</x:v>
      </x:c>
      <x:c r="G650" s="12" t="n">
        <x:v>395</x:v>
      </x:c>
      <x:c r="H650" s="12" t="n">
        <x:v>1</x:v>
      </x:c>
      <x:c r="I650" s="12" t="str">
        <x:v>TuShare index_daily</x:v>
      </x:c>
      <x:c r="J650" s="12" t="str">
        <x:v>Archived FRED mirror (Hugging Face)</x:v>
      </x:c>
    </x:row>
    <x:row r="651" ht="18" customHeight="1">
      <x:c r="A651" s="13" t="n">
        <x:v>43558</x:v>
      </x:c>
      <x:c r="B651" s="12" t="n">
        <x:v>4022.1566</x:v>
      </x:c>
      <x:c r="C651" s="12" t="n">
        <x:v>3971.2852</x:v>
      </x:c>
      <x:c r="D651" s="12" t="n">
        <x:v>1.281</x:v>
      </x:c>
      <x:c r="E651" s="12" t="n">
        <x:v>0.012728456175082285</x:v>
      </x:c>
      <x:c r="F651" s="12" t="n">
        <x:v>3.9</x:v>
      </x:c>
      <x:c r="G651" s="12" t="n">
        <x:v>390</x:v>
      </x:c>
      <x:c r="H651" s="12" t="n">
        <x:v>-5</x:v>
      </x:c>
      <x:c r="I651" s="12" t="str">
        <x:v>TuShare index_daily</x:v>
      </x:c>
      <x:c r="J651" s="12" t="str">
        <x:v>Archived FRED mirror (Hugging Face)</x:v>
      </x:c>
    </x:row>
    <x:row r="652" ht="18" customHeight="1">
      <x:c r="A652" s="13" t="n">
        <x:v>43559</x:v>
      </x:c>
      <x:c r="B652" s="12" t="n">
        <x:v>4062.2309</x:v>
      </x:c>
      <x:c r="C652" s="12" t="n">
        <x:v>4022.1566</x:v>
      </x:c>
      <x:c r="D652" s="12" t="n">
        <x:v>0.9963</x:v>
      </x:c>
      <x:c r="E652" s="12" t="n">
        <x:v>0.009914079016601029</x:v>
      </x:c>
      <x:c r="F652" s="12" t="n">
        <x:v>3.9</x:v>
      </x:c>
      <x:c r="G652" s="12" t="n">
        <x:v>390</x:v>
      </x:c>
      <x:c r="H652" s="12" t="n">
        <x:v>0</x:v>
      </x:c>
      <x:c r="I652" s="12" t="str">
        <x:v>TuShare index_daily</x:v>
      </x:c>
      <x:c r="J652" s="12" t="str">
        <x:v>Archived FRED mirror (Hugging Face)</x:v>
      </x:c>
    </x:row>
    <x:row r="653" ht="18" customHeight="1">
      <x:c r="A653" s="13" t="n">
        <x:v>43563</x:v>
      </x:c>
      <x:c r="B653" s="12" t="n">
        <x:v>4057.2286</x:v>
      </x:c>
      <x:c r="C653" s="12" t="n">
        <x:v>4062.2309</x:v>
      </x:c>
      <x:c r="D653" s="12" t="n">
        <x:v>-0.1231</x:v>
      </x:c>
      <x:c r="E653" s="12" t="n">
        <x:v>-0.0012321757705419608</x:v>
      </x:c>
      <x:c r="F653" s="12" t="n">
        <x:v>3.84</x:v>
      </x:c>
      <x:c r="G653" s="12" t="n">
        <x:v>384</x:v>
      </x:c>
      <x:c r="H653" s="12" t="n">
        <x:v>-2</x:v>
      </x:c>
      <x:c r="I653" s="12" t="str">
        <x:v>TuShare index_daily</x:v>
      </x:c>
      <x:c r="J653" s="12" t="str">
        <x:v>Archived FRED mirror (Hugging Face)</x:v>
      </x:c>
    </x:row>
    <x:row r="654" ht="18" customHeight="1">
      <x:c r="A654" s="13" t="n">
        <x:v>43564</x:v>
      </x:c>
      <x:c r="B654" s="12" t="n">
        <x:v>4075.4301</x:v>
      </x:c>
      <x:c r="C654" s="12" t="n">
        <x:v>4057.2286</x:v>
      </x:c>
      <x:c r="D654" s="12" t="n">
        <x:v>0.4486</x:v>
      </x:c>
      <x:c r="E654" s="12" t="n">
        <x:v>0.004476157444159239</x:v>
      </x:c>
      <x:c r="F654" s="12" t="n">
        <x:v>3.86</x:v>
      </x:c>
      <x:c r="G654" s="12" t="n">
        <x:v>386</x:v>
      </x:c>
      <x:c r="H654" s="12" t="n">
        <x:v>2</x:v>
      </x:c>
      <x:c r="I654" s="12" t="str">
        <x:v>TuShare index_daily</x:v>
      </x:c>
      <x:c r="J654" s="12" t="str">
        <x:v>Archived FRED mirror (Hugging Face)</x:v>
      </x:c>
    </x:row>
    <x:row r="655" ht="18" customHeight="1">
      <x:c r="A655" s="13" t="n">
        <x:v>43565</x:v>
      </x:c>
      <x:c r="B655" s="12" t="n">
        <x:v>4085.847</x:v>
      </x:c>
      <x:c r="C655" s="12" t="n">
        <x:v>4075.4301</x:v>
      </x:c>
      <x:c r="D655" s="12" t="n">
        <x:v>0.2556</x:v>
      </x:c>
      <x:c r="E655" s="12" t="n">
        <x:v>0.0025527636249231857</x:v>
      </x:c>
      <x:c r="F655" s="12" t="n">
        <x:v>3.86</x:v>
      </x:c>
      <x:c r="G655" s="12" t="n">
        <x:v>386</x:v>
      </x:c>
      <x:c r="H655" s="12" t="n">
        <x:v>0</x:v>
      </x:c>
      <x:c r="I655" s="12" t="str">
        <x:v>TuShare index_daily</x:v>
      </x:c>
      <x:c r="J655" s="12" t="str">
        <x:v>Archived FRED mirror (Hugging Face)</x:v>
      </x:c>
    </x:row>
    <x:row r="656" ht="18" customHeight="1">
      <x:c r="A656" s="13" t="n">
        <x:v>43566</x:v>
      </x:c>
      <x:c r="B656" s="12" t="n">
        <x:v>3997.5778</x:v>
      </x:c>
      <x:c r="C656" s="12" t="n">
        <x:v>4085.847</x:v>
      </x:c>
      <x:c r="D656" s="12" t="n">
        <x:v>-2.1604</x:v>
      </x:c>
      <x:c r="E656" s="12" t="n">
        <x:v>-0.021840423059991402</x:v>
      </x:c>
      <x:c r="F656" s="12" t="n">
        <x:v>3.79</x:v>
      </x:c>
      <x:c r="G656" s="12" t="n">
        <x:v>379</x:v>
      </x:c>
      <x:c r="H656" s="12" t="n">
        <x:v>-7</x:v>
      </x:c>
      <x:c r="I656" s="12" t="str">
        <x:v>TuShare index_daily</x:v>
      </x:c>
      <x:c r="J656" s="12" t="str">
        <x:v>Archived FRED mirror (Hugging Face)</x:v>
      </x:c>
    </x:row>
    <x:row r="657" ht="18" customHeight="1">
      <x:c r="A657" s="13" t="n">
        <x:v>43567</x:v>
      </x:c>
      <x:c r="B657" s="12" t="n">
        <x:v>3988.6168</x:v>
      </x:c>
      <x:c r="C657" s="12" t="n">
        <x:v>3997.5778</x:v>
      </x:c>
      <x:c r="D657" s="12" t="n">
        <x:v>-0.2242</x:v>
      </x:c>
      <x:c r="E657" s="12" t="n">
        <x:v>-0.0022441235681135564</x:v>
      </x:c>
      <x:c r="F657" s="12" t="n">
        <x:v>3.68</x:v>
      </x:c>
      <x:c r="G657" s="12" t="n">
        <x:v>368</x:v>
      </x:c>
      <x:c r="H657" s="12" t="n">
        <x:v>-11</x:v>
      </x:c>
      <x:c r="I657" s="12" t="str">
        <x:v>TuShare index_daily</x:v>
      </x:c>
      <x:c r="J657" s="12" t="str">
        <x:v>Archived FRED mirror (Hugging Face)</x:v>
      </x:c>
    </x:row>
    <x:row r="658" ht="18" customHeight="1">
      <x:c r="A658" s="13" t="n">
        <x:v>43570</x:v>
      </x:c>
      <x:c r="B658" s="12" t="n">
        <x:v>3975.5244</x:v>
      </x:c>
      <x:c r="C658" s="12" t="n">
        <x:v>3988.6168</x:v>
      </x:c>
      <x:c r="D658" s="12" t="n">
        <x:v>-0.3282</x:v>
      </x:c>
      <x:c r="E658" s="12" t="n">
        <x:v>-0.003287840199003918</x:v>
      </x:c>
      <x:c r="F658" s="12" t="n">
        <x:v>3.68</x:v>
      </x:c>
      <x:c r="G658" s="12" t="n">
        <x:v>368</x:v>
      </x:c>
      <x:c r="H658" s="12" t="n">
        <x:v>0</x:v>
      </x:c>
      <x:c r="I658" s="12" t="str">
        <x:v>TuShare index_daily</x:v>
      </x:c>
      <x:c r="J658" s="12" t="str">
        <x:v>Archived FRED mirror (Hugging Face)</x:v>
      </x:c>
    </x:row>
    <x:row r="659" ht="18" customHeight="1">
      <x:c r="A659" s="13" t="n">
        <x:v>43571</x:v>
      </x:c>
      <x:c r="B659" s="12" t="n">
        <x:v>4085.7891</x:v>
      </x:c>
      <x:c r="C659" s="12" t="n">
        <x:v>3975.5244</x:v>
      </x:c>
      <x:c r="D659" s="12" t="n">
        <x:v>2.7736</x:v>
      </x:c>
      <x:c r="E659" s="12" t="n">
        <x:v>0.02735821585833531</x:v>
      </x:c>
      <x:c r="F659" s="12" t="n">
        <x:v>3.64</x:v>
      </x:c>
      <x:c r="G659" s="12" t="n">
        <x:v>364</x:v>
      </x:c>
      <x:c r="H659" s="12" t="n">
        <x:v>-4</x:v>
      </x:c>
      <x:c r="I659" s="12" t="str">
        <x:v>TuShare index_daily</x:v>
      </x:c>
      <x:c r="J659" s="12" t="str">
        <x:v>Archived FRED mirror (Hugging Face)</x:v>
      </x:c>
    </x:row>
    <x:row r="660" ht="18" customHeight="1">
      <x:c r="A660" s="13" t="n">
        <x:v>43572</x:v>
      </x:c>
      <x:c r="B660" s="12" t="n">
        <x:v>4087.2398</x:v>
      </x:c>
      <x:c r="C660" s="12" t="n">
        <x:v>4085.7891</x:v>
      </x:c>
      <x:c r="D660" s="12" t="n">
        <x:v>0.0355</x:v>
      </x:c>
      <x:c r="E660" s="12" t="n">
        <x:v>0.00035499691313591156</x:v>
      </x:c>
      <x:c r="F660" s="12" t="n">
        <x:v>3.67</x:v>
      </x:c>
      <x:c r="G660" s="12" t="n">
        <x:v>367</x:v>
      </x:c>
      <x:c r="H660" s="12" t="n">
        <x:v>3</x:v>
      </x:c>
      <x:c r="I660" s="12" t="str">
        <x:v>TuShare index_daily</x:v>
      </x:c>
      <x:c r="J660" s="12" t="str">
        <x:v>Archived FRED mirror (Hugging Face)</x:v>
      </x:c>
    </x:row>
    <x:row r="661" ht="18" customHeight="1">
      <x:c r="A661" s="13" t="n">
        <x:v>43573</x:v>
      </x:c>
      <x:c r="B661" s="12" t="n">
        <x:v>4072.0753</x:v>
      </x:c>
      <x:c r="C661" s="12" t="n">
        <x:v>4087.2398</x:v>
      </x:c>
      <x:c r="D661" s="12" t="n">
        <x:v>-0.371</x:v>
      </x:c>
      <x:c r="E661" s="12" t="n">
        <x:v>-0.0037171054860949664</x:v>
      </x:c>
      <x:c r="F661" s="12" t="n">
        <x:v>3.73</x:v>
      </x:c>
      <x:c r="G661" s="12" t="n">
        <x:v>373</x:v>
      </x:c>
      <x:c r="H661" s="12" t="n">
        <x:v>6</x:v>
      </x:c>
      <x:c r="I661" s="12" t="str">
        <x:v>TuShare index_daily</x:v>
      </x:c>
      <x:c r="J661" s="12" t="str">
        <x:v>Archived FRED mirror (Hugging Face)</x:v>
      </x:c>
    </x:row>
    <x:row r="662" ht="18" customHeight="1">
      <x:c r="A662" s="13" t="n">
        <x:v>43577</x:v>
      </x:c>
      <x:c r="B662" s="12" t="n">
        <x:v>4025.6109</x:v>
      </x:c>
      <x:c r="C662" s="12" t="n">
        <x:v>4120.6078</x:v>
      </x:c>
      <x:c r="D662" s="12" t="n">
        <x:v>-2.3054</x:v>
      </x:c>
      <x:c r="E662" s="12" t="n">
        <x:v>-0.023324001001474155</x:v>
      </x:c>
      <x:c r="F662" s="12" t="n">
        <x:v>3.73</x:v>
      </x:c>
      <x:c r="G662" s="12" t="n">
        <x:v>373</x:v>
      </x:c>
      <x:c r="H662" s="12" t="n">
        <x:v>0</x:v>
      </x:c>
      <x:c r="I662" s="12" t="str">
        <x:v>TuShare index_daily</x:v>
      </x:c>
      <x:c r="J662" s="12" t="str">
        <x:v>Archived FRED mirror (Hugging Face)</x:v>
      </x:c>
    </x:row>
    <x:row r="663" ht="18" customHeight="1">
      <x:c r="A663" s="13" t="n">
        <x:v>43578</x:v>
      </x:c>
      <x:c r="B663" s="12" t="n">
        <x:v>4019.0053</x:v>
      </x:c>
      <x:c r="C663" s="12" t="n">
        <x:v>4025.6109</x:v>
      </x:c>
      <x:c r="D663" s="12" t="n">
        <x:v>-0.1641</x:v>
      </x:c>
      <x:c r="E663" s="12" t="n">
        <x:v>-0.0016422415489716503</x:v>
      </x:c>
      <x:c r="F663" s="12" t="n">
        <x:v>3.72</x:v>
      </x:c>
      <x:c r="G663" s="12" t="n">
        <x:v>372</x:v>
      </x:c>
      <x:c r="H663" s="12" t="n">
        <x:v>-1</x:v>
      </x:c>
      <x:c r="I663" s="12" t="str">
        <x:v>TuShare index_daily</x:v>
      </x:c>
      <x:c r="J663" s="12" t="str">
        <x:v>Archived FRED mirror (Hugging Face)</x:v>
      </x:c>
    </x:row>
    <x:row r="664" ht="18" customHeight="1">
      <x:c r="A664" s="13" t="n">
        <x:v>43579</x:v>
      </x:c>
      <x:c r="B664" s="12" t="n">
        <x:v>4030.0887</x:v>
      </x:c>
      <x:c r="C664" s="12" t="n">
        <x:v>4019.0053</x:v>
      </x:c>
      <x:c r="D664" s="12" t="n">
        <x:v>0.2758</x:v>
      </x:c>
      <x:c r="E664" s="12" t="n">
        <x:v>0.0027539514397365993</x:v>
      </x:c>
      <x:c r="F664" s="12" t="n">
        <x:v>3.73</x:v>
      </x:c>
      <x:c r="G664" s="12" t="n">
        <x:v>373</x:v>
      </x:c>
      <x:c r="H664" s="12" t="n">
        <x:v>1</x:v>
      </x:c>
      <x:c r="I664" s="12" t="str">
        <x:v>TuShare index_daily</x:v>
      </x:c>
      <x:c r="J664" s="12" t="str">
        <x:v>Archived FRED mirror (Hugging Face)</x:v>
      </x:c>
    </x:row>
    <x:row r="665" ht="18" customHeight="1">
      <x:c r="A665" s="13" t="n">
        <x:v>43580</x:v>
      </x:c>
      <x:c r="B665" s="12" t="n">
        <x:v>3941.816</x:v>
      </x:c>
      <x:c r="C665" s="12" t="n">
        <x:v>4030.0887</x:v>
      </x:c>
      <x:c r="D665" s="12" t="n">
        <x:v>-2.1903</x:v>
      </x:c>
      <x:c r="E665" s="12" t="n">
        <x:v>-0.022146854814603094</x:v>
      </x:c>
      <x:c r="F665" s="12" t="n">
        <x:v>3.75</x:v>
      </x:c>
      <x:c r="G665" s="12" t="n">
        <x:v>375</x:v>
      </x:c>
      <x:c r="H665" s="12" t="n">
        <x:v>2</x:v>
      </x:c>
      <x:c r="I665" s="12" t="str">
        <x:v>TuShare index_daily</x:v>
      </x:c>
      <x:c r="J665" s="12" t="str">
        <x:v>Archived FRED mirror (Hugging Face)</x:v>
      </x:c>
    </x:row>
    <x:row r="666" ht="18" customHeight="1">
      <x:c r="A666" s="13" t="n">
        <x:v>43581</x:v>
      </x:c>
      <x:c r="B666" s="12" t="n">
        <x:v>3889.2748</x:v>
      </x:c>
      <x:c r="C666" s="12" t="n">
        <x:v>3941.816</x:v>
      </x:c>
      <x:c r="D666" s="12" t="n">
        <x:v>-1.3329</x:v>
      </x:c>
      <x:c r="E666" s="12" t="n">
        <x:v>-0.013418817311819368</x:v>
      </x:c>
      <x:c r="F666" s="12" t="n">
        <x:v>3.76</x:v>
      </x:c>
      <x:c r="G666" s="12" t="n">
        <x:v>376</x:v>
      </x:c>
      <x:c r="H666" s="12" t="n">
        <x:v>1</x:v>
      </x:c>
      <x:c r="I666" s="12" t="str">
        <x:v>TuShare index_daily</x:v>
      </x:c>
      <x:c r="J666" s="12" t="str">
        <x:v>Archived FRED mirror (Hugging Face)</x:v>
      </x:c>
    </x:row>
    <x:row r="667" ht="18" customHeight="1">
      <x:c r="A667" s="13" t="n">
        <x:v>43584</x:v>
      </x:c>
      <x:c r="B667" s="12" t="n">
        <x:v>3900.3339</x:v>
      </x:c>
      <x:c r="C667" s="12" t="n">
        <x:v>3889.2748</x:v>
      </x:c>
      <x:c r="D667" s="12" t="n">
        <x:v>0.2843</x:v>
      </x:c>
      <x:c r="E667" s="12" t="n">
        <x:v>0.0028394513399157798</x:v>
      </x:c>
      <x:c r="F667" s="12" t="n">
        <x:v>3.73</x:v>
      </x:c>
      <x:c r="G667" s="12" t="n">
        <x:v>373</x:v>
      </x:c>
      <x:c r="H667" s="12" t="n">
        <x:v>-3</x:v>
      </x:c>
      <x:c r="I667" s="12" t="str">
        <x:v>TuShare index_daily</x:v>
      </x:c>
      <x:c r="J667" s="12" t="str">
        <x:v>Archived FRED mirror (Hugging Face)</x:v>
      </x:c>
    </x:row>
    <x:row r="668" ht="18" customHeight="1">
      <x:c r="A668" s="13" t="n">
        <x:v>43585</x:v>
      </x:c>
      <x:c r="B668" s="12" t="n">
        <x:v>3913.211</x:v>
      </x:c>
      <x:c r="C668" s="12" t="n">
        <x:v>3900.3339</x:v>
      </x:c>
      <x:c r="D668" s="12" t="n">
        <x:v>0.3302</x:v>
      </x:c>
      <x:c r="E668" s="12" t="n">
        <x:v>0.0032960997404286934</x:v>
      </x:c>
      <x:c r="F668" s="12" t="n">
        <x:v>3.73</x:v>
      </x:c>
      <x:c r="G668" s="12" t="n">
        <x:v>373</x:v>
      </x:c>
      <x:c r="H668" s="12" t="n">
        <x:v>0</x:v>
      </x:c>
      <x:c r="I668" s="12" t="str">
        <x:v>TuShare index_daily</x:v>
      </x:c>
      <x:c r="J668" s="12" t="str">
        <x:v>Archived FRED mirror (Hugging Face)</x:v>
      </x:c>
    </x:row>
    <x:row r="669" ht="18" customHeight="1">
      <x:c r="A669" s="13" t="n">
        <x:v>43591</x:v>
      </x:c>
      <x:c r="B669" s="12" t="n">
        <x:v>3684.6168</x:v>
      </x:c>
      <x:c r="C669" s="12" t="n">
        <x:v>3913.211</x:v>
      </x:c>
      <x:c r="D669" s="12" t="n">
        <x:v>-5.8416</x:v>
      </x:c>
      <x:c r="E669" s="12" t="n">
        <x:v>-0.06019173350698634</x:v>
      </x:c>
      <x:c r="F669" s="12" t="n">
        <x:v>3.82</x:v>
      </x:c>
      <x:c r="G669" s="12" t="n">
        <x:v>382</x:v>
      </x:c>
      <x:c r="H669" s="12" t="n">
        <x:v>10</x:v>
      </x:c>
      <x:c r="I669" s="12" t="str">
        <x:v>TuShare index_daily</x:v>
      </x:c>
      <x:c r="J669" s="12" t="str">
        <x:v>Archived FRED mirror (Hugging Face)</x:v>
      </x:c>
    </x:row>
    <x:row r="670" ht="18" customHeight="1">
      <x:c r="A670" s="13" t="n">
        <x:v>43592</x:v>
      </x:c>
      <x:c r="B670" s="12" t="n">
        <x:v>3720.6684</x:v>
      </x:c>
      <x:c r="C670" s="12" t="n">
        <x:v>3684.6168</x:v>
      </x:c>
      <x:c r="D670" s="12" t="n">
        <x:v>0.9784</x:v>
      </x:c>
      <x:c r="E670" s="12" t="n">
        <x:v>0.009736798475485208</x:v>
      </x:c>
      <x:c r="F670" s="12" t="n">
        <x:v>3.89</x:v>
      </x:c>
      <x:c r="G670" s="12" t="n">
        <x:v>389</x:v>
      </x:c>
      <x:c r="H670" s="12" t="n">
        <x:v>7</x:v>
      </x:c>
      <x:c r="I670" s="12" t="str">
        <x:v>TuShare index_daily</x:v>
      </x:c>
      <x:c r="J670" s="12" t="str">
        <x:v>Archived FRED mirror (Hugging Face)</x:v>
      </x:c>
    </x:row>
    <x:row r="671" ht="18" customHeight="1">
      <x:c r="A671" s="13" t="n">
        <x:v>43593</x:v>
      </x:c>
      <x:c r="B671" s="12" t="n">
        <x:v>3667.4574</x:v>
      </x:c>
      <x:c r="C671" s="12" t="n">
        <x:v>3720.6684</x:v>
      </x:c>
      <x:c r="D671" s="12" t="n">
        <x:v>-1.4301</x:v>
      </x:c>
      <x:c r="E671" s="12" t="n">
        <x:v>-0.014404714138739342</x:v>
      </x:c>
      <x:c r="F671" s="12" t="n">
        <x:v>3.87</x:v>
      </x:c>
      <x:c r="G671" s="12" t="n">
        <x:v>387</x:v>
      </x:c>
      <x:c r="H671" s="12" t="n">
        <x:v>-2</x:v>
      </x:c>
      <x:c r="I671" s="12" t="str">
        <x:v>TuShare index_daily</x:v>
      </x:c>
      <x:c r="J671" s="12" t="str">
        <x:v>Archived FRED mirror (Hugging Face)</x:v>
      </x:c>
    </x:row>
    <x:row r="672" ht="18" customHeight="1">
      <x:c r="A672" s="13" t="n">
        <x:v>43594</x:v>
      </x:c>
      <x:c r="B672" s="12" t="n">
        <x:v>3599.7001</x:v>
      </x:c>
      <x:c r="C672" s="12" t="n">
        <x:v>3667.4574</x:v>
      </x:c>
      <x:c r="D672" s="12" t="n">
        <x:v>-1.8475</x:v>
      </x:c>
      <x:c r="E672" s="12" t="n">
        <x:v>-0.018648078989208245</x:v>
      </x:c>
      <x:c r="F672" s="12" t="n">
        <x:v>3.99</x:v>
      </x:c>
      <x:c r="G672" s="12" t="n">
        <x:v>399</x:v>
      </x:c>
      <x:c r="H672" s="12" t="n">
        <x:v>12</x:v>
      </x:c>
      <x:c r="I672" s="12" t="str">
        <x:v>TuShare index_daily</x:v>
      </x:c>
      <x:c r="J672" s="12" t="str">
        <x:v>Archived FRED mirror (Hugging Face)</x:v>
      </x:c>
    </x:row>
    <x:row r="673" ht="18" customHeight="1">
      <x:c r="A673" s="13" t="n">
        <x:v>43595</x:v>
      </x:c>
      <x:c r="B673" s="12" t="n">
        <x:v>3730.4513</x:v>
      </x:c>
      <x:c r="C673" s="12" t="n">
        <x:v>3599.7001</x:v>
      </x:c>
      <x:c r="D673" s="12" t="n">
        <x:v>3.6323</x:v>
      </x:c>
      <x:c r="E673" s="12" t="n">
        <x:v>0.035678681857484</x:v>
      </x:c>
      <x:c r="F673" s="12" t="n">
        <x:v>4.01</x:v>
      </x:c>
      <x:c r="G673" s="12" t="n">
        <x:v>401</x:v>
      </x:c>
      <x:c r="H673" s="12" t="n">
        <x:v>2</x:v>
      </x:c>
      <x:c r="I673" s="12" t="str">
        <x:v>TuShare index_daily</x:v>
      </x:c>
      <x:c r="J673" s="12" t="str">
        <x:v>Archived FRED mirror (Hugging Face)</x:v>
      </x:c>
    </x:row>
    <x:row r="674" ht="18" customHeight="1">
      <x:c r="A674" s="13" t="n">
        <x:v>43598</x:v>
      </x:c>
      <x:c r="B674" s="12" t="n">
        <x:v>3668.7255</x:v>
      </x:c>
      <x:c r="C674" s="12" t="n">
        <x:v>3730.4513</x:v>
      </x:c>
      <x:c r="D674" s="12" t="n">
        <x:v>-1.6546</x:v>
      </x:c>
      <x:c r="E674" s="12" t="n">
        <x:v>-0.01668489174577094</x:v>
      </x:c>
      <x:c r="F674" s="12" t="n">
        <x:v>4.2</x:v>
      </x:c>
      <x:c r="G674" s="12" t="n">
        <x:v>420</x:v>
      </x:c>
      <x:c r="H674" s="12" t="n">
        <x:v>19</x:v>
      </x:c>
      <x:c r="I674" s="12" t="str">
        <x:v>TuShare index_daily</x:v>
      </x:c>
      <x:c r="J674" s="12" t="str">
        <x:v>Archived FRED mirror (Hugging Face)</x:v>
      </x:c>
    </x:row>
    <x:row r="675" ht="18" customHeight="1">
      <x:c r="A675" s="13" t="n">
        <x:v>43599</x:v>
      </x:c>
      <x:c r="B675" s="12" t="n">
        <x:v>3645.1503</x:v>
      </x:c>
      <x:c r="C675" s="12" t="n">
        <x:v>3668.7255</x:v>
      </x:c>
      <x:c r="D675" s="12" t="n">
        <x:v>-0.6426</x:v>
      </x:c>
      <x:c r="E675" s="12" t="n">
        <x:v>-0.006446727369720123</x:v>
      </x:c>
      <x:c r="F675" s="12" t="n">
        <x:v>4.13</x:v>
      </x:c>
      <x:c r="G675" s="12" t="n">
        <x:v>413</x:v>
      </x:c>
      <x:c r="H675" s="12" t="n">
        <x:v>-7</x:v>
      </x:c>
      <x:c r="I675" s="12" t="str">
        <x:v>TuShare index_daily</x:v>
      </x:c>
      <x:c r="J675" s="12" t="str">
        <x:v>Archived FRED mirror (Hugging Face)</x:v>
      </x:c>
    </x:row>
    <x:row r="676" ht="18" customHeight="1">
      <x:c r="A676" s="13" t="n">
        <x:v>43600</x:v>
      </x:c>
      <x:c r="B676" s="12" t="n">
        <x:v>3727.0923</x:v>
      </x:c>
      <x:c r="C676" s="12" t="n">
        <x:v>3645.1503</x:v>
      </x:c>
      <x:c r="D676" s="12" t="n">
        <x:v>2.248</x:v>
      </x:c>
      <x:c r="E676" s="12" t="n">
        <x:v>0.022230786238790882</x:v>
      </x:c>
      <x:c r="F676" s="12" t="n">
        <x:v>4.17</x:v>
      </x:c>
      <x:c r="G676" s="12" t="n">
        <x:v>417</x:v>
      </x:c>
      <x:c r="H676" s="12" t="n">
        <x:v>4</x:v>
      </x:c>
      <x:c r="I676" s="12" t="str">
        <x:v>TuShare index_daily</x:v>
      </x:c>
      <x:c r="J676" s="12" t="str">
        <x:v>Archived FRED mirror (Hugging Face)</x:v>
      </x:c>
    </x:row>
    <x:row r="677" ht="18" customHeight="1">
      <x:c r="A677" s="13" t="n">
        <x:v>43601</x:v>
      </x:c>
      <x:c r="B677" s="12" t="n">
        <x:v>3743.9635</x:v>
      </x:c>
      <x:c r="C677" s="12" t="n">
        <x:v>3727.0923</x:v>
      </x:c>
      <x:c r="D677" s="12" t="n">
        <x:v>0.4527</x:v>
      </x:c>
      <x:c r="E677" s="12" t="n">
        <x:v>0.004516424219008419</x:v>
      </x:c>
      <x:c r="F677" s="12" t="n">
        <x:v>4.06</x:v>
      </x:c>
      <x:c r="G677" s="12" t="n">
        <x:v>405.99999999999994</x:v>
      </x:c>
      <x:c r="H677" s="12" t="n">
        <x:v>-11.000000000000057</x:v>
      </x:c>
      <x:c r="I677" s="12" t="str">
        <x:v>TuShare index_daily</x:v>
      </x:c>
      <x:c r="J677" s="12" t="str">
        <x:v>Archived FRED mirror (Hugging Face)</x:v>
      </x:c>
    </x:row>
    <x:row r="678" ht="18" customHeight="1">
      <x:c r="A678" s="13" t="n">
        <x:v>43602</x:v>
      </x:c>
      <x:c r="B678" s="12" t="n">
        <x:v>3648.7609</x:v>
      </x:c>
      <x:c r="C678" s="12" t="n">
        <x:v>3743.9635</x:v>
      </x:c>
      <x:c r="D678" s="12" t="n">
        <x:v>-2.5428</x:v>
      </x:c>
      <x:c r="E678" s="12" t="n">
        <x:v>-0.025757179130048855</x:v>
      </x:c>
      <x:c r="F678" s="12" t="n">
        <x:v>4.07</x:v>
      </x:c>
      <x:c r="G678" s="12" t="n">
        <x:v>407</x:v>
      </x:c>
      <x:c r="H678" s="12" t="n">
        <x:v>1.0000000000000568</x:v>
      </x:c>
      <x:c r="I678" s="12" t="str">
        <x:v>TuShare index_daily</x:v>
      </x:c>
      <x:c r="J678" s="12" t="str">
        <x:v>Archived FRED mirror (Hugging Face)</x:v>
      </x:c>
    </x:row>
    <x:row r="679" ht="18" customHeight="1">
      <x:c r="A679" s="13" t="n">
        <x:v>43605</x:v>
      </x:c>
      <x:c r="B679" s="12" t="n">
        <x:v>3617.7924</x:v>
      </x:c>
      <x:c r="C679" s="12" t="n">
        <x:v>3648.7609</x:v>
      </x:c>
      <x:c r="D679" s="12" t="n">
        <x:v>-0.8487</x:v>
      </x:c>
      <x:c r="E679" s="12" t="n">
        <x:v>-0.008523624947157728</x:v>
      </x:c>
      <x:c r="F679" s="12" t="n">
        <x:v>4.06</x:v>
      </x:c>
      <x:c r="G679" s="12" t="n">
        <x:v>405.99999999999994</x:v>
      </x:c>
      <x:c r="H679" s="12" t="n">
        <x:v>-1.0000000000000568</x:v>
      </x:c>
      <x:c r="I679" s="12" t="str">
        <x:v>TuShare index_daily</x:v>
      </x:c>
      <x:c r="J679" s="12" t="str">
        <x:v>Archived FRED mirror (Hugging Face)</x:v>
      </x:c>
    </x:row>
    <x:row r="680" ht="18" customHeight="1">
      <x:c r="A680" s="13" t="n">
        <x:v>43606</x:v>
      </x:c>
      <x:c r="B680" s="12" t="n">
        <x:v>3666.7762</x:v>
      </x:c>
      <x:c r="C680" s="12" t="n">
        <x:v>3617.7924</x:v>
      </x:c>
      <x:c r="D680" s="12" t="n">
        <x:v>1.354</x:v>
      </x:c>
      <x:c r="E680" s="12" t="n">
        <x:v>0.01344885085235851</x:v>
      </x:c>
      <x:c r="F680" s="12" t="n">
        <x:v>3.99</x:v>
      </x:c>
      <x:c r="G680" s="12" t="n">
        <x:v>399</x:v>
      </x:c>
      <x:c r="H680" s="12" t="n">
        <x:v>-6.999999999999943</x:v>
      </x:c>
      <x:c r="I680" s="12" t="str">
        <x:v>TuShare index_daily</x:v>
      </x:c>
      <x:c r="J680" s="12" t="str">
        <x:v>Archived FRED mirror (Hugging Face)</x:v>
      </x:c>
    </x:row>
    <x:row r="681" ht="18" customHeight="1">
      <x:c r="A681" s="13" t="n">
        <x:v>43607</x:v>
      </x:c>
      <x:c r="B681" s="12" t="n">
        <x:v>3649.3796</x:v>
      </x:c>
      <x:c r="C681" s="12" t="n">
        <x:v>3666.7762</x:v>
      </x:c>
      <x:c r="D681" s="12" t="n">
        <x:v>-0.4744</x:v>
      </x:c>
      <x:c r="E681" s="12" t="n">
        <x:v>-0.004755675866671933</x:v>
      </x:c>
      <x:c r="F681" s="12" t="n">
        <x:v>4.03</x:v>
      </x:c>
      <x:c r="G681" s="12" t="n">
        <x:v>403</x:v>
      </x:c>
      <x:c r="H681" s="12" t="n">
        <x:v>4</x:v>
      </x:c>
      <x:c r="I681" s="12" t="str">
        <x:v>TuShare index_daily</x:v>
      </x:c>
      <x:c r="J681" s="12" t="str">
        <x:v>Archived FRED mirror (Hugging Face)</x:v>
      </x:c>
    </x:row>
    <x:row r="682" ht="18" customHeight="1">
      <x:c r="A682" s="13" t="n">
        <x:v>43608</x:v>
      </x:c>
      <x:c r="B682" s="12" t="n">
        <x:v>3583.9646</x:v>
      </x:c>
      <x:c r="C682" s="12" t="n">
        <x:v>3649.3796</x:v>
      </x:c>
      <x:c r="D682" s="12" t="n">
        <x:v>-1.7925</x:v>
      </x:c>
      <x:c r="E682" s="12" t="n">
        <x:v>-0.018087562712919548</x:v>
      </x:c>
      <x:c r="F682" s="12" t="n">
        <x:v>4.22</x:v>
      </x:c>
      <x:c r="G682" s="12" t="n">
        <x:v>422</x:v>
      </x:c>
      <x:c r="H682" s="12" t="n">
        <x:v>19</x:v>
      </x:c>
      <x:c r="I682" s="12" t="str">
        <x:v>TuShare index_daily</x:v>
      </x:c>
      <x:c r="J682" s="12" t="str">
        <x:v>Archived FRED mirror (Hugging Face)</x:v>
      </x:c>
    </x:row>
    <x:row r="683" ht="18" customHeight="1">
      <x:c r="A683" s="13" t="n">
        <x:v>43609</x:v>
      </x:c>
      <x:c r="B683" s="12" t="n">
        <x:v>3593.9139</x:v>
      </x:c>
      <x:c r="C683" s="12" t="n">
        <x:v>3583.9646</x:v>
      </x:c>
      <x:c r="D683" s="12" t="n">
        <x:v>0.2776</x:v>
      </x:c>
      <x:c r="E683" s="12" t="n">
        <x:v>0.002772213648318633</x:v>
      </x:c>
      <x:c r="F683" s="12" t="n">
        <x:v>4.16</x:v>
      </x:c>
      <x:c r="G683" s="12" t="n">
        <x:v>416</x:v>
      </x:c>
      <x:c r="H683" s="12" t="n">
        <x:v>-6</x:v>
      </x:c>
      <x:c r="I683" s="12" t="str">
        <x:v>TuShare index_daily</x:v>
      </x:c>
      <x:c r="J683" s="12" t="str">
        <x:v>Archived FRED mirror (Hugging Face)</x:v>
      </x:c>
    </x:row>
    <x:row r="684" ht="18" customHeight="1">
      <x:c r="A684" s="13" t="n">
        <x:v>43612</x:v>
      </x:c>
      <x:c r="B684" s="12" t="n">
        <x:v>3637.1971</x:v>
      </x:c>
      <x:c r="C684" s="12" t="n">
        <x:v>3593.9139</x:v>
      </x:c>
      <x:c r="D684" s="12" t="n">
        <x:v>1.2043</x:v>
      </x:c>
      <x:c r="E684" s="12" t="n">
        <x:v>0.011971526072606034</x:v>
      </x:c>
      <x:c r="F684" s="12" t="n">
        <x:v>4.16</x:v>
      </x:c>
      <x:c r="G684" s="12" t="n">
        <x:v>416</x:v>
      </x:c>
      <x:c r="H684" s="12" t="n">
        <x:v>0</x:v>
      </x:c>
      <x:c r="I684" s="12" t="str">
        <x:v>TuShare index_daily</x:v>
      </x:c>
      <x:c r="J684" s="12" t="str">
        <x:v>Archived FRED mirror (Hugging Face)</x:v>
      </x:c>
    </x:row>
    <x:row r="685" ht="18" customHeight="1">
      <x:c r="A685" s="13" t="n">
        <x:v>43613</x:v>
      </x:c>
      <x:c r="B685" s="12" t="n">
        <x:v>3672.2605</x:v>
      </x:c>
      <x:c r="C685" s="12" t="n">
        <x:v>3637.1971</x:v>
      </x:c>
      <x:c r="D685" s="12" t="n">
        <x:v>0.964</x:v>
      </x:c>
      <x:c r="E685" s="12" t="n">
        <x:v>0.009594054955070116</x:v>
      </x:c>
      <x:c r="F685" s="12" t="n">
        <x:v>4.19</x:v>
      </x:c>
      <x:c r="G685" s="12" t="n">
        <x:v>419.00000000000006</x:v>
      </x:c>
      <x:c r="H685" s="12" t="n">
        <x:v>3.000000000000057</x:v>
      </x:c>
      <x:c r="I685" s="12" t="str">
        <x:v>TuShare index_daily</x:v>
      </x:c>
      <x:c r="J685" s="12" t="str">
        <x:v>Archived FRED mirror (Hugging Face)</x:v>
      </x:c>
    </x:row>
    <x:row r="686" ht="18" customHeight="1">
      <x:c r="A686" s="13" t="n">
        <x:v>43614</x:v>
      </x:c>
      <x:c r="B686" s="12" t="n">
        <x:v>3663.909</x:v>
      </x:c>
      <x:c r="C686" s="12" t="n">
        <x:v>3672.2605</x:v>
      </x:c>
      <x:c r="D686" s="12" t="n">
        <x:v>-0.2274</x:v>
      </x:c>
      <x:c r="E686" s="12" t="n">
        <x:v>-0.0022768022488379373</x:v>
      </x:c>
      <x:c r="F686" s="12" t="n">
        <x:v>4.36</x:v>
      </x:c>
      <x:c r="G686" s="12" t="n">
        <x:v>436.00000000000006</x:v>
      </x:c>
      <x:c r="H686" s="12" t="n">
        <x:v>17</x:v>
      </x:c>
      <x:c r="I686" s="12" t="str">
        <x:v>TuShare index_daily</x:v>
      </x:c>
      <x:c r="J686" s="12" t="str">
        <x:v>Archived FRED mirror (Hugging Face)</x:v>
      </x:c>
    </x:row>
    <x:row r="687" ht="18" customHeight="1">
      <x:c r="A687" s="13" t="n">
        <x:v>43615</x:v>
      </x:c>
      <x:c r="B687" s="12" t="n">
        <x:v>3641.1833</x:v>
      </x:c>
      <x:c r="C687" s="12" t="n">
        <x:v>3663.909</x:v>
      </x:c>
      <x:c r="D687" s="12" t="n">
        <x:v>-0.6203</x:v>
      </x:c>
      <x:c r="E687" s="12" t="n">
        <x:v>-0.006221899020526497</x:v>
      </x:c>
      <x:c r="F687" s="12" t="n">
        <x:v>4.33</x:v>
      </x:c>
      <x:c r="G687" s="12" t="n">
        <x:v>433</x:v>
      </x:c>
      <x:c r="H687" s="12" t="n">
        <x:v>-3.000000000000057</x:v>
      </x:c>
      <x:c r="I687" s="12" t="str">
        <x:v>TuShare index_daily</x:v>
      </x:c>
      <x:c r="J687" s="12" t="str">
        <x:v>Archived FRED mirror (Hugging Face)</x:v>
      </x:c>
    </x:row>
    <x:row r="688" ht="18" customHeight="1">
      <x:c r="A688" s="13" t="n">
        <x:v>43616</x:v>
      </x:c>
      <x:c r="B688" s="12" t="n">
        <x:v>3629.7893</x:v>
      </x:c>
      <x:c r="C688" s="12" t="n">
        <x:v>3641.1833</x:v>
      </x:c>
      <x:c r="D688" s="12" t="n">
        <x:v>-0.3129</x:v>
      </x:c>
      <x:c r="E688" s="12" t="n">
        <x:v>-0.0031341087233895406</x:v>
      </x:c>
      <x:c r="F688" s="12" t="n">
        <x:v>4.59</x:v>
      </x:c>
      <x:c r="G688" s="12" t="n">
        <x:v>459</x:v>
      </x:c>
      <x:c r="H688" s="12" t="n">
        <x:v>26</x:v>
      </x:c>
      <x:c r="I688" s="12" t="str">
        <x:v>TuShare index_daily</x:v>
      </x:c>
      <x:c r="J688" s="12" t="str">
        <x:v>Archived FRED mirror (Hugging Face)</x:v>
      </x:c>
    </x:row>
    <x:row r="689" ht="18" customHeight="1">
      <x:c r="A689" s="13" t="n">
        <x:v>43619</x:v>
      </x:c>
      <x:c r="B689" s="12" t="n">
        <x:v>3632.0127</x:v>
      </x:c>
      <x:c r="C689" s="12" t="n">
        <x:v>3629.7893</x:v>
      </x:c>
      <x:c r="D689" s="12" t="n">
        <x:v>0.0613</x:v>
      </x:c>
      <x:c r="E689" s="12" t="n">
        <x:v>0.0006123549139669164</x:v>
      </x:c>
      <x:c r="F689" s="12" t="n">
        <x:v>4.7</x:v>
      </x:c>
      <x:c r="G689" s="12" t="n">
        <x:v>470</x:v>
      </x:c>
      <x:c r="H689" s="12" t="n">
        <x:v>11</x:v>
      </x:c>
      <x:c r="I689" s="12" t="str">
        <x:v>TuShare index_daily</x:v>
      </x:c>
      <x:c r="J689" s="12" t="str">
        <x:v>Archived FRED mirror (Hugging Face)</x:v>
      </x:c>
    </x:row>
    <x:row r="690" ht="18" customHeight="1">
      <x:c r="A690" s="13" t="n">
        <x:v>43620</x:v>
      </x:c>
      <x:c r="B690" s="12" t="n">
        <x:v>3598.4666</x:v>
      </x:c>
      <x:c r="C690" s="12" t="n">
        <x:v>3632.0127</x:v>
      </x:c>
      <x:c r="D690" s="12" t="n">
        <x:v>-0.9236</x:v>
      </x:c>
      <x:c r="E690" s="12" t="n">
        <x:v>-0.009279147151451426</x:v>
      </x:c>
      <x:c r="F690" s="12" t="n">
        <x:v>4.53</x:v>
      </x:c>
      <x:c r="G690" s="12" t="n">
        <x:v>453</x:v>
      </x:c>
      <x:c r="H690" s="12" t="n">
        <x:v>-17</x:v>
      </x:c>
      <x:c r="I690" s="12" t="str">
        <x:v>TuShare index_daily</x:v>
      </x:c>
      <x:c r="J690" s="12" t="str">
        <x:v>Archived FRED mirror (Hugging Face)</x:v>
      </x:c>
    </x:row>
    <x:row r="691" ht="18" customHeight="1">
      <x:c r="A691" s="13" t="n">
        <x:v>43621</x:v>
      </x:c>
      <x:c r="B691" s="12" t="n">
        <x:v>3597.105</x:v>
      </x:c>
      <x:c r="C691" s="12" t="n">
        <x:v>3598.4666</x:v>
      </x:c>
      <x:c r="D691" s="12" t="n">
        <x:v>-0.0378</x:v>
      </x:c>
      <x:c r="E691" s="12" t="n">
        <x:v>-0.0003784549975853767</x:v>
      </x:c>
      <x:c r="F691" s="12" t="n">
        <x:v>4.48</x:v>
      </x:c>
      <x:c r="G691" s="12" t="n">
        <x:v>448.00000000000006</x:v>
      </x:c>
      <x:c r="H691" s="12" t="n">
        <x:v>-4.999999999999943</x:v>
      </x:c>
      <x:c r="I691" s="12" t="str">
        <x:v>TuShare index_daily</x:v>
      </x:c>
      <x:c r="J691" s="12" t="str">
        <x:v>Archived FRED mirror (Hugging Face)</x:v>
      </x:c>
    </x:row>
    <x:row r="692" ht="18" customHeight="1">
      <x:c r="A692" s="13" t="n">
        <x:v>43622</x:v>
      </x:c>
      <x:c r="B692" s="12" t="n">
        <x:v>3564.6778</x:v>
      </x:c>
      <x:c r="C692" s="12" t="n">
        <x:v>3597.105</x:v>
      </x:c>
      <x:c r="D692" s="12" t="n">
        <x:v>-0.9015</x:v>
      </x:c>
      <x:c r="E692" s="12" t="n">
        <x:v>-0.009055684179698723</x:v>
      </x:c>
      <x:c r="F692" s="12" t="n">
        <x:v>4.42</x:v>
      </x:c>
      <x:c r="G692" s="12" t="n">
        <x:v>442</x:v>
      </x:c>
      <x:c r="H692" s="12" t="n">
        <x:v>-6.000000000000057</x:v>
      </x:c>
      <x:c r="I692" s="12" t="str">
        <x:v>TuShare index_daily</x:v>
      </x:c>
      <x:c r="J692" s="12" t="str">
        <x:v>Archived FRED mirror (Hugging Face)</x:v>
      </x:c>
    </x:row>
    <x:row r="693" ht="18" customHeight="1">
      <x:c r="A693" s="13" t="n">
        <x:v>43626</x:v>
      </x:c>
      <x:c r="B693" s="12" t="n">
        <x:v>3610.7435</x:v>
      </x:c>
      <x:c r="C693" s="12" t="n">
        <x:v>3564.6778</x:v>
      </x:c>
      <x:c r="D693" s="12" t="n">
        <x:v>1.2923</x:v>
      </x:c>
      <x:c r="E693" s="12" t="n">
        <x:v>0.01284003571726754</x:v>
      </x:c>
      <x:c r="F693" s="12" t="n">
        <x:v>4.23</x:v>
      </x:c>
      <x:c r="G693" s="12" t="n">
        <x:v>423.00000000000006</x:v>
      </x:c>
      <x:c r="H693" s="12" t="n">
        <x:v>-13.999999999999943</x:v>
      </x:c>
      <x:c r="I693" s="12" t="str">
        <x:v>TuShare index_daily</x:v>
      </x:c>
      <x:c r="J693" s="12" t="str">
        <x:v>Archived FRED mirror (Hugging Face)</x:v>
      </x:c>
    </x:row>
    <x:row r="694" ht="18" customHeight="1">
      <x:c r="A694" s="13" t="n">
        <x:v>43627</x:v>
      </x:c>
      <x:c r="B694" s="12" t="n">
        <x:v>3719.2759</x:v>
      </x:c>
      <x:c r="C694" s="12" t="n">
        <x:v>3610.7435</x:v>
      </x:c>
      <x:c r="D694" s="12" t="n">
        <x:v>3.0058</x:v>
      </x:c>
      <x:c r="E694" s="12" t="n">
        <x:v>0.029615291983045522</x:v>
      </x:c>
      <x:c r="F694" s="12" t="n">
        <x:v>4.2</x:v>
      </x:c>
      <x:c r="G694" s="12" t="n">
        <x:v>420</x:v>
      </x:c>
      <x:c r="H694" s="12" t="n">
        <x:v>-3.000000000000057</x:v>
      </x:c>
      <x:c r="I694" s="12" t="str">
        <x:v>TuShare index_daily</x:v>
      </x:c>
      <x:c r="J694" s="12" t="str">
        <x:v>Archived FRED mirror (Hugging Face)</x:v>
      </x:c>
    </x:row>
    <x:row r="695" ht="18" customHeight="1">
      <x:c r="A695" s="13" t="n">
        <x:v>43628</x:v>
      </x:c>
      <x:c r="B695" s="12" t="n">
        <x:v>3691.0957</x:v>
      </x:c>
      <x:c r="C695" s="12" t="n">
        <x:v>3719.2759</x:v>
      </x:c>
      <x:c r="D695" s="12" t="n">
        <x:v>-0.7577</x:v>
      </x:c>
      <x:c r="E695" s="12" t="n">
        <x:v>-0.007605647155998182</x:v>
      </x:c>
      <x:c r="F695" s="12" t="n">
        <x:v>4.22</x:v>
      </x:c>
      <x:c r="G695" s="12" t="n">
        <x:v>422</x:v>
      </x:c>
      <x:c r="H695" s="12" t="n">
        <x:v>2</x:v>
      </x:c>
      <x:c r="I695" s="12" t="str">
        <x:v>TuShare index_daily</x:v>
      </x:c>
      <x:c r="J695" s="12" t="str">
        <x:v>Archived FRED mirror (Hugging Face)</x:v>
      </x:c>
    </x:row>
    <x:row r="696" ht="18" customHeight="1">
      <x:c r="A696" s="13" t="n">
        <x:v>43629</x:v>
      </x:c>
      <x:c r="B696" s="12" t="n">
        <x:v>3685.3933</x:v>
      </x:c>
      <x:c r="C696" s="12" t="n">
        <x:v>3691.0957</x:v>
      </x:c>
      <x:c r="D696" s="12" t="n">
        <x:v>-0.1545</x:v>
      </x:c>
      <x:c r="E696" s="12" t="n">
        <x:v>-0.0015461017120563174</x:v>
      </x:c>
      <x:c r="F696" s="12" t="n">
        <x:v>4.24</x:v>
      </x:c>
      <x:c r="G696" s="12" t="n">
        <x:v>424</x:v>
      </x:c>
      <x:c r="H696" s="12" t="n">
        <x:v>2</x:v>
      </x:c>
      <x:c r="I696" s="12" t="str">
        <x:v>TuShare index_daily</x:v>
      </x:c>
      <x:c r="J696" s="12" t="str">
        <x:v>Archived FRED mirror (Hugging Face)</x:v>
      </x:c>
    </x:row>
    <x:row r="697" ht="18" customHeight="1">
      <x:c r="A697" s="13" t="n">
        <x:v>43630</x:v>
      </x:c>
      <x:c r="B697" s="12" t="n">
        <x:v>3654.8799</x:v>
      </x:c>
      <x:c r="C697" s="12" t="n">
        <x:v>3685.3933</x:v>
      </x:c>
      <x:c r="D697" s="12" t="n">
        <x:v>-0.828</x:v>
      </x:c>
      <x:c r="E697" s="12" t="n">
        <x:v>-0.00831401636774902</x:v>
      </x:c>
      <x:c r="F697" s="12" t="n">
        <x:v>4.23</x:v>
      </x:c>
      <x:c r="G697" s="12" t="n">
        <x:v>423.00000000000006</x:v>
      </x:c>
      <x:c r="H697" s="12" t="n">
        <x:v>-0.9999999999999432</x:v>
      </x:c>
      <x:c r="I697" s="12" t="str">
        <x:v>TuShare index_daily</x:v>
      </x:c>
      <x:c r="J697" s="12" t="str">
        <x:v>Archived FRED mirror (Hugging Face)</x:v>
      </x:c>
    </x:row>
    <x:row r="698" ht="18" customHeight="1">
      <x:c r="A698" s="13" t="n">
        <x:v>43633</x:v>
      </x:c>
      <x:c r="B698" s="12" t="n">
        <x:v>3654.8248</x:v>
      </x:c>
      <x:c r="C698" s="12" t="n">
        <x:v>3654.8799</x:v>
      </x:c>
      <x:c r="D698" s="12" t="n">
        <x:v>-0.0015</x:v>
      </x:c>
      <x:c r="E698" s="12" t="n">
        <x:v>-0.000015075848413138367</x:v>
      </x:c>
      <x:c r="F698" s="12" t="n">
        <x:v>4.23</x:v>
      </x:c>
      <x:c r="G698" s="12" t="n">
        <x:v>423.00000000000006</x:v>
      </x:c>
      <x:c r="H698" s="12" t="n">
        <x:v>0</x:v>
      </x:c>
      <x:c r="I698" s="12" t="str">
        <x:v>TuShare index_daily</x:v>
      </x:c>
      <x:c r="J698" s="12" t="str">
        <x:v>Archived FRED mirror (Hugging Face)</x:v>
      </x:c>
    </x:row>
    <x:row r="699" ht="18" customHeight="1">
      <x:c r="A699" s="13" t="n">
        <x:v>43634</x:v>
      </x:c>
      <x:c r="B699" s="12" t="n">
        <x:v>3667.6185</x:v>
      </x:c>
      <x:c r="C699" s="12" t="n">
        <x:v>3654.8248</x:v>
      </x:c>
      <x:c r="D699" s="12" t="n">
        <x:v>0.35</x:v>
      </x:c>
      <x:c r="E699" s="12" t="n">
        <x:v>0.003494383635132153</x:v>
      </x:c>
      <x:c r="F699" s="12" t="n">
        <x:v>4.14</x:v>
      </x:c>
      <x:c r="G699" s="12" t="n">
        <x:v>413.99999999999994</x:v>
      </x:c>
      <x:c r="H699" s="12" t="n">
        <x:v>-9.000000000000114</x:v>
      </x:c>
      <x:c r="I699" s="12" t="str">
        <x:v>TuShare index_daily</x:v>
      </x:c>
      <x:c r="J699" s="12" t="str">
        <x:v>Archived FRED mirror (Hugging Face)</x:v>
      </x:c>
    </x:row>
    <x:row r="700" ht="18" customHeight="1">
      <x:c r="A700" s="13" t="n">
        <x:v>43635</x:v>
      </x:c>
      <x:c r="B700" s="12" t="n">
        <x:v>3715.9381</x:v>
      </x:c>
      <x:c r="C700" s="12" t="n">
        <x:v>3667.6185</x:v>
      </x:c>
      <x:c r="D700" s="12" t="n">
        <x:v>1.3175</x:v>
      </x:c>
      <x:c r="E700" s="12" t="n">
        <x:v>0.013088621764941596</x:v>
      </x:c>
      <x:c r="F700" s="12" t="n">
        <x:v>4.16</x:v>
      </x:c>
      <x:c r="G700" s="12" t="n">
        <x:v>416</x:v>
      </x:c>
      <x:c r="H700" s="12" t="n">
        <x:v>2.000000000000057</x:v>
      </x:c>
      <x:c r="I700" s="12" t="str">
        <x:v>TuShare index_daily</x:v>
      </x:c>
      <x:c r="J700" s="12" t="str">
        <x:v>Archived FRED mirror (Hugging Face)</x:v>
      </x:c>
    </x:row>
    <x:row r="701" ht="18" customHeight="1">
      <x:c r="A701" s="13" t="n">
        <x:v>43636</x:v>
      </x:c>
      <x:c r="B701" s="12" t="n">
        <x:v>3828.5183</x:v>
      </x:c>
      <x:c r="C701" s="12" t="n">
        <x:v>3715.9381</x:v>
      </x:c>
      <x:c r="D701" s="12" t="n">
        <x:v>3.0297</x:v>
      </x:c>
      <x:c r="E701" s="12" t="n">
        <x:v>0.029846698383138293</x:v>
      </x:c>
      <x:c r="F701" s="12" t="n">
        <x:v>4.03</x:v>
      </x:c>
      <x:c r="G701" s="12" t="n">
        <x:v>403</x:v>
      </x:c>
      <x:c r="H701" s="12" t="n">
        <x:v>-13</x:v>
      </x:c>
      <x:c r="I701" s="12" t="str">
        <x:v>TuShare index_daily</x:v>
      </x:c>
      <x:c r="J701" s="12" t="str">
        <x:v>Archived FRED mirror (Hugging Face)</x:v>
      </x:c>
    </x:row>
    <x:row r="702" ht="18" customHeight="1">
      <x:c r="A702" s="13" t="n">
        <x:v>43637</x:v>
      </x:c>
      <x:c r="B702" s="12" t="n">
        <x:v>3833.9383</x:v>
      </x:c>
      <x:c r="C702" s="12" t="n">
        <x:v>3828.5183</x:v>
      </x:c>
      <x:c r="D702" s="12" t="n">
        <x:v>0.1416</x:v>
      </x:c>
      <x:c r="E702" s="12" t="n">
        <x:v>0.001414690141003077</x:v>
      </x:c>
      <x:c r="F702" s="12" t="n">
        <x:v>3.95</x:v>
      </x:c>
      <x:c r="G702" s="12" t="n">
        <x:v>395</x:v>
      </x:c>
      <x:c r="H702" s="12" t="n">
        <x:v>-8</x:v>
      </x:c>
      <x:c r="I702" s="12" t="str">
        <x:v>TuShare index_daily</x:v>
      </x:c>
      <x:c r="J702" s="12" t="str">
        <x:v>Archived FRED mirror (Hugging Face)</x:v>
      </x:c>
    </x:row>
    <x:row r="703" ht="18" customHeight="1">
      <x:c r="A703" s="13" t="n">
        <x:v>43640</x:v>
      </x:c>
      <x:c r="B703" s="12" t="n">
        <x:v>3841.2659</x:v>
      </x:c>
      <x:c r="C703" s="12" t="n">
        <x:v>3833.9383</x:v>
      </x:c>
      <x:c r="D703" s="12" t="n">
        <x:v>0.1911</x:v>
      </x:c>
      <x:c r="E703" s="12" t="n">
        <x:v>0.0019094220910248932</x:v>
      </x:c>
      <x:c r="F703" s="12" t="n">
        <x:v>4</x:v>
      </x:c>
      <x:c r="G703" s="12" t="n">
        <x:v>400</x:v>
      </x:c>
      <x:c r="H703" s="12" t="n">
        <x:v>5</x:v>
      </x:c>
      <x:c r="I703" s="12" t="str">
        <x:v>TuShare index_daily</x:v>
      </x:c>
      <x:c r="J703" s="12" t="str">
        <x:v>Archived FRED mirror (Hugging Face)</x:v>
      </x:c>
    </x:row>
    <x:row r="704" ht="18" customHeight="1">
      <x:c r="A704" s="13" t="n">
        <x:v>43641</x:v>
      </x:c>
      <x:c r="B704" s="12" t="n">
        <x:v>3801.3098</x:v>
      </x:c>
      <x:c r="C704" s="12" t="n">
        <x:v>3841.2659</x:v>
      </x:c>
      <x:c r="D704" s="12" t="n">
        <x:v>-1.0402</x:v>
      </x:c>
      <x:c r="E704" s="12" t="n">
        <x:v>-0.010456282178658741</x:v>
      </x:c>
      <x:c r="F704" s="12" t="n">
        <x:v>4.09</x:v>
      </x:c>
      <x:c r="G704" s="12" t="n">
        <x:v>409</x:v>
      </x:c>
      <x:c r="H704" s="12" t="n">
        <x:v>9</x:v>
      </x:c>
      <x:c r="I704" s="12" t="str">
        <x:v>TuShare index_daily</x:v>
      </x:c>
      <x:c r="J704" s="12" t="str">
        <x:v>Archived FRED mirror (Hugging Face)</x:v>
      </x:c>
    </x:row>
    <x:row r="705" ht="18" customHeight="1">
      <x:c r="A705" s="13" t="n">
        <x:v>43642</x:v>
      </x:c>
      <x:c r="B705" s="12" t="n">
        <x:v>3794.331</x:v>
      </x:c>
      <x:c r="C705" s="12" t="n">
        <x:v>3801.3098</x:v>
      </x:c>
      <x:c r="D705" s="12" t="n">
        <x:v>-0.1836</x:v>
      </x:c>
      <x:c r="E705" s="12" t="n">
        <x:v>-0.0018375808302514161</x:v>
      </x:c>
      <x:c r="F705" s="12" t="n">
        <x:v>4.05</x:v>
      </x:c>
      <x:c r="G705" s="12" t="n">
        <x:v>405</x:v>
      </x:c>
      <x:c r="H705" s="12" t="n">
        <x:v>-4</x:v>
      </x:c>
      <x:c r="I705" s="12" t="str">
        <x:v>TuShare index_daily</x:v>
      </x:c>
      <x:c r="J705" s="12" t="str">
        <x:v>Archived FRED mirror (Hugging Face)</x:v>
      </x:c>
    </x:row>
    <x:row r="706" ht="18" customHeight="1">
      <x:c r="A706" s="13" t="n">
        <x:v>43643</x:v>
      </x:c>
      <x:c r="B706" s="12" t="n">
        <x:v>3834.8172</x:v>
      </x:c>
      <x:c r="C706" s="12" t="n">
        <x:v>3794.331</x:v>
      </x:c>
      <x:c r="D706" s="12" t="n">
        <x:v>1.067</x:v>
      </x:c>
      <x:c r="E706" s="12" t="n">
        <x:v>0.010613656728416262</x:v>
      </x:c>
      <x:c r="F706" s="12" t="n">
        <x:v>4.09</x:v>
      </x:c>
      <x:c r="G706" s="12" t="n">
        <x:v>409</x:v>
      </x:c>
      <x:c r="H706" s="12" t="n">
        <x:v>4</x:v>
      </x:c>
      <x:c r="I706" s="12" t="str">
        <x:v>TuShare index_daily</x:v>
      </x:c>
      <x:c r="J706" s="12" t="str">
        <x:v>Archived FRED mirror (Hugging Face)</x:v>
      </x:c>
    </x:row>
    <x:row r="707" ht="18" customHeight="1">
      <x:c r="A707" s="13" t="n">
        <x:v>43644</x:v>
      </x:c>
      <x:c r="B707" s="12" t="n">
        <x:v>3825.5873</x:v>
      </x:c>
      <x:c r="C707" s="12" t="n">
        <x:v>3834.8172</x:v>
      </x:c>
      <x:c r="D707" s="12" t="n">
        <x:v>-0.2407</x:v>
      </x:c>
      <x:c r="E707" s="12" t="n">
        <x:v>-0.002409769475356859</x:v>
      </x:c>
      <x:c r="F707" s="12" t="n">
        <x:v>4.07</x:v>
      </x:c>
      <x:c r="G707" s="12" t="n">
        <x:v>407</x:v>
      </x:c>
      <x:c r="H707" s="12" t="n">
        <x:v>-2</x:v>
      </x:c>
      <x:c r="I707" s="12" t="str">
        <x:v>TuShare index_daily</x:v>
      </x:c>
      <x:c r="J707" s="12" t="str">
        <x:v>Archived FRED mirror (Hugging Face)</x:v>
      </x:c>
    </x:row>
    <x:row r="708" ht="18" customHeight="1">
      <x:c r="A708" s="13" t="n">
        <x:v>43647</x:v>
      </x:c>
      <x:c r="B708" s="12" t="n">
        <x:v>3935.8116</x:v>
      </x:c>
      <x:c r="C708" s="12" t="n">
        <x:v>3825.5873</x:v>
      </x:c>
      <x:c r="D708" s="12" t="n">
        <x:v>2.8812</x:v>
      </x:c>
      <x:c r="E708" s="12" t="n">
        <x:v>0.028405114215023213</x:v>
      </x:c>
      <x:c r="F708" s="12" t="n">
        <x:v>3.99</x:v>
      </x:c>
      <x:c r="G708" s="12" t="n">
        <x:v>399</x:v>
      </x:c>
      <x:c r="H708" s="12" t="n">
        <x:v>-8</x:v>
      </x:c>
      <x:c r="I708" s="12" t="str">
        <x:v>TuShare index_daily</x:v>
      </x:c>
      <x:c r="J708" s="12" t="str">
        <x:v>Archived FRED mirror (Hugging Face)</x:v>
      </x:c>
    </x:row>
    <x:row r="709" ht="18" customHeight="1">
      <x:c r="A709" s="13" t="n">
        <x:v>43648</x:v>
      </x:c>
      <x:c r="B709" s="12" t="n">
        <x:v>3937.1691</x:v>
      </x:c>
      <x:c r="C709" s="12" t="n">
        <x:v>3935.8116</x:v>
      </x:c>
      <x:c r="D709" s="12" t="n">
        <x:v>0.0345</x:v>
      </x:c>
      <x:c r="E709" s="12" t="n">
        <x:v>0.00034485033437294264</x:v>
      </x:c>
      <x:c r="F709" s="12" t="n">
        <x:v>4.04</x:v>
      </x:c>
      <x:c r="G709" s="12" t="n">
        <x:v>404</x:v>
      </x:c>
      <x:c r="H709" s="12" t="n">
        <x:v>5</x:v>
      </x:c>
      <x:c r="I709" s="12" t="str">
        <x:v>TuShare index_daily</x:v>
      </x:c>
      <x:c r="J709" s="12" t="str">
        <x:v>Archived FRED mirror (Hugging Face)</x:v>
      </x:c>
    </x:row>
    <x:row r="710" ht="18" customHeight="1">
      <x:c r="A710" s="13" t="n">
        <x:v>43649</x:v>
      </x:c>
      <x:c r="B710" s="12" t="n">
        <x:v>3893.5341</x:v>
      </x:c>
      <x:c r="C710" s="12" t="n">
        <x:v>3937.1691</x:v>
      </x:c>
      <x:c r="D710" s="12" t="n">
        <x:v>-1.1083</x:v>
      </x:c>
      <x:c r="E710" s="12" t="n">
        <x:v>-0.011144708341842358</x:v>
      </x:c>
      <x:c r="F710" s="12" t="n">
        <x:v>4.02</x:v>
      </x:c>
      <x:c r="G710" s="12" t="n">
        <x:v>401.99999999999994</x:v>
      </x:c>
      <x:c r="H710" s="12" t="n">
        <x:v>-2.000000000000057</x:v>
      </x:c>
      <x:c r="I710" s="12" t="str">
        <x:v>TuShare index_daily</x:v>
      </x:c>
      <x:c r="J710" s="12" t="str">
        <x:v>Archived FRED mirror (Hugging Face)</x:v>
      </x:c>
    </x:row>
    <x:row r="711" ht="18" customHeight="1">
      <x:c r="A711" s="13" t="n">
        <x:v>43650</x:v>
      </x:c>
      <x:c r="B711" s="12" t="n">
        <x:v>3873.1019</x:v>
      </x:c>
      <x:c r="C711" s="12" t="n">
        <x:v>3893.5341</x:v>
      </x:c>
      <x:c r="D711" s="12" t="n">
        <x:v>-0.5248</x:v>
      </x:c>
      <x:c r="E711" s="12" t="n">
        <x:v>-0.005261543643037587</x:v>
      </x:c>
      <x:c r="F711" s="12" t="n">
        <x:v>4.02</x:v>
      </x:c>
      <x:c r="G711" s="12" t="n">
        <x:v>401.99999999999994</x:v>
      </x:c>
      <x:c r="H711" s="12" t="n">
        <x:v>0</x:v>
      </x:c>
      <x:c r="I711" s="12" t="str">
        <x:v>TuShare index_daily</x:v>
      </x:c>
      <x:c r="J711" s="12" t="str">
        <x:v>Archived FRED mirror (Hugging Face)</x:v>
      </x:c>
    </x:row>
    <x:row r="712" ht="18" customHeight="1">
      <x:c r="A712" s="13" t="n">
        <x:v>43651</x:v>
      </x:c>
      <x:c r="B712" s="12" t="n">
        <x:v>3893.2025</x:v>
      </x:c>
      <x:c r="C712" s="12" t="n">
        <x:v>3873.1019</x:v>
      </x:c>
      <x:c r="D712" s="12" t="n">
        <x:v>0.519</x:v>
      </x:c>
      <x:c r="E712" s="12" t="n">
        <x:v>0.005176373175039403</x:v>
      </x:c>
      <x:c r="F712" s="12" t="n">
        <x:v>3.98</x:v>
      </x:c>
      <x:c r="G712" s="12" t="n">
        <x:v>398</x:v>
      </x:c>
      <x:c r="H712" s="12" t="n">
        <x:v>-3.999999999999943</x:v>
      </x:c>
      <x:c r="I712" s="12" t="str">
        <x:v>TuShare index_daily</x:v>
      </x:c>
      <x:c r="J712" s="12" t="str">
        <x:v>Archived FRED mirror (Hugging Face)</x:v>
      </x:c>
    </x:row>
    <x:row r="713" ht="18" customHeight="1">
      <x:c r="A713" s="13" t="n">
        <x:v>43654</x:v>
      </x:c>
      <x:c r="B713" s="12" t="n">
        <x:v>3802.7897</x:v>
      </x:c>
      <x:c r="C713" s="12" t="n">
        <x:v>3893.2025</x:v>
      </x:c>
      <x:c r="D713" s="12" t="n">
        <x:v>-2.3223</x:v>
      </x:c>
      <x:c r="E713" s="12" t="n">
        <x:v>-0.02349715474676046</x:v>
      </x:c>
      <x:c r="F713" s="12" t="n">
        <x:v>4</x:v>
      </x:c>
      <x:c r="G713" s="12" t="n">
        <x:v>400</x:v>
      </x:c>
      <x:c r="H713" s="12" t="n">
        <x:v>2</x:v>
      </x:c>
      <x:c r="I713" s="12" t="str">
        <x:v>TuShare index_daily</x:v>
      </x:c>
      <x:c r="J713" s="12" t="str">
        <x:v>Archived FRED mirror (Hugging Face)</x:v>
      </x:c>
    </x:row>
    <x:row r="714" ht="18" customHeight="1">
      <x:c r="A714" s="13" t="n">
        <x:v>43655</x:v>
      </x:c>
      <x:c r="B714" s="12" t="n">
        <x:v>3793.1297</x:v>
      </x:c>
      <x:c r="C714" s="12" t="n">
        <x:v>3802.7897</x:v>
      </x:c>
      <x:c r="D714" s="12" t="n">
        <x:v>-0.254</x:v>
      </x:c>
      <x:c r="E714" s="12" t="n">
        <x:v>-0.002543472277430002</x:v>
      </x:c>
      <x:c r="F714" s="12" t="n">
        <x:v>4.03</x:v>
      </x:c>
      <x:c r="G714" s="12" t="n">
        <x:v>403</x:v>
      </x:c>
      <x:c r="H714" s="12" t="n">
        <x:v>3</x:v>
      </x:c>
      <x:c r="I714" s="12" t="str">
        <x:v>TuShare index_daily</x:v>
      </x:c>
      <x:c r="J714" s="12" t="str">
        <x:v>Archived FRED mirror (Hugging Face)</x:v>
      </x:c>
    </x:row>
    <x:row r="715" ht="18" customHeight="1">
      <x:c r="A715" s="13" t="n">
        <x:v>43656</x:v>
      </x:c>
      <x:c r="B715" s="12" t="n">
        <x:v>3786.739</x:v>
      </x:c>
      <x:c r="C715" s="12" t="n">
        <x:v>3793.1297</x:v>
      </x:c>
      <x:c r="D715" s="12" t="n">
        <x:v>-0.1685</x:v>
      </x:c>
      <x:c r="E715" s="12" t="n">
        <x:v>-0.0016862301359550384</x:v>
      </x:c>
      <x:c r="F715" s="12" t="n">
        <x:v>4.01</x:v>
      </x:c>
      <x:c r="G715" s="12" t="n">
        <x:v>401</x:v>
      </x:c>
      <x:c r="H715" s="12" t="n">
        <x:v>-2</x:v>
      </x:c>
      <x:c r="I715" s="12" t="str">
        <x:v>TuShare index_daily</x:v>
      </x:c>
      <x:c r="J715" s="12" t="str">
        <x:v>Archived FRED mirror (Hugging Face)</x:v>
      </x:c>
    </x:row>
    <x:row r="716" ht="18" customHeight="1">
      <x:c r="A716" s="13" t="n">
        <x:v>43657</x:v>
      </x:c>
      <x:c r="B716" s="12" t="n">
        <x:v>3785.221</x:v>
      </x:c>
      <x:c r="C716" s="12" t="n">
        <x:v>3786.739</x:v>
      </x:c>
      <x:c r="D716" s="12" t="n">
        <x:v>-0.0401</x:v>
      </x:c>
      <x:c r="E716" s="12" t="n">
        <x:v>-0.0004009529950862193</x:v>
      </x:c>
      <x:c r="F716" s="12" t="n">
        <x:v>4</x:v>
      </x:c>
      <x:c r="G716" s="12" t="n">
        <x:v>400</x:v>
      </x:c>
      <x:c r="H716" s="12" t="n">
        <x:v>-1</x:v>
      </x:c>
      <x:c r="I716" s="12" t="str">
        <x:v>TuShare index_daily</x:v>
      </x:c>
      <x:c r="J716" s="12" t="str">
        <x:v>Archived FRED mirror (Hugging Face)</x:v>
      </x:c>
    </x:row>
    <x:row r="717" ht="18" customHeight="1">
      <x:c r="A717" s="13" t="n">
        <x:v>43658</x:v>
      </x:c>
      <x:c r="B717" s="12" t="n">
        <x:v>3808.7311</x:v>
      </x:c>
      <x:c r="C717" s="12" t="n">
        <x:v>3785.221</x:v>
      </x:c>
      <x:c r="D717" s="12" t="n">
        <x:v>0.6211</x:v>
      </x:c>
      <x:c r="E717" s="12" t="n">
        <x:v>0.006191815487468652</x:v>
      </x:c>
      <x:c r="F717" s="12" t="n">
        <x:v>4.02</x:v>
      </x:c>
      <x:c r="G717" s="12" t="n">
        <x:v>401.99999999999994</x:v>
      </x:c>
      <x:c r="H717" s="12" t="n">
        <x:v>1.9999999999999432</x:v>
      </x:c>
      <x:c r="I717" s="12" t="str">
        <x:v>TuShare index_daily</x:v>
      </x:c>
      <x:c r="J717" s="12" t="str">
        <x:v>Archived FRED mirror (Hugging Face)</x:v>
      </x:c>
    </x:row>
    <x:row r="718" ht="18" customHeight="1">
      <x:c r="A718" s="13" t="n">
        <x:v>43661</x:v>
      </x:c>
      <x:c r="B718" s="12" t="n">
        <x:v>3824.1878</x:v>
      </x:c>
      <x:c r="C718" s="12" t="n">
        <x:v>3808.7311</x:v>
      </x:c>
      <x:c r="D718" s="12" t="n">
        <x:v>0.4058</x:v>
      </x:c>
      <x:c r="E718" s="12" t="n">
        <x:v>0.004050015814405257</x:v>
      </x:c>
      <x:c r="F718" s="12" t="n">
        <x:v>4</x:v>
      </x:c>
      <x:c r="G718" s="12" t="n">
        <x:v>400</x:v>
      </x:c>
      <x:c r="H718" s="12" t="n">
        <x:v>-1.9999999999999432</x:v>
      </x:c>
      <x:c r="I718" s="12" t="str">
        <x:v>TuShare index_daily</x:v>
      </x:c>
      <x:c r="J718" s="12" t="str">
        <x:v>Archived FRED mirror (Hugging Face)</x:v>
      </x:c>
    </x:row>
    <x:row r="719" ht="18" customHeight="1">
      <x:c r="A719" s="13" t="n">
        <x:v>43662</x:v>
      </x:c>
      <x:c r="B719" s="12" t="n">
        <x:v>3806.8449</x:v>
      </x:c>
      <x:c r="C719" s="12" t="n">
        <x:v>3824.1878</x:v>
      </x:c>
      <x:c r="D719" s="12" t="n">
        <x:v>-0.4535</x:v>
      </x:c>
      <x:c r="E719" s="12" t="n">
        <x:v>-0.004545369032223224</x:v>
      </x:c>
      <x:c r="F719" s="12" t="n">
        <x:v>3.96</x:v>
      </x:c>
      <x:c r="G719" s="12" t="n">
        <x:v>396</x:v>
      </x:c>
      <x:c r="H719" s="12" t="n">
        <x:v>-4</x:v>
      </x:c>
      <x:c r="I719" s="12" t="str">
        <x:v>TuShare index_daily</x:v>
      </x:c>
      <x:c r="J719" s="12" t="str">
        <x:v>Archived FRED mirror (Hugging Face)</x:v>
      </x:c>
    </x:row>
    <x:row r="720" ht="18" customHeight="1">
      <x:c r="A720" s="13" t="n">
        <x:v>43663</x:v>
      </x:c>
      <x:c r="B720" s="12" t="n">
        <x:v>3804.6384</x:v>
      </x:c>
      <x:c r="C720" s="12" t="n">
        <x:v>3806.8449</x:v>
      </x:c>
      <x:c r="D720" s="12" t="n">
        <x:v>-0.058</x:v>
      </x:c>
      <x:c r="E720" s="12" t="n">
        <x:v>-0.0005797818834626863</x:v>
      </x:c>
      <x:c r="F720" s="12" t="n">
        <x:v>4.01</x:v>
      </x:c>
      <x:c r="G720" s="12" t="n">
        <x:v>401</x:v>
      </x:c>
      <x:c r="H720" s="12" t="n">
        <x:v>5</x:v>
      </x:c>
      <x:c r="I720" s="12" t="str">
        <x:v>TuShare index_daily</x:v>
      </x:c>
      <x:c r="J720" s="12" t="str">
        <x:v>Archived FRED mirror (Hugging Face)</x:v>
      </x:c>
    </x:row>
    <x:row r="721" ht="18" customHeight="1">
      <x:c r="A721" s="13" t="n">
        <x:v>43664</x:v>
      </x:c>
      <x:c r="B721" s="12" t="n">
        <x:v>3768.4019</x:v>
      </x:c>
      <x:c r="C721" s="12" t="n">
        <x:v>3804.6384</x:v>
      </x:c>
      <x:c r="D721" s="12" t="n">
        <x:v>-0.9524</x:v>
      </x:c>
      <x:c r="E721" s="12" t="n">
        <x:v>-0.009569941561221082</x:v>
      </x:c>
      <x:c r="F721" s="12" t="n">
        <x:v>4.11</x:v>
      </x:c>
      <x:c r="G721" s="12" t="n">
        <x:v>411.00000000000006</x:v>
      </x:c>
      <x:c r="H721" s="12" t="n">
        <x:v>10.000000000000057</x:v>
      </x:c>
      <x:c r="I721" s="12" t="str">
        <x:v>TuShare index_daily</x:v>
      </x:c>
      <x:c r="J721" s="12" t="str">
        <x:v>Archived FRED mirror (Hugging Face)</x:v>
      </x:c>
    </x:row>
    <x:row r="722" ht="18" customHeight="1">
      <x:c r="A722" s="13" t="n">
        <x:v>43665</x:v>
      </x:c>
      <x:c r="B722" s="12" t="n">
        <x:v>3807.9551</x:v>
      </x:c>
      <x:c r="C722" s="12" t="n">
        <x:v>3768.4019</x:v>
      </x:c>
      <x:c r="D722" s="12" t="n">
        <x:v>1.0496</x:v>
      </x:c>
      <x:c r="E722" s="12" t="n">
        <x:v>0.010441313508209052</x:v>
      </x:c>
      <x:c r="F722" s="12" t="n">
        <x:v>4.07</x:v>
      </x:c>
      <x:c r="G722" s="12" t="n">
        <x:v>407</x:v>
      </x:c>
      <x:c r="H722" s="12" t="n">
        <x:v>-4.000000000000057</x:v>
      </x:c>
      <x:c r="I722" s="12" t="str">
        <x:v>TuShare index_daily</x:v>
      </x:c>
      <x:c r="J722" s="12" t="str">
        <x:v>Archived FRED mirror (Hugging Face)</x:v>
      </x:c>
    </x:row>
    <x:row r="723" ht="18" customHeight="1">
      <x:c r="A723" s="13" t="n">
        <x:v>43668</x:v>
      </x:c>
      <x:c r="B723" s="12" t="n">
        <x:v>3781.6832</x:v>
      </x:c>
      <x:c r="C723" s="12" t="n">
        <x:v>3807.9551</x:v>
      </x:c>
      <x:c r="D723" s="12" t="n">
        <x:v>-0.6899</x:v>
      </x:c>
      <x:c r="E723" s="12" t="n">
        <x:v>-0.00692312436904916</x:v>
      </x:c>
      <x:c r="F723" s="12" t="n">
        <x:v>4.06</x:v>
      </x:c>
      <x:c r="G723" s="12" t="n">
        <x:v>405.99999999999994</x:v>
      </x:c>
      <x:c r="H723" s="12" t="n">
        <x:v>-1.0000000000000568</x:v>
      </x:c>
      <x:c r="I723" s="12" t="str">
        <x:v>TuShare index_daily</x:v>
      </x:c>
      <x:c r="J723" s="12" t="str">
        <x:v>Archived FRED mirror (Hugging Face)</x:v>
      </x:c>
    </x:row>
    <x:row r="724" ht="18" customHeight="1">
      <x:c r="A724" s="13" t="n">
        <x:v>43669</x:v>
      </x:c>
      <x:c r="B724" s="12" t="n">
        <x:v>3789.9135</x:v>
      </x:c>
      <x:c r="C724" s="12" t="n">
        <x:v>3781.6832</x:v>
      </x:c>
      <x:c r="D724" s="12" t="n">
        <x:v>0.2176</x:v>
      </x:c>
      <x:c r="E724" s="12" t="n">
        <x:v>0.0021739940907149675</x:v>
      </x:c>
      <x:c r="F724" s="12" t="n">
        <x:v>3.99</x:v>
      </x:c>
      <x:c r="G724" s="12" t="n">
        <x:v>399</x:v>
      </x:c>
      <x:c r="H724" s="12" t="n">
        <x:v>-6.999999999999943</x:v>
      </x:c>
      <x:c r="I724" s="12" t="str">
        <x:v>TuShare index_daily</x:v>
      </x:c>
      <x:c r="J724" s="12" t="str">
        <x:v>Archived FRED mirror (Hugging Face)</x:v>
      </x:c>
    </x:row>
    <x:row r="725" ht="18" customHeight="1">
      <x:c r="A725" s="13" t="n">
        <x:v>43670</x:v>
      </x:c>
      <x:c r="B725" s="12" t="n">
        <x:v>3819.8325</x:v>
      </x:c>
      <x:c r="C725" s="12" t="n">
        <x:v>3789.9135</x:v>
      </x:c>
      <x:c r="D725" s="12" t="n">
        <x:v>0.7894</x:v>
      </x:c>
      <x:c r="E725" s="12" t="n">
        <x:v>0.007863377874701536</x:v>
      </x:c>
      <x:c r="F725" s="12" t="n">
        <x:v>3.98</x:v>
      </x:c>
      <x:c r="G725" s="12" t="n">
        <x:v>398</x:v>
      </x:c>
      <x:c r="H725" s="12" t="n">
        <x:v>-1</x:v>
      </x:c>
      <x:c r="I725" s="12" t="str">
        <x:v>TuShare index_daily</x:v>
      </x:c>
      <x:c r="J725" s="12" t="str">
        <x:v>Archived FRED mirror (Hugging Face)</x:v>
      </x:c>
    </x:row>
    <x:row r="726" ht="18" customHeight="1">
      <x:c r="A726" s="13" t="n">
        <x:v>43671</x:v>
      </x:c>
      <x:c r="B726" s="12" t="n">
        <x:v>3851.0665</x:v>
      </x:c>
      <x:c r="C726" s="12" t="n">
        <x:v>3819.8325</x:v>
      </x:c>
      <x:c r="D726" s="12" t="n">
        <x:v>0.8177</x:v>
      </x:c>
      <x:c r="E726" s="12" t="n">
        <x:v>0.008143549436106876</x:v>
      </x:c>
      <x:c r="F726" s="12" t="n">
        <x:v>3.93</x:v>
      </x:c>
      <x:c r="G726" s="12" t="n">
        <x:v>393</x:v>
      </x:c>
      <x:c r="H726" s="12" t="n">
        <x:v>-5</x:v>
      </x:c>
      <x:c r="I726" s="12" t="str">
        <x:v>TuShare index_daily</x:v>
      </x:c>
      <x:c r="J726" s="12" t="str">
        <x:v>Archived FRED mirror (Hugging Face)</x:v>
      </x:c>
    </x:row>
    <x:row r="727" ht="18" customHeight="1">
      <x:c r="A727" s="13" t="n">
        <x:v>43672</x:v>
      </x:c>
      <x:c r="B727" s="12" t="n">
        <x:v>3858.5688</x:v>
      </x:c>
      <x:c r="C727" s="12" t="n">
        <x:v>3851.0665</x:v>
      </x:c>
      <x:c r="D727" s="12" t="n">
        <x:v>0.1948</x:v>
      </x:c>
      <x:c r="E727" s="12" t="n">
        <x:v>0.001946214594111988</x:v>
      </x:c>
      <x:c r="F727" s="12" t="n">
        <x:v>3.89</x:v>
      </x:c>
      <x:c r="G727" s="12" t="n">
        <x:v>389</x:v>
      </x:c>
      <x:c r="H727" s="12" t="n">
        <x:v>-4</x:v>
      </x:c>
      <x:c r="I727" s="12" t="str">
        <x:v>TuShare index_daily</x:v>
      </x:c>
      <x:c r="J727" s="12" t="str">
        <x:v>Archived FRED mirror (Hugging Face)</x:v>
      </x:c>
    </x:row>
    <x:row r="728" ht="18" customHeight="1">
      <x:c r="A728" s="13" t="n">
        <x:v>43675</x:v>
      </x:c>
      <x:c r="B728" s="12" t="n">
        <x:v>3854.2704</x:v>
      </x:c>
      <x:c r="C728" s="12" t="n">
        <x:v>3858.5688</x:v>
      </x:c>
      <x:c r="D728" s="12" t="n">
        <x:v>-0.1114</x:v>
      </x:c>
      <x:c r="E728" s="12" t="n">
        <x:v>-0.0011146091169672305</x:v>
      </x:c>
      <x:c r="F728" s="12" t="n">
        <x:v>3.93</x:v>
      </x:c>
      <x:c r="G728" s="12" t="n">
        <x:v>393</x:v>
      </x:c>
      <x:c r="H728" s="12" t="n">
        <x:v>4</x:v>
      </x:c>
      <x:c r="I728" s="12" t="str">
        <x:v>TuShare index_daily</x:v>
      </x:c>
      <x:c r="J728" s="12" t="str">
        <x:v>Archived FRED mirror (Hugging Face)</x:v>
      </x:c>
    </x:row>
    <x:row r="729" ht="18" customHeight="1">
      <x:c r="A729" s="13" t="n">
        <x:v>43676</x:v>
      </x:c>
      <x:c r="B729" s="12" t="n">
        <x:v>3870.3176</x:v>
      </x:c>
      <x:c r="C729" s="12" t="n">
        <x:v>3854.2704</x:v>
      </x:c>
      <x:c r="D729" s="12" t="n">
        <x:v>0.4163</x:v>
      </x:c>
      <x:c r="E729" s="12" t="n">
        <x:v>0.004154842454988661</x:v>
      </x:c>
      <x:c r="F729" s="12" t="n">
        <x:v>3.97</x:v>
      </x:c>
      <x:c r="G729" s="12" t="n">
        <x:v>397</x:v>
      </x:c>
      <x:c r="H729" s="12" t="n">
        <x:v>4</x:v>
      </x:c>
      <x:c r="I729" s="12" t="str">
        <x:v>TuShare index_daily</x:v>
      </x:c>
      <x:c r="J729" s="12" t="str">
        <x:v>Archived FRED mirror (Hugging Face)</x:v>
      </x:c>
    </x:row>
    <x:row r="730" ht="18" customHeight="1">
      <x:c r="A730" s="13" t="n">
        <x:v>43677</x:v>
      </x:c>
      <x:c r="B730" s="12" t="n">
        <x:v>3835.3589</x:v>
      </x:c>
      <x:c r="C730" s="12" t="n">
        <x:v>3870.3176</x:v>
      </x:c>
      <x:c r="D730" s="12" t="n">
        <x:v>-0.9033</x:v>
      </x:c>
      <x:c r="E730" s="12" t="n">
        <x:v>-0.00907355501979326</x:v>
      </x:c>
      <x:c r="F730" s="12" t="n">
        <x:v>3.93</x:v>
      </x:c>
      <x:c r="G730" s="12" t="n">
        <x:v>393</x:v>
      </x:c>
      <x:c r="H730" s="12" t="n">
        <x:v>-4</x:v>
      </x:c>
      <x:c r="I730" s="12" t="str">
        <x:v>TuShare index_daily</x:v>
      </x:c>
      <x:c r="J730" s="12" t="str">
        <x:v>Archived FRED mirror (Hugging Face)</x:v>
      </x:c>
    </x:row>
    <x:row r="731" ht="18" customHeight="1">
      <x:c r="A731" s="13" t="n">
        <x:v>43678</x:v>
      </x:c>
      <x:c r="B731" s="12" t="n">
        <x:v>3803.4694</x:v>
      </x:c>
      <x:c r="C731" s="12" t="n">
        <x:v>3835.3589</x:v>
      </x:c>
      <x:c r="D731" s="12" t="n">
        <x:v>-0.8315</x:v>
      </x:c>
      <x:c r="E731" s="12" t="n">
        <x:v>-0.008349365636683289</x:v>
      </x:c>
      <x:c r="F731" s="12" t="n">
        <x:v>4.1</x:v>
      </x:c>
      <x:c r="G731" s="12" t="n">
        <x:v>409.99999999999994</x:v>
      </x:c>
      <x:c r="H731" s="12" t="n">
        <x:v>16.999999999999943</x:v>
      </x:c>
      <x:c r="I731" s="12" t="str">
        <x:v>TuShare index_daily</x:v>
      </x:c>
      <x:c r="J731" s="12" t="str">
        <x:v>Archived FRED mirror (Hugging Face)</x:v>
      </x:c>
    </x:row>
    <x:row r="732" ht="18" customHeight="1">
      <x:c r="A732" s="13" t="n">
        <x:v>43679</x:v>
      </x:c>
      <x:c r="B732" s="12" t="n">
        <x:v>3747.4379</x:v>
      </x:c>
      <x:c r="C732" s="12" t="n">
        <x:v>3803.4694</x:v>
      </x:c>
      <x:c r="D732" s="12" t="n">
        <x:v>-1.4732</x:v>
      </x:c>
      <x:c r="E732" s="12" t="n">
        <x:v>-0.01484127039139987</x:v>
      </x:c>
      <x:c r="F732" s="12" t="n">
        <x:v>4.19</x:v>
      </x:c>
      <x:c r="G732" s="12" t="n">
        <x:v>419.00000000000006</x:v>
      </x:c>
      <x:c r="H732" s="12" t="n">
        <x:v>9.000000000000114</x:v>
      </x:c>
      <x:c r="I732" s="12" t="str">
        <x:v>TuShare index_daily</x:v>
      </x:c>
      <x:c r="J732" s="12" t="str">
        <x:v>Archived FRED mirror (Hugging Face)</x:v>
      </x:c>
    </x:row>
    <x:row r="733" ht="18" customHeight="1">
      <x:c r="A733" s="13" t="n">
        <x:v>43682</x:v>
      </x:c>
      <x:c r="B733" s="12" t="n">
        <x:v>3675.6884</x:v>
      </x:c>
      <x:c r="C733" s="12" t="n">
        <x:v>3747.4379</x:v>
      </x:c>
      <x:c r="D733" s="12" t="n">
        <x:v>-1.9146</x:v>
      </x:c>
      <x:c r="E733" s="12" t="n">
        <x:v>-0.019331944959407953</x:v>
      </x:c>
      <x:c r="F733" s="12" t="n">
        <x:v>4.53</x:v>
      </x:c>
      <x:c r="G733" s="12" t="n">
        <x:v>453</x:v>
      </x:c>
      <x:c r="H733" s="12" t="n">
        <x:v>33.99999999999994</x:v>
      </x:c>
      <x:c r="I733" s="12" t="str">
        <x:v>TuShare index_daily</x:v>
      </x:c>
      <x:c r="J733" s="12" t="str">
        <x:v>Archived FRED mirror (Hugging Face)</x:v>
      </x:c>
    </x:row>
    <x:row r="734" ht="18" customHeight="1">
      <x:c r="A734" s="13" t="n">
        <x:v>43683</x:v>
      </x:c>
      <x:c r="B734" s="12" t="n">
        <x:v>3636.3289</x:v>
      </x:c>
      <x:c r="C734" s="12" t="n">
        <x:v>3675.6884</x:v>
      </x:c>
      <x:c r="D734" s="12" t="n">
        <x:v>-1.0708</x:v>
      </x:c>
      <x:c r="E734" s="12" t="n">
        <x:v>-0.010765806080601245</x:v>
      </x:c>
      <x:c r="F734" s="12" t="n">
        <x:v>4.46</x:v>
      </x:c>
      <x:c r="G734" s="12" t="n">
        <x:v>446</x:v>
      </x:c>
      <x:c r="H734" s="12" t="n">
        <x:v>-7</x:v>
      </x:c>
      <x:c r="I734" s="12" t="str">
        <x:v>TuShare index_daily</x:v>
      </x:c>
      <x:c r="J734" s="12" t="str">
        <x:v>Archived FRED mirror (Hugging Face)</x:v>
      </x:c>
    </x:row>
    <x:row r="735" ht="18" customHeight="1">
      <x:c r="A735" s="13" t="n">
        <x:v>43684</x:v>
      </x:c>
      <x:c r="B735" s="12" t="n">
        <x:v>3621.431</x:v>
      </x:c>
      <x:c r="C735" s="12" t="n">
        <x:v>3636.3289</x:v>
      </x:c>
      <x:c r="D735" s="12" t="n">
        <x:v>-0.4097</x:v>
      </x:c>
      <x:c r="E735" s="12" t="n">
        <x:v>-0.004105377176846434</x:v>
      </x:c>
      <x:c r="F735" s="12" t="n">
        <x:v>4.52</x:v>
      </x:c>
      <x:c r="G735" s="12" t="n">
        <x:v>451.99999999999994</x:v>
      </x:c>
      <x:c r="H735" s="12" t="n">
        <x:v>5.999999999999943</x:v>
      </x:c>
      <x:c r="I735" s="12" t="str">
        <x:v>TuShare index_daily</x:v>
      </x:c>
      <x:c r="J735" s="12" t="str">
        <x:v>Archived FRED mirror (Hugging Face)</x:v>
      </x:c>
    </x:row>
    <x:row r="736" ht="18" customHeight="1">
      <x:c r="A736" s="13" t="n">
        <x:v>43685</x:v>
      </x:c>
      <x:c r="B736" s="12" t="n">
        <x:v>3669.2936</x:v>
      </x:c>
      <x:c r="C736" s="12" t="n">
        <x:v>3621.431</x:v>
      </x:c>
      <x:c r="D736" s="12" t="n">
        <x:v>1.3216</x:v>
      </x:c>
      <x:c r="E736" s="12" t="n">
        <x:v>0.013129912382783668</x:v>
      </x:c>
      <x:c r="F736" s="12" t="n">
        <x:v>4.31</x:v>
      </x:c>
      <x:c r="G736" s="12" t="n">
        <x:v>430.99999999999994</x:v>
      </x:c>
      <x:c r="H736" s="12" t="n">
        <x:v>-21</x:v>
      </x:c>
      <x:c r="I736" s="12" t="str">
        <x:v>TuShare index_daily</x:v>
      </x:c>
      <x:c r="J736" s="12" t="str">
        <x:v>Archived FRED mirror (Hugging Face)</x:v>
      </x:c>
    </x:row>
    <x:row r="737" ht="18" customHeight="1">
      <x:c r="A737" s="13" t="n">
        <x:v>43686</x:v>
      </x:c>
      <x:c r="B737" s="12" t="n">
        <x:v>3633.5296</x:v>
      </x:c>
      <x:c r="C737" s="12" t="n">
        <x:v>3669.2936</x:v>
      </x:c>
      <x:c r="D737" s="12" t="n">
        <x:v>-0.9747</x:v>
      </x:c>
      <x:c r="E737" s="12" t="n">
        <x:v>-0.009794646519203832</x:v>
      </x:c>
      <x:c r="F737" s="12" t="n">
        <x:v>4.31</x:v>
      </x:c>
      <x:c r="G737" s="12" t="n">
        <x:v>430.99999999999994</x:v>
      </x:c>
      <x:c r="H737" s="12" t="n">
        <x:v>0</x:v>
      </x:c>
      <x:c r="I737" s="12" t="str">
        <x:v>TuShare index_daily</x:v>
      </x:c>
      <x:c r="J737" s="12" t="str">
        <x:v>Archived FRED mirror (Hugging Face)</x:v>
      </x:c>
    </x:row>
    <x:row r="738" ht="18" customHeight="1">
      <x:c r="A738" s="13" t="n">
        <x:v>43689</x:v>
      </x:c>
      <x:c r="B738" s="12" t="n">
        <x:v>3699.1047</x:v>
      </x:c>
      <x:c r="C738" s="12" t="n">
        <x:v>3633.5296</x:v>
      </x:c>
      <x:c r="D738" s="12" t="n">
        <x:v>1.8047</x:v>
      </x:c>
      <x:c r="E738" s="12" t="n">
        <x:v>0.017886299940348738</x:v>
      </x:c>
      <x:c r="F738" s="12" t="n">
        <x:v>4.4</x:v>
      </x:c>
      <x:c r="G738" s="12" t="n">
        <x:v>440.00000000000006</x:v>
      </x:c>
      <x:c r="H738" s="12" t="n">
        <x:v>9.000000000000114</x:v>
      </x:c>
      <x:c r="I738" s="12" t="str">
        <x:v>TuShare index_daily</x:v>
      </x:c>
      <x:c r="J738" s="12" t="str">
        <x:v>Archived FRED mirror (Hugging Face)</x:v>
      </x:c>
    </x:row>
    <x:row r="739" ht="18" customHeight="1">
      <x:c r="A739" s="13" t="n">
        <x:v>43690</x:v>
      </x:c>
      <x:c r="B739" s="12" t="n">
        <x:v>3665.7515</x:v>
      </x:c>
      <x:c r="C739" s="12" t="n">
        <x:v>3699.1047</x:v>
      </x:c>
      <x:c r="D739" s="12" t="n">
        <x:v>-0.9017</x:v>
      </x:c>
      <x:c r="E739" s="12" t="n">
        <x:v>-0.00905745532884727</x:v>
      </x:c>
      <x:c r="F739" s="12" t="n">
        <x:v>4.25</x:v>
      </x:c>
      <x:c r="G739" s="12" t="n">
        <x:v>425</x:v>
      </x:c>
      <x:c r="H739" s="12" t="n">
        <x:v>-15.000000000000057</x:v>
      </x:c>
      <x:c r="I739" s="12" t="str">
        <x:v>TuShare index_daily</x:v>
      </x:c>
      <x:c r="J739" s="12" t="str">
        <x:v>Archived FRED mirror (Hugging Face)</x:v>
      </x:c>
    </x:row>
    <x:row r="740" ht="18" customHeight="1">
      <x:c r="A740" s="13" t="n">
        <x:v>43691</x:v>
      </x:c>
      <x:c r="B740" s="12" t="n">
        <x:v>3682.4015</x:v>
      </x:c>
      <x:c r="C740" s="12" t="n">
        <x:v>3665.7515</x:v>
      </x:c>
      <x:c r="D740" s="12" t="n">
        <x:v>0.4542</x:v>
      </x:c>
      <x:c r="E740" s="12" t="n">
        <x:v>0.004531758795673605</x:v>
      </x:c>
      <x:c r="F740" s="12" t="n">
        <x:v>4.49</x:v>
      </x:c>
      <x:c r="G740" s="12" t="n">
        <x:v>449</x:v>
      </x:c>
      <x:c r="H740" s="12" t="n">
        <x:v>24</x:v>
      </x:c>
      <x:c r="I740" s="12" t="str">
        <x:v>TuShare index_daily</x:v>
      </x:c>
      <x:c r="J740" s="12" t="str">
        <x:v>Archived FRED mirror (Hugging Face)</x:v>
      </x:c>
    </x:row>
    <x:row r="741" ht="18" customHeight="1">
      <x:c r="A741" s="13" t="n">
        <x:v>43692</x:v>
      </x:c>
      <x:c r="B741" s="12" t="n">
        <x:v>3694.0006</x:v>
      </x:c>
      <x:c r="C741" s="12" t="n">
        <x:v>3682.4015</x:v>
      </x:c>
      <x:c r="D741" s="12" t="n">
        <x:v>0.315</x:v>
      </x:c>
      <x:c r="E741" s="12" t="n">
        <x:v>0.0031449233387412104</x:v>
      </x:c>
      <x:c r="F741" s="12" t="n">
        <x:v>4.52</x:v>
      </x:c>
      <x:c r="G741" s="12" t="n">
        <x:v>451.99999999999994</x:v>
      </x:c>
      <x:c r="H741" s="12" t="n">
        <x:v>2.999999999999943</x:v>
      </x:c>
      <x:c r="I741" s="12" t="str">
        <x:v>TuShare index_daily</x:v>
      </x:c>
      <x:c r="J741" s="12" t="str">
        <x:v>Archived FRED mirror (Hugging Face)</x:v>
      </x:c>
    </x:row>
    <x:row r="742" ht="18" customHeight="1">
      <x:c r="A742" s="13" t="n">
        <x:v>43693</x:v>
      </x:c>
      <x:c r="B742" s="12" t="n">
        <x:v>3710.5386</x:v>
      </x:c>
      <x:c r="C742" s="12" t="n">
        <x:v>3694.0006</x:v>
      </x:c>
      <x:c r="D742" s="12" t="n">
        <x:v>0.4477</x:v>
      </x:c>
      <x:c r="E742" s="12" t="n">
        <x:v>0.004466997082010161</x:v>
      </x:c>
      <x:c r="F742" s="12" t="n">
        <x:v>4.47</x:v>
      </x:c>
      <x:c r="G742" s="12" t="n">
        <x:v>447</x:v>
      </x:c>
      <x:c r="H742" s="12" t="n">
        <x:v>-4.999999999999943</x:v>
      </x:c>
      <x:c r="I742" s="12" t="str">
        <x:v>TuShare index_daily</x:v>
      </x:c>
      <x:c r="J742" s="12" t="str">
        <x:v>Archived FRED mirror (Hugging Face)</x:v>
      </x:c>
    </x:row>
    <x:row r="743" ht="18" customHeight="1">
      <x:c r="A743" s="13" t="n">
        <x:v>43696</x:v>
      </x:c>
      <x:c r="B743" s="12" t="n">
        <x:v>3791.0946</x:v>
      </x:c>
      <x:c r="C743" s="12" t="n">
        <x:v>3710.5386</x:v>
      </x:c>
      <x:c r="D743" s="12" t="n">
        <x:v>2.171</x:v>
      </x:c>
      <x:c r="E743" s="12" t="n">
        <x:v>0.021477748776293232</x:v>
      </x:c>
      <x:c r="F743" s="12" t="n">
        <x:v>4.36</x:v>
      </x:c>
      <x:c r="G743" s="12" t="n">
        <x:v>436.00000000000006</x:v>
      </x:c>
      <x:c r="H743" s="12" t="n">
        <x:v>-10.999999999999943</x:v>
      </x:c>
      <x:c r="I743" s="12" t="str">
        <x:v>TuShare index_daily</x:v>
      </x:c>
      <x:c r="J743" s="12" t="str">
        <x:v>Archived FRED mirror (Hugging Face)</x:v>
      </x:c>
    </x:row>
    <x:row r="744" ht="18" customHeight="1">
      <x:c r="A744" s="13" t="n">
        <x:v>43697</x:v>
      </x:c>
      <x:c r="B744" s="12" t="n">
        <x:v>3787.7324</x:v>
      </x:c>
      <x:c r="C744" s="12" t="n">
        <x:v>3791.0946</x:v>
      </x:c>
      <x:c r="D744" s="12" t="n">
        <x:v>-0.0887</x:v>
      </x:c>
      <x:c r="E744" s="12" t="n">
        <x:v>-0.0008872613718639216</x:v>
      </x:c>
      <x:c r="F744" s="12" t="n">
        <x:v>4.35</x:v>
      </x:c>
      <x:c r="G744" s="12" t="n">
        <x:v>434.99999999999994</x:v>
      </x:c>
      <x:c r="H744" s="12" t="n">
        <x:v>-1.0000000000001137</x:v>
      </x:c>
      <x:c r="I744" s="12" t="str">
        <x:v>TuShare index_daily</x:v>
      </x:c>
      <x:c r="J744" s="12" t="str">
        <x:v>Archived FRED mirror (Hugging Face)</x:v>
      </x:c>
    </x:row>
    <x:row r="745" ht="18" customHeight="1">
      <x:c r="A745" s="13" t="n">
        <x:v>43698</x:v>
      </x:c>
      <x:c r="B745" s="12" t="n">
        <x:v>3781.7579</x:v>
      </x:c>
      <x:c r="C745" s="12" t="n">
        <x:v>3787.7324</x:v>
      </x:c>
      <x:c r="D745" s="12" t="n">
        <x:v>-0.1577</x:v>
      </x:c>
      <x:c r="E745" s="12" t="n">
        <x:v>-0.0015785742510702235</x:v>
      </x:c>
      <x:c r="F745" s="12" t="n">
        <x:v>4.21</x:v>
      </x:c>
      <x:c r="G745" s="12" t="n">
        <x:v>421</x:v>
      </x:c>
      <x:c r="H745" s="12" t="n">
        <x:v>-13.999999999999943</x:v>
      </x:c>
      <x:c r="I745" s="12" t="str">
        <x:v>TuShare index_daily</x:v>
      </x:c>
      <x:c r="J745" s="12" t="str">
        <x:v>Archived FRED mirror (Hugging Face)</x:v>
      </x:c>
    </x:row>
    <x:row r="746" ht="18" customHeight="1">
      <x:c r="A746" s="13" t="n">
        <x:v>43699</x:v>
      </x:c>
      <x:c r="B746" s="12" t="n">
        <x:v>3793.5061</x:v>
      </x:c>
      <x:c r="C746" s="12" t="n">
        <x:v>3781.7579</x:v>
      </x:c>
      <x:c r="D746" s="12" t="n">
        <x:v>0.3107</x:v>
      </x:c>
      <x:c r="E746" s="12" t="n">
        <x:v>0.003101729370447891</x:v>
      </x:c>
      <x:c r="F746" s="12" t="n">
        <x:v>4.16</x:v>
      </x:c>
      <x:c r="G746" s="12" t="n">
        <x:v>416</x:v>
      </x:c>
      <x:c r="H746" s="12" t="n">
        <x:v>-5</x:v>
      </x:c>
      <x:c r="I746" s="12" t="str">
        <x:v>TuShare index_daily</x:v>
      </x:c>
      <x:c r="J746" s="12" t="str">
        <x:v>Archived FRED mirror (Hugging Face)</x:v>
      </x:c>
    </x:row>
    <x:row r="747" ht="18" customHeight="1">
      <x:c r="A747" s="13" t="n">
        <x:v>43700</x:v>
      </x:c>
      <x:c r="B747" s="12" t="n">
        <x:v>3820.8638</x:v>
      </x:c>
      <x:c r="C747" s="12" t="n">
        <x:v>3793.5061</x:v>
      </x:c>
      <x:c r="D747" s="12" t="n">
        <x:v>0.7212</x:v>
      </x:c>
      <x:c r="E747" s="12" t="n">
        <x:v>0.007185838901974463</x:v>
      </x:c>
      <x:c r="F747" s="12" t="n">
        <x:v>4.25</x:v>
      </x:c>
      <x:c r="G747" s="12" t="n">
        <x:v>425</x:v>
      </x:c>
      <x:c r="H747" s="12" t="n">
        <x:v>9</x:v>
      </x:c>
      <x:c r="I747" s="12" t="str">
        <x:v>TuShare index_daily</x:v>
      </x:c>
      <x:c r="J747" s="12" t="str">
        <x:v>Archived FRED mirror (Hugging Face)</x:v>
      </x:c>
    </x:row>
    <x:row r="748" ht="18" customHeight="1">
      <x:c r="A748" s="13" t="n">
        <x:v>43703</x:v>
      </x:c>
      <x:c r="B748" s="12" t="n">
        <x:v>3765.9105</x:v>
      </x:c>
      <x:c r="C748" s="12" t="n">
        <x:v>3820.8638</x:v>
      </x:c>
      <x:c r="D748" s="12" t="n">
        <x:v>-1.4382</x:v>
      </x:c>
      <x:c r="E748" s="12" t="n">
        <x:v>-0.014486858026008614</x:v>
      </x:c>
      <x:c r="F748" s="12" t="n">
        <x:v>4.22</x:v>
      </x:c>
      <x:c r="G748" s="12" t="n">
        <x:v>422</x:v>
      </x:c>
      <x:c r="H748" s="12" t="n">
        <x:v>-3</x:v>
      </x:c>
      <x:c r="I748" s="12" t="str">
        <x:v>TuShare index_daily</x:v>
      </x:c>
      <x:c r="J748" s="12" t="str">
        <x:v>Archived FRED mirror (Hugging Face)</x:v>
      </x:c>
    </x:row>
    <x:row r="749" ht="18" customHeight="1">
      <x:c r="A749" s="13" t="n">
        <x:v>43704</x:v>
      </x:c>
      <x:c r="B749" s="12" t="n">
        <x:v>3816.9459</x:v>
      </x:c>
      <x:c r="C749" s="12" t="n">
        <x:v>3765.9105</x:v>
      </x:c>
      <x:c r="D749" s="12" t="n">
        <x:v>1.3552</x:v>
      </x:c>
      <x:c r="E749" s="12" t="n">
        <x:v>0.013460935543640957</x:v>
      </x:c>
      <x:c r="F749" s="12" t="n">
        <x:v>4.19</x:v>
      </x:c>
      <x:c r="G749" s="12" t="n">
        <x:v>419.00000000000006</x:v>
      </x:c>
      <x:c r="H749" s="12" t="n">
        <x:v>-2.999999999999943</x:v>
      </x:c>
      <x:c r="I749" s="12" t="str">
        <x:v>TuShare index_daily</x:v>
      </x:c>
      <x:c r="J749" s="12" t="str">
        <x:v>Archived FRED mirror (Hugging Face)</x:v>
      </x:c>
    </x:row>
    <x:row r="750" ht="18" customHeight="1">
      <x:c r="A750" s="13" t="n">
        <x:v>43705</x:v>
      </x:c>
      <x:c r="B750" s="12" t="n">
        <x:v>3802.5844</x:v>
      </x:c>
      <x:c r="C750" s="12" t="n">
        <x:v>3816.9459</x:v>
      </x:c>
      <x:c r="D750" s="12" t="n">
        <x:v>-0.3763</x:v>
      </x:c>
      <x:c r="E750" s="12" t="n">
        <x:v>-0.003769659399294659</x:v>
      </x:c>
      <x:c r="F750" s="12" t="n">
        <x:v>4.17</x:v>
      </x:c>
      <x:c r="G750" s="12" t="n">
        <x:v>417</x:v>
      </x:c>
      <x:c r="H750" s="12" t="n">
        <x:v>-2.000000000000057</x:v>
      </x:c>
      <x:c r="I750" s="12" t="str">
        <x:v>TuShare index_daily</x:v>
      </x:c>
      <x:c r="J750" s="12" t="str">
        <x:v>Archived FRED mirror (Hugging Face)</x:v>
      </x:c>
    </x:row>
    <x:row r="751" ht="18" customHeight="1">
      <x:c r="A751" s="13" t="n">
        <x:v>43706</x:v>
      </x:c>
      <x:c r="B751" s="12" t="n">
        <x:v>3790.1867</x:v>
      </x:c>
      <x:c r="C751" s="12" t="n">
        <x:v>3802.5844</x:v>
      </x:c>
      <x:c r="D751" s="12" t="n">
        <x:v>-0.326</x:v>
      </x:c>
      <x:c r="E751" s="12" t="n">
        <x:v>-0.0032656617339578433</x:v>
      </x:c>
      <x:c r="F751" s="12" t="n">
        <x:v>4.08</x:v>
      </x:c>
      <x:c r="G751" s="12" t="n">
        <x:v>408</x:v>
      </x:c>
      <x:c r="H751" s="12" t="n">
        <x:v>-9</x:v>
      </x:c>
      <x:c r="I751" s="12" t="str">
        <x:v>TuShare index_daily</x:v>
      </x:c>
      <x:c r="J751" s="12" t="str">
        <x:v>Archived FRED mirror (Hugging Face)</x:v>
      </x:c>
    </x:row>
    <x:row r="752" ht="18" customHeight="1">
      <x:c r="A752" s="13" t="n">
        <x:v>43707</x:v>
      </x:c>
      <x:c r="B752" s="12" t="n">
        <x:v>3799.5863</x:v>
      </x:c>
      <x:c r="C752" s="12" t="n">
        <x:v>3790.1867</x:v>
      </x:c>
      <x:c r="D752" s="12" t="n">
        <x:v>0.248</x:v>
      </x:c>
      <x:c r="E752" s="12" t="n">
        <x:v>0.0024769132899290875</x:v>
      </x:c>
      <x:c r="F752" s="12" t="n">
        <x:v>4.09</x:v>
      </x:c>
      <x:c r="G752" s="12" t="n">
        <x:v>409</x:v>
      </x:c>
      <x:c r="H752" s="12" t="n">
        <x:v>1</x:v>
      </x:c>
      <x:c r="I752" s="12" t="str">
        <x:v>TuShare index_daily</x:v>
      </x:c>
      <x:c r="J752" s="12" t="str">
        <x:v>Archived FRED mirror (Hugging Face)</x:v>
      </x:c>
    </x:row>
    <x:row r="753" ht="18" customHeight="1">
      <x:c r="A753" s="13" t="n">
        <x:v>43710</x:v>
      </x:c>
      <x:c r="B753" s="12" t="n">
        <x:v>3848.3198</x:v>
      </x:c>
      <x:c r="C753" s="12" t="n">
        <x:v>3799.5863</x:v>
      </x:c>
      <x:c r="D753" s="12" t="n">
        <x:v>1.2826</x:v>
      </x:c>
      <x:c r="E753" s="12" t="n">
        <x:v>0.012744445073590072</x:v>
      </x:c>
      <x:c r="F753" s="12" t="n">
        <x:v>4.13</x:v>
      </x:c>
      <x:c r="G753" s="12" t="n">
        <x:v>413</x:v>
      </x:c>
      <x:c r="H753" s="12" t="n">
        <x:v>0</x:v>
      </x:c>
      <x:c r="I753" s="12" t="str">
        <x:v>TuShare index_daily</x:v>
      </x:c>
      <x:c r="J753" s="12" t="str">
        <x:v>Archived FRED mirror (Hugging Face)</x:v>
      </x:c>
    </x:row>
    <x:row r="754" ht="18" customHeight="1">
      <x:c r="A754" s="13" t="n">
        <x:v>43711</x:v>
      </x:c>
      <x:c r="B754" s="12" t="n">
        <x:v>3853.6106</x:v>
      </x:c>
      <x:c r="C754" s="12" t="n">
        <x:v>3848.3198</x:v>
      </x:c>
      <x:c r="D754" s="12" t="n">
        <x:v>0.1375</x:v>
      </x:c>
      <x:c r="E754" s="12" t="n">
        <x:v>0.0013738895465038698</x:v>
      </x:c>
      <x:c r="F754" s="12" t="n">
        <x:v>4.23</x:v>
      </x:c>
      <x:c r="G754" s="12" t="n">
        <x:v>423.00000000000006</x:v>
      </x:c>
      <x:c r="H754" s="12" t="n">
        <x:v>10.000000000000057</x:v>
      </x:c>
      <x:c r="I754" s="12" t="str">
        <x:v>TuShare index_daily</x:v>
      </x:c>
      <x:c r="J754" s="12" t="str">
        <x:v>Archived FRED mirror (Hugging Face)</x:v>
      </x:c>
    </x:row>
    <x:row r="755" ht="18" customHeight="1">
      <x:c r="A755" s="13" t="n">
        <x:v>43712</x:v>
      </x:c>
      <x:c r="B755" s="12" t="n">
        <x:v>3886.0012</x:v>
      </x:c>
      <x:c r="C755" s="12" t="n">
        <x:v>3853.6106</x:v>
      </x:c>
      <x:c r="D755" s="12" t="n">
        <x:v>0.8405</x:v>
      </x:c>
      <x:c r="E755" s="12" t="n">
        <x:v>0.00837013275123946</x:v>
      </x:c>
      <x:c r="F755" s="12" t="n">
        <x:v>4.23</x:v>
      </x:c>
      <x:c r="G755" s="12" t="n">
        <x:v>423.00000000000006</x:v>
      </x:c>
      <x:c r="H755" s="12" t="n">
        <x:v>0</x:v>
      </x:c>
      <x:c r="I755" s="12" t="str">
        <x:v>TuShare index_daily</x:v>
      </x:c>
      <x:c r="J755" s="12" t="str">
        <x:v>Archived FRED mirror (Hugging Face)</x:v>
      </x:c>
    </x:row>
    <x:row r="756" ht="18" customHeight="1">
      <x:c r="A756" s="13" t="n">
        <x:v>43713</x:v>
      </x:c>
      <x:c r="B756" s="12" t="n">
        <x:v>3925.323</x:v>
      </x:c>
      <x:c r="C756" s="12" t="n">
        <x:v>3886.0012</x:v>
      </x:c>
      <x:c r="D756" s="12" t="n">
        <x:v>1.0119</x:v>
      </x:c>
      <x:c r="E756" s="12" t="n">
        <x:v>0.01006798108609549</x:v>
      </x:c>
      <x:c r="F756" s="12" t="n">
        <x:v>4.07</x:v>
      </x:c>
      <x:c r="G756" s="12" t="n">
        <x:v>407</x:v>
      </x:c>
      <x:c r="H756" s="12" t="n">
        <x:v>-16.000000000000057</x:v>
      </x:c>
      <x:c r="I756" s="12" t="str">
        <x:v>TuShare index_daily</x:v>
      </x:c>
      <x:c r="J756" s="12" t="str">
        <x:v>Archived FRED mirror (Hugging Face)</x:v>
      </x:c>
    </x:row>
    <x:row r="757" ht="18" customHeight="1">
      <x:c r="A757" s="13" t="n">
        <x:v>43714</x:v>
      </x:c>
      <x:c r="B757" s="12" t="n">
        <x:v>3948.5075</x:v>
      </x:c>
      <x:c r="C757" s="12" t="n">
        <x:v>3925.323</x:v>
      </x:c>
      <x:c r="D757" s="12" t="n">
        <x:v>0.5906</x:v>
      </x:c>
      <x:c r="E757" s="12" t="n">
        <x:v>0.005889018567064386</x:v>
      </x:c>
      <x:c r="F757" s="12" t="n">
        <x:v>4.05</x:v>
      </x:c>
      <x:c r="G757" s="12" t="n">
        <x:v>405</x:v>
      </x:c>
      <x:c r="H757" s="12" t="n">
        <x:v>-2</x:v>
      </x:c>
      <x:c r="I757" s="12" t="str">
        <x:v>TuShare index_daily</x:v>
      </x:c>
      <x:c r="J757" s="12" t="str">
        <x:v>Archived FRED mirror (Hugging Face)</x:v>
      </x:c>
    </x:row>
    <x:row r="758" ht="18" customHeight="1">
      <x:c r="A758" s="13" t="n">
        <x:v>43717</x:v>
      </x:c>
      <x:c r="B758" s="12" t="n">
        <x:v>3972.9484</x:v>
      </x:c>
      <x:c r="C758" s="12" t="n">
        <x:v>3948.5075</x:v>
      </x:c>
      <x:c r="D758" s="12" t="n">
        <x:v>0.619</x:v>
      </x:c>
      <x:c r="E758" s="12" t="n">
        <x:v>0.006170829672186728</x:v>
      </x:c>
      <x:c r="F758" s="12" t="n">
        <x:v>3.99</x:v>
      </x:c>
      <x:c r="G758" s="12" t="n">
        <x:v>399</x:v>
      </x:c>
      <x:c r="H758" s="12" t="n">
        <x:v>-6</x:v>
      </x:c>
      <x:c r="I758" s="12" t="str">
        <x:v>TuShare index_daily</x:v>
      </x:c>
      <x:c r="J758" s="12" t="str">
        <x:v>Archived FRED mirror (Hugging Face)</x:v>
      </x:c>
    </x:row>
    <x:row r="759" ht="18" customHeight="1">
      <x:c r="A759" s="13" t="n">
        <x:v>43718</x:v>
      </x:c>
      <x:c r="B759" s="12" t="n">
        <x:v>3959.265</x:v>
      </x:c>
      <x:c r="C759" s="12" t="n">
        <x:v>3972.9484</x:v>
      </x:c>
      <x:c r="D759" s="12" t="n">
        <x:v>-0.3444</x:v>
      </x:c>
      <x:c r="E759" s="12" t="n">
        <x:v>-0.0034500871025243763</x:v>
      </x:c>
      <x:c r="F759" s="12" t="n">
        <x:v>3.9</x:v>
      </x:c>
      <x:c r="G759" s="12" t="n">
        <x:v>390</x:v>
      </x:c>
      <x:c r="H759" s="12" t="n">
        <x:v>-9</x:v>
      </x:c>
      <x:c r="I759" s="12" t="str">
        <x:v>TuShare index_daily</x:v>
      </x:c>
      <x:c r="J759" s="12" t="str">
        <x:v>Archived FRED mirror (Hugging Face)</x:v>
      </x:c>
    </x:row>
    <x:row r="760" ht="18" customHeight="1">
      <x:c r="A760" s="13" t="n">
        <x:v>43719</x:v>
      </x:c>
      <x:c r="B760" s="12" t="n">
        <x:v>3930.0999</x:v>
      </x:c>
      <x:c r="C760" s="12" t="n">
        <x:v>3959.265</x:v>
      </x:c>
      <x:c r="D760" s="12" t="n">
        <x:v>-0.7366</x:v>
      </x:c>
      <x:c r="E760" s="12" t="n">
        <x:v>-0.00739355657342721</x:v>
      </x:c>
      <x:c r="F760" s="12" t="n">
        <x:v>3.92</x:v>
      </x:c>
      <x:c r="G760" s="12" t="n">
        <x:v>392</x:v>
      </x:c>
      <x:c r="H760" s="12" t="n">
        <x:v>2</x:v>
      </x:c>
      <x:c r="I760" s="12" t="str">
        <x:v>TuShare index_daily</x:v>
      </x:c>
      <x:c r="J760" s="12" t="str">
        <x:v>Archived FRED mirror (Hugging Face)</x:v>
      </x:c>
    </x:row>
    <x:row r="761" ht="18" customHeight="1">
      <x:c r="A761" s="13" t="n">
        <x:v>43720</x:v>
      </x:c>
      <x:c r="B761" s="12" t="n">
        <x:v>3972.3799</x:v>
      </x:c>
      <x:c r="C761" s="12" t="n">
        <x:v>3930.0999</x:v>
      </x:c>
      <x:c r="D761" s="12" t="n">
        <x:v>1.0758</x:v>
      </x:c>
      <x:c r="E761" s="12" t="n">
        <x:v>0.010700540715443225</x:v>
      </x:c>
      <x:c r="F761" s="12" t="n">
        <x:v>3.85</x:v>
      </x:c>
      <x:c r="G761" s="12" t="n">
        <x:v>385</x:v>
      </x:c>
      <x:c r="H761" s="12" t="n">
        <x:v>-7</x:v>
      </x:c>
      <x:c r="I761" s="12" t="str">
        <x:v>TuShare index_daily</x:v>
      </x:c>
      <x:c r="J761" s="12" t="str">
        <x:v>Archived FRED mirror (Hugging Face)</x:v>
      </x:c>
    </x:row>
    <x:row r="762" ht="18" customHeight="1">
      <x:c r="A762" s="13" t="n">
        <x:v>43724</x:v>
      </x:c>
      <x:c r="B762" s="12" t="n">
        <x:v>3957.7154</x:v>
      </x:c>
      <x:c r="C762" s="12" t="n">
        <x:v>3972.3799</x:v>
      </x:c>
      <x:c r="D762" s="12" t="n">
        <x:v>-0.3692</x:v>
      </x:c>
      <x:c r="E762" s="12" t="n">
        <x:v>-0.0036984465283036883</x:v>
      </x:c>
      <x:c r="F762" s="12" t="n">
        <x:v>3.8</x:v>
      </x:c>
      <x:c r="G762" s="12" t="n">
        <x:v>380</x:v>
      </x:c>
      <x:c r="H762" s="12" t="n">
        <x:v>-3</x:v>
      </x:c>
      <x:c r="I762" s="12" t="str">
        <x:v>TuShare index_daily</x:v>
      </x:c>
      <x:c r="J762" s="12" t="str">
        <x:v>Archived FRED mirror (Hugging Face)</x:v>
      </x:c>
    </x:row>
    <x:row r="763" ht="18" customHeight="1">
      <x:c r="A763" s="13" t="n">
        <x:v>43725</x:v>
      </x:c>
      <x:c r="B763" s="12" t="n">
        <x:v>3891.2208</x:v>
      </x:c>
      <x:c r="C763" s="12" t="n">
        <x:v>3957.7154</x:v>
      </x:c>
      <x:c r="D763" s="12" t="n">
        <x:v>-1.6801</x:v>
      </x:c>
      <x:c r="E763" s="12" t="n">
        <x:v>-0.016944000862452385</x:v>
      </x:c>
      <x:c r="F763" s="12" t="n">
        <x:v>3.81</x:v>
      </x:c>
      <x:c r="G763" s="12" t="n">
        <x:v>381</x:v>
      </x:c>
      <x:c r="H763" s="12" t="n">
        <x:v>1</x:v>
      </x:c>
      <x:c r="I763" s="12" t="str">
        <x:v>TuShare index_daily</x:v>
      </x:c>
      <x:c r="J763" s="12" t="str">
        <x:v>Archived FRED mirror (Hugging Face)</x:v>
      </x:c>
    </x:row>
    <x:row r="764" ht="18" customHeight="1">
      <x:c r="A764" s="13" t="n">
        <x:v>43726</x:v>
      </x:c>
      <x:c r="B764" s="12" t="n">
        <x:v>3910.0837</x:v>
      </x:c>
      <x:c r="C764" s="12" t="n">
        <x:v>3891.2208</x:v>
      </x:c>
      <x:c r="D764" s="12" t="n">
        <x:v>0.4848</x:v>
      </x:c>
      <x:c r="E764" s="12" t="n">
        <x:v>0.004835841687665309</x:v>
      </x:c>
      <x:c r="F764" s="12" t="n">
        <x:v>3.82</x:v>
      </x:c>
      <x:c r="G764" s="12" t="n">
        <x:v>382</x:v>
      </x:c>
      <x:c r="H764" s="12" t="n">
        <x:v>1</x:v>
      </x:c>
      <x:c r="I764" s="12" t="str">
        <x:v>TuShare index_daily</x:v>
      </x:c>
      <x:c r="J764" s="12" t="str">
        <x:v>Archived FRED mirror (Hugging Face)</x:v>
      </x:c>
    </x:row>
    <x:row r="765" ht="18" customHeight="1">
      <x:c r="A765" s="13" t="n">
        <x:v>43727</x:v>
      </x:c>
      <x:c r="B765" s="12" t="n">
        <x:v>3924.3823</x:v>
      </x:c>
      <x:c r="C765" s="12" t="n">
        <x:v>3910.0837</x:v>
      </x:c>
      <x:c r="D765" s="12" t="n">
        <x:v>0.3657</x:v>
      </x:c>
      <x:c r="E765" s="12" t="n">
        <x:v>0.0036501826355516058</x:v>
      </x:c>
      <x:c r="F765" s="12" t="n">
        <x:v>3.77</x:v>
      </x:c>
      <x:c r="G765" s="12" t="n">
        <x:v>377</x:v>
      </x:c>
      <x:c r="H765" s="12" t="n">
        <x:v>-5</x:v>
      </x:c>
      <x:c r="I765" s="12" t="str">
        <x:v>TuShare index_daily</x:v>
      </x:c>
      <x:c r="J765" s="12" t="str">
        <x:v>Archived FRED mirror (Hugging Face)</x:v>
      </x:c>
    </x:row>
    <x:row r="766" ht="18" customHeight="1">
      <x:c r="A766" s="13" t="n">
        <x:v>43728</x:v>
      </x:c>
      <x:c r="B766" s="12" t="n">
        <x:v>3935.6511</x:v>
      </x:c>
      <x:c r="C766" s="12" t="n">
        <x:v>3924.3823</x:v>
      </x:c>
      <x:c r="D766" s="12" t="n">
        <x:v>0.2871</x:v>
      </x:c>
      <x:c r="E766" s="12" t="n">
        <x:v>0.0028673689149518178</x:v>
      </x:c>
      <x:c r="F766" s="12" t="n">
        <x:v>3.81</x:v>
      </x:c>
      <x:c r="G766" s="12" t="n">
        <x:v>381</x:v>
      </x:c>
      <x:c r="H766" s="12" t="n">
        <x:v>4</x:v>
      </x:c>
      <x:c r="I766" s="12" t="str">
        <x:v>TuShare index_daily</x:v>
      </x:c>
      <x:c r="J766" s="12" t="str">
        <x:v>Archived FRED mirror (Hugging Face)</x:v>
      </x:c>
    </x:row>
    <x:row r="767" ht="18" customHeight="1">
      <x:c r="A767" s="13" t="n">
        <x:v>43731</x:v>
      </x:c>
      <x:c r="B767" s="12" t="n">
        <x:v>3890.6616</x:v>
      </x:c>
      <x:c r="C767" s="12" t="n">
        <x:v>3935.6511</x:v>
      </x:c>
      <x:c r="D767" s="12" t="n">
        <x:v>-1.1431</x:v>
      </x:c>
      <x:c r="E767" s="12" t="n">
        <x:v>-0.011497111678571497</x:v>
      </x:c>
      <x:c r="F767" s="12" t="n">
        <x:v>3.84</x:v>
      </x:c>
      <x:c r="G767" s="12" t="n">
        <x:v>384</x:v>
      </x:c>
      <x:c r="H767" s="12" t="n">
        <x:v>3</x:v>
      </x:c>
      <x:c r="I767" s="12" t="str">
        <x:v>TuShare index_daily</x:v>
      </x:c>
      <x:c r="J767" s="12" t="str">
        <x:v>Archived FRED mirror (Hugging Face)</x:v>
      </x:c>
    </x:row>
    <x:row r="768" ht="18" customHeight="1">
      <x:c r="A768" s="13" t="n">
        <x:v>43732</x:v>
      </x:c>
      <x:c r="B768" s="12" t="n">
        <x:v>3901.0758</x:v>
      </x:c>
      <x:c r="C768" s="12" t="n">
        <x:v>3890.6616</x:v>
      </x:c>
      <x:c r="D768" s="12" t="n">
        <x:v>0.2677</x:v>
      </x:c>
      <x:c r="E768" s="12" t="n">
        <x:v>0.002673140961188054</x:v>
      </x:c>
      <x:c r="F768" s="12" t="n">
        <x:v>3.9</x:v>
      </x:c>
      <x:c r="G768" s="12" t="n">
        <x:v>390</x:v>
      </x:c>
      <x:c r="H768" s="12" t="n">
        <x:v>6</x:v>
      </x:c>
      <x:c r="I768" s="12" t="str">
        <x:v>TuShare index_daily</x:v>
      </x:c>
      <x:c r="J768" s="12" t="str">
        <x:v>Archived FRED mirror (Hugging Face)</x:v>
      </x:c>
    </x:row>
    <x:row r="769" ht="18" customHeight="1">
      <x:c r="A769" s="13" t="n">
        <x:v>43733</x:v>
      </x:c>
      <x:c r="B769" s="12" t="n">
        <x:v>3870.9837</x:v>
      </x:c>
      <x:c r="C769" s="12" t="n">
        <x:v>3901.0758</x:v>
      </x:c>
      <x:c r="D769" s="12" t="n">
        <x:v>-0.7714</x:v>
      </x:c>
      <x:c r="E769" s="12" t="n">
        <x:v>-0.007743700462489368</x:v>
      </x:c>
      <x:c r="F769" s="12" t="n">
        <x:v>3.91</x:v>
      </x:c>
      <x:c r="G769" s="12" t="n">
        <x:v>391</x:v>
      </x:c>
      <x:c r="H769" s="12" t="n">
        <x:v>1</x:v>
      </x:c>
      <x:c r="I769" s="12" t="str">
        <x:v>TuShare index_daily</x:v>
      </x:c>
      <x:c r="J769" s="12" t="str">
        <x:v>Archived FRED mirror (Hugging Face)</x:v>
      </x:c>
    </x:row>
    <x:row r="770" ht="18" customHeight="1">
      <x:c r="A770" s="13" t="n">
        <x:v>43734</x:v>
      </x:c>
      <x:c r="B770" s="12" t="n">
        <x:v>3841.1388</x:v>
      </x:c>
      <x:c r="C770" s="12" t="n">
        <x:v>3870.9837</x:v>
      </x:c>
      <x:c r="D770" s="12" t="n">
        <x:v>-0.771</x:v>
      </x:c>
      <x:c r="E770" s="12" t="n">
        <x:v>-0.00773977565473282</x:v>
      </x:c>
      <x:c r="F770" s="12" t="n">
        <x:v>3.95</x:v>
      </x:c>
      <x:c r="G770" s="12" t="n">
        <x:v>395</x:v>
      </x:c>
      <x:c r="H770" s="12" t="n">
        <x:v>4</x:v>
      </x:c>
      <x:c r="I770" s="12" t="str">
        <x:v>TuShare index_daily</x:v>
      </x:c>
      <x:c r="J770" s="12" t="str">
        <x:v>Archived FRED mirror (Hugging Face)</x:v>
      </x:c>
    </x:row>
    <x:row r="771" ht="18" customHeight="1">
      <x:c r="A771" s="13" t="n">
        <x:v>43735</x:v>
      </x:c>
      <x:c r="B771" s="12" t="n">
        <x:v>3852.6534</x:v>
      </x:c>
      <x:c r="C771" s="12" t="n">
        <x:v>3841.1388</x:v>
      </x:c>
      <x:c r="D771" s="12" t="n">
        <x:v>0.2998</x:v>
      </x:c>
      <x:c r="E771" s="12" t="n">
        <x:v>0.002993220585542078</x:v>
      </x:c>
      <x:c r="F771" s="12" t="n">
        <x:v>3.99</x:v>
      </x:c>
      <x:c r="G771" s="12" t="n">
        <x:v>399</x:v>
      </x:c>
      <x:c r="H771" s="12" t="n">
        <x:v>4</x:v>
      </x:c>
      <x:c r="I771" s="12" t="str">
        <x:v>TuShare index_daily</x:v>
      </x:c>
      <x:c r="J771" s="12" t="str">
        <x:v>Archived FRED mirror (Hugging Face)</x:v>
      </x:c>
    </x:row>
    <x:row r="772" ht="18" customHeight="1">
      <x:c r="A772" s="13" t="n">
        <x:v>43738</x:v>
      </x:c>
      <x:c r="B772" s="12" t="n">
        <x:v>3814.5282</x:v>
      </x:c>
      <x:c r="C772" s="12" t="n">
        <x:v>3852.6534</x:v>
      </x:c>
      <x:c r="D772" s="12" t="n">
        <x:v>-0.9896</x:v>
      </x:c>
      <x:c r="E772" s="12" t="n">
        <x:v>-0.009945118355292859</x:v>
      </x:c>
      <x:c r="F772" s="12" t="n">
        <x:v>4.02</x:v>
      </x:c>
      <x:c r="G772" s="12" t="n">
        <x:v>401.99999999999994</x:v>
      </x:c>
      <x:c r="H772" s="12" t="n">
        <x:v>2.999999999999943</x:v>
      </x:c>
      <x:c r="I772" s="12" t="str">
        <x:v>TuShare index_daily</x:v>
      </x:c>
      <x:c r="J772" s="12" t="str">
        <x:v>Archived FRED mirror (Hugging Face)</x:v>
      </x:c>
    </x:row>
    <x:row r="773" ht="18" customHeight="1">
      <x:c r="A773" s="13" t="n">
        <x:v>43746</x:v>
      </x:c>
      <x:c r="B773" s="12" t="n">
        <x:v>3837.6791</x:v>
      </x:c>
      <x:c r="C773" s="12" t="n">
        <x:v>3814.5282</x:v>
      </x:c>
      <x:c r="D773" s="12" t="n">
        <x:v>0.6069</x:v>
      </x:c>
      <x:c r="E773" s="12" t="n">
        <x:v>0.006050795470111036</x:v>
      </x:c>
      <x:c r="F773" s="12" t="n">
        <x:v>4.39</x:v>
      </x:c>
      <x:c r="G773" s="12" t="n">
        <x:v>438.99999999999994</x:v>
      </x:c>
      <x:c r="H773" s="12" t="n">
        <x:v>8</x:v>
      </x:c>
      <x:c r="I773" s="12" t="str">
        <x:v>TuShare index_daily</x:v>
      </x:c>
      <x:c r="J773" s="12" t="str">
        <x:v>Archived FRED mirror (Hugging Face)</x:v>
      </x:c>
    </x:row>
    <x:row r="774" ht="18" customHeight="1">
      <x:c r="A774" s="13" t="n">
        <x:v>43747</x:v>
      </x:c>
      <x:c r="B774" s="12" t="n">
        <x:v>3843.2392</x:v>
      </x:c>
      <x:c r="C774" s="12" t="n">
        <x:v>3837.6791</x:v>
      </x:c>
      <x:c r="D774" s="12" t="n">
        <x:v>0.1449</x:v>
      </x:c>
      <x:c r="E774" s="12" t="n">
        <x:v>0.001447769850951804</x:v>
      </x:c>
      <x:c r="F774" s="12" t="n">
        <x:v>4.32</x:v>
      </x:c>
      <x:c r="G774" s="12" t="n">
        <x:v>432</x:v>
      </x:c>
      <x:c r="H774" s="12" t="n">
        <x:v>-6.999999999999943</x:v>
      </x:c>
      <x:c r="I774" s="12" t="str">
        <x:v>TuShare index_daily</x:v>
      </x:c>
      <x:c r="J774" s="12" t="str">
        <x:v>Archived FRED mirror (Hugging Face)</x:v>
      </x:c>
    </x:row>
    <x:row r="775" ht="18" customHeight="1">
      <x:c r="A775" s="13" t="n">
        <x:v>43748</x:v>
      </x:c>
      <x:c r="B775" s="12" t="n">
        <x:v>3874.6391</x:v>
      </x:c>
      <x:c r="C775" s="12" t="n">
        <x:v>3843.2392</x:v>
      </x:c>
      <x:c r="D775" s="12" t="n">
        <x:v>0.817</x:v>
      </x:c>
      <x:c r="E775" s="12" t="n">
        <x:v>0.008136970299079355</x:v>
      </x:c>
      <x:c r="F775" s="12" t="n">
        <x:v>4.26</x:v>
      </x:c>
      <x:c r="G775" s="12" t="n">
        <x:v>426</x:v>
      </x:c>
      <x:c r="H775" s="12" t="n">
        <x:v>-6</x:v>
      </x:c>
      <x:c r="I775" s="12" t="str">
        <x:v>TuShare index_daily</x:v>
      </x:c>
      <x:c r="J775" s="12" t="str">
        <x:v>Archived FRED mirror (Hugging Face)</x:v>
      </x:c>
    </x:row>
    <x:row r="776" ht="18" customHeight="1">
      <x:c r="A776" s="13" t="n">
        <x:v>43749</x:v>
      </x:c>
      <x:c r="B776" s="12" t="n">
        <x:v>3911.7253</x:v>
      </x:c>
      <x:c r="C776" s="12" t="n">
        <x:v>3874.6391</x:v>
      </x:c>
      <x:c r="D776" s="12" t="n">
        <x:v>0.9572</x:v>
      </x:c>
      <x:c r="E776" s="12" t="n">
        <x:v>0.009526006886581121</x:v>
      </x:c>
      <x:c r="F776" s="12" t="n">
        <x:v>4.1</x:v>
      </x:c>
      <x:c r="G776" s="12" t="n">
        <x:v>409.99999999999994</x:v>
      </x:c>
      <x:c r="H776" s="12" t="n">
        <x:v>-16.000000000000057</x:v>
      </x:c>
      <x:c r="I776" s="12" t="str">
        <x:v>TuShare index_daily</x:v>
      </x:c>
      <x:c r="J776" s="12" t="str">
        <x:v>Archived FRED mirror (Hugging Face)</x:v>
      </x:c>
    </x:row>
    <x:row r="777" ht="18" customHeight="1">
      <x:c r="A777" s="13" t="n">
        <x:v>43752</x:v>
      </x:c>
      <x:c r="B777" s="12" t="n">
        <x:v>3953.2411</x:v>
      </x:c>
      <x:c r="C777" s="12" t="n">
        <x:v>3911.7253</x:v>
      </x:c>
      <x:c r="D777" s="12" t="n">
        <x:v>1.0613</x:v>
      </x:c>
      <x:c r="E777" s="12" t="n">
        <x:v>0.010557244235901198</x:v>
      </x:c>
      <x:c r="F777" s="12" t="n">
        <x:v>4.08</x:v>
      </x:c>
      <x:c r="G777" s="12" t="n">
        <x:v>408</x:v>
      </x:c>
      <x:c r="H777" s="12" t="n">
        <x:v>-1.9999999999999432</x:v>
      </x:c>
      <x:c r="I777" s="12" t="str">
        <x:v>TuShare index_daily</x:v>
      </x:c>
      <x:c r="J777" s="12" t="str">
        <x:v>Archived FRED mirror (Hugging Face)</x:v>
      </x:c>
    </x:row>
    <x:row r="778" ht="18" customHeight="1">
      <x:c r="A778" s="13" t="n">
        <x:v>43753</x:v>
      </x:c>
      <x:c r="B778" s="12" t="n">
        <x:v>3936.2498</x:v>
      </x:c>
      <x:c r="C778" s="12" t="n">
        <x:v>3953.2411</x:v>
      </x:c>
      <x:c r="D778" s="12" t="n">
        <x:v>-0.4298</x:v>
      </x:c>
      <x:c r="E778" s="12" t="n">
        <x:v>-0.004307331483228067</x:v>
      </x:c>
      <x:c r="F778" s="12" t="n">
        <x:v>4.01</x:v>
      </x:c>
      <x:c r="G778" s="12" t="n">
        <x:v>401</x:v>
      </x:c>
      <x:c r="H778" s="12" t="n">
        <x:v>-7</x:v>
      </x:c>
      <x:c r="I778" s="12" t="str">
        <x:v>TuShare index_daily</x:v>
      </x:c>
      <x:c r="J778" s="12" t="str">
        <x:v>Archived FRED mirror (Hugging Face)</x:v>
      </x:c>
    </x:row>
    <x:row r="779" ht="18" customHeight="1">
      <x:c r="A779" s="13" t="n">
        <x:v>43754</x:v>
      </x:c>
      <x:c r="B779" s="12" t="n">
        <x:v>3922.6854</x:v>
      </x:c>
      <x:c r="C779" s="12" t="n">
        <x:v>3936.2498</x:v>
      </x:c>
      <x:c r="D779" s="12" t="n">
        <x:v>-0.3446</x:v>
      </x:c>
      <x:c r="E779" s="12" t="n">
        <x:v>-0.0034519723408775976</x:v>
      </x:c>
      <x:c r="F779" s="12" t="n">
        <x:v>4.01</x:v>
      </x:c>
      <x:c r="G779" s="12" t="n">
        <x:v>401</x:v>
      </x:c>
      <x:c r="H779" s="12" t="n">
        <x:v>0</x:v>
      </x:c>
      <x:c r="I779" s="12" t="str">
        <x:v>TuShare index_daily</x:v>
      </x:c>
      <x:c r="J779" s="12" t="str">
        <x:v>Archived FRED mirror (Hugging Face)</x:v>
      </x:c>
    </x:row>
    <x:row r="780" ht="18" customHeight="1">
      <x:c r="A780" s="13" t="n">
        <x:v>43755</x:v>
      </x:c>
      <x:c r="B780" s="12" t="n">
        <x:v>3925.2216</x:v>
      </x:c>
      <x:c r="C780" s="12" t="n">
        <x:v>3922.6854</x:v>
      </x:c>
      <x:c r="D780" s="12" t="n">
        <x:v>0.0647</x:v>
      </x:c>
      <x:c r="E780" s="12" t="n">
        <x:v>0.0006463379569335288</x:v>
      </x:c>
      <x:c r="F780" s="12" t="n">
        <x:v>4</x:v>
      </x:c>
      <x:c r="G780" s="12" t="n">
        <x:v>400</x:v>
      </x:c>
      <x:c r="H780" s="12" t="n">
        <x:v>-1</x:v>
      </x:c>
      <x:c r="I780" s="12" t="str">
        <x:v>TuShare index_daily</x:v>
      </x:c>
      <x:c r="J780" s="12" t="str">
        <x:v>Archived FRED mirror (Hugging Face)</x:v>
      </x:c>
    </x:row>
    <x:row r="781" ht="18" customHeight="1">
      <x:c r="A781" s="13" t="n">
        <x:v>43756</x:v>
      </x:c>
      <x:c r="B781" s="12" t="n">
        <x:v>3869.3777</x:v>
      </x:c>
      <x:c r="C781" s="12" t="n">
        <x:v>3925.2216</x:v>
      </x:c>
      <x:c r="D781" s="12" t="n">
        <x:v>-1.4227</x:v>
      </x:c>
      <x:c r="E781" s="12" t="n">
        <x:v>-0.0143291151611447</x:v>
      </x:c>
      <x:c r="F781" s="12" t="n">
        <x:v>4.02</x:v>
      </x:c>
      <x:c r="G781" s="12" t="n">
        <x:v>401.99999999999994</x:v>
      </x:c>
      <x:c r="H781" s="12" t="n">
        <x:v>1.9999999999999432</x:v>
      </x:c>
      <x:c r="I781" s="12" t="str">
        <x:v>TuShare index_daily</x:v>
      </x:c>
      <x:c r="J781" s="12" t="str">
        <x:v>Archived FRED mirror (Hugging Face)</x:v>
      </x:c>
    </x:row>
    <x:row r="782" ht="18" customHeight="1">
      <x:c r="A782" s="13" t="n">
        <x:v>43759</x:v>
      </x:c>
      <x:c r="B782" s="12" t="n">
        <x:v>3880.8398</x:v>
      </x:c>
      <x:c r="C782" s="12" t="n">
        <x:v>3869.3777</x:v>
      </x:c>
      <x:c r="D782" s="12" t="n">
        <x:v>0.2962</x:v>
      </x:c>
      <x:c r="E782" s="12" t="n">
        <x:v>0.0029578804354533027</x:v>
      </x:c>
      <x:c r="F782" s="12" t="n">
        <x:v>3.98</x:v>
      </x:c>
      <x:c r="G782" s="12" t="n">
        <x:v>398</x:v>
      </x:c>
      <x:c r="H782" s="12" t="n">
        <x:v>-3.999999999999943</x:v>
      </x:c>
      <x:c r="I782" s="12" t="str">
        <x:v>TuShare index_daily</x:v>
      </x:c>
      <x:c r="J782" s="12" t="str">
        <x:v>Archived FRED mirror (Hugging Face)</x:v>
      </x:c>
    </x:row>
    <x:row r="783" ht="18" customHeight="1">
      <x:c r="A783" s="13" t="n">
        <x:v>43760</x:v>
      </x:c>
      <x:c r="B783" s="12" t="n">
        <x:v>3895.8809</x:v>
      </x:c>
      <x:c r="C783" s="12" t="n">
        <x:v>3880.8398</x:v>
      </x:c>
      <x:c r="D783" s="12" t="n">
        <x:v>0.3876</x:v>
      </x:c>
      <x:c r="E783" s="12" t="n">
        <x:v>0.003868241984147565</x:v>
      </x:c>
      <x:c r="F783" s="12" t="n">
        <x:v>3.99</x:v>
      </x:c>
      <x:c r="G783" s="12" t="n">
        <x:v>399</x:v>
      </x:c>
      <x:c r="H783" s="12" t="n">
        <x:v>1</x:v>
      </x:c>
      <x:c r="I783" s="12" t="str">
        <x:v>TuShare index_daily</x:v>
      </x:c>
      <x:c r="J783" s="12" t="str">
        <x:v>Archived FRED mirror (Hugging Face)</x:v>
      </x:c>
    </x:row>
    <x:row r="784" ht="18" customHeight="1">
      <x:c r="A784" s="13" t="n">
        <x:v>43761</x:v>
      </x:c>
      <x:c r="B784" s="12" t="n">
        <x:v>3871.0848</x:v>
      </x:c>
      <x:c r="C784" s="12" t="n">
        <x:v>3895.8809</x:v>
      </x:c>
      <x:c r="D784" s="12" t="n">
        <x:v>-0.6365</x:v>
      </x:c>
      <x:c r="E784" s="12" t="n">
        <x:v>-0.006385037658147137</x:v>
      </x:c>
      <x:c r="F784" s="12" t="n">
        <x:v>3.98</x:v>
      </x:c>
      <x:c r="G784" s="12" t="n">
        <x:v>398</x:v>
      </x:c>
      <x:c r="H784" s="12" t="n">
        <x:v>-1</x:v>
      </x:c>
      <x:c r="I784" s="12" t="str">
        <x:v>TuShare index_daily</x:v>
      </x:c>
      <x:c r="J784" s="12" t="str">
        <x:v>Archived FRED mirror (Hugging Face)</x:v>
      </x:c>
    </x:row>
    <x:row r="785" ht="18" customHeight="1">
      <x:c r="A785" s="13" t="n">
        <x:v>43762</x:v>
      </x:c>
      <x:c r="B785" s="12" t="n">
        <x:v>3870.6678</x:v>
      </x:c>
      <x:c r="C785" s="12" t="n">
        <x:v>3871.0848</x:v>
      </x:c>
      <x:c r="D785" s="12" t="n">
        <x:v>-0.0108</x:v>
      </x:c>
      <x:c r="E785" s="12" t="n">
        <x:v>-0.00010772754489811883</x:v>
      </x:c>
      <x:c r="F785" s="12" t="n">
        <x:v>3.96</x:v>
      </x:c>
      <x:c r="G785" s="12" t="n">
        <x:v>396</x:v>
      </x:c>
      <x:c r="H785" s="12" t="n">
        <x:v>-2</x:v>
      </x:c>
      <x:c r="I785" s="12" t="str">
        <x:v>TuShare index_daily</x:v>
      </x:c>
      <x:c r="J785" s="12" t="str">
        <x:v>Archived FRED mirror (Hugging Face)</x:v>
      </x:c>
    </x:row>
    <x:row r="786" ht="18" customHeight="1">
      <x:c r="A786" s="13" t="n">
        <x:v>43763</x:v>
      </x:c>
      <x:c r="B786" s="12" t="n">
        <x:v>3896.7923</x:v>
      </x:c>
      <x:c r="C786" s="12" t="n">
        <x:v>3870.6678</x:v>
      </x:c>
      <x:c r="D786" s="12" t="n">
        <x:v>0.6749</x:v>
      </x:c>
      <x:c r="E786" s="12" t="n">
        <x:v>0.006726677233170096</x:v>
      </x:c>
      <x:c r="F786" s="12" t="n">
        <x:v>3.89</x:v>
      </x:c>
      <x:c r="G786" s="12" t="n">
        <x:v>389</x:v>
      </x:c>
      <x:c r="H786" s="12" t="n">
        <x:v>-7</x:v>
      </x:c>
      <x:c r="I786" s="12" t="str">
        <x:v>TuShare index_daily</x:v>
      </x:c>
      <x:c r="J786" s="12" t="str">
        <x:v>Archived FRED mirror (Hugging Face)</x:v>
      </x:c>
    </x:row>
    <x:row r="787" ht="18" customHeight="1">
      <x:c r="A787" s="13" t="n">
        <x:v>43766</x:v>
      </x:c>
      <x:c r="B787" s="12" t="n">
        <x:v>3926.585</x:v>
      </x:c>
      <x:c r="C787" s="12" t="n">
        <x:v>3896.7923</x:v>
      </x:c>
      <x:c r="D787" s="12" t="n">
        <x:v>0.7645</x:v>
      </x:c>
      <x:c r="E787" s="12" t="n">
        <x:v>0.007616363848449757</x:v>
      </x:c>
      <x:c r="F787" s="12" t="n">
        <x:v>3.85</x:v>
      </x:c>
      <x:c r="G787" s="12" t="n">
        <x:v>385</x:v>
      </x:c>
      <x:c r="H787" s="12" t="n">
        <x:v>-4</x:v>
      </x:c>
      <x:c r="I787" s="12" t="str">
        <x:v>TuShare index_daily</x:v>
      </x:c>
      <x:c r="J787" s="12" t="str">
        <x:v>Archived FRED mirror (Hugging Face)</x:v>
      </x:c>
    </x:row>
    <x:row r="788" ht="18" customHeight="1">
      <x:c r="A788" s="13" t="n">
        <x:v>43767</x:v>
      </x:c>
      <x:c r="B788" s="12" t="n">
        <x:v>3910.226</x:v>
      </x:c>
      <x:c r="C788" s="12" t="n">
        <x:v>3926.585</x:v>
      </x:c>
      <x:c r="D788" s="12" t="n">
        <x:v>-0.4166</x:v>
      </x:c>
      <x:c r="E788" s="12" t="n">
        <x:v>-0.004174918538003564</x:v>
      </x:c>
      <x:c r="F788" s="12" t="n">
        <x:v>3.86</x:v>
      </x:c>
      <x:c r="G788" s="12" t="n">
        <x:v>386</x:v>
      </x:c>
      <x:c r="H788" s="12" t="n">
        <x:v>1</x:v>
      </x:c>
      <x:c r="I788" s="12" t="str">
        <x:v>TuShare index_daily</x:v>
      </x:c>
      <x:c r="J788" s="12" t="str">
        <x:v>Archived FRED mirror (Hugging Face)</x:v>
      </x:c>
    </x:row>
    <x:row r="789" ht="18" customHeight="1">
      <x:c r="A789" s="13" t="n">
        <x:v>43768</x:v>
      </x:c>
      <x:c r="B789" s="12" t="n">
        <x:v>3891.2255</x:v>
      </x:c>
      <x:c r="C789" s="12" t="n">
        <x:v>3910.226</x:v>
      </x:c>
      <x:c r="D789" s="12" t="n">
        <x:v>-0.4859</x:v>
      </x:c>
      <x:c r="E789" s="12" t="n">
        <x:v>-0.0048710262618592085</x:v>
      </x:c>
      <x:c r="F789" s="12" t="n">
        <x:v>3.96</x:v>
      </x:c>
      <x:c r="G789" s="12" t="n">
        <x:v>396</x:v>
      </x:c>
      <x:c r="H789" s="12" t="n">
        <x:v>10</x:v>
      </x:c>
      <x:c r="I789" s="12" t="str">
        <x:v>TuShare index_daily</x:v>
      </x:c>
      <x:c r="J789" s="12" t="str">
        <x:v>Archived FRED mirror (Hugging Face)</x:v>
      </x:c>
    </x:row>
    <x:row r="790" ht="18" customHeight="1">
      <x:c r="A790" s="13" t="n">
        <x:v>43769</x:v>
      </x:c>
      <x:c r="B790" s="12" t="n">
        <x:v>3886.7519</x:v>
      </x:c>
      <x:c r="C790" s="12" t="n">
        <x:v>3891.2255</x:v>
      </x:c>
      <x:c r="D790" s="12" t="n">
        <x:v>-0.115</x:v>
      </x:c>
      <x:c r="E790" s="12" t="n">
        <x:v>-0.0011503248886546285</x:v>
      </x:c>
      <x:c r="F790" s="12" t="n">
        <x:v>4.15</x:v>
      </x:c>
      <x:c r="G790" s="12" t="n">
        <x:v>415.00000000000006</x:v>
      </x:c>
      <x:c r="H790" s="12" t="n">
        <x:v>19.000000000000057</x:v>
      </x:c>
      <x:c r="I790" s="12" t="str">
        <x:v>TuShare index_daily</x:v>
      </x:c>
      <x:c r="J790" s="12" t="str">
        <x:v>Archived FRED mirror (Hugging Face)</x:v>
      </x:c>
    </x:row>
    <x:row r="791" ht="18" customHeight="1">
      <x:c r="A791" s="13" t="n">
        <x:v>43770</x:v>
      </x:c>
      <x:c r="B791" s="12" t="n">
        <x:v>3952.3872</x:v>
      </x:c>
      <x:c r="C791" s="12" t="n">
        <x:v>3886.7519</x:v>
      </x:c>
      <x:c r="D791" s="12" t="n">
        <x:v>1.6887</x:v>
      </x:c>
      <x:c r="E791" s="12" t="n">
        <x:v>0.016745929106932903</x:v>
      </x:c>
      <x:c r="F791" s="12" t="n">
        <x:v>4.09</x:v>
      </x:c>
      <x:c r="G791" s="12" t="n">
        <x:v>409</x:v>
      </x:c>
      <x:c r="H791" s="12" t="n">
        <x:v>-6.000000000000057</x:v>
      </x:c>
      <x:c r="I791" s="12" t="str">
        <x:v>TuShare index_daily</x:v>
      </x:c>
      <x:c r="J791" s="12" t="str">
        <x:v>Archived FRED mirror (Hugging Face)</x:v>
      </x:c>
    </x:row>
    <x:row r="792" ht="18" customHeight="1">
      <x:c r="A792" s="13" t="n">
        <x:v>43773</x:v>
      </x:c>
      <x:c r="B792" s="12" t="n">
        <x:v>3978.1216</x:v>
      </x:c>
      <x:c r="C792" s="12" t="n">
        <x:v>3952.3872</x:v>
      </x:c>
      <x:c r="D792" s="12" t="n">
        <x:v>0.6511</x:v>
      </x:c>
      <x:c r="E792" s="12" t="n">
        <x:v>0.006489997294453441</x:v>
      </x:c>
      <x:c r="F792" s="12" t="n">
        <x:v>3.99</x:v>
      </x:c>
      <x:c r="G792" s="12" t="n">
        <x:v>399</x:v>
      </x:c>
      <x:c r="H792" s="12" t="n">
        <x:v>-10</x:v>
      </x:c>
      <x:c r="I792" s="12" t="str">
        <x:v>TuShare index_daily</x:v>
      </x:c>
      <x:c r="J792" s="12" t="str">
        <x:v>Archived FRED mirror (Hugging Face)</x:v>
      </x:c>
    </x:row>
    <x:row r="793" ht="18" customHeight="1">
      <x:c r="A793" s="13" t="n">
        <x:v>43774</x:v>
      </x:c>
      <x:c r="B793" s="12" t="n">
        <x:v>4002.8128</x:v>
      </x:c>
      <x:c r="C793" s="12" t="n">
        <x:v>3978.1216</x:v>
      </x:c>
      <x:c r="D793" s="12" t="n">
        <x:v>0.6207</x:v>
      </x:c>
      <x:c r="E793" s="12" t="n">
        <x:v>0.00618756590134739</x:v>
      </x:c>
      <x:c r="F793" s="12" t="n">
        <x:v>3.97</x:v>
      </x:c>
      <x:c r="G793" s="12" t="n">
        <x:v>397</x:v>
      </x:c>
      <x:c r="H793" s="12" t="n">
        <x:v>-2</x:v>
      </x:c>
      <x:c r="I793" s="12" t="str">
        <x:v>TuShare index_daily</x:v>
      </x:c>
      <x:c r="J793" s="12" t="str">
        <x:v>Archived FRED mirror (Hugging Face)</x:v>
      </x:c>
    </x:row>
    <x:row r="794" ht="18" customHeight="1">
      <x:c r="A794" s="13" t="n">
        <x:v>43775</x:v>
      </x:c>
      <x:c r="B794" s="12" t="n">
        <x:v>3984.8816</x:v>
      </x:c>
      <x:c r="C794" s="12" t="n">
        <x:v>4002.8128</x:v>
      </x:c>
      <x:c r="D794" s="12" t="n">
        <x:v>-0.448</x:v>
      </x:c>
      <x:c r="E794" s="12" t="n">
        <x:v>-0.00448971360764937</x:v>
      </x:c>
      <x:c r="F794" s="12" t="n">
        <x:v>4.02</x:v>
      </x:c>
      <x:c r="G794" s="12" t="n">
        <x:v>401.99999999999994</x:v>
      </x:c>
      <x:c r="H794" s="12" t="n">
        <x:v>4.999999999999943</x:v>
      </x:c>
      <x:c r="I794" s="12" t="str">
        <x:v>TuShare index_daily</x:v>
      </x:c>
      <x:c r="J794" s="12" t="str">
        <x:v>Archived FRED mirror (Hugging Face)</x:v>
      </x:c>
    </x:row>
    <x:row r="795" ht="18" customHeight="1">
      <x:c r="A795" s="13" t="n">
        <x:v>43776</x:v>
      </x:c>
      <x:c r="B795" s="12" t="n">
        <x:v>3991.8749</x:v>
      </x:c>
      <x:c r="C795" s="12" t="n">
        <x:v>3984.8816</x:v>
      </x:c>
      <x:c r="D795" s="12" t="n">
        <x:v>0.1755</x:v>
      </x:c>
      <x:c r="E795" s="12" t="n">
        <x:v>0.0017534198998628825</x:v>
      </x:c>
      <x:c r="F795" s="12" t="n">
        <x:v>3.96</x:v>
      </x:c>
      <x:c r="G795" s="12" t="n">
        <x:v>396</x:v>
      </x:c>
      <x:c r="H795" s="12" t="n">
        <x:v>-5.999999999999943</x:v>
      </x:c>
      <x:c r="I795" s="12" t="str">
        <x:v>TuShare index_daily</x:v>
      </x:c>
      <x:c r="J795" s="12" t="str">
        <x:v>Archived FRED mirror (Hugging Face)</x:v>
      </x:c>
    </x:row>
    <x:row r="796" ht="18" customHeight="1">
      <x:c r="A796" s="13" t="n">
        <x:v>43777</x:v>
      </x:c>
      <x:c r="B796" s="12" t="n">
        <x:v>3973.0107</x:v>
      </x:c>
      <x:c r="C796" s="12" t="n">
        <x:v>3991.8749</x:v>
      </x:c>
      <x:c r="D796" s="12" t="n">
        <x:v>-0.4726</x:v>
      </x:c>
      <x:c r="E796" s="12" t="n">
        <x:v>-0.004736850275038381</x:v>
      </x:c>
      <x:c r="F796" s="12" t="n">
        <x:v>4</x:v>
      </x:c>
      <x:c r="G796" s="12" t="n">
        <x:v>400</x:v>
      </x:c>
      <x:c r="H796" s="12" t="n">
        <x:v>4</x:v>
      </x:c>
      <x:c r="I796" s="12" t="str">
        <x:v>TuShare index_daily</x:v>
      </x:c>
      <x:c r="J796" s="12" t="str">
        <x:v>Archived FRED mirror (Hugging Face)</x:v>
      </x:c>
    </x:row>
    <x:row r="797" ht="18" customHeight="1">
      <x:c r="A797" s="13" t="n">
        <x:v>43780</x:v>
      </x:c>
      <x:c r="B797" s="12" t="n">
        <x:v>3902.9783</x:v>
      </x:c>
      <x:c r="C797" s="12" t="n">
        <x:v>3973.0107</x:v>
      </x:c>
      <x:c r="D797" s="12" t="n">
        <x:v>-1.7627</x:v>
      </x:c>
      <x:c r="E797" s="12" t="n">
        <x:v>-0.01778424165054614</x:v>
      </x:c>
      <x:c r="F797" s="12" t="n">
        <x:v>3.99</x:v>
      </x:c>
      <x:c r="G797" s="12" t="n">
        <x:v>399</x:v>
      </x:c>
      <x:c r="H797" s="12" t="n">
        <x:v>-1</x:v>
      </x:c>
      <x:c r="I797" s="12" t="str">
        <x:v>TuShare index_daily</x:v>
      </x:c>
      <x:c r="J797" s="12" t="str">
        <x:v>Archived FRED mirror (Hugging Face)</x:v>
      </x:c>
    </x:row>
    <x:row r="798" ht="18" customHeight="1">
      <x:c r="A798" s="13" t="n">
        <x:v>43781</x:v>
      </x:c>
      <x:c r="B798" s="12" t="n">
        <x:v>3903.6888</x:v>
      </x:c>
      <x:c r="C798" s="12" t="n">
        <x:v>3902.9783</x:v>
      </x:c>
      <x:c r="D798" s="12" t="n">
        <x:v>0.0182</x:v>
      </x:c>
      <x:c r="E798" s="12" t="n">
        <x:v>0.0001820239015856364</x:v>
      </x:c>
      <x:c r="F798" s="12" t="n">
        <x:v>4</x:v>
      </x:c>
      <x:c r="G798" s="12" t="n">
        <x:v>400</x:v>
      </x:c>
      <x:c r="H798" s="12" t="n">
        <x:v>1</x:v>
      </x:c>
      <x:c r="I798" s="12" t="str">
        <x:v>TuShare index_daily</x:v>
      </x:c>
      <x:c r="J798" s="12" t="str">
        <x:v>Archived FRED mirror (Hugging Face)</x:v>
      </x:c>
    </x:row>
    <x:row r="799" ht="18" customHeight="1">
      <x:c r="A799" s="13" t="n">
        <x:v>43782</x:v>
      </x:c>
      <x:c r="B799" s="12" t="n">
        <x:v>3899.9815</x:v>
      </x:c>
      <x:c r="C799" s="12" t="n">
        <x:v>3903.6888</x:v>
      </x:c>
      <x:c r="D799" s="12" t="n">
        <x:v>-0.095</x:v>
      </x:c>
      <x:c r="E799" s="12" t="n">
        <x:v>-0.0009501427242264534</x:v>
      </x:c>
      <x:c r="F799" s="12" t="n">
        <x:v>4.05</x:v>
      </x:c>
      <x:c r="G799" s="12" t="n">
        <x:v>405</x:v>
      </x:c>
      <x:c r="H799" s="12" t="n">
        <x:v>5</x:v>
      </x:c>
      <x:c r="I799" s="12" t="str">
        <x:v>TuShare index_daily</x:v>
      </x:c>
      <x:c r="J799" s="12" t="str">
        <x:v>Archived FRED mirror (Hugging Face)</x:v>
      </x:c>
    </x:row>
    <x:row r="800" ht="18" customHeight="1">
      <x:c r="A800" s="13" t="n">
        <x:v>43783</x:v>
      </x:c>
      <x:c r="B800" s="12" t="n">
        <x:v>3905.857</x:v>
      </x:c>
      <x:c r="C800" s="12" t="n">
        <x:v>3899.9815</x:v>
      </x:c>
      <x:c r="D800" s="12" t="n">
        <x:v>0.1507</x:v>
      </x:c>
      <x:c r="E800" s="12" t="n">
        <x:v>0.0015054119066440256</x:v>
      </x:c>
      <x:c r="F800" s="12" t="n">
        <x:v>4.08</x:v>
      </x:c>
      <x:c r="G800" s="12" t="n">
        <x:v>408</x:v>
      </x:c>
      <x:c r="H800" s="12" t="n">
        <x:v>3</x:v>
      </x:c>
      <x:c r="I800" s="12" t="str">
        <x:v>TuShare index_daily</x:v>
      </x:c>
      <x:c r="J800" s="12" t="str">
        <x:v>Archived FRED mirror (Hugging Face)</x:v>
      </x:c>
    </x:row>
    <x:row r="801" ht="18" customHeight="1">
      <x:c r="A801" s="13" t="n">
        <x:v>43784</x:v>
      </x:c>
      <x:c r="B801" s="12" t="n">
        <x:v>3877.0892</x:v>
      </x:c>
      <x:c r="C801" s="12" t="n">
        <x:v>3905.857</x:v>
      </x:c>
      <x:c r="D801" s="12" t="n">
        <x:v>-0.7365</x:v>
      </x:c>
      <x:c r="E801" s="12" t="n">
        <x:v>-0.0073925555371158955</x:v>
      </x:c>
      <x:c r="F801" s="12" t="n">
        <x:v>4.06</x:v>
      </x:c>
      <x:c r="G801" s="12" t="n">
        <x:v>405.99999999999994</x:v>
      </x:c>
      <x:c r="H801" s="12" t="n">
        <x:v>-2.000000000000057</x:v>
      </x:c>
      <x:c r="I801" s="12" t="str">
        <x:v>TuShare index_daily</x:v>
      </x:c>
      <x:c r="J801" s="12" t="str">
        <x:v>Archived FRED mirror (Hugging Face)</x:v>
      </x:c>
    </x:row>
    <x:row r="802" ht="18" customHeight="1">
      <x:c r="A802" s="13" t="n">
        <x:v>43787</x:v>
      </x:c>
      <x:c r="B802" s="12" t="n">
        <x:v>3907.9291</x:v>
      </x:c>
      <x:c r="C802" s="12" t="n">
        <x:v>3877.0892</x:v>
      </x:c>
      <x:c r="D802" s="12" t="n">
        <x:v>0.7954</x:v>
      </x:c>
      <x:c r="E802" s="12" t="n">
        <x:v>0.00792292583956696</x:v>
      </x:c>
      <x:c r="F802" s="12" t="n">
        <x:v>4.09</x:v>
      </x:c>
      <x:c r="G802" s="12" t="n">
        <x:v>409</x:v>
      </x:c>
      <x:c r="H802" s="12" t="n">
        <x:v>3.000000000000057</x:v>
      </x:c>
      <x:c r="I802" s="12" t="str">
        <x:v>TuShare index_daily</x:v>
      </x:c>
      <x:c r="J802" s="12" t="str">
        <x:v>Archived FRED mirror (Hugging Face)</x:v>
      </x:c>
    </x:row>
    <x:row r="803" ht="18" customHeight="1">
      <x:c r="A803" s="13" t="n">
        <x:v>43788</x:v>
      </x:c>
      <x:c r="B803" s="12" t="n">
        <x:v>3947.0392</x:v>
      </x:c>
      <x:c r="C803" s="12" t="n">
        <x:v>3907.9291</x:v>
      </x:c>
      <x:c r="D803" s="12" t="n">
        <x:v>1.0008</x:v>
      </x:c>
      <x:c r="E803" s="12" t="n">
        <x:v>0.009958136481306303</x:v>
      </x:c>
      <x:c r="F803" s="12" t="n">
        <x:v>4.12</x:v>
      </x:c>
      <x:c r="G803" s="12" t="n">
        <x:v>412</x:v>
      </x:c>
      <x:c r="H803" s="12" t="n">
        <x:v>3</x:v>
      </x:c>
      <x:c r="I803" s="12" t="str">
        <x:v>TuShare index_daily</x:v>
      </x:c>
      <x:c r="J803" s="12" t="str">
        <x:v>Archived FRED mirror (Hugging Face)</x:v>
      </x:c>
    </x:row>
    <x:row r="804" ht="18" customHeight="1">
      <x:c r="A804" s="13" t="n">
        <x:v>43789</x:v>
      </x:c>
      <x:c r="B804" s="12" t="n">
        <x:v>3907.8641</x:v>
      </x:c>
      <x:c r="C804" s="12" t="n">
        <x:v>3947.0392</x:v>
      </x:c>
      <x:c r="D804" s="12" t="n">
        <x:v>-0.9925</x:v>
      </x:c>
      <x:c r="E804" s="12" t="n">
        <x:v>-0.009974769470009609</x:v>
      </x:c>
      <x:c r="F804" s="12" t="n">
        <x:v>4.18</x:v>
      </x:c>
      <x:c r="G804" s="12" t="n">
        <x:v>418</x:v>
      </x:c>
      <x:c r="H804" s="12" t="n">
        <x:v>6</x:v>
      </x:c>
      <x:c r="I804" s="12" t="str">
        <x:v>TuShare index_daily</x:v>
      </x:c>
      <x:c r="J804" s="12" t="str">
        <x:v>Archived FRED mirror (Hugging Face)</x:v>
      </x:c>
    </x:row>
    <x:row r="805" ht="18" customHeight="1">
      <x:c r="A805" s="13" t="n">
        <x:v>43790</x:v>
      </x:c>
      <x:c r="B805" s="12" t="n">
        <x:v>3889.598</x:v>
      </x:c>
      <x:c r="C805" s="12" t="n">
        <x:v>3907.8641</x:v>
      </x:c>
      <x:c r="D805" s="12" t="n">
        <x:v>-0.4674</x:v>
      </x:c>
      <x:c r="E805" s="12" t="n">
        <x:v>-0.0046851483670989165</x:v>
      </x:c>
      <x:c r="F805" s="12" t="n">
        <x:v>4.17</x:v>
      </x:c>
      <x:c r="G805" s="12" t="n">
        <x:v>417</x:v>
      </x:c>
      <x:c r="H805" s="12" t="n">
        <x:v>-1</x:v>
      </x:c>
      <x:c r="I805" s="12" t="str">
        <x:v>TuShare index_daily</x:v>
      </x:c>
      <x:c r="J805" s="12" t="str">
        <x:v>Archived FRED mirror (Hugging Face)</x:v>
      </x:c>
    </x:row>
    <x:row r="806" ht="18" customHeight="1">
      <x:c r="A806" s="13" t="n">
        <x:v>43791</x:v>
      </x:c>
      <x:c r="B806" s="12" t="n">
        <x:v>3849.9948</x:v>
      </x:c>
      <x:c r="C806" s="12" t="n">
        <x:v>3889.598</x:v>
      </x:c>
      <x:c r="D806" s="12" t="n">
        <x:v>-1.0182</x:v>
      </x:c>
      <x:c r="E806" s="12" t="n">
        <x:v>-0.010234012738468922</x:v>
      </x:c>
      <x:c r="F806" s="12" t="n">
        <x:v>4.13</x:v>
      </x:c>
      <x:c r="G806" s="12" t="n">
        <x:v>413</x:v>
      </x:c>
      <x:c r="H806" s="12" t="n">
        <x:v>-4</x:v>
      </x:c>
      <x:c r="I806" s="12" t="str">
        <x:v>TuShare index_daily</x:v>
      </x:c>
      <x:c r="J806" s="12" t="str">
        <x:v>Archived FRED mirror (Hugging Face)</x:v>
      </x:c>
    </x:row>
    <x:row r="807" ht="18" customHeight="1">
      <x:c r="A807" s="13" t="n">
        <x:v>43794</x:v>
      </x:c>
      <x:c r="B807" s="12" t="n">
        <x:v>3878.2061</x:v>
      </x:c>
      <x:c r="C807" s="12" t="n">
        <x:v>3849.9948</x:v>
      </x:c>
      <x:c r="D807" s="12" t="n">
        <x:v>0.7328</x:v>
      </x:c>
      <x:c r="E807" s="12" t="n">
        <x:v>0.007300903710355269</x:v>
      </x:c>
      <x:c r="F807" s="12" t="n">
        <x:v>4.08</x:v>
      </x:c>
      <x:c r="G807" s="12" t="n">
        <x:v>408</x:v>
      </x:c>
      <x:c r="H807" s="12" t="n">
        <x:v>-5</x:v>
      </x:c>
      <x:c r="I807" s="12" t="str">
        <x:v>TuShare index_daily</x:v>
      </x:c>
      <x:c r="J807" s="12" t="str">
        <x:v>Archived FRED mirror (Hugging Face)</x:v>
      </x:c>
    </x:row>
    <x:row r="808" ht="18" customHeight="1">
      <x:c r="A808" s="13" t="n">
        <x:v>43795</x:v>
      </x:c>
      <x:c r="B808" s="12" t="n">
        <x:v>3891.6533</x:v>
      </x:c>
      <x:c r="C808" s="12" t="n">
        <x:v>3878.2061</x:v>
      </x:c>
      <x:c r="D808" s="12" t="n">
        <x:v>0.3467</x:v>
      </x:c>
      <x:c r="E808" s="12" t="n">
        <x:v>0.0034613788316599295</x:v>
      </x:c>
      <x:c r="F808" s="12" t="n">
        <x:v>4.05</x:v>
      </x:c>
      <x:c r="G808" s="12" t="n">
        <x:v>405</x:v>
      </x:c>
      <x:c r="H808" s="12" t="n">
        <x:v>-3</x:v>
      </x:c>
      <x:c r="I808" s="12" t="str">
        <x:v>TuShare index_daily</x:v>
      </x:c>
      <x:c r="J808" s="12" t="str">
        <x:v>Archived FRED mirror (Hugging Face)</x:v>
      </x:c>
    </x:row>
    <x:row r="809" ht="18" customHeight="1">
      <x:c r="A809" s="13" t="n">
        <x:v>43796</x:v>
      </x:c>
      <x:c r="B809" s="12" t="n">
        <x:v>3875.6186</x:v>
      </x:c>
      <x:c r="C809" s="12" t="n">
        <x:v>3891.6533</x:v>
      </x:c>
      <x:c r="D809" s="12" t="n">
        <x:v>-0.412</x:v>
      </x:c>
      <x:c r="E809" s="12" t="n">
        <x:v>-0.004128791417360389</x:v>
      </x:c>
      <x:c r="F809" s="12" t="n">
        <x:v>3.99</x:v>
      </x:c>
      <x:c r="G809" s="12" t="n">
        <x:v>399</x:v>
      </x:c>
      <x:c r="H809" s="12" t="n">
        <x:v>-6</x:v>
      </x:c>
      <x:c r="I809" s="12" t="str">
        <x:v>TuShare index_daily</x:v>
      </x:c>
      <x:c r="J809" s="12" t="str">
        <x:v>Archived FRED mirror (Hugging Face)</x:v>
      </x:c>
    </x:row>
    <x:row r="810" ht="18" customHeight="1">
      <x:c r="A810" s="13" t="n">
        <x:v>43798</x:v>
      </x:c>
      <x:c r="B810" s="12" t="n">
        <x:v>3828.6706</x:v>
      </x:c>
      <x:c r="C810" s="12" t="n">
        <x:v>3862.3029</x:v>
      </x:c>
      <x:c r="D810" s="12" t="n">
        <x:v>-0.8708</x:v>
      </x:c>
      <x:c r="E810" s="12" t="n">
        <x:v>-0.008745970684524417</x:v>
      </x:c>
      <x:c r="F810" s="12" t="n">
        <x:v>4.01</x:v>
      </x:c>
      <x:c r="G810" s="12" t="n">
        <x:v>401</x:v>
      </x:c>
      <x:c r="H810" s="12" t="n">
        <x:v>2</x:v>
      </x:c>
      <x:c r="I810" s="12" t="str">
        <x:v>TuShare index_daily</x:v>
      </x:c>
      <x:c r="J810" s="12" t="str">
        <x:v>Archived FRED mirror (Hugging Face)</x:v>
      </x:c>
    </x:row>
    <x:row r="811" ht="18" customHeight="1">
      <x:c r="A811" s="13" t="n">
        <x:v>43801</x:v>
      </x:c>
      <x:c r="B811" s="12" t="n">
        <x:v>3836.0589</x:v>
      </x:c>
      <x:c r="C811" s="12" t="n">
        <x:v>3828.6706</x:v>
      </x:c>
      <x:c r="D811" s="12" t="n">
        <x:v>0.193</x:v>
      </x:c>
      <x:c r="E811" s="12" t="n">
        <x:v>0.00192787032819121</x:v>
      </x:c>
      <x:c r="F811" s="12" t="n">
        <x:v>4.03</x:v>
      </x:c>
      <x:c r="G811" s="12" t="n">
        <x:v>403</x:v>
      </x:c>
      <x:c r="H811" s="12" t="n">
        <x:v>1.0000000000000568</x:v>
      </x:c>
      <x:c r="I811" s="12" t="str">
        <x:v>TuShare index_daily</x:v>
      </x:c>
      <x:c r="J811" s="12" t="str">
        <x:v>Archived FRED mirror (Hugging Face)</x:v>
      </x:c>
    </x:row>
    <x:row r="812" ht="18" customHeight="1">
      <x:c r="A812" s="13" t="n">
        <x:v>43802</x:v>
      </x:c>
      <x:c r="B812" s="12" t="n">
        <x:v>3851.0873</x:v>
      </x:c>
      <x:c r="C812" s="12" t="n">
        <x:v>3836.0589</x:v>
      </x:c>
      <x:c r="D812" s="12" t="n">
        <x:v>0.3918</x:v>
      </x:c>
      <x:c r="E812" s="12" t="n">
        <x:v>0.003910012573047016</x:v>
      </x:c>
      <x:c r="F812" s="12" t="n">
        <x:v>4.14</x:v>
      </x:c>
      <x:c r="G812" s="12" t="n">
        <x:v>413.99999999999994</x:v>
      </x:c>
      <x:c r="H812" s="12" t="n">
        <x:v>10.999999999999943</x:v>
      </x:c>
      <x:c r="I812" s="12" t="str">
        <x:v>TuShare index_daily</x:v>
      </x:c>
      <x:c r="J812" s="12" t="str">
        <x:v>Archived FRED mirror (Hugging Face)</x:v>
      </x:c>
    </x:row>
    <x:row r="813" ht="18" customHeight="1">
      <x:c r="A813" s="13" t="n">
        <x:v>43803</x:v>
      </x:c>
      <x:c r="B813" s="12" t="n">
        <x:v>3849.819</x:v>
      </x:c>
      <x:c r="C813" s="12" t="n">
        <x:v>3851.0873</x:v>
      </x:c>
      <x:c r="D813" s="12" t="n">
        <x:v>-0.0329</x:v>
      </x:c>
      <x:c r="E813" s="12" t="n">
        <x:v>-0.00032938980479928193</x:v>
      </x:c>
      <x:c r="F813" s="12" t="n">
        <x:v>4.02</x:v>
      </x:c>
      <x:c r="G813" s="12" t="n">
        <x:v>401.99999999999994</x:v>
      </x:c>
      <x:c r="H813" s="12" t="n">
        <x:v>-12</x:v>
      </x:c>
      <x:c r="I813" s="12" t="str">
        <x:v>TuShare index_daily</x:v>
      </x:c>
      <x:c r="J813" s="12" t="str">
        <x:v>Archived FRED mirror (Hugging Face)</x:v>
      </x:c>
    </x:row>
    <x:row r="814" ht="18" customHeight="1">
      <x:c r="A814" s="13" t="n">
        <x:v>43804</x:v>
      </x:c>
      <x:c r="B814" s="12" t="n">
        <x:v>3879.3638</x:v>
      </x:c>
      <x:c r="C814" s="12" t="n">
        <x:v>3849.819</x:v>
      </x:c>
      <x:c r="D814" s="12" t="n">
        <x:v>0.7674</x:v>
      </x:c>
      <x:c r="E814" s="12" t="n">
        <x:v>0.0076450369110844605</x:v>
      </x:c>
      <x:c r="F814" s="12" t="n">
        <x:v>4</x:v>
      </x:c>
      <x:c r="G814" s="12" t="n">
        <x:v>400</x:v>
      </x:c>
      <x:c r="H814" s="12" t="n">
        <x:v>-1.9999999999999432</x:v>
      </x:c>
      <x:c r="I814" s="12" t="str">
        <x:v>TuShare index_daily</x:v>
      </x:c>
      <x:c r="J814" s="12" t="str">
        <x:v>Archived FRED mirror (Hugging Face)</x:v>
      </x:c>
    </x:row>
    <x:row r="815" ht="18" customHeight="1">
      <x:c r="A815" s="13" t="n">
        <x:v>43805</x:v>
      </x:c>
      <x:c r="B815" s="12" t="n">
        <x:v>3902.3853</x:v>
      </x:c>
      <x:c r="C815" s="12" t="n">
        <x:v>3879.3638</x:v>
      </x:c>
      <x:c r="D815" s="12" t="n">
        <x:v>0.5934</x:v>
      </x:c>
      <x:c r="E815" s="12" t="n">
        <x:v>0.005916810441135707</x:v>
      </x:c>
      <x:c r="F815" s="12" t="n">
        <x:v>3.89</x:v>
      </x:c>
      <x:c r="G815" s="12" t="n">
        <x:v>389</x:v>
      </x:c>
      <x:c r="H815" s="12" t="n">
        <x:v>-11</x:v>
      </x:c>
      <x:c r="I815" s="12" t="str">
        <x:v>TuShare index_daily</x:v>
      </x:c>
      <x:c r="J815" s="12" t="str">
        <x:v>Archived FRED mirror (Hugging Face)</x:v>
      </x:c>
    </x:row>
    <x:row r="816" ht="18" customHeight="1">
      <x:c r="A816" s="13" t="n">
        <x:v>43808</x:v>
      </x:c>
      <x:c r="B816" s="12" t="n">
        <x:v>3895.4468</x:v>
      </x:c>
      <x:c r="C816" s="12" t="n">
        <x:v>3902.3853</x:v>
      </x:c>
      <x:c r="D816" s="12" t="n">
        <x:v>-0.1778</x:v>
      </x:c>
      <x:c r="E816" s="12" t="n">
        <x:v>-0.0017795976477017867</x:v>
      </x:c>
      <x:c r="F816" s="12" t="n">
        <x:v>3.88</x:v>
      </x:c>
      <x:c r="G816" s="12" t="n">
        <x:v>388</x:v>
      </x:c>
      <x:c r="H816" s="12" t="n">
        <x:v>-1</x:v>
      </x:c>
      <x:c r="I816" s="12" t="str">
        <x:v>TuShare index_daily</x:v>
      </x:c>
      <x:c r="J816" s="12" t="str">
        <x:v>Archived FRED mirror (Hugging Face)</x:v>
      </x:c>
    </x:row>
    <x:row r="817" ht="18" customHeight="1">
      <x:c r="A817" s="13" t="n">
        <x:v>43809</x:v>
      </x:c>
      <x:c r="B817" s="12" t="n">
        <x:v>3900.3843</x:v>
      </x:c>
      <x:c r="C817" s="12" t="n">
        <x:v>3895.4468</x:v>
      </x:c>
      <x:c r="D817" s="12" t="n">
        <x:v>0.1268</x:v>
      </x:c>
      <x:c r="E817" s="12" t="n">
        <x:v>0.0012667028304908915</x:v>
      </x:c>
      <x:c r="F817" s="12" t="n">
        <x:v>3.84</x:v>
      </x:c>
      <x:c r="G817" s="12" t="n">
        <x:v>384</x:v>
      </x:c>
      <x:c r="H817" s="12" t="n">
        <x:v>-4</x:v>
      </x:c>
      <x:c r="I817" s="12" t="str">
        <x:v>TuShare index_daily</x:v>
      </x:c>
      <x:c r="J817" s="12" t="str">
        <x:v>Archived FRED mirror (Hugging Face)</x:v>
      </x:c>
    </x:row>
    <x:row r="818" ht="18" customHeight="1">
      <x:c r="A818" s="13" t="n">
        <x:v>43810</x:v>
      </x:c>
      <x:c r="B818" s="12" t="n">
        <x:v>3902.7492</x:v>
      </x:c>
      <x:c r="C818" s="12" t="n">
        <x:v>3900.3843</x:v>
      </x:c>
      <x:c r="D818" s="12" t="n">
        <x:v>0.0606</x:v>
      </x:c>
      <x:c r="E818" s="12" t="n">
        <x:v>0.0006061411284087119</x:v>
      </x:c>
      <x:c r="F818" s="12" t="n">
        <x:v>3.83</x:v>
      </x:c>
      <x:c r="G818" s="12" t="n">
        <x:v>383</x:v>
      </x:c>
      <x:c r="H818" s="12" t="n">
        <x:v>-1</x:v>
      </x:c>
      <x:c r="I818" s="12" t="str">
        <x:v>TuShare index_daily</x:v>
      </x:c>
      <x:c r="J818" s="12" t="str">
        <x:v>Archived FRED mirror (Hugging Face)</x:v>
      </x:c>
    </x:row>
    <x:row r="819" ht="18" customHeight="1">
      <x:c r="A819" s="13" t="n">
        <x:v>43811</x:v>
      </x:c>
      <x:c r="B819" s="12" t="n">
        <x:v>3891.0242</x:v>
      </x:c>
      <x:c r="C819" s="12" t="n">
        <x:v>3902.7492</x:v>
      </x:c>
      <x:c r="D819" s="12" t="n">
        <x:v>-0.3004</x:v>
      </x:c>
      <x:c r="E819" s="12" t="n">
        <x:v>-0.003008814407023755</x:v>
      </x:c>
      <x:c r="F819" s="12" t="n">
        <x:v>3.7</x:v>
      </x:c>
      <x:c r="G819" s="12" t="n">
        <x:v>370</x:v>
      </x:c>
      <x:c r="H819" s="12" t="n">
        <x:v>-13</x:v>
      </x:c>
      <x:c r="I819" s="12" t="str">
        <x:v>TuShare index_daily</x:v>
      </x:c>
      <x:c r="J819" s="12" t="str">
        <x:v>Archived FRED mirror (Hugging Face)</x:v>
      </x:c>
    </x:row>
    <x:row r="820" ht="18" customHeight="1">
      <x:c r="A820" s="13" t="n">
        <x:v>43812</x:v>
      </x:c>
      <x:c r="B820" s="12" t="n">
        <x:v>3968.2211</x:v>
      </x:c>
      <x:c r="C820" s="12" t="n">
        <x:v>3891.0242</x:v>
      </x:c>
      <x:c r="D820" s="12" t="n">
        <x:v>1.984</x:v>
      </x:c>
      <x:c r="E820" s="12" t="n">
        <x:v>0.01964549517248232</x:v>
      </x:c>
      <x:c r="F820" s="12" t="n">
        <x:v>3.71</x:v>
      </x:c>
      <x:c r="G820" s="12" t="n">
        <x:v>371</x:v>
      </x:c>
      <x:c r="H820" s="12" t="n">
        <x:v>1</x:v>
      </x:c>
      <x:c r="I820" s="12" t="str">
        <x:v>TuShare index_daily</x:v>
      </x:c>
      <x:c r="J820" s="12" t="str">
        <x:v>Archived FRED mirror (Hugging Face)</x:v>
      </x:c>
    </x:row>
    <x:row r="821" ht="18" customHeight="1">
      <x:c r="A821" s="13" t="n">
        <x:v>43815</x:v>
      </x:c>
      <x:c r="B821" s="12" t="n">
        <x:v>3987.5464</x:v>
      </x:c>
      <x:c r="C821" s="12" t="n">
        <x:v>3968.2211</x:v>
      </x:c>
      <x:c r="D821" s="12" t="n">
        <x:v>0.487</x:v>
      </x:c>
      <x:c r="E821" s="12" t="n">
        <x:v>0.0048581957704862165</x:v>
      </x:c>
      <x:c r="F821" s="12" t="n">
        <x:v>3.62</x:v>
      </x:c>
      <x:c r="G821" s="12" t="n">
        <x:v>362</x:v>
      </x:c>
      <x:c r="H821" s="12" t="n">
        <x:v>-9</x:v>
      </x:c>
      <x:c r="I821" s="12" t="str">
        <x:v>TuShare index_daily</x:v>
      </x:c>
      <x:c r="J821" s="12" t="str">
        <x:v>Archived FRED mirror (Hugging Face)</x:v>
      </x:c>
    </x:row>
    <x:row r="822" ht="18" customHeight="1">
      <x:c r="A822" s="13" t="n">
        <x:v>43816</x:v>
      </x:c>
      <x:c r="B822" s="12" t="n">
        <x:v>4041.7996</x:v>
      </x:c>
      <x:c r="C822" s="12" t="n">
        <x:v>3987.5464</x:v>
      </x:c>
      <x:c r="D822" s="12" t="n">
        <x:v>1.3606</x:v>
      </x:c>
      <x:c r="E822" s="12" t="n">
        <x:v>0.01351393392930136</x:v>
      </x:c>
      <x:c r="F822" s="12" t="n">
        <x:v>3.58</x:v>
      </x:c>
      <x:c r="G822" s="12" t="n">
        <x:v>358</x:v>
      </x:c>
      <x:c r="H822" s="12" t="n">
        <x:v>-4</x:v>
      </x:c>
      <x:c r="I822" s="12" t="str">
        <x:v>TuShare index_daily</x:v>
      </x:c>
      <x:c r="J822" s="12" t="str">
        <x:v>Archived FRED mirror (Hugging Face)</x:v>
      </x:c>
    </x:row>
    <x:row r="823" ht="18" customHeight="1">
      <x:c r="A823" s="13" t="n">
        <x:v>43817</x:v>
      </x:c>
      <x:c r="B823" s="12" t="n">
        <x:v>4032.7826</x:v>
      </x:c>
      <x:c r="C823" s="12" t="n">
        <x:v>4041.7996</x:v>
      </x:c>
      <x:c r="D823" s="12" t="n">
        <x:v>-0.2231</x:v>
      </x:c>
      <x:c r="E823" s="12" t="n">
        <x:v>-0.002233429179337791</x:v>
      </x:c>
      <x:c r="F823" s="12" t="n">
        <x:v>3.51</x:v>
      </x:c>
      <x:c r="G823" s="12" t="n">
        <x:v>351</x:v>
      </x:c>
      <x:c r="H823" s="12" t="n">
        <x:v>-7</x:v>
      </x:c>
      <x:c r="I823" s="12" t="str">
        <x:v>TuShare index_daily</x:v>
      </x:c>
      <x:c r="J823" s="12" t="str">
        <x:v>Archived FRED mirror (Hugging Face)</x:v>
      </x:c>
    </x:row>
    <x:row r="824" ht="18" customHeight="1">
      <x:c r="A824" s="13" t="n">
        <x:v>43818</x:v>
      </x:c>
      <x:c r="B824" s="12" t="n">
        <x:v>4027.1495</x:v>
      </x:c>
      <x:c r="C824" s="12" t="n">
        <x:v>4032.7826</x:v>
      </x:c>
      <x:c r="D824" s="12" t="n">
        <x:v>-0.1397</x:v>
      </x:c>
      <x:c r="E824" s="12" t="n">
        <x:v>-0.001397803566406833</x:v>
      </x:c>
      <x:c r="F824" s="12" t="n">
        <x:v>3.54</x:v>
      </x:c>
      <x:c r="G824" s="12" t="n">
        <x:v>354</x:v>
      </x:c>
      <x:c r="H824" s="12" t="n">
        <x:v>3</x:v>
      </x:c>
      <x:c r="I824" s="12" t="str">
        <x:v>TuShare index_daily</x:v>
      </x:c>
      <x:c r="J824" s="12" t="str">
        <x:v>Archived FRED mirror (Hugging Face)</x:v>
      </x:c>
    </x:row>
    <x:row r="825" ht="18" customHeight="1">
      <x:c r="A825" s="13" t="n">
        <x:v>43819</x:v>
      </x:c>
      <x:c r="B825" s="12" t="n">
        <x:v>4017.2527</x:v>
      </x:c>
      <x:c r="C825" s="12" t="n">
        <x:v>4027.1495</x:v>
      </x:c>
      <x:c r="D825" s="12" t="n">
        <x:v>-0.2458</x:v>
      </x:c>
      <x:c r="E825" s="12" t="n">
        <x:v>-0.0024605445493925703</x:v>
      </x:c>
      <x:c r="F825" s="12" t="n">
        <x:v>3.53</x:v>
      </x:c>
      <x:c r="G825" s="12" t="n">
        <x:v>353</x:v>
      </x:c>
      <x:c r="H825" s="12" t="n">
        <x:v>-1</x:v>
      </x:c>
      <x:c r="I825" s="12" t="str">
        <x:v>TuShare index_daily</x:v>
      </x:c>
      <x:c r="J825" s="12" t="str">
        <x:v>Archived FRED mirror (Hugging Face)</x:v>
      </x:c>
    </x:row>
    <x:row r="826" ht="18" customHeight="1">
      <x:c r="A826" s="13" t="n">
        <x:v>43822</x:v>
      </x:c>
      <x:c r="B826" s="12" t="n">
        <x:v>3967.0962</x:v>
      </x:c>
      <x:c r="C826" s="12" t="n">
        <x:v>4017.2527</x:v>
      </x:c>
      <x:c r="D826" s="12" t="n">
        <x:v>-1.2485</x:v>
      </x:c>
      <x:c r="E826" s="12" t="n">
        <x:v>-0.012563869739876722</x:v>
      </x:c>
      <x:c r="F826" s="12" t="n">
        <x:v>3.52</x:v>
      </x:c>
      <x:c r="G826" s="12" t="n">
        <x:v>352</x:v>
      </x:c>
      <x:c r="H826" s="12" t="n">
        <x:v>-1</x:v>
      </x:c>
      <x:c r="I826" s="12" t="str">
        <x:v>TuShare index_daily</x:v>
      </x:c>
      <x:c r="J826" s="12" t="str">
        <x:v>Archived FRED mirror (Hugging Face)</x:v>
      </x:c>
    </x:row>
    <x:row r="827" ht="18" customHeight="1">
      <x:c r="A827" s="13" t="n">
        <x:v>43823</x:v>
      </x:c>
      <x:c r="B827" s="12" t="n">
        <x:v>3992.9581</x:v>
      </x:c>
      <x:c r="C827" s="12" t="n">
        <x:v>3967.0962</x:v>
      </x:c>
      <x:c r="D827" s="12" t="n">
        <x:v>0.6519</x:v>
      </x:c>
      <x:c r="E827" s="12" t="n">
        <x:v>0.006497943361457646</x:v>
      </x:c>
      <x:c r="F827" s="12" t="n">
        <x:v>3.53</x:v>
      </x:c>
      <x:c r="G827" s="12" t="n">
        <x:v>353</x:v>
      </x:c>
      <x:c r="H827" s="12" t="n">
        <x:v>1</x:v>
      </x:c>
      <x:c r="I827" s="12" t="str">
        <x:v>TuShare index_daily</x:v>
      </x:c>
      <x:c r="J827" s="12" t="str">
        <x:v>Archived FRED mirror (Hugging Face)</x:v>
      </x:c>
    </x:row>
    <x:row r="828" ht="18" customHeight="1">
      <x:c r="A828" s="13" t="n">
        <x:v>43825</x:v>
      </x:c>
      <x:c r="B828" s="12" t="n">
        <x:v>4025.9879</x:v>
      </x:c>
      <x:c r="C828" s="12" t="n">
        <x:v>3990.8671</x:v>
      </x:c>
      <x:c r="D828" s="12" t="n">
        <x:v>0.88</x:v>
      </x:c>
      <x:c r="E828" s="12" t="n">
        <x:v>0.008761796161291392</x:v>
      </x:c>
      <x:c r="F828" s="12" t="n">
        <x:v>3.53</x:v>
      </x:c>
      <x:c r="G828" s="12" t="n">
        <x:v>353</x:v>
      </x:c>
      <x:c r="H828" s="12" t="n">
        <x:v>0</x:v>
      </x:c>
      <x:c r="I828" s="12" t="str">
        <x:v>TuShare index_daily</x:v>
      </x:c>
      <x:c r="J828" s="12" t="str">
        <x:v>Archived FRED mirror (Hugging Face)</x:v>
      </x:c>
    </x:row>
    <x:row r="829" ht="18" customHeight="1">
      <x:c r="A829" s="13" t="n">
        <x:v>43826</x:v>
      </x:c>
      <x:c r="B829" s="12" t="n">
        <x:v>4022.0278</x:v>
      </x:c>
      <x:c r="C829" s="12" t="n">
        <x:v>4025.9879</x:v>
      </x:c>
      <x:c r="D829" s="12" t="n">
        <x:v>-0.0984</x:v>
      </x:c>
      <x:c r="E829" s="12" t="n">
        <x:v>-0.0009841184379423033</x:v>
      </x:c>
      <x:c r="F829" s="12" t="n">
        <x:v>3.56</x:v>
      </x:c>
      <x:c r="G829" s="12" t="n">
        <x:v>356</x:v>
      </x:c>
      <x:c r="H829" s="12" t="n">
        <x:v>3</x:v>
      </x:c>
      <x:c r="I829" s="12" t="str">
        <x:v>TuShare index_daily</x:v>
      </x:c>
      <x:c r="J829" s="12" t="str">
        <x:v>Archived FRED mirror (Hugging Face)</x:v>
      </x:c>
    </x:row>
    <x:row r="830" ht="18" customHeight="1">
      <x:c r="A830" s="13" t="n">
        <x:v>43829</x:v>
      </x:c>
      <x:c r="B830" s="12" t="n">
        <x:v>4081.6334</x:v>
      </x:c>
      <x:c r="C830" s="12" t="n">
        <x:v>4022.0278</x:v>
      </x:c>
      <x:c r="D830" s="12" t="n">
        <x:v>1.482</x:v>
      </x:c>
      <x:c r="E830" s="12" t="n">
        <x:v>0.014711048126733142</x:v>
      </x:c>
      <x:c r="F830" s="12" t="n">
        <x:v>3.6</x:v>
      </x:c>
      <x:c r="G830" s="12" t="n">
        <x:v>360</x:v>
      </x:c>
      <x:c r="H830" s="12" t="n">
        <x:v>4</x:v>
      </x:c>
      <x:c r="I830" s="12" t="str">
        <x:v>TuShare index_daily</x:v>
      </x:c>
      <x:c r="J830" s="12" t="str">
        <x:v>Archived FRED mirror (Hugging Face)</x:v>
      </x:c>
    </x:row>
    <x:row r="831" ht="18" customHeight="1">
      <x:c r="A831" s="13" t="n">
        <x:v>43830</x:v>
      </x:c>
      <x:c r="B831" s="12" t="n">
        <x:v>4096.5821</x:v>
      </x:c>
      <x:c r="C831" s="12" t="n">
        <x:v>4081.6334</x:v>
      </x:c>
      <x:c r="D831" s="12" t="n">
        <x:v>0.3662</x:v>
      </x:c>
      <x:c r="E831" s="12" t="n">
        <x:v>0.0036557404603511975</x:v>
      </x:c>
      <x:c r="F831" s="12" t="n">
        <x:v>3.6</x:v>
      </x:c>
      <x:c r="G831" s="12" t="n">
        <x:v>360</x:v>
      </x:c>
      <x:c r="H831" s="12" t="n">
        <x:v>0</x:v>
      </x:c>
      <x:c r="I831" s="12" t="str">
        <x:v>TuShare index_daily</x:v>
      </x:c>
      <x:c r="J831" s="12" t="str">
        <x:v>Archived FRED mirror (Hugging Face)</x:v>
      </x:c>
    </x:row>
    <x:row r="832" ht="18" customHeight="1">
      <x:c r="A832" s="13" t="n">
        <x:v>43832</x:v>
      </x:c>
      <x:c r="B832" s="12" t="n">
        <x:v>4152.2408</x:v>
      </x:c>
      <x:c r="C832" s="12" t="n">
        <x:v>4096.5821</x:v>
      </x:c>
      <x:c r="D832" s="12" t="n">
        <x:v>1.3587</x:v>
      </x:c>
      <x:c r="E832" s="12" t="n">
        <x:v>0.013495148430566905</x:v>
      </x:c>
      <x:c r="F832" s="12" t="n">
        <x:v>3.56</x:v>
      </x:c>
      <x:c r="G832" s="12" t="n">
        <x:v>356</x:v>
      </x:c>
      <x:c r="H832" s="12" t="n">
        <x:v>-4</x:v>
      </x:c>
      <x:c r="I832" s="12" t="str">
        <x:v>TuShare index_daily</x:v>
      </x:c>
      <x:c r="J832" s="12" t="str">
        <x:v>Archived FRED mirror (Hugging Face)</x:v>
      </x:c>
    </x:row>
    <x:row r="833" ht="18" customHeight="1">
      <x:c r="A833" s="13" t="n">
        <x:v>43833</x:v>
      </x:c>
      <x:c r="B833" s="12" t="n">
        <x:v>4144.9649</x:v>
      </x:c>
      <x:c r="C833" s="12" t="n">
        <x:v>4152.2408</x:v>
      </x:c>
      <x:c r="D833" s="12" t="n">
        <x:v>-0.1752</x:v>
      </x:c>
      <x:c r="E833" s="12" t="n">
        <x:v>-0.0017538198106827857</x:v>
      </x:c>
      <x:c r="F833" s="12" t="n">
        <x:v>3.61</x:v>
      </x:c>
      <x:c r="G833" s="12" t="n">
        <x:v>361</x:v>
      </x:c>
      <x:c r="H833" s="12" t="n">
        <x:v>5</x:v>
      </x:c>
      <x:c r="I833" s="12" t="str">
        <x:v>TuShare index_daily</x:v>
      </x:c>
      <x:c r="J833" s="12" t="str">
        <x:v>Archived FRED mirror (Hugging Face)</x:v>
      </x:c>
    </x:row>
    <x:row r="834" ht="18" customHeight="1">
      <x:c r="A834" s="13" t="n">
        <x:v>43836</x:v>
      </x:c>
      <x:c r="B834" s="12" t="n">
        <x:v>4129.2954</x:v>
      </x:c>
      <x:c r="C834" s="12" t="n">
        <x:v>4144.9649</x:v>
      </x:c>
      <x:c r="D834" s="12" t="n">
        <x:v>-0.378</x:v>
      </x:c>
      <x:c r="E834" s="12" t="n">
        <x:v>-0.003787533426308017</x:v>
      </x:c>
      <x:c r="F834" s="12" t="n">
        <x:v>3.57</x:v>
      </x:c>
      <x:c r="G834" s="12" t="n">
        <x:v>357</x:v>
      </x:c>
      <x:c r="H834" s="12" t="n">
        <x:v>-4</x:v>
      </x:c>
      <x:c r="I834" s="12" t="str">
        <x:v>TuShare index_daily</x:v>
      </x:c>
      <x:c r="J834" s="12" t="str">
        <x:v>Archived FRED mirror (Hugging Face)</x:v>
      </x:c>
    </x:row>
    <x:row r="835" ht="18" customHeight="1">
      <x:c r="A835" s="13" t="n">
        <x:v>43837</x:v>
      </x:c>
      <x:c r="B835" s="12" t="n">
        <x:v>4160.2274</x:v>
      </x:c>
      <x:c r="C835" s="12" t="n">
        <x:v>4129.2954</x:v>
      </x:c>
      <x:c r="D835" s="12" t="n">
        <x:v>0.7491</x:v>
      </x:c>
      <x:c r="E835" s="12" t="n">
        <x:v>0.007462949149397088</x:v>
      </x:c>
      <x:c r="F835" s="12" t="n">
        <x:v>3.54</x:v>
      </x:c>
      <x:c r="G835" s="12" t="n">
        <x:v>354</x:v>
      </x:c>
      <x:c r="H835" s="12" t="n">
        <x:v>-3</x:v>
      </x:c>
      <x:c r="I835" s="12" t="str">
        <x:v>TuShare index_daily</x:v>
      </x:c>
      <x:c r="J835" s="12" t="str">
        <x:v>Archived FRED mirror (Hugging Face)</x:v>
      </x:c>
    </x:row>
    <x:row r="836" ht="18" customHeight="1">
      <x:c r="A836" s="13" t="n">
        <x:v>43838</x:v>
      </x:c>
      <x:c r="B836" s="12" t="n">
        <x:v>4112.3172</x:v>
      </x:c>
      <x:c r="C836" s="12" t="n">
        <x:v>4160.2274</x:v>
      </x:c>
      <x:c r="D836" s="12" t="n">
        <x:v>-1.1516</x:v>
      </x:c>
      <x:c r="E836" s="12" t="n">
        <x:v>-0.0115830709851755</x:v>
      </x:c>
      <x:c r="F836" s="12" t="n">
        <x:v>3.5</x:v>
      </x:c>
      <x:c r="G836" s="12" t="n">
        <x:v>350</x:v>
      </x:c>
      <x:c r="H836" s="12" t="n">
        <x:v>-4</x:v>
      </x:c>
      <x:c r="I836" s="12" t="str">
        <x:v>TuShare index_daily</x:v>
      </x:c>
      <x:c r="J836" s="12" t="str">
        <x:v>Archived FRED mirror (Hugging Face)</x:v>
      </x:c>
    </x:row>
    <x:row r="837" ht="18" customHeight="1">
      <x:c r="A837" s="13" t="n">
        <x:v>43839</x:v>
      </x:c>
      <x:c r="B837" s="12" t="n">
        <x:v>4164.3697</x:v>
      </x:c>
      <x:c r="C837" s="12" t="n">
        <x:v>4112.3172</x:v>
      </x:c>
      <x:c r="D837" s="12" t="n">
        <x:v>1.2658</x:v>
      </x:c>
      <x:c r="E837" s="12" t="n">
        <x:v>0.012578266378327381</x:v>
      </x:c>
      <x:c r="F837" s="12" t="n">
        <x:v>3.49</x:v>
      </x:c>
      <x:c r="G837" s="12" t="n">
        <x:v>349</x:v>
      </x:c>
      <x:c r="H837" s="12" t="n">
        <x:v>-1</x:v>
      </x:c>
      <x:c r="I837" s="12" t="str">
        <x:v>TuShare index_daily</x:v>
      </x:c>
      <x:c r="J837" s="12" t="str">
        <x:v>Archived FRED mirror (Hugging Face)</x:v>
      </x:c>
    </x:row>
    <x:row r="838" ht="18" customHeight="1">
      <x:c r="A838" s="13" t="n">
        <x:v>43840</x:v>
      </x:c>
      <x:c r="B838" s="12" t="n">
        <x:v>4163.1849</x:v>
      </x:c>
      <x:c r="C838" s="12" t="n">
        <x:v>4164.3697</x:v>
      </x:c>
      <x:c r="D838" s="12" t="n">
        <x:v>-0.0285</x:v>
      </x:c>
      <x:c r="E838" s="12" t="n">
        <x:v>-0.0002845493220769424</x:v>
      </x:c>
      <x:c r="F838" s="12" t="n">
        <x:v>3.48</x:v>
      </x:c>
      <x:c r="G838" s="12" t="n">
        <x:v>348</x:v>
      </x:c>
      <x:c r="H838" s="12" t="n">
        <x:v>-1</x:v>
      </x:c>
      <x:c r="I838" s="12" t="str">
        <x:v>TuShare index_daily</x:v>
      </x:c>
      <x:c r="J838" s="12" t="str">
        <x:v>Archived FRED mirror (Hugging Face)</x:v>
      </x:c>
    </x:row>
    <x:row r="839" ht="18" customHeight="1">
      <x:c r="A839" s="13" t="n">
        <x:v>43843</x:v>
      </x:c>
      <x:c r="B839" s="12" t="n">
        <x:v>4203.9883</x:v>
      </x:c>
      <x:c r="C839" s="12" t="n">
        <x:v>4163.1849</x:v>
      </x:c>
      <x:c r="D839" s="12" t="n">
        <x:v>0.9801</x:v>
      </x:c>
      <x:c r="E839" s="12" t="n">
        <x:v>0.0097532876352903</x:v>
      </x:c>
      <x:c r="F839" s="12" t="n">
        <x:v>3.48</x:v>
      </x:c>
      <x:c r="G839" s="12" t="n">
        <x:v>348</x:v>
      </x:c>
      <x:c r="H839" s="12" t="n">
        <x:v>0</x:v>
      </x:c>
      <x:c r="I839" s="12" t="str">
        <x:v>TuShare index_daily</x:v>
      </x:c>
      <x:c r="J839" s="12" t="str">
        <x:v>Archived FRED mirror (Hugging Face)</x:v>
      </x:c>
    </x:row>
    <x:row r="840" ht="18" customHeight="1">
      <x:c r="A840" s="13" t="n">
        <x:v>43844</x:v>
      </x:c>
      <x:c r="B840" s="12" t="n">
        <x:v>4189.8862</x:v>
      </x:c>
      <x:c r="C840" s="12" t="n">
        <x:v>4203.9883</x:v>
      </x:c>
      <x:c r="D840" s="12" t="n">
        <x:v>-0.3354</x:v>
      </x:c>
      <x:c r="E840" s="12" t="n">
        <x:v>-0.003360096286408275</x:v>
      </x:c>
      <x:c r="F840" s="12" t="n">
        <x:v>3.45</x:v>
      </x:c>
      <x:c r="G840" s="12" t="n">
        <x:v>345</x:v>
      </x:c>
      <x:c r="H840" s="12" t="n">
        <x:v>-3</x:v>
      </x:c>
      <x:c r="I840" s="12" t="str">
        <x:v>TuShare index_daily</x:v>
      </x:c>
      <x:c r="J840" s="12" t="str">
        <x:v>Archived FRED mirror (Hugging Face)</x:v>
      </x:c>
    </x:row>
    <x:row r="841" ht="18" customHeight="1">
      <x:c r="A841" s="13" t="n">
        <x:v>43845</x:v>
      </x:c>
      <x:c r="B841" s="12" t="n">
        <x:v>4166.7344</x:v>
      </x:c>
      <x:c r="C841" s="12" t="n">
        <x:v>4189.8862</x:v>
      </x:c>
      <x:c r="D841" s="12" t="n">
        <x:v>-0.5526</x:v>
      </x:c>
      <x:c r="E841" s="12" t="n">
        <x:v>-0.00554096215265634</x:v>
      </x:c>
      <x:c r="F841" s="12" t="n">
        <x:v>3.44</x:v>
      </x:c>
      <x:c r="G841" s="12" t="n">
        <x:v>344</x:v>
      </x:c>
      <x:c r="H841" s="12" t="n">
        <x:v>-1</x:v>
      </x:c>
      <x:c r="I841" s="12" t="str">
        <x:v>TuShare index_daily</x:v>
      </x:c>
      <x:c r="J841" s="12" t="str">
        <x:v>Archived FRED mirror (Hugging Face)</x:v>
      </x:c>
    </x:row>
    <x:row r="842" ht="18" customHeight="1">
      <x:c r="A842" s="13" t="n">
        <x:v>43846</x:v>
      </x:c>
      <x:c r="B842" s="12" t="n">
        <x:v>4149.0434</x:v>
      </x:c>
      <x:c r="C842" s="12" t="n">
        <x:v>4166.7344</x:v>
      </x:c>
      <x:c r="D842" s="12" t="n">
        <x:v>-0.4246</x:v>
      </x:c>
      <x:c r="E842" s="12" t="n">
        <x:v>-0.004254809860104781</x:v>
      </x:c>
      <x:c r="F842" s="12" t="n">
        <x:v>3.42</x:v>
      </x:c>
      <x:c r="G842" s="12" t="n">
        <x:v>342</x:v>
      </x:c>
      <x:c r="H842" s="12" t="n">
        <x:v>-2</x:v>
      </x:c>
      <x:c r="I842" s="12" t="str">
        <x:v>TuShare index_daily</x:v>
      </x:c>
      <x:c r="J842" s="12" t="str">
        <x:v>Archived FRED mirror (Hugging Face)</x:v>
      </x:c>
    </x:row>
    <x:row r="843" ht="18" customHeight="1">
      <x:c r="A843" s="13" t="n">
        <x:v>43847</x:v>
      </x:c>
      <x:c r="B843" s="12" t="n">
        <x:v>4154.853</x:v>
      </x:c>
      <x:c r="C843" s="12" t="n">
        <x:v>4149.0434</x:v>
      </x:c>
      <x:c r="D843" s="12" t="n">
        <x:v>0.14</x:v>
      </x:c>
      <x:c r="E843" s="12" t="n">
        <x:v>0.0013992469722722961</x:v>
      </x:c>
      <x:c r="F843" s="12" t="n">
        <x:v>3.39</x:v>
      </x:c>
      <x:c r="G843" s="12" t="n">
        <x:v>339</x:v>
      </x:c>
      <x:c r="H843" s="12" t="n">
        <x:v>-3</x:v>
      </x:c>
      <x:c r="I843" s="12" t="str">
        <x:v>TuShare index_daily</x:v>
      </x:c>
      <x:c r="J843" s="12" t="str">
        <x:v>Archived FRED mirror (Hugging Face)</x:v>
      </x:c>
    </x:row>
    <x:row r="844" ht="18" customHeight="1">
      <x:c r="A844" s="13" t="n">
        <x:v>43850</x:v>
      </x:c>
      <x:c r="B844" s="12" t="n">
        <x:v>4185.8304</x:v>
      </x:c>
      <x:c r="C844" s="12" t="n">
        <x:v>4154.853</x:v>
      </x:c>
      <x:c r="D844" s="12" t="n">
        <x:v>0.7456</x:v>
      </x:c>
      <x:c r="E844" s="12" t="n">
        <x:v>0.007428058577093128</x:v>
      </x:c>
      <x:c r="F844" s="12" t="n">
        <x:v>3.38</x:v>
      </x:c>
      <x:c r="G844" s="12" t="n">
        <x:v>338</x:v>
      </x:c>
      <x:c r="H844" s="12" t="n">
        <x:v>-1</x:v>
      </x:c>
      <x:c r="I844" s="12" t="str">
        <x:v>TuShare index_daily</x:v>
      </x:c>
      <x:c r="J844" s="12" t="str">
        <x:v>Archived FRED mirror (Hugging Face)</x:v>
      </x:c>
    </x:row>
    <x:row r="845" ht="18" customHeight="1">
      <x:c r="A845" s="13" t="n">
        <x:v>43851</x:v>
      </x:c>
      <x:c r="B845" s="12" t="n">
        <x:v>4114.3085</x:v>
      </x:c>
      <x:c r="C845" s="12" t="n">
        <x:v>4185.8304</x:v>
      </x:c>
      <x:c r="D845" s="12" t="n">
        <x:v>-1.7087</x:v>
      </x:c>
      <x:c r="E845" s="12" t="n">
        <x:v>-0.017234330931583355</x:v>
      </x:c>
      <x:c r="F845" s="12" t="n">
        <x:v>3.47</x:v>
      </x:c>
      <x:c r="G845" s="12" t="n">
        <x:v>347</x:v>
      </x:c>
      <x:c r="H845" s="12" t="n">
        <x:v>9</x:v>
      </x:c>
      <x:c r="I845" s="12" t="str">
        <x:v>TuShare index_daily</x:v>
      </x:c>
      <x:c r="J845" s="12" t="str">
        <x:v>Archived FRED mirror (Hugging Face)</x:v>
      </x:c>
    </x:row>
    <x:row r="846" ht="18" customHeight="1">
      <x:c r="A846" s="13" t="n">
        <x:v>43852</x:v>
      </x:c>
      <x:c r="B846" s="12" t="n">
        <x:v>4131.9311</x:v>
      </x:c>
      <x:c r="C846" s="12" t="n">
        <x:v>4114.3085</x:v>
      </x:c>
      <x:c r="D846" s="12" t="n">
        <x:v>0.4283</x:v>
      </x:c>
      <x:c r="E846" s="12" t="n">
        <x:v>0.0042741001188863715</x:v>
      </x:c>
      <x:c r="F846" s="12" t="n">
        <x:v>3.49</x:v>
      </x:c>
      <x:c r="G846" s="12" t="n">
        <x:v>349</x:v>
      </x:c>
      <x:c r="H846" s="12" t="n">
        <x:v>2</x:v>
      </x:c>
      <x:c r="I846" s="12" t="str">
        <x:v>TuShare index_daily</x:v>
      </x:c>
      <x:c r="J846" s="12" t="str">
        <x:v>Archived FRED mirror (Hugging Face)</x:v>
      </x:c>
    </x:row>
    <x:row r="847" ht="18" customHeight="1">
      <x:c r="A847" s="13" t="n">
        <x:v>43853</x:v>
      </x:c>
      <x:c r="B847" s="12" t="n">
        <x:v>4003.9013</x:v>
      </x:c>
      <x:c r="C847" s="12" t="n">
        <x:v>4131.9311</x:v>
      </x:c>
      <x:c r="D847" s="12" t="n">
        <x:v>-3.0985</x:v>
      </x:c>
      <x:c r="E847" s="12" t="n">
        <x:v>-0.03147566558508316</x:v>
      </x:c>
      <x:c r="F847" s="12" t="n">
        <x:v>3.58</x:v>
      </x:c>
      <x:c r="G847" s="12" t="n">
        <x:v>358</x:v>
      </x:c>
      <x:c r="H847" s="12" t="n">
        <x:v>9</x:v>
      </x:c>
      <x:c r="I847" s="12" t="str">
        <x:v>TuShare index_daily</x:v>
      </x:c>
      <x:c r="J847" s="12" t="str">
        <x:v>Archived FRED mirror (Hugging Face)</x:v>
      </x:c>
    </x:row>
    <x:row r="848" ht="18" customHeight="1">
      <x:c r="A848" s="13" t="n">
        <x:v>43864</x:v>
      </x:c>
      <x:c r="B848" s="12" t="n">
        <x:v>3688.3578</x:v>
      </x:c>
      <x:c r="C848" s="12" t="n">
        <x:v>4003.9013</x:v>
      </x:c>
      <x:c r="D848" s="12" t="n">
        <x:v>-7.8809</x:v>
      </x:c>
      <x:c r="E848" s="12" t="n">
        <x:v>-0.08208789245745143</x:v>
      </x:c>
      <x:c r="F848" s="12" t="n">
        <x:v>3.97</x:v>
      </x:c>
      <x:c r="G848" s="12" t="n">
        <x:v>397</x:v>
      </x:c>
      <x:c r="H848" s="12" t="n">
        <x:v>-6</x:v>
      </x:c>
      <x:c r="I848" s="12" t="str">
        <x:v>TuShare index_daily</x:v>
      </x:c>
      <x:c r="J848" s="12" t="str">
        <x:v>Archived FRED mirror (Hugging Face)</x:v>
      </x:c>
    </x:row>
    <x:row r="849" ht="18" customHeight="1">
      <x:c r="A849" s="13" t="n">
        <x:v>43865</x:v>
      </x:c>
      <x:c r="B849" s="12" t="n">
        <x:v>3785.6376</x:v>
      </x:c>
      <x:c r="C849" s="12" t="n">
        <x:v>3688.3578</x:v>
      </x:c>
      <x:c r="D849" s="12" t="n">
        <x:v>2.6375</x:v>
      </x:c>
      <x:c r="E849" s="12" t="n">
        <x:v>0.026033008785874372</x:v>
      </x:c>
      <x:c r="F849" s="12" t="n">
        <x:v>3.85</x:v>
      </x:c>
      <x:c r="G849" s="12" t="n">
        <x:v>385</x:v>
      </x:c>
      <x:c r="H849" s="12" t="n">
        <x:v>-12</x:v>
      </x:c>
      <x:c r="I849" s="12" t="str">
        <x:v>TuShare index_daily</x:v>
      </x:c>
      <x:c r="J849" s="12" t="str">
        <x:v>Archived FRED mirror (Hugging Face)</x:v>
      </x:c>
    </x:row>
    <x:row r="850" ht="18" customHeight="1">
      <x:c r="A850" s="13" t="n">
        <x:v>43866</x:v>
      </x:c>
      <x:c r="B850" s="12" t="n">
        <x:v>3828.5272</x:v>
      </x:c>
      <x:c r="C850" s="12" t="n">
        <x:v>3785.6376</x:v>
      </x:c>
      <x:c r="D850" s="12" t="n">
        <x:v>1.133</x:v>
      </x:c>
      <x:c r="E850" s="12" t="n">
        <x:v>0.01126585902804228</x:v>
      </x:c>
      <x:c r="F850" s="12" t="n">
        <x:v>3.75</x:v>
      </x:c>
      <x:c r="G850" s="12" t="n">
        <x:v>375</x:v>
      </x:c>
      <x:c r="H850" s="12" t="n">
        <x:v>-10</x:v>
      </x:c>
      <x:c r="I850" s="12" t="str">
        <x:v>TuShare index_daily</x:v>
      </x:c>
      <x:c r="J850" s="12" t="str">
        <x:v>Archived FRED mirror (Hugging Face)</x:v>
      </x:c>
    </x:row>
    <x:row r="851" ht="18" customHeight="1">
      <x:c r="A851" s="13" t="n">
        <x:v>43867</x:v>
      </x:c>
      <x:c r="B851" s="12" t="n">
        <x:v>3899.7751</x:v>
      </x:c>
      <x:c r="C851" s="12" t="n">
        <x:v>3828.5272</x:v>
      </x:c>
      <x:c r="D851" s="12" t="n">
        <x:v>1.861</x:v>
      </x:c>
      <x:c r="E851" s="12" t="n">
        <x:v>0.018438698650183886</x:v>
      </x:c>
      <x:c r="F851" s="12" t="n">
        <x:v>3.7</x:v>
      </x:c>
      <x:c r="G851" s="12" t="n">
        <x:v>370</x:v>
      </x:c>
      <x:c r="H851" s="12" t="n">
        <x:v>-5</x:v>
      </x:c>
      <x:c r="I851" s="12" t="str">
        <x:v>TuShare index_daily</x:v>
      </x:c>
      <x:c r="J851" s="12" t="str">
        <x:v>Archived FRED mirror (Hugging Face)</x:v>
      </x:c>
    </x:row>
    <x:row r="852" ht="18" customHeight="1">
      <x:c r="A852" s="13" t="n">
        <x:v>43868</x:v>
      </x:c>
      <x:c r="B852" s="12" t="n">
        <x:v>3899.8693</x:v>
      </x:c>
      <x:c r="C852" s="12" t="n">
        <x:v>3899.7751</x:v>
      </x:c>
      <x:c r="D852" s="12" t="n">
        <x:v>0.0024</x:v>
      </x:c>
      <x:c r="E852" s="12" t="n">
        <x:v>0.000024154947372948227</x:v>
      </x:c>
      <x:c r="F852" s="12" t="n">
        <x:v>3.75</x:v>
      </x:c>
      <x:c r="G852" s="12" t="n">
        <x:v>375</x:v>
      </x:c>
      <x:c r="H852" s="12" t="n">
        <x:v>5</x:v>
      </x:c>
      <x:c r="I852" s="12" t="str">
        <x:v>TuShare index_daily</x:v>
      </x:c>
      <x:c r="J852" s="12" t="str">
        <x:v>Archived FRED mirror (Hugging Face)</x:v>
      </x:c>
    </x:row>
    <x:row r="853" ht="18" customHeight="1">
      <x:c r="A853" s="13" t="n">
        <x:v>43871</x:v>
      </x:c>
      <x:c r="B853" s="12" t="n">
        <x:v>3916.0052</x:v>
      </x:c>
      <x:c r="C853" s="12" t="n">
        <x:v>3899.8693</x:v>
      </x:c>
      <x:c r="D853" s="12" t="n">
        <x:v>0.4138</x:v>
      </x:c>
      <x:c r="E853" s="12" t="n">
        <x:v>0.00412901279945909</x:v>
      </x:c>
      <x:c r="F853" s="12" t="n">
        <x:v>3.75</x:v>
      </x:c>
      <x:c r="G853" s="12" t="n">
        <x:v>375</x:v>
      </x:c>
      <x:c r="H853" s="12" t="n">
        <x:v>0</x:v>
      </x:c>
      <x:c r="I853" s="12" t="str">
        <x:v>TuShare index_daily</x:v>
      </x:c>
      <x:c r="J853" s="12" t="str">
        <x:v>Archived FRED mirror (Hugging Face)</x:v>
      </x:c>
    </x:row>
    <x:row r="854" ht="18" customHeight="1">
      <x:c r="A854" s="13" t="n">
        <x:v>43872</x:v>
      </x:c>
      <x:c r="B854" s="12" t="n">
        <x:v>3952.4643</x:v>
      </x:c>
      <x:c r="C854" s="12" t="n">
        <x:v>3916.0052</x:v>
      </x:c>
      <x:c r="D854" s="12" t="n">
        <x:v>0.931</x:v>
      </x:c>
      <x:c r="E854" s="12" t="n">
        <x:v>0.009267205249654655</x:v>
      </x:c>
      <x:c r="F854" s="12" t="n">
        <x:v>3.65</x:v>
      </x:c>
      <x:c r="G854" s="12" t="n">
        <x:v>365</x:v>
      </x:c>
      <x:c r="H854" s="12" t="n">
        <x:v>-10</x:v>
      </x:c>
      <x:c r="I854" s="12" t="str">
        <x:v>TuShare index_daily</x:v>
      </x:c>
      <x:c r="J854" s="12" t="str">
        <x:v>Archived FRED mirror (Hugging Face)</x:v>
      </x:c>
    </x:row>
    <x:row r="855" ht="18" customHeight="1">
      <x:c r="A855" s="13" t="n">
        <x:v>43873</x:v>
      </x:c>
      <x:c r="B855" s="12" t="n">
        <x:v>3984.4325</x:v>
      </x:c>
      <x:c r="C855" s="12" t="n">
        <x:v>3952.4643</x:v>
      </x:c>
      <x:c r="D855" s="12" t="n">
        <x:v>0.8088</x:v>
      </x:c>
      <x:c r="E855" s="12" t="n">
        <x:v>0.008055635264537581</x:v>
      </x:c>
      <x:c r="F855" s="12" t="n">
        <x:v>3.59</x:v>
      </x:c>
      <x:c r="G855" s="12" t="n">
        <x:v>359</x:v>
      </x:c>
      <x:c r="H855" s="12" t="n">
        <x:v>-6</x:v>
      </x:c>
      <x:c r="I855" s="12" t="str">
        <x:v>TuShare index_daily</x:v>
      </x:c>
      <x:c r="J855" s="12" t="str">
        <x:v>Archived FRED mirror (Hugging Face)</x:v>
      </x:c>
    </x:row>
    <x:row r="856" ht="18" customHeight="1">
      <x:c r="A856" s="13" t="n">
        <x:v>43874</x:v>
      </x:c>
      <x:c r="B856" s="12" t="n">
        <x:v>3959.9188</x:v>
      </x:c>
      <x:c r="C856" s="12" t="n">
        <x:v>3984.4325</x:v>
      </x:c>
      <x:c r="D856" s="12" t="n">
        <x:v>-0.6152</x:v>
      </x:c>
      <x:c r="E856" s="12" t="n">
        <x:v>-0.0061713730615193555</x:v>
      </x:c>
      <x:c r="F856" s="12" t="n">
        <x:v>3.57</x:v>
      </x:c>
      <x:c r="G856" s="12" t="n">
        <x:v>357</x:v>
      </x:c>
      <x:c r="H856" s="12" t="n">
        <x:v>-2</x:v>
      </x:c>
      <x:c r="I856" s="12" t="str">
        <x:v>TuShare index_daily</x:v>
      </x:c>
      <x:c r="J856" s="12" t="str">
        <x:v>Archived FRED mirror (Hugging Face)</x:v>
      </x:c>
    </x:row>
    <x:row r="857" ht="18" customHeight="1">
      <x:c r="A857" s="13" t="n">
        <x:v>43875</x:v>
      </x:c>
      <x:c r="B857" s="12" t="n">
        <x:v>3987.7342</x:v>
      </x:c>
      <x:c r="C857" s="12" t="n">
        <x:v>3959.9188</x:v>
      </x:c>
      <x:c r="D857" s="12" t="n">
        <x:v>0.7024</x:v>
      </x:c>
      <x:c r="E857" s="12" t="n">
        <x:v>0.006999679922883055</x:v>
      </x:c>
      <x:c r="F857" s="12" t="n">
        <x:v>3.56</x:v>
      </x:c>
      <x:c r="G857" s="12" t="n">
        <x:v>356</x:v>
      </x:c>
      <x:c r="H857" s="12" t="n">
        <x:v>-1</x:v>
      </x:c>
      <x:c r="I857" s="12" t="str">
        <x:v>TuShare index_daily</x:v>
      </x:c>
      <x:c r="J857" s="12" t="str">
        <x:v>Archived FRED mirror (Hugging Face)</x:v>
      </x:c>
    </x:row>
    <x:row r="858" ht="18" customHeight="1">
      <x:c r="A858" s="13" t="n">
        <x:v>43878</x:v>
      </x:c>
      <x:c r="B858" s="12" t="n">
        <x:v>4077.4241</x:v>
      </x:c>
      <x:c r="C858" s="12" t="n">
        <x:v>3987.7342</x:v>
      </x:c>
      <x:c r="D858" s="12" t="n">
        <x:v>2.2491</x:v>
      </x:c>
      <x:c r="E858" s="12" t="n">
        <x:v>0.022242241064220722</x:v>
      </x:c>
      <x:c r="F858" s="12" t="n">
        <x:v>3.56</x:v>
      </x:c>
      <x:c r="G858" s="12" t="n">
        <x:v>356</x:v>
      </x:c>
      <x:c r="H858" s="12" t="n">
        <x:v>0</x:v>
      </x:c>
      <x:c r="I858" s="12" t="str">
        <x:v>TuShare index_daily</x:v>
      </x:c>
      <x:c r="J858" s="12" t="str">
        <x:v>Archived FRED mirror (Hugging Face)</x:v>
      </x:c>
    </x:row>
    <x:row r="859" ht="18" customHeight="1">
      <x:c r="A859" s="13" t="n">
        <x:v>43879</x:v>
      </x:c>
      <x:c r="B859" s="12" t="n">
        <x:v>4057.5108</x:v>
      </x:c>
      <x:c r="C859" s="12" t="n">
        <x:v>4077.4241</x:v>
      </x:c>
      <x:c r="D859" s="12" t="n">
        <x:v>-0.4884</x:v>
      </x:c>
      <x:c r="E859" s="12" t="n">
        <x:v>-0.004895758852166483</x:v>
      </x:c>
      <x:c r="F859" s="12" t="n">
        <x:v>3.61</x:v>
      </x:c>
      <x:c r="G859" s="12" t="n">
        <x:v>361</x:v>
      </x:c>
      <x:c r="H859" s="12" t="n">
        <x:v>5</x:v>
      </x:c>
      <x:c r="I859" s="12" t="str">
        <x:v>TuShare index_daily</x:v>
      </x:c>
      <x:c r="J859" s="12" t="str">
        <x:v>Archived FRED mirror (Hugging Face)</x:v>
      </x:c>
    </x:row>
    <x:row r="860" ht="18" customHeight="1">
      <x:c r="A860" s="13" t="n">
        <x:v>43880</x:v>
      </x:c>
      <x:c r="B860" s="12" t="n">
        <x:v>4051.3107</x:v>
      </x:c>
      <x:c r="C860" s="12" t="n">
        <x:v>4057.5108</x:v>
      </x:c>
      <x:c r="D860" s="12" t="n">
        <x:v>-0.1528</x:v>
      </x:c>
      <x:c r="E860" s="12" t="n">
        <x:v>-0.0015292237492852212</x:v>
      </x:c>
      <x:c r="F860" s="12" t="n">
        <x:v>3.57</x:v>
      </x:c>
      <x:c r="G860" s="12" t="n">
        <x:v>357</x:v>
      </x:c>
      <x:c r="H860" s="12" t="n">
        <x:v>-4</x:v>
      </x:c>
      <x:c r="I860" s="12" t="str">
        <x:v>TuShare index_daily</x:v>
      </x:c>
      <x:c r="J860" s="12" t="str">
        <x:v>Archived FRED mirror (Hugging Face)</x:v>
      </x:c>
    </x:row>
    <x:row r="861" ht="18" customHeight="1">
      <x:c r="A861" s="13" t="n">
        <x:v>43881</x:v>
      </x:c>
      <x:c r="B861" s="12" t="n">
        <x:v>4144.6561</x:v>
      </x:c>
      <x:c r="C861" s="12" t="n">
        <x:v>4051.3107</x:v>
      </x:c>
      <x:c r="D861" s="12" t="n">
        <x:v>2.3041</x:v>
      </x:c>
      <x:c r="E861" s="12" t="n">
        <x:v>0.02277935932332665</x:v>
      </x:c>
      <x:c r="F861" s="12" t="n">
        <x:v>3.62</x:v>
      </x:c>
      <x:c r="G861" s="12" t="n">
        <x:v>362</x:v>
      </x:c>
      <x:c r="H861" s="12" t="n">
        <x:v>5</x:v>
      </x:c>
      <x:c r="I861" s="12" t="str">
        <x:v>TuShare index_daily</x:v>
      </x:c>
      <x:c r="J861" s="12" t="str">
        <x:v>Archived FRED mirror (Hugging Face)</x:v>
      </x:c>
    </x:row>
    <x:row r="862" ht="18" customHeight="1">
      <x:c r="A862" s="13" t="n">
        <x:v>43882</x:v>
      </x:c>
      <x:c r="B862" s="12" t="n">
        <x:v>4149.4903</x:v>
      </x:c>
      <x:c r="C862" s="12" t="n">
        <x:v>4144.6561</x:v>
      </x:c>
      <x:c r="D862" s="12" t="n">
        <x:v>0.1166</x:v>
      </x:c>
      <x:c r="E862" s="12" t="n">
        <x:v>0.0011656897079620984</x:v>
      </x:c>
      <x:c r="F862" s="12" t="n">
        <x:v>3.66</x:v>
      </x:c>
      <x:c r="G862" s="12" t="n">
        <x:v>366</x:v>
      </x:c>
      <x:c r="H862" s="12" t="n">
        <x:v>4</x:v>
      </x:c>
      <x:c r="I862" s="12" t="str">
        <x:v>TuShare index_daily</x:v>
      </x:c>
      <x:c r="J862" s="12" t="str">
        <x:v>Archived FRED mirror (Hugging Face)</x:v>
      </x:c>
    </x:row>
    <x:row r="863" ht="18" customHeight="1">
      <x:c r="A863" s="13" t="n">
        <x:v>43885</x:v>
      </x:c>
      <x:c r="B863" s="12" t="n">
        <x:v>4132.8388</x:v>
      </x:c>
      <x:c r="C863" s="12" t="n">
        <x:v>4149.4903</x:v>
      </x:c>
      <x:c r="D863" s="12" t="n">
        <x:v>-0.4013</x:v>
      </x:c>
      <x:c r="E863" s="12" t="n">
        <x:v>-0.0040209757990555175</x:v>
      </x:c>
      <x:c r="F863" s="12" t="n">
        <x:v>4.03</x:v>
      </x:c>
      <x:c r="G863" s="12" t="n">
        <x:v>403</x:v>
      </x:c>
      <x:c r="H863" s="12" t="n">
        <x:v>37</x:v>
      </x:c>
      <x:c r="I863" s="12" t="str">
        <x:v>TuShare index_daily</x:v>
      </x:c>
      <x:c r="J863" s="12" t="str">
        <x:v>Archived FRED mirror (Hugging Face)</x:v>
      </x:c>
    </x:row>
    <x:row r="864" ht="18" customHeight="1">
      <x:c r="A864" s="13" t="n">
        <x:v>43886</x:v>
      </x:c>
      <x:c r="B864" s="12" t="n">
        <x:v>4123.8543</x:v>
      </x:c>
      <x:c r="C864" s="12" t="n">
        <x:v>4132.8388</x:v>
      </x:c>
      <x:c r="D864" s="12" t="n">
        <x:v>-0.2174</x:v>
      </x:c>
      <x:c r="E864" s="12" t="n">
        <x:v>-0.0021762958698513814</x:v>
      </x:c>
      <x:c r="F864" s="12" t="n">
        <x:v>4.18</x:v>
      </x:c>
      <x:c r="G864" s="12" t="n">
        <x:v>418</x:v>
      </x:c>
      <x:c r="H864" s="12" t="n">
        <x:v>15</x:v>
      </x:c>
      <x:c r="I864" s="12" t="str">
        <x:v>TuShare index_daily</x:v>
      </x:c>
      <x:c r="J864" s="12" t="str">
        <x:v>Archived FRED mirror (Hugging Face)</x:v>
      </x:c>
    </x:row>
    <x:row r="865" ht="18" customHeight="1">
      <x:c r="A865" s="13" t="n">
        <x:v>43887</x:v>
      </x:c>
      <x:c r="B865" s="12" t="n">
        <x:v>4073.0152</x:v>
      </x:c>
      <x:c r="C865" s="12" t="n">
        <x:v>4123.8543</x:v>
      </x:c>
      <x:c r="D865" s="12" t="n">
        <x:v>-1.2328</x:v>
      </x:c>
      <x:c r="E865" s="12" t="n">
        <x:v>-0.012404675201421004</x:v>
      </x:c>
      <x:c r="F865" s="12" t="n">
        <x:v>4.27</x:v>
      </x:c>
      <x:c r="G865" s="12" t="n">
        <x:v>426.99999999999994</x:v>
      </x:c>
      <x:c r="H865" s="12" t="n">
        <x:v>8.999999999999943</x:v>
      </x:c>
      <x:c r="I865" s="12" t="str">
        <x:v>TuShare index_daily</x:v>
      </x:c>
      <x:c r="J865" s="12" t="str">
        <x:v>Archived FRED mirror (Hugging Face)</x:v>
      </x:c>
    </x:row>
    <x:row r="866" ht="18" customHeight="1">
      <x:c r="A866" s="13" t="n">
        <x:v>43888</x:v>
      </x:c>
      <x:c r="B866" s="12" t="n">
        <x:v>4084.8759</x:v>
      </x:c>
      <x:c r="C866" s="12" t="n">
        <x:v>4073.0152</x:v>
      </x:c>
      <x:c r="D866" s="12" t="n">
        <x:v>0.2912</x:v>
      </x:c>
      <x:c r="E866" s="12" t="n">
        <x:v>0.002907787861271764</x:v>
      </x:c>
      <x:c r="F866" s="12" t="n">
        <x:v>4.62</x:v>
      </x:c>
      <x:c r="G866" s="12" t="n">
        <x:v>462</x:v>
      </x:c>
      <x:c r="H866" s="12" t="n">
        <x:v>35.00000000000006</x:v>
      </x:c>
      <x:c r="I866" s="12" t="str">
        <x:v>TuShare index_daily</x:v>
      </x:c>
      <x:c r="J866" s="12" t="str">
        <x:v>Archived FRED mirror (Hugging Face)</x:v>
      </x:c>
    </x:row>
    <x:row r="867" ht="18" customHeight="1">
      <x:c r="A867" s="13" t="n">
        <x:v>43889</x:v>
      </x:c>
      <x:c r="B867" s="12" t="n">
        <x:v>3940.0488</x:v>
      </x:c>
      <x:c r="C867" s="12" t="n">
        <x:v>4084.8759</x:v>
      </x:c>
      <x:c r="D867" s="12" t="n">
        <x:v>-3.5454</x:v>
      </x:c>
      <x:c r="E867" s="12" t="n">
        <x:v>-0.036098239393596</x:v>
      </x:c>
      <x:c r="F867" s="12" t="n">
        <x:v>5.04</x:v>
      </x:c>
      <x:c r="G867" s="12" t="n">
        <x:v>504</x:v>
      </x:c>
      <x:c r="H867" s="12" t="n">
        <x:v>42</x:v>
      </x:c>
      <x:c r="I867" s="12" t="str">
        <x:v>TuShare index_daily</x:v>
      </x:c>
      <x:c r="J867" s="12" t="str">
        <x:v>Archived FRED mirror (Hugging Face)</x:v>
      </x:c>
    </x:row>
    <x:row r="868" ht="18" customHeight="1">
      <x:c r="A868" s="13" t="n">
        <x:v>43892</x:v>
      </x:c>
      <x:c r="B868" s="12" t="n">
        <x:v>4069.6662</x:v>
      </x:c>
      <x:c r="C868" s="12" t="n">
        <x:v>3940.0488</x:v>
      </x:c>
      <x:c r="D868" s="12" t="n">
        <x:v>3.2897</x:v>
      </x:c>
      <x:c r="E868" s="12" t="n">
        <x:v>0.03236787232915487</x:v>
      </x:c>
      <x:c r="F868" s="12" t="n">
        <x:v>4.97</x:v>
      </x:c>
      <x:c r="G868" s="12" t="n">
        <x:v>497</x:v>
      </x:c>
      <x:c r="H868" s="12" t="n">
        <x:v>-8.999999999999943</x:v>
      </x:c>
      <x:c r="I868" s="12" t="str">
        <x:v>TuShare index_daily</x:v>
      </x:c>
      <x:c r="J868" s="12" t="str">
        <x:v>Archived FRED mirror (Hugging Face)</x:v>
      </x:c>
    </x:row>
    <x:row r="869" ht="18" customHeight="1">
      <x:c r="A869" s="13" t="n">
        <x:v>43893</x:v>
      </x:c>
      <x:c r="B869" s="12" t="n">
        <x:v>4091.3615</x:v>
      </x:c>
      <x:c r="C869" s="12" t="n">
        <x:v>4069.6662</x:v>
      </x:c>
      <x:c r="D869" s="12" t="n">
        <x:v>0.5331</x:v>
      </x:c>
      <x:c r="E869" s="12" t="n">
        <x:v>0.0053168183972415635</x:v>
      </x:c>
      <x:c r="F869" s="12" t="n">
        <x:v>4.84</x:v>
      </x:c>
      <x:c r="G869" s="12" t="n">
        <x:v>484</x:v>
      </x:c>
      <x:c r="H869" s="12" t="n">
        <x:v>-13</x:v>
      </x:c>
      <x:c r="I869" s="12" t="str">
        <x:v>TuShare index_daily</x:v>
      </x:c>
      <x:c r="J869" s="12" t="str">
        <x:v>Archived FRED mirror (Hugging Face)</x:v>
      </x:c>
    </x:row>
    <x:row r="870" ht="18" customHeight="1">
      <x:c r="A870" s="13" t="n">
        <x:v>43894</x:v>
      </x:c>
      <x:c r="B870" s="12" t="n">
        <x:v>4115.0524</x:v>
      </x:c>
      <x:c r="C870" s="12" t="n">
        <x:v>4091.3615</x:v>
      </x:c>
      <x:c r="D870" s="12" t="n">
        <x:v>0.579</x:v>
      </x:c>
      <x:c r="E870" s="12" t="n">
        <x:v>0.005773768201984381</x:v>
      </x:c>
      <x:c r="F870" s="12" t="n">
        <x:v>4.75</x:v>
      </x:c>
      <x:c r="G870" s="12" t="n">
        <x:v>475</x:v>
      </x:c>
      <x:c r="H870" s="12" t="n">
        <x:v>-9</x:v>
      </x:c>
      <x:c r="I870" s="12" t="str">
        <x:v>TuShare index_daily</x:v>
      </x:c>
      <x:c r="J870" s="12" t="str">
        <x:v>Archived FRED mirror (Hugging Face)</x:v>
      </x:c>
    </x:row>
    <x:row r="871" ht="18" customHeight="1">
      <x:c r="A871" s="13" t="n">
        <x:v>43895</x:v>
      </x:c>
      <x:c r="B871" s="12" t="n">
        <x:v>4206.7251</x:v>
      </x:c>
      <x:c r="C871" s="12" t="n">
        <x:v>4115.0524</x:v>
      </x:c>
      <x:c r="D871" s="12" t="n">
        <x:v>2.2277</x:v>
      </x:c>
      <x:c r="E871" s="12" t="n">
        <x:v>0.02203289104992335</x:v>
      </x:c>
      <x:c r="F871" s="12" t="n">
        <x:v>5.05</x:v>
      </x:c>
      <x:c r="G871" s="12" t="n">
        <x:v>505</x:v>
      </x:c>
      <x:c r="H871" s="12" t="n">
        <x:v>30</x:v>
      </x:c>
      <x:c r="I871" s="12" t="str">
        <x:v>TuShare index_daily</x:v>
      </x:c>
      <x:c r="J871" s="12" t="str">
        <x:v>Archived FRED mirror (Hugging Face)</x:v>
      </x:c>
    </x:row>
    <x:row r="872" ht="18" customHeight="1">
      <x:c r="A872" s="13" t="n">
        <x:v>43896</x:v>
      </x:c>
      <x:c r="B872" s="12" t="n">
        <x:v>4138.5072</x:v>
      </x:c>
      <x:c r="C872" s="12" t="n">
        <x:v>4206.7251</x:v>
      </x:c>
      <x:c r="D872" s="12" t="n">
        <x:v>-1.6216</x:v>
      </x:c>
      <x:c r="E872" s="12" t="n">
        <x:v>-0.016349315895662495</x:v>
      </x:c>
      <x:c r="F872" s="12" t="n">
        <x:v>5.64</x:v>
      </x:c>
      <x:c r="G872" s="12" t="n">
        <x:v>564</x:v>
      </x:c>
      <x:c r="H872" s="12" t="n">
        <x:v>59</x:v>
      </x:c>
      <x:c r="I872" s="12" t="str">
        <x:v>TuShare index_daily</x:v>
      </x:c>
      <x:c r="J872" s="12" t="str">
        <x:v>Archived FRED mirror (Hugging Face)</x:v>
      </x:c>
    </x:row>
    <x:row r="873" ht="18" customHeight="1">
      <x:c r="A873" s="13" t="n">
        <x:v>43899</x:v>
      </x:c>
      <x:c r="B873" s="12" t="n">
        <x:v>3997.1325</x:v>
      </x:c>
      <x:c r="C873" s="12" t="n">
        <x:v>4138.5072</x:v>
      </x:c>
      <x:c r="D873" s="12" t="n">
        <x:v>-3.4161</x:v>
      </x:c>
      <x:c r="E873" s="12" t="n">
        <x:v>-0.034757914060444206</x:v>
      </x:c>
      <x:c r="F873" s="12" t="n">
        <x:v>6.68</x:v>
      </x:c>
      <x:c r="G873" s="12" t="n">
        <x:v>668</x:v>
      </x:c>
      <x:c r="H873" s="12" t="n">
        <x:v>104</x:v>
      </x:c>
      <x:c r="I873" s="12" t="str">
        <x:v>TuShare index_daily</x:v>
      </x:c>
      <x:c r="J873" s="12" t="str">
        <x:v>Archived FRED mirror (Hugging Face)</x:v>
      </x:c>
    </x:row>
    <x:row r="874" ht="18" customHeight="1">
      <x:c r="A874" s="13" t="n">
        <x:v>43900</x:v>
      </x:c>
      <x:c r="B874" s="12" t="n">
        <x:v>4082.7315</x:v>
      </x:c>
      <x:c r="C874" s="12" t="n">
        <x:v>3997.1325</x:v>
      </x:c>
      <x:c r="D874" s="12" t="n">
        <x:v>2.1415</x:v>
      </x:c>
      <x:c r="E874" s="12" t="n">
        <x:v>0.02118902066274294</x:v>
      </x:c>
      <x:c r="F874" s="12" t="n">
        <x:v>6.38</x:v>
      </x:c>
      <x:c r="G874" s="12" t="n">
        <x:v>638</x:v>
      </x:c>
      <x:c r="H874" s="12" t="n">
        <x:v>-30</x:v>
      </x:c>
      <x:c r="I874" s="12" t="str">
        <x:v>TuShare index_daily</x:v>
      </x:c>
      <x:c r="J874" s="12" t="str">
        <x:v>Archived FRED mirror (Hugging Face)</x:v>
      </x:c>
    </x:row>
    <x:row r="875" ht="18" customHeight="1">
      <x:c r="A875" s="13" t="n">
        <x:v>43901</x:v>
      </x:c>
      <x:c r="B875" s="12" t="n">
        <x:v>4028.4289</x:v>
      </x:c>
      <x:c r="C875" s="12" t="n">
        <x:v>4082.7315</x:v>
      </x:c>
      <x:c r="D875" s="12" t="n">
        <x:v>-1.3301</x:v>
      </x:c>
      <x:c r="E875" s="12" t="n">
        <x:v>-0.013389800874618088</x:v>
      </x:c>
      <x:c r="F875" s="12" t="n">
        <x:v>6.61</x:v>
      </x:c>
      <x:c r="G875" s="12" t="n">
        <x:v>661</x:v>
      </x:c>
      <x:c r="H875" s="12" t="n">
        <x:v>23</x:v>
      </x:c>
      <x:c r="I875" s="12" t="str">
        <x:v>TuShare index_daily</x:v>
      </x:c>
      <x:c r="J875" s="12" t="str">
        <x:v>Archived FRED mirror (Hugging Face)</x:v>
      </x:c>
    </x:row>
    <x:row r="876" ht="18" customHeight="1">
      <x:c r="A876" s="13" t="n">
        <x:v>43902</x:v>
      </x:c>
      <x:c r="B876" s="12" t="n">
        <x:v>3950.9111</x:v>
      </x:c>
      <x:c r="C876" s="12" t="n">
        <x:v>4028.4289</x:v>
      </x:c>
      <x:c r="D876" s="12" t="n">
        <x:v>-1.9243</x:v>
      </x:c>
      <x:c r="E876" s="12" t="n">
        <x:v>-0.01943023828690416</x:v>
      </x:c>
      <x:c r="F876" s="12" t="n">
        <x:v>7.42</x:v>
      </x:c>
      <x:c r="G876" s="12" t="n">
        <x:v>742</x:v>
      </x:c>
      <x:c r="H876" s="12" t="n">
        <x:v>81</x:v>
      </x:c>
      <x:c r="I876" s="12" t="str">
        <x:v>TuShare index_daily</x:v>
      </x:c>
      <x:c r="J876" s="12" t="str">
        <x:v>Archived FRED mirror (Hugging Face)</x:v>
      </x:c>
    </x:row>
    <x:row r="877" ht="18" customHeight="1">
      <x:c r="A877" s="13" t="n">
        <x:v>43903</x:v>
      </x:c>
      <x:c r="B877" s="12" t="n">
        <x:v>3895.3128</x:v>
      </x:c>
      <x:c r="C877" s="12" t="n">
        <x:v>3950.9111</x:v>
      </x:c>
      <x:c r="D877" s="12" t="n">
        <x:v>-1.4072</x:v>
      </x:c>
      <x:c r="E877" s="12" t="n">
        <x:v>-0.014172226357878227</x:v>
      </x:c>
      <x:c r="F877" s="12" t="n">
        <x:v>7.31</x:v>
      </x:c>
      <x:c r="G877" s="12" t="n">
        <x:v>731</x:v>
      </x:c>
      <x:c r="H877" s="12" t="n">
        <x:v>-11</x:v>
      </x:c>
      <x:c r="I877" s="12" t="str">
        <x:v>TuShare index_daily</x:v>
      </x:c>
      <x:c r="J877" s="12" t="str">
        <x:v>Archived FRED mirror (Hugging Face)</x:v>
      </x:c>
    </x:row>
    <x:row r="878" ht="18" customHeight="1">
      <x:c r="A878" s="13" t="n">
        <x:v>43906</x:v>
      </x:c>
      <x:c r="B878" s="12" t="n">
        <x:v>3727.8398</x:v>
      </x:c>
      <x:c r="C878" s="12" t="n">
        <x:v>3895.3128</x:v>
      </x:c>
      <x:c r="D878" s="12" t="n">
        <x:v>-4.2993</x:v>
      </x:c>
      <x:c r="E878" s="12" t="n">
        <x:v>-0.043945060388467926</x:v>
      </x:c>
      <x:c r="F878" s="12" t="n">
        <x:v>8.38</x:v>
      </x:c>
      <x:c r="G878" s="12" t="n">
        <x:v>838.0000000000001</x:v>
      </x:c>
      <x:c r="H878" s="12" t="n">
        <x:v>107.00000000000011</x:v>
      </x:c>
      <x:c r="I878" s="12" t="str">
        <x:v>TuShare index_daily</x:v>
      </x:c>
      <x:c r="J878" s="12" t="str">
        <x:v>Archived FRED mirror (Hugging Face)</x:v>
      </x:c>
    </x:row>
    <x:row r="879" ht="18" customHeight="1">
      <x:c r="A879" s="13" t="n">
        <x:v>43907</x:v>
      </x:c>
      <x:c r="B879" s="12" t="n">
        <x:v>3709.6822</x:v>
      </x:c>
      <x:c r="C879" s="12" t="n">
        <x:v>3727.8398</x:v>
      </x:c>
      <x:c r="D879" s="12" t="n">
        <x:v>-0.4871</x:v>
      </x:c>
      <x:c r="E879" s="12" t="n">
        <x:v>-0.004882711224087619</x:v>
      </x:c>
      <x:c r="F879" s="12" t="n">
        <x:v>8.41</x:v>
      </x:c>
      <x:c r="G879" s="12" t="n">
        <x:v>841</x:v>
      </x:c>
      <x:c r="H879" s="12" t="n">
        <x:v>2.9999999999998863</x:v>
      </x:c>
      <x:c r="I879" s="12" t="str">
        <x:v>TuShare index_daily</x:v>
      </x:c>
      <x:c r="J879" s="12" t="str">
        <x:v>Archived FRED mirror (Hugging Face)</x:v>
      </x:c>
    </x:row>
    <x:row r="880" ht="18" customHeight="1">
      <x:c r="A880" s="13" t="n">
        <x:v>43908</x:v>
      </x:c>
      <x:c r="B880" s="12" t="n">
        <x:v>3636.2565</x:v>
      </x:c>
      <x:c r="C880" s="12" t="n">
        <x:v>3709.6822</x:v>
      </x:c>
      <x:c r="D880" s="12" t="n">
        <x:v>-1.9793</x:v>
      </x:c>
      <x:c r="E880" s="12" t="n">
        <x:v>-0.01999149419138795</x:v>
      </x:c>
      <x:c r="F880" s="12" t="n">
        <x:v>9.04</x:v>
      </x:c>
      <x:c r="G880" s="12" t="n">
        <x:v>903.9999999999999</x:v>
      </x:c>
      <x:c r="H880" s="12" t="n">
        <x:v>62.999999999999886</x:v>
      </x:c>
      <x:c r="I880" s="12" t="str">
        <x:v>TuShare index_daily</x:v>
      </x:c>
      <x:c r="J880" s="12" t="str">
        <x:v>Archived FRED mirror (Hugging Face)</x:v>
      </x:c>
    </x:row>
    <x:row r="881" ht="18" customHeight="1">
      <x:c r="A881" s="13" t="n">
        <x:v>43909</x:v>
      </x:c>
      <x:c r="B881" s="12" t="n">
        <x:v>3589.0926</x:v>
      </x:c>
      <x:c r="C881" s="12" t="n">
        <x:v>3636.2565</x:v>
      </x:c>
      <x:c r="D881" s="12" t="n">
        <x:v>-1.297</x:v>
      </x:c>
      <x:c r="E881" s="12" t="n">
        <x:v>-0.013055305490118364</x:v>
      </x:c>
      <x:c r="F881" s="12" t="n">
        <x:v>9.82</x:v>
      </x:c>
      <x:c r="G881" s="12" t="n">
        <x:v>982</x:v>
      </x:c>
      <x:c r="H881" s="12" t="n">
        <x:v>78.00000000000011</x:v>
      </x:c>
      <x:c r="I881" s="12" t="str">
        <x:v>TuShare index_daily</x:v>
      </x:c>
      <x:c r="J881" s="12" t="str">
        <x:v>Archived FRED mirror (Hugging Face)</x:v>
      </x:c>
    </x:row>
    <x:row r="882" ht="18" customHeight="1">
      <x:c r="A882" s="13" t="n">
        <x:v>43910</x:v>
      </x:c>
      <x:c r="B882" s="12" t="n">
        <x:v>3653.2239</x:v>
      </x:c>
      <x:c r="C882" s="12" t="n">
        <x:v>3589.0926</x:v>
      </x:c>
      <x:c r="D882" s="12" t="n">
        <x:v>1.7868</x:v>
      </x:c>
      <x:c r="E882" s="12" t="n">
        <x:v>0.01771062513213693</x:v>
      </x:c>
      <x:c r="F882" s="12" t="n">
        <x:v>10.09</x:v>
      </x:c>
      <x:c r="G882" s="12" t="n">
        <x:v>1009</x:v>
      </x:c>
      <x:c r="H882" s="12" t="n">
        <x:v>27</x:v>
      </x:c>
      <x:c r="I882" s="12" t="str">
        <x:v>TuShare index_daily</x:v>
      </x:c>
      <x:c r="J882" s="12" t="str">
        <x:v>Archived FRED mirror (Hugging Face)</x:v>
      </x:c>
    </x:row>
    <x:row r="883" ht="18" customHeight="1">
      <x:c r="A883" s="13" t="n">
        <x:v>43913</x:v>
      </x:c>
      <x:c r="B883" s="12" t="n">
        <x:v>3530.3058</x:v>
      </x:c>
      <x:c r="C883" s="12" t="n">
        <x:v>3653.2239</x:v>
      </x:c>
      <x:c r="D883" s="12" t="n">
        <x:v>-3.3646</x:v>
      </x:c>
      <x:c r="E883" s="12" t="n">
        <x:v>-0.03422554193523279</x:v>
      </x:c>
      <x:c r="F883" s="12" t="n">
        <x:v>10.87</x:v>
      </x:c>
      <x:c r="G883" s="12" t="n">
        <x:v>1087</x:v>
      </x:c>
      <x:c r="H883" s="12" t="n">
        <x:v>78</x:v>
      </x:c>
      <x:c r="I883" s="12" t="str">
        <x:v>TuShare index_daily</x:v>
      </x:c>
      <x:c r="J883" s="12" t="str">
        <x:v>Archived FRED mirror (Hugging Face)</x:v>
      </x:c>
    </x:row>
    <x:row r="884" ht="18" customHeight="1">
      <x:c r="A884" s="13" t="n">
        <x:v>43914</x:v>
      </x:c>
      <x:c r="B884" s="12" t="n">
        <x:v>3625.1146</x:v>
      </x:c>
      <x:c r="C884" s="12" t="n">
        <x:v>3530.3058</x:v>
      </x:c>
      <x:c r="D884" s="12" t="n">
        <x:v>2.6856</x:v>
      </x:c>
      <x:c r="E884" s="12" t="n">
        <x:v>0.026501405511712626</x:v>
      </x:c>
      <x:c r="F884" s="12" t="n">
        <x:v>10.55</x:v>
      </x:c>
      <x:c r="G884" s="12" t="n">
        <x:v>1055</x:v>
      </x:c>
      <x:c r="H884" s="12" t="n">
        <x:v>-32</x:v>
      </x:c>
      <x:c r="I884" s="12" t="str">
        <x:v>TuShare index_daily</x:v>
      </x:c>
      <x:c r="J884" s="12" t="str">
        <x:v>Archived FRED mirror (Hugging Face)</x:v>
      </x:c>
    </x:row>
    <x:row r="885" ht="18" customHeight="1">
      <x:c r="A885" s="13" t="n">
        <x:v>43915</x:v>
      </x:c>
      <x:c r="B885" s="12" t="n">
        <x:v>3722.5181</x:v>
      </x:c>
      <x:c r="C885" s="12" t="n">
        <x:v>3625.1146</x:v>
      </x:c>
      <x:c r="D885" s="12" t="n">
        <x:v>2.6869</x:v>
      </x:c>
      <x:c r="E885" s="12" t="n">
        <x:v>0.02651444628787693</x:v>
      </x:c>
      <x:c r="F885" s="12" t="n">
        <x:v>10.11</x:v>
      </x:c>
      <x:c r="G885" s="12" t="n">
        <x:v>1011</x:v>
      </x:c>
      <x:c r="H885" s="12" t="n">
        <x:v>-44</x:v>
      </x:c>
      <x:c r="I885" s="12" t="str">
        <x:v>TuShare index_daily</x:v>
      </x:c>
      <x:c r="J885" s="12" t="str">
        <x:v>Archived FRED mirror (Hugging Face)</x:v>
      </x:c>
    </x:row>
    <x:row r="886" ht="18" customHeight="1">
      <x:c r="A886" s="13" t="n">
        <x:v>43916</x:v>
      </x:c>
      <x:c r="B886" s="12" t="n">
        <x:v>3698.0472</x:v>
      </x:c>
      <x:c r="C886" s="12" t="n">
        <x:v>3722.5181</x:v>
      </x:c>
      <x:c r="D886" s="12" t="n">
        <x:v>-0.6574</x:v>
      </x:c>
      <x:c r="E886" s="12" t="n">
        <x:v>-0.006595451348404441</x:v>
      </x:c>
      <x:c r="F886" s="12" t="n">
        <x:v>9.29</x:v>
      </x:c>
      <x:c r="G886" s="12" t="n">
        <x:v>928.9999999999999</x:v>
      </x:c>
      <x:c r="H886" s="12" t="n">
        <x:v>-82.00000000000011</x:v>
      </x:c>
      <x:c r="I886" s="12" t="str">
        <x:v>TuShare index_daily</x:v>
      </x:c>
      <x:c r="J886" s="12" t="str">
        <x:v>Archived FRED mirror (Hugging Face)</x:v>
      </x:c>
    </x:row>
    <x:row r="887" ht="18" customHeight="1">
      <x:c r="A887" s="13" t="n">
        <x:v>43917</x:v>
      </x:c>
      <x:c r="B887" s="12" t="n">
        <x:v>3710.0605</x:v>
      </x:c>
      <x:c r="C887" s="12" t="n">
        <x:v>3698.0472</x:v>
      </x:c>
      <x:c r="D887" s="12" t="n">
        <x:v>0.3249</x:v>
      </x:c>
      <x:c r="E887" s="12" t="n">
        <x:v>0.0032432872245010047</x:v>
      </x:c>
      <x:c r="F887" s="12" t="n">
        <x:v>8.99</x:v>
      </x:c>
      <x:c r="G887" s="12" t="n">
        <x:v>899</x:v>
      </x:c>
      <x:c r="H887" s="12" t="n">
        <x:v>-29.999999999999886</x:v>
      </x:c>
      <x:c r="I887" s="12" t="str">
        <x:v>TuShare index_daily</x:v>
      </x:c>
      <x:c r="J887" s="12" t="str">
        <x:v>Archived FRED mirror (Hugging Face)</x:v>
      </x:c>
    </x:row>
    <x:row r="888" ht="18" customHeight="1">
      <x:c r="A888" s="13" t="n">
        <x:v>43920</x:v>
      </x:c>
      <x:c r="B888" s="12" t="n">
        <x:v>3674.1108</x:v>
      </x:c>
      <x:c r="C888" s="12" t="n">
        <x:v>3710.0605</x:v>
      </x:c>
      <x:c r="D888" s="12" t="n">
        <x:v>-0.969</x:v>
      </x:c>
      <x:c r="E888" s="12" t="n">
        <x:v>-0.009737039559729033</x:v>
      </x:c>
      <x:c r="F888" s="12" t="n">
        <x:v>8.82</x:v>
      </x:c>
      <x:c r="G888" s="12" t="n">
        <x:v>882</x:v>
      </x:c>
      <x:c r="H888" s="12" t="n">
        <x:v>-17</x:v>
      </x:c>
      <x:c r="I888" s="12" t="str">
        <x:v>TuShare index_daily</x:v>
      </x:c>
      <x:c r="J888" s="12" t="str">
        <x:v>Archived FRED mirror (Hugging Face)</x:v>
      </x:c>
    </x:row>
    <x:row r="889" ht="18" customHeight="1">
      <x:c r="A889" s="13" t="n">
        <x:v>43921</x:v>
      </x:c>
      <x:c r="B889" s="12" t="n">
        <x:v>3686.1551</x:v>
      </x:c>
      <x:c r="C889" s="12" t="n">
        <x:v>3674.1108</x:v>
      </x:c>
      <x:c r="D889" s="12" t="n">
        <x:v>0.3278</x:v>
      </x:c>
      <x:c r="E889" s="12" t="n">
        <x:v>0.003272792291569129</x:v>
      </x:c>
      <x:c r="F889" s="12" t="n">
        <x:v>8.77</x:v>
      </x:c>
      <x:c r="G889" s="12" t="n">
        <x:v>877</x:v>
      </x:c>
      <x:c r="H889" s="12" t="n">
        <x:v>-5</x:v>
      </x:c>
      <x:c r="I889" s="12" t="str">
        <x:v>TuShare index_daily</x:v>
      </x:c>
      <x:c r="J889" s="12" t="str">
        <x:v>Archived FRED mirror (Hugging Face)</x:v>
      </x:c>
    </x:row>
    <x:row r="890" ht="18" customHeight="1">
      <x:c r="A890" s="13" t="n">
        <x:v>43922</x:v>
      </x:c>
      <x:c r="B890" s="12" t="n">
        <x:v>3675.0758</x:v>
      </x:c>
      <x:c r="C890" s="12" t="n">
        <x:v>3686.1551</x:v>
      </x:c>
      <x:c r="D890" s="12" t="n">
        <x:v>-0.3006</x:v>
      </x:c>
      <x:c r="E890" s="12" t="n">
        <x:v>-0.003010178193419536</x:v>
      </x:c>
      <x:c r="F890" s="12" t="n">
        <x:v>9.11</x:v>
      </x:c>
      <x:c r="G890" s="12" t="n">
        <x:v>911</x:v>
      </x:c>
      <x:c r="H890" s="12" t="n">
        <x:v>34</x:v>
      </x:c>
      <x:c r="I890" s="12" t="str">
        <x:v>TuShare index_daily</x:v>
      </x:c>
      <x:c r="J890" s="12" t="str">
        <x:v>Archived FRED mirror (Hugging Face)</x:v>
      </x:c>
    </x:row>
    <x:row r="891" ht="18" customHeight="1">
      <x:c r="A891" s="13" t="n">
        <x:v>43923</x:v>
      </x:c>
      <x:c r="B891" s="12" t="n">
        <x:v>3734.5306</x:v>
      </x:c>
      <x:c r="C891" s="12" t="n">
        <x:v>3675.0758</x:v>
      </x:c>
      <x:c r="D891" s="12" t="n">
        <x:v>1.6178</x:v>
      </x:c>
      <x:c r="E891" s="12" t="n">
        <x:v>0.016048376346972232</x:v>
      </x:c>
      <x:c r="F891" s="12" t="n">
        <x:v>9.17</x:v>
      </x:c>
      <x:c r="G891" s="12" t="n">
        <x:v>917</x:v>
      </x:c>
      <x:c r="H891" s="12" t="n">
        <x:v>6</x:v>
      </x:c>
      <x:c r="I891" s="12" t="str">
        <x:v>TuShare index_daily</x:v>
      </x:c>
      <x:c r="J891" s="12" t="str">
        <x:v>Archived FRED mirror (Hugging Face)</x:v>
      </x:c>
    </x:row>
    <x:row r="892" ht="18" customHeight="1">
      <x:c r="A892" s="13" t="n">
        <x:v>43924</x:v>
      </x:c>
      <x:c r="B892" s="12" t="n">
        <x:v>3713.2183</x:v>
      </x:c>
      <x:c r="C892" s="12" t="n">
        <x:v>3734.5306</x:v>
      </x:c>
      <x:c r="D892" s="12" t="n">
        <x:v>-0.5707</x:v>
      </x:c>
      <x:c r="E892" s="12" t="n">
        <x:v>-0.005723167754230772</x:v>
      </x:c>
      <x:c r="F892" s="12" t="n">
        <x:v>9.43</x:v>
      </x:c>
      <x:c r="G892" s="12" t="n">
        <x:v>943</x:v>
      </x:c>
      <x:c r="H892" s="12" t="n">
        <x:v>26</x:v>
      </x:c>
      <x:c r="I892" s="12" t="str">
        <x:v>TuShare index_daily</x:v>
      </x:c>
      <x:c r="J892" s="12" t="str">
        <x:v>Archived FRED mirror (Hugging Face)</x:v>
      </x:c>
    </x:row>
    <x:row r="893" ht="18" customHeight="1">
      <x:c r="A893" s="13" t="n">
        <x:v>43928</x:v>
      </x:c>
      <x:c r="B893" s="12" t="n">
        <x:v>3798.0214</x:v>
      </x:c>
      <x:c r="C893" s="12" t="n">
        <x:v>3713.2183</x:v>
      </x:c>
      <x:c r="D893" s="12" t="n">
        <x:v>2.2838</x:v>
      </x:c>
      <x:c r="E893" s="12" t="n">
        <x:v>0.02258128002354555</x:v>
      </x:c>
      <x:c r="F893" s="12" t="n">
        <x:v>8.88</x:v>
      </x:c>
      <x:c r="G893" s="12" t="n">
        <x:v>888.0000000000001</x:v>
      </x:c>
      <x:c r="H893" s="12" t="n">
        <x:v>-37.999999999999886</x:v>
      </x:c>
      <x:c r="I893" s="12" t="str">
        <x:v>TuShare index_daily</x:v>
      </x:c>
      <x:c r="J893" s="12" t="str">
        <x:v>Archived FRED mirror (Hugging Face)</x:v>
      </x:c>
    </x:row>
    <x:row r="894" ht="18" customHeight="1">
      <x:c r="A894" s="13" t="n">
        <x:v>43929</x:v>
      </x:c>
      <x:c r="B894" s="12" t="n">
        <x:v>3780.3445</x:v>
      </x:c>
      <x:c r="C894" s="12" t="n">
        <x:v>3798.0214</x:v>
      </x:c>
      <x:c r="D894" s="12" t="n">
        <x:v>-0.4654</x:v>
      </x:c>
      <x:c r="E894" s="12" t="n">
        <x:v>-0.00466510387385904</x:v>
      </x:c>
      <x:c r="F894" s="12" t="n">
        <x:v>8.81</x:v>
      </x:c>
      <x:c r="G894" s="12" t="n">
        <x:v>881</x:v>
      </x:c>
      <x:c r="H894" s="12" t="n">
        <x:v>-7.000000000000114</x:v>
      </x:c>
      <x:c r="I894" s="12" t="str">
        <x:v>TuShare index_daily</x:v>
      </x:c>
      <x:c r="J894" s="12" t="str">
        <x:v>Archived FRED mirror (Hugging Face)</x:v>
      </x:c>
    </x:row>
    <x:row r="895" ht="18" customHeight="1">
      <x:c r="A895" s="13" t="n">
        <x:v>43930</x:v>
      </x:c>
      <x:c r="B895" s="12" t="n">
        <x:v>3792.8105</x:v>
      </x:c>
      <x:c r="C895" s="12" t="n">
        <x:v>3780.3445</x:v>
      </x:c>
      <x:c r="D895" s="12" t="n">
        <x:v>0.3298</x:v>
      </x:c>
      <x:c r="E895" s="12" t="n">
        <x:v>0.003292157960371772</x:v>
      </x:c>
      <x:c r="F895" s="12" t="n">
        <x:v>7.96</x:v>
      </x:c>
      <x:c r="G895" s="12" t="n">
        <x:v>796</x:v>
      </x:c>
      <x:c r="H895" s="12" t="n">
        <x:v>-85</x:v>
      </x:c>
      <x:c r="I895" s="12" t="str">
        <x:v>TuShare index_daily</x:v>
      </x:c>
      <x:c r="J895" s="12" t="str">
        <x:v>Archived FRED mirror (Hugging Face)</x:v>
      </x:c>
    </x:row>
    <x:row r="896" ht="18" customHeight="1">
      <x:c r="A896" s="13" t="n">
        <x:v>43934</x:v>
      </x:c>
      <x:c r="B896" s="12" t="n">
        <x:v>3753.2566</x:v>
      </x:c>
      <x:c r="C896" s="12" t="n">
        <x:v>3769.1782</x:v>
      </x:c>
      <x:c r="D896" s="12" t="n">
        <x:v>-0.4224</x:v>
      </x:c>
      <x:c r="E896" s="12" t="n">
        <x:v>-0.004233103828336165</x:v>
      </x:c>
      <x:c r="F896" s="12" t="n">
        <x:v>7.7</x:v>
      </x:c>
      <x:c r="G896" s="12" t="n">
        <x:v>770</x:v>
      </x:c>
      <x:c r="H896" s="12" t="n">
        <x:v>-26</x:v>
      </x:c>
      <x:c r="I896" s="12" t="str">
        <x:v>TuShare index_daily</x:v>
      </x:c>
      <x:c r="J896" s="12" t="str">
        <x:v>Archived FRED mirror (Hugging Face)</x:v>
      </x:c>
    </x:row>
    <x:row r="897" ht="18" customHeight="1">
      <x:c r="A897" s="13" t="n">
        <x:v>43935</x:v>
      </x:c>
      <x:c r="B897" s="12" t="n">
        <x:v>3825.6991</x:v>
      </x:c>
      <x:c r="C897" s="12" t="n">
        <x:v>3753.2566</x:v>
      </x:c>
      <x:c r="D897" s="12" t="n">
        <x:v>1.9301</x:v>
      </x:c>
      <x:c r="E897" s="12" t="n">
        <x:v>0.01911733203498188</x:v>
      </x:c>
      <x:c r="F897" s="12" t="n">
        <x:v>7.35</x:v>
      </x:c>
      <x:c r="G897" s="12" t="n">
        <x:v>735</x:v>
      </x:c>
      <x:c r="H897" s="12" t="n">
        <x:v>-35</x:v>
      </x:c>
      <x:c r="I897" s="12" t="str">
        <x:v>TuShare index_daily</x:v>
      </x:c>
      <x:c r="J897" s="12" t="str">
        <x:v>Archived FRED mirror (Hugging Face)</x:v>
      </x:c>
    </x:row>
    <x:row r="898" ht="18" customHeight="1">
      <x:c r="A898" s="13" t="n">
        <x:v>43936</x:v>
      </x:c>
      <x:c r="B898" s="12" t="n">
        <x:v>3797.3623</x:v>
      </x:c>
      <x:c r="C898" s="12" t="n">
        <x:v>3825.6991</x:v>
      </x:c>
      <x:c r="D898" s="12" t="n">
        <x:v>-0.7407</x:v>
      </x:c>
      <x:c r="E898" s="12" t="n">
        <x:v>-0.007434527687172356</x:v>
      </x:c>
      <x:c r="F898" s="12" t="n">
        <x:v>7.64</x:v>
      </x:c>
      <x:c r="G898" s="12" t="n">
        <x:v>764</x:v>
      </x:c>
      <x:c r="H898" s="12" t="n">
        <x:v>29</x:v>
      </x:c>
      <x:c r="I898" s="12" t="str">
        <x:v>TuShare index_daily</x:v>
      </x:c>
      <x:c r="J898" s="12" t="str">
        <x:v>Archived FRED mirror (Hugging Face)</x:v>
      </x:c>
    </x:row>
    <x:row r="899" ht="18" customHeight="1">
      <x:c r="A899" s="13" t="n">
        <x:v>43937</x:v>
      </x:c>
      <x:c r="B899" s="12" t="n">
        <x:v>3802.3806</x:v>
      </x:c>
      <x:c r="C899" s="12" t="n">
        <x:v>3797.3623</x:v>
      </x:c>
      <x:c r="D899" s="12" t="n">
        <x:v>0.1322</x:v>
      </x:c>
      <x:c r="E899" s="12" t="n">
        <x:v>0.0013206501313025463</x:v>
      </x:c>
      <x:c r="F899" s="12" t="n">
        <x:v>7.58</x:v>
      </x:c>
      <x:c r="G899" s="12" t="n">
        <x:v>758</x:v>
      </x:c>
      <x:c r="H899" s="12" t="n">
        <x:v>-6</x:v>
      </x:c>
      <x:c r="I899" s="12" t="str">
        <x:v>TuShare index_daily</x:v>
      </x:c>
      <x:c r="J899" s="12" t="str">
        <x:v>Archived FRED mirror (Hugging Face)</x:v>
      </x:c>
    </x:row>
    <x:row r="900" ht="18" customHeight="1">
      <x:c r="A900" s="13" t="n">
        <x:v>43938</x:v>
      </x:c>
      <x:c r="B900" s="12" t="n">
        <x:v>3839.4871</x:v>
      </x:c>
      <x:c r="C900" s="12" t="n">
        <x:v>3802.3806</x:v>
      </x:c>
      <x:c r="D900" s="12" t="n">
        <x:v>0.9759</x:v>
      </x:c>
      <x:c r="E900" s="12" t="n">
        <x:v>0.009711445706510577</x:v>
      </x:c>
      <x:c r="F900" s="12" t="n">
        <x:v>7.31</x:v>
      </x:c>
      <x:c r="G900" s="12" t="n">
        <x:v>731</x:v>
      </x:c>
      <x:c r="H900" s="12" t="n">
        <x:v>-27</x:v>
      </x:c>
      <x:c r="I900" s="12" t="str">
        <x:v>TuShare index_daily</x:v>
      </x:c>
      <x:c r="J900" s="12" t="str">
        <x:v>Archived FRED mirror (Hugging Face)</x:v>
      </x:c>
    </x:row>
    <x:row r="901" ht="18" customHeight="1">
      <x:c r="A901" s="13" t="n">
        <x:v>43941</x:v>
      </x:c>
      <x:c r="B901" s="12" t="n">
        <x:v>3853.4551</x:v>
      </x:c>
      <x:c r="C901" s="12" t="n">
        <x:v>3839.4871</x:v>
      </x:c>
      <x:c r="D901" s="12" t="n">
        <x:v>0.3638</x:v>
      </x:c>
      <x:c r="E901" s="12" t="n">
        <x:v>0.0036313844525207206</x:v>
      </x:c>
      <x:c r="F901" s="12" t="n">
        <x:v>7.52</x:v>
      </x:c>
      <x:c r="G901" s="12" t="n">
        <x:v>752</x:v>
      </x:c>
      <x:c r="H901" s="12" t="n">
        <x:v>21</x:v>
      </x:c>
      <x:c r="I901" s="12" t="str">
        <x:v>TuShare index_daily</x:v>
      </x:c>
      <x:c r="J901" s="12" t="str">
        <x:v>Archived FRED mirror (Hugging Face)</x:v>
      </x:c>
    </x:row>
    <x:row r="902" ht="18" customHeight="1">
      <x:c r="A902" s="13" t="n">
        <x:v>43942</x:v>
      </x:c>
      <x:c r="B902" s="12" t="n">
        <x:v>3808.0474</x:v>
      </x:c>
      <x:c r="C902" s="12" t="n">
        <x:v>3853.4551</x:v>
      </x:c>
      <x:c r="D902" s="12" t="n">
        <x:v>-1.1784</x:v>
      </x:c>
      <x:c r="E902" s="12" t="n">
        <x:v>-0.011853610092220858</x:v>
      </x:c>
      <x:c r="F902" s="12" t="n">
        <x:v>7.9</x:v>
      </x:c>
      <x:c r="G902" s="12" t="n">
        <x:v>790</x:v>
      </x:c>
      <x:c r="H902" s="12" t="n">
        <x:v>38</x:v>
      </x:c>
      <x:c r="I902" s="12" t="str">
        <x:v>TuShare index_daily</x:v>
      </x:c>
      <x:c r="J902" s="12" t="str">
        <x:v>Archived FRED mirror (Hugging Face)</x:v>
      </x:c>
    </x:row>
    <x:row r="903" ht="18" customHeight="1">
      <x:c r="A903" s="13" t="n">
        <x:v>43943</x:v>
      </x:c>
      <x:c r="B903" s="12" t="n">
        <x:v>3839.3834</x:v>
      </x:c>
      <x:c r="C903" s="12" t="n">
        <x:v>3808.0474</x:v>
      </x:c>
      <x:c r="D903" s="12" t="n">
        <x:v>0.8229</x:v>
      </x:c>
      <x:c r="E903" s="12" t="n">
        <x:v>0.008195216459116533</x:v>
      </x:c>
      <x:c r="F903" s="12" t="n">
        <x:v>7.85</x:v>
      </x:c>
      <x:c r="G903" s="12" t="n">
        <x:v>785</x:v>
      </x:c>
      <x:c r="H903" s="12" t="n">
        <x:v>-5</x:v>
      </x:c>
      <x:c r="I903" s="12" t="str">
        <x:v>TuShare index_daily</x:v>
      </x:c>
      <x:c r="J903" s="12" t="str">
        <x:v>Archived FRED mirror (Hugging Face)</x:v>
      </x:c>
    </x:row>
    <x:row r="904" ht="18" customHeight="1">
      <x:c r="A904" s="13" t="n">
        <x:v>43944</x:v>
      </x:c>
      <x:c r="B904" s="12" t="n">
        <x:v>3829.7525</x:v>
      </x:c>
      <x:c r="C904" s="12" t="n">
        <x:v>3839.3834</x:v>
      </x:c>
      <x:c r="D904" s="12" t="n">
        <x:v>-0.2508</x:v>
      </x:c>
      <x:c r="E904" s="12" t="n">
        <x:v>-0.0025116010951781896</x:v>
      </x:c>
      <x:c r="F904" s="12" t="n">
        <x:v>7.87</x:v>
      </x:c>
      <x:c r="G904" s="12" t="n">
        <x:v>787</x:v>
      </x:c>
      <x:c r="H904" s="12" t="n">
        <x:v>2</x:v>
      </x:c>
      <x:c r="I904" s="12" t="str">
        <x:v>TuShare index_daily</x:v>
      </x:c>
      <x:c r="J904" s="12" t="str">
        <x:v>Archived FRED mirror (Hugging Face)</x:v>
      </x:c>
    </x:row>
    <x:row r="905" ht="18" customHeight="1">
      <x:c r="A905" s="13" t="n">
        <x:v>43945</x:v>
      </x:c>
      <x:c r="B905" s="12" t="n">
        <x:v>3796.9721</x:v>
      </x:c>
      <x:c r="C905" s="12" t="n">
        <x:v>3829.7525</x:v>
      </x:c>
      <x:c r="D905" s="12" t="n">
        <x:v>-0.8559</x:v>
      </x:c>
      <x:c r="E905" s="12" t="n">
        <x:v>-0.008596246378152223</x:v>
      </x:c>
      <x:c r="F905" s="12" t="n">
        <x:v>8.03</x:v>
      </x:c>
      <x:c r="G905" s="12" t="n">
        <x:v>802.9999999999999</x:v>
      </x:c>
      <x:c r="H905" s="12" t="n">
        <x:v>15.999999999999886</x:v>
      </x:c>
      <x:c r="I905" s="12" t="str">
        <x:v>TuShare index_daily</x:v>
      </x:c>
      <x:c r="J905" s="12" t="str">
        <x:v>Archived FRED mirror (Hugging Face)</x:v>
      </x:c>
    </x:row>
    <x:row r="906" ht="18" customHeight="1">
      <x:c r="A906" s="13" t="n">
        <x:v>43948</x:v>
      </x:c>
      <x:c r="B906" s="12" t="n">
        <x:v>3822.769</x:v>
      </x:c>
      <x:c r="C906" s="12" t="n">
        <x:v>3796.9721</x:v>
      </x:c>
      <x:c r="D906" s="12" t="n">
        <x:v>0.6794</x:v>
      </x:c>
      <x:c r="E906" s="12" t="n">
        <x:v>0.006771095821278923</x:v>
      </x:c>
      <x:c r="F906" s="12" t="n">
        <x:v>8.01</x:v>
      </x:c>
      <x:c r="G906" s="12" t="n">
        <x:v>801</x:v>
      </x:c>
      <x:c r="H906" s="12" t="n">
        <x:v>-1.9999999999998863</x:v>
      </x:c>
      <x:c r="I906" s="12" t="str">
        <x:v>TuShare index_daily</x:v>
      </x:c>
      <x:c r="J906" s="12" t="str">
        <x:v>Archived FRED mirror (Hugging Face)</x:v>
      </x:c>
    </x:row>
    <x:row r="907" ht="18" customHeight="1">
      <x:c r="A907" s="13" t="n">
        <x:v>43949</x:v>
      </x:c>
      <x:c r="B907" s="12" t="n">
        <x:v>3849.1465</x:v>
      </x:c>
      <x:c r="C907" s="12" t="n">
        <x:v>3822.769</x:v>
      </x:c>
      <x:c r="D907" s="12" t="n">
        <x:v>0.69</x:v>
      </x:c>
      <x:c r="E907" s="12" t="n">
        <x:v>0.006876406273812152</x:v>
      </x:c>
      <x:c r="F907" s="12" t="n">
        <x:v>8.02</x:v>
      </x:c>
      <x:c r="G907" s="12" t="n">
        <x:v>802</x:v>
      </x:c>
      <x:c r="H907" s="12" t="n">
        <x:v>1</x:v>
      </x:c>
      <x:c r="I907" s="12" t="str">
        <x:v>TuShare index_daily</x:v>
      </x:c>
      <x:c r="J907" s="12" t="str">
        <x:v>Archived FRED mirror (Hugging Face)</x:v>
      </x:c>
    </x:row>
    <x:row r="908" ht="18" customHeight="1">
      <x:c r="A908" s="13" t="n">
        <x:v>43950</x:v>
      </x:c>
      <x:c r="B908" s="12" t="n">
        <x:v>3867.032</x:v>
      </x:c>
      <x:c r="C908" s="12" t="n">
        <x:v>3849.1465</x:v>
      </x:c>
      <x:c r="D908" s="12" t="n">
        <x:v>0.4647</x:v>
      </x:c>
      <x:c r="E908" s="12" t="n">
        <x:v>0.004635852328096864</x:v>
      </x:c>
      <x:c r="F908" s="12" t="n">
        <x:v>7.87</x:v>
      </x:c>
      <x:c r="G908" s="12" t="n">
        <x:v>787</x:v>
      </x:c>
      <x:c r="H908" s="12" t="n">
        <x:v>-15</x:v>
      </x:c>
      <x:c r="I908" s="12" t="str">
        <x:v>TuShare index_daily</x:v>
      </x:c>
      <x:c r="J908" s="12" t="str">
        <x:v>Archived FRED mirror (Hugging Face)</x:v>
      </x:c>
    </x:row>
    <x:row r="909" ht="18" customHeight="1">
      <x:c r="A909" s="13" t="n">
        <x:v>43951</x:v>
      </x:c>
      <x:c r="B909" s="12" t="n">
        <x:v>3912.5772</x:v>
      </x:c>
      <x:c r="C909" s="12" t="n">
        <x:v>3867.032</x:v>
      </x:c>
      <x:c r="D909" s="12" t="n">
        <x:v>1.1778</x:v>
      </x:c>
      <x:c r="E909" s="12" t="n">
        <x:v>0.011708999561383372</x:v>
      </x:c>
      <x:c r="F909" s="12" t="n">
        <x:v>7.63</x:v>
      </x:c>
      <x:c r="G909" s="12" t="n">
        <x:v>763</x:v>
      </x:c>
      <x:c r="H909" s="12" t="n">
        <x:v>-24</x:v>
      </x:c>
      <x:c r="I909" s="12" t="str">
        <x:v>TuShare index_daily</x:v>
      </x:c>
      <x:c r="J909" s="12" t="str">
        <x:v>Archived FRED mirror (Hugging Face)</x:v>
      </x:c>
    </x:row>
    <x:row r="910" ht="18" customHeight="1">
      <x:c r="A910" s="13" t="n">
        <x:v>43957</x:v>
      </x:c>
      <x:c r="B910" s="12" t="n">
        <x:v>3936.2539</x:v>
      </x:c>
      <x:c r="C910" s="12" t="n">
        <x:v>3912.5772</x:v>
      </x:c>
      <x:c r="D910" s="12" t="n">
        <x:v>0.6051</x:v>
      </x:c>
      <x:c r="E910" s="12" t="n">
        <x:v>0.006033196922335174</x:v>
      </x:c>
      <x:c r="F910" s="12" t="n">
        <x:v>7.6</x:v>
      </x:c>
      <x:c r="G910" s="12" t="n">
        <x:v>760</x:v>
      </x:c>
      <x:c r="H910" s="12" t="n">
        <x:v>0</x:v>
      </x:c>
      <x:c r="I910" s="12" t="str">
        <x:v>TuShare index_daily</x:v>
      </x:c>
      <x:c r="J910" s="12" t="str">
        <x:v>Archived FRED mirror (Hugging Face)</x:v>
      </x:c>
    </x:row>
    <x:row r="911" ht="18" customHeight="1">
      <x:c r="A911" s="13" t="n">
        <x:v>43958</x:v>
      </x:c>
      <x:c r="B911" s="12" t="n">
        <x:v>3924.8946</x:v>
      </x:c>
      <x:c r="C911" s="12" t="n">
        <x:v>3936.2539</x:v>
      </x:c>
      <x:c r="D911" s="12" t="n">
        <x:v>-0.2886</x:v>
      </x:c>
      <x:c r="E911" s="12" t="n">
        <x:v>-0.0028899868527085043</x:v>
      </x:c>
      <x:c r="F911" s="12" t="n">
        <x:v>7.6</x:v>
      </x:c>
      <x:c r="G911" s="12" t="n">
        <x:v>760</x:v>
      </x:c>
      <x:c r="H911" s="12" t="n">
        <x:v>0</x:v>
      </x:c>
      <x:c r="I911" s="12" t="str">
        <x:v>TuShare index_daily</x:v>
      </x:c>
      <x:c r="J911" s="12" t="str">
        <x:v>Archived FRED mirror (Hugging Face)</x:v>
      </x:c>
    </x:row>
    <x:row r="912" ht="18" customHeight="1">
      <x:c r="A912" s="13" t="n">
        <x:v>43959</x:v>
      </x:c>
      <x:c r="B912" s="12" t="n">
        <x:v>3963.6217</x:v>
      </x:c>
      <x:c r="C912" s="12" t="n">
        <x:v>3924.8946</x:v>
      </x:c>
      <x:c r="D912" s="12" t="n">
        <x:v>0.9867</x:v>
      </x:c>
      <x:c r="E912" s="12" t="n">
        <x:v>0.009818680637865151</x:v>
      </x:c>
      <x:c r="F912" s="12" t="n">
        <x:v>7.52</x:v>
      </x:c>
      <x:c r="G912" s="12" t="n">
        <x:v>752</x:v>
      </x:c>
      <x:c r="H912" s="12" t="n">
        <x:v>-8</x:v>
      </x:c>
      <x:c r="I912" s="12" t="str">
        <x:v>TuShare index_daily</x:v>
      </x:c>
      <x:c r="J912" s="12" t="str">
        <x:v>Archived FRED mirror (Hugging Face)</x:v>
      </x:c>
    </x:row>
    <x:row r="913" ht="18" customHeight="1">
      <x:c r="A913" s="13" t="n">
        <x:v>43962</x:v>
      </x:c>
      <x:c r="B913" s="12" t="n">
        <x:v>3960.1803</x:v>
      </x:c>
      <x:c r="C913" s="12" t="n">
        <x:v>3963.6217</x:v>
      </x:c>
      <x:c r="D913" s="12" t="n">
        <x:v>-0.0868</x:v>
      </x:c>
      <x:c r="E913" s="12" t="n">
        <x:v>-0.0008686234755437449</x:v>
      </x:c>
      <x:c r="F913" s="12" t="n">
        <x:v>7.51</x:v>
      </x:c>
      <x:c r="G913" s="12" t="n">
        <x:v>751</x:v>
      </x:c>
      <x:c r="H913" s="12" t="n">
        <x:v>-1</x:v>
      </x:c>
      <x:c r="I913" s="12" t="str">
        <x:v>TuShare index_daily</x:v>
      </x:c>
      <x:c r="J913" s="12" t="str">
        <x:v>Archived FRED mirror (Hugging Face)</x:v>
      </x:c>
    </x:row>
    <x:row r="914" ht="18" customHeight="1">
      <x:c r="A914" s="13" t="n">
        <x:v>43963</x:v>
      </x:c>
      <x:c r="B914" s="12" t="n">
        <x:v>3960.2378</x:v>
      </x:c>
      <x:c r="C914" s="12" t="n">
        <x:v>3960.1803</x:v>
      </x:c>
      <x:c r="D914" s="12" t="n">
        <x:v>0.0015</x:v>
      </x:c>
      <x:c r="E914" s="12" t="n">
        <x:v>0.000014519435533601591</x:v>
      </x:c>
      <x:c r="F914" s="12" t="n">
        <x:v>7.42</x:v>
      </x:c>
      <x:c r="G914" s="12" t="n">
        <x:v>742</x:v>
      </x:c>
      <x:c r="H914" s="12" t="n">
        <x:v>-9</x:v>
      </x:c>
      <x:c r="I914" s="12" t="str">
        <x:v>TuShare index_daily</x:v>
      </x:c>
      <x:c r="J914" s="12" t="str">
        <x:v>Archived FRED mirror (Hugging Face)</x:v>
      </x:c>
    </x:row>
    <x:row r="915" ht="18" customHeight="1">
      <x:c r="A915" s="13" t="n">
        <x:v>43964</x:v>
      </x:c>
      <x:c r="B915" s="12" t="n">
        <x:v>3968.2529</x:v>
      </x:c>
      <x:c r="C915" s="12" t="n">
        <x:v>3960.2378</x:v>
      </x:c>
      <x:c r="D915" s="12" t="n">
        <x:v>0.2024</x:v>
      </x:c>
      <x:c r="E915" s="12" t="n">
        <x:v>0.002021848302197205</x:v>
      </x:c>
      <x:c r="F915" s="12" t="n">
        <x:v>7.61</x:v>
      </x:c>
      <x:c r="G915" s="12" t="n">
        <x:v>761</x:v>
      </x:c>
      <x:c r="H915" s="12" t="n">
        <x:v>19</x:v>
      </x:c>
      <x:c r="I915" s="12" t="str">
        <x:v>TuShare index_daily</x:v>
      </x:c>
      <x:c r="J915" s="12" t="str">
        <x:v>Archived FRED mirror (Hugging Face)</x:v>
      </x:c>
    </x:row>
    <x:row r="916" ht="18" customHeight="1">
      <x:c r="A916" s="13" t="n">
        <x:v>43965</x:v>
      </x:c>
      <x:c r="B916" s="12" t="n">
        <x:v>3925.2177</x:v>
      </x:c>
      <x:c r="C916" s="12" t="n">
        <x:v>3968.2529</x:v>
      </x:c>
      <x:c r="D916" s="12" t="n">
        <x:v>-1.0845</x:v>
      </x:c>
      <x:c r="E916" s="12" t="n">
        <x:v>-0.010904107606277304</x:v>
      </x:c>
      <x:c r="F916" s="12" t="n">
        <x:v>7.77</x:v>
      </x:c>
      <x:c r="G916" s="12" t="n">
        <x:v>777</x:v>
      </x:c>
      <x:c r="H916" s="12" t="n">
        <x:v>16</x:v>
      </x:c>
      <x:c r="I916" s="12" t="str">
        <x:v>TuShare index_daily</x:v>
      </x:c>
      <x:c r="J916" s="12" t="str">
        <x:v>Archived FRED mirror (Hugging Face)</x:v>
      </x:c>
    </x:row>
    <x:row r="917" ht="18" customHeight="1">
      <x:c r="A917" s="13" t="n">
        <x:v>43966</x:v>
      </x:c>
      <x:c r="B917" s="12" t="n">
        <x:v>3912.8159</x:v>
      </x:c>
      <x:c r="C917" s="12" t="n">
        <x:v>3925.2177</x:v>
      </x:c>
      <x:c r="D917" s="12" t="n">
        <x:v>-0.316</x:v>
      </x:c>
      <x:c r="E917" s="12" t="n">
        <x:v>-0.0031645208434674514</x:v>
      </x:c>
      <x:c r="F917" s="12" t="n">
        <x:v>7.78</x:v>
      </x:c>
      <x:c r="G917" s="12" t="n">
        <x:v>778</x:v>
      </x:c>
      <x:c r="H917" s="12" t="n">
        <x:v>1</x:v>
      </x:c>
      <x:c r="I917" s="12" t="str">
        <x:v>TuShare index_daily</x:v>
      </x:c>
      <x:c r="J917" s="12" t="str">
        <x:v>Archived FRED mirror (Hugging Face)</x:v>
      </x:c>
    </x:row>
    <x:row r="918" ht="18" customHeight="1">
      <x:c r="A918" s="13" t="n">
        <x:v>43969</x:v>
      </x:c>
      <x:c r="B918" s="12" t="n">
        <x:v>3922.9117</x:v>
      </x:c>
      <x:c r="C918" s="12" t="n">
        <x:v>3912.8159</x:v>
      </x:c>
      <x:c r="D918" s="12" t="n">
        <x:v>0.258</x:v>
      </x:c>
      <x:c r="E918" s="12" t="n">
        <x:v>0.0025768648686913405</x:v>
      </x:c>
      <x:c r="F918" s="12" t="n">
        <x:v>7.41</x:v>
      </x:c>
      <x:c r="G918" s="12" t="n">
        <x:v>741</x:v>
      </x:c>
      <x:c r="H918" s="12" t="n">
        <x:v>-37</x:v>
      </x:c>
      <x:c r="I918" s="12" t="str">
        <x:v>TuShare index_daily</x:v>
      </x:c>
      <x:c r="J918" s="12" t="str">
        <x:v>Archived FRED mirror (Hugging Face)</x:v>
      </x:c>
    </x:row>
    <x:row r="919" ht="18" customHeight="1">
      <x:c r="A919" s="13" t="n">
        <x:v>43970</x:v>
      </x:c>
      <x:c r="B919" s="12" t="n">
        <x:v>3956.2495</x:v>
      </x:c>
      <x:c r="C919" s="12" t="n">
        <x:v>3922.9117</x:v>
      </x:c>
      <x:c r="D919" s="12" t="n">
        <x:v>0.8498</x:v>
      </x:c>
      <x:c r="E919" s="12" t="n">
        <x:v>0.008462321838410712</x:v>
      </x:c>
      <x:c r="F919" s="12" t="n">
        <x:v>7.35</x:v>
      </x:c>
      <x:c r="G919" s="12" t="n">
        <x:v>735</x:v>
      </x:c>
      <x:c r="H919" s="12" t="n">
        <x:v>-6</x:v>
      </x:c>
      <x:c r="I919" s="12" t="str">
        <x:v>TuShare index_daily</x:v>
      </x:c>
      <x:c r="J919" s="12" t="str">
        <x:v>Archived FRED mirror (Hugging Face)</x:v>
      </x:c>
    </x:row>
    <x:row r="920" ht="18" customHeight="1">
      <x:c r="A920" s="13" t="n">
        <x:v>43971</x:v>
      </x:c>
      <x:c r="B920" s="12" t="n">
        <x:v>3935.222</x:v>
      </x:c>
      <x:c r="C920" s="12" t="n">
        <x:v>3956.2495</x:v>
      </x:c>
      <x:c r="D920" s="12" t="n">
        <x:v>-0.5315</x:v>
      </x:c>
      <x:c r="E920" s="12" t="n">
        <x:v>-0.005329183477480376</x:v>
      </x:c>
      <x:c r="F920" s="12" t="n">
        <x:v>7.16</x:v>
      </x:c>
      <x:c r="G920" s="12" t="n">
        <x:v>716</x:v>
      </x:c>
      <x:c r="H920" s="12" t="n">
        <x:v>-19</x:v>
      </x:c>
      <x:c r="I920" s="12" t="str">
        <x:v>TuShare index_daily</x:v>
      </x:c>
      <x:c r="J920" s="12" t="str">
        <x:v>Archived FRED mirror (Hugging Face)</x:v>
      </x:c>
    </x:row>
    <x:row r="921" ht="18" customHeight="1">
      <x:c r="A921" s="13" t="n">
        <x:v>43972</x:v>
      </x:c>
      <x:c r="B921" s="12" t="n">
        <x:v>3913.7949</x:v>
      </x:c>
      <x:c r="C921" s="12" t="n">
        <x:v>3935.222</x:v>
      </x:c>
      <x:c r="D921" s="12" t="n">
        <x:v>-0.5445</x:v>
      </x:c>
      <x:c r="E921" s="12" t="n">
        <x:v>-0.005459831084839416</x:v>
      </x:c>
      <x:c r="F921" s="12" t="n">
        <x:v>7.08</x:v>
      </x:c>
      <x:c r="G921" s="12" t="n">
        <x:v>708</x:v>
      </x:c>
      <x:c r="H921" s="12" t="n">
        <x:v>-8</x:v>
      </x:c>
      <x:c r="I921" s="12" t="str">
        <x:v>TuShare index_daily</x:v>
      </x:c>
      <x:c r="J921" s="12" t="str">
        <x:v>Archived FRED mirror (Hugging Face)</x:v>
      </x:c>
    </x:row>
    <x:row r="922" ht="18" customHeight="1">
      <x:c r="A922" s="13" t="n">
        <x:v>43973</x:v>
      </x:c>
      <x:c r="B922" s="12" t="n">
        <x:v>3824.064</x:v>
      </x:c>
      <x:c r="C922" s="12" t="n">
        <x:v>3913.7949</x:v>
      </x:c>
      <x:c r="D922" s="12" t="n">
        <x:v>-2.2927</x:v>
      </x:c>
      <x:c r="E922" s="12" t="n">
        <x:v>-0.023193734514938474</x:v>
      </x:c>
      <x:c r="F922" s="12" t="n">
        <x:v>7.06</x:v>
      </x:c>
      <x:c r="G922" s="12" t="n">
        <x:v>706</x:v>
      </x:c>
      <x:c r="H922" s="12" t="n">
        <x:v>-2</x:v>
      </x:c>
      <x:c r="I922" s="12" t="str">
        <x:v>TuShare index_daily</x:v>
      </x:c>
      <x:c r="J922" s="12" t="str">
        <x:v>Archived FRED mirror (Hugging Face)</x:v>
      </x:c>
    </x:row>
    <x:row r="923" ht="18" customHeight="1">
      <x:c r="A923" s="13" t="n">
        <x:v>43976</x:v>
      </x:c>
      <x:c r="B923" s="12" t="n">
        <x:v>3829.3245</x:v>
      </x:c>
      <x:c r="C923" s="12" t="n">
        <x:v>3824.064</x:v>
      </x:c>
      <x:c r="D923" s="12" t="n">
        <x:v>0.1376</x:v>
      </x:c>
      <x:c r="E923" s="12" t="n">
        <x:v>0.0013746854294471086</x:v>
      </x:c>
      <x:c r="F923" s="12" t="n">
        <x:v>7.06</x:v>
      </x:c>
      <x:c r="G923" s="12" t="n">
        <x:v>706</x:v>
      </x:c>
      <x:c r="H923" s="12" t="n">
        <x:v>0</x:v>
      </x:c>
      <x:c r="I923" s="12" t="str">
        <x:v>TuShare index_daily</x:v>
      </x:c>
      <x:c r="J923" s="12" t="str">
        <x:v>Archived FRED mirror (Hugging Face)</x:v>
      </x:c>
    </x:row>
    <x:row r="924" ht="18" customHeight="1">
      <x:c r="A924" s="13" t="n">
        <x:v>43977</x:v>
      </x:c>
      <x:c r="B924" s="12" t="n">
        <x:v>3872.7701</x:v>
      </x:c>
      <x:c r="C924" s="12" t="n">
        <x:v>3829.3245</x:v>
      </x:c>
      <x:c r="D924" s="12" t="n">
        <x:v>1.1345</x:v>
      </x:c>
      <x:c r="E924" s="12" t="n">
        <x:v>0.01128162222103003</x:v>
      </x:c>
      <x:c r="F924" s="12" t="n">
        <x:v>6.75</x:v>
      </x:c>
      <x:c r="G924" s="12" t="n">
        <x:v>675</x:v>
      </x:c>
      <x:c r="H924" s="12" t="n">
        <x:v>-31</x:v>
      </x:c>
      <x:c r="I924" s="12" t="str">
        <x:v>TuShare index_daily</x:v>
      </x:c>
      <x:c r="J924" s="12" t="str">
        <x:v>Archived FRED mirror (Hugging Face)</x:v>
      </x:c>
    </x:row>
    <x:row r="925" ht="18" customHeight="1">
      <x:c r="A925" s="13" t="n">
        <x:v>43978</x:v>
      </x:c>
      <x:c r="B925" s="12" t="n">
        <x:v>3845.6135</x:v>
      </x:c>
      <x:c r="C925" s="12" t="n">
        <x:v>3872.7701</x:v>
      </x:c>
      <x:c r="D925" s="12" t="n">
        <x:v>-0.7012</x:v>
      </x:c>
      <x:c r="E925" s="12" t="n">
        <x:v>-0.007036891004288614</x:v>
      </x:c>
      <x:c r="F925" s="12" t="n">
        <x:v>6.7</x:v>
      </x:c>
      <x:c r="G925" s="12" t="n">
        <x:v>670</x:v>
      </x:c>
      <x:c r="H925" s="12" t="n">
        <x:v>-5</x:v>
      </x:c>
      <x:c r="I925" s="12" t="str">
        <x:v>TuShare index_daily</x:v>
      </x:c>
      <x:c r="J925" s="12" t="str">
        <x:v>Archived FRED mirror (Hugging Face)</x:v>
      </x:c>
    </x:row>
    <x:row r="926" ht="18" customHeight="1">
      <x:c r="A926" s="13" t="n">
        <x:v>43979</x:v>
      </x:c>
      <x:c r="B926" s="12" t="n">
        <x:v>3856.6324</x:v>
      </x:c>
      <x:c r="C926" s="12" t="n">
        <x:v>3845.6135</x:v>
      </x:c>
      <x:c r="D926" s="12" t="n">
        <x:v>0.2865</x:v>
      </x:c>
      <x:c r="E926" s="12" t="n">
        <x:v>0.002861219353501663</x:v>
      </x:c>
      <x:c r="F926" s="12" t="n">
        <x:v>6.6</x:v>
      </x:c>
      <x:c r="G926" s="12" t="n">
        <x:v>660</x:v>
      </x:c>
      <x:c r="H926" s="12" t="n">
        <x:v>-10</x:v>
      </x:c>
      <x:c r="I926" s="12" t="str">
        <x:v>TuShare index_daily</x:v>
      </x:c>
      <x:c r="J926" s="12" t="str">
        <x:v>Archived FRED mirror (Hugging Face)</x:v>
      </x:c>
    </x:row>
    <x:row r="927" ht="18" customHeight="1">
      <x:c r="A927" s="13" t="n">
        <x:v>43980</x:v>
      </x:c>
      <x:c r="B927" s="12" t="n">
        <x:v>3867.0232</x:v>
      </x:c>
      <x:c r="C927" s="12" t="n">
        <x:v>3856.6324</x:v>
      </x:c>
      <x:c r="D927" s="12" t="n">
        <x:v>0.2694</x:v>
      </x:c>
      <x:c r="E927" s="12" t="n">
        <x:v>0.0026906446394998444</x:v>
      </x:c>
      <x:c r="F927" s="12" t="n">
        <x:v>6.71</x:v>
      </x:c>
      <x:c r="G927" s="12" t="n">
        <x:v>671</x:v>
      </x:c>
      <x:c r="H927" s="12" t="n">
        <x:v>11</x:v>
      </x:c>
      <x:c r="I927" s="12" t="str">
        <x:v>TuShare index_daily</x:v>
      </x:c>
      <x:c r="J927" s="12" t="str">
        <x:v>Archived FRED mirror (Hugging Face)</x:v>
      </x:c>
    </x:row>
    <x:row r="928" ht="18" customHeight="1">
      <x:c r="A928" s="13" t="n">
        <x:v>43983</x:v>
      </x:c>
      <x:c r="B928" s="12" t="n">
        <x:v>3971.3402</x:v>
      </x:c>
      <x:c r="C928" s="12" t="n">
        <x:v>3867.0232</x:v>
      </x:c>
      <x:c r="D928" s="12" t="n">
        <x:v>2.6976</x:v>
      </x:c>
      <x:c r="E928" s="12" t="n">
        <x:v>0.026618607505175626</x:v>
      </x:c>
      <x:c r="F928" s="12" t="n">
        <x:v>6.43</x:v>
      </x:c>
      <x:c r="G928" s="12" t="n">
        <x:v>643</x:v>
      </x:c>
      <x:c r="H928" s="12" t="n">
        <x:v>-11</x:v>
      </x:c>
      <x:c r="I928" s="12" t="str">
        <x:v>TuShare index_daily</x:v>
      </x:c>
      <x:c r="J928" s="12" t="str">
        <x:v>Archived FRED mirror (Hugging Face)</x:v>
      </x:c>
    </x:row>
    <x:row r="929" ht="18" customHeight="1">
      <x:c r="A929" s="13" t="n">
        <x:v>43984</x:v>
      </x:c>
      <x:c r="B929" s="12" t="n">
        <x:v>3983.5677</x:v>
      </x:c>
      <x:c r="C929" s="12" t="n">
        <x:v>3971.3402</x:v>
      </x:c>
      <x:c r="D929" s="12" t="n">
        <x:v>0.3079</x:v>
      </x:c>
      <x:c r="E929" s="12" t="n">
        <x:v>0.003074205203533941</x:v>
      </x:c>
      <x:c r="F929" s="12" t="n">
        <x:v>6.18</x:v>
      </x:c>
      <x:c r="G929" s="12" t="n">
        <x:v>618</x:v>
      </x:c>
      <x:c r="H929" s="12" t="n">
        <x:v>-25</x:v>
      </x:c>
      <x:c r="I929" s="12" t="str">
        <x:v>TuShare index_daily</x:v>
      </x:c>
      <x:c r="J929" s="12" t="str">
        <x:v>Archived FRED mirror (Hugging Face)</x:v>
      </x:c>
    </x:row>
    <x:row r="930" ht="18" customHeight="1">
      <x:c r="A930" s="13" t="n">
        <x:v>43985</x:v>
      </x:c>
      <x:c r="B930" s="12" t="n">
        <x:v>3983.6477</x:v>
      </x:c>
      <x:c r="C930" s="12" t="n">
        <x:v>3983.5677</x:v>
      </x:c>
      <x:c r="D930" s="12" t="n">
        <x:v>0.002</x:v>
      </x:c>
      <x:c r="E930" s="12" t="n">
        <x:v>0.00002008229876724991</x:v>
      </x:c>
      <x:c r="F930" s="12" t="n">
        <x:v>5.8</x:v>
      </x:c>
      <x:c r="G930" s="12" t="n">
        <x:v>580</x:v>
      </x:c>
      <x:c r="H930" s="12" t="n">
        <x:v>-38</x:v>
      </x:c>
      <x:c r="I930" s="12" t="str">
        <x:v>TuShare index_daily</x:v>
      </x:c>
      <x:c r="J930" s="12" t="str">
        <x:v>Archived FRED mirror (Hugging Face)</x:v>
      </x:c>
    </x:row>
    <x:row r="931" ht="18" customHeight="1">
      <x:c r="A931" s="13" t="n">
        <x:v>43986</x:v>
      </x:c>
      <x:c r="B931" s="12" t="n">
        <x:v>3982.1851</x:v>
      </x:c>
      <x:c r="C931" s="12" t="n">
        <x:v>3983.6477</x:v>
      </x:c>
      <x:c r="D931" s="12" t="n">
        <x:v>-0.0367</x:v>
      </x:c>
      <x:c r="E931" s="12" t="n">
        <x:v>-0.00036721835698979503</x:v>
      </x:c>
      <x:c r="F931" s="12" t="n">
        <x:v>5.83</x:v>
      </x:c>
      <x:c r="G931" s="12" t="n">
        <x:v>583</x:v>
      </x:c>
      <x:c r="H931" s="12" t="n">
        <x:v>3</x:v>
      </x:c>
      <x:c r="I931" s="12" t="str">
        <x:v>TuShare index_daily</x:v>
      </x:c>
      <x:c r="J931" s="12" t="str">
        <x:v>Archived FRED mirror (Hugging Face)</x:v>
      </x:c>
    </x:row>
    <x:row r="932" ht="18" customHeight="1">
      <x:c r="A932" s="13" t="n">
        <x:v>43987</x:v>
      </x:c>
      <x:c r="B932" s="12" t="n">
        <x:v>4001.2509</x:v>
      </x:c>
      <x:c r="C932" s="12" t="n">
        <x:v>3982.1851</x:v>
      </x:c>
      <x:c r="D932" s="12" t="n">
        <x:v>0.4788</x:v>
      </x:c>
      <x:c r="E932" s="12" t="n">
        <x:v>0.004776348491166621</x:v>
      </x:c>
      <x:c r="F932" s="12" t="n">
        <x:v>5.5</x:v>
      </x:c>
      <x:c r="G932" s="12" t="n">
        <x:v>550</x:v>
      </x:c>
      <x:c r="H932" s="12" t="n">
        <x:v>-33</x:v>
      </x:c>
      <x:c r="I932" s="12" t="str">
        <x:v>TuShare index_daily</x:v>
      </x:c>
      <x:c r="J932" s="12" t="str">
        <x:v>Archived FRED mirror (Hugging Face)</x:v>
      </x:c>
    </x:row>
    <x:row r="933" ht="18" customHeight="1">
      <x:c r="A933" s="13" t="n">
        <x:v>43990</x:v>
      </x:c>
      <x:c r="B933" s="12" t="n">
        <x:v>4021.9549</x:v>
      </x:c>
      <x:c r="C933" s="12" t="n">
        <x:v>4001.2509</x:v>
      </x:c>
      <x:c r="D933" s="12" t="n">
        <x:v>0.5174</x:v>
      </x:c>
      <x:c r="E933" s="12" t="n">
        <x:v>0.005161040729267489</x:v>
      </x:c>
      <x:c r="F933" s="12" t="n">
        <x:v>5.51</x:v>
      </x:c>
      <x:c r="G933" s="12" t="n">
        <x:v>551</x:v>
      </x:c>
      <x:c r="H933" s="12" t="n">
        <x:v>1</x:v>
      </x:c>
      <x:c r="I933" s="12" t="str">
        <x:v>TuShare index_daily</x:v>
      </x:c>
      <x:c r="J933" s="12" t="str">
        <x:v>Archived FRED mirror (Hugging Face)</x:v>
      </x:c>
    </x:row>
    <x:row r="934" ht="18" customHeight="1">
      <x:c r="A934" s="13" t="n">
        <x:v>43991</x:v>
      </x:c>
      <x:c r="B934" s="12" t="n">
        <x:v>4047.0293</x:v>
      </x:c>
      <x:c r="C934" s="12" t="n">
        <x:v>4021.9549</x:v>
      </x:c>
      <x:c r="D934" s="12" t="n">
        <x:v>0.6234</x:v>
      </x:c>
      <x:c r="E934" s="12" t="n">
        <x:v>0.006215027837446011</x:v>
      </x:c>
      <x:c r="F934" s="12" t="n">
        <x:v>5.75</x:v>
      </x:c>
      <x:c r="G934" s="12" t="n">
        <x:v>575</x:v>
      </x:c>
      <x:c r="H934" s="12" t="n">
        <x:v>24</x:v>
      </x:c>
      <x:c r="I934" s="12" t="str">
        <x:v>TuShare index_daily</x:v>
      </x:c>
      <x:c r="J934" s="12" t="str">
        <x:v>Archived FRED mirror (Hugging Face)</x:v>
      </x:c>
    </x:row>
    <x:row r="935" ht="18" customHeight="1">
      <x:c r="A935" s="13" t="n">
        <x:v>43992</x:v>
      </x:c>
      <x:c r="B935" s="12" t="n">
        <x:v>4039.7051</x:v>
      </x:c>
      <x:c r="C935" s="12" t="n">
        <x:v>4047.0293</x:v>
      </x:c>
      <x:c r="D935" s="12" t="n">
        <x:v>-0.181</x:v>
      </x:c>
      <x:c r="E935" s="12" t="n">
        <x:v>-0.0018114115390478484</x:v>
      </x:c>
      <x:c r="F935" s="12" t="n">
        <x:v>5.92</x:v>
      </x:c>
      <x:c r="G935" s="12" t="n">
        <x:v>592</x:v>
      </x:c>
      <x:c r="H935" s="12" t="n">
        <x:v>17</x:v>
      </x:c>
      <x:c r="I935" s="12" t="str">
        <x:v>TuShare index_daily</x:v>
      </x:c>
      <x:c r="J935" s="12" t="str">
        <x:v>Archived FRED mirror (Hugging Face)</x:v>
      </x:c>
    </x:row>
    <x:row r="936" ht="18" customHeight="1">
      <x:c r="A936" s="13" t="n">
        <x:v>43993</x:v>
      </x:c>
      <x:c r="B936" s="12" t="n">
        <x:v>3995.8846</x:v>
      </x:c>
      <x:c r="C936" s="12" t="n">
        <x:v>4039.7051</x:v>
      </x:c>
      <x:c r="D936" s="12" t="n">
        <x:v>-1.0847</x:v>
      </x:c>
      <x:c r="E936" s="12" t="n">
        <x:v>-0.010906712768860143</x:v>
      </x:c>
      <x:c r="F936" s="12" t="n">
        <x:v>6.4</x:v>
      </x:c>
      <x:c r="G936" s="12" t="n">
        <x:v>640</x:v>
      </x:c>
      <x:c r="H936" s="12" t="n">
        <x:v>48</x:v>
      </x:c>
      <x:c r="I936" s="12" t="str">
        <x:v>TuShare index_daily</x:v>
      </x:c>
      <x:c r="J936" s="12" t="str">
        <x:v>Archived FRED mirror (Hugging Face)</x:v>
      </x:c>
    </x:row>
    <x:row r="937" ht="18" customHeight="1">
      <x:c r="A937" s="13" t="n">
        <x:v>43994</x:v>
      </x:c>
      <x:c r="B937" s="12" t="n">
        <x:v>4003.0829</x:v>
      </x:c>
      <x:c r="C937" s="12" t="n">
        <x:v>3995.8846</x:v>
      </x:c>
      <x:c r="D937" s="12" t="n">
        <x:v>0.1801</x:v>
      </x:c>
      <x:c r="E937" s="12" t="n">
        <x:v>0.0017998077734721176</x:v>
      </x:c>
      <x:c r="F937" s="12" t="n">
        <x:v>6.28</x:v>
      </x:c>
      <x:c r="G937" s="12" t="n">
        <x:v>628</x:v>
      </x:c>
      <x:c r="H937" s="12" t="n">
        <x:v>-12</x:v>
      </x:c>
      <x:c r="I937" s="12" t="str">
        <x:v>TuShare index_daily</x:v>
      </x:c>
      <x:c r="J937" s="12" t="str">
        <x:v>Archived FRED mirror (Hugging Face)</x:v>
      </x:c>
    </x:row>
    <x:row r="938" ht="18" customHeight="1">
      <x:c r="A938" s="13" t="n">
        <x:v>43997</x:v>
      </x:c>
      <x:c r="B938" s="12" t="n">
        <x:v>3954.9883</x:v>
      </x:c>
      <x:c r="C938" s="12" t="n">
        <x:v>4003.0829</x:v>
      </x:c>
      <x:c r="D938" s="12" t="n">
        <x:v>-1.2014</x:v>
      </x:c>
      <x:c r="E938" s="12" t="n">
        <x:v>-0.012087146329313512</x:v>
      </x:c>
      <x:c r="F938" s="12" t="n">
        <x:v>6.25</x:v>
      </x:c>
      <x:c r="G938" s="12" t="n">
        <x:v>625</x:v>
      </x:c>
      <x:c r="H938" s="12" t="n">
        <x:v>-3</x:v>
      </x:c>
      <x:c r="I938" s="12" t="str">
        <x:v>TuShare index_daily</x:v>
      </x:c>
      <x:c r="J938" s="12" t="str">
        <x:v>Archived FRED mirror (Hugging Face)</x:v>
      </x:c>
    </x:row>
    <x:row r="939" ht="18" customHeight="1">
      <x:c r="A939" s="13" t="n">
        <x:v>43998</x:v>
      </x:c>
      <x:c r="B939" s="12" t="n">
        <x:v>4014.5702</x:v>
      </x:c>
      <x:c r="C939" s="12" t="n">
        <x:v>3954.9883</x:v>
      </x:c>
      <x:c r="D939" s="12" t="n">
        <x:v>1.5065</x:v>
      </x:c>
      <x:c r="E939" s="12" t="n">
        <x:v>0.014952650166163503</x:v>
      </x:c>
      <x:c r="F939" s="12" t="n">
        <x:v>5.78</x:v>
      </x:c>
      <x:c r="G939" s="12" t="n">
        <x:v>578</x:v>
      </x:c>
      <x:c r="H939" s="12" t="n">
        <x:v>-47</x:v>
      </x:c>
      <x:c r="I939" s="12" t="str">
        <x:v>TuShare index_daily</x:v>
      </x:c>
      <x:c r="J939" s="12" t="str">
        <x:v>Archived FRED mirror (Hugging Face)</x:v>
      </x:c>
    </x:row>
    <x:row r="940" ht="18" customHeight="1">
      <x:c r="A940" s="13" t="n">
        <x:v>43999</x:v>
      </x:c>
      <x:c r="B940" s="12" t="n">
        <x:v>4017.5941</x:v>
      </x:c>
      <x:c r="C940" s="12" t="n">
        <x:v>4014.5702</x:v>
      </x:c>
      <x:c r="D940" s="12" t="n">
        <x:v>0.0753</x:v>
      </x:c>
      <x:c r="E940" s="12" t="n">
        <x:v>0.0007529477809265026</x:v>
      </x:c>
      <x:c r="F940" s="12" t="n">
        <x:v>5.85</x:v>
      </x:c>
      <x:c r="G940" s="12" t="n">
        <x:v>585</x:v>
      </x:c>
      <x:c r="H940" s="12" t="n">
        <x:v>7</x:v>
      </x:c>
      <x:c r="I940" s="12" t="str">
        <x:v>TuShare index_daily</x:v>
      </x:c>
      <x:c r="J940" s="12" t="str">
        <x:v>Archived FRED mirror (Hugging Face)</x:v>
      </x:c>
    </x:row>
    <x:row r="941" ht="18" customHeight="1">
      <x:c r="A941" s="13" t="n">
        <x:v>44000</x:v>
      </x:c>
      <x:c r="B941" s="12" t="n">
        <x:v>4044.3842</x:v>
      </x:c>
      <x:c r="C941" s="12" t="n">
        <x:v>4017.5941</x:v>
      </x:c>
      <x:c r="D941" s="12" t="n">
        <x:v>0.6668</x:v>
      </x:c>
      <x:c r="E941" s="12" t="n">
        <x:v>0.006646060709465059</x:v>
      </x:c>
      <x:c r="F941" s="12" t="n">
        <x:v>6.01</x:v>
      </x:c>
      <x:c r="G941" s="12" t="n">
        <x:v>601</x:v>
      </x:c>
      <x:c r="H941" s="12" t="n">
        <x:v>16</x:v>
      </x:c>
      <x:c r="I941" s="12" t="str">
        <x:v>TuShare index_daily</x:v>
      </x:c>
      <x:c r="J941" s="12" t="str">
        <x:v>Archived FRED mirror (Hugging Face)</x:v>
      </x:c>
    </x:row>
    <x:row r="942" ht="18" customHeight="1">
      <x:c r="A942" s="13" t="n">
        <x:v>44001</x:v>
      </x:c>
      <x:c r="B942" s="12" t="n">
        <x:v>4098.7095</x:v>
      </x:c>
      <x:c r="C942" s="12" t="n">
        <x:v>4044.3842</x:v>
      </x:c>
      <x:c r="D942" s="12" t="n">
        <x:v>1.3432</x:v>
      </x:c>
      <x:c r="E942" s="12" t="n">
        <x:v>0.013342866475464435</x:v>
      </x:c>
      <x:c r="F942" s="12" t="n">
        <x:v>6.02</x:v>
      </x:c>
      <x:c r="G942" s="12" t="n">
        <x:v>602</x:v>
      </x:c>
      <x:c r="H942" s="12" t="n">
        <x:v>1</x:v>
      </x:c>
      <x:c r="I942" s="12" t="str">
        <x:v>TuShare index_daily</x:v>
      </x:c>
      <x:c r="J942" s="12" t="str">
        <x:v>Archived FRED mirror (Hugging Face)</x:v>
      </x:c>
    </x:row>
    <x:row r="943" ht="18" customHeight="1">
      <x:c r="A943" s="13" t="n">
        <x:v>44004</x:v>
      </x:c>
      <x:c r="B943" s="12" t="n">
        <x:v>4102.0459</x:v>
      </x:c>
      <x:c r="C943" s="12" t="n">
        <x:v>4098.7095</x:v>
      </x:c>
      <x:c r="D943" s="12" t="n">
        <x:v>0.0814</x:v>
      </x:c>
      <x:c r="E943" s="12" t="n">
        <x:v>0.0008136811845599733</x:v>
      </x:c>
      <x:c r="F943" s="12" t="n">
        <x:v>6.03</x:v>
      </x:c>
      <x:c r="G943" s="12" t="n">
        <x:v>603</x:v>
      </x:c>
      <x:c r="H943" s="12" t="n">
        <x:v>1</x:v>
      </x:c>
      <x:c r="I943" s="12" t="str">
        <x:v>TuShare index_daily</x:v>
      </x:c>
      <x:c r="J943" s="12" t="str">
        <x:v>Archived FRED mirror (Hugging Face)</x:v>
      </x:c>
    </x:row>
    <x:row r="944" ht="18" customHeight="1">
      <x:c r="A944" s="13" t="n">
        <x:v>44005</x:v>
      </x:c>
      <x:c r="B944" s="12" t="n">
        <x:v>4121.7944</x:v>
      </x:c>
      <x:c r="C944" s="12" t="n">
        <x:v>4102.0459</x:v>
      </x:c>
      <x:c r="D944" s="12" t="n">
        <x:v>0.4814</x:v>
      </x:c>
      <x:c r="E944" s="12" t="n">
        <x:v>0.00480275327345941</x:v>
      </x:c>
      <x:c r="F944" s="12" t="n">
        <x:v>6.02</x:v>
      </x:c>
      <x:c r="G944" s="12" t="n">
        <x:v>602</x:v>
      </x:c>
      <x:c r="H944" s="12" t="n">
        <x:v>-1</x:v>
      </x:c>
      <x:c r="I944" s="12" t="str">
        <x:v>TuShare index_daily</x:v>
      </x:c>
      <x:c r="J944" s="12" t="str">
        <x:v>Archived FRED mirror (Hugging Face)</x:v>
      </x:c>
    </x:row>
    <x:row r="945" ht="18" customHeight="1">
      <x:c r="A945" s="13" t="n">
        <x:v>44006</x:v>
      </x:c>
      <x:c r="B945" s="12" t="n">
        <x:v>4138.9895</x:v>
      </x:c>
      <x:c r="C945" s="12" t="n">
        <x:v>4121.7944</x:v>
      </x:c>
      <x:c r="D945" s="12" t="n">
        <x:v>0.4172</x:v>
      </x:c>
      <x:c r="E945" s="12" t="n">
        <x:v>0.004163073394105781</x:v>
      </x:c>
      <x:c r="F945" s="12" t="n">
        <x:v>6.23</x:v>
      </x:c>
      <x:c r="G945" s="12" t="n">
        <x:v>623</x:v>
      </x:c>
      <x:c r="H945" s="12" t="n">
        <x:v>21</x:v>
      </x:c>
      <x:c r="I945" s="12" t="str">
        <x:v>TuShare index_daily</x:v>
      </x:c>
      <x:c r="J945" s="12" t="str">
        <x:v>Archived FRED mirror (Hugging Face)</x:v>
      </x:c>
    </x:row>
    <x:row r="946" ht="18" customHeight="1">
      <x:c r="A946" s="13" t="n">
        <x:v>44011</x:v>
      </x:c>
      <x:c r="B946" s="12" t="n">
        <x:v>4109.7164</x:v>
      </x:c>
      <x:c r="C946" s="12" t="n">
        <x:v>4138.9895</x:v>
      </x:c>
      <x:c r="D946" s="12" t="n">
        <x:v>-0.7073</x:v>
      </x:c>
      <x:c r="E946" s="12" t="n">
        <x:v>-0.007097652224453106</x:v>
      </x:c>
      <x:c r="F946" s="12" t="n">
        <x:v>6.52</x:v>
      </x:c>
      <x:c r="G946" s="12" t="n">
        <x:v>652</x:v>
      </x:c>
      <x:c r="H946" s="12" t="n">
        <x:v>11</x:v>
      </x:c>
      <x:c r="I946" s="12" t="str">
        <x:v>TuShare index_daily</x:v>
      </x:c>
      <x:c r="J946" s="12" t="str">
        <x:v>Archived FRED mirror (Hugging Face)</x:v>
      </x:c>
    </x:row>
    <x:row r="947" ht="18" customHeight="1">
      <x:c r="A947" s="13" t="n">
        <x:v>44012</x:v>
      </x:c>
      <x:c r="B947" s="12" t="n">
        <x:v>4163.9637</x:v>
      </x:c>
      <x:c r="C947" s="12" t="n">
        <x:v>4109.7164</x:v>
      </x:c>
      <x:c r="D947" s="12" t="n">
        <x:v>1.32</x:v>
      </x:c>
      <x:c r="E947" s="12" t="n">
        <x:v>0.013113409441197675</x:v>
      </x:c>
      <x:c r="F947" s="12" t="n">
        <x:v>6.44</x:v>
      </x:c>
      <x:c r="G947" s="12" t="n">
        <x:v>644</x:v>
      </x:c>
      <x:c r="H947" s="12" t="n">
        <x:v>-8</x:v>
      </x:c>
      <x:c r="I947" s="12" t="str">
        <x:v>TuShare index_daily</x:v>
      </x:c>
      <x:c r="J947" s="12" t="str">
        <x:v>Archived FRED mirror (Hugging Face)</x:v>
      </x:c>
    </x:row>
    <x:row r="948" ht="18" customHeight="1">
      <x:c r="A948" s="13" t="n">
        <x:v>44013</x:v>
      </x:c>
      <x:c r="B948" s="12" t="n">
        <x:v>4247.7835</x:v>
      </x:c>
      <x:c r="C948" s="12" t="n">
        <x:v>4163.9637</x:v>
      </x:c>
      <x:c r="D948" s="12" t="n">
        <x:v>2.013</x:v>
      </x:c>
      <x:c r="E948" s="12" t="n">
        <x:v>0.019929884345320857</x:v>
      </x:c>
      <x:c r="F948" s="12" t="n">
        <x:v>6.33</x:v>
      </x:c>
      <x:c r="G948" s="12" t="n">
        <x:v>633</x:v>
      </x:c>
      <x:c r="H948" s="12" t="n">
        <x:v>-11</x:v>
      </x:c>
      <x:c r="I948" s="12" t="str">
        <x:v>TuShare index_daily</x:v>
      </x:c>
      <x:c r="J948" s="12" t="str">
        <x:v>Archived FRED mirror (Hugging Face)</x:v>
      </x:c>
    </x:row>
    <x:row r="949" ht="18" customHeight="1">
      <x:c r="A949" s="13" t="n">
        <x:v>44014</x:v>
      </x:c>
      <x:c r="B949" s="12" t="n">
        <x:v>4335.8445</x:v>
      </x:c>
      <x:c r="C949" s="12" t="n">
        <x:v>4247.7835</x:v>
      </x:c>
      <x:c r="D949" s="12" t="n">
        <x:v>2.0731</x:v>
      </x:c>
      <x:c r="E949" s="12" t="n">
        <x:v>0.0205190834673487</x:v>
      </x:c>
      <x:c r="F949" s="12" t="n">
        <x:v>6.17</x:v>
      </x:c>
      <x:c r="G949" s="12" t="n">
        <x:v>617</x:v>
      </x:c>
      <x:c r="H949" s="12" t="n">
        <x:v>-16</x:v>
      </x:c>
      <x:c r="I949" s="12" t="str">
        <x:v>TuShare index_daily</x:v>
      </x:c>
      <x:c r="J949" s="12" t="str">
        <x:v>Archived FRED mirror (Hugging Face)</x:v>
      </x:c>
    </x:row>
    <x:row r="950" ht="18" customHeight="1">
      <x:c r="A950" s="13" t="n">
        <x:v>44015</x:v>
      </x:c>
      <x:c r="B950" s="12" t="n">
        <x:v>4419.5955</x:v>
      </x:c>
      <x:c r="C950" s="12" t="n">
        <x:v>4335.8445</x:v>
      </x:c>
      <x:c r="D950" s="12" t="n">
        <x:v>1.9316</x:v>
      </x:c>
      <x:c r="E950" s="12" t="n">
        <x:v>0.01913177511652984</x:v>
      </x:c>
      <x:c r="F950" s="12" t="n">
        <x:v>6.17</x:v>
      </x:c>
      <x:c r="G950" s="12" t="n">
        <x:v>617</x:v>
      </x:c>
      <x:c r="H950" s="12" t="n">
        <x:v>0</x:v>
      </x:c>
      <x:c r="I950" s="12" t="str">
        <x:v>TuShare index_daily</x:v>
      </x:c>
      <x:c r="J950" s="12" t="str">
        <x:v>Archived FRED mirror (Hugging Face)</x:v>
      </x:c>
    </x:row>
    <x:row r="951" ht="18" customHeight="1">
      <x:c r="A951" s="13" t="n">
        <x:v>44018</x:v>
      </x:c>
      <x:c r="B951" s="12" t="n">
        <x:v>4670.0949</x:v>
      </x:c>
      <x:c r="C951" s="12" t="n">
        <x:v>4419.5955</x:v>
      </x:c>
      <x:c r="D951" s="12" t="n">
        <x:v>5.6679</x:v>
      </x:c>
      <x:c r="E951" s="12" t="n">
        <x:v>0.055131216608803546</x:v>
      </x:c>
      <x:c r="F951" s="12" t="n">
        <x:v>6.03</x:v>
      </x:c>
      <x:c r="G951" s="12" t="n">
        <x:v>603</x:v>
      </x:c>
      <x:c r="H951" s="12" t="n">
        <x:v>-14</x:v>
      </x:c>
      <x:c r="I951" s="12" t="str">
        <x:v>TuShare index_daily</x:v>
      </x:c>
      <x:c r="J951" s="12" t="str">
        <x:v>Archived FRED mirror (Hugging Face)</x:v>
      </x:c>
    </x:row>
    <x:row r="952" ht="18" customHeight="1">
      <x:c r="A952" s="13" t="n">
        <x:v>44019</x:v>
      </x:c>
      <x:c r="B952" s="12" t="n">
        <x:v>4698.1264</x:v>
      </x:c>
      <x:c r="C952" s="12" t="n">
        <x:v>4670.0949</x:v>
      </x:c>
      <x:c r="D952" s="12" t="n">
        <x:v>0.6002</x:v>
      </x:c>
      <x:c r="E952" s="12" t="n">
        <x:v>0.005984398267295105</x:v>
      </x:c>
      <x:c r="F952" s="12" t="n">
        <x:v>6.04</x:v>
      </x:c>
      <x:c r="G952" s="12" t="n">
        <x:v>604</x:v>
      </x:c>
      <x:c r="H952" s="12" t="n">
        <x:v>1</x:v>
      </x:c>
      <x:c r="I952" s="12" t="str">
        <x:v>TuShare index_daily</x:v>
      </x:c>
      <x:c r="J952" s="12" t="str">
        <x:v>Archived FRED mirror (Hugging Face)</x:v>
      </x:c>
    </x:row>
    <x:row r="953" ht="18" customHeight="1">
      <x:c r="A953" s="13" t="n">
        <x:v>44020</x:v>
      </x:c>
      <x:c r="B953" s="12" t="n">
        <x:v>4774.0042</x:v>
      </x:c>
      <x:c r="C953" s="12" t="n">
        <x:v>4698.1264</x:v>
      </x:c>
      <x:c r="D953" s="12" t="n">
        <x:v>1.6151</x:v>
      </x:c>
      <x:c r="E953" s="12" t="n">
        <x:v>0.01602161674087557</x:v>
      </x:c>
      <x:c r="F953" s="12" t="n">
        <x:v>6.06</x:v>
      </x:c>
      <x:c r="G953" s="12" t="n">
        <x:v>606</x:v>
      </x:c>
      <x:c r="H953" s="12" t="n">
        <x:v>2</x:v>
      </x:c>
      <x:c r="I953" s="12" t="str">
        <x:v>TuShare index_daily</x:v>
      </x:c>
      <x:c r="J953" s="12" t="str">
        <x:v>Archived FRED mirror (Hugging Face)</x:v>
      </x:c>
    </x:row>
    <x:row r="954" ht="18" customHeight="1">
      <x:c r="A954" s="13" t="n">
        <x:v>44021</x:v>
      </x:c>
      <x:c r="B954" s="12" t="n">
        <x:v>4840.7712</x:v>
      </x:c>
      <x:c r="C954" s="12" t="n">
        <x:v>4774.0042</x:v>
      </x:c>
      <x:c r="D954" s="12" t="n">
        <x:v>1.3986</x:v>
      </x:c>
      <x:c r="E954" s="12" t="n">
        <x:v>0.013888639196783053</x:v>
      </x:c>
      <x:c r="F954" s="12" t="n">
        <x:v>6.14</x:v>
      </x:c>
      <x:c r="G954" s="12" t="n">
        <x:v>614</x:v>
      </x:c>
      <x:c r="H954" s="12" t="n">
        <x:v>8</x:v>
      </x:c>
      <x:c r="I954" s="12" t="str">
        <x:v>TuShare index_daily</x:v>
      </x:c>
      <x:c r="J954" s="12" t="str">
        <x:v>Archived FRED mirror (Hugging Face)</x:v>
      </x:c>
    </x:row>
    <x:row r="955" ht="18" customHeight="1">
      <x:c r="A955" s="13" t="n">
        <x:v>44022</x:v>
      </x:c>
      <x:c r="B955" s="12" t="n">
        <x:v>4753.1333</x:v>
      </x:c>
      <x:c r="C955" s="12" t="n">
        <x:v>4840.7712</x:v>
      </x:c>
      <x:c r="D955" s="12" t="n">
        <x:v>-1.8104</x:v>
      </x:c>
      <x:c r="E955" s="12" t="n">
        <x:v>-0.018270004194841982</x:v>
      </x:c>
      <x:c r="F955" s="12" t="n">
        <x:v>6.14</x:v>
      </x:c>
      <x:c r="G955" s="12" t="n">
        <x:v>614</x:v>
      </x:c>
      <x:c r="H955" s="12" t="n">
        <x:v>0</x:v>
      </x:c>
      <x:c r="I955" s="12" t="str">
        <x:v>TuShare index_daily</x:v>
      </x:c>
      <x:c r="J955" s="12" t="str">
        <x:v>Archived FRED mirror (Hugging Face)</x:v>
      </x:c>
    </x:row>
    <x:row r="956" ht="18" customHeight="1">
      <x:c r="A956" s="13" t="n">
        <x:v>44025</x:v>
      </x:c>
      <x:c r="B956" s="12" t="n">
        <x:v>4852.9612</x:v>
      </x:c>
      <x:c r="C956" s="12" t="n">
        <x:v>4753.1333</x:v>
      </x:c>
      <x:c r="D956" s="12" t="n">
        <x:v>2.1003</x:v>
      </x:c>
      <x:c r="E956" s="12" t="n">
        <x:v>0.02078503265292465</x:v>
      </x:c>
      <x:c r="F956" s="12" t="n">
        <x:v>6.01</x:v>
      </x:c>
      <x:c r="G956" s="12" t="n">
        <x:v>601</x:v>
      </x:c>
      <x:c r="H956" s="12" t="n">
        <x:v>-13</x:v>
      </x:c>
      <x:c r="I956" s="12" t="str">
        <x:v>TuShare index_daily</x:v>
      </x:c>
      <x:c r="J956" s="12" t="str">
        <x:v>Archived FRED mirror (Hugging Face)</x:v>
      </x:c>
    </x:row>
    <x:row r="957" ht="18" customHeight="1">
      <x:c r="A957" s="13" t="n">
        <x:v>44026</x:v>
      </x:c>
      <x:c r="B957" s="12" t="n">
        <x:v>4806.6902</x:v>
      </x:c>
      <x:c r="C957" s="12" t="n">
        <x:v>4852.9612</x:v>
      </x:c>
      <x:c r="D957" s="12" t="n">
        <x:v>-0.9535</x:v>
      </x:c>
      <x:c r="E957" s="12" t="n">
        <x:v>-0.009580336181996442</x:v>
      </x:c>
      <x:c r="F957" s="12" t="n">
        <x:v>6.03</x:v>
      </x:c>
      <x:c r="G957" s="12" t="n">
        <x:v>603</x:v>
      </x:c>
      <x:c r="H957" s="12" t="n">
        <x:v>2</x:v>
      </x:c>
      <x:c r="I957" s="12" t="str">
        <x:v>TuShare index_daily</x:v>
      </x:c>
      <x:c r="J957" s="12" t="str">
        <x:v>Archived FRED mirror (Hugging Face)</x:v>
      </x:c>
    </x:row>
    <x:row r="958" ht="18" customHeight="1">
      <x:c r="A958" s="13" t="n">
        <x:v>44027</x:v>
      </x:c>
      <x:c r="B958" s="12" t="n">
        <x:v>4744.4687</x:v>
      </x:c>
      <x:c r="C958" s="12" t="n">
        <x:v>4806.6902</x:v>
      </x:c>
      <x:c r="D958" s="12" t="n">
        <x:v>-1.2945</x:v>
      </x:c>
      <x:c r="E958" s="12" t="n">
        <x:v>-0.013029283857047434</x:v>
      </x:c>
      <x:c r="F958" s="12" t="n">
        <x:v>5.81</x:v>
      </x:c>
      <x:c r="G958" s="12" t="n">
        <x:v>581</x:v>
      </x:c>
      <x:c r="H958" s="12" t="n">
        <x:v>-22</x:v>
      </x:c>
      <x:c r="I958" s="12" t="str">
        <x:v>TuShare index_daily</x:v>
      </x:c>
      <x:c r="J958" s="12" t="str">
        <x:v>Archived FRED mirror (Hugging Face)</x:v>
      </x:c>
    </x:row>
    <x:row r="959" ht="18" customHeight="1">
      <x:c r="A959" s="13" t="n">
        <x:v>44028</x:v>
      </x:c>
      <x:c r="B959" s="12" t="n">
        <x:v>4516.2532</x:v>
      </x:c>
      <x:c r="C959" s="12" t="n">
        <x:v>4744.4687</x:v>
      </x:c>
      <x:c r="D959" s="12" t="n">
        <x:v>-4.8101</x:v>
      </x:c>
      <x:c r="E959" s="12" t="n">
        <x:v>-0.04929674326555778</x:v>
      </x:c>
      <x:c r="F959" s="12" t="n">
        <x:v>5.76</x:v>
      </x:c>
      <x:c r="G959" s="12" t="n">
        <x:v>576</x:v>
      </x:c>
      <x:c r="H959" s="12" t="n">
        <x:v>-5</x:v>
      </x:c>
      <x:c r="I959" s="12" t="str">
        <x:v>TuShare index_daily</x:v>
      </x:c>
      <x:c r="J959" s="12" t="str">
        <x:v>Archived FRED mirror (Hugging Face)</x:v>
      </x:c>
    </x:row>
    <x:row r="960" ht="18" customHeight="1">
      <x:c r="A960" s="13" t="n">
        <x:v>44029</x:v>
      </x:c>
      <x:c r="B960" s="12" t="n">
        <x:v>4544.7007</x:v>
      </x:c>
      <x:c r="C960" s="12" t="n">
        <x:v>4516.2532</x:v>
      </x:c>
      <x:c r="D960" s="12" t="n">
        <x:v>0.6299</x:v>
      </x:c>
      <x:c r="E960" s="12" t="n">
        <x:v>0.006279160843895698</x:v>
      </x:c>
      <x:c r="F960" s="12" t="n">
        <x:v>5.74</x:v>
      </x:c>
      <x:c r="G960" s="12" t="n">
        <x:v>574</x:v>
      </x:c>
      <x:c r="H960" s="12" t="n">
        <x:v>-2</x:v>
      </x:c>
      <x:c r="I960" s="12" t="str">
        <x:v>TuShare index_daily</x:v>
      </x:c>
      <x:c r="J960" s="12" t="str">
        <x:v>Archived FRED mirror (Hugging Face)</x:v>
      </x:c>
    </x:row>
    <x:row r="961" ht="18" customHeight="1">
      <x:c r="A961" s="13" t="n">
        <x:v>44032</x:v>
      </x:c>
      <x:c r="B961" s="12" t="n">
        <x:v>4680.3046</x:v>
      </x:c>
      <x:c r="C961" s="12" t="n">
        <x:v>4544.7007</x:v>
      </x:c>
      <x:c r="D961" s="12" t="n">
        <x:v>2.9838</x:v>
      </x:c>
      <x:c r="E961" s="12" t="n">
        <x:v>0.029401320405866512</x:v>
      </x:c>
      <x:c r="F961" s="12" t="n">
        <x:v>5.54</x:v>
      </x:c>
      <x:c r="G961" s="12" t="n">
        <x:v>554</x:v>
      </x:c>
      <x:c r="H961" s="12" t="n">
        <x:v>-20</x:v>
      </x:c>
      <x:c r="I961" s="12" t="str">
        <x:v>TuShare index_daily</x:v>
      </x:c>
      <x:c r="J961" s="12" t="str">
        <x:v>Archived FRED mirror (Hugging Face)</x:v>
      </x:c>
    </x:row>
    <x:row r="962" ht="18" customHeight="1">
      <x:c r="A962" s="13" t="n">
        <x:v>44033</x:v>
      </x:c>
      <x:c r="B962" s="12" t="n">
        <x:v>4691.0425</x:v>
      </x:c>
      <x:c r="C962" s="12" t="n">
        <x:v>4680.3046</x:v>
      </x:c>
      <x:c r="D962" s="12" t="n">
        <x:v>0.2294</x:v>
      </x:c>
      <x:c r="E962" s="12" t="n">
        <x:v>0.002291645925546458</x:v>
      </x:c>
      <x:c r="F962" s="12" t="n">
        <x:v>5.33</x:v>
      </x:c>
      <x:c r="G962" s="12" t="n">
        <x:v>533</x:v>
      </x:c>
      <x:c r="H962" s="12" t="n">
        <x:v>-21</x:v>
      </x:c>
      <x:c r="I962" s="12" t="str">
        <x:v>TuShare index_daily</x:v>
      </x:c>
      <x:c r="J962" s="12" t="str">
        <x:v>Archived FRED mirror (Hugging Face)</x:v>
      </x:c>
    </x:row>
    <x:row r="963" ht="18" customHeight="1">
      <x:c r="A963" s="13" t="n">
        <x:v>44034</x:v>
      </x:c>
      <x:c r="B963" s="12" t="n">
        <x:v>4714.4454</x:v>
      </x:c>
      <x:c r="C963" s="12" t="n">
        <x:v>4691.0425</x:v>
      </x:c>
      <x:c r="D963" s="12" t="n">
        <x:v>0.4989</x:v>
      </x:c>
      <x:c r="E963" s="12" t="n">
        <x:v>0.004976445357551661</x:v>
      </x:c>
      <x:c r="F963" s="12" t="n">
        <x:v>5.28</x:v>
      </x:c>
      <x:c r="G963" s="12" t="n">
        <x:v>528</x:v>
      </x:c>
      <x:c r="H963" s="12" t="n">
        <x:v>-5</x:v>
      </x:c>
      <x:c r="I963" s="12" t="str">
        <x:v>TuShare index_daily</x:v>
      </x:c>
      <x:c r="J963" s="12" t="str">
        <x:v>Archived FRED mirror (Hugging Face)</x:v>
      </x:c>
    </x:row>
    <x:row r="964" ht="18" customHeight="1">
      <x:c r="A964" s="13" t="n">
        <x:v>44035</x:v>
      </x:c>
      <x:c r="B964" s="12" t="n">
        <x:v>4712.4357</x:v>
      </x:c>
      <x:c r="C964" s="12" t="n">
        <x:v>4714.4454</x:v>
      </x:c>
      <x:c r="D964" s="12" t="n">
        <x:v>-0.0426</x:v>
      </x:c>
      <x:c r="E964" s="12" t="n">
        <x:v>-0.0004263764460646308</x:v>
      </x:c>
      <x:c r="F964" s="12" t="n">
        <x:v>5.26</x:v>
      </x:c>
      <x:c r="G964" s="12" t="n">
        <x:v>526</x:v>
      </x:c>
      <x:c r="H964" s="12" t="n">
        <x:v>-2</x:v>
      </x:c>
      <x:c r="I964" s="12" t="str">
        <x:v>TuShare index_daily</x:v>
      </x:c>
      <x:c r="J964" s="12" t="str">
        <x:v>Archived FRED mirror (Hugging Face)</x:v>
      </x:c>
    </x:row>
    <x:row r="965" ht="18" customHeight="1">
      <x:c r="A965" s="13" t="n">
        <x:v>44036</x:v>
      </x:c>
      <x:c r="B965" s="12" t="n">
        <x:v>4505.5906</x:v>
      </x:c>
      <x:c r="C965" s="12" t="n">
        <x:v>4712.4357</x:v>
      </x:c>
      <x:c r="D965" s="12" t="n">
        <x:v>-4.3893</x:v>
      </x:c>
      <x:c r="E965" s="12" t="n">
        <x:v>-0.044885926871965375</x:v>
      </x:c>
      <x:c r="F965" s="12" t="n">
        <x:v>5.29</x:v>
      </x:c>
      <x:c r="G965" s="12" t="n">
        <x:v>529</x:v>
      </x:c>
      <x:c r="H965" s="12" t="n">
        <x:v>3</x:v>
      </x:c>
      <x:c r="I965" s="12" t="str">
        <x:v>TuShare index_daily</x:v>
      </x:c>
      <x:c r="J965" s="12" t="str">
        <x:v>Archived FRED mirror (Hugging Face)</x:v>
      </x:c>
    </x:row>
    <x:row r="966" ht="18" customHeight="1">
      <x:c r="A966" s="13" t="n">
        <x:v>44039</x:v>
      </x:c>
      <x:c r="B966" s="12" t="n">
        <x:v>4528.45</x:v>
      </x:c>
      <x:c r="C966" s="12" t="n">
        <x:v>4505.5906</x:v>
      </x:c>
      <x:c r="D966" s="12" t="n">
        <x:v>0.5074</x:v>
      </x:c>
      <x:c r="E966" s="12" t="n">
        <x:v>0.005060736341555208</x:v>
      </x:c>
      <x:c r="F966" s="12" t="n">
        <x:v>5.24</x:v>
      </x:c>
      <x:c r="G966" s="12" t="n">
        <x:v>524</x:v>
      </x:c>
      <x:c r="H966" s="12" t="n">
        <x:v>-5</x:v>
      </x:c>
      <x:c r="I966" s="12" t="str">
        <x:v>TuShare index_daily</x:v>
      </x:c>
      <x:c r="J966" s="12" t="str">
        <x:v>Archived FRED mirror (Hugging Face)</x:v>
      </x:c>
    </x:row>
    <x:row r="967" ht="18" customHeight="1">
      <x:c r="A967" s="13" t="n">
        <x:v>44040</x:v>
      </x:c>
      <x:c r="B967" s="12" t="n">
        <x:v>4568.2576</x:v>
      </x:c>
      <x:c r="C967" s="12" t="n">
        <x:v>4528.45</x:v>
      </x:c>
      <x:c r="D967" s="12" t="n">
        <x:v>0.8791</x:v>
      </x:c>
      <x:c r="E967" s="12" t="n">
        <x:v>0.008752145469647098</x:v>
      </x:c>
      <x:c r="F967" s="12" t="n">
        <x:v>5.27</x:v>
      </x:c>
      <x:c r="G967" s="12" t="n">
        <x:v>527</x:v>
      </x:c>
      <x:c r="H967" s="12" t="n">
        <x:v>3</x:v>
      </x:c>
      <x:c r="I967" s="12" t="str">
        <x:v>TuShare index_daily</x:v>
      </x:c>
      <x:c r="J967" s="12" t="str">
        <x:v>Archived FRED mirror (Hugging Face)</x:v>
      </x:c>
    </x:row>
    <x:row r="968" ht="18" customHeight="1">
      <x:c r="A968" s="13" t="n">
        <x:v>44041</x:v>
      </x:c>
      <x:c r="B968" s="12" t="n">
        <x:v>4679.008</x:v>
      </x:c>
      <x:c r="C968" s="12" t="n">
        <x:v>4568.2576</x:v>
      </x:c>
      <x:c r="D968" s="12" t="n">
        <x:v>2.4243</x:v>
      </x:c>
      <x:c r="E968" s="12" t="n">
        <x:v>0.023954258591717723</x:v>
      </x:c>
      <x:c r="F968" s="12" t="n">
        <x:v>5.15</x:v>
      </x:c>
      <x:c r="G968" s="12" t="n">
        <x:v>515</x:v>
      </x:c>
      <x:c r="H968" s="12" t="n">
        <x:v>-12</x:v>
      </x:c>
      <x:c r="I968" s="12" t="str">
        <x:v>TuShare index_daily</x:v>
      </x:c>
      <x:c r="J968" s="12" t="str">
        <x:v>Archived FRED mirror (Hugging Face)</x:v>
      </x:c>
    </x:row>
    <x:row r="969" ht="18" customHeight="1">
      <x:c r="A969" s="13" t="n">
        <x:v>44042</x:v>
      </x:c>
      <x:c r="B969" s="12" t="n">
        <x:v>4656.1506</x:v>
      </x:c>
      <x:c r="C969" s="12" t="n">
        <x:v>4679.008</x:v>
      </x:c>
      <x:c r="D969" s="12" t="n">
        <x:v>-0.4885</x:v>
      </x:c>
      <x:c r="E969" s="12" t="n">
        <x:v>-0.004897066382800305</x:v>
      </x:c>
      <x:c r="F969" s="12" t="n">
        <x:v>5.14</x:v>
      </x:c>
      <x:c r="G969" s="12" t="n">
        <x:v>514</x:v>
      </x:c>
      <x:c r="H969" s="12" t="n">
        <x:v>-1</x:v>
      </x:c>
      <x:c r="I969" s="12" t="str">
        <x:v>TuShare index_daily</x:v>
      </x:c>
      <x:c r="J969" s="12" t="str">
        <x:v>Archived FRED mirror (Hugging Face)</x:v>
      </x:c>
    </x:row>
    <x:row r="970" ht="18" customHeight="1">
      <x:c r="A970" s="13" t="n">
        <x:v>44043</x:v>
      </x:c>
      <x:c r="B970" s="12" t="n">
        <x:v>4695.0462</x:v>
      </x:c>
      <x:c r="C970" s="12" t="n">
        <x:v>4656.1506</x:v>
      </x:c>
      <x:c r="D970" s="12" t="n">
        <x:v>0.8354</x:v>
      </x:c>
      <x:c r="E970" s="12" t="n">
        <x:v>0.00831889760054069</x:v>
      </x:c>
      <x:c r="F970" s="12" t="n">
        <x:v>5.16</x:v>
      </x:c>
      <x:c r="G970" s="12" t="n">
        <x:v>516</x:v>
      </x:c>
      <x:c r="H970" s="12" t="n">
        <x:v>2</x:v>
      </x:c>
      <x:c r="I970" s="12" t="str">
        <x:v>TuShare index_daily</x:v>
      </x:c>
      <x:c r="J970" s="12" t="str">
        <x:v>Archived FRED mirror (Hugging Face)</x:v>
      </x:c>
    </x:row>
    <x:row r="971" ht="18" customHeight="1">
      <x:c r="A971" s="13" t="n">
        <x:v>44046</x:v>
      </x:c>
      <x:c r="B971" s="12" t="n">
        <x:v>4771.3108</x:v>
      </x:c>
      <x:c r="C971" s="12" t="n">
        <x:v>4695.0462</x:v>
      </x:c>
      <x:c r="D971" s="12" t="n">
        <x:v>1.6244</x:v>
      </x:c>
      <x:c r="E971" s="12" t="n">
        <x:v>0.01611311512058742</x:v>
      </x:c>
      <x:c r="F971" s="12" t="n">
        <x:v>5.08</x:v>
      </x:c>
      <x:c r="G971" s="12" t="n">
        <x:v>508</x:v>
      </x:c>
      <x:c r="H971" s="12" t="n">
        <x:v>-8</x:v>
      </x:c>
      <x:c r="I971" s="12" t="str">
        <x:v>TuShare index_daily</x:v>
      </x:c>
      <x:c r="J971" s="12" t="str">
        <x:v>Archived FRED mirror (Hugging Face)</x:v>
      </x:c>
    </x:row>
    <x:row r="972" ht="18" customHeight="1">
      <x:c r="A972" s="13" t="n">
        <x:v>44047</x:v>
      </x:c>
      <x:c r="B972" s="12" t="n">
        <x:v>4775.8024</x:v>
      </x:c>
      <x:c r="C972" s="12" t="n">
        <x:v>4771.3108</x:v>
      </x:c>
      <x:c r="D972" s="12" t="n">
        <x:v>0.0941</x:v>
      </x:c>
      <x:c r="E972" s="12" t="n">
        <x:v>0.0009409337120644999</x:v>
      </x:c>
      <x:c r="F972" s="12" t="n">
        <x:v>5.13</x:v>
      </x:c>
      <x:c r="G972" s="12" t="n">
        <x:v>513</x:v>
      </x:c>
      <x:c r="H972" s="12" t="n">
        <x:v>5</x:v>
      </x:c>
      <x:c r="I972" s="12" t="str">
        <x:v>TuShare index_daily</x:v>
      </x:c>
      <x:c r="J972" s="12" t="str">
        <x:v>Archived FRED mirror (Hugging Face)</x:v>
      </x:c>
    </x:row>
    <x:row r="973" ht="18" customHeight="1">
      <x:c r="A973" s="13" t="n">
        <x:v>44048</x:v>
      </x:c>
      <x:c r="B973" s="12" t="n">
        <x:v>4777.1089</x:v>
      </x:c>
      <x:c r="C973" s="12" t="n">
        <x:v>4775.8024</x:v>
      </x:c>
      <x:c r="D973" s="12" t="n">
        <x:v>0.0274</x:v>
      </x:c>
      <x:c r="E973" s="12" t="n">
        <x:v>0.0002735291822812058</x:v>
      </x:c>
      <x:c r="F973" s="12" t="n">
        <x:v>5.04</x:v>
      </x:c>
      <x:c r="G973" s="12" t="n">
        <x:v>504</x:v>
      </x:c>
      <x:c r="H973" s="12" t="n">
        <x:v>-9</x:v>
      </x:c>
      <x:c r="I973" s="12" t="str">
        <x:v>TuShare index_daily</x:v>
      </x:c>
      <x:c r="J973" s="12" t="str">
        <x:v>Archived FRED mirror (Hugging Face)</x:v>
      </x:c>
    </x:row>
    <x:row r="974" ht="18" customHeight="1">
      <x:c r="A974" s="13" t="n">
        <x:v>44049</x:v>
      </x:c>
      <x:c r="B974" s="12" t="n">
        <x:v>4762.7642</x:v>
      </x:c>
      <x:c r="C974" s="12" t="n">
        <x:v>4777.1089</x:v>
      </x:c>
      <x:c r="D974" s="12" t="n">
        <x:v>-0.3003</x:v>
      </x:c>
      <x:c r="E974" s="12" t="n">
        <x:v>-0.0030073169025837867</x:v>
      </x:c>
      <x:c r="F974" s="12" t="n">
        <x:v>5.06</x:v>
      </x:c>
      <x:c r="G974" s="12" t="n">
        <x:v>505.99999999999994</x:v>
      </x:c>
      <x:c r="H974" s="12" t="n">
        <x:v>1.9999999999999432</x:v>
      </x:c>
      <x:c r="I974" s="12" t="str">
        <x:v>TuShare index_daily</x:v>
      </x:c>
      <x:c r="J974" s="12" t="str">
        <x:v>Archived FRED mirror (Hugging Face)</x:v>
      </x:c>
    </x:row>
    <x:row r="975" ht="18" customHeight="1">
      <x:c r="A975" s="13" t="n">
        <x:v>44050</x:v>
      </x:c>
      <x:c r="B975" s="12" t="n">
        <x:v>4707.9262</x:v>
      </x:c>
      <x:c r="C975" s="12" t="n">
        <x:v>4762.7642</x:v>
      </x:c>
      <x:c r="D975" s="12" t="n">
        <x:v>-1.1514</x:v>
      </x:c>
      <x:c r="E975" s="12" t="n">
        <x:v>-0.0115807001506316</x:v>
      </x:c>
      <x:c r="F975" s="12" t="n">
        <x:v>5.06</x:v>
      </x:c>
      <x:c r="G975" s="12" t="n">
        <x:v>505.99999999999994</x:v>
      </x:c>
      <x:c r="H975" s="12" t="n">
        <x:v>0</x:v>
      </x:c>
      <x:c r="I975" s="12" t="str">
        <x:v>TuShare index_daily</x:v>
      </x:c>
      <x:c r="J975" s="12" t="str">
        <x:v>Archived FRED mirror (Hugging Face)</x:v>
      </x:c>
    </x:row>
    <x:row r="976" ht="18" customHeight="1">
      <x:c r="A976" s="13" t="n">
        <x:v>44053</x:v>
      </x:c>
      <x:c r="B976" s="12" t="n">
        <x:v>4724.8697</x:v>
      </x:c>
      <x:c r="C976" s="12" t="n">
        <x:v>4707.9262</x:v>
      </x:c>
      <x:c r="D976" s="12" t="n">
        <x:v>0.3599</x:v>
      </x:c>
      <x:c r="E976" s="12" t="n">
        <x:v>0.00359247001676474</x:v>
      </x:c>
      <x:c r="F976" s="12" t="n">
        <x:v>5.09</x:v>
      </x:c>
      <x:c r="G976" s="12" t="n">
        <x:v>509</x:v>
      </x:c>
      <x:c r="H976" s="12" t="n">
        <x:v>3.000000000000057</x:v>
      </x:c>
      <x:c r="I976" s="12" t="str">
        <x:v>TuShare index_daily</x:v>
      </x:c>
      <x:c r="J976" s="12" t="str">
        <x:v>Archived FRED mirror (Hugging Face)</x:v>
      </x:c>
    </x:row>
    <x:row r="977" ht="18" customHeight="1">
      <x:c r="A977" s="13" t="n">
        <x:v>44054</x:v>
      </x:c>
      <x:c r="B977" s="12" t="n">
        <x:v>4681.7837</x:v>
      </x:c>
      <x:c r="C977" s="12" t="n">
        <x:v>4724.8697</x:v>
      </x:c>
      <x:c r="D977" s="12" t="n">
        <x:v>-0.9119</x:v>
      </x:c>
      <x:c r="E977" s="12" t="n">
        <x:v>-0.009160814050230533</x:v>
      </x:c>
      <x:c r="F977" s="12" t="n">
        <x:v>5.03</x:v>
      </x:c>
      <x:c r="G977" s="12" t="n">
        <x:v>503</x:v>
      </x:c>
      <x:c r="H977" s="12" t="n">
        <x:v>-6</x:v>
      </x:c>
      <x:c r="I977" s="12" t="str">
        <x:v>TuShare index_daily</x:v>
      </x:c>
      <x:c r="J977" s="12" t="str">
        <x:v>Archived FRED mirror (Hugging Face)</x:v>
      </x:c>
    </x:row>
    <x:row r="978" ht="18" customHeight="1">
      <x:c r="A978" s="13" t="n">
        <x:v>44055</x:v>
      </x:c>
      <x:c r="B978" s="12" t="n">
        <x:v>4647.6446</x:v>
      </x:c>
      <x:c r="C978" s="12" t="n">
        <x:v>4681.7837</x:v>
      </x:c>
      <x:c r="D978" s="12" t="n">
        <x:v>-0.7292</x:v>
      </x:c>
      <x:c r="E978" s="12" t="n">
        <x:v>-0.00731861616432439</x:v>
      </x:c>
      <x:c r="F978" s="12" t="n">
        <x:v>5.1</x:v>
      </x:c>
      <x:c r="G978" s="12" t="n">
        <x:v>509.99999999999994</x:v>
      </x:c>
      <x:c r="H978" s="12" t="n">
        <x:v>6.999999999999943</x:v>
      </x:c>
      <x:c r="I978" s="12" t="str">
        <x:v>TuShare index_daily</x:v>
      </x:c>
      <x:c r="J978" s="12" t="str">
        <x:v>Archived FRED mirror (Hugging Face)</x:v>
      </x:c>
    </x:row>
    <x:row r="979" ht="18" customHeight="1">
      <x:c r="A979" s="13" t="n">
        <x:v>44056</x:v>
      </x:c>
      <x:c r="B979" s="12" t="n">
        <x:v>4635.7126</x:v>
      </x:c>
      <x:c r="C979" s="12" t="n">
        <x:v>4647.6446</x:v>
      </x:c>
      <x:c r="D979" s="12" t="n">
        <x:v>-0.2567</x:v>
      </x:c>
      <x:c r="E979" s="12" t="n">
        <x:v>-0.0025706231729737705</x:v>
      </x:c>
      <x:c r="F979" s="12" t="n">
        <x:v>5.16</x:v>
      </x:c>
      <x:c r="G979" s="12" t="n">
        <x:v>516</x:v>
      </x:c>
      <x:c r="H979" s="12" t="n">
        <x:v>6.000000000000057</x:v>
      </x:c>
      <x:c r="I979" s="12" t="str">
        <x:v>TuShare index_daily</x:v>
      </x:c>
      <x:c r="J979" s="12" t="str">
        <x:v>Archived FRED mirror (Hugging Face)</x:v>
      </x:c>
    </x:row>
    <x:row r="980" ht="18" customHeight="1">
      <x:c r="A980" s="13" t="n">
        <x:v>44057</x:v>
      </x:c>
      <x:c r="B980" s="12" t="n">
        <x:v>4704.6288</x:v>
      </x:c>
      <x:c r="C980" s="12" t="n">
        <x:v>4635.7126</x:v>
      </x:c>
      <x:c r="D980" s="12" t="n">
        <x:v>1.4866</x:v>
      </x:c>
      <x:c r="E980" s="12" t="n">
        <x:v>0.014756944673855646</x:v>
      </x:c>
      <x:c r="F980" s="12" t="n">
        <x:v>5.26</x:v>
      </x:c>
      <x:c r="G980" s="12" t="n">
        <x:v>526</x:v>
      </x:c>
      <x:c r="H980" s="12" t="n">
        <x:v>10</x:v>
      </x:c>
      <x:c r="I980" s="12" t="str">
        <x:v>TuShare index_daily</x:v>
      </x:c>
      <x:c r="J980" s="12" t="str">
        <x:v>Archived FRED mirror (Hugging Face)</x:v>
      </x:c>
    </x:row>
    <x:row r="981" ht="18" customHeight="1">
      <x:c r="A981" s="13" t="n">
        <x:v>44060</x:v>
      </x:c>
      <x:c r="B981" s="12" t="n">
        <x:v>4815.2261</x:v>
      </x:c>
      <x:c r="C981" s="12" t="n">
        <x:v>4704.6288</x:v>
      </x:c>
      <x:c r="D981" s="12" t="n">
        <x:v>2.3508</x:v>
      </x:c>
      <x:c r="E981" s="12" t="n">
        <x:v>0.02323612644012645</x:v>
      </x:c>
      <x:c r="F981" s="12" t="n">
        <x:v>5.29</x:v>
      </x:c>
      <x:c r="G981" s="12" t="n">
        <x:v>529</x:v>
      </x:c>
      <x:c r="H981" s="12" t="n">
        <x:v>3</x:v>
      </x:c>
      <x:c r="I981" s="12" t="str">
        <x:v>TuShare index_daily</x:v>
      </x:c>
      <x:c r="J981" s="12" t="str">
        <x:v>Archived FRED mirror (Hugging Face)</x:v>
      </x:c>
    </x:row>
    <x:row r="982" ht="18" customHeight="1">
      <x:c r="A982" s="13" t="n">
        <x:v>44061</x:v>
      </x:c>
      <x:c r="B982" s="12" t="n">
        <x:v>4812.7564</x:v>
      </x:c>
      <x:c r="C982" s="12" t="n">
        <x:v>4815.2261</x:v>
      </x:c>
      <x:c r="D982" s="12" t="n">
        <x:v>-0.0513</x:v>
      </x:c>
      <x:c r="E982" s="12" t="n">
        <x:v>-0.000513025455575405</x:v>
      </x:c>
      <x:c r="F982" s="12" t="n">
        <x:v>5.26</x:v>
      </x:c>
      <x:c r="G982" s="12" t="n">
        <x:v>526</x:v>
      </x:c>
      <x:c r="H982" s="12" t="n">
        <x:v>-3</x:v>
      </x:c>
      <x:c r="I982" s="12" t="str">
        <x:v>TuShare index_daily</x:v>
      </x:c>
      <x:c r="J982" s="12" t="str">
        <x:v>Archived FRED mirror (Hugging Face)</x:v>
      </x:c>
    </x:row>
    <x:row r="983" ht="18" customHeight="1">
      <x:c r="A983" s="13" t="n">
        <x:v>44062</x:v>
      </x:c>
      <x:c r="B983" s="12" t="n">
        <x:v>4740.6784</x:v>
      </x:c>
      <x:c r="C983" s="12" t="n">
        <x:v>4812.7564</x:v>
      </x:c>
      <x:c r="D983" s="12" t="n">
        <x:v>-1.4976</x:v>
      </x:c>
      <x:c r="E983" s="12" t="n">
        <x:v>-0.01508972828793647</x:v>
      </x:c>
      <x:c r="F983" s="12" t="n">
        <x:v>5.25</x:v>
      </x:c>
      <x:c r="G983" s="12" t="n">
        <x:v>525</x:v>
      </x:c>
      <x:c r="H983" s="12" t="n">
        <x:v>-1</x:v>
      </x:c>
      <x:c r="I983" s="12" t="str">
        <x:v>TuShare index_daily</x:v>
      </x:c>
      <x:c r="J983" s="12" t="str">
        <x:v>Archived FRED mirror (Hugging Face)</x:v>
      </x:c>
    </x:row>
    <x:row r="984" ht="18" customHeight="1">
      <x:c r="A984" s="13" t="n">
        <x:v>44063</x:v>
      </x:c>
      <x:c r="B984" s="12" t="n">
        <x:v>4679.1544</x:v>
      </x:c>
      <x:c r="C984" s="12" t="n">
        <x:v>4740.6784</x:v>
      </x:c>
      <x:c r="D984" s="12" t="n">
        <x:v>-1.2978</x:v>
      </x:c>
      <x:c r="E984" s="12" t="n">
        <x:v>-0.013062837985231536</x:v>
      </x:c>
      <x:c r="F984" s="12" t="n">
        <x:v>5.28</x:v>
      </x:c>
      <x:c r="G984" s="12" t="n">
        <x:v>528</x:v>
      </x:c>
      <x:c r="H984" s="12" t="n">
        <x:v>3</x:v>
      </x:c>
      <x:c r="I984" s="12" t="str">
        <x:v>TuShare index_daily</x:v>
      </x:c>
      <x:c r="J984" s="12" t="str">
        <x:v>Archived FRED mirror (Hugging Face)</x:v>
      </x:c>
    </x:row>
    <x:row r="985" ht="18" customHeight="1">
      <x:c r="A985" s="13" t="n">
        <x:v>44064</x:v>
      </x:c>
      <x:c r="B985" s="12" t="n">
        <x:v>4718.8431</x:v>
      </x:c>
      <x:c r="C985" s="12" t="n">
        <x:v>4679.1544</x:v>
      </x:c>
      <x:c r="D985" s="12" t="n">
        <x:v>0.8482</x:v>
      </x:c>
      <x:c r="E985" s="12" t="n">
        <x:v>0.00844625377829779</x:v>
      </x:c>
      <x:c r="F985" s="12" t="n">
        <x:v>5.25</x:v>
      </x:c>
      <x:c r="G985" s="12" t="n">
        <x:v>525</x:v>
      </x:c>
      <x:c r="H985" s="12" t="n">
        <x:v>-3</x:v>
      </x:c>
      <x:c r="I985" s="12" t="str">
        <x:v>TuShare index_daily</x:v>
      </x:c>
      <x:c r="J985" s="12" t="str">
        <x:v>Archived FRED mirror (Hugging Face)</x:v>
      </x:c>
    </x:row>
    <x:row r="986" ht="18" customHeight="1">
      <x:c r="A986" s="13" t="n">
        <x:v>44067</x:v>
      </x:c>
      <x:c r="B986" s="12" t="n">
        <x:v>4755.8491</x:v>
      </x:c>
      <x:c r="C986" s="12" t="n">
        <x:v>4718.8431</x:v>
      </x:c>
      <x:c r="D986" s="12" t="n">
        <x:v>0.7842</x:v>
      </x:c>
      <x:c r="E986" s="12" t="n">
        <x:v>0.007811586360143104</x:v>
      </x:c>
      <x:c r="F986" s="12" t="n">
        <x:v>5.17</x:v>
      </x:c>
      <x:c r="G986" s="12" t="n">
        <x:v>517</x:v>
      </x:c>
      <x:c r="H986" s="12" t="n">
        <x:v>-8</x:v>
      </x:c>
      <x:c r="I986" s="12" t="str">
        <x:v>TuShare index_daily</x:v>
      </x:c>
      <x:c r="J986" s="12" t="str">
        <x:v>Archived FRED mirror (Hugging Face)</x:v>
      </x:c>
    </x:row>
    <x:row r="987" ht="18" customHeight="1">
      <x:c r="A987" s="13" t="n">
        <x:v>44068</x:v>
      </x:c>
      <x:c r="B987" s="12" t="n">
        <x:v>4761.9507</x:v>
      </x:c>
      <x:c r="C987" s="12" t="n">
        <x:v>4755.8491</x:v>
      </x:c>
      <x:c r="D987" s="12" t="n">
        <x:v>0.1283</x:v>
      </x:c>
      <x:c r="E987" s="12" t="n">
        <x:v>0.001282145236100936</x:v>
      </x:c>
      <x:c r="F987" s="12" t="n">
        <x:v>5.07</x:v>
      </x:c>
      <x:c r="G987" s="12" t="n">
        <x:v>507</x:v>
      </x:c>
      <x:c r="H987" s="12" t="n">
        <x:v>-10</x:v>
      </x:c>
      <x:c r="I987" s="12" t="str">
        <x:v>TuShare index_daily</x:v>
      </x:c>
      <x:c r="J987" s="12" t="str">
        <x:v>Archived FRED mirror (Hugging Face)</x:v>
      </x:c>
    </x:row>
    <x:row r="988" ht="18" customHeight="1">
      <x:c r="A988" s="13" t="n">
        <x:v>44069</x:v>
      </x:c>
      <x:c r="B988" s="12" t="n">
        <x:v>4706.1302</x:v>
      </x:c>
      <x:c r="C988" s="12" t="n">
        <x:v>4761.9507</x:v>
      </x:c>
      <x:c r="D988" s="12" t="n">
        <x:v>-1.1722</x:v>
      </x:c>
      <x:c r="E988" s="12" t="n">
        <x:v>-0.01179143848735509</x:v>
      </x:c>
      <x:c r="F988" s="12" t="n">
        <x:v>5.02</x:v>
      </x:c>
      <x:c r="G988" s="12" t="n">
        <x:v>501.99999999999994</x:v>
      </x:c>
      <x:c r="H988" s="12" t="n">
        <x:v>-5.000000000000057</x:v>
      </x:c>
      <x:c r="I988" s="12" t="str">
        <x:v>TuShare index_daily</x:v>
      </x:c>
      <x:c r="J988" s="12" t="str">
        <x:v>Archived FRED mirror (Hugging Face)</x:v>
      </x:c>
    </x:row>
    <x:row r="989" ht="18" customHeight="1">
      <x:c r="A989" s="13" t="n">
        <x:v>44070</x:v>
      </x:c>
      <x:c r="B989" s="12" t="n">
        <x:v>4731.3451</x:v>
      </x:c>
      <x:c r="C989" s="12" t="n">
        <x:v>4706.1302</x:v>
      </x:c>
      <x:c r="D989" s="12" t="n">
        <x:v>0.5358</x:v>
      </x:c>
      <x:c r="E989" s="12" t="n">
        <x:v>0.005343581667131274</x:v>
      </x:c>
      <x:c r="F989" s="12" t="n">
        <x:v>4.98</x:v>
      </x:c>
      <x:c r="G989" s="12" t="n">
        <x:v>498.00000000000006</x:v>
      </x:c>
      <x:c r="H989" s="12" t="n">
        <x:v>-3.9999999999998863</x:v>
      </x:c>
      <x:c r="I989" s="12" t="str">
        <x:v>TuShare index_daily</x:v>
      </x:c>
      <x:c r="J989" s="12" t="str">
        <x:v>Archived FRED mirror (Hugging Face)</x:v>
      </x:c>
    </x:row>
    <x:row r="990" ht="18" customHeight="1">
      <x:c r="A990" s="13" t="n">
        <x:v>44071</x:v>
      </x:c>
      <x:c r="B990" s="12" t="n">
        <x:v>4844.2652</x:v>
      </x:c>
      <x:c r="C990" s="12" t="n">
        <x:v>4731.3451</x:v>
      </x:c>
      <x:c r="D990" s="12" t="n">
        <x:v>2.3866</x:v>
      </x:c>
      <x:c r="E990" s="12" t="n">
        <x:v>0.02358603393633957</x:v>
      </x:c>
      <x:c r="F990" s="12" t="n">
        <x:v>5</x:v>
      </x:c>
      <x:c r="G990" s="12" t="n">
        <x:v>500</x:v>
      </x:c>
      <x:c r="H990" s="12" t="n">
        <x:v>1.9999999999999432</x:v>
      </x:c>
      <x:c r="I990" s="12" t="str">
        <x:v>TuShare index_daily</x:v>
      </x:c>
      <x:c r="J990" s="12" t="str">
        <x:v>Archived FRED mirror (Hugging Face)</x:v>
      </x:c>
    </x:row>
    <x:row r="991" ht="18" customHeight="1">
      <x:c r="A991" s="13" t="n">
        <x:v>44074</x:v>
      </x:c>
      <x:c r="B991" s="12" t="n">
        <x:v>4816.2153</x:v>
      </x:c>
      <x:c r="C991" s="12" t="n">
        <x:v>4844.2652</x:v>
      </x:c>
      <x:c r="D991" s="12" t="n">
        <x:v>-0.579</x:v>
      </x:c>
      <x:c r="E991" s="12" t="n">
        <x:v>-0.005807160177476246</x:v>
      </x:c>
      <x:c r="F991" s="12" t="n">
        <x:v>5.02</x:v>
      </x:c>
      <x:c r="G991" s="12" t="n">
        <x:v>501.99999999999994</x:v>
      </x:c>
      <x:c r="H991" s="12" t="n">
        <x:v>1.9999999999999432</x:v>
      </x:c>
      <x:c r="I991" s="12" t="str">
        <x:v>TuShare index_daily</x:v>
      </x:c>
      <x:c r="J991" s="12" t="str">
        <x:v>Archived FRED mirror (Hugging Face)</x:v>
      </x:c>
    </x:row>
    <x:row r="992" ht="18" customHeight="1">
      <x:c r="A992" s="13" t="n">
        <x:v>44075</x:v>
      </x:c>
      <x:c r="B992" s="12" t="n">
        <x:v>4842.1223</x:v>
      </x:c>
      <x:c r="C992" s="12" t="n">
        <x:v>4816.2153</x:v>
      </x:c>
      <x:c r="D992" s="12" t="n">
        <x:v>0.5379</x:v>
      </x:c>
      <x:c r="E992" s="12" t="n">
        <x:v>0.005364704197894736</x:v>
      </x:c>
      <x:c r="F992" s="12" t="n">
        <x:v>4.97</x:v>
      </x:c>
      <x:c r="G992" s="12" t="n">
        <x:v>497</x:v>
      </x:c>
      <x:c r="H992" s="12" t="n">
        <x:v>-4.999999999999943</x:v>
      </x:c>
      <x:c r="I992" s="12" t="str">
        <x:v>TuShare index_daily</x:v>
      </x:c>
      <x:c r="J992" s="12" t="str">
        <x:v>Archived FRED mirror (Hugging Face)</x:v>
      </x:c>
    </x:row>
    <x:row r="993" ht="18" customHeight="1">
      <x:c r="A993" s="13" t="n">
        <x:v>44076</x:v>
      </x:c>
      <x:c r="B993" s="12" t="n">
        <x:v>4843.887</x:v>
      </x:c>
      <x:c r="C993" s="12" t="n">
        <x:v>4842.1223</x:v>
      </x:c>
      <x:c r="D993" s="12" t="n">
        <x:v>0.0364</x:v>
      </x:c>
      <x:c r="E993" s="12" t="n">
        <x:v>0.0003643812358356593</x:v>
      </x:c>
      <x:c r="F993" s="12" t="n">
        <x:v>4.93</x:v>
      </x:c>
      <x:c r="G993" s="12" t="n">
        <x:v>493</x:v>
      </x:c>
      <x:c r="H993" s="12" t="n">
        <x:v>-4</x:v>
      </x:c>
      <x:c r="I993" s="12" t="str">
        <x:v>TuShare index_daily</x:v>
      </x:c>
      <x:c r="J993" s="12" t="str">
        <x:v>Archived FRED mirror (Hugging Face)</x:v>
      </x:c>
    </x:row>
    <x:row r="994" ht="18" customHeight="1">
      <x:c r="A994" s="13" t="n">
        <x:v>44077</x:v>
      </x:c>
      <x:c r="B994" s="12" t="n">
        <x:v>4817.0952</x:v>
      </x:c>
      <x:c r="C994" s="12" t="n">
        <x:v>4843.887</x:v>
      </x:c>
      <x:c r="D994" s="12" t="n">
        <x:v>-0.5531</x:v>
      </x:c>
      <x:c r="E994" s="12" t="n">
        <x:v>-0.005546406799537806</x:v>
      </x:c>
      <x:c r="F994" s="12" t="n">
        <x:v>5.04</x:v>
      </x:c>
      <x:c r="G994" s="12" t="n">
        <x:v>504</x:v>
      </x:c>
      <x:c r="H994" s="12" t="n">
        <x:v>11</x:v>
      </x:c>
      <x:c r="I994" s="12" t="str">
        <x:v>TuShare index_daily</x:v>
      </x:c>
      <x:c r="J994" s="12" t="str">
        <x:v>Archived FRED mirror (Hugging Face)</x:v>
      </x:c>
    </x:row>
    <x:row r="995" ht="18" customHeight="1">
      <x:c r="A995" s="13" t="n">
        <x:v>44078</x:v>
      </x:c>
      <x:c r="B995" s="12" t="n">
        <x:v>4770.219</x:v>
      </x:c>
      <x:c r="C995" s="12" t="n">
        <x:v>4817.0952</x:v>
      </x:c>
      <x:c r="D995" s="12" t="n">
        <x:v>-0.9731</x:v>
      </x:c>
      <x:c r="E995" s="12" t="n">
        <x:v>-0.009778874994954716</x:v>
      </x:c>
      <x:c r="F995" s="12" t="n">
        <x:v>5.13</x:v>
      </x:c>
      <x:c r="G995" s="12" t="n">
        <x:v>513</x:v>
      </x:c>
      <x:c r="H995" s="12" t="n">
        <x:v>9</x:v>
      </x:c>
      <x:c r="I995" s="12" t="str">
        <x:v>TuShare index_daily</x:v>
      </x:c>
      <x:c r="J995" s="12" t="str">
        <x:v>Archived FRED mirror (Hugging Face)</x:v>
      </x:c>
    </x:row>
    <x:row r="996" ht="18" customHeight="1">
      <x:c r="A996" s="13" t="n">
        <x:v>44081</x:v>
      </x:c>
      <x:c r="B996" s="12" t="n">
        <x:v>4669.3677</x:v>
      </x:c>
      <x:c r="C996" s="12" t="n">
        <x:v>4770.219</x:v>
      </x:c>
      <x:c r="D996" s="12" t="n">
        <x:v>-2.1142</x:v>
      </x:c>
      <x:c r="E996" s="12" t="n">
        <x:v>-0.021368549427703998</x:v>
      </x:c>
      <x:c r="F996" s="12" t="n">
        <x:v>5.13</x:v>
      </x:c>
      <x:c r="G996" s="12" t="n">
        <x:v>513</x:v>
      </x:c>
      <x:c r="H996" s="12" t="n">
        <x:v>0</x:v>
      </x:c>
      <x:c r="I996" s="12" t="str">
        <x:v>TuShare index_daily</x:v>
      </x:c>
      <x:c r="J996" s="12" t="str">
        <x:v>Archived FRED mirror (Hugging Face)</x:v>
      </x:c>
    </x:row>
    <x:row r="997" ht="18" customHeight="1">
      <x:c r="A997" s="13" t="n">
        <x:v>44082</x:v>
      </x:c>
      <x:c r="B997" s="12" t="n">
        <x:v>4694.3894</x:v>
      </x:c>
      <x:c r="C997" s="12" t="n">
        <x:v>4669.3677</x:v>
      </x:c>
      <x:c r="D997" s="12" t="n">
        <x:v>0.5359</x:v>
      </x:c>
      <x:c r="E997" s="12" t="n">
        <x:v>0.0053443845861228375</x:v>
      </x:c>
      <x:c r="F997" s="12" t="n">
        <x:v>5.25</x:v>
      </x:c>
      <x:c r="G997" s="12" t="n">
        <x:v>525</x:v>
      </x:c>
      <x:c r="H997" s="12" t="n">
        <x:v>12</x:v>
      </x:c>
      <x:c r="I997" s="12" t="str">
        <x:v>TuShare index_daily</x:v>
      </x:c>
      <x:c r="J997" s="12" t="str">
        <x:v>Archived FRED mirror (Hugging Face)</x:v>
      </x:c>
    </x:row>
    <x:row r="998" ht="18" customHeight="1">
      <x:c r="A998" s="13" t="n">
        <x:v>44083</x:v>
      </x:c>
      <x:c r="B998" s="12" t="n">
        <x:v>4584.5887</x:v>
      </x:c>
      <x:c r="C998" s="12" t="n">
        <x:v>4694.3894</x:v>
      </x:c>
      <x:c r="D998" s="12" t="n">
        <x:v>-2.339</x:v>
      </x:c>
      <x:c r="E998" s="12" t="n">
        <x:v>-0.02366765483140326</x:v>
      </x:c>
      <x:c r="F998" s="12" t="n">
        <x:v>5.16</x:v>
      </x:c>
      <x:c r="G998" s="12" t="n">
        <x:v>516</x:v>
      </x:c>
      <x:c r="H998" s="12" t="n">
        <x:v>-9</x:v>
      </x:c>
      <x:c r="I998" s="12" t="str">
        <x:v>TuShare index_daily</x:v>
      </x:c>
      <x:c r="J998" s="12" t="str">
        <x:v>Archived FRED mirror (Hugging Face)</x:v>
      </x:c>
    </x:row>
    <x:row r="999" ht="18" customHeight="1">
      <x:c r="A999" s="13" t="n">
        <x:v>44084</x:v>
      </x:c>
      <x:c r="B999" s="12" t="n">
        <x:v>4581.9775</x:v>
      </x:c>
      <x:c r="C999" s="12" t="n">
        <x:v>4584.5887</x:v>
      </x:c>
      <x:c r="D999" s="12" t="n">
        <x:v>-0.057</x:v>
      </x:c>
      <x:c r="E999" s="12" t="n">
        <x:v>-0.0005697226232063961</x:v>
      </x:c>
      <x:c r="F999" s="12" t="n">
        <x:v>5.16</x:v>
      </x:c>
      <x:c r="G999" s="12" t="n">
        <x:v>516</x:v>
      </x:c>
      <x:c r="H999" s="12" t="n">
        <x:v>0</x:v>
      </x:c>
      <x:c r="I999" s="12" t="str">
        <x:v>TuShare index_daily</x:v>
      </x:c>
      <x:c r="J999" s="12" t="str">
        <x:v>Archived FRED mirror (Hugging Face)</x:v>
      </x:c>
    </x:row>
    <x:row r="1000" ht="18" customHeight="1">
      <x:c r="A1000" s="13" t="n">
        <x:v>44085</x:v>
      </x:c>
      <x:c r="B1000" s="12" t="n">
        <x:v>4627.2826</x:v>
      </x:c>
      <x:c r="C1000" s="12" t="n">
        <x:v>4581.9775</x:v>
      </x:c>
      <x:c r="D1000" s="12" t="n">
        <x:v>0.9888</x:v>
      </x:c>
      <x:c r="E1000" s="12" t="n">
        <x:v>0.009839110851291967</x:v>
      </x:c>
      <x:c r="F1000" s="12" t="n">
        <x:v>5.21</x:v>
      </x:c>
      <x:c r="G1000" s="12" t="n">
        <x:v>521</x:v>
      </x:c>
      <x:c r="H1000" s="12" t="n">
        <x:v>5</x:v>
      </x:c>
      <x:c r="I1000" s="12" t="str">
        <x:v>TuShare index_daily</x:v>
      </x:c>
      <x:c r="J1000" s="12" t="str">
        <x:v>Archived FRED mirror (Hugging Face)</x:v>
      </x:c>
    </x:row>
    <x:row r="1001" ht="18" customHeight="1">
      <x:c r="A1001" s="13" t="n">
        <x:v>44088</x:v>
      </x:c>
      <x:c r="B1001" s="12" t="n">
        <x:v>4651.0507</x:v>
      </x:c>
      <x:c r="C1001" s="12" t="n">
        <x:v>4627.2826</x:v>
      </x:c>
      <x:c r="D1001" s="12" t="n">
        <x:v>0.5137</x:v>
      </x:c>
      <x:c r="E1001" s="12" t="n">
        <x:v>0.005123366712961365</x:v>
      </x:c>
      <x:c r="F1001" s="12" t="n">
        <x:v>5.18</x:v>
      </x:c>
      <x:c r="G1001" s="12" t="n">
        <x:v>518</x:v>
      </x:c>
      <x:c r="H1001" s="12" t="n">
        <x:v>-3</x:v>
      </x:c>
      <x:c r="I1001" s="12" t="str">
        <x:v>TuShare index_daily</x:v>
      </x:c>
      <x:c r="J1001" s="12" t="str">
        <x:v>Archived FRED mirror (Hugging Face)</x:v>
      </x:c>
    </x:row>
    <x:row r="1002" ht="18" customHeight="1">
      <x:c r="A1002" s="13" t="n">
        <x:v>44089</x:v>
      </x:c>
      <x:c r="B1002" s="12" t="n">
        <x:v>4688.4826</x:v>
      </x:c>
      <x:c r="C1002" s="12" t="n">
        <x:v>4651.0507</x:v>
      </x:c>
      <x:c r="D1002" s="12" t="n">
        <x:v>0.8048</x:v>
      </x:c>
      <x:c r="E1002" s="12" t="n">
        <x:v>0.008015839598304212</x:v>
      </x:c>
      <x:c r="F1002" s="12" t="n">
        <x:v>5.14</x:v>
      </x:c>
      <x:c r="G1002" s="12" t="n">
        <x:v>514</x:v>
      </x:c>
      <x:c r="H1002" s="12" t="n">
        <x:v>-4</x:v>
      </x:c>
      <x:c r="I1002" s="12" t="str">
        <x:v>TuShare index_daily</x:v>
      </x:c>
      <x:c r="J1002" s="12" t="str">
        <x:v>Archived FRED mirror (Hugging Face)</x:v>
      </x:c>
    </x:row>
    <x:row r="1003" ht="18" customHeight="1">
      <x:c r="A1003" s="13" t="n">
        <x:v>44090</x:v>
      </x:c>
      <x:c r="B1003" s="12" t="n">
        <x:v>4657.3584</x:v>
      </x:c>
      <x:c r="C1003" s="12" t="n">
        <x:v>4688.4826</x:v>
      </x:c>
      <x:c r="D1003" s="12" t="n">
        <x:v>-0.6638</x:v>
      </x:c>
      <x:c r="E1003" s="12" t="n">
        <x:v>-0.00666057020743151</x:v>
      </x:c>
      <x:c r="F1003" s="12" t="n">
        <x:v>5.07</x:v>
      </x:c>
      <x:c r="G1003" s="12" t="n">
        <x:v>507</x:v>
      </x:c>
      <x:c r="H1003" s="12" t="n">
        <x:v>-7</x:v>
      </x:c>
      <x:c r="I1003" s="12" t="str">
        <x:v>TuShare index_daily</x:v>
      </x:c>
      <x:c r="J1003" s="12" t="str">
        <x:v>Archived FRED mirror (Hugging Face)</x:v>
      </x:c>
    </x:row>
    <x:row r="1004" ht="18" customHeight="1">
      <x:c r="A1004" s="13" t="n">
        <x:v>44091</x:v>
      </x:c>
      <x:c r="B1004" s="12" t="n">
        <x:v>4632.7142</x:v>
      </x:c>
      <x:c r="C1004" s="12" t="n">
        <x:v>4657.3584</x:v>
      </x:c>
      <x:c r="D1004" s="12" t="n">
        <x:v>-0.5291</x:v>
      </x:c>
      <x:c r="E1004" s="12" t="n">
        <x:v>-0.005305503814429285</x:v>
      </x:c>
      <x:c r="F1004" s="12" t="n">
        <x:v>5.14</x:v>
      </x:c>
      <x:c r="G1004" s="12" t="n">
        <x:v>514</x:v>
      </x:c>
      <x:c r="H1004" s="12" t="n">
        <x:v>7</x:v>
      </x:c>
      <x:c r="I1004" s="12" t="str">
        <x:v>TuShare index_daily</x:v>
      </x:c>
      <x:c r="J1004" s="12" t="str">
        <x:v>Archived FRED mirror (Hugging Face)</x:v>
      </x:c>
    </x:row>
    <x:row r="1005" ht="18" customHeight="1">
      <x:c r="A1005" s="13" t="n">
        <x:v>44092</x:v>
      </x:c>
      <x:c r="B1005" s="12" t="n">
        <x:v>4737.0887</x:v>
      </x:c>
      <x:c r="C1005" s="12" t="n">
        <x:v>4632.7142</x:v>
      </x:c>
      <x:c r="D1005" s="12" t="n">
        <x:v>2.253</x:v>
      </x:c>
      <x:c r="E1005" s="12" t="n">
        <x:v>0.02227983205717658</x:v>
      </x:c>
      <x:c r="F1005" s="12" t="n">
        <x:v>5.16</x:v>
      </x:c>
      <x:c r="G1005" s="12" t="n">
        <x:v>516</x:v>
      </x:c>
      <x:c r="H1005" s="12" t="n">
        <x:v>2</x:v>
      </x:c>
      <x:c r="I1005" s="12" t="str">
        <x:v>TuShare index_daily</x:v>
      </x:c>
      <x:c r="J1005" s="12" t="str">
        <x:v>Archived FRED mirror (Hugging Face)</x:v>
      </x:c>
    </x:row>
    <x:row r="1006" ht="18" customHeight="1">
      <x:c r="A1006" s="13" t="n">
        <x:v>44095</x:v>
      </x:c>
      <x:c r="B1006" s="12" t="n">
        <x:v>4691.4281</x:v>
      </x:c>
      <x:c r="C1006" s="12" t="n">
        <x:v>4737.0887</x:v>
      </x:c>
      <x:c r="D1006" s="12" t="n">
        <x:v>-0.9639</x:v>
      </x:c>
      <x:c r="E1006" s="12" t="n">
        <x:v>-0.009685713655998145</x:v>
      </x:c>
      <x:c r="F1006" s="12" t="n">
        <x:v>5.42</x:v>
      </x:c>
      <x:c r="G1006" s="12" t="n">
        <x:v>542</x:v>
      </x:c>
      <x:c r="H1006" s="12" t="n">
        <x:v>26</x:v>
      </x:c>
      <x:c r="I1006" s="12" t="str">
        <x:v>TuShare index_daily</x:v>
      </x:c>
      <x:c r="J1006" s="12" t="str">
        <x:v>Archived FRED mirror (Hugging Face)</x:v>
      </x:c>
    </x:row>
    <x:row r="1007" ht="18" customHeight="1">
      <x:c r="A1007" s="13" t="n">
        <x:v>44096</x:v>
      </x:c>
      <x:c r="B1007" s="12" t="n">
        <x:v>4635.7608</x:v>
      </x:c>
      <x:c r="C1007" s="12" t="n">
        <x:v>4691.4281</x:v>
      </x:c>
      <x:c r="D1007" s="12" t="n">
        <x:v>-1.1866</x:v>
      </x:c>
      <x:c r="E1007" s="12" t="n">
        <x:v>-0.01193670709894685</x:v>
      </x:c>
      <x:c r="F1007" s="12" t="n">
        <x:v>5.45</x:v>
      </x:c>
      <x:c r="G1007" s="12" t="n">
        <x:v>545</x:v>
      </x:c>
      <x:c r="H1007" s="12" t="n">
        <x:v>3</x:v>
      </x:c>
      <x:c r="I1007" s="12" t="str">
        <x:v>TuShare index_daily</x:v>
      </x:c>
      <x:c r="J1007" s="12" t="str">
        <x:v>Archived FRED mirror (Hugging Face)</x:v>
      </x:c>
    </x:row>
    <x:row r="1008" ht="18" customHeight="1">
      <x:c r="A1008" s="13" t="n">
        <x:v>44097</x:v>
      </x:c>
      <x:c r="B1008" s="12" t="n">
        <x:v>4652.3273</x:v>
      </x:c>
      <x:c r="C1008" s="12" t="n">
        <x:v>4635.7608</x:v>
      </x:c>
      <x:c r="D1008" s="12" t="n">
        <x:v>0.3574</x:v>
      </x:c>
      <x:c r="E1008" s="12" t="n">
        <x:v>0.003567261074509898</x:v>
      </x:c>
      <x:c r="F1008" s="12" t="n">
        <x:v>5.47</x:v>
      </x:c>
      <x:c r="G1008" s="12" t="n">
        <x:v>547</x:v>
      </x:c>
      <x:c r="H1008" s="12" t="n">
        <x:v>2</x:v>
      </x:c>
      <x:c r="I1008" s="12" t="str">
        <x:v>TuShare index_daily</x:v>
      </x:c>
      <x:c r="J1008" s="12" t="str">
        <x:v>Archived FRED mirror (Hugging Face)</x:v>
      </x:c>
    </x:row>
    <x:row r="1009" ht="18" customHeight="1">
      <x:c r="A1009" s="13" t="n">
        <x:v>44098</x:v>
      </x:c>
      <x:c r="B1009" s="12" t="n">
        <x:v>4563.0657</x:v>
      </x:c>
      <x:c r="C1009" s="12" t="n">
        <x:v>4652.3273</x:v>
      </x:c>
      <x:c r="D1009" s="12" t="n">
        <x:v>-1.9186</x:v>
      </x:c>
      <x:c r="E1009" s="12" t="n">
        <x:v>-0.019372888753561534</x:v>
      </x:c>
      <x:c r="F1009" s="12" t="n">
        <x:v>5.64</x:v>
      </x:c>
      <x:c r="G1009" s="12" t="n">
        <x:v>564</x:v>
      </x:c>
      <x:c r="H1009" s="12" t="n">
        <x:v>17</x:v>
      </x:c>
      <x:c r="I1009" s="12" t="str">
        <x:v>TuShare index_daily</x:v>
      </x:c>
      <x:c r="J1009" s="12" t="str">
        <x:v>Archived FRED mirror (Hugging Face)</x:v>
      </x:c>
    </x:row>
    <x:row r="1010" ht="18" customHeight="1">
      <x:c r="A1010" s="13" t="n">
        <x:v>44099</x:v>
      </x:c>
      <x:c r="B1010" s="12" t="n">
        <x:v>4570.0216</x:v>
      </x:c>
      <x:c r="C1010" s="12" t="n">
        <x:v>4563.0657</x:v>
      </x:c>
      <x:c r="D1010" s="12" t="n">
        <x:v>0.1524</x:v>
      </x:c>
      <x:c r="E1010" s="12" t="n">
        <x:v>0.0015232311082675793</x:v>
      </x:c>
      <x:c r="F1010" s="12" t="n">
        <x:v>5.64</x:v>
      </x:c>
      <x:c r="G1010" s="12" t="n">
        <x:v>564</x:v>
      </x:c>
      <x:c r="H1010" s="12" t="n">
        <x:v>0</x:v>
      </x:c>
      <x:c r="I1010" s="12" t="str">
        <x:v>TuShare index_daily</x:v>
      </x:c>
      <x:c r="J1010" s="12" t="str">
        <x:v>Archived FRED mirror (Hugging Face)</x:v>
      </x:c>
    </x:row>
    <x:row r="1011" ht="18" customHeight="1">
      <x:c r="A1011" s="13" t="n">
        <x:v>44102</x:v>
      </x:c>
      <x:c r="B1011" s="12" t="n">
        <x:v>4581.9085</x:v>
      </x:c>
      <x:c r="C1011" s="12" t="n">
        <x:v>4570.0216</x:v>
      </x:c>
      <x:c r="D1011" s="12" t="n">
        <x:v>0.2601</x:v>
      </x:c>
      <x:c r="E1011" s="12" t="n">
        <x:v>0.0025976830142870892</x:v>
      </x:c>
      <x:c r="F1011" s="12" t="n">
        <x:v>5.52</x:v>
      </x:c>
      <x:c r="G1011" s="12" t="n">
        <x:v>552</x:v>
      </x:c>
      <x:c r="H1011" s="12" t="n">
        <x:v>-12</x:v>
      </x:c>
      <x:c r="I1011" s="12" t="str">
        <x:v>TuShare index_daily</x:v>
      </x:c>
      <x:c r="J1011" s="12" t="str">
        <x:v>Archived FRED mirror (Hugging Face)</x:v>
      </x:c>
    </x:row>
    <x:row r="1012" ht="18" customHeight="1">
      <x:c r="A1012" s="13" t="n">
        <x:v>44103</x:v>
      </x:c>
      <x:c r="B1012" s="12" t="n">
        <x:v>4591.7993</x:v>
      </x:c>
      <x:c r="C1012" s="12" t="n">
        <x:v>4581.9085</x:v>
      </x:c>
      <x:c r="D1012" s="12" t="n">
        <x:v>0.2159</x:v>
      </x:c>
      <x:c r="E1012" s="12" t="n">
        <x:v>0.0021563372298629402</x:v>
      </x:c>
      <x:c r="F1012" s="12" t="n">
        <x:v>5.5</x:v>
      </x:c>
      <x:c r="G1012" s="12" t="n">
        <x:v>550</x:v>
      </x:c>
      <x:c r="H1012" s="12" t="n">
        <x:v>-2</x:v>
      </x:c>
      <x:c r="I1012" s="12" t="str">
        <x:v>TuShare index_daily</x:v>
      </x:c>
      <x:c r="J1012" s="12" t="str">
        <x:v>Archived FRED mirror (Hugging Face)</x:v>
      </x:c>
    </x:row>
    <x:row r="1013" ht="18" customHeight="1">
      <x:c r="A1013" s="13" t="n">
        <x:v>44104</x:v>
      </x:c>
      <x:c r="B1013" s="12" t="n">
        <x:v>4587.3953</x:v>
      </x:c>
      <x:c r="C1013" s="12" t="n">
        <x:v>4591.7993</x:v>
      </x:c>
      <x:c r="D1013" s="12" t="n">
        <x:v>-0.0959</x:v>
      </x:c>
      <x:c r="E1013" s="12" t="n">
        <x:v>-0.000959561384158417</x:v>
      </x:c>
      <x:c r="F1013" s="12" t="n">
        <x:v>5.41</x:v>
      </x:c>
      <x:c r="G1013" s="12" t="n">
        <x:v>541</x:v>
      </x:c>
      <x:c r="H1013" s="12" t="n">
        <x:v>-9</x:v>
      </x:c>
      <x:c r="I1013" s="12" t="str">
        <x:v>TuShare index_daily</x:v>
      </x:c>
      <x:c r="J1013" s="12" t="str">
        <x:v>Archived FRED mirror (Hugging Face)</x:v>
      </x:c>
    </x:row>
    <x:row r="1014" ht="18" customHeight="1">
      <x:c r="A1014" s="13" t="n">
        <x:v>44113</x:v>
      </x:c>
      <x:c r="B1014" s="12" t="n">
        <x:v>4681.1412</x:v>
      </x:c>
      <x:c r="C1014" s="12" t="n">
        <x:v>4587.3953</x:v>
      </x:c>
      <x:c r="D1014" s="12" t="n">
        <x:v>2.0436</x:v>
      </x:c>
      <x:c r="E1014" s="12" t="n">
        <x:v>0.0202295361258012</x:v>
      </x:c>
      <x:c r="F1014" s="12" t="n">
        <x:v>4.92</x:v>
      </x:c>
      <x:c r="G1014" s="12" t="n">
        <x:v>492</x:v>
      </x:c>
      <x:c r="H1014" s="12" t="n">
        <x:v>-5</x:v>
      </x:c>
      <x:c r="I1014" s="12" t="str">
        <x:v>TuShare index_daily</x:v>
      </x:c>
      <x:c r="J1014" s="12" t="str">
        <x:v>Archived FRED mirror (Hugging Face)</x:v>
      </x:c>
    </x:row>
    <x:row r="1015" ht="18" customHeight="1">
      <x:c r="A1015" s="13" t="n">
        <x:v>44116</x:v>
      </x:c>
      <x:c r="B1015" s="12" t="n">
        <x:v>4823.1578</x:v>
      </x:c>
      <x:c r="C1015" s="12" t="n">
        <x:v>4681.1412</x:v>
      </x:c>
      <x:c r="D1015" s="12" t="n">
        <x:v>3.0338</x:v>
      </x:c>
      <x:c r="E1015" s="12" t="n">
        <x:v>0.02988693241901605</x:v>
      </x:c>
      <x:c r="F1015" s="12" t="n">
        <x:v>4.92</x:v>
      </x:c>
      <x:c r="G1015" s="12" t="n">
        <x:v>492</x:v>
      </x:c>
      <x:c r="H1015" s="12" t="n">
        <x:v>0</x:v>
      </x:c>
      <x:c r="I1015" s="12" t="str">
        <x:v>TuShare index_daily</x:v>
      </x:c>
      <x:c r="J1015" s="12" t="str">
        <x:v>Archived FRED mirror (Hugging Face)</x:v>
      </x:c>
    </x:row>
    <x:row r="1016" ht="18" customHeight="1">
      <x:c r="A1016" s="13" t="n">
        <x:v>44117</x:v>
      </x:c>
      <x:c r="B1016" s="12" t="n">
        <x:v>4839.201</x:v>
      </x:c>
      <x:c r="C1016" s="12" t="n">
        <x:v>4823.1578</x:v>
      </x:c>
      <x:c r="D1016" s="12" t="n">
        <x:v>0.3326</x:v>
      </x:c>
      <x:c r="E1016" s="12" t="n">
        <x:v>0.003320765679496209</x:v>
      </x:c>
      <x:c r="F1016" s="12" t="n">
        <x:v>4.88</x:v>
      </x:c>
      <x:c r="G1016" s="12" t="n">
        <x:v>488</x:v>
      </x:c>
      <x:c r="H1016" s="12" t="n">
        <x:v>-4</x:v>
      </x:c>
      <x:c r="I1016" s="12" t="str">
        <x:v>TuShare index_daily</x:v>
      </x:c>
      <x:c r="J1016" s="12" t="str">
        <x:v>Archived FRED mirror (Hugging Face)</x:v>
      </x:c>
    </x:row>
    <x:row r="1017" ht="18" customHeight="1">
      <x:c r="A1017" s="13" t="n">
        <x:v>44118</x:v>
      </x:c>
      <x:c r="B1017" s="12" t="n">
        <x:v>4807.1021</x:v>
      </x:c>
      <x:c r="C1017" s="12" t="n">
        <x:v>4839.201</x:v>
      </x:c>
      <x:c r="D1017" s="12" t="n">
        <x:v>-0.6633</x:v>
      </x:c>
      <x:c r="E1017" s="12" t="n">
        <x:v>-0.0066551959114719535</x:v>
      </x:c>
      <x:c r="F1017" s="12" t="n">
        <x:v>4.89</x:v>
      </x:c>
      <x:c r="G1017" s="12" t="n">
        <x:v>488.99999999999994</x:v>
      </x:c>
      <x:c r="H1017" s="12" t="n">
        <x:v>0.9999999999999432</x:v>
      </x:c>
      <x:c r="I1017" s="12" t="str">
        <x:v>TuShare index_daily</x:v>
      </x:c>
      <x:c r="J1017" s="12" t="str">
        <x:v>Archived FRED mirror (Hugging Face)</x:v>
      </x:c>
    </x:row>
    <x:row r="1018" ht="18" customHeight="1">
      <x:c r="A1018" s="13" t="n">
        <x:v>44119</x:v>
      </x:c>
      <x:c r="B1018" s="12" t="n">
        <x:v>4798.7361</x:v>
      </x:c>
      <x:c r="C1018" s="12" t="n">
        <x:v>4807.1021</x:v>
      </x:c>
      <x:c r="D1018" s="12" t="n">
        <x:v>-0.174</x:v>
      </x:c>
      <x:c r="E1018" s="12" t="n">
        <x:v>-0.00174185780377837</x:v>
      </x:c>
      <x:c r="F1018" s="12" t="n">
        <x:v>5.01</x:v>
      </x:c>
      <x:c r="G1018" s="12" t="n">
        <x:v>501</x:v>
      </x:c>
      <x:c r="H1018" s="12" t="n">
        <x:v>12.000000000000057</x:v>
      </x:c>
      <x:c r="I1018" s="12" t="str">
        <x:v>TuShare index_daily</x:v>
      </x:c>
      <x:c r="J1018" s="12" t="str">
        <x:v>Archived FRED mirror (Hugging Face)</x:v>
      </x:c>
    </x:row>
    <x:row r="1019" ht="18" customHeight="1">
      <x:c r="A1019" s="13" t="n">
        <x:v>44120</x:v>
      </x:c>
      <x:c r="B1019" s="12" t="n">
        <x:v>4791.676</x:v>
      </x:c>
      <x:c r="C1019" s="12" t="n">
        <x:v>4798.7361</x:v>
      </x:c>
      <x:c r="D1019" s="12" t="n">
        <x:v>-0.1471</x:v>
      </x:c>
      <x:c r="E1019" s="12" t="n">
        <x:v>-0.0014723249015277874</x:v>
      </x:c>
      <x:c r="F1019" s="12" t="n">
        <x:v>4.94</x:v>
      </x:c>
      <x:c r="G1019" s="12" t="n">
        <x:v>494.00000000000006</x:v>
      </x:c>
      <x:c r="H1019" s="12" t="n">
        <x:v>-6.999999999999943</x:v>
      </x:c>
      <x:c r="I1019" s="12" t="str">
        <x:v>TuShare index_daily</x:v>
      </x:c>
      <x:c r="J1019" s="12" t="str">
        <x:v>Archived FRED mirror (Hugging Face)</x:v>
      </x:c>
    </x:row>
    <x:row r="1020" ht="18" customHeight="1">
      <x:c r="A1020" s="13" t="n">
        <x:v>44123</x:v>
      </x:c>
      <x:c r="B1020" s="12" t="n">
        <x:v>4755.4879</x:v>
      </x:c>
      <x:c r="C1020" s="12" t="n">
        <x:v>4791.676</x:v>
      </x:c>
      <x:c r="D1020" s="12" t="n">
        <x:v>-0.7552</x:v>
      </x:c>
      <x:c r="E1020" s="12" t="n">
        <x:v>-0.007580947324676243</x:v>
      </x:c>
      <x:c r="F1020" s="12" t="n">
        <x:v>4.91</x:v>
      </x:c>
      <x:c r="G1020" s="12" t="n">
        <x:v>491</x:v>
      </x:c>
      <x:c r="H1020" s="12" t="n">
        <x:v>-3.000000000000057</x:v>
      </x:c>
      <x:c r="I1020" s="12" t="str">
        <x:v>TuShare index_daily</x:v>
      </x:c>
      <x:c r="J1020" s="12" t="str">
        <x:v>Archived FRED mirror (Hugging Face)</x:v>
      </x:c>
    </x:row>
    <x:row r="1021" ht="18" customHeight="1">
      <x:c r="A1021" s="13" t="n">
        <x:v>44124</x:v>
      </x:c>
      <x:c r="B1021" s="12" t="n">
        <x:v>4793.4672</x:v>
      </x:c>
      <x:c r="C1021" s="12" t="n">
        <x:v>4755.4879</x:v>
      </x:c>
      <x:c r="D1021" s="12" t="n">
        <x:v>0.7986</x:v>
      </x:c>
      <x:c r="E1021" s="12" t="n">
        <x:v>0.007954692397331964</x:v>
      </x:c>
      <x:c r="F1021" s="12" t="n">
        <x:v>4.9</x:v>
      </x:c>
      <x:c r="G1021" s="12" t="n">
        <x:v>490.00000000000006</x:v>
      </x:c>
      <x:c r="H1021" s="12" t="n">
        <x:v>-0.9999999999999432</x:v>
      </x:c>
      <x:c r="I1021" s="12" t="str">
        <x:v>TuShare index_daily</x:v>
      </x:c>
      <x:c r="J1021" s="12" t="str">
        <x:v>Archived FRED mirror (Hugging Face)</x:v>
      </x:c>
    </x:row>
    <x:row r="1022" ht="18" customHeight="1">
      <x:c r="A1022" s="13" t="n">
        <x:v>44125</x:v>
      </x:c>
      <x:c r="B1022" s="12" t="n">
        <x:v>4792.8284</x:v>
      </x:c>
      <x:c r="C1022" s="12" t="n">
        <x:v>4793.4672</x:v>
      </x:c>
      <x:c r="D1022" s="12" t="n">
        <x:v>-0.0133</x:v>
      </x:c>
      <x:c r="E1022" s="12" t="n">
        <x:v>-0.0001332735871289077</x:v>
      </x:c>
      <x:c r="F1022" s="12" t="n">
        <x:v>4.91</x:v>
      </x:c>
      <x:c r="G1022" s="12" t="n">
        <x:v>491</x:v>
      </x:c>
      <x:c r="H1022" s="12" t="n">
        <x:v>0.9999999999999432</x:v>
      </x:c>
      <x:c r="I1022" s="12" t="str">
        <x:v>TuShare index_daily</x:v>
      </x:c>
      <x:c r="J1022" s="12" t="str">
        <x:v>Archived FRED mirror (Hugging Face)</x:v>
      </x:c>
    </x:row>
    <x:row r="1023" ht="18" customHeight="1">
      <x:c r="A1023" s="13" t="n">
        <x:v>44126</x:v>
      </x:c>
      <x:c r="B1023" s="12" t="n">
        <x:v>4777.9845</x:v>
      </x:c>
      <x:c r="C1023" s="12" t="n">
        <x:v>4792.8284</x:v>
      </x:c>
      <x:c r="D1023" s="12" t="n">
        <x:v>-0.3097</x:v>
      </x:c>
      <x:c r="E1023" s="12" t="n">
        <x:v>-0.0031019124618266</x:v>
      </x:c>
      <x:c r="F1023" s="12" t="n">
        <x:v>4.88</x:v>
      </x:c>
      <x:c r="G1023" s="12" t="n">
        <x:v>488</x:v>
      </x:c>
      <x:c r="H1023" s="12" t="n">
        <x:v>-3</x:v>
      </x:c>
      <x:c r="I1023" s="12" t="str">
        <x:v>TuShare index_daily</x:v>
      </x:c>
      <x:c r="J1023" s="12" t="str">
        <x:v>Archived FRED mirror (Hugging Face)</x:v>
      </x:c>
    </x:row>
    <x:row r="1024" ht="18" customHeight="1">
      <x:c r="A1024" s="13" t="n">
        <x:v>44127</x:v>
      </x:c>
      <x:c r="B1024" s="12" t="n">
        <x:v>4718.4881</x:v>
      </x:c>
      <x:c r="C1024" s="12" t="n">
        <x:v>4777.9845</x:v>
      </x:c>
      <x:c r="D1024" s="12" t="n">
        <x:v>-1.2452</x:v>
      </x:c>
      <x:c r="E1024" s="12" t="n">
        <x:v>-0.012530374375044237</x:v>
      </x:c>
      <x:c r="F1024" s="12" t="n">
        <x:v>4.87</x:v>
      </x:c>
      <x:c r="G1024" s="12" t="n">
        <x:v>487</x:v>
      </x:c>
      <x:c r="H1024" s="12" t="n">
        <x:v>-1</x:v>
      </x:c>
      <x:c r="I1024" s="12" t="str">
        <x:v>TuShare index_daily</x:v>
      </x:c>
      <x:c r="J1024" s="12" t="str">
        <x:v>Archived FRED mirror (Hugging Face)</x:v>
      </x:c>
    </x:row>
    <x:row r="1025" ht="18" customHeight="1">
      <x:c r="A1025" s="13" t="n">
        <x:v>44130</x:v>
      </x:c>
      <x:c r="B1025" s="12" t="n">
        <x:v>4691.2359</x:v>
      </x:c>
      <x:c r="C1025" s="12" t="n">
        <x:v>4718.4881</x:v>
      </x:c>
      <x:c r="D1025" s="12" t="n">
        <x:v>-0.5776</x:v>
      </x:c>
      <x:c r="E1025" s="12" t="n">
        <x:v>-0.005792364621097337</x:v>
      </x:c>
      <x:c r="F1025" s="12" t="n">
        <x:v>5.03</x:v>
      </x:c>
      <x:c r="G1025" s="12" t="n">
        <x:v>503</x:v>
      </x:c>
      <x:c r="H1025" s="12" t="n">
        <x:v>16</x:v>
      </x:c>
      <x:c r="I1025" s="12" t="str">
        <x:v>TuShare index_daily</x:v>
      </x:c>
      <x:c r="J1025" s="12" t="str">
        <x:v>Archived FRED mirror (Hugging Face)</x:v>
      </x:c>
    </x:row>
    <x:row r="1026" ht="18" customHeight="1">
      <x:c r="A1026" s="13" t="n">
        <x:v>44131</x:v>
      </x:c>
      <x:c r="B1026" s="12" t="n">
        <x:v>4699.2792</x:v>
      </x:c>
      <x:c r="C1026" s="12" t="n">
        <x:v>4691.2359</x:v>
      </x:c>
      <x:c r="D1026" s="12" t="n">
        <x:v>0.1715</x:v>
      </x:c>
      <x:c r="E1026" s="12" t="n">
        <x:v>0.0017130693857238426</x:v>
      </x:c>
      <x:c r="F1026" s="12" t="n">
        <x:v>5.06</x:v>
      </x:c>
      <x:c r="G1026" s="12" t="n">
        <x:v>505.99999999999994</x:v>
      </x:c>
      <x:c r="H1026" s="12" t="n">
        <x:v>2.999999999999943</x:v>
      </x:c>
      <x:c r="I1026" s="12" t="str">
        <x:v>TuShare index_daily</x:v>
      </x:c>
      <x:c r="J1026" s="12" t="str">
        <x:v>Archived FRED mirror (Hugging Face)</x:v>
      </x:c>
    </x:row>
    <x:row r="1027" ht="18" customHeight="1">
      <x:c r="A1027" s="13" t="n">
        <x:v>44132</x:v>
      </x:c>
      <x:c r="B1027" s="12" t="n">
        <x:v>4737.2718</x:v>
      </x:c>
      <x:c r="C1027" s="12" t="n">
        <x:v>4699.2792</x:v>
      </x:c>
      <x:c r="D1027" s="12" t="n">
        <x:v>0.8085</x:v>
      </x:c>
      <x:c r="E1027" s="12" t="n">
        <x:v>0.008052265130175401</x:v>
      </x:c>
      <x:c r="F1027" s="12" t="n">
        <x:v>5.29</x:v>
      </x:c>
      <x:c r="G1027" s="12" t="n">
        <x:v>529</x:v>
      </x:c>
      <x:c r="H1027" s="12" t="n">
        <x:v>23.000000000000057</x:v>
      </x:c>
      <x:c r="I1027" s="12" t="str">
        <x:v>TuShare index_daily</x:v>
      </x:c>
      <x:c r="J1027" s="12" t="str">
        <x:v>Archived FRED mirror (Hugging Face)</x:v>
      </x:c>
    </x:row>
    <x:row r="1028" ht="18" customHeight="1">
      <x:c r="A1028" s="13" t="n">
        <x:v>44133</x:v>
      </x:c>
      <x:c r="B1028" s="12" t="n">
        <x:v>4772.9198</x:v>
      </x:c>
      <x:c r="C1028" s="12" t="n">
        <x:v>4737.2718</x:v>
      </x:c>
      <x:c r="D1028" s="12" t="n">
        <x:v>0.7525</x:v>
      </x:c>
      <x:c r="E1028" s="12" t="n">
        <x:v>0.007496834650276579</x:v>
      </x:c>
      <x:c r="F1028" s="12" t="n">
        <x:v>5.25</x:v>
      </x:c>
      <x:c r="G1028" s="12" t="n">
        <x:v>525</x:v>
      </x:c>
      <x:c r="H1028" s="12" t="n">
        <x:v>-4</x:v>
      </x:c>
      <x:c r="I1028" s="12" t="str">
        <x:v>TuShare index_daily</x:v>
      </x:c>
      <x:c r="J1028" s="12" t="str">
        <x:v>Archived FRED mirror (Hugging Face)</x:v>
      </x:c>
    </x:row>
    <x:row r="1029" ht="18" customHeight="1">
      <x:c r="A1029" s="13" t="n">
        <x:v>44134</x:v>
      </x:c>
      <x:c r="B1029" s="12" t="n">
        <x:v>4695.3338</x:v>
      </x:c>
      <x:c r="C1029" s="12" t="n">
        <x:v>4772.9198</x:v>
      </x:c>
      <x:c r="D1029" s="12" t="n">
        <x:v>-1.6255</x:v>
      </x:c>
      <x:c r="E1029" s="12" t="n">
        <x:v>-0.016389027988660262</x:v>
      </x:c>
      <x:c r="F1029" s="12" t="n">
        <x:v>5.25</x:v>
      </x:c>
      <x:c r="G1029" s="12" t="n">
        <x:v>525</x:v>
      </x:c>
      <x:c r="H1029" s="12" t="n">
        <x:v>0</x:v>
      </x:c>
      <x:c r="I1029" s="12" t="str">
        <x:v>TuShare index_daily</x:v>
      </x:c>
      <x:c r="J1029" s="12" t="str">
        <x:v>Archived FRED mirror (Hugging Face)</x:v>
      </x:c>
    </x:row>
    <x:row r="1030" ht="18" customHeight="1">
      <x:c r="A1030" s="13" t="n">
        <x:v>44137</x:v>
      </x:c>
      <x:c r="B1030" s="12" t="n">
        <x:v>4720.8313</x:v>
      </x:c>
      <x:c r="C1030" s="12" t="n">
        <x:v>4695.3338</x:v>
      </x:c>
      <x:c r="D1030" s="12" t="n">
        <x:v>0.543</x:v>
      </x:c>
      <x:c r="E1030" s="12" t="n">
        <x:v>0.005415699926437235</x:v>
      </x:c>
      <x:c r="F1030" s="12" t="n">
        <x:v>5.25</x:v>
      </x:c>
      <x:c r="G1030" s="12" t="n">
        <x:v>525</x:v>
      </x:c>
      <x:c r="H1030" s="12" t="n">
        <x:v>-7</x:v>
      </x:c>
      <x:c r="I1030" s="12" t="str">
        <x:v>TuShare index_daily</x:v>
      </x:c>
      <x:c r="J1030" s="12" t="str">
        <x:v>Archived FRED mirror (Hugging Face)</x:v>
      </x:c>
    </x:row>
    <x:row r="1031" ht="18" customHeight="1">
      <x:c r="A1031" s="13" t="n">
        <x:v>44138</x:v>
      </x:c>
      <x:c r="B1031" s="12" t="n">
        <x:v>4777.5608</x:v>
      </x:c>
      <x:c r="C1031" s="12" t="n">
        <x:v>4720.8313</x:v>
      </x:c>
      <x:c r="D1031" s="12" t="n">
        <x:v>1.2017</x:v>
      </x:c>
      <x:c r="E1031" s="12" t="n">
        <x:v>0.011945216401603785</x:v>
      </x:c>
      <x:c r="F1031" s="12" t="n">
        <x:v>5.07</x:v>
      </x:c>
      <x:c r="G1031" s="12" t="n">
        <x:v>507</x:v>
      </x:c>
      <x:c r="H1031" s="12" t="n">
        <x:v>-18</x:v>
      </x:c>
      <x:c r="I1031" s="12" t="str">
        <x:v>TuShare index_daily</x:v>
      </x:c>
      <x:c r="J1031" s="12" t="str">
        <x:v>Archived FRED mirror (Hugging Face)</x:v>
      </x:c>
    </x:row>
    <x:row r="1032" ht="18" customHeight="1">
      <x:c r="A1032" s="13" t="n">
        <x:v>44139</x:v>
      </x:c>
      <x:c r="B1032" s="12" t="n">
        <x:v>4813.6564</x:v>
      </x:c>
      <x:c r="C1032" s="12" t="n">
        <x:v>4777.5608</x:v>
      </x:c>
      <x:c r="D1032" s="12" t="n">
        <x:v>0.7555</x:v>
      </x:c>
      <x:c r="E1032" s="12" t="n">
        <x:v>0.007526838285146994</x:v>
      </x:c>
      <x:c r="F1032" s="12" t="n">
        <x:v>4.79</x:v>
      </x:c>
      <x:c r="G1032" s="12" t="n">
        <x:v>479</x:v>
      </x:c>
      <x:c r="H1032" s="12" t="n">
        <x:v>-28</x:v>
      </x:c>
      <x:c r="I1032" s="12" t="str">
        <x:v>TuShare index_daily</x:v>
      </x:c>
      <x:c r="J1032" s="12" t="str">
        <x:v>Archived FRED mirror (Hugging Face)</x:v>
      </x:c>
    </x:row>
    <x:row r="1033" ht="18" customHeight="1">
      <x:c r="A1033" s="13" t="n">
        <x:v>44140</x:v>
      </x:c>
      <x:c r="B1033" s="12" t="n">
        <x:v>4885.1118</x:v>
      </x:c>
      <x:c r="C1033" s="12" t="n">
        <x:v>4813.6564</x:v>
      </x:c>
      <x:c r="D1033" s="12" t="n">
        <x:v>1.4844</x:v>
      </x:c>
      <x:c r="E1033" s="12" t="n">
        <x:v>0.01473520996199845</x:v>
      </x:c>
      <x:c r="F1033" s="12" t="n">
        <x:v>4.59</x:v>
      </x:c>
      <x:c r="G1033" s="12" t="n">
        <x:v>459</x:v>
      </x:c>
      <x:c r="H1033" s="12" t="n">
        <x:v>-20</x:v>
      </x:c>
      <x:c r="I1033" s="12" t="str">
        <x:v>TuShare index_daily</x:v>
      </x:c>
      <x:c r="J1033" s="12" t="str">
        <x:v>Archived FRED mirror (Hugging Face)</x:v>
      </x:c>
    </x:row>
    <x:row r="1034" ht="18" customHeight="1">
      <x:c r="A1034" s="13" t="n">
        <x:v>44141</x:v>
      </x:c>
      <x:c r="B1034" s="12" t="n">
        <x:v>4885.7178</x:v>
      </x:c>
      <x:c r="C1034" s="12" t="n">
        <x:v>4885.1118</x:v>
      </x:c>
      <x:c r="D1034" s="12" t="n">
        <x:v>0.0124</x:v>
      </x:c>
      <x:c r="E1034" s="12" t="n">
        <x:v>0.00012404269147779382</x:v>
      </x:c>
      <x:c r="F1034" s="12" t="n">
        <x:v>4.67</x:v>
      </x:c>
      <x:c r="G1034" s="12" t="n">
        <x:v>467</x:v>
      </x:c>
      <x:c r="H1034" s="12" t="n">
        <x:v>8</x:v>
      </x:c>
      <x:c r="I1034" s="12" t="str">
        <x:v>TuShare index_daily</x:v>
      </x:c>
      <x:c r="J1034" s="12" t="str">
        <x:v>Archived FRED mirror (Hugging Face)</x:v>
      </x:c>
    </x:row>
    <x:row r="1035" ht="18" customHeight="1">
      <x:c r="A1035" s="13" t="n">
        <x:v>44144</x:v>
      </x:c>
      <x:c r="B1035" s="12" t="n">
        <x:v>4981.3497</x:v>
      </x:c>
      <x:c r="C1035" s="12" t="n">
        <x:v>4885.7178</x:v>
      </x:c>
      <x:c r="D1035" s="12" t="n">
        <x:v>1.9574</x:v>
      </x:c>
      <x:c r="E1035" s="12" t="n">
        <x:v>0.019384664101318113</x:v>
      </x:c>
      <x:c r="F1035" s="12" t="n">
        <x:v>4.22</x:v>
      </x:c>
      <x:c r="G1035" s="12" t="n">
        <x:v>422</x:v>
      </x:c>
      <x:c r="H1035" s="12" t="n">
        <x:v>-45</x:v>
      </x:c>
      <x:c r="I1035" s="12" t="str">
        <x:v>TuShare index_daily</x:v>
      </x:c>
      <x:c r="J1035" s="12" t="str">
        <x:v>Archived FRED mirror (Hugging Face)</x:v>
      </x:c>
    </x:row>
    <x:row r="1036" ht="18" customHeight="1">
      <x:c r="A1036" s="13" t="n">
        <x:v>44145</x:v>
      </x:c>
      <x:c r="B1036" s="12" t="n">
        <x:v>4953.8756</x:v>
      </x:c>
      <x:c r="C1036" s="12" t="n">
        <x:v>4981.3497</x:v>
      </x:c>
      <x:c r="D1036" s="12" t="n">
        <x:v>-0.5515</x:v>
      </x:c>
      <x:c r="E1036" s="12" t="n">
        <x:v>-0.005530658682067191</x:v>
      </x:c>
      <x:c r="F1036" s="12" t="n">
        <x:v>4.37</x:v>
      </x:c>
      <x:c r="G1036" s="12" t="n">
        <x:v>437</x:v>
      </x:c>
      <x:c r="H1036" s="12" t="n">
        <x:v>15</x:v>
      </x:c>
      <x:c r="I1036" s="12" t="str">
        <x:v>TuShare index_daily</x:v>
      </x:c>
      <x:c r="J1036" s="12" t="str">
        <x:v>Archived FRED mirror (Hugging Face)</x:v>
      </x:c>
    </x:row>
    <x:row r="1037" ht="18" customHeight="1">
      <x:c r="A1037" s="13" t="n">
        <x:v>44146</x:v>
      </x:c>
      <x:c r="B1037" s="12" t="n">
        <x:v>4904.8981</x:v>
      </x:c>
      <x:c r="C1037" s="12" t="n">
        <x:v>4953.8756</x:v>
      </x:c>
      <x:c r="D1037" s="12" t="n">
        <x:v>-0.9887</x:v>
      </x:c>
      <x:c r="E1037" s="12" t="n">
        <x:v>-0.009935901648628813</x:v>
      </x:c>
      <x:c r="F1037" s="12" t="n">
        <x:v>4.37</x:v>
      </x:c>
      <x:c r="G1037" s="12" t="n">
        <x:v>437</x:v>
      </x:c>
      <x:c r="H1037" s="12" t="n">
        <x:v>0</x:v>
      </x:c>
      <x:c r="I1037" s="12" t="str">
        <x:v>TuShare index_daily</x:v>
      </x:c>
      <x:c r="J1037" s="12" t="str">
        <x:v>Archived FRED mirror (Hugging Face)</x:v>
      </x:c>
    </x:row>
    <x:row r="1038" ht="18" customHeight="1">
      <x:c r="A1038" s="13" t="n">
        <x:v>44147</x:v>
      </x:c>
      <x:c r="B1038" s="12" t="n">
        <x:v>4908.463</x:v>
      </x:c>
      <x:c r="C1038" s="12" t="n">
        <x:v>4904.8981</x:v>
      </x:c>
      <x:c r="D1038" s="12" t="n">
        <x:v>0.0727</x:v>
      </x:c>
      <x:c r="E1038" s="12" t="n">
        <x:v>0.0007265400957911837</x:v>
      </x:c>
      <x:c r="F1038" s="12" t="n">
        <x:v>4.62</x:v>
      </x:c>
      <x:c r="G1038" s="12" t="n">
        <x:v>462</x:v>
      </x:c>
      <x:c r="H1038" s="12" t="n">
        <x:v>25</x:v>
      </x:c>
      <x:c r="I1038" s="12" t="str">
        <x:v>TuShare index_daily</x:v>
      </x:c>
      <x:c r="J1038" s="12" t="str">
        <x:v>Archived FRED mirror (Hugging Face)</x:v>
      </x:c>
    </x:row>
    <x:row r="1039" ht="18" customHeight="1">
      <x:c r="A1039" s="13" t="n">
        <x:v>44148</x:v>
      </x:c>
      <x:c r="B1039" s="12" t="n">
        <x:v>4856.8513</x:v>
      </x:c>
      <x:c r="C1039" s="12" t="n">
        <x:v>4908.463</x:v>
      </x:c>
      <x:c r="D1039" s="12" t="n">
        <x:v>-1.0515</x:v>
      </x:c>
      <x:c r="E1039" s="12" t="n">
        <x:v>-0.010570510889047147</x:v>
      </x:c>
      <x:c r="F1039" s="12" t="n">
        <x:v>4.63</x:v>
      </x:c>
      <x:c r="G1039" s="12" t="n">
        <x:v>463</x:v>
      </x:c>
      <x:c r="H1039" s="12" t="n">
        <x:v>1</x:v>
      </x:c>
      <x:c r="I1039" s="12" t="str">
        <x:v>TuShare index_daily</x:v>
      </x:c>
      <x:c r="J1039" s="12" t="str">
        <x:v>Archived FRED mirror (Hugging Face)</x:v>
      </x:c>
    </x:row>
    <x:row r="1040" ht="18" customHeight="1">
      <x:c r="A1040" s="13" t="n">
        <x:v>44151</x:v>
      </x:c>
      <x:c r="B1040" s="12" t="n">
        <x:v>4904.1716</x:v>
      </x:c>
      <x:c r="C1040" s="12" t="n">
        <x:v>4856.8513</x:v>
      </x:c>
      <x:c r="D1040" s="12" t="n">
        <x:v>0.9743</x:v>
      </x:c>
      <x:c r="E1040" s="12" t="n">
        <x:v>0.009695842576503763</x:v>
      </x:c>
      <x:c r="F1040" s="12" t="n">
        <x:v>4.5</x:v>
      </x:c>
      <x:c r="G1040" s="12" t="n">
        <x:v>450</x:v>
      </x:c>
      <x:c r="H1040" s="12" t="n">
        <x:v>-13</x:v>
      </x:c>
      <x:c r="I1040" s="12" t="str">
        <x:v>TuShare index_daily</x:v>
      </x:c>
      <x:c r="J1040" s="12" t="str">
        <x:v>Archived FRED mirror (Hugging Face)</x:v>
      </x:c>
    </x:row>
    <x:row r="1041" ht="18" customHeight="1">
      <x:c r="A1041" s="13" t="n">
        <x:v>44152</x:v>
      </x:c>
      <x:c r="B1041" s="12" t="n">
        <x:v>4894.786</x:v>
      </x:c>
      <x:c r="C1041" s="12" t="n">
        <x:v>4904.1716</x:v>
      </x:c>
      <x:c r="D1041" s="12" t="n">
        <x:v>-0.1914</x:v>
      </x:c>
      <x:c r="E1041" s="12" t="n">
        <x:v>-0.0019156329179655564</x:v>
      </x:c>
      <x:c r="F1041" s="12" t="n">
        <x:v>4.48</x:v>
      </x:c>
      <x:c r="G1041" s="12" t="n">
        <x:v>448.00000000000006</x:v>
      </x:c>
      <x:c r="H1041" s="12" t="n">
        <x:v>-1.9999999999999432</x:v>
      </x:c>
      <x:c r="I1041" s="12" t="str">
        <x:v>TuShare index_daily</x:v>
      </x:c>
      <x:c r="J1041" s="12" t="str">
        <x:v>Archived FRED mirror (Hugging Face)</x:v>
      </x:c>
    </x:row>
    <x:row r="1042" ht="18" customHeight="1">
      <x:c r="A1042" s="13" t="n">
        <x:v>44153</x:v>
      </x:c>
      <x:c r="B1042" s="12" t="n">
        <x:v>4891.6716</x:v>
      </x:c>
      <x:c r="C1042" s="12" t="n">
        <x:v>4894.786</x:v>
      </x:c>
      <x:c r="D1042" s="12" t="n">
        <x:v>-0.0636</x:v>
      </x:c>
      <x:c r="E1042" s="12" t="n">
        <x:v>-0.0006364713837081073</x:v>
      </x:c>
      <x:c r="F1042" s="12" t="n">
        <x:v>4.42</x:v>
      </x:c>
      <x:c r="G1042" s="12" t="n">
        <x:v>442</x:v>
      </x:c>
      <x:c r="H1042" s="12" t="n">
        <x:v>-6.000000000000057</x:v>
      </x:c>
      <x:c r="I1042" s="12" t="str">
        <x:v>TuShare index_daily</x:v>
      </x:c>
      <x:c r="J1042" s="12" t="str">
        <x:v>Archived FRED mirror (Hugging Face)</x:v>
      </x:c>
    </x:row>
    <x:row r="1043" ht="18" customHeight="1">
      <x:c r="A1043" s="13" t="n">
        <x:v>44154</x:v>
      </x:c>
      <x:c r="B1043" s="12" t="n">
        <x:v>4927.9891</x:v>
      </x:c>
      <x:c r="C1043" s="12" t="n">
        <x:v>4891.6716</x:v>
      </x:c>
      <x:c r="D1043" s="12" t="n">
        <x:v>0.7424</x:v>
      </x:c>
      <x:c r="E1043" s="12" t="n">
        <x:v>0.007396928814693623</x:v>
      </x:c>
      <x:c r="F1043" s="12" t="n">
        <x:v>4.48</x:v>
      </x:c>
      <x:c r="G1043" s="12" t="n">
        <x:v>448.00000000000006</x:v>
      </x:c>
      <x:c r="H1043" s="12" t="n">
        <x:v>6.000000000000057</x:v>
      </x:c>
      <x:c r="I1043" s="12" t="str">
        <x:v>TuShare index_daily</x:v>
      </x:c>
      <x:c r="J1043" s="12" t="str">
        <x:v>Archived FRED mirror (Hugging Face)</x:v>
      </x:c>
    </x:row>
    <x:row r="1044" ht="18" customHeight="1">
      <x:c r="A1044" s="13" t="n">
        <x:v>44155</x:v>
      </x:c>
      <x:c r="B1044" s="12" t="n">
        <x:v>4943.2882</x:v>
      </x:c>
      <x:c r="C1044" s="12" t="n">
        <x:v>4927.9891</x:v>
      </x:c>
      <x:c r="D1044" s="12" t="n">
        <x:v>0.3105</x:v>
      </x:c>
      <x:c r="E1044" s="12" t="n">
        <x:v>0.003099722920323173</x:v>
      </x:c>
      <x:c r="F1044" s="12" t="n">
        <x:v>4.49</x:v>
      </x:c>
      <x:c r="G1044" s="12" t="n">
        <x:v>449</x:v>
      </x:c>
      <x:c r="H1044" s="12" t="n">
        <x:v>0.9999999999999432</x:v>
      </x:c>
      <x:c r="I1044" s="12" t="str">
        <x:v>TuShare index_daily</x:v>
      </x:c>
      <x:c r="J1044" s="12" t="str">
        <x:v>Archived FRED mirror (Hugging Face)</x:v>
      </x:c>
    </x:row>
    <x:row r="1045" ht="18" customHeight="1">
      <x:c r="A1045" s="13" t="n">
        <x:v>44158</x:v>
      </x:c>
      <x:c r="B1045" s="12" t="n">
        <x:v>5005.0273</x:v>
      </x:c>
      <x:c r="C1045" s="12" t="n">
        <x:v>4943.2882</x:v>
      </x:c>
      <x:c r="D1045" s="12" t="n">
        <x:v>1.2489</x:v>
      </x:c>
      <x:c r="E1045" s="12" t="n">
        <x:v>0.012412129999316287</x:v>
      </x:c>
      <x:c r="F1045" s="12" t="n">
        <x:v>4.43</x:v>
      </x:c>
      <x:c r="G1045" s="12" t="n">
        <x:v>443</x:v>
      </x:c>
      <x:c r="H1045" s="12" t="n">
        <x:v>-6</x:v>
      </x:c>
      <x:c r="I1045" s="12" t="str">
        <x:v>TuShare index_daily</x:v>
      </x:c>
      <x:c r="J1045" s="12" t="str">
        <x:v>Archived FRED mirror (Hugging Face)</x:v>
      </x:c>
    </x:row>
    <x:row r="1046" ht="18" customHeight="1">
      <x:c r="A1046" s="13" t="n">
        <x:v>44159</x:v>
      </x:c>
      <x:c r="B1046" s="12" t="n">
        <x:v>4974.2855</x:v>
      </x:c>
      <x:c r="C1046" s="12" t="n">
        <x:v>5005.0273</x:v>
      </x:c>
      <x:c r="D1046" s="12" t="n">
        <x:v>-0.6142</x:v>
      </x:c>
      <x:c r="E1046" s="12" t="n">
        <x:v>-0.006161125091724083</x:v>
      </x:c>
      <x:c r="F1046" s="12" t="n">
        <x:v>4.31</x:v>
      </x:c>
      <x:c r="G1046" s="12" t="n">
        <x:v>430.99999999999994</x:v>
      </x:c>
      <x:c r="H1046" s="12" t="n">
        <x:v>-12.000000000000057</x:v>
      </x:c>
      <x:c r="I1046" s="12" t="str">
        <x:v>TuShare index_daily</x:v>
      </x:c>
      <x:c r="J1046" s="12" t="str">
        <x:v>Archived FRED mirror (Hugging Face)</x:v>
      </x:c>
    </x:row>
    <x:row r="1047" ht="18" customHeight="1">
      <x:c r="A1047" s="13" t="n">
        <x:v>44160</x:v>
      </x:c>
      <x:c r="B1047" s="12" t="n">
        <x:v>4910.7</x:v>
      </x:c>
      <x:c r="C1047" s="12" t="n">
        <x:v>4974.2855</x:v>
      </x:c>
      <x:c r="D1047" s="12" t="n">
        <x:v>-1.2783</x:v>
      </x:c>
      <x:c r="E1047" s="12" t="n">
        <x:v>-0.012865244369756808</x:v>
      </x:c>
      <x:c r="F1047" s="12" t="n">
        <x:v>4.33</x:v>
      </x:c>
      <x:c r="G1047" s="12" t="n">
        <x:v>433</x:v>
      </x:c>
      <x:c r="H1047" s="12" t="n">
        <x:v>2.000000000000057</x:v>
      </x:c>
      <x:c r="I1047" s="12" t="str">
        <x:v>TuShare index_daily</x:v>
      </x:c>
      <x:c r="J1047" s="12" t="str">
        <x:v>Archived FRED mirror (Hugging Face)</x:v>
      </x:c>
    </x:row>
    <x:row r="1048" ht="18" customHeight="1">
      <x:c r="A1048" s="13" t="n">
        <x:v>44161</x:v>
      </x:c>
      <x:c r="B1048" s="12" t="n">
        <x:v>4919.5912</x:v>
      </x:c>
      <x:c r="C1048" s="12" t="n">
        <x:v>4910.7</x:v>
      </x:c>
      <x:c r="D1048" s="12" t="n">
        <x:v>0.1811</x:v>
      </x:c>
      <x:c r="E1048" s="12" t="n">
        <x:v>0.0018089397849228442</x:v>
      </x:c>
      <x:c r="F1048" s="12" t="n">
        <x:v>4.33</x:v>
      </x:c>
      <x:c r="G1048" s="12" t="n">
        <x:v>433</x:v>
      </x:c>
      <x:c r="H1048" s="12" t="n">
        <x:v>0</x:v>
      </x:c>
      <x:c r="I1048" s="12" t="str">
        <x:v>TuShare index_daily</x:v>
      </x:c>
      <x:c r="J1048" s="12" t="str">
        <x:v>Archived FRED mirror (Hugging Face)</x:v>
      </x:c>
    </x:row>
    <x:row r="1049" ht="18" customHeight="1">
      <x:c r="A1049" s="13" t="n">
        <x:v>44162</x:v>
      </x:c>
      <x:c r="B1049" s="12" t="n">
        <x:v>4980.765</x:v>
      </x:c>
      <x:c r="C1049" s="12" t="n">
        <x:v>4919.5912</x:v>
      </x:c>
      <x:c r="D1049" s="12" t="n">
        <x:v>1.2435</x:v>
      </x:c>
      <x:c r="E1049" s="12" t="n">
        <x:v>0.012358056075695761</x:v>
      </x:c>
      <x:c r="F1049" s="12" t="n">
        <x:v>4.35</x:v>
      </x:c>
      <x:c r="G1049" s="12" t="n">
        <x:v>434.99999999999994</x:v>
      </x:c>
      <x:c r="H1049" s="12" t="n">
        <x:v>1.9999999999999432</x:v>
      </x:c>
      <x:c r="I1049" s="12" t="str">
        <x:v>TuShare index_daily</x:v>
      </x:c>
      <x:c r="J1049" s="12" t="str">
        <x:v>Archived FRED mirror (Hugging Face)</x:v>
      </x:c>
    </x:row>
    <x:row r="1050" ht="18" customHeight="1">
      <x:c r="A1050" s="13" t="n">
        <x:v>44165</x:v>
      </x:c>
      <x:c r="B1050" s="12" t="n">
        <x:v>4960.2519</x:v>
      </x:c>
      <x:c r="C1050" s="12" t="n">
        <x:v>4980.765</x:v>
      </x:c>
      <x:c r="D1050" s="12" t="n">
        <x:v>-0.4118</x:v>
      </x:c>
      <x:c r="E1050" s="12" t="n">
        <x:v>-0.0041269679593215775</x:v>
      </x:c>
      <x:c r="F1050" s="12" t="n">
        <x:v>4.33</x:v>
      </x:c>
      <x:c r="G1050" s="12" t="n">
        <x:v>433</x:v>
      </x:c>
      <x:c r="H1050" s="12" t="n">
        <x:v>-1.9999999999999432</x:v>
      </x:c>
      <x:c r="I1050" s="12" t="str">
        <x:v>TuShare index_daily</x:v>
      </x:c>
      <x:c r="J1050" s="12" t="str">
        <x:v>Archived FRED mirror (Hugging Face)</x:v>
      </x:c>
    </x:row>
    <x:row r="1051" ht="18" customHeight="1">
      <x:c r="A1051" s="13" t="n">
        <x:v>44166</x:v>
      </x:c>
      <x:c r="B1051" s="12" t="n">
        <x:v>5067.0983</x:v>
      </x:c>
      <x:c r="C1051" s="12" t="n">
        <x:v>4960.2519</x:v>
      </x:c>
      <x:c r="D1051" s="12" t="n">
        <x:v>2.1541</x:v>
      </x:c>
      <x:c r="E1051" s="12" t="n">
        <x:v>0.02131180060748671</x:v>
      </x:c>
      <x:c r="F1051" s="12" t="n">
        <x:v>4.21</x:v>
      </x:c>
      <x:c r="G1051" s="12" t="n">
        <x:v>421</x:v>
      </x:c>
      <x:c r="H1051" s="12" t="n">
        <x:v>-12</x:v>
      </x:c>
      <x:c r="I1051" s="12" t="str">
        <x:v>TuShare index_daily</x:v>
      </x:c>
      <x:c r="J1051" s="12" t="str">
        <x:v>Archived FRED mirror (Hugging Face)</x:v>
      </x:c>
    </x:row>
    <x:row r="1052" ht="18" customHeight="1">
      <x:c r="A1052" s="13" t="n">
        <x:v>44167</x:v>
      </x:c>
      <x:c r="B1052" s="12" t="n">
        <x:v>5067.1447</x:v>
      </x:c>
      <x:c r="C1052" s="12" t="n">
        <x:v>5067.0983</x:v>
      </x:c>
      <x:c r="D1052" s="12" t="n">
        <x:v>0.0009</x:v>
      </x:c>
      <x:c r="E1052" s="12" t="n">
        <x:v>0.000009157072708887299</x:v>
      </x:c>
      <x:c r="F1052" s="12" t="n">
        <x:v>4.17</x:v>
      </x:c>
      <x:c r="G1052" s="12" t="n">
        <x:v>417</x:v>
      </x:c>
      <x:c r="H1052" s="12" t="n">
        <x:v>-4</x:v>
      </x:c>
      <x:c r="I1052" s="12" t="str">
        <x:v>TuShare index_daily</x:v>
      </x:c>
      <x:c r="J1052" s="12" t="str">
        <x:v>Archived FRED mirror (Hugging Face)</x:v>
      </x:c>
    </x:row>
    <x:row r="1053" ht="18" customHeight="1">
      <x:c r="A1053" s="13" t="n">
        <x:v>44168</x:v>
      </x:c>
      <x:c r="B1053" s="12" t="n">
        <x:v>5057.0603</x:v>
      </x:c>
      <x:c r="C1053" s="12" t="n">
        <x:v>5067.1447</x:v>
      </x:c>
      <x:c r="D1053" s="12" t="n">
        <x:v>-0.199</x:v>
      </x:c>
      <x:c r="E1053" s="12" t="n">
        <x:v>-0.0019921373253678587</x:v>
      </x:c>
      <x:c r="F1053" s="12" t="n">
        <x:v>4.1</x:v>
      </x:c>
      <x:c r="G1053" s="12" t="n">
        <x:v>409.99999999999994</x:v>
      </x:c>
      <x:c r="H1053" s="12" t="n">
        <x:v>-7.000000000000057</x:v>
      </x:c>
      <x:c r="I1053" s="12" t="str">
        <x:v>TuShare index_daily</x:v>
      </x:c>
      <x:c r="J1053" s="12" t="str">
        <x:v>Archived FRED mirror (Hugging Face)</x:v>
      </x:c>
    </x:row>
    <x:row r="1054" ht="18" customHeight="1">
      <x:c r="A1054" s="13" t="n">
        <x:v>44169</x:v>
      </x:c>
      <x:c r="B1054" s="12" t="n">
        <x:v>5065.9163</x:v>
      </x:c>
      <x:c r="C1054" s="12" t="n">
        <x:v>5057.0603</x:v>
      </x:c>
      <x:c r="D1054" s="12" t="n">
        <x:v>0.1751</x:v>
      </x:c>
      <x:c r="E1054" s="12" t="n">
        <x:v>0.0017496834398110467</x:v>
      </x:c>
      <x:c r="F1054" s="12" t="n">
        <x:v>4.03</x:v>
      </x:c>
      <x:c r="G1054" s="12" t="n">
        <x:v>403</x:v>
      </x:c>
      <x:c r="H1054" s="12" t="n">
        <x:v>-6.999999999999943</x:v>
      </x:c>
      <x:c r="I1054" s="12" t="str">
        <x:v>TuShare index_daily</x:v>
      </x:c>
      <x:c r="J1054" s="12" t="str">
        <x:v>Archived FRED mirror (Hugging Face)</x:v>
      </x:c>
    </x:row>
    <x:row r="1055" ht="18" customHeight="1">
      <x:c r="A1055" s="13" t="n">
        <x:v>44172</x:v>
      </x:c>
      <x:c r="B1055" s="12" t="n">
        <x:v>5022.2351</x:v>
      </x:c>
      <x:c r="C1055" s="12" t="n">
        <x:v>5065.9163</x:v>
      </x:c>
      <x:c r="D1055" s="12" t="n">
        <x:v>-0.8623</x:v>
      </x:c>
      <x:c r="E1055" s="12" t="n">
        <x:v>-0.008659955874246816</x:v>
      </x:c>
      <x:c r="F1055" s="12" t="n">
        <x:v>4.03</x:v>
      </x:c>
      <x:c r="G1055" s="12" t="n">
        <x:v>403</x:v>
      </x:c>
      <x:c r="H1055" s="12" t="n">
        <x:v>0</x:v>
      </x:c>
      <x:c r="I1055" s="12" t="str">
        <x:v>TuShare index_daily</x:v>
      </x:c>
      <x:c r="J1055" s="12" t="str">
        <x:v>Archived FRED mirror (Hugging Face)</x:v>
      </x:c>
    </x:row>
    <x:row r="1056" ht="18" customHeight="1">
      <x:c r="A1056" s="13" t="n">
        <x:v>44173</x:v>
      </x:c>
      <x:c r="B1056" s="12" t="n">
        <x:v>5009.8786</x:v>
      </x:c>
      <x:c r="C1056" s="12" t="n">
        <x:v>5022.2351</x:v>
      </x:c>
      <x:c r="D1056" s="12" t="n">
        <x:v>-0.246</x:v>
      </x:c>
      <x:c r="E1056" s="12" t="n">
        <x:v>-0.0024633903917117748</x:v>
      </x:c>
      <x:c r="F1056" s="12" t="n">
        <x:v>4.03</x:v>
      </x:c>
      <x:c r="G1056" s="12" t="n">
        <x:v>403</x:v>
      </x:c>
      <x:c r="H1056" s="12" t="n">
        <x:v>0</x:v>
      </x:c>
      <x:c r="I1056" s="12" t="str">
        <x:v>TuShare index_daily</x:v>
      </x:c>
      <x:c r="J1056" s="12" t="str">
        <x:v>Archived FRED mirror (Hugging Face)</x:v>
      </x:c>
    </x:row>
    <x:row r="1057" ht="18" customHeight="1">
      <x:c r="A1057" s="13" t="n">
        <x:v>44174</x:v>
      </x:c>
      <x:c r="B1057" s="12" t="n">
        <x:v>4942.6986</x:v>
      </x:c>
      <x:c r="C1057" s="12" t="n">
        <x:v>5009.8786</x:v>
      </x:c>
      <x:c r="D1057" s="12" t="n">
        <x:v>-1.341</x:v>
      </x:c>
      <x:c r="E1057" s="12" t="n">
        <x:v>-0.013500225916820758</x:v>
      </x:c>
      <x:c r="F1057" s="12" t="n">
        <x:v>4.04</x:v>
      </x:c>
      <x:c r="G1057" s="12" t="n">
        <x:v>404</x:v>
      </x:c>
      <x:c r="H1057" s="12" t="n">
        <x:v>1</x:v>
      </x:c>
      <x:c r="I1057" s="12" t="str">
        <x:v>TuShare index_daily</x:v>
      </x:c>
      <x:c r="J1057" s="12" t="str">
        <x:v>Archived FRED mirror (Hugging Face)</x:v>
      </x:c>
    </x:row>
    <x:row r="1058" ht="18" customHeight="1">
      <x:c r="A1058" s="13" t="n">
        <x:v>44175</x:v>
      </x:c>
      <x:c r="B1058" s="12" t="n">
        <x:v>4940.5249</x:v>
      </x:c>
      <x:c r="C1058" s="12" t="n">
        <x:v>4942.6986</x:v>
      </x:c>
      <x:c r="D1058" s="12" t="n">
        <x:v>-0.044</x:v>
      </x:c>
      <x:c r="E1058" s="12" t="n">
        <x:v>-0.00043987673354727903</x:v>
      </x:c>
      <x:c r="F1058" s="12" t="n">
        <x:v>4.08</x:v>
      </x:c>
      <x:c r="G1058" s="12" t="n">
        <x:v>408</x:v>
      </x:c>
      <x:c r="H1058" s="12" t="n">
        <x:v>4</x:v>
      </x:c>
      <x:c r="I1058" s="12" t="str">
        <x:v>TuShare index_daily</x:v>
      </x:c>
      <x:c r="J1058" s="12" t="str">
        <x:v>Archived FRED mirror (Hugging Face)</x:v>
      </x:c>
    </x:row>
    <x:row r="1059" ht="18" customHeight="1">
      <x:c r="A1059" s="13" t="n">
        <x:v>44176</x:v>
      </x:c>
      <x:c r="B1059" s="12" t="n">
        <x:v>4889.6292</x:v>
      </x:c>
      <x:c r="C1059" s="12" t="n">
        <x:v>4940.5249</x:v>
      </x:c>
      <x:c r="D1059" s="12" t="n">
        <x:v>-1.0302</x:v>
      </x:c>
      <x:c r="E1059" s="12" t="n">
        <x:v>-0.010355108225073873</x:v>
      </x:c>
      <x:c r="F1059" s="12" t="n">
        <x:v>4.13</x:v>
      </x:c>
      <x:c r="G1059" s="12" t="n">
        <x:v>413</x:v>
      </x:c>
      <x:c r="H1059" s="12" t="n">
        <x:v>5</x:v>
      </x:c>
      <x:c r="I1059" s="12" t="str">
        <x:v>TuShare index_daily</x:v>
      </x:c>
      <x:c r="J1059" s="12" t="str">
        <x:v>Archived FRED mirror (Hugging Face)</x:v>
      </x:c>
    </x:row>
    <x:row r="1060" ht="18" customHeight="1">
      <x:c r="A1060" s="13" t="n">
        <x:v>44179</x:v>
      </x:c>
      <x:c r="B1060" s="12" t="n">
        <x:v>4934.8352</x:v>
      </x:c>
      <x:c r="C1060" s="12" t="n">
        <x:v>4889.6292</x:v>
      </x:c>
      <x:c r="D1060" s="12" t="n">
        <x:v>0.9245</x:v>
      </x:c>
      <x:c r="E1060" s="12" t="n">
        <x:v>0.009202805813425094</x:v>
      </x:c>
      <x:c r="F1060" s="12" t="n">
        <x:v>4.07</x:v>
      </x:c>
      <x:c r="G1060" s="12" t="n">
        <x:v>407</x:v>
      </x:c>
      <x:c r="H1060" s="12" t="n">
        <x:v>-6</x:v>
      </x:c>
      <x:c r="I1060" s="12" t="str">
        <x:v>TuShare index_daily</x:v>
      </x:c>
      <x:c r="J1060" s="12" t="str">
        <x:v>Archived FRED mirror (Hugging Face)</x:v>
      </x:c>
    </x:row>
    <x:row r="1061" ht="18" customHeight="1">
      <x:c r="A1061" s="13" t="n">
        <x:v>44180</x:v>
      </x:c>
      <x:c r="B1061" s="12" t="n">
        <x:v>4945.1</x:v>
      </x:c>
      <x:c r="C1061" s="12" t="n">
        <x:v>4934.8352</x:v>
      </x:c>
      <x:c r="D1061" s="12" t="n">
        <x:v>0.208</x:v>
      </x:c>
      <x:c r="E1061" s="12" t="n">
        <x:v>0.0020779091128788284</x:v>
      </x:c>
      <x:c r="F1061" s="12" t="n">
        <x:v>4.06</x:v>
      </x:c>
      <x:c r="G1061" s="12" t="n">
        <x:v>405.99999999999994</x:v>
      </x:c>
      <x:c r="H1061" s="12" t="n">
        <x:v>-1.0000000000000568</x:v>
      </x:c>
      <x:c r="I1061" s="12" t="str">
        <x:v>TuShare index_daily</x:v>
      </x:c>
      <x:c r="J1061" s="12" t="str">
        <x:v>Archived FRED mirror (Hugging Face)</x:v>
      </x:c>
    </x:row>
    <x:row r="1062" ht="18" customHeight="1">
      <x:c r="A1062" s="13" t="n">
        <x:v>44181</x:v>
      </x:c>
      <x:c r="B1062" s="12" t="n">
        <x:v>4953.867</x:v>
      </x:c>
      <x:c r="C1062" s="12" t="n">
        <x:v>4945.1</x:v>
      </x:c>
      <x:c r="D1062" s="12" t="n">
        <x:v>0.1773</x:v>
      </x:c>
      <x:c r="E1062" s="12" t="n">
        <x:v>0.0017712963973308576</x:v>
      </x:c>
      <x:c r="F1062" s="12" t="n">
        <x:v>4.06</x:v>
      </x:c>
      <x:c r="G1062" s="12" t="n">
        <x:v>405.99999999999994</x:v>
      </x:c>
      <x:c r="H1062" s="12" t="n">
        <x:v>0</x:v>
      </x:c>
      <x:c r="I1062" s="12" t="str">
        <x:v>TuShare index_daily</x:v>
      </x:c>
      <x:c r="J1062" s="12" t="str">
        <x:v>Archived FRED mirror (Hugging Face)</x:v>
      </x:c>
    </x:row>
    <x:row r="1063" ht="18" customHeight="1">
      <x:c r="A1063" s="13" t="n">
        <x:v>44182</x:v>
      </x:c>
      <x:c r="B1063" s="12" t="n">
        <x:v>5017.4784</x:v>
      </x:c>
      <x:c r="C1063" s="12" t="n">
        <x:v>4953.867</x:v>
      </x:c>
      <x:c r="D1063" s="12" t="n">
        <x:v>1.2841</x:v>
      </x:c>
      <x:c r="E1063" s="12" t="n">
        <x:v>0.012759013031903096</x:v>
      </x:c>
      <x:c r="F1063" s="12" t="n">
        <x:v>4.05</x:v>
      </x:c>
      <x:c r="G1063" s="12" t="n">
        <x:v>405</x:v>
      </x:c>
      <x:c r="H1063" s="12" t="n">
        <x:v>-0.9999999999999432</x:v>
      </x:c>
      <x:c r="I1063" s="12" t="str">
        <x:v>TuShare index_daily</x:v>
      </x:c>
      <x:c r="J1063" s="12" t="str">
        <x:v>Archived FRED mirror (Hugging Face)</x:v>
      </x:c>
    </x:row>
    <x:row r="1064" ht="18" customHeight="1">
      <x:c r="A1064" s="13" t="n">
        <x:v>44183</x:v>
      </x:c>
      <x:c r="B1064" s="12" t="n">
        <x:v>4999.9678</x:v>
      </x:c>
      <x:c r="C1064" s="12" t="n">
        <x:v>5017.4784</x:v>
      </x:c>
      <x:c r="D1064" s="12" t="n">
        <x:v>-0.349</x:v>
      </x:c>
      <x:c r="E1064" s="12" t="n">
        <x:v>-0.003496024332990864</x:v>
      </x:c>
      <x:c r="F1064" s="12" t="n">
        <x:v>4.03</x:v>
      </x:c>
      <x:c r="G1064" s="12" t="n">
        <x:v>403</x:v>
      </x:c>
      <x:c r="H1064" s="12" t="n">
        <x:v>-2</x:v>
      </x:c>
      <x:c r="I1064" s="12" t="str">
        <x:v>TuShare index_daily</x:v>
      </x:c>
      <x:c r="J1064" s="12" t="str">
        <x:v>Archived FRED mirror (Hugging Face)</x:v>
      </x:c>
    </x:row>
    <x:row r="1065" ht="18" customHeight="1">
      <x:c r="A1065" s="13" t="n">
        <x:v>44186</x:v>
      </x:c>
      <x:c r="B1065" s="12" t="n">
        <x:v>5046.8396</x:v>
      </x:c>
      <x:c r="C1065" s="12" t="n">
        <x:v>4999.9678</x:v>
      </x:c>
      <x:c r="D1065" s="12" t="n">
        <x:v>0.9374</x:v>
      </x:c>
      <x:c r="E1065" s="12" t="n">
        <x:v>0.009330753183535155</x:v>
      </x:c>
      <x:c r="F1065" s="12" t="n">
        <x:v>4.18</x:v>
      </x:c>
      <x:c r="G1065" s="12" t="n">
        <x:v>418</x:v>
      </x:c>
      <x:c r="H1065" s="12" t="n">
        <x:v>15</x:v>
      </x:c>
      <x:c r="I1065" s="12" t="str">
        <x:v>TuShare index_daily</x:v>
      </x:c>
      <x:c r="J1065" s="12" t="str">
        <x:v>Archived FRED mirror (Hugging Face)</x:v>
      </x:c>
    </x:row>
    <x:row r="1066" ht="18" customHeight="1">
      <x:c r="A1066" s="13" t="n">
        <x:v>44187</x:v>
      </x:c>
      <x:c r="B1066" s="12" t="n">
        <x:v>4964.7727</x:v>
      </x:c>
      <x:c r="C1066" s="12" t="n">
        <x:v>5046.8396</x:v>
      </x:c>
      <x:c r="D1066" s="12" t="n">
        <x:v>-1.6261</x:v>
      </x:c>
      <x:c r="E1066" s="12" t="n">
        <x:v>-0.016394709610962847</x:v>
      </x:c>
      <x:c r="F1066" s="12" t="n">
        <x:v>4.12</x:v>
      </x:c>
      <x:c r="G1066" s="12" t="n">
        <x:v>412</x:v>
      </x:c>
      <x:c r="H1066" s="12" t="n">
        <x:v>-6</x:v>
      </x:c>
      <x:c r="I1066" s="12" t="str">
        <x:v>TuShare index_daily</x:v>
      </x:c>
      <x:c r="J1066" s="12" t="str">
        <x:v>Archived FRED mirror (Hugging Face)</x:v>
      </x:c>
    </x:row>
    <x:row r="1067" ht="18" customHeight="1">
      <x:c r="A1067" s="13" t="n">
        <x:v>44188</x:v>
      </x:c>
      <x:c r="B1067" s="12" t="n">
        <x:v>5007.1235</x:v>
      </x:c>
      <x:c r="C1067" s="12" t="n">
        <x:v>4964.7727</x:v>
      </x:c>
      <x:c r="D1067" s="12" t="n">
        <x:v>0.853</x:v>
      </x:c>
      <x:c r="E1067" s="12" t="n">
        <x:v>0.00849408252602842</x:v>
      </x:c>
      <x:c r="F1067" s="12" t="n">
        <x:v>4.07</x:v>
      </x:c>
      <x:c r="G1067" s="12" t="n">
        <x:v>407</x:v>
      </x:c>
      <x:c r="H1067" s="12" t="n">
        <x:v>-5</x:v>
      </x:c>
      <x:c r="I1067" s="12" t="str">
        <x:v>TuShare index_daily</x:v>
      </x:c>
      <x:c r="J1067" s="12" t="str">
        <x:v>Archived FRED mirror (Hugging Face)</x:v>
      </x:c>
    </x:row>
    <x:row r="1068" ht="18" customHeight="1">
      <x:c r="A1068" s="13" t="n">
        <x:v>44189</x:v>
      </x:c>
      <x:c r="B1068" s="12" t="n">
        <x:v>5000.0154</x:v>
      </x:c>
      <x:c r="C1068" s="12" t="n">
        <x:v>5007.1235</x:v>
      </x:c>
      <x:c r="D1068" s="12" t="n">
        <x:v>-0.142</x:v>
      </x:c>
      <x:c r="E1068" s="12" t="n">
        <x:v>-0.001420606082607069</x:v>
      </x:c>
      <x:c r="F1068" s="12" t="n">
        <x:v>4.05</x:v>
      </x:c>
      <x:c r="G1068" s="12" t="n">
        <x:v>405</x:v>
      </x:c>
      <x:c r="H1068" s="12" t="n">
        <x:v>-2</x:v>
      </x:c>
      <x:c r="I1068" s="12" t="str">
        <x:v>TuShare index_daily</x:v>
      </x:c>
      <x:c r="J1068" s="12" t="str">
        <x:v>Archived FRED mirror (Hugging Face)</x:v>
      </x:c>
    </x:row>
    <x:row r="1069" ht="18" customHeight="1">
      <x:c r="A1069" s="13" t="n">
        <x:v>44193</x:v>
      </x:c>
      <x:c r="B1069" s="12" t="n">
        <x:v>5064.4147</x:v>
      </x:c>
      <x:c r="C1069" s="12" t="n">
        <x:v>5042.0137</x:v>
      </x:c>
      <x:c r="D1069" s="12" t="n">
        <x:v>0.4443</x:v>
      </x:c>
      <x:c r="E1069" s="12" t="n">
        <x:v>0.004433027336315451</x:v>
      </x:c>
      <x:c r="F1069" s="12" t="n">
        <x:v>3.89</x:v>
      </x:c>
      <x:c r="G1069" s="12" t="n">
        <x:v>389</x:v>
      </x:c>
      <x:c r="H1069" s="12" t="n">
        <x:v>-16</x:v>
      </x:c>
      <x:c r="I1069" s="12" t="str">
        <x:v>TuShare index_daily</x:v>
      </x:c>
      <x:c r="J1069" s="12" t="str">
        <x:v>Archived FRED mirror (Hugging Face)</x:v>
      </x:c>
    </x:row>
    <x:row r="1070" ht="18" customHeight="1">
      <x:c r="A1070" s="13" t="n">
        <x:v>44194</x:v>
      </x:c>
      <x:c r="B1070" s="12" t="n">
        <x:v>5042.9361</x:v>
      </x:c>
      <x:c r="C1070" s="12" t="n">
        <x:v>5064.4147</x:v>
      </x:c>
      <x:c r="D1070" s="12" t="n">
        <x:v>-0.4241</x:v>
      </x:c>
      <x:c r="E1070" s="12" t="n">
        <x:v>-0.004250101288915238</x:v>
      </x:c>
      <x:c r="F1070" s="12" t="n">
        <x:v>3.85</x:v>
      </x:c>
      <x:c r="G1070" s="12" t="n">
        <x:v>385</x:v>
      </x:c>
      <x:c r="H1070" s="12" t="n">
        <x:v>-4</x:v>
      </x:c>
      <x:c r="I1070" s="12" t="str">
        <x:v>TuShare index_daily</x:v>
      </x:c>
      <x:c r="J1070" s="12" t="str">
        <x:v>Archived FRED mirror (Hugging Face)</x:v>
      </x:c>
    </x:row>
    <x:row r="1071" ht="18" customHeight="1">
      <x:c r="A1071" s="13" t="n">
        <x:v>44195</x:v>
      </x:c>
      <x:c r="B1071" s="12" t="n">
        <x:v>5113.7105</x:v>
      </x:c>
      <x:c r="C1071" s="12" t="n">
        <x:v>5042.9361</x:v>
      </x:c>
      <x:c r="D1071" s="12" t="n">
        <x:v>1.4034</x:v>
      </x:c>
      <x:c r="E1071" s="12" t="n">
        <x:v>0.013936793973684268</x:v>
      </x:c>
      <x:c r="F1071" s="12" t="n">
        <x:v>3.87</x:v>
      </x:c>
      <x:c r="G1071" s="12" t="n">
        <x:v>387</x:v>
      </x:c>
      <x:c r="H1071" s="12" t="n">
        <x:v>2</x:v>
      </x:c>
      <x:c r="I1071" s="12" t="str">
        <x:v>TuShare index_daily</x:v>
      </x:c>
      <x:c r="J1071" s="12" t="str">
        <x:v>Archived FRED mirror (Hugging Face)</x:v>
      </x:c>
    </x:row>
    <x:row r="1072" ht="18" customHeight="1">
      <x:c r="A1072" s="13" t="n">
        <x:v>44196</x:v>
      </x:c>
      <x:c r="B1072" s="12" t="n">
        <x:v>5211.2885</x:v>
      </x:c>
      <x:c r="C1072" s="12" t="n">
        <x:v>5113.7105</x:v>
      </x:c>
      <x:c r="D1072" s="12" t="n">
        <x:v>1.9082</x:v>
      </x:c>
      <x:c r="E1072" s="12" t="n">
        <x:v>0.018901872089531136</x:v>
      </x:c>
      <x:c r="F1072" s="12" t="n">
        <x:v>3.86</x:v>
      </x:c>
      <x:c r="G1072" s="12" t="n">
        <x:v>386</x:v>
      </x:c>
      <x:c r="H1072" s="12" t="n">
        <x:v>-1</x:v>
      </x:c>
      <x:c r="I1072" s="12" t="str">
        <x:v>TuShare index_daily</x:v>
      </x:c>
      <x:c r="J1072" s="12" t="str">
        <x:v>Archived FRED mirror (Hugging Face)</x:v>
      </x:c>
    </x:row>
    <x:row r="1073" ht="18" customHeight="1">
      <x:c r="A1073" s="13" t="n">
        <x:v>44200</x:v>
      </x:c>
      <x:c r="B1073" s="12" t="n">
        <x:v>5267.7181</x:v>
      </x:c>
      <x:c r="C1073" s="12" t="n">
        <x:v>5211.2885</x:v>
      </x:c>
      <x:c r="D1073" s="12" t="n">
        <x:v>1.0828</x:v>
      </x:c>
      <x:c r="E1073" s="12" t="n">
        <x:v>0.010770132631680113</x:v>
      </x:c>
      <x:c r="F1073" s="12" t="n">
        <x:v>3.93</x:v>
      </x:c>
      <x:c r="G1073" s="12" t="n">
        <x:v>393</x:v>
      </x:c>
      <x:c r="H1073" s="12" t="n">
        <x:v>7</x:v>
      </x:c>
      <x:c r="I1073" s="12" t="str">
        <x:v>TuShare index_daily</x:v>
      </x:c>
      <x:c r="J1073" s="12" t="str">
        <x:v>Archived FRED mirror (Hugging Face)</x:v>
      </x:c>
    </x:row>
    <x:row r="1074" ht="18" customHeight="1">
      <x:c r="A1074" s="13" t="n">
        <x:v>44201</x:v>
      </x:c>
      <x:c r="B1074" s="12" t="n">
        <x:v>5368.5049</x:v>
      </x:c>
      <x:c r="C1074" s="12" t="n">
        <x:v>5267.7181</x:v>
      </x:c>
      <x:c r="D1074" s="12" t="n">
        <x:v>1.9133</x:v>
      </x:c>
      <x:c r="E1074" s="12" t="n">
        <x:v>0.018952181943255562</x:v>
      </x:c>
      <x:c r="F1074" s="12" t="n">
        <x:v>3.92</x:v>
      </x:c>
      <x:c r="G1074" s="12" t="n">
        <x:v>392</x:v>
      </x:c>
      <x:c r="H1074" s="12" t="n">
        <x:v>-1</x:v>
      </x:c>
      <x:c r="I1074" s="12" t="str">
        <x:v>TuShare index_daily</x:v>
      </x:c>
      <x:c r="J1074" s="12" t="str">
        <x:v>Archived FRED mirror (Hugging Face)</x:v>
      </x:c>
    </x:row>
    <x:row r="1075" ht="18" customHeight="1">
      <x:c r="A1075" s="13" t="n">
        <x:v>44202</x:v>
      </x:c>
      <x:c r="B1075" s="12" t="n">
        <x:v>5417.6677</x:v>
      </x:c>
      <x:c r="C1075" s="12" t="n">
        <x:v>5368.5049</x:v>
      </x:c>
      <x:c r="D1075" s="12" t="n">
        <x:v>0.9158</x:v>
      </x:c>
      <x:c r="E1075" s="12" t="n">
        <x:v>0.00911595656361716</x:v>
      </x:c>
      <x:c r="F1075" s="12" t="n">
        <x:v>3.8</x:v>
      </x:c>
      <x:c r="G1075" s="12" t="n">
        <x:v>380</x:v>
      </x:c>
      <x:c r="H1075" s="12" t="n">
        <x:v>-12</x:v>
      </x:c>
      <x:c r="I1075" s="12" t="str">
        <x:v>TuShare index_daily</x:v>
      </x:c>
      <x:c r="J1075" s="12" t="str">
        <x:v>Archived FRED mirror (Hugging Face)</x:v>
      </x:c>
    </x:row>
    <x:row r="1076" ht="18" customHeight="1">
      <x:c r="A1076" s="13" t="n">
        <x:v>44203</x:v>
      </x:c>
      <x:c r="B1076" s="12" t="n">
        <x:v>5513.6568</x:v>
      </x:c>
      <x:c r="C1076" s="12" t="n">
        <x:v>5417.6677</x:v>
      </x:c>
      <x:c r="D1076" s="12" t="n">
        <x:v>1.7718</x:v>
      </x:c>
      <x:c r="E1076" s="12" t="n">
        <x:v>0.01756265991066838</x:v>
      </x:c>
      <x:c r="F1076" s="12" t="n">
        <x:v>3.78</x:v>
      </x:c>
      <x:c r="G1076" s="12" t="n">
        <x:v>378</x:v>
      </x:c>
      <x:c r="H1076" s="12" t="n">
        <x:v>-2</x:v>
      </x:c>
      <x:c r="I1076" s="12" t="str">
        <x:v>TuShare index_daily</x:v>
      </x:c>
      <x:c r="J1076" s="12" t="str">
        <x:v>Archived FRED mirror (Hugging Face)</x:v>
      </x:c>
    </x:row>
    <x:row r="1077" ht="18" customHeight="1">
      <x:c r="A1077" s="13" t="n">
        <x:v>44204</x:v>
      </x:c>
      <x:c r="B1077" s="12" t="n">
        <x:v>5495.4306</x:v>
      </x:c>
      <x:c r="C1077" s="12" t="n">
        <x:v>5513.6568</x:v>
      </x:c>
      <x:c r="D1077" s="12" t="n">
        <x:v>-0.3306</x:v>
      </x:c>
      <x:c r="E1077" s="12" t="n">
        <x:v>-0.0033111221647590546</x:v>
      </x:c>
      <x:c r="F1077" s="12" t="n">
        <x:v>3.76</x:v>
      </x:c>
      <x:c r="G1077" s="12" t="n">
        <x:v>376</x:v>
      </x:c>
      <x:c r="H1077" s="12" t="n">
        <x:v>-2</x:v>
      </x:c>
      <x:c r="I1077" s="12" t="str">
        <x:v>TuShare index_daily</x:v>
      </x:c>
      <x:c r="J1077" s="12" t="str">
        <x:v>Archived FRED mirror (Hugging Face)</x:v>
      </x:c>
    </x:row>
    <x:row r="1078" ht="18" customHeight="1">
      <x:c r="A1078" s="13" t="n">
        <x:v>44207</x:v>
      </x:c>
      <x:c r="B1078" s="12" t="n">
        <x:v>5441.1583</x:v>
      </x:c>
      <x:c r="C1078" s="12" t="n">
        <x:v>5495.4306</x:v>
      </x:c>
      <x:c r="D1078" s="12" t="n">
        <x:v>-0.9876</x:v>
      </x:c>
      <x:c r="E1078" s="12" t="n">
        <x:v>-0.009924985935710723</x:v>
      </x:c>
      <x:c r="F1078" s="12" t="n">
        <x:v>3.82</x:v>
      </x:c>
      <x:c r="G1078" s="12" t="n">
        <x:v>382</x:v>
      </x:c>
      <x:c r="H1078" s="12" t="n">
        <x:v>6</x:v>
      </x:c>
      <x:c r="I1078" s="12" t="str">
        <x:v>TuShare index_daily</x:v>
      </x:c>
      <x:c r="J1078" s="12" t="str">
        <x:v>Archived FRED mirror (Hugging Face)</x:v>
      </x:c>
    </x:row>
    <x:row r="1079" ht="18" customHeight="1">
      <x:c r="A1079" s="13" t="n">
        <x:v>44208</x:v>
      </x:c>
      <x:c r="B1079" s="12" t="n">
        <x:v>5596.3525</x:v>
      </x:c>
      <x:c r="C1079" s="12" t="n">
        <x:v>5441.1583</x:v>
      </x:c>
      <x:c r="D1079" s="12" t="n">
        <x:v>2.8522</x:v>
      </x:c>
      <x:c r="E1079" s="12" t="n">
        <x:v>0.02812308524467504</x:v>
      </x:c>
      <x:c r="F1079" s="12" t="n">
        <x:v>3.85</x:v>
      </x:c>
      <x:c r="G1079" s="12" t="n">
        <x:v>385</x:v>
      </x:c>
      <x:c r="H1079" s="12" t="n">
        <x:v>3</x:v>
      </x:c>
      <x:c r="I1079" s="12" t="str">
        <x:v>TuShare index_daily</x:v>
      </x:c>
      <x:c r="J1079" s="12" t="str">
        <x:v>Archived FRED mirror (Hugging Face)</x:v>
      </x:c>
    </x:row>
    <x:row r="1080" ht="18" customHeight="1">
      <x:c r="A1080" s="13" t="n">
        <x:v>44209</x:v>
      </x:c>
      <x:c r="B1080" s="12" t="n">
        <x:v>5577.9711</x:v>
      </x:c>
      <x:c r="C1080" s="12" t="n">
        <x:v>5596.3525</x:v>
      </x:c>
      <x:c r="D1080" s="12" t="n">
        <x:v>-0.3285</x:v>
      </x:c>
      <x:c r="E1080" s="12" t="n">
        <x:v>-0.00328993811841089</x:v>
      </x:c>
      <x:c r="F1080" s="12" t="n">
        <x:v>3.82</x:v>
      </x:c>
      <x:c r="G1080" s="12" t="n">
        <x:v>382</x:v>
      </x:c>
      <x:c r="H1080" s="12" t="n">
        <x:v>-3</x:v>
      </x:c>
      <x:c r="I1080" s="12" t="str">
        <x:v>TuShare index_daily</x:v>
      </x:c>
      <x:c r="J1080" s="12" t="str">
        <x:v>Archived FRED mirror (Hugging Face)</x:v>
      </x:c>
    </x:row>
    <x:row r="1081" ht="18" customHeight="1">
      <x:c r="A1081" s="13" t="n">
        <x:v>44210</x:v>
      </x:c>
      <x:c r="B1081" s="12" t="n">
        <x:v>5470.4563</x:v>
      </x:c>
      <x:c r="C1081" s="12" t="n">
        <x:v>5577.9711</x:v>
      </x:c>
      <x:c r="D1081" s="12" t="n">
        <x:v>-1.9275</x:v>
      </x:c>
      <x:c r="E1081" s="12" t="n">
        <x:v>-0.01946307652147776</x:v>
      </x:c>
      <x:c r="F1081" s="12" t="n">
        <x:v>3.73</x:v>
      </x:c>
      <x:c r="G1081" s="12" t="n">
        <x:v>373</x:v>
      </x:c>
      <x:c r="H1081" s="12" t="n">
        <x:v>-9</x:v>
      </x:c>
      <x:c r="I1081" s="12" t="str">
        <x:v>TuShare index_daily</x:v>
      </x:c>
      <x:c r="J1081" s="12" t="str">
        <x:v>Archived FRED mirror (Hugging Face)</x:v>
      </x:c>
    </x:row>
    <x:row r="1082" ht="18" customHeight="1">
      <x:c r="A1082" s="13" t="n">
        <x:v>44211</x:v>
      </x:c>
      <x:c r="B1082" s="12" t="n">
        <x:v>5458.0812</x:v>
      </x:c>
      <x:c r="C1082" s="12" t="n">
        <x:v>5470.4563</x:v>
      </x:c>
      <x:c r="D1082" s="12" t="n">
        <x:v>-0.2262</x:v>
      </x:c>
      <x:c r="E1082" s="12" t="n">
        <x:v>-0.0022647321820208678</x:v>
      </x:c>
      <x:c r="F1082" s="12" t="n">
        <x:v>3.74</x:v>
      </x:c>
      <x:c r="G1082" s="12" t="n">
        <x:v>374</x:v>
      </x:c>
      <x:c r="H1082" s="12" t="n">
        <x:v>1</x:v>
      </x:c>
      <x:c r="I1082" s="12" t="str">
        <x:v>TuShare index_daily</x:v>
      </x:c>
      <x:c r="J1082" s="12" t="str">
        <x:v>Archived FRED mirror (Hugging Face)</x:v>
      </x:c>
    </x:row>
    <x:row r="1083" ht="18" customHeight="1">
      <x:c r="A1083" s="13" t="n">
        <x:v>44214</x:v>
      </x:c>
      <x:c r="B1083" s="12" t="n">
        <x:v>5518.5205</x:v>
      </x:c>
      <x:c r="C1083" s="12" t="n">
        <x:v>5458.0812</x:v>
      </x:c>
      <x:c r="D1083" s="12" t="n">
        <x:v>1.1073</x:v>
      </x:c>
      <x:c r="E1083" s="12" t="n">
        <x:v>0.011012499581574684</x:v>
      </x:c>
      <x:c r="F1083" s="12" t="n">
        <x:v>3.73</x:v>
      </x:c>
      <x:c r="G1083" s="12" t="n">
        <x:v>373</x:v>
      </x:c>
      <x:c r="H1083" s="12" t="n">
        <x:v>-1</x:v>
      </x:c>
      <x:c r="I1083" s="12" t="str">
        <x:v>TuShare index_daily</x:v>
      </x:c>
      <x:c r="J1083" s="12" t="str">
        <x:v>Archived FRED mirror (Hugging Face)</x:v>
      </x:c>
    </x:row>
    <x:row r="1084" ht="18" customHeight="1">
      <x:c r="A1084" s="13" t="n">
        <x:v>44215</x:v>
      </x:c>
      <x:c r="B1084" s="12" t="n">
        <x:v>5437.5234</x:v>
      </x:c>
      <x:c r="C1084" s="12" t="n">
        <x:v>5518.5205</x:v>
      </x:c>
      <x:c r="D1084" s="12" t="n">
        <x:v>-1.4677</x:v>
      </x:c>
      <x:c r="E1084" s="12" t="n">
        <x:v>-0.014786099147649704</x:v>
      </x:c>
      <x:c r="F1084" s="12" t="n">
        <x:v>3.71</x:v>
      </x:c>
      <x:c r="G1084" s="12" t="n">
        <x:v>371</x:v>
      </x:c>
      <x:c r="H1084" s="12" t="n">
        <x:v>-2</x:v>
      </x:c>
      <x:c r="I1084" s="12" t="str">
        <x:v>TuShare index_daily</x:v>
      </x:c>
      <x:c r="J1084" s="12" t="str">
        <x:v>Archived FRED mirror (Hugging Face)</x:v>
      </x:c>
    </x:row>
    <x:row r="1085" ht="18" customHeight="1">
      <x:c r="A1085" s="13" t="n">
        <x:v>44216</x:v>
      </x:c>
      <x:c r="B1085" s="12" t="n">
        <x:v>5476.4336</x:v>
      </x:c>
      <x:c r="C1085" s="12" t="n">
        <x:v>5437.5234</x:v>
      </x:c>
      <x:c r="D1085" s="12" t="n">
        <x:v>0.7156</x:v>
      </x:c>
      <x:c r="E1085" s="12" t="n">
        <x:v>0.007130386322251297</x:v>
      </x:c>
      <x:c r="F1085" s="12" t="n">
        <x:v>3.67</x:v>
      </x:c>
      <x:c r="G1085" s="12" t="n">
        <x:v>367</x:v>
      </x:c>
      <x:c r="H1085" s="12" t="n">
        <x:v>-4</x:v>
      </x:c>
      <x:c r="I1085" s="12" t="str">
        <x:v>TuShare index_daily</x:v>
      </x:c>
      <x:c r="J1085" s="12" t="str">
        <x:v>Archived FRED mirror (Hugging Face)</x:v>
      </x:c>
    </x:row>
    <x:row r="1086" ht="18" customHeight="1">
      <x:c r="A1086" s="13" t="n">
        <x:v>44217</x:v>
      </x:c>
      <x:c r="B1086" s="12" t="n">
        <x:v>5564.9693</x:v>
      </x:c>
      <x:c r="C1086" s="12" t="n">
        <x:v>5476.4336</x:v>
      </x:c>
      <x:c r="D1086" s="12" t="n">
        <x:v>1.6167</x:v>
      </x:c>
      <x:c r="E1086" s="12" t="n">
        <x:v>0.016037381914478555</x:v>
      </x:c>
      <x:c r="F1086" s="12" t="n">
        <x:v>3.65</x:v>
      </x:c>
      <x:c r="G1086" s="12" t="n">
        <x:v>365</x:v>
      </x:c>
      <x:c r="H1086" s="12" t="n">
        <x:v>-2</x:v>
      </x:c>
      <x:c r="I1086" s="12" t="str">
        <x:v>TuShare index_daily</x:v>
      </x:c>
      <x:c r="J1086" s="12" t="str">
        <x:v>Archived FRED mirror (Hugging Face)</x:v>
      </x:c>
    </x:row>
    <x:row r="1087" ht="18" customHeight="1">
      <x:c r="A1087" s="13" t="n">
        <x:v>44218</x:v>
      </x:c>
      <x:c r="B1087" s="12" t="n">
        <x:v>5569.776</x:v>
      </x:c>
      <x:c r="C1087" s="12" t="n">
        <x:v>5564.9693</x:v>
      </x:c>
      <x:c r="D1087" s="12" t="n">
        <x:v>0.0864</x:v>
      </x:c>
      <x:c r="E1087" s="12" t="n">
        <x:v>0.0008633696001252266</x:v>
      </x:c>
      <x:c r="F1087" s="12" t="n">
        <x:v>3.75</x:v>
      </x:c>
      <x:c r="G1087" s="12" t="n">
        <x:v>375</x:v>
      </x:c>
      <x:c r="H1087" s="12" t="n">
        <x:v>10</x:v>
      </x:c>
      <x:c r="I1087" s="12" t="str">
        <x:v>TuShare index_daily</x:v>
      </x:c>
      <x:c r="J1087" s="12" t="str">
        <x:v>Archived FRED mirror (Hugging Face)</x:v>
      </x:c>
    </x:row>
    <x:row r="1088" ht="18" customHeight="1">
      <x:c r="A1088" s="13" t="n">
        <x:v>44221</x:v>
      </x:c>
      <x:c r="B1088" s="12" t="n">
        <x:v>5625.9232</x:v>
      </x:c>
      <x:c r="C1088" s="12" t="n">
        <x:v>5569.776</x:v>
      </x:c>
      <x:c r="D1088" s="12" t="n">
        <x:v>1.0081</x:v>
      </x:c>
      <x:c r="E1088" s="12" t="n">
        <x:v>0.010030221377311308</x:v>
      </x:c>
      <x:c r="F1088" s="12" t="n">
        <x:v>3.75</x:v>
      </x:c>
      <x:c r="G1088" s="12" t="n">
        <x:v>375</x:v>
      </x:c>
      <x:c r="H1088" s="12" t="n">
        <x:v>0</x:v>
      </x:c>
      <x:c r="I1088" s="12" t="str">
        <x:v>TuShare index_daily</x:v>
      </x:c>
      <x:c r="J1088" s="12" t="str">
        <x:v>Archived FRED mirror (Hugging Face)</x:v>
      </x:c>
    </x:row>
    <x:row r="1089" ht="18" customHeight="1">
      <x:c r="A1089" s="13" t="n">
        <x:v>44222</x:v>
      </x:c>
      <x:c r="B1089" s="12" t="n">
        <x:v>5512.9678</x:v>
      </x:c>
      <x:c r="C1089" s="12" t="n">
        <x:v>5625.9232</x:v>
      </x:c>
      <x:c r="D1089" s="12" t="n">
        <x:v>-2.0078</x:v>
      </x:c>
      <x:c r="E1089" s="12" t="n">
        <x:v>-0.020281960217564652</x:v>
      </x:c>
      <x:c r="F1089" s="12" t="n">
        <x:v>3.74</x:v>
      </x:c>
      <x:c r="G1089" s="12" t="n">
        <x:v>374</x:v>
      </x:c>
      <x:c r="H1089" s="12" t="n">
        <x:v>-1</x:v>
      </x:c>
      <x:c r="I1089" s="12" t="str">
        <x:v>TuShare index_daily</x:v>
      </x:c>
      <x:c r="J1089" s="12" t="str">
        <x:v>Archived FRED mirror (Hugging Face)</x:v>
      </x:c>
    </x:row>
    <x:row r="1090" ht="18" customHeight="1">
      <x:c r="A1090" s="13" t="n">
        <x:v>44223</x:v>
      </x:c>
      <x:c r="B1090" s="12" t="n">
        <x:v>5528.0034</x:v>
      </x:c>
      <x:c r="C1090" s="12" t="n">
        <x:v>5512.9678</x:v>
      </x:c>
      <x:c r="D1090" s="12" t="n">
        <x:v>0.2727</x:v>
      </x:c>
      <x:c r="E1090" s="12" t="n">
        <x:v>0.0027236026654103474</x:v>
      </x:c>
      <x:c r="F1090" s="12" t="n">
        <x:v>3.85</x:v>
      </x:c>
      <x:c r="G1090" s="12" t="n">
        <x:v>385</x:v>
      </x:c>
      <x:c r="H1090" s="12" t="n">
        <x:v>11</x:v>
      </x:c>
      <x:c r="I1090" s="12" t="str">
        <x:v>TuShare index_daily</x:v>
      </x:c>
      <x:c r="J1090" s="12" t="str">
        <x:v>Archived FRED mirror (Hugging Face)</x:v>
      </x:c>
    </x:row>
    <x:row r="1091" ht="18" customHeight="1">
      <x:c r="A1091" s="13" t="n">
        <x:v>44224</x:v>
      </x:c>
      <x:c r="B1091" s="12" t="n">
        <x:v>5377.1427</x:v>
      </x:c>
      <x:c r="C1091" s="12" t="n">
        <x:v>5528.0034</x:v>
      </x:c>
      <x:c r="D1091" s="12" t="n">
        <x:v>-2.729</x:v>
      </x:c>
      <x:c r="E1091" s="12" t="n">
        <x:v>-0.027669565078195076</x:v>
      </x:c>
      <x:c r="F1091" s="12" t="n">
        <x:v>3.76</x:v>
      </x:c>
      <x:c r="G1091" s="12" t="n">
        <x:v>376</x:v>
      </x:c>
      <x:c r="H1091" s="12" t="n">
        <x:v>-9</x:v>
      </x:c>
      <x:c r="I1091" s="12" t="str">
        <x:v>TuShare index_daily</x:v>
      </x:c>
      <x:c r="J1091" s="12" t="str">
        <x:v>Archived FRED mirror (Hugging Face)</x:v>
      </x:c>
    </x:row>
    <x:row r="1092" ht="18" customHeight="1">
      <x:c r="A1092" s="13" t="n">
        <x:v>44225</x:v>
      </x:c>
      <x:c r="B1092" s="12" t="n">
        <x:v>5351.9646</x:v>
      </x:c>
      <x:c r="C1092" s="12" t="n">
        <x:v>5377.1427</x:v>
      </x:c>
      <x:c r="D1092" s="12" t="n">
        <x:v>-0.4682</x:v>
      </x:c>
      <x:c r="E1092" s="12" t="n">
        <x:v>-0.004693427983358953</x:v>
      </x:c>
      <x:c r="F1092" s="12" t="n">
        <x:v>3.79</x:v>
      </x:c>
      <x:c r="G1092" s="12" t="n">
        <x:v>379</x:v>
      </x:c>
      <x:c r="H1092" s="12" t="n">
        <x:v>3</x:v>
      </x:c>
      <x:c r="I1092" s="12" t="str">
        <x:v>TuShare index_daily</x:v>
      </x:c>
      <x:c r="J1092" s="12" t="str">
        <x:v>Archived FRED mirror (Hugging Face)</x:v>
      </x:c>
    </x:row>
    <x:row r="1093" ht="18" customHeight="1">
      <x:c r="A1093" s="13" t="n">
        <x:v>44228</x:v>
      </x:c>
      <x:c r="B1093" s="12" t="n">
        <x:v>5417.6484</x:v>
      </x:c>
      <x:c r="C1093" s="12" t="n">
        <x:v>5351.9646</x:v>
      </x:c>
      <x:c r="D1093" s="12" t="n">
        <x:v>1.2273</x:v>
      </x:c>
      <x:c r="E1093" s="12" t="n">
        <x:v>0.012198138307740969</x:v>
      </x:c>
      <x:c r="F1093" s="12" t="n">
        <x:v>3.83</x:v>
      </x:c>
      <x:c r="G1093" s="12" t="n">
        <x:v>383</x:v>
      </x:c>
      <x:c r="H1093" s="12" t="n">
        <x:v>-1</x:v>
      </x:c>
      <x:c r="I1093" s="12" t="str">
        <x:v>TuShare index_daily</x:v>
      </x:c>
      <x:c r="J1093" s="12" t="str">
        <x:v>Archived FRED mirror (Hugging Face)</x:v>
      </x:c>
    </x:row>
    <x:row r="1094" ht="18" customHeight="1">
      <x:c r="A1094" s="13" t="n">
        <x:v>44229</x:v>
      </x:c>
      <x:c r="B1094" s="12" t="n">
        <x:v>5501.0915</x:v>
      </x:c>
      <x:c r="C1094" s="12" t="n">
        <x:v>5417.6484</x:v>
      </x:c>
      <x:c r="D1094" s="12" t="n">
        <x:v>1.5402</x:v>
      </x:c>
      <x:c r="E1094" s="12" t="n">
        <x:v>0.015284680332363739</x:v>
      </x:c>
      <x:c r="F1094" s="12" t="n">
        <x:v>3.75</x:v>
      </x:c>
      <x:c r="G1094" s="12" t="n">
        <x:v>375</x:v>
      </x:c>
      <x:c r="H1094" s="12" t="n">
        <x:v>-8</x:v>
      </x:c>
      <x:c r="I1094" s="12" t="str">
        <x:v>TuShare index_daily</x:v>
      </x:c>
      <x:c r="J1094" s="12" t="str">
        <x:v>Archived FRED mirror (Hugging Face)</x:v>
      </x:c>
    </x:row>
    <x:row r="1095" ht="18" customHeight="1">
      <x:c r="A1095" s="13" t="n">
        <x:v>44230</x:v>
      </x:c>
      <x:c r="B1095" s="12" t="n">
        <x:v>5485.2008</x:v>
      </x:c>
      <x:c r="C1095" s="12" t="n">
        <x:v>5501.0915</x:v>
      </x:c>
      <x:c r="D1095" s="12" t="n">
        <x:v>-0.2889</x:v>
      </x:c>
      <x:c r="E1095" s="12" t="n">
        <x:v>-0.0028928251038237156</x:v>
      </x:c>
      <x:c r="F1095" s="12" t="n">
        <x:v>3.68</x:v>
      </x:c>
      <x:c r="G1095" s="12" t="n">
        <x:v>368</x:v>
      </x:c>
      <x:c r="H1095" s="12" t="n">
        <x:v>-7</x:v>
      </x:c>
      <x:c r="I1095" s="12" t="str">
        <x:v>TuShare index_daily</x:v>
      </x:c>
      <x:c r="J1095" s="12" t="str">
        <x:v>Archived FRED mirror (Hugging Face)</x:v>
      </x:c>
    </x:row>
    <x:row r="1096" ht="18" customHeight="1">
      <x:c r="A1096" s="13" t="n">
        <x:v>44231</x:v>
      </x:c>
      <x:c r="B1096" s="12" t="n">
        <x:v>5473.9475</x:v>
      </x:c>
      <x:c r="C1096" s="12" t="n">
        <x:v>5485.2008</x:v>
      </x:c>
      <x:c r="D1096" s="12" t="n">
        <x:v>-0.2052</x:v>
      </x:c>
      <x:c r="E1096" s="12" t="n">
        <x:v>-0.0020536822109012143</x:v>
      </x:c>
      <x:c r="F1096" s="12" t="n">
        <x:v>3.64</x:v>
      </x:c>
      <x:c r="G1096" s="12" t="n">
        <x:v>364</x:v>
      </x:c>
      <x:c r="H1096" s="12" t="n">
        <x:v>-4</x:v>
      </x:c>
      <x:c r="I1096" s="12" t="str">
        <x:v>TuShare index_daily</x:v>
      </x:c>
      <x:c r="J1096" s="12" t="str">
        <x:v>Archived FRED mirror (Hugging Face)</x:v>
      </x:c>
    </x:row>
    <x:row r="1097" ht="18" customHeight="1">
      <x:c r="A1097" s="13" t="n">
        <x:v>44232</x:v>
      </x:c>
      <x:c r="B1097" s="12" t="n">
        <x:v>5483.414</x:v>
      </x:c>
      <x:c r="C1097" s="12" t="n">
        <x:v>5473.9475</x:v>
      </x:c>
      <x:c r="D1097" s="12" t="n">
        <x:v>0.1729</x:v>
      </x:c>
      <x:c r="E1097" s="12" t="n">
        <x:v>0.0017278799016058849</x:v>
      </x:c>
      <x:c r="F1097" s="12" t="n">
        <x:v>3.58</x:v>
      </x:c>
      <x:c r="G1097" s="12" t="n">
        <x:v>358</x:v>
      </x:c>
      <x:c r="H1097" s="12" t="n">
        <x:v>-6</x:v>
      </x:c>
      <x:c r="I1097" s="12" t="str">
        <x:v>TuShare index_daily</x:v>
      </x:c>
      <x:c r="J1097" s="12" t="str">
        <x:v>Archived FRED mirror (Hugging Face)</x:v>
      </x:c>
    </x:row>
    <x:row r="1098" ht="18" customHeight="1">
      <x:c r="A1098" s="13" t="n">
        <x:v>44235</x:v>
      </x:c>
      <x:c r="B1098" s="12" t="n">
        <x:v>5564.5618</x:v>
      </x:c>
      <x:c r="C1098" s="12" t="n">
        <x:v>5483.414</x:v>
      </x:c>
      <x:c r="D1098" s="12" t="n">
        <x:v>1.4799</x:v>
      </x:c>
      <x:c r="E1098" s="12" t="n">
        <x:v>0.014690339807556038</x:v>
      </x:c>
      <x:c r="F1098" s="12" t="n">
        <x:v>3.54</x:v>
      </x:c>
      <x:c r="G1098" s="12" t="n">
        <x:v>354</x:v>
      </x:c>
      <x:c r="H1098" s="12" t="n">
        <x:v>-4</x:v>
      </x:c>
      <x:c r="I1098" s="12" t="str">
        <x:v>TuShare index_daily</x:v>
      </x:c>
      <x:c r="J1098" s="12" t="str">
        <x:v>Archived FRED mirror (Hugging Face)</x:v>
      </x:c>
    </x:row>
    <x:row r="1099" ht="18" customHeight="1">
      <x:c r="A1099" s="13" t="n">
        <x:v>44236</x:v>
      </x:c>
      <x:c r="B1099" s="12" t="n">
        <x:v>5686.2502</x:v>
      </x:c>
      <x:c r="C1099" s="12" t="n">
        <x:v>5564.5618</x:v>
      </x:c>
      <x:c r="D1099" s="12" t="n">
        <x:v>2.1868</x:v>
      </x:c>
      <x:c r="E1099" s="12" t="n">
        <x:v>0.021632775585823095</x:v>
      </x:c>
      <x:c r="F1099" s="12" t="n">
        <x:v>3.51</x:v>
      </x:c>
      <x:c r="G1099" s="12" t="n">
        <x:v>351</x:v>
      </x:c>
      <x:c r="H1099" s="12" t="n">
        <x:v>-3</x:v>
      </x:c>
      <x:c r="I1099" s="12" t="str">
        <x:v>TuShare index_daily</x:v>
      </x:c>
      <x:c r="J1099" s="12" t="str">
        <x:v>Archived FRED mirror (Hugging Face)</x:v>
      </x:c>
    </x:row>
    <x:row r="1100" ht="18" customHeight="1">
      <x:c r="A1100" s="13" t="n">
        <x:v>44237</x:v>
      </x:c>
      <x:c r="B1100" s="12" t="n">
        <x:v>5807.7191</x:v>
      </x:c>
      <x:c r="C1100" s="12" t="n">
        <x:v>5686.2502</x:v>
      </x:c>
      <x:c r="D1100" s="12" t="n">
        <x:v>2.1362</x:v>
      </x:c>
      <x:c r="E1100" s="12" t="n">
        <x:v>0.021136896953192888</x:v>
      </x:c>
      <x:c r="F1100" s="12" t="n">
        <x:v>3.51</x:v>
      </x:c>
      <x:c r="G1100" s="12" t="n">
        <x:v>351</x:v>
      </x:c>
      <x:c r="H1100" s="12" t="n">
        <x:v>0</x:v>
      </x:c>
      <x:c r="I1100" s="12" t="str">
        <x:v>TuShare index_daily</x:v>
      </x:c>
      <x:c r="J1100" s="12" t="str">
        <x:v>Archived FRED mirror (Hugging Face)</x:v>
      </x:c>
    </x:row>
    <x:row r="1101" ht="18" customHeight="1">
      <x:c r="A1101" s="13" t="n">
        <x:v>44245</x:v>
      </x:c>
      <x:c r="B1101" s="12" t="n">
        <x:v>5768.3814</x:v>
      </x:c>
      <x:c r="C1101" s="12" t="n">
        <x:v>5807.7191</x:v>
      </x:c>
      <x:c r="D1101" s="12" t="n">
        <x:v>-0.6773</x:v>
      </x:c>
      <x:c r="E1101" s="12" t="n">
        <x:v>-0.006796390791577607</x:v>
      </x:c>
      <x:c r="F1101" s="12" t="n">
        <x:v>3.46</x:v>
      </x:c>
      <x:c r="G1101" s="12" t="n">
        <x:v>346</x:v>
      </x:c>
      <x:c r="H1101" s="12" t="n">
        <x:v>2</x:v>
      </x:c>
      <x:c r="I1101" s="12" t="str">
        <x:v>TuShare index_daily</x:v>
      </x:c>
      <x:c r="J1101" s="12" t="str">
        <x:v>Archived FRED mirror (Hugging Face)</x:v>
      </x:c>
    </x:row>
    <x:row r="1102" ht="18" customHeight="1">
      <x:c r="A1102" s="13" t="n">
        <x:v>44246</x:v>
      </x:c>
      <x:c r="B1102" s="12" t="n">
        <x:v>5778.842</x:v>
      </x:c>
      <x:c r="C1102" s="12" t="n">
        <x:v>5768.3814</x:v>
      </x:c>
      <x:c r="D1102" s="12" t="n">
        <x:v>0.1813</x:v>
      </x:c>
      <x:c r="E1102" s="12" t="n">
        <x:v>0.0018117953553229548</x:v>
      </x:c>
      <x:c r="F1102" s="12" t="n">
        <x:v>3.41</x:v>
      </x:c>
      <x:c r="G1102" s="12" t="n">
        <x:v>341</x:v>
      </x:c>
      <x:c r="H1102" s="12" t="n">
        <x:v>-5</x:v>
      </x:c>
      <x:c r="I1102" s="12" t="str">
        <x:v>TuShare index_daily</x:v>
      </x:c>
      <x:c r="J1102" s="12" t="str">
        <x:v>Archived FRED mirror (Hugging Face)</x:v>
      </x:c>
    </x:row>
    <x:row r="1103" ht="18" customHeight="1">
      <x:c r="A1103" s="13" t="n">
        <x:v>44249</x:v>
      </x:c>
      <x:c r="B1103" s="12" t="n">
        <x:v>5597.3327</x:v>
      </x:c>
      <x:c r="C1103" s="12" t="n">
        <x:v>5778.842</x:v>
      </x:c>
      <x:c r="D1103" s="12" t="n">
        <x:v>-3.1409</x:v>
      </x:c>
      <x:c r="E1103" s="12" t="n">
        <x:v>-0.031913135890482676</x:v>
      </x:c>
      <x:c r="F1103" s="12" t="n">
        <x:v>3.44</x:v>
      </x:c>
      <x:c r="G1103" s="12" t="n">
        <x:v>344</x:v>
      </x:c>
      <x:c r="H1103" s="12" t="n">
        <x:v>3</x:v>
      </x:c>
      <x:c r="I1103" s="12" t="str">
        <x:v>TuShare index_daily</x:v>
      </x:c>
      <x:c r="J1103" s="12" t="str">
        <x:v>Archived FRED mirror (Hugging Face)</x:v>
      </x:c>
    </x:row>
    <x:row r="1104" ht="18" customHeight="1">
      <x:c r="A1104" s="13" t="n">
        <x:v>44250</x:v>
      </x:c>
      <x:c r="B1104" s="12" t="n">
        <x:v>5579.6681</x:v>
      </x:c>
      <x:c r="C1104" s="12" t="n">
        <x:v>5597.3327</x:v>
      </x:c>
      <x:c r="D1104" s="12" t="n">
        <x:v>-0.3156</x:v>
      </x:c>
      <x:c r="E1104" s="12" t="n">
        <x:v>-0.00316088636363837</x:v>
      </x:c>
      <x:c r="F1104" s="12" t="n">
        <x:v>3.47</x:v>
      </x:c>
      <x:c r="G1104" s="12" t="n">
        <x:v>347</x:v>
      </x:c>
      <x:c r="H1104" s="12" t="n">
        <x:v>3</x:v>
      </x:c>
      <x:c r="I1104" s="12" t="str">
        <x:v>TuShare index_daily</x:v>
      </x:c>
      <x:c r="J1104" s="12" t="str">
        <x:v>Archived FRED mirror (Hugging Face)</x:v>
      </x:c>
    </x:row>
    <x:row r="1105" ht="18" customHeight="1">
      <x:c r="A1105" s="13" t="n">
        <x:v>44251</x:v>
      </x:c>
      <x:c r="B1105" s="12" t="n">
        <x:v>5437.5683</x:v>
      </x:c>
      <x:c r="C1105" s="12" t="n">
        <x:v>5579.6681</x:v>
      </x:c>
      <x:c r="D1105" s="12" t="n">
        <x:v>-2.5467</x:v>
      </x:c>
      <x:c r="E1105" s="12" t="n">
        <x:v>-0.025797337082003765</x:v>
      </x:c>
      <x:c r="F1105" s="12" t="n">
        <x:v>3.42</x:v>
      </x:c>
      <x:c r="G1105" s="12" t="n">
        <x:v>342</x:v>
      </x:c>
      <x:c r="H1105" s="12" t="n">
        <x:v>-5</x:v>
      </x:c>
      <x:c r="I1105" s="12" t="str">
        <x:v>TuShare index_daily</x:v>
      </x:c>
      <x:c r="J1105" s="12" t="str">
        <x:v>Archived FRED mirror (Hugging Face)</x:v>
      </x:c>
    </x:row>
    <x:row r="1106" ht="18" customHeight="1">
      <x:c r="A1106" s="13" t="n">
        <x:v>44252</x:v>
      </x:c>
      <x:c r="B1106" s="12" t="n">
        <x:v>5469.5584</x:v>
      </x:c>
      <x:c r="C1106" s="12" t="n">
        <x:v>5437.5683</x:v>
      </x:c>
      <x:c r="D1106" s="12" t="n">
        <x:v>0.5883</x:v>
      </x:c>
      <x:c r="E1106" s="12" t="n">
        <x:v>0.0058659246580651195</x:v>
      </x:c>
      <x:c r="F1106" s="12" t="n">
        <x:v>3.42</x:v>
      </x:c>
      <x:c r="G1106" s="12" t="n">
        <x:v>342</x:v>
      </x:c>
      <x:c r="H1106" s="12" t="n">
        <x:v>0</x:v>
      </x:c>
      <x:c r="I1106" s="12" t="str">
        <x:v>TuShare index_daily</x:v>
      </x:c>
      <x:c r="J1106" s="12" t="str">
        <x:v>Archived FRED mirror (Hugging Face)</x:v>
      </x:c>
    </x:row>
    <x:row r="1107" ht="18" customHeight="1">
      <x:c r="A1107" s="13" t="n">
        <x:v>44253</x:v>
      </x:c>
      <x:c r="B1107" s="12" t="n">
        <x:v>5336.7609</x:v>
      </x:c>
      <x:c r="C1107" s="12" t="n">
        <x:v>5469.5584</x:v>
      </x:c>
      <x:c r="D1107" s="12" t="n">
        <x:v>-2.4279</x:v>
      </x:c>
      <x:c r="E1107" s="12" t="n">
        <x:v>-0.024578986014973294</x:v>
      </x:c>
      <x:c r="F1107" s="12" t="n">
        <x:v>3.52</x:v>
      </x:c>
      <x:c r="G1107" s="12" t="n">
        <x:v>352</x:v>
      </x:c>
      <x:c r="H1107" s="12" t="n">
        <x:v>10</x:v>
      </x:c>
      <x:c r="I1107" s="12" t="str">
        <x:v>TuShare index_daily</x:v>
      </x:c>
      <x:c r="J1107" s="12" t="str">
        <x:v>Archived FRED mirror (Hugging Face)</x:v>
      </x:c>
    </x:row>
    <x:row r="1108" ht="18" customHeight="1">
      <x:c r="A1108" s="13" t="n">
        <x:v>44256</x:v>
      </x:c>
      <x:c r="B1108" s="12" t="n">
        <x:v>5418.7837</x:v>
      </x:c>
      <x:c r="C1108" s="12" t="n">
        <x:v>5336.7609</x:v>
      </x:c>
      <x:c r="D1108" s="12" t="n">
        <x:v>1.5369</x:v>
      </x:c>
      <x:c r="E1108" s="12" t="n">
        <x:v>0.015252484775311331</x:v>
      </x:c>
      <x:c r="F1108" s="12" t="n">
        <x:v>3.54</x:v>
      </x:c>
      <x:c r="G1108" s="12" t="n">
        <x:v>354</x:v>
      </x:c>
      <x:c r="H1108" s="12" t="n">
        <x:v>-3</x:v>
      </x:c>
      <x:c r="I1108" s="12" t="str">
        <x:v>TuShare index_daily</x:v>
      </x:c>
      <x:c r="J1108" s="12" t="str">
        <x:v>Archived FRED mirror (Hugging Face)</x:v>
      </x:c>
    </x:row>
    <x:row r="1109" ht="18" customHeight="1">
      <x:c r="A1109" s="13" t="n">
        <x:v>44257</x:v>
      </x:c>
      <x:c r="B1109" s="12" t="n">
        <x:v>5349.6301</x:v>
      </x:c>
      <x:c r="C1109" s="12" t="n">
        <x:v>5418.7837</x:v>
      </x:c>
      <x:c r="D1109" s="12" t="n">
        <x:v>-1.2762</x:v>
      </x:c>
      <x:c r="E1109" s="12" t="n">
        <x:v>-0.012843962343151796</x:v>
      </x:c>
      <x:c r="F1109" s="12" t="n">
        <x:v>3.53</x:v>
      </x:c>
      <x:c r="G1109" s="12" t="n">
        <x:v>353</x:v>
      </x:c>
      <x:c r="H1109" s="12" t="n">
        <x:v>-1</x:v>
      </x:c>
      <x:c r="I1109" s="12" t="str">
        <x:v>TuShare index_daily</x:v>
      </x:c>
      <x:c r="J1109" s="12" t="str">
        <x:v>Archived FRED mirror (Hugging Face)</x:v>
      </x:c>
    </x:row>
    <x:row r="1110" ht="18" customHeight="1">
      <x:c r="A1110" s="13" t="n">
        <x:v>44258</x:v>
      </x:c>
      <x:c r="B1110" s="12" t="n">
        <x:v>5452.2125</x:v>
      </x:c>
      <x:c r="C1110" s="12" t="n">
        <x:v>5349.6301</x:v>
      </x:c>
      <x:c r="D1110" s="12" t="n">
        <x:v>1.9176</x:v>
      </x:c>
      <x:c r="E1110" s="12" t="n">
        <x:v>0.01899407126639186</x:v>
      </x:c>
      <x:c r="F1110" s="12" t="n">
        <x:v>3.51</x:v>
      </x:c>
      <x:c r="G1110" s="12" t="n">
        <x:v>351</x:v>
      </x:c>
      <x:c r="H1110" s="12" t="n">
        <x:v>-2</x:v>
      </x:c>
      <x:c r="I1110" s="12" t="str">
        <x:v>TuShare index_daily</x:v>
      </x:c>
      <x:c r="J1110" s="12" t="str">
        <x:v>Archived FRED mirror (Hugging Face)</x:v>
      </x:c>
    </x:row>
    <x:row r="1111" ht="18" customHeight="1">
      <x:c r="A1111" s="13" t="n">
        <x:v>44259</x:v>
      </x:c>
      <x:c r="B1111" s="12" t="n">
        <x:v>5280.7058</x:v>
      </x:c>
      <x:c r="C1111" s="12" t="n">
        <x:v>5452.2125</x:v>
      </x:c>
      <x:c r="D1111" s="12" t="n">
        <x:v>-3.1456</x:v>
      </x:c>
      <x:c r="E1111" s="12" t="n">
        <x:v>-0.03196172657010949</x:v>
      </x:c>
      <x:c r="F1111" s="12" t="n">
        <x:v>3.54</x:v>
      </x:c>
      <x:c r="G1111" s="12" t="n">
        <x:v>354</x:v>
      </x:c>
      <x:c r="H1111" s="12" t="n">
        <x:v>3</x:v>
      </x:c>
      <x:c r="I1111" s="12" t="str">
        <x:v>TuShare index_daily</x:v>
      </x:c>
      <x:c r="J1111" s="12" t="str">
        <x:v>Archived FRED mirror (Hugging Face)</x:v>
      </x:c>
    </x:row>
    <x:row r="1112" ht="18" customHeight="1">
      <x:c r="A1112" s="13" t="n">
        <x:v>44260</x:v>
      </x:c>
      <x:c r="B1112" s="12" t="n">
        <x:v>5262.7958</x:v>
      </x:c>
      <x:c r="C1112" s="12" t="n">
        <x:v>5280.7058</x:v>
      </x:c>
      <x:c r="D1112" s="12" t="n">
        <x:v>-0.3392</x:v>
      </x:c>
      <x:c r="E1112" s="12" t="n">
        <x:v>-0.003397356572028898</x:v>
      </x:c>
      <x:c r="F1112" s="12" t="n">
        <x:v>3.6</x:v>
      </x:c>
      <x:c r="G1112" s="12" t="n">
        <x:v>360</x:v>
      </x:c>
      <x:c r="H1112" s="12" t="n">
        <x:v>6</x:v>
      </x:c>
      <x:c r="I1112" s="12" t="str">
        <x:v>TuShare index_daily</x:v>
      </x:c>
      <x:c r="J1112" s="12" t="str">
        <x:v>Archived FRED mirror (Hugging Face)</x:v>
      </x:c>
    </x:row>
    <x:row r="1113" ht="18" customHeight="1">
      <x:c r="A1113" s="13" t="n">
        <x:v>44263</x:v>
      </x:c>
      <x:c r="B1113" s="12" t="n">
        <x:v>5080.0246</x:v>
      </x:c>
      <x:c r="C1113" s="12" t="n">
        <x:v>5262.7958</x:v>
      </x:c>
      <x:c r="D1113" s="12" t="n">
        <x:v>-3.4729</x:v>
      </x:c>
      <x:c r="E1113" s="12" t="n">
        <x:v>-0.03534630235660933</x:v>
      </x:c>
      <x:c r="F1113" s="12" t="n">
        <x:v>3.57</x:v>
      </x:c>
      <x:c r="G1113" s="12" t="n">
        <x:v>357</x:v>
      </x:c>
      <x:c r="H1113" s="12" t="n">
        <x:v>-3</x:v>
      </x:c>
      <x:c r="I1113" s="12" t="str">
        <x:v>TuShare index_daily</x:v>
      </x:c>
      <x:c r="J1113" s="12" t="str">
        <x:v>Archived FRED mirror (Hugging Face)</x:v>
      </x:c>
    </x:row>
    <x:row r="1114" ht="18" customHeight="1">
      <x:c r="A1114" s="13" t="n">
        <x:v>44264</x:v>
      </x:c>
      <x:c r="B1114" s="12" t="n">
        <x:v>4970.9994</x:v>
      </x:c>
      <x:c r="C1114" s="12" t="n">
        <x:v>5080.0246</x:v>
      </x:c>
      <x:c r="D1114" s="12" t="n">
        <x:v>-2.1462</x:v>
      </x:c>
      <x:c r="E1114" s="12" t="n">
        <x:v>-0.02169519768588273</x:v>
      </x:c>
      <x:c r="F1114" s="12" t="n">
        <x:v>3.62</x:v>
      </x:c>
      <x:c r="G1114" s="12" t="n">
        <x:v>362</x:v>
      </x:c>
      <x:c r="H1114" s="12" t="n">
        <x:v>5</x:v>
      </x:c>
      <x:c r="I1114" s="12" t="str">
        <x:v>TuShare index_daily</x:v>
      </x:c>
      <x:c r="J1114" s="12" t="str">
        <x:v>Archived FRED mirror (Hugging Face)</x:v>
      </x:c>
    </x:row>
    <x:row r="1115" ht="18" customHeight="1">
      <x:c r="A1115" s="13" t="n">
        <x:v>44265</x:v>
      </x:c>
      <x:c r="B1115" s="12" t="n">
        <x:v>5003.6121</x:v>
      </x:c>
      <x:c r="C1115" s="12" t="n">
        <x:v>4970.9994</x:v>
      </x:c>
      <x:c r="D1115" s="12" t="n">
        <x:v>0.6561</x:v>
      </x:c>
      <x:c r="E1115" s="12" t="n">
        <x:v>0.006539165201911017</x:v>
      </x:c>
      <x:c r="F1115" s="12" t="n">
        <x:v>3.63</x:v>
      </x:c>
      <x:c r="G1115" s="12" t="n">
        <x:v>363</x:v>
      </x:c>
      <x:c r="H1115" s="12" t="n">
        <x:v>1</x:v>
      </x:c>
      <x:c r="I1115" s="12" t="str">
        <x:v>TuShare index_daily</x:v>
      </x:c>
      <x:c r="J1115" s="12" t="str">
        <x:v>Archived FRED mirror (Hugging Face)</x:v>
      </x:c>
    </x:row>
    <x:row r="1116" ht="18" customHeight="1">
      <x:c r="A1116" s="13" t="n">
        <x:v>44266</x:v>
      </x:c>
      <x:c r="B1116" s="12" t="n">
        <x:v>5128.2156</x:v>
      </x:c>
      <x:c r="C1116" s="12" t="n">
        <x:v>5003.6121</x:v>
      </x:c>
      <x:c r="D1116" s="12" t="n">
        <x:v>2.4903</x:v>
      </x:c>
      <x:c r="E1116" s="12" t="n">
        <x:v>0.02459769080192662</x:v>
      </x:c>
      <x:c r="F1116" s="12" t="n">
        <x:v>3.52</x:v>
      </x:c>
      <x:c r="G1116" s="12" t="n">
        <x:v>352</x:v>
      </x:c>
      <x:c r="H1116" s="12" t="n">
        <x:v>-11</x:v>
      </x:c>
      <x:c r="I1116" s="12" t="str">
        <x:v>TuShare index_daily</x:v>
      </x:c>
      <x:c r="J1116" s="12" t="str">
        <x:v>Archived FRED mirror (Hugging Face)</x:v>
      </x:c>
    </x:row>
    <x:row r="1117" ht="18" customHeight="1">
      <x:c r="A1117" s="13" t="n">
        <x:v>44267</x:v>
      </x:c>
      <x:c r="B1117" s="12" t="n">
        <x:v>5146.3786</x:v>
      </x:c>
      <x:c r="C1117" s="12" t="n">
        <x:v>5128.2156</x:v>
      </x:c>
      <x:c r="D1117" s="12" t="n">
        <x:v>0.3542</x:v>
      </x:c>
      <x:c r="E1117" s="12" t="n">
        <x:v>0.003535520443161178</x:v>
      </x:c>
      <x:c r="F1117" s="12" t="n">
        <x:v>3.55</x:v>
      </x:c>
      <x:c r="G1117" s="12" t="n">
        <x:v>355</x:v>
      </x:c>
      <x:c r="H1117" s="12" t="n">
        <x:v>3</x:v>
      </x:c>
      <x:c r="I1117" s="12" t="str">
        <x:v>TuShare index_daily</x:v>
      </x:c>
      <x:c r="J1117" s="12" t="str">
        <x:v>Archived FRED mirror (Hugging Face)</x:v>
      </x:c>
    </x:row>
    <x:row r="1118" ht="18" customHeight="1">
      <x:c r="A1118" s="13" t="n">
        <x:v>44270</x:v>
      </x:c>
      <x:c r="B1118" s="12" t="n">
        <x:v>5035.5441</x:v>
      </x:c>
      <x:c r="C1118" s="12" t="n">
        <x:v>5146.3786</x:v>
      </x:c>
      <x:c r="D1118" s="12" t="n">
        <x:v>-2.1536</x:v>
      </x:c>
      <x:c r="E1118" s="12" t="n">
        <x:v>-0.021771698972272314</x:v>
      </x:c>
      <x:c r="F1118" s="12" t="n">
        <x:v>3.55</x:v>
      </x:c>
      <x:c r="G1118" s="12" t="n">
        <x:v>355</x:v>
      </x:c>
      <x:c r="H1118" s="12" t="n">
        <x:v>0</x:v>
      </x:c>
      <x:c r="I1118" s="12" t="str">
        <x:v>TuShare index_daily</x:v>
      </x:c>
      <x:c r="J1118" s="12" t="str">
        <x:v>Archived FRED mirror (Hugging Face)</x:v>
      </x:c>
    </x:row>
    <x:row r="1119" ht="18" customHeight="1">
      <x:c r="A1119" s="13" t="n">
        <x:v>44271</x:v>
      </x:c>
      <x:c r="B1119" s="12" t="n">
        <x:v>5079.3624</x:v>
      </x:c>
      <x:c r="C1119" s="12" t="n">
        <x:v>5035.5441</x:v>
      </x:c>
      <x:c r="D1119" s="12" t="n">
        <x:v>0.8702</x:v>
      </x:c>
      <x:c r="E1119" s="12" t="n">
        <x:v>0.00866415801490597</x:v>
      </x:c>
      <x:c r="F1119" s="12" t="n">
        <x:v>3.55</x:v>
      </x:c>
      <x:c r="G1119" s="12" t="n">
        <x:v>355</x:v>
      </x:c>
      <x:c r="H1119" s="12" t="n">
        <x:v>0</x:v>
      </x:c>
      <x:c r="I1119" s="12" t="str">
        <x:v>TuShare index_daily</x:v>
      </x:c>
      <x:c r="J1119" s="12" t="str">
        <x:v>Archived FRED mirror (Hugging Face)</x:v>
      </x:c>
    </x:row>
    <x:row r="1120" ht="18" customHeight="1">
      <x:c r="A1120" s="13" t="n">
        <x:v>44272</x:v>
      </x:c>
      <x:c r="B1120" s="12" t="n">
        <x:v>5100.8581</x:v>
      </x:c>
      <x:c r="C1120" s="12" t="n">
        <x:v>5079.3624</x:v>
      </x:c>
      <x:c r="D1120" s="12" t="n">
        <x:v>0.4232</x:v>
      </x:c>
      <x:c r="E1120" s="12" t="n">
        <x:v>0.004223038576872044</x:v>
      </x:c>
      <x:c r="F1120" s="12" t="n">
        <x:v>3.65</x:v>
      </x:c>
      <x:c r="G1120" s="12" t="n">
        <x:v>365</x:v>
      </x:c>
      <x:c r="H1120" s="12" t="n">
        <x:v>10</x:v>
      </x:c>
      <x:c r="I1120" s="12" t="str">
        <x:v>TuShare index_daily</x:v>
      </x:c>
      <x:c r="J1120" s="12" t="str">
        <x:v>Archived FRED mirror (Hugging Face)</x:v>
      </x:c>
    </x:row>
    <x:row r="1121" ht="18" customHeight="1">
      <x:c r="A1121" s="13" t="n">
        <x:v>44273</x:v>
      </x:c>
      <x:c r="B1121" s="12" t="n">
        <x:v>5141.7681</x:v>
      </x:c>
      <x:c r="C1121" s="12" t="n">
        <x:v>5100.8581</x:v>
      </x:c>
      <x:c r="D1121" s="12" t="n">
        <x:v>0.802</x:v>
      </x:c>
      <x:c r="E1121" s="12" t="n">
        <x:v>0.007988228164529472</x:v>
      </x:c>
      <x:c r="F1121" s="12" t="n">
        <x:v>3.66</x:v>
      </x:c>
      <x:c r="G1121" s="12" t="n">
        <x:v>366</x:v>
      </x:c>
      <x:c r="H1121" s="12" t="n">
        <x:v>1</x:v>
      </x:c>
      <x:c r="I1121" s="12" t="str">
        <x:v>TuShare index_daily</x:v>
      </x:c>
      <x:c r="J1121" s="12" t="str">
        <x:v>Archived FRED mirror (Hugging Face)</x:v>
      </x:c>
    </x:row>
    <x:row r="1122" ht="18" customHeight="1">
      <x:c r="A1122" s="13" t="n">
        <x:v>44274</x:v>
      </x:c>
      <x:c r="B1122" s="12" t="n">
        <x:v>5007.0907</x:v>
      </x:c>
      <x:c r="C1122" s="12" t="n">
        <x:v>5141.7681</x:v>
      </x:c>
      <x:c r="D1122" s="12" t="n">
        <x:v>-2.6193</x:v>
      </x:c>
      <x:c r="E1122" s="12" t="n">
        <x:v>-0.0265419608202576</x:v>
      </x:c>
      <x:c r="F1122" s="12" t="n">
        <x:v>3.67</x:v>
      </x:c>
      <x:c r="G1122" s="12" t="n">
        <x:v>367</x:v>
      </x:c>
      <x:c r="H1122" s="12" t="n">
        <x:v>1</x:v>
      </x:c>
      <x:c r="I1122" s="12" t="str">
        <x:v>TuShare index_daily</x:v>
      </x:c>
      <x:c r="J1122" s="12" t="str">
        <x:v>Archived FRED mirror (Hugging Face)</x:v>
      </x:c>
    </x:row>
    <x:row r="1123" ht="18" customHeight="1">
      <x:c r="A1123" s="13" t="n">
        <x:v>44277</x:v>
      </x:c>
      <x:c r="B1123" s="12" t="n">
        <x:v>5057.152</x:v>
      </x:c>
      <x:c r="C1123" s="12" t="n">
        <x:v>5007.0907</x:v>
      </x:c>
      <x:c r="D1123" s="12" t="n">
        <x:v>0.9998</x:v>
      </x:c>
      <x:c r="E1123" s="12" t="n">
        <x:v>0.009948431169141384</x:v>
      </x:c>
      <x:c r="F1123" s="12" t="n">
        <x:v>3.58</x:v>
      </x:c>
      <x:c r="G1123" s="12" t="n">
        <x:v>358</x:v>
      </x:c>
      <x:c r="H1123" s="12" t="n">
        <x:v>-9</x:v>
      </x:c>
      <x:c r="I1123" s="12" t="str">
        <x:v>TuShare index_daily</x:v>
      </x:c>
      <x:c r="J1123" s="12" t="str">
        <x:v>Archived FRED mirror (Hugging Face)</x:v>
      </x:c>
    </x:row>
    <x:row r="1124" ht="18" customHeight="1">
      <x:c r="A1124" s="13" t="n">
        <x:v>44278</x:v>
      </x:c>
      <x:c r="B1124" s="12" t="n">
        <x:v>5009.2459</x:v>
      </x:c>
      <x:c r="C1124" s="12" t="n">
        <x:v>5057.152</x:v>
      </x:c>
      <x:c r="D1124" s="12" t="n">
        <x:v>-0.9473</x:v>
      </x:c>
      <x:c r="E1124" s="12" t="n">
        <x:v>-0.009518094186803952</x:v>
      </x:c>
      <x:c r="F1124" s="12" t="n">
        <x:v>3.57</x:v>
      </x:c>
      <x:c r="G1124" s="12" t="n">
        <x:v>357</x:v>
      </x:c>
      <x:c r="H1124" s="12" t="n">
        <x:v>-1</x:v>
      </x:c>
      <x:c r="I1124" s="12" t="str">
        <x:v>TuShare index_daily</x:v>
      </x:c>
      <x:c r="J1124" s="12" t="str">
        <x:v>Archived FRED mirror (Hugging Face)</x:v>
      </x:c>
    </x:row>
    <x:row r="1125" ht="18" customHeight="1">
      <x:c r="A1125" s="13" t="n">
        <x:v>44279</x:v>
      </x:c>
      <x:c r="B1125" s="12" t="n">
        <x:v>4928.6853</x:v>
      </x:c>
      <x:c r="C1125" s="12" t="n">
        <x:v>5009.2459</x:v>
      </x:c>
      <x:c r="D1125" s="12" t="n">
        <x:v>-1.6082</x:v>
      </x:c>
      <x:c r="E1125" s="12" t="n">
        <x:v>-0.016213105742656164</x:v>
      </x:c>
      <x:c r="F1125" s="12" t="n">
        <x:v>3.51</x:v>
      </x:c>
      <x:c r="G1125" s="12" t="n">
        <x:v>351</x:v>
      </x:c>
      <x:c r="H1125" s="12" t="n">
        <x:v>-6</x:v>
      </x:c>
      <x:c r="I1125" s="12" t="str">
        <x:v>TuShare index_daily</x:v>
      </x:c>
      <x:c r="J1125" s="12" t="str">
        <x:v>Archived FRED mirror (Hugging Face)</x:v>
      </x:c>
    </x:row>
    <x:row r="1126" ht="18" customHeight="1">
      <x:c r="A1126" s="13" t="n">
        <x:v>44280</x:v>
      </x:c>
      <x:c r="B1126" s="12" t="n">
        <x:v>4926.3469</x:v>
      </x:c>
      <x:c r="C1126" s="12" t="n">
        <x:v>4928.6853</x:v>
      </x:c>
      <x:c r="D1126" s="12" t="n">
        <x:v>-0.0474</x:v>
      </x:c>
      <x:c r="E1126" s="12" t="n">
        <x:v>-0.00047455959482012024</x:v>
      </x:c>
      <x:c r="F1126" s="12" t="n">
        <x:v>3.53</x:v>
      </x:c>
      <x:c r="G1126" s="12" t="n">
        <x:v>353</x:v>
      </x:c>
      <x:c r="H1126" s="12" t="n">
        <x:v>2</x:v>
      </x:c>
      <x:c r="I1126" s="12" t="str">
        <x:v>TuShare index_daily</x:v>
      </x:c>
      <x:c r="J1126" s="12" t="str">
        <x:v>Archived FRED mirror (Hugging Face)</x:v>
      </x:c>
    </x:row>
    <x:row r="1127" ht="18" customHeight="1">
      <x:c r="A1127" s="13" t="n">
        <x:v>44281</x:v>
      </x:c>
      <x:c r="B1127" s="12" t="n">
        <x:v>5037.9899</x:v>
      </x:c>
      <x:c r="C1127" s="12" t="n">
        <x:v>4926.3469</x:v>
      </x:c>
      <x:c r="D1127" s="12" t="n">
        <x:v>2.2662</x:v>
      </x:c>
      <x:c r="E1127" s="12" t="n">
        <x:v>0.022409453696508205</x:v>
      </x:c>
      <x:c r="F1127" s="12" t="n">
        <x:v>3.48</x:v>
      </x:c>
      <x:c r="G1127" s="12" t="n">
        <x:v>348</x:v>
      </x:c>
      <x:c r="H1127" s="12" t="n">
        <x:v>-5</x:v>
      </x:c>
      <x:c r="I1127" s="12" t="str">
        <x:v>TuShare index_daily</x:v>
      </x:c>
      <x:c r="J1127" s="12" t="str">
        <x:v>Archived FRED mirror (Hugging Face)</x:v>
      </x:c>
    </x:row>
    <x:row r="1128" ht="18" customHeight="1">
      <x:c r="A1128" s="13" t="n">
        <x:v>44284</x:v>
      </x:c>
      <x:c r="B1128" s="12" t="n">
        <x:v>5046.8773</x:v>
      </x:c>
      <x:c r="C1128" s="12" t="n">
        <x:v>5037.9899</x:v>
      </x:c>
      <x:c r="D1128" s="12" t="n">
        <x:v>0.1764</x:v>
      </x:c>
      <x:c r="E1128" s="12" t="n">
        <x:v>0.0017625224258213089</x:v>
      </x:c>
      <x:c r="F1128" s="12" t="n">
        <x:v>3.43</x:v>
      </x:c>
      <x:c r="G1128" s="12" t="n">
        <x:v>343</x:v>
      </x:c>
      <x:c r="H1128" s="12" t="n">
        <x:v>-5</x:v>
      </x:c>
      <x:c r="I1128" s="12" t="str">
        <x:v>TuShare index_daily</x:v>
      </x:c>
      <x:c r="J1128" s="12" t="str">
        <x:v>Archived FRED mirror (Hugging Face)</x:v>
      </x:c>
    </x:row>
    <x:row r="1129" ht="18" customHeight="1">
      <x:c r="A1129" s="13" t="n">
        <x:v>44285</x:v>
      </x:c>
      <x:c r="B1129" s="12" t="n">
        <x:v>5094.7291</x:v>
      </x:c>
      <x:c r="C1129" s="12" t="n">
        <x:v>5046.8773</x:v>
      </x:c>
      <x:c r="D1129" s="12" t="n">
        <x:v>0.9481</x:v>
      </x:c>
      <x:c r="E1129" s="12" t="n">
        <x:v>0.00943679989640187</x:v>
      </x:c>
      <x:c r="F1129" s="12" t="n">
        <x:v>3.44</x:v>
      </x:c>
      <x:c r="G1129" s="12" t="n">
        <x:v>344</x:v>
      </x:c>
      <x:c r="H1129" s="12" t="n">
        <x:v>1</x:v>
      </x:c>
      <x:c r="I1129" s="12" t="str">
        <x:v>TuShare index_daily</x:v>
      </x:c>
      <x:c r="J1129" s="12" t="str">
        <x:v>Archived FRED mirror (Hugging Face)</x:v>
      </x:c>
    </x:row>
    <x:row r="1130" ht="18" customHeight="1">
      <x:c r="A1130" s="13" t="n">
        <x:v>44286</x:v>
      </x:c>
      <x:c r="B1130" s="12" t="n">
        <x:v>5048.3607</x:v>
      </x:c>
      <x:c r="C1130" s="12" t="n">
        <x:v>5094.7291</x:v>
      </x:c>
      <x:c r="D1130" s="12" t="n">
        <x:v>-0.9101</x:v>
      </x:c>
      <x:c r="E1130" s="12" t="n">
        <x:v>-0.009142918759438923</x:v>
      </x:c>
      <x:c r="F1130" s="12" t="n">
        <x:v>3.36</x:v>
      </x:c>
      <x:c r="G1130" s="12" t="n">
        <x:v>336</x:v>
      </x:c>
      <x:c r="H1130" s="12" t="n">
        <x:v>-8</x:v>
      </x:c>
      <x:c r="I1130" s="12" t="str">
        <x:v>TuShare index_daily</x:v>
      </x:c>
      <x:c r="J1130" s="12" t="str">
        <x:v>Archived FRED mirror (Hugging Face)</x:v>
      </x:c>
    </x:row>
    <x:row r="1131" ht="18" customHeight="1">
      <x:c r="A1131" s="13" t="n">
        <x:v>44287</x:v>
      </x:c>
      <x:c r="B1131" s="12" t="n">
        <x:v>5110.7768</x:v>
      </x:c>
      <x:c r="C1131" s="12" t="n">
        <x:v>5048.3607</x:v>
      </x:c>
      <x:c r="D1131" s="12" t="n">
        <x:v>1.2364</x:v>
      </x:c>
      <x:c r="E1131" s="12" t="n">
        <x:v>0.012287831590583272</x:v>
      </x:c>
      <x:c r="F1131" s="12" t="n">
        <x:v>3.33</x:v>
      </x:c>
      <x:c r="G1131" s="12" t="n">
        <x:v>333</x:v>
      </x:c>
      <x:c r="H1131" s="12" t="n">
        <x:v>-3</x:v>
      </x:c>
      <x:c r="I1131" s="12" t="str">
        <x:v>TuShare index_daily</x:v>
      </x:c>
      <x:c r="J1131" s="12" t="str">
        <x:v>Archived FRED mirror (Hugging Face)</x:v>
      </x:c>
    </x:row>
    <x:row r="1132" ht="18" customHeight="1">
      <x:c r="A1132" s="13" t="n">
        <x:v>44292</x:v>
      </x:c>
      <x:c r="B1132" s="12" t="n">
        <x:v>5140.3418</x:v>
      </x:c>
      <x:c r="C1132" s="12" t="n">
        <x:v>5161.5569</x:v>
      </x:c>
      <x:c r="D1132" s="12" t="n">
        <x:v>-0.411</x:v>
      </x:c>
      <x:c r="E1132" s="12" t="n">
        <x:v>-0.004118683479246685</x:v>
      </x:c>
      <x:c r="F1132" s="12" t="n">
        <x:v>3.25</x:v>
      </x:c>
      <x:c r="G1132" s="12" t="n">
        <x:v>325</x:v>
      </x:c>
      <x:c r="H1132" s="12" t="n">
        <x:v>0</x:v>
      </x:c>
      <x:c r="I1132" s="12" t="str">
        <x:v>TuShare index_daily</x:v>
      </x:c>
      <x:c r="J1132" s="12" t="str">
        <x:v>Archived FRED mirror (Hugging Face)</x:v>
      </x:c>
    </x:row>
    <x:row r="1133" ht="18" customHeight="1">
      <x:c r="A1133" s="13" t="n">
        <x:v>44293</x:v>
      </x:c>
      <x:c r="B1133" s="12" t="n">
        <x:v>5103.7428</x:v>
      </x:c>
      <x:c r="C1133" s="12" t="n">
        <x:v>5140.3418</x:v>
      </x:c>
      <x:c r="D1133" s="12" t="n">
        <x:v>-0.712</x:v>
      </x:c>
      <x:c r="E1133" s="12" t="n">
        <x:v>-0.007145422387403772</x:v>
      </x:c>
      <x:c r="F1133" s="12" t="n">
        <x:v>3.22</x:v>
      </x:c>
      <x:c r="G1133" s="12" t="n">
        <x:v>322</x:v>
      </x:c>
      <x:c r="H1133" s="12" t="n">
        <x:v>-3</x:v>
      </x:c>
      <x:c r="I1133" s="12" t="str">
        <x:v>TuShare index_daily</x:v>
      </x:c>
      <x:c r="J1133" s="12" t="str">
        <x:v>Archived FRED mirror (Hugging Face)</x:v>
      </x:c>
    </x:row>
    <x:row r="1134" ht="18" customHeight="1">
      <x:c r="A1134" s="13" t="n">
        <x:v>44294</x:v>
      </x:c>
      <x:c r="B1134" s="12" t="n">
        <x:v>5112.2086</x:v>
      </x:c>
      <x:c r="C1134" s="12" t="n">
        <x:v>5103.7428</x:v>
      </x:c>
      <x:c r="D1134" s="12" t="n">
        <x:v>0.1659</x:v>
      </x:c>
      <x:c r="E1134" s="12" t="n">
        <x:v>0.0016573692662383715</x:v>
      </x:c>
      <x:c r="F1134" s="12" t="n">
        <x:v>3.21</x:v>
      </x:c>
      <x:c r="G1134" s="12" t="n">
        <x:v>321</x:v>
      </x:c>
      <x:c r="H1134" s="12" t="n">
        <x:v>-1</x:v>
      </x:c>
      <x:c r="I1134" s="12" t="str">
        <x:v>TuShare index_daily</x:v>
      </x:c>
      <x:c r="J1134" s="12" t="str">
        <x:v>Archived FRED mirror (Hugging Face)</x:v>
      </x:c>
    </x:row>
    <x:row r="1135" ht="18" customHeight="1">
      <x:c r="A1135" s="13" t="n">
        <x:v>44295</x:v>
      </x:c>
      <x:c r="B1135" s="12" t="n">
        <x:v>5035.3374</x:v>
      </x:c>
      <x:c r="C1135" s="12" t="n">
        <x:v>5112.2086</x:v>
      </x:c>
      <x:c r="D1135" s="12" t="n">
        <x:v>-1.5037</x:v>
      </x:c>
      <x:c r="E1135" s="12" t="n">
        <x:v>-0.015150987340556255</x:v>
      </x:c>
      <x:c r="F1135" s="12" t="n">
        <x:v>3.24</x:v>
      </x:c>
      <x:c r="G1135" s="12" t="n">
        <x:v>324</x:v>
      </x:c>
      <x:c r="H1135" s="12" t="n">
        <x:v>3</x:v>
      </x:c>
      <x:c r="I1135" s="12" t="str">
        <x:v>TuShare index_daily</x:v>
      </x:c>
      <x:c r="J1135" s="12" t="str">
        <x:v>Archived FRED mirror (Hugging Face)</x:v>
      </x:c>
    </x:row>
    <x:row r="1136" ht="18" customHeight="1">
      <x:c r="A1136" s="13" t="n">
        <x:v>44298</x:v>
      </x:c>
      <x:c r="B1136" s="12" t="n">
        <x:v>4947.7459</x:v>
      </x:c>
      <x:c r="C1136" s="12" t="n">
        <x:v>5035.3374</x:v>
      </x:c>
      <x:c r="D1136" s="12" t="n">
        <x:v>-1.7395</x:v>
      </x:c>
      <x:c r="E1136" s="12" t="n">
        <x:v>-0.017548435719811403</x:v>
      </x:c>
      <x:c r="F1136" s="12" t="n">
        <x:v>3.24</x:v>
      </x:c>
      <x:c r="G1136" s="12" t="n">
        <x:v>324</x:v>
      </x:c>
      <x:c r="H1136" s="12" t="n">
        <x:v>0</x:v>
      </x:c>
      <x:c r="I1136" s="12" t="str">
        <x:v>TuShare index_daily</x:v>
      </x:c>
      <x:c r="J1136" s="12" t="str">
        <x:v>Archived FRED mirror (Hugging Face)</x:v>
      </x:c>
    </x:row>
    <x:row r="1137" ht="18" customHeight="1">
      <x:c r="A1137" s="13" t="n">
        <x:v>44299</x:v>
      </x:c>
      <x:c r="B1137" s="12" t="n">
        <x:v>4939.6438</x:v>
      </x:c>
      <x:c r="C1137" s="12" t="n">
        <x:v>4947.7459</x:v>
      </x:c>
      <x:c r="D1137" s="12" t="n">
        <x:v>-0.1638</x:v>
      </x:c>
      <x:c r="E1137" s="12" t="n">
        <x:v>-0.001638875792154115</x:v>
      </x:c>
      <x:c r="F1137" s="12" t="n">
        <x:v>3.32</x:v>
      </x:c>
      <x:c r="G1137" s="12" t="n">
        <x:v>332</x:v>
      </x:c>
      <x:c r="H1137" s="12" t="n">
        <x:v>8</x:v>
      </x:c>
      <x:c r="I1137" s="12" t="str">
        <x:v>TuShare index_daily</x:v>
      </x:c>
      <x:c r="J1137" s="12" t="str">
        <x:v>Archived FRED mirror (Hugging Face)</x:v>
      </x:c>
    </x:row>
    <x:row r="1138" ht="18" customHeight="1">
      <x:c r="A1138" s="13" t="n">
        <x:v>44300</x:v>
      </x:c>
      <x:c r="B1138" s="12" t="n">
        <x:v>4980.6279</x:v>
      </x:c>
      <x:c r="C1138" s="12" t="n">
        <x:v>4939.6438</x:v>
      </x:c>
      <x:c r="D1138" s="12" t="n">
        <x:v>0.8297</x:v>
      </x:c>
      <x:c r="E1138" s="12" t="n">
        <x:v>0.0082627440889853</x:v>
      </x:c>
      <x:c r="F1138" s="12" t="n">
        <x:v>3.25</x:v>
      </x:c>
      <x:c r="G1138" s="12" t="n">
        <x:v>325</x:v>
      </x:c>
      <x:c r="H1138" s="12" t="n">
        <x:v>-7</x:v>
      </x:c>
      <x:c r="I1138" s="12" t="str">
        <x:v>TuShare index_daily</x:v>
      </x:c>
      <x:c r="J1138" s="12" t="str">
        <x:v>Archived FRED mirror (Hugging Face)</x:v>
      </x:c>
    </x:row>
    <x:row r="1139" ht="18" customHeight="1">
      <x:c r="A1139" s="13" t="n">
        <x:v>44301</x:v>
      </x:c>
      <x:c r="B1139" s="12" t="n">
        <x:v>4948.9741</x:v>
      </x:c>
      <x:c r="C1139" s="12" t="n">
        <x:v>4980.6279</x:v>
      </x:c>
      <x:c r="D1139" s="12" t="n">
        <x:v>-0.6355</x:v>
      </x:c>
      <x:c r="E1139" s="12" t="n">
        <x:v>-0.0063756648503750565</x:v>
      </x:c>
      <x:c r="F1139" s="12" t="n">
        <x:v>3.25</x:v>
      </x:c>
      <x:c r="G1139" s="12" t="n">
        <x:v>325</x:v>
      </x:c>
      <x:c r="H1139" s="12" t="n">
        <x:v>0</x:v>
      </x:c>
      <x:c r="I1139" s="12" t="str">
        <x:v>TuShare index_daily</x:v>
      </x:c>
      <x:c r="J1139" s="12" t="str">
        <x:v>Archived FRED mirror (Hugging Face)</x:v>
      </x:c>
    </x:row>
    <x:row r="1140" ht="18" customHeight="1">
      <x:c r="A1140" s="13" t="n">
        <x:v>44302</x:v>
      </x:c>
      <x:c r="B1140" s="12" t="n">
        <x:v>4966.1811</x:v>
      </x:c>
      <x:c r="C1140" s="12" t="n">
        <x:v>4948.9741</x:v>
      </x:c>
      <x:c r="D1140" s="12" t="n">
        <x:v>0.3477</x:v>
      </x:c>
      <x:c r="E1140" s="12" t="n">
        <x:v>0.003470851827739531</x:v>
      </x:c>
      <x:c r="F1140" s="12" t="n">
        <x:v>3.22</x:v>
      </x:c>
      <x:c r="G1140" s="12" t="n">
        <x:v>322</x:v>
      </x:c>
      <x:c r="H1140" s="12" t="n">
        <x:v>-3</x:v>
      </x:c>
      <x:c r="I1140" s="12" t="str">
        <x:v>TuShare index_daily</x:v>
      </x:c>
      <x:c r="J1140" s="12" t="str">
        <x:v>Archived FRED mirror (Hugging Face)</x:v>
      </x:c>
    </x:row>
    <x:row r="1141" ht="18" customHeight="1">
      <x:c r="A1141" s="13" t="n">
        <x:v>44305</x:v>
      </x:c>
      <x:c r="B1141" s="12" t="n">
        <x:v>5087.0165</x:v>
      </x:c>
      <x:c r="C1141" s="12" t="n">
        <x:v>4966.1811</x:v>
      </x:c>
      <x:c r="D1141" s="12" t="n">
        <x:v>2.4332</x:v>
      </x:c>
      <x:c r="E1141" s="12" t="n">
        <x:v>0.024040354994074857</x:v>
      </x:c>
      <x:c r="F1141" s="12" t="n">
        <x:v>3.25</x:v>
      </x:c>
      <x:c r="G1141" s="12" t="n">
        <x:v>325</x:v>
      </x:c>
      <x:c r="H1141" s="12" t="n">
        <x:v>3</x:v>
      </x:c>
      <x:c r="I1141" s="12" t="str">
        <x:v>TuShare index_daily</x:v>
      </x:c>
      <x:c r="J1141" s="12" t="str">
        <x:v>Archived FRED mirror (Hugging Face)</x:v>
      </x:c>
    </x:row>
    <x:row r="1142" ht="18" customHeight="1">
      <x:c r="A1142" s="13" t="n">
        <x:v>44306</x:v>
      </x:c>
      <x:c r="B1142" s="12" t="n">
        <x:v>5083.3654</x:v>
      </x:c>
      <x:c r="C1142" s="12" t="n">
        <x:v>5087.0165</x:v>
      </x:c>
      <x:c r="D1142" s="12" t="n">
        <x:v>-0.0718</x:v>
      </x:c>
      <x:c r="E1142" s="12" t="n">
        <x:v>-0.000717986835252842</x:v>
      </x:c>
      <x:c r="F1142" s="12" t="n">
        <x:v>3.35</x:v>
      </x:c>
      <x:c r="G1142" s="12" t="n">
        <x:v>335</x:v>
      </x:c>
      <x:c r="H1142" s="12" t="n">
        <x:v>10</x:v>
      </x:c>
      <x:c r="I1142" s="12" t="str">
        <x:v>TuShare index_daily</x:v>
      </x:c>
      <x:c r="J1142" s="12" t="str">
        <x:v>Archived FRED mirror (Hugging Face)</x:v>
      </x:c>
    </x:row>
    <x:row r="1143" ht="18" customHeight="1">
      <x:c r="A1143" s="13" t="n">
        <x:v>44307</x:v>
      </x:c>
      <x:c r="B1143" s="12" t="n">
        <x:v>5098.7449</x:v>
      </x:c>
      <x:c r="C1143" s="12" t="n">
        <x:v>5083.3654</x:v>
      </x:c>
      <x:c r="D1143" s="12" t="n">
        <x:v>0.3025</x:v>
      </x:c>
      <x:c r="E1143" s="12" t="n">
        <x:v>0.00302088884183706</x:v>
      </x:c>
      <x:c r="F1143" s="12" t="n">
        <x:v>3.34</x:v>
      </x:c>
      <x:c r="G1143" s="12" t="n">
        <x:v>334</x:v>
      </x:c>
      <x:c r="H1143" s="12" t="n">
        <x:v>-1</x:v>
      </x:c>
      <x:c r="I1143" s="12" t="str">
        <x:v>TuShare index_daily</x:v>
      </x:c>
      <x:c r="J1143" s="12" t="str">
        <x:v>Archived FRED mirror (Hugging Face)</x:v>
      </x:c>
    </x:row>
    <x:row r="1144" ht="18" customHeight="1">
      <x:c r="A1144" s="13" t="n">
        <x:v>44308</x:v>
      </x:c>
      <x:c r="B1144" s="12" t="n">
        <x:v>5089.2435</x:v>
      </x:c>
      <x:c r="C1144" s="12" t="n">
        <x:v>5098.7449</x:v>
      </x:c>
      <x:c r="D1144" s="12" t="n">
        <x:v>-0.1863</x:v>
      </x:c>
      <x:c r="E1144" s="12" t="n">
        <x:v>-0.0018652166417151464</x:v>
      </x:c>
      <x:c r="F1144" s="12" t="n">
        <x:v>3.34</x:v>
      </x:c>
      <x:c r="G1144" s="12" t="n">
        <x:v>334</x:v>
      </x:c>
      <x:c r="H1144" s="12" t="n">
        <x:v>0</x:v>
      </x:c>
      <x:c r="I1144" s="12" t="str">
        <x:v>TuShare index_daily</x:v>
      </x:c>
      <x:c r="J1144" s="12" t="str">
        <x:v>Archived FRED mirror (Hugging Face)</x:v>
      </x:c>
    </x:row>
    <x:row r="1145" ht="18" customHeight="1">
      <x:c r="A1145" s="13" t="n">
        <x:v>44309</x:v>
      </x:c>
      <x:c r="B1145" s="12" t="n">
        <x:v>5135.4534</x:v>
      </x:c>
      <x:c r="C1145" s="12" t="n">
        <x:v>5089.2435</x:v>
      </x:c>
      <x:c r="D1145" s="12" t="n">
        <x:v>0.908</x:v>
      </x:c>
      <x:c r="E1145" s="12" t="n">
        <x:v>0.009038940728190753</x:v>
      </x:c>
      <x:c r="F1145" s="12" t="n">
        <x:v>3.29</x:v>
      </x:c>
      <x:c r="G1145" s="12" t="n">
        <x:v>329</x:v>
      </x:c>
      <x:c r="H1145" s="12" t="n">
        <x:v>-5</x:v>
      </x:c>
      <x:c r="I1145" s="12" t="str">
        <x:v>TuShare index_daily</x:v>
      </x:c>
      <x:c r="J1145" s="12" t="str">
        <x:v>Archived FRED mirror (Hugging Face)</x:v>
      </x:c>
    </x:row>
    <x:row r="1146" ht="18" customHeight="1">
      <x:c r="A1146" s="13" t="n">
        <x:v>44312</x:v>
      </x:c>
      <x:c r="B1146" s="12" t="n">
        <x:v>5077.2372</x:v>
      </x:c>
      <x:c r="C1146" s="12" t="n">
        <x:v>5135.4534</x:v>
      </x:c>
      <x:c r="D1146" s="12" t="n">
        <x:v>-1.1336</x:v>
      </x:c>
      <x:c r="E1146" s="12" t="n">
        <x:v>-0.011400880112324985</x:v>
      </x:c>
      <x:c r="F1146" s="12" t="n">
        <x:v>3.26</x:v>
      </x:c>
      <x:c r="G1146" s="12" t="n">
        <x:v>326</x:v>
      </x:c>
      <x:c r="H1146" s="12" t="n">
        <x:v>-3</x:v>
      </x:c>
      <x:c r="I1146" s="12" t="str">
        <x:v>TuShare index_daily</x:v>
      </x:c>
      <x:c r="J1146" s="12" t="str">
        <x:v>Archived FRED mirror (Hugging Face)</x:v>
      </x:c>
    </x:row>
    <x:row r="1147" ht="18" customHeight="1">
      <x:c r="A1147" s="13" t="n">
        <x:v>44313</x:v>
      </x:c>
      <x:c r="B1147" s="12" t="n">
        <x:v>5090.5195</x:v>
      </x:c>
      <x:c r="C1147" s="12" t="n">
        <x:v>5077.2372</x:v>
      </x:c>
      <x:c r="D1147" s="12" t="n">
        <x:v>0.2616</x:v>
      </x:c>
      <x:c r="E1147" s="12" t="n">
        <x:v>0.002612632844617457</x:v>
      </x:c>
      <x:c r="F1147" s="12" t="n">
        <x:v>3.24</x:v>
      </x:c>
      <x:c r="G1147" s="12" t="n">
        <x:v>324</x:v>
      </x:c>
      <x:c r="H1147" s="12" t="n">
        <x:v>-2</x:v>
      </x:c>
      <x:c r="I1147" s="12" t="str">
        <x:v>TuShare index_daily</x:v>
      </x:c>
      <x:c r="J1147" s="12" t="str">
        <x:v>Archived FRED mirror (Hugging Face)</x:v>
      </x:c>
    </x:row>
    <x:row r="1148" ht="18" customHeight="1">
      <x:c r="A1148" s="13" t="n">
        <x:v>44314</x:v>
      </x:c>
      <x:c r="B1148" s="12" t="n">
        <x:v>5119.2421</x:v>
      </x:c>
      <x:c r="C1148" s="12" t="n">
        <x:v>5090.5195</x:v>
      </x:c>
      <x:c r="D1148" s="12" t="n">
        <x:v>0.5642</x:v>
      </x:c>
      <x:c r="E1148" s="12" t="n">
        <x:v>0.005626512527797331</x:v>
      </x:c>
      <x:c r="F1148" s="12" t="n">
        <x:v>3.26</x:v>
      </x:c>
      <x:c r="G1148" s="12" t="n">
        <x:v>326</x:v>
      </x:c>
      <x:c r="H1148" s="12" t="n">
        <x:v>2</x:v>
      </x:c>
      <x:c r="I1148" s="12" t="str">
        <x:v>TuShare index_daily</x:v>
      </x:c>
      <x:c r="J1148" s="12" t="str">
        <x:v>Archived FRED mirror (Hugging Face)</x:v>
      </x:c>
    </x:row>
    <x:row r="1149" ht="18" customHeight="1">
      <x:c r="A1149" s="13" t="n">
        <x:v>44315</x:v>
      </x:c>
      <x:c r="B1149" s="12" t="n">
        <x:v>5164.1692</x:v>
      </x:c>
      <x:c r="C1149" s="12" t="n">
        <x:v>5119.2421</x:v>
      </x:c>
      <x:c r="D1149" s="12" t="n">
        <x:v>0.8776</x:v>
      </x:c>
      <x:c r="E1149" s="12" t="n">
        <x:v>0.008737836995305902</x:v>
      </x:c>
      <x:c r="F1149" s="12" t="n">
        <x:v>3.24</x:v>
      </x:c>
      <x:c r="G1149" s="12" t="n">
        <x:v>324</x:v>
      </x:c>
      <x:c r="H1149" s="12" t="n">
        <x:v>-2</x:v>
      </x:c>
      <x:c r="I1149" s="12" t="str">
        <x:v>TuShare index_daily</x:v>
      </x:c>
      <x:c r="J1149" s="12" t="str">
        <x:v>Archived FRED mirror (Hugging Face)</x:v>
      </x:c>
    </x:row>
    <x:row r="1150" ht="18" customHeight="1">
      <x:c r="A1150" s="13" t="n">
        <x:v>44316</x:v>
      </x:c>
      <x:c r="B1150" s="12" t="n">
        <x:v>5123.489</x:v>
      </x:c>
      <x:c r="C1150" s="12" t="n">
        <x:v>5164.1692</x:v>
      </x:c>
      <x:c r="D1150" s="12" t="n">
        <x:v>-0.7877</x:v>
      </x:c>
      <x:c r="E1150" s="12" t="n">
        <x:v>-0.007908585460357973</x:v>
      </x:c>
      <x:c r="F1150" s="12" t="n">
        <x:v>3.28</x:v>
      </x:c>
      <x:c r="G1150" s="12" t="n">
        <x:v>328</x:v>
      </x:c>
      <x:c r="H1150" s="12" t="n">
        <x:v>4</x:v>
      </x:c>
      <x:c r="I1150" s="12" t="str">
        <x:v>TuShare index_daily</x:v>
      </x:c>
      <x:c r="J1150" s="12" t="str">
        <x:v>Archived FRED mirror (Hugging Face)</x:v>
      </x:c>
    </x:row>
    <x:row r="1151" ht="18" customHeight="1">
      <x:c r="A1151" s="13" t="n">
        <x:v>44322</x:v>
      </x:c>
      <x:c r="B1151" s="12" t="n">
        <x:v>5061.1244</x:v>
      </x:c>
      <x:c r="C1151" s="12" t="n">
        <x:v>5123.489</x:v>
      </x:c>
      <x:c r="D1151" s="12" t="n">
        <x:v>-1.2172</x:v>
      </x:c>
      <x:c r="E1151" s="12" t="n">
        <x:v>-0.012246980233125798</x:v>
      </x:c>
      <x:c r="F1151" s="12" t="n">
        <x:v>3.3</x:v>
      </x:c>
      <x:c r="G1151" s="12" t="n">
        <x:v>330</x:v>
      </x:c>
      <x:c r="H1151" s="12" t="n">
        <x:v>1</x:v>
      </x:c>
      <x:c r="I1151" s="12" t="str">
        <x:v>TuShare index_daily</x:v>
      </x:c>
      <x:c r="J1151" s="12" t="str">
        <x:v>Archived FRED mirror (Hugging Face)</x:v>
      </x:c>
    </x:row>
    <x:row r="1152" ht="18" customHeight="1">
      <x:c r="A1152" s="13" t="n">
        <x:v>44323</x:v>
      </x:c>
      <x:c r="B1152" s="12" t="n">
        <x:v>4996.0527</x:v>
      </x:c>
      <x:c r="C1152" s="12" t="n">
        <x:v>5061.1244</x:v>
      </x:c>
      <x:c r="D1152" s="12" t="n">
        <x:v>-1.2857</x:v>
      </x:c>
      <x:c r="E1152" s="12" t="n">
        <x:v>-0.012940531405912142</x:v>
      </x:c>
      <x:c r="F1152" s="12" t="n">
        <x:v>3.27</x:v>
      </x:c>
      <x:c r="G1152" s="12" t="n">
        <x:v>327</x:v>
      </x:c>
      <x:c r="H1152" s="12" t="n">
        <x:v>-3</x:v>
      </x:c>
      <x:c r="I1152" s="12" t="str">
        <x:v>TuShare index_daily</x:v>
      </x:c>
      <x:c r="J1152" s="12" t="str">
        <x:v>Archived FRED mirror (Hugging Face)</x:v>
      </x:c>
    </x:row>
    <x:row r="1153" ht="18" customHeight="1">
      <x:c r="A1153" s="13" t="n">
        <x:v>44326</x:v>
      </x:c>
      <x:c r="B1153" s="12" t="n">
        <x:v>4992.422</x:v>
      </x:c>
      <x:c r="C1153" s="12" t="n">
        <x:v>4996.0527</x:v>
      </x:c>
      <x:c r="D1153" s="12" t="n">
        <x:v>-0.0727</x:v>
      </x:c>
      <x:c r="E1153" s="12" t="n">
        <x:v>-0.0007269778958146385</x:v>
      </x:c>
      <x:c r="F1153" s="12" t="n">
        <x:v>3.26</x:v>
      </x:c>
      <x:c r="G1153" s="12" t="n">
        <x:v>326</x:v>
      </x:c>
      <x:c r="H1153" s="12" t="n">
        <x:v>-1</x:v>
      </x:c>
      <x:c r="I1153" s="12" t="str">
        <x:v>TuShare index_daily</x:v>
      </x:c>
      <x:c r="J1153" s="12" t="str">
        <x:v>Archived FRED mirror (Hugging Face)</x:v>
      </x:c>
    </x:row>
    <x:row r="1154" ht="18" customHeight="1">
      <x:c r="A1154" s="13" t="n">
        <x:v>44327</x:v>
      </x:c>
      <x:c r="B1154" s="12" t="n">
        <x:v>5023.0595</x:v>
      </x:c>
      <x:c r="C1154" s="12" t="n">
        <x:v>4992.422</x:v>
      </x:c>
      <x:c r="D1154" s="12" t="n">
        <x:v>0.6137</x:v>
      </x:c>
      <x:c r="E1154" s="12" t="n">
        <x:v>0.006118047457768018</x:v>
      </x:c>
      <x:c r="F1154" s="12" t="n">
        <x:v>3.36</x:v>
      </x:c>
      <x:c r="G1154" s="12" t="n">
        <x:v>336</x:v>
      </x:c>
      <x:c r="H1154" s="12" t="n">
        <x:v>10</x:v>
      </x:c>
      <x:c r="I1154" s="12" t="str">
        <x:v>TuShare index_daily</x:v>
      </x:c>
      <x:c r="J1154" s="12" t="str">
        <x:v>Archived FRED mirror (Hugging Face)</x:v>
      </x:c>
    </x:row>
    <x:row r="1155" ht="18" customHeight="1">
      <x:c r="A1155" s="13" t="n">
        <x:v>44328</x:v>
      </x:c>
      <x:c r="B1155" s="12" t="n">
        <x:v>5044.5481</x:v>
      </x:c>
      <x:c r="C1155" s="12" t="n">
        <x:v>5023.0595</x:v>
      </x:c>
      <x:c r="D1155" s="12" t="n">
        <x:v>0.4278</x:v>
      </x:c>
      <x:c r="E1155" s="12" t="n">
        <x:v>0.004268865749714823</x:v>
      </x:c>
      <x:c r="F1155" s="12" t="n">
        <x:v>3.34</x:v>
      </x:c>
      <x:c r="G1155" s="12" t="n">
        <x:v>334</x:v>
      </x:c>
      <x:c r="H1155" s="12" t="n">
        <x:v>-2</x:v>
      </x:c>
      <x:c r="I1155" s="12" t="str">
        <x:v>TuShare index_daily</x:v>
      </x:c>
      <x:c r="J1155" s="12" t="str">
        <x:v>Archived FRED mirror (Hugging Face)</x:v>
      </x:c>
    </x:row>
    <x:row r="1156" ht="18" customHeight="1">
      <x:c r="A1156" s="13" t="n">
        <x:v>44329</x:v>
      </x:c>
      <x:c r="B1156" s="12" t="n">
        <x:v>4992.9738</x:v>
      </x:c>
      <x:c r="C1156" s="12" t="n">
        <x:v>5044.5481</x:v>
      </x:c>
      <x:c r="D1156" s="12" t="n">
        <x:v>-1.0224</x:v>
      </x:c>
      <x:c r="E1156" s="12" t="n">
        <x:v>-0.010276391799696024</x:v>
      </x:c>
      <x:c r="F1156" s="12" t="n">
        <x:v>3.37</x:v>
      </x:c>
      <x:c r="G1156" s="12" t="n">
        <x:v>337</x:v>
      </x:c>
      <x:c r="H1156" s="12" t="n">
        <x:v>3</x:v>
      </x:c>
      <x:c r="I1156" s="12" t="str">
        <x:v>TuShare index_daily</x:v>
      </x:c>
      <x:c r="J1156" s="12" t="str">
        <x:v>Archived FRED mirror (Hugging Face)</x:v>
      </x:c>
    </x:row>
    <x:row r="1157" ht="18" customHeight="1">
      <x:c r="A1157" s="13" t="n">
        <x:v>44330</x:v>
      </x:c>
      <x:c r="B1157" s="12" t="n">
        <x:v>5110.5901</x:v>
      </x:c>
      <x:c r="C1157" s="12" t="n">
        <x:v>4992.9738</x:v>
      </x:c>
      <x:c r="D1157" s="12" t="n">
        <x:v>2.3556</x:v>
      </x:c>
      <x:c r="E1157" s="12" t="n">
        <x:v>0.023283192842009297</x:v>
      </x:c>
      <x:c r="F1157" s="12" t="n">
        <x:v>3.35</x:v>
      </x:c>
      <x:c r="G1157" s="12" t="n">
        <x:v>335</x:v>
      </x:c>
      <x:c r="H1157" s="12" t="n">
        <x:v>-2</x:v>
      </x:c>
      <x:c r="I1157" s="12" t="str">
        <x:v>TuShare index_daily</x:v>
      </x:c>
      <x:c r="J1157" s="12" t="str">
        <x:v>Archived FRED mirror (Hugging Face)</x:v>
      </x:c>
    </x:row>
    <x:row r="1158" ht="18" customHeight="1">
      <x:c r="A1158" s="13" t="n">
        <x:v>44333</x:v>
      </x:c>
      <x:c r="B1158" s="12" t="n">
        <x:v>5184.9853</x:v>
      </x:c>
      <x:c r="C1158" s="12" t="n">
        <x:v>5110.5901</x:v>
      </x:c>
      <x:c r="D1158" s="12" t="n">
        <x:v>1.4557</x:v>
      </x:c>
      <x:c r="E1158" s="12" t="n">
        <x:v>0.014452129575788978</x:v>
      </x:c>
      <x:c r="F1158" s="12" t="n">
        <x:v>3.35</x:v>
      </x:c>
      <x:c r="G1158" s="12" t="n">
        <x:v>335</x:v>
      </x:c>
      <x:c r="H1158" s="12" t="n">
        <x:v>0</x:v>
      </x:c>
      <x:c r="I1158" s="12" t="str">
        <x:v>TuShare index_daily</x:v>
      </x:c>
      <x:c r="J1158" s="12" t="str">
        <x:v>Archived FRED mirror (Hugging Face)</x:v>
      </x:c>
    </x:row>
    <x:row r="1159" ht="18" customHeight="1">
      <x:c r="A1159" s="13" t="n">
        <x:v>44334</x:v>
      </x:c>
      <x:c r="B1159" s="12" t="n">
        <x:v>5187.6013</x:v>
      </x:c>
      <x:c r="C1159" s="12" t="n">
        <x:v>5184.9853</x:v>
      </x:c>
      <x:c r="D1159" s="12" t="n">
        <x:v>0.0505</x:v>
      </x:c>
      <x:c r="E1159" s="12" t="n">
        <x:v>0.0005044065007787606</x:v>
      </x:c>
      <x:c r="F1159" s="12" t="n">
        <x:v>3.35</x:v>
      </x:c>
      <x:c r="G1159" s="12" t="n">
        <x:v>335</x:v>
      </x:c>
      <x:c r="H1159" s="12" t="n">
        <x:v>0</x:v>
      </x:c>
      <x:c r="I1159" s="12" t="str">
        <x:v>TuShare index_daily</x:v>
      </x:c>
      <x:c r="J1159" s="12" t="str">
        <x:v>Archived FRED mirror (Hugging Face)</x:v>
      </x:c>
    </x:row>
    <x:row r="1160" ht="18" customHeight="1">
      <x:c r="A1160" s="13" t="n">
        <x:v>44335</x:v>
      </x:c>
      <x:c r="B1160" s="12" t="n">
        <x:v>5172.272</x:v>
      </x:c>
      <x:c r="C1160" s="12" t="n">
        <x:v>5187.6013</x:v>
      </x:c>
      <x:c r="D1160" s="12" t="n">
        <x:v>-0.2955</x:v>
      </x:c>
      <x:c r="E1160" s="12" t="n">
        <x:v>-0.002959362676300788</x:v>
      </x:c>
      <x:c r="F1160" s="12" t="n">
        <x:v>3.4</x:v>
      </x:c>
      <x:c r="G1160" s="12" t="n">
        <x:v>340</x:v>
      </x:c>
      <x:c r="H1160" s="12" t="n">
        <x:v>5</x:v>
      </x:c>
      <x:c r="I1160" s="12" t="str">
        <x:v>TuShare index_daily</x:v>
      </x:c>
      <x:c r="J1160" s="12" t="str">
        <x:v>Archived FRED mirror (Hugging Face)</x:v>
      </x:c>
    </x:row>
    <x:row r="1161" ht="18" customHeight="1">
      <x:c r="A1161" s="13" t="n">
        <x:v>44336</x:v>
      </x:c>
      <x:c r="B1161" s="12" t="n">
        <x:v>5186.412</x:v>
      </x:c>
      <x:c r="C1161" s="12" t="n">
        <x:v>5172.272</x:v>
      </x:c>
      <x:c r="D1161" s="12" t="n">
        <x:v>0.2734</x:v>
      </x:c>
      <x:c r="E1161" s="12" t="n">
        <x:v>0.002730078218913397</x:v>
      </x:c>
      <x:c r="F1161" s="12" t="n">
        <x:v>3.42</x:v>
      </x:c>
      <x:c r="G1161" s="12" t="n">
        <x:v>342</x:v>
      </x:c>
      <x:c r="H1161" s="12" t="n">
        <x:v>2</x:v>
      </x:c>
      <x:c r="I1161" s="12" t="str">
        <x:v>TuShare index_daily</x:v>
      </x:c>
      <x:c r="J1161" s="12" t="str">
        <x:v>Archived FRED mirror (Hugging Face)</x:v>
      </x:c>
    </x:row>
    <x:row r="1162" ht="18" customHeight="1">
      <x:c r="A1162" s="13" t="n">
        <x:v>44337</x:v>
      </x:c>
      <x:c r="B1162" s="12" t="n">
        <x:v>5134.1483</x:v>
      </x:c>
      <x:c r="C1162" s="12" t="n">
        <x:v>5186.412</x:v>
      </x:c>
      <x:c r="D1162" s="12" t="n">
        <x:v>-1.0077</x:v>
      </x:c>
      <x:c r="E1162" s="12" t="n">
        <x:v>-0.010128160728869793</x:v>
      </x:c>
      <x:c r="F1162" s="12" t="n">
        <x:v>3.37</x:v>
      </x:c>
      <x:c r="G1162" s="12" t="n">
        <x:v>337</x:v>
      </x:c>
      <x:c r="H1162" s="12" t="n">
        <x:v>-5</x:v>
      </x:c>
      <x:c r="I1162" s="12" t="str">
        <x:v>TuShare index_daily</x:v>
      </x:c>
      <x:c r="J1162" s="12" t="str">
        <x:v>Archived FRED mirror (Hugging Face)</x:v>
      </x:c>
    </x:row>
    <x:row r="1163" ht="18" customHeight="1">
      <x:c r="A1163" s="13" t="n">
        <x:v>44340</x:v>
      </x:c>
      <x:c r="B1163" s="12" t="n">
        <x:v>5155.5875</x:v>
      </x:c>
      <x:c r="C1163" s="12" t="n">
        <x:v>5134.1483</x:v>
      </x:c>
      <x:c r="D1163" s="12" t="n">
        <x:v>0.4176</x:v>
      </x:c>
      <x:c r="E1163" s="12" t="n">
        <x:v>0.004167110106744392</x:v>
      </x:c>
      <x:c r="F1163" s="12" t="n">
        <x:v>3.37</x:v>
      </x:c>
      <x:c r="G1163" s="12" t="n">
        <x:v>337</x:v>
      </x:c>
      <x:c r="H1163" s="12" t="n">
        <x:v>0</x:v>
      </x:c>
      <x:c r="I1163" s="12" t="str">
        <x:v>TuShare index_daily</x:v>
      </x:c>
      <x:c r="J1163" s="12" t="str">
        <x:v>Archived FRED mirror (Hugging Face)</x:v>
      </x:c>
    </x:row>
    <x:row r="1164" ht="18" customHeight="1">
      <x:c r="A1164" s="13" t="n">
        <x:v>44341</x:v>
      </x:c>
      <x:c r="B1164" s="12" t="n">
        <x:v>5318.478</x:v>
      </x:c>
      <x:c r="C1164" s="12" t="n">
        <x:v>5155.5875</x:v>
      </x:c>
      <x:c r="D1164" s="12" t="n">
        <x:v>3.1595</x:v>
      </x:c>
      <x:c r="E1164" s="12" t="n">
        <x:v>0.031106094198889784</x:v>
      </x:c>
      <x:c r="F1164" s="12" t="n">
        <x:v>3.34</x:v>
      </x:c>
      <x:c r="G1164" s="12" t="n">
        <x:v>334</x:v>
      </x:c>
      <x:c r="H1164" s="12" t="n">
        <x:v>-3</x:v>
      </x:c>
      <x:c r="I1164" s="12" t="str">
        <x:v>TuShare index_daily</x:v>
      </x:c>
      <x:c r="J1164" s="12" t="str">
        <x:v>Archived FRED mirror (Hugging Face)</x:v>
      </x:c>
    </x:row>
    <x:row r="1165" ht="18" customHeight="1">
      <x:c r="A1165" s="13" t="n">
        <x:v>44342</x:v>
      </x:c>
      <x:c r="B1165" s="12" t="n">
        <x:v>5320.5927</x:v>
      </x:c>
      <x:c r="C1165" s="12" t="n">
        <x:v>5318.478</x:v>
      </x:c>
      <x:c r="D1165" s="12" t="n">
        <x:v>0.0398</x:v>
      </x:c>
      <x:c r="E1165" s="12" t="n">
        <x:v>0.0003975347260076317</x:v>
      </x:c>
      <x:c r="F1165" s="12" t="n">
        <x:v>3.35</x:v>
      </x:c>
      <x:c r="G1165" s="12" t="n">
        <x:v>335</x:v>
      </x:c>
      <x:c r="H1165" s="12" t="n">
        <x:v>1</x:v>
      </x:c>
      <x:c r="I1165" s="12" t="str">
        <x:v>TuShare index_daily</x:v>
      </x:c>
      <x:c r="J1165" s="12" t="str">
        <x:v>Archived FRED mirror (Hugging Face)</x:v>
      </x:c>
    </x:row>
    <x:row r="1166" ht="18" customHeight="1">
      <x:c r="A1166" s="13" t="n">
        <x:v>44343</x:v>
      </x:c>
      <x:c r="B1166" s="12" t="n">
        <x:v>5338.2329</x:v>
      </x:c>
      <x:c r="C1166" s="12" t="n">
        <x:v>5320.5927</x:v>
      </x:c>
      <x:c r="D1166" s="12" t="n">
        <x:v>0.3315</x:v>
      </x:c>
      <x:c r="E1166" s="12" t="n">
        <x:v>0.00330997368141398</x:v>
      </x:c>
      <x:c r="F1166" s="12" t="n">
        <x:v>3.3</x:v>
      </x:c>
      <x:c r="G1166" s="12" t="n">
        <x:v>330</x:v>
      </x:c>
      <x:c r="H1166" s="12" t="n">
        <x:v>-5</x:v>
      </x:c>
      <x:c r="I1166" s="12" t="str">
        <x:v>TuShare index_daily</x:v>
      </x:c>
      <x:c r="J1166" s="12" t="str">
        <x:v>Archived FRED mirror (Hugging Face)</x:v>
      </x:c>
    </x:row>
    <x:row r="1167" ht="18" customHeight="1">
      <x:c r="A1167" s="13" t="n">
        <x:v>44344</x:v>
      </x:c>
      <x:c r="B1167" s="12" t="n">
        <x:v>5321.0886</x:v>
      </x:c>
      <x:c r="C1167" s="12" t="n">
        <x:v>5338.2329</x:v>
      </x:c>
      <x:c r="D1167" s="12" t="n">
        <x:v>-0.3212</x:v>
      </x:c>
      <x:c r="E1167" s="12" t="n">
        <x:v>-0.003216774122739079</x:v>
      </x:c>
      <x:c r="F1167" s="12" t="n">
        <x:v>3.29</x:v>
      </x:c>
      <x:c r="G1167" s="12" t="n">
        <x:v>329</x:v>
      </x:c>
      <x:c r="H1167" s="12" t="n">
        <x:v>-1</x:v>
      </x:c>
      <x:c r="I1167" s="12" t="str">
        <x:v>TuShare index_daily</x:v>
      </x:c>
      <x:c r="J1167" s="12" t="str">
        <x:v>Archived FRED mirror (Hugging Face)</x:v>
      </x:c>
    </x:row>
    <x:row r="1168" ht="18" customHeight="1">
      <x:c r="A1168" s="13" t="n">
        <x:v>44347</x:v>
      </x:c>
      <x:c r="B1168" s="12" t="n">
        <x:v>5331.5696</x:v>
      </x:c>
      <x:c r="C1168" s="12" t="n">
        <x:v>5321.0886</x:v>
      </x:c>
      <x:c r="D1168" s="12" t="n">
        <x:v>0.197</x:v>
      </x:c>
      <x:c r="E1168" s="12" t="n">
        <x:v>0.0019677723973122578</x:v>
      </x:c>
      <x:c r="F1168" s="12" t="n">
        <x:v>3.34</x:v>
      </x:c>
      <x:c r="G1168" s="12" t="n">
        <x:v>334</x:v>
      </x:c>
      <x:c r="H1168" s="12" t="n">
        <x:v>5</x:v>
      </x:c>
      <x:c r="I1168" s="12" t="str">
        <x:v>TuShare index_daily</x:v>
      </x:c>
      <x:c r="J1168" s="12" t="str">
        <x:v>Archived FRED mirror (Hugging Face)</x:v>
      </x:c>
    </x:row>
    <x:row r="1169" ht="18" customHeight="1">
      <x:c r="A1169" s="13" t="n">
        <x:v>44348</x:v>
      </x:c>
      <x:c r="B1169" s="12" t="n">
        <x:v>5341.6798</x:v>
      </x:c>
      <x:c r="C1169" s="12" t="n">
        <x:v>5331.5696</x:v>
      </x:c>
      <x:c r="D1169" s="12" t="n">
        <x:v>0.1896</x:v>
      </x:c>
      <x:c r="E1169" s="12" t="n">
        <x:v>0.001894493915579741</x:v>
      </x:c>
      <x:c r="F1169" s="12" t="n">
        <x:v>3.33</x:v>
      </x:c>
      <x:c r="G1169" s="12" t="n">
        <x:v>333</x:v>
      </x:c>
      <x:c r="H1169" s="12" t="n">
        <x:v>-1</x:v>
      </x:c>
      <x:c r="I1169" s="12" t="str">
        <x:v>TuShare index_daily</x:v>
      </x:c>
      <x:c r="J1169" s="12" t="str">
        <x:v>Archived FRED mirror (Hugging Face)</x:v>
      </x:c>
    </x:row>
    <x:row r="1170" ht="18" customHeight="1">
      <x:c r="A1170" s="13" t="n">
        <x:v>44349</x:v>
      </x:c>
      <x:c r="B1170" s="12" t="n">
        <x:v>5289.9736</x:v>
      </x:c>
      <x:c r="C1170" s="12" t="n">
        <x:v>5341.6798</x:v>
      </x:c>
      <x:c r="D1170" s="12" t="n">
        <x:v>-0.968</x:v>
      </x:c>
      <x:c r="E1170" s="12" t="n">
        <x:v>-0.00972691748439677</x:v>
      </x:c>
      <x:c r="F1170" s="12" t="n">
        <x:v>3.31</x:v>
      </x:c>
      <x:c r="G1170" s="12" t="n">
        <x:v>331</x:v>
      </x:c>
      <x:c r="H1170" s="12" t="n">
        <x:v>-2</x:v>
      </x:c>
      <x:c r="I1170" s="12" t="str">
        <x:v>TuShare index_daily</x:v>
      </x:c>
      <x:c r="J1170" s="12" t="str">
        <x:v>Archived FRED mirror (Hugging Face)</x:v>
      </x:c>
    </x:row>
    <x:row r="1171" ht="18" customHeight="1">
      <x:c r="A1171" s="13" t="n">
        <x:v>44350</x:v>
      </x:c>
      <x:c r="B1171" s="12" t="n">
        <x:v>5255.2855</x:v>
      </x:c>
      <x:c r="C1171" s="12" t="n">
        <x:v>5289.9736</x:v>
      </x:c>
      <x:c r="D1171" s="12" t="n">
        <x:v>-0.6557</x:v>
      </x:c>
      <x:c r="E1171" s="12" t="n">
        <x:v>-0.0065789232461387894</x:v>
      </x:c>
      <x:c r="F1171" s="12" t="n">
        <x:v>3.28</x:v>
      </x:c>
      <x:c r="G1171" s="12" t="n">
        <x:v>328</x:v>
      </x:c>
      <x:c r="H1171" s="12" t="n">
        <x:v>-3</x:v>
      </x:c>
      <x:c r="I1171" s="12" t="str">
        <x:v>TuShare index_daily</x:v>
      </x:c>
      <x:c r="J1171" s="12" t="str">
        <x:v>Archived FRED mirror (Hugging Face)</x:v>
      </x:c>
    </x:row>
    <x:row r="1172" ht="18" customHeight="1">
      <x:c r="A1172" s="13" t="n">
        <x:v>44351</x:v>
      </x:c>
      <x:c r="B1172" s="12" t="n">
        <x:v>5282.2772</x:v>
      </x:c>
      <x:c r="C1172" s="12" t="n">
        <x:v>5255.2855</x:v>
      </x:c>
      <x:c r="D1172" s="12" t="n">
        <x:v>0.5136</x:v>
      </x:c>
      <x:c r="E1172" s="12" t="n">
        <x:v>0.005122960555661023</x:v>
      </x:c>
      <x:c r="F1172" s="12" t="n">
        <x:v>3.28</x:v>
      </x:c>
      <x:c r="G1172" s="12" t="n">
        <x:v>328</x:v>
      </x:c>
      <x:c r="H1172" s="12" t="n">
        <x:v>0</x:v>
      </x:c>
      <x:c r="I1172" s="12" t="str">
        <x:v>TuShare index_daily</x:v>
      </x:c>
      <x:c r="J1172" s="12" t="str">
        <x:v>Archived FRED mirror (Hugging Face)</x:v>
      </x:c>
    </x:row>
    <x:row r="1173" ht="18" customHeight="1">
      <x:c r="A1173" s="13" t="n">
        <x:v>44354</x:v>
      </x:c>
      <x:c r="B1173" s="12" t="n">
        <x:v>5277.6271</x:v>
      </x:c>
      <x:c r="C1173" s="12" t="n">
        <x:v>5282.2772</x:v>
      </x:c>
      <x:c r="D1173" s="12" t="n">
        <x:v>-0.088</x:v>
      </x:c>
      <x:c r="E1173" s="12" t="n">
        <x:v>-0.0008807087959255326</x:v>
      </x:c>
      <x:c r="F1173" s="12" t="n">
        <x:v>3.27</x:v>
      </x:c>
      <x:c r="G1173" s="12" t="n">
        <x:v>327</x:v>
      </x:c>
      <x:c r="H1173" s="12" t="n">
        <x:v>-1</x:v>
      </x:c>
      <x:c r="I1173" s="12" t="str">
        <x:v>TuShare index_daily</x:v>
      </x:c>
      <x:c r="J1173" s="12" t="str">
        <x:v>Archived FRED mirror (Hugging Face)</x:v>
      </x:c>
    </x:row>
    <x:row r="1174" ht="18" customHeight="1">
      <x:c r="A1174" s="13" t="n">
        <x:v>44355</x:v>
      </x:c>
      <x:c r="B1174" s="12" t="n">
        <x:v>5232.1165</x:v>
      </x:c>
      <x:c r="C1174" s="12" t="n">
        <x:v>5277.6271</x:v>
      </x:c>
      <x:c r="D1174" s="12" t="n">
        <x:v>-0.8623</x:v>
      </x:c>
      <x:c r="E1174" s="12" t="n">
        <x:v>-0.008660703096580333</x:v>
      </x:c>
      <x:c r="F1174" s="12" t="n">
        <x:v>3.26</x:v>
      </x:c>
      <x:c r="G1174" s="12" t="n">
        <x:v>326</x:v>
      </x:c>
      <x:c r="H1174" s="12" t="n">
        <x:v>-1</x:v>
      </x:c>
      <x:c r="I1174" s="12" t="str">
        <x:v>TuShare index_daily</x:v>
      </x:c>
      <x:c r="J1174" s="12" t="str">
        <x:v>Archived FRED mirror (Hugging Face)</x:v>
      </x:c>
    </x:row>
    <x:row r="1175" ht="18" customHeight="1">
      <x:c r="A1175" s="13" t="n">
        <x:v>44356</x:v>
      </x:c>
      <x:c r="B1175" s="12" t="n">
        <x:v>5236.4493</x:v>
      </x:c>
      <x:c r="C1175" s="12" t="n">
        <x:v>5232.1165</x:v>
      </x:c>
      <x:c r="D1175" s="12" t="n">
        <x:v>0.0828</x:v>
      </x:c>
      <x:c r="E1175" s="12" t="n">
        <x:v>0.0008277734180943219</x:v>
      </x:c>
      <x:c r="F1175" s="12" t="n">
        <x:v>3.22</x:v>
      </x:c>
      <x:c r="G1175" s="12" t="n">
        <x:v>322</x:v>
      </x:c>
      <x:c r="H1175" s="12" t="n">
        <x:v>-4</x:v>
      </x:c>
      <x:c r="I1175" s="12" t="str">
        <x:v>TuShare index_daily</x:v>
      </x:c>
      <x:c r="J1175" s="12" t="str">
        <x:v>Archived FRED mirror (Hugging Face)</x:v>
      </x:c>
    </x:row>
    <x:row r="1176" ht="18" customHeight="1">
      <x:c r="A1176" s="13" t="n">
        <x:v>44357</x:v>
      </x:c>
      <x:c r="B1176" s="12" t="n">
        <x:v>5271.4661</x:v>
      </x:c>
      <x:c r="C1176" s="12" t="n">
        <x:v>5236.4493</x:v>
      </x:c>
      <x:c r="D1176" s="12" t="n">
        <x:v>0.6687</x:v>
      </x:c>
      <x:c r="E1176" s="12" t="n">
        <x:v>0.006664867062356995</x:v>
      </x:c>
      <x:c r="F1176" s="12" t="n">
        <x:v>3.23</x:v>
      </x:c>
      <x:c r="G1176" s="12" t="n">
        <x:v>323</x:v>
      </x:c>
      <x:c r="H1176" s="12" t="n">
        <x:v>1</x:v>
      </x:c>
      <x:c r="I1176" s="12" t="str">
        <x:v>TuShare index_daily</x:v>
      </x:c>
      <x:c r="J1176" s="12" t="str">
        <x:v>Archived FRED mirror (Hugging Face)</x:v>
      </x:c>
    </x:row>
    <x:row r="1177" ht="18" customHeight="1">
      <x:c r="A1177" s="13" t="n">
        <x:v>44358</x:v>
      </x:c>
      <x:c r="B1177" s="12" t="n">
        <x:v>5224.703</x:v>
      </x:c>
      <x:c r="C1177" s="12" t="n">
        <x:v>5271.4661</x:v>
      </x:c>
      <x:c r="D1177" s="12" t="n">
        <x:v>-0.8871</x:v>
      </x:c>
      <x:c r="E1177" s="12" t="n">
        <x:v>-0.008910567076980907</x:v>
      </x:c>
      <x:c r="F1177" s="12" t="n">
        <x:v>3.21</x:v>
      </x:c>
      <x:c r="G1177" s="12" t="n">
        <x:v>321</x:v>
      </x:c>
      <x:c r="H1177" s="12" t="n">
        <x:v>-2</x:v>
      </x:c>
      <x:c r="I1177" s="12" t="str">
        <x:v>TuShare index_daily</x:v>
      </x:c>
      <x:c r="J1177" s="12" t="str">
        <x:v>Archived FRED mirror (Hugging Face)</x:v>
      </x:c>
    </x:row>
    <x:row r="1178" ht="18" customHeight="1">
      <x:c r="A1178" s="13" t="n">
        <x:v>44362</x:v>
      </x:c>
      <x:c r="B1178" s="12" t="n">
        <x:v>5166.5597</x:v>
      </x:c>
      <x:c r="C1178" s="12" t="n">
        <x:v>5224.703</x:v>
      </x:c>
      <x:c r="D1178" s="12" t="n">
        <x:v>-1.1129</x:v>
      </x:c>
      <x:c r="E1178" s="12" t="n">
        <x:v>-0.011190922313067906</x:v>
      </x:c>
      <x:c r="F1178" s="12" t="n">
        <x:v>3.17</x:v>
      </x:c>
      <x:c r="G1178" s="12" t="n">
        <x:v>317</x:v>
      </x:c>
      <x:c r="H1178" s="12" t="n">
        <x:v>0</x:v>
      </x:c>
      <x:c r="I1178" s="12" t="str">
        <x:v>TuShare index_daily</x:v>
      </x:c>
      <x:c r="J1178" s="12" t="str">
        <x:v>Archived FRED mirror (Hugging Face)</x:v>
      </x:c>
    </x:row>
    <x:row r="1179" ht="18" customHeight="1">
      <x:c r="A1179" s="13" t="n">
        <x:v>44363</x:v>
      </x:c>
      <x:c r="B1179" s="12" t="n">
        <x:v>5080.4909</x:v>
      </x:c>
      <x:c r="C1179" s="12" t="n">
        <x:v>5166.5597</x:v>
      </x:c>
      <x:c r="D1179" s="12" t="n">
        <x:v>-1.6659</x:v>
      </x:c>
      <x:c r="E1179" s="12" t="n">
        <x:v>-0.016799141037062326</x:v>
      </x:c>
      <x:c r="F1179" s="12" t="n">
        <x:v>3.12</x:v>
      </x:c>
      <x:c r="G1179" s="12" t="n">
        <x:v>312</x:v>
      </x:c>
      <x:c r="H1179" s="12" t="n">
        <x:v>-5</x:v>
      </x:c>
      <x:c r="I1179" s="12" t="str">
        <x:v>TuShare index_daily</x:v>
      </x:c>
      <x:c r="J1179" s="12" t="str">
        <x:v>Archived FRED mirror (Hugging Face)</x:v>
      </x:c>
    </x:row>
    <x:row r="1180" ht="18" customHeight="1">
      <x:c r="A1180" s="13" t="n">
        <x:v>44364</x:v>
      </x:c>
      <x:c r="B1180" s="12" t="n">
        <x:v>5101.8924</x:v>
      </x:c>
      <x:c r="C1180" s="12" t="n">
        <x:v>5080.4909</x:v>
      </x:c>
      <x:c r="D1180" s="12" t="n">
        <x:v>0.4212</x:v>
      </x:c>
      <x:c r="E1180" s="12" t="n">
        <x:v>0.004203638948601504</x:v>
      </x:c>
      <x:c r="F1180" s="12" t="n">
        <x:v>3.15</x:v>
      </x:c>
      <x:c r="G1180" s="12" t="n">
        <x:v>315</x:v>
      </x:c>
      <x:c r="H1180" s="12" t="n">
        <x:v>3</x:v>
      </x:c>
      <x:c r="I1180" s="12" t="str">
        <x:v>TuShare index_daily</x:v>
      </x:c>
      <x:c r="J1180" s="12" t="str">
        <x:v>Archived FRED mirror (Hugging Face)</x:v>
      </x:c>
    </x:row>
    <x:row r="1181" ht="18" customHeight="1">
      <x:c r="A1181" s="13" t="n">
        <x:v>44365</x:v>
      </x:c>
      <x:c r="B1181" s="12" t="n">
        <x:v>5102.4657</x:v>
      </x:c>
      <x:c r="C1181" s="12" t="n">
        <x:v>5101.8924</x:v>
      </x:c>
      <x:c r="D1181" s="12" t="n">
        <x:v>0.0112</x:v>
      </x:c>
      <x:c r="E1181" s="12" t="n">
        <x:v>0.00011236375575712845</x:v>
      </x:c>
      <x:c r="F1181" s="12" t="n">
        <x:v>3.18</x:v>
      </x:c>
      <x:c r="G1181" s="12" t="n">
        <x:v>318</x:v>
      </x:c>
      <x:c r="H1181" s="12" t="n">
        <x:v>3</x:v>
      </x:c>
      <x:c r="I1181" s="12" t="str">
        <x:v>TuShare index_daily</x:v>
      </x:c>
      <x:c r="J1181" s="12" t="str">
        <x:v>Archived FRED mirror (Hugging Face)</x:v>
      </x:c>
    </x:row>
    <x:row r="1182" ht="18" customHeight="1">
      <x:c r="A1182" s="13" t="n">
        <x:v>44368</x:v>
      </x:c>
      <x:c r="B1182" s="12" t="n">
        <x:v>5090.3854</x:v>
      </x:c>
      <x:c r="C1182" s="12" t="n">
        <x:v>5102.4657</x:v>
      </x:c>
      <x:c r="D1182" s="12" t="n">
        <x:v>-0.2368</x:v>
      </x:c>
      <x:c r="E1182" s="12" t="n">
        <x:v>-0.0023703486958912613</x:v>
      </x:c>
      <x:c r="F1182" s="12" t="n">
        <x:v>3.14</x:v>
      </x:c>
      <x:c r="G1182" s="12" t="n">
        <x:v>314</x:v>
      </x:c>
      <x:c r="H1182" s="12" t="n">
        <x:v>-4</x:v>
      </x:c>
      <x:c r="I1182" s="12" t="str">
        <x:v>TuShare index_daily</x:v>
      </x:c>
      <x:c r="J1182" s="12" t="str">
        <x:v>Archived FRED mirror (Hugging Face)</x:v>
      </x:c>
    </x:row>
    <x:row r="1183" ht="18" customHeight="1">
      <x:c r="A1183" s="13" t="n">
        <x:v>44369</x:v>
      </x:c>
      <x:c r="B1183" s="12" t="n">
        <x:v>5122.1583</x:v>
      </x:c>
      <x:c r="C1183" s="12" t="n">
        <x:v>5090.3854</x:v>
      </x:c>
      <x:c r="D1183" s="12" t="n">
        <x:v>0.6242</x:v>
      </x:c>
      <x:c r="E1183" s="12" t="n">
        <x:v>0.0062223484075154345</x:v>
      </x:c>
      <x:c r="F1183" s="12" t="n">
        <x:v>3.15</x:v>
      </x:c>
      <x:c r="G1183" s="12" t="n">
        <x:v>315</x:v>
      </x:c>
      <x:c r="H1183" s="12" t="n">
        <x:v>1</x:v>
      </x:c>
      <x:c r="I1183" s="12" t="str">
        <x:v>TuShare index_daily</x:v>
      </x:c>
      <x:c r="J1183" s="12" t="str">
        <x:v>Archived FRED mirror (Hugging Face)</x:v>
      </x:c>
    </x:row>
    <x:row r="1184" ht="18" customHeight="1">
      <x:c r="A1184" s="13" t="n">
        <x:v>44370</x:v>
      </x:c>
      <x:c r="B1184" s="12" t="n">
        <x:v>5147.3938</x:v>
      </x:c>
      <x:c r="C1184" s="12" t="n">
        <x:v>5122.1583</x:v>
      </x:c>
      <x:c r="D1184" s="12" t="n">
        <x:v>0.4927</x:v>
      </x:c>
      <x:c r="E1184" s="12" t="n">
        <x:v>0.004914635136633502</x:v>
      </x:c>
      <x:c r="F1184" s="12" t="n">
        <x:v>3.13</x:v>
      </x:c>
      <x:c r="G1184" s="12" t="n">
        <x:v>313</x:v>
      </x:c>
      <x:c r="H1184" s="12" t="n">
        <x:v>-2</x:v>
      </x:c>
      <x:c r="I1184" s="12" t="str">
        <x:v>TuShare index_daily</x:v>
      </x:c>
      <x:c r="J1184" s="12" t="str">
        <x:v>Archived FRED mirror (Hugging Face)</x:v>
      </x:c>
    </x:row>
    <x:row r="1185" ht="18" customHeight="1">
      <x:c r="A1185" s="13" t="n">
        <x:v>44371</x:v>
      </x:c>
      <x:c r="B1185" s="12" t="n">
        <x:v>5155.9738</x:v>
      </x:c>
      <x:c r="C1185" s="12" t="n">
        <x:v>5147.3938</x:v>
      </x:c>
      <x:c r="D1185" s="12" t="n">
        <x:v>0.1667</x:v>
      </x:c>
      <x:c r="E1185" s="12" t="n">
        <x:v>0.0016654752730112406</x:v>
      </x:c>
      <x:c r="F1185" s="12" t="n">
        <x:v>3.08</x:v>
      </x:c>
      <x:c r="G1185" s="12" t="n">
        <x:v>308</x:v>
      </x:c>
      <x:c r="H1185" s="12" t="n">
        <x:v>-5</x:v>
      </x:c>
      <x:c r="I1185" s="12" t="str">
        <x:v>TuShare index_daily</x:v>
      </x:c>
      <x:c r="J1185" s="12" t="str">
        <x:v>Archived FRED mirror (Hugging Face)</x:v>
      </x:c>
    </x:row>
    <x:row r="1186" ht="18" customHeight="1">
      <x:c r="A1186" s="13" t="n">
        <x:v>44372</x:v>
      </x:c>
      <x:c r="B1186" s="12" t="n">
        <x:v>5239.9684</x:v>
      </x:c>
      <x:c r="C1186" s="12" t="n">
        <x:v>5155.9738</x:v>
      </x:c>
      <x:c r="D1186" s="12" t="n">
        <x:v>1.6291</x:v>
      </x:c>
      <x:c r="E1186" s="12" t="n">
        <x:v>0.01615946417488065</x:v>
      </x:c>
      <x:c r="F1186" s="12" t="n">
        <x:v>3.04</x:v>
      </x:c>
      <x:c r="G1186" s="12" t="n">
        <x:v>304</x:v>
      </x:c>
      <x:c r="H1186" s="12" t="n">
        <x:v>-4</x:v>
      </x:c>
      <x:c r="I1186" s="12" t="str">
        <x:v>TuShare index_daily</x:v>
      </x:c>
      <x:c r="J1186" s="12" t="str">
        <x:v>Archived FRED mirror (Hugging Face)</x:v>
      </x:c>
    </x:row>
    <x:row r="1187" ht="18" customHeight="1">
      <x:c r="A1187" s="13" t="n">
        <x:v>44375</x:v>
      </x:c>
      <x:c r="B1187" s="12" t="n">
        <x:v>5251.7604</x:v>
      </x:c>
      <x:c r="C1187" s="12" t="n">
        <x:v>5239.9684</x:v>
      </x:c>
      <x:c r="D1187" s="12" t="n">
        <x:v>0.225</x:v>
      </x:c>
      <x:c r="E1187" s="12" t="n">
        <x:v>0.002247866903559741</x:v>
      </x:c>
      <x:c r="F1187" s="12" t="n">
        <x:v>3.05</x:v>
      </x:c>
      <x:c r="G1187" s="12" t="n">
        <x:v>305</x:v>
      </x:c>
      <x:c r="H1187" s="12" t="n">
        <x:v>1</x:v>
      </x:c>
      <x:c r="I1187" s="12" t="str">
        <x:v>TuShare index_daily</x:v>
      </x:c>
      <x:c r="J1187" s="12" t="str">
        <x:v>Archived FRED mirror (Hugging Face)</x:v>
      </x:c>
    </x:row>
    <x:row r="1188" ht="18" customHeight="1">
      <x:c r="A1188" s="13" t="n">
        <x:v>44376</x:v>
      </x:c>
      <x:c r="B1188" s="12" t="n">
        <x:v>5190.5445</x:v>
      </x:c>
      <x:c r="C1188" s="12" t="n">
        <x:v>5251.7604</x:v>
      </x:c>
      <x:c r="D1188" s="12" t="n">
        <x:v>-1.1656</x:v>
      </x:c>
      <x:c r="E1188" s="12" t="n">
        <x:v>-0.011724729714395393</x:v>
      </x:c>
      <x:c r="F1188" s="12" t="n">
        <x:v>3.03</x:v>
      </x:c>
      <x:c r="G1188" s="12" t="n">
        <x:v>303</x:v>
      </x:c>
      <x:c r="H1188" s="12" t="n">
        <x:v>-2</x:v>
      </x:c>
      <x:c r="I1188" s="12" t="str">
        <x:v>TuShare index_daily</x:v>
      </x:c>
      <x:c r="J1188" s="12" t="str">
        <x:v>Archived FRED mirror (Hugging Face)</x:v>
      </x:c>
    </x:row>
    <x:row r="1189" ht="18" customHeight="1">
      <x:c r="A1189" s="13" t="n">
        <x:v>44377</x:v>
      </x:c>
      <x:c r="B1189" s="12" t="n">
        <x:v>5224.041</x:v>
      </x:c>
      <x:c r="C1189" s="12" t="n">
        <x:v>5190.5445</x:v>
      </x:c>
      <x:c r="D1189" s="12" t="n">
        <x:v>0.6453</x:v>
      </x:c>
      <x:c r="E1189" s="12" t="n">
        <x:v>0.006432635365788018</x:v>
      </x:c>
      <x:c r="F1189" s="12" t="n">
        <x:v>3.04</x:v>
      </x:c>
      <x:c r="G1189" s="12" t="n">
        <x:v>304</x:v>
      </x:c>
      <x:c r="H1189" s="12" t="n">
        <x:v>1</x:v>
      </x:c>
      <x:c r="I1189" s="12" t="str">
        <x:v>TuShare index_daily</x:v>
      </x:c>
      <x:c r="J1189" s="12" t="str">
        <x:v>Archived FRED mirror (Hugging Face)</x:v>
      </x:c>
    </x:row>
    <x:row r="1190" ht="18" customHeight="1">
      <x:c r="A1190" s="13" t="n">
        <x:v>44378</x:v>
      </x:c>
      <x:c r="B1190" s="12" t="n">
        <x:v>5229.6642</x:v>
      </x:c>
      <x:c r="C1190" s="12" t="n">
        <x:v>5224.041</x:v>
      </x:c>
      <x:c r="D1190" s="12" t="n">
        <x:v>0.1076</x:v>
      </x:c>
      <x:c r="E1190" s="12" t="n">
        <x:v>0.0010758291791815775</x:v>
      </x:c>
      <x:c r="F1190" s="12" t="n">
        <x:v>3.02</x:v>
      </x:c>
      <x:c r="G1190" s="12" t="n">
        <x:v>302</x:v>
      </x:c>
      <x:c r="H1190" s="12" t="n">
        <x:v>-2</x:v>
      </x:c>
      <x:c r="I1190" s="12" t="str">
        <x:v>TuShare index_daily</x:v>
      </x:c>
      <x:c r="J1190" s="12" t="str">
        <x:v>Archived FRED mirror (Hugging Face)</x:v>
      </x:c>
    </x:row>
    <x:row r="1191" ht="18" customHeight="1">
      <x:c r="A1191" s="13" t="n">
        <x:v>44379</x:v>
      </x:c>
      <x:c r="B1191" s="12" t="n">
        <x:v>5081.1172</x:v>
      </x:c>
      <x:c r="C1191" s="12" t="n">
        <x:v>5229.6642</x:v>
      </x:c>
      <x:c r="D1191" s="12" t="n">
        <x:v>-2.8405</x:v>
      </x:c>
      <x:c r="E1191" s="12" t="n">
        <x:v>-0.02881591084345226</x:v>
      </x:c>
      <x:c r="F1191" s="12" t="n">
        <x:v>3.04</x:v>
      </x:c>
      <x:c r="G1191" s="12" t="n">
        <x:v>304</x:v>
      </x:c>
      <x:c r="H1191" s="12" t="n">
        <x:v>2</x:v>
      </x:c>
      <x:c r="I1191" s="12" t="str">
        <x:v>TuShare index_daily</x:v>
      </x:c>
      <x:c r="J1191" s="12" t="str">
        <x:v>Archived FRED mirror (Hugging Face)</x:v>
      </x:c>
    </x:row>
    <x:row r="1192" ht="18" customHeight="1">
      <x:c r="A1192" s="13" t="n">
        <x:v>44382</x:v>
      </x:c>
      <x:c r="B1192" s="12" t="n">
        <x:v>5085.7924</x:v>
      </x:c>
      <x:c r="C1192" s="12" t="n">
        <x:v>5081.1172</x:v>
      </x:c>
      <x:c r="D1192" s="12" t="n">
        <x:v>0.092</x:v>
      </x:c>
      <x:c r="E1192" s="12" t="n">
        <x:v>0.0009196895641789991</x:v>
      </x:c>
      <x:c r="F1192" s="12" t="n">
        <x:v>3.03</x:v>
      </x:c>
      <x:c r="G1192" s="12" t="n">
        <x:v>303</x:v>
      </x:c>
      <x:c r="H1192" s="12" t="n">
        <x:v>-1</x:v>
      </x:c>
      <x:c r="I1192" s="12" t="str">
        <x:v>TuShare index_daily</x:v>
      </x:c>
      <x:c r="J1192" s="12" t="str">
        <x:v>Archived FRED mirror (Hugging Face)</x:v>
      </x:c>
    </x:row>
    <x:row r="1193" ht="18" customHeight="1">
      <x:c r="A1193" s="13" t="n">
        <x:v>44383</x:v>
      </x:c>
      <x:c r="B1193" s="12" t="n">
        <x:v>5083.1043</x:v>
      </x:c>
      <x:c r="C1193" s="12" t="n">
        <x:v>5085.7924</x:v>
      </x:c>
      <x:c r="D1193" s="12" t="n">
        <x:v>-0.0529</x:v>
      </x:c>
      <x:c r="E1193" s="12" t="n">
        <x:v>-0.0005286906027109014</x:v>
      </x:c>
      <x:c r="F1193" s="12" t="n">
        <x:v>3.05</x:v>
      </x:c>
      <x:c r="G1193" s="12" t="n">
        <x:v>305</x:v>
      </x:c>
      <x:c r="H1193" s="12" t="n">
        <x:v>2</x:v>
      </x:c>
      <x:c r="I1193" s="12" t="str">
        <x:v>TuShare index_daily</x:v>
      </x:c>
      <x:c r="J1193" s="12" t="str">
        <x:v>Archived FRED mirror (Hugging Face)</x:v>
      </x:c>
    </x:row>
    <x:row r="1194" ht="18" customHeight="1">
      <x:c r="A1194" s="13" t="n">
        <x:v>44384</x:v>
      </x:c>
      <x:c r="B1194" s="12" t="n">
        <x:v>5140.4899</x:v>
      </x:c>
      <x:c r="C1194" s="12" t="n">
        <x:v>5083.1043</x:v>
      </x:c>
      <x:c r="D1194" s="12" t="n">
        <x:v>1.1289</x:v>
      </x:c>
      <x:c r="E1194" s="12" t="n">
        <x:v>0.011226228576722806</x:v>
      </x:c>
      <x:c r="F1194" s="12" t="n">
        <x:v>3.05</x:v>
      </x:c>
      <x:c r="G1194" s="12" t="n">
        <x:v>305</x:v>
      </x:c>
      <x:c r="H1194" s="12" t="n">
        <x:v>0</x:v>
      </x:c>
      <x:c r="I1194" s="12" t="str">
        <x:v>TuShare index_daily</x:v>
      </x:c>
      <x:c r="J1194" s="12" t="str">
        <x:v>Archived FRED mirror (Hugging Face)</x:v>
      </x:c>
    </x:row>
    <x:row r="1195" ht="18" customHeight="1">
      <x:c r="A1195" s="13" t="n">
        <x:v>44385</x:v>
      </x:c>
      <x:c r="B1195" s="12" t="n">
        <x:v>5088.2566</x:v>
      </x:c>
      <x:c r="C1195" s="12" t="n">
        <x:v>5140.4899</x:v>
      </x:c>
      <x:c r="D1195" s="12" t="n">
        <x:v>-1.0161</x:v>
      </x:c>
      <x:c r="E1195" s="12" t="n">
        <x:v>-0.010213129053200676</x:v>
      </x:c>
      <x:c r="F1195" s="12" t="n">
        <x:v>3.14</x:v>
      </x:c>
      <x:c r="G1195" s="12" t="n">
        <x:v>314</x:v>
      </x:c>
      <x:c r="H1195" s="12" t="n">
        <x:v>9</x:v>
      </x:c>
      <x:c r="I1195" s="12" t="str">
        <x:v>TuShare index_daily</x:v>
      </x:c>
      <x:c r="J1195" s="12" t="str">
        <x:v>Archived FRED mirror (Hugging Face)</x:v>
      </x:c>
    </x:row>
    <x:row r="1196" ht="18" customHeight="1">
      <x:c r="A1196" s="13" t="n">
        <x:v>44386</x:v>
      </x:c>
      <x:c r="B1196" s="12" t="n">
        <x:v>5069.4361</x:v>
      </x:c>
      <x:c r="C1196" s="12" t="n">
        <x:v>5088.2566</x:v>
      </x:c>
      <x:c r="D1196" s="12" t="n">
        <x:v>-0.3699</x:v>
      </x:c>
      <x:c r="E1196" s="12" t="n">
        <x:v>-0.003705668618403645</x:v>
      </x:c>
      <x:c r="F1196" s="12" t="n">
        <x:v>3.07</x:v>
      </x:c>
      <x:c r="G1196" s="12" t="n">
        <x:v>307</x:v>
      </x:c>
      <x:c r="H1196" s="12" t="n">
        <x:v>-7</x:v>
      </x:c>
      <x:c r="I1196" s="12" t="str">
        <x:v>TuShare index_daily</x:v>
      </x:c>
      <x:c r="J1196" s="12" t="str">
        <x:v>Archived FRED mirror (Hugging Face)</x:v>
      </x:c>
    </x:row>
    <x:row r="1197" ht="18" customHeight="1">
      <x:c r="A1197" s="13" t="n">
        <x:v>44389</x:v>
      </x:c>
      <x:c r="B1197" s="12" t="n">
        <x:v>5132.7088</x:v>
      </x:c>
      <x:c r="C1197" s="12" t="n">
        <x:v>5069.4361</x:v>
      </x:c>
      <x:c r="D1197" s="12" t="n">
        <x:v>1.2481</x:v>
      </x:c>
      <x:c r="E1197" s="12" t="n">
        <x:v>0.012403962474664831</x:v>
      </x:c>
      <x:c r="F1197" s="12" t="n">
        <x:v>3.05</x:v>
      </x:c>
      <x:c r="G1197" s="12" t="n">
        <x:v>305</x:v>
      </x:c>
      <x:c r="H1197" s="12" t="n">
        <x:v>-2</x:v>
      </x:c>
      <x:c r="I1197" s="12" t="str">
        <x:v>TuShare index_daily</x:v>
      </x:c>
      <x:c r="J1197" s="12" t="str">
        <x:v>Archived FRED mirror (Hugging Face)</x:v>
      </x:c>
    </x:row>
    <x:row r="1198" ht="18" customHeight="1">
      <x:c r="A1198" s="13" t="n">
        <x:v>44390</x:v>
      </x:c>
      <x:c r="B1198" s="12" t="n">
        <x:v>5142.0991</x:v>
      </x:c>
      <x:c r="C1198" s="12" t="n">
        <x:v>5132.7088</x:v>
      </x:c>
      <x:c r="D1198" s="12" t="n">
        <x:v>0.183</x:v>
      </x:c>
      <x:c r="E1198" s="12" t="n">
        <x:v>0.001827830302187363</x:v>
      </x:c>
      <x:c r="F1198" s="12" t="n">
        <x:v>3.04</x:v>
      </x:c>
      <x:c r="G1198" s="12" t="n">
        <x:v>304</x:v>
      </x:c>
      <x:c r="H1198" s="12" t="n">
        <x:v>-1</x:v>
      </x:c>
      <x:c r="I1198" s="12" t="str">
        <x:v>TuShare index_daily</x:v>
      </x:c>
      <x:c r="J1198" s="12" t="str">
        <x:v>Archived FRED mirror (Hugging Face)</x:v>
      </x:c>
    </x:row>
    <x:row r="1199" ht="18" customHeight="1">
      <x:c r="A1199" s="13" t="n">
        <x:v>44391</x:v>
      </x:c>
      <x:c r="B1199" s="12" t="n">
        <x:v>5083.0849</x:v>
      </x:c>
      <x:c r="C1199" s="12" t="n">
        <x:v>5142.0991</x:v>
      </x:c>
      <x:c r="D1199" s="12" t="n">
        <x:v>-1.1477</x:v>
      </x:c>
      <x:c r="E1199" s="12" t="n">
        <x:v>-0.011543040254654557</x:v>
      </x:c>
      <x:c r="F1199" s="12" t="n">
        <x:v>3.1</x:v>
      </x:c>
      <x:c r="G1199" s="12" t="n">
        <x:v>310</x:v>
      </x:c>
      <x:c r="H1199" s="12" t="n">
        <x:v>6</x:v>
      </x:c>
      <x:c r="I1199" s="12" t="str">
        <x:v>TuShare index_daily</x:v>
      </x:c>
      <x:c r="J1199" s="12" t="str">
        <x:v>Archived FRED mirror (Hugging Face)</x:v>
      </x:c>
    </x:row>
    <x:row r="1200" ht="18" customHeight="1">
      <x:c r="A1200" s="13" t="n">
        <x:v>44392</x:v>
      </x:c>
      <x:c r="B1200" s="12" t="n">
        <x:v>5151.4626</x:v>
      </x:c>
      <x:c r="C1200" s="12" t="n">
        <x:v>5083.0849</x:v>
      </x:c>
      <x:c r="D1200" s="12" t="n">
        <x:v>1.3452</x:v>
      </x:c>
      <x:c r="E1200" s="12" t="n">
        <x:v>0.013362333295396704</x:v>
      </x:c>
      <x:c r="F1200" s="12" t="n">
        <x:v>3.14</x:v>
      </x:c>
      <x:c r="G1200" s="12" t="n">
        <x:v>314</x:v>
      </x:c>
      <x:c r="H1200" s="12" t="n">
        <x:v>4</x:v>
      </x:c>
      <x:c r="I1200" s="12" t="str">
        <x:v>TuShare index_daily</x:v>
      </x:c>
      <x:c r="J1200" s="12" t="str">
        <x:v>Archived FRED mirror (Hugging Face)</x:v>
      </x:c>
    </x:row>
    <x:row r="1201" ht="18" customHeight="1">
      <x:c r="A1201" s="13" t="n">
        <x:v>44393</x:v>
      </x:c>
      <x:c r="B1201" s="12" t="n">
        <x:v>5094.7727</x:v>
      </x:c>
      <x:c r="C1201" s="12" t="n">
        <x:v>5151.4626</x:v>
      </x:c>
      <x:c r="D1201" s="12" t="n">
        <x:v>-1.1005</x:v>
      </x:c>
      <x:c r="E1201" s="12" t="n">
        <x:v>-0.011065621040815304</x:v>
      </x:c>
      <x:c r="F1201" s="12" t="n">
        <x:v>3.18</x:v>
      </x:c>
      <x:c r="G1201" s="12" t="n">
        <x:v>318</x:v>
      </x:c>
      <x:c r="H1201" s="12" t="n">
        <x:v>4</x:v>
      </x:c>
      <x:c r="I1201" s="12" t="str">
        <x:v>TuShare index_daily</x:v>
      </x:c>
      <x:c r="J1201" s="12" t="str">
        <x:v>Archived FRED mirror (Hugging Face)</x:v>
      </x:c>
    </x:row>
    <x:row r="1202" ht="18" customHeight="1">
      <x:c r="A1202" s="13" t="n">
        <x:v>44396</x:v>
      </x:c>
      <x:c r="B1202" s="12" t="n">
        <x:v>5113.4945</x:v>
      </x:c>
      <x:c r="C1202" s="12" t="n">
        <x:v>5094.7727</x:v>
      </x:c>
      <x:c r="D1202" s="12" t="n">
        <x:v>0.3675</x:v>
      </x:c>
      <x:c r="E1202" s="12" t="n">
        <x:v>0.0036679723646509273</x:v>
      </x:c>
      <x:c r="F1202" s="12" t="n">
        <x:v>3.44</x:v>
      </x:c>
      <x:c r="G1202" s="12" t="n">
        <x:v>344</x:v>
      </x:c>
      <x:c r="H1202" s="12" t="n">
        <x:v>26</x:v>
      </x:c>
      <x:c r="I1202" s="12" t="str">
        <x:v>TuShare index_daily</x:v>
      </x:c>
      <x:c r="J1202" s="12" t="str">
        <x:v>Archived FRED mirror (Hugging Face)</x:v>
      </x:c>
    </x:row>
    <x:row r="1203" ht="18" customHeight="1">
      <x:c r="A1203" s="13" t="n">
        <x:v>44397</x:v>
      </x:c>
      <x:c r="B1203" s="12" t="n">
        <x:v>5108.9941</x:v>
      </x:c>
      <x:c r="C1203" s="12" t="n">
        <x:v>5113.4945</x:v>
      </x:c>
      <x:c r="D1203" s="12" t="n">
        <x:v>-0.088</x:v>
      </x:c>
      <x:c r="E1203" s="12" t="n">
        <x:v>-0.0008804901559389637</x:v>
      </x:c>
      <x:c r="F1203" s="12" t="n">
        <x:v>3.38</x:v>
      </x:c>
      <x:c r="G1203" s="12" t="n">
        <x:v>338</x:v>
      </x:c>
      <x:c r="H1203" s="12" t="n">
        <x:v>-6</x:v>
      </x:c>
      <x:c r="I1203" s="12" t="str">
        <x:v>TuShare index_daily</x:v>
      </x:c>
      <x:c r="J1203" s="12" t="str">
        <x:v>Archived FRED mirror (Hugging Face)</x:v>
      </x:c>
    </x:row>
    <x:row r="1204" ht="18" customHeight="1">
      <x:c r="A1204" s="13" t="n">
        <x:v>44398</x:v>
      </x:c>
      <x:c r="B1204" s="12" t="n">
        <x:v>5144.0428</x:v>
      </x:c>
      <x:c r="C1204" s="12" t="n">
        <x:v>5108.9941</x:v>
      </x:c>
      <x:c r="D1204" s="12" t="n">
        <x:v>0.686</x:v>
      </x:c>
      <x:c r="E1204" s="12" t="n">
        <x:v>0.006836771750779328</x:v>
      </x:c>
      <x:c r="F1204" s="12" t="n">
        <x:v>3.24</x:v>
      </x:c>
      <x:c r="G1204" s="12" t="n">
        <x:v>324</x:v>
      </x:c>
      <x:c r="H1204" s="12" t="n">
        <x:v>-14</x:v>
      </x:c>
      <x:c r="I1204" s="12" t="str">
        <x:v>TuShare index_daily</x:v>
      </x:c>
      <x:c r="J1204" s="12" t="str">
        <x:v>Archived FRED mirror (Hugging Face)</x:v>
      </x:c>
    </x:row>
    <x:row r="1205" ht="18" customHeight="1">
      <x:c r="A1205" s="13" t="n">
        <x:v>44399</x:v>
      </x:c>
      <x:c r="B1205" s="12" t="n">
        <x:v>5151.7517</x:v>
      </x:c>
      <x:c r="C1205" s="12" t="n">
        <x:v>5144.0428</x:v>
      </x:c>
      <x:c r="D1205" s="12" t="n">
        <x:v>0.1499</x:v>
      </x:c>
      <x:c r="E1205" s="12" t="n">
        <x:v>0.001497485490911058</x:v>
      </x:c>
      <x:c r="F1205" s="12" t="n">
        <x:v>3.24</x:v>
      </x:c>
      <x:c r="G1205" s="12" t="n">
        <x:v>324</x:v>
      </x:c>
      <x:c r="H1205" s="12" t="n">
        <x:v>0</x:v>
      </x:c>
      <x:c r="I1205" s="12" t="str">
        <x:v>TuShare index_daily</x:v>
      </x:c>
      <x:c r="J1205" s="12" t="str">
        <x:v>Archived FRED mirror (Hugging Face)</x:v>
      </x:c>
    </x:row>
    <x:row r="1206" ht="18" customHeight="1">
      <x:c r="A1206" s="13" t="n">
        <x:v>44400</x:v>
      </x:c>
      <x:c r="B1206" s="12" t="n">
        <x:v>5089.2282</x:v>
      </x:c>
      <x:c r="C1206" s="12" t="n">
        <x:v>5151.7517</x:v>
      </x:c>
      <x:c r="D1206" s="12" t="n">
        <x:v>-1.2136</x:v>
      </x:c>
      <x:c r="E1206" s="12" t="n">
        <x:v>-0.012210604347853416</x:v>
      </x:c>
      <x:c r="F1206" s="12" t="n">
        <x:v>3.22</x:v>
      </x:c>
      <x:c r="G1206" s="12" t="n">
        <x:v>322</x:v>
      </x:c>
      <x:c r="H1206" s="12" t="n">
        <x:v>-2</x:v>
      </x:c>
      <x:c r="I1206" s="12" t="str">
        <x:v>TuShare index_daily</x:v>
      </x:c>
      <x:c r="J1206" s="12" t="str">
        <x:v>Archived FRED mirror (Hugging Face)</x:v>
      </x:c>
    </x:row>
    <x:row r="1207" ht="18" customHeight="1">
      <x:c r="A1207" s="13" t="n">
        <x:v>44403</x:v>
      </x:c>
      <x:c r="B1207" s="12" t="n">
        <x:v>4925.299</x:v>
      </x:c>
      <x:c r="C1207" s="12" t="n">
        <x:v>5089.2282</x:v>
      </x:c>
      <x:c r="D1207" s="12" t="n">
        <x:v>-3.2211</x:v>
      </x:c>
      <x:c r="E1207" s="12" t="n">
        <x:v>-0.03274120497587915</x:v>
      </x:c>
      <x:c r="F1207" s="12" t="n">
        <x:v>3.21</x:v>
      </x:c>
      <x:c r="G1207" s="12" t="n">
        <x:v>321</x:v>
      </x:c>
      <x:c r="H1207" s="12" t="n">
        <x:v>-1</x:v>
      </x:c>
      <x:c r="I1207" s="12" t="str">
        <x:v>TuShare index_daily</x:v>
      </x:c>
      <x:c r="J1207" s="12" t="str">
        <x:v>Archived FRED mirror (Hugging Face)</x:v>
      </x:c>
    </x:row>
    <x:row r="1208" ht="18" customHeight="1">
      <x:c r="A1208" s="13" t="n">
        <x:v>44404</x:v>
      </x:c>
      <x:c r="B1208" s="12" t="n">
        <x:v>4751.313</x:v>
      </x:c>
      <x:c r="C1208" s="12" t="n">
        <x:v>4925.299</x:v>
      </x:c>
      <x:c r="D1208" s="12" t="n">
        <x:v>-3.5325</x:v>
      </x:c>
      <x:c r="E1208" s="12" t="n">
        <x:v>-0.03596398253921202</x:v>
      </x:c>
      <x:c r="F1208" s="12" t="n">
        <x:v>3.27</x:v>
      </x:c>
      <x:c r="G1208" s="12" t="n">
        <x:v>327</x:v>
      </x:c>
      <x:c r="H1208" s="12" t="n">
        <x:v>6</x:v>
      </x:c>
      <x:c r="I1208" s="12" t="str">
        <x:v>TuShare index_daily</x:v>
      </x:c>
      <x:c r="J1208" s="12" t="str">
        <x:v>Archived FRED mirror (Hugging Face)</x:v>
      </x:c>
    </x:row>
    <x:row r="1209" ht="18" customHeight="1">
      <x:c r="A1209" s="13" t="n">
        <x:v>44405</x:v>
      </x:c>
      <x:c r="B1209" s="12" t="n">
        <x:v>4760.4826</x:v>
      </x:c>
      <x:c r="C1209" s="12" t="n">
        <x:v>4751.313</x:v>
      </x:c>
      <x:c r="D1209" s="12" t="n">
        <x:v>0.193</x:v>
      </x:c>
      <x:c r="E1209" s="12" t="n">
        <x:v>0.0019280487567601367</x:v>
      </x:c>
      <x:c r="F1209" s="12" t="n">
        <x:v>3.26</x:v>
      </x:c>
      <x:c r="G1209" s="12" t="n">
        <x:v>326</x:v>
      </x:c>
      <x:c r="H1209" s="12" t="n">
        <x:v>-1</x:v>
      </x:c>
      <x:c r="I1209" s="12" t="str">
        <x:v>TuShare index_daily</x:v>
      </x:c>
      <x:c r="J1209" s="12" t="str">
        <x:v>Archived FRED mirror (Hugging Face)</x:v>
      </x:c>
    </x:row>
    <x:row r="1210" ht="18" customHeight="1">
      <x:c r="A1210" s="13" t="n">
        <x:v>44406</x:v>
      </x:c>
      <x:c r="B1210" s="12" t="n">
        <x:v>4850.2746</x:v>
      </x:c>
      <x:c r="C1210" s="12" t="n">
        <x:v>4760.4826</x:v>
      </x:c>
      <x:c r="D1210" s="12" t="n">
        <x:v>1.8862</x:v>
      </x:c>
      <x:c r="E1210" s="12" t="n">
        <x:v>0.018686272244641713</x:v>
      </x:c>
      <x:c r="F1210" s="12" t="n">
        <x:v>3.23</x:v>
      </x:c>
      <x:c r="G1210" s="12" t="n">
        <x:v>323</x:v>
      </x:c>
      <x:c r="H1210" s="12" t="n">
        <x:v>-3</x:v>
      </x:c>
      <x:c r="I1210" s="12" t="str">
        <x:v>TuShare index_daily</x:v>
      </x:c>
      <x:c r="J1210" s="12" t="str">
        <x:v>Archived FRED mirror (Hugging Face)</x:v>
      </x:c>
    </x:row>
    <x:row r="1211" ht="18" customHeight="1">
      <x:c r="A1211" s="13" t="n">
        <x:v>44407</x:v>
      </x:c>
      <x:c r="B1211" s="12" t="n">
        <x:v>4811.1695</x:v>
      </x:c>
      <x:c r="C1211" s="12" t="n">
        <x:v>4850.2746</x:v>
      </x:c>
      <x:c r="D1211" s="12" t="n">
        <x:v>-0.8062</x:v>
      </x:c>
      <x:c r="E1211" s="12" t="n">
        <x:v>-0.008095128046081285</x:v>
      </x:c>
      <x:c r="F1211" s="12" t="n">
        <x:v>3.26</x:v>
      </x:c>
      <x:c r="G1211" s="12" t="n">
        <x:v>326</x:v>
      </x:c>
      <x:c r="H1211" s="12" t="n">
        <x:v>3</x:v>
      </x:c>
      <x:c r="I1211" s="12" t="str">
        <x:v>TuShare index_daily</x:v>
      </x:c>
      <x:c r="J1211" s="12" t="str">
        <x:v>Archived FRED mirror (Hugging Face)</x:v>
      </x:c>
    </x:row>
    <x:row r="1212" ht="18" customHeight="1">
      <x:c r="A1212" s="13" t="n">
        <x:v>44410</x:v>
      </x:c>
      <x:c r="B1212" s="12" t="n">
        <x:v>4933.736</x:v>
      </x:c>
      <x:c r="C1212" s="12" t="n">
        <x:v>4811.1695</x:v>
      </x:c>
      <x:c r="D1212" s="12" t="n">
        <x:v>2.5475</x:v>
      </x:c>
      <x:c r="E1212" s="12" t="n">
        <x:v>0.025156316535476436</x:v>
      </x:c>
      <x:c r="F1212" s="12" t="n">
        <x:v>3.36</x:v>
      </x:c>
      <x:c r="G1212" s="12" t="n">
        <x:v>336</x:v>
      </x:c>
      <x:c r="H1212" s="12" t="n">
        <x:v>4</x:v>
      </x:c>
      <x:c r="I1212" s="12" t="str">
        <x:v>TuShare index_daily</x:v>
      </x:c>
      <x:c r="J1212" s="12" t="str">
        <x:v>Archived FRED mirror (Hugging Face)</x:v>
      </x:c>
    </x:row>
    <x:row r="1213" ht="18" customHeight="1">
      <x:c r="A1213" s="13" t="n">
        <x:v>44411</x:v>
      </x:c>
      <x:c r="B1213" s="12" t="n">
        <x:v>4934.4583</x:v>
      </x:c>
      <x:c r="C1213" s="12" t="n">
        <x:v>4933.736</x:v>
      </x:c>
      <x:c r="D1213" s="12" t="n">
        <x:v>0.0146</x:v>
      </x:c>
      <x:c r="E1213" s="12" t="n">
        <x:v>0.00014638949727404575</x:v>
      </x:c>
      <x:c r="F1213" s="12" t="n">
        <x:v>3.42</x:v>
      </x:c>
      <x:c r="G1213" s="12" t="n">
        <x:v>342</x:v>
      </x:c>
      <x:c r="H1213" s="12" t="n">
        <x:v>6</x:v>
      </x:c>
      <x:c r="I1213" s="12" t="str">
        <x:v>TuShare index_daily</x:v>
      </x:c>
      <x:c r="J1213" s="12" t="str">
        <x:v>Archived FRED mirror (Hugging Face)</x:v>
      </x:c>
    </x:row>
    <x:row r="1214" ht="18" customHeight="1">
      <x:c r="A1214" s="13" t="n">
        <x:v>44412</x:v>
      </x:c>
      <x:c r="B1214" s="12" t="n">
        <x:v>4978.8479</x:v>
      </x:c>
      <x:c r="C1214" s="12" t="n">
        <x:v>4934.4583</x:v>
      </x:c>
      <x:c r="D1214" s="12" t="n">
        <x:v>0.8996</x:v>
      </x:c>
      <x:c r="E1214" s="12" t="n">
        <x:v>0.00895561900057252</x:v>
      </x:c>
      <x:c r="F1214" s="12" t="n">
        <x:v>3.42</x:v>
      </x:c>
      <x:c r="G1214" s="12" t="n">
        <x:v>342</x:v>
      </x:c>
      <x:c r="H1214" s="12" t="n">
        <x:v>0</x:v>
      </x:c>
      <x:c r="I1214" s="12" t="str">
        <x:v>TuShare index_daily</x:v>
      </x:c>
      <x:c r="J1214" s="12" t="str">
        <x:v>Archived FRED mirror (Hugging Face)</x:v>
      </x:c>
    </x:row>
    <x:row r="1215" ht="18" customHeight="1">
      <x:c r="A1215" s="13" t="n">
        <x:v>44413</x:v>
      </x:c>
      <x:c r="B1215" s="12" t="n">
        <x:v>4948.6703</x:v>
      </x:c>
      <x:c r="C1215" s="12" t="n">
        <x:v>4978.8479</x:v>
      </x:c>
      <x:c r="D1215" s="12" t="n">
        <x:v>-0.6061</x:v>
      </x:c>
      <x:c r="E1215" s="12" t="n">
        <x:v>-0.0060796046590891285</x:v>
      </x:c>
      <x:c r="F1215" s="12" t="n">
        <x:v>3.37</x:v>
      </x:c>
      <x:c r="G1215" s="12" t="n">
        <x:v>337</x:v>
      </x:c>
      <x:c r="H1215" s="12" t="n">
        <x:v>-5</x:v>
      </x:c>
      <x:c r="I1215" s="12" t="str">
        <x:v>TuShare index_daily</x:v>
      </x:c>
      <x:c r="J1215" s="12" t="str">
        <x:v>Archived FRED mirror (Hugging Face)</x:v>
      </x:c>
    </x:row>
    <x:row r="1216" ht="18" customHeight="1">
      <x:c r="A1216" s="13" t="n">
        <x:v>44414</x:v>
      </x:c>
      <x:c r="B1216" s="12" t="n">
        <x:v>4921.5647</x:v>
      </x:c>
      <x:c r="C1216" s="12" t="n">
        <x:v>4948.6703</x:v>
      </x:c>
      <x:c r="D1216" s="12" t="n">
        <x:v>-0.5477</x:v>
      </x:c>
      <x:c r="E1216" s="12" t="n">
        <x:v>-0.005492405832303928</x:v>
      </x:c>
      <x:c r="F1216" s="12" t="n">
        <x:v>3.32</x:v>
      </x:c>
      <x:c r="G1216" s="12" t="n">
        <x:v>332</x:v>
      </x:c>
      <x:c r="H1216" s="12" t="n">
        <x:v>-5</x:v>
      </x:c>
      <x:c r="I1216" s="12" t="str">
        <x:v>TuShare index_daily</x:v>
      </x:c>
      <x:c r="J1216" s="12" t="str">
        <x:v>Archived FRED mirror (Hugging Face)</x:v>
      </x:c>
    </x:row>
    <x:row r="1217" ht="18" customHeight="1">
      <x:c r="A1217" s="13" t="n">
        <x:v>44417</x:v>
      </x:c>
      <x:c r="B1217" s="12" t="n">
        <x:v>4985.5627</x:v>
      </x:c>
      <x:c r="C1217" s="12" t="n">
        <x:v>4921.5647</x:v>
      </x:c>
      <x:c r="D1217" s="12" t="n">
        <x:v>1.3004</x:v>
      </x:c>
      <x:c r="E1217" s="12" t="n">
        <x:v>0.012919767280224079</x:v>
      </x:c>
      <x:c r="F1217" s="12" t="n">
        <x:v>3.34</x:v>
      </x:c>
      <x:c r="G1217" s="12" t="n">
        <x:v>334</x:v>
      </x:c>
      <x:c r="H1217" s="12" t="n">
        <x:v>2</x:v>
      </x:c>
      <x:c r="I1217" s="12" t="str">
        <x:v>TuShare index_daily</x:v>
      </x:c>
      <x:c r="J1217" s="12" t="str">
        <x:v>Archived FRED mirror (Hugging Face)</x:v>
      </x:c>
    </x:row>
    <x:row r="1218" ht="18" customHeight="1">
      <x:c r="A1218" s="13" t="n">
        <x:v>44418</x:v>
      </x:c>
      <x:c r="B1218" s="12" t="n">
        <x:v>5043.148</x:v>
      </x:c>
      <x:c r="C1218" s="12" t="n">
        <x:v>4985.5627</x:v>
      </x:c>
      <x:c r="D1218" s="12" t="n">
        <x:v>1.155</x:v>
      </x:c>
      <x:c r="E1218" s="12" t="n">
        <x:v>0.011484214595109173</x:v>
      </x:c>
      <x:c r="F1218" s="12" t="n">
        <x:v>3.32</x:v>
      </x:c>
      <x:c r="G1218" s="12" t="n">
        <x:v>332</x:v>
      </x:c>
      <x:c r="H1218" s="12" t="n">
        <x:v>-2</x:v>
      </x:c>
      <x:c r="I1218" s="12" t="str">
        <x:v>TuShare index_daily</x:v>
      </x:c>
      <x:c r="J1218" s="12" t="str">
        <x:v>Archived FRED mirror (Hugging Face)</x:v>
      </x:c>
    </x:row>
    <x:row r="1219" ht="18" customHeight="1">
      <x:c r="A1219" s="13" t="n">
        <x:v>44419</x:v>
      </x:c>
      <x:c r="B1219" s="12" t="n">
        <x:v>5015.3406</x:v>
      </x:c>
      <x:c r="C1219" s="12" t="n">
        <x:v>5043.148</x:v>
      </x:c>
      <x:c r="D1219" s="12" t="n">
        <x:v>-0.5514</x:v>
      </x:c>
      <x:c r="E1219" s="12" t="n">
        <x:v>-0.005529154915563814</x:v>
      </x:c>
      <x:c r="F1219" s="12" t="n">
        <x:v>3.37</x:v>
      </x:c>
      <x:c r="G1219" s="12" t="n">
        <x:v>337</x:v>
      </x:c>
      <x:c r="H1219" s="12" t="n">
        <x:v>5</x:v>
      </x:c>
      <x:c r="I1219" s="12" t="str">
        <x:v>TuShare index_daily</x:v>
      </x:c>
      <x:c r="J1219" s="12" t="str">
        <x:v>Archived FRED mirror (Hugging Face)</x:v>
      </x:c>
    </x:row>
    <x:row r="1220" ht="18" customHeight="1">
      <x:c r="A1220" s="13" t="n">
        <x:v>44420</x:v>
      </x:c>
      <x:c r="B1220" s="12" t="n">
        <x:v>4973.3509</x:v>
      </x:c>
      <x:c r="C1220" s="12" t="n">
        <x:v>5015.3406</x:v>
      </x:c>
      <x:c r="D1220" s="12" t="n">
        <x:v>-0.8372</x:v>
      </x:c>
      <x:c r="E1220" s="12" t="n">
        <x:v>-0.008407497086092142</x:v>
      </x:c>
      <x:c r="F1220" s="12" t="n">
        <x:v>3.34</x:v>
      </x:c>
      <x:c r="G1220" s="12" t="n">
        <x:v>334</x:v>
      </x:c>
      <x:c r="H1220" s="12" t="n">
        <x:v>-3</x:v>
      </x:c>
      <x:c r="I1220" s="12" t="str">
        <x:v>TuShare index_daily</x:v>
      </x:c>
      <x:c r="J1220" s="12" t="str">
        <x:v>Archived FRED mirror (Hugging Face)</x:v>
      </x:c>
    </x:row>
    <x:row r="1221" ht="18" customHeight="1">
      <x:c r="A1221" s="13" t="n">
        <x:v>44421</x:v>
      </x:c>
      <x:c r="B1221" s="12" t="n">
        <x:v>4945.9829</x:v>
      </x:c>
      <x:c r="C1221" s="12" t="n">
        <x:v>4973.3509</x:v>
      </x:c>
      <x:c r="D1221" s="12" t="n">
        <x:v>-0.5503</x:v>
      </x:c>
      <x:c r="E1221" s="12" t="n">
        <x:v>-0.005518126518865006</x:v>
      </x:c>
      <x:c r="F1221" s="12" t="n">
        <x:v>3.36</x:v>
      </x:c>
      <x:c r="G1221" s="12" t="n">
        <x:v>336</x:v>
      </x:c>
      <x:c r="H1221" s="12" t="n">
        <x:v>2</x:v>
      </x:c>
      <x:c r="I1221" s="12" t="str">
        <x:v>TuShare index_daily</x:v>
      </x:c>
      <x:c r="J1221" s="12" t="str">
        <x:v>Archived FRED mirror (Hugging Face)</x:v>
      </x:c>
    </x:row>
    <x:row r="1222" ht="18" customHeight="1">
      <x:c r="A1222" s="13" t="n">
        <x:v>44424</x:v>
      </x:c>
      <x:c r="B1222" s="12" t="n">
        <x:v>4941.0676</x:v>
      </x:c>
      <x:c r="C1222" s="12" t="n">
        <x:v>4945.9829</x:v>
      </x:c>
      <x:c r="D1222" s="12" t="n">
        <x:v>-0.0994</x:v>
      </x:c>
      <x:c r="E1222" s="12" t="n">
        <x:v>-0.0009942905429570182</x:v>
      </x:c>
      <x:c r="F1222" s="12" t="n">
        <x:v>3.38</x:v>
      </x:c>
      <x:c r="G1222" s="12" t="n">
        <x:v>338</x:v>
      </x:c>
      <x:c r="H1222" s="12" t="n">
        <x:v>2</x:v>
      </x:c>
      <x:c r="I1222" s="12" t="str">
        <x:v>TuShare index_daily</x:v>
      </x:c>
      <x:c r="J1222" s="12" t="str">
        <x:v>Archived FRED mirror (Hugging Face)</x:v>
      </x:c>
    </x:row>
    <x:row r="1223" ht="18" customHeight="1">
      <x:c r="A1223" s="13" t="n">
        <x:v>44425</x:v>
      </x:c>
      <x:c r="B1223" s="12" t="n">
        <x:v>4837.4034</x:v>
      </x:c>
      <x:c r="C1223" s="12" t="n">
        <x:v>4941.0676</x:v>
      </x:c>
      <x:c r="D1223" s="12" t="n">
        <x:v>-2.098</x:v>
      </x:c>
      <x:c r="E1223" s="12" t="n">
        <x:v>-0.02120333204675759</x:v>
      </x:c>
      <x:c r="F1223" s="12" t="n">
        <x:v>3.37</x:v>
      </x:c>
      <x:c r="G1223" s="12" t="n">
        <x:v>337</x:v>
      </x:c>
      <x:c r="H1223" s="12" t="n">
        <x:v>-1</x:v>
      </x:c>
      <x:c r="I1223" s="12" t="str">
        <x:v>TuShare index_daily</x:v>
      </x:c>
      <x:c r="J1223" s="12" t="str">
        <x:v>Archived FRED mirror (Hugging Face)</x:v>
      </x:c>
    </x:row>
    <x:row r="1224" ht="18" customHeight="1">
      <x:c r="A1224" s="13" t="n">
        <x:v>44426</x:v>
      </x:c>
      <x:c r="B1224" s="12" t="n">
        <x:v>4894.2384</x:v>
      </x:c>
      <x:c r="C1224" s="12" t="n">
        <x:v>4837.4034</x:v>
      </x:c>
      <x:c r="D1224" s="12" t="n">
        <x:v>1.1749</x:v>
      </x:c>
      <x:c r="E1224" s="12" t="n">
        <x:v>0.011680587379225442</x:v>
      </x:c>
      <x:c r="F1224" s="12" t="n">
        <x:v>3.35</x:v>
      </x:c>
      <x:c r="G1224" s="12" t="n">
        <x:v>335</x:v>
      </x:c>
      <x:c r="H1224" s="12" t="n">
        <x:v>-2</x:v>
      </x:c>
      <x:c r="I1224" s="12" t="str">
        <x:v>TuShare index_daily</x:v>
      </x:c>
      <x:c r="J1224" s="12" t="str">
        <x:v>Archived FRED mirror (Hugging Face)</x:v>
      </x:c>
    </x:row>
    <x:row r="1225" ht="18" customHeight="1">
      <x:c r="A1225" s="13" t="n">
        <x:v>44427</x:v>
      </x:c>
      <x:c r="B1225" s="12" t="n">
        <x:v>4862.1394</x:v>
      </x:c>
      <x:c r="C1225" s="12" t="n">
        <x:v>4894.2384</x:v>
      </x:c>
      <x:c r="D1225" s="12" t="n">
        <x:v>-0.6559</x:v>
      </x:c>
      <x:c r="E1225" s="12" t="n">
        <x:v>-0.006580129731906379</x:v>
      </x:c>
      <x:c r="F1225" s="12" t="n">
        <x:v>3.42</x:v>
      </x:c>
      <x:c r="G1225" s="12" t="n">
        <x:v>342</x:v>
      </x:c>
      <x:c r="H1225" s="12" t="n">
        <x:v>7</x:v>
      </x:c>
      <x:c r="I1225" s="12" t="str">
        <x:v>TuShare index_daily</x:v>
      </x:c>
      <x:c r="J1225" s="12" t="str">
        <x:v>Archived FRED mirror (Hugging Face)</x:v>
      </x:c>
    </x:row>
    <x:row r="1226" ht="18" customHeight="1">
      <x:c r="A1226" s="13" t="n">
        <x:v>44428</x:v>
      </x:c>
      <x:c r="B1226" s="12" t="n">
        <x:v>4769.2678</x:v>
      </x:c>
      <x:c r="C1226" s="12" t="n">
        <x:v>4862.1394</x:v>
      </x:c>
      <x:c r="D1226" s="12" t="n">
        <x:v>-1.9101</x:v>
      </x:c>
      <x:c r="E1226" s="12" t="n">
        <x:v>-0.019285754742048165</x:v>
      </x:c>
      <x:c r="F1226" s="12" t="n">
        <x:v>3.37</x:v>
      </x:c>
      <x:c r="G1226" s="12" t="n">
        <x:v>337</x:v>
      </x:c>
      <x:c r="H1226" s="12" t="n">
        <x:v>-5</x:v>
      </x:c>
      <x:c r="I1226" s="12" t="str">
        <x:v>TuShare index_daily</x:v>
      </x:c>
      <x:c r="J1226" s="12" t="str">
        <x:v>Archived FRED mirror (Hugging Face)</x:v>
      </x:c>
    </x:row>
    <x:row r="1227" ht="18" customHeight="1">
      <x:c r="A1227" s="13" t="n">
        <x:v>44431</x:v>
      </x:c>
      <x:c r="B1227" s="12" t="n">
        <x:v>4835.8782</x:v>
      </x:c>
      <x:c r="C1227" s="12" t="n">
        <x:v>4769.2678</x:v>
      </x:c>
      <x:c r="D1227" s="12" t="n">
        <x:v>1.3967</x:v>
      </x:c>
      <x:c r="E1227" s="12" t="n">
        <x:v>0.013869954261612503</x:v>
      </x:c>
      <x:c r="F1227" s="12" t="n">
        <x:v>3.34</x:v>
      </x:c>
      <x:c r="G1227" s="12" t="n">
        <x:v>334</x:v>
      </x:c>
      <x:c r="H1227" s="12" t="n">
        <x:v>-3</x:v>
      </x:c>
      <x:c r="I1227" s="12" t="str">
        <x:v>TuShare index_daily</x:v>
      </x:c>
      <x:c r="J1227" s="12" t="str">
        <x:v>Archived FRED mirror (Hugging Face)</x:v>
      </x:c>
    </x:row>
    <x:row r="1228" ht="18" customHeight="1">
      <x:c r="A1228" s="13" t="n">
        <x:v>44432</x:v>
      </x:c>
      <x:c r="B1228" s="12" t="n">
        <x:v>4888.3902</x:v>
      </x:c>
      <x:c r="C1228" s="12" t="n">
        <x:v>4835.8782</x:v>
      </x:c>
      <x:c r="D1228" s="12" t="n">
        <x:v>1.0859</x:v>
      </x:c>
      <x:c r="E1228" s="12" t="n">
        <x:v>0.010800300502617191</x:v>
      </x:c>
      <x:c r="F1228" s="12" t="n">
        <x:v>3.26</x:v>
      </x:c>
      <x:c r="G1228" s="12" t="n">
        <x:v>326</x:v>
      </x:c>
      <x:c r="H1228" s="12" t="n">
        <x:v>-8</x:v>
      </x:c>
      <x:c r="I1228" s="12" t="str">
        <x:v>TuShare index_daily</x:v>
      </x:c>
      <x:c r="J1228" s="12" t="str">
        <x:v>Archived FRED mirror (Hugging Face)</x:v>
      </x:c>
    </x:row>
    <x:row r="1229" ht="18" customHeight="1">
      <x:c r="A1229" s="13" t="n">
        <x:v>44433</x:v>
      </x:c>
      <x:c r="B1229" s="12" t="n">
        <x:v>4898.1572</x:v>
      </x:c>
      <x:c r="C1229" s="12" t="n">
        <x:v>4888.3902</x:v>
      </x:c>
      <x:c r="D1229" s="12" t="n">
        <x:v>0.1998</x:v>
      </x:c>
      <x:c r="E1229" s="12" t="n">
        <x:v>0.00199600591372526</x:v>
      </x:c>
      <x:c r="F1229" s="12" t="n">
        <x:v>3.22</x:v>
      </x:c>
      <x:c r="G1229" s="12" t="n">
        <x:v>322</x:v>
      </x:c>
      <x:c r="H1229" s="12" t="n">
        <x:v>-4</x:v>
      </x:c>
      <x:c r="I1229" s="12" t="str">
        <x:v>TuShare index_daily</x:v>
      </x:c>
      <x:c r="J1229" s="12" t="str">
        <x:v>Archived FRED mirror (Hugging Face)</x:v>
      </x:c>
    </x:row>
    <x:row r="1230" ht="18" customHeight="1">
      <x:c r="A1230" s="13" t="n">
        <x:v>44434</x:v>
      </x:c>
      <x:c r="B1230" s="12" t="n">
        <x:v>4801.6094</x:v>
      </x:c>
      <x:c r="C1230" s="12" t="n">
        <x:v>4898.1572</x:v>
      </x:c>
      <x:c r="D1230" s="12" t="n">
        <x:v>-1.9711</x:v>
      </x:c>
      <x:c r="E1230" s="12" t="n">
        <x:v>-0.019907899364672393</x:v>
      </x:c>
      <x:c r="F1230" s="12" t="n">
        <x:v>3.2</x:v>
      </x:c>
      <x:c r="G1230" s="12" t="n">
        <x:v>320</x:v>
      </x:c>
      <x:c r="H1230" s="12" t="n">
        <x:v>-2</x:v>
      </x:c>
      <x:c r="I1230" s="12" t="str">
        <x:v>TuShare index_daily</x:v>
      </x:c>
      <x:c r="J1230" s="12" t="str">
        <x:v>Archived FRED mirror (Hugging Face)</x:v>
      </x:c>
    </x:row>
    <x:row r="1231" ht="18" customHeight="1">
      <x:c r="A1231" s="13" t="n">
        <x:v>44435</x:v>
      </x:c>
      <x:c r="B1231" s="12" t="n">
        <x:v>4827.0433</x:v>
      </x:c>
      <x:c r="C1231" s="12" t="n">
        <x:v>4801.6094</x:v>
      </x:c>
      <x:c r="D1231" s="12" t="n">
        <x:v>0.5297</x:v>
      </x:c>
      <x:c r="E1231" s="12" t="n">
        <x:v>0.005282973630273834</x:v>
      </x:c>
      <x:c r="F1231" s="12" t="n">
        <x:v>3.17</x:v>
      </x:c>
      <x:c r="G1231" s="12" t="n">
        <x:v>317</x:v>
      </x:c>
      <x:c r="H1231" s="12" t="n">
        <x:v>-3</x:v>
      </x:c>
      <x:c r="I1231" s="12" t="str">
        <x:v>TuShare index_daily</x:v>
      </x:c>
      <x:c r="J1231" s="12" t="str">
        <x:v>Archived FRED mirror (Hugging Face)</x:v>
      </x:c>
    </x:row>
    <x:row r="1232" ht="18" customHeight="1">
      <x:c r="A1232" s="13" t="n">
        <x:v>44438</x:v>
      </x:c>
      <x:c r="B1232" s="12" t="n">
        <x:v>4813.2703</x:v>
      </x:c>
      <x:c r="C1232" s="12" t="n">
        <x:v>4827.0433</x:v>
      </x:c>
      <x:c r="D1232" s="12" t="n">
        <x:v>-0.2853</x:v>
      </x:c>
      <x:c r="E1232" s="12" t="n">
        <x:v>-0.0028573778701406795</x:v>
      </x:c>
      <x:c r="F1232" s="12" t="n">
        <x:v>3.16</x:v>
      </x:c>
      <x:c r="G1232" s="12" t="n">
        <x:v>316</x:v>
      </x:c>
      <x:c r="H1232" s="12" t="n">
        <x:v>-1</x:v>
      </x:c>
      <x:c r="I1232" s="12" t="str">
        <x:v>TuShare index_daily</x:v>
      </x:c>
      <x:c r="J1232" s="12" t="str">
        <x:v>Archived FRED mirror (Hugging Face)</x:v>
      </x:c>
    </x:row>
    <x:row r="1233" ht="18" customHeight="1">
      <x:c r="A1233" s="13" t="n">
        <x:v>44439</x:v>
      </x:c>
      <x:c r="B1233" s="12" t="n">
        <x:v>4805.6099</x:v>
      </x:c>
      <x:c r="C1233" s="12" t="n">
        <x:v>4813.2703</x:v>
      </x:c>
      <x:c r="D1233" s="12" t="n">
        <x:v>-0.1592</x:v>
      </x:c>
      <x:c r="E1233" s="12" t="n">
        <x:v>-0.0015927844947090822</x:v>
      </x:c>
      <x:c r="F1233" s="12" t="n">
        <x:v>3.21</x:v>
      </x:c>
      <x:c r="G1233" s="12" t="n">
        <x:v>321</x:v>
      </x:c>
      <x:c r="H1233" s="12" t="n">
        <x:v>5</x:v>
      </x:c>
      <x:c r="I1233" s="12" t="str">
        <x:v>TuShare index_daily</x:v>
      </x:c>
      <x:c r="J1233" s="12" t="str">
        <x:v>Archived FRED mirror (Hugging Face)</x:v>
      </x:c>
    </x:row>
    <x:row r="1234" ht="18" customHeight="1">
      <x:c r="A1234" s="13" t="n">
        <x:v>44440</x:v>
      </x:c>
      <x:c r="B1234" s="12" t="n">
        <x:v>4869.4587</x:v>
      </x:c>
      <x:c r="C1234" s="12" t="n">
        <x:v>4805.6099</x:v>
      </x:c>
      <x:c r="D1234" s="12" t="n">
        <x:v>1.3286</x:v>
      </x:c>
      <x:c r="E1234" s="12" t="n">
        <x:v>0.013198816371313428</x:v>
      </x:c>
      <x:c r="F1234" s="12" t="n">
        <x:v>3.19</x:v>
      </x:c>
      <x:c r="G1234" s="12" t="n">
        <x:v>319</x:v>
      </x:c>
      <x:c r="H1234" s="12" t="n">
        <x:v>-2</x:v>
      </x:c>
      <x:c r="I1234" s="12" t="str">
        <x:v>TuShare index_daily</x:v>
      </x:c>
      <x:c r="J1234" s="12" t="str">
        <x:v>Archived FRED mirror (Hugging Face)</x:v>
      </x:c>
    </x:row>
    <x:row r="1235" ht="18" customHeight="1">
      <x:c r="A1235" s="13" t="n">
        <x:v>44441</x:v>
      </x:c>
      <x:c r="B1235" s="12" t="n">
        <x:v>4869.4113</x:v>
      </x:c>
      <x:c r="C1235" s="12" t="n">
        <x:v>4869.4587</x:v>
      </x:c>
      <x:c r="D1235" s="12" t="n">
        <x:v>-0.001</x:v>
      </x:c>
      <x:c r="E1235" s="12" t="n">
        <x:v>-0.000009734188874249115</x:v>
      </x:c>
      <x:c r="F1235" s="12" t="n">
        <x:v>3.16</x:v>
      </x:c>
      <x:c r="G1235" s="12" t="n">
        <x:v>316</x:v>
      </x:c>
      <x:c r="H1235" s="12" t="n">
        <x:v>-3</x:v>
      </x:c>
      <x:c r="I1235" s="12" t="str">
        <x:v>TuShare index_daily</x:v>
      </x:c>
      <x:c r="J1235" s="12" t="str">
        <x:v>Archived FRED mirror (Hugging Face)</x:v>
      </x:c>
    </x:row>
    <x:row r="1236" ht="18" customHeight="1">
      <x:c r="A1236" s="13" t="n">
        <x:v>44442</x:v>
      </x:c>
      <x:c r="B1236" s="12" t="n">
        <x:v>4843.0624</x:v>
      </x:c>
      <x:c r="C1236" s="12" t="n">
        <x:v>4869.4113</x:v>
      </x:c>
      <x:c r="D1236" s="12" t="n">
        <x:v>-0.5411</x:v>
      </x:c>
      <x:c r="E1236" s="12" t="n">
        <x:v>-0.005425798916923169</x:v>
      </x:c>
      <x:c r="F1236" s="12" t="n">
        <x:v>3.14</x:v>
      </x:c>
      <x:c r="G1236" s="12" t="n">
        <x:v>314</x:v>
      </x:c>
      <x:c r="H1236" s="12" t="n">
        <x:v>-2</x:v>
      </x:c>
      <x:c r="I1236" s="12" t="str">
        <x:v>TuShare index_daily</x:v>
      </x:c>
      <x:c r="J1236" s="12" t="str">
        <x:v>Archived FRED mirror (Hugging Face)</x:v>
      </x:c>
    </x:row>
    <x:row r="1237" ht="18" customHeight="1">
      <x:c r="A1237" s="13" t="n">
        <x:v>44445</x:v>
      </x:c>
      <x:c r="B1237" s="12" t="n">
        <x:v>4933.7262</x:v>
      </x:c>
      <x:c r="C1237" s="12" t="n">
        <x:v>4843.0624</x:v>
      </x:c>
      <x:c r="D1237" s="12" t="n">
        <x:v>1.872</x:v>
      </x:c>
      <x:c r="E1237" s="12" t="n">
        <x:v>0.01854727615262288</x:v>
      </x:c>
      <x:c r="F1237" s="12" t="n">
        <x:v>3.13</x:v>
      </x:c>
      <x:c r="G1237" s="12" t="n">
        <x:v>313</x:v>
      </x:c>
      <x:c r="H1237" s="12" t="n">
        <x:v>-1</x:v>
      </x:c>
      <x:c r="I1237" s="12" t="str">
        <x:v>TuShare index_daily</x:v>
      </x:c>
      <x:c r="J1237" s="12" t="str">
        <x:v>Archived FRED mirror (Hugging Face)</x:v>
      </x:c>
    </x:row>
    <x:row r="1238" ht="18" customHeight="1">
      <x:c r="A1238" s="13" t="n">
        <x:v>44446</x:v>
      </x:c>
      <x:c r="B1238" s="12" t="n">
        <x:v>4992.8294</x:v>
      </x:c>
      <x:c r="C1238" s="12" t="n">
        <x:v>4933.7262</x:v>
      </x:c>
      <x:c r="D1238" s="12" t="n">
        <x:v>1.1979</x:v>
      </x:c>
      <x:c r="E1238" s="12" t="n">
        <x:v>0.011908239033383661</x:v>
      </x:c>
      <x:c r="F1238" s="12" t="n">
        <x:v>3.16</x:v>
      </x:c>
      <x:c r="G1238" s="12" t="n">
        <x:v>316</x:v>
      </x:c>
      <x:c r="H1238" s="12" t="n">
        <x:v>3</x:v>
      </x:c>
      <x:c r="I1238" s="12" t="str">
        <x:v>TuShare index_daily</x:v>
      </x:c>
      <x:c r="J1238" s="12" t="str">
        <x:v>Archived FRED mirror (Hugging Face)</x:v>
      </x:c>
    </x:row>
    <x:row r="1239" ht="18" customHeight="1">
      <x:c r="A1239" s="13" t="n">
        <x:v>44447</x:v>
      </x:c>
      <x:c r="B1239" s="12" t="n">
        <x:v>4972.1324</x:v>
      </x:c>
      <x:c r="C1239" s="12" t="n">
        <x:v>4992.8294</x:v>
      </x:c>
      <x:c r="D1239" s="12" t="n">
        <x:v>-0.4145</x:v>
      </x:c>
      <x:c r="E1239" s="12" t="n">
        <x:v>-0.004153960682764128</x:v>
      </x:c>
      <x:c r="F1239" s="12" t="n">
        <x:v>3.16</x:v>
      </x:c>
      <x:c r="G1239" s="12" t="n">
        <x:v>316</x:v>
      </x:c>
      <x:c r="H1239" s="12" t="n">
        <x:v>0</x:v>
      </x:c>
      <x:c r="I1239" s="12" t="str">
        <x:v>TuShare index_daily</x:v>
      </x:c>
      <x:c r="J1239" s="12" t="str">
        <x:v>Archived FRED mirror (Hugging Face)</x:v>
      </x:c>
    </x:row>
    <x:row r="1240" ht="18" customHeight="1">
      <x:c r="A1240" s="13" t="n">
        <x:v>44448</x:v>
      </x:c>
      <x:c r="B1240" s="12" t="n">
        <x:v>4970.0133</x:v>
      </x:c>
      <x:c r="C1240" s="12" t="n">
        <x:v>4972.1324</x:v>
      </x:c>
      <x:c r="D1240" s="12" t="n">
        <x:v>-0.0426</x:v>
      </x:c>
      <x:c r="E1240" s="12" t="n">
        <x:v>-0.0004262862557105811</x:v>
      </x:c>
      <x:c r="F1240" s="12" t="n">
        <x:v>3.15</x:v>
      </x:c>
      <x:c r="G1240" s="12" t="n">
        <x:v>315</x:v>
      </x:c>
      <x:c r="H1240" s="12" t="n">
        <x:v>-1</x:v>
      </x:c>
      <x:c r="I1240" s="12" t="str">
        <x:v>TuShare index_daily</x:v>
      </x:c>
      <x:c r="J1240" s="12" t="str">
        <x:v>Archived FRED mirror (Hugging Face)</x:v>
      </x:c>
    </x:row>
    <x:row r="1241" ht="18" customHeight="1">
      <x:c r="A1241" s="13" t="n">
        <x:v>44449</x:v>
      </x:c>
      <x:c r="B1241" s="12" t="n">
        <x:v>5013.5219</x:v>
      </x:c>
      <x:c r="C1241" s="12" t="n">
        <x:v>4970.0133</x:v>
      </x:c>
      <x:c r="D1241" s="12" t="n">
        <x:v>0.8754</x:v>
      </x:c>
      <x:c r="E1241" s="12" t="n">
        <x:v>0.008716126016851936</x:v>
      </x:c>
      <x:c r="F1241" s="12" t="n">
        <x:v>3.11</x:v>
      </x:c>
      <x:c r="G1241" s="12" t="n">
        <x:v>311</x:v>
      </x:c>
      <x:c r="H1241" s="12" t="n">
        <x:v>-4</x:v>
      </x:c>
      <x:c r="I1241" s="12" t="str">
        <x:v>TuShare index_daily</x:v>
      </x:c>
      <x:c r="J1241" s="12" t="str">
        <x:v>Archived FRED mirror (Hugging Face)</x:v>
      </x:c>
    </x:row>
    <x:row r="1242" ht="18" customHeight="1">
      <x:c r="A1242" s="13" t="n">
        <x:v>44452</x:v>
      </x:c>
      <x:c r="B1242" s="12" t="n">
        <x:v>4991.6598</x:v>
      </x:c>
      <x:c r="C1242" s="12" t="n">
        <x:v>5013.5219</x:v>
      </x:c>
      <x:c r="D1242" s="12" t="n">
        <x:v>-0.4361</x:v>
      </x:c>
      <x:c r="E1242" s="12" t="n">
        <x:v>-0.004370162471732712</x:v>
      </x:c>
      <x:c r="F1242" s="12" t="n">
        <x:v>3.09</x:v>
      </x:c>
      <x:c r="G1242" s="12" t="n">
        <x:v>309</x:v>
      </x:c>
      <x:c r="H1242" s="12" t="n">
        <x:v>-2</x:v>
      </x:c>
      <x:c r="I1242" s="12" t="str">
        <x:v>TuShare index_daily</x:v>
      </x:c>
      <x:c r="J1242" s="12" t="str">
        <x:v>Archived FRED mirror (Hugging Face)</x:v>
      </x:c>
    </x:row>
    <x:row r="1243" ht="18" customHeight="1">
      <x:c r="A1243" s="13" t="n">
        <x:v>44453</x:v>
      </x:c>
      <x:c r="B1243" s="12" t="n">
        <x:v>4917.1617</x:v>
      </x:c>
      <x:c r="C1243" s="12" t="n">
        <x:v>4991.6598</x:v>
      </x:c>
      <x:c r="D1243" s="12" t="n">
        <x:v>-1.4925</x:v>
      </x:c>
      <x:c r="E1243" s="12" t="n">
        <x:v>-0.015037005911300897</x:v>
      </x:c>
      <x:c r="F1243" s="12" t="n">
        <x:v>3.11</x:v>
      </x:c>
      <x:c r="G1243" s="12" t="n">
        <x:v>311</x:v>
      </x:c>
      <x:c r="H1243" s="12" t="n">
        <x:v>2</x:v>
      </x:c>
      <x:c r="I1243" s="12" t="str">
        <x:v>TuShare index_daily</x:v>
      </x:c>
      <x:c r="J1243" s="12" t="str">
        <x:v>Archived FRED mirror (Hugging Face)</x:v>
      </x:c>
    </x:row>
    <x:row r="1244" ht="18" customHeight="1">
      <x:c r="A1244" s="13" t="n">
        <x:v>44454</x:v>
      </x:c>
      <x:c r="B1244" s="12" t="n">
        <x:v>4867.3187</x:v>
      </x:c>
      <x:c r="C1244" s="12" t="n">
        <x:v>4917.1617</x:v>
      </x:c>
      <x:c r="D1244" s="12" t="n">
        <x:v>-1.0137</x:v>
      </x:c>
      <x:c r="E1244" s="12" t="n">
        <x:v>-0.010188263271322358</x:v>
      </x:c>
      <x:c r="F1244" s="12" t="n">
        <x:v>3.08</x:v>
      </x:c>
      <x:c r="G1244" s="12" t="n">
        <x:v>308</x:v>
      </x:c>
      <x:c r="H1244" s="12" t="n">
        <x:v>-3</x:v>
      </x:c>
      <x:c r="I1244" s="12" t="str">
        <x:v>TuShare index_daily</x:v>
      </x:c>
      <x:c r="J1244" s="12" t="str">
        <x:v>Archived FRED mirror (Hugging Face)</x:v>
      </x:c>
    </x:row>
    <x:row r="1245" ht="18" customHeight="1">
      <x:c r="A1245" s="13" t="n">
        <x:v>44455</x:v>
      </x:c>
      <x:c r="B1245" s="12" t="n">
        <x:v>4807.6978</x:v>
      </x:c>
      <x:c r="C1245" s="12" t="n">
        <x:v>4867.3187</x:v>
      </x:c>
      <x:c r="D1245" s="12" t="n">
        <x:v>-1.2249</x:v>
      </x:c>
      <x:c r="E1245" s="12" t="n">
        <x:v>-0.012324868843624045</x:v>
      </x:c>
      <x:c r="F1245" s="12" t="n">
        <x:v>3.06</x:v>
      </x:c>
      <x:c r="G1245" s="12" t="n">
        <x:v>306</x:v>
      </x:c>
      <x:c r="H1245" s="12" t="n">
        <x:v>-2</x:v>
      </x:c>
      <x:c r="I1245" s="12" t="str">
        <x:v>TuShare index_daily</x:v>
      </x:c>
      <x:c r="J1245" s="12" t="str">
        <x:v>Archived FRED mirror (Hugging Face)</x:v>
      </x:c>
    </x:row>
    <x:row r="1246" ht="18" customHeight="1">
      <x:c r="A1246" s="13" t="n">
        <x:v>44456</x:v>
      </x:c>
      <x:c r="B1246" s="12" t="n">
        <x:v>4855.9402</x:v>
      </x:c>
      <x:c r="C1246" s="12" t="n">
        <x:v>4807.6978</x:v>
      </x:c>
      <x:c r="D1246" s="12" t="n">
        <x:v>1.0034</x:v>
      </x:c>
      <x:c r="E1246" s="12" t="n">
        <x:v>0.009984397338931174</x:v>
      </x:c>
      <x:c r="F1246" s="12" t="n">
        <x:v>3.04</x:v>
      </x:c>
      <x:c r="G1246" s="12" t="n">
        <x:v>304</x:v>
      </x:c>
      <x:c r="H1246" s="12" t="n">
        <x:v>-2</x:v>
      </x:c>
      <x:c r="I1246" s="12" t="str">
        <x:v>TuShare index_daily</x:v>
      </x:c>
      <x:c r="J1246" s="12" t="str">
        <x:v>Archived FRED mirror (Hugging Face)</x:v>
      </x:c>
    </x:row>
    <x:row r="1247" ht="18" customHeight="1">
      <x:c r="A1247" s="13" t="n">
        <x:v>44461</x:v>
      </x:c>
      <x:c r="B1247" s="12" t="n">
        <x:v>4821.7675</x:v>
      </x:c>
      <x:c r="C1247" s="12" t="n">
        <x:v>4855.9402</x:v>
      </x:c>
      <x:c r="D1247" s="12" t="n">
        <x:v>-0.7037</x:v>
      </x:c>
      <x:c r="E1247" s="12" t="n">
        <x:v>-0.0070621769302446555</x:v>
      </x:c>
      <x:c r="F1247" s="12" t="n">
        <x:v>3.09</x:v>
      </x:c>
      <x:c r="G1247" s="12" t="n">
        <x:v>309</x:v>
      </x:c>
      <x:c r="H1247" s="12" t="n">
        <x:v>-8</x:v>
      </x:c>
      <x:c r="I1247" s="12" t="str">
        <x:v>TuShare index_daily</x:v>
      </x:c>
      <x:c r="J1247" s="12" t="str">
        <x:v>Archived FRED mirror (Hugging Face)</x:v>
      </x:c>
    </x:row>
    <x:row r="1248" ht="18" customHeight="1">
      <x:c r="A1248" s="13" t="n">
        <x:v>44462</x:v>
      </x:c>
      <x:c r="B1248" s="12" t="n">
        <x:v>4853.1957</x:v>
      </x:c>
      <x:c r="C1248" s="12" t="n">
        <x:v>4821.7675</x:v>
      </x:c>
      <x:c r="D1248" s="12" t="n">
        <x:v>0.6518</x:v>
      </x:c>
      <x:c r="E1248" s="12" t="n">
        <x:v>0.0064968330929834825</x:v>
      </x:c>
      <x:c r="F1248" s="12" t="n">
        <x:v>3.03</x:v>
      </x:c>
      <x:c r="G1248" s="12" t="n">
        <x:v>303</x:v>
      </x:c>
      <x:c r="H1248" s="12" t="n">
        <x:v>-6</x:v>
      </x:c>
      <x:c r="I1248" s="12" t="str">
        <x:v>TuShare index_daily</x:v>
      </x:c>
      <x:c r="J1248" s="12" t="str">
        <x:v>Archived FRED mirror (Hugging Face)</x:v>
      </x:c>
    </x:row>
    <x:row r="1249" ht="18" customHeight="1">
      <x:c r="A1249" s="13" t="n">
        <x:v>44463</x:v>
      </x:c>
      <x:c r="B1249" s="12" t="n">
        <x:v>4849.4277</x:v>
      </x:c>
      <x:c r="C1249" s="12" t="n">
        <x:v>4853.1957</x:v>
      </x:c>
      <x:c r="D1249" s="12" t="n">
        <x:v>-0.0776</x:v>
      </x:c>
      <x:c r="E1249" s="12" t="n">
        <x:v>-0.0007766971949922549</x:v>
      </x:c>
      <x:c r="F1249" s="12" t="n">
        <x:v>3.05</x:v>
      </x:c>
      <x:c r="G1249" s="12" t="n">
        <x:v>305</x:v>
      </x:c>
      <x:c r="H1249" s="12" t="n">
        <x:v>2</x:v>
      </x:c>
      <x:c r="I1249" s="12" t="str">
        <x:v>TuShare index_daily</x:v>
      </x:c>
      <x:c r="J1249" s="12" t="str">
        <x:v>Archived FRED mirror (Hugging Face)</x:v>
      </x:c>
    </x:row>
    <x:row r="1250" ht="18" customHeight="1">
      <x:c r="A1250" s="13" t="n">
        <x:v>44466</x:v>
      </x:c>
      <x:c r="B1250" s="12" t="n">
        <x:v>4877.3698</x:v>
      </x:c>
      <x:c r="C1250" s="12" t="n">
        <x:v>4849.4277</x:v>
      </x:c>
      <x:c r="D1250" s="12" t="n">
        <x:v>0.5762</x:v>
      </x:c>
      <x:c r="E1250" s="12" t="n">
        <x:v>0.005745401168918581</x:v>
      </x:c>
      <x:c r="F1250" s="12" t="n">
        <x:v>3.06</x:v>
      </x:c>
      <x:c r="G1250" s="12" t="n">
        <x:v>306</x:v>
      </x:c>
      <x:c r="H1250" s="12" t="n">
        <x:v>1</x:v>
      </x:c>
      <x:c r="I1250" s="12" t="str">
        <x:v>TuShare index_daily</x:v>
      </x:c>
      <x:c r="J1250" s="12" t="str">
        <x:v>Archived FRED mirror (Hugging Face)</x:v>
      </x:c>
    </x:row>
    <x:row r="1251" ht="18" customHeight="1">
      <x:c r="A1251" s="13" t="n">
        <x:v>44467</x:v>
      </x:c>
      <x:c r="B1251" s="12" t="n">
        <x:v>4883.828</x:v>
      </x:c>
      <x:c r="C1251" s="12" t="n">
        <x:v>4877.3698</x:v>
      </x:c>
      <x:c r="D1251" s="12" t="n">
        <x:v>0.1324</x:v>
      </x:c>
      <x:c r="E1251" s="12" t="n">
        <x:v>0.0013232394373443024</x:v>
      </x:c>
      <x:c r="F1251" s="12" t="n">
        <x:v>3.13</x:v>
      </x:c>
      <x:c r="G1251" s="12" t="n">
        <x:v>313</x:v>
      </x:c>
      <x:c r="H1251" s="12" t="n">
        <x:v>7</x:v>
      </x:c>
      <x:c r="I1251" s="12" t="str">
        <x:v>TuShare index_daily</x:v>
      </x:c>
      <x:c r="J1251" s="12" t="str">
        <x:v>Archived FRED mirror (Hugging Face)</x:v>
      </x:c>
    </x:row>
    <x:row r="1252" ht="18" customHeight="1">
      <x:c r="A1252" s="13" t="n">
        <x:v>44468</x:v>
      </x:c>
      <x:c r="B1252" s="12" t="n">
        <x:v>4833.9281</x:v>
      </x:c>
      <x:c r="C1252" s="12" t="n">
        <x:v>4883.828</x:v>
      </x:c>
      <x:c r="D1252" s="12" t="n">
        <x:v>-1.0217</x:v>
      </x:c>
      <x:c r="E1252" s="12" t="n">
        <x:v>-0.010269930232940807</x:v>
      </x:c>
      <x:c r="F1252" s="12" t="n">
        <x:v>3.09</x:v>
      </x:c>
      <x:c r="G1252" s="12" t="n">
        <x:v>309</x:v>
      </x:c>
      <x:c r="H1252" s="12" t="n">
        <x:v>-4</x:v>
      </x:c>
      <x:c r="I1252" s="12" t="str">
        <x:v>TuShare index_daily</x:v>
      </x:c>
      <x:c r="J1252" s="12" t="str">
        <x:v>Archived FRED mirror (Hugging Face)</x:v>
      </x:c>
    </x:row>
    <x:row r="1253" ht="18" customHeight="1">
      <x:c r="A1253" s="13" t="n">
        <x:v>44469</x:v>
      </x:c>
      <x:c r="B1253" s="12" t="n">
        <x:v>4866.3826</x:v>
      </x:c>
      <x:c r="C1253" s="12" t="n">
        <x:v>4833.9281</x:v>
      </x:c>
      <x:c r="D1253" s="12" t="n">
        <x:v>0.6714</x:v>
      </x:c>
      <x:c r="E1253" s="12" t="n">
        <x:v>0.0066914601194143246</x:v>
      </x:c>
      <x:c r="F1253" s="12" t="n">
        <x:v>3.15</x:v>
      </x:c>
      <x:c r="G1253" s="12" t="n">
        <x:v>315</x:v>
      </x:c>
      <x:c r="H1253" s="12" t="n">
        <x:v>6</x:v>
      </x:c>
      <x:c r="I1253" s="12" t="str">
        <x:v>TuShare index_daily</x:v>
      </x:c>
      <x:c r="J1253" s="12" t="str">
        <x:v>Archived FRED mirror (Hugging Face)</x:v>
      </x:c>
    </x:row>
    <x:row r="1254" ht="18" customHeight="1">
      <x:c r="A1254" s="13" t="n">
        <x:v>44477</x:v>
      </x:c>
      <x:c r="B1254" s="12" t="n">
        <x:v>4929.9409</x:v>
      </x:c>
      <x:c r="C1254" s="12" t="n">
        <x:v>4866.3826</x:v>
      </x:c>
      <x:c r="D1254" s="12" t="n">
        <x:v>1.3061</x:v>
      </x:c>
      <x:c r="E1254" s="12" t="n">
        <x:v>0.01297613167354878</x:v>
      </x:c>
      <x:c r="F1254" s="12" t="n">
        <x:v>3.2</x:v>
      </x:c>
      <x:c r="G1254" s="12" t="n">
        <x:v>320</x:v>
      </x:c>
      <x:c r="H1254" s="12" t="n">
        <x:v>1</x:v>
      </x:c>
      <x:c r="I1254" s="12" t="str">
        <x:v>TuShare index_daily</x:v>
      </x:c>
      <x:c r="J1254" s="12" t="str">
        <x:v>Archived FRED mirror (Hugging Face)</x:v>
      </x:c>
    </x:row>
    <x:row r="1255" ht="18" customHeight="1">
      <x:c r="A1255" s="13" t="n">
        <x:v>44480</x:v>
      </x:c>
      <x:c r="B1255" s="12" t="n">
        <x:v>4936.1918</x:v>
      </x:c>
      <x:c r="C1255" s="12" t="n">
        <x:v>4929.9409</x:v>
      </x:c>
      <x:c r="D1255" s="12" t="n">
        <x:v>0.1268</x:v>
      </x:c>
      <x:c r="E1255" s="12" t="n">
        <x:v>0.0012671430694210562</x:v>
      </x:c>
      <x:c r="F1255" s="12" t="n">
        <x:v>3.2</x:v>
      </x:c>
      <x:c r="G1255" s="12" t="n">
        <x:v>320</x:v>
      </x:c>
      <x:c r="H1255" s="12" t="n">
        <x:v>0</x:v>
      </x:c>
      <x:c r="I1255" s="12" t="str">
        <x:v>TuShare index_daily</x:v>
      </x:c>
      <x:c r="J1255" s="12" t="str">
        <x:v>Archived FRED mirror (Hugging Face)</x:v>
      </x:c>
    </x:row>
    <x:row r="1256" ht="18" customHeight="1">
      <x:c r="A1256" s="13" t="n">
        <x:v>44481</x:v>
      </x:c>
      <x:c r="B1256" s="12" t="n">
        <x:v>4883.8369</x:v>
      </x:c>
      <x:c r="C1256" s="12" t="n">
        <x:v>4936.1918</x:v>
      </x:c>
      <x:c r="D1256" s="12" t="n">
        <x:v>-1.0606</x:v>
      </x:c>
      <x:c r="E1256" s="12" t="n">
        <x:v>-0.010662982290104397</x:v>
      </x:c>
      <x:c r="F1256" s="12" t="n">
        <x:v>3.28</x:v>
      </x:c>
      <x:c r="G1256" s="12" t="n">
        <x:v>328</x:v>
      </x:c>
      <x:c r="H1256" s="12" t="n">
        <x:v>8</x:v>
      </x:c>
      <x:c r="I1256" s="12" t="str">
        <x:v>TuShare index_daily</x:v>
      </x:c>
      <x:c r="J1256" s="12" t="str">
        <x:v>Archived FRED mirror (Hugging Face)</x:v>
      </x:c>
    </x:row>
    <x:row r="1257" ht="18" customHeight="1">
      <x:c r="A1257" s="13" t="n">
        <x:v>44482</x:v>
      </x:c>
      <x:c r="B1257" s="12" t="n">
        <x:v>4940.1089</x:v>
      </x:c>
      <x:c r="C1257" s="12" t="n">
        <x:v>4883.8369</x:v>
      </x:c>
      <x:c r="D1257" s="12" t="n">
        <x:v>1.1522</x:v>
      </x:c>
      <x:c r="E1257" s="12" t="n">
        <x:v>0.011456214558820853</x:v>
      </x:c>
      <x:c r="F1257" s="12" t="n">
        <x:v>3.25</x:v>
      </x:c>
      <x:c r="G1257" s="12" t="n">
        <x:v>325</x:v>
      </x:c>
      <x:c r="H1257" s="12" t="n">
        <x:v>-3</x:v>
      </x:c>
      <x:c r="I1257" s="12" t="str">
        <x:v>TuShare index_daily</x:v>
      </x:c>
      <x:c r="J1257" s="12" t="str">
        <x:v>Archived FRED mirror (Hugging Face)</x:v>
      </x:c>
    </x:row>
    <x:row r="1258" ht="18" customHeight="1">
      <x:c r="A1258" s="13" t="n">
        <x:v>44483</x:v>
      </x:c>
      <x:c r="B1258" s="12" t="n">
        <x:v>4913.6123</x:v>
      </x:c>
      <x:c r="C1258" s="12" t="n">
        <x:v>4940.1089</x:v>
      </x:c>
      <x:c r="D1258" s="12" t="n">
        <x:v>-0.5364</x:v>
      </x:c>
      <x:c r="E1258" s="12" t="n">
        <x:v>-0.005378001533710975</x:v>
      </x:c>
      <x:c r="F1258" s="12" t="n">
        <x:v>3.18</x:v>
      </x:c>
      <x:c r="G1258" s="12" t="n">
        <x:v>318</x:v>
      </x:c>
      <x:c r="H1258" s="12" t="n">
        <x:v>-7</x:v>
      </x:c>
      <x:c r="I1258" s="12" t="str">
        <x:v>TuShare index_daily</x:v>
      </x:c>
      <x:c r="J1258" s="12" t="str">
        <x:v>Archived FRED mirror (Hugging Face)</x:v>
      </x:c>
    </x:row>
    <x:row r="1259" ht="18" customHeight="1">
      <x:c r="A1259" s="13" t="n">
        <x:v>44484</x:v>
      </x:c>
      <x:c r="B1259" s="12" t="n">
        <x:v>4932.1084</x:v>
      </x:c>
      <x:c r="C1259" s="12" t="n">
        <x:v>4913.6123</x:v>
      </x:c>
      <x:c r="D1259" s="12" t="n">
        <x:v>0.3764</x:v>
      </x:c>
      <x:c r="E1259" s="12" t="n">
        <x:v>0.0037571900162288</x:v>
      </x:c>
      <x:c r="F1259" s="12" t="n">
        <x:v>3.12</x:v>
      </x:c>
      <x:c r="G1259" s="12" t="n">
        <x:v>312</x:v>
      </x:c>
      <x:c r="H1259" s="12" t="n">
        <x:v>-6</x:v>
      </x:c>
      <x:c r="I1259" s="12" t="str">
        <x:v>TuShare index_daily</x:v>
      </x:c>
      <x:c r="J1259" s="12" t="str">
        <x:v>Archived FRED mirror (Hugging Face)</x:v>
      </x:c>
    </x:row>
    <x:row r="1260" ht="18" customHeight="1">
      <x:c r="A1260" s="13" t="n">
        <x:v>44487</x:v>
      </x:c>
      <x:c r="B1260" s="12" t="n">
        <x:v>4874.7753</x:v>
      </x:c>
      <x:c r="C1260" s="12" t="n">
        <x:v>4932.1084</x:v>
      </x:c>
      <x:c r="D1260" s="12" t="n">
        <x:v>-1.1624</x:v>
      </x:c>
      <x:c r="E1260" s="12" t="n">
        <x:v>-0.011692552893949727</x:v>
      </x:c>
      <x:c r="F1260" s="12" t="n">
        <x:v>3.11</x:v>
      </x:c>
      <x:c r="G1260" s="12" t="n">
        <x:v>311</x:v>
      </x:c>
      <x:c r="H1260" s="12" t="n">
        <x:v>-1</x:v>
      </x:c>
      <x:c r="I1260" s="12" t="str">
        <x:v>TuShare index_daily</x:v>
      </x:c>
      <x:c r="J1260" s="12" t="str">
        <x:v>Archived FRED mirror (Hugging Face)</x:v>
      </x:c>
    </x:row>
    <x:row r="1261" ht="18" customHeight="1">
      <x:c r="A1261" s="13" t="n">
        <x:v>44488</x:v>
      </x:c>
      <x:c r="B1261" s="12" t="n">
        <x:v>4922.7232</x:v>
      </x:c>
      <x:c r="C1261" s="12" t="n">
        <x:v>4874.7753</x:v>
      </x:c>
      <x:c r="D1261" s="12" t="n">
        <x:v>0.9836</x:v>
      </x:c>
      <x:c r="E1261" s="12" t="n">
        <x:v>0.009787862236965015</x:v>
      </x:c>
      <x:c r="F1261" s="12" t="n">
        <x:v>3.09</x:v>
      </x:c>
      <x:c r="G1261" s="12" t="n">
        <x:v>309</x:v>
      </x:c>
      <x:c r="H1261" s="12" t="n">
        <x:v>-2</x:v>
      </x:c>
      <x:c r="I1261" s="12" t="str">
        <x:v>TuShare index_daily</x:v>
      </x:c>
      <x:c r="J1261" s="12" t="str">
        <x:v>Archived FRED mirror (Hugging Face)</x:v>
      </x:c>
    </x:row>
    <x:row r="1262" ht="18" customHeight="1">
      <x:c r="A1262" s="13" t="n">
        <x:v>44489</x:v>
      </x:c>
      <x:c r="B1262" s="12" t="n">
        <x:v>4910.1846</x:v>
      </x:c>
      <x:c r="C1262" s="12" t="n">
        <x:v>4922.7232</x:v>
      </x:c>
      <x:c r="D1262" s="12" t="n">
        <x:v>-0.2547</x:v>
      </x:c>
      <x:c r="E1262" s="12" t="n">
        <x:v>-0.002550335475766727</x:v>
      </x:c>
      <x:c r="F1262" s="12" t="n">
        <x:v>3.07</x:v>
      </x:c>
      <x:c r="G1262" s="12" t="n">
        <x:v>307</x:v>
      </x:c>
      <x:c r="H1262" s="12" t="n">
        <x:v>-2</x:v>
      </x:c>
      <x:c r="I1262" s="12" t="str">
        <x:v>TuShare index_daily</x:v>
      </x:c>
      <x:c r="J1262" s="12" t="str">
        <x:v>Archived FRED mirror (Hugging Face)</x:v>
      </x:c>
    </x:row>
    <x:row r="1263" ht="18" customHeight="1">
      <x:c r="A1263" s="13" t="n">
        <x:v>44490</x:v>
      </x:c>
      <x:c r="B1263" s="12" t="n">
        <x:v>4928.0156</x:v>
      </x:c>
      <x:c r="C1263" s="12" t="n">
        <x:v>4910.1846</x:v>
      </x:c>
      <x:c r="D1263" s="12" t="n">
        <x:v>0.3631</x:v>
      </x:c>
      <x:c r="E1263" s="12" t="n">
        <x:v>0.003624853969590148</x:v>
      </x:c>
      <x:c r="F1263" s="12" t="n">
        <x:v>3.03</x:v>
      </x:c>
      <x:c r="G1263" s="12" t="n">
        <x:v>303</x:v>
      </x:c>
      <x:c r="H1263" s="12" t="n">
        <x:v>-4</x:v>
      </x:c>
      <x:c r="I1263" s="12" t="str">
        <x:v>TuShare index_daily</x:v>
      </x:c>
      <x:c r="J1263" s="12" t="str">
        <x:v>Archived FRED mirror (Hugging Face)</x:v>
      </x:c>
    </x:row>
    <x:row r="1264" ht="18" customHeight="1">
      <x:c r="A1264" s="13" t="n">
        <x:v>44491</x:v>
      </x:c>
      <x:c r="B1264" s="12" t="n">
        <x:v>4959.7254</x:v>
      </x:c>
      <x:c r="C1264" s="12" t="n">
        <x:v>4928.0156</x:v>
      </x:c>
      <x:c r="D1264" s="12" t="n">
        <x:v>0.6435</x:v>
      </x:c>
      <x:c r="E1264" s="12" t="n">
        <x:v>0.006413984490404525</x:v>
      </x:c>
      <x:c r="F1264" s="12" t="n">
        <x:v>3.07</x:v>
      </x:c>
      <x:c r="G1264" s="12" t="n">
        <x:v>307</x:v>
      </x:c>
      <x:c r="H1264" s="12" t="n">
        <x:v>4</x:v>
      </x:c>
      <x:c r="I1264" s="12" t="str">
        <x:v>TuShare index_daily</x:v>
      </x:c>
      <x:c r="J1264" s="12" t="str">
        <x:v>Archived FRED mirror (Hugging Face)</x:v>
      </x:c>
    </x:row>
    <x:row r="1265" ht="18" customHeight="1">
      <x:c r="A1265" s="13" t="n">
        <x:v>44494</x:v>
      </x:c>
      <x:c r="B1265" s="12" t="n">
        <x:v>4979.5235</x:v>
      </x:c>
      <x:c r="C1265" s="12" t="n">
        <x:v>4959.7254</x:v>
      </x:c>
      <x:c r="D1265" s="12" t="n">
        <x:v>0.3992</x:v>
      </x:c>
      <x:c r="E1265" s="12" t="n">
        <x:v>0.003983827426725137</x:v>
      </x:c>
      <x:c r="F1265" s="12" t="n">
        <x:v>3.11</x:v>
      </x:c>
      <x:c r="G1265" s="12" t="n">
        <x:v>311</x:v>
      </x:c>
      <x:c r="H1265" s="12" t="n">
        <x:v>4</x:v>
      </x:c>
      <x:c r="I1265" s="12" t="str">
        <x:v>TuShare index_daily</x:v>
      </x:c>
      <x:c r="J1265" s="12" t="str">
        <x:v>Archived FRED mirror (Hugging Face)</x:v>
      </x:c>
    </x:row>
    <x:row r="1266" ht="18" customHeight="1">
      <x:c r="A1266" s="13" t="n">
        <x:v>44495</x:v>
      </x:c>
      <x:c r="B1266" s="12" t="n">
        <x:v>4963.0984</x:v>
      </x:c>
      <x:c r="C1266" s="12" t="n">
        <x:v>4979.5235</x:v>
      </x:c>
      <x:c r="D1266" s="12" t="n">
        <x:v>-0.3299</x:v>
      </x:c>
      <x:c r="E1266" s="12" t="n">
        <x:v>-0.003303980601285361</x:v>
      </x:c>
      <x:c r="F1266" s="12" t="n">
        <x:v>3.09</x:v>
      </x:c>
      <x:c r="G1266" s="12" t="n">
        <x:v>309</x:v>
      </x:c>
      <x:c r="H1266" s="12" t="n">
        <x:v>-2</x:v>
      </x:c>
      <x:c r="I1266" s="12" t="str">
        <x:v>TuShare index_daily</x:v>
      </x:c>
      <x:c r="J1266" s="12" t="str">
        <x:v>Archived FRED mirror (Hugging Face)</x:v>
      </x:c>
    </x:row>
    <x:row r="1267" ht="18" customHeight="1">
      <x:c r="A1267" s="13" t="n">
        <x:v>44496</x:v>
      </x:c>
      <x:c r="B1267" s="12" t="n">
        <x:v>4898.1644</x:v>
      </x:c>
      <x:c r="C1267" s="12" t="n">
        <x:v>4963.0984</x:v>
      </x:c>
      <x:c r="D1267" s="12" t="n">
        <x:v>-1.3083</x:v>
      </x:c>
      <x:c r="E1267" s="12" t="n">
        <x:v>-0.01316970043948072</x:v>
      </x:c>
      <x:c r="F1267" s="12" t="n">
        <x:v>3.11</x:v>
      </x:c>
      <x:c r="G1267" s="12" t="n">
        <x:v>311</x:v>
      </x:c>
      <x:c r="H1267" s="12" t="n">
        <x:v>2</x:v>
      </x:c>
      <x:c r="I1267" s="12" t="str">
        <x:v>TuShare index_daily</x:v>
      </x:c>
      <x:c r="J1267" s="12" t="str">
        <x:v>Archived FRED mirror (Hugging Face)</x:v>
      </x:c>
    </x:row>
    <x:row r="1268" ht="18" customHeight="1">
      <x:c r="A1268" s="13" t="n">
        <x:v>44497</x:v>
      </x:c>
      <x:c r="B1268" s="12" t="n">
        <x:v>4864.138</x:v>
      </x:c>
      <x:c r="C1268" s="12" t="n">
        <x:v>4898.1644</x:v>
      </x:c>
      <x:c r="D1268" s="12" t="n">
        <x:v>-0.6947</x:v>
      </x:c>
      <x:c r="E1268" s="12" t="n">
        <x:v>-0.0069710067150644435</x:v>
      </x:c>
      <x:c r="F1268" s="12" t="n">
        <x:v>3.08</x:v>
      </x:c>
      <x:c r="G1268" s="12" t="n">
        <x:v>308</x:v>
      </x:c>
      <x:c r="H1268" s="12" t="n">
        <x:v>-3</x:v>
      </x:c>
      <x:c r="I1268" s="12" t="str">
        <x:v>TuShare index_daily</x:v>
      </x:c>
      <x:c r="J1268" s="12" t="str">
        <x:v>Archived FRED mirror (Hugging Face)</x:v>
      </x:c>
    </x:row>
    <x:row r="1269" ht="18" customHeight="1">
      <x:c r="A1269" s="13" t="n">
        <x:v>44498</x:v>
      </x:c>
      <x:c r="B1269" s="12" t="n">
        <x:v>4908.7701</x:v>
      </x:c>
      <x:c r="C1269" s="12" t="n">
        <x:v>4864.138</x:v>
      </x:c>
      <x:c r="D1269" s="12" t="n">
        <x:v>0.9176</x:v>
      </x:c>
      <x:c r="E1269" s="12" t="n">
        <x:v>0.009133905658576713</x:v>
      </x:c>
      <x:c r="F1269" s="12" t="n">
        <x:v>3.08</x:v>
      </x:c>
      <x:c r="G1269" s="12" t="n">
        <x:v>308</x:v>
      </x:c>
      <x:c r="H1269" s="12" t="n">
        <x:v>0</x:v>
      </x:c>
      <x:c r="I1269" s="12" t="str">
        <x:v>TuShare index_daily</x:v>
      </x:c>
      <x:c r="J1269" s="12" t="str">
        <x:v>Archived FRED mirror (Hugging Face)</x:v>
      </x:c>
    </x:row>
    <x:row r="1270" ht="18" customHeight="1">
      <x:c r="A1270" s="13" t="n">
        <x:v>44501</x:v>
      </x:c>
      <x:c r="B1270" s="12" t="n">
        <x:v>4890.6851</x:v>
      </x:c>
      <x:c r="C1270" s="12" t="n">
        <x:v>4908.7701</x:v>
      </x:c>
      <x:c r="D1270" s="12" t="n">
        <x:v>-0.3684</x:v>
      </x:c>
      <x:c r="E1270" s="12" t="n">
        <x:v>-0.0036910257076337187</x:v>
      </x:c>
      <x:c r="F1270" s="12" t="n">
        <x:v>3.16</x:v>
      </x:c>
      <x:c r="G1270" s="12" t="n">
        <x:v>316</x:v>
      </x:c>
      <x:c r="H1270" s="12" t="n">
        <x:v>1</x:v>
      </x:c>
      <x:c r="I1270" s="12" t="str">
        <x:v>TuShare index_daily</x:v>
      </x:c>
      <x:c r="J1270" s="12" t="str">
        <x:v>Archived FRED mirror (Hugging Face)</x:v>
      </x:c>
    </x:row>
    <x:row r="1271" ht="18" customHeight="1">
      <x:c r="A1271" s="13" t="n">
        <x:v>44502</x:v>
      </x:c>
      <x:c r="B1271" s="12" t="n">
        <x:v>4839.8457</x:v>
      </x:c>
      <x:c r="C1271" s="12" t="n">
        <x:v>4890.6851</x:v>
      </x:c>
      <x:c r="D1271" s="12" t="n">
        <x:v>-1.0395</x:v>
      </x:c>
      <x:c r="E1271" s="12" t="n">
        <x:v>-0.010449555867797935</x:v>
      </x:c>
      <x:c r="F1271" s="12" t="n">
        <x:v>3.21</x:v>
      </x:c>
      <x:c r="G1271" s="12" t="n">
        <x:v>321</x:v>
      </x:c>
      <x:c r="H1271" s="12" t="n">
        <x:v>5</x:v>
      </x:c>
      <x:c r="I1271" s="12" t="str">
        <x:v>TuShare index_daily</x:v>
      </x:c>
      <x:c r="J1271" s="12" t="str">
        <x:v>Archived FRED mirror (Hugging Face)</x:v>
      </x:c>
    </x:row>
    <x:row r="1272" ht="18" customHeight="1">
      <x:c r="A1272" s="13" t="n">
        <x:v>44503</x:v>
      </x:c>
      <x:c r="B1272" s="12" t="n">
        <x:v>4821.1119</x:v>
      </x:c>
      <x:c r="C1272" s="12" t="n">
        <x:v>4839.8457</x:v>
      </x:c>
      <x:c r="D1272" s="12" t="n">
        <x:v>-0.3871</x:v>
      </x:c>
      <x:c r="E1272" s="12" t="n">
        <x:v>-0.00387825394886795</x:v>
      </x:c>
      <x:c r="F1272" s="12" t="n">
        <x:v>3.18</x:v>
      </x:c>
      <x:c r="G1272" s="12" t="n">
        <x:v>318</x:v>
      </x:c>
      <x:c r="H1272" s="12" t="n">
        <x:v>-3</x:v>
      </x:c>
      <x:c r="I1272" s="12" t="str">
        <x:v>TuShare index_daily</x:v>
      </x:c>
      <x:c r="J1272" s="12" t="str">
        <x:v>Archived FRED mirror (Hugging Face)</x:v>
      </x:c>
    </x:row>
    <x:row r="1273" ht="18" customHeight="1">
      <x:c r="A1273" s="13" t="n">
        <x:v>44504</x:v>
      </x:c>
      <x:c r="B1273" s="12" t="n">
        <x:v>4868.7419</x:v>
      </x:c>
      <x:c r="C1273" s="12" t="n">
        <x:v>4821.1119</x:v>
      </x:c>
      <x:c r="D1273" s="12" t="n">
        <x:v>0.9879</x:v>
      </x:c>
      <x:c r="E1273" s="12" t="n">
        <x:v>0.00983098085796393</x:v>
      </x:c>
      <x:c r="F1273" s="12" t="n">
        <x:v>3.19</x:v>
      </x:c>
      <x:c r="G1273" s="12" t="n">
        <x:v>319</x:v>
      </x:c>
      <x:c r="H1273" s="12" t="n">
        <x:v>1</x:v>
      </x:c>
      <x:c r="I1273" s="12" t="str">
        <x:v>TuShare index_daily</x:v>
      </x:c>
      <x:c r="J1273" s="12" t="str">
        <x:v>Archived FRED mirror (Hugging Face)</x:v>
      </x:c>
    </x:row>
    <x:row r="1274" ht="18" customHeight="1">
      <x:c r="A1274" s="13" t="n">
        <x:v>44505</x:v>
      </x:c>
      <x:c r="B1274" s="12" t="n">
        <x:v>4842.3458</x:v>
      </x:c>
      <x:c r="C1274" s="12" t="n">
        <x:v>4868.7419</x:v>
      </x:c>
      <x:c r="D1274" s="12" t="n">
        <x:v>-0.5422</x:v>
      </x:c>
      <x:c r="E1274" s="12" t="n">
        <x:v>-0.005436294228423467</x:v>
      </x:c>
      <x:c r="F1274" s="12" t="n">
        <x:v>3.12</x:v>
      </x:c>
      <x:c r="G1274" s="12" t="n">
        <x:v>312</x:v>
      </x:c>
      <x:c r="H1274" s="12" t="n">
        <x:v>-7</x:v>
      </x:c>
      <x:c r="I1274" s="12" t="str">
        <x:v>TuShare index_daily</x:v>
      </x:c>
      <x:c r="J1274" s="12" t="str">
        <x:v>Archived FRED mirror (Hugging Face)</x:v>
      </x:c>
    </x:row>
    <x:row r="1275" ht="18" customHeight="1">
      <x:c r="A1275" s="13" t="n">
        <x:v>44508</x:v>
      </x:c>
      <x:c r="B1275" s="12" t="n">
        <x:v>4848.1795</x:v>
      </x:c>
      <x:c r="C1275" s="12" t="n">
        <x:v>4842.3458</x:v>
      </x:c>
      <x:c r="D1275" s="12" t="n">
        <x:v>0.1205</x:v>
      </x:c>
      <x:c r="E1275" s="12" t="n">
        <x:v>0.0012040009234010089</x:v>
      </x:c>
      <x:c r="F1275" s="12" t="n">
        <x:v>3.03</x:v>
      </x:c>
      <x:c r="G1275" s="12" t="n">
        <x:v>303</x:v>
      </x:c>
      <x:c r="H1275" s="12" t="n">
        <x:v>-9</x:v>
      </x:c>
      <x:c r="I1275" s="12" t="str">
        <x:v>TuShare index_daily</x:v>
      </x:c>
      <x:c r="J1275" s="12" t="str">
        <x:v>Archived FRED mirror (Hugging Face)</x:v>
      </x:c>
    </x:row>
    <x:row r="1276" ht="18" customHeight="1">
      <x:c r="A1276" s="13" t="n">
        <x:v>44509</x:v>
      </x:c>
      <x:c r="B1276" s="12" t="n">
        <x:v>4846.7444</x:v>
      </x:c>
      <x:c r="C1276" s="12" t="n">
        <x:v>4848.1795</x:v>
      </x:c>
      <x:c r="D1276" s="12" t="n">
        <x:v>-0.0296</x:v>
      </x:c>
      <x:c r="E1276" s="12" t="n">
        <x:v>-0.0002960518360504767</x:v>
      </x:c>
      <x:c r="F1276" s="12" t="n">
        <x:v>3.08</x:v>
      </x:c>
      <x:c r="G1276" s="12" t="n">
        <x:v>308</x:v>
      </x:c>
      <x:c r="H1276" s="12" t="n">
        <x:v>5</x:v>
      </x:c>
      <x:c r="I1276" s="12" t="str">
        <x:v>TuShare index_daily</x:v>
      </x:c>
      <x:c r="J1276" s="12" t="str">
        <x:v>Archived FRED mirror (Hugging Face)</x:v>
      </x:c>
    </x:row>
    <x:row r="1277" ht="18" customHeight="1">
      <x:c r="A1277" s="13" t="n">
        <x:v>44510</x:v>
      </x:c>
      <x:c r="B1277" s="12" t="n">
        <x:v>4821.1925</x:v>
      </x:c>
      <x:c r="C1277" s="12" t="n">
        <x:v>4846.7444</x:v>
      </x:c>
      <x:c r="D1277" s="12" t="n">
        <x:v>-0.5272</x:v>
      </x:c>
      <x:c r="E1277" s="12" t="n">
        <x:v>-0.005285917721553265</x:v>
      </x:c>
      <x:c r="F1277" s="12" t="n">
        <x:v>3.06</x:v>
      </x:c>
      <x:c r="G1277" s="12" t="n">
        <x:v>306</x:v>
      </x:c>
      <x:c r="H1277" s="12" t="n">
        <x:v>-2</x:v>
      </x:c>
      <x:c r="I1277" s="12" t="str">
        <x:v>TuShare index_daily</x:v>
      </x:c>
      <x:c r="J1277" s="12" t="str">
        <x:v>Archived FRED mirror (Hugging Face)</x:v>
      </x:c>
    </x:row>
    <x:row r="1278" ht="18" customHeight="1">
      <x:c r="A1278" s="13" t="n">
        <x:v>44511</x:v>
      </x:c>
      <x:c r="B1278" s="12" t="n">
        <x:v>4898.6529</x:v>
      </x:c>
      <x:c r="C1278" s="12" t="n">
        <x:v>4821.1925</x:v>
      </x:c>
      <x:c r="D1278" s="12" t="n">
        <x:v>1.6067</x:v>
      </x:c>
      <x:c r="E1278" s="12" t="n">
        <x:v>0.01593894485071449</x:v>
      </x:c>
      <x:c r="F1278" s="12" t="n">
        <x:v>3.06</x:v>
      </x:c>
      <x:c r="G1278" s="12" t="n">
        <x:v>306</x:v>
      </x:c>
      <x:c r="H1278" s="12" t="n">
        <x:v>0</x:v>
      </x:c>
      <x:c r="I1278" s="12" t="str">
        <x:v>TuShare index_daily</x:v>
      </x:c>
      <x:c r="J1278" s="12" t="str">
        <x:v>Archived FRED mirror (Hugging Face)</x:v>
      </x:c>
    </x:row>
    <x:row r="1279" ht="18" customHeight="1">
      <x:c r="A1279" s="13" t="n">
        <x:v>44512</x:v>
      </x:c>
      <x:c r="B1279" s="12" t="n">
        <x:v>4888.3749</x:v>
      </x:c>
      <x:c r="C1279" s="12" t="n">
        <x:v>4898.6529</x:v>
      </x:c>
      <x:c r="D1279" s="12" t="n">
        <x:v>-0.2098</x:v>
      </x:c>
      <x:c r="E1279" s="12" t="n">
        <x:v>-0.002100331988095335</x:v>
      </x:c>
      <x:c r="F1279" s="12" t="n">
        <x:v>3.09</x:v>
      </x:c>
      <x:c r="G1279" s="12" t="n">
        <x:v>309</x:v>
      </x:c>
      <x:c r="H1279" s="12" t="n">
        <x:v>3</x:v>
      </x:c>
      <x:c r="I1279" s="12" t="str">
        <x:v>TuShare index_daily</x:v>
      </x:c>
      <x:c r="J1279" s="12" t="str">
        <x:v>Archived FRED mirror (Hugging Face)</x:v>
      </x:c>
    </x:row>
    <x:row r="1280" ht="18" customHeight="1">
      <x:c r="A1280" s="13" t="n">
        <x:v>44515</x:v>
      </x:c>
      <x:c r="B1280" s="12" t="n">
        <x:v>4882.3777</x:v>
      </x:c>
      <x:c r="C1280" s="12" t="n">
        <x:v>4888.3749</x:v>
      </x:c>
      <x:c r="D1280" s="12" t="n">
        <x:v>-0.1227</x:v>
      </x:c>
      <x:c r="E1280" s="12" t="n">
        <x:v>-0.0012275821522954918</x:v>
      </x:c>
      <x:c r="F1280" s="12" t="n">
        <x:v>3.1</x:v>
      </x:c>
      <x:c r="G1280" s="12" t="n">
        <x:v>310</x:v>
      </x:c>
      <x:c r="H1280" s="12" t="n">
        <x:v>1</x:v>
      </x:c>
      <x:c r="I1280" s="12" t="str">
        <x:v>TuShare index_daily</x:v>
      </x:c>
      <x:c r="J1280" s="12" t="str">
        <x:v>Archived FRED mirror (Hugging Face)</x:v>
      </x:c>
    </x:row>
    <x:row r="1281" ht="18" customHeight="1">
      <x:c r="A1281" s="13" t="n">
        <x:v>44516</x:v>
      </x:c>
      <x:c r="B1281" s="12" t="n">
        <x:v>4883.3206</x:v>
      </x:c>
      <x:c r="C1281" s="12" t="n">
        <x:v>4882.3777</x:v>
      </x:c>
      <x:c r="D1281" s="12" t="n">
        <x:v>0.0193</x:v>
      </x:c>
      <x:c r="E1281" s="12" t="n">
        <x:v>0.00019310447117343</x:v>
      </x:c>
      <x:c r="F1281" s="12" t="n">
        <x:v>3.12</x:v>
      </x:c>
      <x:c r="G1281" s="12" t="n">
        <x:v>312</x:v>
      </x:c>
      <x:c r="H1281" s="12" t="n">
        <x:v>2</x:v>
      </x:c>
      <x:c r="I1281" s="12" t="str">
        <x:v>TuShare index_daily</x:v>
      </x:c>
      <x:c r="J1281" s="12" t="str">
        <x:v>Archived FRED mirror (Hugging Face)</x:v>
      </x:c>
    </x:row>
    <x:row r="1282" ht="18" customHeight="1">
      <x:c r="A1282" s="13" t="n">
        <x:v>44517</x:v>
      </x:c>
      <x:c r="B1282" s="12" t="n">
        <x:v>4885.7544</x:v>
      </x:c>
      <x:c r="C1282" s="12" t="n">
        <x:v>4883.3206</x:v>
      </x:c>
      <x:c r="D1282" s="12" t="n">
        <x:v>0.0498</x:v>
      </x:c>
      <x:c r="E1282" s="12" t="n">
        <x:v>0.000498266222820992</x:v>
      </x:c>
      <x:c r="F1282" s="12" t="n">
        <x:v>3.17</x:v>
      </x:c>
      <x:c r="G1282" s="12" t="n">
        <x:v>317</x:v>
      </x:c>
      <x:c r="H1282" s="12" t="n">
        <x:v>5</x:v>
      </x:c>
      <x:c r="I1282" s="12" t="str">
        <x:v>TuShare index_daily</x:v>
      </x:c>
      <x:c r="J1282" s="12" t="str">
        <x:v>Archived FRED mirror (Hugging Face)</x:v>
      </x:c>
    </x:row>
    <x:row r="1283" ht="18" customHeight="1">
      <x:c r="A1283" s="13" t="n">
        <x:v>44518</x:v>
      </x:c>
      <x:c r="B1283" s="12" t="n">
        <x:v>4837.6185</x:v>
      </x:c>
      <x:c r="C1283" s="12" t="n">
        <x:v>4885.7544</x:v>
      </x:c>
      <x:c r="D1283" s="12" t="n">
        <x:v>-0.9852</x:v>
      </x:c>
      <x:c r="E1283" s="12" t="n">
        <x:v>-0.009901151325949787</x:v>
      </x:c>
      <x:c r="F1283" s="12" t="n">
        <x:v>3.19</x:v>
      </x:c>
      <x:c r="G1283" s="12" t="n">
        <x:v>319</x:v>
      </x:c>
      <x:c r="H1283" s="12" t="n">
        <x:v>2</x:v>
      </x:c>
      <x:c r="I1283" s="12" t="str">
        <x:v>TuShare index_daily</x:v>
      </x:c>
      <x:c r="J1283" s="12" t="str">
        <x:v>Archived FRED mirror (Hugging Face)</x:v>
      </x:c>
    </x:row>
    <x:row r="1284" ht="18" customHeight="1">
      <x:c r="A1284" s="13" t="n">
        <x:v>44519</x:v>
      </x:c>
      <x:c r="B1284" s="12" t="n">
        <x:v>4890.0575</x:v>
      </x:c>
      <x:c r="C1284" s="12" t="n">
        <x:v>4837.6185</x:v>
      </x:c>
      <x:c r="D1284" s="12" t="n">
        <x:v>1.084</x:v>
      </x:c>
      <x:c r="E1284" s="12" t="n">
        <x:v>0.010781507928948286</x:v>
      </x:c>
      <x:c r="F1284" s="12" t="n">
        <x:v>3.24</x:v>
      </x:c>
      <x:c r="G1284" s="12" t="n">
        <x:v>324</x:v>
      </x:c>
      <x:c r="H1284" s="12" t="n">
        <x:v>5</x:v>
      </x:c>
      <x:c r="I1284" s="12" t="str">
        <x:v>TuShare index_daily</x:v>
      </x:c>
      <x:c r="J1284" s="12" t="str">
        <x:v>Archived FRED mirror (Hugging Face)</x:v>
      </x:c>
    </x:row>
    <x:row r="1285" ht="18" customHeight="1">
      <x:c r="A1285" s="13" t="n">
        <x:v>44522</x:v>
      </x:c>
      <x:c r="B1285" s="12" t="n">
        <x:v>4912.399</x:v>
      </x:c>
      <x:c r="C1285" s="12" t="n">
        <x:v>4890.0575</x:v>
      </x:c>
      <x:c r="D1285" s="12" t="n">
        <x:v>0.4569</x:v>
      </x:c>
      <x:c r="E1285" s="12" t="n">
        <x:v>0.004558355078732283</x:v>
      </x:c>
      <x:c r="F1285" s="12" t="n">
        <x:v>3.18</x:v>
      </x:c>
      <x:c r="G1285" s="12" t="n">
        <x:v>318</x:v>
      </x:c>
      <x:c r="H1285" s="12" t="n">
        <x:v>-6</x:v>
      </x:c>
      <x:c r="I1285" s="12" t="str">
        <x:v>TuShare index_daily</x:v>
      </x:c>
      <x:c r="J1285" s="12" t="str">
        <x:v>Archived FRED mirror (Hugging Face)</x:v>
      </x:c>
    </x:row>
    <x:row r="1286" ht="18" customHeight="1">
      <x:c r="A1286" s="13" t="n">
        <x:v>44523</x:v>
      </x:c>
      <x:c r="B1286" s="12" t="n">
        <x:v>4913.3457</x:v>
      </x:c>
      <x:c r="C1286" s="12" t="n">
        <x:v>4912.399</x:v>
      </x:c>
      <x:c r="D1286" s="12" t="n">
        <x:v>0.0193</x:v>
      </x:c>
      <x:c r="E1286" s="12" t="n">
        <x:v>0.00019269786297804745</x:v>
      </x:c>
      <x:c r="F1286" s="12" t="n">
        <x:v>3.3</x:v>
      </x:c>
      <x:c r="G1286" s="12" t="n">
        <x:v>330</x:v>
      </x:c>
      <x:c r="H1286" s="12" t="n">
        <x:v>12</x:v>
      </x:c>
      <x:c r="I1286" s="12" t="str">
        <x:v>TuShare index_daily</x:v>
      </x:c>
      <x:c r="J1286" s="12" t="str">
        <x:v>Archived FRED mirror (Hugging Face)</x:v>
      </x:c>
    </x:row>
    <x:row r="1287" ht="18" customHeight="1">
      <x:c r="A1287" s="13" t="n">
        <x:v>44524</x:v>
      </x:c>
      <x:c r="B1287" s="12" t="n">
        <x:v>4916.6579</x:v>
      </x:c>
      <x:c r="C1287" s="12" t="n">
        <x:v>4913.3457</x:v>
      </x:c>
      <x:c r="D1287" s="12" t="n">
        <x:v>0.0674</x:v>
      </x:c>
      <x:c r="E1287" s="12" t="n">
        <x:v>0.0006738960147175844</x:v>
      </x:c>
      <x:c r="F1287" s="12" t="n">
        <x:v>3.32</x:v>
      </x:c>
      <x:c r="G1287" s="12" t="n">
        <x:v>332</x:v>
      </x:c>
      <x:c r="H1287" s="12" t="n">
        <x:v>2</x:v>
      </x:c>
      <x:c r="I1287" s="12" t="str">
        <x:v>TuShare index_daily</x:v>
      </x:c>
      <x:c r="J1287" s="12" t="str">
        <x:v>Archived FRED mirror (Hugging Face)</x:v>
      </x:c>
    </x:row>
    <x:row r="1288" ht="18" customHeight="1">
      <x:c r="A1288" s="13" t="n">
        <x:v>44525</x:v>
      </x:c>
      <x:c r="B1288" s="12" t="n">
        <x:v>4896.4416</x:v>
      </x:c>
      <x:c r="C1288" s="12" t="n">
        <x:v>4916.6579</x:v>
      </x:c>
      <x:c r="D1288" s="12" t="n">
        <x:v>-0.4112</x:v>
      </x:c>
      <x:c r="E1288" s="12" t="n">
        <x:v>-0.004120273844247433</x:v>
      </x:c>
      <x:c r="F1288" s="12" t="n">
        <x:v>3.32</x:v>
      </x:c>
      <x:c r="G1288" s="12" t="n">
        <x:v>332</x:v>
      </x:c>
      <x:c r="H1288" s="12" t="n">
        <x:v>0</x:v>
      </x:c>
      <x:c r="I1288" s="12" t="str">
        <x:v>TuShare index_daily</x:v>
      </x:c>
      <x:c r="J1288" s="12" t="str">
        <x:v>Archived FRED mirror (Hugging Face)</x:v>
      </x:c>
    </x:row>
    <x:row r="1289" ht="18" customHeight="1">
      <x:c r="A1289" s="13" t="n">
        <x:v>44526</x:v>
      </x:c>
      <x:c r="B1289" s="12" t="n">
        <x:v>4860.1265</x:v>
      </x:c>
      <x:c r="C1289" s="12" t="n">
        <x:v>4896.4416</x:v>
      </x:c>
      <x:c r="D1289" s="12" t="n">
        <x:v>-0.7417</x:v>
      </x:c>
      <x:c r="E1289" s="12" t="n">
        <x:v>-0.007444270840791316</x:v>
      </x:c>
      <x:c r="F1289" s="12" t="n">
        <x:v>3.62</x:v>
      </x:c>
      <x:c r="G1289" s="12" t="n">
        <x:v>362</x:v>
      </x:c>
      <x:c r="H1289" s="12" t="n">
        <x:v>30</x:v>
      </x:c>
      <x:c r="I1289" s="12" t="str">
        <x:v>TuShare index_daily</x:v>
      </x:c>
      <x:c r="J1289" s="12" t="str">
        <x:v>Archived FRED mirror (Hugging Face)</x:v>
      </x:c>
    </x:row>
    <x:row r="1290" ht="18" customHeight="1">
      <x:c r="A1290" s="13" t="n">
        <x:v>44529</x:v>
      </x:c>
      <x:c r="B1290" s="12" t="n">
        <x:v>4851.423</x:v>
      </x:c>
      <x:c r="C1290" s="12" t="n">
        <x:v>4860.1265</x:v>
      </x:c>
      <x:c r="D1290" s="12" t="n">
        <x:v>-0.1791</x:v>
      </x:c>
      <x:c r="E1290" s="12" t="n">
        <x:v>-0.0017924024029635618</x:v>
      </x:c>
      <x:c r="F1290" s="12" t="n">
        <x:v>3.53</x:v>
      </x:c>
      <x:c r="G1290" s="12" t="n">
        <x:v>353</x:v>
      </x:c>
      <x:c r="H1290" s="12" t="n">
        <x:v>-9</x:v>
      </x:c>
      <x:c r="I1290" s="12" t="str">
        <x:v>TuShare index_daily</x:v>
      </x:c>
      <x:c r="J1290" s="12" t="str">
        <x:v>Archived FRED mirror (Hugging Face)</x:v>
      </x:c>
    </x:row>
    <x:row r="1291" ht="18" customHeight="1">
      <x:c r="A1291" s="13" t="n">
        <x:v>44530</x:v>
      </x:c>
      <x:c r="B1291" s="12" t="n">
        <x:v>4832.026</x:v>
      </x:c>
      <x:c r="C1291" s="12" t="n">
        <x:v>4851.423</x:v>
      </x:c>
      <x:c r="D1291" s="12" t="n">
        <x:v>-0.3998</x:v>
      </x:c>
      <x:c r="E1291" s="12" t="n">
        <x:v>-0.004006222564540432</x:v>
      </x:c>
      <x:c r="F1291" s="12" t="n">
        <x:v>3.67</x:v>
      </x:c>
      <x:c r="G1291" s="12" t="n">
        <x:v>367</x:v>
      </x:c>
      <x:c r="H1291" s="12" t="n">
        <x:v>14</x:v>
      </x:c>
      <x:c r="I1291" s="12" t="str">
        <x:v>TuShare index_daily</x:v>
      </x:c>
      <x:c r="J1291" s="12" t="str">
        <x:v>Archived FRED mirror (Hugging Face)</x:v>
      </x:c>
    </x:row>
    <x:row r="1292" ht="18" customHeight="1">
      <x:c r="A1292" s="13" t="n">
        <x:v>44531</x:v>
      </x:c>
      <x:c r="B1292" s="12" t="n">
        <x:v>4843.851</x:v>
      </x:c>
      <x:c r="C1292" s="12" t="n">
        <x:v>4832.026</x:v>
      </x:c>
      <x:c r="D1292" s="12" t="n">
        <x:v>0.2447</x:v>
      </x:c>
      <x:c r="E1292" s="12" t="n">
        <x:v>0.0024442241022921175</x:v>
      </x:c>
      <x:c r="F1292" s="12" t="n">
        <x:v>3.58</x:v>
      </x:c>
      <x:c r="G1292" s="12" t="n">
        <x:v>358</x:v>
      </x:c>
      <x:c r="H1292" s="12" t="n">
        <x:v>-9</x:v>
      </x:c>
      <x:c r="I1292" s="12" t="str">
        <x:v>TuShare index_daily</x:v>
      </x:c>
      <x:c r="J1292" s="12" t="str">
        <x:v>Archived FRED mirror (Hugging Face)</x:v>
      </x:c>
    </x:row>
    <x:row r="1293" ht="18" customHeight="1">
      <x:c r="A1293" s="13" t="n">
        <x:v>44532</x:v>
      </x:c>
      <x:c r="B1293" s="12" t="n">
        <x:v>4856.163</x:v>
      </x:c>
      <x:c r="C1293" s="12" t="n">
        <x:v>4843.851</x:v>
      </x:c>
      <x:c r="D1293" s="12" t="n">
        <x:v>0.2542</x:v>
      </x:c>
      <x:c r="E1293" s="12" t="n">
        <x:v>0.002538554400397358</x:v>
      </x:c>
      <x:c r="F1293" s="12" t="n">
        <x:v>3.54</x:v>
      </x:c>
      <x:c r="G1293" s="12" t="n">
        <x:v>354</x:v>
      </x:c>
      <x:c r="H1293" s="12" t="n">
        <x:v>-4</x:v>
      </x:c>
      <x:c r="I1293" s="12" t="str">
        <x:v>TuShare index_daily</x:v>
      </x:c>
      <x:c r="J1293" s="12" t="str">
        <x:v>Archived FRED mirror (Hugging Face)</x:v>
      </x:c>
    </x:row>
    <x:row r="1294" ht="18" customHeight="1">
      <x:c r="A1294" s="13" t="n">
        <x:v>44533</x:v>
      </x:c>
      <x:c r="B1294" s="12" t="n">
        <x:v>4901.0175</x:v>
      </x:c>
      <x:c r="C1294" s="12" t="n">
        <x:v>4856.163</x:v>
      </x:c>
      <x:c r="D1294" s="12" t="n">
        <x:v>0.9237</x:v>
      </x:c>
      <x:c r="E1294" s="12" t="n">
        <x:v>0.009194216705463765</x:v>
      </x:c>
      <x:c r="F1294" s="12" t="n">
        <x:v>3.56</x:v>
      </x:c>
      <x:c r="G1294" s="12" t="n">
        <x:v>356</x:v>
      </x:c>
      <x:c r="H1294" s="12" t="n">
        <x:v>2</x:v>
      </x:c>
      <x:c r="I1294" s="12" t="str">
        <x:v>TuShare index_daily</x:v>
      </x:c>
      <x:c r="J1294" s="12" t="str">
        <x:v>Archived FRED mirror (Hugging Face)</x:v>
      </x:c>
    </x:row>
    <x:row r="1295" ht="18" customHeight="1">
      <x:c r="A1295" s="13" t="n">
        <x:v>44536</x:v>
      </x:c>
      <x:c r="B1295" s="12" t="n">
        <x:v>4892.6209</x:v>
      </x:c>
      <x:c r="C1295" s="12" t="n">
        <x:v>4901.0175</x:v>
      </x:c>
      <x:c r="D1295" s="12" t="n">
        <x:v>-0.1713</x:v>
      </x:c>
      <x:c r="E1295" s="12" t="n">
        <x:v>-0.0017147053453223631</x:v>
      </x:c>
      <x:c r="F1295" s="12" t="n">
        <x:v>3.41</x:v>
      </x:c>
      <x:c r="G1295" s="12" t="n">
        <x:v>341</x:v>
      </x:c>
      <x:c r="H1295" s="12" t="n">
        <x:v>-15</x:v>
      </x:c>
      <x:c r="I1295" s="12" t="str">
        <x:v>TuShare index_daily</x:v>
      </x:c>
      <x:c r="J1295" s="12" t="str">
        <x:v>Archived FRED mirror (Hugging Face)</x:v>
      </x:c>
    </x:row>
    <x:row r="1296" ht="18" customHeight="1">
      <x:c r="A1296" s="13" t="n">
        <x:v>44537</x:v>
      </x:c>
      <x:c r="B1296" s="12" t="n">
        <x:v>4922.1015</x:v>
      </x:c>
      <x:c r="C1296" s="12" t="n">
        <x:v>4892.6209</x:v>
      </x:c>
      <x:c r="D1296" s="12" t="n">
        <x:v>0.6026</x:v>
      </x:c>
      <x:c r="E1296" s="12" t="n">
        <x:v>0.006007442179166062</x:v>
      </x:c>
      <x:c r="F1296" s="12" t="n">
        <x:v>3.16</x:v>
      </x:c>
      <x:c r="G1296" s="12" t="n">
        <x:v>316</x:v>
      </x:c>
      <x:c r="H1296" s="12" t="n">
        <x:v>-25</x:v>
      </x:c>
      <x:c r="I1296" s="12" t="str">
        <x:v>TuShare index_daily</x:v>
      </x:c>
      <x:c r="J1296" s="12" t="str">
        <x:v>Archived FRED mirror (Hugging Face)</x:v>
      </x:c>
    </x:row>
    <x:row r="1297" ht="18" customHeight="1">
      <x:c r="A1297" s="13" t="n">
        <x:v>44538</x:v>
      </x:c>
      <x:c r="B1297" s="12" t="n">
        <x:v>4995.9298</x:v>
      </x:c>
      <x:c r="C1297" s="12" t="n">
        <x:v>4922.1015</x:v>
      </x:c>
      <x:c r="D1297" s="12" t="n">
        <x:v>1.4999</x:v>
      </x:c>
      <x:c r="E1297" s="12" t="n">
        <x:v>0.014887967468882464</x:v>
      </x:c>
      <x:c r="F1297" s="12" t="n">
        <x:v>3.21</x:v>
      </x:c>
      <x:c r="G1297" s="12" t="n">
        <x:v>321</x:v>
      </x:c>
      <x:c r="H1297" s="12" t="n">
        <x:v>5</x:v>
      </x:c>
      <x:c r="I1297" s="12" t="str">
        <x:v>TuShare index_daily</x:v>
      </x:c>
      <x:c r="J1297" s="12" t="str">
        <x:v>Archived FRED mirror (Hugging Face)</x:v>
      </x:c>
    </x:row>
    <x:row r="1298" ht="18" customHeight="1">
      <x:c r="A1298" s="13" t="n">
        <x:v>44539</x:v>
      </x:c>
      <x:c r="B1298" s="12" t="n">
        <x:v>5078.6901</x:v>
      </x:c>
      <x:c r="C1298" s="12" t="n">
        <x:v>4995.9298</x:v>
      </x:c>
      <x:c r="D1298" s="12" t="n">
        <x:v>1.6566</x:v>
      </x:c>
      <x:c r="E1298" s="12" t="n">
        <x:v>0.016429833085919086</x:v>
      </x:c>
      <x:c r="F1298" s="12" t="n">
        <x:v>3.25</x:v>
      </x:c>
      <x:c r="G1298" s="12" t="n">
        <x:v>325</x:v>
      </x:c>
      <x:c r="H1298" s="12" t="n">
        <x:v>4</x:v>
      </x:c>
      <x:c r="I1298" s="12" t="str">
        <x:v>TuShare index_daily</x:v>
      </x:c>
      <x:c r="J1298" s="12" t="str">
        <x:v>Archived FRED mirror (Hugging Face)</x:v>
      </x:c>
    </x:row>
    <x:row r="1299" ht="18" customHeight="1">
      <x:c r="A1299" s="13" t="n">
        <x:v>44540</x:v>
      </x:c>
      <x:c r="B1299" s="12" t="n">
        <x:v>5055.1172</x:v>
      </x:c>
      <x:c r="C1299" s="12" t="n">
        <x:v>5078.6901</x:v>
      </x:c>
      <x:c r="D1299" s="12" t="n">
        <x:v>-0.4642</x:v>
      </x:c>
      <x:c r="E1299" s="12" t="n">
        <x:v>-0.004652336840489615</x:v>
      </x:c>
      <x:c r="F1299" s="12" t="n">
        <x:v>3.29</x:v>
      </x:c>
      <x:c r="G1299" s="12" t="n">
        <x:v>329</x:v>
      </x:c>
      <x:c r="H1299" s="12" t="n">
        <x:v>4</x:v>
      </x:c>
      <x:c r="I1299" s="12" t="str">
        <x:v>TuShare index_daily</x:v>
      </x:c>
      <x:c r="J1299" s="12" t="str">
        <x:v>Archived FRED mirror (Hugging Face)</x:v>
      </x:c>
    </x:row>
    <x:row r="1300" ht="18" customHeight="1">
      <x:c r="A1300" s="13" t="n">
        <x:v>44543</x:v>
      </x:c>
      <x:c r="B1300" s="12" t="n">
        <x:v>5083.8007</x:v>
      </x:c>
      <x:c r="C1300" s="12" t="n">
        <x:v>5055.1172</x:v>
      </x:c>
      <x:c r="D1300" s="12" t="n">
        <x:v>0.5674</x:v>
      </x:c>
      <x:c r="E1300" s="12" t="n">
        <x:v>0.0056581139735559045</x:v>
      </x:c>
      <x:c r="F1300" s="12" t="n">
        <x:v>3.33</x:v>
      </x:c>
      <x:c r="G1300" s="12" t="n">
        <x:v>333</x:v>
      </x:c>
      <x:c r="H1300" s="12" t="n">
        <x:v>4</x:v>
      </x:c>
      <x:c r="I1300" s="12" t="str">
        <x:v>TuShare index_daily</x:v>
      </x:c>
      <x:c r="J1300" s="12" t="str">
        <x:v>Archived FRED mirror (Hugging Face)</x:v>
      </x:c>
    </x:row>
    <x:row r="1301" ht="18" customHeight="1">
      <x:c r="A1301" s="13" t="n">
        <x:v>44544</x:v>
      </x:c>
      <x:c r="B1301" s="12" t="n">
        <x:v>5049.6953</x:v>
      </x:c>
      <x:c r="C1301" s="12" t="n">
        <x:v>5083.8007</x:v>
      </x:c>
      <x:c r="D1301" s="12" t="n">
        <x:v>-0.6709</x:v>
      </x:c>
      <x:c r="E1301" s="12" t="n">
        <x:v>-0.006731246309327015</x:v>
      </x:c>
      <x:c r="F1301" s="12" t="n">
        <x:v>3.35</x:v>
      </x:c>
      <x:c r="G1301" s="12" t="n">
        <x:v>335</x:v>
      </x:c>
      <x:c r="H1301" s="12" t="n">
        <x:v>2</x:v>
      </x:c>
      <x:c r="I1301" s="12" t="str">
        <x:v>TuShare index_daily</x:v>
      </x:c>
      <x:c r="J1301" s="12" t="str">
        <x:v>Archived FRED mirror (Hugging Face)</x:v>
      </x:c>
    </x:row>
    <x:row r="1302" ht="18" customHeight="1">
      <x:c r="A1302" s="13" t="n">
        <x:v>44545</x:v>
      </x:c>
      <x:c r="B1302" s="12" t="n">
        <x:v>5005.8991</x:v>
      </x:c>
      <x:c r="C1302" s="12" t="n">
        <x:v>5049.6953</x:v>
      </x:c>
      <x:c r="D1302" s="12" t="n">
        <x:v>-0.8673</x:v>
      </x:c>
      <x:c r="E1302" s="12" t="n">
        <x:v>-0.008710867839850396</x:v>
      </x:c>
      <x:c r="F1302" s="12" t="n">
        <x:v>3.33</x:v>
      </x:c>
      <x:c r="G1302" s="12" t="n">
        <x:v>333</x:v>
      </x:c>
      <x:c r="H1302" s="12" t="n">
        <x:v>-2</x:v>
      </x:c>
      <x:c r="I1302" s="12" t="str">
        <x:v>TuShare index_daily</x:v>
      </x:c>
      <x:c r="J1302" s="12" t="str">
        <x:v>Archived FRED mirror (Hugging Face)</x:v>
      </x:c>
    </x:row>
    <x:row r="1303" ht="18" customHeight="1">
      <x:c r="A1303" s="13" t="n">
        <x:v>44546</x:v>
      </x:c>
      <x:c r="B1303" s="12" t="n">
        <x:v>5034.7321</x:v>
      </x:c>
      <x:c r="C1303" s="12" t="n">
        <x:v>5005.8991</x:v>
      </x:c>
      <x:c r="D1303" s="12" t="n">
        <x:v>0.576</x:v>
      </x:c>
      <x:c r="E1303" s="12" t="n">
        <x:v>0.005743280214357276</x:v>
      </x:c>
      <x:c r="F1303" s="12" t="n">
        <x:v>3.32</x:v>
      </x:c>
      <x:c r="G1303" s="12" t="n">
        <x:v>332</x:v>
      </x:c>
      <x:c r="H1303" s="12" t="n">
        <x:v>-1</x:v>
      </x:c>
      <x:c r="I1303" s="12" t="str">
        <x:v>TuShare index_daily</x:v>
      </x:c>
      <x:c r="J1303" s="12" t="str">
        <x:v>Archived FRED mirror (Hugging Face)</x:v>
      </x:c>
    </x:row>
    <x:row r="1304" ht="18" customHeight="1">
      <x:c r="A1304" s="13" t="n">
        <x:v>44547</x:v>
      </x:c>
      <x:c r="B1304" s="12" t="n">
        <x:v>4954.7599</x:v>
      </x:c>
      <x:c r="C1304" s="12" t="n">
        <x:v>5034.7321</x:v>
      </x:c>
      <x:c r="D1304" s="12" t="n">
        <x:v>-1.5884</x:v>
      </x:c>
      <x:c r="E1304" s="12" t="n">
        <x:v>-0.016011606704812265</x:v>
      </x:c>
      <x:c r="F1304" s="12" t="n">
        <x:v>3.36</x:v>
      </x:c>
      <x:c r="G1304" s="12" t="n">
        <x:v>336</x:v>
      </x:c>
      <x:c r="H1304" s="12" t="n">
        <x:v>4</x:v>
      </x:c>
      <x:c r="I1304" s="12" t="str">
        <x:v>TuShare index_daily</x:v>
      </x:c>
      <x:c r="J1304" s="12" t="str">
        <x:v>Archived FRED mirror (Hugging Face)</x:v>
      </x:c>
    </x:row>
    <x:row r="1305" ht="18" customHeight="1">
      <x:c r="A1305" s="13" t="n">
        <x:v>44550</x:v>
      </x:c>
      <x:c r="B1305" s="12" t="n">
        <x:v>4880.4178</x:v>
      </x:c>
      <x:c r="C1305" s="12" t="n">
        <x:v>4954.7599</x:v>
      </x:c>
      <x:c r="D1305" s="12" t="n">
        <x:v>-1.5004</x:v>
      </x:c>
      <x:c r="E1305" s="12" t="n">
        <x:v>-0.01511787954855152</x:v>
      </x:c>
      <x:c r="F1305" s="12" t="n">
        <x:v>3.41</x:v>
      </x:c>
      <x:c r="G1305" s="12" t="n">
        <x:v>341</x:v>
      </x:c>
      <x:c r="H1305" s="12" t="n">
        <x:v>5</x:v>
      </x:c>
      <x:c r="I1305" s="12" t="str">
        <x:v>TuShare index_daily</x:v>
      </x:c>
      <x:c r="J1305" s="12" t="str">
        <x:v>Archived FRED mirror (Hugging Face)</x:v>
      </x:c>
    </x:row>
    <x:row r="1306" ht="18" customHeight="1">
      <x:c r="A1306" s="13" t="n">
        <x:v>44551</x:v>
      </x:c>
      <x:c r="B1306" s="12" t="n">
        <x:v>4913.4853</x:v>
      </x:c>
      <x:c r="C1306" s="12" t="n">
        <x:v>4880.4178</x:v>
      </x:c>
      <x:c r="D1306" s="12" t="n">
        <x:v>0.6776</x:v>
      </x:c>
      <x:c r="E1306" s="12" t="n">
        <x:v>0.006752696104045924</x:v>
      </x:c>
      <x:c r="F1306" s="12" t="n">
        <x:v>3.25</x:v>
      </x:c>
      <x:c r="G1306" s="12" t="n">
        <x:v>325</x:v>
      </x:c>
      <x:c r="H1306" s="12" t="n">
        <x:v>-16</x:v>
      </x:c>
      <x:c r="I1306" s="12" t="str">
        <x:v>TuShare index_daily</x:v>
      </x:c>
      <x:c r="J1306" s="12" t="str">
        <x:v>Archived FRED mirror (Hugging Face)</x:v>
      </x:c>
    </x:row>
    <x:row r="1307" ht="18" customHeight="1">
      <x:c r="A1307" s="13" t="n">
        <x:v>44552</x:v>
      </x:c>
      <x:c r="B1307" s="12" t="n">
        <x:v>4914.4544</x:v>
      </x:c>
      <x:c r="C1307" s="12" t="n">
        <x:v>4913.4853</x:v>
      </x:c>
      <x:c r="D1307" s="12" t="n">
        <x:v>0.0197</x:v>
      </x:c>
      <x:c r="E1307" s="12" t="n">
        <x:v>0.00019721325785909577</x:v>
      </x:c>
      <x:c r="F1307" s="12" t="n">
        <x:v>3.21</x:v>
      </x:c>
      <x:c r="G1307" s="12" t="n">
        <x:v>321</x:v>
      </x:c>
      <x:c r="H1307" s="12" t="n">
        <x:v>-4</x:v>
      </x:c>
      <x:c r="I1307" s="12" t="str">
        <x:v>TuShare index_daily</x:v>
      </x:c>
      <x:c r="J1307" s="12" t="str">
        <x:v>Archived FRED mirror (Hugging Face)</x:v>
      </x:c>
    </x:row>
    <x:row r="1308" ht="18" customHeight="1">
      <x:c r="A1308" s="13" t="n">
        <x:v>44553</x:v>
      </x:c>
      <x:c r="B1308" s="12" t="n">
        <x:v>4948.7389</x:v>
      </x:c>
      <x:c r="C1308" s="12" t="n">
        <x:v>4914.4544</x:v>
      </x:c>
      <x:c r="D1308" s="12" t="n">
        <x:v>0.6976</x:v>
      </x:c>
      <x:c r="E1308" s="12" t="n">
        <x:v>0.006952036128708292</x:v>
      </x:c>
      <x:c r="F1308" s="12" t="n">
        <x:v>3.12</x:v>
      </x:c>
      <x:c r="G1308" s="12" t="n">
        <x:v>312</x:v>
      </x:c>
      <x:c r="H1308" s="12" t="n">
        <x:v>-9</x:v>
      </x:c>
      <x:c r="I1308" s="12" t="str">
        <x:v>TuShare index_daily</x:v>
      </x:c>
      <x:c r="J1308" s="12" t="str">
        <x:v>Archived FRED mirror (Hugging Face)</x:v>
      </x:c>
    </x:row>
    <x:row r="1309" ht="18" customHeight="1">
      <x:c r="A1309" s="13" t="n">
        <x:v>44557</x:v>
      </x:c>
      <x:c r="B1309" s="12" t="n">
        <x:v>4919.3238</x:v>
      </x:c>
      <x:c r="C1309" s="12" t="n">
        <x:v>4921.3449</x:v>
      </x:c>
      <x:c r="D1309" s="12" t="n">
        <x:v>-0.0411</x:v>
      </x:c>
      <x:c r="E1309" s="12" t="n">
        <x:v>-0.00041076477423087026</x:v>
      </x:c>
      <x:c r="F1309" s="12" t="n">
        <x:v>3.02</x:v>
      </x:c>
      <x:c r="G1309" s="12" t="n">
        <x:v>302</x:v>
      </x:c>
      <x:c r="H1309" s="12" t="n">
        <x:v>-10</x:v>
      </x:c>
      <x:c r="I1309" s="12" t="str">
        <x:v>TuShare index_daily</x:v>
      </x:c>
      <x:c r="J1309" s="12" t="str">
        <x:v>Archived FRED mirror (Hugging Face)</x:v>
      </x:c>
    </x:row>
    <x:row r="1310" ht="18" customHeight="1">
      <x:c r="A1310" s="13" t="n">
        <x:v>44558</x:v>
      </x:c>
      <x:c r="B1310" s="12" t="n">
        <x:v>4955.9644</x:v>
      </x:c>
      <x:c r="C1310" s="12" t="n">
        <x:v>4919.3238</x:v>
      </x:c>
      <x:c r="D1310" s="12" t="n">
        <x:v>0.7448</x:v>
      </x:c>
      <x:c r="E1310" s="12" t="n">
        <x:v>0.00742069849461029</x:v>
      </x:c>
      <x:c r="F1310" s="12" t="n">
        <x:v>3.01</x:v>
      </x:c>
      <x:c r="G1310" s="12" t="n">
        <x:v>301</x:v>
      </x:c>
      <x:c r="H1310" s="12" t="n">
        <x:v>-1</x:v>
      </x:c>
      <x:c r="I1310" s="12" t="str">
        <x:v>TuShare index_daily</x:v>
      </x:c>
      <x:c r="J1310" s="12" t="str">
        <x:v>Archived FRED mirror (Hugging Face)</x:v>
      </x:c>
    </x:row>
    <x:row r="1311" ht="18" customHeight="1">
      <x:c r="A1311" s="13" t="n">
        <x:v>44559</x:v>
      </x:c>
      <x:c r="B1311" s="12" t="n">
        <x:v>4883.4804</x:v>
      </x:c>
      <x:c r="C1311" s="12" t="n">
        <x:v>4955.9644</x:v>
      </x:c>
      <x:c r="D1311" s="12" t="n">
        <x:v>-1.4626</x:v>
      </x:c>
      <x:c r="E1311" s="12" t="n">
        <x:v>-0.014733618146385177</x:v>
      </x:c>
      <x:c r="F1311" s="12" t="n">
        <x:v>3.03</x:v>
      </x:c>
      <x:c r="G1311" s="12" t="n">
        <x:v>303</x:v>
      </x:c>
      <x:c r="H1311" s="12" t="n">
        <x:v>2</x:v>
      </x:c>
      <x:c r="I1311" s="12" t="str">
        <x:v>TuShare index_daily</x:v>
      </x:c>
      <x:c r="J1311" s="12" t="str">
        <x:v>Archived FRED mirror (Hugging Face)</x:v>
      </x:c>
    </x:row>
    <x:row r="1312" ht="18" customHeight="1">
      <x:c r="A1312" s="13" t="n">
        <x:v>44560</x:v>
      </x:c>
      <x:c r="B1312" s="12" t="n">
        <x:v>4921.5109</x:v>
      </x:c>
      <x:c r="C1312" s="12" t="n">
        <x:v>4883.4804</x:v>
      </x:c>
      <x:c r="D1312" s="12" t="n">
        <x:v>0.7788</x:v>
      </x:c>
      <x:c r="E1312" s="12" t="n">
        <x:v>0.007757414474152084</x:v>
      </x:c>
      <x:c r="F1312" s="12" t="n">
        <x:v>3.09</x:v>
      </x:c>
      <x:c r="G1312" s="12" t="n">
        <x:v>309</x:v>
      </x:c>
      <x:c r="H1312" s="12" t="n">
        <x:v>6</x:v>
      </x:c>
      <x:c r="I1312" s="12" t="str">
        <x:v>TuShare index_daily</x:v>
      </x:c>
      <x:c r="J1312" s="12" t="str">
        <x:v>Archived FRED mirror (Hugging Face)</x:v>
      </x:c>
    </x:row>
    <x:row r="1313" ht="18" customHeight="1">
      <x:c r="A1313" s="13" t="n">
        <x:v>44561</x:v>
      </x:c>
      <x:c r="B1313" s="12" t="n">
        <x:v>4940.3733</x:v>
      </x:c>
      <x:c r="C1313" s="12" t="n">
        <x:v>4921.5109</x:v>
      </x:c>
      <x:c r="D1313" s="12" t="n">
        <x:v>0.3833</x:v>
      </x:c>
      <x:c r="E1313" s="12" t="n">
        <x:v>0.0038253182898282034</x:v>
      </x:c>
      <x:c r="F1313" s="12" t="n">
        <x:v>3.1</x:v>
      </x:c>
      <x:c r="G1313" s="12" t="n">
        <x:v>310</x:v>
      </x:c>
      <x:c r="H1313" s="12" t="n">
        <x:v>1</x:v>
      </x:c>
      <x:c r="I1313" s="12" t="str">
        <x:v>TuShare index_daily</x:v>
      </x:c>
      <x:c r="J1313" s="12" t="str">
        <x:v>Archived FRED mirror (Hugging Face)</x:v>
      </x:c>
    </x:row>
    <x:row r="1314" ht="18" customHeight="1">
      <x:c r="A1314" s="13" t="n">
        <x:v>44565</x:v>
      </x:c>
      <x:c r="B1314" s="12" t="n">
        <x:v>4917.7653</x:v>
      </x:c>
      <x:c r="C1314" s="12" t="n">
        <x:v>4940.3733</x:v>
      </x:c>
      <x:c r="D1314" s="12" t="n">
        <x:v>-0.4576</x:v>
      </x:c>
      <x:c r="E1314" s="12" t="n">
        <x:v>-0.004586675142669136</x:v>
      </x:c>
      <x:c r="F1314" s="12" t="n">
        <x:v>3.09</x:v>
      </x:c>
      <x:c r="G1314" s="12" t="n">
        <x:v>309</x:v>
      </x:c>
      <x:c r="H1314" s="12" t="n">
        <x:v>4</x:v>
      </x:c>
      <x:c r="I1314" s="12" t="str">
        <x:v>TuShare index_daily</x:v>
      </x:c>
      <x:c r="J1314" s="12" t="str">
        <x:v>Archived FRED mirror (Hugging Face)</x:v>
      </x:c>
    </x:row>
    <x:row r="1315" ht="18" customHeight="1">
      <x:c r="A1315" s="13" t="n">
        <x:v>44566</x:v>
      </x:c>
      <x:c r="B1315" s="12" t="n">
        <x:v>4868.1202</x:v>
      </x:c>
      <x:c r="C1315" s="12" t="n">
        <x:v>4917.7653</x:v>
      </x:c>
      <x:c r="D1315" s="12" t="n">
        <x:v>-1.0095</x:v>
      </x:c>
      <x:c r="E1315" s="12" t="n">
        <x:v>-0.01014635331807042</x:v>
      </x:c>
      <x:c r="F1315" s="12" t="n">
        <x:v>3.07</x:v>
      </x:c>
      <x:c r="G1315" s="12" t="n">
        <x:v>307</x:v>
      </x:c>
      <x:c r="H1315" s="12" t="n">
        <x:v>-2</x:v>
      </x:c>
      <x:c r="I1315" s="12" t="str">
        <x:v>TuShare index_daily</x:v>
      </x:c>
      <x:c r="J1315" s="12" t="str">
        <x:v>Archived FRED mirror (Hugging Face)</x:v>
      </x:c>
    </x:row>
    <x:row r="1316" ht="18" customHeight="1">
      <x:c r="A1316" s="13" t="n">
        <x:v>44567</x:v>
      </x:c>
      <x:c r="B1316" s="12" t="n">
        <x:v>4818.2318</x:v>
      </x:c>
      <x:c r="C1316" s="12" t="n">
        <x:v>4868.1202</x:v>
      </x:c>
      <x:c r="D1316" s="12" t="n">
        <x:v>-1.0248</x:v>
      </x:c>
      <x:c r="E1316" s="12" t="n">
        <x:v>-0.010300852400832543</x:v>
      </x:c>
      <x:c r="F1316" s="12" t="n">
        <x:v>3.15</x:v>
      </x:c>
      <x:c r="G1316" s="12" t="n">
        <x:v>315</x:v>
      </x:c>
      <x:c r="H1316" s="12" t="n">
        <x:v>8</x:v>
      </x:c>
      <x:c r="I1316" s="12" t="str">
        <x:v>TuShare index_daily</x:v>
      </x:c>
      <x:c r="J1316" s="12" t="str">
        <x:v>Archived FRED mirror (Hugging Face)</x:v>
      </x:c>
    </x:row>
    <x:row r="1317" ht="18" customHeight="1">
      <x:c r="A1317" s="13" t="n">
        <x:v>44568</x:v>
      </x:c>
      <x:c r="B1317" s="12" t="n">
        <x:v>4822.3689</x:v>
      </x:c>
      <x:c r="C1317" s="12" t="n">
        <x:v>4818.2318</x:v>
      </x:c>
      <x:c r="D1317" s="12" t="n">
        <x:v>0.0859</x:v>
      </x:c>
      <x:c r="E1317" s="12" t="n">
        <x:v>0.0008582660733904354</x:v>
      </x:c>
      <x:c r="F1317" s="12" t="n">
        <x:v>3.2</x:v>
      </x:c>
      <x:c r="G1317" s="12" t="n">
        <x:v>320</x:v>
      </x:c>
      <x:c r="H1317" s="12" t="n">
        <x:v>5</x:v>
      </x:c>
      <x:c r="I1317" s="12" t="str">
        <x:v>TuShare index_daily</x:v>
      </x:c>
      <x:c r="J1317" s="12" t="str">
        <x:v>Archived FRED mirror (Hugging Face)</x:v>
      </x:c>
    </x:row>
    <x:row r="1318" ht="18" customHeight="1">
      <x:c r="A1318" s="13" t="n">
        <x:v>44571</x:v>
      </x:c>
      <x:c r="B1318" s="12" t="n">
        <x:v>4844.0451</x:v>
      </x:c>
      <x:c r="C1318" s="12" t="n">
        <x:v>4822.3689</x:v>
      </x:c>
      <x:c r="D1318" s="12" t="n">
        <x:v>0.4495</x:v>
      </x:c>
      <x:c r="E1318" s="12" t="n">
        <x:v>0.004484855776462298</x:v>
      </x:c>
      <x:c r="F1318" s="12" t="n">
        <x:v>3.24</x:v>
      </x:c>
      <x:c r="G1318" s="12" t="n">
        <x:v>324</x:v>
      </x:c>
      <x:c r="H1318" s="12" t="n">
        <x:v>4</x:v>
      </x:c>
      <x:c r="I1318" s="12" t="str">
        <x:v>TuShare index_daily</x:v>
      </x:c>
      <x:c r="J1318" s="12" t="str">
        <x:v>Archived FRED mirror (Hugging Face)</x:v>
      </x:c>
    </x:row>
    <x:row r="1319" ht="18" customHeight="1">
      <x:c r="A1319" s="13" t="n">
        <x:v>44572</x:v>
      </x:c>
      <x:c r="B1319" s="12" t="n">
        <x:v>4797.7735</x:v>
      </x:c>
      <x:c r="C1319" s="12" t="n">
        <x:v>4844.0451</x:v>
      </x:c>
      <x:c r="D1319" s="12" t="n">
        <x:v>-0.9552</x:v>
      </x:c>
      <x:c r="E1319" s="12" t="n">
        <x:v>-0.009598180001148815</x:v>
      </x:c>
      <x:c r="F1319" s="12" t="n">
        <x:v>3.18</x:v>
      </x:c>
      <x:c r="G1319" s="12" t="n">
        <x:v>318</x:v>
      </x:c>
      <x:c r="H1319" s="12" t="n">
        <x:v>-6</x:v>
      </x:c>
      <x:c r="I1319" s="12" t="str">
        <x:v>TuShare index_daily</x:v>
      </x:c>
      <x:c r="J1319" s="12" t="str">
        <x:v>Archived FRED mirror (Hugging Face)</x:v>
      </x:c>
    </x:row>
    <x:row r="1320" ht="18" customHeight="1">
      <x:c r="A1320" s="13" t="n">
        <x:v>44573</x:v>
      </x:c>
      <x:c r="B1320" s="12" t="n">
        <x:v>4845.5787</x:v>
      </x:c>
      <x:c r="C1320" s="12" t="n">
        <x:v>4797.7735</x:v>
      </x:c>
      <x:c r="D1320" s="12" t="n">
        <x:v>0.9964</x:v>
      </x:c>
      <x:c r="E1320" s="12" t="n">
        <x:v>0.00991472480091817</x:v>
      </x:c>
      <x:c r="F1320" s="12" t="n">
        <x:v>3.06</x:v>
      </x:c>
      <x:c r="G1320" s="12" t="n">
        <x:v>306</x:v>
      </x:c>
      <x:c r="H1320" s="12" t="n">
        <x:v>-12</x:v>
      </x:c>
      <x:c r="I1320" s="12" t="str">
        <x:v>TuShare index_daily</x:v>
      </x:c>
      <x:c r="J1320" s="12" t="str">
        <x:v>Archived FRED mirror (Hugging Face)</x:v>
      </x:c>
    </x:row>
    <x:row r="1321" ht="18" customHeight="1">
      <x:c r="A1321" s="13" t="n">
        <x:v>44574</x:v>
      </x:c>
      <x:c r="B1321" s="12" t="n">
        <x:v>4765.9191</x:v>
      </x:c>
      <x:c r="C1321" s="12" t="n">
        <x:v>4845.5787</x:v>
      </x:c>
      <x:c r="D1321" s="12" t="n">
        <x:v>-1.644</x:v>
      </x:c>
      <x:c r="E1321" s="12" t="n">
        <x:v>-0.016576276804004232</x:v>
      </x:c>
      <x:c r="F1321" s="12" t="n">
        <x:v>3.1</x:v>
      </x:c>
      <x:c r="G1321" s="12" t="n">
        <x:v>310</x:v>
      </x:c>
      <x:c r="H1321" s="12" t="n">
        <x:v>4</x:v>
      </x:c>
      <x:c r="I1321" s="12" t="str">
        <x:v>TuShare index_daily</x:v>
      </x:c>
      <x:c r="J1321" s="12" t="str">
        <x:v>Archived FRED mirror (Hugging Face)</x:v>
      </x:c>
    </x:row>
    <x:row r="1322" ht="18" customHeight="1">
      <x:c r="A1322" s="13" t="n">
        <x:v>44575</x:v>
      </x:c>
      <x:c r="B1322" s="12" t="n">
        <x:v>4726.7317</x:v>
      </x:c>
      <x:c r="C1322" s="12" t="n">
        <x:v>4765.9191</x:v>
      </x:c>
      <x:c r="D1322" s="12" t="n">
        <x:v>-0.8222</x:v>
      </x:c>
      <x:c r="E1322" s="12" t="n">
        <x:v>-0.008256412974016464</x:v>
      </x:c>
      <x:c r="F1322" s="12" t="n">
        <x:v>3.09</x:v>
      </x:c>
      <x:c r="G1322" s="12" t="n">
        <x:v>309</x:v>
      </x:c>
      <x:c r="H1322" s="12" t="n">
        <x:v>-1</x:v>
      </x:c>
      <x:c r="I1322" s="12" t="str">
        <x:v>TuShare index_daily</x:v>
      </x:c>
      <x:c r="J1322" s="12" t="str">
        <x:v>Archived FRED mirror (Hugging Face)</x:v>
      </x:c>
    </x:row>
    <x:row r="1323" ht="18" customHeight="1">
      <x:c r="A1323" s="13" t="n">
        <x:v>44578</x:v>
      </x:c>
      <x:c r="B1323" s="12" t="n">
        <x:v>4767.2762</x:v>
      </x:c>
      <x:c r="C1323" s="12" t="n">
        <x:v>4726.7317</x:v>
      </x:c>
      <x:c r="D1323" s="12" t="n">
        <x:v>0.8578</x:v>
      </x:c>
      <x:c r="E1323" s="12" t="n">
        <x:v>0.008541123391974052</x:v>
      </x:c>
      <x:c r="F1323" s="12" t="n">
        <x:v>3.09</x:v>
      </x:c>
      <x:c r="G1323" s="12" t="n">
        <x:v>309</x:v>
      </x:c>
      <x:c r="H1323" s="12" t="n">
        <x:v>0</x:v>
      </x:c>
      <x:c r="I1323" s="12" t="str">
        <x:v>TuShare index_daily</x:v>
      </x:c>
      <x:c r="J1323" s="12" t="str">
        <x:v>Archived FRED mirror (Hugging Face)</x:v>
      </x:c>
    </x:row>
    <x:row r="1324" ht="18" customHeight="1">
      <x:c r="A1324" s="13" t="n">
        <x:v>44579</x:v>
      </x:c>
      <x:c r="B1324" s="12" t="n">
        <x:v>4813.3472</x:v>
      </x:c>
      <x:c r="C1324" s="12" t="n">
        <x:v>4767.2762</x:v>
      </x:c>
      <x:c r="D1324" s="12" t="n">
        <x:v>0.9664</x:v>
      </x:c>
      <x:c r="E1324" s="12" t="n">
        <x:v>0.00961761113042047</x:v>
      </x:c>
      <x:c r="F1324" s="12" t="n">
        <x:v>3.12</x:v>
      </x:c>
      <x:c r="G1324" s="12" t="n">
        <x:v>312</x:v>
      </x:c>
      <x:c r="H1324" s="12" t="n">
        <x:v>3</x:v>
      </x:c>
      <x:c r="I1324" s="12" t="str">
        <x:v>TuShare index_daily</x:v>
      </x:c>
      <x:c r="J1324" s="12" t="str">
        <x:v>Archived FRED mirror (Hugging Face)</x:v>
      </x:c>
    </x:row>
    <x:row r="1325" ht="18" customHeight="1">
      <x:c r="A1325" s="13" t="n">
        <x:v>44580</x:v>
      </x:c>
      <x:c r="B1325" s="12" t="n">
        <x:v>4780.3784</x:v>
      </x:c>
      <x:c r="C1325" s="12" t="n">
        <x:v>4813.3472</x:v>
      </x:c>
      <x:c r="D1325" s="12" t="n">
        <x:v>-0.6849</x:v>
      </x:c>
      <x:c r="E1325" s="12" t="n">
        <x:v>-0.0068730191288057345</x:v>
      </x:c>
      <x:c r="F1325" s="12" t="n">
        <x:v>3.11</x:v>
      </x:c>
      <x:c r="G1325" s="12" t="n">
        <x:v>311</x:v>
      </x:c>
      <x:c r="H1325" s="12" t="n">
        <x:v>-1</x:v>
      </x:c>
      <x:c r="I1325" s="12" t="str">
        <x:v>TuShare index_daily</x:v>
      </x:c>
      <x:c r="J1325" s="12" t="str">
        <x:v>Archived FRED mirror (Hugging Face)</x:v>
      </x:c>
    </x:row>
    <x:row r="1326" ht="18" customHeight="1">
      <x:c r="A1326" s="13" t="n">
        <x:v>44581</x:v>
      </x:c>
      <x:c r="B1326" s="12" t="n">
        <x:v>4823.5091</x:v>
      </x:c>
      <x:c r="C1326" s="12" t="n">
        <x:v>4780.3784</x:v>
      </x:c>
      <x:c r="D1326" s="12" t="n">
        <x:v>0.9022</x:v>
      </x:c>
      <x:c r="E1326" s="12" t="n">
        <x:v>0.008981985673519537</x:v>
      </x:c>
      <x:c r="F1326" s="12" t="n">
        <x:v>3.1</x:v>
      </x:c>
      <x:c r="G1326" s="12" t="n">
        <x:v>310</x:v>
      </x:c>
      <x:c r="H1326" s="12" t="n">
        <x:v>-1</x:v>
      </x:c>
      <x:c r="I1326" s="12" t="str">
        <x:v>TuShare index_daily</x:v>
      </x:c>
      <x:c r="J1326" s="12" t="str">
        <x:v>Archived FRED mirror (Hugging Face)</x:v>
      </x:c>
    </x:row>
    <x:row r="1327" ht="18" customHeight="1">
      <x:c r="A1327" s="13" t="n">
        <x:v>44582</x:v>
      </x:c>
      <x:c r="B1327" s="12" t="n">
        <x:v>4779.3142</x:v>
      </x:c>
      <x:c r="C1327" s="12" t="n">
        <x:v>4823.5091</x:v>
      </x:c>
      <x:c r="D1327" s="12" t="n">
        <x:v>-0.9162</x:v>
      </x:c>
      <x:c r="E1327" s="12" t="n">
        <x:v>-0.009204628816751045</x:v>
      </x:c>
      <x:c r="F1327" s="12" t="n">
        <x:v>3.29</x:v>
      </x:c>
      <x:c r="G1327" s="12" t="n">
        <x:v>329</x:v>
      </x:c>
      <x:c r="H1327" s="12" t="n">
        <x:v>19</x:v>
      </x:c>
      <x:c r="I1327" s="12" t="str">
        <x:v>TuShare index_daily</x:v>
      </x:c>
      <x:c r="J1327" s="12" t="str">
        <x:v>Archived FRED mirror (Hugging Face)</x:v>
      </x:c>
    </x:row>
    <x:row r="1328" ht="18" customHeight="1">
      <x:c r="A1328" s="13" t="n">
        <x:v>44585</x:v>
      </x:c>
      <x:c r="B1328" s="12" t="n">
        <x:v>4786.7377</x:v>
      </x:c>
      <x:c r="C1328" s="12" t="n">
        <x:v>4779.3142</x:v>
      </x:c>
      <x:c r="D1328" s="12" t="n">
        <x:v>0.1553</x:v>
      </x:c>
      <x:c r="E1328" s="12" t="n">
        <x:v>0.001552051267918045</x:v>
      </x:c>
      <x:c r="F1328" s="12" t="n">
        <x:v>3.44</x:v>
      </x:c>
      <x:c r="G1328" s="12" t="n">
        <x:v>344</x:v>
      </x:c>
      <x:c r="H1328" s="12" t="n">
        <x:v>15</x:v>
      </x:c>
      <x:c r="I1328" s="12" t="str">
        <x:v>TuShare index_daily</x:v>
      </x:c>
      <x:c r="J1328" s="12" t="str">
        <x:v>Archived FRED mirror (Hugging Face)</x:v>
      </x:c>
    </x:row>
    <x:row r="1329" ht="18" customHeight="1">
      <x:c r="A1329" s="13" t="n">
        <x:v>44586</x:v>
      </x:c>
      <x:c r="B1329" s="12" t="n">
        <x:v>4678.4511</x:v>
      </x:c>
      <x:c r="C1329" s="12" t="n">
        <x:v>4786.7377</x:v>
      </x:c>
      <x:c r="D1329" s="12" t="n">
        <x:v>-2.2622</x:v>
      </x:c>
      <x:c r="E1329" s="12" t="n">
        <x:v>-0.022882021063491267</x:v>
      </x:c>
      <x:c r="F1329" s="12" t="n">
        <x:v>3.39</x:v>
      </x:c>
      <x:c r="G1329" s="12" t="n">
        <x:v>339</x:v>
      </x:c>
      <x:c r="H1329" s="12" t="n">
        <x:v>-5</x:v>
      </x:c>
      <x:c r="I1329" s="12" t="str">
        <x:v>TuShare index_daily</x:v>
      </x:c>
      <x:c r="J1329" s="12" t="str">
        <x:v>Archived FRED mirror (Hugging Face)</x:v>
      </x:c>
    </x:row>
    <x:row r="1330" ht="18" customHeight="1">
      <x:c r="A1330" s="13" t="n">
        <x:v>44587</x:v>
      </x:c>
      <x:c r="B1330" s="12" t="n">
        <x:v>4712.3109</x:v>
      </x:c>
      <x:c r="C1330" s="12" t="n">
        <x:v>4678.4511</x:v>
      </x:c>
      <x:c r="D1330" s="12" t="n">
        <x:v>0.7237</x:v>
      </x:c>
      <x:c r="E1330" s="12" t="n">
        <x:v>0.007211331036815009</x:v>
      </x:c>
      <x:c r="F1330" s="12" t="n">
        <x:v>3.25</x:v>
      </x:c>
      <x:c r="G1330" s="12" t="n">
        <x:v>325</x:v>
      </x:c>
      <x:c r="H1330" s="12" t="n">
        <x:v>-14</x:v>
      </x:c>
      <x:c r="I1330" s="12" t="str">
        <x:v>TuShare index_daily</x:v>
      </x:c>
      <x:c r="J1330" s="12" t="str">
        <x:v>Archived FRED mirror (Hugging Face)</x:v>
      </x:c>
    </x:row>
    <x:row r="1331" ht="18" customHeight="1">
      <x:c r="A1331" s="13" t="n">
        <x:v>44588</x:v>
      </x:c>
      <x:c r="B1331" s="12" t="n">
        <x:v>4619.8765</x:v>
      </x:c>
      <x:c r="C1331" s="12" t="n">
        <x:v>4712.3109</x:v>
      </x:c>
      <x:c r="D1331" s="12" t="n">
        <x:v>-1.9616</x:v>
      </x:c>
      <x:c r="E1331" s="12" t="n">
        <x:v>-0.019810451513431557</x:v>
      </x:c>
      <x:c r="F1331" s="12" t="n">
        <x:v>3.46</x:v>
      </x:c>
      <x:c r="G1331" s="12" t="n">
        <x:v>346</x:v>
      </x:c>
      <x:c r="H1331" s="12" t="n">
        <x:v>21</x:v>
      </x:c>
      <x:c r="I1331" s="12" t="str">
        <x:v>TuShare index_daily</x:v>
      </x:c>
      <x:c r="J1331" s="12" t="str">
        <x:v>Archived FRED mirror (Hugging Face)</x:v>
      </x:c>
    </x:row>
    <x:row r="1332" ht="18" customHeight="1">
      <x:c r="A1332" s="13" t="n">
        <x:v>44589</x:v>
      </x:c>
      <x:c r="B1332" s="12" t="n">
        <x:v>4563.772</x:v>
      </x:c>
      <x:c r="C1332" s="12" t="n">
        <x:v>4619.8765</x:v>
      </x:c>
      <x:c r="D1332" s="12" t="n">
        <x:v>-1.2144</x:v>
      </x:c>
      <x:c r="E1332" s="12" t="n">
        <x:v>-0.01221849856143308</x:v>
      </x:c>
      <x:c r="F1332" s="12" t="n">
        <x:v>3.61</x:v>
      </x:c>
      <x:c r="G1332" s="12" t="n">
        <x:v>361</x:v>
      </x:c>
      <x:c r="H1332" s="12" t="n">
        <x:v>15</x:v>
      </x:c>
      <x:c r="I1332" s="12" t="str">
        <x:v>TuShare index_daily</x:v>
      </x:c>
      <x:c r="J1332" s="12" t="str">
        <x:v>Archived FRED mirror (Hugging Face)</x:v>
      </x:c>
    </x:row>
    <x:row r="1333" ht="18" customHeight="1">
      <x:c r="A1333" s="13" t="n">
        <x:v>44599</x:v>
      </x:c>
      <x:c r="B1333" s="12" t="n">
        <x:v>4634.0899</x:v>
      </x:c>
      <x:c r="C1333" s="12" t="n">
        <x:v>4563.772</x:v>
      </x:c>
      <x:c r="D1333" s="12" t="n">
        <x:v>1.5408</x:v>
      </x:c>
      <x:c r="E1333" s="12" t="n">
        <x:v>0.015290351335136535</x:v>
      </x:c>
      <x:c r="F1333" s="12" t="n">
        <x:v>3.6</x:v>
      </x:c>
      <x:c r="G1333" s="12" t="n">
        <x:v>360</x:v>
      </x:c>
      <x:c r="H1333" s="12" t="n">
        <x:v>4</x:v>
      </x:c>
      <x:c r="I1333" s="12" t="str">
        <x:v>TuShare index_daily</x:v>
      </x:c>
      <x:c r="J1333" s="12" t="str">
        <x:v>Archived FRED mirror (Hugging Face)</x:v>
      </x:c>
    </x:row>
    <x:row r="1334" ht="18" customHeight="1">
      <x:c r="A1334" s="13" t="n">
        <x:v>44600</x:v>
      </x:c>
      <x:c r="B1334" s="12" t="n">
        <x:v>4608.7729</x:v>
      </x:c>
      <x:c r="C1334" s="12" t="n">
        <x:v>4634.0899</x:v>
      </x:c>
      <x:c r="D1334" s="12" t="n">
        <x:v>-0.5463</x:v>
      </x:c>
      <x:c r="E1334" s="12" t="n">
        <x:v>-0.005478186545120943</x:v>
      </x:c>
      <x:c r="F1334" s="12" t="n">
        <x:v>3.55</x:v>
      </x:c>
      <x:c r="G1334" s="12" t="n">
        <x:v>355</x:v>
      </x:c>
      <x:c r="H1334" s="12" t="n">
        <x:v>-5</x:v>
      </x:c>
      <x:c r="I1334" s="12" t="str">
        <x:v>TuShare index_daily</x:v>
      </x:c>
      <x:c r="J1334" s="12" t="str">
        <x:v>Archived FRED mirror (Hugging Face)</x:v>
      </x:c>
    </x:row>
    <x:row r="1335" ht="18" customHeight="1">
      <x:c r="A1335" s="13" t="n">
        <x:v>44601</x:v>
      </x:c>
      <x:c r="B1335" s="12" t="n">
        <x:v>4652.0609</x:v>
      </x:c>
      <x:c r="C1335" s="12" t="n">
        <x:v>4608.7729</x:v>
      </x:c>
      <x:c r="D1335" s="12" t="n">
        <x:v>0.9393</x:v>
      </x:c>
      <x:c r="E1335" s="12" t="n">
        <x:v>0.009348686351121224</x:v>
      </x:c>
      <x:c r="F1335" s="12" t="n">
        <x:v>3.46</x:v>
      </x:c>
      <x:c r="G1335" s="12" t="n">
        <x:v>346</x:v>
      </x:c>
      <x:c r="H1335" s="12" t="n">
        <x:v>-9</x:v>
      </x:c>
      <x:c r="I1335" s="12" t="str">
        <x:v>TuShare index_daily</x:v>
      </x:c>
      <x:c r="J1335" s="12" t="str">
        <x:v>Archived FRED mirror (Hugging Face)</x:v>
      </x:c>
    </x:row>
    <x:row r="1336" ht="18" customHeight="1">
      <x:c r="A1336" s="13" t="n">
        <x:v>44602</x:v>
      </x:c>
      <x:c r="B1336" s="12" t="n">
        <x:v>4639.8625</x:v>
      </x:c>
      <x:c r="C1336" s="12" t="n">
        <x:v>4652.0609</x:v>
      </x:c>
      <x:c r="D1336" s="12" t="n">
        <x:v>-0.2622</x:v>
      </x:c>
      <x:c r="E1336" s="12" t="n">
        <x:v>-0.002625593535934055</x:v>
      </x:c>
      <x:c r="F1336" s="12" t="n">
        <x:v>3.44</x:v>
      </x:c>
      <x:c r="G1336" s="12" t="n">
        <x:v>344</x:v>
      </x:c>
      <x:c r="H1336" s="12" t="n">
        <x:v>-2</x:v>
      </x:c>
      <x:c r="I1336" s="12" t="str">
        <x:v>TuShare index_daily</x:v>
      </x:c>
      <x:c r="J1336" s="12" t="str">
        <x:v>Archived FRED mirror (Hugging Face)</x:v>
      </x:c>
    </x:row>
    <x:row r="1337" ht="18" customHeight="1">
      <x:c r="A1337" s="13" t="n">
        <x:v>44603</x:v>
      </x:c>
      <x:c r="B1337" s="12" t="n">
        <x:v>4601.3953</x:v>
      </x:c>
      <x:c r="C1337" s="12" t="n">
        <x:v>4639.8625</x:v>
      </x:c>
      <x:c r="D1337" s="12" t="n">
        <x:v>-0.8291</x:v>
      </x:c>
      <x:c r="E1337" s="12" t="n">
        <x:v>-0.0083251485904409</x:v>
      </x:c>
      <x:c r="F1337" s="12" t="n">
        <x:v>3.66</x:v>
      </x:c>
      <x:c r="G1337" s="12" t="n">
        <x:v>366</x:v>
      </x:c>
      <x:c r="H1337" s="12" t="n">
        <x:v>22</x:v>
      </x:c>
      <x:c r="I1337" s="12" t="str">
        <x:v>TuShare index_daily</x:v>
      </x:c>
      <x:c r="J1337" s="12" t="str">
        <x:v>Archived FRED mirror (Hugging Face)</x:v>
      </x:c>
    </x:row>
    <x:row r="1338" ht="18" customHeight="1">
      <x:c r="A1338" s="13" t="n">
        <x:v>44606</x:v>
      </x:c>
      <x:c r="B1338" s="12" t="n">
        <x:v>4551.6878</x:v>
      </x:c>
      <x:c r="C1338" s="12" t="n">
        <x:v>4601.3953</x:v>
      </x:c>
      <x:c r="D1338" s="12" t="n">
        <x:v>-1.0803</x:v>
      </x:c>
      <x:c r="E1338" s="12" t="n">
        <x:v>-0.010861474353252425</x:v>
      </x:c>
      <x:c r="F1338" s="12" t="n">
        <x:v>3.74</x:v>
      </x:c>
      <x:c r="G1338" s="12" t="n">
        <x:v>374</x:v>
      </x:c>
      <x:c r="H1338" s="12" t="n">
        <x:v>8</x:v>
      </x:c>
      <x:c r="I1338" s="12" t="str">
        <x:v>TuShare index_daily</x:v>
      </x:c>
      <x:c r="J1338" s="12" t="str">
        <x:v>Archived FRED mirror (Hugging Face)</x:v>
      </x:c>
    </x:row>
    <x:row r="1339" ht="18" customHeight="1">
      <x:c r="A1339" s="13" t="n">
        <x:v>44607</x:v>
      </x:c>
      <x:c r="B1339" s="12" t="n">
        <x:v>4600.1025</x:v>
      </x:c>
      <x:c r="C1339" s="12" t="n">
        <x:v>4551.6878</x:v>
      </x:c>
      <x:c r="D1339" s="12" t="n">
        <x:v>1.0637</x:v>
      </x:c>
      <x:c r="E1339" s="12" t="n">
        <x:v>0.010580476620794905</x:v>
      </x:c>
      <x:c r="F1339" s="12" t="n">
        <x:v>3.67</x:v>
      </x:c>
      <x:c r="G1339" s="12" t="n">
        <x:v>367</x:v>
      </x:c>
      <x:c r="H1339" s="12" t="n">
        <x:v>-7</x:v>
      </x:c>
      <x:c r="I1339" s="12" t="str">
        <x:v>TuShare index_daily</x:v>
      </x:c>
      <x:c r="J1339" s="12" t="str">
        <x:v>Archived FRED mirror (Hugging Face)</x:v>
      </x:c>
    </x:row>
    <x:row r="1340" ht="18" customHeight="1">
      <x:c r="A1340" s="13" t="n">
        <x:v>44608</x:v>
      </x:c>
      <x:c r="B1340" s="12" t="n">
        <x:v>4617.9893</x:v>
      </x:c>
      <x:c r="C1340" s="12" t="n">
        <x:v>4600.1025</x:v>
      </x:c>
      <x:c r="D1340" s="12" t="n">
        <x:v>0.3888</x:v>
      </x:c>
      <x:c r="E1340" s="12" t="n">
        <x:v>0.0038808080537729023</x:v>
      </x:c>
      <x:c r="F1340" s="12" t="n">
        <x:v>3.68</x:v>
      </x:c>
      <x:c r="G1340" s="12" t="n">
        <x:v>368</x:v>
      </x:c>
      <x:c r="H1340" s="12" t="n">
        <x:v>1</x:v>
      </x:c>
      <x:c r="I1340" s="12" t="str">
        <x:v>TuShare index_daily</x:v>
      </x:c>
      <x:c r="J1340" s="12" t="str">
        <x:v>Archived FRED mirror (Hugging Face)</x:v>
      </x:c>
    </x:row>
    <x:row r="1341" ht="18" customHeight="1">
      <x:c r="A1341" s="13" t="n">
        <x:v>44609</x:v>
      </x:c>
      <x:c r="B1341" s="12" t="n">
        <x:v>4629.1649</x:v>
      </x:c>
      <x:c r="C1341" s="12" t="n">
        <x:v>4617.9893</x:v>
      </x:c>
      <x:c r="D1341" s="12" t="n">
        <x:v>0.242</x:v>
      </x:c>
      <x:c r="E1341" s="12" t="n">
        <x:v>0.0024170907501377373</x:v>
      </x:c>
      <x:c r="F1341" s="12" t="n">
        <x:v>3.74</x:v>
      </x:c>
      <x:c r="G1341" s="12" t="n">
        <x:v>374</x:v>
      </x:c>
      <x:c r="H1341" s="12" t="n">
        <x:v>6</x:v>
      </x:c>
      <x:c r="I1341" s="12" t="str">
        <x:v>TuShare index_daily</x:v>
      </x:c>
      <x:c r="J1341" s="12" t="str">
        <x:v>Archived FRED mirror (Hugging Face)</x:v>
      </x:c>
    </x:row>
    <x:row r="1342" ht="18" customHeight="1">
      <x:c r="A1342" s="13" t="n">
        <x:v>44610</x:v>
      </x:c>
      <x:c r="B1342" s="12" t="n">
        <x:v>4651.2358</x:v>
      </x:c>
      <x:c r="C1342" s="12" t="n">
        <x:v>4629.1649</x:v>
      </x:c>
      <x:c r="D1342" s="12" t="n">
        <x:v>0.4768</x:v>
      </x:c>
      <x:c r="E1342" s="12" t="n">
        <x:v>0.0047564630718757005</x:v>
      </x:c>
      <x:c r="F1342" s="12" t="n">
        <x:v>3.78</x:v>
      </x:c>
      <x:c r="G1342" s="12" t="n">
        <x:v>378</x:v>
      </x:c>
      <x:c r="H1342" s="12" t="n">
        <x:v>4</x:v>
      </x:c>
      <x:c r="I1342" s="12" t="str">
        <x:v>TuShare index_daily</x:v>
      </x:c>
      <x:c r="J1342" s="12" t="str">
        <x:v>Archived FRED mirror (Hugging Face)</x:v>
      </x:c>
    </x:row>
    <x:row r="1343" ht="18" customHeight="1">
      <x:c r="A1343" s="13" t="n">
        <x:v>44613</x:v>
      </x:c>
      <x:c r="B1343" s="12" t="n">
        <x:v>4634.3141</x:v>
      </x:c>
      <x:c r="C1343" s="12" t="n">
        <x:v>4651.2358</x:v>
      </x:c>
      <x:c r="D1343" s="12" t="n">
        <x:v>-0.3638</x:v>
      </x:c>
      <x:c r="E1343" s="12" t="n">
        <x:v>-0.0036447424040068816</x:v>
      </x:c>
      <x:c r="F1343" s="12" t="n">
        <x:v>3.78</x:v>
      </x:c>
      <x:c r="G1343" s="12" t="n">
        <x:v>378</x:v>
      </x:c>
      <x:c r="H1343" s="12" t="n">
        <x:v>0</x:v>
      </x:c>
      <x:c r="I1343" s="12" t="str">
        <x:v>TuShare index_daily</x:v>
      </x:c>
      <x:c r="J1343" s="12" t="str">
        <x:v>Archived FRED mirror (Hugging Face)</x:v>
      </x:c>
    </x:row>
    <x:row r="1344" ht="18" customHeight="1">
      <x:c r="A1344" s="13" t="n">
        <x:v>44614</x:v>
      </x:c>
      <x:c r="B1344" s="12" t="n">
        <x:v>4574.1527</x:v>
      </x:c>
      <x:c r="C1344" s="12" t="n">
        <x:v>4634.3141</x:v>
      </x:c>
      <x:c r="D1344" s="12" t="n">
        <x:v>-1.2982</x:v>
      </x:c>
      <x:c r="E1344" s="12" t="n">
        <x:v>-0.013066725937621202</x:v>
      </x:c>
      <x:c r="F1344" s="12" t="n">
        <x:v>3.75</x:v>
      </x:c>
      <x:c r="G1344" s="12" t="n">
        <x:v>375</x:v>
      </x:c>
      <x:c r="H1344" s="12" t="n">
        <x:v>-3</x:v>
      </x:c>
      <x:c r="I1344" s="12" t="str">
        <x:v>TuShare index_daily</x:v>
      </x:c>
      <x:c r="J1344" s="12" t="str">
        <x:v>Archived FRED mirror (Hugging Face)</x:v>
      </x:c>
    </x:row>
    <x:row r="1345" ht="18" customHeight="1">
      <x:c r="A1345" s="13" t="n">
        <x:v>44615</x:v>
      </x:c>
      <x:c r="B1345" s="12" t="n">
        <x:v>4623.0465</x:v>
      </x:c>
      <x:c r="C1345" s="12" t="n">
        <x:v>4574.1527</x:v>
      </x:c>
      <x:c r="D1345" s="12" t="n">
        <x:v>1.0689</x:v>
      </x:c>
      <x:c r="E1345" s="12" t="n">
        <x:v>0.010632423969487506</x:v>
      </x:c>
      <x:c r="F1345" s="12" t="n">
        <x:v>3.72</x:v>
      </x:c>
      <x:c r="G1345" s="12" t="n">
        <x:v>372</x:v>
      </x:c>
      <x:c r="H1345" s="12" t="n">
        <x:v>-3</x:v>
      </x:c>
      <x:c r="I1345" s="12" t="str">
        <x:v>TuShare index_daily</x:v>
      </x:c>
      <x:c r="J1345" s="12" t="str">
        <x:v>Archived FRED mirror (Hugging Face)</x:v>
      </x:c>
    </x:row>
    <x:row r="1346" ht="18" customHeight="1">
      <x:c r="A1346" s="13" t="n">
        <x:v>44616</x:v>
      </x:c>
      <x:c r="B1346" s="12" t="n">
        <x:v>4529.3189</x:v>
      </x:c>
      <x:c r="C1346" s="12" t="n">
        <x:v>4623.0465</x:v>
      </x:c>
      <x:c r="D1346" s="12" t="n">
        <x:v>-2.0274</x:v>
      </x:c>
      <x:c r="E1346" s="12" t="n">
        <x:v>-0.020482328369252952</x:v>
      </x:c>
      <x:c r="F1346" s="12" t="n">
        <x:v>3.93</x:v>
      </x:c>
      <x:c r="G1346" s="12" t="n">
        <x:v>393</x:v>
      </x:c>
      <x:c r="H1346" s="12" t="n">
        <x:v>21</x:v>
      </x:c>
      <x:c r="I1346" s="12" t="str">
        <x:v>TuShare index_daily</x:v>
      </x:c>
      <x:c r="J1346" s="12" t="str">
        <x:v>Archived FRED mirror (Hugging Face)</x:v>
      </x:c>
    </x:row>
    <x:row r="1347" ht="18" customHeight="1">
      <x:c r="A1347" s="13" t="n">
        <x:v>44617</x:v>
      </x:c>
      <x:c r="B1347" s="12" t="n">
        <x:v>4573.4247</x:v>
      </x:c>
      <x:c r="C1347" s="12" t="n">
        <x:v>4529.3189</x:v>
      </x:c>
      <x:c r="D1347" s="12" t="n">
        <x:v>0.9738</x:v>
      </x:c>
      <x:c r="E1347" s="12" t="n">
        <x:v>0.009690736574295752</x:v>
      </x:c>
      <x:c r="F1347" s="12" t="n">
        <x:v>3.62</x:v>
      </x:c>
      <x:c r="G1347" s="12" t="n">
        <x:v>362</x:v>
      </x:c>
      <x:c r="H1347" s="12" t="n">
        <x:v>-31</x:v>
      </x:c>
      <x:c r="I1347" s="12" t="str">
        <x:v>TuShare index_daily</x:v>
      </x:c>
      <x:c r="J1347" s="12" t="str">
        <x:v>Archived FRED mirror (Hugging Face)</x:v>
      </x:c>
    </x:row>
    <x:row r="1348" ht="18" customHeight="1">
      <x:c r="A1348" s="13" t="n">
        <x:v>44620</x:v>
      </x:c>
      <x:c r="B1348" s="12" t="n">
        <x:v>4581.6459</x:v>
      </x:c>
      <x:c r="C1348" s="12" t="n">
        <x:v>4573.4247</x:v>
      </x:c>
      <x:c r="D1348" s="12" t="n">
        <x:v>0.1798</x:v>
      </x:c>
      <x:c r="E1348" s="12" t="n">
        <x:v>0.0017959888173538045</x:v>
      </x:c>
      <x:c r="F1348" s="12" t="n">
        <x:v>3.77</x:v>
      </x:c>
      <x:c r="G1348" s="12" t="n">
        <x:v>377</x:v>
      </x:c>
      <x:c r="H1348" s="12" t="n">
        <x:v>15</x:v>
      </x:c>
      <x:c r="I1348" s="12" t="str">
        <x:v>TuShare index_daily</x:v>
      </x:c>
      <x:c r="J1348" s="12" t="str">
        <x:v>Archived FRED mirror (Hugging Face)</x:v>
      </x:c>
    </x:row>
    <x:row r="1349" ht="18" customHeight="1">
      <x:c r="A1349" s="13" t="n">
        <x:v>44621</x:v>
      </x:c>
      <x:c r="B1349" s="12" t="n">
        <x:v>4619.6862</x:v>
      </x:c>
      <x:c r="C1349" s="12" t="n">
        <x:v>4581.6459</x:v>
      </x:c>
      <x:c r="D1349" s="12" t="n">
        <x:v>0.8303</x:v>
      </x:c>
      <x:c r="E1349" s="12" t="n">
        <x:v>0.008268480327382815</x:v>
      </x:c>
      <x:c r="F1349" s="12" t="n">
        <x:v>3.89</x:v>
      </x:c>
      <x:c r="G1349" s="12" t="n">
        <x:v>389</x:v>
      </x:c>
      <x:c r="H1349" s="12" t="n">
        <x:v>12</x:v>
      </x:c>
      <x:c r="I1349" s="12" t="str">
        <x:v>TuShare index_daily</x:v>
      </x:c>
      <x:c r="J1349" s="12" t="str">
        <x:v>Archived FRED mirror (Hugging Face)</x:v>
      </x:c>
    </x:row>
    <x:row r="1350" ht="18" customHeight="1">
      <x:c r="A1350" s="13" t="n">
        <x:v>44622</x:v>
      </x:c>
      <x:c r="B1350" s="12" t="n">
        <x:v>4578.6007</x:v>
      </x:c>
      <x:c r="C1350" s="12" t="n">
        <x:v>4619.6862</x:v>
      </x:c>
      <x:c r="D1350" s="12" t="n">
        <x:v>-0.8894</x:v>
      </x:c>
      <x:c r="E1350" s="12" t="n">
        <x:v>-0.008933353282261443</x:v>
      </x:c>
      <x:c r="F1350" s="12" t="n">
        <x:v>3.71</x:v>
      </x:c>
      <x:c r="G1350" s="12" t="n">
        <x:v>371</x:v>
      </x:c>
      <x:c r="H1350" s="12" t="n">
        <x:v>-18</x:v>
      </x:c>
      <x:c r="I1350" s="12" t="str">
        <x:v>TuShare index_daily</x:v>
      </x:c>
      <x:c r="J1350" s="12" t="str">
        <x:v>Archived FRED mirror (Hugging Face)</x:v>
      </x:c>
    </x:row>
    <x:row r="1351" ht="18" customHeight="1">
      <x:c r="A1351" s="13" t="n">
        <x:v>44623</x:v>
      </x:c>
      <x:c r="B1351" s="12" t="n">
        <x:v>4551.6283</x:v>
      </x:c>
      <x:c r="C1351" s="12" t="n">
        <x:v>4578.6007</x:v>
      </x:c>
      <x:c r="D1351" s="12" t="n">
        <x:v>-0.5891</x:v>
      </x:c>
      <x:c r="E1351" s="12" t="n">
        <x:v>-0.005908390351454624</x:v>
      </x:c>
      <x:c r="F1351" s="12" t="n">
        <x:v>3.71</x:v>
      </x:c>
      <x:c r="G1351" s="12" t="n">
        <x:v>371</x:v>
      </x:c>
      <x:c r="H1351" s="12" t="n">
        <x:v>0</x:v>
      </x:c>
      <x:c r="I1351" s="12" t="str">
        <x:v>TuShare index_daily</x:v>
      </x:c>
      <x:c r="J1351" s="12" t="str">
        <x:v>Archived FRED mirror (Hugging Face)</x:v>
      </x:c>
    </x:row>
    <x:row r="1352" ht="18" customHeight="1">
      <x:c r="A1352" s="13" t="n">
        <x:v>44624</x:v>
      </x:c>
      <x:c r="B1352" s="12" t="n">
        <x:v>4496.4301</x:v>
      </x:c>
      <x:c r="C1352" s="12" t="n">
        <x:v>4551.6283</x:v>
      </x:c>
      <x:c r="D1352" s="12" t="n">
        <x:v>-1.2127</x:v>
      </x:c>
      <x:c r="E1352" s="12" t="n">
        <x:v>-0.012201266247817722</x:v>
      </x:c>
      <x:c r="F1352" s="12" t="n">
        <x:v>3.9</x:v>
      </x:c>
      <x:c r="G1352" s="12" t="n">
        <x:v>390</x:v>
      </x:c>
      <x:c r="H1352" s="12" t="n">
        <x:v>19</x:v>
      </x:c>
      <x:c r="I1352" s="12" t="str">
        <x:v>TuShare index_daily</x:v>
      </x:c>
      <x:c r="J1352" s="12" t="str">
        <x:v>Archived FRED mirror (Hugging Face)</x:v>
      </x:c>
    </x:row>
    <x:row r="1353" ht="18" customHeight="1">
      <x:c r="A1353" s="13" t="n">
        <x:v>44627</x:v>
      </x:c>
      <x:c r="B1353" s="12" t="n">
        <x:v>4352.7775</x:v>
      </x:c>
      <x:c r="C1353" s="12" t="n">
        <x:v>4496.4301</x:v>
      </x:c>
      <x:c r="D1353" s="12" t="n">
        <x:v>-3.1948</x:v>
      </x:c>
      <x:c r="E1353" s="12" t="n">
        <x:v>-0.03246962373772898</x:v>
      </x:c>
      <x:c r="F1353" s="12" t="n">
        <x:v>4.01</x:v>
      </x:c>
      <x:c r="G1353" s="12" t="n">
        <x:v>401</x:v>
      </x:c>
      <x:c r="H1353" s="12" t="n">
        <x:v>11</x:v>
      </x:c>
      <x:c r="I1353" s="12" t="str">
        <x:v>TuShare index_daily</x:v>
      </x:c>
      <x:c r="J1353" s="12" t="str">
        <x:v>Archived FRED mirror (Hugging Face)</x:v>
      </x:c>
    </x:row>
    <x:row r="1354" ht="18" customHeight="1">
      <x:c r="A1354" s="13" t="n">
        <x:v>44628</x:v>
      </x:c>
      <x:c r="B1354" s="12" t="n">
        <x:v>4265.391</x:v>
      </x:c>
      <x:c r="C1354" s="12" t="n">
        <x:v>4352.7775</x:v>
      </x:c>
      <x:c r="D1354" s="12" t="n">
        <x:v>-2.0076</x:v>
      </x:c>
      <x:c r="E1354" s="12" t="n">
        <x:v>-0.020280293911931237</x:v>
      </x:c>
      <x:c r="F1354" s="12" t="n">
        <x:v>4.03</x:v>
      </x:c>
      <x:c r="G1354" s="12" t="n">
        <x:v>403</x:v>
      </x:c>
      <x:c r="H1354" s="12" t="n">
        <x:v>2</x:v>
      </x:c>
      <x:c r="I1354" s="12" t="str">
        <x:v>TuShare index_daily</x:v>
      </x:c>
      <x:c r="J1354" s="12" t="str">
        <x:v>Archived FRED mirror (Hugging Face)</x:v>
      </x:c>
    </x:row>
    <x:row r="1355" ht="18" customHeight="1">
      <x:c r="A1355" s="13" t="n">
        <x:v>44629</x:v>
      </x:c>
      <x:c r="B1355" s="12" t="n">
        <x:v>4226.3463</x:v>
      </x:c>
      <x:c r="C1355" s="12" t="n">
        <x:v>4265.391</x:v>
      </x:c>
      <x:c r="D1355" s="12" t="n">
        <x:v>-0.9154</x:v>
      </x:c>
      <x:c r="E1355" s="12" t="n">
        <x:v>-0.009195992239422945</x:v>
      </x:c>
      <x:c r="F1355" s="12" t="n">
        <x:v>3.94</x:v>
      </x:c>
      <x:c r="G1355" s="12" t="n">
        <x:v>394</x:v>
      </x:c>
      <x:c r="H1355" s="12" t="n">
        <x:v>-9</x:v>
      </x:c>
      <x:c r="I1355" s="12" t="str">
        <x:v>TuShare index_daily</x:v>
      </x:c>
      <x:c r="J1355" s="12" t="str">
        <x:v>Archived FRED mirror (Hugging Face)</x:v>
      </x:c>
    </x:row>
    <x:row r="1356" ht="18" customHeight="1">
      <x:c r="A1356" s="13" t="n">
        <x:v>44630</x:v>
      </x:c>
      <x:c r="B1356" s="12" t="n">
        <x:v>4292.8374</x:v>
      </x:c>
      <x:c r="C1356" s="12" t="n">
        <x:v>4226.3463</x:v>
      </x:c>
      <x:c r="D1356" s="12" t="n">
        <x:v>1.5733</x:v>
      </x:c>
      <x:c r="E1356" s="12" t="n">
        <x:v>0.015610051975364502</x:v>
      </x:c>
      <x:c r="F1356" s="12" t="n">
        <x:v>4</x:v>
      </x:c>
      <x:c r="G1356" s="12" t="n">
        <x:v>400</x:v>
      </x:c>
      <x:c r="H1356" s="12" t="n">
        <x:v>6</x:v>
      </x:c>
      <x:c r="I1356" s="12" t="str">
        <x:v>TuShare index_daily</x:v>
      </x:c>
      <x:c r="J1356" s="12" t="str">
        <x:v>Archived FRED mirror (Hugging Face)</x:v>
      </x:c>
    </x:row>
    <x:row r="1357" ht="18" customHeight="1">
      <x:c r="A1357" s="13" t="n">
        <x:v>44631</x:v>
      </x:c>
      <x:c r="B1357" s="12" t="n">
        <x:v>4306.5217</x:v>
      </x:c>
      <x:c r="C1357" s="12" t="n">
        <x:v>4292.8374</x:v>
      </x:c>
      <x:c r="D1357" s="12" t="n">
        <x:v>0.3188</x:v>
      </x:c>
      <x:c r="E1357" s="12" t="n">
        <x:v>0.003182635215426298</x:v>
      </x:c>
      <x:c r="F1357" s="12" t="n">
        <x:v>4.05</x:v>
      </x:c>
      <x:c r="G1357" s="12" t="n">
        <x:v>405</x:v>
      </x:c>
      <x:c r="H1357" s="12" t="n">
        <x:v>5</x:v>
      </x:c>
      <x:c r="I1357" s="12" t="str">
        <x:v>TuShare index_daily</x:v>
      </x:c>
      <x:c r="J1357" s="12" t="str">
        <x:v>Archived FRED mirror (Hugging Face)</x:v>
      </x:c>
    </x:row>
    <x:row r="1358" ht="18" customHeight="1">
      <x:c r="A1358" s="13" t="n">
        <x:v>44634</x:v>
      </x:c>
      <x:c r="B1358" s="12" t="n">
        <x:v>4174.7577</x:v>
      </x:c>
      <x:c r="C1358" s="12" t="n">
        <x:v>4306.5217</x:v>
      </x:c>
      <x:c r="D1358" s="12" t="n">
        <x:v>-3.0596</x:v>
      </x:c>
      <x:c r="E1358" s="12" t="n">
        <x:v>-0.031074227438564684</x:v>
      </x:c>
      <x:c r="F1358" s="12" t="n">
        <x:v>4.16</x:v>
      </x:c>
      <x:c r="G1358" s="12" t="n">
        <x:v>416</x:v>
      </x:c>
      <x:c r="H1358" s="12" t="n">
        <x:v>11</x:v>
      </x:c>
      <x:c r="I1358" s="12" t="str">
        <x:v>TuShare index_daily</x:v>
      </x:c>
      <x:c r="J1358" s="12" t="str">
        <x:v>Archived FRED mirror (Hugging Face)</x:v>
      </x:c>
    </x:row>
    <x:row r="1359" ht="18" customHeight="1">
      <x:c r="A1359" s="13" t="n">
        <x:v>44635</x:v>
      </x:c>
      <x:c r="B1359" s="12" t="n">
        <x:v>3983.812</x:v>
      </x:c>
      <x:c r="C1359" s="12" t="n">
        <x:v>4174.7577</x:v>
      </x:c>
      <x:c r="D1359" s="12" t="n">
        <x:v>-4.5738</x:v>
      </x:c>
      <x:c r="E1359" s="12" t="n">
        <x:v>-0.046817170836618086</x:v>
      </x:c>
      <x:c r="F1359" s="12" t="n">
        <x:v>4.21</x:v>
      </x:c>
      <x:c r="G1359" s="12" t="n">
        <x:v>421</x:v>
      </x:c>
      <x:c r="H1359" s="12" t="n">
        <x:v>5</x:v>
      </x:c>
      <x:c r="I1359" s="12" t="str">
        <x:v>TuShare index_daily</x:v>
      </x:c>
      <x:c r="J1359" s="12" t="str">
        <x:v>Archived FRED mirror (Hugging Face)</x:v>
      </x:c>
    </x:row>
    <x:row r="1360" ht="18" customHeight="1">
      <x:c r="A1360" s="13" t="n">
        <x:v>44636</x:v>
      </x:c>
      <x:c r="B1360" s="12" t="n">
        <x:v>4156.081</x:v>
      </x:c>
      <x:c r="C1360" s="12" t="n">
        <x:v>3983.812</x:v>
      </x:c>
      <x:c r="D1360" s="12" t="n">
        <x:v>4.3242</x:v>
      </x:c>
      <x:c r="E1360" s="12" t="n">
        <x:v>0.042333413087277144</x:v>
      </x:c>
      <x:c r="F1360" s="12" t="n">
        <x:v>3.96</x:v>
      </x:c>
      <x:c r="G1360" s="12" t="n">
        <x:v>396</x:v>
      </x:c>
      <x:c r="H1360" s="12" t="n">
        <x:v>-25</x:v>
      </x:c>
      <x:c r="I1360" s="12" t="str">
        <x:v>TuShare index_daily</x:v>
      </x:c>
      <x:c r="J1360" s="12" t="str">
        <x:v>Archived FRED mirror (Hugging Face)</x:v>
      </x:c>
    </x:row>
    <x:row r="1361" ht="18" customHeight="1">
      <x:c r="A1361" s="13" t="n">
        <x:v>44637</x:v>
      </x:c>
      <x:c r="B1361" s="12" t="n">
        <x:v>4237.6956</x:v>
      </x:c>
      <x:c r="C1361" s="12" t="n">
        <x:v>4156.081</x:v>
      </x:c>
      <x:c r="D1361" s="12" t="n">
        <x:v>1.9637</x:v>
      </x:c>
      <x:c r="E1361" s="12" t="n">
        <x:v>0.019447067992112203</x:v>
      </x:c>
      <x:c r="F1361" s="12" t="n">
        <x:v>3.81</x:v>
      </x:c>
      <x:c r="G1361" s="12" t="n">
        <x:v>381</x:v>
      </x:c>
      <x:c r="H1361" s="12" t="n">
        <x:v>-15</x:v>
      </x:c>
      <x:c r="I1361" s="12" t="str">
        <x:v>TuShare index_daily</x:v>
      </x:c>
      <x:c r="J1361" s="12" t="str">
        <x:v>Archived FRED mirror (Hugging Face)</x:v>
      </x:c>
    </x:row>
    <x:row r="1362" ht="18" customHeight="1">
      <x:c r="A1362" s="13" t="n">
        <x:v>44638</x:v>
      </x:c>
      <x:c r="B1362" s="12" t="n">
        <x:v>4265.9017</x:v>
      </x:c>
      <x:c r="C1362" s="12" t="n">
        <x:v>4237.6956</x:v>
      </x:c>
      <x:c r="D1362" s="12" t="n">
        <x:v>0.6656</x:v>
      </x:c>
      <x:c r="E1362" s="12" t="n">
        <x:v>0.006633946187459856</x:v>
      </x:c>
      <x:c r="F1362" s="12" t="n">
        <x:v>3.81</x:v>
      </x:c>
      <x:c r="G1362" s="12" t="n">
        <x:v>381</x:v>
      </x:c>
      <x:c r="H1362" s="12" t="n">
        <x:v>0</x:v>
      </x:c>
      <x:c r="I1362" s="12" t="str">
        <x:v>TuShare index_daily</x:v>
      </x:c>
      <x:c r="J1362" s="12" t="str">
        <x:v>Archived FRED mirror (Hugging Face)</x:v>
      </x:c>
    </x:row>
    <x:row r="1363" ht="18" customHeight="1">
      <x:c r="A1363" s="13" t="n">
        <x:v>44641</x:v>
      </x:c>
      <x:c r="B1363" s="12" t="n">
        <x:v>4258.7459</x:v>
      </x:c>
      <x:c r="C1363" s="12" t="n">
        <x:v>4265.9017</x:v>
      </x:c>
      <x:c r="D1363" s="12" t="n">
        <x:v>-0.1677</x:v>
      </x:c>
      <x:c r="E1363" s="12" t="n">
        <x:v>-0.001678849851984703</x:v>
      </x:c>
      <x:c r="F1363" s="12" t="n">
        <x:v>3.67</x:v>
      </x:c>
      <x:c r="G1363" s="12" t="n">
        <x:v>367</x:v>
      </x:c>
      <x:c r="H1363" s="12" t="n">
        <x:v>-14</x:v>
      </x:c>
      <x:c r="I1363" s="12" t="str">
        <x:v>TuShare index_daily</x:v>
      </x:c>
      <x:c r="J1363" s="12" t="str">
        <x:v>Archived FRED mirror (Hugging Face)</x:v>
      </x:c>
    </x:row>
    <x:row r="1364" ht="18" customHeight="1">
      <x:c r="A1364" s="13" t="n">
        <x:v>44642</x:v>
      </x:c>
      <x:c r="B1364" s="12" t="n">
        <x:v>4255.295</x:v>
      </x:c>
      <x:c r="C1364" s="12" t="n">
        <x:v>4258.7459</x:v>
      </x:c>
      <x:c r="D1364" s="12" t="n">
        <x:v>-0.081</x:v>
      </x:c>
      <x:c r="E1364" s="12" t="n">
        <x:v>-0.0008106374468966272</x:v>
      </x:c>
      <x:c r="F1364" s="12" t="n">
        <x:v>3.7</x:v>
      </x:c>
      <x:c r="G1364" s="12" t="n">
        <x:v>370</x:v>
      </x:c>
      <x:c r="H1364" s="12" t="n">
        <x:v>3</x:v>
      </x:c>
      <x:c r="I1364" s="12" t="str">
        <x:v>TuShare index_daily</x:v>
      </x:c>
      <x:c r="J1364" s="12" t="str">
        <x:v>Archived FRED mirror (Hugging Face)</x:v>
      </x:c>
    </x:row>
    <x:row r="1365" ht="18" customHeight="1">
      <x:c r="A1365" s="13" t="n">
        <x:v>44643</x:v>
      </x:c>
      <x:c r="B1365" s="12" t="n">
        <x:v>4276.5174</x:v>
      </x:c>
      <x:c r="C1365" s="12" t="n">
        <x:v>4255.295</x:v>
      </x:c>
      <x:c r="D1365" s="12" t="n">
        <x:v>0.4987</x:v>
      </x:c>
      <x:c r="E1365" s="12" t="n">
        <x:v>0.004974896956354492</x:v>
      </x:c>
      <x:c r="F1365" s="12" t="n">
        <x:v>3.72</x:v>
      </x:c>
      <x:c r="G1365" s="12" t="n">
        <x:v>372</x:v>
      </x:c>
      <x:c r="H1365" s="12" t="n">
        <x:v>2</x:v>
      </x:c>
      <x:c r="I1365" s="12" t="str">
        <x:v>TuShare index_daily</x:v>
      </x:c>
      <x:c r="J1365" s="12" t="str">
        <x:v>Archived FRED mirror (Hugging Face)</x:v>
      </x:c>
    </x:row>
    <x:row r="1366" ht="18" customHeight="1">
      <x:c r="A1366" s="13" t="n">
        <x:v>44644</x:v>
      </x:c>
      <x:c r="B1366" s="12" t="n">
        <x:v>4251.3061</x:v>
      </x:c>
      <x:c r="C1366" s="12" t="n">
        <x:v>4276.5174</x:v>
      </x:c>
      <x:c r="D1366" s="12" t="n">
        <x:v>-0.5895</x:v>
      </x:c>
      <x:c r="E1366" s="12" t="n">
        <x:v>-0.005912733407240968</x:v>
      </x:c>
      <x:c r="F1366" s="12" t="n">
        <x:v>3.67</x:v>
      </x:c>
      <x:c r="G1366" s="12" t="n">
        <x:v>367</x:v>
      </x:c>
      <x:c r="H1366" s="12" t="n">
        <x:v>-5</x:v>
      </x:c>
      <x:c r="I1366" s="12" t="str">
        <x:v>TuShare index_daily</x:v>
      </x:c>
      <x:c r="J1366" s="12" t="str">
        <x:v>Archived FRED mirror (Hugging Face)</x:v>
      </x:c>
    </x:row>
    <x:row r="1367" ht="18" customHeight="1">
      <x:c r="A1367" s="13" t="n">
        <x:v>44645</x:v>
      </x:c>
      <x:c r="B1367" s="12" t="n">
        <x:v>4174.5742</x:v>
      </x:c>
      <x:c r="C1367" s="12" t="n">
        <x:v>4251.3061</x:v>
      </x:c>
      <x:c r="D1367" s="12" t="n">
        <x:v>-1.8049</x:v>
      </x:c>
      <x:c r="E1367" s="12" t="n">
        <x:v>-0.018213888293254144</x:v>
      </x:c>
      <x:c r="F1367" s="12" t="n">
        <x:v>3.51</x:v>
      </x:c>
      <x:c r="G1367" s="12" t="n">
        <x:v>351</x:v>
      </x:c>
      <x:c r="H1367" s="12" t="n">
        <x:v>-16</x:v>
      </x:c>
      <x:c r="I1367" s="12" t="str">
        <x:v>TuShare index_daily</x:v>
      </x:c>
      <x:c r="J1367" s="12" t="str">
        <x:v>Archived FRED mirror (Hugging Face)</x:v>
      </x:c>
    </x:row>
    <x:row r="1368" ht="18" customHeight="1">
      <x:c r="A1368" s="13" t="n">
        <x:v>44648</x:v>
      </x:c>
      <x:c r="B1368" s="12" t="n">
        <x:v>4148.4663</x:v>
      </x:c>
      <x:c r="C1368" s="12" t="n">
        <x:v>4174.5742</x:v>
      </x:c>
      <x:c r="D1368" s="12" t="n">
        <x:v>-0.6254</x:v>
      </x:c>
      <x:c r="E1368" s="12" t="n">
        <x:v>-0.006273665406629652</x:v>
      </x:c>
      <x:c r="F1368" s="12" t="n">
        <x:v>3.54</x:v>
      </x:c>
      <x:c r="G1368" s="12" t="n">
        <x:v>354</x:v>
      </x:c>
      <x:c r="H1368" s="12" t="n">
        <x:v>3</x:v>
      </x:c>
      <x:c r="I1368" s="12" t="str">
        <x:v>TuShare index_daily</x:v>
      </x:c>
      <x:c r="J1368" s="12" t="str">
        <x:v>Archived FRED mirror (Hugging Face)</x:v>
      </x:c>
    </x:row>
    <x:row r="1369" ht="18" customHeight="1">
      <x:c r="A1369" s="13" t="n">
        <x:v>44649</x:v>
      </x:c>
      <x:c r="B1369" s="12" t="n">
        <x:v>4134.1441</x:v>
      </x:c>
      <x:c r="C1369" s="12" t="n">
        <x:v>4148.4663</x:v>
      </x:c>
      <x:c r="D1369" s="12" t="n">
        <x:v>-0.3452</x:v>
      </x:c>
      <x:c r="E1369" s="12" t="n">
        <x:v>-0.0034583817379454304</x:v>
      </x:c>
      <x:c r="F1369" s="12" t="n">
        <x:v>3.38</x:v>
      </x:c>
      <x:c r="G1369" s="12" t="n">
        <x:v>338</x:v>
      </x:c>
      <x:c r="H1369" s="12" t="n">
        <x:v>-16</x:v>
      </x:c>
      <x:c r="I1369" s="12" t="str">
        <x:v>TuShare index_daily</x:v>
      </x:c>
      <x:c r="J1369" s="12" t="str">
        <x:v>Archived FRED mirror (Hugging Face)</x:v>
      </x:c>
    </x:row>
    <x:row r="1370" ht="18" customHeight="1">
      <x:c r="A1370" s="13" t="n">
        <x:v>44650</x:v>
      </x:c>
      <x:c r="B1370" s="12" t="n">
        <x:v>4254.0989</x:v>
      </x:c>
      <x:c r="C1370" s="12" t="n">
        <x:v>4134.1441</x:v>
      </x:c>
      <x:c r="D1370" s="12" t="n">
        <x:v>2.9016</x:v>
      </x:c>
      <x:c r="E1370" s="12" t="n">
        <x:v>0.02860264728173825</x:v>
      </x:c>
      <x:c r="F1370" s="12" t="n">
        <x:v>3.33</x:v>
      </x:c>
      <x:c r="G1370" s="12" t="n">
        <x:v>333</x:v>
      </x:c>
      <x:c r="H1370" s="12" t="n">
        <x:v>-5</x:v>
      </x:c>
      <x:c r="I1370" s="12" t="str">
        <x:v>TuShare index_daily</x:v>
      </x:c>
      <x:c r="J1370" s="12" t="str">
        <x:v>Archived FRED mirror (Hugging Face)</x:v>
      </x:c>
    </x:row>
    <x:row r="1371" ht="18" customHeight="1">
      <x:c r="A1371" s="13" t="n">
        <x:v>44651</x:v>
      </x:c>
      <x:c r="B1371" s="12" t="n">
        <x:v>4222.5968</x:v>
      </x:c>
      <x:c r="C1371" s="12" t="n">
        <x:v>4254.0989</x:v>
      </x:c>
      <x:c r="D1371" s="12" t="n">
        <x:v>-0.7405</x:v>
      </x:c>
      <x:c r="E1371" s="12" t="n">
        <x:v>-0.00743267097027041</x:v>
      </x:c>
      <x:c r="F1371" s="12" t="n">
        <x:v>3.43</x:v>
      </x:c>
      <x:c r="G1371" s="12" t="n">
        <x:v>343</x:v>
      </x:c>
      <x:c r="H1371" s="12" t="n">
        <x:v>10</x:v>
      </x:c>
      <x:c r="I1371" s="12" t="str">
        <x:v>TuShare index_daily</x:v>
      </x:c>
      <x:c r="J1371" s="12" t="str">
        <x:v>Archived FRED mirror (Hugging Face)</x:v>
      </x:c>
    </x:row>
    <x:row r="1372" ht="18" customHeight="1">
      <x:c r="A1372" s="13" t="n">
        <x:v>44652</x:v>
      </x:c>
      <x:c r="B1372" s="12" t="n">
        <x:v>4276.158</x:v>
      </x:c>
      <x:c r="C1372" s="12" t="n">
        <x:v>4222.5968</x:v>
      </x:c>
      <x:c r="D1372" s="12" t="n">
        <x:v>1.2684</x:v>
      </x:c>
      <x:c r="E1372" s="12" t="n">
        <x:v>0.01260464865647588</x:v>
      </x:c>
      <x:c r="F1372" s="12" t="n">
        <x:v>3.4</x:v>
      </x:c>
      <x:c r="G1372" s="12" t="n">
        <x:v>340</x:v>
      </x:c>
      <x:c r="H1372" s="12" t="n">
        <x:v>-3</x:v>
      </x:c>
      <x:c r="I1372" s="12" t="str">
        <x:v>TuShare index_daily</x:v>
      </x:c>
      <x:c r="J1372" s="12" t="str">
        <x:v>Archived FRED mirror (Hugging Face)</x:v>
      </x:c>
    </x:row>
    <x:row r="1373" ht="18" customHeight="1">
      <x:c r="A1373" s="13" t="n">
        <x:v>44657</x:v>
      </x:c>
      <x:c r="B1373" s="12" t="n">
        <x:v>4263.8411</x:v>
      </x:c>
      <x:c r="C1373" s="12" t="n">
        <x:v>4276.158</x:v>
      </x:c>
      <x:c r="D1373" s="12" t="n">
        <x:v>-0.288</x:v>
      </x:c>
      <x:c r="E1373" s="12" t="n">
        <x:v>-0.0028845222103589074</x:v>
      </x:c>
      <x:c r="F1373" s="12" t="n">
        <x:v>3.48</x:v>
      </x:c>
      <x:c r="G1373" s="12" t="n">
        <x:v>348</x:v>
      </x:c>
      <x:c r="H1373" s="12" t="n">
        <x:v>21</x:v>
      </x:c>
      <x:c r="I1373" s="12" t="str">
        <x:v>TuShare index_daily</x:v>
      </x:c>
      <x:c r="J1373" s="12" t="str">
        <x:v>Archived FRED mirror (Hugging Face)</x:v>
      </x:c>
    </x:row>
    <x:row r="1374" ht="18" customHeight="1">
      <x:c r="A1374" s="13" t="n">
        <x:v>44658</x:v>
      </x:c>
      <x:c r="B1374" s="12" t="n">
        <x:v>4209.0998</x:v>
      </x:c>
      <x:c r="C1374" s="12" t="n">
        <x:v>4263.8411</x:v>
      </x:c>
      <x:c r="D1374" s="12" t="n">
        <x:v>-1.2838</x:v>
      </x:c>
      <x:c r="E1374" s="12" t="n">
        <x:v>-0.012921620088142112</x:v>
      </x:c>
      <x:c r="F1374" s="12" t="n">
        <x:v>3.54</x:v>
      </x:c>
      <x:c r="G1374" s="12" t="n">
        <x:v>354</x:v>
      </x:c>
      <x:c r="H1374" s="12" t="n">
        <x:v>6</x:v>
      </x:c>
      <x:c r="I1374" s="12" t="str">
        <x:v>TuShare index_daily</x:v>
      </x:c>
      <x:c r="J1374" s="12" t="str">
        <x:v>Archived FRED mirror (Hugging Face)</x:v>
      </x:c>
    </x:row>
    <x:row r="1375" ht="18" customHeight="1">
      <x:c r="A1375" s="13" t="n">
        <x:v>44659</x:v>
      </x:c>
      <x:c r="B1375" s="12" t="n">
        <x:v>4230.7669</x:v>
      </x:c>
      <x:c r="C1375" s="12" t="n">
        <x:v>4209.0998</x:v>
      </x:c>
      <x:c r="D1375" s="12" t="n">
        <x:v>0.5148</x:v>
      </x:c>
      <x:c r="E1375" s="12" t="n">
        <x:v>0.005134476259089511</x:v>
      </x:c>
      <x:c r="F1375" s="12" t="n">
        <x:v>3.57</x:v>
      </x:c>
      <x:c r="G1375" s="12" t="n">
        <x:v>357</x:v>
      </x:c>
      <x:c r="H1375" s="12" t="n">
        <x:v>3</x:v>
      </x:c>
      <x:c r="I1375" s="12" t="str">
        <x:v>TuShare index_daily</x:v>
      </x:c>
      <x:c r="J1375" s="12" t="str">
        <x:v>Archived FRED mirror (Hugging Face)</x:v>
      </x:c>
    </x:row>
    <x:row r="1376" ht="18" customHeight="1">
      <x:c r="A1376" s="13" t="n">
        <x:v>44662</x:v>
      </x:c>
      <x:c r="B1376" s="12" t="n">
        <x:v>4100.0703</x:v>
      </x:c>
      <x:c r="C1376" s="12" t="n">
        <x:v>4230.7669</x:v>
      </x:c>
      <x:c r="D1376" s="12" t="n">
        <x:v>-3.0892</x:v>
      </x:c>
      <x:c r="E1376" s="12" t="n">
        <x:v>-0.031379156956962674</x:v>
      </x:c>
      <x:c r="F1376" s="12" t="n">
        <x:v>3.73</x:v>
      </x:c>
      <x:c r="G1376" s="12" t="n">
        <x:v>373</x:v>
      </x:c>
      <x:c r="H1376" s="12" t="n">
        <x:v>16</x:v>
      </x:c>
      <x:c r="I1376" s="12" t="str">
        <x:v>TuShare index_daily</x:v>
      </x:c>
      <x:c r="J1376" s="12" t="str">
        <x:v>Archived FRED mirror (Hugging Face)</x:v>
      </x:c>
    </x:row>
    <x:row r="1377" ht="18" customHeight="1">
      <x:c r="A1377" s="13" t="n">
        <x:v>44663</x:v>
      </x:c>
      <x:c r="B1377" s="12" t="n">
        <x:v>4179.9727</x:v>
      </x:c>
      <x:c r="C1377" s="12" t="n">
        <x:v>4100.0703</x:v>
      </x:c>
      <x:c r="D1377" s="12" t="n">
        <x:v>1.9488</x:v>
      </x:c>
      <x:c r="E1377" s="12" t="n">
        <x:v>0.01930059551012999</x:v>
      </x:c>
      <x:c r="F1377" s="12" t="n">
        <x:v>3.75</x:v>
      </x:c>
      <x:c r="G1377" s="12" t="n">
        <x:v>375</x:v>
      </x:c>
      <x:c r="H1377" s="12" t="n">
        <x:v>2</x:v>
      </x:c>
      <x:c r="I1377" s="12" t="str">
        <x:v>TuShare index_daily</x:v>
      </x:c>
      <x:c r="J1377" s="12" t="str">
        <x:v>Archived FRED mirror (Hugging Face)</x:v>
      </x:c>
    </x:row>
    <x:row r="1378" ht="18" customHeight="1">
      <x:c r="A1378" s="13" t="n">
        <x:v>44664</x:v>
      </x:c>
      <x:c r="B1378" s="12" t="n">
        <x:v>4139.737</x:v>
      </x:c>
      <x:c r="C1378" s="12" t="n">
        <x:v>4179.9727</x:v>
      </x:c>
      <x:c r="D1378" s="12" t="n">
        <x:v>-0.9626</x:v>
      </x:c>
      <x:c r="E1378" s="12" t="n">
        <x:v>-0.009672456165582058</x:v>
      </x:c>
      <x:c r="F1378" s="12" t="n">
        <x:v>3.77</x:v>
      </x:c>
      <x:c r="G1378" s="12" t="n">
        <x:v>377</x:v>
      </x:c>
      <x:c r="H1378" s="12" t="n">
        <x:v>2</x:v>
      </x:c>
      <x:c r="I1378" s="12" t="str">
        <x:v>TuShare index_daily</x:v>
      </x:c>
      <x:c r="J1378" s="12" t="str">
        <x:v>Archived FRED mirror (Hugging Face)</x:v>
      </x:c>
    </x:row>
    <x:row r="1379" ht="18" customHeight="1">
      <x:c r="A1379" s="13" t="n">
        <x:v>44665</x:v>
      </x:c>
      <x:c r="B1379" s="12" t="n">
        <x:v>4191.5684</x:v>
      </x:c>
      <x:c r="C1379" s="12" t="n">
        <x:v>4139.737</x:v>
      </x:c>
      <x:c r="D1379" s="12" t="n">
        <x:v>1.252</x:v>
      </x:c>
      <x:c r="E1379" s="12" t="n">
        <x:v>0.012442724453656956</x:v>
      </x:c>
      <x:c r="F1379" s="12" t="n">
        <x:v>3.68</x:v>
      </x:c>
      <x:c r="G1379" s="12" t="n">
        <x:v>368</x:v>
      </x:c>
      <x:c r="H1379" s="12" t="n">
        <x:v>-9</x:v>
      </x:c>
      <x:c r="I1379" s="12" t="str">
        <x:v>TuShare index_daily</x:v>
      </x:c>
      <x:c r="J1379" s="12" t="str">
        <x:v>Archived FRED mirror (Hugging Face)</x:v>
      </x:c>
    </x:row>
    <x:row r="1380" ht="18" customHeight="1">
      <x:c r="A1380" s="13" t="n">
        <x:v>44669</x:v>
      </x:c>
      <x:c r="B1380" s="12" t="n">
        <x:v>4166.3844</x:v>
      </x:c>
      <x:c r="C1380" s="12" t="n">
        <x:v>4188.7472</x:v>
      </x:c>
      <x:c r="D1380" s="12" t="n">
        <x:v>-0.5339</x:v>
      </x:c>
      <x:c r="E1380" s="12" t="n">
        <x:v>-0.005353082266565374</x:v>
      </x:c>
      <x:c r="F1380" s="12" t="n">
        <x:v>3.64</x:v>
      </x:c>
      <x:c r="G1380" s="12" t="n">
        <x:v>364</x:v>
      </x:c>
      <x:c r="H1380" s="12" t="n">
        <x:v>-4</x:v>
      </x:c>
      <x:c r="I1380" s="12" t="str">
        <x:v>TuShare index_daily</x:v>
      </x:c>
      <x:c r="J1380" s="12" t="str">
        <x:v>Archived FRED mirror (Hugging Face)</x:v>
      </x:c>
    </x:row>
    <x:row r="1381" ht="18" customHeight="1">
      <x:c r="A1381" s="13" t="n">
        <x:v>44670</x:v>
      </x:c>
      <x:c r="B1381" s="12" t="n">
        <x:v>4134.9017</x:v>
      </x:c>
      <x:c r="C1381" s="12" t="n">
        <x:v>4166.3844</x:v>
      </x:c>
      <x:c r="D1381" s="12" t="n">
        <x:v>-0.7556</x:v>
      </x:c>
      <x:c r="E1381" s="12" t="n">
        <x:v>-0.007585053824646595</x:v>
      </x:c>
      <x:c r="F1381" s="12" t="n">
        <x:v>3.58</x:v>
      </x:c>
      <x:c r="G1381" s="12" t="n">
        <x:v>358</x:v>
      </x:c>
      <x:c r="H1381" s="12" t="n">
        <x:v>-6</x:v>
      </x:c>
      <x:c r="I1381" s="12" t="str">
        <x:v>TuShare index_daily</x:v>
      </x:c>
      <x:c r="J1381" s="12" t="str">
        <x:v>Archived FRED mirror (Hugging Face)</x:v>
      </x:c>
    </x:row>
    <x:row r="1382" ht="18" customHeight="1">
      <x:c r="A1382" s="13" t="n">
        <x:v>44671</x:v>
      </x:c>
      <x:c r="B1382" s="12" t="n">
        <x:v>4070.7889</x:v>
      </x:c>
      <x:c r="C1382" s="12" t="n">
        <x:v>4134.9017</x:v>
      </x:c>
      <x:c r="D1382" s="12" t="n">
        <x:v>-1.5505</x:v>
      </x:c>
      <x:c r="E1382" s="12" t="n">
        <x:v>-0.015626741925608204</x:v>
      </x:c>
      <x:c r="F1382" s="12" t="n">
        <x:v>3.56</x:v>
      </x:c>
      <x:c r="G1382" s="12" t="n">
        <x:v>356</x:v>
      </x:c>
      <x:c r="H1382" s="12" t="n">
        <x:v>-2</x:v>
      </x:c>
      <x:c r="I1382" s="12" t="str">
        <x:v>TuShare index_daily</x:v>
      </x:c>
      <x:c r="J1382" s="12" t="str">
        <x:v>Archived FRED mirror (Hugging Face)</x:v>
      </x:c>
    </x:row>
    <x:row r="1383" ht="18" customHeight="1">
      <x:c r="A1383" s="13" t="n">
        <x:v>44672</x:v>
      </x:c>
      <x:c r="B1383" s="12" t="n">
        <x:v>3995.83</x:v>
      </x:c>
      <x:c r="C1383" s="12" t="n">
        <x:v>4070.7889</x:v>
      </x:c>
      <x:c r="D1383" s="12" t="n">
        <x:v>-1.8414</x:v>
      </x:c>
      <x:c r="E1383" s="12" t="n">
        <x:v>-0.01858549625635768</x:v>
      </x:c>
      <x:c r="F1383" s="12" t="n">
        <x:v>3.5</x:v>
      </x:c>
      <x:c r="G1383" s="12" t="n">
        <x:v>350</x:v>
      </x:c>
      <x:c r="H1383" s="12" t="n">
        <x:v>-6</x:v>
      </x:c>
      <x:c r="I1383" s="12" t="str">
        <x:v>TuShare index_daily</x:v>
      </x:c>
      <x:c r="J1383" s="12" t="str">
        <x:v>Archived FRED mirror (Hugging Face)</x:v>
      </x:c>
    </x:row>
    <x:row r="1384" ht="18" customHeight="1">
      <x:c r="A1384" s="13" t="n">
        <x:v>44673</x:v>
      </x:c>
      <x:c r="B1384" s="12" t="n">
        <x:v>4013.2498</x:v>
      </x:c>
      <x:c r="C1384" s="12" t="n">
        <x:v>3995.83</x:v>
      </x:c>
      <x:c r="D1384" s="12" t="n">
        <x:v>0.4359</x:v>
      </x:c>
      <x:c r="E1384" s="12" t="n">
        <x:v>0.00435001970365872</x:v>
      </x:c>
      <x:c r="F1384" s="12" t="n">
        <x:v>3.65</x:v>
      </x:c>
      <x:c r="G1384" s="12" t="n">
        <x:v>365</x:v>
      </x:c>
      <x:c r="H1384" s="12" t="n">
        <x:v>15</x:v>
      </x:c>
      <x:c r="I1384" s="12" t="str">
        <x:v>TuShare index_daily</x:v>
      </x:c>
      <x:c r="J1384" s="12" t="str">
        <x:v>Archived FRED mirror (Hugging Face)</x:v>
      </x:c>
    </x:row>
    <x:row r="1385" ht="18" customHeight="1">
      <x:c r="A1385" s="13" t="n">
        <x:v>44676</x:v>
      </x:c>
      <x:c r="B1385" s="12" t="n">
        <x:v>3814.9127</x:v>
      </x:c>
      <x:c r="C1385" s="12" t="n">
        <x:v>4013.2498</x:v>
      </x:c>
      <x:c r="D1385" s="12" t="n">
        <x:v>-4.9421</x:v>
      </x:c>
      <x:c r="E1385" s="12" t="n">
        <x:v>-0.05068355592304823</x:v>
      </x:c>
      <x:c r="F1385" s="12" t="n">
        <x:v>3.8</x:v>
      </x:c>
      <x:c r="G1385" s="12" t="n">
        <x:v>380</x:v>
      </x:c>
      <x:c r="H1385" s="12" t="n">
        <x:v>15</x:v>
      </x:c>
      <x:c r="I1385" s="12" t="str">
        <x:v>TuShare index_daily</x:v>
      </x:c>
      <x:c r="J1385" s="12" t="str">
        <x:v>Archived FRED mirror (Hugging Face)</x:v>
      </x:c>
    </x:row>
    <x:row r="1386" ht="18" customHeight="1">
      <x:c r="A1386" s="13" t="n">
        <x:v>44677</x:v>
      </x:c>
      <x:c r="B1386" s="12" t="n">
        <x:v>3784.1198</x:v>
      </x:c>
      <x:c r="C1386" s="12" t="n">
        <x:v>3814.9127</x:v>
      </x:c>
      <x:c r="D1386" s="12" t="n">
        <x:v>-0.8072</x:v>
      </x:c>
      <x:c r="E1386" s="12" t="n">
        <x:v>-0.008104470811488438</x:v>
      </x:c>
      <x:c r="F1386" s="12" t="n">
        <x:v>3.83</x:v>
      </x:c>
      <x:c r="G1386" s="12" t="n">
        <x:v>383</x:v>
      </x:c>
      <x:c r="H1386" s="12" t="n">
        <x:v>3</x:v>
      </x:c>
      <x:c r="I1386" s="12" t="str">
        <x:v>TuShare index_daily</x:v>
      </x:c>
      <x:c r="J1386" s="12" t="str">
        <x:v>Archived FRED mirror (Hugging Face)</x:v>
      </x:c>
    </x:row>
    <x:row r="1387" ht="18" customHeight="1">
      <x:c r="A1387" s="13" t="n">
        <x:v>44678</x:v>
      </x:c>
      <x:c r="B1387" s="12" t="n">
        <x:v>3895.5361</x:v>
      </x:c>
      <x:c r="C1387" s="12" t="n">
        <x:v>3784.1198</x:v>
      </x:c>
      <x:c r="D1387" s="12" t="n">
        <x:v>2.9443</x:v>
      </x:c>
      <x:c r="E1387" s="12" t="n">
        <x:v>0.02901799754097714</x:v>
      </x:c>
      <x:c r="F1387" s="12" t="n">
        <x:v>3.89</x:v>
      </x:c>
      <x:c r="G1387" s="12" t="n">
        <x:v>389</x:v>
      </x:c>
      <x:c r="H1387" s="12" t="n">
        <x:v>6</x:v>
      </x:c>
      <x:c r="I1387" s="12" t="str">
        <x:v>TuShare index_daily</x:v>
      </x:c>
      <x:c r="J1387" s="12" t="str">
        <x:v>Archived FRED mirror (Hugging Face)</x:v>
      </x:c>
    </x:row>
    <x:row r="1388" ht="18" customHeight="1">
      <x:c r="A1388" s="13" t="n">
        <x:v>44679</x:v>
      </x:c>
      <x:c r="B1388" s="12" t="n">
        <x:v>3921.1073</x:v>
      </x:c>
      <x:c r="C1388" s="12" t="n">
        <x:v>3895.5361</x:v>
      </x:c>
      <x:c r="D1388" s="12" t="n">
        <x:v>0.6564</x:v>
      </x:c>
      <x:c r="E1388" s="12" t="n">
        <x:v>0.006542780554855859</x:v>
      </x:c>
      <x:c r="F1388" s="12" t="n">
        <x:v>3.83</x:v>
      </x:c>
      <x:c r="G1388" s="12" t="n">
        <x:v>383</x:v>
      </x:c>
      <x:c r="H1388" s="12" t="n">
        <x:v>-6</x:v>
      </x:c>
      <x:c r="I1388" s="12" t="str">
        <x:v>TuShare index_daily</x:v>
      </x:c>
      <x:c r="J1388" s="12" t="str">
        <x:v>Archived FRED mirror (Hugging Face)</x:v>
      </x:c>
    </x:row>
    <x:row r="1389" ht="18" customHeight="1">
      <x:c r="A1389" s="13" t="n">
        <x:v>44680</x:v>
      </x:c>
      <x:c r="B1389" s="12" t="n">
        <x:v>4016.241</x:v>
      </x:c>
      <x:c r="C1389" s="12" t="n">
        <x:v>3921.1073</x:v>
      </x:c>
      <x:c r="D1389" s="12" t="n">
        <x:v>2.4262</x:v>
      </x:c>
      <x:c r="E1389" s="12" t="n">
        <x:v>0.023972302145301865</x:v>
      </x:c>
      <x:c r="F1389" s="12" t="n">
        <x:v>3.93</x:v>
      </x:c>
      <x:c r="G1389" s="12" t="n">
        <x:v>393</x:v>
      </x:c>
      <x:c r="H1389" s="12" t="n">
        <x:v>10</x:v>
      </x:c>
      <x:c r="I1389" s="12" t="str">
        <x:v>TuShare index_daily</x:v>
      </x:c>
      <x:c r="J1389" s="12" t="str">
        <x:v>Archived FRED mirror (Hugging Face)</x:v>
      </x:c>
    </x:row>
    <x:row r="1390" ht="18" customHeight="1">
      <x:c r="A1390" s="13" t="n">
        <x:v>44686</x:v>
      </x:c>
      <x:c r="B1390" s="12" t="n">
        <x:v>4010.2102</x:v>
      </x:c>
      <x:c r="C1390" s="12" t="n">
        <x:v>4016.241</x:v>
      </x:c>
      <x:c r="D1390" s="12" t="n">
        <x:v>-0.1502</x:v>
      </x:c>
      <x:c r="E1390" s="12" t="n">
        <x:v>-0.0015027316517908444</x:v>
      </x:c>
      <x:c r="F1390" s="12" t="n">
        <x:v>4.03</x:v>
      </x:c>
      <x:c r="G1390" s="12" t="n">
        <x:v>403</x:v>
      </x:c>
      <x:c r="H1390" s="12" t="n">
        <x:v>-6.999999999999943</x:v>
      </x:c>
      <x:c r="I1390" s="12" t="str">
        <x:v>TuShare index_daily</x:v>
      </x:c>
      <x:c r="J1390" s="12" t="str">
        <x:v>Archived FRED mirror (Hugging Face)</x:v>
      </x:c>
    </x:row>
    <x:row r="1391" ht="18" customHeight="1">
      <x:c r="A1391" s="13" t="n">
        <x:v>44687</x:v>
      </x:c>
      <x:c r="B1391" s="12" t="n">
        <x:v>3908.815</x:v>
      </x:c>
      <x:c r="C1391" s="12" t="n">
        <x:v>4010.2102</x:v>
      </x:c>
      <x:c r="D1391" s="12" t="n">
        <x:v>-2.5284</x:v>
      </x:c>
      <x:c r="E1391" s="12" t="n">
        <x:v>-0.02560939988841187</x:v>
      </x:c>
      <x:c r="F1391" s="12" t="n">
        <x:v>4.18</x:v>
      </x:c>
      <x:c r="G1391" s="12" t="n">
        <x:v>418</x:v>
      </x:c>
      <x:c r="H1391" s="12" t="n">
        <x:v>15</x:v>
      </x:c>
      <x:c r="I1391" s="12" t="str">
        <x:v>TuShare index_daily</x:v>
      </x:c>
      <x:c r="J1391" s="12" t="str">
        <x:v>Archived FRED mirror (Hugging Face)</x:v>
      </x:c>
    </x:row>
    <x:row r="1392" ht="18" customHeight="1">
      <x:c r="A1392" s="13" t="n">
        <x:v>44690</x:v>
      </x:c>
      <x:c r="B1392" s="12" t="n">
        <x:v>3877.4364</x:v>
      </x:c>
      <x:c r="C1392" s="12" t="n">
        <x:v>3908.815</x:v>
      </x:c>
      <x:c r="D1392" s="12" t="n">
        <x:v>-0.8028</x:v>
      </x:c>
      <x:c r="E1392" s="12" t="n">
        <x:v>-0.008060045395905031</x:v>
      </x:c>
      <x:c r="F1392" s="12" t="n">
        <x:v>4.47</x:v>
      </x:c>
      <x:c r="G1392" s="12" t="n">
        <x:v>447</x:v>
      </x:c>
      <x:c r="H1392" s="12" t="n">
        <x:v>29</x:v>
      </x:c>
      <x:c r="I1392" s="12" t="str">
        <x:v>TuShare index_daily</x:v>
      </x:c>
      <x:c r="J1392" s="12" t="str">
        <x:v>Archived FRED mirror (Hugging Face)</x:v>
      </x:c>
    </x:row>
    <x:row r="1393" ht="18" customHeight="1">
      <x:c r="A1393" s="13" t="n">
        <x:v>44691</x:v>
      </x:c>
      <x:c r="B1393" s="12" t="n">
        <x:v>3919.8684</x:v>
      </x:c>
      <x:c r="C1393" s="12" t="n">
        <x:v>3877.4364</x:v>
      </x:c>
      <x:c r="D1393" s="12" t="n">
        <x:v>1.0943</x:v>
      </x:c>
      <x:c r="E1393" s="12" t="n">
        <x:v>0.010883868197312553</x:v>
      </x:c>
      <x:c r="F1393" s="12" t="n">
        <x:v>4.52</x:v>
      </x:c>
      <x:c r="G1393" s="12" t="n">
        <x:v>451.99999999999994</x:v>
      </x:c>
      <x:c r="H1393" s="12" t="n">
        <x:v>4.999999999999943</x:v>
      </x:c>
      <x:c r="I1393" s="12" t="str">
        <x:v>TuShare index_daily</x:v>
      </x:c>
      <x:c r="J1393" s="12" t="str">
        <x:v>Archived FRED mirror (Hugging Face)</x:v>
      </x:c>
    </x:row>
    <x:row r="1394" ht="18" customHeight="1">
      <x:c r="A1394" s="13" t="n">
        <x:v>44692</x:v>
      </x:c>
      <x:c r="B1394" s="12" t="n">
        <x:v>3976.4231</x:v>
      </x:c>
      <x:c r="C1394" s="12" t="n">
        <x:v>3919.8684</x:v>
      </x:c>
      <x:c r="D1394" s="12" t="n">
        <x:v>1.4428</x:v>
      </x:c>
      <x:c r="E1394" s="12" t="n">
        <x:v>0.014324614803433415</x:v>
      </x:c>
      <x:c r="F1394" s="12" t="n">
        <x:v>4.55</x:v>
      </x:c>
      <x:c r="G1394" s="12" t="n">
        <x:v>455</x:v>
      </x:c>
      <x:c r="H1394" s="12" t="n">
        <x:v>3.000000000000057</x:v>
      </x:c>
      <x:c r="I1394" s="12" t="str">
        <x:v>TuShare index_daily</x:v>
      </x:c>
      <x:c r="J1394" s="12" t="str">
        <x:v>Archived FRED mirror (Hugging Face)</x:v>
      </x:c>
    </x:row>
    <x:row r="1395" ht="18" customHeight="1">
      <x:c r="A1395" s="13" t="n">
        <x:v>44693</x:v>
      </x:c>
      <x:c r="B1395" s="12" t="n">
        <x:v>3958.74</x:v>
      </x:c>
      <x:c r="C1395" s="12" t="n">
        <x:v>3976.4231</x:v>
      </x:c>
      <x:c r="D1395" s="12" t="n">
        <x:v>-0.4447</x:v>
      </x:c>
      <x:c r="E1395" s="12" t="n">
        <x:v>-0.004456903796067587</x:v>
      </x:c>
      <x:c r="F1395" s="12" t="n">
        <x:v>4.77</x:v>
      </x:c>
      <x:c r="G1395" s="12" t="n">
        <x:v>476.99999999999994</x:v>
      </x:c>
      <x:c r="H1395" s="12" t="n">
        <x:v>21.999999999999943</x:v>
      </x:c>
      <x:c r="I1395" s="12" t="str">
        <x:v>TuShare index_daily</x:v>
      </x:c>
      <x:c r="J1395" s="12" t="str">
        <x:v>Archived FRED mirror (Hugging Face)</x:v>
      </x:c>
    </x:row>
    <x:row r="1396" ht="18" customHeight="1">
      <x:c r="A1396" s="13" t="n">
        <x:v>44694</x:v>
      </x:c>
      <x:c r="B1396" s="12" t="n">
        <x:v>3988.6002</x:v>
      </x:c>
      <x:c r="C1396" s="12" t="n">
        <x:v>3958.74</x:v>
      </x:c>
      <x:c r="D1396" s="12" t="n">
        <x:v>0.7543</x:v>
      </x:c>
      <x:c r="E1396" s="12" t="n">
        <x:v>0.007514549462257705</x:v>
      </x:c>
      <x:c r="F1396" s="12" t="n">
        <x:v>4.63</x:v>
      </x:c>
      <x:c r="G1396" s="12" t="n">
        <x:v>463</x:v>
      </x:c>
      <x:c r="H1396" s="12" t="n">
        <x:v>-13.999999999999943</x:v>
      </x:c>
      <x:c r="I1396" s="12" t="str">
        <x:v>TuShare index_daily</x:v>
      </x:c>
      <x:c r="J1396" s="12" t="str">
        <x:v>Archived FRED mirror (Hugging Face)</x:v>
      </x:c>
    </x:row>
    <x:row r="1397" ht="18" customHeight="1">
      <x:c r="A1397" s="13" t="n">
        <x:v>44697</x:v>
      </x:c>
      <x:c r="B1397" s="12" t="n">
        <x:v>3956.5378</x:v>
      </x:c>
      <x:c r="C1397" s="12" t="n">
        <x:v>3988.6002</x:v>
      </x:c>
      <x:c r="D1397" s="12" t="n">
        <x:v>-0.8039</x:v>
      </x:c>
      <x:c r="E1397" s="12" t="n">
        <x:v>-0.00807099235976954</x:v>
      </x:c>
      <x:c r="F1397" s="12" t="n">
        <x:v>4.71</x:v>
      </x:c>
      <x:c r="G1397" s="12" t="n">
        <x:v>471</x:v>
      </x:c>
      <x:c r="H1397" s="12" t="n">
        <x:v>8</x:v>
      </x:c>
      <x:c r="I1397" s="12" t="str">
        <x:v>TuShare index_daily</x:v>
      </x:c>
      <x:c r="J1397" s="12" t="str">
        <x:v>Archived FRED mirror (Hugging Face)</x:v>
      </x:c>
    </x:row>
    <x:row r="1398" ht="18" customHeight="1">
      <x:c r="A1398" s="13" t="n">
        <x:v>44698</x:v>
      </x:c>
      <x:c r="B1398" s="12" t="n">
        <x:v>4005.8934</x:v>
      </x:c>
      <x:c r="C1398" s="12" t="n">
        <x:v>3956.5378</x:v>
      </x:c>
      <x:c r="D1398" s="12" t="n">
        <x:v>1.2474</x:v>
      </x:c>
      <x:c r="E1398" s="12" t="n">
        <x:v>0.012397276884578638</x:v>
      </x:c>
      <x:c r="F1398" s="12" t="n">
        <x:v>4.6</x:v>
      </x:c>
      <x:c r="G1398" s="12" t="n">
        <x:v>459.99999999999994</x:v>
      </x:c>
      <x:c r="H1398" s="12" t="n">
        <x:v>-11.000000000000057</x:v>
      </x:c>
      <x:c r="I1398" s="12" t="str">
        <x:v>TuShare index_daily</x:v>
      </x:c>
      <x:c r="J1398" s="12" t="str">
        <x:v>Archived FRED mirror (Hugging Face)</x:v>
      </x:c>
    </x:row>
    <x:row r="1399" ht="18" customHeight="1">
      <x:c r="A1399" s="13" t="n">
        <x:v>44699</x:v>
      </x:c>
      <x:c r="B1399" s="12" t="n">
        <x:v>3991.9069</x:v>
      </x:c>
      <x:c r="C1399" s="12" t="n">
        <x:v>4005.8934</x:v>
      </x:c>
      <x:c r="D1399" s="12" t="n">
        <x:v>-0.3491</x:v>
      </x:c>
      <x:c r="E1399" s="12" t="n">
        <x:v>-0.0034975902707219692</x:v>
      </x:c>
      <x:c r="F1399" s="12" t="n">
        <x:v>4.84</x:v>
      </x:c>
      <x:c r="G1399" s="12" t="n">
        <x:v>484</x:v>
      </x:c>
      <x:c r="H1399" s="12" t="n">
        <x:v>24.000000000000057</x:v>
      </x:c>
      <x:c r="I1399" s="12" t="str">
        <x:v>TuShare index_daily</x:v>
      </x:c>
      <x:c r="J1399" s="12" t="str">
        <x:v>Archived FRED mirror (Hugging Face)</x:v>
      </x:c>
    </x:row>
    <x:row r="1400" ht="18" customHeight="1">
      <x:c r="A1400" s="13" t="n">
        <x:v>44700</x:v>
      </x:c>
      <x:c r="B1400" s="12" t="n">
        <x:v>3999.5984</x:v>
      </x:c>
      <x:c r="C1400" s="12" t="n">
        <x:v>3991.9069</x:v>
      </x:c>
      <x:c r="D1400" s="12" t="n">
        <x:v>0.1927</x:v>
      </x:c>
      <x:c r="E1400" s="12" t="n">
        <x:v>0.001924919545495968</x:v>
      </x:c>
      <x:c r="F1400" s="12" t="n">
        <x:v>4.92</x:v>
      </x:c>
      <x:c r="G1400" s="12" t="n">
        <x:v>492</x:v>
      </x:c>
      <x:c r="H1400" s="12" t="n">
        <x:v>8</x:v>
      </x:c>
      <x:c r="I1400" s="12" t="str">
        <x:v>TuShare index_daily</x:v>
      </x:c>
      <x:c r="J1400" s="12" t="str">
        <x:v>Archived FRED mirror (Hugging Face)</x:v>
      </x:c>
    </x:row>
    <x:row r="1401" ht="18" customHeight="1">
      <x:c r="A1401" s="13" t="n">
        <x:v>44701</x:v>
      </x:c>
      <x:c r="B1401" s="12" t="n">
        <x:v>4077.5998</x:v>
      </x:c>
      <x:c r="C1401" s="12" t="n">
        <x:v>3999.5984</x:v>
      </x:c>
      <x:c r="D1401" s="12" t="n">
        <x:v>1.9502</x:v>
      </x:c>
      <x:c r="E1401" s="12" t="n">
        <x:v>0.019314574915760673</x:v>
      </x:c>
      <x:c r="F1401" s="12" t="n">
        <x:v>4.91</x:v>
      </x:c>
      <x:c r="G1401" s="12" t="n">
        <x:v>491</x:v>
      </x:c>
      <x:c r="H1401" s="12" t="n">
        <x:v>-1</x:v>
      </x:c>
      <x:c r="I1401" s="12" t="str">
        <x:v>TuShare index_daily</x:v>
      </x:c>
      <x:c r="J1401" s="12" t="str">
        <x:v>Archived FRED mirror (Hugging Face)</x:v>
      </x:c>
    </x:row>
    <x:row r="1402" ht="18" customHeight="1">
      <x:c r="A1402" s="13" t="n">
        <x:v>44704</x:v>
      </x:c>
      <x:c r="B1402" s="12" t="n">
        <x:v>4053.9823</x:v>
      </x:c>
      <x:c r="C1402" s="12" t="n">
        <x:v>4077.5998</x:v>
      </x:c>
      <x:c r="D1402" s="12" t="n">
        <x:v>-0.5792</x:v>
      </x:c>
      <x:c r="E1402" s="12" t="n">
        <x:v>-0.005808849033170905</x:v>
      </x:c>
      <x:c r="F1402" s="12" t="n">
        <x:v>4.82</x:v>
      </x:c>
      <x:c r="G1402" s="12" t="n">
        <x:v>482</x:v>
      </x:c>
      <x:c r="H1402" s="12" t="n">
        <x:v>-9</x:v>
      </x:c>
      <x:c r="I1402" s="12" t="str">
        <x:v>TuShare index_daily</x:v>
      </x:c>
      <x:c r="J1402" s="12" t="str">
        <x:v>Archived FRED mirror (Hugging Face)</x:v>
      </x:c>
    </x:row>
    <x:row r="1403" ht="18" customHeight="1">
      <x:c r="A1403" s="13" t="n">
        <x:v>44705</x:v>
      </x:c>
      <x:c r="B1403" s="12" t="n">
        <x:v>3959.1541</x:v>
      </x:c>
      <x:c r="C1403" s="12" t="n">
        <x:v>4053.9823</x:v>
      </x:c>
      <x:c r="D1403" s="12" t="n">
        <x:v>-2.3391</x:v>
      </x:c>
      <x:c r="E1403" s="12" t="n">
        <x:v>-0.023669290624887738</x:v>
      </x:c>
      <x:c r="F1403" s="12" t="n">
        <x:v>4.94</x:v>
      </x:c>
      <x:c r="G1403" s="12" t="n">
        <x:v>494.00000000000006</x:v>
      </x:c>
      <x:c r="H1403" s="12" t="n">
        <x:v>12.000000000000057</x:v>
      </x:c>
      <x:c r="I1403" s="12" t="str">
        <x:v>TuShare index_daily</x:v>
      </x:c>
      <x:c r="J1403" s="12" t="str">
        <x:v>Archived FRED mirror (Hugging Face)</x:v>
      </x:c>
    </x:row>
    <x:row r="1404" ht="18" customHeight="1">
      <x:c r="A1404" s="13" t="n">
        <x:v>44706</x:v>
      </x:c>
      <x:c r="B1404" s="12" t="n">
        <x:v>3983.1784</x:v>
      </x:c>
      <x:c r="C1404" s="12" t="n">
        <x:v>3959.1541</x:v>
      </x:c>
      <x:c r="D1404" s="12" t="n">
        <x:v>0.6068</x:v>
      </x:c>
      <x:c r="E1404" s="12" t="n">
        <x:v>0.00604970221829956</x:v>
      </x:c>
      <x:c r="F1404" s="12" t="n">
        <x:v>4.74</x:v>
      </x:c>
      <x:c r="G1404" s="12" t="n">
        <x:v>474</x:v>
      </x:c>
      <x:c r="H1404" s="12" t="n">
        <x:v>-20.000000000000057</x:v>
      </x:c>
      <x:c r="I1404" s="12" t="str">
        <x:v>TuShare index_daily</x:v>
      </x:c>
      <x:c r="J1404" s="12" t="str">
        <x:v>Archived FRED mirror (Hugging Face)</x:v>
      </x:c>
    </x:row>
    <x:row r="1405" ht="18" customHeight="1">
      <x:c r="A1405" s="13" t="n">
        <x:v>44707</x:v>
      </x:c>
      <x:c r="B1405" s="12" t="n">
        <x:v>3993.0446</x:v>
      </x:c>
      <x:c r="C1405" s="12" t="n">
        <x:v>3983.1784</x:v>
      </x:c>
      <x:c r="D1405" s="12" t="n">
        <x:v>0.2477</x:v>
      </x:c>
      <x:c r="E1405" s="12" t="n">
        <x:v>0.002473904009937255</x:v>
      </x:c>
      <x:c r="F1405" s="12" t="n">
        <x:v>4.38</x:v>
      </x:c>
      <x:c r="G1405" s="12" t="n">
        <x:v>438</x:v>
      </x:c>
      <x:c r="H1405" s="12" t="n">
        <x:v>-36</x:v>
      </x:c>
      <x:c r="I1405" s="12" t="str">
        <x:v>TuShare index_daily</x:v>
      </x:c>
      <x:c r="J1405" s="12" t="str">
        <x:v>Archived FRED mirror (Hugging Face)</x:v>
      </x:c>
    </x:row>
    <x:row r="1406" ht="18" customHeight="1">
      <x:c r="A1406" s="13" t="n">
        <x:v>44708</x:v>
      </x:c>
      <x:c r="B1406" s="12" t="n">
        <x:v>4001.2988</x:v>
      </x:c>
      <x:c r="C1406" s="12" t="n">
        <x:v>3993.0446</x:v>
      </x:c>
      <x:c r="D1406" s="12" t="n">
        <x:v>0.2067</x:v>
      </x:c>
      <x:c r="E1406" s="12" t="n">
        <x:v>0.002065010850841763</x:v>
      </x:c>
      <x:c r="F1406" s="12" t="n">
        <x:v>4.19</x:v>
      </x:c>
      <x:c r="G1406" s="12" t="n">
        <x:v>419.00000000000006</x:v>
      </x:c>
      <x:c r="H1406" s="12" t="n">
        <x:v>-18.999999999999943</x:v>
      </x:c>
      <x:c r="I1406" s="12" t="str">
        <x:v>TuShare index_daily</x:v>
      </x:c>
      <x:c r="J1406" s="12" t="str">
        <x:v>Archived FRED mirror (Hugging Face)</x:v>
      </x:c>
    </x:row>
    <x:row r="1407" ht="18" customHeight="1">
      <x:c r="A1407" s="13" t="n">
        <x:v>44711</x:v>
      </x:c>
      <x:c r="B1407" s="12" t="n">
        <x:v>4029.0179</x:v>
      </x:c>
      <x:c r="C1407" s="12" t="n">
        <x:v>4001.2988</x:v>
      </x:c>
      <x:c r="D1407" s="12" t="n">
        <x:v>0.6928</x:v>
      </x:c>
      <x:c r="E1407" s="12" t="n">
        <x:v>0.006903640572861194</x:v>
      </x:c>
      <x:c r="F1407" s="12" t="n">
        <x:v>4.19</x:v>
      </x:c>
      <x:c r="G1407" s="12" t="n">
        <x:v>419.00000000000006</x:v>
      </x:c>
      <x:c r="H1407" s="12" t="n">
        <x:v>0</x:v>
      </x:c>
      <x:c r="I1407" s="12" t="str">
        <x:v>TuShare index_daily</x:v>
      </x:c>
      <x:c r="J1407" s="12" t="str">
        <x:v>Archived FRED mirror (Hugging Face)</x:v>
      </x:c>
    </x:row>
    <x:row r="1408" ht="18" customHeight="1">
      <x:c r="A1408" s="13" t="n">
        <x:v>44712</x:v>
      </x:c>
      <x:c r="B1408" s="12" t="n">
        <x:v>4091.5176</x:v>
      </x:c>
      <x:c r="C1408" s="12" t="n">
        <x:v>4029.0179</x:v>
      </x:c>
      <x:c r="D1408" s="12" t="n">
        <x:v>1.5512</x:v>
      </x:c>
      <x:c r="E1408" s="12" t="n">
        <x:v>0.015393303587812266</x:v>
      </x:c>
      <x:c r="F1408" s="12" t="n">
        <x:v>4.22</x:v>
      </x:c>
      <x:c r="G1408" s="12" t="n">
        <x:v>422</x:v>
      </x:c>
      <x:c r="H1408" s="12" t="n">
        <x:v>2.999999999999943</x:v>
      </x:c>
      <x:c r="I1408" s="12" t="str">
        <x:v>TuShare index_daily</x:v>
      </x:c>
      <x:c r="J1408" s="12" t="str">
        <x:v>Archived FRED mirror (Hugging Face)</x:v>
      </x:c>
    </x:row>
    <x:row r="1409" ht="18" customHeight="1">
      <x:c r="A1409" s="13" t="n">
        <x:v>44713</x:v>
      </x:c>
      <x:c r="B1409" s="12" t="n">
        <x:v>4083.1772</x:v>
      </x:c>
      <x:c r="C1409" s="12" t="n">
        <x:v>4091.5176</x:v>
      </x:c>
      <x:c r="D1409" s="12" t="n">
        <x:v>-0.2038</x:v>
      </x:c>
      <x:c r="E1409" s="12" t="n">
        <x:v>-0.0020405417200374844</x:v>
      </x:c>
      <x:c r="F1409" s="12" t="n">
        <x:v>4.13</x:v>
      </x:c>
      <x:c r="G1409" s="12" t="n">
        <x:v>413</x:v>
      </x:c>
      <x:c r="H1409" s="12" t="n">
        <x:v>-9</x:v>
      </x:c>
      <x:c r="I1409" s="12" t="str">
        <x:v>TuShare index_daily</x:v>
      </x:c>
      <x:c r="J1409" s="12" t="str">
        <x:v>Archived FRED mirror (Hugging Face)</x:v>
      </x:c>
    </x:row>
    <x:row r="1410" ht="18" customHeight="1">
      <x:c r="A1410" s="13" t="n">
        <x:v>44714</x:v>
      </x:c>
      <x:c r="B1410" s="12" t="n">
        <x:v>4089.5682</x:v>
      </x:c>
      <x:c r="C1410" s="12" t="n">
        <x:v>4083.1772</x:v>
      </x:c>
      <x:c r="D1410" s="12" t="n">
        <x:v>0.1565</x:v>
      </x:c>
      <x:c r="E1410" s="12" t="n">
        <x:v>0.0015639790523059368</x:v>
      </x:c>
      <x:c r="F1410" s="12" t="n">
        <x:v>4.15</x:v>
      </x:c>
      <x:c r="G1410" s="12" t="n">
        <x:v>415.00000000000006</x:v>
      </x:c>
      <x:c r="H1410" s="12" t="n">
        <x:v>2.000000000000057</x:v>
      </x:c>
      <x:c r="I1410" s="12" t="str">
        <x:v>TuShare index_daily</x:v>
      </x:c>
      <x:c r="J1410" s="12" t="str">
        <x:v>Archived FRED mirror (Hugging Face)</x:v>
      </x:c>
    </x:row>
    <x:row r="1411" ht="18" customHeight="1">
      <x:c r="A1411" s="13" t="n">
        <x:v>44718</x:v>
      </x:c>
      <x:c r="B1411" s="12" t="n">
        <x:v>4166.085</x:v>
      </x:c>
      <x:c r="C1411" s="12" t="n">
        <x:v>4089.5682</x:v>
      </x:c>
      <x:c r="D1411" s="12" t="n">
        <x:v>1.871</x:v>
      </x:c>
      <x:c r="E1411" s="12" t="n">
        <x:v>0.01853735598596303</x:v>
      </x:c>
      <x:c r="F1411" s="12" t="n">
        <x:v>4.19</x:v>
      </x:c>
      <x:c r="G1411" s="12" t="n">
        <x:v>419.00000000000006</x:v>
      </x:c>
      <x:c r="H1411" s="12" t="n">
        <x:v>-1.9999999999999432</x:v>
      </x:c>
      <x:c r="I1411" s="12" t="str">
        <x:v>TuShare index_daily</x:v>
      </x:c>
      <x:c r="J1411" s="12" t="str">
        <x:v>Archived FRED mirror (Hugging Face)</x:v>
      </x:c>
    </x:row>
    <x:row r="1412" ht="18" customHeight="1">
      <x:c r="A1412" s="13" t="n">
        <x:v>44719</x:v>
      </x:c>
      <x:c r="B1412" s="12" t="n">
        <x:v>4179.1285</x:v>
      </x:c>
      <x:c r="C1412" s="12" t="n">
        <x:v>4166.085</x:v>
      </x:c>
      <x:c r="D1412" s="12" t="n">
        <x:v>0.3131</x:v>
      </x:c>
      <x:c r="E1412" s="12" t="n">
        <x:v>0.0031259860808895245</x:v>
      </x:c>
      <x:c r="F1412" s="12" t="n">
        <x:v>4.34</x:v>
      </x:c>
      <x:c r="G1412" s="12" t="n">
        <x:v>434</x:v>
      </x:c>
      <x:c r="H1412" s="12" t="n">
        <x:v>14.999999999999943</x:v>
      </x:c>
      <x:c r="I1412" s="12" t="str">
        <x:v>TuShare index_daily</x:v>
      </x:c>
      <x:c r="J1412" s="12" t="str">
        <x:v>Archived FRED mirror (Hugging Face)</x:v>
      </x:c>
    </x:row>
    <x:row r="1413" ht="18" customHeight="1">
      <x:c r="A1413" s="13" t="n">
        <x:v>44720</x:v>
      </x:c>
      <x:c r="B1413" s="12" t="n">
        <x:v>4219.8122</x:v>
      </x:c>
      <x:c r="C1413" s="12" t="n">
        <x:v>4179.1285</x:v>
      </x:c>
      <x:c r="D1413" s="12" t="n">
        <x:v>0.9735</x:v>
      </x:c>
      <x:c r="E1413" s="12" t="n">
        <x:v>0.009687892711944179</x:v>
      </x:c>
      <x:c r="F1413" s="12" t="n">
        <x:v>4.34</x:v>
      </x:c>
      <x:c r="G1413" s="12" t="n">
        <x:v>434</x:v>
      </x:c>
      <x:c r="H1413" s="12" t="n">
        <x:v>0</x:v>
      </x:c>
      <x:c r="I1413" s="12" t="str">
        <x:v>TuShare index_daily</x:v>
      </x:c>
      <x:c r="J1413" s="12" t="str">
        <x:v>Archived FRED mirror (Hugging Face)</x:v>
      </x:c>
    </x:row>
    <x:row r="1414" ht="18" customHeight="1">
      <x:c r="A1414" s="13" t="n">
        <x:v>44721</x:v>
      </x:c>
      <x:c r="B1414" s="12" t="n">
        <x:v>4175.6747</x:v>
      </x:c>
      <x:c r="C1414" s="12" t="n">
        <x:v>4219.8122</x:v>
      </x:c>
      <x:c r="D1414" s="12" t="n">
        <x:v>-1.046</x:v>
      </x:c>
      <x:c r="E1414" s="12" t="n">
        <x:v>-0.010514674651401995</x:v>
      </x:c>
      <x:c r="F1414" s="12" t="n">
        <x:v>4.42</x:v>
      </x:c>
      <x:c r="G1414" s="12" t="n">
        <x:v>442</x:v>
      </x:c>
      <x:c r="H1414" s="12" t="n">
        <x:v>8</x:v>
      </x:c>
      <x:c r="I1414" s="12" t="str">
        <x:v>TuShare index_daily</x:v>
      </x:c>
      <x:c r="J1414" s="12" t="str">
        <x:v>Archived FRED mirror (Hugging Face)</x:v>
      </x:c>
    </x:row>
    <x:row r="1415" ht="18" customHeight="1">
      <x:c r="A1415" s="13" t="n">
        <x:v>44722</x:v>
      </x:c>
      <x:c r="B1415" s="12" t="n">
        <x:v>4238.9936</x:v>
      </x:c>
      <x:c r="C1415" s="12" t="n">
        <x:v>4175.6747</x:v>
      </x:c>
      <x:c r="D1415" s="12" t="n">
        <x:v>1.5164</x:v>
      </x:c>
      <x:c r="E1415" s="12" t="n">
        <x:v>0.01504993254272511</x:v>
      </x:c>
      <x:c r="F1415" s="12" t="n">
        <x:v>4.51</x:v>
      </x:c>
      <x:c r="G1415" s="12" t="n">
        <x:v>451</x:v>
      </x:c>
      <x:c r="H1415" s="12" t="n">
        <x:v>9</x:v>
      </x:c>
      <x:c r="I1415" s="12" t="str">
        <x:v>TuShare index_daily</x:v>
      </x:c>
      <x:c r="J1415" s="12" t="str">
        <x:v>Archived FRED mirror (Hugging Face)</x:v>
      </x:c>
    </x:row>
    <x:row r="1416" ht="18" customHeight="1">
      <x:c r="A1416" s="13" t="n">
        <x:v>44725</x:v>
      </x:c>
      <x:c r="B1416" s="12" t="n">
        <x:v>4189.3527</x:v>
      </x:c>
      <x:c r="C1416" s="12" t="n">
        <x:v>4238.9936</x:v>
      </x:c>
      <x:c r="D1416" s="12" t="n">
        <x:v>-1.1711</x:v>
      </x:c>
      <x:c r="E1416" s="12" t="n">
        <x:v>-0.011779647453103595</x:v>
      </x:c>
      <x:c r="F1416" s="12" t="n">
        <x:v>4.87</x:v>
      </x:c>
      <x:c r="G1416" s="12" t="n">
        <x:v>487</x:v>
      </x:c>
      <x:c r="H1416" s="12" t="n">
        <x:v>36</x:v>
      </x:c>
      <x:c r="I1416" s="12" t="str">
        <x:v>TuShare index_daily</x:v>
      </x:c>
      <x:c r="J1416" s="12" t="str">
        <x:v>Archived FRED mirror (Hugging Face)</x:v>
      </x:c>
    </x:row>
    <x:row r="1417" ht="18" customHeight="1">
      <x:c r="A1417" s="13" t="n">
        <x:v>44726</x:v>
      </x:c>
      <x:c r="B1417" s="12" t="n">
        <x:v>4222.3114</x:v>
      </x:c>
      <x:c r="C1417" s="12" t="n">
        <x:v>4189.3527</x:v>
      </x:c>
      <x:c r="D1417" s="12" t="n">
        <x:v>0.7867</x:v>
      </x:c>
      <x:c r="E1417" s="12" t="n">
        <x:v>0.007836468093539762</x:v>
      </x:c>
      <x:c r="F1417" s="12" t="n">
        <x:v>4.9</x:v>
      </x:c>
      <x:c r="G1417" s="12" t="n">
        <x:v>490.00000000000006</x:v>
      </x:c>
      <x:c r="H1417" s="12" t="n">
        <x:v>3.000000000000057</x:v>
      </x:c>
      <x:c r="I1417" s="12" t="str">
        <x:v>TuShare index_daily</x:v>
      </x:c>
      <x:c r="J1417" s="12" t="str">
        <x:v>Archived FRED mirror (Hugging Face)</x:v>
      </x:c>
    </x:row>
    <x:row r="1418" ht="18" customHeight="1">
      <x:c r="A1418" s="13" t="n">
        <x:v>44727</x:v>
      </x:c>
      <x:c r="B1418" s="12" t="n">
        <x:v>4278.2178</x:v>
      </x:c>
      <x:c r="C1418" s="12" t="n">
        <x:v>4222.3114</x:v>
      </x:c>
      <x:c r="D1418" s="12" t="n">
        <x:v>1.3241</x:v>
      </x:c>
      <x:c r="E1418" s="12" t="n">
        <x:v>0.013153817785462499</x:v>
      </x:c>
      <x:c r="F1418" s="12" t="n">
        <x:v>4.82</x:v>
      </x:c>
      <x:c r="G1418" s="12" t="n">
        <x:v>482</x:v>
      </x:c>
      <x:c r="H1418" s="12" t="n">
        <x:v>-8.000000000000057</x:v>
      </x:c>
      <x:c r="I1418" s="12" t="str">
        <x:v>TuShare index_daily</x:v>
      </x:c>
      <x:c r="J1418" s="12" t="str">
        <x:v>Archived FRED mirror (Hugging Face)</x:v>
      </x:c>
    </x:row>
    <x:row r="1419" ht="18" customHeight="1">
      <x:c r="A1419" s="13" t="n">
        <x:v>44728</x:v>
      </x:c>
      <x:c r="B1419" s="12" t="n">
        <x:v>4250.0614</x:v>
      </x:c>
      <x:c r="C1419" s="12" t="n">
        <x:v>4278.2178</x:v>
      </x:c>
      <x:c r="D1419" s="12" t="n">
        <x:v>-0.6581</x:v>
      </x:c>
      <x:c r="E1419" s="12" t="n">
        <x:v>-0.006603091114422981</x:v>
      </x:c>
      <x:c r="F1419" s="12" t="n">
        <x:v>5.17</x:v>
      </x:c>
      <x:c r="G1419" s="12" t="n">
        <x:v>517</x:v>
      </x:c>
      <x:c r="H1419" s="12" t="n">
        <x:v>35</x:v>
      </x:c>
      <x:c r="I1419" s="12" t="str">
        <x:v>TuShare index_daily</x:v>
      </x:c>
      <x:c r="J1419" s="12" t="str">
        <x:v>Archived FRED mirror (Hugging Face)</x:v>
      </x:c>
    </x:row>
    <x:row r="1420" ht="18" customHeight="1">
      <x:c r="A1420" s="13" t="n">
        <x:v>44729</x:v>
      </x:c>
      <x:c r="B1420" s="12" t="n">
        <x:v>4309.0444</x:v>
      </x:c>
      <x:c r="C1420" s="12" t="n">
        <x:v>4250.0614</x:v>
      </x:c>
      <x:c r="D1420" s="12" t="n">
        <x:v>1.3878</x:v>
      </x:c>
      <x:c r="E1420" s="12" t="n">
        <x:v>0.013782732704676438</x:v>
      </x:c>
      <x:c r="F1420" s="12" t="n">
        <x:v>5.15</x:v>
      </x:c>
      <x:c r="G1420" s="12" t="n">
        <x:v>515</x:v>
      </x:c>
      <x:c r="H1420" s="12" t="n">
        <x:v>-2</x:v>
      </x:c>
      <x:c r="I1420" s="12" t="str">
        <x:v>TuShare index_daily</x:v>
      </x:c>
      <x:c r="J1420" s="12" t="str">
        <x:v>Archived FRED mirror (Hugging Face)</x:v>
      </x:c>
    </x:row>
    <x:row r="1421" ht="18" customHeight="1">
      <x:c r="A1421" s="13" t="n">
        <x:v>44732</x:v>
      </x:c>
      <x:c r="B1421" s="12" t="n">
        <x:v>4330.4328</x:v>
      </x:c>
      <x:c r="C1421" s="12" t="n">
        <x:v>4309.0444</x:v>
      </x:c>
      <x:c r="D1421" s="12" t="n">
        <x:v>0.4964</x:v>
      </x:c>
      <x:c r="E1421" s="12" t="n">
        <x:v>0.004951328234505022</x:v>
      </x:c>
      <x:c r="F1421" s="12" t="n">
        <x:v>5.15</x:v>
      </x:c>
      <x:c r="G1421" s="12" t="n">
        <x:v>515</x:v>
      </x:c>
      <x:c r="H1421" s="12" t="n">
        <x:v>0</x:v>
      </x:c>
      <x:c r="I1421" s="12" t="str">
        <x:v>TuShare index_daily</x:v>
      </x:c>
      <x:c r="J1421" s="12" t="str">
        <x:v>Archived FRED mirror (Hugging Face)</x:v>
      </x:c>
    </x:row>
    <x:row r="1422" ht="18" customHeight="1">
      <x:c r="A1422" s="13" t="n">
        <x:v>44733</x:v>
      </x:c>
      <x:c r="B1422" s="12" t="n">
        <x:v>4325.5657</x:v>
      </x:c>
      <x:c r="C1422" s="12" t="n">
        <x:v>4330.4328</x:v>
      </x:c>
      <x:c r="D1422" s="12" t="n">
        <x:v>-0.1124</x:v>
      </x:c>
      <x:c r="E1422" s="12" t="n">
        <x:v>-0.0011245613115404183</x:v>
      </x:c>
      <x:c r="F1422" s="12" t="n">
        <x:v>5.05</x:v>
      </x:c>
      <x:c r="G1422" s="12" t="n">
        <x:v>505</x:v>
      </x:c>
      <x:c r="H1422" s="12" t="n">
        <x:v>-10</x:v>
      </x:c>
      <x:c r="I1422" s="12" t="str">
        <x:v>TuShare index_daily</x:v>
      </x:c>
      <x:c r="J1422" s="12" t="str">
        <x:v>Archived FRED mirror (Hugging Face)</x:v>
      </x:c>
    </x:row>
    <x:row r="1423" ht="18" customHeight="1">
      <x:c r="A1423" s="13" t="n">
        <x:v>44734</x:v>
      </x:c>
      <x:c r="B1423" s="12" t="n">
        <x:v>4270.6227</x:v>
      </x:c>
      <x:c r="C1423" s="12" t="n">
        <x:v>4325.5657</x:v>
      </x:c>
      <x:c r="D1423" s="12" t="n">
        <x:v>-1.2702</x:v>
      </x:c>
      <x:c r="E1423" s="12" t="n">
        <x:v>-0.012783281528528277</x:v>
      </x:c>
      <x:c r="F1423" s="12" t="n">
        <x:v>5.32</x:v>
      </x:c>
      <x:c r="G1423" s="12" t="n">
        <x:v>532</x:v>
      </x:c>
      <x:c r="H1423" s="12" t="n">
        <x:v>27</x:v>
      </x:c>
      <x:c r="I1423" s="12" t="str">
        <x:v>TuShare index_daily</x:v>
      </x:c>
      <x:c r="J1423" s="12" t="str">
        <x:v>Archived FRED mirror (Hugging Face)</x:v>
      </x:c>
    </x:row>
    <x:row r="1424" ht="18" customHeight="1">
      <x:c r="A1424" s="13" t="n">
        <x:v>44735</x:v>
      </x:c>
      <x:c r="B1424" s="12" t="n">
        <x:v>4343.8781</x:v>
      </x:c>
      <x:c r="C1424" s="12" t="n">
        <x:v>4270.6227</x:v>
      </x:c>
      <x:c r="D1424" s="12" t="n">
        <x:v>1.7153</x:v>
      </x:c>
      <x:c r="E1424" s="12" t="n">
        <x:v>0.017007872553702612</x:v>
      </x:c>
      <x:c r="F1424" s="12" t="n">
        <x:v>5.38</x:v>
      </x:c>
      <x:c r="G1424" s="12" t="n">
        <x:v>538</x:v>
      </x:c>
      <x:c r="H1424" s="12" t="n">
        <x:v>6</x:v>
      </x:c>
      <x:c r="I1424" s="12" t="str">
        <x:v>TuShare index_daily</x:v>
      </x:c>
      <x:c r="J1424" s="12" t="str">
        <x:v>Archived FRED mirror (Hugging Face)</x:v>
      </x:c>
    </x:row>
    <x:row r="1425" ht="18" customHeight="1">
      <x:c r="A1425" s="13" t="n">
        <x:v>44736</x:v>
      </x:c>
      <x:c r="B1425" s="12" t="n">
        <x:v>4394.7723</x:v>
      </x:c>
      <x:c r="C1425" s="12" t="n">
        <x:v>4343.8781</x:v>
      </x:c>
      <x:c r="D1425" s="12" t="n">
        <x:v>1.1716</x:v>
      </x:c>
      <x:c r="E1425" s="12" t="n">
        <x:v>0.011648200377687492</x:v>
      </x:c>
      <x:c r="F1425" s="12" t="n">
        <x:v>5.18</x:v>
      </x:c>
      <x:c r="G1425" s="12" t="n">
        <x:v>518</x:v>
      </x:c>
      <x:c r="H1425" s="12" t="n">
        <x:v>-20</x:v>
      </x:c>
      <x:c r="I1425" s="12" t="str">
        <x:v>TuShare index_daily</x:v>
      </x:c>
      <x:c r="J1425" s="12" t="str">
        <x:v>Archived FRED mirror (Hugging Face)</x:v>
      </x:c>
    </x:row>
    <x:row r="1426" ht="18" customHeight="1">
      <x:c r="A1426" s="13" t="n">
        <x:v>44739</x:v>
      </x:c>
      <x:c r="B1426" s="12" t="n">
        <x:v>4444.2639</x:v>
      </x:c>
      <x:c r="C1426" s="12" t="n">
        <x:v>4394.7723</x:v>
      </x:c>
      <x:c r="D1426" s="12" t="n">
        <x:v>1.1261</x:v>
      </x:c>
      <x:c r="E1426" s="12" t="n">
        <x:v>0.01119853253130678</x:v>
      </x:c>
      <x:c r="F1426" s="12" t="n">
        <x:v>5.11</x:v>
      </x:c>
      <x:c r="G1426" s="12" t="n">
        <x:v>511.00000000000006</x:v>
      </x:c>
      <x:c r="H1426" s="12" t="n">
        <x:v>-6.999999999999943</x:v>
      </x:c>
      <x:c r="I1426" s="12" t="str">
        <x:v>TuShare index_daily</x:v>
      </x:c>
      <x:c r="J1426" s="12" t="str">
        <x:v>Archived FRED mirror (Hugging Face)</x:v>
      </x:c>
    </x:row>
    <x:row r="1427" ht="18" customHeight="1">
      <x:c r="A1427" s="13" t="n">
        <x:v>44740</x:v>
      </x:c>
      <x:c r="B1427" s="12" t="n">
        <x:v>4490.5166</x:v>
      </x:c>
      <x:c r="C1427" s="12" t="n">
        <x:v>4444.2639</x:v>
      </x:c>
      <x:c r="D1427" s="12" t="n">
        <x:v>1.0407</x:v>
      </x:c>
      <x:c r="E1427" s="12" t="n">
        <x:v>0.010353497362452436</x:v>
      </x:c>
      <x:c r="F1427" s="12" t="n">
        <x:v>5.26</x:v>
      </x:c>
      <x:c r="G1427" s="12" t="n">
        <x:v>526</x:v>
      </x:c>
      <x:c r="H1427" s="12" t="n">
        <x:v>14.999999999999943</x:v>
      </x:c>
      <x:c r="I1427" s="12" t="str">
        <x:v>TuShare index_daily</x:v>
      </x:c>
      <x:c r="J1427" s="12" t="str">
        <x:v>Archived FRED mirror (Hugging Face)</x:v>
      </x:c>
    </x:row>
    <x:row r="1428" ht="18" customHeight="1">
      <x:c r="A1428" s="13" t="n">
        <x:v>44741</x:v>
      </x:c>
      <x:c r="B1428" s="12" t="n">
        <x:v>4421.357</x:v>
      </x:c>
      <x:c r="C1428" s="12" t="n">
        <x:v>4490.5166</x:v>
      </x:c>
      <x:c r="D1428" s="12" t="n">
        <x:v>-1.5401</x:v>
      </x:c>
      <x:c r="E1428" s="12" t="n">
        <x:v>-0.01552108826980948</x:v>
      </x:c>
      <x:c r="F1428" s="12" t="n">
        <x:v>5.62</x:v>
      </x:c>
      <x:c r="G1428" s="12" t="n">
        <x:v>562</x:v>
      </x:c>
      <x:c r="H1428" s="12" t="n">
        <x:v>36</x:v>
      </x:c>
      <x:c r="I1428" s="12" t="str">
        <x:v>TuShare index_daily</x:v>
      </x:c>
      <x:c r="J1428" s="12" t="str">
        <x:v>Archived FRED mirror (Hugging Face)</x:v>
      </x:c>
    </x:row>
    <x:row r="1429" ht="18" customHeight="1">
      <x:c r="A1429" s="13" t="n">
        <x:v>44742</x:v>
      </x:c>
      <x:c r="B1429" s="12" t="n">
        <x:v>4485.0108</x:v>
      </x:c>
      <x:c r="C1429" s="12" t="n">
        <x:v>4421.357</x:v>
      </x:c>
      <x:c r="D1429" s="12" t="n">
        <x:v>1.4397</x:v>
      </x:c>
      <x:c r="E1429" s="12" t="n">
        <x:v>0.014294240989372303</x:v>
      </x:c>
      <x:c r="F1429" s="12" t="n">
        <x:v>5.87</x:v>
      </x:c>
      <x:c r="G1429" s="12" t="n">
        <x:v>587</x:v>
      </x:c>
      <x:c r="H1429" s="12" t="n">
        <x:v>25</x:v>
      </x:c>
      <x:c r="I1429" s="12" t="str">
        <x:v>TuShare index_daily</x:v>
      </x:c>
      <x:c r="J1429" s="12" t="str">
        <x:v>Archived FRED mirror (Hugging Face)</x:v>
      </x:c>
    </x:row>
    <x:row r="1430" ht="18" customHeight="1">
      <x:c r="A1430" s="13" t="n">
        <x:v>44743</x:v>
      </x:c>
      <x:c r="B1430" s="12" t="n">
        <x:v>4466.7179</x:v>
      </x:c>
      <x:c r="C1430" s="12" t="n">
        <x:v>4485.0108</x:v>
      </x:c>
      <x:c r="D1430" s="12" t="n">
        <x:v>-0.4079</x:v>
      </x:c>
      <x:c r="E1430" s="12" t="n">
        <x:v>-0.004087015162388046</x:v>
      </x:c>
      <x:c r="F1430" s="12" t="n">
        <x:v>5.92</x:v>
      </x:c>
      <x:c r="G1430" s="12" t="n">
        <x:v>592</x:v>
      </x:c>
      <x:c r="H1430" s="12" t="n">
        <x:v>5</x:v>
      </x:c>
      <x:c r="I1430" s="12" t="str">
        <x:v>TuShare index_daily</x:v>
      </x:c>
      <x:c r="J1430" s="12" t="str">
        <x:v>Archived FRED mirror (Hugging Face)</x:v>
      </x:c>
    </x:row>
    <x:row r="1431" ht="18" customHeight="1">
      <x:c r="A1431" s="13" t="n">
        <x:v>44746</x:v>
      </x:c>
      <x:c r="B1431" s="12" t="n">
        <x:v>4496.0303</x:v>
      </x:c>
      <x:c r="C1431" s="12" t="n">
        <x:v>4466.7179</x:v>
      </x:c>
      <x:c r="D1431" s="12" t="n">
        <x:v>0.6562</x:v>
      </x:c>
      <x:c r="E1431" s="12" t="n">
        <x:v>0.0065409635202963844</x:v>
      </x:c>
      <x:c r="F1431" s="12" t="n">
        <x:v>5.93</x:v>
      </x:c>
      <x:c r="G1431" s="12" t="n">
        <x:v>593</x:v>
      </x:c>
      <x:c r="H1431" s="12" t="n">
        <x:v>1</x:v>
      </x:c>
      <x:c r="I1431" s="12" t="str">
        <x:v>TuShare index_daily</x:v>
      </x:c>
      <x:c r="J1431" s="12" t="str">
        <x:v>Archived FRED mirror (Hugging Face)</x:v>
      </x:c>
    </x:row>
    <x:row r="1432" ht="18" customHeight="1">
      <x:c r="A1432" s="13" t="n">
        <x:v>44747</x:v>
      </x:c>
      <x:c r="B1432" s="12" t="n">
        <x:v>4489.5383</x:v>
      </x:c>
      <x:c r="C1432" s="12" t="n">
        <x:v>4496.0303</x:v>
      </x:c>
      <x:c r="D1432" s="12" t="n">
        <x:v>-0.1444</x:v>
      </x:c>
      <x:c r="E1432" s="12" t="n">
        <x:v>-0.0014449839333698677</x:v>
      </x:c>
      <x:c r="F1432" s="12" t="n">
        <x:v>5.99</x:v>
      </x:c>
      <x:c r="G1432" s="12" t="n">
        <x:v>599</x:v>
      </x:c>
      <x:c r="H1432" s="12" t="n">
        <x:v>6</x:v>
      </x:c>
      <x:c r="I1432" s="12" t="str">
        <x:v>TuShare index_daily</x:v>
      </x:c>
      <x:c r="J1432" s="12" t="str">
        <x:v>Archived FRED mirror (Hugging Face)</x:v>
      </x:c>
    </x:row>
    <x:row r="1433" ht="18" customHeight="1">
      <x:c r="A1433" s="13" t="n">
        <x:v>44748</x:v>
      </x:c>
      <x:c r="B1433" s="12" t="n">
        <x:v>4423.9698</x:v>
      </x:c>
      <x:c r="C1433" s="12" t="n">
        <x:v>4489.5383</x:v>
      </x:c>
      <x:c r="D1433" s="12" t="n">
        <x:v>-1.4605</x:v>
      </x:c>
      <x:c r="E1433" s="12" t="n">
        <x:v>-0.014712430163867453</x:v>
      </x:c>
      <x:c r="F1433" s="12" t="n">
        <x:v>5.8</x:v>
      </x:c>
      <x:c r="G1433" s="12" t="n">
        <x:v>580</x:v>
      </x:c>
      <x:c r="H1433" s="12" t="n">
        <x:v>-19</x:v>
      </x:c>
      <x:c r="I1433" s="12" t="str">
        <x:v>TuShare index_daily</x:v>
      </x:c>
      <x:c r="J1433" s="12" t="str">
        <x:v>Archived FRED mirror (Hugging Face)</x:v>
      </x:c>
    </x:row>
    <x:row r="1434" ht="18" customHeight="1">
      <x:c r="A1434" s="13" t="n">
        <x:v>44749</x:v>
      </x:c>
      <x:c r="B1434" s="12" t="n">
        <x:v>4443.4736</x:v>
      </x:c>
      <x:c r="C1434" s="12" t="n">
        <x:v>4423.9698</x:v>
      </x:c>
      <x:c r="D1434" s="12" t="n">
        <x:v>0.4409</x:v>
      </x:c>
      <x:c r="E1434" s="12" t="n">
        <x:v>0.004398975120938163</x:v>
      </x:c>
      <x:c r="F1434" s="12" t="n">
        <x:v>5.5</x:v>
      </x:c>
      <x:c r="G1434" s="12" t="n">
        <x:v>550</x:v>
      </x:c>
      <x:c r="H1434" s="12" t="n">
        <x:v>-30</x:v>
      </x:c>
      <x:c r="I1434" s="12" t="str">
        <x:v>TuShare index_daily</x:v>
      </x:c>
      <x:c r="J1434" s="12" t="str">
        <x:v>Archived FRED mirror (Hugging Face)</x:v>
      </x:c>
    </x:row>
    <x:row r="1435" ht="18" customHeight="1">
      <x:c r="A1435" s="13" t="n">
        <x:v>44750</x:v>
      </x:c>
      <x:c r="B1435" s="12" t="n">
        <x:v>4428.781</x:v>
      </x:c>
      <x:c r="C1435" s="12" t="n">
        <x:v>4443.4736</x:v>
      </x:c>
      <x:c r="D1435" s="12" t="n">
        <x:v>-0.3307</x:v>
      </x:c>
      <x:c r="E1435" s="12" t="n">
        <x:v>-0.0033120360254251173</x:v>
      </x:c>
      <x:c r="F1435" s="12" t="n">
        <x:v>5.36</x:v>
      </x:c>
      <x:c r="G1435" s="12" t="n">
        <x:v>536</x:v>
      </x:c>
      <x:c r="H1435" s="12" t="n">
        <x:v>-14</x:v>
      </x:c>
      <x:c r="I1435" s="12" t="str">
        <x:v>TuShare index_daily</x:v>
      </x:c>
      <x:c r="J1435" s="12" t="str">
        <x:v>Archived FRED mirror (Hugging Face)</x:v>
      </x:c>
    </x:row>
    <x:row r="1436" ht="18" customHeight="1">
      <x:c r="A1436" s="13" t="n">
        <x:v>44753</x:v>
      </x:c>
      <x:c r="B1436" s="12" t="n">
        <x:v>4354.6167</x:v>
      </x:c>
      <x:c r="C1436" s="12" t="n">
        <x:v>4428.781</x:v>
      </x:c>
      <x:c r="D1436" s="12" t="n">
        <x:v>-1.6746</x:v>
      </x:c>
      <x:c r="E1436" s="12" t="n">
        <x:v>-0.016887784237041334</x:v>
      </x:c>
      <x:c r="F1436" s="12" t="n">
        <x:v>5.44</x:v>
      </x:c>
      <x:c r="G1436" s="12" t="n">
        <x:v>544</x:v>
      </x:c>
      <x:c r="H1436" s="12" t="n">
        <x:v>8</x:v>
      </x:c>
      <x:c r="I1436" s="12" t="str">
        <x:v>TuShare index_daily</x:v>
      </x:c>
      <x:c r="J1436" s="12" t="str">
        <x:v>Archived FRED mirror (Hugging Face)</x:v>
      </x:c>
    </x:row>
    <x:row r="1437" ht="18" customHeight="1">
      <x:c r="A1437" s="13" t="n">
        <x:v>44754</x:v>
      </x:c>
      <x:c r="B1437" s="12" t="n">
        <x:v>4313.6184</x:v>
      </x:c>
      <x:c r="C1437" s="12" t="n">
        <x:v>4354.6167</x:v>
      </x:c>
      <x:c r="D1437" s="12" t="n">
        <x:v>-0.9415</x:v>
      </x:c>
      <x:c r="E1437" s="12" t="n">
        <x:v>-0.009459504788425098</x:v>
      </x:c>
      <x:c r="F1437" s="12" t="n">
        <x:v>5.43</x:v>
      </x:c>
      <x:c r="G1437" s="12" t="n">
        <x:v>543</x:v>
      </x:c>
      <x:c r="H1437" s="12" t="n">
        <x:v>-1</x:v>
      </x:c>
      <x:c r="I1437" s="12" t="str">
        <x:v>TuShare index_daily</x:v>
      </x:c>
      <x:c r="J1437" s="12" t="str">
        <x:v>Archived FRED mirror (Hugging Face)</x:v>
      </x:c>
    </x:row>
    <x:row r="1438" ht="18" customHeight="1">
      <x:c r="A1438" s="13" t="n">
        <x:v>44755</x:v>
      </x:c>
      <x:c r="B1438" s="12" t="n">
        <x:v>4321.4617</x:v>
      </x:c>
      <x:c r="C1438" s="12" t="n">
        <x:v>4313.6184</x:v>
      </x:c>
      <x:c r="D1438" s="12" t="n">
        <x:v>0.1818</x:v>
      </x:c>
      <x:c r="E1438" s="12" t="n">
        <x:v>0.0018166136425214962</x:v>
      </x:c>
      <x:c r="F1438" s="12" t="n">
        <x:v>5.47</x:v>
      </x:c>
      <x:c r="G1438" s="12" t="n">
        <x:v>547</x:v>
      </x:c>
      <x:c r="H1438" s="12" t="n">
        <x:v>4</x:v>
      </x:c>
      <x:c r="I1438" s="12" t="str">
        <x:v>TuShare index_daily</x:v>
      </x:c>
      <x:c r="J1438" s="12" t="str">
        <x:v>Archived FRED mirror (Hugging Face)</x:v>
      </x:c>
    </x:row>
    <x:row r="1439" ht="18" customHeight="1">
      <x:c r="A1439" s="13" t="n">
        <x:v>44756</x:v>
      </x:c>
      <x:c r="B1439" s="12" t="n">
        <x:v>4322.0742</x:v>
      </x:c>
      <x:c r="C1439" s="12" t="n">
        <x:v>4321.4617</x:v>
      </x:c>
      <x:c r="D1439" s="12" t="n">
        <x:v>0.0142</x:v>
      </x:c>
      <x:c r="E1439" s="12" t="n">
        <x:v>0.0001417244072591004</x:v>
      </x:c>
      <x:c r="F1439" s="12" t="n">
        <x:v>5.53</x:v>
      </x:c>
      <x:c r="G1439" s="12" t="n">
        <x:v>553</x:v>
      </x:c>
      <x:c r="H1439" s="12" t="n">
        <x:v>6</x:v>
      </x:c>
      <x:c r="I1439" s="12" t="str">
        <x:v>TuShare index_daily</x:v>
      </x:c>
      <x:c r="J1439" s="12" t="str">
        <x:v>Archived FRED mirror (Hugging Face)</x:v>
      </x:c>
    </x:row>
    <x:row r="1440" ht="18" customHeight="1">
      <x:c r="A1440" s="13" t="n">
        <x:v>44757</x:v>
      </x:c>
      <x:c r="B1440" s="12" t="n">
        <x:v>4248.5273</x:v>
      </x:c>
      <x:c r="C1440" s="12" t="n">
        <x:v>4322.0742</x:v>
      </x:c>
      <x:c r="D1440" s="12" t="n">
        <x:v>-1.7017</x:v>
      </x:c>
      <x:c r="E1440" s="12" t="n">
        <x:v>-0.017163020676960457</x:v>
      </x:c>
      <x:c r="F1440" s="12" t="n">
        <x:v>5.39</x:v>
      </x:c>
      <x:c r="G1440" s="12" t="n">
        <x:v>539</x:v>
      </x:c>
      <x:c r="H1440" s="12" t="n">
        <x:v>-14</x:v>
      </x:c>
      <x:c r="I1440" s="12" t="str">
        <x:v>TuShare index_daily</x:v>
      </x:c>
      <x:c r="J1440" s="12" t="str">
        <x:v>Archived FRED mirror (Hugging Face)</x:v>
      </x:c>
    </x:row>
    <x:row r="1441" ht="18" customHeight="1">
      <x:c r="A1441" s="13" t="n">
        <x:v>44760</x:v>
      </x:c>
      <x:c r="B1441" s="12" t="n">
        <x:v>4292.5858</x:v>
      </x:c>
      <x:c r="C1441" s="12" t="n">
        <x:v>4248.5273</x:v>
      </x:c>
      <x:c r="D1441" s="12" t="n">
        <x:v>1.037</x:v>
      </x:c>
      <x:c r="E1441" s="12" t="n">
        <x:v>0.010316896703351534</x:v>
      </x:c>
      <x:c r="F1441" s="12" t="n">
        <x:v>5.25</x:v>
      </x:c>
      <x:c r="G1441" s="12" t="n">
        <x:v>525</x:v>
      </x:c>
      <x:c r="H1441" s="12" t="n">
        <x:v>-14</x:v>
      </x:c>
      <x:c r="I1441" s="12" t="str">
        <x:v>TuShare index_daily</x:v>
      </x:c>
      <x:c r="J1441" s="12" t="str">
        <x:v>Archived FRED mirror (Hugging Face)</x:v>
      </x:c>
    </x:row>
    <x:row r="1442" ht="18" customHeight="1">
      <x:c r="A1442" s="13" t="n">
        <x:v>44761</x:v>
      </x:c>
      <x:c r="B1442" s="12" t="n">
        <x:v>4269.3401</x:v>
      </x:c>
      <x:c r="C1442" s="12" t="n">
        <x:v>4292.5858</x:v>
      </x:c>
      <x:c r="D1442" s="12" t="n">
        <x:v>-0.5415</x:v>
      </x:c>
      <x:c r="E1442" s="12" t="n">
        <x:v>-0.005430029969549267</x:v>
      </x:c>
      <x:c r="F1442" s="12" t="n">
        <x:v>5.1</x:v>
      </x:c>
      <x:c r="G1442" s="12" t="n">
        <x:v>509.99999999999994</x:v>
      </x:c>
      <x:c r="H1442" s="12" t="n">
        <x:v>-15.000000000000057</x:v>
      </x:c>
      <x:c r="I1442" s="12" t="str">
        <x:v>TuShare index_daily</x:v>
      </x:c>
      <x:c r="J1442" s="12" t="str">
        <x:v>Archived FRED mirror (Hugging Face)</x:v>
      </x:c>
    </x:row>
    <x:row r="1443" ht="18" customHeight="1">
      <x:c r="A1443" s="13" t="n">
        <x:v>44762</x:v>
      </x:c>
      <x:c r="B1443" s="12" t="n">
        <x:v>4283.8027</x:v>
      </x:c>
      <x:c r="C1443" s="12" t="n">
        <x:v>4269.3401</x:v>
      </x:c>
      <x:c r="D1443" s="12" t="n">
        <x:v>0.3388</x:v>
      </x:c>
      <x:c r="E1443" s="12" t="n">
        <x:v>0.0033818244642759895</x:v>
      </x:c>
      <x:c r="F1443" s="12" t="n">
        <x:v>4.9</x:v>
      </x:c>
      <x:c r="G1443" s="12" t="n">
        <x:v>490.00000000000006</x:v>
      </x:c>
      <x:c r="H1443" s="12" t="n">
        <x:v>-19.999999999999886</x:v>
      </x:c>
      <x:c r="I1443" s="12" t="str">
        <x:v>TuShare index_daily</x:v>
      </x:c>
      <x:c r="J1443" s="12" t="str">
        <x:v>Archived FRED mirror (Hugging Face)</x:v>
      </x:c>
    </x:row>
    <x:row r="1444" ht="18" customHeight="1">
      <x:c r="A1444" s="13" t="n">
        <x:v>44763</x:v>
      </x:c>
      <x:c r="B1444" s="12" t="n">
        <x:v>4236.0578</x:v>
      </x:c>
      <x:c r="C1444" s="12" t="n">
        <x:v>4283.8027</x:v>
      </x:c>
      <x:c r="D1444" s="12" t="n">
        <x:v>-1.1145</x:v>
      </x:c>
      <x:c r="E1444" s="12" t="n">
        <x:v>-0.011208023842099372</x:v>
      </x:c>
      <x:c r="F1444" s="12" t="n">
        <x:v>4.99</x:v>
      </x:c>
      <x:c r="G1444" s="12" t="n">
        <x:v>499</x:v>
      </x:c>
      <x:c r="H1444" s="12" t="n">
        <x:v>8.999999999999943</x:v>
      </x:c>
      <x:c r="I1444" s="12" t="str">
        <x:v>TuShare index_daily</x:v>
      </x:c>
      <x:c r="J1444" s="12" t="str">
        <x:v>Archived FRED mirror (Hugging Face)</x:v>
      </x:c>
    </x:row>
    <x:row r="1445" ht="18" customHeight="1">
      <x:c r="A1445" s="13" t="n">
        <x:v>44764</x:v>
      </x:c>
      <x:c r="B1445" s="12" t="n">
        <x:v>4238.2341</x:v>
      </x:c>
      <x:c r="C1445" s="12" t="n">
        <x:v>4236.0578</x:v>
      </x:c>
      <x:c r="D1445" s="12" t="n">
        <x:v>0.0514</x:v>
      </x:c>
      <x:c r="E1445" s="12" t="n">
        <x:v>0.0005136240463570039</x:v>
      </x:c>
      <x:c r="F1445" s="12" t="n">
        <x:v>4.96</x:v>
      </x:c>
      <x:c r="G1445" s="12" t="n">
        <x:v>496</x:v>
      </x:c>
      <x:c r="H1445" s="12" t="n">
        <x:v>-3</x:v>
      </x:c>
      <x:c r="I1445" s="12" t="str">
        <x:v>TuShare index_daily</x:v>
      </x:c>
      <x:c r="J1445" s="12" t="str">
        <x:v>Archived FRED mirror (Hugging Face)</x:v>
      </x:c>
    </x:row>
    <x:row r="1446" ht="18" customHeight="1">
      <x:c r="A1446" s="13" t="n">
        <x:v>44767</x:v>
      </x:c>
      <x:c r="B1446" s="12" t="n">
        <x:v>4212.6441</x:v>
      </x:c>
      <x:c r="C1446" s="12" t="n">
        <x:v>4238.2341</x:v>
      </x:c>
      <x:c r="D1446" s="12" t="n">
        <x:v>-0.6038</x:v>
      </x:c>
      <x:c r="E1446" s="12" t="n">
        <x:v>-0.006056193831946438</x:v>
      </x:c>
      <x:c r="F1446" s="12" t="n">
        <x:v>4.95</x:v>
      </x:c>
      <x:c r="G1446" s="12" t="n">
        <x:v>495</x:v>
      </x:c>
      <x:c r="H1446" s="12" t="n">
        <x:v>-1</x:v>
      </x:c>
      <x:c r="I1446" s="12" t="str">
        <x:v>TuShare index_daily</x:v>
      </x:c>
      <x:c r="J1446" s="12" t="str">
        <x:v>Archived FRED mirror (Hugging Face)</x:v>
      </x:c>
    </x:row>
    <x:row r="1447" ht="18" customHeight="1">
      <x:c r="A1447" s="13" t="n">
        <x:v>44768</x:v>
      </x:c>
      <x:c r="B1447" s="12" t="n">
        <x:v>4245.9758</x:v>
      </x:c>
      <x:c r="C1447" s="12" t="n">
        <x:v>4212.6441</x:v>
      </x:c>
      <x:c r="D1447" s="12" t="n">
        <x:v>0.7912</x:v>
      </x:c>
      <x:c r="E1447" s="12" t="n">
        <x:v>0.007881160974413862</x:v>
      </x:c>
      <x:c r="F1447" s="12" t="n">
        <x:v>5.06</x:v>
      </x:c>
      <x:c r="G1447" s="12" t="n">
        <x:v>505.99999999999994</x:v>
      </x:c>
      <x:c r="H1447" s="12" t="n">
        <x:v>10.999999999999943</x:v>
      </x:c>
      <x:c r="I1447" s="12" t="str">
        <x:v>TuShare index_daily</x:v>
      </x:c>
      <x:c r="J1447" s="12" t="str">
        <x:v>Archived FRED mirror (Hugging Face)</x:v>
      </x:c>
    </x:row>
    <x:row r="1448" ht="18" customHeight="1">
      <x:c r="A1448" s="13" t="n">
        <x:v>44769</x:v>
      </x:c>
      <x:c r="B1448" s="12" t="n">
        <x:v>4225.0357</x:v>
      </x:c>
      <x:c r="C1448" s="12" t="n">
        <x:v>4245.9758</x:v>
      </x:c>
      <x:c r="D1448" s="12" t="n">
        <x:v>-0.4932</x:v>
      </x:c>
      <x:c r="E1448" s="12" t="n">
        <x:v>-0.004943953305376326</x:v>
      </x:c>
      <x:c r="F1448" s="12" t="n">
        <x:v>5.07</x:v>
      </x:c>
      <x:c r="G1448" s="12" t="n">
        <x:v>507</x:v>
      </x:c>
      <x:c r="H1448" s="12" t="n">
        <x:v>1.0000000000000568</x:v>
      </x:c>
      <x:c r="I1448" s="12" t="str">
        <x:v>TuShare index_daily</x:v>
      </x:c>
      <x:c r="J1448" s="12" t="str">
        <x:v>Archived FRED mirror (Hugging Face)</x:v>
      </x:c>
    </x:row>
    <x:row r="1449" ht="18" customHeight="1">
      <x:c r="A1449" s="13" t="n">
        <x:v>44770</x:v>
      </x:c>
      <x:c r="B1449" s="12" t="n">
        <x:v>4225.6733</x:v>
      </x:c>
      <x:c r="C1449" s="12" t="n">
        <x:v>4225.0357</x:v>
      </x:c>
      <x:c r="D1449" s="12" t="n">
        <x:v>0.0151</x:v>
      </x:c>
      <x:c r="E1449" s="12" t="n">
        <x:v>0.000150898581695364</x:v>
      </x:c>
      <x:c r="F1449" s="12" t="n">
        <x:v>4.98</x:v>
      </x:c>
      <x:c r="G1449" s="12" t="n">
        <x:v>498.00000000000006</x:v>
      </x:c>
      <x:c r="H1449" s="12" t="n">
        <x:v>-8.999999999999943</x:v>
      </x:c>
      <x:c r="I1449" s="12" t="str">
        <x:v>TuShare index_daily</x:v>
      </x:c>
      <x:c r="J1449" s="12" t="str">
        <x:v>Archived FRED mirror (Hugging Face)</x:v>
      </x:c>
    </x:row>
    <x:row r="1450" ht="18" customHeight="1">
      <x:c r="A1450" s="13" t="n">
        <x:v>44771</x:v>
      </x:c>
      <x:c r="B1450" s="12" t="n">
        <x:v>4170.1019</x:v>
      </x:c>
      <x:c r="C1450" s="12" t="n">
        <x:v>4225.6733</x:v>
      </x:c>
      <x:c r="D1450" s="12" t="n">
        <x:v>-1.3151</x:v>
      </x:c>
      <x:c r="E1450" s="12" t="n">
        <x:v>-0.013238137096291935</x:v>
      </x:c>
      <x:c r="F1450" s="12" t="n">
        <x:v>4.77</x:v>
      </x:c>
      <x:c r="G1450" s="12" t="n">
        <x:v>476.99999999999994</x:v>
      </x:c>
      <x:c r="H1450" s="12" t="n">
        <x:v>-21.000000000000114</x:v>
      </x:c>
      <x:c r="I1450" s="12" t="str">
        <x:v>TuShare index_daily</x:v>
      </x:c>
      <x:c r="J1450" s="12" t="str">
        <x:v>Archived FRED mirror (Hugging Face)</x:v>
      </x:c>
    </x:row>
    <x:row r="1451" ht="18" customHeight="1">
      <x:c r="A1451" s="13" t="n">
        <x:v>44774</x:v>
      </x:c>
      <x:c r="B1451" s="12" t="n">
        <x:v>4188.6784</x:v>
      </x:c>
      <x:c r="C1451" s="12" t="n">
        <x:v>4170.1019</x:v>
      </x:c>
      <x:c r="D1451" s="12" t="n">
        <x:v>0.4455</x:v>
      </x:c>
      <x:c r="E1451" s="12" t="n">
        <x:v>0.004444794555351318</x:v>
      </x:c>
      <x:c r="F1451" s="12" t="n">
        <x:v>4.8</x:v>
      </x:c>
      <x:c r="G1451" s="12" t="n">
        <x:v>480</x:v>
      </x:c>
      <x:c r="H1451" s="12" t="n">
        <x:v>-3</x:v>
      </x:c>
      <x:c r="I1451" s="12" t="str">
        <x:v>TuShare index_daily</x:v>
      </x:c>
      <x:c r="J1451" s="12" t="str">
        <x:v>Archived FRED mirror (Hugging Face)</x:v>
      </x:c>
    </x:row>
    <x:row r="1452" ht="18" customHeight="1">
      <x:c r="A1452" s="13" t="n">
        <x:v>44775</x:v>
      </x:c>
      <x:c r="B1452" s="12" t="n">
        <x:v>4107.024</x:v>
      </x:c>
      <x:c r="C1452" s="12" t="n">
        <x:v>4188.6784</x:v>
      </x:c>
      <x:c r="D1452" s="12" t="n">
        <x:v>-1.9494</x:v>
      </x:c>
      <x:c r="E1452" s="12" t="n">
        <x:v>-0.0196865878794687</x:v>
      </x:c>
      <x:c r="F1452" s="12" t="n">
        <x:v>4.61</x:v>
      </x:c>
      <x:c r="G1452" s="12" t="n">
        <x:v>461.00000000000006</x:v>
      </x:c>
      <x:c r="H1452" s="12" t="n">
        <x:v>-18.999999999999943</x:v>
      </x:c>
      <x:c r="I1452" s="12" t="str">
        <x:v>TuShare index_daily</x:v>
      </x:c>
      <x:c r="J1452" s="12" t="str">
        <x:v>Archived FRED mirror (Hugging Face)</x:v>
      </x:c>
    </x:row>
    <x:row r="1453" ht="18" customHeight="1">
      <x:c r="A1453" s="13" t="n">
        <x:v>44776</x:v>
      </x:c>
      <x:c r="B1453" s="12" t="n">
        <x:v>4066.9754</x:v>
      </x:c>
      <x:c r="C1453" s="12" t="n">
        <x:v>4107.024</x:v>
      </x:c>
      <x:c r="D1453" s="12" t="n">
        <x:v>-0.9751</x:v>
      </x:c>
      <x:c r="E1453" s="12" t="n">
        <x:v>-0.009799100416606756</x:v>
      </x:c>
      <x:c r="F1453" s="12" t="n">
        <x:v>4.54</x:v>
      </x:c>
      <x:c r="G1453" s="12" t="n">
        <x:v>454</x:v>
      </x:c>
      <x:c r="H1453" s="12" t="n">
        <x:v>-7.000000000000057</x:v>
      </x:c>
      <x:c r="I1453" s="12" t="str">
        <x:v>TuShare index_daily</x:v>
      </x:c>
      <x:c r="J1453" s="12" t="str">
        <x:v>Archived FRED mirror (Hugging Face)</x:v>
      </x:c>
    </x:row>
    <x:row r="1454" ht="18" customHeight="1">
      <x:c r="A1454" s="13" t="n">
        <x:v>44777</x:v>
      </x:c>
      <x:c r="B1454" s="12" t="n">
        <x:v>4101.5367</x:v>
      </x:c>
      <x:c r="C1454" s="12" t="n">
        <x:v>4066.9754</x:v>
      </x:c>
      <x:c r="D1454" s="12" t="n">
        <x:v>0.8498</x:v>
      </x:c>
      <x:c r="E1454" s="12" t="n">
        <x:v>0.008462130144248198</x:v>
      </x:c>
      <x:c r="F1454" s="12" t="n">
        <x:v>4.55</x:v>
      </x:c>
      <x:c r="G1454" s="12" t="n">
        <x:v>455</x:v>
      </x:c>
      <x:c r="H1454" s="12" t="n">
        <x:v>1</x:v>
      </x:c>
      <x:c r="I1454" s="12" t="str">
        <x:v>TuShare index_daily</x:v>
      </x:c>
      <x:c r="J1454" s="12" t="str">
        <x:v>Archived FRED mirror (Hugging Face)</x:v>
      </x:c>
    </x:row>
    <x:row r="1455" ht="18" customHeight="1">
      <x:c r="A1455" s="13" t="n">
        <x:v>44778</x:v>
      </x:c>
      <x:c r="B1455" s="12" t="n">
        <x:v>4156.9111</x:v>
      </x:c>
      <x:c r="C1455" s="12" t="n">
        <x:v>4101.5367</x:v>
      </x:c>
      <x:c r="D1455" s="12" t="n">
        <x:v>1.3501</x:v>
      </x:c>
      <x:c r="E1455" s="12" t="n">
        <x:v>0.013410566060690658</x:v>
      </x:c>
      <x:c r="F1455" s="12" t="n">
        <x:v>4.44</x:v>
      </x:c>
      <x:c r="G1455" s="12" t="n">
        <x:v>444.00000000000006</x:v>
      </x:c>
      <x:c r="H1455" s="12" t="n">
        <x:v>-10.999999999999943</x:v>
      </x:c>
      <x:c r="I1455" s="12" t="str">
        <x:v>TuShare index_daily</x:v>
      </x:c>
      <x:c r="J1455" s="12" t="str">
        <x:v>Archived FRED mirror (Hugging Face)</x:v>
      </x:c>
    </x:row>
    <x:row r="1456" ht="18" customHeight="1">
      <x:c r="A1456" s="13" t="n">
        <x:v>44781</x:v>
      </x:c>
      <x:c r="B1456" s="12" t="n">
        <x:v>4148.0746</x:v>
      </x:c>
      <x:c r="C1456" s="12" t="n">
        <x:v>4156.9111</x:v>
      </x:c>
      <x:c r="D1456" s="12" t="n">
        <x:v>-0.2126</x:v>
      </x:c>
      <x:c r="E1456" s="12" t="n">
        <x:v>-0.0021279996507610082</x:v>
      </x:c>
      <x:c r="F1456" s="12" t="n">
        <x:v>4.41</x:v>
      </x:c>
      <x:c r="G1456" s="12" t="n">
        <x:v>441</x:v>
      </x:c>
      <x:c r="H1456" s="12" t="n">
        <x:v>-3.000000000000057</x:v>
      </x:c>
      <x:c r="I1456" s="12" t="str">
        <x:v>TuShare index_daily</x:v>
      </x:c>
      <x:c r="J1456" s="12" t="str">
        <x:v>Archived FRED mirror (Hugging Face)</x:v>
      </x:c>
    </x:row>
    <x:row r="1457" ht="18" customHeight="1">
      <x:c r="A1457" s="13" t="n">
        <x:v>44782</x:v>
      </x:c>
      <x:c r="B1457" s="12" t="n">
        <x:v>4156.2907</x:v>
      </x:c>
      <x:c r="C1457" s="12" t="n">
        <x:v>4148.0746</x:v>
      </x:c>
      <x:c r="D1457" s="12" t="n">
        <x:v>0.1981</x:v>
      </x:c>
      <x:c r="E1457" s="12" t="n">
        <x:v>0.0019787430788460333</x:v>
      </x:c>
      <x:c r="F1457" s="12" t="n">
        <x:v>4.46</x:v>
      </x:c>
      <x:c r="G1457" s="12" t="n">
        <x:v>446</x:v>
      </x:c>
      <x:c r="H1457" s="12" t="n">
        <x:v>5</x:v>
      </x:c>
      <x:c r="I1457" s="12" t="str">
        <x:v>TuShare index_daily</x:v>
      </x:c>
      <x:c r="J1457" s="12" t="str">
        <x:v>Archived FRED mirror (Hugging Face)</x:v>
      </x:c>
    </x:row>
    <x:row r="1458" ht="18" customHeight="1">
      <x:c r="A1458" s="13" t="n">
        <x:v>44783</x:v>
      </x:c>
      <x:c r="B1458" s="12" t="n">
        <x:v>4109.7373</x:v>
      </x:c>
      <x:c r="C1458" s="12" t="n">
        <x:v>4156.2907</x:v>
      </x:c>
      <x:c r="D1458" s="12" t="n">
        <x:v>-1.1201</x:v>
      </x:c>
      <x:c r="E1458" s="12" t="n">
        <x:v>-0.011263908664876135</x:v>
      </x:c>
      <x:c r="F1458" s="12" t="n">
        <x:v>4.33</x:v>
      </x:c>
      <x:c r="G1458" s="12" t="n">
        <x:v>433</x:v>
      </x:c>
      <x:c r="H1458" s="12" t="n">
        <x:v>-13</x:v>
      </x:c>
      <x:c r="I1458" s="12" t="str">
        <x:v>TuShare index_daily</x:v>
      </x:c>
      <x:c r="J1458" s="12" t="str">
        <x:v>Archived FRED mirror (Hugging Face)</x:v>
      </x:c>
    </x:row>
    <x:row r="1459" ht="18" customHeight="1">
      <x:c r="A1459" s="13" t="n">
        <x:v>44784</x:v>
      </x:c>
      <x:c r="B1459" s="12" t="n">
        <x:v>4193.5428</x:v>
      </x:c>
      <x:c r="C1459" s="12" t="n">
        <x:v>4109.7373</x:v>
      </x:c>
      <x:c r="D1459" s="12" t="n">
        <x:v>2.0392</x:v>
      </x:c>
      <x:c r="E1459" s="12" t="n">
        <x:v>0.02018680447144849</x:v>
      </x:c>
      <x:c r="F1459" s="12" t="n">
        <x:v>4.21</x:v>
      </x:c>
      <x:c r="G1459" s="12" t="n">
        <x:v>421</x:v>
      </x:c>
      <x:c r="H1459" s="12" t="n">
        <x:v>-12</x:v>
      </x:c>
      <x:c r="I1459" s="12" t="str">
        <x:v>TuShare index_daily</x:v>
      </x:c>
      <x:c r="J1459" s="12" t="str">
        <x:v>Archived FRED mirror (Hugging Face)</x:v>
      </x:c>
    </x:row>
    <x:row r="1460" ht="18" customHeight="1">
      <x:c r="A1460" s="13" t="n">
        <x:v>44785</x:v>
      </x:c>
      <x:c r="B1460" s="12" t="n">
        <x:v>4191.152</x:v>
      </x:c>
      <x:c r="C1460" s="12" t="n">
        <x:v>4193.5428</x:v>
      </x:c>
      <x:c r="D1460" s="12" t="n">
        <x:v>-0.057</x:v>
      </x:c>
      <x:c r="E1460" s="12" t="n">
        <x:v>-0.000570277182848478</x:v>
      </x:c>
      <x:c r="F1460" s="12" t="n">
        <x:v>4.25</x:v>
      </x:c>
      <x:c r="G1460" s="12" t="n">
        <x:v>425</x:v>
      </x:c>
      <x:c r="H1460" s="12" t="n">
        <x:v>4</x:v>
      </x:c>
      <x:c r="I1460" s="12" t="str">
        <x:v>TuShare index_daily</x:v>
      </x:c>
      <x:c r="J1460" s="12" t="str">
        <x:v>Archived FRED mirror (Hugging Face)</x:v>
      </x:c>
    </x:row>
    <x:row r="1461" ht="18" customHeight="1">
      <x:c r="A1461" s="13" t="n">
        <x:v>44788</x:v>
      </x:c>
      <x:c r="B1461" s="12" t="n">
        <x:v>4185.6794</x:v>
      </x:c>
      <x:c r="C1461" s="12" t="n">
        <x:v>4191.152</x:v>
      </x:c>
      <x:c r="D1461" s="12" t="n">
        <x:v>-0.1306</x:v>
      </x:c>
      <x:c r="E1461" s="12" t="n">
        <x:v>-0.0013066040170212304</x:v>
      </x:c>
      <x:c r="F1461" s="12" t="n">
        <x:v>4.24</x:v>
      </x:c>
      <x:c r="G1461" s="12" t="n">
        <x:v>424</x:v>
      </x:c>
      <x:c r="H1461" s="12" t="n">
        <x:v>-1</x:v>
      </x:c>
      <x:c r="I1461" s="12" t="str">
        <x:v>TuShare index_daily</x:v>
      </x:c>
      <x:c r="J1461" s="12" t="str">
        <x:v>Archived FRED mirror (Hugging Face)</x:v>
      </x:c>
    </x:row>
    <x:row r="1462" ht="18" customHeight="1">
      <x:c r="A1462" s="13" t="n">
        <x:v>44789</x:v>
      </x:c>
      <x:c r="B1462" s="12" t="n">
        <x:v>4177.837</x:v>
      </x:c>
      <x:c r="C1462" s="12" t="n">
        <x:v>4185.6794</x:v>
      </x:c>
      <x:c r="D1462" s="12" t="n">
        <x:v>-0.1874</x:v>
      </x:c>
      <x:c r="E1462" s="12" t="n">
        <x:v>-0.0018753839709140833</x:v>
      </x:c>
      <x:c r="F1462" s="12" t="n">
        <x:v>4.25</x:v>
      </x:c>
      <x:c r="G1462" s="12" t="n">
        <x:v>425</x:v>
      </x:c>
      <x:c r="H1462" s="12" t="n">
        <x:v>1</x:v>
      </x:c>
      <x:c r="I1462" s="12" t="str">
        <x:v>TuShare index_daily</x:v>
      </x:c>
      <x:c r="J1462" s="12" t="str">
        <x:v>Archived FRED mirror (Hugging Face)</x:v>
      </x:c>
    </x:row>
    <x:row r="1463" ht="18" customHeight="1">
      <x:c r="A1463" s="13" t="n">
        <x:v>44790</x:v>
      </x:c>
      <x:c r="B1463" s="12" t="n">
        <x:v>4216.9586</x:v>
      </x:c>
      <x:c r="C1463" s="12" t="n">
        <x:v>4177.837</x:v>
      </x:c>
      <x:c r="D1463" s="12" t="n">
        <x:v>0.9364</x:v>
      </x:c>
      <x:c r="E1463" s="12" t="n">
        <x:v>0.009320508819420452</x:v>
      </x:c>
      <x:c r="F1463" s="12" t="n">
        <x:v>4.33</x:v>
      </x:c>
      <x:c r="G1463" s="12" t="n">
        <x:v>433</x:v>
      </x:c>
      <x:c r="H1463" s="12" t="n">
        <x:v>8</x:v>
      </x:c>
      <x:c r="I1463" s="12" t="str">
        <x:v>TuShare index_daily</x:v>
      </x:c>
      <x:c r="J1463" s="12" t="str">
        <x:v>Archived FRED mirror (Hugging Face)</x:v>
      </x:c>
    </x:row>
    <x:row r="1464" ht="18" customHeight="1">
      <x:c r="A1464" s="13" t="n">
        <x:v>44791</x:v>
      </x:c>
      <x:c r="B1464" s="12" t="n">
        <x:v>4180.0996</x:v>
      </x:c>
      <x:c r="C1464" s="12" t="n">
        <x:v>4216.9586</x:v>
      </x:c>
      <x:c r="D1464" s="12" t="n">
        <x:v>-0.8741</x:v>
      </x:c>
      <x:c r="E1464" s="12" t="n">
        <x:v>-0.008779083306508366</x:v>
      </x:c>
      <x:c r="F1464" s="12" t="n">
        <x:v>4.37</x:v>
      </x:c>
      <x:c r="G1464" s="12" t="n">
        <x:v>437</x:v>
      </x:c>
      <x:c r="H1464" s="12" t="n">
        <x:v>4</x:v>
      </x:c>
      <x:c r="I1464" s="12" t="str">
        <x:v>TuShare index_daily</x:v>
      </x:c>
      <x:c r="J1464" s="12" t="str">
        <x:v>Archived FRED mirror (Hugging Face)</x:v>
      </x:c>
    </x:row>
    <x:row r="1465" ht="18" customHeight="1">
      <x:c r="A1465" s="13" t="n">
        <x:v>44792</x:v>
      </x:c>
      <x:c r="B1465" s="12" t="n">
        <x:v>4151.0738</x:v>
      </x:c>
      <x:c r="C1465" s="12" t="n">
        <x:v>4180.0996</x:v>
      </x:c>
      <x:c r="D1465" s="12" t="n">
        <x:v>-0.6944</x:v>
      </x:c>
      <x:c r="E1465" s="12" t="n">
        <x:v>-0.006968026242654508</x:v>
      </x:c>
      <x:c r="F1465" s="12" t="n">
        <x:v>4.45</x:v>
      </x:c>
      <x:c r="G1465" s="12" t="n">
        <x:v>445</x:v>
      </x:c>
      <x:c r="H1465" s="12" t="n">
        <x:v>8</x:v>
      </x:c>
      <x:c r="I1465" s="12" t="str">
        <x:v>TuShare index_daily</x:v>
      </x:c>
      <x:c r="J1465" s="12" t="str">
        <x:v>Archived FRED mirror (Hugging Face)</x:v>
      </x:c>
    </x:row>
    <x:row r="1466" ht="18" customHeight="1">
      <x:c r="A1466" s="13" t="n">
        <x:v>44795</x:v>
      </x:c>
      <x:c r="B1466" s="12" t="n">
        <x:v>4181.3965</x:v>
      </x:c>
      <x:c r="C1466" s="12" t="n">
        <x:v>4151.0738</x:v>
      </x:c>
      <x:c r="D1466" s="12" t="n">
        <x:v>0.7305</x:v>
      </x:c>
      <x:c r="E1466" s="12" t="n">
        <x:v>0.007278233888484915</x:v>
      </x:c>
      <x:c r="F1466" s="12" t="n">
        <x:v>4.62</x:v>
      </x:c>
      <x:c r="G1466" s="12" t="n">
        <x:v>462</x:v>
      </x:c>
      <x:c r="H1466" s="12" t="n">
        <x:v>17</x:v>
      </x:c>
      <x:c r="I1466" s="12" t="str">
        <x:v>TuShare index_daily</x:v>
      </x:c>
      <x:c r="J1466" s="12" t="str">
        <x:v>Archived FRED mirror (Hugging Face)</x:v>
      </x:c>
    </x:row>
    <x:row r="1467" ht="18" customHeight="1">
      <x:c r="A1467" s="13" t="n">
        <x:v>44796</x:v>
      </x:c>
      <x:c r="B1467" s="12" t="n">
        <x:v>4161.0823</x:v>
      </x:c>
      <x:c r="C1467" s="12" t="n">
        <x:v>4181.3965</x:v>
      </x:c>
      <x:c r="D1467" s="12" t="n">
        <x:v>-0.4858</x:v>
      </x:c>
      <x:c r="E1467" s="12" t="n">
        <x:v>-0.00487007294530757</x:v>
      </x:c>
      <x:c r="F1467" s="12" t="n">
        <x:v>4.68</x:v>
      </x:c>
      <x:c r="G1467" s="12" t="n">
        <x:v>468</x:v>
      </x:c>
      <x:c r="H1467" s="12" t="n">
        <x:v>6</x:v>
      </x:c>
      <x:c r="I1467" s="12" t="str">
        <x:v>TuShare index_daily</x:v>
      </x:c>
      <x:c r="J1467" s="12" t="str">
        <x:v>Archived FRED mirror (Hugging Face)</x:v>
      </x:c>
    </x:row>
    <x:row r="1468" ht="18" customHeight="1">
      <x:c r="A1468" s="13" t="n">
        <x:v>44797</x:v>
      </x:c>
      <x:c r="B1468" s="12" t="n">
        <x:v>4082.4195</x:v>
      </x:c>
      <x:c r="C1468" s="12" t="n">
        <x:v>4161.0823</x:v>
      </x:c>
      <x:c r="D1468" s="12" t="n">
        <x:v>-1.8904</x:v>
      </x:c>
      <x:c r="E1468" s="12" t="n">
        <x:v>-0.01908538134629194</x:v>
      </x:c>
      <x:c r="F1468" s="12" t="n">
        <x:v>4.61</x:v>
      </x:c>
      <x:c r="G1468" s="12" t="n">
        <x:v>461.00000000000006</x:v>
      </x:c>
      <x:c r="H1468" s="12" t="n">
        <x:v>-6.999999999999943</x:v>
      </x:c>
      <x:c r="I1468" s="12" t="str">
        <x:v>TuShare index_daily</x:v>
      </x:c>
      <x:c r="J1468" s="12" t="str">
        <x:v>Archived FRED mirror (Hugging Face)</x:v>
      </x:c>
    </x:row>
    <x:row r="1469" ht="18" customHeight="1">
      <x:c r="A1469" s="13" t="n">
        <x:v>44798</x:v>
      </x:c>
      <x:c r="B1469" s="12" t="n">
        <x:v>4116.2396</x:v>
      </x:c>
      <x:c r="C1469" s="12" t="n">
        <x:v>4082.4195</x:v>
      </x:c>
      <x:c r="D1469" s="12" t="n">
        <x:v>0.8284</x:v>
      </x:c>
      <x:c r="E1469" s="12" t="n">
        <x:v>0.00825020077551431</x:v>
      </x:c>
      <x:c r="F1469" s="12" t="n">
        <x:v>4.6</x:v>
      </x:c>
      <x:c r="G1469" s="12" t="n">
        <x:v>459.99999999999994</x:v>
      </x:c>
      <x:c r="H1469" s="12" t="n">
        <x:v>-1.0000000000001137</x:v>
      </x:c>
      <x:c r="I1469" s="12" t="str">
        <x:v>TuShare index_daily</x:v>
      </x:c>
      <x:c r="J1469" s="12" t="str">
        <x:v>Archived FRED mirror (Hugging Face)</x:v>
      </x:c>
    </x:row>
    <x:row r="1470" ht="18" customHeight="1">
      <x:c r="A1470" s="13" t="n">
        <x:v>44799</x:v>
      </x:c>
      <x:c r="B1470" s="12" t="n">
        <x:v>4107.5455</x:v>
      </x:c>
      <x:c r="C1470" s="12" t="n">
        <x:v>4116.2396</x:v>
      </x:c>
      <x:c r="D1470" s="12" t="n">
        <x:v>-0.2112</x:v>
      </x:c>
      <x:c r="E1470" s="12" t="n">
        <x:v>-0.002114379968170268</x:v>
      </x:c>
      <x:c r="F1470" s="12" t="n">
        <x:v>4.65</x:v>
      </x:c>
      <x:c r="G1470" s="12" t="n">
        <x:v>465.00000000000006</x:v>
      </x:c>
      <x:c r="H1470" s="12" t="n">
        <x:v>5.000000000000114</x:v>
      </x:c>
      <x:c r="I1470" s="12" t="str">
        <x:v>TuShare index_daily</x:v>
      </x:c>
      <x:c r="J1470" s="12" t="str">
        <x:v>Archived FRED mirror (Hugging Face)</x:v>
      </x:c>
    </x:row>
    <x:row r="1471" ht="18" customHeight="1">
      <x:c r="A1471" s="13" t="n">
        <x:v>44802</x:v>
      </x:c>
      <x:c r="B1471" s="12" t="n">
        <x:v>4089.5205</x:v>
      </x:c>
      <x:c r="C1471" s="12" t="n">
        <x:v>4107.5455</x:v>
      </x:c>
      <x:c r="D1471" s="12" t="n">
        <x:v>-0.4388</x:v>
      </x:c>
      <x:c r="E1471" s="12" t="n">
        <x:v>-0.004397922147476834</x:v>
      </x:c>
      <x:c r="F1471" s="12" t="n">
        <x:v>4.78</x:v>
      </x:c>
      <x:c r="G1471" s="12" t="n">
        <x:v>478</x:v>
      </x:c>
      <x:c r="H1471" s="12" t="n">
        <x:v>12.999999999999943</x:v>
      </x:c>
      <x:c r="I1471" s="12" t="str">
        <x:v>TuShare index_daily</x:v>
      </x:c>
      <x:c r="J1471" s="12" t="str">
        <x:v>Archived FRED mirror (Hugging Face)</x:v>
      </x:c>
    </x:row>
    <x:row r="1472" ht="18" customHeight="1">
      <x:c r="A1472" s="13" t="n">
        <x:v>44803</x:v>
      </x:c>
      <x:c r="B1472" s="12" t="n">
        <x:v>4075.7937</x:v>
      </x:c>
      <x:c r="C1472" s="12" t="n">
        <x:v>4089.5205</x:v>
      </x:c>
      <x:c r="D1472" s="12" t="n">
        <x:v>-0.3357</x:v>
      </x:c>
      <x:c r="E1472" s="12" t="n">
        <x:v>-0.0033622252849209834</x:v>
      </x:c>
      <x:c r="F1472" s="12" t="n">
        <x:v>4.9</x:v>
      </x:c>
      <x:c r="G1472" s="12" t="n">
        <x:v>490.00000000000006</x:v>
      </x:c>
      <x:c r="H1472" s="12" t="n">
        <x:v>12.000000000000057</x:v>
      </x:c>
      <x:c r="I1472" s="12" t="str">
        <x:v>TuShare index_daily</x:v>
      </x:c>
      <x:c r="J1472" s="12" t="str">
        <x:v>Archived FRED mirror (Hugging Face)</x:v>
      </x:c>
    </x:row>
    <x:row r="1473" ht="18" customHeight="1">
      <x:c r="A1473" s="13" t="n">
        <x:v>44804</x:v>
      </x:c>
      <x:c r="B1473" s="12" t="n">
        <x:v>4078.8402</x:v>
      </x:c>
      <x:c r="C1473" s="12" t="n">
        <x:v>4075.7937</x:v>
      </x:c>
      <x:c r="D1473" s="12" t="n">
        <x:v>0.0747</x:v>
      </x:c>
      <x:c r="E1473" s="12" t="n">
        <x:v>0.0007471825661562693</x:v>
      </x:c>
      <x:c r="F1473" s="12" t="n">
        <x:v>5.03</x:v>
      </x:c>
      <x:c r="G1473" s="12" t="n">
        <x:v>503</x:v>
      </x:c>
      <x:c r="H1473" s="12" t="n">
        <x:v>12.999999999999943</x:v>
      </x:c>
      <x:c r="I1473" s="12" t="str">
        <x:v>TuShare index_daily</x:v>
      </x:c>
      <x:c r="J1473" s="12" t="str">
        <x:v>Archived FRED mirror (Hugging Face)</x:v>
      </x:c>
    </x:row>
    <x:row r="1474" ht="18" customHeight="1">
      <x:c r="A1474" s="13" t="n">
        <x:v>44805</x:v>
      </x:c>
      <x:c r="B1474" s="12" t="n">
        <x:v>4043.7395</x:v>
      </x:c>
      <x:c r="C1474" s="12" t="n">
        <x:v>4078.8402</x:v>
      </x:c>
      <x:c r="D1474" s="12" t="n">
        <x:v>-0.8606</x:v>
      </x:c>
      <x:c r="E1474" s="12" t="n">
        <x:v>-0.00864280063530641</x:v>
      </x:c>
      <x:c r="F1474" s="12" t="n">
        <x:v>5.08</x:v>
      </x:c>
      <x:c r="G1474" s="12" t="n">
        <x:v>508</x:v>
      </x:c>
      <x:c r="H1474" s="12" t="n">
        <x:v>5</x:v>
      </x:c>
      <x:c r="I1474" s="12" t="str">
        <x:v>TuShare index_daily</x:v>
      </x:c>
      <x:c r="J1474" s="12" t="str">
        <x:v>Archived FRED mirror (Hugging Face)</x:v>
      </x:c>
    </x:row>
    <x:row r="1475" ht="18" customHeight="1">
      <x:c r="A1475" s="13" t="n">
        <x:v>44806</x:v>
      </x:c>
      <x:c r="B1475" s="12" t="n">
        <x:v>4023.6131</x:v>
      </x:c>
      <x:c r="C1475" s="12" t="n">
        <x:v>4043.7395</x:v>
      </x:c>
      <x:c r="D1475" s="12" t="n">
        <x:v>-0.4977</x:v>
      </x:c>
      <x:c r="E1475" s="12" t="n">
        <x:v>-0.004989602600431504</x:v>
      </x:c>
      <x:c r="F1475" s="12" t="n">
        <x:v>5.06</x:v>
      </x:c>
      <x:c r="G1475" s="12" t="n">
        <x:v>505.99999999999994</x:v>
      </x:c>
      <x:c r="H1475" s="12" t="n">
        <x:v>-2.000000000000057</x:v>
      </x:c>
      <x:c r="I1475" s="12" t="str">
        <x:v>TuShare index_daily</x:v>
      </x:c>
      <x:c r="J1475" s="12" t="str">
        <x:v>Archived FRED mirror (Hugging Face)</x:v>
      </x:c>
    </x:row>
    <x:row r="1476" ht="18" customHeight="1">
      <x:c r="A1476" s="13" t="n">
        <x:v>44809</x:v>
      </x:c>
      <x:c r="B1476" s="12" t="n">
        <x:v>4015.4264</x:v>
      </x:c>
      <x:c r="C1476" s="12" t="n">
        <x:v>4023.6131</x:v>
      </x:c>
      <x:c r="D1476" s="12" t="n">
        <x:v>-0.2035</x:v>
      </x:c>
      <x:c r="E1476" s="12" t="n">
        <x:v>-0.0020367365603991064</x:v>
      </x:c>
      <x:c r="F1476" s="12" t="n">
        <x:v>5.07</x:v>
      </x:c>
      <x:c r="G1476" s="12" t="n">
        <x:v>507</x:v>
      </x:c>
      <x:c r="H1476" s="12" t="n">
        <x:v>1.0000000000000568</x:v>
      </x:c>
      <x:c r="I1476" s="12" t="str">
        <x:v>TuShare index_daily</x:v>
      </x:c>
      <x:c r="J1476" s="12" t="str">
        <x:v>Archived FRED mirror (Hugging Face)</x:v>
      </x:c>
    </x:row>
    <x:row r="1477" ht="18" customHeight="1">
      <x:c r="A1477" s="13" t="n">
        <x:v>44810</x:v>
      </x:c>
      <x:c r="B1477" s="12" t="n">
        <x:v>4052.2802</x:v>
      </x:c>
      <x:c r="C1477" s="12" t="n">
        <x:v>4015.4264</x:v>
      </x:c>
      <x:c r="D1477" s="12" t="n">
        <x:v>0.9178</x:v>
      </x:c>
      <x:c r="E1477" s="12" t="n">
        <x:v>0.00913619152895841</x:v>
      </x:c>
      <x:c r="F1477" s="12" t="n">
        <x:v>4.98</x:v>
      </x:c>
      <x:c r="G1477" s="12" t="n">
        <x:v>498.00000000000006</x:v>
      </x:c>
      <x:c r="H1477" s="12" t="n">
        <x:v>-8.999999999999943</x:v>
      </x:c>
      <x:c r="I1477" s="12" t="str">
        <x:v>TuShare index_daily</x:v>
      </x:c>
      <x:c r="J1477" s="12" t="str">
        <x:v>Archived FRED mirror (Hugging Face)</x:v>
      </x:c>
    </x:row>
    <x:row r="1478" ht="18" customHeight="1">
      <x:c r="A1478" s="13" t="n">
        <x:v>44811</x:v>
      </x:c>
      <x:c r="B1478" s="12" t="n">
        <x:v>4054.983</x:v>
      </x:c>
      <x:c r="C1478" s="12" t="n">
        <x:v>4052.2802</x:v>
      </x:c>
      <x:c r="D1478" s="12" t="n">
        <x:v>0.0667</x:v>
      </x:c>
      <x:c r="E1478" s="12" t="n">
        <x:v>0.0006667601713317303</x:v>
      </x:c>
      <x:c r="F1478" s="12" t="n">
        <x:v>4.97</x:v>
      </x:c>
      <x:c r="G1478" s="12" t="n">
        <x:v>497</x:v>
      </x:c>
      <x:c r="H1478" s="12" t="n">
        <x:v>-1.0000000000000568</x:v>
      </x:c>
      <x:c r="I1478" s="12" t="str">
        <x:v>TuShare index_daily</x:v>
      </x:c>
      <x:c r="J1478" s="12" t="str">
        <x:v>Archived FRED mirror (Hugging Face)</x:v>
      </x:c>
    </x:row>
    <x:row r="1479" ht="18" customHeight="1">
      <x:c r="A1479" s="13" t="n">
        <x:v>44812</x:v>
      </x:c>
      <x:c r="B1479" s="12" t="n">
        <x:v>4037.6839</x:v>
      </x:c>
      <x:c r="C1479" s="12" t="n">
        <x:v>4054.983</x:v>
      </x:c>
      <x:c r="D1479" s="12" t="n">
        <x:v>-0.4266</x:v>
      </x:c>
      <x:c r="E1479" s="12" t="n">
        <x:v>-0.004275259704358225</x:v>
      </x:c>
      <x:c r="F1479" s="12" t="n">
        <x:v>4.8</x:v>
      </x:c>
      <x:c r="G1479" s="12" t="n">
        <x:v>480</x:v>
      </x:c>
      <x:c r="H1479" s="12" t="n">
        <x:v>-17</x:v>
      </x:c>
      <x:c r="I1479" s="12" t="str">
        <x:v>TuShare index_daily</x:v>
      </x:c>
      <x:c r="J1479" s="12" t="str">
        <x:v>Archived FRED mirror (Hugging Face)</x:v>
      </x:c>
    </x:row>
    <x:row r="1480" ht="18" customHeight="1">
      <x:c r="A1480" s="13" t="n">
        <x:v>44813</x:v>
      </x:c>
      <x:c r="B1480" s="12" t="n">
        <x:v>4093.7874</x:v>
      </x:c>
      <x:c r="C1480" s="12" t="n">
        <x:v>4037.6839</x:v>
      </x:c>
      <x:c r="D1480" s="12" t="n">
        <x:v>1.3895</x:v>
      </x:c>
      <x:c r="E1480" s="12" t="n">
        <x:v>0.013799320738442802</x:v>
      </x:c>
      <x:c r="F1480" s="12" t="n">
        <x:v>4.57</x:v>
      </x:c>
      <x:c r="G1480" s="12" t="n">
        <x:v>457</x:v>
      </x:c>
      <x:c r="H1480" s="12" t="n">
        <x:v>-23</x:v>
      </x:c>
      <x:c r="I1480" s="12" t="str">
        <x:v>TuShare index_daily</x:v>
      </x:c>
      <x:c r="J1480" s="12" t="str">
        <x:v>Archived FRED mirror (Hugging Face)</x:v>
      </x:c>
    </x:row>
    <x:row r="1481" ht="18" customHeight="1">
      <x:c r="A1481" s="13" t="n">
        <x:v>44817</x:v>
      </x:c>
      <x:c r="B1481" s="12" t="n">
        <x:v>4111.1145</x:v>
      </x:c>
      <x:c r="C1481" s="12" t="n">
        <x:v>4093.7874</x:v>
      </x:c>
      <x:c r="D1481" s="12" t="n">
        <x:v>0.4233</x:v>
      </x:c>
      <x:c r="E1481" s="12" t="n">
        <x:v>0.004223603394433809</x:v>
      </x:c>
      <x:c r="F1481" s="12" t="n">
        <x:v>4.68</x:v>
      </x:c>
      <x:c r="G1481" s="12" t="n">
        <x:v>468</x:v>
      </x:c>
      <x:c r="H1481" s="12" t="n">
        <x:v>18</x:v>
      </x:c>
      <x:c r="I1481" s="12" t="str">
        <x:v>TuShare index_daily</x:v>
      </x:c>
      <x:c r="J1481" s="12" t="str">
        <x:v>Archived FRED mirror (Hugging Face)</x:v>
      </x:c>
    </x:row>
    <x:row r="1482" ht="18" customHeight="1">
      <x:c r="A1482" s="13" t="n">
        <x:v>44818</x:v>
      </x:c>
      <x:c r="B1482" s="12" t="n">
        <x:v>4065.359</x:v>
      </x:c>
      <x:c r="C1482" s="12" t="n">
        <x:v>4111.1145</x:v>
      </x:c>
      <x:c r="D1482" s="12" t="n">
        <x:v>-1.113</x:v>
      </x:c>
      <x:c r="E1482" s="12" t="n">
        <x:v>-0.011192105648596497</x:v>
      </x:c>
      <x:c r="F1482" s="12" t="n">
        <x:v>4.74</x:v>
      </x:c>
      <x:c r="G1482" s="12" t="n">
        <x:v>474</x:v>
      </x:c>
      <x:c r="H1482" s="12" t="n">
        <x:v>6</x:v>
      </x:c>
      <x:c r="I1482" s="12" t="str">
        <x:v>TuShare index_daily</x:v>
      </x:c>
      <x:c r="J1482" s="12" t="str">
        <x:v>Archived FRED mirror (Hugging Face)</x:v>
      </x:c>
    </x:row>
    <x:row r="1483" ht="18" customHeight="1">
      <x:c r="A1483" s="13" t="n">
        <x:v>44819</x:v>
      </x:c>
      <x:c r="B1483" s="12" t="n">
        <x:v>4027.1186</x:v>
      </x:c>
      <x:c r="C1483" s="12" t="n">
        <x:v>4065.359</x:v>
      </x:c>
      <x:c r="D1483" s="12" t="n">
        <x:v>-0.9406</x:v>
      </x:c>
      <x:c r="E1483" s="12" t="n">
        <x:v>-0.009450921343383703</x:v>
      </x:c>
      <x:c r="F1483" s="12" t="n">
        <x:v>4.77</x:v>
      </x:c>
      <x:c r="G1483" s="12" t="n">
        <x:v>476.99999999999994</x:v>
      </x:c>
      <x:c r="H1483" s="12" t="n">
        <x:v>2.999999999999943</x:v>
      </x:c>
      <x:c r="I1483" s="12" t="str">
        <x:v>TuShare index_daily</x:v>
      </x:c>
      <x:c r="J1483" s="12" t="str">
        <x:v>Archived FRED mirror (Hugging Face)</x:v>
      </x:c>
    </x:row>
    <x:row r="1484" ht="18" customHeight="1">
      <x:c r="A1484" s="13" t="n">
        <x:v>44820</x:v>
      </x:c>
      <x:c r="B1484" s="12" t="n">
        <x:v>3932.6826</x:v>
      </x:c>
      <x:c r="C1484" s="12" t="n">
        <x:v>4027.1186</x:v>
      </x:c>
      <x:c r="D1484" s="12" t="n">
        <x:v>-2.345</x:v>
      </x:c>
      <x:c r="E1484" s="12" t="n">
        <x:v>-0.023729344201284554</x:v>
      </x:c>
      <x:c r="F1484" s="12" t="n">
        <x:v>5</x:v>
      </x:c>
      <x:c r="G1484" s="12" t="n">
        <x:v>500</x:v>
      </x:c>
      <x:c r="H1484" s="12" t="n">
        <x:v>23.000000000000057</x:v>
      </x:c>
      <x:c r="I1484" s="12" t="str">
        <x:v>TuShare index_daily</x:v>
      </x:c>
      <x:c r="J1484" s="12" t="str">
        <x:v>Archived FRED mirror (Hugging Face)</x:v>
      </x:c>
    </x:row>
    <x:row r="1485" ht="18" customHeight="1">
      <x:c r="A1485" s="13" t="n">
        <x:v>44823</x:v>
      </x:c>
      <x:c r="B1485" s="12" t="n">
        <x:v>3928.0001</x:v>
      </x:c>
      <x:c r="C1485" s="12" t="n">
        <x:v>3932.6826</x:v>
      </x:c>
      <x:c r="D1485" s="12" t="n">
        <x:v>-0.1191</x:v>
      </x:c>
      <x:c r="E1485" s="12" t="n">
        <x:v>-0.0011913724882571326</x:v>
      </x:c>
      <x:c r="F1485" s="12" t="n">
        <x:v>4.88</x:v>
      </x:c>
      <x:c r="G1485" s="12" t="n">
        <x:v>488</x:v>
      </x:c>
      <x:c r="H1485" s="12" t="n">
        <x:v>-12</x:v>
      </x:c>
      <x:c r="I1485" s="12" t="str">
        <x:v>TuShare index_daily</x:v>
      </x:c>
      <x:c r="J1485" s="12" t="str">
        <x:v>Archived FRED mirror (Hugging Face)</x:v>
      </x:c>
    </x:row>
    <x:row r="1486" ht="18" customHeight="1">
      <x:c r="A1486" s="13" t="n">
        <x:v>44824</x:v>
      </x:c>
      <x:c r="B1486" s="12" t="n">
        <x:v>3932.8361</x:v>
      </x:c>
      <x:c r="C1486" s="12" t="n">
        <x:v>3928.0001</x:v>
      </x:c>
      <x:c r="D1486" s="12" t="n">
        <x:v>0.1231</x:v>
      </x:c>
      <x:c r="E1486" s="12" t="n">
        <x:v>0.0012304036077226527</x:v>
      </x:c>
      <x:c r="F1486" s="12" t="n">
        <x:v>4.88</x:v>
      </x:c>
      <x:c r="G1486" s="12" t="n">
        <x:v>488</x:v>
      </x:c>
      <x:c r="H1486" s="12" t="n">
        <x:v>0</x:v>
      </x:c>
      <x:c r="I1486" s="12" t="str">
        <x:v>TuShare index_daily</x:v>
      </x:c>
      <x:c r="J1486" s="12" t="str">
        <x:v>Archived FRED mirror (Hugging Face)</x:v>
      </x:c>
    </x:row>
    <x:row r="1487" ht="18" customHeight="1">
      <x:c r="A1487" s="13" t="n">
        <x:v>44825</x:v>
      </x:c>
      <x:c r="B1487" s="12" t="n">
        <x:v>3903.7348</x:v>
      </x:c>
      <x:c r="C1487" s="12" t="n">
        <x:v>3932.8361</x:v>
      </x:c>
      <x:c r="D1487" s="12" t="n">
        <x:v>-0.74</x:v>
      </x:c>
      <x:c r="E1487" s="12" t="n">
        <x:v>-0.007427083642582392</x:v>
      </x:c>
      <x:c r="F1487" s="12" t="n">
        <x:v>4.87</x:v>
      </x:c>
      <x:c r="G1487" s="12" t="n">
        <x:v>487</x:v>
      </x:c>
      <x:c r="H1487" s="12" t="n">
        <x:v>-1</x:v>
      </x:c>
      <x:c r="I1487" s="12" t="str">
        <x:v>TuShare index_daily</x:v>
      </x:c>
      <x:c r="J1487" s="12" t="str">
        <x:v>Archived FRED mirror (Hugging Face)</x:v>
      </x:c>
    </x:row>
    <x:row r="1488" ht="18" customHeight="1">
      <x:c r="A1488" s="13" t="n">
        <x:v>44826</x:v>
      </x:c>
      <x:c r="B1488" s="12" t="n">
        <x:v>3869.344</x:v>
      </x:c>
      <x:c r="C1488" s="12" t="n">
        <x:v>3903.7348</x:v>
      </x:c>
      <x:c r="D1488" s="12" t="n">
        <x:v>-0.881</x:v>
      </x:c>
      <x:c r="E1488" s="12" t="n">
        <x:v>-0.008848752286126995</x:v>
      </x:c>
      <x:c r="F1488" s="12" t="n">
        <x:v>4.91</x:v>
      </x:c>
      <x:c r="G1488" s="12" t="n">
        <x:v>491</x:v>
      </x:c>
      <x:c r="H1488" s="12" t="n">
        <x:v>4</x:v>
      </x:c>
      <x:c r="I1488" s="12" t="str">
        <x:v>TuShare index_daily</x:v>
      </x:c>
      <x:c r="J1488" s="12" t="str">
        <x:v>Archived FRED mirror (Hugging Face)</x:v>
      </x:c>
    </x:row>
    <x:row r="1489" ht="18" customHeight="1">
      <x:c r="A1489" s="13" t="n">
        <x:v>44827</x:v>
      </x:c>
      <x:c r="B1489" s="12" t="n">
        <x:v>3856.0212</x:v>
      </x:c>
      <x:c r="C1489" s="12" t="n">
        <x:v>3869.344</x:v>
      </x:c>
      <x:c r="D1489" s="12" t="n">
        <x:v>-0.3443</x:v>
      </x:c>
      <x:c r="E1489" s="12" t="n">
        <x:v>-0.0034491089709841913</x:v>
      </x:c>
      <x:c r="F1489" s="12" t="n">
        <x:v>5.12</x:v>
      </x:c>
      <x:c r="G1489" s="12" t="n">
        <x:v>512</x:v>
      </x:c>
      <x:c r="H1489" s="12" t="n">
        <x:v>21</x:v>
      </x:c>
      <x:c r="I1489" s="12" t="str">
        <x:v>TuShare index_daily</x:v>
      </x:c>
      <x:c r="J1489" s="12" t="str">
        <x:v>Archived FRED mirror (Hugging Face)</x:v>
      </x:c>
    </x:row>
    <x:row r="1490" ht="18" customHeight="1">
      <x:c r="A1490" s="13" t="n">
        <x:v>44830</x:v>
      </x:c>
      <x:c r="B1490" s="12" t="n">
        <x:v>3836.6773</x:v>
      </x:c>
      <x:c r="C1490" s="12" t="n">
        <x:v>3856.0212</x:v>
      </x:c>
      <x:c r="D1490" s="12" t="n">
        <x:v>-0.5017</x:v>
      </x:c>
      <x:c r="E1490" s="12" t="n">
        <x:v>-0.00502916909361511</x:v>
      </x:c>
      <x:c r="F1490" s="12" t="n">
        <x:v>5.18</x:v>
      </x:c>
      <x:c r="G1490" s="12" t="n">
        <x:v>518</x:v>
      </x:c>
      <x:c r="H1490" s="12" t="n">
        <x:v>6</x:v>
      </x:c>
      <x:c r="I1490" s="12" t="str">
        <x:v>TuShare index_daily</x:v>
      </x:c>
      <x:c r="J1490" s="12" t="str">
        <x:v>Archived FRED mirror (Hugging Face)</x:v>
      </x:c>
    </x:row>
    <x:row r="1491" ht="18" customHeight="1">
      <x:c r="A1491" s="13" t="n">
        <x:v>44831</x:v>
      </x:c>
      <x:c r="B1491" s="12" t="n">
        <x:v>3892.295</x:v>
      </x:c>
      <x:c r="C1491" s="12" t="n">
        <x:v>3836.6773</x:v>
      </x:c>
      <x:c r="D1491" s="12" t="n">
        <x:v>1.4496</x:v>
      </x:c>
      <x:c r="E1491" s="12" t="n">
        <x:v>0.01439225239211946</x:v>
      </x:c>
      <x:c r="F1491" s="12" t="n">
        <x:v>5.22</x:v>
      </x:c>
      <x:c r="G1491" s="12" t="n">
        <x:v>522</x:v>
      </x:c>
      <x:c r="H1491" s="12" t="n">
        <x:v>4</x:v>
      </x:c>
      <x:c r="I1491" s="12" t="str">
        <x:v>TuShare index_daily</x:v>
      </x:c>
      <x:c r="J1491" s="12" t="str">
        <x:v>Archived FRED mirror (Hugging Face)</x:v>
      </x:c>
    </x:row>
    <x:row r="1492" ht="18" customHeight="1">
      <x:c r="A1492" s="13" t="n">
        <x:v>44832</x:v>
      </x:c>
      <x:c r="B1492" s="12" t="n">
        <x:v>3828.7098</x:v>
      </x:c>
      <x:c r="C1492" s="12" t="n">
        <x:v>3892.295</x:v>
      </x:c>
      <x:c r="D1492" s="12" t="n">
        <x:v>-1.6336</x:v>
      </x:c>
      <x:c r="E1492" s="12" t="n">
        <x:v>-0.01647107835755761</x:v>
      </x:c>
      <x:c r="F1492" s="12" t="n">
        <x:v>5.47</x:v>
      </x:c>
      <x:c r="G1492" s="12" t="n">
        <x:v>547</x:v>
      </x:c>
      <x:c r="H1492" s="12" t="n">
        <x:v>25</x:v>
      </x:c>
      <x:c r="I1492" s="12" t="str">
        <x:v>TuShare index_daily</x:v>
      </x:c>
      <x:c r="J1492" s="12" t="str">
        <x:v>Archived FRED mirror (Hugging Face)</x:v>
      </x:c>
    </x:row>
    <x:row r="1493" ht="18" customHeight="1">
      <x:c r="A1493" s="13" t="n">
        <x:v>44833</x:v>
      </x:c>
      <x:c r="B1493" s="12" t="n">
        <x:v>3827.1434</x:v>
      </x:c>
      <x:c r="C1493" s="12" t="n">
        <x:v>3828.7098</x:v>
      </x:c>
      <x:c r="D1493" s="12" t="n">
        <x:v>-0.0409</x:v>
      </x:c>
      <x:c r="E1493" s="12" t="n">
        <x:v>-0.0004092032542780825</x:v>
      </x:c>
      <x:c r="F1493" s="12" t="n">
        <x:v>5.5</x:v>
      </x:c>
      <x:c r="G1493" s="12" t="n">
        <x:v>550</x:v>
      </x:c>
      <x:c r="H1493" s="12" t="n">
        <x:v>3</x:v>
      </x:c>
      <x:c r="I1493" s="12" t="str">
        <x:v>TuShare index_daily</x:v>
      </x:c>
      <x:c r="J1493" s="12" t="str">
        <x:v>Archived FRED mirror (Hugging Face)</x:v>
      </x:c>
    </x:row>
    <x:row r="1494" ht="18" customHeight="1">
      <x:c r="A1494" s="13" t="n">
        <x:v>44834</x:v>
      </x:c>
      <x:c r="B1494" s="12" t="n">
        <x:v>3804.8853</x:v>
      </x:c>
      <x:c r="C1494" s="12" t="n">
        <x:v>3827.1434</x:v>
      </x:c>
      <x:c r="D1494" s="12" t="n">
        <x:v>-0.5816</x:v>
      </x:c>
      <x:c r="E1494" s="12" t="n">
        <x:v>-0.005832830032521587</x:v>
      </x:c>
      <x:c r="F1494" s="12" t="n">
        <x:v>5.43</x:v>
      </x:c>
      <x:c r="G1494" s="12" t="n">
        <x:v>543</x:v>
      </x:c>
      <x:c r="H1494" s="12" t="n">
        <x:v>-7</x:v>
      </x:c>
      <x:c r="I1494" s="12" t="str">
        <x:v>TuShare index_daily</x:v>
      </x:c>
      <x:c r="J1494" s="12" t="str">
        <x:v>Archived FRED mirror (Hugging Face)</x:v>
      </x:c>
    </x:row>
    <x:row r="1495" ht="18" customHeight="1">
      <x:c r="A1495" s="13" t="n">
        <x:v>44844</x:v>
      </x:c>
      <x:c r="B1495" s="12" t="n">
        <x:v>3720.9365</x:v>
      </x:c>
      <x:c r="C1495" s="12" t="n">
        <x:v>3804.8853</x:v>
      </x:c>
      <x:c r="D1495" s="12" t="n">
        <x:v>-2.2063</x:v>
      </x:c>
      <x:c r="E1495" s="12" t="n">
        <x:v>-0.02231046239879809</x:v>
      </x:c>
      <x:c r="F1495" s="12" t="n">
        <x:v>5.03</x:v>
      </x:c>
      <x:c r="G1495" s="12" t="n">
        <x:v>503</x:v>
      </x:c>
      <x:c r="H1495" s="12" t="n">
        <x:v>1.0000000000000568</x:v>
      </x:c>
      <x:c r="I1495" s="12" t="str">
        <x:v>TuShare index_daily</x:v>
      </x:c>
      <x:c r="J1495" s="12" t="str">
        <x:v>Archived FRED mirror (Hugging Face)</x:v>
      </x:c>
    </x:row>
    <x:row r="1496" ht="18" customHeight="1">
      <x:c r="A1496" s="13" t="n">
        <x:v>44845</x:v>
      </x:c>
      <x:c r="B1496" s="12" t="n">
        <x:v>3727.6867</x:v>
      </x:c>
      <x:c r="C1496" s="12" t="n">
        <x:v>3720.9365</x:v>
      </x:c>
      <x:c r="D1496" s="12" t="n">
        <x:v>0.1814</x:v>
      </x:c>
      <x:c r="E1496" s="12" t="n">
        <x:v>0.0018124696783947004</x:v>
      </x:c>
      <x:c r="F1496" s="12" t="n">
        <x:v>5.25</x:v>
      </x:c>
      <x:c r="G1496" s="12" t="n">
        <x:v>525</x:v>
      </x:c>
      <x:c r="H1496" s="12" t="n">
        <x:v>22</x:v>
      </x:c>
      <x:c r="I1496" s="12" t="str">
        <x:v>TuShare index_daily</x:v>
      </x:c>
      <x:c r="J1496" s="12" t="str">
        <x:v>Archived FRED mirror (Hugging Face)</x:v>
      </x:c>
    </x:row>
    <x:row r="1497" ht="18" customHeight="1">
      <x:c r="A1497" s="13" t="n">
        <x:v>44846</x:v>
      </x:c>
      <x:c r="B1497" s="12" t="n">
        <x:v>3784.3064</x:v>
      </x:c>
      <x:c r="C1497" s="12" t="n">
        <x:v>3727.6867</x:v>
      </x:c>
      <x:c r="D1497" s="12" t="n">
        <x:v>1.5189</x:v>
      </x:c>
      <x:c r="E1497" s="12" t="n">
        <x:v>0.015074766835150348</x:v>
      </x:c>
      <x:c r="F1497" s="12" t="n">
        <x:v>5.31</x:v>
      </x:c>
      <x:c r="G1497" s="12" t="n">
        <x:v>531</x:v>
      </x:c>
      <x:c r="H1497" s="12" t="n">
        <x:v>6</x:v>
      </x:c>
      <x:c r="I1497" s="12" t="str">
        <x:v>TuShare index_daily</x:v>
      </x:c>
      <x:c r="J1497" s="12" t="str">
        <x:v>Archived FRED mirror (Hugging Face)</x:v>
      </x:c>
    </x:row>
    <x:row r="1498" ht="18" customHeight="1">
      <x:c r="A1498" s="13" t="n">
        <x:v>44847</x:v>
      </x:c>
      <x:c r="B1498" s="12" t="n">
        <x:v>3752.6729</x:v>
      </x:c>
      <x:c r="C1498" s="12" t="n">
        <x:v>3784.3064</x:v>
      </x:c>
      <x:c r="D1498" s="12" t="n">
        <x:v>-0.8359</x:v>
      </x:c>
      <x:c r="E1498" s="12" t="n">
        <x:v>-0.008394261014007776</x:v>
      </x:c>
      <x:c r="F1498" s="12" t="n">
        <x:v>5.25</x:v>
      </x:c>
      <x:c r="G1498" s="12" t="n">
        <x:v>525</x:v>
      </x:c>
      <x:c r="H1498" s="12" t="n">
        <x:v>-6</x:v>
      </x:c>
      <x:c r="I1498" s="12" t="str">
        <x:v>TuShare index_daily</x:v>
      </x:c>
      <x:c r="J1498" s="12" t="str">
        <x:v>Archived FRED mirror (Hugging Face)</x:v>
      </x:c>
    </x:row>
    <x:row r="1499" ht="18" customHeight="1">
      <x:c r="A1499" s="13" t="n">
        <x:v>44848</x:v>
      </x:c>
      <x:c r="B1499" s="12" t="n">
        <x:v>3842.4698</x:v>
      </x:c>
      <x:c r="C1499" s="12" t="n">
        <x:v>3752.6729</x:v>
      </x:c>
      <x:c r="D1499" s="12" t="n">
        <x:v>2.3929</x:v>
      </x:c>
      <x:c r="E1499" s="12" t="n">
        <x:v>0.023646977519851727</x:v>
      </x:c>
      <x:c r="F1499" s="12" t="n">
        <x:v>5.15</x:v>
      </x:c>
      <x:c r="G1499" s="12" t="n">
        <x:v>515</x:v>
      </x:c>
      <x:c r="H1499" s="12" t="n">
        <x:v>-10</x:v>
      </x:c>
      <x:c r="I1499" s="12" t="str">
        <x:v>TuShare index_daily</x:v>
      </x:c>
      <x:c r="J1499" s="12" t="str">
        <x:v>Archived FRED mirror (Hugging Face)</x:v>
      </x:c>
    </x:row>
    <x:row r="1500" ht="18" customHeight="1">
      <x:c r="A1500" s="13" t="n">
        <x:v>44851</x:v>
      </x:c>
      <x:c r="B1500" s="12" t="n">
        <x:v>3846.4119</x:v>
      </x:c>
      <x:c r="C1500" s="12" t="n">
        <x:v>3842.4698</x:v>
      </x:c>
      <x:c r="D1500" s="12" t="n">
        <x:v>0.1026</x:v>
      </x:c>
      <x:c r="E1500" s="12" t="n">
        <x:v>0.0010254027826726963</x:v>
      </x:c>
      <x:c r="F1500" s="12" t="n">
        <x:v>5.04</x:v>
      </x:c>
      <x:c r="G1500" s="12" t="n">
        <x:v>504</x:v>
      </x:c>
      <x:c r="H1500" s="12" t="n">
        <x:v>-11</x:v>
      </x:c>
      <x:c r="I1500" s="12" t="str">
        <x:v>TuShare index_daily</x:v>
      </x:c>
      <x:c r="J1500" s="12" t="str">
        <x:v>Archived FRED mirror (Hugging Face)</x:v>
      </x:c>
    </x:row>
    <x:row r="1501" ht="18" customHeight="1">
      <x:c r="A1501" s="13" t="n">
        <x:v>44852</x:v>
      </x:c>
      <x:c r="B1501" s="12" t="n">
        <x:v>3838.2667</x:v>
      </x:c>
      <x:c r="C1501" s="12" t="n">
        <x:v>3846.4119</x:v>
      </x:c>
      <x:c r="D1501" s="12" t="n">
        <x:v>-0.2118</x:v>
      </x:c>
      <x:c r="E1501" s="12" t="n">
        <x:v>-0.002119855227317334</x:v>
      </x:c>
      <x:c r="F1501" s="12" t="n">
        <x:v>4.95</x:v>
      </x:c>
      <x:c r="G1501" s="12" t="n">
        <x:v>495</x:v>
      </x:c>
      <x:c r="H1501" s="12" t="n">
        <x:v>-9</x:v>
      </x:c>
      <x:c r="I1501" s="12" t="str">
        <x:v>TuShare index_daily</x:v>
      </x:c>
      <x:c r="J1501" s="12" t="str">
        <x:v>Archived FRED mirror (Hugging Face)</x:v>
      </x:c>
    </x:row>
    <x:row r="1502" ht="18" customHeight="1">
      <x:c r="A1502" s="13" t="n">
        <x:v>44853</x:v>
      </x:c>
      <x:c r="B1502" s="12" t="n">
        <x:v>3776.5335</x:v>
      </x:c>
      <x:c r="C1502" s="12" t="n">
        <x:v>3838.2667</x:v>
      </x:c>
      <x:c r="D1502" s="12" t="n">
        <x:v>-1.6084</x:v>
      </x:c>
      <x:c r="E1502" s="12" t="n">
        <x:v>-0.01621435910914368</x:v>
      </x:c>
      <x:c r="F1502" s="12" t="n">
        <x:v>4.97</x:v>
      </x:c>
      <x:c r="G1502" s="12" t="n">
        <x:v>497</x:v>
      </x:c>
      <x:c r="H1502" s="12" t="n">
        <x:v>2</x:v>
      </x:c>
      <x:c r="I1502" s="12" t="str">
        <x:v>TuShare index_daily</x:v>
      </x:c>
      <x:c r="J1502" s="12" t="str">
        <x:v>Archived FRED mirror (Hugging Face)</x:v>
      </x:c>
    </x:row>
    <x:row r="1503" ht="18" customHeight="1">
      <x:c r="A1503" s="13" t="n">
        <x:v>44854</x:v>
      </x:c>
      <x:c r="B1503" s="12" t="n">
        <x:v>3754.9269</x:v>
      </x:c>
      <x:c r="C1503" s="12" t="n">
        <x:v>3776.5335</x:v>
      </x:c>
      <x:c r="D1503" s="12" t="n">
        <x:v>-0.5721</x:v>
      </x:c>
      <x:c r="E1503" s="12" t="n">
        <x:v>-0.005737707729671164</x:v>
      </x:c>
      <x:c r="F1503" s="12" t="n">
        <x:v>4.89</x:v>
      </x:c>
      <x:c r="G1503" s="12" t="n">
        <x:v>488.99999999999994</x:v>
      </x:c>
      <x:c r="H1503" s="12" t="n">
        <x:v>-8.000000000000057</x:v>
      </x:c>
      <x:c r="I1503" s="12" t="str">
        <x:v>TuShare index_daily</x:v>
      </x:c>
      <x:c r="J1503" s="12" t="str">
        <x:v>Archived FRED mirror (Hugging Face)</x:v>
      </x:c>
    </x:row>
    <x:row r="1504" ht="18" customHeight="1">
      <x:c r="A1504" s="13" t="n">
        <x:v>44855</x:v>
      </x:c>
      <x:c r="B1504" s="12" t="n">
        <x:v>3742.8929</x:v>
      </x:c>
      <x:c r="C1504" s="12" t="n">
        <x:v>3754.9269</x:v>
      </x:c>
      <x:c r="D1504" s="12" t="n">
        <x:v>-0.3205</x:v>
      </x:c>
      <x:c r="E1504" s="12" t="n">
        <x:v>-0.0032100025485567343</x:v>
      </x:c>
      <x:c r="F1504" s="12" t="n">
        <x:v>4.99</x:v>
      </x:c>
      <x:c r="G1504" s="12" t="n">
        <x:v>499</x:v>
      </x:c>
      <x:c r="H1504" s="12" t="n">
        <x:v>10.000000000000057</x:v>
      </x:c>
      <x:c r="I1504" s="12" t="str">
        <x:v>TuShare index_daily</x:v>
      </x:c>
      <x:c r="J1504" s="12" t="str">
        <x:v>Archived FRED mirror (Hugging Face)</x:v>
      </x:c>
    </x:row>
    <x:row r="1505" ht="18" customHeight="1">
      <x:c r="A1505" s="13" t="n">
        <x:v>44858</x:v>
      </x:c>
      <x:c r="B1505" s="12" t="n">
        <x:v>3633.3733</x:v>
      </x:c>
      <x:c r="C1505" s="12" t="n">
        <x:v>3742.8929</x:v>
      </x:c>
      <x:c r="D1505" s="12" t="n">
        <x:v>-2.9261</x:v>
      </x:c>
      <x:c r="E1505" s="12" t="n">
        <x:v>-0.02969731459472971</x:v>
      </x:c>
      <x:c r="F1505" s="12" t="n">
        <x:v>4.91</x:v>
      </x:c>
      <x:c r="G1505" s="12" t="n">
        <x:v>491</x:v>
      </x:c>
      <x:c r="H1505" s="12" t="n">
        <x:v>-8</x:v>
      </x:c>
      <x:c r="I1505" s="12" t="str">
        <x:v>TuShare index_daily</x:v>
      </x:c>
      <x:c r="J1505" s="12" t="str">
        <x:v>Archived FRED mirror (Hugging Face)</x:v>
      </x:c>
    </x:row>
    <x:row r="1506" ht="18" customHeight="1">
      <x:c r="A1506" s="13" t="n">
        <x:v>44859</x:v>
      </x:c>
      <x:c r="B1506" s="12" t="n">
        <x:v>3627.4542</x:v>
      </x:c>
      <x:c r="C1506" s="12" t="n">
        <x:v>3633.3733</x:v>
      </x:c>
      <x:c r="D1506" s="12" t="n">
        <x:v>-0.1629</x:v>
      </x:c>
      <x:c r="E1506" s="12" t="n">
        <x:v>-0.001630420585316052</x:v>
      </x:c>
      <x:c r="F1506" s="12" t="n">
        <x:v>4.88</x:v>
      </x:c>
      <x:c r="G1506" s="12" t="n">
        <x:v>488</x:v>
      </x:c>
      <x:c r="H1506" s="12" t="n">
        <x:v>-3</x:v>
      </x:c>
      <x:c r="I1506" s="12" t="str">
        <x:v>TuShare index_daily</x:v>
      </x:c>
      <x:c r="J1506" s="12" t="str">
        <x:v>Archived FRED mirror (Hugging Face)</x:v>
      </x:c>
    </x:row>
    <x:row r="1507" ht="18" customHeight="1">
      <x:c r="A1507" s="13" t="n">
        <x:v>44860</x:v>
      </x:c>
      <x:c r="B1507" s="12" t="n">
        <x:v>3656.9027</x:v>
      </x:c>
      <x:c r="C1507" s="12" t="n">
        <x:v>3627.4542</x:v>
      </x:c>
      <x:c r="D1507" s="12" t="n">
        <x:v>0.8118</x:v>
      </x:c>
      <x:c r="E1507" s="12" t="n">
        <x:v>0.0080854523840452</x:v>
      </x:c>
      <x:c r="F1507" s="12" t="n">
        <x:v>4.8</x:v>
      </x:c>
      <x:c r="G1507" s="12" t="n">
        <x:v>480</x:v>
      </x:c>
      <x:c r="H1507" s="12" t="n">
        <x:v>-8</x:v>
      </x:c>
      <x:c r="I1507" s="12" t="str">
        <x:v>TuShare index_daily</x:v>
      </x:c>
      <x:c r="J1507" s="12" t="str">
        <x:v>Archived FRED mirror (Hugging Face)</x:v>
      </x:c>
    </x:row>
    <x:row r="1508" ht="18" customHeight="1">
      <x:c r="A1508" s="13" t="n">
        <x:v>44861</x:v>
      </x:c>
      <x:c r="B1508" s="12" t="n">
        <x:v>3631.1448</x:v>
      </x:c>
      <x:c r="C1508" s="12" t="n">
        <x:v>3656.9027</x:v>
      </x:c>
      <x:c r="D1508" s="12" t="n">
        <x:v>-0.7044</x:v>
      </x:c>
      <x:c r="E1508" s="12" t="n">
        <x:v>-0.007068561846897027</x:v>
      </x:c>
      <x:c r="F1508" s="12" t="n">
        <x:v>4.76</x:v>
      </x:c>
      <x:c r="G1508" s="12" t="n">
        <x:v>476</x:v>
      </x:c>
      <x:c r="H1508" s="12" t="n">
        <x:v>-4</x:v>
      </x:c>
      <x:c r="I1508" s="12" t="str">
        <x:v>TuShare index_daily</x:v>
      </x:c>
      <x:c r="J1508" s="12" t="str">
        <x:v>Archived FRED mirror (Hugging Face)</x:v>
      </x:c>
    </x:row>
    <x:row r="1509" ht="18" customHeight="1">
      <x:c r="A1509" s="13" t="n">
        <x:v>44862</x:v>
      </x:c>
      <x:c r="B1509" s="12" t="n">
        <x:v>3541.3295</x:v>
      </x:c>
      <x:c r="C1509" s="12" t="n">
        <x:v>3631.1448</x:v>
      </x:c>
      <x:c r="D1509" s="12" t="n">
        <x:v>-2.4735</x:v>
      </x:c>
      <x:c r="E1509" s="12" t="n">
        <x:v>-0.025045748847757898</x:v>
      </x:c>
      <x:c r="F1509" s="12" t="n">
        <x:v>4.54</x:v>
      </x:c>
      <x:c r="G1509" s="12" t="n">
        <x:v>454</x:v>
      </x:c>
      <x:c r="H1509" s="12" t="n">
        <x:v>-22</x:v>
      </x:c>
      <x:c r="I1509" s="12" t="str">
        <x:v>TuShare index_daily</x:v>
      </x:c>
      <x:c r="J1509" s="12" t="str">
        <x:v>Archived FRED mirror (Hugging Face)</x:v>
      </x:c>
    </x:row>
    <x:row r="1510" ht="18" customHeight="1">
      <x:c r="A1510" s="13" t="n">
        <x:v>44865</x:v>
      </x:c>
      <x:c r="B1510" s="12" t="n">
        <x:v>3508.7034</x:v>
      </x:c>
      <x:c r="C1510" s="12" t="n">
        <x:v>3541.3295</x:v>
      </x:c>
      <x:c r="D1510" s="12" t="n">
        <x:v>-0.9213</x:v>
      </x:c>
      <x:c r="E1510" s="12" t="n">
        <x:v>-0.009255654087809153</x:v>
      </x:c>
      <x:c r="F1510" s="12" t="n">
        <x:v>4.63</x:v>
      </x:c>
      <x:c r="G1510" s="12" t="n">
        <x:v>463</x:v>
      </x:c>
      <x:c r="H1510" s="12" t="n">
        <x:v>9</x:v>
      </x:c>
      <x:c r="I1510" s="12" t="str">
        <x:v>TuShare index_daily</x:v>
      </x:c>
      <x:c r="J1510" s="12" t="str">
        <x:v>Archived FRED mirror (Hugging Face)</x:v>
      </x:c>
    </x:row>
    <x:row r="1511" ht="18" customHeight="1">
      <x:c r="A1511" s="13" t="n">
        <x:v>44866</x:v>
      </x:c>
      <x:c r="B1511" s="12" t="n">
        <x:v>3634.1732</x:v>
      </x:c>
      <x:c r="C1511" s="12" t="n">
        <x:v>3508.7034</x:v>
      </x:c>
      <x:c r="D1511" s="12" t="n">
        <x:v>3.576</x:v>
      </x:c>
      <x:c r="E1511" s="12" t="n">
        <x:v>0.035135062295113866</x:v>
      </x:c>
      <x:c r="F1511" s="12" t="n">
        <x:v>4.61</x:v>
      </x:c>
      <x:c r="G1511" s="12" t="n">
        <x:v>461.00000000000006</x:v>
      </x:c>
      <x:c r="H1511" s="12" t="n">
        <x:v>-1.9999999999999432</x:v>
      </x:c>
      <x:c r="I1511" s="12" t="str">
        <x:v>TuShare index_daily</x:v>
      </x:c>
      <x:c r="J1511" s="12" t="str">
        <x:v>Archived FRED mirror (Hugging Face)</x:v>
      </x:c>
    </x:row>
    <x:row r="1512" ht="18" customHeight="1">
      <x:c r="A1512" s="13" t="n">
        <x:v>44867</x:v>
      </x:c>
      <x:c r="B1512" s="12" t="n">
        <x:v>3677.8051</x:v>
      </x:c>
      <x:c r="C1512" s="12" t="n">
        <x:v>3634.1732</x:v>
      </x:c>
      <x:c r="D1512" s="12" t="n">
        <x:v>1.2006</x:v>
      </x:c>
      <x:c r="E1512" s="12" t="n">
        <x:v>0.011934504204356282</x:v>
      </x:c>
      <x:c r="F1512" s="12" t="n">
        <x:v>4.62</x:v>
      </x:c>
      <x:c r="G1512" s="12" t="n">
        <x:v>462</x:v>
      </x:c>
      <x:c r="H1512" s="12" t="n">
        <x:v>0.9999999999999432</x:v>
      </x:c>
      <x:c r="I1512" s="12" t="str">
        <x:v>TuShare index_daily</x:v>
      </x:c>
      <x:c r="J1512" s="12" t="str">
        <x:v>Archived FRED mirror (Hugging Face)</x:v>
      </x:c>
    </x:row>
    <x:row r="1513" ht="18" customHeight="1">
      <x:c r="A1513" s="13" t="n">
        <x:v>44868</x:v>
      </x:c>
      <x:c r="B1513" s="12" t="n">
        <x:v>3647.8966</x:v>
      </x:c>
      <x:c r="C1513" s="12" t="n">
        <x:v>3677.8051</x:v>
      </x:c>
      <x:c r="D1513" s="12" t="n">
        <x:v>-0.8132</x:v>
      </x:c>
      <x:c r="E1513" s="12" t="n">
        <x:v>-0.008165406510091901</x:v>
      </x:c>
      <x:c r="F1513" s="12" t="n">
        <x:v>4.81</x:v>
      </x:c>
      <x:c r="G1513" s="12" t="n">
        <x:v>480.99999999999994</x:v>
      </x:c>
      <x:c r="H1513" s="12" t="n">
        <x:v>18.999999999999943</x:v>
      </x:c>
      <x:c r="I1513" s="12" t="str">
        <x:v>TuShare index_daily</x:v>
      </x:c>
      <x:c r="J1513" s="12" t="str">
        <x:v>Archived FRED mirror (Hugging Face)</x:v>
      </x:c>
    </x:row>
    <x:row r="1514" ht="18" customHeight="1">
      <x:c r="A1514" s="13" t="n">
        <x:v>44869</x:v>
      </x:c>
      <x:c r="B1514" s="12" t="n">
        <x:v>3767.1746</x:v>
      </x:c>
      <x:c r="C1514" s="12" t="n">
        <x:v>3647.8966</x:v>
      </x:c>
      <x:c r="D1514" s="12" t="n">
        <x:v>3.2698</x:v>
      </x:c>
      <x:c r="E1514" s="12" t="n">
        <x:v>0.032174550004190845</x:v>
      </x:c>
      <x:c r="F1514" s="12" t="n">
        <x:v>4.77</x:v>
      </x:c>
      <x:c r="G1514" s="12" t="n">
        <x:v>476.99999999999994</x:v>
      </x:c>
      <x:c r="H1514" s="12" t="n">
        <x:v>-4</x:v>
      </x:c>
      <x:c r="I1514" s="12" t="str">
        <x:v>TuShare index_daily</x:v>
      </x:c>
      <x:c r="J1514" s="12" t="str">
        <x:v>Archived FRED mirror (Hugging Face)</x:v>
      </x:c>
    </x:row>
    <x:row r="1515" ht="18" customHeight="1">
      <x:c r="A1515" s="13" t="n">
        <x:v>44872</x:v>
      </x:c>
      <x:c r="B1515" s="12" t="n">
        <x:v>3775.2971</x:v>
      </x:c>
      <x:c r="C1515" s="12" t="n">
        <x:v>3767.1746</x:v>
      </x:c>
      <x:c r="D1515" s="12" t="n">
        <x:v>0.2156</x:v>
      </x:c>
      <x:c r="E1515" s="12" t="n">
        <x:v>0.0021538040745810905</x:v>
      </x:c>
      <x:c r="F1515" s="12" t="n">
        <x:v>4.71</x:v>
      </x:c>
      <x:c r="G1515" s="12" t="n">
        <x:v>471</x:v>
      </x:c>
      <x:c r="H1515" s="12" t="n">
        <x:v>-5.999999999999943</x:v>
      </x:c>
      <x:c r="I1515" s="12" t="str">
        <x:v>TuShare index_daily</x:v>
      </x:c>
      <x:c r="J1515" s="12" t="str">
        <x:v>Archived FRED mirror (Hugging Face)</x:v>
      </x:c>
    </x:row>
    <x:row r="1516" ht="18" customHeight="1">
      <x:c r="A1516" s="13" t="n">
        <x:v>44873</x:v>
      </x:c>
      <x:c r="B1516" s="12" t="n">
        <x:v>3749.3251</x:v>
      </x:c>
      <x:c r="C1516" s="12" t="n">
        <x:v>3775.2971</x:v>
      </x:c>
      <x:c r="D1516" s="12" t="n">
        <x:v>-0.6879</x:v>
      </x:c>
      <x:c r="E1516" s="12" t="n">
        <x:v>-0.006903231139061722</x:v>
      </x:c>
      <x:c r="F1516" s="12" t="n">
        <x:v>4.79</x:v>
      </x:c>
      <x:c r="G1516" s="12" t="n">
        <x:v>479</x:v>
      </x:c>
      <x:c r="H1516" s="12" t="n">
        <x:v>8</x:v>
      </x:c>
      <x:c r="I1516" s="12" t="str">
        <x:v>TuShare index_daily</x:v>
      </x:c>
      <x:c r="J1516" s="12" t="str">
        <x:v>Archived FRED mirror (Hugging Face)</x:v>
      </x:c>
    </x:row>
    <x:row r="1517" ht="18" customHeight="1">
      <x:c r="A1517" s="13" t="n">
        <x:v>44874</x:v>
      </x:c>
      <x:c r="B1517" s="12" t="n">
        <x:v>3714.2704</x:v>
      </x:c>
      <x:c r="C1517" s="12" t="n">
        <x:v>3749.3251</x:v>
      </x:c>
      <x:c r="D1517" s="12" t="n">
        <x:v>-0.935</x:v>
      </x:c>
      <x:c r="E1517" s="12" t="n">
        <x:v>-0.00939358457109661</x:v>
      </x:c>
      <x:c r="F1517" s="12" t="n">
        <x:v>4.99</x:v>
      </x:c>
      <x:c r="G1517" s="12" t="n">
        <x:v>499</x:v>
      </x:c>
      <x:c r="H1517" s="12" t="n">
        <x:v>20</x:v>
      </x:c>
      <x:c r="I1517" s="12" t="str">
        <x:v>TuShare index_daily</x:v>
      </x:c>
      <x:c r="J1517" s="12" t="str">
        <x:v>Archived FRED mirror (Hugging Face)</x:v>
      </x:c>
    </x:row>
    <x:row r="1518" ht="18" customHeight="1">
      <x:c r="A1518" s="13" t="n">
        <x:v>44875</x:v>
      </x:c>
      <x:c r="B1518" s="12" t="n">
        <x:v>3685.6885</x:v>
      </x:c>
      <x:c r="C1518" s="12" t="n">
        <x:v>3714.2704</x:v>
      </x:c>
      <x:c r="D1518" s="12" t="n">
        <x:v>-0.7695</x:v>
      </x:c>
      <x:c r="E1518" s="12" t="n">
        <x:v>-0.007724919156991287</x:v>
      </x:c>
      <x:c r="F1518" s="12" t="n">
        <x:v>4.8</x:v>
      </x:c>
      <x:c r="G1518" s="12" t="n">
        <x:v>480</x:v>
      </x:c>
      <x:c r="H1518" s="12" t="n">
        <x:v>-19</x:v>
      </x:c>
      <x:c r="I1518" s="12" t="str">
        <x:v>TuShare index_daily</x:v>
      </x:c>
      <x:c r="J1518" s="12" t="str">
        <x:v>Archived FRED mirror (Hugging Face)</x:v>
      </x:c>
    </x:row>
    <x:row r="1519" ht="18" customHeight="1">
      <x:c r="A1519" s="13" t="n">
        <x:v>44876</x:v>
      </x:c>
      <x:c r="B1519" s="12" t="n">
        <x:v>3788.4387</x:v>
      </x:c>
      <x:c r="C1519" s="12" t="n">
        <x:v>3685.6885</x:v>
      </x:c>
      <x:c r="D1519" s="12" t="n">
        <x:v>2.7878</x:v>
      </x:c>
      <x:c r="E1519" s="12" t="n">
        <x:v>0.027496634988239666</x:v>
      </x:c>
      <x:c r="F1519" s="12" t="n">
        <x:v>4.81</x:v>
      </x:c>
      <x:c r="G1519" s="12" t="n">
        <x:v>480.99999999999994</x:v>
      </x:c>
      <x:c r="H1519" s="12" t="n">
        <x:v>0.9999999999999432</x:v>
      </x:c>
      <x:c r="I1519" s="12" t="str">
        <x:v>TuShare index_daily</x:v>
      </x:c>
      <x:c r="J1519" s="12" t="str">
        <x:v>Archived FRED mirror (Hugging Face)</x:v>
      </x:c>
    </x:row>
    <x:row r="1520" ht="18" customHeight="1">
      <x:c r="A1520" s="13" t="n">
        <x:v>44879</x:v>
      </x:c>
      <x:c r="B1520" s="12" t="n">
        <x:v>3794.0171</x:v>
      </x:c>
      <x:c r="C1520" s="12" t="n">
        <x:v>3788.4387</x:v>
      </x:c>
      <x:c r="D1520" s="12" t="n">
        <x:v>0.1472</x:v>
      </x:c>
      <x:c r="E1520" s="12" t="n">
        <x:v>0.0014713969071710126</x:v>
      </x:c>
      <x:c r="F1520" s="12" t="n">
        <x:v>4.67</x:v>
      </x:c>
      <x:c r="G1520" s="12" t="n">
        <x:v>467</x:v>
      </x:c>
      <x:c r="H1520" s="12" t="n">
        <x:v>-13.999999999999943</x:v>
      </x:c>
      <x:c r="I1520" s="12" t="str">
        <x:v>TuShare index_daily</x:v>
      </x:c>
      <x:c r="J1520" s="12" t="str">
        <x:v>Archived FRED mirror (Hugging Face)</x:v>
      </x:c>
    </x:row>
    <x:row r="1521" ht="18" customHeight="1">
      <x:c r="A1521" s="13" t="n">
        <x:v>44880</x:v>
      </x:c>
      <x:c r="B1521" s="12" t="n">
        <x:v>3865.9726</x:v>
      </x:c>
      <x:c r="C1521" s="12" t="n">
        <x:v>3794.0171</x:v>
      </x:c>
      <x:c r="D1521" s="12" t="n">
        <x:v>1.8966</x:v>
      </x:c>
      <x:c r="E1521" s="12" t="n">
        <x:v>0.018787914712990912</x:v>
      </x:c>
      <x:c r="F1521" s="12" t="n">
        <x:v>4.64</x:v>
      </x:c>
      <x:c r="G1521" s="12" t="n">
        <x:v>463.99999999999994</x:v>
      </x:c>
      <x:c r="H1521" s="12" t="n">
        <x:v>-3.000000000000057</x:v>
      </x:c>
      <x:c r="I1521" s="12" t="str">
        <x:v>TuShare index_daily</x:v>
      </x:c>
      <x:c r="J1521" s="12" t="str">
        <x:v>Archived FRED mirror (Hugging Face)</x:v>
      </x:c>
    </x:row>
    <x:row r="1522" ht="18" customHeight="1">
      <x:c r="A1522" s="13" t="n">
        <x:v>44881</x:v>
      </x:c>
      <x:c r="B1522" s="12" t="n">
        <x:v>3834.3899</x:v>
      </x:c>
      <x:c r="C1522" s="12" t="n">
        <x:v>3865.9726</x:v>
      </x:c>
      <x:c r="D1522" s="12" t="n">
        <x:v>-0.8169</x:v>
      </x:c>
      <x:c r="E1522" s="12" t="n">
        <x:v>-0.00820295852199649</x:v>
      </x:c>
      <x:c r="F1522" s="12" t="n">
        <x:v>4.71</x:v>
      </x:c>
      <x:c r="G1522" s="12" t="n">
        <x:v>471</x:v>
      </x:c>
      <x:c r="H1522" s="12" t="n">
        <x:v>7.000000000000057</x:v>
      </x:c>
      <x:c r="I1522" s="12" t="str">
        <x:v>TuShare index_daily</x:v>
      </x:c>
      <x:c r="J1522" s="12" t="str">
        <x:v>Archived FRED mirror (Hugging Face)</x:v>
      </x:c>
    </x:row>
    <x:row r="1523" ht="18" customHeight="1">
      <x:c r="A1523" s="13" t="n">
        <x:v>44882</x:v>
      </x:c>
      <x:c r="B1523" s="12" t="n">
        <x:v>3818.664</x:v>
      </x:c>
      <x:c r="C1523" s="12" t="n">
        <x:v>3834.3899</x:v>
      </x:c>
      <x:c r="D1523" s="12" t="n">
        <x:v>-0.4101</x:v>
      </x:c>
      <x:c r="E1523" s="12" t="n">
        <x:v>-0.00410971158424564</x:v>
      </x:c>
      <x:c r="F1523" s="12" t="n">
        <x:v>4.75</x:v>
      </x:c>
      <x:c r="G1523" s="12" t="n">
        <x:v>475</x:v>
      </x:c>
      <x:c r="H1523" s="12" t="n">
        <x:v>4</x:v>
      </x:c>
      <x:c r="I1523" s="12" t="str">
        <x:v>TuShare index_daily</x:v>
      </x:c>
      <x:c r="J1523" s="12" t="str">
        <x:v>Archived FRED mirror (Hugging Face)</x:v>
      </x:c>
    </x:row>
    <x:row r="1524" ht="18" customHeight="1">
      <x:c r="A1524" s="13" t="n">
        <x:v>44883</x:v>
      </x:c>
      <x:c r="B1524" s="12" t="n">
        <x:v>3801.5686</x:v>
      </x:c>
      <x:c r="C1524" s="12" t="n">
        <x:v>3818.664</x:v>
      </x:c>
      <x:c r="D1524" s="12" t="n">
        <x:v>-0.4477</x:v>
      </x:c>
      <x:c r="E1524" s="12" t="n">
        <x:v>-0.004486852194025924</x:v>
      </x:c>
      <x:c r="F1524" s="12" t="n">
        <x:v>4.65</x:v>
      </x:c>
      <x:c r="G1524" s="12" t="n">
        <x:v>465.00000000000006</x:v>
      </x:c>
      <x:c r="H1524" s="12" t="n">
        <x:v>-9.999999999999943</x:v>
      </x:c>
      <x:c r="I1524" s="12" t="str">
        <x:v>TuShare index_daily</x:v>
      </x:c>
      <x:c r="J1524" s="12" t="str">
        <x:v>Archived FRED mirror (Hugging Face)</x:v>
      </x:c>
    </x:row>
    <x:row r="1525" ht="18" customHeight="1">
      <x:c r="A1525" s="13" t="n">
        <x:v>44886</x:v>
      </x:c>
      <x:c r="B1525" s="12" t="n">
        <x:v>3769.1269</x:v>
      </x:c>
      <x:c r="C1525" s="12" t="n">
        <x:v>3801.5686</x:v>
      </x:c>
      <x:c r="D1525" s="12" t="n">
        <x:v>-0.8534</x:v>
      </x:c>
      <x:c r="E1525" s="12" t="n">
        <x:v>-0.008570387905360253</x:v>
      </x:c>
      <x:c r="F1525" s="12" t="n">
        <x:v>4.64</x:v>
      </x:c>
      <x:c r="G1525" s="12" t="n">
        <x:v>463.99999999999994</x:v>
      </x:c>
      <x:c r="H1525" s="12" t="n">
        <x:v>-1.0000000000001137</x:v>
      </x:c>
      <x:c r="I1525" s="12" t="str">
        <x:v>TuShare index_daily</x:v>
      </x:c>
      <x:c r="J1525" s="12" t="str">
        <x:v>Archived FRED mirror (Hugging Face)</x:v>
      </x:c>
    </x:row>
    <x:row r="1526" ht="18" customHeight="1">
      <x:c r="A1526" s="13" t="n">
        <x:v>44887</x:v>
      </x:c>
      <x:c r="B1526" s="12" t="n">
        <x:v>3769.5727</x:v>
      </x:c>
      <x:c r="C1526" s="12" t="n">
        <x:v>3769.1269</x:v>
      </x:c>
      <x:c r="D1526" s="12" t="n">
        <x:v>0.0118</x:v>
      </x:c>
      <x:c r="E1526" s="12" t="n">
        <x:v>0.00011826973461562479</x:v>
      </x:c>
      <x:c r="F1526" s="12" t="n">
        <x:v>4.57</x:v>
      </x:c>
      <x:c r="G1526" s="12" t="n">
        <x:v>457</x:v>
      </x:c>
      <x:c r="H1526" s="12" t="n">
        <x:v>-6.999999999999943</x:v>
      </x:c>
      <x:c r="I1526" s="12" t="str">
        <x:v>TuShare index_daily</x:v>
      </x:c>
      <x:c r="J1526" s="12" t="str">
        <x:v>Archived FRED mirror (Hugging Face)</x:v>
      </x:c>
    </x:row>
    <x:row r="1527" ht="18" customHeight="1">
      <x:c r="A1527" s="13" t="n">
        <x:v>44888</x:v>
      </x:c>
      <x:c r="B1527" s="12" t="n">
        <x:v>3773.5287</x:v>
      </x:c>
      <x:c r="C1527" s="12" t="n">
        <x:v>3769.5727</x:v>
      </x:c>
      <x:c r="D1527" s="12" t="n">
        <x:v>0.1049</x:v>
      </x:c>
      <x:c r="E1527" s="12" t="n">
        <x:v>0.0010489055238472717</x:v>
      </x:c>
      <x:c r="F1527" s="12" t="n">
        <x:v>4.51</x:v>
      </x:c>
      <x:c r="G1527" s="12" t="n">
        <x:v>451</x:v>
      </x:c>
      <x:c r="H1527" s="12" t="n">
        <x:v>-6</x:v>
      </x:c>
      <x:c r="I1527" s="12" t="str">
        <x:v>TuShare index_daily</x:v>
      </x:c>
      <x:c r="J1527" s="12" t="str">
        <x:v>Archived FRED mirror (Hugging Face)</x:v>
      </x:c>
    </x:row>
    <x:row r="1528" ht="18" customHeight="1">
      <x:c r="A1528" s="13" t="n">
        <x:v>44889</x:v>
      </x:c>
      <x:c r="B1528" s="12" t="n">
        <x:v>3756.8082</x:v>
      </x:c>
      <x:c r="C1528" s="12" t="n">
        <x:v>3773.5287</x:v>
      </x:c>
      <x:c r="D1528" s="12" t="n">
        <x:v>-0.4431</x:v>
      </x:c>
      <x:c r="E1528" s="12" t="n">
        <x:v>-0.0044408444670989014</x:v>
      </x:c>
      <x:c r="F1528" s="12" t="n">
        <x:v>4.51</x:v>
      </x:c>
      <x:c r="G1528" s="12" t="n">
        <x:v>451</x:v>
      </x:c>
      <x:c r="H1528" s="12" t="n">
        <x:v>0</x:v>
      </x:c>
      <x:c r="I1528" s="12" t="str">
        <x:v>TuShare index_daily</x:v>
      </x:c>
      <x:c r="J1528" s="12" t="str">
        <x:v>Archived FRED mirror (Hugging Face)</x:v>
      </x:c>
    </x:row>
    <x:row r="1529" ht="18" customHeight="1">
      <x:c r="A1529" s="13" t="n">
        <x:v>44890</x:v>
      </x:c>
      <x:c r="B1529" s="12" t="n">
        <x:v>3775.7764</x:v>
      </x:c>
      <x:c r="C1529" s="12" t="n">
        <x:v>3756.8082</x:v>
      </x:c>
      <x:c r="D1529" s="12" t="n">
        <x:v>0.5049</x:v>
      </x:c>
      <x:c r="E1529" s="12" t="n">
        <x:v>0.005036316510325149</x:v>
      </x:c>
      <x:c r="F1529" s="12" t="n">
        <x:v>4.52</x:v>
      </x:c>
      <x:c r="G1529" s="12" t="n">
        <x:v>451.99999999999994</x:v>
      </x:c>
      <x:c r="H1529" s="12" t="n">
        <x:v>0.9999999999999432</x:v>
      </x:c>
      <x:c r="I1529" s="12" t="str">
        <x:v>TuShare index_daily</x:v>
      </x:c>
      <x:c r="J1529" s="12" t="str">
        <x:v>Archived FRED mirror (Hugging Face)</x:v>
      </x:c>
    </x:row>
    <x:row r="1530" ht="18" customHeight="1">
      <x:c r="A1530" s="13" t="n">
        <x:v>44893</x:v>
      </x:c>
      <x:c r="B1530" s="12" t="n">
        <x:v>3733.2424</x:v>
      </x:c>
      <x:c r="C1530" s="12" t="n">
        <x:v>3775.7764</x:v>
      </x:c>
      <x:c r="D1530" s="12" t="n">
        <x:v>-1.1265</x:v>
      </x:c>
      <x:c r="E1530" s="12" t="n">
        <x:v>-0.011328898234774747</x:v>
      </x:c>
      <x:c r="F1530" s="12" t="n">
        <x:v>4.63</x:v>
      </x:c>
      <x:c r="G1530" s="12" t="n">
        <x:v>463</x:v>
      </x:c>
      <x:c r="H1530" s="12" t="n">
        <x:v>11.000000000000057</x:v>
      </x:c>
      <x:c r="I1530" s="12" t="str">
        <x:v>TuShare index_daily</x:v>
      </x:c>
      <x:c r="J1530" s="12" t="str">
        <x:v>Archived FRED mirror (Hugging Face)</x:v>
      </x:c>
    </x:row>
    <x:row r="1531" ht="18" customHeight="1">
      <x:c r="A1531" s="13" t="n">
        <x:v>44894</x:v>
      </x:c>
      <x:c r="B1531" s="12" t="n">
        <x:v>3848.4224</x:v>
      </x:c>
      <x:c r="C1531" s="12" t="n">
        <x:v>3733.2424</x:v>
      </x:c>
      <x:c r="D1531" s="12" t="n">
        <x:v>3.0853</x:v>
      </x:c>
      <x:c r="E1531" s="12" t="n">
        <x:v>0.030386165895360008</x:v>
      </x:c>
      <x:c r="F1531" s="12" t="n">
        <x:v>4.63</x:v>
      </x:c>
      <x:c r="G1531" s="12" t="n">
        <x:v>463</x:v>
      </x:c>
      <x:c r="H1531" s="12" t="n">
        <x:v>0</x:v>
      </x:c>
      <x:c r="I1531" s="12" t="str">
        <x:v>TuShare index_daily</x:v>
      </x:c>
      <x:c r="J1531" s="12" t="str">
        <x:v>Archived FRED mirror (Hugging Face)</x:v>
      </x:c>
    </x:row>
    <x:row r="1532" ht="18" customHeight="1">
      <x:c r="A1532" s="13" t="n">
        <x:v>44895</x:v>
      </x:c>
      <x:c r="B1532" s="12" t="n">
        <x:v>3853.0365</x:v>
      </x:c>
      <x:c r="C1532" s="12" t="n">
        <x:v>3848.4224</x:v>
      </x:c>
      <x:c r="D1532" s="12" t="n">
        <x:v>0.1199</x:v>
      </x:c>
      <x:c r="E1532" s="12" t="n">
        <x:v>0.0011982406481633547</x:v>
      </x:c>
      <x:c r="F1532" s="12" t="n">
        <x:v>4.55</x:v>
      </x:c>
      <x:c r="G1532" s="12" t="n">
        <x:v>455</x:v>
      </x:c>
      <x:c r="H1532" s="12" t="n">
        <x:v>-8</x:v>
      </x:c>
      <x:c r="I1532" s="12" t="str">
        <x:v>TuShare index_daily</x:v>
      </x:c>
      <x:c r="J1532" s="12" t="str">
        <x:v>Archived FRED mirror (Hugging Face)</x:v>
      </x:c>
    </x:row>
    <x:row r="1533" ht="18" customHeight="1">
      <x:c r="A1533" s="13" t="n">
        <x:v>44896</x:v>
      </x:c>
      <x:c r="B1533" s="12" t="n">
        <x:v>3894.7687</x:v>
      </x:c>
      <x:c r="C1533" s="12" t="n">
        <x:v>3853.0365</x:v>
      </x:c>
      <x:c r="D1533" s="12" t="n">
        <x:v>1.0831</x:v>
      </x:c>
      <x:c r="E1533" s="12" t="n">
        <x:v>0.010772754997039927</x:v>
      </x:c>
      <x:c r="F1533" s="12" t="n">
        <x:v>4.48</x:v>
      </x:c>
      <x:c r="G1533" s="12" t="n">
        <x:v>448.00000000000006</x:v>
      </x:c>
      <x:c r="H1533" s="12" t="n">
        <x:v>-6.999999999999943</x:v>
      </x:c>
      <x:c r="I1533" s="12" t="str">
        <x:v>TuShare index_daily</x:v>
      </x:c>
      <x:c r="J1533" s="12" t="str">
        <x:v>Archived FRED mirror (Hugging Face)</x:v>
      </x:c>
    </x:row>
    <x:row r="1534" ht="18" customHeight="1">
      <x:c r="A1534" s="13" t="n">
        <x:v>44897</x:v>
      </x:c>
      <x:c r="B1534" s="12" t="n">
        <x:v>3870.9478</x:v>
      </x:c>
      <x:c r="C1534" s="12" t="n">
        <x:v>3894.7687</x:v>
      </x:c>
      <x:c r="D1534" s="12" t="n">
        <x:v>-0.6116</x:v>
      </x:c>
      <x:c r="E1534" s="12" t="n">
        <x:v>-0.006134907117042015</x:v>
      </x:c>
      <x:c r="F1534" s="12" t="n">
        <x:v>4.5</x:v>
      </x:c>
      <x:c r="G1534" s="12" t="n">
        <x:v>450</x:v>
      </x:c>
      <x:c r="H1534" s="12" t="n">
        <x:v>1.9999999999999432</x:v>
      </x:c>
      <x:c r="I1534" s="12" t="str">
        <x:v>TuShare index_daily</x:v>
      </x:c>
      <x:c r="J1534" s="12" t="str">
        <x:v>Archived FRED mirror (Hugging Face)</x:v>
      </x:c>
    </x:row>
    <x:row r="1535" ht="18" customHeight="1">
      <x:c r="A1535" s="13" t="n">
        <x:v>44900</x:v>
      </x:c>
      <x:c r="B1535" s="12" t="n">
        <x:v>3946.8759</x:v>
      </x:c>
      <x:c r="C1535" s="12" t="n">
        <x:v>3870.9478</x:v>
      </x:c>
      <x:c r="D1535" s="12" t="n">
        <x:v>1.9615</x:v>
      </x:c>
      <x:c r="E1535" s="12" t="n">
        <x:v>0.019424967968233346</x:v>
      </x:c>
      <x:c r="F1535" s="12" t="n">
        <x:v>4.43</x:v>
      </x:c>
      <x:c r="G1535" s="12" t="n">
        <x:v>443</x:v>
      </x:c>
      <x:c r="H1535" s="12" t="n">
        <x:v>-7</x:v>
      </x:c>
      <x:c r="I1535" s="12" t="str">
        <x:v>TuShare index_daily</x:v>
      </x:c>
      <x:c r="J1535" s="12" t="str">
        <x:v>Archived FRED mirror (Hugging Face)</x:v>
      </x:c>
    </x:row>
    <x:row r="1536" ht="18" customHeight="1">
      <x:c r="A1536" s="13" t="n">
        <x:v>44901</x:v>
      </x:c>
      <x:c r="B1536" s="12" t="n">
        <x:v>3968.1979</x:v>
      </x:c>
      <x:c r="C1536" s="12" t="n">
        <x:v>3946.8759</x:v>
      </x:c>
      <x:c r="D1536" s="12" t="n">
        <x:v>0.5402</x:v>
      </x:c>
      <x:c r="E1536" s="12" t="n">
        <x:v>0.005387707585699159</x:v>
      </x:c>
      <x:c r="F1536" s="12" t="n">
        <x:v>4.57</x:v>
      </x:c>
      <x:c r="G1536" s="12" t="n">
        <x:v>457</x:v>
      </x:c>
      <x:c r="H1536" s="12" t="n">
        <x:v>14</x:v>
      </x:c>
      <x:c r="I1536" s="12" t="str">
        <x:v>TuShare index_daily</x:v>
      </x:c>
      <x:c r="J1536" s="12" t="str">
        <x:v>Archived FRED mirror (Hugging Face)</x:v>
      </x:c>
    </x:row>
    <x:row r="1537" ht="18" customHeight="1">
      <x:c r="A1537" s="13" t="n">
        <x:v>44902</x:v>
      </x:c>
      <x:c r="B1537" s="12" t="n">
        <x:v>3958.4409</x:v>
      </x:c>
      <x:c r="C1537" s="12" t="n">
        <x:v>3968.1979</x:v>
      </x:c>
      <x:c r="D1537" s="12" t="n">
        <x:v>-0.2459</x:v>
      </x:c>
      <x:c r="E1537" s="12" t="n">
        <x:v>-0.002461826550684833</x:v>
      </x:c>
      <x:c r="F1537" s="12" t="n">
        <x:v>4.68</x:v>
      </x:c>
      <x:c r="G1537" s="12" t="n">
        <x:v>468</x:v>
      </x:c>
      <x:c r="H1537" s="12" t="n">
        <x:v>11</x:v>
      </x:c>
      <x:c r="I1537" s="12" t="str">
        <x:v>TuShare index_daily</x:v>
      </x:c>
      <x:c r="J1537" s="12" t="str">
        <x:v>Archived FRED mirror (Hugging Face)</x:v>
      </x:c>
    </x:row>
    <x:row r="1538" ht="18" customHeight="1">
      <x:c r="A1538" s="13" t="n">
        <x:v>44903</x:v>
      </x:c>
      <x:c r="B1538" s="12" t="n">
        <x:v>3959.1798</x:v>
      </x:c>
      <x:c r="C1538" s="12" t="n">
        <x:v>3958.4409</x:v>
      </x:c>
      <x:c r="D1538" s="12" t="n">
        <x:v>0.0187</x:v>
      </x:c>
      <x:c r="E1538" s="12" t="n">
        <x:v>0.00018664698149652585</x:v>
      </x:c>
      <x:c r="F1538" s="12" t="n">
        <x:v>4.55</x:v>
      </x:c>
      <x:c r="G1538" s="12" t="n">
        <x:v>455</x:v>
      </x:c>
      <x:c r="H1538" s="12" t="n">
        <x:v>-13</x:v>
      </x:c>
      <x:c r="I1538" s="12" t="str">
        <x:v>TuShare index_daily</x:v>
      </x:c>
      <x:c r="J1538" s="12" t="str">
        <x:v>Archived FRED mirror (Hugging Face)</x:v>
      </x:c>
    </x:row>
    <x:row r="1539" ht="18" customHeight="1">
      <x:c r="A1539" s="13" t="n">
        <x:v>44904</x:v>
      </x:c>
      <x:c r="B1539" s="12" t="n">
        <x:v>3998.2442</x:v>
      </x:c>
      <x:c r="C1539" s="12" t="n">
        <x:v>3959.1798</x:v>
      </x:c>
      <x:c r="D1539" s="12" t="n">
        <x:v>0.9867</x:v>
      </x:c>
      <x:c r="E1539" s="12" t="n">
        <x:v>0.00981843215143076</x:v>
      </x:c>
      <x:c r="F1539" s="12" t="n">
        <x:v>4.46</x:v>
      </x:c>
      <x:c r="G1539" s="12" t="n">
        <x:v>446</x:v>
      </x:c>
      <x:c r="H1539" s="12" t="n">
        <x:v>-9</x:v>
      </x:c>
      <x:c r="I1539" s="12" t="str">
        <x:v>TuShare index_daily</x:v>
      </x:c>
      <x:c r="J1539" s="12" t="str">
        <x:v>Archived FRED mirror (Hugging Face)</x:v>
      </x:c>
    </x:row>
    <x:row r="1540" ht="18" customHeight="1">
      <x:c r="A1540" s="13" t="n">
        <x:v>44907</x:v>
      </x:c>
      <x:c r="B1540" s="12" t="n">
        <x:v>3953.4433</x:v>
      </x:c>
      <x:c r="C1540" s="12" t="n">
        <x:v>3998.2442</x:v>
      </x:c>
      <x:c r="D1540" s="12" t="n">
        <x:v>-1.1205</x:v>
      </x:c>
      <x:c r="E1540" s="12" t="n">
        <x:v>-0.011268394049661413</x:v>
      </x:c>
      <x:c r="F1540" s="12" t="n">
        <x:v>4.4</x:v>
      </x:c>
      <x:c r="G1540" s="12" t="n">
        <x:v>440.00000000000006</x:v>
      </x:c>
      <x:c r="H1540" s="12" t="n">
        <x:v>-5.999999999999943</x:v>
      </x:c>
      <x:c r="I1540" s="12" t="str">
        <x:v>TuShare index_daily</x:v>
      </x:c>
      <x:c r="J1540" s="12" t="str">
        <x:v>Archived FRED mirror (Hugging Face)</x:v>
      </x:c>
    </x:row>
    <x:row r="1541" ht="18" customHeight="1">
      <x:c r="A1541" s="13" t="n">
        <x:v>44908</x:v>
      </x:c>
      <x:c r="B1541" s="12" t="n">
        <x:v>3945.6813</x:v>
      </x:c>
      <x:c r="C1541" s="12" t="n">
        <x:v>3953.4433</x:v>
      </x:c>
      <x:c r="D1541" s="12" t="n">
        <x:v>-0.1963</x:v>
      </x:c>
      <x:c r="E1541" s="12" t="n">
        <x:v>-0.0019652816967299248</x:v>
      </x:c>
      <x:c r="F1541" s="12" t="n">
        <x:v>4.34</x:v>
      </x:c>
      <x:c r="G1541" s="12" t="n">
        <x:v>434</x:v>
      </x:c>
      <x:c r="H1541" s="12" t="n">
        <x:v>-6.000000000000057</x:v>
      </x:c>
      <x:c r="I1541" s="12" t="str">
        <x:v>TuShare index_daily</x:v>
      </x:c>
      <x:c r="J1541" s="12" t="str">
        <x:v>Archived FRED mirror (Hugging Face)</x:v>
      </x:c>
    </x:row>
    <x:row r="1542" ht="18" customHeight="1">
      <x:c r="A1542" s="13" t="n">
        <x:v>44909</x:v>
      </x:c>
      <x:c r="B1542" s="12" t="n">
        <x:v>3954.8857</x:v>
      </x:c>
      <x:c r="C1542" s="12" t="n">
        <x:v>3945.6813</x:v>
      </x:c>
      <x:c r="D1542" s="12" t="n">
        <x:v>0.2333</x:v>
      </x:c>
      <x:c r="E1542" s="12" t="n">
        <x:v>0.002330061668831265</x:v>
      </x:c>
      <x:c r="F1542" s="12" t="n">
        <x:v>4.37</x:v>
      </x:c>
      <x:c r="G1542" s="12" t="n">
        <x:v>437</x:v>
      </x:c>
      <x:c r="H1542" s="12" t="n">
        <x:v>3</x:v>
      </x:c>
      <x:c r="I1542" s="12" t="str">
        <x:v>TuShare index_daily</x:v>
      </x:c>
      <x:c r="J1542" s="12" t="str">
        <x:v>Archived FRED mirror (Hugging Face)</x:v>
      </x:c>
    </x:row>
    <x:row r="1543" ht="18" customHeight="1">
      <x:c r="A1543" s="13" t="n">
        <x:v>44910</x:v>
      </x:c>
      <x:c r="B1543" s="12" t="n">
        <x:v>3951.9885</x:v>
      </x:c>
      <x:c r="C1543" s="12" t="n">
        <x:v>3954.8857</x:v>
      </x:c>
      <x:c r="D1543" s="12" t="n">
        <x:v>-0.0733</x:v>
      </x:c>
      <x:c r="E1543" s="12" t="n">
        <x:v>-0.0007328307132189436</x:v>
      </x:c>
      <x:c r="F1543" s="12" t="n">
        <x:v>4.54</x:v>
      </x:c>
      <x:c r="G1543" s="12" t="n">
        <x:v>454</x:v>
      </x:c>
      <x:c r="H1543" s="12" t="n">
        <x:v>17</x:v>
      </x:c>
      <x:c r="I1543" s="12" t="str">
        <x:v>TuShare index_daily</x:v>
      </x:c>
      <x:c r="J1543" s="12" t="str">
        <x:v>Archived FRED mirror (Hugging Face)</x:v>
      </x:c>
    </x:row>
    <x:row r="1544" ht="18" customHeight="1">
      <x:c r="A1544" s="13" t="n">
        <x:v>44911</x:v>
      </x:c>
      <x:c r="B1544" s="12" t="n">
        <x:v>3954.227</x:v>
      </x:c>
      <x:c r="C1544" s="12" t="n">
        <x:v>3951.9885</x:v>
      </x:c>
      <x:c r="D1544" s="12" t="n">
        <x:v>0.0566</x:v>
      </x:c>
      <x:c r="E1544" s="12" t="n">
        <x:v>0.0005662633556637898</x:v>
      </x:c>
      <x:c r="F1544" s="12" t="n">
        <x:v>4.67</x:v>
      </x:c>
      <x:c r="G1544" s="12" t="n">
        <x:v>467</x:v>
      </x:c>
      <x:c r="H1544" s="12" t="n">
        <x:v>13</x:v>
      </x:c>
      <x:c r="I1544" s="12" t="str">
        <x:v>TuShare index_daily</x:v>
      </x:c>
      <x:c r="J1544" s="12" t="str">
        <x:v>Archived FRED mirror (Hugging Face)</x:v>
      </x:c>
    </x:row>
    <x:row r="1545" ht="18" customHeight="1">
      <x:c r="A1545" s="13" t="n">
        <x:v>44914</x:v>
      </x:c>
      <x:c r="B1545" s="12" t="n">
        <x:v>3893.2207</x:v>
      </x:c>
      <x:c r="C1545" s="12" t="n">
        <x:v>3954.227</x:v>
      </x:c>
      <x:c r="D1545" s="12" t="n">
        <x:v>-1.5428</x:v>
      </x:c>
      <x:c r="E1545" s="12" t="n">
        <x:v>-0.015548374799046806</x:v>
      </x:c>
      <x:c r="F1545" s="12" t="n">
        <x:v>4.67</x:v>
      </x:c>
      <x:c r="G1545" s="12" t="n">
        <x:v>467</x:v>
      </x:c>
      <x:c r="H1545" s="12" t="n">
        <x:v>0</x:v>
      </x:c>
      <x:c r="I1545" s="12" t="str">
        <x:v>TuShare index_daily</x:v>
      </x:c>
      <x:c r="J1545" s="12" t="str">
        <x:v>Archived FRED mirror (Hugging Face)</x:v>
      </x:c>
    </x:row>
    <x:row r="1546" ht="18" customHeight="1">
      <x:c r="A1546" s="13" t="n">
        <x:v>44915</x:v>
      </x:c>
      <x:c r="B1546" s="12" t="n">
        <x:v>3829.0173</x:v>
      </x:c>
      <x:c r="C1546" s="12" t="n">
        <x:v>3893.2207</x:v>
      </x:c>
      <x:c r="D1546" s="12" t="n">
        <x:v>-1.6491</x:v>
      </x:c>
      <x:c r="E1546" s="12" t="n">
        <x:v>-0.01662856788307226</x:v>
      </x:c>
      <x:c r="F1546" s="12" t="n">
        <x:v>4.68</x:v>
      </x:c>
      <x:c r="G1546" s="12" t="n">
        <x:v>468</x:v>
      </x:c>
      <x:c r="H1546" s="12" t="n">
        <x:v>1</x:v>
      </x:c>
      <x:c r="I1546" s="12" t="str">
        <x:v>TuShare index_daily</x:v>
      </x:c>
      <x:c r="J1546" s="12" t="str">
        <x:v>Archived FRED mirror (Hugging Face)</x:v>
      </x:c>
    </x:row>
    <x:row r="1547" ht="18" customHeight="1">
      <x:c r="A1547" s="13" t="n">
        <x:v>44916</x:v>
      </x:c>
      <x:c r="B1547" s="12" t="n">
        <x:v>3830.5384</x:v>
      </x:c>
      <x:c r="C1547" s="12" t="n">
        <x:v>3829.0173</x:v>
      </x:c>
      <x:c r="D1547" s="12" t="n">
        <x:v>0.0397</x:v>
      </x:c>
      <x:c r="E1547" s="12" t="n">
        <x:v>0.0003971770895265506</x:v>
      </x:c>
      <x:c r="F1547" s="12" t="n">
        <x:v>4.56</x:v>
      </x:c>
      <x:c r="G1547" s="12" t="n">
        <x:v>455.99999999999994</x:v>
      </x:c>
      <x:c r="H1547" s="12" t="n">
        <x:v>-12.000000000000057</x:v>
      </x:c>
      <x:c r="I1547" s="12" t="str">
        <x:v>TuShare index_daily</x:v>
      </x:c>
      <x:c r="J1547" s="12" t="str">
        <x:v>Archived FRED mirror (Hugging Face)</x:v>
      </x:c>
    </x:row>
    <x:row r="1548" ht="18" customHeight="1">
      <x:c r="A1548" s="13" t="n">
        <x:v>44917</x:v>
      </x:c>
      <x:c r="B1548" s="12" t="n">
        <x:v>3836.028</x:v>
      </x:c>
      <x:c r="C1548" s="12" t="n">
        <x:v>3830.5384</x:v>
      </x:c>
      <x:c r="D1548" s="12" t="n">
        <x:v>0.1433</x:v>
      </x:c>
      <x:c r="E1548" s="12" t="n">
        <x:v>0.0014320885391947411</x:v>
      </x:c>
      <x:c r="F1548" s="12" t="n">
        <x:v>4.61</x:v>
      </x:c>
      <x:c r="G1548" s="12" t="n">
        <x:v>461.00000000000006</x:v>
      </x:c>
      <x:c r="H1548" s="12" t="n">
        <x:v>5.000000000000114</x:v>
      </x:c>
      <x:c r="I1548" s="12" t="str">
        <x:v>TuShare index_daily</x:v>
      </x:c>
      <x:c r="J1548" s="12" t="str">
        <x:v>Archived FRED mirror (Hugging Face)</x:v>
      </x:c>
    </x:row>
    <x:row r="1549" ht="18" customHeight="1">
      <x:c r="A1549" s="13" t="n">
        <x:v>44918</x:v>
      </x:c>
      <x:c r="B1549" s="12" t="n">
        <x:v>3828.2188</x:v>
      </x:c>
      <x:c r="C1549" s="12" t="n">
        <x:v>3836.028</x:v>
      </x:c>
      <x:c r="D1549" s="12" t="n">
        <x:v>-0.2036</x:v>
      </x:c>
      <x:c r="E1549" s="12" t="n">
        <x:v>-0.0020378265226173122</x:v>
      </x:c>
      <x:c r="F1549" s="12" t="n">
        <x:v>4.59</x:v>
      </x:c>
      <x:c r="G1549" s="12" t="n">
        <x:v>459</x:v>
      </x:c>
      <x:c r="H1549" s="12" t="n">
        <x:v>-2.000000000000057</x:v>
      </x:c>
      <x:c r="I1549" s="12" t="str">
        <x:v>TuShare index_daily</x:v>
      </x:c>
      <x:c r="J1549" s="12" t="str">
        <x:v>Archived FRED mirror (Hugging Face)</x:v>
      </x:c>
    </x:row>
    <x:row r="1550" ht="18" customHeight="1">
      <x:c r="A1550" s="13" t="n">
        <x:v>44922</x:v>
      </x:c>
      <x:c r="B1550" s="12" t="n">
        <x:v>3887.854</x:v>
      </x:c>
      <x:c r="C1550" s="12" t="n">
        <x:v>3843.4887</x:v>
      </x:c>
      <x:c r="D1550" s="12" t="n">
        <x:v>1.1543</x:v>
      </x:c>
      <x:c r="E1550" s="12" t="n">
        <x:v>0.011476864678682468</x:v>
      </x:c>
      <x:c r="F1550" s="12" t="n">
        <x:v>4.55</x:v>
      </x:c>
      <x:c r="G1550" s="12" t="n">
        <x:v>455</x:v>
      </x:c>
      <x:c r="H1550" s="12" t="n">
        <x:v>-4</x:v>
      </x:c>
      <x:c r="I1550" s="12" t="str">
        <x:v>TuShare index_daily</x:v>
      </x:c>
      <x:c r="J1550" s="12" t="str">
        <x:v>Archived FRED mirror (Hugging Face)</x:v>
      </x:c>
    </x:row>
    <x:row r="1551" ht="18" customHeight="1">
      <x:c r="A1551" s="13" t="n">
        <x:v>44923</x:v>
      </x:c>
      <x:c r="B1551" s="12" t="n">
        <x:v>3871.2644</x:v>
      </x:c>
      <x:c r="C1551" s="12" t="n">
        <x:v>3887.854</x:v>
      </x:c>
      <x:c r="D1551" s="12" t="n">
        <x:v>-0.4267</x:v>
      </x:c>
      <x:c r="E1551" s="12" t="n">
        <x:v>-0.004276162425663309</x:v>
      </x:c>
      <x:c r="F1551" s="12" t="n">
        <x:v>4.77</x:v>
      </x:c>
      <x:c r="G1551" s="12" t="n">
        <x:v>476.99999999999994</x:v>
      </x:c>
      <x:c r="H1551" s="12" t="n">
        <x:v>21.999999999999943</x:v>
      </x:c>
      <x:c r="I1551" s="12" t="str">
        <x:v>TuShare index_daily</x:v>
      </x:c>
      <x:c r="J1551" s="12" t="str">
        <x:v>Archived FRED mirror (Hugging Face)</x:v>
      </x:c>
    </x:row>
    <x:row r="1552" ht="18" customHeight="1">
      <x:c r="A1552" s="13" t="n">
        <x:v>44924</x:v>
      </x:c>
      <x:c r="B1552" s="12" t="n">
        <x:v>3856.7007</x:v>
      </x:c>
      <x:c r="C1552" s="12" t="n">
        <x:v>3871.2644</x:v>
      </x:c>
      <x:c r="D1552" s="12" t="n">
        <x:v>-0.3762</x:v>
      </x:c>
      <x:c r="E1552" s="12" t="n">
        <x:v>-0.0037690949823474674</x:v>
      </x:c>
      <x:c r="F1552" s="12" t="n">
        <x:v>4.81</x:v>
      </x:c>
      <x:c r="G1552" s="12" t="n">
        <x:v>480.99999999999994</x:v>
      </x:c>
      <x:c r="H1552" s="12" t="n">
        <x:v>4</x:v>
      </x:c>
      <x:c r="I1552" s="12" t="str">
        <x:v>TuShare index_daily</x:v>
      </x:c>
      <x:c r="J1552" s="12" t="str">
        <x:v>Archived FRED mirror (Hugging Face)</x:v>
      </x:c>
    </x:row>
    <x:row r="1553" ht="18" customHeight="1">
      <x:c r="A1553" s="13" t="n">
        <x:v>44925</x:v>
      </x:c>
      <x:c r="B1553" s="12" t="n">
        <x:v>3871.6338</x:v>
      </x:c>
      <x:c r="C1553" s="12" t="n">
        <x:v>3856.7007</x:v>
      </x:c>
      <x:c r="D1553" s="12" t="n">
        <x:v>0.3872</x:v>
      </x:c>
      <x:c r="E1553" s="12" t="n">
        <x:v>0.003864511450635922</x:v>
      </x:c>
      <x:c r="F1553" s="12" t="n">
        <x:v>4.79</x:v>
      </x:c>
      <x:c r="G1553" s="12" t="n">
        <x:v>479</x:v>
      </x:c>
      <x:c r="H1553" s="12" t="n">
        <x:v>-1.9999999999999432</x:v>
      </x:c>
      <x:c r="I1553" s="12" t="str">
        <x:v>TuShare index_daily</x:v>
      </x:c>
      <x:c r="J1553" s="12" t="str">
        <x:v>Archived FRED mirror (Hugging Face)</x:v>
      </x:c>
    </x:row>
    <x:row r="1554" ht="18" customHeight="1">
      <x:c r="A1554" s="13" t="n">
        <x:v>44929</x:v>
      </x:c>
      <x:c r="B1554" s="12" t="n">
        <x:v>3887.8992</x:v>
      </x:c>
      <x:c r="C1554" s="12" t="n">
        <x:v>3871.6338</x:v>
      </x:c>
      <x:c r="D1554" s="12" t="n">
        <x:v>0.4201</x:v>
      </x:c>
      <x:c r="E1554" s="12" t="n">
        <x:v>0.004192371840768464</x:v>
      </x:c>
      <x:c r="F1554" s="12" t="n">
        <x:v>4.7</x:v>
      </x:c>
      <x:c r="G1554" s="12" t="n">
        <x:v>470</x:v>
      </x:c>
      <x:c r="H1554" s="12" t="n">
        <x:v>-10.999999999999943</x:v>
      </x:c>
      <x:c r="I1554" s="12" t="str">
        <x:v>TuShare index_daily</x:v>
      </x:c>
      <x:c r="J1554" s="12" t="str">
        <x:v>Archived FRED mirror (Hugging Face)</x:v>
      </x:c>
    </x:row>
    <x:row r="1555" ht="18" customHeight="1">
      <x:c r="A1555" s="13" t="n">
        <x:v>44930</x:v>
      </x:c>
      <x:c r="B1555" s="12" t="n">
        <x:v>3892.9477</x:v>
      </x:c>
      <x:c r="C1555" s="12" t="n">
        <x:v>3887.8992</x:v>
      </x:c>
      <x:c r="D1555" s="12" t="n">
        <x:v>0.1299</x:v>
      </x:c>
      <x:c r="E1555" s="12" t="n">
        <x:v>0.0012976738325117976</x:v>
      </x:c>
      <x:c r="F1555" s="12" t="n">
        <x:v>4.62</x:v>
      </x:c>
      <x:c r="G1555" s="12" t="n">
        <x:v>462</x:v>
      </x:c>
      <x:c r="H1555" s="12" t="n">
        <x:v>-8</x:v>
      </x:c>
      <x:c r="I1555" s="12" t="str">
        <x:v>TuShare index_daily</x:v>
      </x:c>
      <x:c r="J1555" s="12" t="str">
        <x:v>Archived FRED mirror (Hugging Face)</x:v>
      </x:c>
    </x:row>
    <x:row r="1556" ht="18" customHeight="1">
      <x:c r="A1556" s="13" t="n">
        <x:v>44931</x:v>
      </x:c>
      <x:c r="B1556" s="12" t="n">
        <x:v>3968.5782</x:v>
      </x:c>
      <x:c r="C1556" s="12" t="n">
        <x:v>3892.9477</x:v>
      </x:c>
      <x:c r="D1556" s="12" t="n">
        <x:v>1.9428</x:v>
      </x:c>
      <x:c r="E1556" s="12" t="n">
        <x:v>0.019241260364231842</x:v>
      </x:c>
      <x:c r="F1556" s="12" t="n">
        <x:v>4.58</x:v>
      </x:c>
      <x:c r="G1556" s="12" t="n">
        <x:v>458</x:v>
      </x:c>
      <x:c r="H1556" s="12" t="n">
        <x:v>-4</x:v>
      </x:c>
      <x:c r="I1556" s="12" t="str">
        <x:v>TuShare index_daily</x:v>
      </x:c>
      <x:c r="J1556" s="12" t="str">
        <x:v>Archived FRED mirror (Hugging Face)</x:v>
      </x:c>
    </x:row>
    <x:row r="1557" ht="18" customHeight="1">
      <x:c r="A1557" s="13" t="n">
        <x:v>44932</x:v>
      </x:c>
      <x:c r="B1557" s="12" t="n">
        <x:v>3980.8888</x:v>
      </x:c>
      <x:c r="C1557" s="12" t="n">
        <x:v>3968.5782</x:v>
      </x:c>
      <x:c r="D1557" s="12" t="n">
        <x:v>0.3102</x:v>
      </x:c>
      <x:c r="E1557" s="12" t="n">
        <x:v>0.0030972164148969136</x:v>
      </x:c>
      <x:c r="F1557" s="12" t="n">
        <x:v>4.47</x:v>
      </x:c>
      <x:c r="G1557" s="12" t="n">
        <x:v>447</x:v>
      </x:c>
      <x:c r="H1557" s="12" t="n">
        <x:v>-11</x:v>
      </x:c>
      <x:c r="I1557" s="12" t="str">
        <x:v>TuShare index_daily</x:v>
      </x:c>
      <x:c r="J1557" s="12" t="str">
        <x:v>Archived FRED mirror (Hugging Face)</x:v>
      </x:c>
    </x:row>
    <x:row r="1558" ht="18" customHeight="1">
      <x:c r="A1558" s="13" t="n">
        <x:v>44935</x:v>
      </x:c>
      <x:c r="B1558" s="12" t="n">
        <x:v>4013.1196</x:v>
      </x:c>
      <x:c r="C1558" s="12" t="n">
        <x:v>3980.8888</x:v>
      </x:c>
      <x:c r="D1558" s="12" t="n">
        <x:v>0.8096</x:v>
      </x:c>
      <x:c r="E1558" s="12" t="n">
        <x:v>0.008063783032646063</x:v>
      </x:c>
      <x:c r="F1558" s="12" t="n">
        <x:v>4.37</x:v>
      </x:c>
      <x:c r="G1558" s="12" t="n">
        <x:v>437</x:v>
      </x:c>
      <x:c r="H1558" s="12" t="n">
        <x:v>-10</x:v>
      </x:c>
      <x:c r="I1558" s="12" t="str">
        <x:v>TuShare index_daily</x:v>
      </x:c>
      <x:c r="J1558" s="12" t="str">
        <x:v>Archived FRED mirror (Hugging Face)</x:v>
      </x:c>
    </x:row>
    <x:row r="1559" ht="18" customHeight="1">
      <x:c r="A1559" s="13" t="n">
        <x:v>44936</x:v>
      </x:c>
      <x:c r="B1559" s="12" t="n">
        <x:v>4017.4737</x:v>
      </x:c>
      <x:c r="C1559" s="12" t="n">
        <x:v>4013.1196</x:v>
      </x:c>
      <x:c r="D1559" s="12" t="n">
        <x:v>0.1085</x:v>
      </x:c>
      <x:c r="E1559" s="12" t="n">
        <x:v>0.001084378267956015</x:v>
      </x:c>
      <x:c r="F1559" s="12" t="n">
        <x:v>4.33</x:v>
      </x:c>
      <x:c r="G1559" s="12" t="n">
        <x:v>433</x:v>
      </x:c>
      <x:c r="H1559" s="12" t="n">
        <x:v>-4</x:v>
      </x:c>
      <x:c r="I1559" s="12" t="str">
        <x:v>TuShare index_daily</x:v>
      </x:c>
      <x:c r="J1559" s="12" t="str">
        <x:v>Archived FRED mirror (Hugging Face)</x:v>
      </x:c>
    </x:row>
    <x:row r="1560" ht="18" customHeight="1">
      <x:c r="A1560" s="13" t="n">
        <x:v>44937</x:v>
      </x:c>
      <x:c r="B1560" s="12" t="n">
        <x:v>4010.0309</x:v>
      </x:c>
      <x:c r="C1560" s="12" t="n">
        <x:v>4017.4737</x:v>
      </x:c>
      <x:c r="D1560" s="12" t="n">
        <x:v>-0.1853</x:v>
      </x:c>
      <x:c r="E1560" s="12" t="n">
        <x:v>-0.0018543252239770138</x:v>
      </x:c>
      <x:c r="F1560" s="12" t="n">
        <x:v>4.3</x:v>
      </x:c>
      <x:c r="G1560" s="12" t="n">
        <x:v>430</x:v>
      </x:c>
      <x:c r="H1560" s="12" t="n">
        <x:v>-3</x:v>
      </x:c>
      <x:c r="I1560" s="12" t="str">
        <x:v>TuShare index_daily</x:v>
      </x:c>
      <x:c r="J1560" s="12" t="str">
        <x:v>Archived FRED mirror (Hugging Face)</x:v>
      </x:c>
    </x:row>
    <x:row r="1561" ht="18" customHeight="1">
      <x:c r="A1561" s="13" t="n">
        <x:v>44938</x:v>
      </x:c>
      <x:c r="B1561" s="12" t="n">
        <x:v>4017.8692</x:v>
      </x:c>
      <x:c r="C1561" s="12" t="n">
        <x:v>4010.0309</x:v>
      </x:c>
      <x:c r="D1561" s="12" t="n">
        <x:v>0.1955</x:v>
      </x:c>
      <x:c r="E1561" s="12" t="n">
        <x:v>0.0019527653292073786</x:v>
      </x:c>
      <x:c r="F1561" s="12" t="n">
        <x:v>4.29</x:v>
      </x:c>
      <x:c r="G1561" s="12" t="n">
        <x:v>429</x:v>
      </x:c>
      <x:c r="H1561" s="12" t="n">
        <x:v>-1</x:v>
      </x:c>
      <x:c r="I1561" s="12" t="str">
        <x:v>TuShare index_daily</x:v>
      </x:c>
      <x:c r="J1561" s="12" t="str">
        <x:v>Archived FRED mirror (Hugging Face)</x:v>
      </x:c>
    </x:row>
    <x:row r="1562" ht="18" customHeight="1">
      <x:c r="A1562" s="13" t="n">
        <x:v>44939</x:v>
      </x:c>
      <x:c r="B1562" s="12" t="n">
        <x:v>4074.3772</x:v>
      </x:c>
      <x:c r="C1562" s="12" t="n">
        <x:v>4017.8692</x:v>
      </x:c>
      <x:c r="D1562" s="12" t="n">
        <x:v>1.4064</x:v>
      </x:c>
      <x:c r="E1562" s="12" t="n">
        <x:v>0.013966188302980416</x:v>
      </x:c>
      <x:c r="F1562" s="12" t="n">
        <x:v>4.21</x:v>
      </x:c>
      <x:c r="G1562" s="12" t="n">
        <x:v>421</x:v>
      </x:c>
      <x:c r="H1562" s="12" t="n">
        <x:v>-8</x:v>
      </x:c>
      <x:c r="I1562" s="12" t="str">
        <x:v>TuShare index_daily</x:v>
      </x:c>
      <x:c r="J1562" s="12" t="str">
        <x:v>Archived FRED mirror (Hugging Face)</x:v>
      </x:c>
    </x:row>
    <x:row r="1563" ht="18" customHeight="1">
      <x:c r="A1563" s="13" t="n">
        <x:v>44942</x:v>
      </x:c>
      <x:c r="B1563" s="12" t="n">
        <x:v>4137.9643</x:v>
      </x:c>
      <x:c r="C1563" s="12" t="n">
        <x:v>4074.3772</x:v>
      </x:c>
      <x:c r="D1563" s="12" t="n">
        <x:v>1.5607</x:v>
      </x:c>
      <x:c r="E1563" s="12" t="n">
        <x:v>0.015486051273287112</x:v>
      </x:c>
      <x:c r="F1563" s="12" t="n">
        <x:v>4.19</x:v>
      </x:c>
      <x:c r="G1563" s="12" t="n">
        <x:v>419.00000000000006</x:v>
      </x:c>
      <x:c r="H1563" s="12" t="n">
        <x:v>-1.9999999999999432</x:v>
      </x:c>
      <x:c r="I1563" s="12" t="str">
        <x:v>TuShare index_daily</x:v>
      </x:c>
      <x:c r="J1563" s="12" t="str">
        <x:v>Archived FRED mirror (Hugging Face)</x:v>
      </x:c>
    </x:row>
    <x:row r="1564" ht="18" customHeight="1">
      <x:c r="A1564" s="13" t="n">
        <x:v>44943</x:v>
      </x:c>
      <x:c r="B1564" s="12" t="n">
        <x:v>4137.2422</x:v>
      </x:c>
      <x:c r="C1564" s="12" t="n">
        <x:v>4137.9643</x:v>
      </x:c>
      <x:c r="D1564" s="12" t="n">
        <x:v>-0.0175</x:v>
      </x:c>
      <x:c r="E1564" s="12" t="n">
        <x:v>-0.0001745213250770172</x:v>
      </x:c>
      <x:c r="F1564" s="12" t="n">
        <x:v>4.19</x:v>
      </x:c>
      <x:c r="G1564" s="12" t="n">
        <x:v>419.00000000000006</x:v>
      </x:c>
      <x:c r="H1564" s="12" t="n">
        <x:v>0</x:v>
      </x:c>
      <x:c r="I1564" s="12" t="str">
        <x:v>TuShare index_daily</x:v>
      </x:c>
      <x:c r="J1564" s="12" t="str">
        <x:v>Archived FRED mirror (Hugging Face)</x:v>
      </x:c>
    </x:row>
    <x:row r="1565" ht="18" customHeight="1">
      <x:c r="A1565" s="13" t="n">
        <x:v>44944</x:v>
      </x:c>
      <x:c r="B1565" s="12" t="n">
        <x:v>4130.3143</x:v>
      </x:c>
      <x:c r="C1565" s="12" t="n">
        <x:v>4137.2422</x:v>
      </x:c>
      <x:c r="D1565" s="12" t="n">
        <x:v>-0.1675</x:v>
      </x:c>
      <x:c r="E1565" s="12" t="n">
        <x:v>-0.0016759248325780656</x:v>
      </x:c>
      <x:c r="F1565" s="12" t="n">
        <x:v>4.25</x:v>
      </x:c>
      <x:c r="G1565" s="12" t="n">
        <x:v>425</x:v>
      </x:c>
      <x:c r="H1565" s="12" t="n">
        <x:v>5.999999999999943</x:v>
      </x:c>
      <x:c r="I1565" s="12" t="str">
        <x:v>TuShare index_daily</x:v>
      </x:c>
      <x:c r="J1565" s="12" t="str">
        <x:v>Archived FRED mirror (Hugging Face)</x:v>
      </x:c>
    </x:row>
    <x:row r="1566" ht="18" customHeight="1">
      <x:c r="A1566" s="13" t="n">
        <x:v>44945</x:v>
      </x:c>
      <x:c r="B1566" s="12" t="n">
        <x:v>4156.0077</x:v>
      </x:c>
      <x:c r="C1566" s="12" t="n">
        <x:v>4130.3143</x:v>
      </x:c>
      <x:c r="D1566" s="12" t="n">
        <x:v>0.6221</x:v>
      </x:c>
      <x:c r="E1566" s="12" t="n">
        <x:v>0.0062014202060171756</x:v>
      </x:c>
      <x:c r="F1566" s="12" t="n">
        <x:v>4.39</x:v>
      </x:c>
      <x:c r="G1566" s="12" t="n">
        <x:v>438.99999999999994</x:v>
      </x:c>
      <x:c r="H1566" s="12" t="n">
        <x:v>13.999999999999943</x:v>
      </x:c>
      <x:c r="I1566" s="12" t="str">
        <x:v>TuShare index_daily</x:v>
      </x:c>
      <x:c r="J1566" s="12" t="str">
        <x:v>Archived FRED mirror (Hugging Face)</x:v>
      </x:c>
    </x:row>
    <x:row r="1567" ht="18" customHeight="1">
      <x:c r="A1567" s="13" t="n">
        <x:v>44946</x:v>
      </x:c>
      <x:c r="B1567" s="12" t="n">
        <x:v>4181.5267</x:v>
      </x:c>
      <x:c r="C1567" s="12" t="n">
        <x:v>4156.0077</x:v>
      </x:c>
      <x:c r="D1567" s="12" t="n">
        <x:v>0.614</x:v>
      </x:c>
      <x:c r="E1567" s="12" t="n">
        <x:v>0.006121493109215215</x:v>
      </x:c>
      <x:c r="F1567" s="12" t="n">
        <x:v>4.35</x:v>
      </x:c>
      <x:c r="G1567" s="12" t="n">
        <x:v>434.99999999999994</x:v>
      </x:c>
      <x:c r="H1567" s="12" t="n">
        <x:v>-4</x:v>
      </x:c>
      <x:c r="I1567" s="12" t="str">
        <x:v>TuShare index_daily</x:v>
      </x:c>
      <x:c r="J1567" s="12" t="str">
        <x:v>Archived FRED mirror (Hugging Face)</x:v>
      </x:c>
    </x:row>
    <x:row r="1568" ht="18" customHeight="1">
      <x:c r="A1568" s="13" t="n">
        <x:v>44956</x:v>
      </x:c>
      <x:c r="B1568" s="12" t="n">
        <x:v>4201.345</x:v>
      </x:c>
      <x:c r="C1568" s="12" t="n">
        <x:v>4181.5267</x:v>
      </x:c>
      <x:c r="D1568" s="12" t="n">
        <x:v>0.4739</x:v>
      </x:c>
      <x:c r="E1568" s="12" t="n">
        <x:v>0.004728293031784344</x:v>
      </x:c>
      <x:c r="F1568" s="12" t="n">
        <x:v>4.26</x:v>
      </x:c>
      <x:c r="G1568" s="12" t="n">
        <x:v>426</x:v>
      </x:c>
      <x:c r="H1568" s="12" t="n">
        <x:v>2.999999999999943</x:v>
      </x:c>
      <x:c r="I1568" s="12" t="str">
        <x:v>TuShare index_daily</x:v>
      </x:c>
      <x:c r="J1568" s="12" t="str">
        <x:v>Archived FRED mirror (Hugging Face)</x:v>
      </x:c>
    </x:row>
    <x:row r="1569" ht="18" customHeight="1">
      <x:c r="A1569" s="13" t="n">
        <x:v>44957</x:v>
      </x:c>
      <x:c r="B1569" s="12" t="n">
        <x:v>4156.8578</x:v>
      </x:c>
      <x:c r="C1569" s="12" t="n">
        <x:v>4201.345</x:v>
      </x:c>
      <x:c r="D1569" s="12" t="n">
        <x:v>-1.0589</x:v>
      </x:c>
      <x:c r="E1569" s="12" t="n">
        <x:v>-0.010645259794948916</x:v>
      </x:c>
      <x:c r="F1569" s="12" t="n">
        <x:v>4.3</x:v>
      </x:c>
      <x:c r="G1569" s="12" t="n">
        <x:v>430</x:v>
      </x:c>
      <x:c r="H1569" s="12" t="n">
        <x:v>4</x:v>
      </x:c>
      <x:c r="I1569" s="12" t="str">
        <x:v>TuShare index_daily</x:v>
      </x:c>
      <x:c r="J1569" s="12" t="str">
        <x:v>Archived FRED mirror (Hugging Face)</x:v>
      </x:c>
    </x:row>
    <x:row r="1570" ht="18" customHeight="1">
      <x:c r="A1570" s="13" t="n">
        <x:v>44958</x:v>
      </x:c>
      <x:c r="B1570" s="12" t="n">
        <x:v>4195.9332</x:v>
      </x:c>
      <x:c r="C1570" s="12" t="n">
        <x:v>4156.8578</x:v>
      </x:c>
      <x:c r="D1570" s="12" t="n">
        <x:v>0.94</x:v>
      </x:c>
      <x:c r="E1570" s="12" t="n">
        <x:v>0.009356318159253127</x:v>
      </x:c>
      <x:c r="F1570" s="12" t="n">
        <x:v>4.31</x:v>
      </x:c>
      <x:c r="G1570" s="12" t="n">
        <x:v>430.99999999999994</x:v>
      </x:c>
      <x:c r="H1570" s="12" t="n">
        <x:v>0.9999999999999432</x:v>
      </x:c>
      <x:c r="I1570" s="12" t="str">
        <x:v>TuShare index_daily</x:v>
      </x:c>
      <x:c r="J1570" s="12" t="str">
        <x:v>Archived FRED mirror (Hugging Face)</x:v>
      </x:c>
    </x:row>
    <x:row r="1571" ht="18" customHeight="1">
      <x:c r="A1571" s="13" t="n">
        <x:v>44959</x:v>
      </x:c>
      <x:c r="B1571" s="12" t="n">
        <x:v>4181.1493</x:v>
      </x:c>
      <x:c r="C1571" s="12" t="n">
        <x:v>4195.9332</x:v>
      </x:c>
      <x:c r="D1571" s="12" t="n">
        <x:v>-0.3523</x:v>
      </x:c>
      <x:c r="E1571" s="12" t="n">
        <x:v>-0.0035296095862316335</x:v>
      </x:c>
      <x:c r="F1571" s="12" t="n">
        <x:v>3.94</x:v>
      </x:c>
      <x:c r="G1571" s="12" t="n">
        <x:v>394</x:v>
      </x:c>
      <x:c r="H1571" s="12" t="n">
        <x:v>-36.99999999999994</x:v>
      </x:c>
      <x:c r="I1571" s="12" t="str">
        <x:v>TuShare index_daily</x:v>
      </x:c>
      <x:c r="J1571" s="12" t="str">
        <x:v>Archived FRED mirror (Hugging Face)</x:v>
      </x:c>
    </x:row>
    <x:row r="1572" ht="18" customHeight="1">
      <x:c r="A1572" s="13" t="n">
        <x:v>44960</x:v>
      </x:c>
      <x:c r="B1572" s="12" t="n">
        <x:v>4141.6319</x:v>
      </x:c>
      <x:c r="C1572" s="12" t="n">
        <x:v>4181.1493</x:v>
      </x:c>
      <x:c r="D1572" s="12" t="n">
        <x:v>-0.9451</x:v>
      </x:c>
      <x:c r="E1572" s="12" t="n">
        <x:v>-0.009496271984206292</x:v>
      </x:c>
      <x:c r="F1572" s="12" t="n">
        <x:v>3.95</x:v>
      </x:c>
      <x:c r="G1572" s="12" t="n">
        <x:v>395</x:v>
      </x:c>
      <x:c r="H1572" s="12" t="n">
        <x:v>1</x:v>
      </x:c>
      <x:c r="I1572" s="12" t="str">
        <x:v>TuShare index_daily</x:v>
      </x:c>
      <x:c r="J1572" s="12" t="str">
        <x:v>Archived FRED mirror (Hugging Face)</x:v>
      </x:c>
    </x:row>
    <x:row r="1573" ht="18" customHeight="1">
      <x:c r="A1573" s="13" t="n">
        <x:v>44963</x:v>
      </x:c>
      <x:c r="B1573" s="12" t="n">
        <x:v>4086.8779</x:v>
      </x:c>
      <x:c r="C1573" s="12" t="n">
        <x:v>4141.6319</x:v>
      </x:c>
      <x:c r="D1573" s="12" t="n">
        <x:v>-1.322</x:v>
      </x:c>
      <x:c r="E1573" s="12" t="n">
        <x:v>-0.0133085599913791</x:v>
      </x:c>
      <x:c r="F1573" s="12" t="n">
        <x:v>3.99</x:v>
      </x:c>
      <x:c r="G1573" s="12" t="n">
        <x:v>399</x:v>
      </x:c>
      <x:c r="H1573" s="12" t="n">
        <x:v>4</x:v>
      </x:c>
      <x:c r="I1573" s="12" t="str">
        <x:v>TuShare index_daily</x:v>
      </x:c>
      <x:c r="J1573" s="12" t="str">
        <x:v>Archived FRED mirror (Hugging Face)</x:v>
      </x:c>
    </x:row>
    <x:row r="1574" ht="18" customHeight="1">
      <x:c r="A1574" s="13" t="n">
        <x:v>44964</x:v>
      </x:c>
      <x:c r="B1574" s="12" t="n">
        <x:v>4094.2335</x:v>
      </x:c>
      <x:c r="C1574" s="12" t="n">
        <x:v>4086.8779</x:v>
      </x:c>
      <x:c r="D1574" s="12" t="n">
        <x:v>0.18</x:v>
      </x:c>
      <x:c r="E1574" s="12" t="n">
        <x:v>0.0017981913758129378</x:v>
      </x:c>
      <x:c r="F1574" s="12" t="n">
        <x:v>3.99</x:v>
      </x:c>
      <x:c r="G1574" s="12" t="n">
        <x:v>399</x:v>
      </x:c>
      <x:c r="H1574" s="12" t="n">
        <x:v>0</x:v>
      </x:c>
      <x:c r="I1574" s="12" t="str">
        <x:v>TuShare index_daily</x:v>
      </x:c>
      <x:c r="J1574" s="12" t="str">
        <x:v>Archived FRED mirror (Hugging Face)</x:v>
      </x:c>
    </x:row>
    <x:row r="1575" ht="18" customHeight="1">
      <x:c r="A1575" s="13" t="n">
        <x:v>44965</x:v>
      </x:c>
      <x:c r="B1575" s="12" t="n">
        <x:v>4076.1411</x:v>
      </x:c>
      <x:c r="C1575" s="12" t="n">
        <x:v>4094.2335</x:v>
      </x:c>
      <x:c r="D1575" s="12" t="n">
        <x:v>-0.4419</x:v>
      </x:c>
      <x:c r="E1575" s="12" t="n">
        <x:v>-0.004428788264437137</x:v>
      </x:c>
      <x:c r="F1575" s="12" t="n">
        <x:v>4.07</x:v>
      </x:c>
      <x:c r="G1575" s="12" t="n">
        <x:v>407</x:v>
      </x:c>
      <x:c r="H1575" s="12" t="n">
        <x:v>8</x:v>
      </x:c>
      <x:c r="I1575" s="12" t="str">
        <x:v>TuShare index_daily</x:v>
      </x:c>
      <x:c r="J1575" s="12" t="str">
        <x:v>Archived FRED mirror (Hugging Face)</x:v>
      </x:c>
    </x:row>
    <x:row r="1576" ht="18" customHeight="1">
      <x:c r="A1576" s="13" t="n">
        <x:v>44966</x:v>
      </x:c>
      <x:c r="B1576" s="12" t="n">
        <x:v>4130.8565</x:v>
      </x:c>
      <x:c r="C1576" s="12" t="n">
        <x:v>4076.1411</x:v>
      </x:c>
      <x:c r="D1576" s="12" t="n">
        <x:v>1.3423</x:v>
      </x:c>
      <x:c r="E1576" s="12" t="n">
        <x:v>0.013334038426391324</x:v>
      </x:c>
      <x:c r="F1576" s="12" t="n">
        <x:v>4.05</x:v>
      </x:c>
      <x:c r="G1576" s="12" t="n">
        <x:v>405</x:v>
      </x:c>
      <x:c r="H1576" s="12" t="n">
        <x:v>-2</x:v>
      </x:c>
      <x:c r="I1576" s="12" t="str">
        <x:v>TuShare index_daily</x:v>
      </x:c>
      <x:c r="J1576" s="12" t="str">
        <x:v>Archived FRED mirror (Hugging Face)</x:v>
      </x:c>
    </x:row>
    <x:row r="1577" ht="18" customHeight="1">
      <x:c r="A1577" s="13" t="n">
        <x:v>44967</x:v>
      </x:c>
      <x:c r="B1577" s="12" t="n">
        <x:v>4106.3097</x:v>
      </x:c>
      <x:c r="C1577" s="12" t="n">
        <x:v>4130.8565</x:v>
      </x:c>
      <x:c r="D1577" s="12" t="n">
        <x:v>-0.5942</x:v>
      </x:c>
      <x:c r="E1577" s="12" t="n">
        <x:v>-0.0059600285016594545</x:v>
      </x:c>
      <x:c r="F1577" s="12" t="n">
        <x:v>4.24</x:v>
      </x:c>
      <x:c r="G1577" s="12" t="n">
        <x:v>424</x:v>
      </x:c>
      <x:c r="H1577" s="12" t="n">
        <x:v>19</x:v>
      </x:c>
      <x:c r="I1577" s="12" t="str">
        <x:v>TuShare index_daily</x:v>
      </x:c>
      <x:c r="J1577" s="12" t="str">
        <x:v>Archived FRED mirror (Hugging Face)</x:v>
      </x:c>
    </x:row>
    <x:row r="1578" ht="18" customHeight="1">
      <x:c r="A1578" s="13" t="n">
        <x:v>44970</x:v>
      </x:c>
      <x:c r="B1578" s="12" t="n">
        <x:v>4143.574</x:v>
      </x:c>
      <x:c r="C1578" s="12" t="n">
        <x:v>4106.3097</x:v>
      </x:c>
      <x:c r="D1578" s="12" t="n">
        <x:v>0.9075</x:v>
      </x:c>
      <x:c r="E1578" s="12" t="n">
        <x:v>0.009033958487298481</x:v>
      </x:c>
      <x:c r="F1578" s="12" t="n">
        <x:v>4.23</x:v>
      </x:c>
      <x:c r="G1578" s="12" t="n">
        <x:v>423.00000000000006</x:v>
      </x:c>
      <x:c r="H1578" s="12" t="n">
        <x:v>-0.9999999999999432</x:v>
      </x:c>
      <x:c r="I1578" s="12" t="str">
        <x:v>TuShare index_daily</x:v>
      </x:c>
      <x:c r="J1578" s="12" t="str">
        <x:v>Archived FRED mirror (Hugging Face)</x:v>
      </x:c>
    </x:row>
    <x:row r="1579" ht="18" customHeight="1">
      <x:c r="A1579" s="13" t="n">
        <x:v>44971</x:v>
      </x:c>
      <x:c r="B1579" s="12" t="n">
        <x:v>4145.2902</x:v>
      </x:c>
      <x:c r="C1579" s="12" t="n">
        <x:v>4143.574</x:v>
      </x:c>
      <x:c r="D1579" s="12" t="n">
        <x:v>0.0414</x:v>
      </x:c>
      <x:c r="E1579" s="12" t="n">
        <x:v>0.00041409775407470783</x:v>
      </x:c>
      <x:c r="F1579" s="12" t="n">
        <x:v>4.15</x:v>
      </x:c>
      <x:c r="G1579" s="12" t="n">
        <x:v>415.00000000000006</x:v>
      </x:c>
      <x:c r="H1579" s="12" t="n">
        <x:v>-8</x:v>
      </x:c>
      <x:c r="I1579" s="12" t="str">
        <x:v>TuShare index_daily</x:v>
      </x:c>
      <x:c r="J1579" s="12" t="str">
        <x:v>Archived FRED mirror (Hugging Face)</x:v>
      </x:c>
    </x:row>
    <x:row r="1580" ht="18" customHeight="1">
      <x:c r="A1580" s="13" t="n">
        <x:v>44972</x:v>
      </x:c>
      <x:c r="B1580" s="12" t="n">
        <x:v>4123.6893</x:v>
      </x:c>
      <x:c r="C1580" s="12" t="n">
        <x:v>4145.2902</x:v>
      </x:c>
      <x:c r="D1580" s="12" t="n">
        <x:v>-0.5211</x:v>
      </x:c>
      <x:c r="E1580" s="12" t="n">
        <x:v>-0.00522457435893855</x:v>
      </x:c>
      <x:c r="F1580" s="12" t="n">
        <x:v>4.18</x:v>
      </x:c>
      <x:c r="G1580" s="12" t="n">
        <x:v>418</x:v>
      </x:c>
      <x:c r="H1580" s="12" t="n">
        <x:v>2.999999999999943</x:v>
      </x:c>
      <x:c r="I1580" s="12" t="str">
        <x:v>TuShare index_daily</x:v>
      </x:c>
      <x:c r="J1580" s="12" t="str">
        <x:v>Archived FRED mirror (Hugging Face)</x:v>
      </x:c>
    </x:row>
    <x:row r="1581" ht="18" customHeight="1">
      <x:c r="A1581" s="13" t="n">
        <x:v>44973</x:v>
      </x:c>
      <x:c r="B1581" s="12" t="n">
        <x:v>4093.4876</x:v>
      </x:c>
      <x:c r="C1581" s="12" t="n">
        <x:v>4123.6893</x:v>
      </x:c>
      <x:c r="D1581" s="12" t="n">
        <x:v>-0.7324</x:v>
      </x:c>
      <x:c r="E1581" s="12" t="n">
        <x:v>-0.007350903203160604</x:v>
      </x:c>
      <x:c r="F1581" s="12" t="n">
        <x:v>4.24</x:v>
      </x:c>
      <x:c r="G1581" s="12" t="n">
        <x:v>424</x:v>
      </x:c>
      <x:c r="H1581" s="12" t="n">
        <x:v>6</x:v>
      </x:c>
      <x:c r="I1581" s="12" t="str">
        <x:v>TuShare index_daily</x:v>
      </x:c>
      <x:c r="J1581" s="12" t="str">
        <x:v>Archived FRED mirror (Hugging Face)</x:v>
      </x:c>
    </x:row>
    <x:row r="1582" ht="18" customHeight="1">
      <x:c r="A1582" s="13" t="n">
        <x:v>44974</x:v>
      </x:c>
      <x:c r="B1582" s="12" t="n">
        <x:v>4034.507</x:v>
      </x:c>
      <x:c r="C1582" s="12" t="n">
        <x:v>4093.4876</x:v>
      </x:c>
      <x:c r="D1582" s="12" t="n">
        <x:v>-1.4408</x:v>
      </x:c>
      <x:c r="E1582" s="12" t="n">
        <x:v>-0.014513207296915924</x:v>
      </x:c>
      <x:c r="F1582" s="12" t="n">
        <x:v>4.38</x:v>
      </x:c>
      <x:c r="G1582" s="12" t="n">
        <x:v>438</x:v>
      </x:c>
      <x:c r="H1582" s="12" t="n">
        <x:v>14</x:v>
      </x:c>
      <x:c r="I1582" s="12" t="str">
        <x:v>TuShare index_daily</x:v>
      </x:c>
      <x:c r="J1582" s="12" t="str">
        <x:v>Archived FRED mirror (Hugging Face)</x:v>
      </x:c>
    </x:row>
    <x:row r="1583" ht="18" customHeight="1">
      <x:c r="A1583" s="13" t="n">
        <x:v>44977</x:v>
      </x:c>
      <x:c r="B1583" s="12" t="n">
        <x:v>4133.4896</x:v>
      </x:c>
      <x:c r="C1583" s="12" t="n">
        <x:v>4034.507</x:v>
      </x:c>
      <x:c r="D1583" s="12" t="n">
        <x:v>2.4534</x:v>
      </x:c>
      <x:c r="E1583" s="12" t="n">
        <x:v>0.02423787633960909</x:v>
      </x:c>
      <x:c r="F1583" s="12" t="n">
        <x:v>4.38</x:v>
      </x:c>
      <x:c r="G1583" s="12" t="n">
        <x:v>438</x:v>
      </x:c>
      <x:c r="H1583" s="12" t="n">
        <x:v>0</x:v>
      </x:c>
      <x:c r="I1583" s="12" t="str">
        <x:v>TuShare index_daily</x:v>
      </x:c>
      <x:c r="J1583" s="12" t="str">
        <x:v>Archived FRED mirror (Hugging Face)</x:v>
      </x:c>
    </x:row>
    <x:row r="1584" ht="18" customHeight="1">
      <x:c r="A1584" s="13" t="n">
        <x:v>44978</x:v>
      </x:c>
      <x:c r="B1584" s="12" t="n">
        <x:v>4144.3536</x:v>
      </x:c>
      <x:c r="C1584" s="12" t="n">
        <x:v>4133.4896</x:v>
      </x:c>
      <x:c r="D1584" s="12" t="n">
        <x:v>0.2628</x:v>
      </x:c>
      <x:c r="E1584" s="12" t="n">
        <x:v>0.00262483982241926</x:v>
      </x:c>
      <x:c r="F1584" s="12" t="n">
        <x:v>4.49</x:v>
      </x:c>
      <x:c r="G1584" s="12" t="n">
        <x:v>449</x:v>
      </x:c>
      <x:c r="H1584" s="12" t="n">
        <x:v>11</x:v>
      </x:c>
      <x:c r="I1584" s="12" t="str">
        <x:v>TuShare index_daily</x:v>
      </x:c>
      <x:c r="J1584" s="12" t="str">
        <x:v>Archived FRED mirror (Hugging Face)</x:v>
      </x:c>
    </x:row>
    <x:row r="1585" ht="18" customHeight="1">
      <x:c r="A1585" s="13" t="n">
        <x:v>44979</x:v>
      </x:c>
      <x:c r="B1585" s="12" t="n">
        <x:v>4106.9506</x:v>
      </x:c>
      <x:c r="C1585" s="12" t="n">
        <x:v>4144.3536</x:v>
      </x:c>
      <x:c r="D1585" s="12" t="n">
        <x:v>-0.9025</x:v>
      </x:c>
      <x:c r="E1585" s="12" t="n">
        <x:v>-0.009066022844646674</x:v>
      </x:c>
      <x:c r="F1585" s="12" t="n">
        <x:v>4.41</x:v>
      </x:c>
      <x:c r="G1585" s="12" t="n">
        <x:v>441</x:v>
      </x:c>
      <x:c r="H1585" s="12" t="n">
        <x:v>-8</x:v>
      </x:c>
      <x:c r="I1585" s="12" t="str">
        <x:v>TuShare index_daily</x:v>
      </x:c>
      <x:c r="J1585" s="12" t="str">
        <x:v>Archived FRED mirror (Hugging Face)</x:v>
      </x:c>
    </x:row>
    <x:row r="1586" ht="18" customHeight="1">
      <x:c r="A1586" s="13" t="n">
        <x:v>44980</x:v>
      </x:c>
      <x:c r="B1586" s="12" t="n">
        <x:v>4103.6463</x:v>
      </x:c>
      <x:c r="C1586" s="12" t="n">
        <x:v>4106.9506</x:v>
      </x:c>
      <x:c r="D1586" s="12" t="n">
        <x:v>-0.0805</x:v>
      </x:c>
      <x:c r="E1586" s="12" t="n">
        <x:v>-0.0008048867137512138</x:v>
      </x:c>
      <x:c r="F1586" s="12" t="n">
        <x:v>4.3</x:v>
      </x:c>
      <x:c r="G1586" s="12" t="n">
        <x:v>430</x:v>
      </x:c>
      <x:c r="H1586" s="12" t="n">
        <x:v>-11</x:v>
      </x:c>
      <x:c r="I1586" s="12" t="str">
        <x:v>TuShare index_daily</x:v>
      </x:c>
      <x:c r="J1586" s="12" t="str">
        <x:v>Archived FRED mirror (Hugging Face)</x:v>
      </x:c>
    </x:row>
    <x:row r="1587" ht="18" customHeight="1">
      <x:c r="A1587" s="13" t="n">
        <x:v>44981</x:v>
      </x:c>
      <x:c r="B1587" s="12" t="n">
        <x:v>4061.0457</x:v>
      </x:c>
      <x:c r="C1587" s="12" t="n">
        <x:v>4103.6463</x:v>
      </x:c>
      <x:c r="D1587" s="12" t="n">
        <x:v>-1.0381</x:v>
      </x:c>
      <x:c r="E1587" s="12" t="n">
        <x:v>-0.010435417917162276</x:v>
      </x:c>
      <x:c r="F1587" s="12" t="n">
        <x:v>4.28</x:v>
      </x:c>
      <x:c r="G1587" s="12" t="n">
        <x:v>428</x:v>
      </x:c>
      <x:c r="H1587" s="12" t="n">
        <x:v>-2</x:v>
      </x:c>
      <x:c r="I1587" s="12" t="str">
        <x:v>TuShare index_daily</x:v>
      </x:c>
      <x:c r="J1587" s="12" t="str">
        <x:v>Archived FRED mirror (Hugging Face)</x:v>
      </x:c>
    </x:row>
    <x:row r="1588" ht="18" customHeight="1">
      <x:c r="A1588" s="13" t="n">
        <x:v>44984</x:v>
      </x:c>
      <x:c r="B1588" s="12" t="n">
        <x:v>4043.8444</x:v>
      </x:c>
      <x:c r="C1588" s="12" t="n">
        <x:v>4061.0457</x:v>
      </x:c>
      <x:c r="D1588" s="12" t="n">
        <x:v>-0.4236</x:v>
      </x:c>
      <x:c r="E1588" s="12" t="n">
        <x:v>-0.00424467836441928</x:v>
      </x:c>
      <x:c r="F1588" s="12" t="n">
        <x:v>4.21</x:v>
      </x:c>
      <x:c r="G1588" s="12" t="n">
        <x:v>421</x:v>
      </x:c>
      <x:c r="H1588" s="12" t="n">
        <x:v>-7</x:v>
      </x:c>
      <x:c r="I1588" s="12" t="str">
        <x:v>TuShare index_daily</x:v>
      </x:c>
      <x:c r="J1588" s="12" t="str">
        <x:v>Archived FRED mirror (Hugging Face)</x:v>
      </x:c>
    </x:row>
    <x:row r="1589" ht="18" customHeight="1">
      <x:c r="A1589" s="13" t="n">
        <x:v>44985</x:v>
      </x:c>
      <x:c r="B1589" s="12" t="n">
        <x:v>4069.4587</x:v>
      </x:c>
      <x:c r="C1589" s="12" t="n">
        <x:v>4043.8444</x:v>
      </x:c>
      <x:c r="D1589" s="12" t="n">
        <x:v>0.6334</x:v>
      </x:c>
      <x:c r="E1589" s="12" t="n">
        <x:v>0.006314169404260476</x:v>
      </x:c>
      <x:c r="F1589" s="12" t="n">
        <x:v>4.22</x:v>
      </x:c>
      <x:c r="G1589" s="12" t="n">
        <x:v>422</x:v>
      </x:c>
      <x:c r="H1589" s="12" t="n">
        <x:v>1</x:v>
      </x:c>
      <x:c r="I1589" s="12" t="str">
        <x:v>TuShare index_daily</x:v>
      </x:c>
      <x:c r="J1589" s="12" t="str">
        <x:v>Archived FRED mirror (Hugging Face)</x:v>
      </x:c>
    </x:row>
    <x:row r="1590" ht="18" customHeight="1">
      <x:c r="A1590" s="13" t="n">
        <x:v>44986</x:v>
      </x:c>
      <x:c r="B1590" s="12" t="n">
        <x:v>4126.9415</x:v>
      </x:c>
      <x:c r="C1590" s="12" t="n">
        <x:v>4069.4587</x:v>
      </x:c>
      <x:c r="D1590" s="12" t="n">
        <x:v>1.4125</x:v>
      </x:c>
      <x:c r="E1590" s="12" t="n">
        <x:v>0.014026582657949621</x:v>
      </x:c>
      <x:c r="F1590" s="12" t="n">
        <x:v>4.17</x:v>
      </x:c>
      <x:c r="G1590" s="12" t="n">
        <x:v>417</x:v>
      </x:c>
      <x:c r="H1590" s="12" t="n">
        <x:v>-5</x:v>
      </x:c>
      <x:c r="I1590" s="12" t="str">
        <x:v>TuShare index_daily</x:v>
      </x:c>
      <x:c r="J1590" s="12" t="str">
        <x:v>Archived FRED mirror (Hugging Face)</x:v>
      </x:c>
    </x:row>
    <x:row r="1591" ht="18" customHeight="1">
      <x:c r="A1591" s="13" t="n">
        <x:v>44987</x:v>
      </x:c>
      <x:c r="B1591" s="12" t="n">
        <x:v>4117.7377</x:v>
      </x:c>
      <x:c r="C1591" s="12" t="n">
        <x:v>4126.9415</x:v>
      </x:c>
      <x:c r="D1591" s="12" t="n">
        <x:v>-0.223</x:v>
      </x:c>
      <x:c r="E1591" s="12" t="n">
        <x:v>-0.0022326651164919576</x:v>
      </x:c>
      <x:c r="F1591" s="12" t="n">
        <x:v>4.18</x:v>
      </x:c>
      <x:c r="G1591" s="12" t="n">
        <x:v>418</x:v>
      </x:c>
      <x:c r="H1591" s="12" t="n">
        <x:v>1</x:v>
      </x:c>
      <x:c r="I1591" s="12" t="str">
        <x:v>TuShare index_daily</x:v>
      </x:c>
      <x:c r="J1591" s="12" t="str">
        <x:v>Archived FRED mirror (Hugging Face)</x:v>
      </x:c>
    </x:row>
    <x:row r="1592" ht="18" customHeight="1">
      <x:c r="A1592" s="13" t="n">
        <x:v>44988</x:v>
      </x:c>
      <x:c r="B1592" s="12" t="n">
        <x:v>4130.5513</x:v>
      </x:c>
      <x:c r="C1592" s="12" t="n">
        <x:v>4117.7377</x:v>
      </x:c>
      <x:c r="D1592" s="12" t="n">
        <x:v>0.3112</x:v>
      </x:c>
      <x:c r="E1592" s="12" t="n">
        <x:v>0.0031069741391894392</x:v>
      </x:c>
      <x:c r="F1592" s="12" t="n">
        <x:v>4.05</x:v>
      </x:c>
      <x:c r="G1592" s="12" t="n">
        <x:v>405</x:v>
      </x:c>
      <x:c r="H1592" s="12" t="n">
        <x:v>-13</x:v>
      </x:c>
      <x:c r="I1592" s="12" t="str">
        <x:v>TuShare index_daily</x:v>
      </x:c>
      <x:c r="J1592" s="12" t="str">
        <x:v>Archived FRED mirror (Hugging Face)</x:v>
      </x:c>
    </x:row>
    <x:row r="1593" ht="18" customHeight="1">
      <x:c r="A1593" s="13" t="n">
        <x:v>44991</x:v>
      </x:c>
      <x:c r="B1593" s="12" t="n">
        <x:v>4109.0102</x:v>
      </x:c>
      <x:c r="C1593" s="12" t="n">
        <x:v>4130.5513</x:v>
      </x:c>
      <x:c r="D1593" s="12" t="n">
        <x:v>-0.5215</x:v>
      </x:c>
      <x:c r="E1593" s="12" t="n">
        <x:v>-0.00522871249319971</x:v>
      </x:c>
      <x:c r="F1593" s="12" t="n">
        <x:v>3.97</x:v>
      </x:c>
      <x:c r="G1593" s="12" t="n">
        <x:v>397</x:v>
      </x:c>
      <x:c r="H1593" s="12" t="n">
        <x:v>-8</x:v>
      </x:c>
      <x:c r="I1593" s="12" t="str">
        <x:v>TuShare index_daily</x:v>
      </x:c>
      <x:c r="J1593" s="12" t="str">
        <x:v>Archived FRED mirror (Hugging Face)</x:v>
      </x:c>
    </x:row>
    <x:row r="1594" ht="18" customHeight="1">
      <x:c r="A1594" s="13" t="n">
        <x:v>44992</x:v>
      </x:c>
      <x:c r="B1594" s="12" t="n">
        <x:v>4048.8519</x:v>
      </x:c>
      <x:c r="C1594" s="12" t="n">
        <x:v>4109.0102</x:v>
      </x:c>
      <x:c r="D1594" s="12" t="n">
        <x:v>-1.4641</x:v>
      </x:c>
      <x:c r="E1594" s="12" t="n">
        <x:v>-0.014748812805500063</x:v>
      </x:c>
      <x:c r="F1594" s="12" t="n">
        <x:v>3.98</x:v>
      </x:c>
      <x:c r="G1594" s="12" t="n">
        <x:v>398</x:v>
      </x:c>
      <x:c r="H1594" s="12" t="n">
        <x:v>1</x:v>
      </x:c>
      <x:c r="I1594" s="12" t="str">
        <x:v>TuShare index_daily</x:v>
      </x:c>
      <x:c r="J1594" s="12" t="str">
        <x:v>Archived FRED mirror (Hugging Face)</x:v>
      </x:c>
    </x:row>
    <x:row r="1595" ht="18" customHeight="1">
      <x:c r="A1595" s="13" t="n">
        <x:v>44993</x:v>
      </x:c>
      <x:c r="B1595" s="12" t="n">
        <x:v>4034.1077</x:v>
      </x:c>
      <x:c r="C1595" s="12" t="n">
        <x:v>4048.8519</x:v>
      </x:c>
      <x:c r="D1595" s="12" t="n">
        <x:v>-0.3642</x:v>
      </x:c>
      <x:c r="E1595" s="12" t="n">
        <x:v>-0.00364822220642755</x:v>
      </x:c>
      <x:c r="F1595" s="12" t="n">
        <x:v>4.09</x:v>
      </x:c>
      <x:c r="G1595" s="12" t="n">
        <x:v>409</x:v>
      </x:c>
      <x:c r="H1595" s="12" t="n">
        <x:v>11</x:v>
      </x:c>
      <x:c r="I1595" s="12" t="str">
        <x:v>TuShare index_daily</x:v>
      </x:c>
      <x:c r="J1595" s="12" t="str">
        <x:v>Archived FRED mirror (Hugging Face)</x:v>
      </x:c>
    </x:row>
    <x:row r="1596" ht="18" customHeight="1">
      <x:c r="A1596" s="13" t="n">
        <x:v>44994</x:v>
      </x:c>
      <x:c r="B1596" s="12" t="n">
        <x:v>4019.8505</x:v>
      </x:c>
      <x:c r="C1596" s="12" t="n">
        <x:v>4034.1077</x:v>
      </x:c>
      <x:c r="D1596" s="12" t="n">
        <x:v>-0.3534</x:v>
      </x:c>
      <x:c r="E1596" s="12" t="n">
        <x:v>-0.003540424357395067</x:v>
      </x:c>
      <x:c r="F1596" s="12" t="n">
        <x:v>4.27</x:v>
      </x:c>
      <x:c r="G1596" s="12" t="n">
        <x:v>426.99999999999994</x:v>
      </x:c>
      <x:c r="H1596" s="12" t="n">
        <x:v>17.999999999999943</x:v>
      </x:c>
      <x:c r="I1596" s="12" t="str">
        <x:v>TuShare index_daily</x:v>
      </x:c>
      <x:c r="J1596" s="12" t="str">
        <x:v>Archived FRED mirror (Hugging Face)</x:v>
      </x:c>
    </x:row>
    <x:row r="1597" ht="18" customHeight="1">
      <x:c r="A1597" s="13" t="n">
        <x:v>44995</x:v>
      </x:c>
      <x:c r="B1597" s="12" t="n">
        <x:v>3967.1352</x:v>
      </x:c>
      <x:c r="C1597" s="12" t="n">
        <x:v>4019.8505</x:v>
      </x:c>
      <x:c r="D1597" s="12" t="n">
        <x:v>-1.3114</x:v>
      </x:c>
      <x:c r="E1597" s="12" t="n">
        <x:v>-0.01320049076358043</x:v>
      </x:c>
      <x:c r="F1597" s="12" t="n">
        <x:v>4.61</x:v>
      </x:c>
      <x:c r="G1597" s="12" t="n">
        <x:v>461.00000000000006</x:v>
      </x:c>
      <x:c r="H1597" s="12" t="n">
        <x:v>34.000000000000114</x:v>
      </x:c>
      <x:c r="I1597" s="12" t="str">
        <x:v>TuShare index_daily</x:v>
      </x:c>
      <x:c r="J1597" s="12" t="str">
        <x:v>Archived FRED mirror (Hugging Face)</x:v>
      </x:c>
    </x:row>
    <x:row r="1598" ht="18" customHeight="1">
      <x:c r="A1598" s="13" t="n">
        <x:v>44998</x:v>
      </x:c>
      <x:c r="B1598" s="12" t="n">
        <x:v>4008.686</x:v>
      </x:c>
      <x:c r="C1598" s="12" t="n">
        <x:v>3967.1352</x:v>
      </x:c>
      <x:c r="D1598" s="12" t="n">
        <x:v>1.0474</x:v>
      </x:c>
      <x:c r="E1598" s="12" t="n">
        <x:v>0.010419284700296166</x:v>
      </x:c>
      <x:c r="F1598" s="12" t="n">
        <x:v>5.03</x:v>
      </x:c>
      <x:c r="G1598" s="12" t="n">
        <x:v>503</x:v>
      </x:c>
      <x:c r="H1598" s="12" t="n">
        <x:v>41.99999999999994</x:v>
      </x:c>
      <x:c r="I1598" s="12" t="str">
        <x:v>TuShare index_daily</x:v>
      </x:c>
      <x:c r="J1598" s="12" t="str">
        <x:v>Archived FRED mirror (Hugging Face)</x:v>
      </x:c>
    </x:row>
    <x:row r="1599" ht="18" customHeight="1">
      <x:c r="A1599" s="13" t="n">
        <x:v>44999</x:v>
      </x:c>
      <x:c r="B1599" s="12" t="n">
        <x:v>3984.6956</x:v>
      </x:c>
      <x:c r="C1599" s="12" t="n">
        <x:v>4008.686</x:v>
      </x:c>
      <x:c r="D1599" s="12" t="n">
        <x:v>-0.5985</x:v>
      </x:c>
      <x:c r="E1599" s="12" t="n">
        <x:v>-0.006002583945988547</x:v>
      </x:c>
      <x:c r="F1599" s="12" t="n">
        <x:v>4.74</x:v>
      </x:c>
      <x:c r="G1599" s="12" t="n">
        <x:v>474</x:v>
      </x:c>
      <x:c r="H1599" s="12" t="n">
        <x:v>-29</x:v>
      </x:c>
      <x:c r="I1599" s="12" t="str">
        <x:v>TuShare index_daily</x:v>
      </x:c>
      <x:c r="J1599" s="12" t="str">
        <x:v>Archived FRED mirror (Hugging Face)</x:v>
      </x:c>
    </x:row>
    <x:row r="1600" ht="18" customHeight="1">
      <x:c r="A1600" s="13" t="n">
        <x:v>45000</x:v>
      </x:c>
      <x:c r="B1600" s="12" t="n">
        <x:v>3986.902</x:v>
      </x:c>
      <x:c r="C1600" s="12" t="n">
        <x:v>3984.6956</x:v>
      </x:c>
      <x:c r="D1600" s="12" t="n">
        <x:v>0.0554</x:v>
      </x:c>
      <x:c r="E1600" s="12" t="n">
        <x:v>0.0005535653371021109</x:v>
      </x:c>
      <x:c r="F1600" s="12" t="n">
        <x:v>5.2</x:v>
      </x:c>
      <x:c r="G1600" s="12" t="n">
        <x:v>520</x:v>
      </x:c>
      <x:c r="H1600" s="12" t="n">
        <x:v>46</x:v>
      </x:c>
      <x:c r="I1600" s="12" t="str">
        <x:v>TuShare index_daily</x:v>
      </x:c>
      <x:c r="J1600" s="12" t="str">
        <x:v>Archived FRED mirror (Hugging Face)</x:v>
      </x:c>
    </x:row>
    <x:row r="1601" ht="18" customHeight="1">
      <x:c r="A1601" s="13" t="n">
        <x:v>45001</x:v>
      </x:c>
      <x:c r="B1601" s="12" t="n">
        <x:v>3939.1505</x:v>
      </x:c>
      <x:c r="C1601" s="12" t="n">
        <x:v>3986.902</x:v>
      </x:c>
      <x:c r="D1601" s="12" t="n">
        <x:v>-1.1977</x:v>
      </x:c>
      <x:c r="E1601" s="12" t="n">
        <x:v>-0.012049397286707548</x:v>
      </x:c>
      <x:c r="F1601" s="12" t="n">
        <x:v>4.93</x:v>
      </x:c>
      <x:c r="G1601" s="12" t="n">
        <x:v>493</x:v>
      </x:c>
      <x:c r="H1601" s="12" t="n">
        <x:v>-27</x:v>
      </x:c>
      <x:c r="I1601" s="12" t="str">
        <x:v>TuShare index_daily</x:v>
      </x:c>
      <x:c r="J1601" s="12" t="str">
        <x:v>Archived FRED mirror (Hugging Face)</x:v>
      </x:c>
    </x:row>
    <x:row r="1602" ht="18" customHeight="1">
      <x:c r="A1602" s="13" t="n">
        <x:v>45002</x:v>
      </x:c>
      <x:c r="B1602" s="12" t="n">
        <x:v>3958.8194</x:v>
      </x:c>
      <x:c r="C1602" s="12" t="n">
        <x:v>3939.1505</x:v>
      </x:c>
      <x:c r="D1602" s="12" t="n">
        <x:v>0.4993</x:v>
      </x:c>
      <x:c r="E1602" s="12" t="n">
        <x:v>0.004980758577487929</x:v>
      </x:c>
      <x:c r="F1602" s="12" t="n">
        <x:v>5.17</x:v>
      </x:c>
      <x:c r="G1602" s="12" t="n">
        <x:v>517</x:v>
      </x:c>
      <x:c r="H1602" s="12" t="n">
        <x:v>24</x:v>
      </x:c>
      <x:c r="I1602" s="12" t="str">
        <x:v>TuShare index_daily</x:v>
      </x:c>
      <x:c r="J1602" s="12" t="str">
        <x:v>Archived FRED mirror (Hugging Face)</x:v>
      </x:c>
    </x:row>
    <x:row r="1603" ht="18" customHeight="1">
      <x:c r="A1603" s="13" t="n">
        <x:v>45005</x:v>
      </x:c>
      <x:c r="B1603" s="12" t="n">
        <x:v>3939.077</x:v>
      </x:c>
      <x:c r="C1603" s="12" t="n">
        <x:v>3958.8194</x:v>
      </x:c>
      <x:c r="D1603" s="12" t="n">
        <x:v>-0.4987</x:v>
      </x:c>
      <x:c r="E1603" s="12" t="n">
        <x:v>-0.004999417596918964</x:v>
      </x:c>
      <x:c r="F1603" s="12" t="n">
        <x:v>5.15</x:v>
      </x:c>
      <x:c r="G1603" s="12" t="n">
        <x:v>515</x:v>
      </x:c>
      <x:c r="H1603" s="12" t="n">
        <x:v>-2</x:v>
      </x:c>
      <x:c r="I1603" s="12" t="str">
        <x:v>TuShare index_daily</x:v>
      </x:c>
      <x:c r="J1603" s="12" t="str">
        <x:v>Archived FRED mirror (Hugging Face)</x:v>
      </x:c>
    </x:row>
    <x:row r="1604" ht="18" customHeight="1">
      <x:c r="A1604" s="13" t="n">
        <x:v>45006</x:v>
      </x:c>
      <x:c r="B1604" s="12" t="n">
        <x:v>3982.3782</x:v>
      </x:c>
      <x:c r="C1604" s="12" t="n">
        <x:v>3939.077</x:v>
      </x:c>
      <x:c r="D1604" s="12" t="n">
        <x:v>1.0993</x:v>
      </x:c>
      <x:c r="E1604" s="12" t="n">
        <x:v>0.010932746623865211</x:v>
      </x:c>
      <x:c r="F1604" s="12" t="n">
        <x:v>4.85</x:v>
      </x:c>
      <x:c r="G1604" s="12" t="n">
        <x:v>484.99999999999994</x:v>
      </x:c>
      <x:c r="H1604" s="12" t="n">
        <x:v>-30.000000000000057</x:v>
      </x:c>
      <x:c r="I1604" s="12" t="str">
        <x:v>TuShare index_daily</x:v>
      </x:c>
      <x:c r="J1604" s="12" t="str">
        <x:v>Archived FRED mirror (Hugging Face)</x:v>
      </x:c>
    </x:row>
    <x:row r="1605" ht="18" customHeight="1">
      <x:c r="A1605" s="13" t="n">
        <x:v>45007</x:v>
      </x:c>
      <x:c r="B1605" s="12" t="n">
        <x:v>3999.4427</x:v>
      </x:c>
      <x:c r="C1605" s="12" t="n">
        <x:v>3982.3782</x:v>
      </x:c>
      <x:c r="D1605" s="12" t="n">
        <x:v>0.4285</x:v>
      </x:c>
      <x:c r="E1605" s="12" t="n">
        <x:v>0.00427584788303179</x:v>
      </x:c>
      <x:c r="F1605" s="12" t="n">
        <x:v>5</x:v>
      </x:c>
      <x:c r="G1605" s="12" t="n">
        <x:v>500</x:v>
      </x:c>
      <x:c r="H1605" s="12" t="n">
        <x:v>15.000000000000057</x:v>
      </x:c>
      <x:c r="I1605" s="12" t="str">
        <x:v>TuShare index_daily</x:v>
      </x:c>
      <x:c r="J1605" s="12" t="str">
        <x:v>Archived FRED mirror (Hugging Face)</x:v>
      </x:c>
    </x:row>
    <x:row r="1606" ht="18" customHeight="1">
      <x:c r="A1606" s="13" t="n">
        <x:v>45008</x:v>
      </x:c>
      <x:c r="B1606" s="12" t="n">
        <x:v>4039.0895</x:v>
      </x:c>
      <x:c r="C1606" s="12" t="n">
        <x:v>3999.4427</x:v>
      </x:c>
      <x:c r="D1606" s="12" t="n">
        <x:v>0.9913</x:v>
      </x:c>
      <x:c r="E1606" s="12" t="n">
        <x:v>0.00986426887274393</x:v>
      </x:c>
      <x:c r="F1606" s="12" t="n">
        <x:v>5.1</x:v>
      </x:c>
      <x:c r="G1606" s="12" t="n">
        <x:v>509.99999999999994</x:v>
      </x:c>
      <x:c r="H1606" s="12" t="n">
        <x:v>9.999999999999943</x:v>
      </x:c>
      <x:c r="I1606" s="12" t="str">
        <x:v>TuShare index_daily</x:v>
      </x:c>
      <x:c r="J1606" s="12" t="str">
        <x:v>Archived FRED mirror (Hugging Face)</x:v>
      </x:c>
    </x:row>
    <x:row r="1607" ht="18" customHeight="1">
      <x:c r="A1607" s="13" t="n">
        <x:v>45009</x:v>
      </x:c>
      <x:c r="B1607" s="12" t="n">
        <x:v>4027.0457</x:v>
      </x:c>
      <x:c r="C1607" s="12" t="n">
        <x:v>4039.0895</x:v>
      </x:c>
      <x:c r="D1607" s="12" t="n">
        <x:v>-0.2982</x:v>
      </x:c>
      <x:c r="E1607" s="12" t="n">
        <x:v>-0.002986265082769179</x:v>
      </x:c>
      <x:c r="F1607" s="12" t="n">
        <x:v>5.22</x:v>
      </x:c>
      <x:c r="G1607" s="12" t="n">
        <x:v>522</x:v>
      </x:c>
      <x:c r="H1607" s="12" t="n">
        <x:v>12.000000000000057</x:v>
      </x:c>
      <x:c r="I1607" s="12" t="str">
        <x:v>TuShare index_daily</x:v>
      </x:c>
      <x:c r="J1607" s="12" t="str">
        <x:v>Archived FRED mirror (Hugging Face)</x:v>
      </x:c>
    </x:row>
    <x:row r="1608" ht="18" customHeight="1">
      <x:c r="A1608" s="13" t="n">
        <x:v>45012</x:v>
      </x:c>
      <x:c r="B1608" s="12" t="n">
        <x:v>4012.4771</x:v>
      </x:c>
      <x:c r="C1608" s="12" t="n">
        <x:v>4027.0457</x:v>
      </x:c>
      <x:c r="D1608" s="12" t="n">
        <x:v>-0.3618</x:v>
      </x:c>
      <x:c r="E1608" s="12" t="n">
        <x:v>-0.0036242489284966603</x:v>
      </x:c>
      <x:c r="F1608" s="12" t="n">
        <x:v>5.03</x:v>
      </x:c>
      <x:c r="G1608" s="12" t="n">
        <x:v>503</x:v>
      </x:c>
      <x:c r="H1608" s="12" t="n">
        <x:v>-19</x:v>
      </x:c>
      <x:c r="I1608" s="12" t="str">
        <x:v>TuShare index_daily</x:v>
      </x:c>
      <x:c r="J1608" s="12" t="str">
        <x:v>Archived FRED mirror (Hugging Face)</x:v>
      </x:c>
    </x:row>
    <x:row r="1609" ht="18" customHeight="1">
      <x:c r="A1609" s="13" t="n">
        <x:v>45013</x:v>
      </x:c>
      <x:c r="B1609" s="12" t="n">
        <x:v>3999.5147</x:v>
      </x:c>
      <x:c r="C1609" s="12" t="n">
        <x:v>4012.4771</x:v>
      </x:c>
      <x:c r="D1609" s="12" t="n">
        <x:v>-0.3231</x:v>
      </x:c>
      <x:c r="E1609" s="12" t="n">
        <x:v>-0.003235752515321773</x:v>
      </x:c>
      <x:c r="F1609" s="12" t="n">
        <x:v>5.01</x:v>
      </x:c>
      <x:c r="G1609" s="12" t="n">
        <x:v>501</x:v>
      </x:c>
      <x:c r="H1609" s="12" t="n">
        <x:v>-2</x:v>
      </x:c>
      <x:c r="I1609" s="12" t="str">
        <x:v>TuShare index_daily</x:v>
      </x:c>
      <x:c r="J1609" s="12" t="str">
        <x:v>Archived FRED mirror (Hugging Face)</x:v>
      </x:c>
    </x:row>
    <x:row r="1610" ht="18" customHeight="1">
      <x:c r="A1610" s="13" t="n">
        <x:v>45014</x:v>
      </x:c>
      <x:c r="B1610" s="12" t="n">
        <x:v>4006.144</x:v>
      </x:c>
      <x:c r="C1610" s="12" t="n">
        <x:v>3999.5147</x:v>
      </x:c>
      <x:c r="D1610" s="12" t="n">
        <x:v>0.1658</x:v>
      </x:c>
      <x:c r="E1610" s="12" t="n">
        <x:v>0.0016561539190427233</x:v>
      </x:c>
      <x:c r="F1610" s="12" t="n">
        <x:v>4.83</x:v>
      </x:c>
      <x:c r="G1610" s="12" t="n">
        <x:v>483</x:v>
      </x:c>
      <x:c r="H1610" s="12" t="n">
        <x:v>-18</x:v>
      </x:c>
      <x:c r="I1610" s="12" t="str">
        <x:v>TuShare index_daily</x:v>
      </x:c>
      <x:c r="J1610" s="12" t="str">
        <x:v>Archived FRED mirror (Hugging Face)</x:v>
      </x:c>
    </x:row>
    <x:row r="1611" ht="18" customHeight="1">
      <x:c r="A1611" s="13" t="n">
        <x:v>45015</x:v>
      </x:c>
      <x:c r="B1611" s="12" t="n">
        <x:v>4038.5257</x:v>
      </x:c>
      <x:c r="C1611" s="12" t="n">
        <x:v>4006.144</x:v>
      </x:c>
      <x:c r="D1611" s="12" t="n">
        <x:v>0.8083</x:v>
      </x:c>
      <x:c r="E1611" s="12" t="n">
        <x:v>0.008050516950421808</x:v>
      </x:c>
      <x:c r="F1611" s="12" t="n">
        <x:v>4.74</x:v>
      </x:c>
      <x:c r="G1611" s="12" t="n">
        <x:v>474</x:v>
      </x:c>
      <x:c r="H1611" s="12" t="n">
        <x:v>-9</x:v>
      </x:c>
      <x:c r="I1611" s="12" t="str">
        <x:v>TuShare index_daily</x:v>
      </x:c>
      <x:c r="J1611" s="12" t="str">
        <x:v>Archived FRED mirror (Hugging Face)</x:v>
      </x:c>
    </x:row>
    <x:row r="1612" ht="18" customHeight="1">
      <x:c r="A1612" s="13" t="n">
        <x:v>45016</x:v>
      </x:c>
      <x:c r="B1612" s="12" t="n">
        <x:v>4050.9257</x:v>
      </x:c>
      <x:c r="C1612" s="12" t="n">
        <x:v>4038.5257</x:v>
      </x:c>
      <x:c r="D1612" s="12" t="n">
        <x:v>0.307</x:v>
      </x:c>
      <x:c r="E1612" s="12" t="n">
        <x:v>0.0030657232731370397</x:v>
      </x:c>
      <x:c r="F1612" s="12" t="n">
        <x:v>4.58</x:v>
      </x:c>
      <x:c r="G1612" s="12" t="n">
        <x:v>458</x:v>
      </x:c>
      <x:c r="H1612" s="12" t="n">
        <x:v>-16</x:v>
      </x:c>
      <x:c r="I1612" s="12" t="str">
        <x:v>TuShare index_daily</x:v>
      </x:c>
      <x:c r="J1612" s="12" t="str">
        <x:v>Archived FRED mirror (Hugging Face)</x:v>
      </x:c>
    </x:row>
    <x:row r="1613" ht="18" customHeight="1">
      <x:c r="A1613" s="13" t="n">
        <x:v>45019</x:v>
      </x:c>
      <x:c r="B1613" s="12" t="n">
        <x:v>4090.5676</x:v>
      </x:c>
      <x:c r="C1613" s="12" t="n">
        <x:v>4050.9257</x:v>
      </x:c>
      <x:c r="D1613" s="12" t="n">
        <x:v>0.9786</x:v>
      </x:c>
      <x:c r="E1613" s="12" t="n">
        <x:v>0.00973831503009619</x:v>
      </x:c>
      <x:c r="F1613" s="12" t="n">
        <x:v>4.58</x:v>
      </x:c>
      <x:c r="G1613" s="12" t="n">
        <x:v>458</x:v>
      </x:c>
      <x:c r="H1613" s="12" t="n">
        <x:v>0</x:v>
      </x:c>
      <x:c r="I1613" s="12" t="str">
        <x:v>TuShare index_daily</x:v>
      </x:c>
      <x:c r="J1613" s="12" t="str">
        <x:v>Archived FRED mirror (Hugging Face)</x:v>
      </x:c>
    </x:row>
    <x:row r="1614" ht="18" customHeight="1">
      <x:c r="A1614" s="13" t="n">
        <x:v>45020</x:v>
      </x:c>
      <x:c r="B1614" s="12" t="n">
        <x:v>4103.1052</x:v>
      </x:c>
      <x:c r="C1614" s="12" t="n">
        <x:v>4090.5676</x:v>
      </x:c>
      <x:c r="D1614" s="12" t="n">
        <x:v>0.3065</x:v>
      </x:c>
      <x:c r="E1614" s="12" t="n">
        <x:v>0.0030603149750138407</x:v>
      </x:c>
      <x:c r="F1614" s="12" t="n">
        <x:v>4.73</x:v>
      </x:c>
      <x:c r="G1614" s="12" t="n">
        <x:v>473.00000000000006</x:v>
      </x:c>
      <x:c r="H1614" s="12" t="n">
        <x:v>15.000000000000057</x:v>
      </x:c>
      <x:c r="I1614" s="12" t="str">
        <x:v>TuShare index_daily</x:v>
      </x:c>
      <x:c r="J1614" s="12" t="str">
        <x:v>Archived FRED mirror (Hugging Face)</x:v>
      </x:c>
    </x:row>
    <x:row r="1615" ht="18" customHeight="1">
      <x:c r="A1615" s="13" t="n">
        <x:v>45022</x:v>
      </x:c>
      <x:c r="B1615" s="12" t="n">
        <x:v>4096.64</x:v>
      </x:c>
      <x:c r="C1615" s="12" t="n">
        <x:v>4103.1052</x:v>
      </x:c>
      <x:c r="D1615" s="12" t="n">
        <x:v>-0.1576</x:v>
      </x:c>
      <x:c r="E1615" s="12" t="n">
        <x:v>-0.0015769273756824943</x:v>
      </x:c>
      <x:c r="F1615" s="12" t="n">
        <x:v>4.84</x:v>
      </x:c>
      <x:c r="G1615" s="12" t="n">
        <x:v>484</x:v>
      </x:c>
      <x:c r="H1615" s="12" t="n">
        <x:v>0</x:v>
      </x:c>
      <x:c r="I1615" s="12" t="str">
        <x:v>TuShare index_daily</x:v>
      </x:c>
      <x:c r="J1615" s="12" t="str">
        <x:v>Archived FRED mirror (Hugging Face)</x:v>
      </x:c>
    </x:row>
    <x:row r="1616" ht="18" customHeight="1">
      <x:c r="A1616" s="13" t="n">
        <x:v>45026</x:v>
      </x:c>
      <x:c r="B1616" s="12" t="n">
        <x:v>4104.8118</x:v>
      </x:c>
      <x:c r="C1616" s="12" t="n">
        <x:v>4123.2799</x:v>
      </x:c>
      <x:c r="D1616" s="12" t="n">
        <x:v>-0.4479</x:v>
      </x:c>
      <x:c r="E1616" s="12" t="n">
        <x:v>-0.004489043556316856</x:v>
      </x:c>
      <x:c r="F1616" s="12" t="n">
        <x:v>4.7</x:v>
      </x:c>
      <x:c r="G1616" s="12" t="n">
        <x:v>470</x:v>
      </x:c>
      <x:c r="H1616" s="12" t="n">
        <x:v>-14</x:v>
      </x:c>
      <x:c r="I1616" s="12" t="str">
        <x:v>TuShare index_daily</x:v>
      </x:c>
      <x:c r="J1616" s="12" t="str">
        <x:v>Archived FRED mirror (Hugging Face)</x:v>
      </x:c>
    </x:row>
    <x:row r="1617" ht="18" customHeight="1">
      <x:c r="A1617" s="13" t="n">
        <x:v>45027</x:v>
      </x:c>
      <x:c r="B1617" s="12" t="n">
        <x:v>4100.1479</x:v>
      </x:c>
      <x:c r="C1617" s="12" t="n">
        <x:v>4104.8118</x:v>
      </x:c>
      <x:c r="D1617" s="12" t="n">
        <x:v>-0.1136</x:v>
      </x:c>
      <x:c r="E1617" s="12" t="n">
        <x:v>-0.0011368490944111537</x:v>
      </x:c>
      <x:c r="F1617" s="12" t="n">
        <x:v>4.63</x:v>
      </x:c>
      <x:c r="G1617" s="12" t="n">
        <x:v>463</x:v>
      </x:c>
      <x:c r="H1617" s="12" t="n">
        <x:v>-7</x:v>
      </x:c>
      <x:c r="I1617" s="12" t="str">
        <x:v>TuShare index_daily</x:v>
      </x:c>
      <x:c r="J1617" s="12" t="str">
        <x:v>Archived FRED mirror (Hugging Face)</x:v>
      </x:c>
    </x:row>
    <x:row r="1618" ht="18" customHeight="1">
      <x:c r="A1618" s="13" t="n">
        <x:v>45028</x:v>
      </x:c>
      <x:c r="B1618" s="12" t="n">
        <x:v>4097.2876</x:v>
      </x:c>
      <x:c r="C1618" s="12" t="n">
        <x:v>4100.1479</x:v>
      </x:c>
      <x:c r="D1618" s="12" t="n">
        <x:v>-0.0698</x:v>
      </x:c>
      <x:c r="E1618" s="12" t="n">
        <x:v>-0.00069785242374403</x:v>
      </x:c>
      <x:c r="F1618" s="12" t="n">
        <x:v>4.62</x:v>
      </x:c>
      <x:c r="G1618" s="12" t="n">
        <x:v>462</x:v>
      </x:c>
      <x:c r="H1618" s="12" t="n">
        <x:v>-1</x:v>
      </x:c>
      <x:c r="I1618" s="12" t="str">
        <x:v>TuShare index_daily</x:v>
      </x:c>
      <x:c r="J1618" s="12" t="str">
        <x:v>Archived FRED mirror (Hugging Face)</x:v>
      </x:c>
    </x:row>
    <x:row r="1619" ht="18" customHeight="1">
      <x:c r="A1619" s="13" t="n">
        <x:v>45029</x:v>
      </x:c>
      <x:c r="B1619" s="12" t="n">
        <x:v>4068.9786</x:v>
      </x:c>
      <x:c r="C1619" s="12" t="n">
        <x:v>4097.2876</x:v>
      </x:c>
      <x:c r="D1619" s="12" t="n">
        <x:v>-0.6909</x:v>
      </x:c>
      <x:c r="E1619" s="12" t="n">
        <x:v>-0.006933184078369438</x:v>
      </x:c>
      <x:c r="F1619" s="12" t="n">
        <x:v>4.49</x:v>
      </x:c>
      <x:c r="G1619" s="12" t="n">
        <x:v>449</x:v>
      </x:c>
      <x:c r="H1619" s="12" t="n">
        <x:v>-13</x:v>
      </x:c>
      <x:c r="I1619" s="12" t="str">
        <x:v>TuShare index_daily</x:v>
      </x:c>
      <x:c r="J1619" s="12" t="str">
        <x:v>Archived FRED mirror (Hugging Face)</x:v>
      </x:c>
    </x:row>
    <x:row r="1620" ht="18" customHeight="1">
      <x:c r="A1620" s="13" t="n">
        <x:v>45030</x:v>
      </x:c>
      <x:c r="B1620" s="12" t="n">
        <x:v>4091.9988</x:v>
      </x:c>
      <x:c r="C1620" s="12" t="n">
        <x:v>4068.9786</x:v>
      </x:c>
      <x:c r="D1620" s="12" t="n">
        <x:v>0.5657</x:v>
      </x:c>
      <x:c r="E1620" s="12" t="n">
        <x:v>0.005641545105945867</x:v>
      </x:c>
      <x:c r="F1620" s="12" t="n">
        <x:v>4.43</x:v>
      </x:c>
      <x:c r="G1620" s="12" t="n">
        <x:v>443</x:v>
      </x:c>
      <x:c r="H1620" s="12" t="n">
        <x:v>-6</x:v>
      </x:c>
      <x:c r="I1620" s="12" t="str">
        <x:v>TuShare index_daily</x:v>
      </x:c>
      <x:c r="J1620" s="12" t="str">
        <x:v>Archived FRED mirror (Hugging Face)</x:v>
      </x:c>
    </x:row>
    <x:row r="1621" ht="18" customHeight="1">
      <x:c r="A1621" s="13" t="n">
        <x:v>45033</x:v>
      </x:c>
      <x:c r="B1621" s="12" t="n">
        <x:v>4149.3836</x:v>
      </x:c>
      <x:c r="C1621" s="12" t="n">
        <x:v>4091.9988</x:v>
      </x:c>
      <x:c r="D1621" s="12" t="n">
        <x:v>1.4024</x:v>
      </x:c>
      <x:c r="E1621" s="12" t="n">
        <x:v>0.013926238256229347</x:v>
      </x:c>
      <x:c r="F1621" s="12" t="n">
        <x:v>4.41</x:v>
      </x:c>
      <x:c r="G1621" s="12" t="n">
        <x:v>441</x:v>
      </x:c>
      <x:c r="H1621" s="12" t="n">
        <x:v>-2</x:v>
      </x:c>
      <x:c r="I1621" s="12" t="str">
        <x:v>TuShare index_daily</x:v>
      </x:c>
      <x:c r="J1621" s="12" t="str">
        <x:v>Archived FRED mirror (Hugging Face)</x:v>
      </x:c>
    </x:row>
    <x:row r="1622" ht="18" customHeight="1">
      <x:c r="A1622" s="13" t="n">
        <x:v>45034</x:v>
      </x:c>
      <x:c r="B1622" s="12" t="n">
        <x:v>4162.032</x:v>
      </x:c>
      <x:c r="C1622" s="12" t="n">
        <x:v>4149.3836</x:v>
      </x:c>
      <x:c r="D1622" s="12" t="n">
        <x:v>0.3048</x:v>
      </x:c>
      <x:c r="E1622" s="12" t="n">
        <x:v>0.0030436234626958596</x:v>
      </x:c>
      <x:c r="F1622" s="12" t="n">
        <x:v>4.37</x:v>
      </x:c>
      <x:c r="G1622" s="12" t="n">
        <x:v>437</x:v>
      </x:c>
      <x:c r="H1622" s="12" t="n">
        <x:v>-4</x:v>
      </x:c>
      <x:c r="I1622" s="12" t="str">
        <x:v>TuShare index_daily</x:v>
      </x:c>
      <x:c r="J1622" s="12" t="str">
        <x:v>Archived FRED mirror (Hugging Face)</x:v>
      </x:c>
    </x:row>
    <x:row r="1623" ht="18" customHeight="1">
      <x:c r="A1623" s="13" t="n">
        <x:v>45035</x:v>
      </x:c>
      <x:c r="B1623" s="12" t="n">
        <x:v>4124.5589</x:v>
      </x:c>
      <x:c r="C1623" s="12" t="n">
        <x:v>4162.032</x:v>
      </x:c>
      <x:c r="D1623" s="12" t="n">
        <x:v>-0.9004</x:v>
      </x:c>
      <x:c r="E1623" s="12" t="n">
        <x:v>-0.00904433581759568</x:v>
      </x:c>
      <x:c r="F1623" s="12" t="n">
        <x:v>4.41</x:v>
      </x:c>
      <x:c r="G1623" s="12" t="n">
        <x:v>441</x:v>
      </x:c>
      <x:c r="H1623" s="12" t="n">
        <x:v>4</x:v>
      </x:c>
      <x:c r="I1623" s="12" t="str">
        <x:v>TuShare index_daily</x:v>
      </x:c>
      <x:c r="J1623" s="12" t="str">
        <x:v>Archived FRED mirror (Hugging Face)</x:v>
      </x:c>
    </x:row>
    <x:row r="1624" ht="18" customHeight="1">
      <x:c r="A1624" s="13" t="n">
        <x:v>45036</x:v>
      </x:c>
      <x:c r="B1624" s="12" t="n">
        <x:v>4113.0192</x:v>
      </x:c>
      <x:c r="C1624" s="12" t="n">
        <x:v>4124.5589</x:v>
      </x:c>
      <x:c r="D1624" s="12" t="n">
        <x:v>-0.2798</x:v>
      </x:c>
      <x:c r="E1624" s="12" t="n">
        <x:v>-0.0028017233726872733</x:v>
      </x:c>
      <x:c r="F1624" s="12" t="n">
        <x:v>4.54</x:v>
      </x:c>
      <x:c r="G1624" s="12" t="n">
        <x:v>454</x:v>
      </x:c>
      <x:c r="H1624" s="12" t="n">
        <x:v>13</x:v>
      </x:c>
      <x:c r="I1624" s="12" t="str">
        <x:v>TuShare index_daily</x:v>
      </x:c>
      <x:c r="J1624" s="12" t="str">
        <x:v>Archived FRED mirror (Hugging Face)</x:v>
      </x:c>
    </x:row>
    <x:row r="1625" ht="18" customHeight="1">
      <x:c r="A1625" s="13" t="n">
        <x:v>45037</x:v>
      </x:c>
      <x:c r="B1625" s="12" t="n">
        <x:v>4032.5672</x:v>
      </x:c>
      <x:c r="C1625" s="12" t="n">
        <x:v>4113.0192</x:v>
      </x:c>
      <x:c r="D1625" s="12" t="n">
        <x:v>-1.956</x:v>
      </x:c>
      <x:c r="E1625" s="12" t="n">
        <x:v>-0.01975416188434926</x:v>
      </x:c>
      <x:c r="F1625" s="12" t="n">
        <x:v>4.46</x:v>
      </x:c>
      <x:c r="G1625" s="12" t="n">
        <x:v>446</x:v>
      </x:c>
      <x:c r="H1625" s="12" t="n">
        <x:v>-8</x:v>
      </x:c>
      <x:c r="I1625" s="12" t="str">
        <x:v>TuShare index_daily</x:v>
      </x:c>
      <x:c r="J1625" s="12" t="str">
        <x:v>Archived FRED mirror (Hugging Face)</x:v>
      </x:c>
    </x:row>
    <x:row r="1626" ht="18" customHeight="1">
      <x:c r="A1626" s="13" t="n">
        <x:v>45040</x:v>
      </x:c>
      <x:c r="B1626" s="12" t="n">
        <x:v>3982.6429</x:v>
      </x:c>
      <x:c r="C1626" s="12" t="n">
        <x:v>4032.5672</x:v>
      </x:c>
      <x:c r="D1626" s="12" t="n">
        <x:v>-1.238</x:v>
      </x:c>
      <x:c r="E1626" s="12" t="n">
        <x:v>-0.012457551336495796</x:v>
      </x:c>
      <x:c r="F1626" s="12" t="n">
        <x:v>4.48</x:v>
      </x:c>
      <x:c r="G1626" s="12" t="n">
        <x:v>448.00000000000006</x:v>
      </x:c>
      <x:c r="H1626" s="12" t="n">
        <x:v>2.000000000000057</x:v>
      </x:c>
      <x:c r="I1626" s="12" t="str">
        <x:v>TuShare index_daily</x:v>
      </x:c>
      <x:c r="J1626" s="12" t="str">
        <x:v>Archived FRED mirror (Hugging Face)</x:v>
      </x:c>
    </x:row>
    <x:row r="1627" ht="18" customHeight="1">
      <x:c r="A1627" s="13" t="n">
        <x:v>45041</x:v>
      </x:c>
      <x:c r="B1627" s="12" t="n">
        <x:v>3962.6658</x:v>
      </x:c>
      <x:c r="C1627" s="12" t="n">
        <x:v>3982.6429</x:v>
      </x:c>
      <x:c r="D1627" s="12" t="n">
        <x:v>-0.5016</x:v>
      </x:c>
      <x:c r="E1627" s="12" t="n">
        <x:v>-0.005028663542673135</x:v>
      </x:c>
      <x:c r="F1627" s="12" t="n">
        <x:v>4.64</x:v>
      </x:c>
      <x:c r="G1627" s="12" t="n">
        <x:v>463.99999999999994</x:v>
      </x:c>
      <x:c r="H1627" s="12" t="n">
        <x:v>15.999999999999886</x:v>
      </x:c>
      <x:c r="I1627" s="12" t="str">
        <x:v>TuShare index_daily</x:v>
      </x:c>
      <x:c r="J1627" s="12" t="str">
        <x:v>Archived FRED mirror (Hugging Face)</x:v>
      </x:c>
    </x:row>
    <x:row r="1628" ht="18" customHeight="1">
      <x:c r="A1628" s="13" t="n">
        <x:v>45042</x:v>
      </x:c>
      <x:c r="B1628" s="12" t="n">
        <x:v>3959.2323</x:v>
      </x:c>
      <x:c r="C1628" s="12" t="n">
        <x:v>3962.6658</x:v>
      </x:c>
      <x:c r="D1628" s="12" t="n">
        <x:v>-0.0866</x:v>
      </x:c>
      <x:c r="E1628" s="12" t="n">
        <x:v>-0.0008668377632871743</x:v>
      </x:c>
      <x:c r="F1628" s="12" t="n">
        <x:v>4.63</x:v>
      </x:c>
      <x:c r="G1628" s="12" t="n">
        <x:v>463</x:v>
      </x:c>
      <x:c r="H1628" s="12" t="n">
        <x:v>-0.9999999999999432</x:v>
      </x:c>
      <x:c r="I1628" s="12" t="str">
        <x:v>TuShare index_daily</x:v>
      </x:c>
      <x:c r="J1628" s="12" t="str">
        <x:v>Archived FRED mirror (Hugging Face)</x:v>
      </x:c>
    </x:row>
    <x:row r="1629" ht="18" customHeight="1">
      <x:c r="A1629" s="13" t="n">
        <x:v>45043</x:v>
      </x:c>
      <x:c r="B1629" s="12" t="n">
        <x:v>3988.4185</x:v>
      </x:c>
      <x:c r="C1629" s="12" t="n">
        <x:v>3959.2323</x:v>
      </x:c>
      <x:c r="D1629" s="12" t="n">
        <x:v>0.7372</x:v>
      </x:c>
      <x:c r="E1629" s="12" t="n">
        <x:v>0.007344643577210908</x:v>
      </x:c>
      <x:c r="F1629" s="12" t="n">
        <x:v>4.48</x:v>
      </x:c>
      <x:c r="G1629" s="12" t="n">
        <x:v>448.00000000000006</x:v>
      </x:c>
      <x:c r="H1629" s="12" t="n">
        <x:v>-14.999999999999943</x:v>
      </x:c>
      <x:c r="I1629" s="12" t="str">
        <x:v>TuShare index_daily</x:v>
      </x:c>
      <x:c r="J1629" s="12" t="str">
        <x:v>Archived FRED mirror (Hugging Face)</x:v>
      </x:c>
    </x:row>
    <x:row r="1630" ht="18" customHeight="1">
      <x:c r="A1630" s="13" t="n">
        <x:v>45044</x:v>
      </x:c>
      <x:c r="B1630" s="12" t="n">
        <x:v>4029.0858</x:v>
      </x:c>
      <x:c r="C1630" s="12" t="n">
        <x:v>3988.4185</x:v>
      </x:c>
      <x:c r="D1630" s="12" t="n">
        <x:v>1.0196</x:v>
      </x:c>
      <x:c r="E1630" s="12" t="n">
        <x:v>0.01014471517605962</x:v>
      </x:c>
      <x:c r="F1630" s="12" t="n">
        <x:v>4.5</x:v>
      </x:c>
      <x:c r="G1630" s="12" t="n">
        <x:v>450</x:v>
      </x:c>
      <x:c r="H1630" s="12" t="n">
        <x:v>1.9999999999999432</x:v>
      </x:c>
      <x:c r="I1630" s="12" t="str">
        <x:v>TuShare index_daily</x:v>
      </x:c>
      <x:c r="J1630" s="12" t="str">
        <x:v>Archived FRED mirror (Hugging Face)</x:v>
      </x:c>
    </x:row>
    <x:row r="1631" ht="18" customHeight="1">
      <x:c r="A1631" s="13" t="n">
        <x:v>45050</x:v>
      </x:c>
      <x:c r="B1631" s="12" t="n">
        <x:v>4030.2471</x:v>
      </x:c>
      <x:c r="C1631" s="12" t="n">
        <x:v>4029.0858</x:v>
      </x:c>
      <x:c r="D1631" s="12" t="n">
        <x:v>0.0288</x:v>
      </x:c>
      <x:c r="E1631" s="12" t="n">
        <x:v>0.00028818762605953345</x:v>
      </x:c>
      <x:c r="F1631" s="12" t="n">
        <x:v>4.95</x:v>
      </x:c>
      <x:c r="G1631" s="12" t="n">
        <x:v>495</x:v>
      </x:c>
      <x:c r="H1631" s="12" t="n">
        <x:v>16</x:v>
      </x:c>
      <x:c r="I1631" s="12" t="str">
        <x:v>TuShare index_daily</x:v>
      </x:c>
      <x:c r="J1631" s="12" t="str">
        <x:v>Archived FRED mirror (Hugging Face)</x:v>
      </x:c>
    </x:row>
    <x:row r="1632" ht="18" customHeight="1">
      <x:c r="A1632" s="13" t="n">
        <x:v>45051</x:v>
      </x:c>
      <x:c r="B1632" s="12" t="n">
        <x:v>4016.8774</x:v>
      </x:c>
      <x:c r="C1632" s="12" t="n">
        <x:v>4030.2471</x:v>
      </x:c>
      <x:c r="D1632" s="12" t="n">
        <x:v>-0.3317</x:v>
      </x:c>
      <x:c r="E1632" s="12" t="n">
        <x:v>-0.0033228545927530486</x:v>
      </x:c>
      <x:c r="F1632" s="12" t="n">
        <x:v>4.77</x:v>
      </x:c>
      <x:c r="G1632" s="12" t="n">
        <x:v>476.99999999999994</x:v>
      </x:c>
      <x:c r="H1632" s="12" t="n">
        <x:v>-18.000000000000057</x:v>
      </x:c>
      <x:c r="I1632" s="12" t="str">
        <x:v>TuShare index_daily</x:v>
      </x:c>
      <x:c r="J1632" s="12" t="str">
        <x:v>Archived FRED mirror (Hugging Face)</x:v>
      </x:c>
    </x:row>
    <x:row r="1633" ht="18" customHeight="1">
      <x:c r="A1633" s="13" t="n">
        <x:v>45054</x:v>
      </x:c>
      <x:c r="B1633" s="12" t="n">
        <x:v>4062.6624</x:v>
      </x:c>
      <x:c r="C1633" s="12" t="n">
        <x:v>4016.8774</x:v>
      </x:c>
      <x:c r="D1633" s="12" t="n">
        <x:v>1.1398</x:v>
      </x:c>
      <x:c r="E1633" s="12" t="n">
        <x:v>0.011333687618858015</x:v>
      </x:c>
      <x:c r="F1633" s="12" t="n">
        <x:v>4.72</x:v>
      </x:c>
      <x:c r="G1633" s="12" t="n">
        <x:v>472</x:v>
      </x:c>
      <x:c r="H1633" s="12" t="n">
        <x:v>-4.999999999999943</x:v>
      </x:c>
      <x:c r="I1633" s="12" t="str">
        <x:v>TuShare index_daily</x:v>
      </x:c>
      <x:c r="J1633" s="12" t="str">
        <x:v>Archived FRED mirror (Hugging Face)</x:v>
      </x:c>
    </x:row>
    <x:row r="1634" ht="18" customHeight="1">
      <x:c r="A1634" s="13" t="n">
        <x:v>45055</x:v>
      </x:c>
      <x:c r="B1634" s="12" t="n">
        <x:v>4027.8754</x:v>
      </x:c>
      <x:c r="C1634" s="12" t="n">
        <x:v>4062.6624</x:v>
      </x:c>
      <x:c r="D1634" s="12" t="n">
        <x:v>-0.8563</x:v>
      </x:c>
      <x:c r="E1634" s="12" t="n">
        <x:v>-0.008599481329350357</x:v>
      </x:c>
      <x:c r="F1634" s="12" t="n">
        <x:v>4.74</x:v>
      </x:c>
      <x:c r="G1634" s="12" t="n">
        <x:v>474</x:v>
      </x:c>
      <x:c r="H1634" s="12" t="n">
        <x:v>2</x:v>
      </x:c>
      <x:c r="I1634" s="12" t="str">
        <x:v>TuShare index_daily</x:v>
      </x:c>
      <x:c r="J1634" s="12" t="str">
        <x:v>Archived FRED mirror (Hugging Face)</x:v>
      </x:c>
    </x:row>
    <x:row r="1635" ht="18" customHeight="1">
      <x:c r="A1635" s="13" t="n">
        <x:v>45056</x:v>
      </x:c>
      <x:c r="B1635" s="12" t="n">
        <x:v>3996.8695</x:v>
      </x:c>
      <x:c r="C1635" s="12" t="n">
        <x:v>4027.8754</x:v>
      </x:c>
      <x:c r="D1635" s="12" t="n">
        <x:v>-0.7698</x:v>
      </x:c>
      <x:c r="E1635" s="12" t="n">
        <x:v>-0.0077276112030614744</x:v>
      </x:c>
      <x:c r="F1635" s="12" t="n">
        <x:v>4.78</x:v>
      </x:c>
      <x:c r="G1635" s="12" t="n">
        <x:v>478</x:v>
      </x:c>
      <x:c r="H1635" s="12" t="n">
        <x:v>4</x:v>
      </x:c>
      <x:c r="I1635" s="12" t="str">
        <x:v>TuShare index_daily</x:v>
      </x:c>
      <x:c r="J1635" s="12" t="str">
        <x:v>Archived FRED mirror (Hugging Face)</x:v>
      </x:c>
    </x:row>
    <x:row r="1636" ht="18" customHeight="1">
      <x:c r="A1636" s="13" t="n">
        <x:v>45057</x:v>
      </x:c>
      <x:c r="B1636" s="12" t="n">
        <x:v>3990.6637</x:v>
      </x:c>
      <x:c r="C1636" s="12" t="n">
        <x:v>3996.8695</x:v>
      </x:c>
      <x:c r="D1636" s="12" t="n">
        <x:v>-0.1553</x:v>
      </x:c>
      <x:c r="E1636" s="12" t="n">
        <x:v>-0.001553871788268113</x:v>
      </x:c>
      <x:c r="F1636" s="12" t="n">
        <x:v>4.81</x:v>
      </x:c>
      <x:c r="G1636" s="12" t="n">
        <x:v>480.99999999999994</x:v>
      </x:c>
      <x:c r="H1636" s="12" t="n">
        <x:v>2.999999999999943</x:v>
      </x:c>
      <x:c r="I1636" s="12" t="str">
        <x:v>TuShare index_daily</x:v>
      </x:c>
      <x:c r="J1636" s="12" t="str">
        <x:v>Archived FRED mirror (Hugging Face)</x:v>
      </x:c>
    </x:row>
    <x:row r="1637" ht="18" customHeight="1">
      <x:c r="A1637" s="13" t="n">
        <x:v>45058</x:v>
      </x:c>
      <x:c r="B1637" s="12" t="n">
        <x:v>3937.7622</x:v>
      </x:c>
      <x:c r="C1637" s="12" t="n">
        <x:v>3990.6637</x:v>
      </x:c>
      <x:c r="D1637" s="12" t="n">
        <x:v>-1.3256</x:v>
      </x:c>
      <x:c r="E1637" s="12" t="n">
        <x:v>-0.013344965509902268</x:v>
      </x:c>
      <x:c r="F1637" s="12" t="n">
        <x:v>4.76</x:v>
      </x:c>
      <x:c r="G1637" s="12" t="n">
        <x:v>476</x:v>
      </x:c>
      <x:c r="H1637" s="12" t="n">
        <x:v>-4.999999999999943</x:v>
      </x:c>
      <x:c r="I1637" s="12" t="str">
        <x:v>TuShare index_daily</x:v>
      </x:c>
      <x:c r="J1637" s="12" t="str">
        <x:v>Archived FRED mirror (Hugging Face)</x:v>
      </x:c>
    </x:row>
    <x:row r="1638" ht="18" customHeight="1">
      <x:c r="A1638" s="13" t="n">
        <x:v>45061</x:v>
      </x:c>
      <x:c r="B1638" s="12" t="n">
        <x:v>3998.8872</x:v>
      </x:c>
      <x:c r="C1638" s="12" t="n">
        <x:v>3937.7622</x:v>
      </x:c>
      <x:c r="D1638" s="12" t="n">
        <x:v>1.5523</x:v>
      </x:c>
      <x:c r="E1638" s="12" t="n">
        <x:v>0.015403530004197431</x:v>
      </x:c>
      <x:c r="F1638" s="12" t="n">
        <x:v>4.77</x:v>
      </x:c>
      <x:c r="G1638" s="12" t="n">
        <x:v>476.99999999999994</x:v>
      </x:c>
      <x:c r="H1638" s="12" t="n">
        <x:v>0.9999999999999432</x:v>
      </x:c>
      <x:c r="I1638" s="12" t="str">
        <x:v>TuShare index_daily</x:v>
      </x:c>
      <x:c r="J1638" s="12" t="str">
        <x:v>Archived FRED mirror (Hugging Face)</x:v>
      </x:c>
    </x:row>
    <x:row r="1639" ht="18" customHeight="1">
      <x:c r="A1639" s="13" t="n">
        <x:v>45062</x:v>
      </x:c>
      <x:c r="B1639" s="12" t="n">
        <x:v>3978.2054</x:v>
      </x:c>
      <x:c r="C1639" s="12" t="n">
        <x:v>3998.8872</x:v>
      </x:c>
      <x:c r="D1639" s="12" t="n">
        <x:v>-0.5172</x:v>
      </x:c>
      <x:c r="E1639" s="12" t="n">
        <x:v>-0.0051853093293719</x:v>
      </x:c>
      <x:c r="F1639" s="12" t="n">
        <x:v>4.79</x:v>
      </x:c>
      <x:c r="G1639" s="12" t="n">
        <x:v>479</x:v>
      </x:c>
      <x:c r="H1639" s="12" t="n">
        <x:v>2.000000000000057</x:v>
      </x:c>
      <x:c r="I1639" s="12" t="str">
        <x:v>TuShare index_daily</x:v>
      </x:c>
      <x:c r="J1639" s="12" t="str">
        <x:v>Archived FRED mirror (Hugging Face)</x:v>
      </x:c>
    </x:row>
    <x:row r="1640" ht="18" customHeight="1">
      <x:c r="A1640" s="13" t="n">
        <x:v>45063</x:v>
      </x:c>
      <x:c r="B1640" s="12" t="n">
        <x:v>3960.165</x:v>
      </x:c>
      <x:c r="C1640" s="12" t="n">
        <x:v>3978.2054</x:v>
      </x:c>
      <x:c r="D1640" s="12" t="n">
        <x:v>-0.4535</x:v>
      </x:c>
      <x:c r="E1640" s="12" t="n">
        <x:v>-0.004545122020695687</x:v>
      </x:c>
      <x:c r="F1640" s="12" t="n">
        <x:v>4.75</x:v>
      </x:c>
      <x:c r="G1640" s="12" t="n">
        <x:v>475</x:v>
      </x:c>
      <x:c r="H1640" s="12" t="n">
        <x:v>-4</x:v>
      </x:c>
      <x:c r="I1640" s="12" t="str">
        <x:v>TuShare index_daily</x:v>
      </x:c>
      <x:c r="J1640" s="12" t="str">
        <x:v>Archived FRED mirror (Hugging Face)</x:v>
      </x:c>
    </x:row>
    <x:row r="1641" ht="18" customHeight="1">
      <x:c r="A1641" s="13" t="n">
        <x:v>45064</x:v>
      </x:c>
      <x:c r="B1641" s="12" t="n">
        <x:v>3956.0701</x:v>
      </x:c>
      <x:c r="C1641" s="12" t="n">
        <x:v>3960.165</x:v>
      </x:c>
      <x:c r="D1641" s="12" t="n">
        <x:v>-0.1034</x:v>
      </x:c>
      <x:c r="E1641" s="12" t="n">
        <x:v>-0.001034557542444401</x:v>
      </x:c>
      <x:c r="F1641" s="12" t="n">
        <x:v>4.69</x:v>
      </x:c>
      <x:c r="G1641" s="12" t="n">
        <x:v>469.00000000000006</x:v>
      </x:c>
      <x:c r="H1641" s="12" t="n">
        <x:v>-5.999999999999943</x:v>
      </x:c>
      <x:c r="I1641" s="12" t="str">
        <x:v>TuShare index_daily</x:v>
      </x:c>
      <x:c r="J1641" s="12" t="str">
        <x:v>Archived FRED mirror (Hugging Face)</x:v>
      </x:c>
    </x:row>
    <x:row r="1642" ht="18" customHeight="1">
      <x:c r="A1642" s="13" t="n">
        <x:v>45065</x:v>
      </x:c>
      <x:c r="B1642" s="12" t="n">
        <x:v>3944.5403</x:v>
      </x:c>
      <x:c r="C1642" s="12" t="n">
        <x:v>3956.0701</x:v>
      </x:c>
      <x:c r="D1642" s="12" t="n">
        <x:v>-0.2914</x:v>
      </x:c>
      <x:c r="E1642" s="12" t="n">
        <x:v>-0.002918713264252902</x:v>
      </x:c>
      <x:c r="F1642" s="12" t="n">
        <x:v>4.62</x:v>
      </x:c>
      <x:c r="G1642" s="12" t="n">
        <x:v>462</x:v>
      </x:c>
      <x:c r="H1642" s="12" t="n">
        <x:v>-7.000000000000057</x:v>
      </x:c>
      <x:c r="I1642" s="12" t="str">
        <x:v>TuShare index_daily</x:v>
      </x:c>
      <x:c r="J1642" s="12" t="str">
        <x:v>Archived FRED mirror (Hugging Face)</x:v>
      </x:c>
    </x:row>
    <x:row r="1643" ht="18" customHeight="1">
      <x:c r="A1643" s="13" t="n">
        <x:v>45068</x:v>
      </x:c>
      <x:c r="B1643" s="12" t="n">
        <x:v>3969.3277</x:v>
      </x:c>
      <x:c r="C1643" s="12" t="n">
        <x:v>3944.5403</x:v>
      </x:c>
      <x:c r="D1643" s="12" t="n">
        <x:v>0.6284</x:v>
      </x:c>
      <x:c r="E1643" s="12" t="n">
        <x:v>0.006264315012112265</x:v>
      </x:c>
      <x:c r="F1643" s="12" t="n">
        <x:v>4.54</x:v>
      </x:c>
      <x:c r="G1643" s="12" t="n">
        <x:v>454</x:v>
      </x:c>
      <x:c r="H1643" s="12" t="n">
        <x:v>-8</x:v>
      </x:c>
      <x:c r="I1643" s="12" t="str">
        <x:v>TuShare index_daily</x:v>
      </x:c>
      <x:c r="J1643" s="12" t="str">
        <x:v>Archived FRED mirror (Hugging Face)</x:v>
      </x:c>
    </x:row>
    <x:row r="1644" ht="18" customHeight="1">
      <x:c r="A1644" s="13" t="n">
        <x:v>45069</x:v>
      </x:c>
      <x:c r="B1644" s="12" t="n">
        <x:v>3913.1882</x:v>
      </x:c>
      <x:c r="C1644" s="12" t="n">
        <x:v>3969.3277</x:v>
      </x:c>
      <x:c r="D1644" s="12" t="n">
        <x:v>-1.4143</x:v>
      </x:c>
      <x:c r="E1644" s="12" t="n">
        <x:v>-0.014244297108787168</x:v>
      </x:c>
      <x:c r="F1644" s="12" t="n">
        <x:v>4.6</x:v>
      </x:c>
      <x:c r="G1644" s="12" t="n">
        <x:v>459.99999999999994</x:v>
      </x:c>
      <x:c r="H1644" s="12" t="n">
        <x:v>5.999999999999943</x:v>
      </x:c>
      <x:c r="I1644" s="12" t="str">
        <x:v>TuShare index_daily</x:v>
      </x:c>
      <x:c r="J1644" s="12" t="str">
        <x:v>Archived FRED mirror (Hugging Face)</x:v>
      </x:c>
    </x:row>
    <x:row r="1645" ht="18" customHeight="1">
      <x:c r="A1645" s="13" t="n">
        <x:v>45070</x:v>
      </x:c>
      <x:c r="B1645" s="12" t="n">
        <x:v>3859.0935</x:v>
      </x:c>
      <x:c r="C1645" s="12" t="n">
        <x:v>3913.1882</x:v>
      </x:c>
      <x:c r="D1645" s="12" t="n">
        <x:v>-1.3824</x:v>
      </x:c>
      <x:c r="E1645" s="12" t="n">
        <x:v>-0.013920126824799891</x:v>
      </x:c>
      <x:c r="F1645" s="12" t="n">
        <x:v>4.68</x:v>
      </x:c>
      <x:c r="G1645" s="12" t="n">
        <x:v>468</x:v>
      </x:c>
      <x:c r="H1645" s="12" t="n">
        <x:v>8.000000000000057</x:v>
      </x:c>
      <x:c r="I1645" s="12" t="str">
        <x:v>TuShare index_daily</x:v>
      </x:c>
      <x:c r="J1645" s="12" t="str">
        <x:v>Archived FRED mirror (Hugging Face)</x:v>
      </x:c>
    </x:row>
    <x:row r="1646" ht="18" customHeight="1">
      <x:c r="A1646" s="13" t="n">
        <x:v>45071</x:v>
      </x:c>
      <x:c r="B1646" s="12" t="n">
        <x:v>3850.4996</x:v>
      </x:c>
      <x:c r="C1646" s="12" t="n">
        <x:v>3859.0935</x:v>
      </x:c>
      <x:c r="D1646" s="12" t="n">
        <x:v>-0.2227</x:v>
      </x:c>
      <x:c r="E1646" s="12" t="n">
        <x:v>-0.002229405222302582</x:v>
      </x:c>
      <x:c r="F1646" s="12" t="n">
        <x:v>4.58</x:v>
      </x:c>
      <x:c r="G1646" s="12" t="n">
        <x:v>458</x:v>
      </x:c>
      <x:c r="H1646" s="12" t="n">
        <x:v>-10</x:v>
      </x:c>
      <x:c r="I1646" s="12" t="str">
        <x:v>TuShare index_daily</x:v>
      </x:c>
      <x:c r="J1646" s="12" t="str">
        <x:v>Archived FRED mirror (Hugging Face)</x:v>
      </x:c>
    </x:row>
    <x:row r="1647" ht="18" customHeight="1">
      <x:c r="A1647" s="13" t="n">
        <x:v>45072</x:v>
      </x:c>
      <x:c r="B1647" s="12" t="n">
        <x:v>3850.9511</x:v>
      </x:c>
      <x:c r="C1647" s="12" t="n">
        <x:v>3850.4996</x:v>
      </x:c>
      <x:c r="D1647" s="12" t="n">
        <x:v>0.0117</x:v>
      </x:c>
      <x:c r="E1647" s="12" t="n">
        <x:v>0.00011725063708255876</x:v>
      </x:c>
      <x:c r="F1647" s="12" t="n">
        <x:v>4.53</x:v>
      </x:c>
      <x:c r="G1647" s="12" t="n">
        <x:v>453</x:v>
      </x:c>
      <x:c r="H1647" s="12" t="n">
        <x:v>-5</x:v>
      </x:c>
      <x:c r="I1647" s="12" t="str">
        <x:v>TuShare index_daily</x:v>
      </x:c>
      <x:c r="J1647" s="12" t="str">
        <x:v>Archived FRED mirror (Hugging Face)</x:v>
      </x:c>
    </x:row>
    <x:row r="1648" ht="18" customHeight="1">
      <x:c r="A1648" s="13" t="n">
        <x:v>45075</x:v>
      </x:c>
      <x:c r="B1648" s="12" t="n">
        <x:v>3833.9416</x:v>
      </x:c>
      <x:c r="C1648" s="12" t="n">
        <x:v>3850.9511</x:v>
      </x:c>
      <x:c r="D1648" s="12" t="n">
        <x:v>-0.4417</x:v>
      </x:c>
      <x:c r="E1648" s="12" t="n">
        <x:v>-0.004426744377731629</x:v>
      </x:c>
      <x:c r="F1648" s="12" t="n">
        <x:v>4.54</x:v>
      </x:c>
      <x:c r="G1648" s="12" t="n">
        <x:v>454</x:v>
      </x:c>
      <x:c r="H1648" s="12" t="n">
        <x:v>1</x:v>
      </x:c>
      <x:c r="I1648" s="12" t="str">
        <x:v>TuShare index_daily</x:v>
      </x:c>
      <x:c r="J1648" s="12" t="str">
        <x:v>Archived FRED mirror (Hugging Face)</x:v>
      </x:c>
    </x:row>
    <x:row r="1649" ht="18" customHeight="1">
      <x:c r="A1649" s="13" t="n">
        <x:v>45076</x:v>
      </x:c>
      <x:c r="B1649" s="12" t="n">
        <x:v>3837.7531</x:v>
      </x:c>
      <x:c r="C1649" s="12" t="n">
        <x:v>3833.9416</x:v>
      </x:c>
      <x:c r="D1649" s="12" t="n">
        <x:v>0.0994</x:v>
      </x:c>
      <x:c r="E1649" s="12" t="n">
        <x:v>0.0009936527619133092</x:v>
      </x:c>
      <x:c r="F1649" s="12" t="n">
        <x:v>4.58</x:v>
      </x:c>
      <x:c r="G1649" s="12" t="n">
        <x:v>458</x:v>
      </x:c>
      <x:c r="H1649" s="12" t="n">
        <x:v>4</x:v>
      </x:c>
      <x:c r="I1649" s="12" t="str">
        <x:v>TuShare index_daily</x:v>
      </x:c>
      <x:c r="J1649" s="12" t="str">
        <x:v>Archived FRED mirror (Hugging Face)</x:v>
      </x:c>
    </x:row>
    <x:row r="1650" ht="18" customHeight="1">
      <x:c r="A1650" s="13" t="n">
        <x:v>45077</x:v>
      </x:c>
      <x:c r="B1650" s="12" t="n">
        <x:v>3798.5434</x:v>
      </x:c>
      <x:c r="C1650" s="12" t="n">
        <x:v>3837.7531</x:v>
      </x:c>
      <x:c r="D1650" s="12" t="n">
        <x:v>-1.0217</x:v>
      </x:c>
      <x:c r="E1650" s="12" t="n">
        <x:v>-0.01026938767722393</x:v>
      </x:c>
      <x:c r="F1650" s="12" t="n">
        <x:v>4.69</x:v>
      </x:c>
      <x:c r="G1650" s="12" t="n">
        <x:v>469.00000000000006</x:v>
      </x:c>
      <x:c r="H1650" s="12" t="n">
        <x:v>11.000000000000057</x:v>
      </x:c>
      <x:c r="I1650" s="12" t="str">
        <x:v>TuShare index_daily</x:v>
      </x:c>
      <x:c r="J1650" s="12" t="str">
        <x:v>Archived FRED mirror (Hugging Face)</x:v>
      </x:c>
    </x:row>
    <x:row r="1651" ht="18" customHeight="1">
      <x:c r="A1651" s="13" t="n">
        <x:v>45078</x:v>
      </x:c>
      <x:c r="B1651" s="12" t="n">
        <x:v>3806.8679</x:v>
      </x:c>
      <x:c r="C1651" s="12" t="n">
        <x:v>3798.5434</x:v>
      </x:c>
      <x:c r="D1651" s="12" t="n">
        <x:v>0.2191</x:v>
      </x:c>
      <x:c r="E1651" s="12" t="n">
        <x:v>0.002189100101492375</x:v>
      </x:c>
      <x:c r="F1651" s="12" t="n">
        <x:v>4.65</x:v>
      </x:c>
      <x:c r="G1651" s="12" t="n">
        <x:v>465.00000000000006</x:v>
      </x:c>
      <x:c r="H1651" s="12" t="n">
        <x:v>-4</x:v>
      </x:c>
      <x:c r="I1651" s="12" t="str">
        <x:v>TuShare index_daily</x:v>
      </x:c>
      <x:c r="J1651" s="12" t="str">
        <x:v>Archived FRED mirror (Hugging Face)</x:v>
      </x:c>
    </x:row>
    <x:row r="1652" ht="18" customHeight="1">
      <x:c r="A1652" s="13" t="n">
        <x:v>45079</x:v>
      </x:c>
      <x:c r="B1652" s="12" t="n">
        <x:v>3861.8337</x:v>
      </x:c>
      <x:c r="C1652" s="12" t="n">
        <x:v>3806.8679</x:v>
      </x:c>
      <x:c r="D1652" s="12" t="n">
        <x:v>1.4439</x:v>
      </x:c>
      <x:c r="E1652" s="12" t="n">
        <x:v>0.01433534492873864</x:v>
      </x:c>
      <x:c r="F1652" s="12" t="n">
        <x:v>4.37</x:v>
      </x:c>
      <x:c r="G1652" s="12" t="n">
        <x:v>437</x:v>
      </x:c>
      <x:c r="H1652" s="12" t="n">
        <x:v>-28.000000000000057</x:v>
      </x:c>
      <x:c r="I1652" s="12" t="str">
        <x:v>TuShare index_daily</x:v>
      </x:c>
      <x:c r="J1652" s="12" t="str">
        <x:v>Archived FRED mirror (Hugging Face)</x:v>
      </x:c>
    </x:row>
    <x:row r="1653" ht="18" customHeight="1">
      <x:c r="A1653" s="13" t="n">
        <x:v>45082</x:v>
      </x:c>
      <x:c r="B1653" s="12" t="n">
        <x:v>3844.2492</x:v>
      </x:c>
      <x:c r="C1653" s="12" t="n">
        <x:v>3861.8337</x:v>
      </x:c>
      <x:c r="D1653" s="12" t="n">
        <x:v>-0.4553</x:v>
      </x:c>
      <x:c r="E1653" s="12" t="n">
        <x:v>-0.004563805178188675</x:v>
      </x:c>
      <x:c r="F1653" s="12" t="n">
        <x:v>4.39</x:v>
      </x:c>
      <x:c r="G1653" s="12" t="n">
        <x:v>438.99999999999994</x:v>
      </x:c>
      <x:c r="H1653" s="12" t="n">
        <x:v>1.9999999999999432</x:v>
      </x:c>
      <x:c r="I1653" s="12" t="str">
        <x:v>TuShare index_daily</x:v>
      </x:c>
      <x:c r="J1653" s="12" t="str">
        <x:v>Archived FRED mirror (Hugging Face)</x:v>
      </x:c>
    </x:row>
    <x:row r="1654" ht="18" customHeight="1">
      <x:c r="A1654" s="13" t="n">
        <x:v>45083</x:v>
      </x:c>
      <x:c r="B1654" s="12" t="n">
        <x:v>3808.1629</x:v>
      </x:c>
      <x:c r="C1654" s="12" t="n">
        <x:v>3844.2492</x:v>
      </x:c>
      <x:c r="D1654" s="12" t="n">
        <x:v>-0.9387</x:v>
      </x:c>
      <x:c r="E1654" s="12" t="n">
        <x:v>-0.009431422935137213</x:v>
      </x:c>
      <x:c r="F1654" s="12" t="n">
        <x:v>4.39</x:v>
      </x:c>
      <x:c r="G1654" s="12" t="n">
        <x:v>438.99999999999994</x:v>
      </x:c>
      <x:c r="H1654" s="12" t="n">
        <x:v>0</x:v>
      </x:c>
      <x:c r="I1654" s="12" t="str">
        <x:v>TuShare index_daily</x:v>
      </x:c>
      <x:c r="J1654" s="12" t="str">
        <x:v>Archived FRED mirror (Hugging Face)</x:v>
      </x:c>
    </x:row>
    <x:row r="1655" ht="18" customHeight="1">
      <x:c r="A1655" s="13" t="n">
        <x:v>45084</x:v>
      </x:c>
      <x:c r="B1655" s="12" t="n">
        <x:v>3789.3418</x:v>
      </x:c>
      <x:c r="C1655" s="12" t="n">
        <x:v>3808.1629</x:v>
      </x:c>
      <x:c r="D1655" s="12" t="n">
        <x:v>-0.4942</x:v>
      </x:c>
      <x:c r="E1655" s="12" t="n">
        <x:v>-0.004954557909288927</x:v>
      </x:c>
      <x:c r="F1655" s="12" t="n">
        <x:v>4.33</x:v>
      </x:c>
      <x:c r="G1655" s="12" t="n">
        <x:v>433</x:v>
      </x:c>
      <x:c r="H1655" s="12" t="n">
        <x:v>-5.999999999999943</x:v>
      </x:c>
      <x:c r="I1655" s="12" t="str">
        <x:v>TuShare index_daily</x:v>
      </x:c>
      <x:c r="J1655" s="12" t="str">
        <x:v>Archived FRED mirror (Hugging Face)</x:v>
      </x:c>
    </x:row>
    <x:row r="1656" ht="18" customHeight="1">
      <x:c r="A1656" s="13" t="n">
        <x:v>45085</x:v>
      </x:c>
      <x:c r="B1656" s="12" t="n">
        <x:v>3820.1867</x:v>
      </x:c>
      <x:c r="C1656" s="12" t="n">
        <x:v>3789.3418</x:v>
      </x:c>
      <x:c r="D1656" s="12" t="n">
        <x:v>0.814</x:v>
      </x:c>
      <x:c r="E1656" s="12" t="n">
        <x:v>0.008106959303515378</x:v>
      </x:c>
      <x:c r="F1656" s="12" t="n">
        <x:v>4.39</x:v>
      </x:c>
      <x:c r="G1656" s="12" t="n">
        <x:v>438.99999999999994</x:v>
      </x:c>
      <x:c r="H1656" s="12" t="n">
        <x:v>5.999999999999943</x:v>
      </x:c>
      <x:c r="I1656" s="12" t="str">
        <x:v>TuShare index_daily</x:v>
      </x:c>
      <x:c r="J1656" s="12" t="str">
        <x:v>Archived FRED mirror (Hugging Face)</x:v>
      </x:c>
    </x:row>
    <x:row r="1657" ht="18" customHeight="1">
      <x:c r="A1657" s="13" t="n">
        <x:v>45086</x:v>
      </x:c>
      <x:c r="B1657" s="12" t="n">
        <x:v>3836.7026</x:v>
      </x:c>
      <x:c r="C1657" s="12" t="n">
        <x:v>3820.1867</x:v>
      </x:c>
      <x:c r="D1657" s="12" t="n">
        <x:v>0.4323</x:v>
      </x:c>
      <x:c r="E1657" s="12" t="n">
        <x:v>0.00431400402099796</x:v>
      </x:c>
      <x:c r="F1657" s="12" t="n">
        <x:v>4.29</x:v>
      </x:c>
      <x:c r="G1657" s="12" t="n">
        <x:v>429</x:v>
      </x:c>
      <x:c r="H1657" s="12" t="n">
        <x:v>-9.999999999999943</x:v>
      </x:c>
      <x:c r="I1657" s="12" t="str">
        <x:v>TuShare index_daily</x:v>
      </x:c>
      <x:c r="J1657" s="12" t="str">
        <x:v>Archived FRED mirror (Hugging Face)</x:v>
      </x:c>
    </x:row>
    <x:row r="1658" ht="18" customHeight="1">
      <x:c r="A1658" s="13" t="n">
        <x:v>45089</x:v>
      </x:c>
      <x:c r="B1658" s="12" t="n">
        <x:v>3844.4324</x:v>
      </x:c>
      <x:c r="C1658" s="12" t="n">
        <x:v>3836.7026</x:v>
      </x:c>
      <x:c r="D1658" s="12" t="n">
        <x:v>0.2015</x:v>
      </x:c>
      <x:c r="E1658" s="12" t="n">
        <x:v>0.002012671983855088</x:v>
      </x:c>
      <x:c r="F1658" s="12" t="n">
        <x:v>4.34</x:v>
      </x:c>
      <x:c r="G1658" s="12" t="n">
        <x:v>434</x:v>
      </x:c>
      <x:c r="H1658" s="12" t="n">
        <x:v>5</x:v>
      </x:c>
      <x:c r="I1658" s="12" t="str">
        <x:v>TuShare index_daily</x:v>
      </x:c>
      <x:c r="J1658" s="12" t="str">
        <x:v>Archived FRED mirror (Hugging Face)</x:v>
      </x:c>
    </x:row>
    <x:row r="1659" ht="18" customHeight="1">
      <x:c r="A1659" s="13" t="n">
        <x:v>45090</x:v>
      </x:c>
      <x:c r="B1659" s="12" t="n">
        <x:v>3864.9074</x:v>
      </x:c>
      <x:c r="C1659" s="12" t="n">
        <x:v>3844.4324</x:v>
      </x:c>
      <x:c r="D1659" s="12" t="n">
        <x:v>0.5326</x:v>
      </x:c>
      <x:c r="E1659" s="12" t="n">
        <x:v>0.005311751374952578</x:v>
      </x:c>
      <x:c r="F1659" s="12" t="n">
        <x:v>4.18</x:v>
      </x:c>
      <x:c r="G1659" s="12" t="n">
        <x:v>418</x:v>
      </x:c>
      <x:c r="H1659" s="12" t="n">
        <x:v>-16</x:v>
      </x:c>
      <x:c r="I1659" s="12" t="str">
        <x:v>TuShare index_daily</x:v>
      </x:c>
      <x:c r="J1659" s="12" t="str">
        <x:v>Archived FRED mirror (Hugging Face)</x:v>
      </x:c>
    </x:row>
    <x:row r="1660" ht="18" customHeight="1">
      <x:c r="A1660" s="13" t="n">
        <x:v>45091</x:v>
      </x:c>
      <x:c r="B1660" s="12" t="n">
        <x:v>3864.0247</x:v>
      </x:c>
      <x:c r="C1660" s="12" t="n">
        <x:v>3864.9074</x:v>
      </x:c>
      <x:c r="D1660" s="12" t="n">
        <x:v>-0.0228</x:v>
      </x:c>
      <x:c r="E1660" s="12" t="n">
        <x:v>-0.00022841448014214406</x:v>
      </x:c>
      <x:c r="F1660" s="12" t="n">
        <x:v>4.18</x:v>
      </x:c>
      <x:c r="G1660" s="12" t="n">
        <x:v>418</x:v>
      </x:c>
      <x:c r="H1660" s="12" t="n">
        <x:v>0</x:v>
      </x:c>
      <x:c r="I1660" s="12" t="str">
        <x:v>TuShare index_daily</x:v>
      </x:c>
      <x:c r="J1660" s="12" t="str">
        <x:v>Archived FRED mirror (Hugging Face)</x:v>
      </x:c>
    </x:row>
    <x:row r="1661" ht="18" customHeight="1">
      <x:c r="A1661" s="13" t="n">
        <x:v>45092</x:v>
      </x:c>
      <x:c r="B1661" s="12" t="n">
        <x:v>3925.4994</x:v>
      </x:c>
      <x:c r="C1661" s="12" t="n">
        <x:v>3864.0247</x:v>
      </x:c>
      <x:c r="D1661" s="12" t="n">
        <x:v>1.5909</x:v>
      </x:c>
      <x:c r="E1661" s="12" t="n">
        <x:v>0.01578427014000531</x:v>
      </x:c>
      <x:c r="F1661" s="12" t="n">
        <x:v>4.21</x:v>
      </x:c>
      <x:c r="G1661" s="12" t="n">
        <x:v>421</x:v>
      </x:c>
      <x:c r="H1661" s="12" t="n">
        <x:v>3</x:v>
      </x:c>
      <x:c r="I1661" s="12" t="str">
        <x:v>TuShare index_daily</x:v>
      </x:c>
      <x:c r="J1661" s="12" t="str">
        <x:v>Archived FRED mirror (Hugging Face)</x:v>
      </x:c>
    </x:row>
    <x:row r="1662" ht="18" customHeight="1">
      <x:c r="A1662" s="13" t="n">
        <x:v>45093</x:v>
      </x:c>
      <x:c r="B1662" s="12" t="n">
        <x:v>3963.3509</x:v>
      </x:c>
      <x:c r="C1662" s="12" t="n">
        <x:v>3925.4994</x:v>
      </x:c>
      <x:c r="D1662" s="12" t="n">
        <x:v>0.9642</x:v>
      </x:c>
      <x:c r="E1662" s="12" t="n">
        <x:v>0.009596275511414851</x:v>
      </x:c>
      <x:c r="F1662" s="12" t="n">
        <x:v>4.15</x:v>
      </x:c>
      <x:c r="G1662" s="12" t="n">
        <x:v>415.00000000000006</x:v>
      </x:c>
      <x:c r="H1662" s="12" t="n">
        <x:v>-5.999999999999943</x:v>
      </x:c>
      <x:c r="I1662" s="12" t="str">
        <x:v>TuShare index_daily</x:v>
      </x:c>
      <x:c r="J1662" s="12" t="str">
        <x:v>Archived FRED mirror (Hugging Face)</x:v>
      </x:c>
    </x:row>
    <x:row r="1663" ht="18" customHeight="1">
      <x:c r="A1663" s="13" t="n">
        <x:v>45096</x:v>
      </x:c>
      <x:c r="B1663" s="12" t="n">
        <x:v>3930.9079</x:v>
      </x:c>
      <x:c r="C1663" s="12" t="n">
        <x:v>3963.3509</x:v>
      </x:c>
      <x:c r="D1663" s="12" t="n">
        <x:v>-0.8186</x:v>
      </x:c>
      <x:c r="E1663" s="12" t="n">
        <x:v>-0.0082194373084361</x:v>
      </x:c>
      <x:c r="F1663" s="12" t="n">
        <x:v>4.15</x:v>
      </x:c>
      <x:c r="G1663" s="12" t="n">
        <x:v>415.00000000000006</x:v>
      </x:c>
      <x:c r="H1663" s="12" t="n">
        <x:v>0</x:v>
      </x:c>
      <x:c r="I1663" s="12" t="str">
        <x:v>TuShare index_daily</x:v>
      </x:c>
      <x:c r="J1663" s="12" t="str">
        <x:v>Archived FRED mirror (Hugging Face)</x:v>
      </x:c>
    </x:row>
    <x:row r="1664" ht="18" customHeight="1">
      <x:c r="A1664" s="13" t="n">
        <x:v>45097</x:v>
      </x:c>
      <x:c r="B1664" s="12" t="n">
        <x:v>3924.2377</x:v>
      </x:c>
      <x:c r="C1664" s="12" t="n">
        <x:v>3930.9079</x:v>
      </x:c>
      <x:c r="D1664" s="12" t="n">
        <x:v>-0.1697</x:v>
      </x:c>
      <x:c r="E1664" s="12" t="n">
        <x:v>-0.001698301200985408</x:v>
      </x:c>
      <x:c r="F1664" s="12" t="n">
        <x:v>4.22</x:v>
      </x:c>
      <x:c r="G1664" s="12" t="n">
        <x:v>422</x:v>
      </x:c>
      <x:c r="H1664" s="12" t="n">
        <x:v>6.999999999999943</x:v>
      </x:c>
      <x:c r="I1664" s="12" t="str">
        <x:v>TuShare index_daily</x:v>
      </x:c>
      <x:c r="J1664" s="12" t="str">
        <x:v>Archived FRED mirror (Hugging Face)</x:v>
      </x:c>
    </x:row>
    <x:row r="1665" ht="18" customHeight="1">
      <x:c r="A1665" s="13" t="n">
        <x:v>45098</x:v>
      </x:c>
      <x:c r="B1665" s="12" t="n">
        <x:v>3864.0323</x:v>
      </x:c>
      <x:c r="C1665" s="12" t="n">
        <x:v>3924.2377</x:v>
      </x:c>
      <x:c r="D1665" s="12" t="n">
        <x:v>-1.5342</x:v>
      </x:c>
      <x:c r="E1665" s="12" t="n">
        <x:v>-0.01546084028279967</x:v>
      </x:c>
      <x:c r="F1665" s="12" t="n">
        <x:v>4.32</x:v>
      </x:c>
      <x:c r="G1665" s="12" t="n">
        <x:v>432</x:v>
      </x:c>
      <x:c r="H1665" s="12" t="n">
        <x:v>10</x:v>
      </x:c>
      <x:c r="I1665" s="12" t="str">
        <x:v>TuShare index_daily</x:v>
      </x:c>
      <x:c r="J1665" s="12" t="str">
        <x:v>Archived FRED mirror (Hugging Face)</x:v>
      </x:c>
    </x:row>
    <x:row r="1666" ht="18" customHeight="1">
      <x:c r="A1666" s="13" t="n">
        <x:v>45103</x:v>
      </x:c>
      <x:c r="B1666" s="12" t="n">
        <x:v>3809.6962</x:v>
      </x:c>
      <x:c r="C1666" s="12" t="n">
        <x:v>3864.0323</x:v>
      </x:c>
      <x:c r="D1666" s="12" t="n">
        <x:v>-1.4062</x:v>
      </x:c>
      <x:c r="E1666" s="12" t="n">
        <x:v>-0.014161827101988902</x:v>
      </x:c>
      <x:c r="F1666" s="12" t="n">
        <x:v>4.45</x:v>
      </x:c>
      <x:c r="G1666" s="12" t="n">
        <x:v>445</x:v>
      </x:c>
      <x:c r="H1666" s="12" t="n">
        <x:v>4.999999999999943</x:v>
      </x:c>
      <x:c r="I1666" s="12" t="str">
        <x:v>TuShare index_daily</x:v>
      </x:c>
      <x:c r="J1666" s="12" t="str">
        <x:v>Archived FRED mirror (Hugging Face)</x:v>
      </x:c>
    </x:row>
    <x:row r="1667" ht="18" customHeight="1">
      <x:c r="A1667" s="13" t="n">
        <x:v>45104</x:v>
      </x:c>
      <x:c r="B1667" s="12" t="n">
        <x:v>3845.4334</x:v>
      </x:c>
      <x:c r="C1667" s="12" t="n">
        <x:v>3809.6962</x:v>
      </x:c>
      <x:c r="D1667" s="12" t="n">
        <x:v>0.9381</x:v>
      </x:c>
      <x:c r="E1667" s="12" t="n">
        <x:v>0.009336865994181069</x:v>
      </x:c>
      <x:c r="F1667" s="12" t="n">
        <x:v>4.3</x:v>
      </x:c>
      <x:c r="G1667" s="12" t="n">
        <x:v>430</x:v>
      </x:c>
      <x:c r="H1667" s="12" t="n">
        <x:v>-15</x:v>
      </x:c>
      <x:c r="I1667" s="12" t="str">
        <x:v>TuShare index_daily</x:v>
      </x:c>
      <x:c r="J1667" s="12" t="str">
        <x:v>Archived FRED mirror (Hugging Face)</x:v>
      </x:c>
    </x:row>
    <x:row r="1668" ht="18" customHeight="1">
      <x:c r="A1668" s="13" t="n">
        <x:v>45105</x:v>
      </x:c>
      <x:c r="B1668" s="12" t="n">
        <x:v>3840.7986</x:v>
      </x:c>
      <x:c r="C1668" s="12" t="n">
        <x:v>3845.4334</x:v>
      </x:c>
      <x:c r="D1668" s="12" t="n">
        <x:v>-0.1205</x:v>
      </x:c>
      <x:c r="E1668" s="12" t="n">
        <x:v>-0.0012060006936434353</x:v>
      </x:c>
      <x:c r="F1668" s="12" t="n">
        <x:v>4.27</x:v>
      </x:c>
      <x:c r="G1668" s="12" t="n">
        <x:v>426.99999999999994</x:v>
      </x:c>
      <x:c r="H1668" s="12" t="n">
        <x:v>-3.000000000000057</x:v>
      </x:c>
      <x:c r="I1668" s="12" t="str">
        <x:v>TuShare index_daily</x:v>
      </x:c>
      <x:c r="J1668" s="12" t="str">
        <x:v>Archived FRED mirror (Hugging Face)</x:v>
      </x:c>
    </x:row>
    <x:row r="1669" ht="18" customHeight="1">
      <x:c r="A1669" s="13" t="n">
        <x:v>45106</x:v>
      </x:c>
      <x:c r="B1669" s="12" t="n">
        <x:v>3821.8435</x:v>
      </x:c>
      <x:c r="C1669" s="12" t="n">
        <x:v>3840.7986</x:v>
      </x:c>
      <x:c r="D1669" s="12" t="n">
        <x:v>-0.4935</x:v>
      </x:c>
      <x:c r="E1669" s="12" t="n">
        <x:v>-0.004947415895498865</x:v>
      </x:c>
      <x:c r="F1669" s="12" t="n">
        <x:v>4.14</x:v>
      </x:c>
      <x:c r="G1669" s="12" t="n">
        <x:v>413.99999999999994</x:v>
      </x:c>
      <x:c r="H1669" s="12" t="n">
        <x:v>-13</x:v>
      </x:c>
      <x:c r="I1669" s="12" t="str">
        <x:v>TuShare index_daily</x:v>
      </x:c>
      <x:c r="J1669" s="12" t="str">
        <x:v>Archived FRED mirror (Hugging Face)</x:v>
      </x:c>
    </x:row>
    <x:row r="1670" ht="18" customHeight="1">
      <x:c r="A1670" s="13" t="n">
        <x:v>45107</x:v>
      </x:c>
      <x:c r="B1670" s="12" t="n">
        <x:v>3842.4516</x:v>
      </x:c>
      <x:c r="C1670" s="12" t="n">
        <x:v>3821.8435</x:v>
      </x:c>
      <x:c r="D1670" s="12" t="n">
        <x:v>0.5392</x:v>
      </x:c>
      <x:c r="E1670" s="12" t="n">
        <x:v>0.005377702553482227</x:v>
      </x:c>
      <x:c r="F1670" s="12" t="n">
        <x:v>4.05</x:v>
      </x:c>
      <x:c r="G1670" s="12" t="n">
        <x:v>405</x:v>
      </x:c>
      <x:c r="H1670" s="12" t="n">
        <x:v>-8.999999999999943</x:v>
      </x:c>
      <x:c r="I1670" s="12" t="str">
        <x:v>TuShare index_daily</x:v>
      </x:c>
      <x:c r="J1670" s="12" t="str">
        <x:v>Archived FRED mirror (Hugging Face)</x:v>
      </x:c>
    </x:row>
    <x:row r="1671" ht="18" customHeight="1">
      <x:c r="A1671" s="13" t="n">
        <x:v>45110</x:v>
      </x:c>
      <x:c r="B1671" s="12" t="n">
        <x:v>3892.8821</x:v>
      </x:c>
      <x:c r="C1671" s="12" t="n">
        <x:v>3842.4516</x:v>
      </x:c>
      <x:c r="D1671" s="12" t="n">
        <x:v>1.3125</x:v>
      </x:c>
      <x:c r="E1671" s="12" t="n">
        <x:v>0.013039182657447542</x:v>
      </x:c>
      <x:c r="F1671" s="12" t="n">
        <x:v>3.99</x:v>
      </x:c>
      <x:c r="G1671" s="12" t="n">
        <x:v>399</x:v>
      </x:c>
      <x:c r="H1671" s="12" t="n">
        <x:v>-6</x:v>
      </x:c>
      <x:c r="I1671" s="12" t="str">
        <x:v>TuShare index_daily</x:v>
      </x:c>
      <x:c r="J1671" s="12" t="str">
        <x:v>Archived FRED mirror (Hugging Face)</x:v>
      </x:c>
    </x:row>
    <x:row r="1672" ht="18" customHeight="1">
      <x:c r="A1672" s="13" t="n">
        <x:v>45111</x:v>
      </x:c>
      <x:c r="B1672" s="12" t="n">
        <x:v>3899.0133</x:v>
      </x:c>
      <x:c r="C1672" s="12" t="n">
        <x:v>3892.8821</x:v>
      </x:c>
      <x:c r="D1672" s="12" t="n">
        <x:v>0.1575</x:v>
      </x:c>
      <x:c r="E1672" s="12" t="n">
        <x:v>0.0015737380831380055</x:v>
      </x:c>
      <x:c r="F1672" s="12" t="n">
        <x:v>3.99</x:v>
      </x:c>
      <x:c r="G1672" s="12" t="n">
        <x:v>399</x:v>
      </x:c>
      <x:c r="H1672" s="12" t="n">
        <x:v>0</x:v>
      </x:c>
      <x:c r="I1672" s="12" t="str">
        <x:v>TuShare index_daily</x:v>
      </x:c>
      <x:c r="J1672" s="12" t="str">
        <x:v>Archived FRED mirror (Hugging Face)</x:v>
      </x:c>
    </x:row>
    <x:row r="1673" ht="18" customHeight="1">
      <x:c r="A1673" s="13" t="n">
        <x:v>45112</x:v>
      </x:c>
      <x:c r="B1673" s="12" t="n">
        <x:v>3868.8054</x:v>
      </x:c>
      <x:c r="C1673" s="12" t="n">
        <x:v>3899.0133</x:v>
      </x:c>
      <x:c r="D1673" s="12" t="n">
        <x:v>-0.7748</x:v>
      </x:c>
      <x:c r="E1673" s="12" t="n">
        <x:v>-0.007777743906701456</x:v>
      </x:c>
      <x:c r="F1673" s="12" t="n">
        <x:v>4.01</x:v>
      </x:c>
      <x:c r="G1673" s="12" t="n">
        <x:v>401</x:v>
      </x:c>
      <x:c r="H1673" s="12" t="n">
        <x:v>2</x:v>
      </x:c>
      <x:c r="I1673" s="12" t="str">
        <x:v>TuShare index_daily</x:v>
      </x:c>
      <x:c r="J1673" s="12" t="str">
        <x:v>Archived FRED mirror (Hugging Face)</x:v>
      </x:c>
    </x:row>
    <x:row r="1674" ht="18" customHeight="1">
      <x:c r="A1674" s="13" t="n">
        <x:v>45113</x:v>
      </x:c>
      <x:c r="B1674" s="12" t="n">
        <x:v>3842.7547</x:v>
      </x:c>
      <x:c r="C1674" s="12" t="n">
        <x:v>3868.8054</x:v>
      </x:c>
      <x:c r="D1674" s="12" t="n">
        <x:v>-0.6734</x:v>
      </x:c>
      <x:c r="E1674" s="12" t="n">
        <x:v>-0.0067562980144157386</x:v>
      </x:c>
      <x:c r="F1674" s="12" t="n">
        <x:v>4.1</x:v>
      </x:c>
      <x:c r="G1674" s="12" t="n">
        <x:v>409.99999999999994</x:v>
      </x:c>
      <x:c r="H1674" s="12" t="n">
        <x:v>8.999999999999943</x:v>
      </x:c>
      <x:c r="I1674" s="12" t="str">
        <x:v>TuShare index_daily</x:v>
      </x:c>
      <x:c r="J1674" s="12" t="str">
        <x:v>Archived FRED mirror (Hugging Face)</x:v>
      </x:c>
    </x:row>
    <x:row r="1675" ht="18" customHeight="1">
      <x:c r="A1675" s="13" t="n">
        <x:v>45114</x:v>
      </x:c>
      <x:c r="B1675" s="12" t="n">
        <x:v>3825.6988</x:v>
      </x:c>
      <x:c r="C1675" s="12" t="n">
        <x:v>3842.7547</x:v>
      </x:c>
      <x:c r="D1675" s="12" t="n">
        <x:v>-0.4438</x:v>
      </x:c>
      <x:c r="E1675" s="12" t="n">
        <x:v>-0.004448335801926922</x:v>
      </x:c>
      <x:c r="F1675" s="12" t="n">
        <x:v>4.08</x:v>
      </x:c>
      <x:c r="G1675" s="12" t="n">
        <x:v>408</x:v>
      </x:c>
      <x:c r="H1675" s="12" t="n">
        <x:v>-1.9999999999999432</x:v>
      </x:c>
      <x:c r="I1675" s="12" t="str">
        <x:v>TuShare index_daily</x:v>
      </x:c>
      <x:c r="J1675" s="12" t="str">
        <x:v>Archived FRED mirror (Hugging Face)</x:v>
      </x:c>
    </x:row>
    <x:row r="1676" ht="18" customHeight="1">
      <x:c r="A1676" s="13" t="n">
        <x:v>45117</x:v>
      </x:c>
      <x:c r="B1676" s="12" t="n">
        <x:v>3844.3269</x:v>
      </x:c>
      <x:c r="C1676" s="12" t="n">
        <x:v>3825.6988</x:v>
      </x:c>
      <x:c r="D1676" s="12" t="n">
        <x:v>0.4869</x:v>
      </x:c>
      <x:c r="E1676" s="12" t="n">
        <x:v>0.004857385712863811</x:v>
      </x:c>
      <x:c r="F1676" s="12" t="n">
        <x:v>4.13</x:v>
      </x:c>
      <x:c r="G1676" s="12" t="n">
        <x:v>413</x:v>
      </x:c>
      <x:c r="H1676" s="12" t="n">
        <x:v>5</x:v>
      </x:c>
      <x:c r="I1676" s="12" t="str">
        <x:v>TuShare index_daily</x:v>
      </x:c>
      <x:c r="J1676" s="12" t="str">
        <x:v>Archived FRED mirror (Hugging Face)</x:v>
      </x:c>
    </x:row>
    <x:row r="1677" ht="18" customHeight="1">
      <x:c r="A1677" s="13" t="n">
        <x:v>45118</x:v>
      </x:c>
      <x:c r="B1677" s="12" t="n">
        <x:v>3869.4861</x:v>
      </x:c>
      <x:c r="C1677" s="12" t="n">
        <x:v>3844.3269</x:v>
      </x:c>
      <x:c r="D1677" s="12" t="n">
        <x:v>0.6545</x:v>
      </x:c>
      <x:c r="E1677" s="12" t="n">
        <x:v>0.006523178411029411</x:v>
      </x:c>
      <x:c r="F1677" s="12" t="n">
        <x:v>4.05</x:v>
      </x:c>
      <x:c r="G1677" s="12" t="n">
        <x:v>405</x:v>
      </x:c>
      <x:c r="H1677" s="12" t="n">
        <x:v>-8</x:v>
      </x:c>
      <x:c r="I1677" s="12" t="str">
        <x:v>TuShare index_daily</x:v>
      </x:c>
      <x:c r="J1677" s="12" t="str">
        <x:v>Archived FRED mirror (Hugging Face)</x:v>
      </x:c>
    </x:row>
    <x:row r="1678" ht="18" customHeight="1">
      <x:c r="A1678" s="13" t="n">
        <x:v>45119</x:v>
      </x:c>
      <x:c r="B1678" s="12" t="n">
        <x:v>3843.4369</x:v>
      </x:c>
      <x:c r="C1678" s="12" t="n">
        <x:v>3869.4861</x:v>
      </x:c>
      <x:c r="D1678" s="12" t="n">
        <x:v>-0.6732</x:v>
      </x:c>
      <x:c r="E1678" s="12" t="n">
        <x:v>-0.006754715182223218</x:v>
      </x:c>
      <x:c r="F1678" s="12" t="n">
        <x:v>3.95</x:v>
      </x:c>
      <x:c r="G1678" s="12" t="n">
        <x:v>395</x:v>
      </x:c>
      <x:c r="H1678" s="12" t="n">
        <x:v>-10</x:v>
      </x:c>
      <x:c r="I1678" s="12" t="str">
        <x:v>TuShare index_daily</x:v>
      </x:c>
      <x:c r="J1678" s="12" t="str">
        <x:v>Archived FRED mirror (Hugging Face)</x:v>
      </x:c>
    </x:row>
    <x:row r="1679" ht="18" customHeight="1">
      <x:c r="A1679" s="13" t="n">
        <x:v>45120</x:v>
      </x:c>
      <x:c r="B1679" s="12" t="n">
        <x:v>3898.4229</x:v>
      </x:c>
      <x:c r="C1679" s="12" t="n">
        <x:v>3843.4369</x:v>
      </x:c>
      <x:c r="D1679" s="12" t="n">
        <x:v>1.4306</x:v>
      </x:c>
      <x:c r="E1679" s="12" t="n">
        <x:v>0.014205094390380651</x:v>
      </x:c>
      <x:c r="F1679" s="12" t="n">
        <x:v>3.97</x:v>
      </x:c>
      <x:c r="G1679" s="12" t="n">
        <x:v>397</x:v>
      </x:c>
      <x:c r="H1679" s="12" t="n">
        <x:v>2</x:v>
      </x:c>
      <x:c r="I1679" s="12" t="str">
        <x:v>TuShare index_daily</x:v>
      </x:c>
      <x:c r="J1679" s="12" t="str">
        <x:v>Archived FRED mirror (Hugging Face)</x:v>
      </x:c>
    </x:row>
    <x:row r="1680" ht="18" customHeight="1">
      <x:c r="A1680" s="13" t="n">
        <x:v>45121</x:v>
      </x:c>
      <x:c r="B1680" s="12" t="n">
        <x:v>3899.1027</x:v>
      </x:c>
      <x:c r="C1680" s="12" t="n">
        <x:v>3898.4229</x:v>
      </x:c>
      <x:c r="D1680" s="12" t="n">
        <x:v>0.0174</x:v>
      </x:c>
      <x:c r="E1680" s="12" t="n">
        <x:v>0.000174363006059742</x:v>
      </x:c>
      <x:c r="F1680" s="12" t="n">
        <x:v>3.9</x:v>
      </x:c>
      <x:c r="G1680" s="12" t="n">
        <x:v>390</x:v>
      </x:c>
      <x:c r="H1680" s="12" t="n">
        <x:v>-7</x:v>
      </x:c>
      <x:c r="I1680" s="12" t="str">
        <x:v>TuShare index_daily</x:v>
      </x:c>
      <x:c r="J1680" s="12" t="str">
        <x:v>Archived FRED mirror (Hugging Face)</x:v>
      </x:c>
    </x:row>
    <x:row r="1681" ht="18" customHeight="1">
      <x:c r="A1681" s="13" t="n">
        <x:v>45124</x:v>
      </x:c>
      <x:c r="B1681" s="12" t="n">
        <x:v>3867.1749</x:v>
      </x:c>
      <x:c r="C1681" s="12" t="n">
        <x:v>3899.1027</x:v>
      </x:c>
      <x:c r="D1681" s="12" t="n">
        <x:v>-0.8188</x:v>
      </x:c>
      <x:c r="E1681" s="12" t="n">
        <x:v>-0.008222209278820985</x:v>
      </x:c>
      <x:c r="F1681" s="12" t="n">
        <x:v>3.97</x:v>
      </x:c>
      <x:c r="G1681" s="12" t="n">
        <x:v>397</x:v>
      </x:c>
      <x:c r="H1681" s="12" t="n">
        <x:v>7</x:v>
      </x:c>
      <x:c r="I1681" s="12" t="str">
        <x:v>TuShare index_daily</x:v>
      </x:c>
      <x:c r="J1681" s="12" t="str">
        <x:v>Archived FRED mirror (Hugging Face)</x:v>
      </x:c>
    </x:row>
    <x:row r="1682" ht="18" customHeight="1">
      <x:c r="A1682" s="13" t="n">
        <x:v>45125</x:v>
      </x:c>
      <x:c r="B1682" s="12" t="n">
        <x:v>3854.9393</x:v>
      </x:c>
      <x:c r="C1682" s="12" t="n">
        <x:v>3867.1749</x:v>
      </x:c>
      <x:c r="D1682" s="12" t="n">
        <x:v>-0.3164</x:v>
      </x:c>
      <x:c r="E1682" s="12" t="n">
        <x:v>-0.0031689793553156373</x:v>
      </x:c>
      <x:c r="F1682" s="12" t="n">
        <x:v>3.9</x:v>
      </x:c>
      <x:c r="G1682" s="12" t="n">
        <x:v>390</x:v>
      </x:c>
      <x:c r="H1682" s="12" t="n">
        <x:v>-7</x:v>
      </x:c>
      <x:c r="I1682" s="12" t="str">
        <x:v>TuShare index_daily</x:v>
      </x:c>
      <x:c r="J1682" s="12" t="str">
        <x:v>Archived FRED mirror (Hugging Face)</x:v>
      </x:c>
    </x:row>
    <x:row r="1683" ht="18" customHeight="1">
      <x:c r="A1683" s="13" t="n">
        <x:v>45126</x:v>
      </x:c>
      <x:c r="B1683" s="12" t="n">
        <x:v>3850.8663</x:v>
      </x:c>
      <x:c r="C1683" s="12" t="n">
        <x:v>3854.9393</x:v>
      </x:c>
      <x:c r="D1683" s="12" t="n">
        <x:v>-0.1057</x:v>
      </x:c>
      <x:c r="E1683" s="12" t="n">
        <x:v>-0.00105712513155086</x:v>
      </x:c>
      <x:c r="F1683" s="12" t="n">
        <x:v>3.89</x:v>
      </x:c>
      <x:c r="G1683" s="12" t="n">
        <x:v>389</x:v>
      </x:c>
      <x:c r="H1683" s="12" t="n">
        <x:v>-1</x:v>
      </x:c>
      <x:c r="I1683" s="12" t="str">
        <x:v>TuShare index_daily</x:v>
      </x:c>
      <x:c r="J1683" s="12" t="str">
        <x:v>Archived FRED mirror (Hugging Face)</x:v>
      </x:c>
    </x:row>
    <x:row r="1684" ht="18" customHeight="1">
      <x:c r="A1684" s="13" t="n">
        <x:v>45127</x:v>
      </x:c>
      <x:c r="B1684" s="12" t="n">
        <x:v>3823.6946</x:v>
      </x:c>
      <x:c r="C1684" s="12" t="n">
        <x:v>3850.8663</x:v>
      </x:c>
      <x:c r="D1684" s="12" t="n">
        <x:v>-0.7056</x:v>
      </x:c>
      <x:c r="E1684" s="12" t="n">
        <x:v>-0.007081007991962629</x:v>
      </x:c>
      <x:c r="F1684" s="12" t="n">
        <x:v>3.9</x:v>
      </x:c>
      <x:c r="G1684" s="12" t="n">
        <x:v>390</x:v>
      </x:c>
      <x:c r="H1684" s="12" t="n">
        <x:v>1</x:v>
      </x:c>
      <x:c r="I1684" s="12" t="str">
        <x:v>TuShare index_daily</x:v>
      </x:c>
      <x:c r="J1684" s="12" t="str">
        <x:v>Archived FRED mirror (Hugging Face)</x:v>
      </x:c>
    </x:row>
    <x:row r="1685" ht="18" customHeight="1">
      <x:c r="A1685" s="13" t="n">
        <x:v>45128</x:v>
      </x:c>
      <x:c r="B1685" s="12" t="n">
        <x:v>3821.91</x:v>
      </x:c>
      <x:c r="C1685" s="12" t="n">
        <x:v>3823.6946</x:v>
      </x:c>
      <x:c r="D1685" s="12" t="n">
        <x:v>-0.0467</x:v>
      </x:c>
      <x:c r="E1685" s="12" t="n">
        <x:v>-0.0004668303229831912</x:v>
      </x:c>
      <x:c r="F1685" s="12" t="n">
        <x:v>3.89</x:v>
      </x:c>
      <x:c r="G1685" s="12" t="n">
        <x:v>389</x:v>
      </x:c>
      <x:c r="H1685" s="12" t="n">
        <x:v>-1</x:v>
      </x:c>
      <x:c r="I1685" s="12" t="str">
        <x:v>TuShare index_daily</x:v>
      </x:c>
      <x:c r="J1685" s="12" t="str">
        <x:v>Archived FRED mirror (Hugging Face)</x:v>
      </x:c>
    </x:row>
    <x:row r="1686" ht="18" customHeight="1">
      <x:c r="A1686" s="13" t="n">
        <x:v>45131</x:v>
      </x:c>
      <x:c r="B1686" s="12" t="n">
        <x:v>3805.221</x:v>
      </x:c>
      <x:c r="C1686" s="12" t="n">
        <x:v>3821.91</x:v>
      </x:c>
      <x:c r="D1686" s="12" t="n">
        <x:v>-0.4367</x:v>
      </x:c>
      <x:c r="E1686" s="12" t="n">
        <x:v>-0.004376226561401382</x:v>
      </x:c>
      <x:c r="F1686" s="12" t="n">
        <x:v>3.82</x:v>
      </x:c>
      <x:c r="G1686" s="12" t="n">
        <x:v>382</x:v>
      </x:c>
      <x:c r="H1686" s="12" t="n">
        <x:v>-7</x:v>
      </x:c>
      <x:c r="I1686" s="12" t="str">
        <x:v>TuShare index_daily</x:v>
      </x:c>
      <x:c r="J1686" s="12" t="str">
        <x:v>Archived FRED mirror (Hugging Face)</x:v>
      </x:c>
    </x:row>
    <x:row r="1687" ht="18" customHeight="1">
      <x:c r="A1687" s="13" t="n">
        <x:v>45132</x:v>
      </x:c>
      <x:c r="B1687" s="12" t="n">
        <x:v>3915.1153</x:v>
      </x:c>
      <x:c r="C1687" s="12" t="n">
        <x:v>3805.221</x:v>
      </x:c>
      <x:c r="D1687" s="12" t="n">
        <x:v>2.888</x:v>
      </x:c>
      <x:c r="E1687" s="12" t="n">
        <x:v>0.028470708740506268</x:v>
      </x:c>
      <x:c r="F1687" s="12" t="n">
        <x:v>3.84</x:v>
      </x:c>
      <x:c r="G1687" s="12" t="n">
        <x:v>384</x:v>
      </x:c>
      <x:c r="H1687" s="12" t="n">
        <x:v>2</x:v>
      </x:c>
      <x:c r="I1687" s="12" t="str">
        <x:v>TuShare index_daily</x:v>
      </x:c>
      <x:c r="J1687" s="12" t="str">
        <x:v>FRED current rolling window</x:v>
      </x:c>
    </x:row>
    <x:row r="1688" ht="18" customHeight="1">
      <x:c r="A1688" s="13" t="n">
        <x:v>45133</x:v>
      </x:c>
      <x:c r="B1688" s="12" t="n">
        <x:v>3907.0128</x:v>
      </x:c>
      <x:c r="C1688" s="12" t="n">
        <x:v>3915.1153</x:v>
      </x:c>
      <x:c r="D1688" s="12" t="n">
        <x:v>-0.207</x:v>
      </x:c>
      <x:c r="E1688" s="12" t="n">
        <x:v>-0.002071687600697664</x:v>
      </x:c>
      <x:c r="F1688" s="12" t="n">
        <x:v>3.91</x:v>
      </x:c>
      <x:c r="G1688" s="12" t="n">
        <x:v>391</x:v>
      </x:c>
      <x:c r="H1688" s="12" t="n">
        <x:v>7</x:v>
      </x:c>
      <x:c r="I1688" s="12" t="str">
        <x:v>TuShare index_daily</x:v>
      </x:c>
      <x:c r="J1688" s="12" t="str">
        <x:v>FRED current rolling window</x:v>
      </x:c>
    </x:row>
    <x:row r="1689" ht="18" customHeight="1">
      <x:c r="A1689" s="13" t="n">
        <x:v>45134</x:v>
      </x:c>
      <x:c r="B1689" s="12" t="n">
        <x:v>3902.3458</x:v>
      </x:c>
      <x:c r="C1689" s="12" t="n">
        <x:v>3907.0128</x:v>
      </x:c>
      <x:c r="D1689" s="12" t="n">
        <x:v>-0.1195</x:v>
      </x:c>
      <x:c r="E1689" s="12" t="n">
        <x:v>-0.001195232744363619</x:v>
      </x:c>
      <x:c r="F1689" s="12" t="n">
        <x:v>3.78</x:v>
      </x:c>
      <x:c r="G1689" s="12" t="n">
        <x:v>378</x:v>
      </x:c>
      <x:c r="H1689" s="12" t="n">
        <x:v>-13</x:v>
      </x:c>
      <x:c r="I1689" s="12" t="str">
        <x:v>TuShare index_daily</x:v>
      </x:c>
      <x:c r="J1689" s="12" t="str">
        <x:v>FRED current rolling window</x:v>
      </x:c>
    </x:row>
    <x:row r="1690" ht="18" customHeight="1">
      <x:c r="A1690" s="13" t="n">
        <x:v>45135</x:v>
      </x:c>
      <x:c r="B1690" s="12" t="n">
        <x:v>3992.7376</x:v>
      </x:c>
      <x:c r="C1690" s="12" t="n">
        <x:v>3902.3458</x:v>
      </x:c>
      <x:c r="D1690" s="12" t="n">
        <x:v>2.3163</x:v>
      </x:c>
      <x:c r="E1690" s="12" t="n">
        <x:v>0.022899251426328447</x:v>
      </x:c>
      <x:c r="F1690" s="12" t="n">
        <x:v>3.82</x:v>
      </x:c>
      <x:c r="G1690" s="12" t="n">
        <x:v>382</x:v>
      </x:c>
      <x:c r="H1690" s="12" t="n">
        <x:v>4</x:v>
      </x:c>
      <x:c r="I1690" s="12" t="str">
        <x:v>TuShare index_daily</x:v>
      </x:c>
      <x:c r="J1690" s="12" t="str">
        <x:v>FRED current rolling window</x:v>
      </x:c>
    </x:row>
    <x:row r="1691" ht="18" customHeight="1">
      <x:c r="A1691" s="13" t="n">
        <x:v>45138</x:v>
      </x:c>
      <x:c r="B1691" s="12" t="n">
        <x:v>4014.6301</x:v>
      </x:c>
      <x:c r="C1691" s="12" t="n">
        <x:v>3992.7376</x:v>
      </x:c>
      <x:c r="D1691" s="12" t="n">
        <x:v>0.5483</x:v>
      </x:c>
      <x:c r="E1691" s="12" t="n">
        <x:v>0.005468102719712426</x:v>
      </x:c>
      <x:c r="F1691" s="12" t="n">
        <x:v>3.79</x:v>
      </x:c>
      <x:c r="G1691" s="12" t="n">
        <x:v>379</x:v>
      </x:c>
      <x:c r="H1691" s="12" t="n">
        <x:v>-3</x:v>
      </x:c>
      <x:c r="I1691" s="12" t="str">
        <x:v>TuShare index_daily</x:v>
      </x:c>
      <x:c r="J1691" s="12" t="str">
        <x:v>FRED current rolling window</x:v>
      </x:c>
    </x:row>
    <x:row r="1692" ht="18" customHeight="1">
      <x:c r="A1692" s="13" t="n">
        <x:v>45139</x:v>
      </x:c>
      <x:c r="B1692" s="12" t="n">
        <x:v>3998.001</x:v>
      </x:c>
      <x:c r="C1692" s="12" t="n">
        <x:v>4014.6301</x:v>
      </x:c>
      <x:c r="D1692" s="12" t="n">
        <x:v>-0.4142</x:v>
      </x:c>
      <x:c r="E1692" s="12" t="n">
        <x:v>-0.004150727436979688</x:v>
      </x:c>
      <x:c r="F1692" s="12" t="n">
        <x:v>3.82</x:v>
      </x:c>
      <x:c r="G1692" s="12" t="n">
        <x:v>382</x:v>
      </x:c>
      <x:c r="H1692" s="12" t="n">
        <x:v>3</x:v>
      </x:c>
      <x:c r="I1692" s="12" t="str">
        <x:v>TuShare index_daily</x:v>
      </x:c>
      <x:c r="J1692" s="12" t="str">
        <x:v>FRED current rolling window</x:v>
      </x:c>
    </x:row>
    <x:row r="1693" ht="18" customHeight="1">
      <x:c r="A1693" s="13" t="n">
        <x:v>45140</x:v>
      </x:c>
      <x:c r="B1693" s="12" t="n">
        <x:v>3969.895</x:v>
      </x:c>
      <x:c r="C1693" s="12" t="n">
        <x:v>3998.001</x:v>
      </x:c>
      <x:c r="D1693" s="12" t="n">
        <x:v>-0.703</x:v>
      </x:c>
      <x:c r="E1693" s="12" t="n">
        <x:v>-0.00705484021662513</x:v>
      </x:c>
      <x:c r="F1693" s="12" t="n">
        <x:v>3.96</x:v>
      </x:c>
      <x:c r="G1693" s="12" t="n">
        <x:v>396</x:v>
      </x:c>
      <x:c r="H1693" s="12" t="n">
        <x:v>14</x:v>
      </x:c>
      <x:c r="I1693" s="12" t="str">
        <x:v>TuShare index_daily</x:v>
      </x:c>
      <x:c r="J1693" s="12" t="str">
        <x:v>FRED current rolling window</x:v>
      </x:c>
    </x:row>
    <x:row r="1694" ht="18" customHeight="1">
      <x:c r="A1694" s="13" t="n">
        <x:v>45141</x:v>
      </x:c>
      <x:c r="B1694" s="12" t="n">
        <x:v>4004.9839</x:v>
      </x:c>
      <x:c r="C1694" s="12" t="n">
        <x:v>3969.895</x:v>
      </x:c>
      <x:c r="D1694" s="12" t="n">
        <x:v>0.8839</x:v>
      </x:c>
      <x:c r="E1694" s="12" t="n">
        <x:v>0.008799914550596713</x:v>
      </x:c>
      <x:c r="F1694" s="12" t="n">
        <x:v>3.98</x:v>
      </x:c>
      <x:c r="G1694" s="12" t="n">
        <x:v>398</x:v>
      </x:c>
      <x:c r="H1694" s="12" t="n">
        <x:v>2</x:v>
      </x:c>
      <x:c r="I1694" s="12" t="str">
        <x:v>TuShare index_daily</x:v>
      </x:c>
      <x:c r="J1694" s="12" t="str">
        <x:v>FRED current rolling window</x:v>
      </x:c>
    </x:row>
    <x:row r="1695" ht="18" customHeight="1">
      <x:c r="A1695" s="13" t="n">
        <x:v>45142</x:v>
      </x:c>
      <x:c r="B1695" s="12" t="n">
        <x:v>4020.5792</x:v>
      </x:c>
      <x:c r="C1695" s="12" t="n">
        <x:v>4004.9839</x:v>
      </x:c>
      <x:c r="D1695" s="12" t="n">
        <x:v>0.3894</x:v>
      </x:c>
      <x:c r="E1695" s="12" t="n">
        <x:v>0.0038864113172395994</x:v>
      </x:c>
      <x:c r="F1695" s="12" t="n">
        <x:v>4.01</x:v>
      </x:c>
      <x:c r="G1695" s="12" t="n">
        <x:v>401</x:v>
      </x:c>
      <x:c r="H1695" s="12" t="n">
        <x:v>3</x:v>
      </x:c>
      <x:c r="I1695" s="12" t="str">
        <x:v>TuShare index_daily</x:v>
      </x:c>
      <x:c r="J1695" s="12" t="str">
        <x:v>FRED current rolling window</x:v>
      </x:c>
    </x:row>
    <x:row r="1696" ht="18" customHeight="1">
      <x:c r="A1696" s="13" t="n">
        <x:v>45145</x:v>
      </x:c>
      <x:c r="B1696" s="12" t="n">
        <x:v>3990.1531</x:v>
      </x:c>
      <x:c r="C1696" s="12" t="n">
        <x:v>4020.5792</x:v>
      </x:c>
      <x:c r="D1696" s="12" t="n">
        <x:v>-0.7568</x:v>
      </x:c>
      <x:c r="E1696" s="12" t="n">
        <x:v>-0.00759637076150556</x:v>
      </x:c>
      <x:c r="F1696" s="12" t="n">
        <x:v>3.97</x:v>
      </x:c>
      <x:c r="G1696" s="12" t="n">
        <x:v>397</x:v>
      </x:c>
      <x:c r="H1696" s="12" t="n">
        <x:v>-4</x:v>
      </x:c>
      <x:c r="I1696" s="12" t="str">
        <x:v>TuShare index_daily</x:v>
      </x:c>
      <x:c r="J1696" s="12" t="str">
        <x:v>FRED current rolling window</x:v>
      </x:c>
    </x:row>
    <x:row r="1697" ht="18" customHeight="1">
      <x:c r="A1697" s="13" t="n">
        <x:v>45146</x:v>
      </x:c>
      <x:c r="B1697" s="12" t="n">
        <x:v>3979.7322</x:v>
      </x:c>
      <x:c r="C1697" s="12" t="n">
        <x:v>3990.1531</x:v>
      </x:c>
      <x:c r="D1697" s="12" t="n">
        <x:v>-0.2612</x:v>
      </x:c>
      <x:c r="E1697" s="12" t="n">
        <x:v>-0.002615070492593251</x:v>
      </x:c>
      <x:c r="F1697" s="12" t="n">
        <x:v>4</x:v>
      </x:c>
      <x:c r="G1697" s="12" t="n">
        <x:v>400</x:v>
      </x:c>
      <x:c r="H1697" s="12" t="n">
        <x:v>3</x:v>
      </x:c>
      <x:c r="I1697" s="12" t="str">
        <x:v>TuShare index_daily</x:v>
      </x:c>
      <x:c r="J1697" s="12" t="str">
        <x:v>FRED current rolling window</x:v>
      </x:c>
    </x:row>
    <x:row r="1698" ht="18" customHeight="1">
      <x:c r="A1698" s="13" t="n">
        <x:v>45147</x:v>
      </x:c>
      <x:c r="B1698" s="12" t="n">
        <x:v>3967.5652</x:v>
      </x:c>
      <x:c r="C1698" s="12" t="n">
        <x:v>3979.7322</x:v>
      </x:c>
      <x:c r="D1698" s="12" t="n">
        <x:v>-0.3057</x:v>
      </x:c>
      <x:c r="E1698" s="12" t="n">
        <x:v>-0.0030619237945844866</x:v>
      </x:c>
      <x:c r="F1698" s="12" t="n">
        <x:v>3.94</x:v>
      </x:c>
      <x:c r="G1698" s="12" t="n">
        <x:v>394</x:v>
      </x:c>
      <x:c r="H1698" s="12" t="n">
        <x:v>-6</x:v>
      </x:c>
      <x:c r="I1698" s="12" t="str">
        <x:v>TuShare index_daily</x:v>
      </x:c>
      <x:c r="J1698" s="12" t="str">
        <x:v>FRED current rolling window</x:v>
      </x:c>
    </x:row>
    <x:row r="1699" ht="18" customHeight="1">
      <x:c r="A1699" s="13" t="n">
        <x:v>45148</x:v>
      </x:c>
      <x:c r="B1699" s="12" t="n">
        <x:v>3975.7166</x:v>
      </x:c>
      <x:c r="C1699" s="12" t="n">
        <x:v>3967.5652</x:v>
      </x:c>
      <x:c r="D1699" s="12" t="n">
        <x:v>0.2055</x:v>
      </x:c>
      <x:c r="E1699" s="12" t="n">
        <x:v>0.0020524017821905416</x:v>
      </x:c>
      <x:c r="F1699" s="12" t="n">
        <x:v>3.83</x:v>
      </x:c>
      <x:c r="G1699" s="12" t="n">
        <x:v>383</x:v>
      </x:c>
      <x:c r="H1699" s="12" t="n">
        <x:v>-11</x:v>
      </x:c>
      <x:c r="I1699" s="12" t="str">
        <x:v>TuShare index_daily</x:v>
      </x:c>
      <x:c r="J1699" s="12" t="str">
        <x:v>FRED current rolling window</x:v>
      </x:c>
    </x:row>
    <x:row r="1700" ht="18" customHeight="1">
      <x:c r="A1700" s="13" t="n">
        <x:v>45149</x:v>
      </x:c>
      <x:c r="B1700" s="12" t="n">
        <x:v>3884.2538</x:v>
      </x:c>
      <x:c r="C1700" s="12" t="n">
        <x:v>3975.7166</x:v>
      </x:c>
      <x:c r="D1700" s="12" t="n">
        <x:v>-2.3005</x:v>
      </x:c>
      <x:c r="E1700" s="12" t="n">
        <x:v>-0.023274115288622166</x:v>
      </x:c>
      <x:c r="F1700" s="12" t="n">
        <x:v>3.83</x:v>
      </x:c>
      <x:c r="G1700" s="12" t="n">
        <x:v>383</x:v>
      </x:c>
      <x:c r="H1700" s="12" t="n">
        <x:v>0</x:v>
      </x:c>
      <x:c r="I1700" s="12" t="str">
        <x:v>TuShare index_daily</x:v>
      </x:c>
      <x:c r="J1700" s="12" t="str">
        <x:v>FRED current rolling window</x:v>
      </x:c>
    </x:row>
    <x:row r="1701" ht="18" customHeight="1">
      <x:c r="A1701" s="13" t="n">
        <x:v>45152</x:v>
      </x:c>
      <x:c r="B1701" s="12" t="n">
        <x:v>3855.9061</x:v>
      </x:c>
      <x:c r="C1701" s="12" t="n">
        <x:v>3884.2538</x:v>
      </x:c>
      <x:c r="D1701" s="12" t="n">
        <x:v>-0.7298</x:v>
      </x:c>
      <x:c r="E1701" s="12" t="n">
        <x:v>-0.007324868507294283</x:v>
      </x:c>
      <x:c r="F1701" s="12" t="n">
        <x:v>3.79</x:v>
      </x:c>
      <x:c r="G1701" s="12" t="n">
        <x:v>379</x:v>
      </x:c>
      <x:c r="H1701" s="12" t="n">
        <x:v>-4</x:v>
      </x:c>
      <x:c r="I1701" s="12" t="str">
        <x:v>TuShare index_daily</x:v>
      </x:c>
      <x:c r="J1701" s="12" t="str">
        <x:v>FRED current rolling window</x:v>
      </x:c>
    </x:row>
    <x:row r="1702" ht="18" customHeight="1">
      <x:c r="A1702" s="13" t="n">
        <x:v>45153</x:v>
      </x:c>
      <x:c r="B1702" s="12" t="n">
        <x:v>3846.5357</x:v>
      </x:c>
      <x:c r="C1702" s="12" t="n">
        <x:v>3855.9061</x:v>
      </x:c>
      <x:c r="D1702" s="12" t="n">
        <x:v>-0.243</x:v>
      </x:c>
      <x:c r="E1702" s="12" t="n">
        <x:v>-0.002433099753563938</x:v>
      </x:c>
      <x:c r="F1702" s="12" t="n">
        <x:v>3.85</x:v>
      </x:c>
      <x:c r="G1702" s="12" t="n">
        <x:v>385</x:v>
      </x:c>
      <x:c r="H1702" s="12" t="n">
        <x:v>6</x:v>
      </x:c>
      <x:c r="I1702" s="12" t="str">
        <x:v>TuShare index_daily</x:v>
      </x:c>
      <x:c r="J1702" s="12" t="str">
        <x:v>FRED current rolling window</x:v>
      </x:c>
    </x:row>
    <x:row r="1703" ht="18" customHeight="1">
      <x:c r="A1703" s="13" t="n">
        <x:v>45154</x:v>
      </x:c>
      <x:c r="B1703" s="12" t="n">
        <x:v>3818.3338</x:v>
      </x:c>
      <x:c r="C1703" s="12" t="n">
        <x:v>3846.5357</x:v>
      </x:c>
      <x:c r="D1703" s="12" t="n">
        <x:v>-0.7332</x:v>
      </x:c>
      <x:c r="E1703" s="12" t="n">
        <x:v>-0.007358775583763774</x:v>
      </x:c>
      <x:c r="F1703" s="12" t="n">
        <x:v>3.81</x:v>
      </x:c>
      <x:c r="G1703" s="12" t="n">
        <x:v>381</x:v>
      </x:c>
      <x:c r="H1703" s="12" t="n">
        <x:v>-4</x:v>
      </x:c>
      <x:c r="I1703" s="12" t="str">
        <x:v>TuShare index_daily</x:v>
      </x:c>
      <x:c r="J1703" s="12" t="str">
        <x:v>FRED current rolling window</x:v>
      </x:c>
    </x:row>
    <x:row r="1704" ht="18" customHeight="1">
      <x:c r="A1704" s="13" t="n">
        <x:v>45155</x:v>
      </x:c>
      <x:c r="B1704" s="12" t="n">
        <x:v>3831.1008</x:v>
      </x:c>
      <x:c r="C1704" s="12" t="n">
        <x:v>3818.3338</x:v>
      </x:c>
      <x:c r="D1704" s="12" t="n">
        <x:v>0.3344</x:v>
      </x:c>
      <x:c r="E1704" s="12" t="n">
        <x:v>0.003338027585623975</x:v>
      </x:c>
      <x:c r="F1704" s="12" t="n">
        <x:v>3.95</x:v>
      </x:c>
      <x:c r="G1704" s="12" t="n">
        <x:v>395</x:v>
      </x:c>
      <x:c r="H1704" s="12" t="n">
        <x:v>14</x:v>
      </x:c>
      <x:c r="I1704" s="12" t="str">
        <x:v>TuShare index_daily</x:v>
      </x:c>
      <x:c r="J1704" s="12" t="str">
        <x:v>FRED current rolling window</x:v>
      </x:c>
    </x:row>
    <x:row r="1705" ht="18" customHeight="1">
      <x:c r="A1705" s="13" t="n">
        <x:v>45156</x:v>
      </x:c>
      <x:c r="B1705" s="12" t="n">
        <x:v>3784.0038</x:v>
      </x:c>
      <x:c r="C1705" s="12" t="n">
        <x:v>3831.1008</x:v>
      </x:c>
      <x:c r="D1705" s="12" t="n">
        <x:v>-1.2293</x:v>
      </x:c>
      <x:c r="E1705" s="12" t="n">
        <x:v>-0.012369521622880495</x:v>
      </x:c>
      <x:c r="F1705" s="12" t="n">
        <x:v>4.02</x:v>
      </x:c>
      <x:c r="G1705" s="12" t="n">
        <x:v>401.99999999999994</x:v>
      </x:c>
      <x:c r="H1705" s="12" t="n">
        <x:v>6.999999999999943</x:v>
      </x:c>
      <x:c r="I1705" s="12" t="str">
        <x:v>TuShare index_daily</x:v>
      </x:c>
      <x:c r="J1705" s="12" t="str">
        <x:v>FRED current rolling window</x:v>
      </x:c>
    </x:row>
    <x:row r="1706" ht="18" customHeight="1">
      <x:c r="A1706" s="13" t="n">
        <x:v>45159</x:v>
      </x:c>
      <x:c r="B1706" s="12" t="n">
        <x:v>3729.555</x:v>
      </x:c>
      <x:c r="C1706" s="12" t="n">
        <x:v>3784.0038</x:v>
      </x:c>
      <x:c r="D1706" s="12" t="n">
        <x:v>-1.4389</x:v>
      </x:c>
      <x:c r="E1706" s="12" t="n">
        <x:v>-0.014493731827957879</x:v>
      </x:c>
      <x:c r="F1706" s="12" t="n">
        <x:v>3.97</x:v>
      </x:c>
      <x:c r="G1706" s="12" t="n">
        <x:v>397</x:v>
      </x:c>
      <x:c r="H1706" s="12" t="n">
        <x:v>-4.999999999999943</x:v>
      </x:c>
      <x:c r="I1706" s="12" t="str">
        <x:v>TuShare index_daily</x:v>
      </x:c>
      <x:c r="J1706" s="12" t="str">
        <x:v>FRED current rolling window</x:v>
      </x:c>
    </x:row>
    <x:row r="1707" ht="18" customHeight="1">
      <x:c r="A1707" s="13" t="n">
        <x:v>45160</x:v>
      </x:c>
      <x:c r="B1707" s="12" t="n">
        <x:v>3758.2271</x:v>
      </x:c>
      <x:c r="C1707" s="12" t="n">
        <x:v>3729.555</x:v>
      </x:c>
      <x:c r="D1707" s="12" t="n">
        <x:v>0.7688</x:v>
      </x:c>
      <x:c r="E1707" s="12" t="n">
        <x:v>0.007658406656251673</x:v>
      </x:c>
      <x:c r="F1707" s="12" t="n">
        <x:v>3.93</x:v>
      </x:c>
      <x:c r="G1707" s="12" t="n">
        <x:v>393</x:v>
      </x:c>
      <x:c r="H1707" s="12" t="n">
        <x:v>-4</x:v>
      </x:c>
      <x:c r="I1707" s="12" t="str">
        <x:v>TuShare index_daily</x:v>
      </x:c>
      <x:c r="J1707" s="12" t="str">
        <x:v>FRED current rolling window</x:v>
      </x:c>
    </x:row>
    <x:row r="1708" ht="18" customHeight="1">
      <x:c r="A1708" s="13" t="n">
        <x:v>45161</x:v>
      </x:c>
      <x:c r="B1708" s="12" t="n">
        <x:v>3696.6339</x:v>
      </x:c>
      <x:c r="C1708" s="12" t="n">
        <x:v>3758.2271</x:v>
      </x:c>
      <x:c r="D1708" s="12" t="n">
        <x:v>-1.6389</x:v>
      </x:c>
      <x:c r="E1708" s="12" t="n">
        <x:v>-0.016524681432167936</x:v>
      </x:c>
      <x:c r="F1708" s="12" t="n">
        <x:v>3.92</x:v>
      </x:c>
      <x:c r="G1708" s="12" t="n">
        <x:v>392</x:v>
      </x:c>
      <x:c r="H1708" s="12" t="n">
        <x:v>-1</x:v>
      </x:c>
      <x:c r="I1708" s="12" t="str">
        <x:v>TuShare index_daily</x:v>
      </x:c>
      <x:c r="J1708" s="12" t="str">
        <x:v>FRED current rolling window</x:v>
      </x:c>
    </x:row>
    <x:row r="1709" ht="18" customHeight="1">
      <x:c r="A1709" s="13" t="n">
        <x:v>45162</x:v>
      </x:c>
      <x:c r="B1709" s="12" t="n">
        <x:v>3723.4293</x:v>
      </x:c>
      <x:c r="C1709" s="12" t="n">
        <x:v>3696.6339</x:v>
      </x:c>
      <x:c r="D1709" s="12" t="n">
        <x:v>0.7249</x:v>
      </x:c>
      <x:c r="E1709" s="12" t="n">
        <x:v>0.007222449662964919</x:v>
      </x:c>
      <x:c r="F1709" s="12" t="n">
        <x:v>3.91</x:v>
      </x:c>
      <x:c r="G1709" s="12" t="n">
        <x:v>391</x:v>
      </x:c>
      <x:c r="H1709" s="12" t="n">
        <x:v>-1</x:v>
      </x:c>
      <x:c r="I1709" s="12" t="str">
        <x:v>TuShare index_daily</x:v>
      </x:c>
      <x:c r="J1709" s="12" t="str">
        <x:v>FRED current rolling window</x:v>
      </x:c>
    </x:row>
    <x:row r="1710" ht="18" customHeight="1">
      <x:c r="A1710" s="13" t="n">
        <x:v>45163</x:v>
      </x:c>
      <x:c r="B1710" s="12" t="n">
        <x:v>3709.1517</x:v>
      </x:c>
      <x:c r="C1710" s="12" t="n">
        <x:v>3723.4293</x:v>
      </x:c>
      <x:c r="D1710" s="12" t="n">
        <x:v>-0.3835</x:v>
      </x:c>
      <x:c r="E1710" s="12" t="n">
        <x:v>-0.0038419002932303134</x:v>
      </x:c>
      <x:c r="F1710" s="12" t="n">
        <x:v>3.9</x:v>
      </x:c>
      <x:c r="G1710" s="12" t="n">
        <x:v>390</x:v>
      </x:c>
      <x:c r="H1710" s="12" t="n">
        <x:v>-1</x:v>
      </x:c>
      <x:c r="I1710" s="12" t="str">
        <x:v>TuShare index_daily</x:v>
      </x:c>
      <x:c r="J1710" s="12" t="str">
        <x:v>FRED current rolling window</x:v>
      </x:c>
    </x:row>
    <x:row r="1711" ht="18" customHeight="1">
      <x:c r="A1711" s="13" t="n">
        <x:v>45166</x:v>
      </x:c>
      <x:c r="B1711" s="12" t="n">
        <x:v>3752.6194</x:v>
      </x:c>
      <x:c r="C1711" s="12" t="n">
        <x:v>3709.1517</x:v>
      </x:c>
      <x:c r="D1711" s="12" t="n">
        <x:v>1.1719</x:v>
      </x:c>
      <x:c r="E1711" s="12" t="n">
        <x:v>0.011650904623430016</x:v>
      </x:c>
      <x:c r="F1711" s="12" t="n">
        <x:v>3.86</x:v>
      </x:c>
      <x:c r="G1711" s="12" t="n">
        <x:v>386</x:v>
      </x:c>
      <x:c r="H1711" s="12" t="n">
        <x:v>-4</x:v>
      </x:c>
      <x:c r="I1711" s="12" t="str">
        <x:v>TuShare index_daily</x:v>
      </x:c>
      <x:c r="J1711" s="12" t="str">
        <x:v>FRED current rolling window</x:v>
      </x:c>
    </x:row>
    <x:row r="1712" ht="18" customHeight="1">
      <x:c r="A1712" s="13" t="n">
        <x:v>45167</x:v>
      </x:c>
      <x:c r="B1712" s="12" t="n">
        <x:v>3790.1067</x:v>
      </x:c>
      <x:c r="C1712" s="12" t="n">
        <x:v>3752.6194</x:v>
      </x:c>
      <x:c r="D1712" s="12" t="n">
        <x:v>0.999</x:v>
      </x:c>
      <x:c r="E1712" s="12" t="n">
        <x:v>0.009940068925598318</x:v>
      </x:c>
      <x:c r="F1712" s="12" t="n">
        <x:v>3.87</x:v>
      </x:c>
      <x:c r="G1712" s="12" t="n">
        <x:v>387</x:v>
      </x:c>
      <x:c r="H1712" s="12" t="n">
        <x:v>1</x:v>
      </x:c>
      <x:c r="I1712" s="12" t="str">
        <x:v>TuShare index_daily</x:v>
      </x:c>
      <x:c r="J1712" s="12" t="str">
        <x:v>FRED current rolling window</x:v>
      </x:c>
    </x:row>
    <x:row r="1713" ht="18" customHeight="1">
      <x:c r="A1713" s="13" t="n">
        <x:v>45168</x:v>
      </x:c>
      <x:c r="B1713" s="12" t="n">
        <x:v>3788.5097</x:v>
      </x:c>
      <x:c r="C1713" s="12" t="n">
        <x:v>3790.1067</x:v>
      </x:c>
      <x:c r="D1713" s="12" t="n">
        <x:v>-0.0421</x:v>
      </x:c>
      <x:c r="E1713" s="12" t="n">
        <x:v>-0.0004214489662355312</x:v>
      </x:c>
      <x:c r="F1713" s="12" t="n">
        <x:v>3.8</x:v>
      </x:c>
      <x:c r="G1713" s="12" t="n">
        <x:v>380</x:v>
      </x:c>
      <x:c r="H1713" s="12" t="n">
        <x:v>-7</x:v>
      </x:c>
      <x:c r="I1713" s="12" t="str">
        <x:v>TuShare index_daily</x:v>
      </x:c>
      <x:c r="J1713" s="12" t="str">
        <x:v>FRED current rolling window</x:v>
      </x:c>
    </x:row>
    <x:row r="1714" ht="18" customHeight="1">
      <x:c r="A1714" s="13" t="n">
        <x:v>45169</x:v>
      </x:c>
      <x:c r="B1714" s="12" t="n">
        <x:v>3765.2678</x:v>
      </x:c>
      <x:c r="C1714" s="12" t="n">
        <x:v>3788.5097</x:v>
      </x:c>
      <x:c r="D1714" s="12" t="n">
        <x:v>-0.6135</x:v>
      </x:c>
      <x:c r="E1714" s="12" t="n">
        <x:v>-0.006153735225727366</x:v>
      </x:c>
      <x:c r="F1714" s="12" t="n">
        <x:v>3.85</x:v>
      </x:c>
      <x:c r="G1714" s="12" t="n">
        <x:v>385</x:v>
      </x:c>
      <x:c r="H1714" s="12" t="n">
        <x:v>5</x:v>
      </x:c>
      <x:c r="I1714" s="12" t="str">
        <x:v>TuShare index_daily</x:v>
      </x:c>
      <x:c r="J1714" s="12" t="str">
        <x:v>FRED current rolling window</x:v>
      </x:c>
    </x:row>
    <x:row r="1715" ht="18" customHeight="1">
      <x:c r="A1715" s="13" t="n">
        <x:v>45170</x:v>
      </x:c>
      <x:c r="B1715" s="12" t="n">
        <x:v>3791.4912</x:v>
      </x:c>
      <x:c r="C1715" s="12" t="n">
        <x:v>3765.2678</x:v>
      </x:c>
      <x:c r="D1715" s="12" t="n">
        <x:v>0.6965</x:v>
      </x:c>
      <x:c r="E1715" s="12" t="n">
        <x:v>0.006940410634633973</x:v>
      </x:c>
      <x:c r="F1715" s="12" t="n">
        <x:v>3.81</x:v>
      </x:c>
      <x:c r="G1715" s="12" t="n">
        <x:v>381</x:v>
      </x:c>
      <x:c r="H1715" s="12" t="n">
        <x:v>-4</x:v>
      </x:c>
      <x:c r="I1715" s="12" t="str">
        <x:v>TuShare index_daily</x:v>
      </x:c>
      <x:c r="J1715" s="12" t="str">
        <x:v>FRED current rolling window</x:v>
      </x:c>
    </x:row>
    <x:row r="1716" ht="18" customHeight="1">
      <x:c r="A1716" s="13" t="n">
        <x:v>45173</x:v>
      </x:c>
      <x:c r="B1716" s="12" t="n">
        <x:v>3848.9517</x:v>
      </x:c>
      <x:c r="C1716" s="12" t="n">
        <x:v>3791.4912</x:v>
      </x:c>
      <x:c r="D1716" s="12" t="n">
        <x:v>1.5155</x:v>
      </x:c>
      <x:c r="E1716" s="12" t="n">
        <x:v>0.015041427333904046</x:v>
      </x:c>
      <x:c r="F1716" s="12" t="n">
        <x:v>3.81</x:v>
      </x:c>
      <x:c r="G1716" s="12" t="n">
        <x:v>381</x:v>
      </x:c>
      <x:c r="H1716" s="12" t="n">
        <x:v>0</x:v>
      </x:c>
      <x:c r="I1716" s="12" t="str">
        <x:v>TuShare index_daily</x:v>
      </x:c>
      <x:c r="J1716" s="12" t="str">
        <x:v>FRED current rolling window</x:v>
      </x:c>
    </x:row>
    <x:row r="1717" ht="18" customHeight="1">
      <x:c r="A1717" s="13" t="n">
        <x:v>45174</x:v>
      </x:c>
      <x:c r="B1717" s="12" t="n">
        <x:v>3820.3174</x:v>
      </x:c>
      <x:c r="C1717" s="12" t="n">
        <x:v>3848.9517</x:v>
      </x:c>
      <x:c r="D1717" s="12" t="n">
        <x:v>-0.744</x:v>
      </x:c>
      <x:c r="E1717" s="12" t="n">
        <x:v>-0.0074673173369024385</x:v>
      </x:c>
      <x:c r="F1717" s="12" t="n">
        <x:v>3.83</x:v>
      </x:c>
      <x:c r="G1717" s="12" t="n">
        <x:v>383</x:v>
      </x:c>
      <x:c r="H1717" s="12" t="n">
        <x:v>2</x:v>
      </x:c>
      <x:c r="I1717" s="12" t="str">
        <x:v>TuShare index_daily</x:v>
      </x:c>
      <x:c r="J1717" s="12" t="str">
        <x:v>FRED current rolling window</x:v>
      </x:c>
    </x:row>
    <x:row r="1718" ht="18" customHeight="1">
      <x:c r="A1718" s="13" t="n">
        <x:v>45175</x:v>
      </x:c>
      <x:c r="B1718" s="12" t="n">
        <x:v>3812.0283</x:v>
      </x:c>
      <x:c r="C1718" s="12" t="n">
        <x:v>3820.3174</x:v>
      </x:c>
      <x:c r="D1718" s="12" t="n">
        <x:v>-0.217</x:v>
      </x:c>
      <x:c r="E1718" s="12" t="n">
        <x:v>-0.0021720984831716575</x:v>
      </x:c>
      <x:c r="F1718" s="12" t="n">
        <x:v>3.86</x:v>
      </x:c>
      <x:c r="G1718" s="12" t="n">
        <x:v>386</x:v>
      </x:c>
      <x:c r="H1718" s="12" t="n">
        <x:v>3</x:v>
      </x:c>
      <x:c r="I1718" s="12" t="str">
        <x:v>TuShare index_daily</x:v>
      </x:c>
      <x:c r="J1718" s="12" t="str">
        <x:v>FRED current rolling window</x:v>
      </x:c>
    </x:row>
    <x:row r="1719" ht="18" customHeight="1">
      <x:c r="A1719" s="13" t="n">
        <x:v>45176</x:v>
      </x:c>
      <x:c r="B1719" s="12" t="n">
        <x:v>3758.4748</x:v>
      </x:c>
      <x:c r="C1719" s="12" t="n">
        <x:v>3812.0283</x:v>
      </x:c>
      <x:c r="D1719" s="12" t="n">
        <x:v>-1.4049</x:v>
      </x:c>
      <x:c r="E1719" s="12" t="n">
        <x:v>-0.014148172878386153</x:v>
      </x:c>
      <x:c r="F1719" s="12" t="n">
        <x:v>3.9</x:v>
      </x:c>
      <x:c r="G1719" s="12" t="n">
        <x:v>390</x:v>
      </x:c>
      <x:c r="H1719" s="12" t="n">
        <x:v>4</x:v>
      </x:c>
      <x:c r="I1719" s="12" t="str">
        <x:v>TuShare index_daily</x:v>
      </x:c>
      <x:c r="J1719" s="12" t="str">
        <x:v>FRED current rolling window</x:v>
      </x:c>
    </x:row>
    <x:row r="1720" ht="18" customHeight="1">
      <x:c r="A1720" s="13" t="n">
        <x:v>45177</x:v>
      </x:c>
      <x:c r="B1720" s="12" t="n">
        <x:v>3739.9927</x:v>
      </x:c>
      <x:c r="C1720" s="12" t="n">
        <x:v>3758.4748</x:v>
      </x:c>
      <x:c r="D1720" s="12" t="n">
        <x:v>-0.4917</x:v>
      </x:c>
      <x:c r="E1720" s="12" t="n">
        <x:v>-0.004929577257583552</x:v>
      </x:c>
      <x:c r="F1720" s="12" t="n">
        <x:v>3.85</x:v>
      </x:c>
      <x:c r="G1720" s="12" t="n">
        <x:v>385</x:v>
      </x:c>
      <x:c r="H1720" s="12" t="n">
        <x:v>-5</x:v>
      </x:c>
      <x:c r="I1720" s="12" t="str">
        <x:v>TuShare index_daily</x:v>
      </x:c>
      <x:c r="J1720" s="12" t="str">
        <x:v>FRED current rolling window</x:v>
      </x:c>
    </x:row>
    <x:row r="1721" ht="18" customHeight="1">
      <x:c r="A1721" s="13" t="n">
        <x:v>45180</x:v>
      </x:c>
      <x:c r="B1721" s="12" t="n">
        <x:v>3767.537</x:v>
      </x:c>
      <x:c r="C1721" s="12" t="n">
        <x:v>3739.9927</x:v>
      </x:c>
      <x:c r="D1721" s="12" t="n">
        <x:v>0.7365</x:v>
      </x:c>
      <x:c r="E1721" s="12" t="n">
        <x:v>0.007337812753509666</x:v>
      </x:c>
      <x:c r="F1721" s="12" t="n">
        <x:v>3.82</x:v>
      </x:c>
      <x:c r="G1721" s="12" t="n">
        <x:v>382</x:v>
      </x:c>
      <x:c r="H1721" s="12" t="n">
        <x:v>-3</x:v>
      </x:c>
      <x:c r="I1721" s="12" t="str">
        <x:v>TuShare index_daily</x:v>
      </x:c>
      <x:c r="J1721" s="12" t="str">
        <x:v>FRED current rolling window</x:v>
      </x:c>
    </x:row>
    <x:row r="1722" ht="18" customHeight="1">
      <x:c r="A1722" s="13" t="n">
        <x:v>45181</x:v>
      </x:c>
      <x:c r="B1722" s="12" t="n">
        <x:v>3760.6048</x:v>
      </x:c>
      <x:c r="C1722" s="12" t="n">
        <x:v>3767.537</x:v>
      </x:c>
      <x:c r="D1722" s="12" t="n">
        <x:v>-0.184</x:v>
      </x:c>
      <x:c r="E1722" s="12" t="n">
        <x:v>-0.001841676775899936</x:v>
      </x:c>
      <x:c r="F1722" s="12" t="n">
        <x:v>3.84</x:v>
      </x:c>
      <x:c r="G1722" s="12" t="n">
        <x:v>384</x:v>
      </x:c>
      <x:c r="H1722" s="12" t="n">
        <x:v>2</x:v>
      </x:c>
      <x:c r="I1722" s="12" t="str">
        <x:v>TuShare index_daily</x:v>
      </x:c>
      <x:c r="J1722" s="12" t="str">
        <x:v>FRED current rolling window</x:v>
      </x:c>
    </x:row>
    <x:row r="1723" ht="18" customHeight="1">
      <x:c r="A1723" s="13" t="n">
        <x:v>45182</x:v>
      </x:c>
      <x:c r="B1723" s="12" t="n">
        <x:v>3736.6513</x:v>
      </x:c>
      <x:c r="C1723" s="12" t="n">
        <x:v>3760.6048</x:v>
      </x:c>
      <x:c r="D1723" s="12" t="n">
        <x:v>-0.637</x:v>
      </x:c>
      <x:c r="E1723" s="12" t="n">
        <x:v>-0.006389959522627915</x:v>
      </x:c>
      <x:c r="F1723" s="12" t="n">
        <x:v>3.85</x:v>
      </x:c>
      <x:c r="G1723" s="12" t="n">
        <x:v>385</x:v>
      </x:c>
      <x:c r="H1723" s="12" t="n">
        <x:v>1</x:v>
      </x:c>
      <x:c r="I1723" s="12" t="str">
        <x:v>TuShare index_daily</x:v>
      </x:c>
      <x:c r="J1723" s="12" t="str">
        <x:v>FRED current rolling window</x:v>
      </x:c>
    </x:row>
    <x:row r="1724" ht="18" customHeight="1">
      <x:c r="A1724" s="13" t="n">
        <x:v>45183</x:v>
      </x:c>
      <x:c r="B1724" s="12" t="n">
        <x:v>3733.5077</x:v>
      </x:c>
      <x:c r="C1724" s="12" t="n">
        <x:v>3736.6513</x:v>
      </x:c>
      <x:c r="D1724" s="12" t="n">
        <x:v>-0.0841</x:v>
      </x:c>
      <x:c r="E1724" s="12" t="n">
        <x:v>-0.0008416421084389641</x:v>
      </x:c>
      <x:c r="F1724" s="12" t="n">
        <x:v>3.78</x:v>
      </x:c>
      <x:c r="G1724" s="12" t="n">
        <x:v>378</x:v>
      </x:c>
      <x:c r="H1724" s="12" t="n">
        <x:v>-7</x:v>
      </x:c>
      <x:c r="I1724" s="12" t="str">
        <x:v>TuShare index_daily</x:v>
      </x:c>
      <x:c r="J1724" s="12" t="str">
        <x:v>FRED current rolling window</x:v>
      </x:c>
    </x:row>
    <x:row r="1725" ht="18" customHeight="1">
      <x:c r="A1725" s="13" t="n">
        <x:v>45184</x:v>
      </x:c>
      <x:c r="B1725" s="12" t="n">
        <x:v>3708.7766</x:v>
      </x:c>
      <x:c r="C1725" s="12" t="n">
        <x:v>3733.5077</x:v>
      </x:c>
      <x:c r="D1725" s="12" t="n">
        <x:v>-0.6624</x:v>
      </x:c>
      <x:c r="E1725" s="12" t="n">
        <x:v>-0.0066461290744070055</x:v>
      </x:c>
      <x:c r="F1725" s="12" t="n">
        <x:v>3.79</x:v>
      </x:c>
      <x:c r="G1725" s="12" t="n">
        <x:v>379</x:v>
      </x:c>
      <x:c r="H1725" s="12" t="n">
        <x:v>1</x:v>
      </x:c>
      <x:c r="I1725" s="12" t="str">
        <x:v>TuShare index_daily</x:v>
      </x:c>
      <x:c r="J1725" s="12" t="str">
        <x:v>FRED current rolling window</x:v>
      </x:c>
    </x:row>
    <x:row r="1726" ht="18" customHeight="1">
      <x:c r="A1726" s="13" t="n">
        <x:v>45187</x:v>
      </x:c>
      <x:c r="B1726" s="12" t="n">
        <x:v>3727.711</x:v>
      </x:c>
      <x:c r="C1726" s="12" t="n">
        <x:v>3708.7766</x:v>
      </x:c>
      <x:c r="D1726" s="12" t="n">
        <x:v>0.5105</x:v>
      </x:c>
      <x:c r="E1726" s="12" t="n">
        <x:v>0.0050923075341599</x:v>
      </x:c>
      <x:c r="F1726" s="12" t="n">
        <x:v>3.82</x:v>
      </x:c>
      <x:c r="G1726" s="12" t="n">
        <x:v>382</x:v>
      </x:c>
      <x:c r="H1726" s="12" t="n">
        <x:v>3</x:v>
      </x:c>
      <x:c r="I1726" s="12" t="str">
        <x:v>TuShare index_daily</x:v>
      </x:c>
      <x:c r="J1726" s="12" t="str">
        <x:v>FRED current rolling window</x:v>
      </x:c>
    </x:row>
    <x:row r="1727" ht="18" customHeight="1">
      <x:c r="A1727" s="13" t="n">
        <x:v>45188</x:v>
      </x:c>
      <x:c r="B1727" s="12" t="n">
        <x:v>3720.5021</x:v>
      </x:c>
      <x:c r="C1727" s="12" t="n">
        <x:v>3727.711</x:v>
      </x:c>
      <x:c r="D1727" s="12" t="n">
        <x:v>-0.1934</x:v>
      </x:c>
      <x:c r="E1727" s="12" t="n">
        <x:v>-0.0019357400638905927</x:v>
      </x:c>
      <x:c r="F1727" s="12" t="n">
        <x:v>3.82</x:v>
      </x:c>
      <x:c r="G1727" s="12" t="n">
        <x:v>382</x:v>
      </x:c>
      <x:c r="H1727" s="12" t="n">
        <x:v>0</x:v>
      </x:c>
      <x:c r="I1727" s="12" t="str">
        <x:v>TuShare index_daily</x:v>
      </x:c>
      <x:c r="J1727" s="12" t="str">
        <x:v>FRED current rolling window</x:v>
      </x:c>
    </x:row>
    <x:row r="1728" ht="18" customHeight="1">
      <x:c r="A1728" s="13" t="n">
        <x:v>45189</x:v>
      </x:c>
      <x:c r="B1728" s="12" t="n">
        <x:v>3705.6898</x:v>
      </x:c>
      <x:c r="C1728" s="12" t="n">
        <x:v>3720.5021</x:v>
      </x:c>
      <x:c r="D1728" s="12" t="n">
        <x:v>-0.3981</x:v>
      </x:c>
      <x:c r="E1728" s="12" t="n">
        <x:v>-0.003989210040026667</x:v>
      </x:c>
      <x:c r="F1728" s="12" t="n">
        <x:v>3.77</x:v>
      </x:c>
      <x:c r="G1728" s="12" t="n">
        <x:v>377</x:v>
      </x:c>
      <x:c r="H1728" s="12" t="n">
        <x:v>-5</x:v>
      </x:c>
      <x:c r="I1728" s="12" t="str">
        <x:v>TuShare index_daily</x:v>
      </x:c>
      <x:c r="J1728" s="12" t="str">
        <x:v>FRED current rolling window</x:v>
      </x:c>
    </x:row>
    <x:row r="1729" ht="18" customHeight="1">
      <x:c r="A1729" s="13" t="n">
        <x:v>45190</x:v>
      </x:c>
      <x:c r="B1729" s="12" t="n">
        <x:v>3672.4448</x:v>
      </x:c>
      <x:c r="C1729" s="12" t="n">
        <x:v>3705.6898</x:v>
      </x:c>
      <x:c r="D1729" s="12" t="n">
        <x:v>-0.8971</x:v>
      </x:c>
      <x:c r="E1729" s="12" t="n">
        <x:v>-0.00901182393540573</x:v>
      </x:c>
      <x:c r="F1729" s="12" t="n">
        <x:v>3.89</x:v>
      </x:c>
      <x:c r="G1729" s="12" t="n">
        <x:v>389</x:v>
      </x:c>
      <x:c r="H1729" s="12" t="n">
        <x:v>12</x:v>
      </x:c>
      <x:c r="I1729" s="12" t="str">
        <x:v>TuShare index_daily</x:v>
      </x:c>
      <x:c r="J1729" s="12" t="str">
        <x:v>FRED current rolling window</x:v>
      </x:c>
    </x:row>
    <x:row r="1730" ht="18" customHeight="1">
      <x:c r="A1730" s="13" t="n">
        <x:v>45191</x:v>
      </x:c>
      <x:c r="B1730" s="12" t="n">
        <x:v>3738.9327</x:v>
      </x:c>
      <x:c r="C1730" s="12" t="n">
        <x:v>3672.4448</x:v>
      </x:c>
      <x:c r="D1730" s="12" t="n">
        <x:v>1.8105</x:v>
      </x:c>
      <x:c r="E1730" s="12" t="n">
        <x:v>0.01794259804803621</x:v>
      </x:c>
      <x:c r="F1730" s="12" t="n">
        <x:v>3.93</x:v>
      </x:c>
      <x:c r="G1730" s="12" t="n">
        <x:v>393</x:v>
      </x:c>
      <x:c r="H1730" s="12" t="n">
        <x:v>4</x:v>
      </x:c>
      <x:c r="I1730" s="12" t="str">
        <x:v>TuShare index_daily</x:v>
      </x:c>
      <x:c r="J1730" s="12" t="str">
        <x:v>FRED current rolling window</x:v>
      </x:c>
    </x:row>
    <x:row r="1731" ht="18" customHeight="1">
      <x:c r="A1731" s="13" t="n">
        <x:v>45194</x:v>
      </x:c>
      <x:c r="B1731" s="12" t="n">
        <x:v>3714.6037</x:v>
      </x:c>
      <x:c r="C1731" s="12" t="n">
        <x:v>3738.9327</x:v>
      </x:c>
      <x:c r="D1731" s="12" t="n">
        <x:v>-0.6507</x:v>
      </x:c>
      <x:c r="E1731" s="12" t="n">
        <x:v>-0.006528199527715004</x:v>
      </x:c>
      <x:c r="F1731" s="12" t="n">
        <x:v>3.97</x:v>
      </x:c>
      <x:c r="G1731" s="12" t="n">
        <x:v>397</x:v>
      </x:c>
      <x:c r="H1731" s="12" t="n">
        <x:v>4</x:v>
      </x:c>
      <x:c r="I1731" s="12" t="str">
        <x:v>TuShare index_daily</x:v>
      </x:c>
      <x:c r="J1731" s="12" t="str">
        <x:v>FRED current rolling window</x:v>
      </x:c>
    </x:row>
    <x:row r="1732" ht="18" customHeight="1">
      <x:c r="A1732" s="13" t="n">
        <x:v>45195</x:v>
      </x:c>
      <x:c r="B1732" s="12" t="n">
        <x:v>3692.8928</x:v>
      </x:c>
      <x:c r="C1732" s="12" t="n">
        <x:v>3714.6037</x:v>
      </x:c>
      <x:c r="D1732" s="12" t="n">
        <x:v>-0.5845</x:v>
      </x:c>
      <x:c r="E1732" s="12" t="n">
        <x:v>-0.005861889281666779</x:v>
      </x:c>
      <x:c r="F1732" s="12" t="n">
        <x:v>4.04</x:v>
      </x:c>
      <x:c r="G1732" s="12" t="n">
        <x:v>404</x:v>
      </x:c>
      <x:c r="H1732" s="12" t="n">
        <x:v>7</x:v>
      </x:c>
      <x:c r="I1732" s="12" t="str">
        <x:v>TuShare index_daily</x:v>
      </x:c>
      <x:c r="J1732" s="12" t="str">
        <x:v>FRED current rolling window</x:v>
      </x:c>
    </x:row>
    <x:row r="1733" ht="18" customHeight="1">
      <x:c r="A1733" s="13" t="n">
        <x:v>45196</x:v>
      </x:c>
      <x:c r="B1733" s="12" t="n">
        <x:v>3700.495</x:v>
      </x:c>
      <x:c r="C1733" s="12" t="n">
        <x:v>3692.8928</x:v>
      </x:c>
      <x:c r="D1733" s="12" t="n">
        <x:v>0.2059</x:v>
      </x:c>
      <x:c r="E1733" s="12" t="n">
        <x:v>0.002056486927205133</x:v>
      </x:c>
      <x:c r="F1733" s="12" t="n">
        <x:v>4.03</x:v>
      </x:c>
      <x:c r="G1733" s="12" t="n">
        <x:v>403</x:v>
      </x:c>
      <x:c r="H1733" s="12" t="n">
        <x:v>-1</x:v>
      </x:c>
      <x:c r="I1733" s="12" t="str">
        <x:v>TuShare index_daily</x:v>
      </x:c>
      <x:c r="J1733" s="12" t="str">
        <x:v>FRED current rolling window</x:v>
      </x:c>
    </x:row>
    <x:row r="1734" ht="18" customHeight="1">
      <x:c r="A1734" s="13" t="n">
        <x:v>45197</x:v>
      </x:c>
      <x:c r="B1734" s="12" t="n">
        <x:v>3689.5172</x:v>
      </x:c>
      <x:c r="C1734" s="12" t="n">
        <x:v>3700.495</x:v>
      </x:c>
      <x:c r="D1734" s="12" t="n">
        <x:v>-0.2967</x:v>
      </x:c>
      <x:c r="E1734" s="12" t="n">
        <x:v>-0.0029709851019892155</x:v>
      </x:c>
      <x:c r="F1734" s="12" t="n">
        <x:v>4.09</x:v>
      </x:c>
      <x:c r="G1734" s="12" t="n">
        <x:v>409</x:v>
      </x:c>
      <x:c r="H1734" s="12" t="n">
        <x:v>6</x:v>
      </x:c>
      <x:c r="I1734" s="12" t="str">
        <x:v>TuShare index_daily</x:v>
      </x:c>
      <x:c r="J1734" s="12" t="str">
        <x:v>FRED current rolling window</x:v>
      </x:c>
    </x:row>
    <x:row r="1735" ht="18" customHeight="1">
      <x:c r="A1735" s="13" t="n">
        <x:v>45208</x:v>
      </x:c>
      <x:c r="B1735" s="12" t="n">
        <x:v>3684.7272</x:v>
      </x:c>
      <x:c r="C1735" s="12" t="n">
        <x:v>3689.5172</x:v>
      </x:c>
      <x:c r="D1735" s="12" t="n">
        <x:v>-0.1298</x:v>
      </x:c>
      <x:c r="E1735" s="12" t="n">
        <x:v>-0.001299116333512036</x:v>
      </x:c>
      <x:c r="F1735" s="12" t="n">
        <x:v>4.34</x:v>
      </x:c>
      <x:c r="G1735" s="12" t="n">
        <x:v>434</x:v>
      </x:c>
      <x:c r="H1735" s="12" t="n">
        <x:v>1</x:v>
      </x:c>
      <x:c r="I1735" s="12" t="str">
        <x:v>TuShare index_daily</x:v>
      </x:c>
      <x:c r="J1735" s="12" t="str">
        <x:v>FRED current rolling window</x:v>
      </x:c>
    </x:row>
    <x:row r="1736" ht="18" customHeight="1">
      <x:c r="A1736" s="13" t="n">
        <x:v>45209</x:v>
      </x:c>
      <x:c r="B1736" s="12" t="n">
        <x:v>3657.1259</x:v>
      </x:c>
      <x:c r="C1736" s="12" t="n">
        <x:v>3684.7272</x:v>
      </x:c>
      <x:c r="D1736" s="12" t="n">
        <x:v>-0.7491</x:v>
      </x:c>
      <x:c r="E1736" s="12" t="n">
        <x:v>-0.00751892734950509</x:v>
      </x:c>
      <x:c r="F1736" s="12" t="n">
        <x:v>4.26</x:v>
      </x:c>
      <x:c r="G1736" s="12" t="n">
        <x:v>426</x:v>
      </x:c>
      <x:c r="H1736" s="12" t="n">
        <x:v>-8</x:v>
      </x:c>
      <x:c r="I1736" s="12" t="str">
        <x:v>TuShare index_daily</x:v>
      </x:c>
      <x:c r="J1736" s="12" t="str">
        <x:v>FRED current rolling window</x:v>
      </x:c>
    </x:row>
    <x:row r="1737" ht="18" customHeight="1">
      <x:c r="A1737" s="13" t="n">
        <x:v>45210</x:v>
      </x:c>
      <x:c r="B1737" s="12" t="n">
        <x:v>3667.5483</x:v>
      </x:c>
      <x:c r="C1737" s="12" t="n">
        <x:v>3657.1259</x:v>
      </x:c>
      <x:c r="D1737" s="12" t="n">
        <x:v>0.285</x:v>
      </x:c>
      <x:c r="E1737" s="12" t="n">
        <x:v>0.0028458349817270063</x:v>
      </x:c>
      <x:c r="F1737" s="12" t="n">
        <x:v>4.25</x:v>
      </x:c>
      <x:c r="G1737" s="12" t="n">
        <x:v>425</x:v>
      </x:c>
      <x:c r="H1737" s="12" t="n">
        <x:v>-1</x:v>
      </x:c>
      <x:c r="I1737" s="12" t="str">
        <x:v>TuShare index_daily</x:v>
      </x:c>
      <x:c r="J1737" s="12" t="str">
        <x:v>FRED current rolling window</x:v>
      </x:c>
    </x:row>
    <x:row r="1738" ht="18" customHeight="1">
      <x:c r="A1738" s="13" t="n">
        <x:v>45211</x:v>
      </x:c>
      <x:c r="B1738" s="12" t="n">
        <x:v>3702.3824</x:v>
      </x:c>
      <x:c r="C1738" s="12" t="n">
        <x:v>3667.5483</x:v>
      </x:c>
      <x:c r="D1738" s="12" t="n">
        <x:v>0.9498</x:v>
      </x:c>
      <x:c r="E1738" s="12" t="n">
        <x:v>0.009453103650197869</x:v>
      </x:c>
      <x:c r="F1738" s="12" t="n">
        <x:v>4.25</x:v>
      </x:c>
      <x:c r="G1738" s="12" t="n">
        <x:v>425</x:v>
      </x:c>
      <x:c r="H1738" s="12" t="n">
        <x:v>0</x:v>
      </x:c>
      <x:c r="I1738" s="12" t="str">
        <x:v>TuShare index_daily</x:v>
      </x:c>
      <x:c r="J1738" s="12" t="str">
        <x:v>FRED current rolling window</x:v>
      </x:c>
    </x:row>
    <x:row r="1739" ht="18" customHeight="1">
      <x:c r="A1739" s="13" t="n">
        <x:v>45212</x:v>
      </x:c>
      <x:c r="B1739" s="12" t="n">
        <x:v>3663.4104</x:v>
      </x:c>
      <x:c r="C1739" s="12" t="n">
        <x:v>3702.3824</x:v>
      </x:c>
      <x:c r="D1739" s="12" t="n">
        <x:v>-1.0526</x:v>
      </x:c>
      <x:c r="E1739" s="12" t="n">
        <x:v>-0.010581987499846852</x:v>
      </x:c>
      <x:c r="F1739" s="12" t="n">
        <x:v>4.3</x:v>
      </x:c>
      <x:c r="G1739" s="12" t="n">
        <x:v>430</x:v>
      </x:c>
      <x:c r="H1739" s="12" t="n">
        <x:v>5</x:v>
      </x:c>
      <x:c r="I1739" s="12" t="str">
        <x:v>TuShare index_daily</x:v>
      </x:c>
      <x:c r="J1739" s="12" t="str">
        <x:v>FRED current rolling window</x:v>
      </x:c>
    </x:row>
    <x:row r="1740" ht="18" customHeight="1">
      <x:c r="A1740" s="13" t="n">
        <x:v>45215</x:v>
      </x:c>
      <x:c r="B1740" s="12" t="n">
        <x:v>3626.5972</x:v>
      </x:c>
      <x:c r="C1740" s="12" t="n">
        <x:v>3663.4104</x:v>
      </x:c>
      <x:c r="D1740" s="12" t="n">
        <x:v>-1.0049</x:v>
      </x:c>
      <x:c r="E1740" s="12" t="n">
        <x:v>-0.01009971866830757</x:v>
      </x:c>
      <x:c r="F1740" s="12" t="n">
        <x:v>4.27</x:v>
      </x:c>
      <x:c r="G1740" s="12" t="n">
        <x:v>426.99999999999994</x:v>
      </x:c>
      <x:c r="H1740" s="12" t="n">
        <x:v>-3.000000000000057</x:v>
      </x:c>
      <x:c r="I1740" s="12" t="str">
        <x:v>TuShare index_daily</x:v>
      </x:c>
      <x:c r="J1740" s="12" t="str">
        <x:v>FRED current rolling window</x:v>
      </x:c>
    </x:row>
    <x:row r="1741" ht="18" customHeight="1">
      <x:c r="A1741" s="13" t="n">
        <x:v>45216</x:v>
      </x:c>
      <x:c r="B1741" s="12" t="n">
        <x:v>3639.4018</x:v>
      </x:c>
      <x:c r="C1741" s="12" t="n">
        <x:v>3626.5972</x:v>
      </x:c>
      <x:c r="D1741" s="12" t="n">
        <x:v>0.3531</x:v>
      </x:c>
      <x:c r="E1741" s="12" t="n">
        <x:v>0.0035245293194285997</x:v>
      </x:c>
      <x:c r="F1741" s="12" t="n">
        <x:v>4.25</x:v>
      </x:c>
      <x:c r="G1741" s="12" t="n">
        <x:v>425</x:v>
      </x:c>
      <x:c r="H1741" s="12" t="n">
        <x:v>-1.9999999999999432</x:v>
      </x:c>
      <x:c r="I1741" s="12" t="str">
        <x:v>TuShare index_daily</x:v>
      </x:c>
      <x:c r="J1741" s="12" t="str">
        <x:v>FRED current rolling window</x:v>
      </x:c>
    </x:row>
    <x:row r="1742" ht="18" customHeight="1">
      <x:c r="A1742" s="13" t="n">
        <x:v>45217</x:v>
      </x:c>
      <x:c r="B1742" s="12" t="n">
        <x:v>3610.5767</x:v>
      </x:c>
      <x:c r="C1742" s="12" t="n">
        <x:v>3639.4018</x:v>
      </x:c>
      <x:c r="D1742" s="12" t="n">
        <x:v>-0.792</x:v>
      </x:c>
      <x:c r="E1742" s="12" t="n">
        <x:v>-0.007951817205375517</x:v>
      </x:c>
      <x:c r="F1742" s="12" t="n">
        <x:v>4.32</x:v>
      </x:c>
      <x:c r="G1742" s="12" t="n">
        <x:v>432</x:v>
      </x:c>
      <x:c r="H1742" s="12" t="n">
        <x:v>7</x:v>
      </x:c>
      <x:c r="I1742" s="12" t="str">
        <x:v>TuShare index_daily</x:v>
      </x:c>
      <x:c r="J1742" s="12" t="str">
        <x:v>FRED current rolling window</x:v>
      </x:c>
    </x:row>
    <x:row r="1743" ht="18" customHeight="1">
      <x:c r="A1743" s="13" t="n">
        <x:v>45218</x:v>
      </x:c>
      <x:c r="B1743" s="12" t="n">
        <x:v>3533.5445</x:v>
      </x:c>
      <x:c r="C1743" s="12" t="n">
        <x:v>3610.5767</x:v>
      </x:c>
      <x:c r="D1743" s="12" t="n">
        <x:v>-2.1335</x:v>
      </x:c>
      <x:c r="E1743" s="12" t="n">
        <x:v>-0.021566035463477812</x:v>
      </x:c>
      <x:c r="F1743" s="12" t="n">
        <x:v>4.37</x:v>
      </x:c>
      <x:c r="G1743" s="12" t="n">
        <x:v>437</x:v>
      </x:c>
      <x:c r="H1743" s="12" t="n">
        <x:v>5</x:v>
      </x:c>
      <x:c r="I1743" s="12" t="str">
        <x:v>TuShare index_daily</x:v>
      </x:c>
      <x:c r="J1743" s="12" t="str">
        <x:v>FRED current rolling window</x:v>
      </x:c>
    </x:row>
    <x:row r="1744" ht="18" customHeight="1">
      <x:c r="A1744" s="13" t="n">
        <x:v>45219</x:v>
      </x:c>
      <x:c r="B1744" s="12" t="n">
        <x:v>3510.5889</x:v>
      </x:c>
      <x:c r="C1744" s="12" t="n">
        <x:v>3533.5445</x:v>
      </x:c>
      <x:c r="D1744" s="12" t="n">
        <x:v>-0.6496</x:v>
      </x:c>
      <x:c r="E1744" s="12" t="n">
        <x:v>-0.006517673632614436</x:v>
      </x:c>
      <x:c r="F1744" s="12" t="n">
        <x:v>4.52</x:v>
      </x:c>
      <x:c r="G1744" s="12" t="n">
        <x:v>451.99999999999994</x:v>
      </x:c>
      <x:c r="H1744" s="12" t="n">
        <x:v>14.999999999999943</x:v>
      </x:c>
      <x:c r="I1744" s="12" t="str">
        <x:v>TuShare index_daily</x:v>
      </x:c>
      <x:c r="J1744" s="12" t="str">
        <x:v>FRED current rolling window</x:v>
      </x:c>
    </x:row>
    <x:row r="1745" ht="18" customHeight="1">
      <x:c r="A1745" s="13" t="n">
        <x:v>45222</x:v>
      </x:c>
      <x:c r="B1745" s="12" t="n">
        <x:v>3474.2438</x:v>
      </x:c>
      <x:c r="C1745" s="12" t="n">
        <x:v>3510.5889</x:v>
      </x:c>
      <x:c r="D1745" s="12" t="n">
        <x:v>-1.0353</x:v>
      </x:c>
      <x:c r="E1745" s="12" t="n">
        <x:v>-0.010406957357291196</x:v>
      </x:c>
      <x:c r="F1745" s="12" t="n">
        <x:v>4.51</x:v>
      </x:c>
      <x:c r="G1745" s="12" t="n">
        <x:v>451</x:v>
      </x:c>
      <x:c r="H1745" s="12" t="n">
        <x:v>-0.9999999999999432</x:v>
      </x:c>
      <x:c r="I1745" s="12" t="str">
        <x:v>TuShare index_daily</x:v>
      </x:c>
      <x:c r="J1745" s="12" t="str">
        <x:v>FRED current rolling window</x:v>
      </x:c>
    </x:row>
    <x:row r="1746" ht="18" customHeight="1">
      <x:c r="A1746" s="13" t="n">
        <x:v>45223</x:v>
      </x:c>
      <x:c r="B1746" s="12" t="n">
        <x:v>3487.1302</x:v>
      </x:c>
      <x:c r="C1746" s="12" t="n">
        <x:v>3474.2438</x:v>
      </x:c>
      <x:c r="D1746" s="12" t="n">
        <x:v>0.3709</x:v>
      </x:c>
      <x:c r="E1746" s="12" t="n">
        <x:v>0.003702261857848989</x:v>
      </x:c>
      <x:c r="F1746" s="12" t="n">
        <x:v>4.41</x:v>
      </x:c>
      <x:c r="G1746" s="12" t="n">
        <x:v>441</x:v>
      </x:c>
      <x:c r="H1746" s="12" t="n">
        <x:v>-10</x:v>
      </x:c>
      <x:c r="I1746" s="12" t="str">
        <x:v>TuShare index_daily</x:v>
      </x:c>
      <x:c r="J1746" s="12" t="str">
        <x:v>FRED current rolling window</x:v>
      </x:c>
    </x:row>
    <x:row r="1747" ht="18" customHeight="1">
      <x:c r="A1747" s="13" t="n">
        <x:v>45224</x:v>
      </x:c>
      <x:c r="B1747" s="12" t="n">
        <x:v>3504.4576</x:v>
      </x:c>
      <x:c r="C1747" s="12" t="n">
        <x:v>3487.1302</x:v>
      </x:c>
      <x:c r="D1747" s="12" t="n">
        <x:v>0.4969</x:v>
      </x:c>
      <x:c r="E1747" s="12" t="n">
        <x:v>0.004956652471855501</x:v>
      </x:c>
      <x:c r="F1747" s="12" t="n">
        <x:v>4.37</x:v>
      </x:c>
      <x:c r="G1747" s="12" t="n">
        <x:v>437</x:v>
      </x:c>
      <x:c r="H1747" s="12" t="n">
        <x:v>-4</x:v>
      </x:c>
      <x:c r="I1747" s="12" t="str">
        <x:v>TuShare index_daily</x:v>
      </x:c>
      <x:c r="J1747" s="12" t="str">
        <x:v>FRED current rolling window</x:v>
      </x:c>
    </x:row>
    <x:row r="1748" ht="18" customHeight="1">
      <x:c r="A1748" s="13" t="n">
        <x:v>45225</x:v>
      </x:c>
      <x:c r="B1748" s="12" t="n">
        <x:v>3514.1448</x:v>
      </x:c>
      <x:c r="C1748" s="12" t="n">
        <x:v>3504.4576</x:v>
      </x:c>
      <x:c r="D1748" s="12" t="n">
        <x:v>0.2764</x:v>
      </x:c>
      <x:c r="E1748" s="12" t="n">
        <x:v>0.0027604373632512803</x:v>
      </x:c>
      <x:c r="F1748" s="12" t="n">
        <x:v>4.5</x:v>
      </x:c>
      <x:c r="G1748" s="12" t="n">
        <x:v>450</x:v>
      </x:c>
      <x:c r="H1748" s="12" t="n">
        <x:v>13</x:v>
      </x:c>
      <x:c r="I1748" s="12" t="str">
        <x:v>TuShare index_daily</x:v>
      </x:c>
      <x:c r="J1748" s="12" t="str">
        <x:v>FRED current rolling window</x:v>
      </x:c>
    </x:row>
    <x:row r="1749" ht="18" customHeight="1">
      <x:c r="A1749" s="13" t="n">
        <x:v>45226</x:v>
      </x:c>
      <x:c r="B1749" s="12" t="n">
        <x:v>3562.3851</x:v>
      </x:c>
      <x:c r="C1749" s="12" t="n">
        <x:v>3514.1448</x:v>
      </x:c>
      <x:c r="D1749" s="12" t="n">
        <x:v>1.3727</x:v>
      </x:c>
      <x:c r="E1749" s="12" t="n">
        <x:v>0.013634096924963092</x:v>
      </x:c>
      <x:c r="F1749" s="12" t="n">
        <x:v>4.53</x:v>
      </x:c>
      <x:c r="G1749" s="12" t="n">
        <x:v>453</x:v>
      </x:c>
      <x:c r="H1749" s="12" t="n">
        <x:v>3</x:v>
      </x:c>
      <x:c r="I1749" s="12" t="str">
        <x:v>TuShare index_daily</x:v>
      </x:c>
      <x:c r="J1749" s="12" t="str">
        <x:v>FRED current rolling window</x:v>
      </x:c>
    </x:row>
    <x:row r="1750" ht="18" customHeight="1">
      <x:c r="A1750" s="13" t="n">
        <x:v>45229</x:v>
      </x:c>
      <x:c r="B1750" s="12" t="n">
        <x:v>3583.7718</x:v>
      </x:c>
      <x:c r="C1750" s="12" t="n">
        <x:v>3562.3851</x:v>
      </x:c>
      <x:c r="D1750" s="12" t="n">
        <x:v>0.6003</x:v>
      </x:c>
      <x:c r="E1750" s="12" t="n">
        <x:v>0.005985528767481468</x:v>
      </x:c>
      <x:c r="F1750" s="12" t="n">
        <x:v>4.5</x:v>
      </x:c>
      <x:c r="G1750" s="12" t="n">
        <x:v>450</x:v>
      </x:c>
      <x:c r="H1750" s="12" t="n">
        <x:v>-3</x:v>
      </x:c>
      <x:c r="I1750" s="12" t="str">
        <x:v>TuShare index_daily</x:v>
      </x:c>
      <x:c r="J1750" s="12" t="str">
        <x:v>FRED current rolling window</x:v>
      </x:c>
    </x:row>
    <x:row r="1751" ht="18" customHeight="1">
      <x:c r="A1751" s="13" t="n">
        <x:v>45230</x:v>
      </x:c>
      <x:c r="B1751" s="12" t="n">
        <x:v>3572.5056</x:v>
      </x:c>
      <x:c r="C1751" s="12" t="n">
        <x:v>3583.7718</x:v>
      </x:c>
      <x:c r="D1751" s="12" t="n">
        <x:v>-0.3144</x:v>
      </x:c>
      <x:c r="E1751" s="12" t="n">
        <x:v>-0.003148622860146272</x:v>
      </x:c>
      <x:c r="F1751" s="12" t="n">
        <x:v>4.42</x:v>
      </x:c>
      <x:c r="G1751" s="12" t="n">
        <x:v>442</x:v>
      </x:c>
      <x:c r="H1751" s="12" t="n">
        <x:v>-8</x:v>
      </x:c>
      <x:c r="I1751" s="12" t="str">
        <x:v>TuShare index_daily</x:v>
      </x:c>
      <x:c r="J1751" s="12" t="str">
        <x:v>FRED current rolling window</x:v>
      </x:c>
    </x:row>
    <x:row r="1752" ht="18" customHeight="1">
      <x:c r="A1752" s="13" t="n">
        <x:v>45231</x:v>
      </x:c>
      <x:c r="B1752" s="12" t="n">
        <x:v>3571.0268</x:v>
      </x:c>
      <x:c r="C1752" s="12" t="n">
        <x:v>3572.5056</x:v>
      </x:c>
      <x:c r="D1752" s="12" t="n">
        <x:v>-0.0414</x:v>
      </x:c>
      <x:c r="E1752" s="12" t="n">
        <x:v>-0.0004140248656600958</x:v>
      </x:c>
      <x:c r="F1752" s="12" t="n">
        <x:v>4.47</x:v>
      </x:c>
      <x:c r="G1752" s="12" t="n">
        <x:v>447</x:v>
      </x:c>
      <x:c r="H1752" s="12" t="n">
        <x:v>5</x:v>
      </x:c>
      <x:c r="I1752" s="12" t="str">
        <x:v>TuShare index_daily</x:v>
      </x:c>
      <x:c r="J1752" s="12" t="str">
        <x:v>FRED current rolling window</x:v>
      </x:c>
    </x:row>
    <x:row r="1753" ht="18" customHeight="1">
      <x:c r="A1753" s="13" t="n">
        <x:v>45232</x:v>
      </x:c>
      <x:c r="B1753" s="12" t="n">
        <x:v>3554.1889</x:v>
      </x:c>
      <x:c r="C1753" s="12" t="n">
        <x:v>3571.0268</x:v>
      </x:c>
      <x:c r="D1753" s="12" t="n">
        <x:v>-0.4715</x:v>
      </x:c>
      <x:c r="E1753" s="12" t="n">
        <x:v>-0.004726293786034514</x:v>
      </x:c>
      <x:c r="F1753" s="12" t="n">
        <x:v>4.15</x:v>
      </x:c>
      <x:c r="G1753" s="12" t="n">
        <x:v>415.00000000000006</x:v>
      </x:c>
      <x:c r="H1753" s="12" t="n">
        <x:v>-31.999999999999943</x:v>
      </x:c>
      <x:c r="I1753" s="12" t="str">
        <x:v>TuShare index_daily</x:v>
      </x:c>
      <x:c r="J1753" s="12" t="str">
        <x:v>FRED current rolling window</x:v>
      </x:c>
    </x:row>
    <x:row r="1754" ht="18" customHeight="1">
      <x:c r="A1754" s="13" t="n">
        <x:v>45233</x:v>
      </x:c>
      <x:c r="B1754" s="12" t="n">
        <x:v>3584.1364</x:v>
      </x:c>
      <x:c r="C1754" s="12" t="n">
        <x:v>3554.1889</x:v>
      </x:c>
      <x:c r="D1754" s="12" t="n">
        <x:v>0.8426</x:v>
      </x:c>
      <x:c r="E1754" s="12" t="n">
        <x:v>0.008390672725506256</x:v>
      </x:c>
      <x:c r="F1754" s="12" t="n">
        <x:v>4.04</x:v>
      </x:c>
      <x:c r="G1754" s="12" t="n">
        <x:v>404</x:v>
      </x:c>
      <x:c r="H1754" s="12" t="n">
        <x:v>-11.000000000000057</x:v>
      </x:c>
      <x:c r="I1754" s="12" t="str">
        <x:v>TuShare index_daily</x:v>
      </x:c>
      <x:c r="J1754" s="12" t="str">
        <x:v>FRED current rolling window</x:v>
      </x:c>
    </x:row>
    <x:row r="1755" ht="18" customHeight="1">
      <x:c r="A1755" s="13" t="n">
        <x:v>45236</x:v>
      </x:c>
      <x:c r="B1755" s="12" t="n">
        <x:v>3632.6084</x:v>
      </x:c>
      <x:c r="C1755" s="12" t="n">
        <x:v>3584.1364</x:v>
      </x:c>
      <x:c r="D1755" s="12" t="n">
        <x:v>1.3524</x:v>
      </x:c>
      <x:c r="E1755" s="12" t="n">
        <x:v>0.01343340529964992</x:v>
      </x:c>
      <x:c r="F1755" s="12" t="n">
        <x:v>4</x:v>
      </x:c>
      <x:c r="G1755" s="12" t="n">
        <x:v>400</x:v>
      </x:c>
      <x:c r="H1755" s="12" t="n">
        <x:v>-4</x:v>
      </x:c>
      <x:c r="I1755" s="12" t="str">
        <x:v>TuShare index_daily</x:v>
      </x:c>
      <x:c r="J1755" s="12" t="str">
        <x:v>FRED current rolling window</x:v>
      </x:c>
    </x:row>
    <x:row r="1756" ht="18" customHeight="1">
      <x:c r="A1756" s="13" t="n">
        <x:v>45237</x:v>
      </x:c>
      <x:c r="B1756" s="12" t="n">
        <x:v>3619.7593</x:v>
      </x:c>
      <x:c r="C1756" s="12" t="n">
        <x:v>3632.6084</x:v>
      </x:c>
      <x:c r="D1756" s="12" t="n">
        <x:v>-0.3537</x:v>
      </x:c>
      <x:c r="E1756" s="12" t="n">
        <x:v>-0.003543425809558976</x:v>
      </x:c>
      <x:c r="F1756" s="12" t="n">
        <x:v>4.08</x:v>
      </x:c>
      <x:c r="G1756" s="12" t="n">
        <x:v>408</x:v>
      </x:c>
      <x:c r="H1756" s="12" t="n">
        <x:v>8</x:v>
      </x:c>
      <x:c r="I1756" s="12" t="str">
        <x:v>TuShare index_daily</x:v>
      </x:c>
      <x:c r="J1756" s="12" t="str">
        <x:v>FRED current rolling window</x:v>
      </x:c>
    </x:row>
    <x:row r="1757" ht="18" customHeight="1">
      <x:c r="A1757" s="13" t="n">
        <x:v>45238</x:v>
      </x:c>
      <x:c r="B1757" s="12" t="n">
        <x:v>3611.0723</x:v>
      </x:c>
      <x:c r="C1757" s="12" t="n">
        <x:v>3619.7593</x:v>
      </x:c>
      <x:c r="D1757" s="12" t="n">
        <x:v>-0.24</x:v>
      </x:c>
      <x:c r="E1757" s="12" t="n">
        <x:v>-0.002402767664892778</x:v>
      </x:c>
      <x:c r="F1757" s="12" t="n">
        <x:v>4.08</x:v>
      </x:c>
      <x:c r="G1757" s="12" t="n">
        <x:v>408</x:v>
      </x:c>
      <x:c r="H1757" s="12" t="n">
        <x:v>0</x:v>
      </x:c>
      <x:c r="I1757" s="12" t="str">
        <x:v>TuShare index_daily</x:v>
      </x:c>
      <x:c r="J1757" s="12" t="str">
        <x:v>FRED current rolling window</x:v>
      </x:c>
    </x:row>
    <x:row r="1758" ht="18" customHeight="1">
      <x:c r="A1758" s="13" t="n">
        <x:v>45239</x:v>
      </x:c>
      <x:c r="B1758" s="12" t="n">
        <x:v>3612.8263</x:v>
      </x:c>
      <x:c r="C1758" s="12" t="n">
        <x:v>3611.0723</x:v>
      </x:c>
      <x:c r="D1758" s="12" t="n">
        <x:v>0.0486</x:v>
      </x:c>
      <x:c r="E1758" s="12" t="n">
        <x:v>0.00048561036957762407</x:v>
      </x:c>
      <x:c r="F1758" s="12" t="n">
        <x:v>4.04</x:v>
      </x:c>
      <x:c r="G1758" s="12" t="n">
        <x:v>404</x:v>
      </x:c>
      <x:c r="H1758" s="12" t="n">
        <x:v>-4</x:v>
      </x:c>
      <x:c r="I1758" s="12" t="str">
        <x:v>TuShare index_daily</x:v>
      </x:c>
      <x:c r="J1758" s="12" t="str">
        <x:v>FRED current rolling window</x:v>
      </x:c>
    </x:row>
    <x:row r="1759" ht="18" customHeight="1">
      <x:c r="A1759" s="13" t="n">
        <x:v>45240</x:v>
      </x:c>
      <x:c r="B1759" s="12" t="n">
        <x:v>3586.4893</x:v>
      </x:c>
      <x:c r="C1759" s="12" t="n">
        <x:v>3612.8263</x:v>
      </x:c>
      <x:c r="D1759" s="12" t="n">
        <x:v>-0.729</x:v>
      </x:c>
      <x:c r="E1759" s="12" t="n">
        <x:v>-0.007316561449093594</x:v>
      </x:c>
      <x:c r="F1759" s="12" t="n">
        <x:v>4.03</x:v>
      </x:c>
      <x:c r="G1759" s="12" t="n">
        <x:v>403</x:v>
      </x:c>
      <x:c r="H1759" s="12" t="n">
        <x:v>-1</x:v>
      </x:c>
      <x:c r="I1759" s="12" t="str">
        <x:v>TuShare index_daily</x:v>
      </x:c>
      <x:c r="J1759" s="12" t="str">
        <x:v>FRED current rolling window</x:v>
      </x:c>
    </x:row>
    <x:row r="1760" ht="18" customHeight="1">
      <x:c r="A1760" s="13" t="n">
        <x:v>45243</x:v>
      </x:c>
      <x:c r="B1760" s="12" t="n">
        <x:v>3579.4141</x:v>
      </x:c>
      <x:c r="C1760" s="12" t="n">
        <x:v>3586.4893</x:v>
      </x:c>
      <x:c r="D1760" s="12" t="n">
        <x:v>-0.1973</x:v>
      </x:c>
      <x:c r="E1760" s="12" t="n">
        <x:v>-0.001974685368791237</x:v>
      </x:c>
      <x:c r="F1760" s="12" t="n">
        <x:v>4.03</x:v>
      </x:c>
      <x:c r="G1760" s="12" t="n">
        <x:v>403</x:v>
      </x:c>
      <x:c r="H1760" s="12" t="n">
        <x:v>0</x:v>
      </x:c>
      <x:c r="I1760" s="12" t="str">
        <x:v>TuShare index_daily</x:v>
      </x:c>
      <x:c r="J1760" s="12" t="str">
        <x:v>FRED current rolling window</x:v>
      </x:c>
    </x:row>
    <x:row r="1761" ht="18" customHeight="1">
      <x:c r="A1761" s="13" t="n">
        <x:v>45244</x:v>
      </x:c>
      <x:c r="B1761" s="12" t="n">
        <x:v>3582.0584</x:v>
      </x:c>
      <x:c r="C1761" s="12" t="n">
        <x:v>3579.4141</x:v>
      </x:c>
      <x:c r="D1761" s="12" t="n">
        <x:v>0.0739</x:v>
      </x:c>
      <x:c r="E1761" s="12" t="n">
        <x:v>0.0007384794454416723</x:v>
      </x:c>
      <x:c r="F1761" s="12" t="n">
        <x:v>3.92</x:v>
      </x:c>
      <x:c r="G1761" s="12" t="n">
        <x:v>392</x:v>
      </x:c>
      <x:c r="H1761" s="12" t="n">
        <x:v>-11</x:v>
      </x:c>
      <x:c r="I1761" s="12" t="str">
        <x:v>TuShare index_daily</x:v>
      </x:c>
      <x:c r="J1761" s="12" t="str">
        <x:v>FRED current rolling window</x:v>
      </x:c>
    </x:row>
    <x:row r="1762" ht="18" customHeight="1">
      <x:c r="A1762" s="13" t="n">
        <x:v>45245</x:v>
      </x:c>
      <x:c r="B1762" s="12" t="n">
        <x:v>3607.2454</x:v>
      </x:c>
      <x:c r="C1762" s="12" t="n">
        <x:v>3582.0584</x:v>
      </x:c>
      <x:c r="D1762" s="12" t="n">
        <x:v>0.7031</x:v>
      </x:c>
      <x:c r="E1762" s="12" t="n">
        <x:v>0.007006826738225458</x:v>
      </x:c>
      <x:c r="F1762" s="12" t="n">
        <x:v>3.89</x:v>
      </x:c>
      <x:c r="G1762" s="12" t="n">
        <x:v>389</x:v>
      </x:c>
      <x:c r="H1762" s="12" t="n">
        <x:v>-3</x:v>
      </x:c>
      <x:c r="I1762" s="12" t="str">
        <x:v>TuShare index_daily</x:v>
      </x:c>
      <x:c r="J1762" s="12" t="str">
        <x:v>FRED current rolling window</x:v>
      </x:c>
    </x:row>
    <x:row r="1763" ht="18" customHeight="1">
      <x:c r="A1763" s="13" t="n">
        <x:v>45246</x:v>
      </x:c>
      <x:c r="B1763" s="12" t="n">
        <x:v>3572.3641</x:v>
      </x:c>
      <x:c r="C1763" s="12" t="n">
        <x:v>3607.2454</x:v>
      </x:c>
      <x:c r="D1763" s="12" t="n">
        <x:v>-0.967</x:v>
      </x:c>
      <x:c r="E1763" s="12" t="n">
        <x:v>-0.009716844474267466</x:v>
      </x:c>
      <x:c r="F1763" s="12" t="n">
        <x:v>4.02</x:v>
      </x:c>
      <x:c r="G1763" s="12" t="n">
        <x:v>401.99999999999994</x:v>
      </x:c>
      <x:c r="H1763" s="12" t="n">
        <x:v>12.999999999999943</x:v>
      </x:c>
      <x:c r="I1763" s="12" t="str">
        <x:v>TuShare index_daily</x:v>
      </x:c>
      <x:c r="J1763" s="12" t="str">
        <x:v>FRED current rolling window</x:v>
      </x:c>
    </x:row>
    <x:row r="1764" ht="18" customHeight="1">
      <x:c r="A1764" s="13" t="n">
        <x:v>45247</x:v>
      </x:c>
      <x:c r="B1764" s="12" t="n">
        <x:v>3568.0685</x:v>
      </x:c>
      <x:c r="C1764" s="12" t="n">
        <x:v>3572.3641</x:v>
      </x:c>
      <x:c r="D1764" s="12" t="n">
        <x:v>-0.1202</x:v>
      </x:c>
      <x:c r="E1764" s="12" t="n">
        <x:v>-0.0012031765465315332</x:v>
      </x:c>
      <x:c r="F1764" s="12" t="n">
        <x:v>3.99</x:v>
      </x:c>
      <x:c r="G1764" s="12" t="n">
        <x:v>399</x:v>
      </x:c>
      <x:c r="H1764" s="12" t="n">
        <x:v>-2.999999999999943</x:v>
      </x:c>
      <x:c r="I1764" s="12" t="str">
        <x:v>TuShare index_daily</x:v>
      </x:c>
      <x:c r="J1764" s="12" t="str">
        <x:v>FRED current rolling window</x:v>
      </x:c>
    </x:row>
    <x:row r="1765" ht="18" customHeight="1">
      <x:c r="A1765" s="13" t="n">
        <x:v>45250</x:v>
      </x:c>
      <x:c r="B1765" s="12" t="n">
        <x:v>3576.3233</x:v>
      </x:c>
      <x:c r="C1765" s="12" t="n">
        <x:v>3568.0685</x:v>
      </x:c>
      <x:c r="D1765" s="12" t="n">
        <x:v>0.2314</x:v>
      </x:c>
      <x:c r="E1765" s="12" t="n">
        <x:v>0.0023108485381220117</x:v>
      </x:c>
      <x:c r="F1765" s="12" t="n">
        <x:v>3.92</x:v>
      </x:c>
      <x:c r="G1765" s="12" t="n">
        <x:v>392</x:v>
      </x:c>
      <x:c r="H1765" s="12" t="n">
        <x:v>-7</x:v>
      </x:c>
      <x:c r="I1765" s="12" t="str">
        <x:v>TuShare index_daily</x:v>
      </x:c>
      <x:c r="J1765" s="12" t="str">
        <x:v>FRED current rolling window</x:v>
      </x:c>
    </x:row>
    <x:row r="1766" ht="18" customHeight="1">
      <x:c r="A1766" s="13" t="n">
        <x:v>45251</x:v>
      </x:c>
      <x:c r="B1766" s="12" t="n">
        <x:v>3581.0674</x:v>
      </x:c>
      <x:c r="C1766" s="12" t="n">
        <x:v>3576.3233</x:v>
      </x:c>
      <x:c r="D1766" s="12" t="n">
        <x:v>0.1327</x:v>
      </x:c>
      <x:c r="E1766" s="12" t="n">
        <x:v>0.001325650895305748</x:v>
      </x:c>
      <x:c r="F1766" s="12" t="n">
        <x:v>3.95</x:v>
      </x:c>
      <x:c r="G1766" s="12" t="n">
        <x:v>395</x:v>
      </x:c>
      <x:c r="H1766" s="12" t="n">
        <x:v>3</x:v>
      </x:c>
      <x:c r="I1766" s="12" t="str">
        <x:v>TuShare index_daily</x:v>
      </x:c>
      <x:c r="J1766" s="12" t="str">
        <x:v>FRED current rolling window</x:v>
      </x:c>
    </x:row>
    <x:row r="1767" ht="18" customHeight="1">
      <x:c r="A1767" s="13" t="n">
        <x:v>45252</x:v>
      </x:c>
      <x:c r="B1767" s="12" t="n">
        <x:v>3544.4162</x:v>
      </x:c>
      <x:c r="C1767" s="12" t="n">
        <x:v>3581.0674</x:v>
      </x:c>
      <x:c r="D1767" s="12" t="n">
        <x:v>-1.0235</x:v>
      </x:c>
      <x:c r="E1767" s="12" t="n">
        <x:v>-0.010287448626604224</x:v>
      </x:c>
      <x:c r="F1767" s="12" t="n">
        <x:v>3.9</x:v>
      </x:c>
      <x:c r="G1767" s="12" t="n">
        <x:v>390</x:v>
      </x:c>
      <x:c r="H1767" s="12" t="n">
        <x:v>-5</x:v>
      </x:c>
      <x:c r="I1767" s="12" t="str">
        <x:v>TuShare index_daily</x:v>
      </x:c>
      <x:c r="J1767" s="12" t="str">
        <x:v>FRED current rolling window</x:v>
      </x:c>
    </x:row>
    <x:row r="1768" ht="18" customHeight="1">
      <x:c r="A1768" s="13" t="n">
        <x:v>45253</x:v>
      </x:c>
      <x:c r="B1768" s="12" t="n">
        <x:v>3561.5204</x:v>
      </x:c>
      <x:c r="C1768" s="12" t="n">
        <x:v>3544.4162</x:v>
      </x:c>
      <x:c r="D1768" s="12" t="n">
        <x:v>0.4826</x:v>
      </x:c>
      <x:c r="E1768" s="12" t="n">
        <x:v>0.004814068572702551</x:v>
      </x:c>
      <x:c r="F1768" s="12" t="n">
        <x:v>3.9</x:v>
      </x:c>
      <x:c r="G1768" s="12" t="n">
        <x:v>390</x:v>
      </x:c>
      <x:c r="H1768" s="12" t="n">
        <x:v>0</x:v>
      </x:c>
      <x:c r="I1768" s="12" t="str">
        <x:v>TuShare index_daily</x:v>
      </x:c>
      <x:c r="J1768" s="12" t="str">
        <x:v>FRED current rolling window</x:v>
      </x:c>
    </x:row>
    <x:row r="1769" ht="18" customHeight="1">
      <x:c r="A1769" s="13" t="n">
        <x:v>45254</x:v>
      </x:c>
      <x:c r="B1769" s="12" t="n">
        <x:v>3538.0087</x:v>
      </x:c>
      <x:c r="C1769" s="12" t="n">
        <x:v>3561.5204</x:v>
      </x:c>
      <x:c r="D1769" s="12" t="n">
        <x:v>-0.6602</x:v>
      </x:c>
      <x:c r="E1769" s="12" t="n">
        <x:v>-0.006623477592530993</x:v>
      </x:c>
      <x:c r="F1769" s="12" t="n">
        <x:v>3.85</x:v>
      </x:c>
      <x:c r="G1769" s="12" t="n">
        <x:v>385</x:v>
      </x:c>
      <x:c r="H1769" s="12" t="n">
        <x:v>-5</x:v>
      </x:c>
      <x:c r="I1769" s="12" t="str">
        <x:v>TuShare index_daily</x:v>
      </x:c>
      <x:c r="J1769" s="12" t="str">
        <x:v>FRED current rolling window</x:v>
      </x:c>
    </x:row>
    <x:row r="1770" ht="18" customHeight="1">
      <x:c r="A1770" s="13" t="n">
        <x:v>45257</x:v>
      </x:c>
      <x:c r="B1770" s="12" t="n">
        <x:v>3511.9424</x:v>
      </x:c>
      <x:c r="C1770" s="12" t="n">
        <x:v>3538.0087</x:v>
      </x:c>
      <x:c r="D1770" s="12" t="n">
        <x:v>-0.7368</x:v>
      </x:c>
      <x:c r="E1770" s="12" t="n">
        <x:v>-0.007394780023751533</x:v>
      </x:c>
      <x:c r="F1770" s="12" t="n">
        <x:v>3.89</x:v>
      </x:c>
      <x:c r="G1770" s="12" t="n">
        <x:v>389</x:v>
      </x:c>
      <x:c r="H1770" s="12" t="n">
        <x:v>4</x:v>
      </x:c>
      <x:c r="I1770" s="12" t="str">
        <x:v>TuShare index_daily</x:v>
      </x:c>
      <x:c r="J1770" s="12" t="str">
        <x:v>FRED current rolling window</x:v>
      </x:c>
    </x:row>
    <x:row r="1771" ht="18" customHeight="1">
      <x:c r="A1771" s="13" t="n">
        <x:v>45258</x:v>
      </x:c>
      <x:c r="B1771" s="12" t="n">
        <x:v>3518.5232</x:v>
      </x:c>
      <x:c r="C1771" s="12" t="n">
        <x:v>3511.9424</x:v>
      </x:c>
      <x:c r="D1771" s="12" t="n">
        <x:v>0.1874</x:v>
      </x:c>
      <x:c r="E1771" s="12" t="n">
        <x:v>0.0018720813944303417</x:v>
      </x:c>
      <x:c r="F1771" s="12" t="n">
        <x:v>3.9</x:v>
      </x:c>
      <x:c r="G1771" s="12" t="n">
        <x:v>390</x:v>
      </x:c>
      <x:c r="H1771" s="12" t="n">
        <x:v>1</x:v>
      </x:c>
      <x:c r="I1771" s="12" t="str">
        <x:v>TuShare index_daily</x:v>
      </x:c>
      <x:c r="J1771" s="12" t="str">
        <x:v>FRED current rolling window</x:v>
      </x:c>
    </x:row>
    <x:row r="1772" ht="18" customHeight="1">
      <x:c r="A1772" s="13" t="n">
        <x:v>45259</x:v>
      </x:c>
      <x:c r="B1772" s="12" t="n">
        <x:v>3488.3073</x:v>
      </x:c>
      <x:c r="C1772" s="12" t="n">
        <x:v>3518.5232</x:v>
      </x:c>
      <x:c r="D1772" s="12" t="n">
        <x:v>-0.8588</x:v>
      </x:c>
      <x:c r="E1772" s="12" t="n">
        <x:v>-0.008624751891447943</x:v>
      </x:c>
      <x:c r="F1772" s="12" t="n">
        <x:v>3.8</x:v>
      </x:c>
      <x:c r="G1772" s="12" t="n">
        <x:v>380</x:v>
      </x:c>
      <x:c r="H1772" s="12" t="n">
        <x:v>-10</x:v>
      </x:c>
      <x:c r="I1772" s="12" t="str">
        <x:v>TuShare index_daily</x:v>
      </x:c>
      <x:c r="J1772" s="12" t="str">
        <x:v>FRED current rolling window</x:v>
      </x:c>
    </x:row>
    <x:row r="1773" ht="18" customHeight="1">
      <x:c r="A1773" s="13" t="n">
        <x:v>45260</x:v>
      </x:c>
      <x:c r="B1773" s="12" t="n">
        <x:v>3496.2028</x:v>
      </x:c>
      <x:c r="C1773" s="12" t="n">
        <x:v>3488.3073</x:v>
      </x:c>
      <x:c r="D1773" s="12" t="n">
        <x:v>0.2263</x:v>
      </x:c>
      <x:c r="E1773" s="12" t="n">
        <x:v>0.0022608610339468075</x:v>
      </x:c>
      <x:c r="F1773" s="12" t="n">
        <x:v>3.84</x:v>
      </x:c>
      <x:c r="G1773" s="12" t="n">
        <x:v>384</x:v>
      </x:c>
      <x:c r="H1773" s="12" t="n">
        <x:v>4</x:v>
      </x:c>
      <x:c r="I1773" s="12" t="str">
        <x:v>TuShare index_daily</x:v>
      </x:c>
      <x:c r="J1773" s="12" t="str">
        <x:v>FRED current rolling window</x:v>
      </x:c>
    </x:row>
    <x:row r="1774" ht="18" customHeight="1">
      <x:c r="A1774" s="13" t="n">
        <x:v>45261</x:v>
      </x:c>
      <x:c r="B1774" s="12" t="n">
        <x:v>3482.8813</x:v>
      </x:c>
      <x:c r="C1774" s="12" t="n">
        <x:v>3496.2028</x:v>
      </x:c>
      <x:c r="D1774" s="12" t="n">
        <x:v>-0.381</x:v>
      </x:c>
      <x:c r="E1774" s="12" t="n">
        <x:v>-0.0038175542772575606</x:v>
      </x:c>
      <x:c r="F1774" s="12" t="n">
        <x:v>3.87</x:v>
      </x:c>
      <x:c r="G1774" s="12" t="n">
        <x:v>387</x:v>
      </x:c>
      <x:c r="H1774" s="12" t="n">
        <x:v>3</x:v>
      </x:c>
      <x:c r="I1774" s="12" t="str">
        <x:v>TuShare index_daily</x:v>
      </x:c>
      <x:c r="J1774" s="12" t="str">
        <x:v>FRED current rolling window</x:v>
      </x:c>
    </x:row>
    <x:row r="1775" ht="18" customHeight="1">
      <x:c r="A1775" s="13" t="n">
        <x:v>45264</x:v>
      </x:c>
      <x:c r="B1775" s="12" t="n">
        <x:v>3460.138</x:v>
      </x:c>
      <x:c r="C1775" s="12" t="n">
        <x:v>3482.8813</x:v>
      </x:c>
      <x:c r="D1775" s="12" t="n">
        <x:v>-0.653</x:v>
      </x:c>
      <x:c r="E1775" s="12" t="n">
        <x:v>-0.006551438319548501</x:v>
      </x:c>
      <x:c r="F1775" s="12" t="n">
        <x:v>3.8</x:v>
      </x:c>
      <x:c r="G1775" s="12" t="n">
        <x:v>380</x:v>
      </x:c>
      <x:c r="H1775" s="12" t="n">
        <x:v>-7</x:v>
      </x:c>
      <x:c r="I1775" s="12" t="str">
        <x:v>TuShare index_daily</x:v>
      </x:c>
      <x:c r="J1775" s="12" t="str">
        <x:v>FRED current rolling window</x:v>
      </x:c>
    </x:row>
    <x:row r="1776" ht="18" customHeight="1">
      <x:c r="A1776" s="13" t="n">
        <x:v>45265</x:v>
      </x:c>
      <x:c r="B1776" s="12" t="n">
        <x:v>3394.2571</x:v>
      </x:c>
      <x:c r="C1776" s="12" t="n">
        <x:v>3460.138</x:v>
      </x:c>
      <x:c r="D1776" s="12" t="n">
        <x:v>-1.904</x:v>
      </x:c>
      <x:c r="E1776" s="12" t="n">
        <x:v>-0.019223557398418245</x:v>
      </x:c>
      <x:c r="F1776" s="12" t="n">
        <x:v>3.8</x:v>
      </x:c>
      <x:c r="G1776" s="12" t="n">
        <x:v>380</x:v>
      </x:c>
      <x:c r="H1776" s="12" t="n">
        <x:v>0</x:v>
      </x:c>
      <x:c r="I1776" s="12" t="str">
        <x:v>TuShare index_daily</x:v>
      </x:c>
      <x:c r="J1776" s="12" t="str">
        <x:v>FRED current rolling window</x:v>
      </x:c>
    </x:row>
    <x:row r="1777" ht="18" customHeight="1">
      <x:c r="A1777" s="13" t="n">
        <x:v>45266</x:v>
      </x:c>
      <x:c r="B1777" s="12" t="n">
        <x:v>3399.598</x:v>
      </x:c>
      <x:c r="C1777" s="12" t="n">
        <x:v>3394.2571</x:v>
      </x:c>
      <x:c r="D1777" s="12" t="n">
        <x:v>0.1574</x:v>
      </x:c>
      <x:c r="E1777" s="12" t="n">
        <x:v>0.0015722740687378373</x:v>
      </x:c>
      <x:c r="F1777" s="12" t="n">
        <x:v>3.79</x:v>
      </x:c>
      <x:c r="G1777" s="12" t="n">
        <x:v>379</x:v>
      </x:c>
      <x:c r="H1777" s="12" t="n">
        <x:v>-1</x:v>
      </x:c>
      <x:c r="I1777" s="12" t="str">
        <x:v>TuShare index_daily</x:v>
      </x:c>
      <x:c r="J1777" s="12" t="str">
        <x:v>FRED current rolling window</x:v>
      </x:c>
    </x:row>
    <x:row r="1778" ht="18" customHeight="1">
      <x:c r="A1778" s="13" t="n">
        <x:v>45267</x:v>
      </x:c>
      <x:c r="B1778" s="12" t="n">
        <x:v>3391.2823</x:v>
      </x:c>
      <x:c r="C1778" s="12" t="n">
        <x:v>3399.598</x:v>
      </x:c>
      <x:c r="D1778" s="12" t="n">
        <x:v>-0.2446</x:v>
      </x:c>
      <x:c r="E1778" s="12" t="n">
        <x:v>-0.002449079880397321</x:v>
      </x:c>
      <x:c r="F1778" s="12" t="n">
        <x:v>3.77</x:v>
      </x:c>
      <x:c r="G1778" s="12" t="n">
        <x:v>377</x:v>
      </x:c>
      <x:c r="H1778" s="12" t="n">
        <x:v>-2</x:v>
      </x:c>
      <x:c r="I1778" s="12" t="str">
        <x:v>TuShare index_daily</x:v>
      </x:c>
      <x:c r="J1778" s="12" t="str">
        <x:v>FRED current rolling window</x:v>
      </x:c>
    </x:row>
    <x:row r="1779" ht="18" customHeight="1">
      <x:c r="A1779" s="13" t="n">
        <x:v>45268</x:v>
      </x:c>
      <x:c r="B1779" s="12" t="n">
        <x:v>3399.4618</x:v>
      </x:c>
      <x:c r="C1779" s="12" t="n">
        <x:v>3391.2823</x:v>
      </x:c>
      <x:c r="D1779" s="12" t="n">
        <x:v>0.2412</x:v>
      </x:c>
      <x:c r="E1779" s="12" t="n">
        <x:v>0.0024090155173751376</x:v>
      </x:c>
      <x:c r="F1779" s="12" t="n">
        <x:v>3.75</x:v>
      </x:c>
      <x:c r="G1779" s="12" t="n">
        <x:v>375</x:v>
      </x:c>
      <x:c r="H1779" s="12" t="n">
        <x:v>-2</x:v>
      </x:c>
      <x:c r="I1779" s="12" t="str">
        <x:v>TuShare index_daily</x:v>
      </x:c>
      <x:c r="J1779" s="12" t="str">
        <x:v>FRED current rolling window</x:v>
      </x:c>
    </x:row>
    <x:row r="1780" ht="18" customHeight="1">
      <x:c r="A1780" s="13" t="n">
        <x:v>45271</x:v>
      </x:c>
      <x:c r="B1780" s="12" t="n">
        <x:v>3419.4548</x:v>
      </x:c>
      <x:c r="C1780" s="12" t="n">
        <x:v>3399.4618</x:v>
      </x:c>
      <x:c r="D1780" s="12" t="n">
        <x:v>0.5881</x:v>
      </x:c>
      <x:c r="E1780" s="12" t="n">
        <x:v>0.005863998187248521</x:v>
      </x:c>
      <x:c r="F1780" s="12" t="n">
        <x:v>3.79</x:v>
      </x:c>
      <x:c r="G1780" s="12" t="n">
        <x:v>379</x:v>
      </x:c>
      <x:c r="H1780" s="12" t="n">
        <x:v>4</x:v>
      </x:c>
      <x:c r="I1780" s="12" t="str">
        <x:v>TuShare index_daily</x:v>
      </x:c>
      <x:c r="J1780" s="12" t="str">
        <x:v>FRED current rolling window</x:v>
      </x:c>
    </x:row>
    <x:row r="1781" ht="18" customHeight="1">
      <x:c r="A1781" s="13" t="n">
        <x:v>45272</x:v>
      </x:c>
      <x:c r="B1781" s="12" t="n">
        <x:v>3426.803</x:v>
      </x:c>
      <x:c r="C1781" s="12" t="n">
        <x:v>3419.4548</x:v>
      </x:c>
      <x:c r="D1781" s="12" t="n">
        <x:v>0.2149</x:v>
      </x:c>
      <x:c r="E1781" s="12" t="n">
        <x:v>0.0021466333978044914</x:v>
      </x:c>
      <x:c r="F1781" s="12" t="n">
        <x:v>3.76</x:v>
      </x:c>
      <x:c r="G1781" s="12" t="n">
        <x:v>376</x:v>
      </x:c>
      <x:c r="H1781" s="12" t="n">
        <x:v>-3</x:v>
      </x:c>
      <x:c r="I1781" s="12" t="str">
        <x:v>TuShare index_daily</x:v>
      </x:c>
      <x:c r="J1781" s="12" t="str">
        <x:v>FRED current rolling window</x:v>
      </x:c>
    </x:row>
    <x:row r="1782" ht="18" customHeight="1">
      <x:c r="A1782" s="13" t="n">
        <x:v>45273</x:v>
      </x:c>
      <x:c r="B1782" s="12" t="n">
        <x:v>3369.605</x:v>
      </x:c>
      <x:c r="C1782" s="12" t="n">
        <x:v>3426.803</x:v>
      </x:c>
      <x:c r="D1782" s="12" t="n">
        <x:v>-1.6691</x:v>
      </x:c>
      <x:c r="E1782" s="12" t="n">
        <x:v>-0.01683222974761668</x:v>
      </x:c>
      <x:c r="F1782" s="12" t="n">
        <x:v>3.79</x:v>
      </x:c>
      <x:c r="G1782" s="12" t="n">
        <x:v>379</x:v>
      </x:c>
      <x:c r="H1782" s="12" t="n">
        <x:v>3</x:v>
      </x:c>
      <x:c r="I1782" s="12" t="str">
        <x:v>TuShare index_daily</x:v>
      </x:c>
      <x:c r="J1782" s="12" t="str">
        <x:v>FRED current rolling window</x:v>
      </x:c>
    </x:row>
    <x:row r="1783" ht="18" customHeight="1">
      <x:c r="A1783" s="13" t="n">
        <x:v>45274</x:v>
      </x:c>
      <x:c r="B1783" s="12" t="n">
        <x:v>3351.9639</x:v>
      </x:c>
      <x:c r="C1783" s="12" t="n">
        <x:v>3369.605</x:v>
      </x:c>
      <x:c r="D1783" s="12" t="n">
        <x:v>-0.5235</x:v>
      </x:c>
      <x:c r="E1783" s="12" t="n">
        <x:v>-0.005249113939963294</x:v>
      </x:c>
      <x:c r="F1783" s="12" t="n">
        <x:v>3.47</x:v>
      </x:c>
      <x:c r="G1783" s="12" t="n">
        <x:v>347</x:v>
      </x:c>
      <x:c r="H1783" s="12" t="n">
        <x:v>-32</x:v>
      </x:c>
      <x:c r="I1783" s="12" t="str">
        <x:v>TuShare index_daily</x:v>
      </x:c>
      <x:c r="J1783" s="12" t="str">
        <x:v>FRED current rolling window</x:v>
      </x:c>
    </x:row>
    <x:row r="1784" ht="18" customHeight="1">
      <x:c r="A1784" s="13" t="n">
        <x:v>45275</x:v>
      </x:c>
      <x:c r="B1784" s="12" t="n">
        <x:v>3341.5517</x:v>
      </x:c>
      <x:c r="C1784" s="12" t="n">
        <x:v>3351.9639</x:v>
      </x:c>
      <x:c r="D1784" s="12" t="n">
        <x:v>-0.3106</x:v>
      </x:c>
      <x:c r="E1784" s="12" t="n">
        <x:v>-0.003111132929438227</x:v>
      </x:c>
      <x:c r="F1784" s="12" t="n">
        <x:v>3.51</x:v>
      </x:c>
      <x:c r="G1784" s="12" t="n">
        <x:v>351</x:v>
      </x:c>
      <x:c r="H1784" s="12" t="n">
        <x:v>4</x:v>
      </x:c>
      <x:c r="I1784" s="12" t="str">
        <x:v>TuShare index_daily</x:v>
      </x:c>
      <x:c r="J1784" s="12" t="str">
        <x:v>FRED current rolling window</x:v>
      </x:c>
    </x:row>
    <x:row r="1785" ht="18" customHeight="1">
      <x:c r="A1785" s="13" t="n">
        <x:v>45278</x:v>
      </x:c>
      <x:c r="B1785" s="12" t="n">
        <x:v>3329.3657</x:v>
      </x:c>
      <x:c r="C1785" s="12" t="n">
        <x:v>3341.5517</x:v>
      </x:c>
      <x:c r="D1785" s="12" t="n">
        <x:v>-0.3647</x:v>
      </x:c>
      <x:c r="E1785" s="12" t="n">
        <x:v>-0.0036534745745062168</x:v>
      </x:c>
      <x:c r="F1785" s="12" t="n">
        <x:v>3.51</x:v>
      </x:c>
      <x:c r="G1785" s="12" t="n">
        <x:v>351</x:v>
      </x:c>
      <x:c r="H1785" s="12" t="n">
        <x:v>0</x:v>
      </x:c>
      <x:c r="I1785" s="12" t="str">
        <x:v>TuShare index_daily</x:v>
      </x:c>
      <x:c r="J1785" s="12" t="str">
        <x:v>FRED current rolling window</x:v>
      </x:c>
    </x:row>
    <x:row r="1786" ht="18" customHeight="1">
      <x:c r="A1786" s="13" t="n">
        <x:v>45279</x:v>
      </x:c>
      <x:c r="B1786" s="12" t="n">
        <x:v>3334.0412</x:v>
      </x:c>
      <x:c r="C1786" s="12" t="n">
        <x:v>3329.3657</x:v>
      </x:c>
      <x:c r="D1786" s="12" t="n">
        <x:v>0.1404</x:v>
      </x:c>
      <x:c r="E1786" s="12" t="n">
        <x:v>0.0014033364125818817</x:v>
      </x:c>
      <x:c r="F1786" s="12" t="n">
        <x:v>3.46</x:v>
      </x:c>
      <x:c r="G1786" s="12" t="n">
        <x:v>346</x:v>
      </x:c>
      <x:c r="H1786" s="12" t="n">
        <x:v>-5</x:v>
      </x:c>
      <x:c r="I1786" s="12" t="str">
        <x:v>TuShare index_daily</x:v>
      </x:c>
      <x:c r="J1786" s="12" t="str">
        <x:v>FRED current rolling window</x:v>
      </x:c>
    </x:row>
    <x:row r="1787" ht="18" customHeight="1">
      <x:c r="A1787" s="13" t="n">
        <x:v>45280</x:v>
      </x:c>
      <x:c r="B1787" s="12" t="n">
        <x:v>3297.5022</x:v>
      </x:c>
      <x:c r="C1787" s="12" t="n">
        <x:v>3334.0412</x:v>
      </x:c>
      <x:c r="D1787" s="12" t="n">
        <x:v>-1.0959</x:v>
      </x:c>
      <x:c r="E1787" s="12" t="n">
        <x:v>-0.011019868999532874</x:v>
      </x:c>
      <x:c r="F1787" s="12" t="n">
        <x:v>3.43</x:v>
      </x:c>
      <x:c r="G1787" s="12" t="n">
        <x:v>343</x:v>
      </x:c>
      <x:c r="H1787" s="12" t="n">
        <x:v>-3</x:v>
      </x:c>
      <x:c r="I1787" s="12" t="str">
        <x:v>TuShare index_daily</x:v>
      </x:c>
      <x:c r="J1787" s="12" t="str">
        <x:v>FRED current rolling window</x:v>
      </x:c>
    </x:row>
    <x:row r="1788" ht="18" customHeight="1">
      <x:c r="A1788" s="13" t="n">
        <x:v>45281</x:v>
      </x:c>
      <x:c r="B1788" s="12" t="n">
        <x:v>3330.8698</x:v>
      </x:c>
      <x:c r="C1788" s="12" t="n">
        <x:v>3297.5022</x:v>
      </x:c>
      <x:c r="D1788" s="12" t="n">
        <x:v>1.0119</x:v>
      </x:c>
      <x:c r="E1788" s="12" t="n">
        <x:v>0.01006819830524892</x:v>
      </x:c>
      <x:c r="F1788" s="12" t="n">
        <x:v>3.41</x:v>
      </x:c>
      <x:c r="G1788" s="12" t="n">
        <x:v>341</x:v>
      </x:c>
      <x:c r="H1788" s="12" t="n">
        <x:v>-2</x:v>
      </x:c>
      <x:c r="I1788" s="12" t="str">
        <x:v>TuShare index_daily</x:v>
      </x:c>
      <x:c r="J1788" s="12" t="str">
        <x:v>FRED current rolling window</x:v>
      </x:c>
    </x:row>
    <x:row r="1789" ht="18" customHeight="1">
      <x:c r="A1789" s="13" t="n">
        <x:v>45282</x:v>
      </x:c>
      <x:c r="B1789" s="12" t="n">
        <x:v>3337.2281</x:v>
      </x:c>
      <x:c r="C1789" s="12" t="n">
        <x:v>3330.8698</x:v>
      </x:c>
      <x:c r="D1789" s="12" t="n">
        <x:v>0.1909</x:v>
      </x:c>
      <x:c r="E1789" s="12" t="n">
        <x:v>0.0019070811564037447</x:v>
      </x:c>
      <x:c r="F1789" s="12" t="n">
        <x:v>3.39</x:v>
      </x:c>
      <x:c r="G1789" s="12" t="n">
        <x:v>339</x:v>
      </x:c>
      <x:c r="H1789" s="12" t="n">
        <x:v>-2</x:v>
      </x:c>
      <x:c r="I1789" s="12" t="str">
        <x:v>TuShare index_daily</x:v>
      </x:c>
      <x:c r="J1789" s="12" t="str">
        <x:v>FRED current rolling window</x:v>
      </x:c>
    </x:row>
    <x:row r="1790" ht="18" customHeight="1">
      <x:c r="A1790" s="13" t="n">
        <x:v>45286</x:v>
      </x:c>
      <x:c r="B1790" s="12" t="n">
        <x:v>3324.7902</x:v>
      </x:c>
      <x:c r="C1790" s="12" t="n">
        <x:v>3347.4508</x:v>
      </x:c>
      <x:c r="D1790" s="12" t="n">
        <x:v>-0.677</x:v>
      </x:c>
      <x:c r="E1790" s="12" t="n">
        <x:v>-0.006792526566996367</x:v>
      </x:c>
      <x:c r="F1790" s="12" t="n">
        <x:v>3.37</x:v>
      </x:c>
      <x:c r="G1790" s="12" t="n">
        <x:v>337</x:v>
      </x:c>
      <x:c r="H1790" s="12" t="n">
        <x:v>-2</x:v>
      </x:c>
      <x:c r="I1790" s="12" t="str">
        <x:v>TuShare index_daily</x:v>
      </x:c>
      <x:c r="J1790" s="12" t="str">
        <x:v>FRED current rolling window</x:v>
      </x:c>
    </x:row>
    <x:row r="1791" ht="18" customHeight="1">
      <x:c r="A1791" s="13" t="n">
        <x:v>45287</x:v>
      </x:c>
      <x:c r="B1791" s="12" t="n">
        <x:v>3336.3572</x:v>
      </x:c>
      <x:c r="C1791" s="12" t="n">
        <x:v>3324.7902</x:v>
      </x:c>
      <x:c r="D1791" s="12" t="n">
        <x:v>0.3479</x:v>
      </x:c>
      <x:c r="E1791" s="12" t="n">
        <x:v>0.0034729787322696913</x:v>
      </x:c>
      <x:c r="F1791" s="12" t="n">
        <x:v>3.34</x:v>
      </x:c>
      <x:c r="G1791" s="12" t="n">
        <x:v>334</x:v>
      </x:c>
      <x:c r="H1791" s="12" t="n">
        <x:v>-3</x:v>
      </x:c>
      <x:c r="I1791" s="12" t="str">
        <x:v>TuShare index_daily</x:v>
      </x:c>
      <x:c r="J1791" s="12" t="str">
        <x:v>FRED current rolling window</x:v>
      </x:c>
    </x:row>
    <x:row r="1792" ht="18" customHeight="1">
      <x:c r="A1792" s="13" t="n">
        <x:v>45288</x:v>
      </x:c>
      <x:c r="B1792" s="12" t="n">
        <x:v>3414.5403</x:v>
      </x:c>
      <x:c r="C1792" s="12" t="n">
        <x:v>3336.3572</x:v>
      </x:c>
      <x:c r="D1792" s="12" t="n">
        <x:v>2.3434</x:v>
      </x:c>
      <x:c r="E1792" s="12" t="n">
        <x:v>0.0231633188509078</x:v>
      </x:c>
      <x:c r="F1792" s="12" t="n">
        <x:v>3.32</x:v>
      </x:c>
      <x:c r="G1792" s="12" t="n">
        <x:v>332</x:v>
      </x:c>
      <x:c r="H1792" s="12" t="n">
        <x:v>-2</x:v>
      </x:c>
      <x:c r="I1792" s="12" t="str">
        <x:v>TuShare index_daily</x:v>
      </x:c>
      <x:c r="J1792" s="12" t="str">
        <x:v>FRED current rolling window</x:v>
      </x:c>
    </x:row>
    <x:row r="1793" ht="18" customHeight="1">
      <x:c r="A1793" s="13" t="n">
        <x:v>45289</x:v>
      </x:c>
      <x:c r="B1793" s="12" t="n">
        <x:v>3431.1099</x:v>
      </x:c>
      <x:c r="C1793" s="12" t="n">
        <x:v>3414.5403</x:v>
      </x:c>
      <x:c r="D1793" s="12" t="n">
        <x:v>0.4853</x:v>
      </x:c>
      <x:c r="E1793" s="12" t="n">
        <x:v>0.004840922885131526</x:v>
      </x:c>
      <x:c r="F1793" s="12" t="n">
        <x:v>3.34</x:v>
      </x:c>
      <x:c r="G1793" s="12" t="n">
        <x:v>334</x:v>
      </x:c>
      <x:c r="H1793" s="12" t="n">
        <x:v>2</x:v>
      </x:c>
      <x:c r="I1793" s="12" t="str">
        <x:v>TuShare index_daily</x:v>
      </x:c>
      <x:c r="J1793" s="12" t="str">
        <x:v>FRED current rolling window</x:v>
      </x:c>
    </x:row>
    <x:row r="1794" ht="18" customHeight="1">
      <x:c r="A1794" s="13" t="n">
        <x:v>45293</x:v>
      </x:c>
      <x:c r="B1794" s="12" t="n">
        <x:v>3386.3522</x:v>
      </x:c>
      <x:c r="C1794" s="12" t="n">
        <x:v>3431.1099</x:v>
      </x:c>
      <x:c r="D1794" s="12" t="n">
        <x:v>-1.3045</x:v>
      </x:c>
      <x:c r="E1794" s="12" t="n">
        <x:v>-0.013130500000731902</x:v>
      </x:c>
      <x:c r="F1794" s="12" t="n">
        <x:v>3.54</x:v>
      </x:c>
      <x:c r="G1794" s="12" t="n">
        <x:v>354</x:v>
      </x:c>
      <x:c r="H1794" s="12" t="n">
        <x:v>15</x:v>
      </x:c>
      <x:c r="I1794" s="12" t="str">
        <x:v>TuShare index_daily</x:v>
      </x:c>
      <x:c r="J1794" s="12" t="str">
        <x:v>FRED current rolling window</x:v>
      </x:c>
    </x:row>
    <x:row r="1795" ht="18" customHeight="1">
      <x:c r="A1795" s="13" t="n">
        <x:v>45294</x:v>
      </x:c>
      <x:c r="B1795" s="12" t="n">
        <x:v>3378.2971</x:v>
      </x:c>
      <x:c r="C1795" s="12" t="n">
        <x:v>3386.3522</x:v>
      </x:c>
      <x:c r="D1795" s="12" t="n">
        <x:v>-0.2379</x:v>
      </x:c>
      <x:c r="E1795" s="12" t="n">
        <x:v>-0.0023815288716185186</x:v>
      </x:c>
      <x:c r="F1795" s="12" t="n">
        <x:v>3.71</x:v>
      </x:c>
      <x:c r="G1795" s="12" t="n">
        <x:v>371</x:v>
      </x:c>
      <x:c r="H1795" s="12" t="n">
        <x:v>17</x:v>
      </x:c>
      <x:c r="I1795" s="12" t="str">
        <x:v>TuShare index_daily</x:v>
      </x:c>
      <x:c r="J1795" s="12" t="str">
        <x:v>FRED current rolling window</x:v>
      </x:c>
    </x:row>
    <x:row r="1796" ht="18" customHeight="1">
      <x:c r="A1796" s="13" t="n">
        <x:v>45295</x:v>
      </x:c>
      <x:c r="B1796" s="12" t="n">
        <x:v>3347.0519</x:v>
      </x:c>
      <x:c r="C1796" s="12" t="n">
        <x:v>3378.2971</x:v>
      </x:c>
      <x:c r="D1796" s="12" t="n">
        <x:v>-0.9249</x:v>
      </x:c>
      <x:c r="E1796" s="12" t="n">
        <x:v>-0.009291837436039434</x:v>
      </x:c>
      <x:c r="F1796" s="12" t="n">
        <x:v>3.69</x:v>
      </x:c>
      <x:c r="G1796" s="12" t="n">
        <x:v>369</x:v>
      </x:c>
      <x:c r="H1796" s="12" t="n">
        <x:v>-2</x:v>
      </x:c>
      <x:c r="I1796" s="12" t="str">
        <x:v>TuShare index_daily</x:v>
      </x:c>
      <x:c r="J1796" s="12" t="str">
        <x:v>FRED current rolling window</x:v>
      </x:c>
    </x:row>
    <x:row r="1797" ht="18" customHeight="1">
      <x:c r="A1797" s="13" t="n">
        <x:v>45296</x:v>
      </x:c>
      <x:c r="B1797" s="12" t="n">
        <x:v>3329.1114</x:v>
      </x:c>
      <x:c r="C1797" s="12" t="n">
        <x:v>3347.0519</x:v>
      </x:c>
      <x:c r="D1797" s="12" t="n">
        <x:v>-0.536</x:v>
      </x:c>
      <x:c r="E1797" s="12" t="n">
        <x:v>-0.005374506997078489</x:v>
      </x:c>
      <x:c r="F1797" s="12" t="n">
        <x:v>3.68</x:v>
      </x:c>
      <x:c r="G1797" s="12" t="n">
        <x:v>368</x:v>
      </x:c>
      <x:c r="H1797" s="12" t="n">
        <x:v>-1</x:v>
      </x:c>
      <x:c r="I1797" s="12" t="str">
        <x:v>TuShare index_daily</x:v>
      </x:c>
      <x:c r="J1797" s="12" t="str">
        <x:v>FRED current rolling window</x:v>
      </x:c>
    </x:row>
    <x:row r="1798" ht="18" customHeight="1">
      <x:c r="A1798" s="13" t="n">
        <x:v>45299</x:v>
      </x:c>
      <x:c r="B1798" s="12" t="n">
        <x:v>3286.0564</x:v>
      </x:c>
      <x:c r="C1798" s="12" t="n">
        <x:v>3329.1114</x:v>
      </x:c>
      <x:c r="D1798" s="12" t="n">
        <x:v>-1.2933</x:v>
      </x:c>
      <x:c r="E1798" s="12" t="n">
        <x:v>-0.013017238342875813</x:v>
      </x:c>
      <x:c r="F1798" s="12" t="n">
        <x:v>3.63</x:v>
      </x:c>
      <x:c r="G1798" s="12" t="n">
        <x:v>363</x:v>
      </x:c>
      <x:c r="H1798" s="12" t="n">
        <x:v>-5</x:v>
      </x:c>
      <x:c r="I1798" s="12" t="str">
        <x:v>TuShare index_daily</x:v>
      </x:c>
      <x:c r="J1798" s="12" t="str">
        <x:v>FRED current rolling window</x:v>
      </x:c>
    </x:row>
    <x:row r="1799" ht="18" customHeight="1">
      <x:c r="A1799" s="13" t="n">
        <x:v>45300</x:v>
      </x:c>
      <x:c r="B1799" s="12" t="n">
        <x:v>3292.4994</x:v>
      </x:c>
      <x:c r="C1799" s="12" t="n">
        <x:v>3286.0564</x:v>
      </x:c>
      <x:c r="D1799" s="12" t="n">
        <x:v>0.1961</x:v>
      </x:c>
      <x:c r="E1799" s="12" t="n">
        <x:v>0.0019587892102615333</x:v>
      </x:c>
      <x:c r="F1799" s="12" t="n">
        <x:v>3.59</x:v>
      </x:c>
      <x:c r="G1799" s="12" t="n">
        <x:v>359</x:v>
      </x:c>
      <x:c r="H1799" s="12" t="n">
        <x:v>-4</x:v>
      </x:c>
      <x:c r="I1799" s="12" t="str">
        <x:v>TuShare index_daily</x:v>
      </x:c>
      <x:c r="J1799" s="12" t="str">
        <x:v>FRED current rolling window</x:v>
      </x:c>
    </x:row>
    <x:row r="1800" ht="18" customHeight="1">
      <x:c r="A1800" s="13" t="n">
        <x:v>45301</x:v>
      </x:c>
      <x:c r="B1800" s="12" t="n">
        <x:v>3277.129</x:v>
      </x:c>
      <x:c r="C1800" s="12" t="n">
        <x:v>3292.4994</x:v>
      </x:c>
      <x:c r="D1800" s="12" t="n">
        <x:v>-0.4668</x:v>
      </x:c>
      <x:c r="E1800" s="12" t="n">
        <x:v>-0.00467923818793512</x:v>
      </x:c>
      <x:c r="F1800" s="12" t="n">
        <x:v>3.5</x:v>
      </x:c>
      <x:c r="G1800" s="12" t="n">
        <x:v>350</x:v>
      </x:c>
      <x:c r="H1800" s="12" t="n">
        <x:v>-9</x:v>
      </x:c>
      <x:c r="I1800" s="12" t="str">
        <x:v>TuShare index_daily</x:v>
      </x:c>
      <x:c r="J1800" s="12" t="str">
        <x:v>FRED current rolling window</x:v>
      </x:c>
    </x:row>
    <x:row r="1801" ht="18" customHeight="1">
      <x:c r="A1801" s="13" t="n">
        <x:v>45302</x:v>
      </x:c>
      <x:c r="B1801" s="12" t="n">
        <x:v>3295.6717</x:v>
      </x:c>
      <x:c r="C1801" s="12" t="n">
        <x:v>3277.129</x:v>
      </x:c>
      <x:c r="D1801" s="12" t="n">
        <x:v>0.5658</x:v>
      </x:c>
      <x:c r="E1801" s="12" t="n">
        <x:v>0.005642267288734283</x:v>
      </x:c>
      <x:c r="F1801" s="12" t="n">
        <x:v>3.55</x:v>
      </x:c>
      <x:c r="G1801" s="12" t="n">
        <x:v>355</x:v>
      </x:c>
      <x:c r="H1801" s="12" t="n">
        <x:v>5</x:v>
      </x:c>
      <x:c r="I1801" s="12" t="str">
        <x:v>TuShare index_daily</x:v>
      </x:c>
      <x:c r="J1801" s="12" t="str">
        <x:v>FRED current rolling window</x:v>
      </x:c>
    </x:row>
    <x:row r="1802" ht="18" customHeight="1">
      <x:c r="A1802" s="13" t="n">
        <x:v>45303</x:v>
      </x:c>
      <x:c r="B1802" s="12" t="n">
        <x:v>3284.1667</x:v>
      </x:c>
      <x:c r="C1802" s="12" t="n">
        <x:v>3295.6717</x:v>
      </x:c>
      <x:c r="D1802" s="12" t="n">
        <x:v>-0.3491</x:v>
      </x:c>
      <x:c r="E1802" s="12" t="n">
        <x:v>-0.003497049935115232</x:v>
      </x:c>
      <x:c r="F1802" s="12" t="n">
        <x:v>3.56</x:v>
      </x:c>
      <x:c r="G1802" s="12" t="n">
        <x:v>356</x:v>
      </x:c>
      <x:c r="H1802" s="12" t="n">
        <x:v>1</x:v>
      </x:c>
      <x:c r="I1802" s="12" t="str">
        <x:v>TuShare index_daily</x:v>
      </x:c>
      <x:c r="J1802" s="12" t="str">
        <x:v>FRED current rolling window</x:v>
      </x:c>
    </x:row>
    <x:row r="1803" ht="18" customHeight="1">
      <x:c r="A1803" s="13" t="n">
        <x:v>45306</x:v>
      </x:c>
      <x:c r="B1803" s="12" t="n">
        <x:v>3280.9195</x:v>
      </x:c>
      <x:c r="C1803" s="12" t="n">
        <x:v>3284.1667</x:v>
      </x:c>
      <x:c r="D1803" s="12" t="n">
        <x:v>-0.0989</x:v>
      </x:c>
      <x:c r="E1803" s="12" t="n">
        <x:v>-0.0009892330933307953</x:v>
      </x:c>
      <x:c r="F1803" s="12" t="n">
        <x:v>3.54</x:v>
      </x:c>
      <x:c r="G1803" s="12" t="n">
        <x:v>354</x:v>
      </x:c>
      <x:c r="H1803" s="12" t="n">
        <x:v>-2</x:v>
      </x:c>
      <x:c r="I1803" s="12" t="str">
        <x:v>TuShare index_daily</x:v>
      </x:c>
      <x:c r="J1803" s="12" t="str">
        <x:v>FRED current rolling window</x:v>
      </x:c>
    </x:row>
    <x:row r="1804" ht="18" customHeight="1">
      <x:c r="A1804" s="13" t="n">
        <x:v>45307</x:v>
      </x:c>
      <x:c r="B1804" s="12" t="n">
        <x:v>3300.8762</x:v>
      </x:c>
      <x:c r="C1804" s="12" t="n">
        <x:v>3280.9195</x:v>
      </x:c>
      <x:c r="D1804" s="12" t="n">
        <x:v>0.6083</x:v>
      </x:c>
      <x:c r="E1804" s="12" t="n">
        <x:v>0.006064229905750575</x:v>
      </x:c>
      <x:c r="F1804" s="12" t="n">
        <x:v>3.58</x:v>
      </x:c>
      <x:c r="G1804" s="12" t="n">
        <x:v>358</x:v>
      </x:c>
      <x:c r="H1804" s="12" t="n">
        <x:v>4</x:v>
      </x:c>
      <x:c r="I1804" s="12" t="str">
        <x:v>TuShare index_daily</x:v>
      </x:c>
      <x:c r="J1804" s="12" t="str">
        <x:v>FRED current rolling window</x:v>
      </x:c>
    </x:row>
    <x:row r="1805" ht="18" customHeight="1">
      <x:c r="A1805" s="13" t="n">
        <x:v>45308</x:v>
      </x:c>
      <x:c r="B1805" s="12" t="n">
        <x:v>3229.082</x:v>
      </x:c>
      <x:c r="C1805" s="12" t="n">
        <x:v>3300.8762</x:v>
      </x:c>
      <x:c r="D1805" s="12" t="n">
        <x:v>-2.175</x:v>
      </x:c>
      <x:c r="E1805" s="12" t="n">
        <x:v>-0.021990062068256426</x:v>
      </x:c>
      <x:c r="F1805" s="12" t="n">
        <x:v>3.62</x:v>
      </x:c>
      <x:c r="G1805" s="12" t="n">
        <x:v>362</x:v>
      </x:c>
      <x:c r="H1805" s="12" t="n">
        <x:v>4</x:v>
      </x:c>
      <x:c r="I1805" s="12" t="str">
        <x:v>TuShare index_daily</x:v>
      </x:c>
      <x:c r="J1805" s="12" t="str">
        <x:v>FRED current rolling window</x:v>
      </x:c>
    </x:row>
    <x:row r="1806" ht="18" customHeight="1">
      <x:c r="A1806" s="13" t="n">
        <x:v>45309</x:v>
      </x:c>
      <x:c r="B1806" s="12" t="n">
        <x:v>3274.7286</x:v>
      </x:c>
      <x:c r="C1806" s="12" t="n">
        <x:v>3229.082</x:v>
      </x:c>
      <x:c r="D1806" s="12" t="n">
        <x:v>1.4136</x:v>
      </x:c>
      <x:c r="E1806" s="12" t="n">
        <x:v>0.014037109111496884</x:v>
      </x:c>
      <x:c r="F1806" s="12" t="n">
        <x:v>3.58</x:v>
      </x:c>
      <x:c r="G1806" s="12" t="n">
        <x:v>358</x:v>
      </x:c>
      <x:c r="H1806" s="12" t="n">
        <x:v>-4</x:v>
      </x:c>
      <x:c r="I1806" s="12" t="str">
        <x:v>TuShare index_daily</x:v>
      </x:c>
      <x:c r="J1806" s="12" t="str">
        <x:v>FRED current rolling window</x:v>
      </x:c>
    </x:row>
    <x:row r="1807" ht="18" customHeight="1">
      <x:c r="A1807" s="13" t="n">
        <x:v>45310</x:v>
      </x:c>
      <x:c r="B1807" s="12" t="n">
        <x:v>3269.7763</x:v>
      </x:c>
      <x:c r="C1807" s="12" t="n">
        <x:v>3274.7286</x:v>
      </x:c>
      <x:c r="D1807" s="12" t="n">
        <x:v>-0.1512</x:v>
      </x:c>
      <x:c r="E1807" s="12" t="n">
        <x:v>-0.0015134226411072569</x:v>
      </x:c>
      <x:c r="F1807" s="12" t="n">
        <x:v>3.54</x:v>
      </x:c>
      <x:c r="G1807" s="12" t="n">
        <x:v>354</x:v>
      </x:c>
      <x:c r="H1807" s="12" t="n">
        <x:v>-4</x:v>
      </x:c>
      <x:c r="I1807" s="12" t="str">
        <x:v>TuShare index_daily</x:v>
      </x:c>
      <x:c r="J1807" s="12" t="str">
        <x:v>FRED current rolling window</x:v>
      </x:c>
    </x:row>
    <x:row r="1808" ht="18" customHeight="1">
      <x:c r="A1808" s="13" t="n">
        <x:v>45313</x:v>
      </x:c>
      <x:c r="B1808" s="12" t="n">
        <x:v>3218.9016</x:v>
      </x:c>
      <x:c r="C1808" s="12" t="n">
        <x:v>3269.7763</x:v>
      </x:c>
      <x:c r="D1808" s="12" t="n">
        <x:v>-1.5559</x:v>
      </x:c>
      <x:c r="E1808" s="12" t="n">
        <x:v>-0.015681389433262163</x:v>
      </x:c>
      <x:c r="F1808" s="12" t="n">
        <x:v>3.49</x:v>
      </x:c>
      <x:c r="G1808" s="12" t="n">
        <x:v>349</x:v>
      </x:c>
      <x:c r="H1808" s="12" t="n">
        <x:v>-5</x:v>
      </x:c>
      <x:c r="I1808" s="12" t="str">
        <x:v>TuShare index_daily</x:v>
      </x:c>
      <x:c r="J1808" s="12" t="str">
        <x:v>FRED current rolling window</x:v>
      </x:c>
    </x:row>
    <x:row r="1809" ht="18" customHeight="1">
      <x:c r="A1809" s="13" t="n">
        <x:v>45314</x:v>
      </x:c>
      <x:c r="B1809" s="12" t="n">
        <x:v>3231.9329</x:v>
      </x:c>
      <x:c r="C1809" s="12" t="n">
        <x:v>3218.9016</x:v>
      </x:c>
      <x:c r="D1809" s="12" t="n">
        <x:v>0.4048</x:v>
      </x:c>
      <x:c r="E1809" s="12" t="n">
        <x:v>0.004040195954808554</x:v>
      </x:c>
      <x:c r="F1809" s="12" t="n">
        <x:v>3.51</x:v>
      </x:c>
      <x:c r="G1809" s="12" t="n">
        <x:v>351</x:v>
      </x:c>
      <x:c r="H1809" s="12" t="n">
        <x:v>2</x:v>
      </x:c>
      <x:c r="I1809" s="12" t="str">
        <x:v>TuShare index_daily</x:v>
      </x:c>
      <x:c r="J1809" s="12" t="str">
        <x:v>FRED current rolling window</x:v>
      </x:c>
    </x:row>
    <x:row r="1810" ht="18" customHeight="1">
      <x:c r="A1810" s="13" t="n">
        <x:v>45315</x:v>
      </x:c>
      <x:c r="B1810" s="12" t="n">
        <x:v>3277.1089</x:v>
      </x:c>
      <x:c r="C1810" s="12" t="n">
        <x:v>3231.9329</x:v>
      </x:c>
      <x:c r="D1810" s="12" t="n">
        <x:v>1.3978</x:v>
      </x:c>
      <x:c r="E1810" s="12" t="n">
        <x:v>0.013881221474081462</x:v>
      </x:c>
      <x:c r="F1810" s="12" t="n">
        <x:v>3.44</x:v>
      </x:c>
      <x:c r="G1810" s="12" t="n">
        <x:v>344</x:v>
      </x:c>
      <x:c r="H1810" s="12" t="n">
        <x:v>-7</x:v>
      </x:c>
      <x:c r="I1810" s="12" t="str">
        <x:v>TuShare index_daily</x:v>
      </x:c>
      <x:c r="J1810" s="12" t="str">
        <x:v>FRED current rolling window</x:v>
      </x:c>
    </x:row>
    <x:row r="1811" ht="18" customHeight="1">
      <x:c r="A1811" s="13" t="n">
        <x:v>45316</x:v>
      </x:c>
      <x:c r="B1811" s="12" t="n">
        <x:v>3342.9189</x:v>
      </x:c>
      <x:c r="C1811" s="12" t="n">
        <x:v>3277.1089</x:v>
      </x:c>
      <x:c r="D1811" s="12" t="n">
        <x:v>2.0082</x:v>
      </x:c>
      <x:c r="E1811" s="12" t="n">
        <x:v>0.019882746717866898</x:v>
      </x:c>
      <x:c r="F1811" s="12" t="n">
        <x:v>3.45</x:v>
      </x:c>
      <x:c r="G1811" s="12" t="n">
        <x:v>345</x:v>
      </x:c>
      <x:c r="H1811" s="12" t="n">
        <x:v>1</x:v>
      </x:c>
      <x:c r="I1811" s="12" t="str">
        <x:v>TuShare index_daily</x:v>
      </x:c>
      <x:c r="J1811" s="12" t="str">
        <x:v>FRED current rolling window</x:v>
      </x:c>
    </x:row>
    <x:row r="1812" ht="18" customHeight="1">
      <x:c r="A1812" s="13" t="n">
        <x:v>45317</x:v>
      </x:c>
      <x:c r="B1812" s="12" t="n">
        <x:v>3333.8213</x:v>
      </x:c>
      <x:c r="C1812" s="12" t="n">
        <x:v>3342.9189</x:v>
      </x:c>
      <x:c r="D1812" s="12" t="n">
        <x:v>-0.2721</x:v>
      </x:c>
      <x:c r="E1812" s="12" t="n">
        <x:v>-0.002725163884702412</x:v>
      </x:c>
      <x:c r="F1812" s="12" t="n">
        <x:v>3.39</x:v>
      </x:c>
      <x:c r="G1812" s="12" t="n">
        <x:v>339</x:v>
      </x:c>
      <x:c r="H1812" s="12" t="n">
        <x:v>-6</x:v>
      </x:c>
      <x:c r="I1812" s="12" t="str">
        <x:v>TuShare index_daily</x:v>
      </x:c>
      <x:c r="J1812" s="12" t="str">
        <x:v>FRED current rolling window</x:v>
      </x:c>
    </x:row>
    <x:row r="1813" ht="18" customHeight="1">
      <x:c r="A1813" s="13" t="n">
        <x:v>45320</x:v>
      </x:c>
      <x:c r="B1813" s="12" t="n">
        <x:v>3303.9604</x:v>
      </x:c>
      <x:c r="C1813" s="12" t="n">
        <x:v>3333.8213</x:v>
      </x:c>
      <x:c r="D1813" s="12" t="n">
        <x:v>-0.8957</x:v>
      </x:c>
      <x:c r="E1813" s="12" t="n">
        <x:v>-0.00899731349721521</x:v>
      </x:c>
      <x:c r="F1813" s="12" t="n">
        <x:v>3.41</x:v>
      </x:c>
      <x:c r="G1813" s="12" t="n">
        <x:v>341</x:v>
      </x:c>
      <x:c r="H1813" s="12" t="n">
        <x:v>2</x:v>
      </x:c>
      <x:c r="I1813" s="12" t="str">
        <x:v>TuShare index_daily</x:v>
      </x:c>
      <x:c r="J1813" s="12" t="str">
        <x:v>FRED current rolling window</x:v>
      </x:c>
    </x:row>
    <x:row r="1814" ht="18" customHeight="1">
      <x:c r="A1814" s="13" t="n">
        <x:v>45321</x:v>
      </x:c>
      <x:c r="B1814" s="12" t="n">
        <x:v>3245.0387</x:v>
      </x:c>
      <x:c r="C1814" s="12" t="n">
        <x:v>3303.9604</x:v>
      </x:c>
      <x:c r="D1814" s="12" t="n">
        <x:v>-1.7834</x:v>
      </x:c>
      <x:c r="E1814" s="12" t="n">
        <x:v>-0.01799459398974998</x:v>
      </x:c>
      <x:c r="F1814" s="12" t="n">
        <x:v>3.42</x:v>
      </x:c>
      <x:c r="G1814" s="12" t="n">
        <x:v>342</x:v>
      </x:c>
      <x:c r="H1814" s="12" t="n">
        <x:v>1</x:v>
      </x:c>
      <x:c r="I1814" s="12" t="str">
        <x:v>TuShare index_daily</x:v>
      </x:c>
      <x:c r="J1814" s="12" t="str">
        <x:v>FRED current rolling window</x:v>
      </x:c>
    </x:row>
    <x:row r="1815" ht="18" customHeight="1">
      <x:c r="A1815" s="13" t="n">
        <x:v>45322</x:v>
      </x:c>
      <x:c r="B1815" s="12" t="n">
        <x:v>3215.3518</x:v>
      </x:c>
      <x:c r="C1815" s="12" t="n">
        <x:v>3245.0387</x:v>
      </x:c>
      <x:c r="D1815" s="12" t="n">
        <x:v>-0.9148</x:v>
      </x:c>
      <x:c r="E1815" s="12" t="n">
        <x:v>-0.009190499849532225</x:v>
      </x:c>
      <x:c r="F1815" s="12" t="n">
        <x:v>3.59</x:v>
      </x:c>
      <x:c r="G1815" s="12" t="n">
        <x:v>359</x:v>
      </x:c>
      <x:c r="H1815" s="12" t="n">
        <x:v>17</x:v>
      </x:c>
      <x:c r="I1815" s="12" t="str">
        <x:v>TuShare index_daily</x:v>
      </x:c>
      <x:c r="J1815" s="12" t="str">
        <x:v>FRED current rolling window</x:v>
      </x:c>
    </x:row>
    <x:row r="1816" ht="18" customHeight="1">
      <x:c r="A1816" s="13" t="n">
        <x:v>45323</x:v>
      </x:c>
      <x:c r="B1816" s="12" t="n">
        <x:v>3217.7109</x:v>
      </x:c>
      <x:c r="C1816" s="12" t="n">
        <x:v>3215.3518</x:v>
      </x:c>
      <x:c r="D1816" s="12" t="n">
        <x:v>0.0734</x:v>
      </x:c>
      <x:c r="E1816" s="12" t="n">
        <x:v>0.0007334298500620088</x:v>
      </x:c>
      <x:c r="F1816" s="12" t="n">
        <x:v>3.56</x:v>
      </x:c>
      <x:c r="G1816" s="12" t="n">
        <x:v>356</x:v>
      </x:c>
      <x:c r="H1816" s="12" t="n">
        <x:v>-3</x:v>
      </x:c>
      <x:c r="I1816" s="12" t="str">
        <x:v>TuShare index_daily</x:v>
      </x:c>
      <x:c r="J1816" s="12" t="str">
        <x:v>FRED current rolling window</x:v>
      </x:c>
    </x:row>
    <x:row r="1817" ht="18" customHeight="1">
      <x:c r="A1817" s="13" t="n">
        <x:v>45324</x:v>
      </x:c>
      <x:c r="B1817" s="12" t="n">
        <x:v>3179.6276</x:v>
      </x:c>
      <x:c r="C1817" s="12" t="n">
        <x:v>3217.7109</x:v>
      </x:c>
      <x:c r="D1817" s="12" t="n">
        <x:v>-1.1836</x:v>
      </x:c>
      <x:c r="E1817" s="12" t="n">
        <x:v>-0.011906123109234383</x:v>
      </x:c>
      <x:c r="F1817" s="12" t="n">
        <x:v>3.47</x:v>
      </x:c>
      <x:c r="G1817" s="12" t="n">
        <x:v>347</x:v>
      </x:c>
      <x:c r="H1817" s="12" t="n">
        <x:v>-9</x:v>
      </x:c>
      <x:c r="I1817" s="12" t="str">
        <x:v>TuShare index_daily</x:v>
      </x:c>
      <x:c r="J1817" s="12" t="str">
        <x:v>FRED current rolling window</x:v>
      </x:c>
    </x:row>
    <x:row r="1818" ht="18" customHeight="1">
      <x:c r="A1818" s="13" t="n">
        <x:v>45327</x:v>
      </x:c>
      <x:c r="B1818" s="12" t="n">
        <x:v>3200.4218</x:v>
      </x:c>
      <x:c r="C1818" s="12" t="n">
        <x:v>3179.6276</x:v>
      </x:c>
      <x:c r="D1818" s="12" t="n">
        <x:v>0.654</x:v>
      </x:c>
      <x:c r="E1818" s="12" t="n">
        <x:v>0.006518530602880647</x:v>
      </x:c>
      <x:c r="F1818" s="12" t="n">
        <x:v>3.5</x:v>
      </x:c>
      <x:c r="G1818" s="12" t="n">
        <x:v>350</x:v>
      </x:c>
      <x:c r="H1818" s="12" t="n">
        <x:v>3</x:v>
      </x:c>
      <x:c r="I1818" s="12" t="str">
        <x:v>TuShare index_daily</x:v>
      </x:c>
      <x:c r="J1818" s="12" t="str">
        <x:v>FRED current rolling window</x:v>
      </x:c>
    </x:row>
    <x:row r="1819" ht="18" customHeight="1">
      <x:c r="A1819" s="13" t="n">
        <x:v>45328</x:v>
      </x:c>
      <x:c r="B1819" s="12" t="n">
        <x:v>3311.6922</x:v>
      </x:c>
      <x:c r="C1819" s="12" t="n">
        <x:v>3200.4218</x:v>
      </x:c>
      <x:c r="D1819" s="12" t="n">
        <x:v>3.4767</x:v>
      </x:c>
      <x:c r="E1819" s="12" t="n">
        <x:v>0.034176683802523346</x:v>
      </x:c>
      <x:c r="F1819" s="12" t="n">
        <x:v>3.52</x:v>
      </x:c>
      <x:c r="G1819" s="12" t="n">
        <x:v>352</x:v>
      </x:c>
      <x:c r="H1819" s="12" t="n">
        <x:v>2</x:v>
      </x:c>
      <x:c r="I1819" s="12" t="str">
        <x:v>TuShare index_daily</x:v>
      </x:c>
      <x:c r="J1819" s="12" t="str">
        <x:v>FRED current rolling window</x:v>
      </x:c>
    </x:row>
    <x:row r="1820" ht="18" customHeight="1">
      <x:c r="A1820" s="13" t="n">
        <x:v>45329</x:v>
      </x:c>
      <x:c r="B1820" s="12" t="n">
        <x:v>3343.6303</x:v>
      </x:c>
      <x:c r="C1820" s="12" t="n">
        <x:v>3311.6922</x:v>
      </x:c>
      <x:c r="D1820" s="12" t="n">
        <x:v>0.9644</x:v>
      </x:c>
      <x:c r="E1820" s="12" t="n">
        <x:v>0.009597835468869923</x:v>
      </x:c>
      <x:c r="F1820" s="12" t="n">
        <x:v>3.43</x:v>
      </x:c>
      <x:c r="G1820" s="12" t="n">
        <x:v>343</x:v>
      </x:c>
      <x:c r="H1820" s="12" t="n">
        <x:v>-9</x:v>
      </x:c>
      <x:c r="I1820" s="12" t="str">
        <x:v>TuShare index_daily</x:v>
      </x:c>
      <x:c r="J1820" s="12" t="str">
        <x:v>FRED current rolling window</x:v>
      </x:c>
    </x:row>
    <x:row r="1821" ht="18" customHeight="1">
      <x:c r="A1821" s="13" t="n">
        <x:v>45330</x:v>
      </x:c>
      <x:c r="B1821" s="12" t="n">
        <x:v>3364.9297</x:v>
      </x:c>
      <x:c r="C1821" s="12" t="n">
        <x:v>3343.6303</x:v>
      </x:c>
      <x:c r="D1821" s="12" t="n">
        <x:v>0.637</x:v>
      </x:c>
      <x:c r="E1821" s="12" t="n">
        <x:v>0.006349938457429425</x:v>
      </x:c>
      <x:c r="F1821" s="12" t="n">
        <x:v>3.38</x:v>
      </x:c>
      <x:c r="G1821" s="12" t="n">
        <x:v>338</x:v>
      </x:c>
      <x:c r="H1821" s="12" t="n">
        <x:v>-5</x:v>
      </x:c>
      <x:c r="I1821" s="12" t="str">
        <x:v>TuShare index_daily</x:v>
      </x:c>
      <x:c r="J1821" s="12" t="str">
        <x:v>FRED current rolling window</x:v>
      </x:c>
    </x:row>
    <x:row r="1822" ht="18" customHeight="1">
      <x:c r="A1822" s="13" t="n">
        <x:v>45341</x:v>
      </x:c>
      <x:c r="B1822" s="12" t="n">
        <x:v>3403.8078</x:v>
      </x:c>
      <x:c r="C1822" s="12" t="n">
        <x:v>3364.9297</x:v>
      </x:c>
      <x:c r="D1822" s="12" t="n">
        <x:v>1.1554</x:v>
      </x:c>
      <x:c r="E1822" s="12" t="n">
        <x:v>0.011487674784309955</x:v>
      </x:c>
      <x:c r="F1822" s="12" t="n">
        <x:v>3.34</x:v>
      </x:c>
      <x:c r="G1822" s="12" t="n">
        <x:v>334</x:v>
      </x:c>
      <x:c r="H1822" s="12" t="n">
        <x:v>0</x:v>
      </x:c>
      <x:c r="I1822" s="12" t="str">
        <x:v>TuShare index_daily</x:v>
      </x:c>
      <x:c r="J1822" s="12" t="str">
        <x:v>FRED current rolling window</x:v>
      </x:c>
    </x:row>
    <x:row r="1823" ht="18" customHeight="1">
      <x:c r="A1823" s="13" t="n">
        <x:v>45342</x:v>
      </x:c>
      <x:c r="B1823" s="12" t="n">
        <x:v>3410.8542</x:v>
      </x:c>
      <x:c r="C1823" s="12" t="n">
        <x:v>3403.8078</x:v>
      </x:c>
      <x:c r="D1823" s="12" t="n">
        <x:v>0.207</x:v>
      </x:c>
      <x:c r="E1823" s="12" t="n">
        <x:v>0.0020680123273212306</x:v>
      </x:c>
      <x:c r="F1823" s="12" t="n">
        <x:v>3.37</x:v>
      </x:c>
      <x:c r="G1823" s="12" t="n">
        <x:v>337</x:v>
      </x:c>
      <x:c r="H1823" s="12" t="n">
        <x:v>3</x:v>
      </x:c>
      <x:c r="I1823" s="12" t="str">
        <x:v>TuShare index_daily</x:v>
      </x:c>
      <x:c r="J1823" s="12" t="str">
        <x:v>FRED current rolling window</x:v>
      </x:c>
    </x:row>
    <x:row r="1824" ht="18" customHeight="1">
      <x:c r="A1824" s="13" t="n">
        <x:v>45343</x:v>
      </x:c>
      <x:c r="B1824" s="12" t="n">
        <x:v>3456.8713</x:v>
      </x:c>
      <x:c r="C1824" s="12" t="n">
        <x:v>3410.8542</x:v>
      </x:c>
      <x:c r="D1824" s="12" t="n">
        <x:v>1.3491</x:v>
      </x:c>
      <x:c r="E1824" s="12" t="n">
        <x:v>0.013401172975739459</x:v>
      </x:c>
      <x:c r="F1824" s="12" t="n">
        <x:v>3.34</x:v>
      </x:c>
      <x:c r="G1824" s="12" t="n">
        <x:v>334</x:v>
      </x:c>
      <x:c r="H1824" s="12" t="n">
        <x:v>-3</x:v>
      </x:c>
      <x:c r="I1824" s="12" t="str">
        <x:v>TuShare index_daily</x:v>
      </x:c>
      <x:c r="J1824" s="12" t="str">
        <x:v>FRED current rolling window</x:v>
      </x:c>
    </x:row>
    <x:row r="1825" ht="18" customHeight="1">
      <x:c r="A1825" s="13" t="n">
        <x:v>45344</x:v>
      </x:c>
      <x:c r="B1825" s="12" t="n">
        <x:v>3486.6747</x:v>
      </x:c>
      <x:c r="C1825" s="12" t="n">
        <x:v>3456.8713</x:v>
      </x:c>
      <x:c r="D1825" s="12" t="n">
        <x:v>0.8621</x:v>
      </x:c>
      <x:c r="E1825" s="12" t="n">
        <x:v>0.00858454254593906</x:v>
      </x:c>
      <x:c r="F1825" s="12" t="n">
        <x:v>3.22</x:v>
      </x:c>
      <x:c r="G1825" s="12" t="n">
        <x:v>322</x:v>
      </x:c>
      <x:c r="H1825" s="12" t="n">
        <x:v>-12</x:v>
      </x:c>
      <x:c r="I1825" s="12" t="str">
        <x:v>TuShare index_daily</x:v>
      </x:c>
      <x:c r="J1825" s="12" t="str">
        <x:v>FRED current rolling window</x:v>
      </x:c>
    </x:row>
    <x:row r="1826" ht="18" customHeight="1">
      <x:c r="A1826" s="13" t="n">
        <x:v>45345</x:v>
      </x:c>
      <x:c r="B1826" s="12" t="n">
        <x:v>3489.7416</x:v>
      </x:c>
      <x:c r="C1826" s="12" t="n">
        <x:v>3486.6747</x:v>
      </x:c>
      <x:c r="D1826" s="12" t="n">
        <x:v>0.088</x:v>
      </x:c>
      <x:c r="E1826" s="12" t="n">
        <x:v>0.0008792193773087833</x:v>
      </x:c>
      <x:c r="F1826" s="12" t="n">
        <x:v>3.23</x:v>
      </x:c>
      <x:c r="G1826" s="12" t="n">
        <x:v>323</x:v>
      </x:c>
      <x:c r="H1826" s="12" t="n">
        <x:v>1</x:v>
      </x:c>
      <x:c r="I1826" s="12" t="str">
        <x:v>TuShare index_daily</x:v>
      </x:c>
      <x:c r="J1826" s="12" t="str">
        <x:v>FRED current rolling window</x:v>
      </x:c>
    </x:row>
    <x:row r="1827" ht="18" customHeight="1">
      <x:c r="A1827" s="13" t="n">
        <x:v>45348</x:v>
      </x:c>
      <x:c r="B1827" s="12" t="n">
        <x:v>3453.3585</x:v>
      </x:c>
      <x:c r="C1827" s="12" t="n">
        <x:v>3489.7416</x:v>
      </x:c>
      <x:c r="D1827" s="12" t="n">
        <x:v>-1.0426</x:v>
      </x:c>
      <x:c r="E1827" s="12" t="n">
        <x:v>-0.010480457577157869</x:v>
      </x:c>
      <x:c r="F1827" s="12" t="n">
        <x:v>3.23</x:v>
      </x:c>
      <x:c r="G1827" s="12" t="n">
        <x:v>323</x:v>
      </x:c>
      <x:c r="H1827" s="12" t="n">
        <x:v>0</x:v>
      </x:c>
      <x:c r="I1827" s="12" t="str">
        <x:v>TuShare index_daily</x:v>
      </x:c>
      <x:c r="J1827" s="12" t="str">
        <x:v>FRED current rolling window</x:v>
      </x:c>
    </x:row>
    <x:row r="1828" ht="18" customHeight="1">
      <x:c r="A1828" s="13" t="n">
        <x:v>45349</x:v>
      </x:c>
      <x:c r="B1828" s="12" t="n">
        <x:v>3494.7874</x:v>
      </x:c>
      <x:c r="C1828" s="12" t="n">
        <x:v>3453.3585</x:v>
      </x:c>
      <x:c r="D1828" s="12" t="n">
        <x:v>1.1997</x:v>
      </x:c>
      <x:c r="E1828" s="12" t="n">
        <x:v>0.011925308297313279</x:v>
      </x:c>
      <x:c r="F1828" s="12" t="n">
        <x:v>3.26</x:v>
      </x:c>
      <x:c r="G1828" s="12" t="n">
        <x:v>326</x:v>
      </x:c>
      <x:c r="H1828" s="12" t="n">
        <x:v>3</x:v>
      </x:c>
      <x:c r="I1828" s="12" t="str">
        <x:v>TuShare index_daily</x:v>
      </x:c>
      <x:c r="J1828" s="12" t="str">
        <x:v>FRED current rolling window</x:v>
      </x:c>
    </x:row>
    <x:row r="1829" ht="18" customHeight="1">
      <x:c r="A1829" s="13" t="n">
        <x:v>45350</x:v>
      </x:c>
      <x:c r="B1829" s="12" t="n">
        <x:v>3450.2598</x:v>
      </x:c>
      <x:c r="C1829" s="12" t="n">
        <x:v>3494.7874</x:v>
      </x:c>
      <x:c r="D1829" s="12" t="n">
        <x:v>-1.2741</x:v>
      </x:c>
      <x:c r="E1829" s="12" t="n">
        <x:v>-0.012823011522909118</x:v>
      </x:c>
      <x:c r="F1829" s="12" t="n">
        <x:v>3.31</x:v>
      </x:c>
      <x:c r="G1829" s="12" t="n">
        <x:v>331</x:v>
      </x:c>
      <x:c r="H1829" s="12" t="n">
        <x:v>5</x:v>
      </x:c>
      <x:c r="I1829" s="12" t="str">
        <x:v>TuShare index_daily</x:v>
      </x:c>
      <x:c r="J1829" s="12" t="str">
        <x:v>FRED current rolling window</x:v>
      </x:c>
    </x:row>
    <x:row r="1830" ht="18" customHeight="1">
      <x:c r="A1830" s="13" t="n">
        <x:v>45351</x:v>
      </x:c>
      <x:c r="B1830" s="12" t="n">
        <x:v>3516.0826</x:v>
      </x:c>
      <x:c r="C1830" s="12" t="n">
        <x:v>3450.2598</x:v>
      </x:c>
      <x:c r="D1830" s="12" t="n">
        <x:v>1.9078</x:v>
      </x:c>
      <x:c r="E1830" s="12" t="n">
        <x:v>0.01889793959635261</x:v>
      </x:c>
      <x:c r="F1830" s="12" t="n">
        <x:v>3.29</x:v>
      </x:c>
      <x:c r="G1830" s="12" t="n">
        <x:v>329</x:v>
      </x:c>
      <x:c r="H1830" s="12" t="n">
        <x:v>-2</x:v>
      </x:c>
      <x:c r="I1830" s="12" t="str">
        <x:v>TuShare index_daily</x:v>
      </x:c>
      <x:c r="J1830" s="12" t="str">
        <x:v>FRED current rolling window</x:v>
      </x:c>
    </x:row>
    <x:row r="1831" ht="18" customHeight="1">
      <x:c r="A1831" s="13" t="n">
        <x:v>45352</x:v>
      </x:c>
      <x:c r="B1831" s="12" t="n">
        <x:v>3537.8038</x:v>
      </x:c>
      <x:c r="C1831" s="12" t="n">
        <x:v>3516.0826</x:v>
      </x:c>
      <x:c r="D1831" s="12" t="n">
        <x:v>0.6178</x:v>
      </x:c>
      <x:c r="E1831" s="12" t="n">
        <x:v>0.00615866698833239</x:v>
      </x:c>
      <x:c r="F1831" s="12" t="n">
        <x:v>3.32</x:v>
      </x:c>
      <x:c r="G1831" s="12" t="n">
        <x:v>332</x:v>
      </x:c>
      <x:c r="H1831" s="12" t="n">
        <x:v>3</x:v>
      </x:c>
      <x:c r="I1831" s="12" t="str">
        <x:v>TuShare index_daily</x:v>
      </x:c>
      <x:c r="J1831" s="12" t="str">
        <x:v>FRED current rolling window</x:v>
      </x:c>
    </x:row>
    <x:row r="1832" ht="18" customHeight="1">
      <x:c r="A1832" s="13" t="n">
        <x:v>45355</x:v>
      </x:c>
      <x:c r="B1832" s="12" t="n">
        <x:v>3540.8686</x:v>
      </x:c>
      <x:c r="C1832" s="12" t="n">
        <x:v>3537.8038</x:v>
      </x:c>
      <x:c r="D1832" s="12" t="n">
        <x:v>0.0866</x:v>
      </x:c>
      <x:c r="E1832" s="12" t="n">
        <x:v>0.0008659251391561114</x:v>
      </x:c>
      <x:c r="F1832" s="12" t="n">
        <x:v>3.26</x:v>
      </x:c>
      <x:c r="G1832" s="12" t="n">
        <x:v>326</x:v>
      </x:c>
      <x:c r="H1832" s="12" t="n">
        <x:v>-6</x:v>
      </x:c>
      <x:c r="I1832" s="12" t="str">
        <x:v>TuShare index_daily</x:v>
      </x:c>
      <x:c r="J1832" s="12" t="str">
        <x:v>FRED current rolling window</x:v>
      </x:c>
    </x:row>
    <x:row r="1833" ht="18" customHeight="1">
      <x:c r="A1833" s="13" t="n">
        <x:v>45356</x:v>
      </x:c>
      <x:c r="B1833" s="12" t="n">
        <x:v>3565.5143</x:v>
      </x:c>
      <x:c r="C1833" s="12" t="n">
        <x:v>3540.8686</x:v>
      </x:c>
      <x:c r="D1833" s="12" t="n">
        <x:v>0.696</x:v>
      </x:c>
      <x:c r="E1833" s="12" t="n">
        <x:v>0.0069362428561649415</x:v>
      </x:c>
      <x:c r="F1833" s="12" t="n">
        <x:v>3.31</x:v>
      </x:c>
      <x:c r="G1833" s="12" t="n">
        <x:v>331</x:v>
      </x:c>
      <x:c r="H1833" s="12" t="n">
        <x:v>5</x:v>
      </x:c>
      <x:c r="I1833" s="12" t="str">
        <x:v>TuShare index_daily</x:v>
      </x:c>
      <x:c r="J1833" s="12" t="str">
        <x:v>FRED current rolling window</x:v>
      </x:c>
    </x:row>
    <x:row r="1834" ht="18" customHeight="1">
      <x:c r="A1834" s="13" t="n">
        <x:v>45357</x:v>
      </x:c>
      <x:c r="B1834" s="12" t="n">
        <x:v>3551.0481</x:v>
      </x:c>
      <x:c r="C1834" s="12" t="n">
        <x:v>3565.5143</x:v>
      </x:c>
      <x:c r="D1834" s="12" t="n">
        <x:v>-0.4057</x:v>
      </x:c>
      <x:c r="E1834" s="12" t="n">
        <x:v>-0.004065507786512169</x:v>
      </x:c>
      <x:c r="F1834" s="12" t="n">
        <x:v>3.27</x:v>
      </x:c>
      <x:c r="G1834" s="12" t="n">
        <x:v>327</x:v>
      </x:c>
      <x:c r="H1834" s="12" t="n">
        <x:v>-4</x:v>
      </x:c>
      <x:c r="I1834" s="12" t="str">
        <x:v>TuShare index_daily</x:v>
      </x:c>
      <x:c r="J1834" s="12" t="str">
        <x:v>FRED current rolling window</x:v>
      </x:c>
    </x:row>
    <x:row r="1835" ht="18" customHeight="1">
      <x:c r="A1835" s="13" t="n">
        <x:v>45358</x:v>
      </x:c>
      <x:c r="B1835" s="12" t="n">
        <x:v>3529.7195</x:v>
      </x:c>
      <x:c r="C1835" s="12" t="n">
        <x:v>3551.0481</x:v>
      </x:c>
      <x:c r="D1835" s="12" t="n">
        <x:v>-0.6006</x:v>
      </x:c>
      <x:c r="E1835" s="12" t="n">
        <x:v>-0.006024393317779147</x:v>
      </x:c>
      <x:c r="F1835" s="12" t="n">
        <x:v>3.27</x:v>
      </x:c>
      <x:c r="G1835" s="12" t="n">
        <x:v>327</x:v>
      </x:c>
      <x:c r="H1835" s="12" t="n">
        <x:v>0</x:v>
      </x:c>
      <x:c r="I1835" s="12" t="str">
        <x:v>TuShare index_daily</x:v>
      </x:c>
      <x:c r="J1835" s="12" t="str">
        <x:v>FRED current rolling window</x:v>
      </x:c>
    </x:row>
    <x:row r="1836" ht="18" customHeight="1">
      <x:c r="A1836" s="13" t="n">
        <x:v>45359</x:v>
      </x:c>
      <x:c r="B1836" s="12" t="n">
        <x:v>3544.9099</x:v>
      </x:c>
      <x:c r="C1836" s="12" t="n">
        <x:v>3529.7195</x:v>
      </x:c>
      <x:c r="D1836" s="12" t="n">
        <x:v>0.4304</x:v>
      </x:c>
      <x:c r="E1836" s="12" t="n">
        <x:v>0.004294337550533564</x:v>
      </x:c>
      <x:c r="F1836" s="12" t="n">
        <x:v>3.26</x:v>
      </x:c>
      <x:c r="G1836" s="12" t="n">
        <x:v>326</x:v>
      </x:c>
      <x:c r="H1836" s="12" t="n">
        <x:v>-1</x:v>
      </x:c>
      <x:c r="I1836" s="12" t="str">
        <x:v>TuShare index_daily</x:v>
      </x:c>
      <x:c r="J1836" s="12" t="str">
        <x:v>FRED current rolling window</x:v>
      </x:c>
    </x:row>
    <x:row r="1837" ht="18" customHeight="1">
      <x:c r="A1837" s="13" t="n">
        <x:v>45362</x:v>
      </x:c>
      <x:c r="B1837" s="12" t="n">
        <x:v>3589.2635</x:v>
      </x:c>
      <x:c r="C1837" s="12" t="n">
        <x:v>3544.9099</x:v>
      </x:c>
      <x:c r="D1837" s="12" t="n">
        <x:v>1.2512</x:v>
      </x:c>
      <x:c r="E1837" s="12" t="n">
        <x:v>0.012434284667935624</x:v>
      </x:c>
      <x:c r="F1837" s="12" t="n">
        <x:v>3.26</x:v>
      </x:c>
      <x:c r="G1837" s="12" t="n">
        <x:v>326</x:v>
      </x:c>
      <x:c r="H1837" s="12" t="n">
        <x:v>0</x:v>
      </x:c>
      <x:c r="I1837" s="12" t="str">
        <x:v>TuShare index_daily</x:v>
      </x:c>
      <x:c r="J1837" s="12" t="str">
        <x:v>FRED current rolling window</x:v>
      </x:c>
    </x:row>
    <x:row r="1838" ht="18" customHeight="1">
      <x:c r="A1838" s="13" t="n">
        <x:v>45363</x:v>
      </x:c>
      <x:c r="B1838" s="12" t="n">
        <x:v>3597.4939</x:v>
      </x:c>
      <x:c r="C1838" s="12" t="n">
        <x:v>3589.2635</x:v>
      </x:c>
      <x:c r="D1838" s="12" t="n">
        <x:v>0.2293</x:v>
      </x:c>
      <x:c r="E1838" s="12" t="n">
        <x:v>0.002290435905940713</x:v>
      </x:c>
      <x:c r="F1838" s="12" t="n">
        <x:v>3.2</x:v>
      </x:c>
      <x:c r="G1838" s="12" t="n">
        <x:v>320</x:v>
      </x:c>
      <x:c r="H1838" s="12" t="n">
        <x:v>-6</x:v>
      </x:c>
      <x:c r="I1838" s="12" t="str">
        <x:v>TuShare index_daily</x:v>
      </x:c>
      <x:c r="J1838" s="12" t="str">
        <x:v>FRED current rolling window</x:v>
      </x:c>
    </x:row>
    <x:row r="1839" ht="18" customHeight="1">
      <x:c r="A1839" s="13" t="n">
        <x:v>45364</x:v>
      </x:c>
      <x:c r="B1839" s="12" t="n">
        <x:v>3572.361</x:v>
      </x:c>
      <x:c r="C1839" s="12" t="n">
        <x:v>3597.4939</x:v>
      </x:c>
      <x:c r="D1839" s="12" t="n">
        <x:v>-0.6986</x:v>
      </x:c>
      <x:c r="E1839" s="12" t="n">
        <x:v>-0.007010742418553548</x:v>
      </x:c>
      <x:c r="F1839" s="12" t="n">
        <x:v>3.15</x:v>
      </x:c>
      <x:c r="G1839" s="12" t="n">
        <x:v>315</x:v>
      </x:c>
      <x:c r="H1839" s="12" t="n">
        <x:v>-5</x:v>
      </x:c>
      <x:c r="I1839" s="12" t="str">
        <x:v>TuShare index_daily</x:v>
      </x:c>
      <x:c r="J1839" s="12" t="str">
        <x:v>FRED current rolling window</x:v>
      </x:c>
    </x:row>
    <x:row r="1840" ht="18" customHeight="1">
      <x:c r="A1840" s="13" t="n">
        <x:v>45365</x:v>
      </x:c>
      <x:c r="B1840" s="12" t="n">
        <x:v>3562.2229</x:v>
      </x:c>
      <x:c r="C1840" s="12" t="n">
        <x:v>3572.361</x:v>
      </x:c>
      <x:c r="D1840" s="12" t="n">
        <x:v>-0.2838</x:v>
      </x:c>
      <x:c r="E1840" s="12" t="n">
        <x:v>-0.0028419616240185283</x:v>
      </x:c>
      <x:c r="F1840" s="12" t="n">
        <x:v>3.15</x:v>
      </x:c>
      <x:c r="G1840" s="12" t="n">
        <x:v>315</x:v>
      </x:c>
      <x:c r="H1840" s="12" t="n">
        <x:v>0</x:v>
      </x:c>
      <x:c r="I1840" s="12" t="str">
        <x:v>TuShare index_daily</x:v>
      </x:c>
      <x:c r="J1840" s="12" t="str">
        <x:v>FRED current rolling window</x:v>
      </x:c>
    </x:row>
    <x:row r="1841" ht="18" customHeight="1">
      <x:c r="A1841" s="13" t="n">
        <x:v>45366</x:v>
      </x:c>
      <x:c r="B1841" s="12" t="n">
        <x:v>3569.993</x:v>
      </x:c>
      <x:c r="C1841" s="12" t="n">
        <x:v>3562.2229</x:v>
      </x:c>
      <x:c r="D1841" s="12" t="n">
        <x:v>0.2181</x:v>
      </x:c>
      <x:c r="E1841" s="12" t="n">
        <x:v>0.0021788748918951115</x:v>
      </x:c>
      <x:c r="F1841" s="12" t="n">
        <x:v>3.16</x:v>
      </x:c>
      <x:c r="G1841" s="12" t="n">
        <x:v>316</x:v>
      </x:c>
      <x:c r="H1841" s="12" t="n">
        <x:v>1</x:v>
      </x:c>
      <x:c r="I1841" s="12" t="str">
        <x:v>TuShare index_daily</x:v>
      </x:c>
      <x:c r="J1841" s="12" t="str">
        <x:v>FRED current rolling window</x:v>
      </x:c>
    </x:row>
    <x:row r="1842" ht="18" customHeight="1">
      <x:c r="A1842" s="13" t="n">
        <x:v>45369</x:v>
      </x:c>
      <x:c r="B1842" s="12" t="n">
        <x:v>3603.528</x:v>
      </x:c>
      <x:c r="C1842" s="12" t="n">
        <x:v>3569.993</x:v>
      </x:c>
      <x:c r="D1842" s="12" t="n">
        <x:v>0.9394</x:v>
      </x:c>
      <x:c r="E1842" s="12" t="n">
        <x:v>0.009349730570252965</x:v>
      </x:c>
      <x:c r="F1842" s="12" t="n">
        <x:v>3.13</x:v>
      </x:c>
      <x:c r="G1842" s="12" t="n">
        <x:v>313</x:v>
      </x:c>
      <x:c r="H1842" s="12" t="n">
        <x:v>-3</x:v>
      </x:c>
      <x:c r="I1842" s="12" t="str">
        <x:v>TuShare index_daily</x:v>
      </x:c>
      <x:c r="J1842" s="12" t="str">
        <x:v>FRED current rolling window</x:v>
      </x:c>
    </x:row>
    <x:row r="1843" ht="18" customHeight="1">
      <x:c r="A1843" s="13" t="n">
        <x:v>45370</x:v>
      </x:c>
      <x:c r="B1843" s="12" t="n">
        <x:v>3577.6303</x:v>
      </x:c>
      <x:c r="C1843" s="12" t="n">
        <x:v>3603.528</x:v>
      </x:c>
      <x:c r="D1843" s="12" t="n">
        <x:v>-0.7187</x:v>
      </x:c>
      <x:c r="E1843" s="12" t="n">
        <x:v>-0.0072127117079038095</x:v>
      </x:c>
      <x:c r="F1843" s="12" t="n">
        <x:v>3.1</x:v>
      </x:c>
      <x:c r="G1843" s="12" t="n">
        <x:v>310</x:v>
      </x:c>
      <x:c r="H1843" s="12" t="n">
        <x:v>-3</x:v>
      </x:c>
      <x:c r="I1843" s="12" t="str">
        <x:v>TuShare index_daily</x:v>
      </x:c>
      <x:c r="J1843" s="12" t="str">
        <x:v>FRED current rolling window</x:v>
      </x:c>
    </x:row>
    <x:row r="1844" ht="18" customHeight="1">
      <x:c r="A1844" s="13" t="n">
        <x:v>45371</x:v>
      </x:c>
      <x:c r="B1844" s="12" t="n">
        <x:v>3585.3838</x:v>
      </x:c>
      <x:c r="C1844" s="12" t="n">
        <x:v>3577.6303</x:v>
      </x:c>
      <x:c r="D1844" s="12" t="n">
        <x:v>0.2167</x:v>
      </x:c>
      <x:c r="E1844" s="12" t="n">
        <x:v>0.0021648716364173998</x:v>
      </x:c>
      <x:c r="F1844" s="12" t="n">
        <x:v>3.14</x:v>
      </x:c>
      <x:c r="G1844" s="12" t="n">
        <x:v>314</x:v>
      </x:c>
      <x:c r="H1844" s="12" t="n">
        <x:v>4</x:v>
      </x:c>
      <x:c r="I1844" s="12" t="str">
        <x:v>TuShare index_daily</x:v>
      </x:c>
      <x:c r="J1844" s="12" t="str">
        <x:v>FRED current rolling window</x:v>
      </x:c>
    </x:row>
    <x:row r="1845" ht="18" customHeight="1">
      <x:c r="A1845" s="13" t="n">
        <x:v>45372</x:v>
      </x:c>
      <x:c r="B1845" s="12" t="n">
        <x:v>3581.0902</x:v>
      </x:c>
      <x:c r="C1845" s="12" t="n">
        <x:v>3585.3838</x:v>
      </x:c>
      <x:c r="D1845" s="12" t="n">
        <x:v>-0.1198</x:v>
      </x:c>
      <x:c r="E1845" s="12" t="n">
        <x:v>-0.0011982463101735089</x:v>
      </x:c>
      <x:c r="F1845" s="12" t="n">
        <x:v>3.05</x:v>
      </x:c>
      <x:c r="G1845" s="12" t="n">
        <x:v>305</x:v>
      </x:c>
      <x:c r="H1845" s="12" t="n">
        <x:v>-9</x:v>
      </x:c>
      <x:c r="I1845" s="12" t="str">
        <x:v>TuShare index_daily</x:v>
      </x:c>
      <x:c r="J1845" s="12" t="str">
        <x:v>FRED current rolling window</x:v>
      </x:c>
    </x:row>
    <x:row r="1846" ht="18" customHeight="1">
      <x:c r="A1846" s="13" t="n">
        <x:v>45373</x:v>
      </x:c>
      <x:c r="B1846" s="12" t="n">
        <x:v>3545.0023</x:v>
      </x:c>
      <x:c r="C1846" s="12" t="n">
        <x:v>3581.0902</x:v>
      </x:c>
      <x:c r="D1846" s="12" t="n">
        <x:v>-1.0077</x:v>
      </x:c>
      <x:c r="E1846" s="12" t="n">
        <x:v>-0.010128470408895992</x:v>
      </x:c>
      <x:c r="F1846" s="12" t="n">
        <x:v>3.08</x:v>
      </x:c>
      <x:c r="G1846" s="12" t="n">
        <x:v>308</x:v>
      </x:c>
      <x:c r="H1846" s="12" t="n">
        <x:v>3</x:v>
      </x:c>
      <x:c r="I1846" s="12" t="str">
        <x:v>TuShare index_daily</x:v>
      </x:c>
      <x:c r="J1846" s="12" t="str">
        <x:v>FRED current rolling window</x:v>
      </x:c>
    </x:row>
    <x:row r="1847" ht="18" customHeight="1">
      <x:c r="A1847" s="13" t="n">
        <x:v>45376</x:v>
      </x:c>
      <x:c r="B1847" s="12" t="n">
        <x:v>3525.7634</x:v>
      </x:c>
      <x:c r="C1847" s="12" t="n">
        <x:v>3545.0023</x:v>
      </x:c>
      <x:c r="D1847" s="12" t="n">
        <x:v>-0.5427</x:v>
      </x:c>
      <x:c r="E1847" s="12" t="n">
        <x:v>-0.005441828592219171</x:v>
      </x:c>
      <x:c r="F1847" s="12" t="n">
        <x:v>3.11</x:v>
      </x:c>
      <x:c r="G1847" s="12" t="n">
        <x:v>311</x:v>
      </x:c>
      <x:c r="H1847" s="12" t="n">
        <x:v>3</x:v>
      </x:c>
      <x:c r="I1847" s="12" t="str">
        <x:v>TuShare index_daily</x:v>
      </x:c>
      <x:c r="J1847" s="12" t="str">
        <x:v>FRED current rolling window</x:v>
      </x:c>
    </x:row>
    <x:row r="1848" ht="18" customHeight="1">
      <x:c r="A1848" s="13" t="n">
        <x:v>45377</x:v>
      </x:c>
      <x:c r="B1848" s="12" t="n">
        <x:v>3543.7467</x:v>
      </x:c>
      <x:c r="C1848" s="12" t="n">
        <x:v>3525.7634</x:v>
      </x:c>
      <x:c r="D1848" s="12" t="n">
        <x:v>0.5101</x:v>
      </x:c>
      <x:c r="E1848" s="12" t="n">
        <x:v>0.005087577083770784</x:v>
      </x:c>
      <x:c r="F1848" s="12" t="n">
        <x:v>3.15</x:v>
      </x:c>
      <x:c r="G1848" s="12" t="n">
        <x:v>315</x:v>
      </x:c>
      <x:c r="H1848" s="12" t="n">
        <x:v>4</x:v>
      </x:c>
      <x:c r="I1848" s="12" t="str">
        <x:v>TuShare index_daily</x:v>
      </x:c>
      <x:c r="J1848" s="12" t="str">
        <x:v>FRED current rolling window</x:v>
      </x:c>
    </x:row>
    <x:row r="1849" ht="18" customHeight="1">
      <x:c r="A1849" s="13" t="n">
        <x:v>45378</x:v>
      </x:c>
      <x:c r="B1849" s="12" t="n">
        <x:v>3502.7866</x:v>
      </x:c>
      <x:c r="C1849" s="12" t="n">
        <x:v>3543.7467</x:v>
      </x:c>
      <x:c r="D1849" s="12" t="n">
        <x:v>-1.1558</x:v>
      </x:c>
      <x:c r="E1849" s="12" t="n">
        <x:v>-0.011625734128965096</x:v>
      </x:c>
      <x:c r="F1849" s="12" t="n">
        <x:v>3.15</x:v>
      </x:c>
      <x:c r="G1849" s="12" t="n">
        <x:v>315</x:v>
      </x:c>
      <x:c r="H1849" s="12" t="n">
        <x:v>0</x:v>
      </x:c>
      <x:c r="I1849" s="12" t="str">
        <x:v>TuShare index_daily</x:v>
      </x:c>
      <x:c r="J1849" s="12" t="str">
        <x:v>FRED current rolling window</x:v>
      </x:c>
    </x:row>
    <x:row r="1850" ht="18" customHeight="1">
      <x:c r="A1850" s="13" t="n">
        <x:v>45379</x:v>
      </x:c>
      <x:c r="B1850" s="12" t="n">
        <x:v>3520.9648</x:v>
      </x:c>
      <x:c r="C1850" s="12" t="n">
        <x:v>3502.7866</x:v>
      </x:c>
      <x:c r="D1850" s="12" t="n">
        <x:v>0.519</x:v>
      </x:c>
      <x:c r="E1850" s="12" t="n">
        <x:v>0.005176219815450503</x:v>
      </x:c>
      <x:c r="F1850" s="12" t="n">
        <x:v>3.12</x:v>
      </x:c>
      <x:c r="G1850" s="12" t="n">
        <x:v>312</x:v>
      </x:c>
      <x:c r="H1850" s="12" t="n">
        <x:v>-3</x:v>
      </x:c>
      <x:c r="I1850" s="12" t="str">
        <x:v>TuShare index_daily</x:v>
      </x:c>
      <x:c r="J1850" s="12" t="str">
        <x:v>FRED current rolling window</x:v>
      </x:c>
    </x:row>
    <x:row r="1851" ht="18" customHeight="1">
      <x:c r="A1851" s="13" t="n">
        <x:v>45383</x:v>
      </x:c>
      <x:c r="B1851" s="12" t="n">
        <x:v>3595.6466</x:v>
      </x:c>
      <x:c r="C1851" s="12" t="n">
        <x:v>3537.4843</x:v>
      </x:c>
      <x:c r="D1851" s="12" t="n">
        <x:v>1.6442</x:v>
      </x:c>
      <x:c r="E1851" s="12" t="n">
        <x:v>0.016308011120952714</x:v>
      </x:c>
      <x:c r="F1851" s="12" t="n">
        <x:v>3.12</x:v>
      </x:c>
      <x:c r="G1851" s="12" t="n">
        <x:v>312</x:v>
      </x:c>
      <x:c r="H1851" s="12" t="n">
        <x:v>-3</x:v>
      </x:c>
      <x:c r="I1851" s="12" t="str">
        <x:v>TuShare index_daily</x:v>
      </x:c>
      <x:c r="J1851" s="12" t="str">
        <x:v>FRED current rolling window</x:v>
      </x:c>
    </x:row>
    <x:row r="1852" ht="18" customHeight="1">
      <x:c r="A1852" s="13" t="n">
        <x:v>45384</x:v>
      </x:c>
      <x:c r="B1852" s="12" t="n">
        <x:v>3580.6759</x:v>
      </x:c>
      <x:c r="C1852" s="12" t="n">
        <x:v>3595.6466</x:v>
      </x:c>
      <x:c r="D1852" s="12" t="n">
        <x:v>-0.4164</x:v>
      </x:c>
      <x:c r="E1852" s="12" t="n">
        <x:v>-0.0041722544428915275</x:v>
      </x:c>
      <x:c r="F1852" s="12" t="n">
        <x:v>3.23</x:v>
      </x:c>
      <x:c r="G1852" s="12" t="n">
        <x:v>323</x:v>
      </x:c>
      <x:c r="H1852" s="12" t="n">
        <x:v>11</x:v>
      </x:c>
      <x:c r="I1852" s="12" t="str">
        <x:v>TuShare index_daily</x:v>
      </x:c>
      <x:c r="J1852" s="12" t="str">
        <x:v>FRED current rolling window</x:v>
      </x:c>
    </x:row>
    <x:row r="1853" ht="18" customHeight="1">
      <x:c r="A1853" s="13" t="n">
        <x:v>45385</x:v>
      </x:c>
      <x:c r="B1853" s="12" t="n">
        <x:v>3567.8031</x:v>
      </x:c>
      <x:c r="C1853" s="12" t="n">
        <x:v>3580.6759</x:v>
      </x:c>
      <x:c r="D1853" s="12" t="n">
        <x:v>-0.3595</x:v>
      </x:c>
      <x:c r="E1853" s="12" t="n">
        <x:v>-0.003601553257586781</x:v>
      </x:c>
      <x:c r="F1853" s="12" t="n">
        <x:v>3.23</x:v>
      </x:c>
      <x:c r="G1853" s="12" t="n">
        <x:v>323</x:v>
      </x:c>
      <x:c r="H1853" s="12" t="n">
        <x:v>0</x:v>
      </x:c>
      <x:c r="I1853" s="12" t="str">
        <x:v>TuShare index_daily</x:v>
      </x:c>
      <x:c r="J1853" s="12" t="str">
        <x:v>FRED current rolling window</x:v>
      </x:c>
    </x:row>
    <x:row r="1854" ht="18" customHeight="1">
      <x:c r="A1854" s="13" t="n">
        <x:v>45390</x:v>
      </x:c>
      <x:c r="B1854" s="12" t="n">
        <x:v>3536.4077</x:v>
      </x:c>
      <x:c r="C1854" s="12" t="n">
        <x:v>3567.8031</x:v>
      </x:c>
      <x:c r="D1854" s="12" t="n">
        <x:v>-0.88</x:v>
      </x:c>
      <x:c r="E1854" s="12" t="n">
        <x:v>-0.008838590314792913</x:v>
      </x:c>
      <x:c r="F1854" s="12" t="n">
        <x:v>3.15</x:v>
      </x:c>
      <x:c r="G1854" s="12" t="n">
        <x:v>315</x:v>
      </x:c>
      <x:c r="H1854" s="12" t="n">
        <x:v>-3</x:v>
      </x:c>
      <x:c r="I1854" s="12" t="str">
        <x:v>TuShare index_daily</x:v>
      </x:c>
      <x:c r="J1854" s="12" t="str">
        <x:v>FRED current rolling window</x:v>
      </x:c>
    </x:row>
    <x:row r="1855" ht="18" customHeight="1">
      <x:c r="A1855" s="13" t="n">
        <x:v>45391</x:v>
      </x:c>
      <x:c r="B1855" s="12" t="n">
        <x:v>3533.4871</x:v>
      </x:c>
      <x:c r="C1855" s="12" t="n">
        <x:v>3536.4077</x:v>
      </x:c>
      <x:c r="D1855" s="12" t="n">
        <x:v>-0.0826</x:v>
      </x:c>
      <x:c r="E1855" s="12" t="n">
        <x:v>-0.0008262075317269229</x:v>
      </x:c>
      <x:c r="F1855" s="12" t="n">
        <x:v>3.14</x:v>
      </x:c>
      <x:c r="G1855" s="12" t="n">
        <x:v>314</x:v>
      </x:c>
      <x:c r="H1855" s="12" t="n">
        <x:v>-1</x:v>
      </x:c>
      <x:c r="I1855" s="12" t="str">
        <x:v>TuShare index_daily</x:v>
      </x:c>
      <x:c r="J1855" s="12" t="str">
        <x:v>FRED current rolling window</x:v>
      </x:c>
    </x:row>
    <x:row r="1856" ht="18" customHeight="1">
      <x:c r="A1856" s="13" t="n">
        <x:v>45392</x:v>
      </x:c>
      <x:c r="B1856" s="12" t="n">
        <x:v>3504.7086</x:v>
      </x:c>
      <x:c r="C1856" s="12" t="n">
        <x:v>3533.4871</x:v>
      </x:c>
      <x:c r="D1856" s="12" t="n">
        <x:v>-0.8145</x:v>
      </x:c>
      <x:c r="E1856" s="12" t="n">
        <x:v>-0.008177851714302322</x:v>
      </x:c>
      <x:c r="F1856" s="12" t="n">
        <x:v>3.1</x:v>
      </x:c>
      <x:c r="G1856" s="12" t="n">
        <x:v>310</x:v>
      </x:c>
      <x:c r="H1856" s="12" t="n">
        <x:v>-4</x:v>
      </x:c>
      <x:c r="I1856" s="12" t="str">
        <x:v>TuShare index_daily</x:v>
      </x:c>
      <x:c r="J1856" s="12" t="str">
        <x:v>FRED current rolling window</x:v>
      </x:c>
    </x:row>
    <x:row r="1857" ht="18" customHeight="1">
      <x:c r="A1857" s="13" t="n">
        <x:v>45393</x:v>
      </x:c>
      <x:c r="B1857" s="12" t="n">
        <x:v>3504.2447</x:v>
      </x:c>
      <x:c r="C1857" s="12" t="n">
        <x:v>3504.7086</x:v>
      </x:c>
      <x:c r="D1857" s="12" t="n">
        <x:v>-0.0132</x:v>
      </x:c>
      <x:c r="E1857" s="12" t="n">
        <x:v>-0.00013237354589799467</x:v>
      </x:c>
      <x:c r="F1857" s="12" t="n">
        <x:v>3.16</x:v>
      </x:c>
      <x:c r="G1857" s="12" t="n">
        <x:v>316</x:v>
      </x:c>
      <x:c r="H1857" s="12" t="n">
        <x:v>6</x:v>
      </x:c>
      <x:c r="I1857" s="12" t="str">
        <x:v>TuShare index_daily</x:v>
      </x:c>
      <x:c r="J1857" s="12" t="str">
        <x:v>FRED current rolling window</x:v>
      </x:c>
    </x:row>
    <x:row r="1858" ht="18" customHeight="1">
      <x:c r="A1858" s="13" t="n">
        <x:v>45394</x:v>
      </x:c>
      <x:c r="B1858" s="12" t="n">
        <x:v>3475.8389</x:v>
      </x:c>
      <x:c r="C1858" s="12" t="n">
        <x:v>3504.2447</x:v>
      </x:c>
      <x:c r="D1858" s="12" t="n">
        <x:v>-0.8106</x:v>
      </x:c>
      <x:c r="E1858" s="12" t="n">
        <x:v>-0.008139145156742146</x:v>
      </x:c>
      <x:c r="F1858" s="12" t="n">
        <x:v>3.25</x:v>
      </x:c>
      <x:c r="G1858" s="12" t="n">
        <x:v>325</x:v>
      </x:c>
      <x:c r="H1858" s="12" t="n">
        <x:v>9</x:v>
      </x:c>
      <x:c r="I1858" s="12" t="str">
        <x:v>TuShare index_daily</x:v>
      </x:c>
      <x:c r="J1858" s="12" t="str">
        <x:v>FRED current rolling window</x:v>
      </x:c>
    </x:row>
    <x:row r="1859" ht="18" customHeight="1">
      <x:c r="A1859" s="13" t="n">
        <x:v>45397</x:v>
      </x:c>
      <x:c r="B1859" s="12" t="n">
        <x:v>3549.0759</x:v>
      </x:c>
      <x:c r="C1859" s="12" t="n">
        <x:v>3475.8389</x:v>
      </x:c>
      <x:c r="D1859" s="12" t="n">
        <x:v>2.107</x:v>
      </x:c>
      <x:c r="E1859" s="12" t="n">
        <x:v>0.02085139978770184</x:v>
      </x:c>
      <x:c r="F1859" s="12" t="n">
        <x:v>3.28</x:v>
      </x:c>
      <x:c r="G1859" s="12" t="n">
        <x:v>328</x:v>
      </x:c>
      <x:c r="H1859" s="12" t="n">
        <x:v>3</x:v>
      </x:c>
      <x:c r="I1859" s="12" t="str">
        <x:v>TuShare index_daily</x:v>
      </x:c>
      <x:c r="J1859" s="12" t="str">
        <x:v>FRED current rolling window</x:v>
      </x:c>
    </x:row>
    <x:row r="1860" ht="18" customHeight="1">
      <x:c r="A1860" s="13" t="n">
        <x:v>45398</x:v>
      </x:c>
      <x:c r="B1860" s="12" t="n">
        <x:v>3511.1146</x:v>
      </x:c>
      <x:c r="C1860" s="12" t="n">
        <x:v>3549.0759</x:v>
      </x:c>
      <x:c r="D1860" s="12" t="n">
        <x:v>-1.0696</x:v>
      </x:c>
      <x:c r="E1860" s="12" t="n">
        <x:v>-0.010753722814637892</x:v>
      </x:c>
      <x:c r="F1860" s="12" t="n">
        <x:v>3.36</x:v>
      </x:c>
      <x:c r="G1860" s="12" t="n">
        <x:v>336</x:v>
      </x:c>
      <x:c r="H1860" s="12" t="n">
        <x:v>8</x:v>
      </x:c>
      <x:c r="I1860" s="12" t="str">
        <x:v>TuShare index_daily</x:v>
      </x:c>
      <x:c r="J1860" s="12" t="str">
        <x:v>FRED current rolling window</x:v>
      </x:c>
    </x:row>
    <x:row r="1861" ht="18" customHeight="1">
      <x:c r="A1861" s="13" t="n">
        <x:v>45399</x:v>
      </x:c>
      <x:c r="B1861" s="12" t="n">
        <x:v>3565.403</x:v>
      </x:c>
      <x:c r="C1861" s="12" t="n">
        <x:v>3511.1146</x:v>
      </x:c>
      <x:c r="D1861" s="12" t="n">
        <x:v>1.5462</x:v>
      </x:c>
      <x:c r="E1861" s="12" t="n">
        <x:v>0.015343554028548092</x:v>
      </x:c>
      <x:c r="F1861" s="12" t="n">
        <x:v>3.42</x:v>
      </x:c>
      <x:c r="G1861" s="12" t="n">
        <x:v>342</x:v>
      </x:c>
      <x:c r="H1861" s="12" t="n">
        <x:v>6</x:v>
      </x:c>
      <x:c r="I1861" s="12" t="str">
        <x:v>TuShare index_daily</x:v>
      </x:c>
      <x:c r="J1861" s="12" t="str">
        <x:v>FRED current rolling window</x:v>
      </x:c>
    </x:row>
    <x:row r="1862" ht="18" customHeight="1">
      <x:c r="A1862" s="13" t="n">
        <x:v>45400</x:v>
      </x:c>
      <x:c r="B1862" s="12" t="n">
        <x:v>3569.8018</x:v>
      </x:c>
      <x:c r="C1862" s="12" t="n">
        <x:v>3565.403</x:v>
      </x:c>
      <x:c r="D1862" s="12" t="n">
        <x:v>0.1234</x:v>
      </x:c>
      <x:c r="E1862" s="12" t="n">
        <x:v>0.0012329850874846476</x:v>
      </x:c>
      <x:c r="F1862" s="12" t="n">
        <x:v>3.39</x:v>
      </x:c>
      <x:c r="G1862" s="12" t="n">
        <x:v>339</x:v>
      </x:c>
      <x:c r="H1862" s="12" t="n">
        <x:v>-3</x:v>
      </x:c>
      <x:c r="I1862" s="12" t="str">
        <x:v>TuShare index_daily</x:v>
      </x:c>
      <x:c r="J1862" s="12" t="str">
        <x:v>FRED current rolling window</x:v>
      </x:c>
    </x:row>
    <x:row r="1863" ht="18" customHeight="1">
      <x:c r="A1863" s="13" t="n">
        <x:v>45401</x:v>
      </x:c>
      <x:c r="B1863" s="12" t="n">
        <x:v>3541.6619</x:v>
      </x:c>
      <x:c r="C1863" s="12" t="n">
        <x:v>3569.8018</x:v>
      </x:c>
      <x:c r="D1863" s="12" t="n">
        <x:v>-0.7883</x:v>
      </x:c>
      <x:c r="E1863" s="12" t="n">
        <x:v>-0.007913995783959946</x:v>
      </x:c>
      <x:c r="F1863" s="12" t="n">
        <x:v>3.37</x:v>
      </x:c>
      <x:c r="G1863" s="12" t="n">
        <x:v>337</x:v>
      </x:c>
      <x:c r="H1863" s="12" t="n">
        <x:v>-2</x:v>
      </x:c>
      <x:c r="I1863" s="12" t="str">
        <x:v>TuShare index_daily</x:v>
      </x:c>
      <x:c r="J1863" s="12" t="str">
        <x:v>FRED current rolling window</x:v>
      </x:c>
    </x:row>
    <x:row r="1864" ht="18" customHeight="1">
      <x:c r="A1864" s="13" t="n">
        <x:v>45404</x:v>
      </x:c>
      <x:c r="B1864" s="12" t="n">
        <x:v>3530.9045</x:v>
      </x:c>
      <x:c r="C1864" s="12" t="n">
        <x:v>3541.6619</x:v>
      </x:c>
      <x:c r="D1864" s="12" t="n">
        <x:v>-0.3037</x:v>
      </x:c>
      <x:c r="E1864" s="12" t="n">
        <x:v>-0.0030420098411770608</x:v>
      </x:c>
      <x:c r="F1864" s="12" t="n">
        <x:v>3.29</x:v>
      </x:c>
      <x:c r="G1864" s="12" t="n">
        <x:v>329</x:v>
      </x:c>
      <x:c r="H1864" s="12" t="n">
        <x:v>-8</x:v>
      </x:c>
      <x:c r="I1864" s="12" t="str">
        <x:v>TuShare index_daily</x:v>
      </x:c>
      <x:c r="J1864" s="12" t="str">
        <x:v>FRED current rolling window</x:v>
      </x:c>
    </x:row>
    <x:row r="1865" ht="18" customHeight="1">
      <x:c r="A1865" s="13" t="n">
        <x:v>45405</x:v>
      </x:c>
      <x:c r="B1865" s="12" t="n">
        <x:v>3506.2249</x:v>
      </x:c>
      <x:c r="C1865" s="12" t="n">
        <x:v>3530.9045</x:v>
      </x:c>
      <x:c r="D1865" s="12" t="n">
        <x:v>-0.699</x:v>
      </x:c>
      <x:c r="E1865" s="12" t="n">
        <x:v>-0.007014138799965217</x:v>
      </x:c>
      <x:c r="F1865" s="12" t="n">
        <x:v>3.2</x:v>
      </x:c>
      <x:c r="G1865" s="12" t="n">
        <x:v>320</x:v>
      </x:c>
      <x:c r="H1865" s="12" t="n">
        <x:v>-9</x:v>
      </x:c>
      <x:c r="I1865" s="12" t="str">
        <x:v>TuShare index_daily</x:v>
      </x:c>
      <x:c r="J1865" s="12" t="str">
        <x:v>FRED current rolling window</x:v>
      </x:c>
    </x:row>
    <x:row r="1866" ht="18" customHeight="1">
      <x:c r="A1866" s="13" t="n">
        <x:v>45406</x:v>
      </x:c>
      <x:c r="B1866" s="12" t="n">
        <x:v>3521.6219</x:v>
      </x:c>
      <x:c r="C1866" s="12" t="n">
        <x:v>3506.2249</x:v>
      </x:c>
      <x:c r="D1866" s="12" t="n">
        <x:v>0.4391</x:v>
      </x:c>
      <x:c r="E1866" s="12" t="n">
        <x:v>0.004381718916951932</x:v>
      </x:c>
      <x:c r="F1866" s="12" t="n">
        <x:v>3.19</x:v>
      </x:c>
      <x:c r="G1866" s="12" t="n">
        <x:v>319</x:v>
      </x:c>
      <x:c r="H1866" s="12" t="n">
        <x:v>-1</x:v>
      </x:c>
      <x:c r="I1866" s="12" t="str">
        <x:v>TuShare index_daily</x:v>
      </x:c>
      <x:c r="J1866" s="12" t="str">
        <x:v>FRED current rolling window</x:v>
      </x:c>
    </x:row>
    <x:row r="1867" ht="18" customHeight="1">
      <x:c r="A1867" s="13" t="n">
        <x:v>45407</x:v>
      </x:c>
      <x:c r="B1867" s="12" t="n">
        <x:v>3530.2813</x:v>
      </x:c>
      <x:c r="C1867" s="12" t="n">
        <x:v>3521.6219</x:v>
      </x:c>
      <x:c r="D1867" s="12" t="n">
        <x:v>0.2459</x:v>
      </x:c>
      <x:c r="E1867" s="12" t="n">
        <x:v>0.0024559056206020905</x:v>
      </x:c>
      <x:c r="F1867" s="12" t="n">
        <x:v>3.24</x:v>
      </x:c>
      <x:c r="G1867" s="12" t="n">
        <x:v>324</x:v>
      </x:c>
      <x:c r="H1867" s="12" t="n">
        <x:v>5</x:v>
      </x:c>
      <x:c r="I1867" s="12" t="str">
        <x:v>TuShare index_daily</x:v>
      </x:c>
      <x:c r="J1867" s="12" t="str">
        <x:v>FRED current rolling window</x:v>
      </x:c>
    </x:row>
    <x:row r="1868" ht="18" customHeight="1">
      <x:c r="A1868" s="13" t="n">
        <x:v>45408</x:v>
      </x:c>
      <x:c r="B1868" s="12" t="n">
        <x:v>3584.2686</x:v>
      </x:c>
      <x:c r="C1868" s="12" t="n">
        <x:v>3530.2813</x:v>
      </x:c>
      <x:c r="D1868" s="12" t="n">
        <x:v>1.5293</x:v>
      </x:c>
      <x:c r="E1868" s="12" t="n">
        <x:v>0.015176880345412834</x:v>
      </x:c>
      <x:c r="F1868" s="12" t="n">
        <x:v>3.16</x:v>
      </x:c>
      <x:c r="G1868" s="12" t="n">
        <x:v>316</x:v>
      </x:c>
      <x:c r="H1868" s="12" t="n">
        <x:v>-8</x:v>
      </x:c>
      <x:c r="I1868" s="12" t="str">
        <x:v>TuShare index_daily</x:v>
      </x:c>
      <x:c r="J1868" s="12" t="str">
        <x:v>FRED current rolling window</x:v>
      </x:c>
    </x:row>
    <x:row r="1869" ht="18" customHeight="1">
      <x:c r="A1869" s="13" t="n">
        <x:v>45411</x:v>
      </x:c>
      <x:c r="B1869" s="12" t="n">
        <x:v>3623.9124</x:v>
      </x:c>
      <x:c r="C1869" s="12" t="n">
        <x:v>3584.2686</x:v>
      </x:c>
      <x:c r="D1869" s="12" t="n">
        <x:v>1.106</x:v>
      </x:c>
      <x:c r="E1869" s="12" t="n">
        <x:v>0.010999779202213969</x:v>
      </x:c>
      <x:c r="F1869" s="12" t="n">
        <x:v>3.12</x:v>
      </x:c>
      <x:c r="G1869" s="12" t="n">
        <x:v>312</x:v>
      </x:c>
      <x:c r="H1869" s="12" t="n">
        <x:v>-4</x:v>
      </x:c>
      <x:c r="I1869" s="12" t="str">
        <x:v>TuShare index_daily</x:v>
      </x:c>
      <x:c r="J1869" s="12" t="str">
        <x:v>FRED current rolling window</x:v>
      </x:c>
    </x:row>
    <x:row r="1870" ht="18" customHeight="1">
      <x:c r="A1870" s="13" t="n">
        <x:v>45412</x:v>
      </x:c>
      <x:c r="B1870" s="12" t="n">
        <x:v>3604.3943</x:v>
      </x:c>
      <x:c r="C1870" s="12" t="n">
        <x:v>3623.9124</x:v>
      </x:c>
      <x:c r="D1870" s="12" t="n">
        <x:v>-0.5386</x:v>
      </x:c>
      <x:c r="E1870" s="12" t="n">
        <x:v>-0.005400475726166257</x:v>
      </x:c>
      <x:c r="F1870" s="12" t="n">
        <x:v>3.18</x:v>
      </x:c>
      <x:c r="G1870" s="12" t="n">
        <x:v>318</x:v>
      </x:c>
      <x:c r="H1870" s="12" t="n">
        <x:v>6</x:v>
      </x:c>
      <x:c r="I1870" s="12" t="str">
        <x:v>TuShare index_daily</x:v>
      </x:c>
      <x:c r="J1870" s="12" t="str">
        <x:v>FRED current rolling window</x:v>
      </x:c>
    </x:row>
    <x:row r="1871" ht="18" customHeight="1">
      <x:c r="A1871" s="13" t="n">
        <x:v>45418</x:v>
      </x:c>
      <x:c r="B1871" s="12" t="n">
        <x:v>3657.8767</x:v>
      </x:c>
      <x:c r="C1871" s="12" t="n">
        <x:v>3604.3943</x:v>
      </x:c>
      <x:c r="D1871" s="12" t="n">
        <x:v>1.4838</x:v>
      </x:c>
      <x:c r="E1871" s="12" t="n">
        <x:v>0.01472910247991278</x:v>
      </x:c>
      <x:c r="F1871" s="12" t="n">
        <x:v>3.03</x:v>
      </x:c>
      <x:c r="G1871" s="12" t="n">
        <x:v>303</x:v>
      </x:c>
      <x:c r="H1871" s="12" t="n">
        <x:v>-5</x:v>
      </x:c>
      <x:c r="I1871" s="12" t="str">
        <x:v>TuShare index_daily</x:v>
      </x:c>
      <x:c r="J1871" s="12" t="str">
        <x:v>FRED current rolling window</x:v>
      </x:c>
    </x:row>
    <x:row r="1872" ht="18" customHeight="1">
      <x:c r="A1872" s="13" t="n">
        <x:v>45419</x:v>
      </x:c>
      <x:c r="B1872" s="12" t="n">
        <x:v>3659.0076</x:v>
      </x:c>
      <x:c r="C1872" s="12" t="n">
        <x:v>3657.8767</x:v>
      </x:c>
      <x:c r="D1872" s="12" t="n">
        <x:v>0.0309</x:v>
      </x:c>
      <x:c r="E1872" s="12" t="n">
        <x:v>0.0003091206482533993</x:v>
      </x:c>
      <x:c r="F1872" s="12" t="n">
        <x:v>3.06</x:v>
      </x:c>
      <x:c r="G1872" s="12" t="n">
        <x:v>306</x:v>
      </x:c>
      <x:c r="H1872" s="12" t="n">
        <x:v>3</x:v>
      </x:c>
      <x:c r="I1872" s="12" t="str">
        <x:v>TuShare index_daily</x:v>
      </x:c>
      <x:c r="J1872" s="12" t="str">
        <x:v>FRED current rolling window</x:v>
      </x:c>
    </x:row>
    <x:row r="1873" ht="18" customHeight="1">
      <x:c r="A1873" s="13" t="n">
        <x:v>45420</x:v>
      </x:c>
      <x:c r="B1873" s="12" t="n">
        <x:v>3630.2233</x:v>
      </x:c>
      <x:c r="C1873" s="12" t="n">
        <x:v>3659.0076</x:v>
      </x:c>
      <x:c r="D1873" s="12" t="n">
        <x:v>-0.7867</x:v>
      </x:c>
      <x:c r="E1873" s="12" t="n">
        <x:v>-0.007897801568855183</x:v>
      </x:c>
      <x:c r="F1873" s="12" t="n">
        <x:v>3.1</x:v>
      </x:c>
      <x:c r="G1873" s="12" t="n">
        <x:v>310</x:v>
      </x:c>
      <x:c r="H1873" s="12" t="n">
        <x:v>4</x:v>
      </x:c>
      <x:c r="I1873" s="12" t="str">
        <x:v>TuShare index_daily</x:v>
      </x:c>
      <x:c r="J1873" s="12" t="str">
        <x:v>FRED current rolling window</x:v>
      </x:c>
    </x:row>
    <x:row r="1874" ht="18" customHeight="1">
      <x:c r="A1874" s="13" t="n">
        <x:v>45421</x:v>
      </x:c>
      <x:c r="B1874" s="12" t="n">
        <x:v>3664.561</x:v>
      </x:c>
      <x:c r="C1874" s="12" t="n">
        <x:v>3630.2233</x:v>
      </x:c>
      <x:c r="D1874" s="12" t="n">
        <x:v>0.9459</x:v>
      </x:c>
      <x:c r="E1874" s="12" t="n">
        <x:v>0.009414384908953369</x:v>
      </x:c>
      <x:c r="F1874" s="12" t="n">
        <x:v>3.14</x:v>
      </x:c>
      <x:c r="G1874" s="12" t="n">
        <x:v>314</x:v>
      </x:c>
      <x:c r="H1874" s="12" t="n">
        <x:v>4</x:v>
      </x:c>
      <x:c r="I1874" s="12" t="str">
        <x:v>TuShare index_daily</x:v>
      </x:c>
      <x:c r="J1874" s="12" t="str">
        <x:v>FRED current rolling window</x:v>
      </x:c>
    </x:row>
    <x:row r="1875" ht="18" customHeight="1">
      <x:c r="A1875" s="13" t="n">
        <x:v>45422</x:v>
      </x:c>
      <x:c r="B1875" s="12" t="n">
        <x:v>3666.2771</x:v>
      </x:c>
      <x:c r="C1875" s="12" t="n">
        <x:v>3664.561</x:v>
      </x:c>
      <x:c r="D1875" s="12" t="n">
        <x:v>0.0468</x:v>
      </x:c>
      <x:c r="E1875" s="12" t="n">
        <x:v>0.0004681865860184892</x:v>
      </x:c>
      <x:c r="F1875" s="12" t="n">
        <x:v>3.12</x:v>
      </x:c>
      <x:c r="G1875" s="12" t="n">
        <x:v>312</x:v>
      </x:c>
      <x:c r="H1875" s="12" t="n">
        <x:v>-2</x:v>
      </x:c>
      <x:c r="I1875" s="12" t="str">
        <x:v>TuShare index_daily</x:v>
      </x:c>
      <x:c r="J1875" s="12" t="str">
        <x:v>FRED current rolling window</x:v>
      </x:c>
    </x:row>
    <x:row r="1876" ht="18" customHeight="1">
      <x:c r="A1876" s="13" t="n">
        <x:v>45425</x:v>
      </x:c>
      <x:c r="B1876" s="12" t="n">
        <x:v>3664.6907</x:v>
      </x:c>
      <x:c r="C1876" s="12" t="n">
        <x:v>3666.2771</x:v>
      </x:c>
      <x:c r="D1876" s="12" t="n">
        <x:v>-0.0433</x:v>
      </x:c>
      <x:c r="E1876" s="12" t="n">
        <x:v>-0.00043279415980033276</x:v>
      </x:c>
      <x:c r="F1876" s="12" t="n">
        <x:v>3.14</x:v>
      </x:c>
      <x:c r="G1876" s="12" t="n">
        <x:v>314</x:v>
      </x:c>
      <x:c r="H1876" s="12" t="n">
        <x:v>2</x:v>
      </x:c>
      <x:c r="I1876" s="12" t="str">
        <x:v>TuShare index_daily</x:v>
      </x:c>
      <x:c r="J1876" s="12" t="str">
        <x:v>FRED current rolling window</x:v>
      </x:c>
    </x:row>
    <x:row r="1877" ht="18" customHeight="1">
      <x:c r="A1877" s="13" t="n">
        <x:v>45426</x:v>
      </x:c>
      <x:c r="B1877" s="12" t="n">
        <x:v>3657.0454</x:v>
      </x:c>
      <x:c r="C1877" s="12" t="n">
        <x:v>3664.6907</x:v>
      </x:c>
      <x:c r="D1877" s="12" t="n">
        <x:v>-0.2086</x:v>
      </x:c>
      <x:c r="E1877" s="12" t="n">
        <x:v>-0.0020883852338393584</x:v>
      </x:c>
      <x:c r="F1877" s="12" t="n">
        <x:v>3.14</x:v>
      </x:c>
      <x:c r="G1877" s="12" t="n">
        <x:v>314</x:v>
      </x:c>
      <x:c r="H1877" s="12" t="n">
        <x:v>0</x:v>
      </x:c>
      <x:c r="I1877" s="12" t="str">
        <x:v>TuShare index_daily</x:v>
      </x:c>
      <x:c r="J1877" s="12" t="str">
        <x:v>FRED current rolling window</x:v>
      </x:c>
    </x:row>
    <x:row r="1878" ht="18" customHeight="1">
      <x:c r="A1878" s="13" t="n">
        <x:v>45427</x:v>
      </x:c>
      <x:c r="B1878" s="12" t="n">
        <x:v>3626.0559</x:v>
      </x:c>
      <x:c r="C1878" s="12" t="n">
        <x:v>3657.0454</x:v>
      </x:c>
      <x:c r="D1878" s="12" t="n">
        <x:v>-0.8474</x:v>
      </x:c>
      <x:c r="E1878" s="12" t="n">
        <x:v>-0.008510024986955377</x:v>
      </x:c>
      <x:c r="F1878" s="12" t="n">
        <x:v>3.13</x:v>
      </x:c>
      <x:c r="G1878" s="12" t="n">
        <x:v>313</x:v>
      </x:c>
      <x:c r="H1878" s="12" t="n">
        <x:v>-1</x:v>
      </x:c>
      <x:c r="I1878" s="12" t="str">
        <x:v>TuShare index_daily</x:v>
      </x:c>
      <x:c r="J1878" s="12" t="str">
        <x:v>FRED current rolling window</x:v>
      </x:c>
    </x:row>
    <x:row r="1879" ht="18" customHeight="1">
      <x:c r="A1879" s="13" t="n">
        <x:v>45428</x:v>
      </x:c>
      <x:c r="B1879" s="12" t="n">
        <x:v>3640.3592</x:v>
      </x:c>
      <x:c r="C1879" s="12" t="n">
        <x:v>3626.0559</x:v>
      </x:c>
      <x:c r="D1879" s="12" t="n">
        <x:v>0.3945</x:v>
      </x:c>
      <x:c r="E1879" s="12" t="n">
        <x:v>0.003936829447977233</x:v>
      </x:c>
      <x:c r="F1879" s="12" t="n">
        <x:v>3.08</x:v>
      </x:c>
      <x:c r="G1879" s="12" t="n">
        <x:v>308</x:v>
      </x:c>
      <x:c r="H1879" s="12" t="n">
        <x:v>-5</x:v>
      </x:c>
      <x:c r="I1879" s="12" t="str">
        <x:v>TuShare index_daily</x:v>
      </x:c>
      <x:c r="J1879" s="12" t="str">
        <x:v>FRED current rolling window</x:v>
      </x:c>
    </x:row>
    <x:row r="1880" ht="18" customHeight="1">
      <x:c r="A1880" s="13" t="n">
        <x:v>45429</x:v>
      </x:c>
      <x:c r="B1880" s="12" t="n">
        <x:v>3677.9696</x:v>
      </x:c>
      <x:c r="C1880" s="12" t="n">
        <x:v>3640.3592</x:v>
      </x:c>
      <x:c r="D1880" s="12" t="n">
        <x:v>1.0332</x:v>
      </x:c>
      <x:c r="E1880" s="12" t="n">
        <x:v>0.010278502687711856</x:v>
      </x:c>
      <x:c r="F1880" s="12" t="n">
        <x:v>3.09</x:v>
      </x:c>
      <x:c r="G1880" s="12" t="n">
        <x:v>309</x:v>
      </x:c>
      <x:c r="H1880" s="12" t="n">
        <x:v>1</x:v>
      </x:c>
      <x:c r="I1880" s="12" t="str">
        <x:v>TuShare index_daily</x:v>
      </x:c>
      <x:c r="J1880" s="12" t="str">
        <x:v>FRED current rolling window</x:v>
      </x:c>
    </x:row>
    <x:row r="1881" ht="18" customHeight="1">
      <x:c r="A1881" s="13" t="n">
        <x:v>45432</x:v>
      </x:c>
      <x:c r="B1881" s="12" t="n">
        <x:v>3690.9623</x:v>
      </x:c>
      <x:c r="C1881" s="12" t="n">
        <x:v>3677.9696</x:v>
      </x:c>
      <x:c r="D1881" s="12" t="n">
        <x:v>0.3533</x:v>
      </x:c>
      <x:c r="E1881" s="12" t="n">
        <x:v>0.0035263491751993527</x:v>
      </x:c>
      <x:c r="F1881" s="12" t="n">
        <x:v>3.07</x:v>
      </x:c>
      <x:c r="G1881" s="12" t="n">
        <x:v>307</x:v>
      </x:c>
      <x:c r="H1881" s="12" t="n">
        <x:v>-2</x:v>
      </x:c>
      <x:c r="I1881" s="12" t="str">
        <x:v>TuShare index_daily</x:v>
      </x:c>
      <x:c r="J1881" s="12" t="str">
        <x:v>FRED current rolling window</x:v>
      </x:c>
    </x:row>
    <x:row r="1882" ht="18" customHeight="1">
      <x:c r="A1882" s="13" t="n">
        <x:v>45433</x:v>
      </x:c>
      <x:c r="B1882" s="12" t="n">
        <x:v>3676.1611</x:v>
      </x:c>
      <x:c r="C1882" s="12" t="n">
        <x:v>3690.9623</x:v>
      </x:c>
      <x:c r="D1882" s="12" t="n">
        <x:v>-0.401</x:v>
      </x:c>
      <x:c r="E1882" s="12" t="n">
        <x:v>-0.00401818161882359</x:v>
      </x:c>
      <x:c r="F1882" s="12" t="n">
        <x:v>3.07</x:v>
      </x:c>
      <x:c r="G1882" s="12" t="n">
        <x:v>307</x:v>
      </x:c>
      <x:c r="H1882" s="12" t="n">
        <x:v>0</x:v>
      </x:c>
      <x:c r="I1882" s="12" t="str">
        <x:v>TuShare index_daily</x:v>
      </x:c>
      <x:c r="J1882" s="12" t="str">
        <x:v>FRED current rolling window</x:v>
      </x:c>
    </x:row>
    <x:row r="1883" ht="18" customHeight="1">
      <x:c r="A1883" s="13" t="n">
        <x:v>45434</x:v>
      </x:c>
      <x:c r="B1883" s="12" t="n">
        <x:v>3684.451</x:v>
      </x:c>
      <x:c r="C1883" s="12" t="n">
        <x:v>3676.1611</x:v>
      </x:c>
      <x:c r="D1883" s="12" t="n">
        <x:v>0.2255</x:v>
      </x:c>
      <x:c r="E1883" s="12" t="n">
        <x:v>0.0022525038386657214</x:v>
      </x:c>
      <x:c r="F1883" s="12" t="n">
        <x:v>3.11</x:v>
      </x:c>
      <x:c r="G1883" s="12" t="n">
        <x:v>311</x:v>
      </x:c>
      <x:c r="H1883" s="12" t="n">
        <x:v>4</x:v>
      </x:c>
      <x:c r="I1883" s="12" t="str">
        <x:v>TuShare index_daily</x:v>
      </x:c>
      <x:c r="J1883" s="12" t="str">
        <x:v>FRED current rolling window</x:v>
      </x:c>
    </x:row>
    <x:row r="1884" ht="18" customHeight="1">
      <x:c r="A1884" s="13" t="n">
        <x:v>45435</x:v>
      </x:c>
      <x:c r="B1884" s="12" t="n">
        <x:v>3641.7917</x:v>
      </x:c>
      <x:c r="C1884" s="12" t="n">
        <x:v>3684.451</x:v>
      </x:c>
      <x:c r="D1884" s="12" t="n">
        <x:v>-1.1578</x:v>
      </x:c>
      <x:c r="E1884" s="12" t="n">
        <x:v>-0.01164574636115049</x:v>
      </x:c>
      <x:c r="F1884" s="12" t="n">
        <x:v>3.1</x:v>
      </x:c>
      <x:c r="G1884" s="12" t="n">
        <x:v>310</x:v>
      </x:c>
      <x:c r="H1884" s="12" t="n">
        <x:v>-1</x:v>
      </x:c>
      <x:c r="I1884" s="12" t="str">
        <x:v>TuShare index_daily</x:v>
      </x:c>
      <x:c r="J1884" s="12" t="str">
        <x:v>FRED current rolling window</x:v>
      </x:c>
    </x:row>
    <x:row r="1885" ht="18" customHeight="1">
      <x:c r="A1885" s="13" t="n">
        <x:v>45436</x:v>
      </x:c>
      <x:c r="B1885" s="12" t="n">
        <x:v>3601.4754</x:v>
      </x:c>
      <x:c r="C1885" s="12" t="n">
        <x:v>3641.7917</x:v>
      </x:c>
      <x:c r="D1885" s="12" t="n">
        <x:v>-1.107</x:v>
      </x:c>
      <x:c r="E1885" s="12" t="n">
        <x:v>-0.011132190983596793</x:v>
      </x:c>
      <x:c r="F1885" s="12" t="n">
        <x:v>3.11</x:v>
      </x:c>
      <x:c r="G1885" s="12" t="n">
        <x:v>311</x:v>
      </x:c>
      <x:c r="H1885" s="12" t="n">
        <x:v>1</x:v>
      </x:c>
      <x:c r="I1885" s="12" t="str">
        <x:v>TuShare index_daily</x:v>
      </x:c>
      <x:c r="J1885" s="12" t="str">
        <x:v>FRED current rolling window</x:v>
      </x:c>
    </x:row>
    <x:row r="1886" ht="18" customHeight="1">
      <x:c r="A1886" s="13" t="n">
        <x:v>45439</x:v>
      </x:c>
      <x:c r="B1886" s="12" t="n">
        <x:v>3635.7079</x:v>
      </x:c>
      <x:c r="C1886" s="12" t="n">
        <x:v>3601.4754</x:v>
      </x:c>
      <x:c r="D1886" s="12" t="n">
        <x:v>0.9505</x:v>
      </x:c>
      <x:c r="E1886" s="12" t="n">
        <x:v>0.009460242717951572</x:v>
      </x:c>
      <x:c r="F1886" s="12" t="n">
        <x:v>3.12</x:v>
      </x:c>
      <x:c r="G1886" s="12" t="n">
        <x:v>312</x:v>
      </x:c>
      <x:c r="H1886" s="12" t="n">
        <x:v>1</x:v>
      </x:c>
      <x:c r="I1886" s="12" t="str">
        <x:v>TuShare index_daily</x:v>
      </x:c>
      <x:c r="J1886" s="12" t="str">
        <x:v>FRED current rolling window</x:v>
      </x:c>
    </x:row>
    <x:row r="1887" ht="18" customHeight="1">
      <x:c r="A1887" s="13" t="n">
        <x:v>45440</x:v>
      </x:c>
      <x:c r="B1887" s="12" t="n">
        <x:v>3609.1724</x:v>
      </x:c>
      <x:c r="C1887" s="12" t="n">
        <x:v>3635.7079</x:v>
      </x:c>
      <x:c r="D1887" s="12" t="n">
        <x:v>-0.7299</x:v>
      </x:c>
      <x:c r="E1887" s="12" t="n">
        <x:v>-0.007325343569654487</x:v>
      </x:c>
      <x:c r="F1887" s="12" t="n">
        <x:v>3.09</x:v>
      </x:c>
      <x:c r="G1887" s="12" t="n">
        <x:v>309</x:v>
      </x:c>
      <x:c r="H1887" s="12" t="n">
        <x:v>-3</x:v>
      </x:c>
      <x:c r="I1887" s="12" t="str">
        <x:v>TuShare index_daily</x:v>
      </x:c>
      <x:c r="J1887" s="12" t="str">
        <x:v>FRED current rolling window</x:v>
      </x:c>
    </x:row>
    <x:row r="1888" ht="18" customHeight="1">
      <x:c r="A1888" s="13" t="n">
        <x:v>45441</x:v>
      </x:c>
      <x:c r="B1888" s="12" t="n">
        <x:v>3613.5223</x:v>
      </x:c>
      <x:c r="C1888" s="12" t="n">
        <x:v>3609.1724</x:v>
      </x:c>
      <x:c r="D1888" s="12" t="n">
        <x:v>0.1205</x:v>
      </x:c>
      <x:c r="E1888" s="12" t="n">
        <x:v>0.0012045090389653562</x:v>
      </x:c>
      <x:c r="F1888" s="12" t="n">
        <x:v>3.15</x:v>
      </x:c>
      <x:c r="G1888" s="12" t="n">
        <x:v>315</x:v>
      </x:c>
      <x:c r="H1888" s="12" t="n">
        <x:v>6</x:v>
      </x:c>
      <x:c r="I1888" s="12" t="str">
        <x:v>TuShare index_daily</x:v>
      </x:c>
      <x:c r="J1888" s="12" t="str">
        <x:v>FRED current rolling window</x:v>
      </x:c>
    </x:row>
    <x:row r="1889" ht="18" customHeight="1">
      <x:c r="A1889" s="13" t="n">
        <x:v>45442</x:v>
      </x:c>
      <x:c r="B1889" s="12" t="n">
        <x:v>3594.3121</x:v>
      </x:c>
      <x:c r="C1889" s="12" t="n">
        <x:v>3613.5223</x:v>
      </x:c>
      <x:c r="D1889" s="12" t="n">
        <x:v>-0.5316</x:v>
      </x:c>
      <x:c r="E1889" s="12" t="n">
        <x:v>-0.005330379256448552</x:v>
      </x:c>
      <x:c r="F1889" s="12" t="n">
        <x:v>3.19</x:v>
      </x:c>
      <x:c r="G1889" s="12" t="n">
        <x:v>319</x:v>
      </x:c>
      <x:c r="H1889" s="12" t="n">
        <x:v>4</x:v>
      </x:c>
      <x:c r="I1889" s="12" t="str">
        <x:v>TuShare index_daily</x:v>
      </x:c>
      <x:c r="J1889" s="12" t="str">
        <x:v>FRED current rolling window</x:v>
      </x:c>
    </x:row>
    <x:row r="1890" ht="18" customHeight="1">
      <x:c r="A1890" s="13" t="n">
        <x:v>45443</x:v>
      </x:c>
      <x:c r="B1890" s="12" t="n">
        <x:v>3579.9247</x:v>
      </x:c>
      <x:c r="C1890" s="12" t="n">
        <x:v>3594.3121</x:v>
      </x:c>
      <x:c r="D1890" s="12" t="n">
        <x:v>-0.4003</x:v>
      </x:c>
      <x:c r="E1890" s="12" t="n">
        <x:v>-0.00401085709562117</x:v>
      </x:c>
      <x:c r="F1890" s="12" t="n">
        <x:v>3.2</x:v>
      </x:c>
      <x:c r="G1890" s="12" t="n">
        <x:v>320</x:v>
      </x:c>
      <x:c r="H1890" s="12" t="n">
        <x:v>1</x:v>
      </x:c>
      <x:c r="I1890" s="12" t="str">
        <x:v>TuShare index_daily</x:v>
      </x:c>
      <x:c r="J1890" s="12" t="str">
        <x:v>FRED current rolling window</x:v>
      </x:c>
    </x:row>
    <x:row r="1891" ht="18" customHeight="1">
      <x:c r="A1891" s="13" t="n">
        <x:v>45446</x:v>
      </x:c>
      <x:c r="B1891" s="12" t="n">
        <x:v>3588.7483</x:v>
      </x:c>
      <x:c r="C1891" s="12" t="n">
        <x:v>3579.9247</x:v>
      </x:c>
      <x:c r="D1891" s="12" t="n">
        <x:v>0.2465</x:v>
      </x:c>
      <x:c r="E1891" s="12" t="n">
        <x:v>0.0024617120786335107</x:v>
      </x:c>
      <x:c r="F1891" s="12" t="n">
        <x:v>3.17</x:v>
      </x:c>
      <x:c r="G1891" s="12" t="n">
        <x:v>317</x:v>
      </x:c>
      <x:c r="H1891" s="12" t="n">
        <x:v>-3</x:v>
      </x:c>
      <x:c r="I1891" s="12" t="str">
        <x:v>TuShare index_daily</x:v>
      </x:c>
      <x:c r="J1891" s="12" t="str">
        <x:v>FRED current rolling window</x:v>
      </x:c>
    </x:row>
    <x:row r="1892" ht="18" customHeight="1">
      <x:c r="A1892" s="13" t="n">
        <x:v>45447</x:v>
      </x:c>
      <x:c r="B1892" s="12" t="n">
        <x:v>3615.6714</x:v>
      </x:c>
      <x:c r="C1892" s="12" t="n">
        <x:v>3588.7483</x:v>
      </x:c>
      <x:c r="D1892" s="12" t="n">
        <x:v>0.7502</x:v>
      </x:c>
      <x:c r="E1892" s="12" t="n">
        <x:v>0.007474085756360476</x:v>
      </x:c>
      <x:c r="F1892" s="12" t="n">
        <x:v>3.22</x:v>
      </x:c>
      <x:c r="G1892" s="12" t="n">
        <x:v>322</x:v>
      </x:c>
      <x:c r="H1892" s="12" t="n">
        <x:v>5</x:v>
      </x:c>
      <x:c r="I1892" s="12" t="str">
        <x:v>TuShare index_daily</x:v>
      </x:c>
      <x:c r="J1892" s="12" t="str">
        <x:v>FRED current rolling window</x:v>
      </x:c>
    </x:row>
    <x:row r="1893" ht="18" customHeight="1">
      <x:c r="A1893" s="13" t="n">
        <x:v>45448</x:v>
      </x:c>
      <x:c r="B1893" s="12" t="n">
        <x:v>3594.7936</x:v>
      </x:c>
      <x:c r="C1893" s="12" t="n">
        <x:v>3615.6714</x:v>
      </x:c>
      <x:c r="D1893" s="12" t="n">
        <x:v>-0.5774</x:v>
      </x:c>
      <x:c r="E1893" s="12" t="n">
        <x:v>-0.005790988055739421</x:v>
      </x:c>
      <x:c r="F1893" s="12" t="n">
        <x:v>3.2</x:v>
      </x:c>
      <x:c r="G1893" s="12" t="n">
        <x:v>320</x:v>
      </x:c>
      <x:c r="H1893" s="12" t="n">
        <x:v>-2</x:v>
      </x:c>
      <x:c r="I1893" s="12" t="str">
        <x:v>TuShare index_daily</x:v>
      </x:c>
      <x:c r="J1893" s="12" t="str">
        <x:v>FRED current rolling window</x:v>
      </x:c>
    </x:row>
    <x:row r="1894" ht="18" customHeight="1">
      <x:c r="A1894" s="13" t="n">
        <x:v>45449</x:v>
      </x:c>
      <x:c r="B1894" s="12" t="n">
        <x:v>3592.2454</x:v>
      </x:c>
      <x:c r="C1894" s="12" t="n">
        <x:v>3594.7936</x:v>
      </x:c>
      <x:c r="D1894" s="12" t="n">
        <x:v>-0.0709</x:v>
      </x:c>
      <x:c r="E1894" s="12" t="n">
        <x:v>-0.0007091098592278275</x:v>
      </x:c>
      <x:c r="F1894" s="12" t="n">
        <x:v>3.2</x:v>
      </x:c>
      <x:c r="G1894" s="12" t="n">
        <x:v>320</x:v>
      </x:c>
      <x:c r="H1894" s="12" t="n">
        <x:v>0</x:v>
      </x:c>
      <x:c r="I1894" s="12" t="str">
        <x:v>TuShare index_daily</x:v>
      </x:c>
      <x:c r="J1894" s="12" t="str">
        <x:v>FRED current rolling window</x:v>
      </x:c>
    </x:row>
    <x:row r="1895" ht="18" customHeight="1">
      <x:c r="A1895" s="13" t="n">
        <x:v>45450</x:v>
      </x:c>
      <x:c r="B1895" s="12" t="n">
        <x:v>3574.1143</x:v>
      </x:c>
      <x:c r="C1895" s="12" t="n">
        <x:v>3592.2454</x:v>
      </x:c>
      <x:c r="D1895" s="12" t="n">
        <x:v>-0.5047</x:v>
      </x:c>
      <x:c r="E1895" s="12" t="n">
        <x:v>-0.0050600693923201785</x:v>
      </x:c>
      <x:c r="F1895" s="12" t="n">
        <x:v>3.15</x:v>
      </x:c>
      <x:c r="G1895" s="12" t="n">
        <x:v>315</x:v>
      </x:c>
      <x:c r="H1895" s="12" t="n">
        <x:v>-5</x:v>
      </x:c>
      <x:c r="I1895" s="12" t="str">
        <x:v>TuShare index_daily</x:v>
      </x:c>
      <x:c r="J1895" s="12" t="str">
        <x:v>FRED current rolling window</x:v>
      </x:c>
    </x:row>
    <x:row r="1896" ht="18" customHeight="1">
      <x:c r="A1896" s="13" t="n">
        <x:v>45454</x:v>
      </x:c>
      <x:c r="B1896" s="12" t="n">
        <x:v>3542.8771</x:v>
      </x:c>
      <x:c r="C1896" s="12" t="n">
        <x:v>3574.1143</x:v>
      </x:c>
      <x:c r="D1896" s="12" t="n">
        <x:v>-0.874</x:v>
      </x:c>
      <x:c r="E1896" s="12" t="n">
        <x:v>-0.008778260035281154</x:v>
      </x:c>
      <x:c r="F1896" s="12" t="n">
        <x:v>3.19</x:v>
      </x:c>
      <x:c r="G1896" s="12" t="n">
        <x:v>319</x:v>
      </x:c>
      <x:c r="H1896" s="12" t="n">
        <x:v>4</x:v>
      </x:c>
      <x:c r="I1896" s="12" t="str">
        <x:v>TuShare index_daily</x:v>
      </x:c>
      <x:c r="J1896" s="12" t="str">
        <x:v>FRED current rolling window</x:v>
      </x:c>
    </x:row>
    <x:row r="1897" ht="18" customHeight="1">
      <x:c r="A1897" s="13" t="n">
        <x:v>45455</x:v>
      </x:c>
      <x:c r="B1897" s="12" t="n">
        <x:v>3544.1225</x:v>
      </x:c>
      <x:c r="C1897" s="12" t="n">
        <x:v>3542.8771</x:v>
      </x:c>
      <x:c r="D1897" s="12" t="n">
        <x:v>0.0352</x:v>
      </x:c>
      <x:c r="E1897" s="12" t="n">
        <x:v>0.00035146044394283323</x:v>
      </x:c>
      <x:c r="F1897" s="12" t="n">
        <x:v>3.09</x:v>
      </x:c>
      <x:c r="G1897" s="12" t="n">
        <x:v>309</x:v>
      </x:c>
      <x:c r="H1897" s="12" t="n">
        <x:v>-10</x:v>
      </x:c>
      <x:c r="I1897" s="12" t="str">
        <x:v>TuShare index_daily</x:v>
      </x:c>
      <x:c r="J1897" s="12" t="str">
        <x:v>FRED current rolling window</x:v>
      </x:c>
    </x:row>
    <x:row r="1898" ht="18" customHeight="1">
      <x:c r="A1898" s="13" t="n">
        <x:v>45456</x:v>
      </x:c>
      <x:c r="B1898" s="12" t="n">
        <x:v>3526.1306</x:v>
      </x:c>
      <x:c r="C1898" s="12" t="n">
        <x:v>3544.1225</x:v>
      </x:c>
      <x:c r="D1898" s="12" t="n">
        <x:v>-0.5077</x:v>
      </x:c>
      <x:c r="E1898" s="12" t="n">
        <x:v>-0.005089475180636833</x:v>
      </x:c>
      <x:c r="F1898" s="12" t="n">
        <x:v>3.2</x:v>
      </x:c>
      <x:c r="G1898" s="12" t="n">
        <x:v>320</x:v>
      </x:c>
      <x:c r="H1898" s="12" t="n">
        <x:v>11</x:v>
      </x:c>
      <x:c r="I1898" s="12" t="str">
        <x:v>TuShare index_daily</x:v>
      </x:c>
      <x:c r="J1898" s="12" t="str">
        <x:v>FRED current rolling window</x:v>
      </x:c>
    </x:row>
    <x:row r="1899" ht="18" customHeight="1">
      <x:c r="A1899" s="13" t="n">
        <x:v>45457</x:v>
      </x:c>
      <x:c r="B1899" s="12" t="n">
        <x:v>3541.5331</x:v>
      </x:c>
      <x:c r="C1899" s="12" t="n">
        <x:v>3526.1306</x:v>
      </x:c>
      <x:c r="D1899" s="12" t="n">
        <x:v>0.4368</x:v>
      </x:c>
      <x:c r="E1899" s="12" t="n">
        <x:v>0.004358590062463737</x:v>
      </x:c>
      <x:c r="F1899" s="12" t="n">
        <x:v>3.29</x:v>
      </x:c>
      <x:c r="G1899" s="12" t="n">
        <x:v>329</x:v>
      </x:c>
      <x:c r="H1899" s="12" t="n">
        <x:v>9</x:v>
      </x:c>
      <x:c r="I1899" s="12" t="str">
        <x:v>TuShare index_daily</x:v>
      </x:c>
      <x:c r="J1899" s="12" t="str">
        <x:v>FRED current rolling window</x:v>
      </x:c>
    </x:row>
    <x:row r="1900" ht="18" customHeight="1">
      <x:c r="A1900" s="13" t="n">
        <x:v>45460</x:v>
      </x:c>
      <x:c r="B1900" s="12" t="n">
        <x:v>3536.1986</x:v>
      </x:c>
      <x:c r="C1900" s="12" t="n">
        <x:v>3541.5331</x:v>
      </x:c>
      <x:c r="D1900" s="12" t="n">
        <x:v>-0.1506</x:v>
      </x:c>
      <x:c r="E1900" s="12" t="n">
        <x:v>-0.001507404133478877</x:v>
      </x:c>
      <x:c r="F1900" s="12" t="n">
        <x:v>3.26</x:v>
      </x:c>
      <x:c r="G1900" s="12" t="n">
        <x:v>326</x:v>
      </x:c>
      <x:c r="H1900" s="12" t="n">
        <x:v>-3</x:v>
      </x:c>
      <x:c r="I1900" s="12" t="str">
        <x:v>TuShare index_daily</x:v>
      </x:c>
      <x:c r="J1900" s="12" t="str">
        <x:v>FRED current rolling window</x:v>
      </x:c>
    </x:row>
    <x:row r="1901" ht="18" customHeight="1">
      <x:c r="A1901" s="13" t="n">
        <x:v>45461</x:v>
      </x:c>
      <x:c r="B1901" s="12" t="n">
        <x:v>3545.5902</x:v>
      </x:c>
      <x:c r="C1901" s="12" t="n">
        <x:v>3536.1986</x:v>
      </x:c>
      <x:c r="D1901" s="12" t="n">
        <x:v>0.2656</x:v>
      </x:c>
      <x:c r="E1901" s="12" t="n">
        <x:v>0.002652325781218718</x:v>
      </x:c>
      <x:c r="F1901" s="12" t="n">
        <x:v>3.24</x:v>
      </x:c>
      <x:c r="G1901" s="12" t="n">
        <x:v>324</x:v>
      </x:c>
      <x:c r="H1901" s="12" t="n">
        <x:v>-2</x:v>
      </x:c>
      <x:c r="I1901" s="12" t="str">
        <x:v>TuShare index_daily</x:v>
      </x:c>
      <x:c r="J1901" s="12" t="str">
        <x:v>FRED current rolling window</x:v>
      </x:c>
    </x:row>
    <x:row r="1902" ht="18" customHeight="1">
      <x:c r="A1902" s="13" t="n">
        <x:v>45462</x:v>
      </x:c>
      <x:c r="B1902" s="12" t="n">
        <x:v>3528.749</x:v>
      </x:c>
      <x:c r="C1902" s="12" t="n">
        <x:v>3545.5902</x:v>
      </x:c>
      <x:c r="D1902" s="12" t="n">
        <x:v>-0.475</x:v>
      </x:c>
      <x:c r="E1902" s="12" t="n">
        <x:v>-0.004761216938729962</x:v>
      </x:c>
      <x:c r="F1902" s="12" t="n">
        <x:v>3.24</x:v>
      </x:c>
      <x:c r="G1902" s="12" t="n">
        <x:v>324</x:v>
      </x:c>
      <x:c r="H1902" s="12" t="n">
        <x:v>0</x:v>
      </x:c>
      <x:c r="I1902" s="12" t="str">
        <x:v>TuShare index_daily</x:v>
      </x:c>
      <x:c r="J1902" s="12" t="str">
        <x:v>FRED current rolling window</x:v>
      </x:c>
    </x:row>
    <x:row r="1903" ht="18" customHeight="1">
      <x:c r="A1903" s="13" t="n">
        <x:v>45463</x:v>
      </x:c>
      <x:c r="B1903" s="12" t="n">
        <x:v>3503.2817</x:v>
      </x:c>
      <x:c r="C1903" s="12" t="n">
        <x:v>3528.749</x:v>
      </x:c>
      <x:c r="D1903" s="12" t="n">
        <x:v>-0.7217</x:v>
      </x:c>
      <x:c r="E1903" s="12" t="n">
        <x:v>-0.007243259431347746</x:v>
      </x:c>
      <x:c r="F1903" s="12" t="n">
        <x:v>3.23</x:v>
      </x:c>
      <x:c r="G1903" s="12" t="n">
        <x:v>323</x:v>
      </x:c>
      <x:c r="H1903" s="12" t="n">
        <x:v>-1</x:v>
      </x:c>
      <x:c r="I1903" s="12" t="str">
        <x:v>TuShare index_daily</x:v>
      </x:c>
      <x:c r="J1903" s="12" t="str">
        <x:v>FRED current rolling window</x:v>
      </x:c>
    </x:row>
    <x:row r="1904" ht="18" customHeight="1">
      <x:c r="A1904" s="13" t="n">
        <x:v>45464</x:v>
      </x:c>
      <x:c r="B1904" s="12" t="n">
        <x:v>3495.6198</x:v>
      </x:c>
      <x:c r="C1904" s="12" t="n">
        <x:v>3503.2817</x:v>
      </x:c>
      <x:c r="D1904" s="12" t="n">
        <x:v>-0.2187</x:v>
      </x:c>
      <x:c r="E1904" s="12" t="n">
        <x:v>-0.002189458748849752</x:v>
      </x:c>
      <x:c r="F1904" s="12" t="n">
        <x:v>3.21</x:v>
      </x:c>
      <x:c r="G1904" s="12" t="n">
        <x:v>321</x:v>
      </x:c>
      <x:c r="H1904" s="12" t="n">
        <x:v>-2</x:v>
      </x:c>
      <x:c r="I1904" s="12" t="str">
        <x:v>TuShare index_daily</x:v>
      </x:c>
      <x:c r="J1904" s="12" t="str">
        <x:v>FRED current rolling window</x:v>
      </x:c>
    </x:row>
    <x:row r="1905" ht="18" customHeight="1">
      <x:c r="A1905" s="13" t="n">
        <x:v>45467</x:v>
      </x:c>
      <x:c r="B1905" s="12" t="n">
        <x:v>3476.8102</x:v>
      </x:c>
      <x:c r="C1905" s="12" t="n">
        <x:v>3495.6198</x:v>
      </x:c>
      <x:c r="D1905" s="12" t="n">
        <x:v>-0.5381</x:v>
      </x:c>
      <x:c r="E1905" s="12" t="n">
        <x:v>-0.005395434770963799</x:v>
      </x:c>
      <x:c r="F1905" s="12" t="n">
        <x:v>3.19</x:v>
      </x:c>
      <x:c r="G1905" s="12" t="n">
        <x:v>319</x:v>
      </x:c>
      <x:c r="H1905" s="12" t="n">
        <x:v>-2</x:v>
      </x:c>
      <x:c r="I1905" s="12" t="str">
        <x:v>TuShare index_daily</x:v>
      </x:c>
      <x:c r="J1905" s="12" t="str">
        <x:v>FRED current rolling window</x:v>
      </x:c>
    </x:row>
    <x:row r="1906" ht="18" customHeight="1">
      <x:c r="A1906" s="13" t="n">
        <x:v>45468</x:v>
      </x:c>
      <x:c r="B1906" s="12" t="n">
        <x:v>3457.9023</x:v>
      </x:c>
      <x:c r="C1906" s="12" t="n">
        <x:v>3476.8102</x:v>
      </x:c>
      <x:c r="D1906" s="12" t="n">
        <x:v>-0.5438</x:v>
      </x:c>
      <x:c r="E1906" s="12" t="n">
        <x:v>-0.005453130711547871</x:v>
      </x:c>
      <x:c r="F1906" s="12" t="n">
        <x:v>3.19</x:v>
      </x:c>
      <x:c r="G1906" s="12" t="n">
        <x:v>319</x:v>
      </x:c>
      <x:c r="H1906" s="12" t="n">
        <x:v>0</x:v>
      </x:c>
      <x:c r="I1906" s="12" t="str">
        <x:v>TuShare index_daily</x:v>
      </x:c>
      <x:c r="J1906" s="12" t="str">
        <x:v>FRED current rolling window</x:v>
      </x:c>
    </x:row>
    <x:row r="1907" ht="18" customHeight="1">
      <x:c r="A1907" s="13" t="n">
        <x:v>45469</x:v>
      </x:c>
      <x:c r="B1907" s="12" t="n">
        <x:v>3480.2648</x:v>
      </x:c>
      <x:c r="C1907" s="12" t="n">
        <x:v>3457.9023</x:v>
      </x:c>
      <x:c r="D1907" s="12" t="n">
        <x:v>0.6467</x:v>
      </x:c>
      <x:c r="E1907" s="12" t="n">
        <x:v>0.0064462493092157</x:v>
      </x:c>
      <x:c r="F1907" s="12" t="n">
        <x:v>3.18</x:v>
      </x:c>
      <x:c r="G1907" s="12" t="n">
        <x:v>318</x:v>
      </x:c>
      <x:c r="H1907" s="12" t="n">
        <x:v>-1</x:v>
      </x:c>
      <x:c r="I1907" s="12" t="str">
        <x:v>TuShare index_daily</x:v>
      </x:c>
      <x:c r="J1907" s="12" t="str">
        <x:v>FRED current rolling window</x:v>
      </x:c>
    </x:row>
    <x:row r="1908" ht="18" customHeight="1">
      <x:c r="A1908" s="13" t="n">
        <x:v>45470</x:v>
      </x:c>
      <x:c r="B1908" s="12" t="n">
        <x:v>3454.1175</x:v>
      </x:c>
      <x:c r="C1908" s="12" t="n">
        <x:v>3480.2648</x:v>
      </x:c>
      <x:c r="D1908" s="12" t="n">
        <x:v>-0.7513</x:v>
      </x:c>
      <x:c r="E1908" s="12" t="n">
        <x:v>-0.007541385170448812</x:v>
      </x:c>
      <x:c r="F1908" s="12" t="n">
        <x:v>3.21</x:v>
      </x:c>
      <x:c r="G1908" s="12" t="n">
        <x:v>321</x:v>
      </x:c>
      <x:c r="H1908" s="12" t="n">
        <x:v>3</x:v>
      </x:c>
      <x:c r="I1908" s="12" t="str">
        <x:v>TuShare index_daily</x:v>
      </x:c>
      <x:c r="J1908" s="12" t="str">
        <x:v>FRED current rolling window</x:v>
      </x:c>
    </x:row>
    <x:row r="1909" ht="18" customHeight="1">
      <x:c r="A1909" s="13" t="n">
        <x:v>45471</x:v>
      </x:c>
      <x:c r="B1909" s="12" t="n">
        <x:v>3461.657</x:v>
      </x:c>
      <x:c r="C1909" s="12" t="n">
        <x:v>3454.1175</x:v>
      </x:c>
      <x:c r="D1909" s="12" t="n">
        <x:v>0.2183</x:v>
      </x:c>
      <x:c r="E1909" s="12" t="n">
        <x:v>0.0021803784917885987</x:v>
      </x:c>
      <x:c r="F1909" s="12" t="n">
        <x:v>3.18</x:v>
      </x:c>
      <x:c r="G1909" s="12" t="n">
        <x:v>318</x:v>
      </x:c>
      <x:c r="H1909" s="12" t="n">
        <x:v>-3</x:v>
      </x:c>
      <x:c r="I1909" s="12" t="str">
        <x:v>TuShare index_daily</x:v>
      </x:c>
      <x:c r="J1909" s="12" t="str">
        <x:v>FRED current rolling window</x:v>
      </x:c>
    </x:row>
    <x:row r="1910" ht="18" customHeight="1">
      <x:c r="A1910" s="13" t="n">
        <x:v>45474</x:v>
      </x:c>
      <x:c r="B1910" s="12" t="n">
        <x:v>3478.1827</x:v>
      </x:c>
      <x:c r="C1910" s="12" t="n">
        <x:v>3461.657</x:v>
      </x:c>
      <x:c r="D1910" s="12" t="n">
        <x:v>0.4774</x:v>
      </x:c>
      <x:c r="E1910" s="12" t="n">
        <x:v>0.0047625685752935455</x:v>
      </x:c>
      <x:c r="F1910" s="12" t="n">
        <x:v>3.21</x:v>
      </x:c>
      <x:c r="G1910" s="12" t="n">
        <x:v>321</x:v>
      </x:c>
      <x:c r="H1910" s="12" t="n">
        <x:v>0</x:v>
      </x:c>
      <x:c r="I1910" s="12" t="str">
        <x:v>TuShare index_daily</x:v>
      </x:c>
      <x:c r="J1910" s="12" t="str">
        <x:v>FRED current rolling window</x:v>
      </x:c>
    </x:row>
    <x:row r="1911" ht="18" customHeight="1">
      <x:c r="A1911" s="13" t="n">
        <x:v>45475</x:v>
      </x:c>
      <x:c r="B1911" s="12" t="n">
        <x:v>3471.7857</x:v>
      </x:c>
      <x:c r="C1911" s="12" t="n">
        <x:v>3478.1827</x:v>
      </x:c>
      <x:c r="D1911" s="12" t="n">
        <x:v>-0.1839</x:v>
      </x:c>
      <x:c r="E1911" s="12" t="n">
        <x:v>-0.0018408721992226827</x:v>
      </x:c>
      <x:c r="F1911" s="12" t="n">
        <x:v>3.23</x:v>
      </x:c>
      <x:c r="G1911" s="12" t="n">
        <x:v>323</x:v>
      </x:c>
      <x:c r="H1911" s="12" t="n">
        <x:v>2</x:v>
      </x:c>
      <x:c r="I1911" s="12" t="str">
        <x:v>TuShare index_daily</x:v>
      </x:c>
      <x:c r="J1911" s="12" t="str">
        <x:v>FRED current rolling window</x:v>
      </x:c>
    </x:row>
    <x:row r="1912" ht="18" customHeight="1">
      <x:c r="A1912" s="13" t="n">
        <x:v>45476</x:v>
      </x:c>
      <x:c r="B1912" s="12" t="n">
        <x:v>3463.4141</x:v>
      </x:c>
      <x:c r="C1912" s="12" t="n">
        <x:v>3471.7857</x:v>
      </x:c>
      <x:c r="D1912" s="12" t="n">
        <x:v>-0.2411</x:v>
      </x:c>
      <x:c r="E1912" s="12" t="n">
        <x:v>-0.002414235871381695</x:v>
      </x:c>
      <x:c r="F1912" s="12" t="n">
        <x:v>3.25</x:v>
      </x:c>
      <x:c r="G1912" s="12" t="n">
        <x:v>325</x:v>
      </x:c>
      <x:c r="H1912" s="12" t="n">
        <x:v>2</x:v>
      </x:c>
      <x:c r="I1912" s="12" t="str">
        <x:v>TuShare index_daily</x:v>
      </x:c>
      <x:c r="J1912" s="12" t="str">
        <x:v>FRED current rolling window</x:v>
      </x:c>
    </x:row>
    <x:row r="1913" ht="18" customHeight="1">
      <x:c r="A1913" s="13" t="n">
        <x:v>45477</x:v>
      </x:c>
      <x:c r="B1913" s="12" t="n">
        <x:v>3445.8128</x:v>
      </x:c>
      <x:c r="C1913" s="12" t="n">
        <x:v>3463.4141</x:v>
      </x:c>
      <x:c r="D1913" s="12" t="n">
        <x:v>-0.5082</x:v>
      </x:c>
      <x:c r="E1913" s="12" t="n">
        <x:v>-0.0050950238951884145</x:v>
      </x:c>
      <x:c r="F1913" s="12" t="n">
        <x:v>3.25</x:v>
      </x:c>
      <x:c r="G1913" s="12" t="n">
        <x:v>325</x:v>
      </x:c>
      <x:c r="H1913" s="12" t="n">
        <x:v>0</x:v>
      </x:c>
      <x:c r="I1913" s="12" t="str">
        <x:v>TuShare index_daily</x:v>
      </x:c>
      <x:c r="J1913" s="12" t="str">
        <x:v>FRED current rolling window</x:v>
      </x:c>
    </x:row>
    <x:row r="1914" ht="18" customHeight="1">
      <x:c r="A1914" s="13" t="n">
        <x:v>45478</x:v>
      </x:c>
      <x:c r="B1914" s="12" t="n">
        <x:v>3431.0605</x:v>
      </x:c>
      <x:c r="C1914" s="12" t="n">
        <x:v>3445.8128</x:v>
      </x:c>
      <x:c r="D1914" s="12" t="n">
        <x:v>-0.4281</x:v>
      </x:c>
      <x:c r="E1914" s="12" t="n">
        <x:v>-0.004290415712504689</x:v>
      </x:c>
      <x:c r="F1914" s="12" t="n">
        <x:v>3.27</x:v>
      </x:c>
      <x:c r="G1914" s="12" t="n">
        <x:v>327</x:v>
      </x:c>
      <x:c r="H1914" s="12" t="n">
        <x:v>2</x:v>
      </x:c>
      <x:c r="I1914" s="12" t="str">
        <x:v>TuShare index_daily</x:v>
      </x:c>
      <x:c r="J1914" s="12" t="str">
        <x:v>FRED current rolling window</x:v>
      </x:c>
    </x:row>
    <x:row r="1915" ht="18" customHeight="1">
      <x:c r="A1915" s="13" t="n">
        <x:v>45481</x:v>
      </x:c>
      <x:c r="B1915" s="12" t="n">
        <x:v>3401.7604</x:v>
      </x:c>
      <x:c r="C1915" s="12" t="n">
        <x:v>3431.0605</x:v>
      </x:c>
      <x:c r="D1915" s="12" t="n">
        <x:v>-0.854</x:v>
      </x:c>
      <x:c r="E1915" s="12" t="n">
        <x:v>-0.008576334729793503</x:v>
      </x:c>
      <x:c r="F1915" s="12" t="n">
        <x:v>3.2</x:v>
      </x:c>
      <x:c r="G1915" s="12" t="n">
        <x:v>320</x:v>
      </x:c>
      <x:c r="H1915" s="12" t="n">
        <x:v>-7</x:v>
      </x:c>
      <x:c r="I1915" s="12" t="str">
        <x:v>TuShare index_daily</x:v>
      </x:c>
      <x:c r="J1915" s="12" t="str">
        <x:v>FRED current rolling window</x:v>
      </x:c>
    </x:row>
    <x:row r="1916" ht="18" customHeight="1">
      <x:c r="A1916" s="13" t="n">
        <x:v>45482</x:v>
      </x:c>
      <x:c r="B1916" s="12" t="n">
        <x:v>3439.8111</x:v>
      </x:c>
      <x:c r="C1916" s="12" t="n">
        <x:v>3401.7604</x:v>
      </x:c>
      <x:c r="D1916" s="12" t="n">
        <x:v>1.1186</x:v>
      </x:c>
      <x:c r="E1916" s="12" t="n">
        <x:v>0.011123494752744543</x:v>
      </x:c>
      <x:c r="F1916" s="12" t="n">
        <x:v>3.21</x:v>
      </x:c>
      <x:c r="G1916" s="12" t="n">
        <x:v>321</x:v>
      </x:c>
      <x:c r="H1916" s="12" t="n">
        <x:v>1</x:v>
      </x:c>
      <x:c r="I1916" s="12" t="str">
        <x:v>TuShare index_daily</x:v>
      </x:c>
      <x:c r="J1916" s="12" t="str">
        <x:v>FRED current rolling window</x:v>
      </x:c>
    </x:row>
    <x:row r="1917" ht="18" customHeight="1">
      <x:c r="A1917" s="13" t="n">
        <x:v>45483</x:v>
      </x:c>
      <x:c r="B1917" s="12" t="n">
        <x:v>3428.9657</x:v>
      </x:c>
      <x:c r="C1917" s="12" t="n">
        <x:v>3439.8111</x:v>
      </x:c>
      <x:c r="D1917" s="12" t="n">
        <x:v>-0.3153</x:v>
      </x:c>
      <x:c r="E1917" s="12" t="n">
        <x:v>-0.003157886572395083</x:v>
      </x:c>
      <x:c r="F1917" s="12" t="n">
        <x:v>3.17</x:v>
      </x:c>
      <x:c r="G1917" s="12" t="n">
        <x:v>317</x:v>
      </x:c>
      <x:c r="H1917" s="12" t="n">
        <x:v>-4</x:v>
      </x:c>
      <x:c r="I1917" s="12" t="str">
        <x:v>TuShare index_daily</x:v>
      </x:c>
      <x:c r="J1917" s="12" t="str">
        <x:v>FRED current rolling window</x:v>
      </x:c>
    </x:row>
    <x:row r="1918" ht="18" customHeight="1">
      <x:c r="A1918" s="13" t="n">
        <x:v>45484</x:v>
      </x:c>
      <x:c r="B1918" s="12" t="n">
        <x:v>3468.169</x:v>
      </x:c>
      <x:c r="C1918" s="12" t="n">
        <x:v>3428.9657</x:v>
      </x:c>
      <x:c r="D1918" s="12" t="n">
        <x:v>1.1433</x:v>
      </x:c>
      <x:c r="E1918" s="12" t="n">
        <x:v>0.01136811847372326</x:v>
      </x:c>
      <x:c r="F1918" s="12" t="n">
        <x:v>3.18</x:v>
      </x:c>
      <x:c r="G1918" s="12" t="n">
        <x:v>318</x:v>
      </x:c>
      <x:c r="H1918" s="12" t="n">
        <x:v>1</x:v>
      </x:c>
      <x:c r="I1918" s="12" t="str">
        <x:v>TuShare index_daily</x:v>
      </x:c>
      <x:c r="J1918" s="12" t="str">
        <x:v>FRED current rolling window</x:v>
      </x:c>
    </x:row>
    <x:row r="1919" ht="18" customHeight="1">
      <x:c r="A1919" s="13" t="n">
        <x:v>45485</x:v>
      </x:c>
      <x:c r="B1919" s="12" t="n">
        <x:v>3472.4014</x:v>
      </x:c>
      <x:c r="C1919" s="12" t="n">
        <x:v>3468.169</x:v>
      </x:c>
      <x:c r="D1919" s="12" t="n">
        <x:v>0.122</x:v>
      </x:c>
      <x:c r="E1919" s="12" t="n">
        <x:v>0.001219611726616792</x:v>
      </x:c>
      <x:c r="F1919" s="12" t="n">
        <x:v>3.19</x:v>
      </x:c>
      <x:c r="G1919" s="12" t="n">
        <x:v>319</x:v>
      </x:c>
      <x:c r="H1919" s="12" t="n">
        <x:v>1</x:v>
      </x:c>
      <x:c r="I1919" s="12" t="str">
        <x:v>TuShare index_daily</x:v>
      </x:c>
      <x:c r="J1919" s="12" t="str">
        <x:v>FRED current rolling window</x:v>
      </x:c>
    </x:row>
    <x:row r="1920" ht="18" customHeight="1">
      <x:c r="A1920" s="13" t="n">
        <x:v>45488</x:v>
      </x:c>
      <x:c r="B1920" s="12" t="n">
        <x:v>3476.2467</x:v>
      </x:c>
      <x:c r="C1920" s="12" t="n">
        <x:v>3472.4014</x:v>
      </x:c>
      <x:c r="D1920" s="12" t="n">
        <x:v>0.1107</x:v>
      </x:c>
      <x:c r="E1920" s="12" t="n">
        <x:v>0.0011067765519817325</x:v>
      </x:c>
      <x:c r="F1920" s="12" t="n">
        <x:v>3.13</x:v>
      </x:c>
      <x:c r="G1920" s="12" t="n">
        <x:v>313</x:v>
      </x:c>
      <x:c r="H1920" s="12" t="n">
        <x:v>-6</x:v>
      </x:c>
      <x:c r="I1920" s="12" t="str">
        <x:v>TuShare index_daily</x:v>
      </x:c>
      <x:c r="J1920" s="12" t="str">
        <x:v>FRED current rolling window</x:v>
      </x:c>
    </x:row>
    <x:row r="1921" ht="18" customHeight="1">
      <x:c r="A1921" s="13" t="n">
        <x:v>45489</x:v>
      </x:c>
      <x:c r="B1921" s="12" t="n">
        <x:v>3498.2827</x:v>
      </x:c>
      <x:c r="C1921" s="12" t="n">
        <x:v>3476.2467</x:v>
      </x:c>
      <x:c r="D1921" s="12" t="n">
        <x:v>0.6339</x:v>
      </x:c>
      <x:c r="E1921" s="12" t="n">
        <x:v>0.006319013674132575</x:v>
      </x:c>
      <x:c r="F1921" s="12" t="n">
        <x:v>3.08</x:v>
      </x:c>
      <x:c r="G1921" s="12" t="n">
        <x:v>308</x:v>
      </x:c>
      <x:c r="H1921" s="12" t="n">
        <x:v>-5</x:v>
      </x:c>
      <x:c r="I1921" s="12" t="str">
        <x:v>TuShare index_daily</x:v>
      </x:c>
      <x:c r="J1921" s="12" t="str">
        <x:v>FRED current rolling window</x:v>
      </x:c>
    </x:row>
    <x:row r="1922" ht="18" customHeight="1">
      <x:c r="A1922" s="13" t="n">
        <x:v>45490</x:v>
      </x:c>
      <x:c r="B1922" s="12" t="n">
        <x:v>3501.5836</x:v>
      </x:c>
      <x:c r="C1922" s="12" t="n">
        <x:v>3498.2827</x:v>
      </x:c>
      <x:c r="D1922" s="12" t="n">
        <x:v>0.0944</x:v>
      </x:c>
      <x:c r="E1922" s="12" t="n">
        <x:v>0.0009431323694506291</x:v>
      </x:c>
      <x:c r="F1922" s="12" t="n">
        <x:v>3.09</x:v>
      </x:c>
      <x:c r="G1922" s="12" t="n">
        <x:v>309</x:v>
      </x:c>
      <x:c r="H1922" s="12" t="n">
        <x:v>1</x:v>
      </x:c>
      <x:c r="I1922" s="12" t="str">
        <x:v>TuShare index_daily</x:v>
      </x:c>
      <x:c r="J1922" s="12" t="str">
        <x:v>FRED current rolling window</x:v>
      </x:c>
    </x:row>
    <x:row r="1923" ht="18" customHeight="1">
      <x:c r="A1923" s="13" t="n">
        <x:v>45491</x:v>
      </x:c>
      <x:c r="B1923" s="12" t="n">
        <x:v>3520.931</x:v>
      </x:c>
      <x:c r="C1923" s="12" t="n">
        <x:v>3501.5836</x:v>
      </x:c>
      <x:c r="D1923" s="12" t="n">
        <x:v>0.5525</x:v>
      </x:c>
      <x:c r="E1923" s="12" t="n">
        <x:v>0.0055101199650592625</x:v>
      </x:c>
      <x:c r="F1923" s="12" t="n">
        <x:v>3.09</x:v>
      </x:c>
      <x:c r="G1923" s="12" t="n">
        <x:v>309</x:v>
      </x:c>
      <x:c r="H1923" s="12" t="n">
        <x:v>0</x:v>
      </x:c>
      <x:c r="I1923" s="12" t="str">
        <x:v>TuShare index_daily</x:v>
      </x:c>
      <x:c r="J1923" s="12" t="str">
        <x:v>FRED current rolling window</x:v>
      </x:c>
    </x:row>
    <x:row r="1924" ht="18" customHeight="1">
      <x:c r="A1924" s="13" t="n">
        <x:v>45492</x:v>
      </x:c>
      <x:c r="B1924" s="12" t="n">
        <x:v>3539.0156</x:v>
      </x:c>
      <x:c r="C1924" s="12" t="n">
        <x:v>3520.931</x:v>
      </x:c>
      <x:c r="D1924" s="12" t="n">
        <x:v>0.5136</x:v>
      </x:c>
      <x:c r="E1924" s="12" t="n">
        <x:v>0.005123166103060624</x:v>
      </x:c>
      <x:c r="F1924" s="12" t="n">
        <x:v>3.09</x:v>
      </x:c>
      <x:c r="G1924" s="12" t="n">
        <x:v>309</x:v>
      </x:c>
      <x:c r="H1924" s="12" t="n">
        <x:v>0</x:v>
      </x:c>
      <x:c r="I1924" s="12" t="str">
        <x:v>TuShare index_daily</x:v>
      </x:c>
      <x:c r="J1924" s="12" t="str">
        <x:v>FRED current rolling window</x:v>
      </x:c>
    </x:row>
    <x:row r="1925" ht="18" customHeight="1">
      <x:c r="A1925" s="13" t="n">
        <x:v>45495</x:v>
      </x:c>
      <x:c r="B1925" s="12" t="n">
        <x:v>3514.9249</x:v>
      </x:c>
      <x:c r="C1925" s="12" t="n">
        <x:v>3539.0156</x:v>
      </x:c>
      <x:c r="D1925" s="12" t="n">
        <x:v>-0.6807</x:v>
      </x:c>
      <x:c r="E1925" s="12" t="n">
        <x:v>-0.00683044992019825</x:v>
      </x:c>
      <x:c r="F1925" s="12" t="n">
        <x:v>3.05</x:v>
      </x:c>
      <x:c r="G1925" s="12" t="n">
        <x:v>305</x:v>
      </x:c>
      <x:c r="H1925" s="12" t="n">
        <x:v>-4</x:v>
      </x:c>
      <x:c r="I1925" s="12" t="str">
        <x:v>TuShare index_daily</x:v>
      </x:c>
      <x:c r="J1925" s="12" t="str">
        <x:v>FRED current rolling window</x:v>
      </x:c>
    </x:row>
    <x:row r="1926" ht="18" customHeight="1">
      <x:c r="A1926" s="13" t="n">
        <x:v>45496</x:v>
      </x:c>
      <x:c r="B1926" s="12" t="n">
        <x:v>3439.8779</x:v>
      </x:c>
      <x:c r="C1926" s="12" t="n">
        <x:v>3514.9249</x:v>
      </x:c>
      <x:c r="D1926" s="12" t="n">
        <x:v>-2.1351</x:v>
      </x:c>
      <x:c r="E1926" s="12" t="n">
        <x:v>-0.02158218288895174</x:v>
      </x:c>
      <x:c r="F1926" s="12" t="n">
        <x:v>3.02</x:v>
      </x:c>
      <x:c r="G1926" s="12" t="n">
        <x:v>302</x:v>
      </x:c>
      <x:c r="H1926" s="12" t="n">
        <x:v>-3</x:v>
      </x:c>
      <x:c r="I1926" s="12" t="str">
        <x:v>TuShare index_daily</x:v>
      </x:c>
      <x:c r="J1926" s="12" t="str">
        <x:v>FRED current rolling window</x:v>
      </x:c>
    </x:row>
    <x:row r="1927" ht="18" customHeight="1">
      <x:c r="A1927" s="13" t="n">
        <x:v>45497</x:v>
      </x:c>
      <x:c r="B1927" s="12" t="n">
        <x:v>3418.1663</x:v>
      </x:c>
      <x:c r="C1927" s="12" t="n">
        <x:v>3439.8779</x:v>
      </x:c>
      <x:c r="D1927" s="12" t="n">
        <x:v>-0.6312</x:v>
      </x:c>
      <x:c r="E1927" s="12" t="n">
        <x:v>-0.006331738875771058</x:v>
      </x:c>
      <x:c r="F1927" s="12" t="n">
        <x:v>3.1</x:v>
      </x:c>
      <x:c r="G1927" s="12" t="n">
        <x:v>310</x:v>
      </x:c>
      <x:c r="H1927" s="12" t="n">
        <x:v>8</x:v>
      </x:c>
      <x:c r="I1927" s="12" t="str">
        <x:v>TuShare index_daily</x:v>
      </x:c>
      <x:c r="J1927" s="12" t="str">
        <x:v>FRED current rolling window</x:v>
      </x:c>
    </x:row>
    <x:row r="1928" ht="18" customHeight="1">
      <x:c r="A1928" s="13" t="n">
        <x:v>45498</x:v>
      </x:c>
      <x:c r="B1928" s="12" t="n">
        <x:v>3399.2716</x:v>
      </x:c>
      <x:c r="C1928" s="12" t="n">
        <x:v>3418.1663</x:v>
      </x:c>
      <x:c r="D1928" s="12" t="n">
        <x:v>-0.5528</x:v>
      </x:c>
      <x:c r="E1928" s="12" t="n">
        <x:v>-0.005543064317216502</x:v>
      </x:c>
      <x:c r="F1928" s="12" t="n">
        <x:v>3.08</x:v>
      </x:c>
      <x:c r="G1928" s="12" t="n">
        <x:v>308</x:v>
      </x:c>
      <x:c r="H1928" s="12" t="n">
        <x:v>-2</x:v>
      </x:c>
      <x:c r="I1928" s="12" t="str">
        <x:v>TuShare index_daily</x:v>
      </x:c>
      <x:c r="J1928" s="12" t="str">
        <x:v>FRED current rolling window</x:v>
      </x:c>
    </x:row>
    <x:row r="1929" ht="18" customHeight="1">
      <x:c r="A1929" s="13" t="n">
        <x:v>45499</x:v>
      </x:c>
      <x:c r="B1929" s="12" t="n">
        <x:v>3409.2931</x:v>
      </x:c>
      <x:c r="C1929" s="12" t="n">
        <x:v>3399.2716</x:v>
      </x:c>
      <x:c r="D1929" s="12" t="n">
        <x:v>0.2948</x:v>
      </x:c>
      <x:c r="E1929" s="12" t="n">
        <x:v>0.0029437943762596146</x:v>
      </x:c>
      <x:c r="F1929" s="12" t="n">
        <x:v>3.1</x:v>
      </x:c>
      <x:c r="G1929" s="12" t="n">
        <x:v>310</x:v>
      </x:c>
      <x:c r="H1929" s="12" t="n">
        <x:v>2</x:v>
      </x:c>
      <x:c r="I1929" s="12" t="str">
        <x:v>TuShare index_daily</x:v>
      </x:c>
      <x:c r="J1929" s="12" t="str">
        <x:v>FRED current rolling window</x:v>
      </x:c>
    </x:row>
    <x:row r="1930" ht="18" customHeight="1">
      <x:c r="A1930" s="13" t="n">
        <x:v>45502</x:v>
      </x:c>
      <x:c r="B1930" s="12" t="n">
        <x:v>3390.742</x:v>
      </x:c>
      <x:c r="C1930" s="12" t="n">
        <x:v>3409.2931</x:v>
      </x:c>
      <x:c r="D1930" s="12" t="n">
        <x:v>-0.5441</x:v>
      </x:c>
      <x:c r="E1930" s="12" t="n">
        <x:v>-0.00545619125471861</x:v>
      </x:c>
      <x:c r="F1930" s="12" t="n">
        <x:v>3.13</x:v>
      </x:c>
      <x:c r="G1930" s="12" t="n">
        <x:v>313</x:v>
      </x:c>
      <x:c r="H1930" s="12" t="n">
        <x:v>3</x:v>
      </x:c>
      <x:c r="I1930" s="12" t="str">
        <x:v>TuShare index_daily</x:v>
      </x:c>
      <x:c r="J1930" s="12" t="str">
        <x:v>FRED current rolling window</x:v>
      </x:c>
    </x:row>
    <x:row r="1931" ht="18" customHeight="1">
      <x:c r="A1931" s="13" t="n">
        <x:v>45503</x:v>
      </x:c>
      <x:c r="B1931" s="12" t="n">
        <x:v>3369.3821</x:v>
      </x:c>
      <x:c r="C1931" s="12" t="n">
        <x:v>3390.742</x:v>
      </x:c>
      <x:c r="D1931" s="12" t="n">
        <x:v>-0.6299</x:v>
      </x:c>
      <x:c r="E1931" s="12" t="n">
        <x:v>-0.006319402060574553</x:v>
      </x:c>
      <x:c r="F1931" s="12" t="n">
        <x:v>3.2</x:v>
      </x:c>
      <x:c r="G1931" s="12" t="n">
        <x:v>320</x:v>
      </x:c>
      <x:c r="H1931" s="12" t="n">
        <x:v>7</x:v>
      </x:c>
      <x:c r="I1931" s="12" t="str">
        <x:v>TuShare index_daily</x:v>
      </x:c>
      <x:c r="J1931" s="12" t="str">
        <x:v>FRED current rolling window</x:v>
      </x:c>
    </x:row>
    <x:row r="1932" ht="18" customHeight="1">
      <x:c r="A1932" s="13" t="n">
        <x:v>45504</x:v>
      </x:c>
      <x:c r="B1932" s="12" t="n">
        <x:v>3442.0844</x:v>
      </x:c>
      <x:c r="C1932" s="12" t="n">
        <x:v>3369.3821</x:v>
      </x:c>
      <x:c r="D1932" s="12" t="n">
        <x:v>2.1577</x:v>
      </x:c>
      <x:c r="E1932" s="12" t="n">
        <x:v>0.02134784367895829</x:v>
      </x:c>
      <x:c r="F1932" s="12" t="n">
        <x:v>3.25</x:v>
      </x:c>
      <x:c r="G1932" s="12" t="n">
        <x:v>325</x:v>
      </x:c>
      <x:c r="H1932" s="12" t="n">
        <x:v>5</x:v>
      </x:c>
      <x:c r="I1932" s="12" t="str">
        <x:v>TuShare index_daily</x:v>
      </x:c>
      <x:c r="J1932" s="12" t="str">
        <x:v>FRED current rolling window</x:v>
      </x:c>
    </x:row>
    <x:row r="1933" ht="18" customHeight="1">
      <x:c r="A1933" s="13" t="n">
        <x:v>45505</x:v>
      </x:c>
      <x:c r="B1933" s="12" t="n">
        <x:v>3419.2666</x:v>
      </x:c>
      <x:c r="C1933" s="12" t="n">
        <x:v>3442.0844</x:v>
      </x:c>
      <x:c r="D1933" s="12" t="n">
        <x:v>-0.6629</x:v>
      </x:c>
      <x:c r="E1933" s="12" t="n">
        <x:v>-0.006651134482692493</x:v>
      </x:c>
      <x:c r="F1933" s="12" t="n">
        <x:v>3.35</x:v>
      </x:c>
      <x:c r="G1933" s="12" t="n">
        <x:v>335</x:v>
      </x:c>
      <x:c r="H1933" s="12" t="n">
        <x:v>10</x:v>
      </x:c>
      <x:c r="I1933" s="12" t="str">
        <x:v>TuShare index_daily</x:v>
      </x:c>
      <x:c r="J1933" s="12" t="str">
        <x:v>FRED current rolling window</x:v>
      </x:c>
    </x:row>
    <x:row r="1934" ht="18" customHeight="1">
      <x:c r="A1934" s="13" t="n">
        <x:v>45506</x:v>
      </x:c>
      <x:c r="B1934" s="12" t="n">
        <x:v>3384.3919</x:v>
      </x:c>
      <x:c r="C1934" s="12" t="n">
        <x:v>3419.2666</x:v>
      </x:c>
      <x:c r="D1934" s="12" t="n">
        <x:v>-1.0199</x:v>
      </x:c>
      <x:c r="E1934" s="12" t="n">
        <x:v>-0.010251838902348195</x:v>
      </x:c>
      <x:c r="F1934" s="12" t="n">
        <x:v>3.72</x:v>
      </x:c>
      <x:c r="G1934" s="12" t="n">
        <x:v>372</x:v>
      </x:c>
      <x:c r="H1934" s="12" t="n">
        <x:v>37</x:v>
      </x:c>
      <x:c r="I1934" s="12" t="str">
        <x:v>TuShare index_daily</x:v>
      </x:c>
      <x:c r="J1934" s="12" t="str">
        <x:v>FRED current rolling window</x:v>
      </x:c>
    </x:row>
    <x:row r="1935" ht="18" customHeight="1">
      <x:c r="A1935" s="13" t="n">
        <x:v>45509</x:v>
      </x:c>
      <x:c r="B1935" s="12" t="n">
        <x:v>3343.3205</x:v>
      </x:c>
      <x:c r="C1935" s="12" t="n">
        <x:v>3384.3919</x:v>
      </x:c>
      <x:c r="D1935" s="12" t="n">
        <x:v>-1.2136</x:v>
      </x:c>
      <x:c r="E1935" s="12" t="n">
        <x:v>-0.012209769917402505</x:v>
      </x:c>
      <x:c r="F1935" s="12" t="n">
        <x:v>3.93</x:v>
      </x:c>
      <x:c r="G1935" s="12" t="n">
        <x:v>393</x:v>
      </x:c>
      <x:c r="H1935" s="12" t="n">
        <x:v>21</x:v>
      </x:c>
      <x:c r="I1935" s="12" t="str">
        <x:v>TuShare index_daily</x:v>
      </x:c>
      <x:c r="J1935" s="12" t="str">
        <x:v>FRED current rolling window</x:v>
      </x:c>
    </x:row>
    <x:row r="1936" ht="18" customHeight="1">
      <x:c r="A1936" s="13" t="n">
        <x:v>45510</x:v>
      </x:c>
      <x:c r="B1936" s="12" t="n">
        <x:v>3342.9789</x:v>
      </x:c>
      <x:c r="C1936" s="12" t="n">
        <x:v>3343.3205</x:v>
      </x:c>
      <x:c r="D1936" s="12" t="n">
        <x:v>-0.0102</x:v>
      </x:c>
      <x:c r="E1936" s="12" t="n">
        <x:v>-0.00010217909185965092</x:v>
      </x:c>
      <x:c r="F1936" s="12" t="n">
        <x:v>3.67</x:v>
      </x:c>
      <x:c r="G1936" s="12" t="n">
        <x:v>367</x:v>
      </x:c>
      <x:c r="H1936" s="12" t="n">
        <x:v>-26</x:v>
      </x:c>
      <x:c r="I1936" s="12" t="str">
        <x:v>TuShare index_daily</x:v>
      </x:c>
      <x:c r="J1936" s="12" t="str">
        <x:v>FRED current rolling window</x:v>
      </x:c>
    </x:row>
    <x:row r="1937" ht="18" customHeight="1">
      <x:c r="A1937" s="13" t="n">
        <x:v>45511</x:v>
      </x:c>
      <x:c r="B1937" s="12" t="n">
        <x:v>3341.489</x:v>
      </x:c>
      <x:c r="C1937" s="12" t="n">
        <x:v>3342.9789</x:v>
      </x:c>
      <x:c r="D1937" s="12" t="n">
        <x:v>-0.0446</x:v>
      </x:c>
      <x:c r="E1937" s="12" t="n">
        <x:v>-0.0004457796931518292</x:v>
      </x:c>
      <x:c r="F1937" s="12" t="n">
        <x:v>3.57</x:v>
      </x:c>
      <x:c r="G1937" s="12" t="n">
        <x:v>357</x:v>
      </x:c>
      <x:c r="H1937" s="12" t="n">
        <x:v>-10</x:v>
      </x:c>
      <x:c r="I1937" s="12" t="str">
        <x:v>TuShare index_daily</x:v>
      </x:c>
      <x:c r="J1937" s="12" t="str">
        <x:v>FRED current rolling window</x:v>
      </x:c>
    </x:row>
    <x:row r="1938" ht="18" customHeight="1">
      <x:c r="A1938" s="13" t="n">
        <x:v>45512</x:v>
      </x:c>
      <x:c r="B1938" s="12" t="n">
        <x:v>3342.9369</x:v>
      </x:c>
      <x:c r="C1938" s="12" t="n">
        <x:v>3341.489</x:v>
      </x:c>
      <x:c r="D1938" s="12" t="n">
        <x:v>0.0433</x:v>
      </x:c>
      <x:c r="E1938" s="12" t="n">
        <x:v>0.00043321596927112054</x:v>
      </x:c>
      <x:c r="F1938" s="12" t="n">
        <x:v>3.48</x:v>
      </x:c>
      <x:c r="G1938" s="12" t="n">
        <x:v>348</x:v>
      </x:c>
      <x:c r="H1938" s="12" t="n">
        <x:v>-9</x:v>
      </x:c>
      <x:c r="I1938" s="12" t="str">
        <x:v>TuShare index_daily</x:v>
      </x:c>
      <x:c r="J1938" s="12" t="str">
        <x:v>FRED current rolling window</x:v>
      </x:c>
    </x:row>
    <x:row r="1939" ht="18" customHeight="1">
      <x:c r="A1939" s="13" t="n">
        <x:v>45513</x:v>
      </x:c>
      <x:c r="B1939" s="12" t="n">
        <x:v>3331.6274</x:v>
      </x:c>
      <x:c r="C1939" s="12" t="n">
        <x:v>3342.9369</x:v>
      </x:c>
      <x:c r="D1939" s="12" t="n">
        <x:v>-0.3383</x:v>
      </x:c>
      <x:c r="E1939" s="12" t="n">
        <x:v>-0.003388838676227704</x:v>
      </x:c>
      <x:c r="F1939" s="12" t="n">
        <x:v>3.49</x:v>
      </x:c>
      <x:c r="G1939" s="12" t="n">
        <x:v>349</x:v>
      </x:c>
      <x:c r="H1939" s="12" t="n">
        <x:v>1</x:v>
      </x:c>
      <x:c r="I1939" s="12" t="str">
        <x:v>TuShare index_daily</x:v>
      </x:c>
      <x:c r="J1939" s="12" t="str">
        <x:v>FRED current rolling window</x:v>
      </x:c>
    </x:row>
    <x:row r="1940" ht="18" customHeight="1">
      <x:c r="A1940" s="13" t="n">
        <x:v>45516</x:v>
      </x:c>
      <x:c r="B1940" s="12" t="n">
        <x:v>3325.8645</x:v>
      </x:c>
      <x:c r="C1940" s="12" t="n">
        <x:v>3331.6274</x:v>
      </x:c>
      <x:c r="D1940" s="12" t="n">
        <x:v>-0.173</x:v>
      </x:c>
      <x:c r="E1940" s="12" t="n">
        <x:v>-0.0017312530081779588</x:v>
      </x:c>
      <x:c r="F1940" s="12" t="n">
        <x:v>3.52</x:v>
      </x:c>
      <x:c r="G1940" s="12" t="n">
        <x:v>352</x:v>
      </x:c>
      <x:c r="H1940" s="12" t="n">
        <x:v>3</x:v>
      </x:c>
      <x:c r="I1940" s="12" t="str">
        <x:v>TuShare index_daily</x:v>
      </x:c>
      <x:c r="J1940" s="12" t="str">
        <x:v>FRED current rolling window</x:v>
      </x:c>
    </x:row>
    <x:row r="1941" ht="18" customHeight="1">
      <x:c r="A1941" s="13" t="n">
        <x:v>45517</x:v>
      </x:c>
      <x:c r="B1941" s="12" t="n">
        <x:v>3334.3903</x:v>
      </x:c>
      <x:c r="C1941" s="12" t="n">
        <x:v>3325.8645</x:v>
      </x:c>
      <x:c r="D1941" s="12" t="n">
        <x:v>0.2563</x:v>
      </x:c>
      <x:c r="E1941" s="12" t="n">
        <x:v>0.002560203749851808</x:v>
      </x:c>
      <x:c r="F1941" s="12" t="n">
        <x:v>3.54</x:v>
      </x:c>
      <x:c r="G1941" s="12" t="n">
        <x:v>354</x:v>
      </x:c>
      <x:c r="H1941" s="12" t="n">
        <x:v>2</x:v>
      </x:c>
      <x:c r="I1941" s="12" t="str">
        <x:v>TuShare index_daily</x:v>
      </x:c>
      <x:c r="J1941" s="12" t="str">
        <x:v>FRED current rolling window</x:v>
      </x:c>
    </x:row>
    <x:row r="1942" ht="18" customHeight="1">
      <x:c r="A1942" s="13" t="n">
        <x:v>45518</x:v>
      </x:c>
      <x:c r="B1942" s="12" t="n">
        <x:v>3309.2389</x:v>
      </x:c>
      <x:c r="C1942" s="12" t="n">
        <x:v>3334.3903</x:v>
      </x:c>
      <x:c r="D1942" s="12" t="n">
        <x:v>-0.7543</x:v>
      </x:c>
      <x:c r="E1942" s="12" t="n">
        <x:v>-0.007571620691752355</x:v>
      </x:c>
      <x:c r="F1942" s="12" t="n">
        <x:v>3.46</x:v>
      </x:c>
      <x:c r="G1942" s="12" t="n">
        <x:v>346</x:v>
      </x:c>
      <x:c r="H1942" s="12" t="n">
        <x:v>-8</x:v>
      </x:c>
      <x:c r="I1942" s="12" t="str">
        <x:v>TuShare index_daily</x:v>
      </x:c>
      <x:c r="J1942" s="12" t="str">
        <x:v>FRED current rolling window</x:v>
      </x:c>
    </x:row>
    <x:row r="1943" ht="18" customHeight="1">
      <x:c r="A1943" s="13" t="n">
        <x:v>45519</x:v>
      </x:c>
      <x:c r="B1943" s="12" t="n">
        <x:v>3341.953</x:v>
      </x:c>
      <x:c r="C1943" s="12" t="n">
        <x:v>3309.2389</x:v>
      </x:c>
      <x:c r="D1943" s="12" t="n">
        <x:v>0.9886</x:v>
      </x:c>
      <x:c r="E1943" s="12" t="n">
        <x:v>0.009837143267467686</x:v>
      </x:c>
      <x:c r="F1943" s="12" t="n">
        <x:v>3.31</x:v>
      </x:c>
      <x:c r="G1943" s="12" t="n">
        <x:v>331</x:v>
      </x:c>
      <x:c r="H1943" s="12" t="n">
        <x:v>-15</x:v>
      </x:c>
      <x:c r="I1943" s="12" t="str">
        <x:v>TuShare index_daily</x:v>
      </x:c>
      <x:c r="J1943" s="12" t="str">
        <x:v>FRED current rolling window</x:v>
      </x:c>
    </x:row>
    <x:row r="1944" ht="18" customHeight="1">
      <x:c r="A1944" s="13" t="n">
        <x:v>45520</x:v>
      </x:c>
      <x:c r="B1944" s="12" t="n">
        <x:v>3345.634</x:v>
      </x:c>
      <x:c r="C1944" s="12" t="n">
        <x:v>3341.953</x:v>
      </x:c>
      <x:c r="D1944" s="12" t="n">
        <x:v>0.1101</x:v>
      </x:c>
      <x:c r="E1944" s="12" t="n">
        <x:v>0.0011008456029771622</x:v>
      </x:c>
      <x:c r="F1944" s="12" t="n">
        <x:v>3.29</x:v>
      </x:c>
      <x:c r="G1944" s="12" t="n">
        <x:v>329</x:v>
      </x:c>
      <x:c r="H1944" s="12" t="n">
        <x:v>-2</x:v>
      </x:c>
      <x:c r="I1944" s="12" t="str">
        <x:v>TuShare index_daily</x:v>
      </x:c>
      <x:c r="J1944" s="12" t="str">
        <x:v>FRED current rolling window</x:v>
      </x:c>
    </x:row>
    <x:row r="1945" ht="18" customHeight="1">
      <x:c r="A1945" s="13" t="n">
        <x:v>45523</x:v>
      </x:c>
      <x:c r="B1945" s="12" t="n">
        <x:v>3356.9677</x:v>
      </x:c>
      <x:c r="C1945" s="12" t="n">
        <x:v>3345.634</x:v>
      </x:c>
      <x:c r="D1945" s="12" t="n">
        <x:v>0.3388</x:v>
      </x:c>
      <x:c r="E1945" s="12" t="n">
        <x:v>0.0033818840233607026</x:v>
      </x:c>
      <x:c r="F1945" s="12" t="n">
        <x:v>3.21</x:v>
      </x:c>
      <x:c r="G1945" s="12" t="n">
        <x:v>321</x:v>
      </x:c>
      <x:c r="H1945" s="12" t="n">
        <x:v>-8</x:v>
      </x:c>
      <x:c r="I1945" s="12" t="str">
        <x:v>TuShare index_daily</x:v>
      </x:c>
      <x:c r="J1945" s="12" t="str">
        <x:v>FRED current rolling window</x:v>
      </x:c>
    </x:row>
    <x:row r="1946" ht="18" customHeight="1">
      <x:c r="A1946" s="13" t="n">
        <x:v>45524</x:v>
      </x:c>
      <x:c r="B1946" s="12" t="n">
        <x:v>3332.7034</x:v>
      </x:c>
      <x:c r="C1946" s="12" t="n">
        <x:v>3356.9677</x:v>
      </x:c>
      <x:c r="D1946" s="12" t="n">
        <x:v>-0.7228</x:v>
      </x:c>
      <x:c r="E1946" s="12" t="n">
        <x:v>-0.007254289798614261</x:v>
      </x:c>
      <x:c r="F1946" s="12" t="n">
        <x:v>3.25</x:v>
      </x:c>
      <x:c r="G1946" s="12" t="n">
        <x:v>325</x:v>
      </x:c>
      <x:c r="H1946" s="12" t="n">
        <x:v>4</x:v>
      </x:c>
      <x:c r="I1946" s="12" t="str">
        <x:v>TuShare index_daily</x:v>
      </x:c>
      <x:c r="J1946" s="12" t="str">
        <x:v>FRED current rolling window</x:v>
      </x:c>
    </x:row>
    <x:row r="1947" ht="18" customHeight="1">
      <x:c r="A1947" s="13" t="n">
        <x:v>45525</x:v>
      </x:c>
      <x:c r="B1947" s="12" t="n">
        <x:v>3321.635</x:v>
      </x:c>
      <x:c r="C1947" s="12" t="n">
        <x:v>3332.7034</x:v>
      </x:c>
      <x:c r="D1947" s="12" t="n">
        <x:v>-0.3321</x:v>
      </x:c>
      <x:c r="E1947" s="12" t="n">
        <x:v>-0.0033266748825438617</x:v>
      </x:c>
      <x:c r="F1947" s="12" t="n">
        <x:v>3.27</x:v>
      </x:c>
      <x:c r="G1947" s="12" t="n">
        <x:v>327</x:v>
      </x:c>
      <x:c r="H1947" s="12" t="n">
        <x:v>2</x:v>
      </x:c>
      <x:c r="I1947" s="12" t="str">
        <x:v>TuShare index_daily</x:v>
      </x:c>
      <x:c r="J1947" s="12" t="str">
        <x:v>FRED current rolling window</x:v>
      </x:c>
    </x:row>
    <x:row r="1948" ht="18" customHeight="1">
      <x:c r="A1948" s="13" t="n">
        <x:v>45526</x:v>
      </x:c>
      <x:c r="B1948" s="12" t="n">
        <x:v>3313.1357</x:v>
      </x:c>
      <x:c r="C1948" s="12" t="n">
        <x:v>3321.635</x:v>
      </x:c>
      <x:c r="D1948" s="12" t="n">
        <x:v>-0.2559</x:v>
      </x:c>
      <x:c r="E1948" s="12" t="n">
        <x:v>-0.0025620492503788703</x:v>
      </x:c>
      <x:c r="F1948" s="12" t="n">
        <x:v>3.21</x:v>
      </x:c>
      <x:c r="G1948" s="12" t="n">
        <x:v>321</x:v>
      </x:c>
      <x:c r="H1948" s="12" t="n">
        <x:v>-6</x:v>
      </x:c>
      <x:c r="I1948" s="12" t="str">
        <x:v>TuShare index_daily</x:v>
      </x:c>
      <x:c r="J1948" s="12" t="str">
        <x:v>FRED current rolling window</x:v>
      </x:c>
    </x:row>
    <x:row r="1949" ht="18" customHeight="1">
      <x:c r="A1949" s="13" t="n">
        <x:v>45527</x:v>
      </x:c>
      <x:c r="B1949" s="12" t="n">
        <x:v>3327.1905</x:v>
      </x:c>
      <x:c r="C1949" s="12" t="n">
        <x:v>3313.1357</x:v>
      </x:c>
      <x:c r="D1949" s="12" t="n">
        <x:v>0.4242</x:v>
      </x:c>
      <x:c r="E1949" s="12" t="n">
        <x:v>0.004233171854778825</x:v>
      </x:c>
      <x:c r="F1949" s="12" t="n">
        <x:v>3.19</x:v>
      </x:c>
      <x:c r="G1949" s="12" t="n">
        <x:v>319</x:v>
      </x:c>
      <x:c r="H1949" s="12" t="n">
        <x:v>-2</x:v>
      </x:c>
      <x:c r="I1949" s="12" t="str">
        <x:v>TuShare index_daily</x:v>
      </x:c>
      <x:c r="J1949" s="12" t="str">
        <x:v>FRED current rolling window</x:v>
      </x:c>
    </x:row>
    <x:row r="1950" ht="18" customHeight="1">
      <x:c r="A1950" s="13" t="n">
        <x:v>45530</x:v>
      </x:c>
      <x:c r="B1950" s="12" t="n">
        <x:v>3324.2231</x:v>
      </x:c>
      <x:c r="C1950" s="12" t="n">
        <x:v>3327.1905</x:v>
      </x:c>
      <x:c r="D1950" s="12" t="n">
        <x:v>-0.0892</x:v>
      </x:c>
      <x:c r="E1950" s="12" t="n">
        <x:v>-0.0008922615177230389</x:v>
      </x:c>
      <x:c r="F1950" s="12" t="n">
        <x:v>3.15</x:v>
      </x:c>
      <x:c r="G1950" s="12" t="n">
        <x:v>315</x:v>
      </x:c>
      <x:c r="H1950" s="12" t="n">
        <x:v>-4</x:v>
      </x:c>
      <x:c r="I1950" s="12" t="str">
        <x:v>TuShare index_daily</x:v>
      </x:c>
      <x:c r="J1950" s="12" t="str">
        <x:v>FRED current rolling window</x:v>
      </x:c>
    </x:row>
    <x:row r="1951" ht="18" customHeight="1">
      <x:c r="A1951" s="13" t="n">
        <x:v>45531</x:v>
      </x:c>
      <x:c r="B1951" s="12" t="n">
        <x:v>3305.3338</x:v>
      </x:c>
      <x:c r="C1951" s="12" t="n">
        <x:v>3324.2231</x:v>
      </x:c>
      <x:c r="D1951" s="12" t="n">
        <x:v>-0.5682</x:v>
      </x:c>
      <x:c r="E1951" s="12" t="n">
        <x:v>-0.005698525980312443</x:v>
      </x:c>
      <x:c r="F1951" s="12" t="n">
        <x:v>3.17</x:v>
      </x:c>
      <x:c r="G1951" s="12" t="n">
        <x:v>317</x:v>
      </x:c>
      <x:c r="H1951" s="12" t="n">
        <x:v>2</x:v>
      </x:c>
      <x:c r="I1951" s="12" t="str">
        <x:v>TuShare index_daily</x:v>
      </x:c>
      <x:c r="J1951" s="12" t="str">
        <x:v>FRED current rolling window</x:v>
      </x:c>
    </x:row>
    <x:row r="1952" ht="18" customHeight="1">
      <x:c r="A1952" s="13" t="n">
        <x:v>45532</x:v>
      </x:c>
      <x:c r="B1952" s="12" t="n">
        <x:v>3286.4956</x:v>
      </x:c>
      <x:c r="C1952" s="12" t="n">
        <x:v>3305.3338</x:v>
      </x:c>
      <x:c r="D1952" s="12" t="n">
        <x:v>-0.5699</x:v>
      </x:c>
      <x:c r="E1952" s="12" t="n">
        <x:v>-0.0057156367804732594</x:v>
      </x:c>
      <x:c r="F1952" s="12" t="n">
        <x:v>3.19</x:v>
      </x:c>
      <x:c r="G1952" s="12" t="n">
        <x:v>319</x:v>
      </x:c>
      <x:c r="H1952" s="12" t="n">
        <x:v>2</x:v>
      </x:c>
      <x:c r="I1952" s="12" t="str">
        <x:v>TuShare index_daily</x:v>
      </x:c>
      <x:c r="J1952" s="12" t="str">
        <x:v>FRED current rolling window</x:v>
      </x:c>
    </x:row>
    <x:row r="1953" ht="18" customHeight="1">
      <x:c r="A1953" s="13" t="n">
        <x:v>45533</x:v>
      </x:c>
      <x:c r="B1953" s="12" t="n">
        <x:v>3277.6812</x:v>
      </x:c>
      <x:c r="C1953" s="12" t="n">
        <x:v>3286.4956</x:v>
      </x:c>
      <x:c r="D1953" s="12" t="n">
        <x:v>-0.2682</x:v>
      </x:c>
      <x:c r="E1953" s="12" t="n">
        <x:v>-0.002685608741622298</x:v>
      </x:c>
      <x:c r="F1953" s="12" t="n">
        <x:v>3.15</x:v>
      </x:c>
      <x:c r="G1953" s="12" t="n">
        <x:v>315</x:v>
      </x:c>
      <x:c r="H1953" s="12" t="n">
        <x:v>-4</x:v>
      </x:c>
      <x:c r="I1953" s="12" t="str">
        <x:v>TuShare index_daily</x:v>
      </x:c>
      <x:c r="J1953" s="12" t="str">
        <x:v>FRED current rolling window</x:v>
      </x:c>
    </x:row>
    <x:row r="1954" ht="18" customHeight="1">
      <x:c r="A1954" s="13" t="n">
        <x:v>45534</x:v>
      </x:c>
      <x:c r="B1954" s="12" t="n">
        <x:v>3321.4323</x:v>
      </x:c>
      <x:c r="C1954" s="12" t="n">
        <x:v>3277.6812</x:v>
      </x:c>
      <x:c r="D1954" s="12" t="n">
        <x:v>1.3348</x:v>
      </x:c>
      <x:c r="E1954" s="12" t="n">
        <x:v>0.013259884389376055</x:v>
      </x:c>
      <x:c r="F1954" s="12" t="n">
        <x:v>3.13</x:v>
      </x:c>
      <x:c r="G1954" s="12" t="n">
        <x:v>313</x:v>
      </x:c>
      <x:c r="H1954" s="12" t="n">
        <x:v>-2</x:v>
      </x:c>
      <x:c r="I1954" s="12" t="str">
        <x:v>TuShare index_daily</x:v>
      </x:c>
      <x:c r="J1954" s="12" t="str">
        <x:v>FRED current rolling window</x:v>
      </x:c>
    </x:row>
    <x:row r="1955" ht="18" customHeight="1">
      <x:c r="A1955" s="13" t="n">
        <x:v>45537</x:v>
      </x:c>
      <x:c r="B1955" s="12" t="n">
        <x:v>3265.011</x:v>
      </x:c>
      <x:c r="C1955" s="12" t="n">
        <x:v>3321.4323</x:v>
      </x:c>
      <x:c r="D1955" s="12" t="n">
        <x:v>-1.6987</x:v>
      </x:c>
      <x:c r="E1955" s="12" t="n">
        <x:v>-0.017132973769498065</x:v>
      </x:c>
      <x:c r="F1955" s="12" t="n">
        <x:v>3.17</x:v>
      </x:c>
      <x:c r="G1955" s="12" t="n">
        <x:v>317</x:v>
      </x:c>
      <x:c r="H1955" s="12" t="n">
        <x:v>0</x:v>
      </x:c>
      <x:c r="I1955" s="12" t="str">
        <x:v>TuShare index_daily</x:v>
      </x:c>
      <x:c r="J1955" s="12" t="str">
        <x:v>FRED current rolling window</x:v>
      </x:c>
    </x:row>
    <x:row r="1956" ht="18" customHeight="1">
      <x:c r="A1956" s="13" t="n">
        <x:v>45538</x:v>
      </x:c>
      <x:c r="B1956" s="12" t="n">
        <x:v>3273.4282</x:v>
      </x:c>
      <x:c r="C1956" s="12" t="n">
        <x:v>3265.011</x:v>
      </x:c>
      <x:c r="D1956" s="12" t="n">
        <x:v>0.2578</x:v>
      </x:c>
      <x:c r="E1956" s="12" t="n">
        <x:v>0.0025746831597963783</x:v>
      </x:c>
      <x:c r="F1956" s="12" t="n">
        <x:v>3.31</x:v>
      </x:c>
      <x:c r="G1956" s="12" t="n">
        <x:v>331</x:v>
      </x:c>
      <x:c r="H1956" s="12" t="n">
        <x:v>14</x:v>
      </x:c>
      <x:c r="I1956" s="12" t="str">
        <x:v>TuShare index_daily</x:v>
      </x:c>
      <x:c r="J1956" s="12" t="str">
        <x:v>FRED current rolling window</x:v>
      </x:c>
    </x:row>
    <x:row r="1957" ht="18" customHeight="1">
      <x:c r="A1957" s="13" t="n">
        <x:v>45539</x:v>
      </x:c>
      <x:c r="B1957" s="12" t="n">
        <x:v>3252.1649</x:v>
      </x:c>
      <x:c r="C1957" s="12" t="n">
        <x:v>3273.4282</x:v>
      </x:c>
      <x:c r="D1957" s="12" t="n">
        <x:v>-0.6496</x:v>
      </x:c>
      <x:c r="E1957" s="12" t="n">
        <x:v>-0.006516917291298055</x:v>
      </x:c>
      <x:c r="F1957" s="12" t="n">
        <x:v>3.35</x:v>
      </x:c>
      <x:c r="G1957" s="12" t="n">
        <x:v>335</x:v>
      </x:c>
      <x:c r="H1957" s="12" t="n">
        <x:v>4</x:v>
      </x:c>
      <x:c r="I1957" s="12" t="str">
        <x:v>TuShare index_daily</x:v>
      </x:c>
      <x:c r="J1957" s="12" t="str">
        <x:v>FRED current rolling window</x:v>
      </x:c>
    </x:row>
    <x:row r="1958" ht="18" customHeight="1">
      <x:c r="A1958" s="13" t="n">
        <x:v>45540</x:v>
      </x:c>
      <x:c r="B1958" s="12" t="n">
        <x:v>3257.7578</x:v>
      </x:c>
      <x:c r="C1958" s="12" t="n">
        <x:v>3252.1649</x:v>
      </x:c>
      <x:c r="D1958" s="12" t="n">
        <x:v>0.172</x:v>
      </x:c>
      <x:c r="E1958" s="12" t="n">
        <x:v>0.001718269673482513</x:v>
      </x:c>
      <x:c r="F1958" s="12" t="n">
        <x:v>3.29</x:v>
      </x:c>
      <x:c r="G1958" s="12" t="n">
        <x:v>329</x:v>
      </x:c>
      <x:c r="H1958" s="12" t="n">
        <x:v>-6</x:v>
      </x:c>
      <x:c r="I1958" s="12" t="str">
        <x:v>TuShare index_daily</x:v>
      </x:c>
      <x:c r="J1958" s="12" t="str">
        <x:v>FRED current rolling window</x:v>
      </x:c>
    </x:row>
    <x:row r="1959" ht="18" customHeight="1">
      <x:c r="A1959" s="13" t="n">
        <x:v>45541</x:v>
      </x:c>
      <x:c r="B1959" s="12" t="n">
        <x:v>3231.3457</x:v>
      </x:c>
      <x:c r="C1959" s="12" t="n">
        <x:v>3257.7578</x:v>
      </x:c>
      <x:c r="D1959" s="12" t="n">
        <x:v>-0.8107</x:v>
      </x:c>
      <x:c r="E1959" s="12" t="n">
        <x:v>-0.008140491473246482</x:v>
      </x:c>
      <x:c r="F1959" s="12" t="n">
        <x:v>3.39</x:v>
      </x:c>
      <x:c r="G1959" s="12" t="n">
        <x:v>339</x:v>
      </x:c>
      <x:c r="H1959" s="12" t="n">
        <x:v>10</x:v>
      </x:c>
      <x:c r="I1959" s="12" t="str">
        <x:v>TuShare index_daily</x:v>
      </x:c>
      <x:c r="J1959" s="12" t="str">
        <x:v>FRED current rolling window</x:v>
      </x:c>
    </x:row>
    <x:row r="1960" ht="18" customHeight="1">
      <x:c r="A1960" s="13" t="n">
        <x:v>45544</x:v>
      </x:c>
      <x:c r="B1960" s="12" t="n">
        <x:v>3192.9516</x:v>
      </x:c>
      <x:c r="C1960" s="12" t="n">
        <x:v>3231.3457</x:v>
      </x:c>
      <x:c r="D1960" s="12" t="n">
        <x:v>-1.1882</x:v>
      </x:c>
      <x:c r="E1960" s="12" t="n">
        <x:v>-0.01195292039801617</x:v>
      </x:c>
      <x:c r="F1960" s="12" t="n">
        <x:v>3.36</x:v>
      </x:c>
      <x:c r="G1960" s="12" t="n">
        <x:v>336</x:v>
      </x:c>
      <x:c r="H1960" s="12" t="n">
        <x:v>-3</x:v>
      </x:c>
      <x:c r="I1960" s="12" t="str">
        <x:v>TuShare index_daily</x:v>
      </x:c>
      <x:c r="J1960" s="12" t="str">
        <x:v>FRED current rolling window</x:v>
      </x:c>
    </x:row>
    <x:row r="1961" ht="18" customHeight="1">
      <x:c r="A1961" s="13" t="n">
        <x:v>45545</x:v>
      </x:c>
      <x:c r="B1961" s="12" t="n">
        <x:v>3195.7552</x:v>
      </x:c>
      <x:c r="C1961" s="12" t="n">
        <x:v>3192.9516</x:v>
      </x:c>
      <x:c r="D1961" s="12" t="n">
        <x:v>0.0878</x:v>
      </x:c>
      <x:c r="E1961" s="12" t="n">
        <x:v>0.000877673766456223</x:v>
      </x:c>
      <x:c r="F1961" s="12" t="n">
        <x:v>3.46</x:v>
      </x:c>
      <x:c r="G1961" s="12" t="n">
        <x:v>346</x:v>
      </x:c>
      <x:c r="H1961" s="12" t="n">
        <x:v>10</x:v>
      </x:c>
      <x:c r="I1961" s="12" t="str">
        <x:v>TuShare index_daily</x:v>
      </x:c>
      <x:c r="J1961" s="12" t="str">
        <x:v>FRED current rolling window</x:v>
      </x:c>
    </x:row>
    <x:row r="1962" ht="18" customHeight="1">
      <x:c r="A1962" s="13" t="n">
        <x:v>45546</x:v>
      </x:c>
      <x:c r="B1962" s="12" t="n">
        <x:v>3186.1299</x:v>
      </x:c>
      <x:c r="C1962" s="12" t="n">
        <x:v>3195.7552</x:v>
      </x:c>
      <x:c r="D1962" s="12" t="n">
        <x:v>-0.3012</x:v>
      </x:c>
      <x:c r="E1962" s="12" t="n">
        <x:v>-0.003016446440987152</x:v>
      </x:c>
      <x:c r="F1962" s="12" t="n">
        <x:v>3.44</x:v>
      </x:c>
      <x:c r="G1962" s="12" t="n">
        <x:v>344</x:v>
      </x:c>
      <x:c r="H1962" s="12" t="n">
        <x:v>-2</x:v>
      </x:c>
      <x:c r="I1962" s="12" t="str">
        <x:v>TuShare index_daily</x:v>
      </x:c>
      <x:c r="J1962" s="12" t="str">
        <x:v>FRED current rolling window</x:v>
      </x:c>
    </x:row>
    <x:row r="1963" ht="18" customHeight="1">
      <x:c r="A1963" s="13" t="n">
        <x:v>45547</x:v>
      </x:c>
      <x:c r="B1963" s="12" t="n">
        <x:v>3172.4747</x:v>
      </x:c>
      <x:c r="C1963" s="12" t="n">
        <x:v>3186.1299</x:v>
      </x:c>
      <x:c r="D1963" s="12" t="n">
        <x:v>-0.4286</x:v>
      </x:c>
      <x:c r="E1963" s="12" t="n">
        <x:v>-0.004295036993443384</x:v>
      </x:c>
      <x:c r="F1963" s="12" t="n">
        <x:v>3.39</x:v>
      </x:c>
      <x:c r="G1963" s="12" t="n">
        <x:v>339</x:v>
      </x:c>
      <x:c r="H1963" s="12" t="n">
        <x:v>-5</x:v>
      </x:c>
      <x:c r="I1963" s="12" t="str">
        <x:v>TuShare index_daily</x:v>
      </x:c>
      <x:c r="J1963" s="12" t="str">
        <x:v>FRED current rolling window</x:v>
      </x:c>
    </x:row>
    <x:row r="1964" ht="18" customHeight="1">
      <x:c r="A1964" s="13" t="n">
        <x:v>45548</x:v>
      </x:c>
      <x:c r="B1964" s="12" t="n">
        <x:v>3159.247</x:v>
      </x:c>
      <x:c r="C1964" s="12" t="n">
        <x:v>3172.4747</x:v>
      </x:c>
      <x:c r="D1964" s="12" t="n">
        <x:v>-0.417</x:v>
      </x:c>
      <x:c r="E1964" s="12" t="n">
        <x:v>-0.004178237727577415</x:v>
      </x:c>
      <x:c r="F1964" s="12" t="n">
        <x:v>3.37</x:v>
      </x:c>
      <x:c r="G1964" s="12" t="n">
        <x:v>337</x:v>
      </x:c>
      <x:c r="H1964" s="12" t="n">
        <x:v>-2</x:v>
      </x:c>
      <x:c r="I1964" s="12" t="str">
        <x:v>TuShare index_daily</x:v>
      </x:c>
      <x:c r="J1964" s="12" t="str">
        <x:v>FRED current rolling window</x:v>
      </x:c>
    </x:row>
    <x:row r="1965" ht="18" customHeight="1">
      <x:c r="A1965" s="13" t="n">
        <x:v>45553</x:v>
      </x:c>
      <x:c r="B1965" s="12" t="n">
        <x:v>3171.0102</x:v>
      </x:c>
      <x:c r="C1965" s="12" t="n">
        <x:v>3159.247</x:v>
      </x:c>
      <x:c r="D1965" s="12" t="n">
        <x:v>0.3723</x:v>
      </x:c>
      <x:c r="E1965" s="12" t="n">
        <x:v>0.003716504138199999</x:v>
      </x:c>
      <x:c r="F1965" s="12" t="n">
        <x:v>3.21</x:v>
      </x:c>
      <x:c r="G1965" s="12" t="n">
        <x:v>321</x:v>
      </x:c>
      <x:c r="H1965" s="12" t="n">
        <x:v>-4</x:v>
      </x:c>
      <x:c r="I1965" s="12" t="str">
        <x:v>TuShare index_daily</x:v>
      </x:c>
      <x:c r="J1965" s="12" t="str">
        <x:v>FRED current rolling window</x:v>
      </x:c>
    </x:row>
    <x:row r="1966" ht="18" customHeight="1">
      <x:c r="A1966" s="13" t="n">
        <x:v>45554</x:v>
      </x:c>
      <x:c r="B1966" s="12" t="n">
        <x:v>3196.0357</x:v>
      </x:c>
      <x:c r="C1966" s="12" t="n">
        <x:v>3171.0102</x:v>
      </x:c>
      <x:c r="D1966" s="12" t="n">
        <x:v>0.7892</x:v>
      </x:c>
      <x:c r="E1966" s="12" t="n">
        <x:v>0.007860985852472009</x:v>
      </x:c>
      <x:c r="F1966" s="12" t="n">
        <x:v>3.1</x:v>
      </x:c>
      <x:c r="G1966" s="12" t="n">
        <x:v>310</x:v>
      </x:c>
      <x:c r="H1966" s="12" t="n">
        <x:v>-11</x:v>
      </x:c>
      <x:c r="I1966" s="12" t="str">
        <x:v>TuShare index_daily</x:v>
      </x:c>
      <x:c r="J1966" s="12" t="str">
        <x:v>FRED current rolling window</x:v>
      </x:c>
    </x:row>
    <x:row r="1967" ht="18" customHeight="1">
      <x:c r="A1967" s="13" t="n">
        <x:v>45555</x:v>
      </x:c>
      <x:c r="B1967" s="12" t="n">
        <x:v>3201.0497</x:v>
      </x:c>
      <x:c r="C1967" s="12" t="n">
        <x:v>3196.0357</x:v>
      </x:c>
      <x:c r="D1967" s="12" t="n">
        <x:v>0.1569</x:v>
      </x:c>
      <x:c r="E1967" s="12" t="n">
        <x:v>0.0015675892107855256</x:v>
      </x:c>
      <x:c r="F1967" s="12" t="n">
        <x:v>3.15</x:v>
      </x:c>
      <x:c r="G1967" s="12" t="n">
        <x:v>315</x:v>
      </x:c>
      <x:c r="H1967" s="12" t="n">
        <x:v>5</x:v>
      </x:c>
      <x:c r="I1967" s="12" t="str">
        <x:v>TuShare index_daily</x:v>
      </x:c>
      <x:c r="J1967" s="12" t="str">
        <x:v>FRED current rolling window</x:v>
      </x:c>
    </x:row>
    <x:row r="1968" ht="18" customHeight="1">
      <x:c r="A1968" s="13" t="n">
        <x:v>45558</x:v>
      </x:c>
      <x:c r="B1968" s="12" t="n">
        <x:v>3212.7639</x:v>
      </x:c>
      <x:c r="C1968" s="12" t="n">
        <x:v>3201.0497</x:v>
      </x:c>
      <x:c r="D1968" s="12" t="n">
        <x:v>0.3659</x:v>
      </x:c>
      <x:c r="E1968" s="12" t="n">
        <x:v>0.0036528074421164</x:v>
      </x:c>
      <x:c r="F1968" s="12" t="n">
        <x:v>3.15</x:v>
      </x:c>
      <x:c r="G1968" s="12" t="n">
        <x:v>315</x:v>
      </x:c>
      <x:c r="H1968" s="12" t="n">
        <x:v>0</x:v>
      </x:c>
      <x:c r="I1968" s="12" t="str">
        <x:v>TuShare index_daily</x:v>
      </x:c>
      <x:c r="J1968" s="12" t="str">
        <x:v>FRED current rolling window</x:v>
      </x:c>
    </x:row>
    <x:row r="1969" ht="18" customHeight="1">
      <x:c r="A1969" s="13" t="n">
        <x:v>45559</x:v>
      </x:c>
      <x:c r="B1969" s="12" t="n">
        <x:v>3351.909</x:v>
      </x:c>
      <x:c r="C1969" s="12" t="n">
        <x:v>3212.7639</x:v>
      </x:c>
      <x:c r="D1969" s="12" t="n">
        <x:v>4.331</x:v>
      </x:c>
      <x:c r="E1969" s="12" t="n">
        <x:v>0.04239843957265368</x:v>
      </x:c>
      <x:c r="F1969" s="12" t="n">
        <x:v>3.21</x:v>
      </x:c>
      <x:c r="G1969" s="12" t="n">
        <x:v>321</x:v>
      </x:c>
      <x:c r="H1969" s="12" t="n">
        <x:v>6</x:v>
      </x:c>
      <x:c r="I1969" s="12" t="str">
        <x:v>TuShare index_daily</x:v>
      </x:c>
      <x:c r="J1969" s="12" t="str">
        <x:v>FRED current rolling window</x:v>
      </x:c>
    </x:row>
    <x:row r="1970" ht="18" customHeight="1">
      <x:c r="A1970" s="13" t="n">
        <x:v>45560</x:v>
      </x:c>
      <x:c r="B1970" s="12" t="n">
        <x:v>3401.533</x:v>
      </x:c>
      <x:c r="C1970" s="12" t="n">
        <x:v>3351.909</x:v>
      </x:c>
      <x:c r="D1970" s="12" t="n">
        <x:v>1.4805</x:v>
      </x:c>
      <x:c r="E1970" s="12" t="n">
        <x:v>0.014696178078189136</x:v>
      </x:c>
      <x:c r="F1970" s="12" t="n">
        <x:v>3.19</x:v>
      </x:c>
      <x:c r="G1970" s="12" t="n">
        <x:v>319</x:v>
      </x:c>
      <x:c r="H1970" s="12" t="n">
        <x:v>-2</x:v>
      </x:c>
      <x:c r="I1970" s="12" t="str">
        <x:v>TuShare index_daily</x:v>
      </x:c>
      <x:c r="J1970" s="12" t="str">
        <x:v>FRED current rolling window</x:v>
      </x:c>
    </x:row>
    <x:row r="1971" ht="18" customHeight="1">
      <x:c r="A1971" s="13" t="n">
        <x:v>45561</x:v>
      </x:c>
      <x:c r="B1971" s="12" t="n">
        <x:v>3545.3204</x:v>
      </x:c>
      <x:c r="C1971" s="12" t="n">
        <x:v>3401.533</x:v>
      </x:c>
      <x:c r="D1971" s="12" t="n">
        <x:v>4.2271</x:v>
      </x:c>
      <x:c r="E1971" s="12" t="n">
        <x:v>0.04140232435989194</x:v>
      </x:c>
      <x:c r="F1971" s="12" t="n">
        <x:v>3.14</x:v>
      </x:c>
      <x:c r="G1971" s="12" t="n">
        <x:v>314</x:v>
      </x:c>
      <x:c r="H1971" s="12" t="n">
        <x:v>-5</x:v>
      </x:c>
      <x:c r="I1971" s="12" t="str">
        <x:v>TuShare index_daily</x:v>
      </x:c>
      <x:c r="J1971" s="12" t="str">
        <x:v>FRED current rolling window</x:v>
      </x:c>
    </x:row>
    <x:row r="1972" ht="18" customHeight="1">
      <x:c r="A1972" s="13" t="n">
        <x:v>45562</x:v>
      </x:c>
      <x:c r="B1972" s="12" t="n">
        <x:v>3703.6849</x:v>
      </x:c>
      <x:c r="C1972" s="12" t="n">
        <x:v>3545.3204</x:v>
      </x:c>
      <x:c r="D1972" s="12" t="n">
        <x:v>4.4669</x:v>
      </x:c>
      <x:c r="E1972" s="12" t="n">
        <x:v>0.04369970625282989</x:v>
      </x:c>
      <x:c r="F1972" s="12" t="n">
        <x:v>3.14</x:v>
      </x:c>
      <x:c r="G1972" s="12" t="n">
        <x:v>314</x:v>
      </x:c>
      <x:c r="H1972" s="12" t="n">
        <x:v>0</x:v>
      </x:c>
      <x:c r="I1972" s="12" t="str">
        <x:v>TuShare index_daily</x:v>
      </x:c>
      <x:c r="J1972" s="12" t="str">
        <x:v>FRED current rolling window</x:v>
      </x:c>
    </x:row>
    <x:row r="1973" ht="18" customHeight="1">
      <x:c r="A1973" s="13" t="n">
        <x:v>45565</x:v>
      </x:c>
      <x:c r="B1973" s="12" t="n">
        <x:v>4017.8545</x:v>
      </x:c>
      <x:c r="C1973" s="12" t="n">
        <x:v>3703.6849</x:v>
      </x:c>
      <x:c r="D1973" s="12" t="n">
        <x:v>8.4826</x:v>
      </x:c>
      <x:c r="E1973" s="12" t="n">
        <x:v>0.08141981072040237</x:v>
      </x:c>
      <x:c r="F1973" s="12" t="n">
        <x:v>3.03</x:v>
      </x:c>
      <x:c r="G1973" s="12" t="n">
        <x:v>303</x:v>
      </x:c>
      <x:c r="H1973" s="12" t="n">
        <x:v>-11</x:v>
      </x:c>
      <x:c r="I1973" s="12" t="str">
        <x:v>TuShare index_daily</x:v>
      </x:c>
      <x:c r="J1973" s="12" t="str">
        <x:v>FRED current rolling window</x:v>
      </x:c>
    </x:row>
    <x:row r="1974" ht="18" customHeight="1">
      <x:c r="A1974" s="13" t="n">
        <x:v>45573</x:v>
      </x:c>
      <x:c r="B1974" s="12" t="n">
        <x:v>4256.0962</x:v>
      </x:c>
      <x:c r="C1974" s="12" t="n">
        <x:v>4017.8545</x:v>
      </x:c>
      <x:c r="D1974" s="12" t="n">
        <x:v>5.9296</x:v>
      </x:c>
      <x:c r="E1974" s="12" t="n">
        <x:v>0.0576043014760725</x:v>
      </x:c>
      <x:c r="F1974" s="12" t="n">
        <x:v>2.99</x:v>
      </x:c>
      <x:c r="G1974" s="12" t="n">
        <x:v>299</x:v>
      </x:c>
      <x:c r="H1974" s="12" t="n">
        <x:v>4</x:v>
      </x:c>
      <x:c r="I1974" s="12" t="str">
        <x:v>TuShare index_daily</x:v>
      </x:c>
      <x:c r="J1974" s="12" t="str">
        <x:v>FRED current rolling window</x:v>
      </x:c>
    </x:row>
    <x:row r="1975" ht="18" customHeight="1">
      <x:c r="A1975" s="13" t="n">
        <x:v>45574</x:v>
      </x:c>
      <x:c r="B1975" s="12" t="n">
        <x:v>3955.9839</x:v>
      </x:c>
      <x:c r="C1975" s="12" t="n">
        <x:v>4256.0962</x:v>
      </x:c>
      <x:c r="D1975" s="12" t="n">
        <x:v>-7.0514</x:v>
      </x:c>
      <x:c r="E1975" s="12" t="n">
        <x:v>-0.0731230111826069</x:v>
      </x:c>
      <x:c r="F1975" s="12" t="n">
        <x:v>2.94</x:v>
      </x:c>
      <x:c r="G1975" s="12" t="n">
        <x:v>294</x:v>
      </x:c>
      <x:c r="H1975" s="12" t="n">
        <x:v>-5</x:v>
      </x:c>
      <x:c r="I1975" s="12" t="str">
        <x:v>TuShare index_daily</x:v>
      </x:c>
      <x:c r="J1975" s="12" t="str">
        <x:v>FRED current rolling window</x:v>
      </x:c>
    </x:row>
    <x:row r="1976" ht="18" customHeight="1">
      <x:c r="A1976" s="13" t="n">
        <x:v>45575</x:v>
      </x:c>
      <x:c r="B1976" s="12" t="n">
        <x:v>3997.7879</x:v>
      </x:c>
      <x:c r="C1976" s="12" t="n">
        <x:v>3955.9839</x:v>
      </x:c>
      <x:c r="D1976" s="12" t="n">
        <x:v>1.0567</x:v>
      </x:c>
      <x:c r="E1976" s="12" t="n">
        <x:v>0.010511839160420986</x:v>
      </x:c>
      <x:c r="F1976" s="12" t="n">
        <x:v>2.99</x:v>
      </x:c>
      <x:c r="G1976" s="12" t="n">
        <x:v>299</x:v>
      </x:c>
      <x:c r="H1976" s="12" t="n">
        <x:v>5</x:v>
      </x:c>
      <x:c r="I1976" s="12" t="str">
        <x:v>TuShare index_daily</x:v>
      </x:c>
      <x:c r="J1976" s="12" t="str">
        <x:v>FRED current rolling window</x:v>
      </x:c>
    </x:row>
    <x:row r="1977" ht="18" customHeight="1">
      <x:c r="A1977" s="13" t="n">
        <x:v>45576</x:v>
      </x:c>
      <x:c r="B1977" s="12" t="n">
        <x:v>3887.167</x:v>
      </x:c>
      <x:c r="C1977" s="12" t="n">
        <x:v>3997.7879</x:v>
      </x:c>
      <x:c r="D1977" s="12" t="n">
        <x:v>-2.7671</x:v>
      </x:c>
      <x:c r="E1977" s="12" t="n">
        <x:v>-0.028060568472753827</x:v>
      </x:c>
      <x:c r="F1977" s="12" t="n">
        <x:v>2.98</x:v>
      </x:c>
      <x:c r="G1977" s="12" t="n">
        <x:v>298</x:v>
      </x:c>
      <x:c r="H1977" s="12" t="n">
        <x:v>-1</x:v>
      </x:c>
      <x:c r="I1977" s="12" t="str">
        <x:v>TuShare index_daily</x:v>
      </x:c>
      <x:c r="J1977" s="12" t="str">
        <x:v>FRED current rolling window</x:v>
      </x:c>
    </x:row>
    <x:row r="1978" ht="18" customHeight="1">
      <x:c r="A1978" s="13" t="n">
        <x:v>45579</x:v>
      </x:c>
      <x:c r="B1978" s="12" t="n">
        <x:v>3961.3424</x:v>
      </x:c>
      <x:c r="C1978" s="12" t="n">
        <x:v>3887.167</x:v>
      </x:c>
      <x:c r="D1978" s="12" t="n">
        <x:v>1.9082</x:v>
      </x:c>
      <x:c r="E1978" s="12" t="n">
        <x:v>0.01890234304887516</x:v>
      </x:c>
      <x:c r="F1978" s="12" t="n">
        <x:v>2.97</x:v>
      </x:c>
      <x:c r="G1978" s="12" t="n">
        <x:v>297</x:v>
      </x:c>
      <x:c r="H1978" s="12" t="n">
        <x:v>-1</x:v>
      </x:c>
      <x:c r="I1978" s="12" t="str">
        <x:v>TuShare index_daily</x:v>
      </x:c>
      <x:c r="J1978" s="12" t="str">
        <x:v>FRED current rolling window</x:v>
      </x:c>
    </x:row>
    <x:row r="1979" ht="18" customHeight="1">
      <x:c r="A1979" s="13" t="n">
        <x:v>45580</x:v>
      </x:c>
      <x:c r="B1979" s="12" t="n">
        <x:v>3855.9949</x:v>
      </x:c>
      <x:c r="C1979" s="12" t="n">
        <x:v>3961.3424</x:v>
      </x:c>
      <x:c r="D1979" s="12" t="n">
        <x:v>-2.6594</x:v>
      </x:c>
      <x:c r="E1979" s="12" t="n">
        <x:v>-0.026953903587968227</x:v>
      </x:c>
      <x:c r="F1979" s="12" t="n">
        <x:v>2.93</x:v>
      </x:c>
      <x:c r="G1979" s="12" t="n">
        <x:v>293</x:v>
      </x:c>
      <x:c r="H1979" s="12" t="n">
        <x:v>-4</x:v>
      </x:c>
      <x:c r="I1979" s="12" t="str">
        <x:v>TuShare index_daily</x:v>
      </x:c>
      <x:c r="J1979" s="12" t="str">
        <x:v>FRED current rolling window</x:v>
      </x:c>
    </x:row>
    <x:row r="1980" ht="18" customHeight="1">
      <x:c r="A1980" s="13" t="n">
        <x:v>45581</x:v>
      </x:c>
      <x:c r="B1980" s="12" t="n">
        <x:v>3831.589</x:v>
      </x:c>
      <x:c r="C1980" s="12" t="n">
        <x:v>3855.9949</x:v>
      </x:c>
      <x:c r="D1980" s="12" t="n">
        <x:v>-0.6329</x:v>
      </x:c>
      <x:c r="E1980" s="12" t="n">
        <x:v>-0.006349454474184984</x:v>
      </x:c>
      <x:c r="F1980" s="12" t="n">
        <x:v>2.9</x:v>
      </x:c>
      <x:c r="G1980" s="12" t="n">
        <x:v>290</x:v>
      </x:c>
      <x:c r="H1980" s="12" t="n">
        <x:v>-3</x:v>
      </x:c>
      <x:c r="I1980" s="12" t="str">
        <x:v>TuShare index_daily</x:v>
      </x:c>
      <x:c r="J1980" s="12" t="str">
        <x:v>FRED current rolling window</x:v>
      </x:c>
    </x:row>
    <x:row r="1981" ht="18" customHeight="1">
      <x:c r="A1981" s="13" t="n">
        <x:v>45582</x:v>
      </x:c>
      <x:c r="B1981" s="12" t="n">
        <x:v>3788.2217</x:v>
      </x:c>
      <x:c r="C1981" s="12" t="n">
        <x:v>3831.589</x:v>
      </x:c>
      <x:c r="D1981" s="12" t="n">
        <x:v>-1.1318</x:v>
      </x:c>
      <x:c r="E1981" s="12" t="n">
        <x:v>-0.011382899120795377</x:v>
      </x:c>
      <x:c r="F1981" s="12" t="n">
        <x:v>2.89</x:v>
      </x:c>
      <x:c r="G1981" s="12" t="n">
        <x:v>289</x:v>
      </x:c>
      <x:c r="H1981" s="12" t="n">
        <x:v>-1</x:v>
      </x:c>
      <x:c r="I1981" s="12" t="str">
        <x:v>TuShare index_daily</x:v>
      </x:c>
      <x:c r="J1981" s="12" t="str">
        <x:v>FRED current rolling window</x:v>
      </x:c>
    </x:row>
    <x:row r="1982" ht="18" customHeight="1">
      <x:c r="A1982" s="13" t="n">
        <x:v>45583</x:v>
      </x:c>
      <x:c r="B1982" s="12" t="n">
        <x:v>3925.234</x:v>
      </x:c>
      <x:c r="C1982" s="12" t="n">
        <x:v>3788.2217</x:v>
      </x:c>
      <x:c r="D1982" s="12" t="n">
        <x:v>3.6168</x:v>
      </x:c>
      <x:c r="E1982" s="12" t="n">
        <x:v>0.035529266753357894</x:v>
      </x:c>
      <x:c r="F1982" s="12" t="n">
        <x:v>2.88</x:v>
      </x:c>
      <x:c r="G1982" s="12" t="n">
        <x:v>288</x:v>
      </x:c>
      <x:c r="H1982" s="12" t="n">
        <x:v>-1</x:v>
      </x:c>
      <x:c r="I1982" s="12" t="str">
        <x:v>TuShare index_daily</x:v>
      </x:c>
      <x:c r="J1982" s="12" t="str">
        <x:v>FRED current rolling window</x:v>
      </x:c>
    </x:row>
    <x:row r="1983" ht="18" customHeight="1">
      <x:c r="A1983" s="13" t="n">
        <x:v>45586</x:v>
      </x:c>
      <x:c r="B1983" s="12" t="n">
        <x:v>3935.1974</x:v>
      </x:c>
      <x:c r="C1983" s="12" t="n">
        <x:v>3925.234</x:v>
      </x:c>
      <x:c r="D1983" s="12" t="n">
        <x:v>0.2538</x:v>
      </x:c>
      <x:c r="E1983" s="12" t="n">
        <x:v>0.002535078503685626</x:v>
      </x:c>
      <x:c r="F1983" s="12" t="n">
        <x:v>2.88</x:v>
      </x:c>
      <x:c r="G1983" s="12" t="n">
        <x:v>288</x:v>
      </x:c>
      <x:c r="H1983" s="12" t="n">
        <x:v>0</x:v>
      </x:c>
      <x:c r="I1983" s="12" t="str">
        <x:v>TuShare index_daily</x:v>
      </x:c>
      <x:c r="J1983" s="12" t="str">
        <x:v>FRED current rolling window</x:v>
      </x:c>
    </x:row>
    <x:row r="1984" ht="18" customHeight="1">
      <x:c r="A1984" s="13" t="n">
        <x:v>45587</x:v>
      </x:c>
      <x:c r="B1984" s="12" t="n">
        <x:v>3957.7755</x:v>
      </x:c>
      <x:c r="C1984" s="12" t="n">
        <x:v>3935.1974</x:v>
      </x:c>
      <x:c r="D1984" s="12" t="n">
        <x:v>0.5737</x:v>
      </x:c>
      <x:c r="E1984" s="12" t="n">
        <x:v>0.005721079210379723</x:v>
      </x:c>
      <x:c r="F1984" s="12" t="n">
        <x:v>2.92</x:v>
      </x:c>
      <x:c r="G1984" s="12" t="n">
        <x:v>292</x:v>
      </x:c>
      <x:c r="H1984" s="12" t="n">
        <x:v>4</x:v>
      </x:c>
      <x:c r="I1984" s="12" t="str">
        <x:v>TuShare index_daily</x:v>
      </x:c>
      <x:c r="J1984" s="12" t="str">
        <x:v>FRED current rolling window</x:v>
      </x:c>
    </x:row>
    <x:row r="1985" ht="18" customHeight="1">
      <x:c r="A1985" s="13" t="n">
        <x:v>45588</x:v>
      </x:c>
      <x:c r="B1985" s="12" t="n">
        <x:v>3973.2089</x:v>
      </x:c>
      <x:c r="C1985" s="12" t="n">
        <x:v>3957.7755</x:v>
      </x:c>
      <x:c r="D1985" s="12" t="n">
        <x:v>0.39</x:v>
      </x:c>
      <x:c r="E1985" s="12" t="n">
        <x:v>0.0038919303588495634</x:v>
      </x:c>
      <x:c r="F1985" s="12" t="n">
        <x:v>2.95</x:v>
      </x:c>
      <x:c r="G1985" s="12" t="n">
        <x:v>295</x:v>
      </x:c>
      <x:c r="H1985" s="12" t="n">
        <x:v>3</x:v>
      </x:c>
      <x:c r="I1985" s="12" t="str">
        <x:v>TuShare index_daily</x:v>
      </x:c>
      <x:c r="J1985" s="12" t="str">
        <x:v>FRED current rolling window</x:v>
      </x:c>
    </x:row>
    <x:row r="1986" ht="18" customHeight="1">
      <x:c r="A1986" s="13" t="n">
        <x:v>45589</x:v>
      </x:c>
      <x:c r="B1986" s="12" t="n">
        <x:v>3928.8334</x:v>
      </x:c>
      <x:c r="C1986" s="12" t="n">
        <x:v>3973.2089</x:v>
      </x:c>
      <x:c r="D1986" s="12" t="n">
        <x:v>-1.1169</x:v>
      </x:c>
      <x:c r="E1986" s="12" t="n">
        <x:v>-0.011231518334287871</x:v>
      </x:c>
      <x:c r="F1986" s="12" t="n">
        <x:v>2.93</x:v>
      </x:c>
      <x:c r="G1986" s="12" t="n">
        <x:v>293</x:v>
      </x:c>
      <x:c r="H1986" s="12" t="n">
        <x:v>-2</x:v>
      </x:c>
      <x:c r="I1986" s="12" t="str">
        <x:v>TuShare index_daily</x:v>
      </x:c>
      <x:c r="J1986" s="12" t="str">
        <x:v>FRED current rolling window</x:v>
      </x:c>
    </x:row>
    <x:row r="1987" ht="18" customHeight="1">
      <x:c r="A1987" s="13" t="n">
        <x:v>45590</x:v>
      </x:c>
      <x:c r="B1987" s="12" t="n">
        <x:v>3956.421</x:v>
      </x:c>
      <x:c r="C1987" s="12" t="n">
        <x:v>3928.8334</x:v>
      </x:c>
      <x:c r="D1987" s="12" t="n">
        <x:v>0.7022</x:v>
      </x:c>
      <x:c r="E1987" s="12" t="n">
        <x:v>0.006997291694767125</x:v>
      </x:c>
      <x:c r="F1987" s="12" t="n">
        <x:v>2.89</x:v>
      </x:c>
      <x:c r="G1987" s="12" t="n">
        <x:v>289</x:v>
      </x:c>
      <x:c r="H1987" s="12" t="n">
        <x:v>-4</x:v>
      </x:c>
      <x:c r="I1987" s="12" t="str">
        <x:v>TuShare index_daily</x:v>
      </x:c>
      <x:c r="J1987" s="12" t="str">
        <x:v>FRED current rolling window</x:v>
      </x:c>
    </x:row>
    <x:row r="1988" ht="18" customHeight="1">
      <x:c r="A1988" s="13" t="n">
        <x:v>45593</x:v>
      </x:c>
      <x:c r="B1988" s="12" t="n">
        <x:v>3964.1569</x:v>
      </x:c>
      <x:c r="C1988" s="12" t="n">
        <x:v>3956.421</x:v>
      </x:c>
      <x:c r="D1988" s="12" t="n">
        <x:v>0.1955</x:v>
      </x:c>
      <x:c r="E1988" s="12" t="n">
        <x:v>0.001953368190416609</x:v>
      </x:c>
      <x:c r="F1988" s="12" t="n">
        <x:v>2.82</x:v>
      </x:c>
      <x:c r="G1988" s="12" t="n">
        <x:v>282</x:v>
      </x:c>
      <x:c r="H1988" s="12" t="n">
        <x:v>-7</x:v>
      </x:c>
      <x:c r="I1988" s="12" t="str">
        <x:v>TuShare index_daily</x:v>
      </x:c>
      <x:c r="J1988" s="12" t="str">
        <x:v>FRED current rolling window</x:v>
      </x:c>
    </x:row>
    <x:row r="1989" ht="18" customHeight="1">
      <x:c r="A1989" s="13" t="n">
        <x:v>45594</x:v>
      </x:c>
      <x:c r="B1989" s="12" t="n">
        <x:v>3924.649</x:v>
      </x:c>
      <x:c r="C1989" s="12" t="n">
        <x:v>3964.1569</x:v>
      </x:c>
      <x:c r="D1989" s="12" t="n">
        <x:v>-0.9966</x:v>
      </x:c>
      <x:c r="E1989" s="12" t="n">
        <x:v>-0.010016276431536042</x:v>
      </x:c>
      <x:c r="F1989" s="12" t="n">
        <x:v>2.85</x:v>
      </x:c>
      <x:c r="G1989" s="12" t="n">
        <x:v>285</x:v>
      </x:c>
      <x:c r="H1989" s="12" t="n">
        <x:v>3</x:v>
      </x:c>
      <x:c r="I1989" s="12" t="str">
        <x:v>TuShare index_daily</x:v>
      </x:c>
      <x:c r="J1989" s="12" t="str">
        <x:v>FRED current rolling window</x:v>
      </x:c>
    </x:row>
    <x:row r="1990" ht="18" customHeight="1">
      <x:c r="A1990" s="13" t="n">
        <x:v>45595</x:v>
      </x:c>
      <x:c r="B1990" s="12" t="n">
        <x:v>3889.4487</x:v>
      </x:c>
      <x:c r="C1990" s="12" t="n">
        <x:v>3924.649</x:v>
      </x:c>
      <x:c r="D1990" s="12" t="n">
        <x:v>-0.8969</x:v>
      </x:c>
      <x:c r="E1990" s="12" t="n">
        <x:v>-0.009009495262216016</x:v>
      </x:c>
      <x:c r="F1990" s="12" t="n">
        <x:v>2.8</x:v>
      </x:c>
      <x:c r="G1990" s="12" t="n">
        <x:v>280</x:v>
      </x:c>
      <x:c r="H1990" s="12" t="n">
        <x:v>-5</x:v>
      </x:c>
      <x:c r="I1990" s="12" t="str">
        <x:v>TuShare index_daily</x:v>
      </x:c>
      <x:c r="J1990" s="12" t="str">
        <x:v>FRED current rolling window</x:v>
      </x:c>
    </x:row>
    <x:row r="1991" ht="18" customHeight="1">
      <x:c r="A1991" s="13" t="n">
        <x:v>45596</x:v>
      </x:c>
      <x:c r="B1991" s="12" t="n">
        <x:v>3891.0396</x:v>
      </x:c>
      <x:c r="C1991" s="12" t="n">
        <x:v>3889.4487</x:v>
      </x:c>
      <x:c r="D1991" s="12" t="n">
        <x:v>0.0409</x:v>
      </x:c>
      <x:c r="E1991" s="12" t="n">
        <x:v>0.00040894606118007065</x:v>
      </x:c>
      <x:c r="F1991" s="12" t="n">
        <x:v>2.88</x:v>
      </x:c>
      <x:c r="G1991" s="12" t="n">
        <x:v>288</x:v>
      </x:c>
      <x:c r="H1991" s="12" t="n">
        <x:v>8</x:v>
      </x:c>
      <x:c r="I1991" s="12" t="str">
        <x:v>TuShare index_daily</x:v>
      </x:c>
      <x:c r="J1991" s="12" t="str">
        <x:v>FRED current rolling window</x:v>
      </x:c>
    </x:row>
    <x:row r="1992" ht="18" customHeight="1">
      <x:c r="A1992" s="13" t="n">
        <x:v>45597</x:v>
      </x:c>
      <x:c r="B1992" s="12" t="n">
        <x:v>3890.0203</x:v>
      </x:c>
      <x:c r="C1992" s="12" t="n">
        <x:v>3891.0396</x:v>
      </x:c>
      <x:c r="D1992" s="12" t="n">
        <x:v>-0.0262</x:v>
      </x:c>
      <x:c r="E1992" s="12" t="n">
        <x:v>-0.0002619951571971654</x:v>
      </x:c>
      <x:c r="F1992" s="12" t="n">
        <x:v>2.83</x:v>
      </x:c>
      <x:c r="G1992" s="12" t="n">
        <x:v>283</x:v>
      </x:c>
      <x:c r="H1992" s="12" t="n">
        <x:v>-5</x:v>
      </x:c>
      <x:c r="I1992" s="12" t="str">
        <x:v>TuShare index_daily</x:v>
      </x:c>
      <x:c r="J1992" s="12" t="str">
        <x:v>FRED current rolling window</x:v>
      </x:c>
    </x:row>
    <x:row r="1993" ht="18" customHeight="1">
      <x:c r="A1993" s="13" t="n">
        <x:v>45600</x:v>
      </x:c>
      <x:c r="B1993" s="12" t="n">
        <x:v>3944.7619</x:v>
      </x:c>
      <x:c r="C1993" s="12" t="n">
        <x:v>3890.0203</x:v>
      </x:c>
      <x:c r="D1993" s="12" t="n">
        <x:v>1.4072</x:v>
      </x:c>
      <x:c r="E1993" s="12" t="n">
        <x:v>0.013974221471078057</x:v>
      </x:c>
      <x:c r="F1993" s="12" t="n">
        <x:v>2.87</x:v>
      </x:c>
      <x:c r="G1993" s="12" t="n">
        <x:v>287</x:v>
      </x:c>
      <x:c r="H1993" s="12" t="n">
        <x:v>4</x:v>
      </x:c>
      <x:c r="I1993" s="12" t="str">
        <x:v>TuShare index_daily</x:v>
      </x:c>
      <x:c r="J1993" s="12" t="str">
        <x:v>FRED current rolling window</x:v>
      </x:c>
    </x:row>
    <x:row r="1994" ht="18" customHeight="1">
      <x:c r="A1994" s="13" t="n">
        <x:v>45601</x:v>
      </x:c>
      <x:c r="B1994" s="12" t="n">
        <x:v>4044.5725</x:v>
      </x:c>
      <x:c r="C1994" s="12" t="n">
        <x:v>3944.7619</x:v>
      </x:c>
      <x:c r="D1994" s="12" t="n">
        <x:v>2.5302</x:v>
      </x:c>
      <x:c r="E1994" s="12" t="n">
        <x:v>0.024987261296340286</x:v>
      </x:c>
      <x:c r="F1994" s="12" t="n">
        <x:v>2.86</x:v>
      </x:c>
      <x:c r="G1994" s="12" t="n">
        <x:v>286</x:v>
      </x:c>
      <x:c r="H1994" s="12" t="n">
        <x:v>-1</x:v>
      </x:c>
      <x:c r="I1994" s="12" t="str">
        <x:v>TuShare index_daily</x:v>
      </x:c>
      <x:c r="J1994" s="12" t="str">
        <x:v>FRED current rolling window</x:v>
      </x:c>
    </x:row>
    <x:row r="1995" ht="18" customHeight="1">
      <x:c r="A1995" s="13" t="n">
        <x:v>45602</x:v>
      </x:c>
      <x:c r="B1995" s="12" t="n">
        <x:v>4024.2831</x:v>
      </x:c>
      <x:c r="C1995" s="12" t="n">
        <x:v>4044.5725</x:v>
      </x:c>
      <x:c r="D1995" s="12" t="n">
        <x:v>-0.5016</x:v>
      </x:c>
      <x:c r="E1995" s="12" t="n">
        <x:v>-0.0050290756876604685</x:v>
      </x:c>
      <x:c r="F1995" s="12" t="n">
        <x:v>2.74</x:v>
      </x:c>
      <x:c r="G1995" s="12" t="n">
        <x:v>274</x:v>
      </x:c>
      <x:c r="H1995" s="12" t="n">
        <x:v>-12</x:v>
      </x:c>
      <x:c r="I1995" s="12" t="str">
        <x:v>TuShare index_daily</x:v>
      </x:c>
      <x:c r="J1995" s="12" t="str">
        <x:v>FRED current rolling window</x:v>
      </x:c>
    </x:row>
    <x:row r="1996" ht="18" customHeight="1">
      <x:c r="A1996" s="13" t="n">
        <x:v>45603</x:v>
      </x:c>
      <x:c r="B1996" s="12" t="n">
        <x:v>4145.6952</x:v>
      </x:c>
      <x:c r="C1996" s="12" t="n">
        <x:v>4024.2831</x:v>
      </x:c>
      <x:c r="D1996" s="12" t="n">
        <x:v>3.017</x:v>
      </x:c>
      <x:c r="E1996" s="12" t="n">
        <x:v>0.02972371146306609</x:v>
      </x:c>
      <x:c r="F1996" s="12" t="n">
        <x:v>2.73</x:v>
      </x:c>
      <x:c r="G1996" s="12" t="n">
        <x:v>273</x:v>
      </x:c>
      <x:c r="H1996" s="12" t="n">
        <x:v>-1</x:v>
      </x:c>
      <x:c r="I1996" s="12" t="str">
        <x:v>TuShare index_daily</x:v>
      </x:c>
      <x:c r="J1996" s="12" t="str">
        <x:v>FRED current rolling window</x:v>
      </x:c>
    </x:row>
    <x:row r="1997" ht="18" customHeight="1">
      <x:c r="A1997" s="13" t="n">
        <x:v>45604</x:v>
      </x:c>
      <x:c r="B1997" s="12" t="n">
        <x:v>4104.047</x:v>
      </x:c>
      <x:c r="C1997" s="12" t="n">
        <x:v>4145.6952</x:v>
      </x:c>
      <x:c r="D1997" s="12" t="n">
        <x:v>-1.0046</x:v>
      </x:c>
      <x:c r="E1997" s="12" t="n">
        <x:v>-0.010096934623952768</x:v>
      </x:c>
      <x:c r="F1997" s="12" t="n">
        <x:v>2.63</x:v>
      </x:c>
      <x:c r="G1997" s="12" t="n">
        <x:v>263</x:v>
      </x:c>
      <x:c r="H1997" s="12" t="n">
        <x:v>-10</x:v>
      </x:c>
      <x:c r="I1997" s="12" t="str">
        <x:v>TuShare index_daily</x:v>
      </x:c>
      <x:c r="J1997" s="12" t="str">
        <x:v>FRED current rolling window</x:v>
      </x:c>
    </x:row>
    <x:row r="1998" ht="18" customHeight="1">
      <x:c r="A1998" s="13" t="n">
        <x:v>45607</x:v>
      </x:c>
      <x:c r="B1998" s="12" t="n">
        <x:v>4131.1312</x:v>
      </x:c>
      <x:c r="C1998" s="12" t="n">
        <x:v>4104.047</x:v>
      </x:c>
      <x:c r="D1998" s="12" t="n">
        <x:v>0.6599</x:v>
      </x:c>
      <x:c r="E1998" s="12" t="n">
        <x:v>0.006577707730125924</x:v>
      </x:c>
      <x:c r="F1998" s="12" t="n">
        <x:v>2.63</x:v>
      </x:c>
      <x:c r="G1998" s="12" t="n">
        <x:v>263</x:v>
      </x:c>
      <x:c r="H1998" s="12" t="n">
        <x:v>0</x:v>
      </x:c>
      <x:c r="I1998" s="12" t="str">
        <x:v>TuShare index_daily</x:v>
      </x:c>
      <x:c r="J1998" s="12" t="str">
        <x:v>FRED current rolling window</x:v>
      </x:c>
    </x:row>
    <x:row r="1999" ht="18" customHeight="1">
      <x:c r="A1999" s="13" t="n">
        <x:v>45608</x:v>
      </x:c>
      <x:c r="B1999" s="12" t="n">
        <x:v>4085.743</x:v>
      </x:c>
      <x:c r="C1999" s="12" t="n">
        <x:v>4131.1312</x:v>
      </x:c>
      <x:c r="D1999" s="12" t="n">
        <x:v>-1.0987</x:v>
      </x:c>
      <x:c r="E1999" s="12" t="n">
        <x:v>-0.011047671056907763</x:v>
      </x:c>
      <x:c r="F1999" s="12" t="n">
        <x:v>2.61</x:v>
      </x:c>
      <x:c r="G1999" s="12" t="n">
        <x:v>261</x:v>
      </x:c>
      <x:c r="H1999" s="12" t="n">
        <x:v>-2</x:v>
      </x:c>
      <x:c r="I1999" s="12" t="str">
        <x:v>TuShare index_daily</x:v>
      </x:c>
      <x:c r="J1999" s="12" t="str">
        <x:v>FRED current rolling window</x:v>
      </x:c>
    </x:row>
    <x:row r="2000" ht="18" customHeight="1">
      <x:c r="A2000" s="13" t="n">
        <x:v>45609</x:v>
      </x:c>
      <x:c r="B2000" s="12" t="n">
        <x:v>4110.8901</x:v>
      </x:c>
      <x:c r="C2000" s="12" t="n">
        <x:v>4085.743</x:v>
      </x:c>
      <x:c r="D2000" s="12" t="n">
        <x:v>0.6155</x:v>
      </x:c>
      <x:c r="E2000" s="12" t="n">
        <x:v>0.006135977685628404</x:v>
      </x:c>
      <x:c r="F2000" s="12" t="n">
        <x:v>2.64</x:v>
      </x:c>
      <x:c r="G2000" s="12" t="n">
        <x:v>264</x:v>
      </x:c>
      <x:c r="H2000" s="12" t="n">
        <x:v>3</x:v>
      </x:c>
      <x:c r="I2000" s="12" t="str">
        <x:v>TuShare index_daily</x:v>
      </x:c>
      <x:c r="J2000" s="12" t="str">
        <x:v>FRED current rolling window</x:v>
      </x:c>
    </x:row>
    <x:row r="2001" ht="18" customHeight="1">
      <x:c r="A2001" s="13" t="n">
        <x:v>45610</x:v>
      </x:c>
      <x:c r="B2001" s="12" t="n">
        <x:v>4039.6191</x:v>
      </x:c>
      <x:c r="C2001" s="12" t="n">
        <x:v>4110.8901</x:v>
      </x:c>
      <x:c r="D2001" s="12" t="n">
        <x:v>-1.7337</x:v>
      </x:c>
      <x:c r="E2001" s="12" t="n">
        <x:v>-0.017489169053457043</x:v>
      </x:c>
      <x:c r="F2001" s="12" t="n">
        <x:v>2.6</x:v>
      </x:c>
      <x:c r="G2001" s="12" t="n">
        <x:v>260</x:v>
      </x:c>
      <x:c r="H2001" s="12" t="n">
        <x:v>-4</x:v>
      </x:c>
      <x:c r="I2001" s="12" t="str">
        <x:v>TuShare index_daily</x:v>
      </x:c>
      <x:c r="J2001" s="12" t="str">
        <x:v>FRED current rolling window</x:v>
      </x:c>
    </x:row>
    <x:row r="2002" ht="18" customHeight="1">
      <x:c r="A2002" s="13" t="n">
        <x:v>45611</x:v>
      </x:c>
      <x:c r="B2002" s="12" t="n">
        <x:v>3968.8308</x:v>
      </x:c>
      <x:c r="C2002" s="12" t="n">
        <x:v>4039.6191</x:v>
      </x:c>
      <x:c r="D2002" s="12" t="n">
        <x:v>-1.7524</x:v>
      </x:c>
      <x:c r="E2002" s="12" t="n">
        <x:v>-0.01767886284325673</x:v>
      </x:c>
      <x:c r="F2002" s="12" t="n">
        <x:v>2.72</x:v>
      </x:c>
      <x:c r="G2002" s="12" t="n">
        <x:v>272</x:v>
      </x:c>
      <x:c r="H2002" s="12" t="n">
        <x:v>12</x:v>
      </x:c>
      <x:c r="I2002" s="12" t="str">
        <x:v>TuShare index_daily</x:v>
      </x:c>
      <x:c r="J2002" s="12" t="str">
        <x:v>FRED current rolling window</x:v>
      </x:c>
    </x:row>
    <x:row r="2003" ht="18" customHeight="1">
      <x:c r="A2003" s="13" t="n">
        <x:v>45614</x:v>
      </x:c>
      <x:c r="B2003" s="12" t="n">
        <x:v>3950.3806</x:v>
      </x:c>
      <x:c r="C2003" s="12" t="n">
        <x:v>3968.8308</x:v>
      </x:c>
      <x:c r="D2003" s="12" t="n">
        <x:v>-0.4649</x:v>
      </x:c>
      <x:c r="E2003" s="12" t="n">
        <x:v>-0.004659613805119821</x:v>
      </x:c>
      <x:c r="F2003" s="12" t="n">
        <x:v>2.72</x:v>
      </x:c>
      <x:c r="G2003" s="12" t="n">
        <x:v>272</x:v>
      </x:c>
      <x:c r="H2003" s="12" t="n">
        <x:v>0</x:v>
      </x:c>
      <x:c r="I2003" s="12" t="str">
        <x:v>TuShare index_daily</x:v>
      </x:c>
      <x:c r="J2003" s="12" t="str">
        <x:v>FRED current rolling window</x:v>
      </x:c>
    </x:row>
    <x:row r="2004" ht="18" customHeight="1">
      <x:c r="A2004" s="13" t="n">
        <x:v>45615</x:v>
      </x:c>
      <x:c r="B2004" s="12" t="n">
        <x:v>3976.8912</x:v>
      </x:c>
      <x:c r="C2004" s="12" t="n">
        <x:v>3950.3806</x:v>
      </x:c>
      <x:c r="D2004" s="12" t="n">
        <x:v>0.6711</x:v>
      </x:c>
      <x:c r="E2004" s="12" t="n">
        <x:v>0.00668847984521444</x:v>
      </x:c>
      <x:c r="F2004" s="12" t="n">
        <x:v>2.69</x:v>
      </x:c>
      <x:c r="G2004" s="12" t="n">
        <x:v>269</x:v>
      </x:c>
      <x:c r="H2004" s="12" t="n">
        <x:v>-3</x:v>
      </x:c>
      <x:c r="I2004" s="12" t="str">
        <x:v>TuShare index_daily</x:v>
      </x:c>
      <x:c r="J2004" s="12" t="str">
        <x:v>FRED current rolling window</x:v>
      </x:c>
    </x:row>
    <x:row r="2005" ht="18" customHeight="1">
      <x:c r="A2005" s="13" t="n">
        <x:v>45616</x:v>
      </x:c>
      <x:c r="B2005" s="12" t="n">
        <x:v>3985.7727</x:v>
      </x:c>
      <x:c r="C2005" s="12" t="n">
        <x:v>3976.8912</x:v>
      </x:c>
      <x:c r="D2005" s="12" t="n">
        <x:v>0.2233</x:v>
      </x:c>
      <x:c r="E2005" s="12" t="n">
        <x:v>0.0022307870317534334</x:v>
      </x:c>
      <x:c r="F2005" s="12" t="n">
        <x:v>2.67</x:v>
      </x:c>
      <x:c r="G2005" s="12" t="n">
        <x:v>267</x:v>
      </x:c>
      <x:c r="H2005" s="12" t="n">
        <x:v>-2</x:v>
      </x:c>
      <x:c r="I2005" s="12" t="str">
        <x:v>TuShare index_daily</x:v>
      </x:c>
      <x:c r="J2005" s="12" t="str">
        <x:v>FRED current rolling window</x:v>
      </x:c>
    </x:row>
    <x:row r="2006" ht="18" customHeight="1">
      <x:c r="A2006" s="13" t="n">
        <x:v>45617</x:v>
      </x:c>
      <x:c r="B2006" s="12" t="n">
        <x:v>3989.2979</x:v>
      </x:c>
      <x:c r="C2006" s="12" t="n">
        <x:v>3985.7727</x:v>
      </x:c>
      <x:c r="D2006" s="12" t="n">
        <x:v>0.0884</x:v>
      </x:c>
      <x:c r="E2006" s="12" t="n">
        <x:v>0.0008840549272616244</x:v>
      </x:c>
      <x:c r="F2006" s="12" t="n">
        <x:v>2.61</x:v>
      </x:c>
      <x:c r="G2006" s="12" t="n">
        <x:v>261</x:v>
      </x:c>
      <x:c r="H2006" s="12" t="n">
        <x:v>-6</x:v>
      </x:c>
      <x:c r="I2006" s="12" t="str">
        <x:v>TuShare index_daily</x:v>
      </x:c>
      <x:c r="J2006" s="12" t="str">
        <x:v>FRED current rolling window</x:v>
      </x:c>
    </x:row>
    <x:row r="2007" ht="18" customHeight="1">
      <x:c r="A2007" s="13" t="n">
        <x:v>45618</x:v>
      </x:c>
      <x:c r="B2007" s="12" t="n">
        <x:v>3865.6989</x:v>
      </x:c>
      <x:c r="C2007" s="12" t="n">
        <x:v>3989.2979</x:v>
      </x:c>
      <x:c r="D2007" s="12" t="n">
        <x:v>-3.0983</x:v>
      </x:c>
      <x:c r="E2007" s="12" t="n">
        <x:v>-0.031472756870787426</x:v>
      </x:c>
      <x:c r="F2007" s="12" t="n">
        <x:v>2.61</x:v>
      </x:c>
      <x:c r="G2007" s="12" t="n">
        <x:v>261</x:v>
      </x:c>
      <x:c r="H2007" s="12" t="n">
        <x:v>0</x:v>
      </x:c>
      <x:c r="I2007" s="12" t="str">
        <x:v>TuShare index_daily</x:v>
      </x:c>
      <x:c r="J2007" s="12" t="str">
        <x:v>FRED current rolling window</x:v>
      </x:c>
    </x:row>
    <x:row r="2008" ht="18" customHeight="1">
      <x:c r="A2008" s="13" t="n">
        <x:v>45621</x:v>
      </x:c>
      <x:c r="B2008" s="12" t="n">
        <x:v>3848.0909</x:v>
      </x:c>
      <x:c r="C2008" s="12" t="n">
        <x:v>3865.6989</x:v>
      </x:c>
      <x:c r="D2008" s="12" t="n">
        <x:v>-0.4555</x:v>
      </x:c>
      <x:c r="E2008" s="12" t="n">
        <x:v>-0.004565338449490279</x:v>
      </x:c>
      <x:c r="F2008" s="12" t="n">
        <x:v>2.64</x:v>
      </x:c>
      <x:c r="G2008" s="12" t="n">
        <x:v>264</x:v>
      </x:c>
      <x:c r="H2008" s="12" t="n">
        <x:v>3</x:v>
      </x:c>
      <x:c r="I2008" s="12" t="str">
        <x:v>TuShare index_daily</x:v>
      </x:c>
      <x:c r="J2008" s="12" t="str">
        <x:v>FRED current rolling window</x:v>
      </x:c>
    </x:row>
    <x:row r="2009" ht="18" customHeight="1">
      <x:c r="A2009" s="13" t="n">
        <x:v>45622</x:v>
      </x:c>
      <x:c r="B2009" s="12" t="n">
        <x:v>3840.1847</x:v>
      </x:c>
      <x:c r="C2009" s="12" t="n">
        <x:v>3848.0909</x:v>
      </x:c>
      <x:c r="D2009" s="12" t="n">
        <x:v>-0.2055</x:v>
      </x:c>
      <x:c r="E2009" s="12" t="n">
        <x:v>-0.002056690784321142</x:v>
      </x:c>
      <x:c r="F2009" s="12" t="n">
        <x:v>2.68</x:v>
      </x:c>
      <x:c r="G2009" s="12" t="n">
        <x:v>268</x:v>
      </x:c>
      <x:c r="H2009" s="12" t="n">
        <x:v>4</x:v>
      </x:c>
      <x:c r="I2009" s="12" t="str">
        <x:v>TuShare index_daily</x:v>
      </x:c>
      <x:c r="J2009" s="12" t="str">
        <x:v>FRED current rolling window</x:v>
      </x:c>
    </x:row>
    <x:row r="2010" ht="18" customHeight="1">
      <x:c r="A2010" s="13" t="n">
        <x:v>45623</x:v>
      </x:c>
      <x:c r="B2010" s="12" t="n">
        <x:v>3907.0447</x:v>
      </x:c>
      <x:c r="C2010" s="12" t="n">
        <x:v>3840.1847</x:v>
      </x:c>
      <x:c r="D2010" s="12" t="n">
        <x:v>1.7411</x:v>
      </x:c>
      <x:c r="E2010" s="12" t="n">
        <x:v>0.017260792609562207</x:v>
      </x:c>
      <x:c r="F2010" s="12" t="n">
        <x:v>2.69</x:v>
      </x:c>
      <x:c r="G2010" s="12" t="n">
        <x:v>269</x:v>
      </x:c>
      <x:c r="H2010" s="12" t="n">
        <x:v>1</x:v>
      </x:c>
      <x:c r="I2010" s="12" t="str">
        <x:v>TuShare index_daily</x:v>
      </x:c>
      <x:c r="J2010" s="12" t="str">
        <x:v>FRED current rolling window</x:v>
      </x:c>
    </x:row>
    <x:row r="2011" ht="18" customHeight="1">
      <x:c r="A2011" s="13" t="n">
        <x:v>45624</x:v>
      </x:c>
      <x:c r="B2011" s="12" t="n">
        <x:v>3872.5505</x:v>
      </x:c>
      <x:c r="C2011" s="12" t="n">
        <x:v>3907.0447</x:v>
      </x:c>
      <x:c r="D2011" s="12" t="n">
        <x:v>-0.8829</x:v>
      </x:c>
      <x:c r="E2011" s="12" t="n">
        <x:v>-0.008867923115554377</x:v>
      </x:c>
      <x:c r="F2011" s="12" t="n">
        <x:v>2.69</x:v>
      </x:c>
      <x:c r="G2011" s="12" t="n">
        <x:v>269</x:v>
      </x:c>
      <x:c r="H2011" s="12" t="n">
        <x:v>0</x:v>
      </x:c>
      <x:c r="I2011" s="12" t="str">
        <x:v>TuShare index_daily</x:v>
      </x:c>
      <x:c r="J2011" s="12" t="str">
        <x:v>FRED current rolling window</x:v>
      </x:c>
    </x:row>
    <x:row r="2012" ht="18" customHeight="1">
      <x:c r="A2012" s="13" t="n">
        <x:v>45625</x:v>
      </x:c>
      <x:c r="B2012" s="12" t="n">
        <x:v>3916.5832</x:v>
      </x:c>
      <x:c r="C2012" s="12" t="n">
        <x:v>3872.5505</x:v>
      </x:c>
      <x:c r="D2012" s="12" t="n">
        <x:v>1.137</x:v>
      </x:c>
      <x:c r="E2012" s="12" t="n">
        <x:v>0.01130630716142679</x:v>
      </x:c>
      <x:c r="F2012" s="12" t="n">
        <x:v>2.72</x:v>
      </x:c>
      <x:c r="G2012" s="12" t="n">
        <x:v>272</x:v>
      </x:c>
      <x:c r="H2012" s="12" t="n">
        <x:v>3</x:v>
      </x:c>
      <x:c r="I2012" s="12" t="str">
        <x:v>TuShare index_daily</x:v>
      </x:c>
      <x:c r="J2012" s="12" t="str">
        <x:v>FRED current rolling window</x:v>
      </x:c>
    </x:row>
    <x:row r="2013" ht="18" customHeight="1">
      <x:c r="A2013" s="13" t="n">
        <x:v>45628</x:v>
      </x:c>
      <x:c r="B2013" s="12" t="n">
        <x:v>3947.632</x:v>
      </x:c>
      <x:c r="C2013" s="12" t="n">
        <x:v>3916.5832</x:v>
      </x:c>
      <x:c r="D2013" s="12" t="n">
        <x:v>0.7928</x:v>
      </x:c>
      <x:c r="E2013" s="12" t="n">
        <x:v>0.007896264417277947</x:v>
      </x:c>
      <x:c r="F2013" s="12" t="n">
        <x:v>2.68</x:v>
      </x:c>
      <x:c r="G2013" s="12" t="n">
        <x:v>268</x:v>
      </x:c>
      <x:c r="H2013" s="12" t="n">
        <x:v>-6</x:v>
      </x:c>
      <x:c r="I2013" s="12" t="str">
        <x:v>TuShare index_daily</x:v>
      </x:c>
      <x:c r="J2013" s="12" t="str">
        <x:v>FRED current rolling window</x:v>
      </x:c>
    </x:row>
    <x:row r="2014" ht="18" customHeight="1">
      <x:c r="A2014" s="13" t="n">
        <x:v>45629</x:v>
      </x:c>
      <x:c r="B2014" s="12" t="n">
        <x:v>3951.8912</x:v>
      </x:c>
      <x:c r="C2014" s="12" t="n">
        <x:v>3947.632</x:v>
      </x:c>
      <x:c r="D2014" s="12" t="n">
        <x:v>0.1079</x:v>
      </x:c>
      <x:c r="E2014" s="12" t="n">
        <x:v>0.0010783436683179219</x:v>
      </x:c>
      <x:c r="F2014" s="12" t="n">
        <x:v>2.66</x:v>
      </x:c>
      <x:c r="G2014" s="12" t="n">
        <x:v>266</x:v>
      </x:c>
      <x:c r="H2014" s="12" t="n">
        <x:v>-2</x:v>
      </x:c>
      <x:c r="I2014" s="12" t="str">
        <x:v>TuShare index_daily</x:v>
      </x:c>
      <x:c r="J2014" s="12" t="str">
        <x:v>FRED current rolling window</x:v>
      </x:c>
    </x:row>
    <x:row r="2015" ht="18" customHeight="1">
      <x:c r="A2015" s="13" t="n">
        <x:v>45630</x:v>
      </x:c>
      <x:c r="B2015" s="12" t="n">
        <x:v>3930.5568</x:v>
      </x:c>
      <x:c r="C2015" s="12" t="n">
        <x:v>3951.8912</x:v>
      </x:c>
      <x:c r="D2015" s="12" t="n">
        <x:v>-0.5399</x:v>
      </x:c>
      <x:c r="E2015" s="12" t="n">
        <x:v>-0.005413153907375518</x:v>
      </x:c>
      <x:c r="F2015" s="12" t="n">
        <x:v>2.66</x:v>
      </x:c>
      <x:c r="G2015" s="12" t="n">
        <x:v>266</x:v>
      </x:c>
      <x:c r="H2015" s="12" t="n">
        <x:v>0</x:v>
      </x:c>
      <x:c r="I2015" s="12" t="str">
        <x:v>TuShare index_daily</x:v>
      </x:c>
      <x:c r="J2015" s="12" t="str">
        <x:v>FRED current rolling window</x:v>
      </x:c>
    </x:row>
    <x:row r="2016" ht="18" customHeight="1">
      <x:c r="A2016" s="13" t="n">
        <x:v>45631</x:v>
      </x:c>
      <x:c r="B2016" s="12" t="n">
        <x:v>3921.5881</x:v>
      </x:c>
      <x:c r="C2016" s="12" t="n">
        <x:v>3930.5568</x:v>
      </x:c>
      <x:c r="D2016" s="12" t="n">
        <x:v>-0.2282</x:v>
      </x:c>
      <x:c r="E2016" s="12" t="n">
        <x:v>-0.002284395923523181</x:v>
      </x:c>
      <x:c r="F2016" s="12" t="n">
        <x:v>2.66</x:v>
      </x:c>
      <x:c r="G2016" s="12" t="n">
        <x:v>266</x:v>
      </x:c>
      <x:c r="H2016" s="12" t="n">
        <x:v>0</x:v>
      </x:c>
      <x:c r="I2016" s="12" t="str">
        <x:v>TuShare index_daily</x:v>
      </x:c>
      <x:c r="J2016" s="12" t="str">
        <x:v>FRED current rolling window</x:v>
      </x:c>
    </x:row>
    <x:row r="2017" ht="18" customHeight="1">
      <x:c r="A2017" s="13" t="n">
        <x:v>45632</x:v>
      </x:c>
      <x:c r="B2017" s="12" t="n">
        <x:v>3973.1405</x:v>
      </x:c>
      <x:c r="C2017" s="12" t="n">
        <x:v>3921.5881</x:v>
      </x:c>
      <x:c r="D2017" s="12" t="n">
        <x:v>1.3146</x:v>
      </x:c>
      <x:c r="E2017" s="12" t="n">
        <x:v>0.01306014060080671</x:v>
      </x:c>
      <x:c r="F2017" s="12" t="n">
        <x:v>2.67</x:v>
      </x:c>
      <x:c r="G2017" s="12" t="n">
        <x:v>267</x:v>
      </x:c>
      <x:c r="H2017" s="12" t="n">
        <x:v>1</x:v>
      </x:c>
      <x:c r="I2017" s="12" t="str">
        <x:v>TuShare index_daily</x:v>
      </x:c>
      <x:c r="J2017" s="12" t="str">
        <x:v>FRED current rolling window</x:v>
      </x:c>
    </x:row>
    <x:row r="2018" ht="18" customHeight="1">
      <x:c r="A2018" s="13" t="n">
        <x:v>45635</x:v>
      </x:c>
      <x:c r="B2018" s="12" t="n">
        <x:v>3966.5708</x:v>
      </x:c>
      <x:c r="C2018" s="12" t="n">
        <x:v>3973.1405</x:v>
      </x:c>
      <x:c r="D2018" s="12" t="n">
        <x:v>-0.1654</x:v>
      </x:c>
      <x:c r="E2018" s="12" t="n">
        <x:v>-0.001654896822094964</x:v>
      </x:c>
      <x:c r="F2018" s="12" t="n">
        <x:v>2.67</x:v>
      </x:c>
      <x:c r="G2018" s="12" t="n">
        <x:v>267</x:v>
      </x:c>
      <x:c r="H2018" s="12" t="n">
        <x:v>0</x:v>
      </x:c>
      <x:c r="I2018" s="12" t="str">
        <x:v>TuShare index_daily</x:v>
      </x:c>
      <x:c r="J2018" s="12" t="str">
        <x:v>FRED current rolling window</x:v>
      </x:c>
    </x:row>
    <x:row r="2019" ht="18" customHeight="1">
      <x:c r="A2019" s="13" t="n">
        <x:v>45636</x:v>
      </x:c>
      <x:c r="B2019" s="12" t="n">
        <x:v>3995.6369</x:v>
      </x:c>
      <x:c r="C2019" s="12" t="n">
        <x:v>3966.5708</x:v>
      </x:c>
      <x:c r="D2019" s="12" t="n">
        <x:v>0.7328</x:v>
      </x:c>
      <x:c r="E2019" s="12" t="n">
        <x:v>0.007301047701793668</x:v>
      </x:c>
      <x:c r="F2019" s="12" t="n">
        <x:v>2.67</x:v>
      </x:c>
      <x:c r="G2019" s="12" t="n">
        <x:v>267</x:v>
      </x:c>
      <x:c r="H2019" s="12" t="n">
        <x:v>0</x:v>
      </x:c>
      <x:c r="I2019" s="12" t="str">
        <x:v>TuShare index_daily</x:v>
      </x:c>
      <x:c r="J2019" s="12" t="str">
        <x:v>FRED current rolling window</x:v>
      </x:c>
    </x:row>
    <x:row r="2020" ht="18" customHeight="1">
      <x:c r="A2020" s="13" t="n">
        <x:v>45637</x:v>
      </x:c>
      <x:c r="B2020" s="12" t="n">
        <x:v>3988.8308</x:v>
      </x:c>
      <x:c r="C2020" s="12" t="n">
        <x:v>3995.6369</x:v>
      </x:c>
      <x:c r="D2020" s="12" t="n">
        <x:v>-0.1703</x:v>
      </x:c>
      <x:c r="E2020" s="12" t="n">
        <x:v>-0.0017048354140059756</x:v>
      </x:c>
      <x:c r="F2020" s="12" t="n">
        <x:v>2.64</x:v>
      </x:c>
      <x:c r="G2020" s="12" t="n">
        <x:v>264</x:v>
      </x:c>
      <x:c r="H2020" s="12" t="n">
        <x:v>-3</x:v>
      </x:c>
      <x:c r="I2020" s="12" t="str">
        <x:v>TuShare index_daily</x:v>
      </x:c>
      <x:c r="J2020" s="12" t="str">
        <x:v>FRED current rolling window</x:v>
      </x:c>
    </x:row>
    <x:row r="2021" ht="18" customHeight="1">
      <x:c r="A2021" s="13" t="n">
        <x:v>45638</x:v>
      </x:c>
      <x:c r="B2021" s="12" t="n">
        <x:v>4028.5048</x:v>
      </x:c>
      <x:c r="C2021" s="12" t="n">
        <x:v>3988.8308</x:v>
      </x:c>
      <x:c r="D2021" s="12" t="n">
        <x:v>0.9946</x:v>
      </x:c>
      <x:c r="E2021" s="12" t="n">
        <x:v>0.00989713436700924</x:v>
      </x:c>
      <x:c r="F2021" s="12" t="n">
        <x:v>2.66</x:v>
      </x:c>
      <x:c r="G2021" s="12" t="n">
        <x:v>266</x:v>
      </x:c>
      <x:c r="H2021" s="12" t="n">
        <x:v>2</x:v>
      </x:c>
      <x:c r="I2021" s="12" t="str">
        <x:v>TuShare index_daily</x:v>
      </x:c>
      <x:c r="J2021" s="12" t="str">
        <x:v>FRED current rolling window</x:v>
      </x:c>
    </x:row>
    <x:row r="2022" ht="18" customHeight="1">
      <x:c r="A2022" s="13" t="n">
        <x:v>45639</x:v>
      </x:c>
      <x:c r="B2022" s="12" t="n">
        <x:v>3933.1808</x:v>
      </x:c>
      <x:c r="C2022" s="12" t="n">
        <x:v>4028.5048</x:v>
      </x:c>
      <x:c r="D2022" s="12" t="n">
        <x:v>-2.3662</x:v>
      </x:c>
      <x:c r="E2022" s="12" t="n">
        <x:v>-0.023946827354349536</x:v>
      </x:c>
      <x:c r="F2022" s="12" t="n">
        <x:v>2.68</x:v>
      </x:c>
      <x:c r="G2022" s="12" t="n">
        <x:v>268</x:v>
      </x:c>
      <x:c r="H2022" s="12" t="n">
        <x:v>2</x:v>
      </x:c>
      <x:c r="I2022" s="12" t="str">
        <x:v>TuShare index_daily</x:v>
      </x:c>
      <x:c r="J2022" s="12" t="str">
        <x:v>FRED current rolling window</x:v>
      </x:c>
    </x:row>
    <x:row r="2023" ht="18" customHeight="1">
      <x:c r="A2023" s="13" t="n">
        <x:v>45642</x:v>
      </x:c>
      <x:c r="B2023" s="12" t="n">
        <x:v>3911.8416</x:v>
      </x:c>
      <x:c r="C2023" s="12" t="n">
        <x:v>3933.1808</x:v>
      </x:c>
      <x:c r="D2023" s="12" t="n">
        <x:v>-0.5425</x:v>
      </x:c>
      <x:c r="E2023" s="12" t="n">
        <x:v>-0.005440201835291532</x:v>
      </x:c>
      <x:c r="F2023" s="12" t="n">
        <x:v>2.69</x:v>
      </x:c>
      <x:c r="G2023" s="12" t="n">
        <x:v>269</x:v>
      </x:c>
      <x:c r="H2023" s="12" t="n">
        <x:v>1</x:v>
      </x:c>
      <x:c r="I2023" s="12" t="str">
        <x:v>TuShare index_daily</x:v>
      </x:c>
      <x:c r="J2023" s="12" t="str">
        <x:v>FRED current rolling window</x:v>
      </x:c>
    </x:row>
    <x:row r="2024" ht="18" customHeight="1">
      <x:c r="A2024" s="13" t="n">
        <x:v>45643</x:v>
      </x:c>
      <x:c r="B2024" s="12" t="n">
        <x:v>3922.0334</x:v>
      </x:c>
      <x:c r="C2024" s="12" t="n">
        <x:v>3911.8416</x:v>
      </x:c>
      <x:c r="D2024" s="12" t="n">
        <x:v>0.2605</x:v>
      </x:c>
      <x:c r="E2024" s="12" t="n">
        <x:v>0.002601983245875659</x:v>
      </x:c>
      <x:c r="F2024" s="12" t="n">
        <x:v>2.75</x:v>
      </x:c>
      <x:c r="G2024" s="12" t="n">
        <x:v>275</x:v>
      </x:c>
      <x:c r="H2024" s="12" t="n">
        <x:v>6</x:v>
      </x:c>
      <x:c r="I2024" s="12" t="str">
        <x:v>TuShare index_daily</x:v>
      </x:c>
      <x:c r="J2024" s="12" t="str">
        <x:v>FRED current rolling window</x:v>
      </x:c>
    </x:row>
    <x:row r="2025" ht="18" customHeight="1">
      <x:c r="A2025" s="13" t="n">
        <x:v>45644</x:v>
      </x:c>
      <x:c r="B2025" s="12" t="n">
        <x:v>3941.89</x:v>
      </x:c>
      <x:c r="C2025" s="12" t="n">
        <x:v>3922.0334</x:v>
      </x:c>
      <x:c r="D2025" s="12" t="n">
        <x:v>0.5063</x:v>
      </x:c>
      <x:c r="E2025" s="12" t="n">
        <x:v>0.00505005992311564</x:v>
      </x:c>
      <x:c r="F2025" s="12" t="n">
        <x:v>2.73</x:v>
      </x:c>
      <x:c r="G2025" s="12" t="n">
        <x:v>273</x:v>
      </x:c>
      <x:c r="H2025" s="12" t="n">
        <x:v>-2</x:v>
      </x:c>
      <x:c r="I2025" s="12" t="str">
        <x:v>TuShare index_daily</x:v>
      </x:c>
      <x:c r="J2025" s="12" t="str">
        <x:v>FRED current rolling window</x:v>
      </x:c>
    </x:row>
    <x:row r="2026" ht="18" customHeight="1">
      <x:c r="A2026" s="13" t="n">
        <x:v>45645</x:v>
      </x:c>
      <x:c r="B2026" s="12" t="n">
        <x:v>3945.4635</x:v>
      </x:c>
      <x:c r="C2026" s="12" t="n">
        <x:v>3941.89</x:v>
      </x:c>
      <x:c r="D2026" s="12" t="n">
        <x:v>0.0907</x:v>
      </x:c>
      <x:c r="E2026" s="12" t="n">
        <x:v>0.0009061341664248782</x:v>
      </x:c>
      <x:c r="F2026" s="12" t="n">
        <x:v>2.91</x:v>
      </x:c>
      <x:c r="G2026" s="12" t="n">
        <x:v>291</x:v>
      </x:c>
      <x:c r="H2026" s="12" t="n">
        <x:v>18</x:v>
      </x:c>
      <x:c r="I2026" s="12" t="str">
        <x:v>TuShare index_daily</x:v>
      </x:c>
      <x:c r="J2026" s="12" t="str">
        <x:v>FRED current rolling window</x:v>
      </x:c>
    </x:row>
    <x:row r="2027" ht="18" customHeight="1">
      <x:c r="A2027" s="13" t="n">
        <x:v>45646</x:v>
      </x:c>
      <x:c r="B2027" s="12" t="n">
        <x:v>3927.7441</x:v>
      </x:c>
      <x:c r="C2027" s="12" t="n">
        <x:v>3945.4635</x:v>
      </x:c>
      <x:c r="D2027" s="12" t="n">
        <x:v>-0.4491</x:v>
      </x:c>
      <x:c r="E2027" s="12" t="n">
        <x:v>-0.0045011971784890865</x:v>
      </x:c>
      <x:c r="F2027" s="12" t="n">
        <x:v>2.86</x:v>
      </x:c>
      <x:c r="G2027" s="12" t="n">
        <x:v>286</x:v>
      </x:c>
      <x:c r="H2027" s="12" t="n">
        <x:v>-5</x:v>
      </x:c>
      <x:c r="I2027" s="12" t="str">
        <x:v>TuShare index_daily</x:v>
      </x:c>
      <x:c r="J2027" s="12" t="str">
        <x:v>FRED current rolling window</x:v>
      </x:c>
    </x:row>
    <x:row r="2028" ht="18" customHeight="1">
      <x:c r="A2028" s="13" t="n">
        <x:v>45649</x:v>
      </x:c>
      <x:c r="B2028" s="12" t="n">
        <x:v>3933.5718</x:v>
      </x:c>
      <x:c r="C2028" s="12" t="n">
        <x:v>3927.7441</x:v>
      </x:c>
      <x:c r="D2028" s="12" t="n">
        <x:v>0.1484</x:v>
      </x:c>
      <x:c r="E2028" s="12" t="n">
        <x:v>0.001482627372226493</x:v>
      </x:c>
      <x:c r="F2028" s="12" t="n">
        <x:v>2.85</x:v>
      </x:c>
      <x:c r="G2028" s="12" t="n">
        <x:v>285</x:v>
      </x:c>
      <x:c r="H2028" s="12" t="n">
        <x:v>-1</x:v>
      </x:c>
      <x:c r="I2028" s="12" t="str">
        <x:v>TuShare index_daily</x:v>
      </x:c>
      <x:c r="J2028" s="12" t="str">
        <x:v>FRED current rolling window</x:v>
      </x:c>
    </x:row>
    <x:row r="2029" ht="18" customHeight="1">
      <x:c r="A2029" s="13" t="n">
        <x:v>45650</x:v>
      </x:c>
      <x:c r="B2029" s="12" t="n">
        <x:v>3983.6882</x:v>
      </x:c>
      <x:c r="C2029" s="12" t="n">
        <x:v>3933.5718</x:v>
      </x:c>
      <x:c r="D2029" s="12" t="n">
        <x:v>1.2741</x:v>
      </x:c>
      <x:c r="E2029" s="12" t="n">
        <x:v>0.012660205523026491</x:v>
      </x:c>
      <x:c r="F2029" s="12" t="n">
        <x:v>2.86</x:v>
      </x:c>
      <x:c r="G2029" s="12" t="n">
        <x:v>286</x:v>
      </x:c>
      <x:c r="H2029" s="12" t="n">
        <x:v>1</x:v>
      </x:c>
      <x:c r="I2029" s="12" t="str">
        <x:v>TuShare index_daily</x:v>
      </x:c>
      <x:c r="J2029" s="12" t="str">
        <x:v>FRED current rolling window</x:v>
      </x:c>
    </x:row>
    <x:row r="2030" ht="18" customHeight="1">
      <x:c r="A2030" s="13" t="n">
        <x:v>45652</x:v>
      </x:c>
      <x:c r="B2030" s="12" t="n">
        <x:v>3987.4801</x:v>
      </x:c>
      <x:c r="C2030" s="12" t="n">
        <x:v>3985.6291</x:v>
      </x:c>
      <x:c r="D2030" s="12" t="n">
        <x:v>0.0464</x:v>
      </x:c>
      <x:c r="E2030" s="12" t="n">
        <x:v>0.00046431071914930863</x:v>
      </x:c>
      <x:c r="F2030" s="12" t="n">
        <x:v>2.86</x:v>
      </x:c>
      <x:c r="G2030" s="12" t="n">
        <x:v>286</x:v>
      </x:c>
      <x:c r="H2030" s="12" t="n">
        <x:v>0</x:v>
      </x:c>
      <x:c r="I2030" s="12" t="str">
        <x:v>TuShare index_daily</x:v>
      </x:c>
      <x:c r="J2030" s="12" t="str">
        <x:v>FRED current rolling window</x:v>
      </x:c>
    </x:row>
    <x:row r="2031" ht="18" customHeight="1">
      <x:c r="A2031" s="13" t="n">
        <x:v>45653</x:v>
      </x:c>
      <x:c r="B2031" s="12" t="n">
        <x:v>3981.0307</x:v>
      </x:c>
      <x:c r="C2031" s="12" t="n">
        <x:v>3987.4801</x:v>
      </x:c>
      <x:c r="D2031" s="12" t="n">
        <x:v>-0.1617</x:v>
      </x:c>
      <x:c r="E2031" s="12" t="n">
        <x:v>-0.0016187218842093583</x:v>
      </x:c>
      <x:c r="F2031" s="12" t="n">
        <x:v>2.84</x:v>
      </x:c>
      <x:c r="G2031" s="12" t="n">
        <x:v>284</x:v>
      </x:c>
      <x:c r="H2031" s="12" t="n">
        <x:v>-2</x:v>
      </x:c>
      <x:c r="I2031" s="12" t="str">
        <x:v>TuShare index_daily</x:v>
      </x:c>
      <x:c r="J2031" s="12" t="str">
        <x:v>FRED current rolling window</x:v>
      </x:c>
    </x:row>
    <x:row r="2032" ht="18" customHeight="1">
      <x:c r="A2032" s="13" t="n">
        <x:v>45656</x:v>
      </x:c>
      <x:c r="B2032" s="12" t="n">
        <x:v>3999.0549</x:v>
      </x:c>
      <x:c r="C2032" s="12" t="n">
        <x:v>3981.0307</x:v>
      </x:c>
      <x:c r="D2032" s="12" t="n">
        <x:v>0.4528</x:v>
      </x:c>
      <x:c r="E2032" s="12" t="n">
        <x:v>0.004517302583865979</x:v>
      </x:c>
      <x:c r="F2032" s="12" t="n">
        <x:v>2.94</x:v>
      </x:c>
      <x:c r="G2032" s="12" t="n">
        <x:v>294</x:v>
      </x:c>
      <x:c r="H2032" s="12" t="n">
        <x:v>10</x:v>
      </x:c>
      <x:c r="I2032" s="12" t="str">
        <x:v>TuShare index_daily</x:v>
      </x:c>
      <x:c r="J2032" s="12" t="str">
        <x:v>FRED current rolling window</x:v>
      </x:c>
    </x:row>
    <x:row r="2033" ht="18" customHeight="1">
      <x:c r="A2033" s="13" t="n">
        <x:v>45657</x:v>
      </x:c>
      <x:c r="B2033" s="12" t="n">
        <x:v>3934.9109</x:v>
      </x:c>
      <x:c r="C2033" s="12" t="n">
        <x:v>3999.0549</x:v>
      </x:c>
      <x:c r="D2033" s="12" t="n">
        <x:v>-1.604</x:v>
      </x:c>
      <x:c r="E2033" s="12" t="n">
        <x:v>-0.01616981953744762</x:v>
      </x:c>
      <x:c r="F2033" s="12" t="n">
        <x:v>2.92</x:v>
      </x:c>
      <x:c r="G2033" s="12" t="n">
        <x:v>292</x:v>
      </x:c>
      <x:c r="H2033" s="12" t="n">
        <x:v>-2</x:v>
      </x:c>
      <x:c r="I2033" s="12" t="str">
        <x:v>TuShare index_daily</x:v>
      </x:c>
      <x:c r="J2033" s="12" t="str">
        <x:v>FRED current rolling window</x:v>
      </x:c>
    </x:row>
    <x:row r="2034" ht="18" customHeight="1">
      <x:c r="A2034" s="13" t="n">
        <x:v>45659</x:v>
      </x:c>
      <x:c r="B2034" s="12" t="n">
        <x:v>3820.3952</x:v>
      </x:c>
      <x:c r="C2034" s="12" t="n">
        <x:v>3934.9109</x:v>
      </x:c>
      <x:c r="D2034" s="12" t="n">
        <x:v>-2.9102</x:v>
      </x:c>
      <x:c r="E2034" s="12" t="n">
        <x:v>-0.02953436590039252</x:v>
      </x:c>
      <x:c r="F2034" s="12" t="n">
        <x:v>2.88</x:v>
      </x:c>
      <x:c r="G2034" s="12" t="n">
        <x:v>288</x:v>
      </x:c>
      <x:c r="H2034" s="12" t="n">
        <x:v>-4</x:v>
      </x:c>
      <x:c r="I2034" s="12" t="str">
        <x:v>TuShare index_daily</x:v>
      </x:c>
      <x:c r="J2034" s="12" t="str">
        <x:v>FRED current rolling window</x:v>
      </x:c>
    </x:row>
    <x:row r="2035" ht="18" customHeight="1">
      <x:c r="A2035" s="13" t="n">
        <x:v>45660</x:v>
      </x:c>
      <x:c r="B2035" s="12" t="n">
        <x:v>3775.1648</x:v>
      </x:c>
      <x:c r="C2035" s="12" t="n">
        <x:v>3820.3952</x:v>
      </x:c>
      <x:c r="D2035" s="12" t="n">
        <x:v>-1.1839</x:v>
      </x:c>
      <x:c r="E2035" s="12" t="n">
        <x:v>-0.011909835387467288</x:v>
      </x:c>
      <x:c r="F2035" s="12" t="n">
        <x:v>2.81</x:v>
      </x:c>
      <x:c r="G2035" s="12" t="n">
        <x:v>281</x:v>
      </x:c>
      <x:c r="H2035" s="12" t="n">
        <x:v>-7</x:v>
      </x:c>
      <x:c r="I2035" s="12" t="str">
        <x:v>TuShare index_daily</x:v>
      </x:c>
      <x:c r="J2035" s="12" t="str">
        <x:v>FRED current rolling window</x:v>
      </x:c>
    </x:row>
    <x:row r="2036" ht="18" customHeight="1">
      <x:c r="A2036" s="13" t="n">
        <x:v>45663</x:v>
      </x:c>
      <x:c r="B2036" s="12" t="n">
        <x:v>3768.9697</x:v>
      </x:c>
      <x:c r="C2036" s="12" t="n">
        <x:v>3775.1648</x:v>
      </x:c>
      <x:c r="D2036" s="12" t="n">
        <x:v>-0.1641</x:v>
      </x:c>
      <x:c r="E2036" s="12" t="n">
        <x:v>-0.001642362392274843</x:v>
      </x:c>
      <x:c r="F2036" s="12" t="n">
        <x:v>2.76</x:v>
      </x:c>
      <x:c r="G2036" s="12" t="n">
        <x:v>276</x:v>
      </x:c>
      <x:c r="H2036" s="12" t="n">
        <x:v>-5</x:v>
      </x:c>
      <x:c r="I2036" s="12" t="str">
        <x:v>TuShare index_daily</x:v>
      </x:c>
      <x:c r="J2036" s="12" t="str">
        <x:v>FRED current rolling window</x:v>
      </x:c>
    </x:row>
    <x:row r="2037" ht="18" customHeight="1">
      <x:c r="A2037" s="13" t="n">
        <x:v>45664</x:v>
      </x:c>
      <x:c r="B2037" s="12" t="n">
        <x:v>3796.1055</x:v>
      </x:c>
      <x:c r="C2037" s="12" t="n">
        <x:v>3768.9697</x:v>
      </x:c>
      <x:c r="D2037" s="12" t="n">
        <x:v>0.72</x:v>
      </x:c>
      <x:c r="E2037" s="12" t="n">
        <x:v>0.00717399778957275</x:v>
      </x:c>
      <x:c r="F2037" s="12" t="n">
        <x:v>2.79</x:v>
      </x:c>
      <x:c r="G2037" s="12" t="n">
        <x:v>279</x:v>
      </x:c>
      <x:c r="H2037" s="12" t="n">
        <x:v>3</x:v>
      </x:c>
      <x:c r="I2037" s="12" t="str">
        <x:v>TuShare index_daily</x:v>
      </x:c>
      <x:c r="J2037" s="12" t="str">
        <x:v>FRED current rolling window</x:v>
      </x:c>
    </x:row>
    <x:row r="2038" ht="18" customHeight="1">
      <x:c r="A2038" s="13" t="n">
        <x:v>45665</x:v>
      </x:c>
      <x:c r="B2038" s="12" t="n">
        <x:v>3789.2153</x:v>
      </x:c>
      <x:c r="C2038" s="12" t="n">
        <x:v>3796.1055</x:v>
      </x:c>
      <x:c r="D2038" s="12" t="n">
        <x:v>-0.1815</x:v>
      </x:c>
      <x:c r="E2038" s="12" t="n">
        <x:v>-0.0018167199718371108</x:v>
      </x:c>
      <x:c r="F2038" s="12" t="n">
        <x:v>2.84</x:v>
      </x:c>
      <x:c r="G2038" s="12" t="n">
        <x:v>284</x:v>
      </x:c>
      <x:c r="H2038" s="12" t="n">
        <x:v>5</x:v>
      </x:c>
      <x:c r="I2038" s="12" t="str">
        <x:v>TuShare index_daily</x:v>
      </x:c>
      <x:c r="J2038" s="12" t="str">
        <x:v>FRED current rolling window</x:v>
      </x:c>
    </x:row>
    <x:row r="2039" ht="18" customHeight="1">
      <x:c r="A2039" s="13" t="n">
        <x:v>45666</x:v>
      </x:c>
      <x:c r="B2039" s="12" t="n">
        <x:v>3779.8773</x:v>
      </x:c>
      <x:c r="C2039" s="12" t="n">
        <x:v>3789.2153</x:v>
      </x:c>
      <x:c r="D2039" s="12" t="n">
        <x:v>-0.2464</x:v>
      </x:c>
      <x:c r="E2039" s="12" t="n">
        <x:v>-0.002467404015520258</x:v>
      </x:c>
      <x:c r="F2039" s="12" t="n">
        <x:v>2.82</x:v>
      </x:c>
      <x:c r="G2039" s="12" t="n">
        <x:v>282</x:v>
      </x:c>
      <x:c r="H2039" s="12" t="n">
        <x:v>-2</x:v>
      </x:c>
      <x:c r="I2039" s="12" t="str">
        <x:v>TuShare index_daily</x:v>
      </x:c>
      <x:c r="J2039" s="12" t="str">
        <x:v>FRED current rolling window</x:v>
      </x:c>
    </x:row>
    <x:row r="2040" ht="18" customHeight="1">
      <x:c r="A2040" s="13" t="n">
        <x:v>45667</x:v>
      </x:c>
      <x:c r="B2040" s="12" t="n">
        <x:v>3732.4806</x:v>
      </x:c>
      <x:c r="C2040" s="12" t="n">
        <x:v>3779.8773</x:v>
      </x:c>
      <x:c r="D2040" s="12" t="n">
        <x:v>-1.2539</x:v>
      </x:c>
      <x:c r="E2040" s="12" t="n">
        <x:v>-0.012618495958235146</x:v>
      </x:c>
      <x:c r="F2040" s="12" t="n">
        <x:v>2.81</x:v>
      </x:c>
      <x:c r="G2040" s="12" t="n">
        <x:v>281</x:v>
      </x:c>
      <x:c r="H2040" s="12" t="n">
        <x:v>-1</x:v>
      </x:c>
      <x:c r="I2040" s="12" t="str">
        <x:v>TuShare index_daily</x:v>
      </x:c>
      <x:c r="J2040" s="12" t="str">
        <x:v>FRED current rolling window</x:v>
      </x:c>
    </x:row>
    <x:row r="2041" ht="18" customHeight="1">
      <x:c r="A2041" s="13" t="n">
        <x:v>45670</x:v>
      </x:c>
      <x:c r="B2041" s="12" t="n">
        <x:v>3722.513</x:v>
      </x:c>
      <x:c r="C2041" s="12" t="n">
        <x:v>3732.4806</x:v>
      </x:c>
      <x:c r="D2041" s="12" t="n">
        <x:v>-0.2671</x:v>
      </x:c>
      <x:c r="E2041" s="12" t="n">
        <x:v>-0.002674074982328549</x:v>
      </x:c>
      <x:c r="F2041" s="12" t="n">
        <x:v>2.85</x:v>
      </x:c>
      <x:c r="G2041" s="12" t="n">
        <x:v>285</x:v>
      </x:c>
      <x:c r="H2041" s="12" t="n">
        <x:v>4</x:v>
      </x:c>
      <x:c r="I2041" s="12" t="str">
        <x:v>TuShare index_daily</x:v>
      </x:c>
      <x:c r="J2041" s="12" t="str">
        <x:v>FRED current rolling window</x:v>
      </x:c>
    </x:row>
    <x:row r="2042" ht="18" customHeight="1">
      <x:c r="A2042" s="13" t="n">
        <x:v>45671</x:v>
      </x:c>
      <x:c r="B2042" s="12" t="n">
        <x:v>3820.5395</x:v>
      </x:c>
      <x:c r="C2042" s="12" t="n">
        <x:v>3722.513</x:v>
      </x:c>
      <x:c r="D2042" s="12" t="n">
        <x:v>2.6333</x:v>
      </x:c>
      <x:c r="E2042" s="12" t="n">
        <x:v>0.025992665166281924</x:v>
      </x:c>
      <x:c r="F2042" s="12" t="n">
        <x:v>2.8</x:v>
      </x:c>
      <x:c r="G2042" s="12" t="n">
        <x:v>280</x:v>
      </x:c>
      <x:c r="H2042" s="12" t="n">
        <x:v>-5</x:v>
      </x:c>
      <x:c r="I2042" s="12" t="str">
        <x:v>TuShare index_daily</x:v>
      </x:c>
      <x:c r="J2042" s="12" t="str">
        <x:v>FRED current rolling window</x:v>
      </x:c>
    </x:row>
    <x:row r="2043" ht="18" customHeight="1">
      <x:c r="A2043" s="13" t="n">
        <x:v>45672</x:v>
      </x:c>
      <x:c r="B2043" s="12" t="n">
        <x:v>3796.026</x:v>
      </x:c>
      <x:c r="C2043" s="12" t="n">
        <x:v>3820.5395</x:v>
      </x:c>
      <x:c r="D2043" s="12" t="n">
        <x:v>-0.6416</x:v>
      </x:c>
      <x:c r="E2043" s="12" t="n">
        <x:v>-0.00643691297361315</x:v>
      </x:c>
      <x:c r="F2043" s="12" t="n">
        <x:v>2.72</x:v>
      </x:c>
      <x:c r="G2043" s="12" t="n">
        <x:v>272</x:v>
      </x:c>
      <x:c r="H2043" s="12" t="n">
        <x:v>-8</x:v>
      </x:c>
      <x:c r="I2043" s="12" t="str">
        <x:v>TuShare index_daily</x:v>
      </x:c>
      <x:c r="J2043" s="12" t="str">
        <x:v>FRED current rolling window</x:v>
      </x:c>
    </x:row>
    <x:row r="2044" ht="18" customHeight="1">
      <x:c r="A2044" s="13" t="n">
        <x:v>45673</x:v>
      </x:c>
      <x:c r="B2044" s="12" t="n">
        <x:v>3800.3836</x:v>
      </x:c>
      <x:c r="C2044" s="12" t="n">
        <x:v>3796.026</x:v>
      </x:c>
      <x:c r="D2044" s="12" t="n">
        <x:v>0.1148</x:v>
      </x:c>
      <x:c r="E2044" s="12" t="n">
        <x:v>0.001147278966625117</x:v>
      </x:c>
      <x:c r="F2044" s="12" t="n">
        <x:v>2.73</x:v>
      </x:c>
      <x:c r="G2044" s="12" t="n">
        <x:v>273</x:v>
      </x:c>
      <x:c r="H2044" s="12" t="n">
        <x:v>1</x:v>
      </x:c>
      <x:c r="I2044" s="12" t="str">
        <x:v>TuShare index_daily</x:v>
      </x:c>
      <x:c r="J2044" s="12" t="str">
        <x:v>FRED current rolling window</x:v>
      </x:c>
    </x:row>
    <x:row r="2045" ht="18" customHeight="1">
      <x:c r="A2045" s="13" t="n">
        <x:v>45674</x:v>
      </x:c>
      <x:c r="B2045" s="12" t="n">
        <x:v>3812.3429</x:v>
      </x:c>
      <x:c r="C2045" s="12" t="n">
        <x:v>3800.3836</x:v>
      </x:c>
      <x:c r="D2045" s="12" t="n">
        <x:v>0.3147</x:v>
      </x:c>
      <x:c r="E2045" s="12" t="n">
        <x:v>0.0031419255212209417</x:v>
      </x:c>
      <x:c r="F2045" s="12" t="n">
        <x:v>2.64</x:v>
      </x:c>
      <x:c r="G2045" s="12" t="n">
        <x:v>264</x:v>
      </x:c>
      <x:c r="H2045" s="12" t="n">
        <x:v>-9</x:v>
      </x:c>
      <x:c r="I2045" s="12" t="str">
        <x:v>TuShare index_daily</x:v>
      </x:c>
      <x:c r="J2045" s="12" t="str">
        <x:v>FRED current rolling window</x:v>
      </x:c>
    </x:row>
    <x:row r="2046" ht="18" customHeight="1">
      <x:c r="A2046" s="13" t="n">
        <x:v>45677</x:v>
      </x:c>
      <x:c r="B2046" s="12" t="n">
        <x:v>3829.6764</x:v>
      </x:c>
      <x:c r="C2046" s="12" t="n">
        <x:v>3812.3429</x:v>
      </x:c>
      <x:c r="D2046" s="12" t="n">
        <x:v>0.4547</x:v>
      </x:c>
      <x:c r="E2046" s="12" t="n">
        <x:v>0.004536374234242288</x:v>
      </x:c>
      <x:c r="F2046" s="12" t="n">
        <x:v>2.64</x:v>
      </x:c>
      <x:c r="G2046" s="12" t="n">
        <x:v>264</x:v>
      </x:c>
      <x:c r="H2046" s="12" t="n">
        <x:v>0</x:v>
      </x:c>
      <x:c r="I2046" s="12" t="str">
        <x:v>TuShare index_daily</x:v>
      </x:c>
      <x:c r="J2046" s="12" t="str">
        <x:v>FRED current rolling window</x:v>
      </x:c>
    </x:row>
    <x:row r="2047" ht="18" customHeight="1">
      <x:c r="A2047" s="13" t="n">
        <x:v>45678</x:v>
      </x:c>
      <x:c r="B2047" s="12" t="n">
        <x:v>3832.6145</x:v>
      </x:c>
      <x:c r="C2047" s="12" t="n">
        <x:v>3829.6764</x:v>
      </x:c>
      <x:c r="D2047" s="12" t="n">
        <x:v>0.0767</x:v>
      </x:c>
      <x:c r="E2047" s="12" t="n">
        <x:v>0.0007668986161828065</x:v>
      </x:c>
      <x:c r="F2047" s="12" t="n">
        <x:v>2.61</x:v>
      </x:c>
      <x:c r="G2047" s="12" t="n">
        <x:v>261</x:v>
      </x:c>
      <x:c r="H2047" s="12" t="n">
        <x:v>-3</x:v>
      </x:c>
      <x:c r="I2047" s="12" t="str">
        <x:v>TuShare index_daily</x:v>
      </x:c>
      <x:c r="J2047" s="12" t="str">
        <x:v>FRED current rolling window</x:v>
      </x:c>
    </x:row>
    <x:row r="2048" ht="18" customHeight="1">
      <x:c r="A2048" s="13" t="n">
        <x:v>45679</x:v>
      </x:c>
      <x:c r="B2048" s="12" t="n">
        <x:v>3797.0166</x:v>
      </x:c>
      <x:c r="C2048" s="12" t="n">
        <x:v>3832.6145</x:v>
      </x:c>
      <x:c r="D2048" s="12" t="n">
        <x:v>-0.9288</x:v>
      </x:c>
      <x:c r="E2048" s="12" t="n">
        <x:v>-0.009331554264925018</x:v>
      </x:c>
      <x:c r="F2048" s="12" t="n">
        <x:v>2.59</x:v>
      </x:c>
      <x:c r="G2048" s="12" t="n">
        <x:v>259</x:v>
      </x:c>
      <x:c r="H2048" s="12" t="n">
        <x:v>-2</x:v>
      </x:c>
      <x:c r="I2048" s="12" t="str">
        <x:v>TuShare index_daily</x:v>
      </x:c>
      <x:c r="J2048" s="12" t="str">
        <x:v>FRED current rolling window</x:v>
      </x:c>
    </x:row>
    <x:row r="2049" ht="18" customHeight="1">
      <x:c r="A2049" s="13" t="n">
        <x:v>45680</x:v>
      </x:c>
      <x:c r="B2049" s="12" t="n">
        <x:v>3803.7439</x:v>
      </x:c>
      <x:c r="C2049" s="12" t="n">
        <x:v>3797.0166</x:v>
      </x:c>
      <x:c r="D2049" s="12" t="n">
        <x:v>0.1772</x:v>
      </x:c>
      <x:c r="E2049" s="12" t="n">
        <x:v>0.0017701654345399053</x:v>
      </x:c>
      <x:c r="F2049" s="12" t="n">
        <x:v>2.61</x:v>
      </x:c>
      <x:c r="G2049" s="12" t="n">
        <x:v>261</x:v>
      </x:c>
      <x:c r="H2049" s="12" t="n">
        <x:v>2</x:v>
      </x:c>
      <x:c r="I2049" s="12" t="str">
        <x:v>TuShare index_daily</x:v>
      </x:c>
      <x:c r="J2049" s="12" t="str">
        <x:v>FRED current rolling window</x:v>
      </x:c>
    </x:row>
    <x:row r="2050" ht="18" customHeight="1">
      <x:c r="A2050" s="13" t="n">
        <x:v>45681</x:v>
      </x:c>
      <x:c r="B2050" s="12" t="n">
        <x:v>3832.8637</x:v>
      </x:c>
      <x:c r="C2050" s="12" t="n">
        <x:v>3803.7439</x:v>
      </x:c>
      <x:c r="D2050" s="12" t="n">
        <x:v>0.7656</x:v>
      </x:c>
      <x:c r="E2050" s="12" t="n">
        <x:v>0.007626407605101042</x:v>
      </x:c>
      <x:c r="F2050" s="12" t="n">
        <x:v>2.6</x:v>
      </x:c>
      <x:c r="G2050" s="12" t="n">
        <x:v>260</x:v>
      </x:c>
      <x:c r="H2050" s="12" t="n">
        <x:v>-1</x:v>
      </x:c>
      <x:c r="I2050" s="12" t="str">
        <x:v>TuShare index_daily</x:v>
      </x:c>
      <x:c r="J2050" s="12" t="str">
        <x:v>FRED current rolling window</x:v>
      </x:c>
    </x:row>
    <x:row r="2051" ht="18" customHeight="1">
      <x:c r="A2051" s="13" t="n">
        <x:v>45684</x:v>
      </x:c>
      <x:c r="B2051" s="12" t="n">
        <x:v>3817.0802</x:v>
      </x:c>
      <x:c r="C2051" s="12" t="n">
        <x:v>3832.8637</x:v>
      </x:c>
      <x:c r="D2051" s="12" t="n">
        <x:v>-0.4118</x:v>
      </x:c>
      <x:c r="E2051" s="12" t="n">
        <x:v>-0.004126441344529745</x:v>
      </x:c>
      <x:c r="F2051" s="12" t="n">
        <x:v>2.66</x:v>
      </x:c>
      <x:c r="G2051" s="12" t="n">
        <x:v>266</x:v>
      </x:c>
      <x:c r="H2051" s="12" t="n">
        <x:v>6</x:v>
      </x:c>
      <x:c r="I2051" s="12" t="str">
        <x:v>TuShare index_daily</x:v>
      </x:c>
      <x:c r="J2051" s="12" t="str">
        <x:v>FRED current rolling window</x:v>
      </x:c>
    </x:row>
    <x:row r="2052" ht="18" customHeight="1">
      <x:c r="A2052" s="13" t="n">
        <x:v>45693</x:v>
      </x:c>
      <x:c r="B2052" s="12" t="n">
        <x:v>3795.0848</x:v>
      </x:c>
      <x:c r="C2052" s="12" t="n">
        <x:v>3817.0802</x:v>
      </x:c>
      <x:c r="D2052" s="12" t="n">
        <x:v>-0.5762</x:v>
      </x:c>
      <x:c r="E2052" s="12" t="n">
        <x:v>-0.005779029018766741</x:v>
      </x:c>
      <x:c r="F2052" s="12" t="n">
        <x:v>2.69</x:v>
      </x:c>
      <x:c r="G2052" s="12" t="n">
        <x:v>269</x:v>
      </x:c>
      <x:c r="H2052" s="12" t="n">
        <x:v>-2</x:v>
      </x:c>
      <x:c r="I2052" s="12" t="str">
        <x:v>TuShare index_daily</x:v>
      </x:c>
      <x:c r="J2052" s="12" t="str">
        <x:v>FRED current rolling window</x:v>
      </x:c>
    </x:row>
    <x:row r="2053" ht="18" customHeight="1">
      <x:c r="A2053" s="13" t="n">
        <x:v>45694</x:v>
      </x:c>
      <x:c r="B2053" s="12" t="n">
        <x:v>3842.8314</x:v>
      </x:c>
      <x:c r="C2053" s="12" t="n">
        <x:v>3795.0848</x:v>
      </x:c>
      <x:c r="D2053" s="12" t="n">
        <x:v>1.2581</x:v>
      </x:c>
      <x:c r="E2053" s="12" t="n">
        <x:v>0.012502682856300004</x:v>
      </x:c>
      <x:c r="F2053" s="12" t="n">
        <x:v>2.66</x:v>
      </x:c>
      <x:c r="G2053" s="12" t="n">
        <x:v>266</x:v>
      </x:c>
      <x:c r="H2053" s="12" t="n">
        <x:v>-3</x:v>
      </x:c>
      <x:c r="I2053" s="12" t="str">
        <x:v>TuShare index_daily</x:v>
      </x:c>
      <x:c r="J2053" s="12" t="str">
        <x:v>FRED current rolling window</x:v>
      </x:c>
    </x:row>
    <x:row r="2054" ht="18" customHeight="1">
      <x:c r="A2054" s="13" t="n">
        <x:v>45695</x:v>
      </x:c>
      <x:c r="B2054" s="12" t="n">
        <x:v>3892.7028</x:v>
      </x:c>
      <x:c r="C2054" s="12" t="n">
        <x:v>3842.8314</x:v>
      </x:c>
      <x:c r="D2054" s="12" t="n">
        <x:v>1.2978</x:v>
      </x:c>
      <x:c r="E2054" s="12" t="n">
        <x:v>0.012894284916242608</x:v>
      </x:c>
      <x:c r="F2054" s="12" t="n">
        <x:v>2.67</x:v>
      </x:c>
      <x:c r="G2054" s="12" t="n">
        <x:v>267</x:v>
      </x:c>
      <x:c r="H2054" s="12" t="n">
        <x:v>1</x:v>
      </x:c>
      <x:c r="I2054" s="12" t="str">
        <x:v>TuShare index_daily</x:v>
      </x:c>
      <x:c r="J2054" s="12" t="str">
        <x:v>FRED current rolling window</x:v>
      </x:c>
    </x:row>
    <x:row r="2055" ht="18" customHeight="1">
      <x:c r="A2055" s="13" t="n">
        <x:v>45698</x:v>
      </x:c>
      <x:c r="B2055" s="12" t="n">
        <x:v>3901.0618</x:v>
      </x:c>
      <x:c r="C2055" s="12" t="n">
        <x:v>3892.7028</x:v>
      </x:c>
      <x:c r="D2055" s="12" t="n">
        <x:v>0.2147</x:v>
      </x:c>
      <x:c r="E2055" s="12" t="n">
        <x:v>0.0021450489292795475</x:v>
      </x:c>
      <x:c r="F2055" s="12" t="n">
        <x:v>2.66</x:v>
      </x:c>
      <x:c r="G2055" s="12" t="n">
        <x:v>266</x:v>
      </x:c>
      <x:c r="H2055" s="12" t="n">
        <x:v>-1</x:v>
      </x:c>
      <x:c r="I2055" s="12" t="str">
        <x:v>TuShare index_daily</x:v>
      </x:c>
      <x:c r="J2055" s="12" t="str">
        <x:v>FRED current rolling window</x:v>
      </x:c>
    </x:row>
    <x:row r="2056" ht="18" customHeight="1">
      <x:c r="A2056" s="13" t="n">
        <x:v>45699</x:v>
      </x:c>
      <x:c r="B2056" s="12" t="n">
        <x:v>3883.1352</x:v>
      </x:c>
      <x:c r="C2056" s="12" t="n">
        <x:v>3901.0618</x:v>
      </x:c>
      <x:c r="D2056" s="12" t="n">
        <x:v>-0.4595</x:v>
      </x:c>
      <x:c r="E2056" s="12" t="n">
        <x:v>-0.004605903908072592</x:v>
      </x:c>
      <x:c r="F2056" s="12" t="n">
        <x:v>2.66</x:v>
      </x:c>
      <x:c r="G2056" s="12" t="n">
        <x:v>266</x:v>
      </x:c>
      <x:c r="H2056" s="12" t="n">
        <x:v>0</x:v>
      </x:c>
      <x:c r="I2056" s="12" t="str">
        <x:v>TuShare index_daily</x:v>
      </x:c>
      <x:c r="J2056" s="12" t="str">
        <x:v>FRED current rolling window</x:v>
      </x:c>
    </x:row>
    <x:row r="2057" ht="18" customHeight="1">
      <x:c r="A2057" s="13" t="n">
        <x:v>45700</x:v>
      </x:c>
      <x:c r="B2057" s="12" t="n">
        <x:v>3919.8617</x:v>
      </x:c>
      <x:c r="C2057" s="12" t="n">
        <x:v>3883.1352</x:v>
      </x:c>
      <x:c r="D2057" s="12" t="n">
        <x:v>0.9458</x:v>
      </x:c>
      <x:c r="E2057" s="12" t="n">
        <x:v>0.009413503985017354</x:v>
      </x:c>
      <x:c r="F2057" s="12" t="n">
        <x:v>2.65</x:v>
      </x:c>
      <x:c r="G2057" s="12" t="n">
        <x:v>265</x:v>
      </x:c>
      <x:c r="H2057" s="12" t="n">
        <x:v>-1</x:v>
      </x:c>
      <x:c r="I2057" s="12" t="str">
        <x:v>TuShare index_daily</x:v>
      </x:c>
      <x:c r="J2057" s="12" t="str">
        <x:v>FRED current rolling window</x:v>
      </x:c>
    </x:row>
    <x:row r="2058" ht="18" customHeight="1">
      <x:c r="A2058" s="13" t="n">
        <x:v>45701</x:v>
      </x:c>
      <x:c r="B2058" s="12" t="n">
        <x:v>3905.1398</x:v>
      </x:c>
      <x:c r="C2058" s="12" t="n">
        <x:v>3919.8617</x:v>
      </x:c>
      <x:c r="D2058" s="12" t="n">
        <x:v>-0.3756</x:v>
      </x:c>
      <x:c r="E2058" s="12" t="n">
        <x:v>-0.0037627896608334837</x:v>
      </x:c>
      <x:c r="F2058" s="12" t="n">
        <x:v>2.65</x:v>
      </x:c>
      <x:c r="G2058" s="12" t="n">
        <x:v>265</x:v>
      </x:c>
      <x:c r="H2058" s="12" t="n">
        <x:v>0</x:v>
      </x:c>
      <x:c r="I2058" s="12" t="str">
        <x:v>TuShare index_daily</x:v>
      </x:c>
      <x:c r="J2058" s="12" t="str">
        <x:v>FRED current rolling window</x:v>
      </x:c>
    </x:row>
    <x:row r="2059" ht="18" customHeight="1">
      <x:c r="A2059" s="13" t="n">
        <x:v>45702</x:v>
      </x:c>
      <x:c r="B2059" s="12" t="n">
        <x:v>3939.0085</x:v>
      </x:c>
      <x:c r="C2059" s="12" t="n">
        <x:v>3905.1398</x:v>
      </x:c>
      <x:c r="D2059" s="12" t="n">
        <x:v>0.8673</x:v>
      </x:c>
      <x:c r="E2059" s="12" t="n">
        <x:v>0.008635458987621738</x:v>
      </x:c>
      <x:c r="F2059" s="12" t="n">
        <x:v>2.62</x:v>
      </x:c>
      <x:c r="G2059" s="12" t="n">
        <x:v>262</x:v>
      </x:c>
      <x:c r="H2059" s="12" t="n">
        <x:v>-3</x:v>
      </x:c>
      <x:c r="I2059" s="12" t="str">
        <x:v>TuShare index_daily</x:v>
      </x:c>
      <x:c r="J2059" s="12" t="str">
        <x:v>FRED current rolling window</x:v>
      </x:c>
    </x:row>
    <x:row r="2060" ht="18" customHeight="1">
      <x:c r="A2060" s="13" t="n">
        <x:v>45705</x:v>
      </x:c>
      <x:c r="B2060" s="12" t="n">
        <x:v>3947.3983</x:v>
      </x:c>
      <x:c r="C2060" s="12" t="n">
        <x:v>3939.0085</x:v>
      </x:c>
      <x:c r="D2060" s="12" t="n">
        <x:v>0.213</x:v>
      </x:c>
      <x:c r="E2060" s="12" t="n">
        <x:v>0.002127661780017049</x:v>
      </x:c>
      <x:c r="F2060" s="12" t="n">
        <x:v>2.62</x:v>
      </x:c>
      <x:c r="G2060" s="12" t="n">
        <x:v>262</x:v>
      </x:c>
      <x:c r="H2060" s="12" t="n">
        <x:v>0</x:v>
      </x:c>
      <x:c r="I2060" s="12" t="str">
        <x:v>TuShare index_daily</x:v>
      </x:c>
      <x:c r="J2060" s="12" t="str">
        <x:v>FRED current rolling window</x:v>
      </x:c>
    </x:row>
    <x:row r="2061" ht="18" customHeight="1">
      <x:c r="A2061" s="13" t="n">
        <x:v>45706</x:v>
      </x:c>
      <x:c r="B2061" s="12" t="n">
        <x:v>3912.7829</x:v>
      </x:c>
      <x:c r="C2061" s="12" t="n">
        <x:v>3947.3983</x:v>
      </x:c>
      <x:c r="D2061" s="12" t="n">
        <x:v>-0.8769</x:v>
      </x:c>
      <x:c r="E2061" s="12" t="n">
        <x:v>-0.008807843713023247</x:v>
      </x:c>
      <x:c r="F2061" s="12" t="n">
        <x:v>2.62</x:v>
      </x:c>
      <x:c r="G2061" s="12" t="n">
        <x:v>262</x:v>
      </x:c>
      <x:c r="H2061" s="12" t="n">
        <x:v>0</x:v>
      </x:c>
      <x:c r="I2061" s="12" t="str">
        <x:v>TuShare index_daily</x:v>
      </x:c>
      <x:c r="J2061" s="12" t="str">
        <x:v>FRED current rolling window</x:v>
      </x:c>
    </x:row>
    <x:row r="2062" ht="18" customHeight="1">
      <x:c r="A2062" s="13" t="n">
        <x:v>45707</x:v>
      </x:c>
      <x:c r="B2062" s="12" t="n">
        <x:v>3940.1602</x:v>
      </x:c>
      <x:c r="C2062" s="12" t="n">
        <x:v>3912.7829</x:v>
      </x:c>
      <x:c r="D2062" s="12" t="n">
        <x:v>0.6997</x:v>
      </x:c>
      <x:c r="E2062" s="12" t="n">
        <x:v>0.006972522420195474</x:v>
      </x:c>
      <x:c r="F2062" s="12" t="n">
        <x:v>2.68</x:v>
      </x:c>
      <x:c r="G2062" s="12" t="n">
        <x:v>268</x:v>
      </x:c>
      <x:c r="H2062" s="12" t="n">
        <x:v>6</x:v>
      </x:c>
      <x:c r="I2062" s="12" t="str">
        <x:v>TuShare index_daily</x:v>
      </x:c>
      <x:c r="J2062" s="12" t="str">
        <x:v>FRED current rolling window</x:v>
      </x:c>
    </x:row>
    <x:row r="2063" ht="18" customHeight="1">
      <x:c r="A2063" s="13" t="n">
        <x:v>45708</x:v>
      </x:c>
      <x:c r="B2063" s="12" t="n">
        <x:v>3928.8959</x:v>
      </x:c>
      <x:c r="C2063" s="12" t="n">
        <x:v>3940.1602</x:v>
      </x:c>
      <x:c r="D2063" s="12" t="n">
        <x:v>-0.2859</x:v>
      </x:c>
      <x:c r="E2063" s="12" t="n">
        <x:v>-0.0028629374478347314</x:v>
      </x:c>
      <x:c r="F2063" s="12" t="n">
        <x:v>2.66</x:v>
      </x:c>
      <x:c r="G2063" s="12" t="n">
        <x:v>266</x:v>
      </x:c>
      <x:c r="H2063" s="12" t="n">
        <x:v>-2</x:v>
      </x:c>
      <x:c r="I2063" s="12" t="str">
        <x:v>TuShare index_daily</x:v>
      </x:c>
      <x:c r="J2063" s="12" t="str">
        <x:v>FRED current rolling window</x:v>
      </x:c>
    </x:row>
    <x:row r="2064" ht="18" customHeight="1">
      <x:c r="A2064" s="13" t="n">
        <x:v>45709</x:v>
      </x:c>
      <x:c r="B2064" s="12" t="n">
        <x:v>3978.444</x:v>
      </x:c>
      <x:c r="C2064" s="12" t="n">
        <x:v>3928.8959</x:v>
      </x:c>
      <x:c r="D2064" s="12" t="n">
        <x:v>1.2611</x:v>
      </x:c>
      <x:c r="E2064" s="12" t="n">
        <x:v>0.012532343145841354</x:v>
      </x:c>
      <x:c r="F2064" s="12" t="n">
        <x:v>2.78</x:v>
      </x:c>
      <x:c r="G2064" s="12" t="n">
        <x:v>278</x:v>
      </x:c>
      <x:c r="H2064" s="12" t="n">
        <x:v>12</x:v>
      </x:c>
      <x:c r="I2064" s="12" t="str">
        <x:v>TuShare index_daily</x:v>
      </x:c>
      <x:c r="J2064" s="12" t="str">
        <x:v>FRED current rolling window</x:v>
      </x:c>
    </x:row>
    <x:row r="2065" ht="18" customHeight="1">
      <x:c r="A2065" s="13" t="n">
        <x:v>45712</x:v>
      </x:c>
      <x:c r="B2065" s="12" t="n">
        <x:v>3969.7169</x:v>
      </x:c>
      <x:c r="C2065" s="12" t="n">
        <x:v>3978.444</x:v>
      </x:c>
      <x:c r="D2065" s="12" t="n">
        <x:v>-0.2194</x:v>
      </x:c>
      <x:c r="E2065" s="12" t="n">
        <x:v>-0.0021960057469798933</x:v>
      </x:c>
      <x:c r="F2065" s="12" t="n">
        <x:v>2.78</x:v>
      </x:c>
      <x:c r="G2065" s="12" t="n">
        <x:v>278</x:v>
      </x:c>
      <x:c r="H2065" s="12" t="n">
        <x:v>0</x:v>
      </x:c>
      <x:c r="I2065" s="12" t="str">
        <x:v>TuShare index_daily</x:v>
      </x:c>
      <x:c r="J2065" s="12" t="str">
        <x:v>FRED current rolling window</x:v>
      </x:c>
    </x:row>
    <x:row r="2066" ht="18" customHeight="1">
      <x:c r="A2066" s="13" t="n">
        <x:v>45713</x:v>
      </x:c>
      <x:c r="B2066" s="12" t="n">
        <x:v>3925.6505</x:v>
      </x:c>
      <x:c r="C2066" s="12" t="n">
        <x:v>3969.7169</x:v>
      </x:c>
      <x:c r="D2066" s="12" t="n">
        <x:v>-1.1101</x:v>
      </x:c>
      <x:c r="E2066" s="12" t="n">
        <x:v>-0.011162712346417768</x:v>
      </x:c>
      <x:c r="F2066" s="12" t="n">
        <x:v>2.84</x:v>
      </x:c>
      <x:c r="G2066" s="12" t="n">
        <x:v>284</x:v>
      </x:c>
      <x:c r="H2066" s="12" t="n">
        <x:v>6</x:v>
      </x:c>
      <x:c r="I2066" s="12" t="str">
        <x:v>TuShare index_daily</x:v>
      </x:c>
      <x:c r="J2066" s="12" t="str">
        <x:v>FRED current rolling window</x:v>
      </x:c>
    </x:row>
    <x:row r="2067" ht="18" customHeight="1">
      <x:c r="A2067" s="13" t="n">
        <x:v>45714</x:v>
      </x:c>
      <x:c r="B2067" s="12" t="n">
        <x:v>3959.9413</x:v>
      </x:c>
      <x:c r="C2067" s="12" t="n">
        <x:v>3925.6505</x:v>
      </x:c>
      <x:c r="D2067" s="12" t="n">
        <x:v>0.8735</x:v>
      </x:c>
      <x:c r="E2067" s="12" t="n">
        <x:v>0.008697131937863404</x:v>
      </x:c>
      <x:c r="F2067" s="12" t="n">
        <x:v>2.81</x:v>
      </x:c>
      <x:c r="G2067" s="12" t="n">
        <x:v>281</x:v>
      </x:c>
      <x:c r="H2067" s="12" t="n">
        <x:v>-3</x:v>
      </x:c>
      <x:c r="I2067" s="12" t="str">
        <x:v>TuShare index_daily</x:v>
      </x:c>
      <x:c r="J2067" s="12" t="str">
        <x:v>FRED current rolling window</x:v>
      </x:c>
    </x:row>
    <x:row r="2068" ht="18" customHeight="1">
      <x:c r="A2068" s="13" t="n">
        <x:v>45715</x:v>
      </x:c>
      <x:c r="B2068" s="12" t="n">
        <x:v>3968.1159</x:v>
      </x:c>
      <x:c r="C2068" s="12" t="n">
        <x:v>3959.9413</x:v>
      </x:c>
      <x:c r="D2068" s="12" t="n">
        <x:v>0.2064</x:v>
      </x:c>
      <x:c r="E2068" s="12" t="n">
        <x:v>0.002062195741215508</x:v>
      </x:c>
      <x:c r="F2068" s="12" t="n">
        <x:v>2.81</x:v>
      </x:c>
      <x:c r="G2068" s="12" t="n">
        <x:v>281</x:v>
      </x:c>
      <x:c r="H2068" s="12" t="n">
        <x:v>0</x:v>
      </x:c>
      <x:c r="I2068" s="12" t="str">
        <x:v>TuShare index_daily</x:v>
      </x:c>
      <x:c r="J2068" s="12" t="str">
        <x:v>FRED current rolling window</x:v>
      </x:c>
    </x:row>
    <x:row r="2069" ht="18" customHeight="1">
      <x:c r="A2069" s="13" t="n">
        <x:v>45716</x:v>
      </x:c>
      <x:c r="B2069" s="12" t="n">
        <x:v>3890.0487</x:v>
      </x:c>
      <x:c r="C2069" s="12" t="n">
        <x:v>3968.1159</x:v>
      </x:c>
      <x:c r="D2069" s="12" t="n">
        <x:v>-1.9674</x:v>
      </x:c>
      <x:c r="E2069" s="12" t="n">
        <x:v>-0.01986972083322121</x:v>
      </x:c>
      <x:c r="F2069" s="12" t="n">
        <x:v>2.87</x:v>
      </x:c>
      <x:c r="G2069" s="12" t="n">
        <x:v>287</x:v>
      </x:c>
      <x:c r="H2069" s="12" t="n">
        <x:v>6</x:v>
      </x:c>
      <x:c r="I2069" s="12" t="str">
        <x:v>TuShare index_daily</x:v>
      </x:c>
      <x:c r="J2069" s="12" t="str">
        <x:v>FRED current rolling window</x:v>
      </x:c>
    </x:row>
    <x:row r="2070" ht="18" customHeight="1">
      <x:c r="A2070" s="13" t="n">
        <x:v>45719</x:v>
      </x:c>
      <x:c r="B2070" s="12" t="n">
        <x:v>3888.4738</x:v>
      </x:c>
      <x:c r="C2070" s="12" t="n">
        <x:v>3890.0487</x:v>
      </x:c>
      <x:c r="D2070" s="12" t="n">
        <x:v>-0.0405</x:v>
      </x:c>
      <x:c r="E2070" s="12" t="n">
        <x:v>-0.0004049355186720422</x:v>
      </x:c>
      <x:c r="F2070" s="12" t="n">
        <x:v>2.94</x:v>
      </x:c>
      <x:c r="G2070" s="12" t="n">
        <x:v>294</x:v>
      </x:c>
      <x:c r="H2070" s="12" t="n">
        <x:v>7</x:v>
      </x:c>
      <x:c r="I2070" s="12" t="str">
        <x:v>TuShare index_daily</x:v>
      </x:c>
      <x:c r="J2070" s="12" t="str">
        <x:v>FRED current rolling window</x:v>
      </x:c>
    </x:row>
    <x:row r="2071" ht="18" customHeight="1">
      <x:c r="A2071" s="13" t="n">
        <x:v>45720</x:v>
      </x:c>
      <x:c r="B2071" s="12" t="n">
        <x:v>3885.2208</x:v>
      </x:c>
      <x:c r="C2071" s="12" t="n">
        <x:v>3888.4738</x:v>
      </x:c>
      <x:c r="D2071" s="12" t="n">
        <x:v>-0.0837</x:v>
      </x:c>
      <x:c r="E2071" s="12" t="n">
        <x:v>-0.0008369251320675289</x:v>
      </x:c>
      <x:c r="F2071" s="12" t="n">
        <x:v>2.99</x:v>
      </x:c>
      <x:c r="G2071" s="12" t="n">
        <x:v>299</x:v>
      </x:c>
      <x:c r="H2071" s="12" t="n">
        <x:v>5</x:v>
      </x:c>
      <x:c r="I2071" s="12" t="str">
        <x:v>TuShare index_daily</x:v>
      </x:c>
      <x:c r="J2071" s="12" t="str">
        <x:v>FRED current rolling window</x:v>
      </x:c>
    </x:row>
    <x:row r="2072" ht="18" customHeight="1">
      <x:c r="A2072" s="13" t="n">
        <x:v>45721</x:v>
      </x:c>
      <x:c r="B2072" s="12" t="n">
        <x:v>3902.5706</x:v>
      </x:c>
      <x:c r="C2072" s="12" t="n">
        <x:v>3885.2208</x:v>
      </x:c>
      <x:c r="D2072" s="12" t="n">
        <x:v>0.4466</x:v>
      </x:c>
      <x:c r="E2072" s="12" t="n">
        <x:v>0.004455648029683655</x:v>
      </x:c>
      <x:c r="F2072" s="12" t="n">
        <x:v>2.88</x:v>
      </x:c>
      <x:c r="G2072" s="12" t="n">
        <x:v>288</x:v>
      </x:c>
      <x:c r="H2072" s="12" t="n">
        <x:v>-11</x:v>
      </x:c>
      <x:c r="I2072" s="12" t="str">
        <x:v>TuShare index_daily</x:v>
      </x:c>
      <x:c r="J2072" s="12" t="str">
        <x:v>FRED current rolling window</x:v>
      </x:c>
    </x:row>
    <x:row r="2073" ht="18" customHeight="1">
      <x:c r="A2073" s="13" t="n">
        <x:v>45722</x:v>
      </x:c>
      <x:c r="B2073" s="12" t="n">
        <x:v>3956.2369</x:v>
      </x:c>
      <x:c r="C2073" s="12" t="n">
        <x:v>3902.5706</x:v>
      </x:c>
      <x:c r="D2073" s="12" t="n">
        <x:v>1.3752</x:v>
      </x:c>
      <x:c r="E2073" s="12" t="n">
        <x:v>0.013657831477298408</x:v>
      </x:c>
      <x:c r="F2073" s="12" t="n">
        <x:v>2.99</x:v>
      </x:c>
      <x:c r="G2073" s="12" t="n">
        <x:v>299</x:v>
      </x:c>
      <x:c r="H2073" s="12" t="n">
        <x:v>11</x:v>
      </x:c>
      <x:c r="I2073" s="12" t="str">
        <x:v>TuShare index_daily</x:v>
      </x:c>
      <x:c r="J2073" s="12" t="str">
        <x:v>FRED current rolling window</x:v>
      </x:c>
    </x:row>
    <x:row r="2074" ht="18" customHeight="1">
      <x:c r="A2074" s="13" t="n">
        <x:v>45723</x:v>
      </x:c>
      <x:c r="B2074" s="12" t="n">
        <x:v>3944.0143</x:v>
      </x:c>
      <x:c r="C2074" s="12" t="n">
        <x:v>3956.2369</x:v>
      </x:c>
      <x:c r="D2074" s="12" t="n">
        <x:v>-0.3089</x:v>
      </x:c>
      <x:c r="E2074" s="12" t="n">
        <x:v>-0.003094233193972485</x:v>
      </x:c>
      <x:c r="F2074" s="12" t="n">
        <x:v>2.97</x:v>
      </x:c>
      <x:c r="G2074" s="12" t="n">
        <x:v>297</x:v>
      </x:c>
      <x:c r="H2074" s="12" t="n">
        <x:v>-2</x:v>
      </x:c>
      <x:c r="I2074" s="12" t="str">
        <x:v>TuShare index_daily</x:v>
      </x:c>
      <x:c r="J2074" s="12" t="str">
        <x:v>FRED current rolling window</x:v>
      </x:c>
    </x:row>
    <x:row r="2075" ht="18" customHeight="1">
      <x:c r="A2075" s="13" t="n">
        <x:v>45726</x:v>
      </x:c>
      <x:c r="B2075" s="12" t="n">
        <x:v>3928.8018</x:v>
      </x:c>
      <x:c r="C2075" s="12" t="n">
        <x:v>3944.0143</x:v>
      </x:c>
      <x:c r="D2075" s="12" t="n">
        <x:v>-0.3857</x:v>
      </x:c>
      <x:c r="E2075" s="12" t="n">
        <x:v>-0.0038645685965101716</x:v>
      </x:c>
      <x:c r="F2075" s="12" t="n">
        <x:v>3.16</x:v>
      </x:c>
      <x:c r="G2075" s="12" t="n">
        <x:v>316</x:v>
      </x:c>
      <x:c r="H2075" s="12" t="n">
        <x:v>19</x:v>
      </x:c>
      <x:c r="I2075" s="12" t="str">
        <x:v>TuShare index_daily</x:v>
      </x:c>
      <x:c r="J2075" s="12" t="str">
        <x:v>FRED current rolling window</x:v>
      </x:c>
    </x:row>
    <x:row r="2076" ht="18" customHeight="1">
      <x:c r="A2076" s="13" t="n">
        <x:v>45727</x:v>
      </x:c>
      <x:c r="B2076" s="12" t="n">
        <x:v>3941.4157</x:v>
      </x:c>
      <x:c r="C2076" s="12" t="n">
        <x:v>3928.8018</x:v>
      </x:c>
      <x:c r="D2076" s="12" t="n">
        <x:v>0.3211</x:v>
      </x:c>
      <x:c r="E2076" s="12" t="n">
        <x:v>0.0032054795946247984</x:v>
      </x:c>
      <x:c r="F2076" s="12" t="n">
        <x:v>3.22</x:v>
      </x:c>
      <x:c r="G2076" s="12" t="n">
        <x:v>322</x:v>
      </x:c>
      <x:c r="H2076" s="12" t="n">
        <x:v>6</x:v>
      </x:c>
      <x:c r="I2076" s="12" t="str">
        <x:v>TuShare index_daily</x:v>
      </x:c>
      <x:c r="J2076" s="12" t="str">
        <x:v>FRED current rolling window</x:v>
      </x:c>
    </x:row>
    <x:row r="2077" ht="18" customHeight="1">
      <x:c r="A2077" s="13" t="n">
        <x:v>45728</x:v>
      </x:c>
      <x:c r="B2077" s="12" t="n">
        <x:v>3927.2315</x:v>
      </x:c>
      <x:c r="C2077" s="12" t="n">
        <x:v>3941.4157</x:v>
      </x:c>
      <x:c r="D2077" s="12" t="n">
        <x:v>-0.3599</x:v>
      </x:c>
      <x:c r="E2077" s="12" t="n">
        <x:v>-0.0036052487811718</x:v>
      </x:c>
      <x:c r="F2077" s="12" t="n">
        <x:v>3.2</x:v>
      </x:c>
      <x:c r="G2077" s="12" t="n">
        <x:v>320</x:v>
      </x:c>
      <x:c r="H2077" s="12" t="n">
        <x:v>-2</x:v>
      </x:c>
      <x:c r="I2077" s="12" t="str">
        <x:v>TuShare index_daily</x:v>
      </x:c>
      <x:c r="J2077" s="12" t="str">
        <x:v>FRED current rolling window</x:v>
      </x:c>
    </x:row>
    <x:row r="2078" ht="18" customHeight="1">
      <x:c r="A2078" s="13" t="n">
        <x:v>45729</x:v>
      </x:c>
      <x:c r="B2078" s="12" t="n">
        <x:v>3911.5793</x:v>
      </x:c>
      <x:c r="C2078" s="12" t="n">
        <x:v>3927.2315</x:v>
      </x:c>
      <x:c r="D2078" s="12" t="n">
        <x:v>-0.3986</x:v>
      </x:c>
      <x:c r="E2078" s="12" t="n">
        <x:v>-0.003993519221569567</x:v>
      </x:c>
      <x:c r="F2078" s="12" t="n">
        <x:v>3.4</x:v>
      </x:c>
      <x:c r="G2078" s="12" t="n">
        <x:v>340</x:v>
      </x:c>
      <x:c r="H2078" s="12" t="n">
        <x:v>20</x:v>
      </x:c>
      <x:c r="I2078" s="12" t="str">
        <x:v>TuShare index_daily</x:v>
      </x:c>
      <x:c r="J2078" s="12" t="str">
        <x:v>FRED current rolling window</x:v>
      </x:c>
    </x:row>
    <x:row r="2079" ht="18" customHeight="1">
      <x:c r="A2079" s="13" t="n">
        <x:v>45730</x:v>
      </x:c>
      <x:c r="B2079" s="12" t="n">
        <x:v>4006.5567</x:v>
      </x:c>
      <x:c r="C2079" s="12" t="n">
        <x:v>3911.5793</x:v>
      </x:c>
      <x:c r="D2079" s="12" t="n">
        <x:v>2.4281</x:v>
      </x:c>
      <x:c r="E2079" s="12" t="n">
        <x:v>0.023990988649006423</x:v>
      </x:c>
      <x:c r="F2079" s="12" t="n">
        <x:v>3.25</x:v>
      </x:c>
      <x:c r="G2079" s="12" t="n">
        <x:v>325</x:v>
      </x:c>
      <x:c r="H2079" s="12" t="n">
        <x:v>-15</x:v>
      </x:c>
      <x:c r="I2079" s="12" t="str">
        <x:v>TuShare index_daily</x:v>
      </x:c>
      <x:c r="J2079" s="12" t="str">
        <x:v>FRED current rolling window</x:v>
      </x:c>
    </x:row>
    <x:row r="2080" ht="18" customHeight="1">
      <x:c r="A2080" s="13" t="n">
        <x:v>45733</x:v>
      </x:c>
      <x:c r="B2080" s="12" t="n">
        <x:v>3996.7876</x:v>
      </x:c>
      <x:c r="C2080" s="12" t="n">
        <x:v>4006.5567</x:v>
      </x:c>
      <x:c r="D2080" s="12" t="n">
        <x:v>-0.2438</x:v>
      </x:c>
      <x:c r="E2080" s="12" t="n">
        <x:v>-0.0024412556765214454</x:v>
      </x:c>
      <x:c r="F2080" s="12" t="n">
        <x:v>3.18</x:v>
      </x:c>
      <x:c r="G2080" s="12" t="n">
        <x:v>318</x:v>
      </x:c>
      <x:c r="H2080" s="12" t="n">
        <x:v>-7</x:v>
      </x:c>
      <x:c r="I2080" s="12" t="str">
        <x:v>TuShare index_daily</x:v>
      </x:c>
      <x:c r="J2080" s="12" t="str">
        <x:v>FRED current rolling window</x:v>
      </x:c>
    </x:row>
    <x:row r="2081" ht="18" customHeight="1">
      <x:c r="A2081" s="13" t="n">
        <x:v>45734</x:v>
      </x:c>
      <x:c r="B2081" s="12" t="n">
        <x:v>4007.7229</x:v>
      </x:c>
      <x:c r="C2081" s="12" t="n">
        <x:v>3996.7876</x:v>
      </x:c>
      <x:c r="D2081" s="12" t="n">
        <x:v>0.2736</x:v>
      </x:c>
      <x:c r="E2081" s="12" t="n">
        <x:v>0.002732286203639958</x:v>
      </x:c>
      <x:c r="F2081" s="12" t="n">
        <x:v>3.23</x:v>
      </x:c>
      <x:c r="G2081" s="12" t="n">
        <x:v>323</x:v>
      </x:c>
      <x:c r="H2081" s="12" t="n">
        <x:v>5</x:v>
      </x:c>
      <x:c r="I2081" s="12" t="str">
        <x:v>TuShare index_daily</x:v>
      </x:c>
      <x:c r="J2081" s="12" t="str">
        <x:v>FRED current rolling window</x:v>
      </x:c>
    </x:row>
    <x:row r="2082" ht="18" customHeight="1">
      <x:c r="A2082" s="13" t="n">
        <x:v>45735</x:v>
      </x:c>
      <x:c r="B2082" s="12" t="n">
        <x:v>4010.168</x:v>
      </x:c>
      <x:c r="C2082" s="12" t="n">
        <x:v>4007.7229</x:v>
      </x:c>
      <x:c r="D2082" s="12" t="n">
        <x:v>0.061</x:v>
      </x:c>
      <x:c r="E2082" s="12" t="n">
        <x:v>0.0006099110367779948</x:v>
      </x:c>
      <x:c r="F2082" s="12" t="n">
        <x:v>3.19</x:v>
      </x:c>
      <x:c r="G2082" s="12" t="n">
        <x:v>319</x:v>
      </x:c>
      <x:c r="H2082" s="12" t="n">
        <x:v>-4</x:v>
      </x:c>
      <x:c r="I2082" s="12" t="str">
        <x:v>TuShare index_daily</x:v>
      </x:c>
      <x:c r="J2082" s="12" t="str">
        <x:v>FRED current rolling window</x:v>
      </x:c>
    </x:row>
    <x:row r="2083" ht="18" customHeight="1">
      <x:c r="A2083" s="13" t="n">
        <x:v>45736</x:v>
      </x:c>
      <x:c r="B2083" s="12" t="n">
        <x:v>3974.9918</x:v>
      </x:c>
      <x:c r="C2083" s="12" t="n">
        <x:v>4010.168</x:v>
      </x:c>
      <x:c r="D2083" s="12" t="n">
        <x:v>-0.8772</x:v>
      </x:c>
      <x:c r="E2083" s="12" t="n">
        <x:v>-0.008810450491655575</x:v>
      </x:c>
      <x:c r="F2083" s="12" t="n">
        <x:v>3.17</x:v>
      </x:c>
      <x:c r="G2083" s="12" t="n">
        <x:v>317</x:v>
      </x:c>
      <x:c r="H2083" s="12" t="n">
        <x:v>-2</x:v>
      </x:c>
      <x:c r="I2083" s="12" t="str">
        <x:v>TuShare index_daily</x:v>
      </x:c>
      <x:c r="J2083" s="12" t="str">
        <x:v>FRED current rolling window</x:v>
      </x:c>
    </x:row>
    <x:row r="2084" ht="18" customHeight="1">
      <x:c r="A2084" s="13" t="n">
        <x:v>45737</x:v>
      </x:c>
      <x:c r="B2084" s="12" t="n">
        <x:v>3914.6956</x:v>
      </x:c>
      <x:c r="C2084" s="12" t="n">
        <x:v>3974.9918</x:v>
      </x:c>
      <x:c r="D2084" s="12" t="n">
        <x:v>-1.5169</x:v>
      </x:c>
      <x:c r="E2084" s="12" t="n">
        <x:v>-0.015285111026174561</x:v>
      </x:c>
      <x:c r="F2084" s="12" t="n">
        <x:v>3.21</x:v>
      </x:c>
      <x:c r="G2084" s="12" t="n">
        <x:v>321</x:v>
      </x:c>
      <x:c r="H2084" s="12" t="n">
        <x:v>4</x:v>
      </x:c>
      <x:c r="I2084" s="12" t="str">
        <x:v>TuShare index_daily</x:v>
      </x:c>
      <x:c r="J2084" s="12" t="str">
        <x:v>FRED current rolling window</x:v>
      </x:c>
    </x:row>
    <x:row r="2085" ht="18" customHeight="1">
      <x:c r="A2085" s="13" t="n">
        <x:v>45740</x:v>
      </x:c>
      <x:c r="B2085" s="12" t="n">
        <x:v>3934.8486</x:v>
      </x:c>
      <x:c r="C2085" s="12" t="n">
        <x:v>3914.6956</x:v>
      </x:c>
      <x:c r="D2085" s="12" t="n">
        <x:v>0.5148</x:v>
      </x:c>
      <x:c r="E2085" s="12" t="n">
        <x:v>0.005134831721901653</x:v>
      </x:c>
      <x:c r="F2085" s="12" t="n">
        <x:v>3.05</x:v>
      </x:c>
      <x:c r="G2085" s="12" t="n">
        <x:v>305</x:v>
      </x:c>
      <x:c r="H2085" s="12" t="n">
        <x:v>-16</x:v>
      </x:c>
      <x:c r="I2085" s="12" t="str">
        <x:v>TuShare index_daily</x:v>
      </x:c>
      <x:c r="J2085" s="12" t="str">
        <x:v>FRED current rolling window</x:v>
      </x:c>
    </x:row>
    <x:row r="2086" ht="18" customHeight="1">
      <x:c r="A2086" s="13" t="n">
        <x:v>45741</x:v>
      </x:c>
      <x:c r="B2086" s="12" t="n">
        <x:v>3932.2951</x:v>
      </x:c>
      <x:c r="C2086" s="12" t="n">
        <x:v>3934.8486</x:v>
      </x:c>
      <x:c r="D2086" s="12" t="n">
        <x:v>-0.0649</x:v>
      </x:c>
      <x:c r="E2086" s="12" t="n">
        <x:v>-0.0006491555733679615</x:v>
      </x:c>
      <x:c r="F2086" s="12" t="n">
        <x:v>3.09</x:v>
      </x:c>
      <x:c r="G2086" s="12" t="n">
        <x:v>309</x:v>
      </x:c>
      <x:c r="H2086" s="12" t="n">
        <x:v>4</x:v>
      </x:c>
      <x:c r="I2086" s="12" t="str">
        <x:v>TuShare index_daily</x:v>
      </x:c>
      <x:c r="J2086" s="12" t="str">
        <x:v>FRED current rolling window</x:v>
      </x:c>
    </x:row>
    <x:row r="2087" ht="18" customHeight="1">
      <x:c r="A2087" s="13" t="n">
        <x:v>45742</x:v>
      </x:c>
      <x:c r="B2087" s="12" t="n">
        <x:v>3919.3566</x:v>
      </x:c>
      <x:c r="C2087" s="12" t="n">
        <x:v>3932.2951</x:v>
      </x:c>
      <x:c r="D2087" s="12" t="n">
        <x:v>-0.329</x:v>
      </x:c>
      <x:c r="E2087" s="12" t="n">
        <x:v>-0.0032957426553727287</x:v>
      </x:c>
      <x:c r="F2087" s="12" t="n">
        <x:v>3.19</x:v>
      </x:c>
      <x:c r="G2087" s="12" t="n">
        <x:v>319</x:v>
      </x:c>
      <x:c r="H2087" s="12" t="n">
        <x:v>10</x:v>
      </x:c>
      <x:c r="I2087" s="12" t="str">
        <x:v>TuShare index_daily</x:v>
      </x:c>
      <x:c r="J2087" s="12" t="str">
        <x:v>FRED current rolling window</x:v>
      </x:c>
    </x:row>
    <x:row r="2088" ht="18" customHeight="1">
      <x:c r="A2088" s="13" t="n">
        <x:v>45743</x:v>
      </x:c>
      <x:c r="B2088" s="12" t="n">
        <x:v>3932.4117</x:v>
      </x:c>
      <x:c r="C2088" s="12" t="n">
        <x:v>3919.3566</x:v>
      </x:c>
      <x:c r="D2088" s="12" t="n">
        <x:v>0.3331</x:v>
      </x:c>
      <x:c r="E2088" s="12" t="n">
        <x:v>0.0033253941104043395</x:v>
      </x:c>
      <x:c r="F2088" s="12" t="n">
        <x:v>3.27</x:v>
      </x:c>
      <x:c r="G2088" s="12" t="n">
        <x:v>327</x:v>
      </x:c>
      <x:c r="H2088" s="12" t="n">
        <x:v>8</x:v>
      </x:c>
      <x:c r="I2088" s="12" t="str">
        <x:v>TuShare index_daily</x:v>
      </x:c>
      <x:c r="J2088" s="12" t="str">
        <x:v>FRED current rolling window</x:v>
      </x:c>
    </x:row>
    <x:row r="2089" ht="18" customHeight="1">
      <x:c r="A2089" s="13" t="n">
        <x:v>45744</x:v>
      </x:c>
      <x:c r="B2089" s="12" t="n">
        <x:v>3915.1662</x:v>
      </x:c>
      <x:c r="C2089" s="12" t="n">
        <x:v>3932.4117</x:v>
      </x:c>
      <x:c r="D2089" s="12" t="n">
        <x:v>-0.4385</x:v>
      </x:c>
      <x:c r="E2089" s="12" t="n">
        <x:v>-0.004395121139495452</x:v>
      </x:c>
      <x:c r="F2089" s="12" t="n">
        <x:v>3.47</x:v>
      </x:c>
      <x:c r="G2089" s="12" t="n">
        <x:v>347</x:v>
      </x:c>
      <x:c r="H2089" s="12" t="n">
        <x:v>20</x:v>
      </x:c>
      <x:c r="I2089" s="12" t="str">
        <x:v>TuShare index_daily</x:v>
      </x:c>
      <x:c r="J2089" s="12" t="str">
        <x:v>FRED current rolling window</x:v>
      </x:c>
    </x:row>
    <x:row r="2090" ht="18" customHeight="1">
      <x:c r="A2090" s="13" t="n">
        <x:v>45747</x:v>
      </x:c>
      <x:c r="B2090" s="12" t="n">
        <x:v>3887.3056</x:v>
      </x:c>
      <x:c r="C2090" s="12" t="n">
        <x:v>3915.1662</x:v>
      </x:c>
      <x:c r="D2090" s="12" t="n">
        <x:v>-0.7116</x:v>
      </x:c>
      <x:c r="E2090" s="12" t="n">
        <x:v>-0.007141510824859772</x:v>
      </x:c>
      <x:c r="F2090" s="12" t="n">
        <x:v>3.55</x:v>
      </x:c>
      <x:c r="G2090" s="12" t="n">
        <x:v>355</x:v>
      </x:c>
      <x:c r="H2090" s="12" t="n">
        <x:v>8</x:v>
      </x:c>
      <x:c r="I2090" s="12" t="str">
        <x:v>TuShare index_daily</x:v>
      </x:c>
      <x:c r="J2090" s="12" t="str">
        <x:v>FRED current rolling window</x:v>
      </x:c>
    </x:row>
    <x:row r="2091" ht="18" customHeight="1">
      <x:c r="A2091" s="13" t="n">
        <x:v>45748</x:v>
      </x:c>
      <x:c r="B2091" s="12" t="n">
        <x:v>3887.6841</x:v>
      </x:c>
      <x:c r="C2091" s="12" t="n">
        <x:v>3887.3056</x:v>
      </x:c>
      <x:c r="D2091" s="12" t="n">
        <x:v>0.0097</x:v>
      </x:c>
      <x:c r="E2091" s="12" t="n">
        <x:v>0.00009736347311147538</x:v>
      </x:c>
      <x:c r="F2091" s="12" t="n">
        <x:v>3.5</x:v>
      </x:c>
      <x:c r="G2091" s="12" t="n">
        <x:v>350</x:v>
      </x:c>
      <x:c r="H2091" s="12" t="n">
        <x:v>-5</x:v>
      </x:c>
      <x:c r="I2091" s="12" t="str">
        <x:v>TuShare index_daily</x:v>
      </x:c>
      <x:c r="J2091" s="12" t="str">
        <x:v>FRED current rolling window</x:v>
      </x:c>
    </x:row>
    <x:row r="2092" ht="18" customHeight="1">
      <x:c r="A2092" s="13" t="n">
        <x:v>45749</x:v>
      </x:c>
      <x:c r="B2092" s="12" t="n">
        <x:v>3884.3858</x:v>
      </x:c>
      <x:c r="C2092" s="12" t="n">
        <x:v>3887.6841</x:v>
      </x:c>
      <x:c r="D2092" s="12" t="n">
        <x:v>-0.0848</x:v>
      </x:c>
      <x:c r="E2092" s="12" t="n">
        <x:v>-0.000848757214086465</x:v>
      </x:c>
      <x:c r="F2092" s="12" t="n">
        <x:v>3.42</x:v>
      </x:c>
      <x:c r="G2092" s="12" t="n">
        <x:v>342</x:v>
      </x:c>
      <x:c r="H2092" s="12" t="n">
        <x:v>-8</x:v>
      </x:c>
      <x:c r="I2092" s="12" t="str">
        <x:v>TuShare index_daily</x:v>
      </x:c>
      <x:c r="J2092" s="12" t="str">
        <x:v>FRED current rolling window</x:v>
      </x:c>
    </x:row>
    <x:row r="2093" ht="18" customHeight="1">
      <x:c r="A2093" s="13" t="n">
        <x:v>45750</x:v>
      </x:c>
      <x:c r="B2093" s="12" t="n">
        <x:v>3861.5034</x:v>
      </x:c>
      <x:c r="C2093" s="12" t="n">
        <x:v>3884.3858</x:v>
      </x:c>
      <x:c r="D2093" s="12" t="n">
        <x:v>-0.5891</x:v>
      </x:c>
      <x:c r="E2093" s="12" t="n">
        <x:v>-0.005908286569494701</x:v>
      </x:c>
      <x:c r="F2093" s="12" t="n">
        <x:v>4.01</x:v>
      </x:c>
      <x:c r="G2093" s="12" t="n">
        <x:v>401</x:v>
      </x:c>
      <x:c r="H2093" s="12" t="n">
        <x:v>59</x:v>
      </x:c>
      <x:c r="I2093" s="12" t="str">
        <x:v>TuShare index_daily</x:v>
      </x:c>
      <x:c r="J2093" s="12" t="str">
        <x:v>FRED current rolling window</x:v>
      </x:c>
    </x:row>
    <x:row r="2094" ht="18" customHeight="1">
      <x:c r="A2094" s="13" t="n">
        <x:v>45754</x:v>
      </x:c>
      <x:c r="B2094" s="12" t="n">
        <x:v>3589.4406</x:v>
      </x:c>
      <x:c r="C2094" s="12" t="n">
        <x:v>3861.5034</x:v>
      </x:c>
      <x:c r="D2094" s="12" t="n">
        <x:v>-7.0455</x:v>
      </x:c>
      <x:c r="E2094" s="12" t="n">
        <x:v>-0.07306022088195</x:v>
      </x:c>
      <x:c r="F2094" s="12" t="n">
        <x:v>4.61</x:v>
      </x:c>
      <x:c r="G2094" s="12" t="n">
        <x:v>461.00000000000006</x:v>
      </x:c>
      <x:c r="H2094" s="12" t="n">
        <x:v>16.000000000000057</x:v>
      </x:c>
      <x:c r="I2094" s="12" t="str">
        <x:v>TuShare index_daily</x:v>
      </x:c>
      <x:c r="J2094" s="12" t="str">
        <x:v>FRED current rolling window</x:v>
      </x:c>
    </x:row>
    <x:row r="2095" ht="18" customHeight="1">
      <x:c r="A2095" s="13" t="n">
        <x:v>45755</x:v>
      </x:c>
      <x:c r="B2095" s="12" t="n">
        <x:v>3650.759</x:v>
      </x:c>
      <x:c r="C2095" s="12" t="n">
        <x:v>3589.4406</x:v>
      </x:c>
      <x:c r="D2095" s="12" t="n">
        <x:v>1.7083</x:v>
      </x:c>
      <x:c r="E2095" s="12" t="n">
        <x:v>0.016938722550570866</x:v>
      </x:c>
      <x:c r="F2095" s="12" t="n">
        <x:v>4.57</x:v>
      </x:c>
      <x:c r="G2095" s="12" t="n">
        <x:v>457</x:v>
      </x:c>
      <x:c r="H2095" s="12" t="n">
        <x:v>-4.000000000000057</x:v>
      </x:c>
      <x:c r="I2095" s="12" t="str">
        <x:v>TuShare index_daily</x:v>
      </x:c>
      <x:c r="J2095" s="12" t="str">
        <x:v>FRED current rolling window</x:v>
      </x:c>
    </x:row>
    <x:row r="2096" ht="18" customHeight="1">
      <x:c r="A2096" s="13" t="n">
        <x:v>45756</x:v>
      </x:c>
      <x:c r="B2096" s="12" t="n">
        <x:v>3686.7943</x:v>
      </x:c>
      <x:c r="C2096" s="12" t="n">
        <x:v>3650.759</x:v>
      </x:c>
      <x:c r="D2096" s="12" t="n">
        <x:v>0.9871</x:v>
      </x:c>
      <x:c r="E2096" s="12" t="n">
        <x:v>0.009822235897704312</x:v>
      </x:c>
      <x:c r="F2096" s="12" t="n">
        <x:v>4.37</x:v>
      </x:c>
      <x:c r="G2096" s="12" t="n">
        <x:v>437</x:v>
      </x:c>
      <x:c r="H2096" s="12" t="n">
        <x:v>-20</x:v>
      </x:c>
      <x:c r="I2096" s="12" t="str">
        <x:v>TuShare index_daily</x:v>
      </x:c>
      <x:c r="J2096" s="12" t="str">
        <x:v>FRED current rolling window</x:v>
      </x:c>
    </x:row>
    <x:row r="2097" ht="18" customHeight="1">
      <x:c r="A2097" s="13" t="n">
        <x:v>45757</x:v>
      </x:c>
      <x:c r="B2097" s="12" t="n">
        <x:v>3735.1151</x:v>
      </x:c>
      <x:c r="C2097" s="12" t="n">
        <x:v>3686.7943</x:v>
      </x:c>
      <x:c r="D2097" s="12" t="n">
        <x:v>1.3106</x:v>
      </x:c>
      <x:c r="E2097" s="12" t="n">
        <x:v>0.013021307629714781</x:v>
      </x:c>
      <x:c r="F2097" s="12" t="n">
        <x:v>4.42</x:v>
      </x:c>
      <x:c r="G2097" s="12" t="n">
        <x:v>442</x:v>
      </x:c>
      <x:c r="H2097" s="12" t="n">
        <x:v>5</x:v>
      </x:c>
      <x:c r="I2097" s="12" t="str">
        <x:v>TuShare index_daily</x:v>
      </x:c>
      <x:c r="J2097" s="12" t="str">
        <x:v>FRED current rolling window</x:v>
      </x:c>
    </x:row>
    <x:row r="2098" ht="18" customHeight="1">
      <x:c r="A2098" s="13" t="n">
        <x:v>45758</x:v>
      </x:c>
      <x:c r="B2098" s="12" t="n">
        <x:v>3750.5167</x:v>
      </x:c>
      <x:c r="C2098" s="12" t="n">
        <x:v>3735.1151</x:v>
      </x:c>
      <x:c r="D2098" s="12" t="n">
        <x:v>0.4123</x:v>
      </x:c>
      <x:c r="E2098" s="12" t="n">
        <x:v>0.00411498244758409</x:v>
      </x:c>
      <x:c r="F2098" s="12" t="n">
        <x:v>4.26</x:v>
      </x:c>
      <x:c r="G2098" s="12" t="n">
        <x:v>426</x:v>
      </x:c>
      <x:c r="H2098" s="12" t="n">
        <x:v>-16</x:v>
      </x:c>
      <x:c r="I2098" s="12" t="str">
        <x:v>TuShare index_daily</x:v>
      </x:c>
      <x:c r="J2098" s="12" t="str">
        <x:v>FRED current rolling window</x:v>
      </x:c>
    </x:row>
    <x:row r="2099" ht="18" customHeight="1">
      <x:c r="A2099" s="13" t="n">
        <x:v>45761</x:v>
      </x:c>
      <x:c r="B2099" s="12" t="n">
        <x:v>3759.1422</x:v>
      </x:c>
      <x:c r="C2099" s="12" t="n">
        <x:v>3750.5167</x:v>
      </x:c>
      <x:c r="D2099" s="12" t="n">
        <x:v>0.23</x:v>
      </x:c>
      <x:c r="E2099" s="12" t="n">
        <x:v>0.002297175919155268</x:v>
      </x:c>
      <x:c r="F2099" s="12" t="n">
        <x:v>4.14</x:v>
      </x:c>
      <x:c r="G2099" s="12" t="n">
        <x:v>413.99999999999994</x:v>
      </x:c>
      <x:c r="H2099" s="12" t="n">
        <x:v>-12.000000000000057</x:v>
      </x:c>
      <x:c r="I2099" s="12" t="str">
        <x:v>TuShare index_daily</x:v>
      </x:c>
      <x:c r="J2099" s="12" t="str">
        <x:v>FRED current rolling window</x:v>
      </x:c>
    </x:row>
    <x:row r="2100" ht="18" customHeight="1">
      <x:c r="A2100" s="13" t="n">
        <x:v>45762</x:v>
      </x:c>
      <x:c r="B2100" s="12" t="n">
        <x:v>3761.2348</x:v>
      </x:c>
      <x:c r="C2100" s="12" t="n">
        <x:v>3759.1422</x:v>
      </x:c>
      <x:c r="D2100" s="12" t="n">
        <x:v>0.0557</x:v>
      </x:c>
      <x:c r="E2100" s="12" t="n">
        <x:v>0.0005565146678174699</x:v>
      </x:c>
      <x:c r="F2100" s="12" t="n">
        <x:v>4.09</x:v>
      </x:c>
      <x:c r="G2100" s="12" t="n">
        <x:v>409</x:v>
      </x:c>
      <x:c r="H2100" s="12" t="n">
        <x:v>-4.999999999999943</x:v>
      </x:c>
      <x:c r="I2100" s="12" t="str">
        <x:v>TuShare index_daily</x:v>
      </x:c>
      <x:c r="J2100" s="12" t="str">
        <x:v>FRED current rolling window</x:v>
      </x:c>
    </x:row>
    <x:row r="2101" ht="18" customHeight="1">
      <x:c r="A2101" s="13" t="n">
        <x:v>45763</x:v>
      </x:c>
      <x:c r="B2101" s="12" t="n">
        <x:v>3772.8204</x:v>
      </x:c>
      <x:c r="C2101" s="12" t="n">
        <x:v>3761.2348</x:v>
      </x:c>
      <x:c r="D2101" s="12" t="n">
        <x:v>0.308</x:v>
      </x:c>
      <x:c r="E2101" s="12" t="n">
        <x:v>0.0030755307267302905</x:v>
      </x:c>
      <x:c r="F2101" s="12" t="n">
        <x:v>4.16</x:v>
      </x:c>
      <x:c r="G2101" s="12" t="n">
        <x:v>416</x:v>
      </x:c>
      <x:c r="H2101" s="12" t="n">
        <x:v>7</x:v>
      </x:c>
      <x:c r="I2101" s="12" t="str">
        <x:v>TuShare index_daily</x:v>
      </x:c>
      <x:c r="J2101" s="12" t="str">
        <x:v>FRED current rolling window</x:v>
      </x:c>
    </x:row>
    <x:row r="2102" ht="18" customHeight="1">
      <x:c r="A2102" s="13" t="n">
        <x:v>45764</x:v>
      </x:c>
      <x:c r="B2102" s="12" t="n">
        <x:v>3772.2221</x:v>
      </x:c>
      <x:c r="C2102" s="12" t="n">
        <x:v>3772.8204</x:v>
      </x:c>
      <x:c r="D2102" s="12" t="n">
        <x:v>-0.0159</x:v>
      </x:c>
      <x:c r="E2102" s="12" t="n">
        <x:v>-0.0001585942030821602</x:v>
      </x:c>
      <x:c r="F2102" s="12" t="n">
        <x:v>4.02</x:v>
      </x:c>
      <x:c r="G2102" s="12" t="n">
        <x:v>401.99999999999994</x:v>
      </x:c>
      <x:c r="H2102" s="12" t="n">
        <x:v>-14.000000000000057</x:v>
      </x:c>
      <x:c r="I2102" s="12" t="str">
        <x:v>TuShare index_daily</x:v>
      </x:c>
      <x:c r="J2102" s="12" t="str">
        <x:v>FRED current rolling window</x:v>
      </x:c>
    </x:row>
    <x:row r="2103" ht="18" customHeight="1">
      <x:c r="A2103" s="13" t="n">
        <x:v>45768</x:v>
      </x:c>
      <x:c r="B2103" s="12" t="n">
        <x:v>3784.8806</x:v>
      </x:c>
      <x:c r="C2103" s="12" t="n">
        <x:v>3772.523</x:v>
      </x:c>
      <x:c r="D2103" s="12" t="n">
        <x:v>0.3276</x:v>
      </x:c>
      <x:c r="E2103" s="12" t="n">
        <x:v>0.003270332423105079</x:v>
      </x:c>
      <x:c r="F2103" s="12" t="n">
        <x:v>4.16</x:v>
      </x:c>
      <x:c r="G2103" s="12" t="n">
        <x:v>416</x:v>
      </x:c>
      <x:c r="H2103" s="12" t="n">
        <x:v>14.000000000000057</x:v>
      </x:c>
      <x:c r="I2103" s="12" t="str">
        <x:v>TuShare index_daily</x:v>
      </x:c>
      <x:c r="J2103" s="12" t="str">
        <x:v>FRED current rolling window</x:v>
      </x:c>
    </x:row>
    <x:row r="2104" ht="18" customHeight="1">
      <x:c r="A2104" s="13" t="n">
        <x:v>45769</x:v>
      </x:c>
      <x:c r="B2104" s="12" t="n">
        <x:v>3783.9522</x:v>
      </x:c>
      <x:c r="C2104" s="12" t="n">
        <x:v>3784.8806</x:v>
      </x:c>
      <x:c r="D2104" s="12" t="n">
        <x:v>-0.0245</x:v>
      </x:c>
      <x:c r="E2104" s="12" t="n">
        <x:v>-0.000245321842664046</x:v>
      </x:c>
      <x:c r="F2104" s="12" t="n">
        <x:v>3.99</x:v>
      </x:c>
      <x:c r="G2104" s="12" t="n">
        <x:v>399</x:v>
      </x:c>
      <x:c r="H2104" s="12" t="n">
        <x:v>-17</x:v>
      </x:c>
      <x:c r="I2104" s="12" t="str">
        <x:v>TuShare index_daily</x:v>
      </x:c>
      <x:c r="J2104" s="12" t="str">
        <x:v>FRED current rolling window</x:v>
      </x:c>
    </x:row>
    <x:row r="2105" ht="18" customHeight="1">
      <x:c r="A2105" s="13" t="n">
        <x:v>45770</x:v>
      </x:c>
      <x:c r="B2105" s="12" t="n">
        <x:v>3786.8824</x:v>
      </x:c>
      <x:c r="C2105" s="12" t="n">
        <x:v>3783.9522</x:v>
      </x:c>
      <x:c r="D2105" s="12" t="n">
        <x:v>0.0774</x:v>
      </x:c>
      <x:c r="E2105" s="12" t="n">
        <x:v>0.0007740758585090369</x:v>
      </x:c>
      <x:c r="F2105" s="12" t="n">
        <x:v>3.75</x:v>
      </x:c>
      <x:c r="G2105" s="12" t="n">
        <x:v>375</x:v>
      </x:c>
      <x:c r="H2105" s="12" t="n">
        <x:v>-24</x:v>
      </x:c>
      <x:c r="I2105" s="12" t="str">
        <x:v>TuShare index_daily</x:v>
      </x:c>
      <x:c r="J2105" s="12" t="str">
        <x:v>FRED current rolling window</x:v>
      </x:c>
    </x:row>
    <x:row r="2106" ht="18" customHeight="1">
      <x:c r="A2106" s="13" t="n">
        <x:v>45771</x:v>
      </x:c>
      <x:c r="B2106" s="12" t="n">
        <x:v>3784.3574</x:v>
      </x:c>
      <x:c r="C2106" s="12" t="n">
        <x:v>3786.8824</x:v>
      </x:c>
      <x:c r="D2106" s="12" t="n">
        <x:v>-0.0667</x:v>
      </x:c>
      <x:c r="E2106" s="12" t="n">
        <x:v>-0.0006669977864422178</x:v>
      </x:c>
      <x:c r="F2106" s="12" t="n">
        <x:v>3.73</x:v>
      </x:c>
      <x:c r="G2106" s="12" t="n">
        <x:v>373</x:v>
      </x:c>
      <x:c r="H2106" s="12" t="n">
        <x:v>-2</x:v>
      </x:c>
      <x:c r="I2106" s="12" t="str">
        <x:v>TuShare index_daily</x:v>
      </x:c>
      <x:c r="J2106" s="12" t="str">
        <x:v>FRED current rolling window</x:v>
      </x:c>
    </x:row>
    <x:row r="2107" ht="18" customHeight="1">
      <x:c r="A2107" s="13" t="n">
        <x:v>45772</x:v>
      </x:c>
      <x:c r="B2107" s="12" t="n">
        <x:v>3786.9937</x:v>
      </x:c>
      <x:c r="C2107" s="12" t="n">
        <x:v>3784.3574</x:v>
      </x:c>
      <x:c r="D2107" s="12" t="n">
        <x:v>0.0697</x:v>
      </x:c>
      <x:c r="E2107" s="12" t="n">
        <x:v>0.0006963882857158247</x:v>
      </x:c>
      <x:c r="F2107" s="12" t="n">
        <x:v>3.67</x:v>
      </x:c>
      <x:c r="G2107" s="12" t="n">
        <x:v>367</x:v>
      </x:c>
      <x:c r="H2107" s="12" t="n">
        <x:v>-6</x:v>
      </x:c>
      <x:c r="I2107" s="12" t="str">
        <x:v>TuShare index_daily</x:v>
      </x:c>
      <x:c r="J2107" s="12" t="str">
        <x:v>FRED current rolling window</x:v>
      </x:c>
    </x:row>
    <x:row r="2108" ht="18" customHeight="1">
      <x:c r="A2108" s="13" t="n">
        <x:v>45775</x:v>
      </x:c>
      <x:c r="B2108" s="12" t="n">
        <x:v>3781.6188</x:v>
      </x:c>
      <x:c r="C2108" s="12" t="n">
        <x:v>3786.9937</x:v>
      </x:c>
      <x:c r="D2108" s="12" t="n">
        <x:v>-0.1419</x:v>
      </x:c>
      <x:c r="E2108" s="12" t="n">
        <x:v>-0.0014203134071299587</x:v>
      </x:c>
      <x:c r="F2108" s="12" t="n">
        <x:v>3.73</x:v>
      </x:c>
      <x:c r="G2108" s="12" t="n">
        <x:v>373</x:v>
      </x:c>
      <x:c r="H2108" s="12" t="n">
        <x:v>6</x:v>
      </x:c>
      <x:c r="I2108" s="12" t="str">
        <x:v>TuShare index_daily</x:v>
      </x:c>
      <x:c r="J2108" s="12" t="str">
        <x:v>FRED current rolling window</x:v>
      </x:c>
    </x:row>
    <x:row r="2109" ht="18" customHeight="1">
      <x:c r="A2109" s="13" t="n">
        <x:v>45776</x:v>
      </x:c>
      <x:c r="B2109" s="12" t="n">
        <x:v>3775.0767</x:v>
      </x:c>
      <x:c r="C2109" s="12" t="n">
        <x:v>3781.6188</x:v>
      </x:c>
      <x:c r="D2109" s="12" t="n">
        <x:v>-0.173</x:v>
      </x:c>
      <x:c r="E2109" s="12" t="n">
        <x:v>-0.0017314715498146472</x:v>
      </x:c>
      <x:c r="F2109" s="12" t="n">
        <x:v>3.74</x:v>
      </x:c>
      <x:c r="G2109" s="12" t="n">
        <x:v>374</x:v>
      </x:c>
      <x:c r="H2109" s="12" t="n">
        <x:v>1</x:v>
      </x:c>
      <x:c r="I2109" s="12" t="str">
        <x:v>TuShare index_daily</x:v>
      </x:c>
      <x:c r="J2109" s="12" t="str">
        <x:v>FRED current rolling window</x:v>
      </x:c>
    </x:row>
    <x:row r="2110" ht="18" customHeight="1">
      <x:c r="A2110" s="13" t="n">
        <x:v>45777</x:v>
      </x:c>
      <x:c r="B2110" s="12" t="n">
        <x:v>3770.5705</x:v>
      </x:c>
      <x:c r="C2110" s="12" t="n">
        <x:v>3775.0767</x:v>
      </x:c>
      <x:c r="D2110" s="12" t="n">
        <x:v>-0.1194</x:v>
      </x:c>
      <x:c r="E2110" s="12" t="n">
        <x:v>-0.0011943841041746196</x:v>
      </x:c>
      <x:c r="F2110" s="12" t="n">
        <x:v>3.94</x:v>
      </x:c>
      <x:c r="G2110" s="12" t="n">
        <x:v>394</x:v>
      </x:c>
      <x:c r="H2110" s="12" t="n">
        <x:v>20</x:v>
      </x:c>
      <x:c r="I2110" s="12" t="str">
        <x:v>TuShare index_daily</x:v>
      </x:c>
      <x:c r="J2110" s="12" t="str">
        <x:v>FRED current rolling window</x:v>
      </x:c>
    </x:row>
    <x:row r="2111" ht="18" customHeight="1">
      <x:c r="A2111" s="13" t="n">
        <x:v>45783</x:v>
      </x:c>
      <x:c r="B2111" s="12" t="n">
        <x:v>3808.5424</x:v>
      </x:c>
      <x:c r="C2111" s="12" t="n">
        <x:v>3770.5705</x:v>
      </x:c>
      <x:c r="D2111" s="12" t="n">
        <x:v>1.0071</x:v>
      </x:c>
      <x:c r="E2111" s="12" t="n">
        <x:v>0.010020227489523251</x:v>
      </x:c>
      <x:c r="F2111" s="12" t="n">
        <x:v>3.66</x:v>
      </x:c>
      <x:c r="G2111" s="12" t="n">
        <x:v>366</x:v>
      </x:c>
      <x:c r="H2111" s="12" t="n">
        <x:v>6</x:v>
      </x:c>
      <x:c r="I2111" s="12" t="str">
        <x:v>TuShare index_daily</x:v>
      </x:c>
      <x:c r="J2111" s="12" t="str">
        <x:v>FRED current rolling window</x:v>
      </x:c>
    </x:row>
    <x:row r="2112" ht="18" customHeight="1">
      <x:c r="A2112" s="13" t="n">
        <x:v>45784</x:v>
      </x:c>
      <x:c r="B2112" s="12" t="n">
        <x:v>3831.627</x:v>
      </x:c>
      <x:c r="C2112" s="12" t="n">
        <x:v>3808.5424</x:v>
      </x:c>
      <x:c r="D2112" s="12" t="n">
        <x:v>0.6061</x:v>
      </x:c>
      <x:c r="E2112" s="12" t="n">
        <x:v>0.006042973405624675</x:v>
      </x:c>
      <x:c r="F2112" s="12" t="n">
        <x:v>3.67</x:v>
      </x:c>
      <x:c r="G2112" s="12" t="n">
        <x:v>367</x:v>
      </x:c>
      <x:c r="H2112" s="12" t="n">
        <x:v>1</x:v>
      </x:c>
      <x:c r="I2112" s="12" t="str">
        <x:v>TuShare index_daily</x:v>
      </x:c>
      <x:c r="J2112" s="12" t="str">
        <x:v>FRED current rolling window</x:v>
      </x:c>
    </x:row>
    <x:row r="2113" ht="18" customHeight="1">
      <x:c r="A2113" s="13" t="n">
        <x:v>45785</x:v>
      </x:c>
      <x:c r="B2113" s="12" t="n">
        <x:v>3852.8963</x:v>
      </x:c>
      <x:c r="C2113" s="12" t="n">
        <x:v>3831.627</x:v>
      </x:c>
      <x:c r="D2113" s="12" t="n">
        <x:v>0.5551</x:v>
      </x:c>
      <x:c r="E2113" s="12" t="n">
        <x:v>0.005535634022564487</x:v>
      </x:c>
      <x:c r="F2113" s="12" t="n">
        <x:v>3.51</x:v>
      </x:c>
      <x:c r="G2113" s="12" t="n">
        <x:v>351</x:v>
      </x:c>
      <x:c r="H2113" s="12" t="n">
        <x:v>-16</x:v>
      </x:c>
      <x:c r="I2113" s="12" t="str">
        <x:v>TuShare index_daily</x:v>
      </x:c>
      <x:c r="J2113" s="12" t="str">
        <x:v>FRED current rolling window</x:v>
      </x:c>
    </x:row>
    <x:row r="2114" ht="18" customHeight="1">
      <x:c r="A2114" s="13" t="n">
        <x:v>45786</x:v>
      </x:c>
      <x:c r="B2114" s="12" t="n">
        <x:v>3846.1566</x:v>
      </x:c>
      <x:c r="C2114" s="12" t="n">
        <x:v>3852.8963</x:v>
      </x:c>
      <x:c r="D2114" s="12" t="n">
        <x:v>-0.1749</x:v>
      </x:c>
      <x:c r="E2114" s="12" t="n">
        <x:v>-0.00175078722256223</x:v>
      </x:c>
      <x:c r="F2114" s="12" t="n">
        <x:v>3.53</x:v>
      </x:c>
      <x:c r="G2114" s="12" t="n">
        <x:v>353</x:v>
      </x:c>
      <x:c r="H2114" s="12" t="n">
        <x:v>2</x:v>
      </x:c>
      <x:c r="I2114" s="12" t="str">
        <x:v>TuShare index_daily</x:v>
      </x:c>
      <x:c r="J2114" s="12" t="str">
        <x:v>FRED current rolling window</x:v>
      </x:c>
    </x:row>
    <x:row r="2115" ht="18" customHeight="1">
      <x:c r="A2115" s="13" t="n">
        <x:v>45789</x:v>
      </x:c>
      <x:c r="B2115" s="12" t="n">
        <x:v>3890.6096</x:v>
      </x:c>
      <x:c r="C2115" s="12" t="n">
        <x:v>3846.1566</x:v>
      </x:c>
      <x:c r="D2115" s="12" t="n">
        <x:v>1.1558</x:v>
      </x:c>
      <x:c r="E2115" s="12" t="n">
        <x:v>0.011491490897917114</x:v>
      </x:c>
      <x:c r="F2115" s="12" t="n">
        <x:v>3.15</x:v>
      </x:c>
      <x:c r="G2115" s="12" t="n">
        <x:v>315</x:v>
      </x:c>
      <x:c r="H2115" s="12" t="n">
        <x:v>-38</x:v>
      </x:c>
      <x:c r="I2115" s="12" t="str">
        <x:v>TuShare index_daily</x:v>
      </x:c>
      <x:c r="J2115" s="12" t="str">
        <x:v>FRED current rolling window</x:v>
      </x:c>
    </x:row>
    <x:row r="2116" ht="18" customHeight="1">
      <x:c r="A2116" s="13" t="n">
        <x:v>45790</x:v>
      </x:c>
      <x:c r="B2116" s="12" t="n">
        <x:v>3896.2583</x:v>
      </x:c>
      <x:c r="C2116" s="12" t="n">
        <x:v>3890.6096</x:v>
      </x:c>
      <x:c r="D2116" s="12" t="n">
        <x:v>0.1452</x:v>
      </x:c>
      <x:c r="E2116" s="12" t="n">
        <x:v>0.0014508274863194843</x:v>
      </x:c>
      <x:c r="F2116" s="12" t="n">
        <x:v>3.09</x:v>
      </x:c>
      <x:c r="G2116" s="12" t="n">
        <x:v>309</x:v>
      </x:c>
      <x:c r="H2116" s="12" t="n">
        <x:v>-6</x:v>
      </x:c>
      <x:c r="I2116" s="12" t="str">
        <x:v>TuShare index_daily</x:v>
      </x:c>
      <x:c r="J2116" s="12" t="str">
        <x:v>FRED current rolling window</x:v>
      </x:c>
    </x:row>
    <x:row r="2117" ht="18" customHeight="1">
      <x:c r="A2117" s="13" t="n">
        <x:v>45791</x:v>
      </x:c>
      <x:c r="B2117" s="12" t="n">
        <x:v>3943.2108</x:v>
      </x:c>
      <x:c r="C2117" s="12" t="n">
        <x:v>3896.2583</x:v>
      </x:c>
      <x:c r="D2117" s="12" t="n">
        <x:v>1.2051</x:v>
      </x:c>
      <x:c r="E2117" s="12" t="n">
        <x:v>0.0119786329469608</x:v>
      </x:c>
      <x:c r="F2117" s="12" t="n">
        <x:v>3.1</x:v>
      </x:c>
      <x:c r="G2117" s="12" t="n">
        <x:v>310</x:v>
      </x:c>
      <x:c r="H2117" s="12" t="n">
        <x:v>1</x:v>
      </x:c>
      <x:c r="I2117" s="12" t="str">
        <x:v>TuShare index_daily</x:v>
      </x:c>
      <x:c r="J2117" s="12" t="str">
        <x:v>FRED current rolling window</x:v>
      </x:c>
    </x:row>
    <x:row r="2118" ht="18" customHeight="1">
      <x:c r="A2118" s="13" t="n">
        <x:v>45792</x:v>
      </x:c>
      <x:c r="B2118" s="12" t="n">
        <x:v>3907.1992</x:v>
      </x:c>
      <x:c r="C2118" s="12" t="n">
        <x:v>3943.2108</x:v>
      </x:c>
      <x:c r="D2118" s="12" t="n">
        <x:v>-0.9133</x:v>
      </x:c>
      <x:c r="E2118" s="12" t="n">
        <x:v>-0.009174515113527595</x:v>
      </x:c>
      <x:c r="F2118" s="12" t="n">
        <x:v>3.2</x:v>
      </x:c>
      <x:c r="G2118" s="12" t="n">
        <x:v>320</x:v>
      </x:c>
      <x:c r="H2118" s="12" t="n">
        <x:v>10</x:v>
      </x:c>
      <x:c r="I2118" s="12" t="str">
        <x:v>TuShare index_daily</x:v>
      </x:c>
      <x:c r="J2118" s="12" t="str">
        <x:v>FRED current rolling window</x:v>
      </x:c>
    </x:row>
    <x:row r="2119" ht="18" customHeight="1">
      <x:c r="A2119" s="13" t="n">
        <x:v>45793</x:v>
      </x:c>
      <x:c r="B2119" s="12" t="n">
        <x:v>3889.0854</x:v>
      </x:c>
      <x:c r="C2119" s="12" t="n">
        <x:v>3907.1992</x:v>
      </x:c>
      <x:c r="D2119" s="12" t="n">
        <x:v>-0.4636</x:v>
      </x:c>
      <x:c r="E2119" s="12" t="n">
        <x:v>-0.004646785878926658</x:v>
      </x:c>
      <x:c r="F2119" s="12" t="n">
        <x:v>3.16</x:v>
      </x:c>
      <x:c r="G2119" s="12" t="n">
        <x:v>316</x:v>
      </x:c>
      <x:c r="H2119" s="12" t="n">
        <x:v>-4</x:v>
      </x:c>
      <x:c r="I2119" s="12" t="str">
        <x:v>TuShare index_daily</x:v>
      </x:c>
      <x:c r="J2119" s="12" t="str">
        <x:v>FRED current rolling window</x:v>
      </x:c>
    </x:row>
    <x:row r="2120" ht="18" customHeight="1">
      <x:c r="A2120" s="13" t="n">
        <x:v>45796</x:v>
      </x:c>
      <x:c r="B2120" s="12" t="n">
        <x:v>3877.1453</x:v>
      </x:c>
      <x:c r="C2120" s="12" t="n">
        <x:v>3889.0854</x:v>
      </x:c>
      <x:c r="D2120" s="12" t="n">
        <x:v>-0.307</x:v>
      </x:c>
      <x:c r="E2120" s="12" t="n">
        <x:v>-0.0030748788875620053</x:v>
      </x:c>
      <x:c r="F2120" s="12" t="n">
        <x:v>3.21</x:v>
      </x:c>
      <x:c r="G2120" s="12" t="n">
        <x:v>321</x:v>
      </x:c>
      <x:c r="H2120" s="12" t="n">
        <x:v>5</x:v>
      </x:c>
      <x:c r="I2120" s="12" t="str">
        <x:v>TuShare index_daily</x:v>
      </x:c>
      <x:c r="J2120" s="12" t="str">
        <x:v>FRED current rolling window</x:v>
      </x:c>
    </x:row>
    <x:row r="2121" ht="18" customHeight="1">
      <x:c r="A2121" s="13" t="n">
        <x:v>45797</x:v>
      </x:c>
      <x:c r="B2121" s="12" t="n">
        <x:v>3898.1705</x:v>
      </x:c>
      <x:c r="C2121" s="12" t="n">
        <x:v>3877.1453</x:v>
      </x:c>
      <x:c r="D2121" s="12" t="n">
        <x:v>0.5423</x:v>
      </x:c>
      <x:c r="E2121" s="12" t="n">
        <x:v>0.005408205090934483</x:v>
      </x:c>
      <x:c r="F2121" s="12" t="n">
        <x:v>3.2</x:v>
      </x:c>
      <x:c r="G2121" s="12" t="n">
        <x:v>320</x:v>
      </x:c>
      <x:c r="H2121" s="12" t="n">
        <x:v>-1</x:v>
      </x:c>
      <x:c r="I2121" s="12" t="str">
        <x:v>TuShare index_daily</x:v>
      </x:c>
      <x:c r="J2121" s="12" t="str">
        <x:v>FRED current rolling window</x:v>
      </x:c>
    </x:row>
    <x:row r="2122" ht="18" customHeight="1">
      <x:c r="A2122" s="13" t="n">
        <x:v>45798</x:v>
      </x:c>
      <x:c r="B2122" s="12" t="n">
        <x:v>3916.3807</x:v>
      </x:c>
      <x:c r="C2122" s="12" t="n">
        <x:v>3898.1705</x:v>
      </x:c>
      <x:c r="D2122" s="12" t="n">
        <x:v>0.4671</x:v>
      </x:c>
      <x:c r="E2122" s="12" t="n">
        <x:v>0.0046605959820707294</x:v>
      </x:c>
      <x:c r="F2122" s="12" t="n">
        <x:v>3.25</x:v>
      </x:c>
      <x:c r="G2122" s="12" t="n">
        <x:v>325</x:v>
      </x:c>
      <x:c r="H2122" s="12" t="n">
        <x:v>5</x:v>
      </x:c>
      <x:c r="I2122" s="12" t="str">
        <x:v>TuShare index_daily</x:v>
      </x:c>
      <x:c r="J2122" s="12" t="str">
        <x:v>FRED current rolling window</x:v>
      </x:c>
    </x:row>
    <x:row r="2123" ht="18" customHeight="1">
      <x:c r="A2123" s="13" t="n">
        <x:v>45799</x:v>
      </x:c>
      <x:c r="B2123" s="12" t="n">
        <x:v>3913.8651</x:v>
      </x:c>
      <x:c r="C2123" s="12" t="n">
        <x:v>3916.3807</x:v>
      </x:c>
      <x:c r="D2123" s="12" t="n">
        <x:v>-0.0642</x:v>
      </x:c>
      <x:c r="E2123" s="12" t="n">
        <x:v>-0.0006425341300390055</x:v>
      </x:c>
      <x:c r="F2123" s="12" t="n">
        <x:v>3.32</x:v>
      </x:c>
      <x:c r="G2123" s="12" t="n">
        <x:v>332</x:v>
      </x:c>
      <x:c r="H2123" s="12" t="n">
        <x:v>7</x:v>
      </x:c>
      <x:c r="I2123" s="12" t="str">
        <x:v>TuShare index_daily</x:v>
      </x:c>
      <x:c r="J2123" s="12" t="str">
        <x:v>FRED current rolling window</x:v>
      </x:c>
    </x:row>
    <x:row r="2124" ht="18" customHeight="1">
      <x:c r="A2124" s="13" t="n">
        <x:v>45800</x:v>
      </x:c>
      <x:c r="B2124" s="12" t="n">
        <x:v>3882.2741</x:v>
      </x:c>
      <x:c r="C2124" s="12" t="n">
        <x:v>3913.8651</x:v>
      </x:c>
      <x:c r="D2124" s="12" t="n">
        <x:v>-0.8072</x:v>
      </x:c>
      <x:c r="E2124" s="12" t="n">
        <x:v>-0.00810431217224979</x:v>
      </x:c>
      <x:c r="F2124" s="12" t="n">
        <x:v>3.4</x:v>
      </x:c>
      <x:c r="G2124" s="12" t="n">
        <x:v>340</x:v>
      </x:c>
      <x:c r="H2124" s="12" t="n">
        <x:v>8</x:v>
      </x:c>
      <x:c r="I2124" s="12" t="str">
        <x:v>TuShare index_daily</x:v>
      </x:c>
      <x:c r="J2124" s="12" t="str">
        <x:v>FRED current rolling window</x:v>
      </x:c>
    </x:row>
    <x:row r="2125" ht="18" customHeight="1">
      <x:c r="A2125" s="13" t="n">
        <x:v>45803</x:v>
      </x:c>
      <x:c r="B2125" s="12" t="n">
        <x:v>3860.1067</x:v>
      </x:c>
      <x:c r="C2125" s="12" t="n">
        <x:v>3882.2741</x:v>
      </x:c>
      <x:c r="D2125" s="12" t="n">
        <x:v>-0.571</x:v>
      </x:c>
      <x:c r="E2125" s="12" t="n">
        <x:v>-0.005726264606510733</x:v>
      </x:c>
      <x:c r="F2125" s="12" t="n">
        <x:v>3.4</x:v>
      </x:c>
      <x:c r="G2125" s="12" t="n">
        <x:v>340</x:v>
      </x:c>
      <x:c r="H2125" s="12" t="n">
        <x:v>0</x:v>
      </x:c>
      <x:c r="I2125" s="12" t="str">
        <x:v>TuShare index_daily</x:v>
      </x:c>
      <x:c r="J2125" s="12" t="str">
        <x:v>FRED current rolling window</x:v>
      </x:c>
    </x:row>
    <x:row r="2126" ht="18" customHeight="1">
      <x:c r="A2126" s="13" t="n">
        <x:v>45804</x:v>
      </x:c>
      <x:c r="B2126" s="12" t="n">
        <x:v>3839.3969</x:v>
      </x:c>
      <x:c r="C2126" s="12" t="n">
        <x:v>3860.1067</x:v>
      </x:c>
      <x:c r="D2126" s="12" t="n">
        <x:v>-0.5365</x:v>
      </x:c>
      <x:c r="E2126" s="12" t="n">
        <x:v>-0.005379528608558668</x:v>
      </x:c>
      <x:c r="F2126" s="12" t="n">
        <x:v>3.24</x:v>
      </x:c>
      <x:c r="G2126" s="12" t="n">
        <x:v>324</x:v>
      </x:c>
      <x:c r="H2126" s="12" t="n">
        <x:v>-16</x:v>
      </x:c>
      <x:c r="I2126" s="12" t="str">
        <x:v>TuShare index_daily</x:v>
      </x:c>
      <x:c r="J2126" s="12" t="str">
        <x:v>FRED current rolling window</x:v>
      </x:c>
    </x:row>
    <x:row r="2127" ht="18" customHeight="1">
      <x:c r="A2127" s="13" t="n">
        <x:v>45805</x:v>
      </x:c>
      <x:c r="B2127" s="12" t="n">
        <x:v>3836.2366</x:v>
      </x:c>
      <x:c r="C2127" s="12" t="n">
        <x:v>3839.3969</x:v>
      </x:c>
      <x:c r="D2127" s="12" t="n">
        <x:v>-0.0823</x:v>
      </x:c>
      <x:c r="E2127" s="12" t="n">
        <x:v>-0.0008234630219332806</x:v>
      </x:c>
      <x:c r="F2127" s="12" t="n">
        <x:v>3.23</x:v>
      </x:c>
      <x:c r="G2127" s="12" t="n">
        <x:v>323</x:v>
      </x:c>
      <x:c r="H2127" s="12" t="n">
        <x:v>-1</x:v>
      </x:c>
      <x:c r="I2127" s="12" t="str">
        <x:v>TuShare index_daily</x:v>
      </x:c>
      <x:c r="J2127" s="12" t="str">
        <x:v>FRED current rolling window</x:v>
      </x:c>
    </x:row>
    <x:row r="2128" ht="18" customHeight="1">
      <x:c r="A2128" s="13" t="n">
        <x:v>45806</x:v>
      </x:c>
      <x:c r="B2128" s="12" t="n">
        <x:v>3858.6998</x:v>
      </x:c>
      <x:c r="C2128" s="12" t="n">
        <x:v>3836.2366</x:v>
      </x:c>
      <x:c r="D2128" s="12" t="n">
        <x:v>0.5856</x:v>
      </x:c>
      <x:c r="E2128" s="12" t="n">
        <x:v>0.005838453404127622</x:v>
      </x:c>
      <x:c r="F2128" s="12" t="n">
        <x:v>3.22</x:v>
      </x:c>
      <x:c r="G2128" s="12" t="n">
        <x:v>322</x:v>
      </x:c>
      <x:c r="H2128" s="12" t="n">
        <x:v>-1</x:v>
      </x:c>
      <x:c r="I2128" s="12" t="str">
        <x:v>TuShare index_daily</x:v>
      </x:c>
      <x:c r="J2128" s="12" t="str">
        <x:v>FRED current rolling window</x:v>
      </x:c>
    </x:row>
    <x:row r="2129" ht="18" customHeight="1">
      <x:c r="A2129" s="13" t="n">
        <x:v>45807</x:v>
      </x:c>
      <x:c r="B2129" s="12" t="n">
        <x:v>3840.2323</x:v>
      </x:c>
      <x:c r="C2129" s="12" t="n">
        <x:v>3858.6998</x:v>
      </x:c>
      <x:c r="D2129" s="12" t="n">
        <x:v>-0.4786</x:v>
      </x:c>
      <x:c r="E2129" s="12" t="n">
        <x:v>-0.004797427793809138</x:v>
      </x:c>
      <x:c r="F2129" s="12" t="n">
        <x:v>3.31</x:v>
      </x:c>
      <x:c r="G2129" s="12" t="n">
        <x:v>331</x:v>
      </x:c>
      <x:c r="H2129" s="12" t="n">
        <x:v>9</x:v>
      </x:c>
      <x:c r="I2129" s="12" t="str">
        <x:v>TuShare index_daily</x:v>
      </x:c>
      <x:c r="J2129" s="12" t="str">
        <x:v>FRED current rolling window</x:v>
      </x:c>
    </x:row>
    <x:row r="2130" ht="18" customHeight="1">
      <x:c r="A2130" s="13" t="n">
        <x:v>45811</x:v>
      </x:c>
      <x:c r="B2130" s="12" t="n">
        <x:v>3852.0127</x:v>
      </x:c>
      <x:c r="C2130" s="12" t="n">
        <x:v>3840.2323</x:v>
      </x:c>
      <x:c r="D2130" s="12" t="n">
        <x:v>0.3068</x:v>
      </x:c>
      <x:c r="E2130" s="12" t="n">
        <x:v>0.003062931357455309</x:v>
      </x:c>
      <x:c r="F2130" s="12" t="n">
        <x:v>3.19</x:v>
      </x:c>
      <x:c r="G2130" s="12" t="n">
        <x:v>319</x:v>
      </x:c>
      <x:c r="H2130" s="12" t="n">
        <x:v>-8</x:v>
      </x:c>
      <x:c r="I2130" s="12" t="str">
        <x:v>TuShare index_daily</x:v>
      </x:c>
      <x:c r="J2130" s="12" t="str">
        <x:v>FRED current rolling window</x:v>
      </x:c>
    </x:row>
    <x:row r="2131" ht="18" customHeight="1">
      <x:c r="A2131" s="13" t="n">
        <x:v>45812</x:v>
      </x:c>
      <x:c r="B2131" s="12" t="n">
        <x:v>3868.7429</x:v>
      </x:c>
      <x:c r="C2131" s="12" t="n">
        <x:v>3852.0127</x:v>
      </x:c>
      <x:c r="D2131" s="12" t="n">
        <x:v>0.4343</x:v>
      </x:c>
      <x:c r="E2131" s="12" t="n">
        <x:v>0.004333831311970103</x:v>
      </x:c>
      <x:c r="F2131" s="12" t="n">
        <x:v>3.23</x:v>
      </x:c>
      <x:c r="G2131" s="12" t="n">
        <x:v>323</x:v>
      </x:c>
      <x:c r="H2131" s="12" t="n">
        <x:v>4</x:v>
      </x:c>
      <x:c r="I2131" s="12" t="str">
        <x:v>TuShare index_daily</x:v>
      </x:c>
      <x:c r="J2131" s="12" t="str">
        <x:v>FRED current rolling window</x:v>
      </x:c>
    </x:row>
    <x:row r="2132" ht="18" customHeight="1">
      <x:c r="A2132" s="13" t="n">
        <x:v>45813</x:v>
      </x:c>
      <x:c r="B2132" s="12" t="n">
        <x:v>3877.5557</x:v>
      </x:c>
      <x:c r="C2132" s="12" t="n">
        <x:v>3868.7429</x:v>
      </x:c>
      <x:c r="D2132" s="12" t="n">
        <x:v>0.2278</x:v>
      </x:c>
      <x:c r="E2132" s="12" t="n">
        <x:v>0.002275358660244949</x:v>
      </x:c>
      <x:c r="F2132" s="12" t="n">
        <x:v>3.18</x:v>
      </x:c>
      <x:c r="G2132" s="12" t="n">
        <x:v>318</x:v>
      </x:c>
      <x:c r="H2132" s="12" t="n">
        <x:v>-5</x:v>
      </x:c>
      <x:c r="I2132" s="12" t="str">
        <x:v>TuShare index_daily</x:v>
      </x:c>
      <x:c r="J2132" s="12" t="str">
        <x:v>FRED current rolling window</x:v>
      </x:c>
    </x:row>
    <x:row r="2133" ht="18" customHeight="1">
      <x:c r="A2133" s="13" t="n">
        <x:v>45814</x:v>
      </x:c>
      <x:c r="B2133" s="12" t="n">
        <x:v>3873.9841</x:v>
      </x:c>
      <x:c r="C2133" s="12" t="n">
        <x:v>3877.5557</x:v>
      </x:c>
      <x:c r="D2133" s="12" t="n">
        <x:v>-0.0921</x:v>
      </x:c>
      <x:c r="E2133" s="12" t="n">
        <x:v>-0.0009215201998316871</x:v>
      </x:c>
      <x:c r="F2133" s="12" t="n">
        <x:v>3.09</x:v>
      </x:c>
      <x:c r="G2133" s="12" t="n">
        <x:v>309</x:v>
      </x:c>
      <x:c r="H2133" s="12" t="n">
        <x:v>-9</x:v>
      </x:c>
      <x:c r="I2133" s="12" t="str">
        <x:v>TuShare index_daily</x:v>
      </x:c>
      <x:c r="J2133" s="12" t="str">
        <x:v>FRED current rolling window</x:v>
      </x:c>
    </x:row>
    <x:row r="2134" ht="18" customHeight="1">
      <x:c r="A2134" s="13" t="n">
        <x:v>45817</x:v>
      </x:c>
      <x:c r="B2134" s="12" t="n">
        <x:v>3885.2459</x:v>
      </x:c>
      <x:c r="C2134" s="12" t="n">
        <x:v>3873.9841</x:v>
      </x:c>
      <x:c r="D2134" s="12" t="n">
        <x:v>0.2907</x:v>
      </x:c>
      <x:c r="E2134" s="12" t="n">
        <x:v>0.0029028158484742258</x:v>
      </x:c>
      <x:c r="F2134" s="12" t="n">
        <x:v>3.12</x:v>
      </x:c>
      <x:c r="G2134" s="12" t="n">
        <x:v>312</x:v>
      </x:c>
      <x:c r="H2134" s="12" t="n">
        <x:v>3</x:v>
      </x:c>
      <x:c r="I2134" s="12" t="str">
        <x:v>TuShare index_daily</x:v>
      </x:c>
      <x:c r="J2134" s="12" t="str">
        <x:v>FRED current rolling window</x:v>
      </x:c>
    </x:row>
    <x:row r="2135" ht="18" customHeight="1">
      <x:c r="A2135" s="13" t="n">
        <x:v>45818</x:v>
      </x:c>
      <x:c r="B2135" s="12" t="n">
        <x:v>3865.4652</x:v>
      </x:c>
      <x:c r="C2135" s="12" t="n">
        <x:v>3885.2459</x:v>
      </x:c>
      <x:c r="D2135" s="12" t="n">
        <x:v>-0.5091</x:v>
      </x:c>
      <x:c r="E2135" s="12" t="n">
        <x:v>-0.005104239518348043</x:v>
      </x:c>
      <x:c r="F2135" s="12" t="n">
        <x:v>3.12</x:v>
      </x:c>
      <x:c r="G2135" s="12" t="n">
        <x:v>312</x:v>
      </x:c>
      <x:c r="H2135" s="12" t="n">
        <x:v>0</x:v>
      </x:c>
      <x:c r="I2135" s="12" t="str">
        <x:v>TuShare index_daily</x:v>
      </x:c>
      <x:c r="J2135" s="12" t="str">
        <x:v>FRED current rolling window</x:v>
      </x:c>
    </x:row>
    <x:row r="2136" ht="18" customHeight="1">
      <x:c r="A2136" s="13" t="n">
        <x:v>45819</x:v>
      </x:c>
      <x:c r="B2136" s="12" t="n">
        <x:v>3894.6252</x:v>
      </x:c>
      <x:c r="C2136" s="12" t="n">
        <x:v>3865.4652</x:v>
      </x:c>
      <x:c r="D2136" s="12" t="n">
        <x:v>0.7544</x:v>
      </x:c>
      <x:c r="E2136" s="12" t="n">
        <x:v>0.00751541174048836</x:v>
      </x:c>
      <x:c r="F2136" s="12" t="n">
        <x:v>3.12</x:v>
      </x:c>
      <x:c r="G2136" s="12" t="n">
        <x:v>312</x:v>
      </x:c>
      <x:c r="H2136" s="12" t="n">
        <x:v>0</x:v>
      </x:c>
      <x:c r="I2136" s="12" t="str">
        <x:v>TuShare index_daily</x:v>
      </x:c>
      <x:c r="J2136" s="12" t="str">
        <x:v>FRED current rolling window</x:v>
      </x:c>
    </x:row>
    <x:row r="2137" ht="18" customHeight="1">
      <x:c r="A2137" s="13" t="n">
        <x:v>45820</x:v>
      </x:c>
      <x:c r="B2137" s="12" t="n">
        <x:v>3892.1992</x:v>
      </x:c>
      <x:c r="C2137" s="12" t="n">
        <x:v>3894.6252</x:v>
      </x:c>
      <x:c r="D2137" s="12" t="n">
        <x:v>-0.0623</x:v>
      </x:c>
      <x:c r="E2137" s="12" t="n">
        <x:v>-0.0006231038363964183</x:v>
      </x:c>
      <x:c r="F2137" s="12" t="n">
        <x:v>3.17</x:v>
      </x:c>
      <x:c r="G2137" s="12" t="n">
        <x:v>317</x:v>
      </x:c>
      <x:c r="H2137" s="12" t="n">
        <x:v>5</x:v>
      </x:c>
      <x:c r="I2137" s="12" t="str">
        <x:v>TuShare index_daily</x:v>
      </x:c>
      <x:c r="J2137" s="12" t="str">
        <x:v>FRED current rolling window</x:v>
      </x:c>
    </x:row>
    <x:row r="2138" ht="18" customHeight="1">
      <x:c r="A2138" s="13" t="n">
        <x:v>45821</x:v>
      </x:c>
      <x:c r="B2138" s="12" t="n">
        <x:v>3864.1822</x:v>
      </x:c>
      <x:c r="C2138" s="12" t="n">
        <x:v>3892.1992</x:v>
      </x:c>
      <x:c r="D2138" s="12" t="n">
        <x:v>-0.7198</x:v>
      </x:c>
      <x:c r="E2138" s="12" t="n">
        <x:v>-0.007224276477919164</x:v>
      </x:c>
      <x:c r="F2138" s="12" t="n">
        <x:v>3.18</x:v>
      </x:c>
      <x:c r="G2138" s="12" t="n">
        <x:v>318</x:v>
      </x:c>
      <x:c r="H2138" s="12" t="n">
        <x:v>1</x:v>
      </x:c>
      <x:c r="I2138" s="12" t="str">
        <x:v>TuShare index_daily</x:v>
      </x:c>
      <x:c r="J2138" s="12" t="str">
        <x:v>FRED current rolling window</x:v>
      </x:c>
    </x:row>
    <x:row r="2139" ht="18" customHeight="1">
      <x:c r="A2139" s="13" t="n">
        <x:v>45824</x:v>
      </x:c>
      <x:c r="B2139" s="12" t="n">
        <x:v>3873.7951</x:v>
      </x:c>
      <x:c r="C2139" s="12" t="n">
        <x:v>3864.1822</x:v>
      </x:c>
      <x:c r="D2139" s="12" t="n">
        <x:v>0.2488</x:v>
      </x:c>
      <x:c r="E2139" s="12" t="n">
        <x:v>0.002484604069655626</x:v>
      </x:c>
      <x:c r="F2139" s="12" t="n">
        <x:v>3.1</x:v>
      </x:c>
      <x:c r="G2139" s="12" t="n">
        <x:v>310</x:v>
      </x:c>
      <x:c r="H2139" s="12" t="n">
        <x:v>-8</x:v>
      </x:c>
      <x:c r="I2139" s="12" t="str">
        <x:v>TuShare index_daily</x:v>
      </x:c>
      <x:c r="J2139" s="12" t="str">
        <x:v>FRED current rolling window</x:v>
      </x:c>
    </x:row>
    <x:row r="2140" ht="18" customHeight="1">
      <x:c r="A2140" s="13" t="n">
        <x:v>45825</x:v>
      </x:c>
      <x:c r="B2140" s="12" t="n">
        <x:v>3870.3786</x:v>
      </x:c>
      <x:c r="C2140" s="12" t="n">
        <x:v>3873.7951</x:v>
      </x:c>
      <x:c r="D2140" s="12" t="n">
        <x:v>-0.0882</x:v>
      </x:c>
      <x:c r="E2140" s="12" t="n">
        <x:v>-0.0008823408032937927</x:v>
      </x:c>
      <x:c r="F2140" s="12" t="n">
        <x:v>3.17</x:v>
      </x:c>
      <x:c r="G2140" s="12" t="n">
        <x:v>317</x:v>
      </x:c>
      <x:c r="H2140" s="12" t="n">
        <x:v>7</x:v>
      </x:c>
      <x:c r="I2140" s="12" t="str">
        <x:v>TuShare index_daily</x:v>
      </x:c>
      <x:c r="J2140" s="12" t="str">
        <x:v>FRED current rolling window</x:v>
      </x:c>
    </x:row>
    <x:row r="2141" ht="18" customHeight="1">
      <x:c r="A2141" s="13" t="n">
        <x:v>45826</x:v>
      </x:c>
      <x:c r="B2141" s="12" t="n">
        <x:v>3874.9708</x:v>
      </x:c>
      <x:c r="C2141" s="12" t="n">
        <x:v>3870.3786</x:v>
      </x:c>
      <x:c r="D2141" s="12" t="n">
        <x:v>0.1186</x:v>
      </x:c>
      <x:c r="E2141" s="12" t="n">
        <x:v>0.0011857955789820504</x:v>
      </x:c>
      <x:c r="F2141" s="12" t="n">
        <x:v>3.16</x:v>
      </x:c>
      <x:c r="G2141" s="12" t="n">
        <x:v>316</x:v>
      </x:c>
      <x:c r="H2141" s="12" t="n">
        <x:v>-1</x:v>
      </x:c>
      <x:c r="I2141" s="12" t="str">
        <x:v>TuShare index_daily</x:v>
      </x:c>
      <x:c r="J2141" s="12" t="str">
        <x:v>FRED current rolling window</x:v>
      </x:c>
    </x:row>
    <x:row r="2142" ht="18" customHeight="1">
      <x:c r="A2142" s="13" t="n">
        <x:v>45827</x:v>
      </x:c>
      <x:c r="B2142" s="12" t="n">
        <x:v>3843.0912</x:v>
      </x:c>
      <x:c r="C2142" s="12" t="n">
        <x:v>3874.9708</x:v>
      </x:c>
      <x:c r="D2142" s="12" t="n">
        <x:v>-0.8227</x:v>
      </x:c>
      <x:c r="E2142" s="12" t="n">
        <x:v>-0.008261084532130274</x:v>
      </x:c>
      <x:c r="F2142" s="12" t="n">
        <x:v>3.16</x:v>
      </x:c>
      <x:c r="G2142" s="12" t="n">
        <x:v>316</x:v>
      </x:c>
      <x:c r="H2142" s="12" t="n">
        <x:v>0</x:v>
      </x:c>
      <x:c r="I2142" s="12" t="str">
        <x:v>TuShare index_daily</x:v>
      </x:c>
      <x:c r="J2142" s="12" t="str">
        <x:v>FRED current rolling window</x:v>
      </x:c>
    </x:row>
    <x:row r="2143" ht="18" customHeight="1">
      <x:c r="A2143" s="13" t="n">
        <x:v>45828</x:v>
      </x:c>
      <x:c r="B2143" s="12" t="n">
        <x:v>3846.6443</x:v>
      </x:c>
      <x:c r="C2143" s="12" t="n">
        <x:v>3843.0912</x:v>
      </x:c>
      <x:c r="D2143" s="12" t="n">
        <x:v>0.0925</x:v>
      </x:c>
      <x:c r="E2143" s="12" t="n">
        <x:v>0.0009241150759630508</x:v>
      </x:c>
      <x:c r="F2143" s="12" t="n">
        <x:v>3.13</x:v>
      </x:c>
      <x:c r="G2143" s="12" t="n">
        <x:v>313</x:v>
      </x:c>
      <x:c r="H2143" s="12" t="n">
        <x:v>-3</x:v>
      </x:c>
      <x:c r="I2143" s="12" t="str">
        <x:v>TuShare index_daily</x:v>
      </x:c>
      <x:c r="J2143" s="12" t="str">
        <x:v>FRED current rolling window</x:v>
      </x:c>
    </x:row>
    <x:row r="2144" ht="18" customHeight="1">
      <x:c r="A2144" s="13" t="n">
        <x:v>45831</x:v>
      </x:c>
      <x:c r="B2144" s="12" t="n">
        <x:v>3857.9016</x:v>
      </x:c>
      <x:c r="C2144" s="12" t="n">
        <x:v>3846.6443</x:v>
      </x:c>
      <x:c r="D2144" s="12" t="n">
        <x:v>0.2927</x:v>
      </x:c>
      <x:c r="E2144" s="12" t="n">
        <x:v>0.0029222508781529557</x:v>
      </x:c>
      <x:c r="F2144" s="12" t="n">
        <x:v>3.12</x:v>
      </x:c>
      <x:c r="G2144" s="12" t="n">
        <x:v>312</x:v>
      </x:c>
      <x:c r="H2144" s="12" t="n">
        <x:v>-1</x:v>
      </x:c>
      <x:c r="I2144" s="12" t="str">
        <x:v>TuShare index_daily</x:v>
      </x:c>
      <x:c r="J2144" s="12" t="str">
        <x:v>FRED current rolling window</x:v>
      </x:c>
    </x:row>
    <x:row r="2145" ht="18" customHeight="1">
      <x:c r="A2145" s="13" t="n">
        <x:v>45832</x:v>
      </x:c>
      <x:c r="B2145" s="12" t="n">
        <x:v>3904.0342</x:v>
      </x:c>
      <x:c r="C2145" s="12" t="n">
        <x:v>3857.9016</x:v>
      </x:c>
      <x:c r="D2145" s="12" t="n">
        <x:v>1.1958</x:v>
      </x:c>
      <x:c r="E2145" s="12" t="n">
        <x:v>0.011887020043343742</x:v>
      </x:c>
      <x:c r="F2145" s="12" t="n">
        <x:v>3.06</x:v>
      </x:c>
      <x:c r="G2145" s="12" t="n">
        <x:v>306</x:v>
      </x:c>
      <x:c r="H2145" s="12" t="n">
        <x:v>-6</x:v>
      </x:c>
      <x:c r="I2145" s="12" t="str">
        <x:v>TuShare index_daily</x:v>
      </x:c>
      <x:c r="J2145" s="12" t="str">
        <x:v>FRED current rolling window</x:v>
      </x:c>
    </x:row>
    <x:row r="2146" ht="18" customHeight="1">
      <x:c r="A2146" s="13" t="n">
        <x:v>45833</x:v>
      </x:c>
      <x:c r="B2146" s="12" t="n">
        <x:v>3960.0662</x:v>
      </x:c>
      <x:c r="C2146" s="12" t="n">
        <x:v>3904.0342</x:v>
      </x:c>
      <x:c r="D2146" s="12" t="n">
        <x:v>1.4352</x:v>
      </x:c>
      <x:c r="E2146" s="12" t="n">
        <x:v>0.014250313539999039</x:v>
      </x:c>
      <x:c r="F2146" s="12" t="n">
        <x:v>3.04</x:v>
      </x:c>
      <x:c r="G2146" s="12" t="n">
        <x:v>304</x:v>
      </x:c>
      <x:c r="H2146" s="12" t="n">
        <x:v>-2</x:v>
      </x:c>
      <x:c r="I2146" s="12" t="str">
        <x:v>TuShare index_daily</x:v>
      </x:c>
      <x:c r="J2146" s="12" t="str">
        <x:v>FRED current rolling window</x:v>
      </x:c>
    </x:row>
    <x:row r="2147" ht="18" customHeight="1">
      <x:c r="A2147" s="13" t="n">
        <x:v>45834</x:v>
      </x:c>
      <x:c r="B2147" s="12" t="n">
        <x:v>3946.0195</x:v>
      </x:c>
      <x:c r="C2147" s="12" t="n">
        <x:v>3960.0662</x:v>
      </x:c>
      <x:c r="D2147" s="12" t="n">
        <x:v>-0.3547</x:v>
      </x:c>
      <x:c r="E2147" s="12" t="n">
        <x:v>-0.003553392997035483</x:v>
      </x:c>
      <x:c r="F2147" s="12" t="n">
        <x:v>3.04</x:v>
      </x:c>
      <x:c r="G2147" s="12" t="n">
        <x:v>304</x:v>
      </x:c>
      <x:c r="H2147" s="12" t="n">
        <x:v>0</x:v>
      </x:c>
      <x:c r="I2147" s="12" t="str">
        <x:v>TuShare index_daily</x:v>
      </x:c>
      <x:c r="J2147" s="12" t="str">
        <x:v>FRED current rolling window</x:v>
      </x:c>
    </x:row>
    <x:row r="2148" ht="18" customHeight="1">
      <x:c r="A2148" s="13" t="n">
        <x:v>45835</x:v>
      </x:c>
      <x:c r="B2148" s="12" t="n">
        <x:v>3921.7578</x:v>
      </x:c>
      <x:c r="C2148" s="12" t="n">
        <x:v>3946.0195</x:v>
      </x:c>
      <x:c r="D2148" s="12" t="n">
        <x:v>-0.6148</x:v>
      </x:c>
      <x:c r="E2148" s="12" t="n">
        <x:v>-0.006167377641092893</x:v>
      </x:c>
      <x:c r="F2148" s="12" t="n">
        <x:v>3.02</x:v>
      </x:c>
      <x:c r="G2148" s="12" t="n">
        <x:v>302</x:v>
      </x:c>
      <x:c r="H2148" s="12" t="n">
        <x:v>-2</x:v>
      </x:c>
      <x:c r="I2148" s="12" t="str">
        <x:v>TuShare index_daily</x:v>
      </x:c>
      <x:c r="J2148" s="12" t="str">
        <x:v>FRED current rolling window</x:v>
      </x:c>
    </x:row>
    <x:row r="2149" ht="18" customHeight="1">
      <x:c r="A2149" s="13" t="n">
        <x:v>45838</x:v>
      </x:c>
      <x:c r="B2149" s="12" t="n">
        <x:v>3936.0791</x:v>
      </x:c>
      <x:c r="C2149" s="12" t="n">
        <x:v>3921.7578</x:v>
      </x:c>
      <x:c r="D2149" s="12" t="n">
        <x:v>0.3652</x:v>
      </x:c>
      <x:c r="E2149" s="12" t="n">
        <x:v>0.0036451038725418333</x:v>
      </x:c>
      <x:c r="F2149" s="12" t="n">
        <x:v>2.96</x:v>
      </x:c>
      <x:c r="G2149" s="12" t="n">
        <x:v>296</x:v>
      </x:c>
      <x:c r="H2149" s="12" t="n">
        <x:v>-6</x:v>
      </x:c>
      <x:c r="I2149" s="12" t="str">
        <x:v>TuShare index_daily</x:v>
      </x:c>
      <x:c r="J2149" s="12" t="str">
        <x:v>FRED current rolling window</x:v>
      </x:c>
    </x:row>
    <x:row r="2150" ht="18" customHeight="1">
      <x:c r="A2150" s="13" t="n">
        <x:v>45839</x:v>
      </x:c>
      <x:c r="B2150" s="12" t="n">
        <x:v>3942.762</x:v>
      </x:c>
      <x:c r="C2150" s="12" t="n">
        <x:v>3936.0791</x:v>
      </x:c>
      <x:c r="D2150" s="12" t="n">
        <x:v>0.1698</x:v>
      </x:c>
      <x:c r="E2150" s="12" t="n">
        <x:v>0.0016964174090751496</x:v>
      </x:c>
      <x:c r="F2150" s="12" t="n">
        <x:v>2.91</x:v>
      </x:c>
      <x:c r="G2150" s="12" t="n">
        <x:v>291</x:v>
      </x:c>
      <x:c r="H2150" s="12" t="n">
        <x:v>-5</x:v>
      </x:c>
      <x:c r="I2150" s="12" t="str">
        <x:v>TuShare index_daily</x:v>
      </x:c>
      <x:c r="J2150" s="12" t="str">
        <x:v>FRED current rolling window</x:v>
      </x:c>
    </x:row>
    <x:row r="2151" ht="18" customHeight="1">
      <x:c r="A2151" s="13" t="n">
        <x:v>45840</x:v>
      </x:c>
      <x:c r="B2151" s="12" t="n">
        <x:v>3943.6849</x:v>
      </x:c>
      <x:c r="C2151" s="12" t="n">
        <x:v>3942.762</x:v>
      </x:c>
      <x:c r="D2151" s="12" t="n">
        <x:v>0.0234</x:v>
      </x:c>
      <x:c r="E2151" s="12" t="n">
        <x:v>0.00023404709774001539</x:v>
      </x:c>
      <x:c r="F2151" s="12" t="n">
        <x:v>2.88</x:v>
      </x:c>
      <x:c r="G2151" s="12" t="n">
        <x:v>288</x:v>
      </x:c>
      <x:c r="H2151" s="12" t="n">
        <x:v>-3</x:v>
      </x:c>
      <x:c r="I2151" s="12" t="str">
        <x:v>TuShare index_daily</x:v>
      </x:c>
      <x:c r="J2151" s="12" t="str">
        <x:v>FRED current rolling window</x:v>
      </x:c>
    </x:row>
    <x:row r="2152" ht="18" customHeight="1">
      <x:c r="A2152" s="13" t="n">
        <x:v>45841</x:v>
      </x:c>
      <x:c r="B2152" s="12" t="n">
        <x:v>3968.0676</x:v>
      </x:c>
      <x:c r="C2152" s="12" t="n">
        <x:v>3943.6849</x:v>
      </x:c>
      <x:c r="D2152" s="12" t="n">
        <x:v>0.6183</x:v>
      </x:c>
      <x:c r="E2152" s="12" t="n">
        <x:v>0.006163685528228147</x:v>
      </x:c>
      <x:c r="F2152" s="12" t="n">
        <x:v>2.8</x:v>
      </x:c>
      <x:c r="G2152" s="12" t="n">
        <x:v>280</x:v>
      </x:c>
      <x:c r="H2152" s="12" t="n">
        <x:v>-8</x:v>
      </x:c>
      <x:c r="I2152" s="12" t="str">
        <x:v>TuShare index_daily</x:v>
      </x:c>
      <x:c r="J2152" s="12" t="str">
        <x:v>FRED current rolling window</x:v>
      </x:c>
    </x:row>
    <x:row r="2153" ht="18" customHeight="1">
      <x:c r="A2153" s="13" t="n">
        <x:v>45842</x:v>
      </x:c>
      <x:c r="B2153" s="12" t="n">
        <x:v>3982.2034</x:v>
      </x:c>
      <x:c r="C2153" s="12" t="n">
        <x:v>3968.0676</x:v>
      </x:c>
      <x:c r="D2153" s="12" t="n">
        <x:v>0.3562</x:v>
      </x:c>
      <x:c r="E2153" s="12" t="n">
        <x:v>0.00355605862900712</x:v>
      </x:c>
      <x:c r="F2153" s="12" t="n">
        <x:v>2.8</x:v>
      </x:c>
      <x:c r="G2153" s="12" t="n">
        <x:v>280</x:v>
      </x:c>
      <x:c r="H2153" s="12" t="n">
        <x:v>0</x:v>
      </x:c>
      <x:c r="I2153" s="12" t="str">
        <x:v>TuShare index_daily</x:v>
      </x:c>
      <x:c r="J2153" s="12" t="str">
        <x:v>FRED current rolling window</x:v>
      </x:c>
    </x:row>
    <x:row r="2154" ht="18" customHeight="1">
      <x:c r="A2154" s="13" t="n">
        <x:v>45845</x:v>
      </x:c>
      <x:c r="B2154" s="12" t="n">
        <x:v>3965.1746</x:v>
      </x:c>
      <x:c r="C2154" s="12" t="n">
        <x:v>3982.2034</x:v>
      </x:c>
      <x:c r="D2154" s="12" t="n">
        <x:v>-0.4276</x:v>
      </x:c>
      <x:c r="E2154" s="12" t="n">
        <x:v>-0.004285394770601262</x:v>
      </x:c>
      <x:c r="F2154" s="12" t="n">
        <x:v>2.86</x:v>
      </x:c>
      <x:c r="G2154" s="12" t="n">
        <x:v>286</x:v>
      </x:c>
      <x:c r="H2154" s="12" t="n">
        <x:v>6</x:v>
      </x:c>
      <x:c r="I2154" s="12" t="str">
        <x:v>TuShare index_daily</x:v>
      </x:c>
      <x:c r="J2154" s="12" t="str">
        <x:v>FRED current rolling window</x:v>
      </x:c>
    </x:row>
    <x:row r="2155" ht="18" customHeight="1">
      <x:c r="A2155" s="13" t="n">
        <x:v>45846</x:v>
      </x:c>
      <x:c r="B2155" s="12" t="n">
        <x:v>3998.4527</x:v>
      </x:c>
      <x:c r="C2155" s="12" t="n">
        <x:v>3965.1746</x:v>
      </x:c>
      <x:c r="D2155" s="12" t="n">
        <x:v>0.8393</x:v>
      </x:c>
      <x:c r="E2155" s="12" t="n">
        <x:v>0.008357571857561771</x:v>
      </x:c>
      <x:c r="F2155" s="12" t="n">
        <x:v>2.92</x:v>
      </x:c>
      <x:c r="G2155" s="12" t="n">
        <x:v>292</x:v>
      </x:c>
      <x:c r="H2155" s="12" t="n">
        <x:v>6</x:v>
      </x:c>
      <x:c r="I2155" s="12" t="str">
        <x:v>TuShare index_daily</x:v>
      </x:c>
      <x:c r="J2155" s="12" t="str">
        <x:v>FRED current rolling window</x:v>
      </x:c>
    </x:row>
    <x:row r="2156" ht="18" customHeight="1">
      <x:c r="A2156" s="13" t="n">
        <x:v>45847</x:v>
      </x:c>
      <x:c r="B2156" s="12" t="n">
        <x:v>3991.4006</x:v>
      </x:c>
      <x:c r="C2156" s="12" t="n">
        <x:v>3998.4527</x:v>
      </x:c>
      <x:c r="D2156" s="12" t="n">
        <x:v>-0.1764</x:v>
      </x:c>
      <x:c r="E2156" s="12" t="n">
        <x:v>-0.0017652644088692639</x:v>
      </x:c>
      <x:c r="F2156" s="12" t="n">
        <x:v>2.94</x:v>
      </x:c>
      <x:c r="G2156" s="12" t="n">
        <x:v>294</x:v>
      </x:c>
      <x:c r="H2156" s="12" t="n">
        <x:v>2</x:v>
      </x:c>
      <x:c r="I2156" s="12" t="str">
        <x:v>TuShare index_daily</x:v>
      </x:c>
      <x:c r="J2156" s="12" t="str">
        <x:v>FRED current rolling window</x:v>
      </x:c>
    </x:row>
    <x:row r="2157" ht="18" customHeight="1">
      <x:c r="A2157" s="13" t="n">
        <x:v>45848</x:v>
      </x:c>
      <x:c r="B2157" s="12" t="n">
        <x:v>4010.0243</x:v>
      </x:c>
      <x:c r="C2157" s="12" t="n">
        <x:v>3991.4006</x:v>
      </x:c>
      <x:c r="D2157" s="12" t="n">
        <x:v>0.4666</x:v>
      </x:c>
      <x:c r="E2157" s="12" t="n">
        <x:v>0.004655104275559548</x:v>
      </x:c>
      <x:c r="F2157" s="12" t="n">
        <x:v>2.92</x:v>
      </x:c>
      <x:c r="G2157" s="12" t="n">
        <x:v>292</x:v>
      </x:c>
      <x:c r="H2157" s="12" t="n">
        <x:v>-2</x:v>
      </x:c>
      <x:c r="I2157" s="12" t="str">
        <x:v>TuShare index_daily</x:v>
      </x:c>
      <x:c r="J2157" s="12" t="str">
        <x:v>FRED current rolling window</x:v>
      </x:c>
    </x:row>
    <x:row r="2158" ht="18" customHeight="1">
      <x:c r="A2158" s="13" t="n">
        <x:v>45849</x:v>
      </x:c>
      <x:c r="B2158" s="12" t="n">
        <x:v>4014.807</x:v>
      </x:c>
      <x:c r="C2158" s="12" t="n">
        <x:v>4010.0243</x:v>
      </x:c>
      <x:c r="D2158" s="12" t="n">
        <x:v>0.1193</x:v>
      </x:c>
      <x:c r="E2158" s="12" t="n">
        <x:v>0.0011919753543662215</x:v>
      </x:c>
      <x:c r="F2158" s="12" t="n">
        <x:v>2.97</x:v>
      </x:c>
      <x:c r="G2158" s="12" t="n">
        <x:v>297</x:v>
      </x:c>
      <x:c r="H2158" s="12" t="n">
        <x:v>5</x:v>
      </x:c>
      <x:c r="I2158" s="12" t="str">
        <x:v>TuShare index_daily</x:v>
      </x:c>
      <x:c r="J2158" s="12" t="str">
        <x:v>FRED current rolling window</x:v>
      </x:c>
    </x:row>
    <x:row r="2159" ht="18" customHeight="1">
      <x:c r="A2159" s="13" t="n">
        <x:v>45852</x:v>
      </x:c>
      <x:c r="B2159" s="12" t="n">
        <x:v>4017.6678</x:v>
      </x:c>
      <x:c r="C2159" s="12" t="n">
        <x:v>4014.807</x:v>
      </x:c>
      <x:c r="D2159" s="12" t="n">
        <x:v>0.0713</x:v>
      </x:c>
      <x:c r="E2159" s="12" t="n">
        <x:v>0.0007123085206467977</x:v>
      </x:c>
      <x:c r="F2159" s="12" t="n">
        <x:v>2.95</x:v>
      </x:c>
      <x:c r="G2159" s="12" t="n">
        <x:v>295</x:v>
      </x:c>
      <x:c r="H2159" s="12" t="n">
        <x:v>-2</x:v>
      </x:c>
      <x:c r="I2159" s="12" t="str">
        <x:v>TuShare index_daily</x:v>
      </x:c>
      <x:c r="J2159" s="12" t="str">
        <x:v>FRED current rolling window</x:v>
      </x:c>
    </x:row>
    <x:row r="2160" ht="18" customHeight="1">
      <x:c r="A2160" s="13" t="n">
        <x:v>45853</x:v>
      </x:c>
      <x:c r="B2160" s="12" t="n">
        <x:v>4019.0644</x:v>
      </x:c>
      <x:c r="C2160" s="12" t="n">
        <x:v>4017.6678</x:v>
      </x:c>
      <x:c r="D2160" s="12" t="n">
        <x:v>0.0348</x:v>
      </x:c>
      <x:c r="E2160" s="12" t="n">
        <x:v>0.0003475541997177205</x:v>
      </x:c>
      <x:c r="F2160" s="12" t="n">
        <x:v>2.95</x:v>
      </x:c>
      <x:c r="G2160" s="12" t="n">
        <x:v>295</x:v>
      </x:c>
      <x:c r="H2160" s="12" t="n">
        <x:v>0</x:v>
      </x:c>
      <x:c r="I2160" s="12" t="str">
        <x:v>TuShare index_daily</x:v>
      </x:c>
      <x:c r="J2160" s="12" t="str">
        <x:v>FRED current rolling window</x:v>
      </x:c>
    </x:row>
    <x:row r="2161" ht="18" customHeight="1">
      <x:c r="A2161" s="13" t="n">
        <x:v>45854</x:v>
      </x:c>
      <x:c r="B2161" s="12" t="n">
        <x:v>4007.2019</x:v>
      </x:c>
      <x:c r="C2161" s="12" t="n">
        <x:v>4019.0644</x:v>
      </x:c>
      <x:c r="D2161" s="12" t="n">
        <x:v>-0.2952</x:v>
      </x:c>
      <x:c r="E2161" s="12" t="n">
        <x:v>-0.002955922017528145</x:v>
      </x:c>
      <x:c r="F2161" s="12" t="n">
        <x:v>3</x:v>
      </x:c>
      <x:c r="G2161" s="12" t="n">
        <x:v>300</x:v>
      </x:c>
      <x:c r="H2161" s="12" t="n">
        <x:v>5</x:v>
      </x:c>
      <x:c r="I2161" s="12" t="str">
        <x:v>TuShare index_daily</x:v>
      </x:c>
      <x:c r="J2161" s="12" t="str">
        <x:v>FRED current rolling window</x:v>
      </x:c>
    </x:row>
    <x:row r="2162" ht="18" customHeight="1">
      <x:c r="A2162" s="13" t="n">
        <x:v>45855</x:v>
      </x:c>
      <x:c r="B2162" s="12" t="n">
        <x:v>4034.491</x:v>
      </x:c>
      <x:c r="C2162" s="12" t="n">
        <x:v>4007.2019</x:v>
      </x:c>
      <x:c r="D2162" s="12" t="n">
        <x:v>0.681</x:v>
      </x:c>
      <x:c r="E2162" s="12" t="n">
        <x:v>0.006786930336544563</x:v>
      </x:c>
      <x:c r="F2162" s="12" t="n">
        <x:v>2.91</x:v>
      </x:c>
      <x:c r="G2162" s="12" t="n">
        <x:v>291</x:v>
      </x:c>
      <x:c r="H2162" s="12" t="n">
        <x:v>-9</x:v>
      </x:c>
      <x:c r="I2162" s="12" t="str">
        <x:v>TuShare index_daily</x:v>
      </x:c>
      <x:c r="J2162" s="12" t="str">
        <x:v>FRED current rolling window</x:v>
      </x:c>
    </x:row>
    <x:row r="2163" ht="18" customHeight="1">
      <x:c r="A2163" s="13" t="n">
        <x:v>45856</x:v>
      </x:c>
      <x:c r="B2163" s="12" t="n">
        <x:v>4058.5486</x:v>
      </x:c>
      <x:c r="C2163" s="12" t="n">
        <x:v>4034.491</x:v>
      </x:c>
      <x:c r="D2163" s="12" t="n">
        <x:v>0.5963</x:v>
      </x:c>
      <x:c r="E2163" s="12" t="n">
        <x:v>0.0059452744707187335</x:v>
      </x:c>
      <x:c r="F2163" s="12" t="n">
        <x:v>2.93</x:v>
      </x:c>
      <x:c r="G2163" s="12" t="n">
        <x:v>293</x:v>
      </x:c>
      <x:c r="H2163" s="12" t="n">
        <x:v>2</x:v>
      </x:c>
      <x:c r="I2163" s="12" t="str">
        <x:v>TuShare index_daily</x:v>
      </x:c>
      <x:c r="J2163" s="12" t="str">
        <x:v>FRED current rolling window</x:v>
      </x:c>
    </x:row>
    <x:row r="2164" ht="18" customHeight="1">
      <x:c r="A2164" s="13" t="n">
        <x:v>45859</x:v>
      </x:c>
      <x:c r="B2164" s="12" t="n">
        <x:v>4085.6072</x:v>
      </x:c>
      <x:c r="C2164" s="12" t="n">
        <x:v>4058.5486</x:v>
      </x:c>
      <x:c r="D2164" s="12" t="n">
        <x:v>0.6667</x:v>
      </x:c>
      <x:c r="E2164" s="12" t="n">
        <x:v>0.006644936621844214</x:v>
      </x:c>
      <x:c r="F2164" s="12" t="n">
        <x:v>2.89</x:v>
      </x:c>
      <x:c r="G2164" s="12" t="n">
        <x:v>289</x:v>
      </x:c>
      <x:c r="H2164" s="12" t="n">
        <x:v>-4</x:v>
      </x:c>
      <x:c r="I2164" s="12" t="str">
        <x:v>TuShare index_daily</x:v>
      </x:c>
      <x:c r="J2164" s="12" t="str">
        <x:v>FRED current rolling window</x:v>
      </x:c>
    </x:row>
    <x:row r="2165" ht="18" customHeight="1">
      <x:c r="A2165" s="13" t="n">
        <x:v>45860</x:v>
      </x:c>
      <x:c r="B2165" s="12" t="n">
        <x:v>4118.9582</x:v>
      </x:c>
      <x:c r="C2165" s="12" t="n">
        <x:v>4085.6072</x:v>
      </x:c>
      <x:c r="D2165" s="12" t="n">
        <x:v>0.8163</x:v>
      </x:c>
      <x:c r="E2165" s="12" t="n">
        <x:v>0.008129908671452656</x:v>
      </x:c>
      <x:c r="F2165" s="12" t="n">
        <x:v>2.9</x:v>
      </x:c>
      <x:c r="G2165" s="12" t="n">
        <x:v>290</x:v>
      </x:c>
      <x:c r="H2165" s="12" t="n">
        <x:v>1</x:v>
      </x:c>
      <x:c r="I2165" s="12" t="str">
        <x:v>TuShare index_daily</x:v>
      </x:c>
      <x:c r="J2165" s="12" t="str">
        <x:v>FRED current rolling window</x:v>
      </x:c>
    </x:row>
    <x:row r="2166" ht="18" customHeight="1">
      <x:c r="A2166" s="13" t="n">
        <x:v>45861</x:v>
      </x:c>
      <x:c r="B2166" s="12" t="n">
        <x:v>4119.7685</x:v>
      </x:c>
      <x:c r="C2166" s="12" t="n">
        <x:v>4118.9582</x:v>
      </x:c>
      <x:c r="D2166" s="12" t="n">
        <x:v>0.0197</x:v>
      </x:c>
      <x:c r="E2166" s="12" t="n">
        <x:v>0.0001967051541138663</x:v>
      </x:c>
      <x:c r="F2166" s="12" t="n">
        <x:v>2.83</x:v>
      </x:c>
      <x:c r="G2166" s="12" t="n">
        <x:v>283</x:v>
      </x:c>
      <x:c r="H2166" s="12" t="n">
        <x:v>-7</x:v>
      </x:c>
      <x:c r="I2166" s="12" t="str">
        <x:v>TuShare index_daily</x:v>
      </x:c>
      <x:c r="J2166" s="12" t="str">
        <x:v>FRED current rolling window</x:v>
      </x:c>
    </x:row>
    <x:row r="2167" ht="18" customHeight="1">
      <x:c r="A2167" s="13" t="n">
        <x:v>45862</x:v>
      </x:c>
      <x:c r="B2167" s="12" t="n">
        <x:v>4149.0368</x:v>
      </x:c>
      <x:c r="C2167" s="12" t="n">
        <x:v>4119.7685</x:v>
      </x:c>
      <x:c r="D2167" s="12" t="n">
        <x:v>0.7104</x:v>
      </x:c>
      <x:c r="E2167" s="12" t="n">
        <x:v>0.007079238456162641</x:v>
      </x:c>
      <x:c r="F2167" s="12" t="n">
        <x:v>2.82</x:v>
      </x:c>
      <x:c r="G2167" s="12" t="n">
        <x:v>282</x:v>
      </x:c>
      <x:c r="H2167" s="12" t="n">
        <x:v>-1</x:v>
      </x:c>
      <x:c r="I2167" s="12" t="str">
        <x:v>TuShare index_daily</x:v>
      </x:c>
      <x:c r="J2167" s="12" t="str">
        <x:v>FRED current rolling window</x:v>
      </x:c>
    </x:row>
    <x:row r="2168" ht="18" customHeight="1">
      <x:c r="A2168" s="13" t="n">
        <x:v>45863</x:v>
      </x:c>
      <x:c r="B2168" s="12" t="n">
        <x:v>4127.1634</x:v>
      </x:c>
      <x:c r="C2168" s="12" t="n">
        <x:v>4149.0368</x:v>
      </x:c>
      <x:c r="D2168" s="12" t="n">
        <x:v>-0.5272</x:v>
      </x:c>
      <x:c r="E2168" s="12" t="n">
        <x:v>-0.005285868007222081</x:v>
      </x:c>
      <x:c r="F2168" s="12" t="n">
        <x:v>2.84</x:v>
      </x:c>
      <x:c r="G2168" s="12" t="n">
        <x:v>284</x:v>
      </x:c>
      <x:c r="H2168" s="12" t="n">
        <x:v>2</x:v>
      </x:c>
      <x:c r="I2168" s="12" t="str">
        <x:v>TuShare index_daily</x:v>
      </x:c>
      <x:c r="J2168" s="12" t="str">
        <x:v>FRED current rolling window</x:v>
      </x:c>
    </x:row>
    <x:row r="2169" ht="18" customHeight="1">
      <x:c r="A2169" s="13" t="n">
        <x:v>45866</x:v>
      </x:c>
      <x:c r="B2169" s="12" t="n">
        <x:v>4135.8242</x:v>
      </x:c>
      <x:c r="C2169" s="12" t="n">
        <x:v>4127.1634</x:v>
      </x:c>
      <x:c r="D2169" s="12" t="n">
        <x:v>0.2098</x:v>
      </x:c>
      <x:c r="E2169" s="12" t="n">
        <x:v>0.002096288555873746</x:v>
      </x:c>
      <x:c r="F2169" s="12" t="n">
        <x:v>2.82</x:v>
      </x:c>
      <x:c r="G2169" s="12" t="n">
        <x:v>282</x:v>
      </x:c>
      <x:c r="H2169" s="12" t="n">
        <x:v>-2</x:v>
      </x:c>
      <x:c r="I2169" s="12" t="str">
        <x:v>TuShare index_daily</x:v>
      </x:c>
      <x:c r="J2169" s="12" t="str">
        <x:v>FRED current rolling window</x:v>
      </x:c>
    </x:row>
    <x:row r="2170" ht="18" customHeight="1">
      <x:c r="A2170" s="13" t="n">
        <x:v>45867</x:v>
      </x:c>
      <x:c r="B2170" s="12" t="n">
        <x:v>4152.0247</x:v>
      </x:c>
      <x:c r="C2170" s="12" t="n">
        <x:v>4135.8242</x:v>
      </x:c>
      <x:c r="D2170" s="12" t="n">
        <x:v>0.3917</x:v>
      </x:c>
      <x:c r="E2170" s="12" t="n">
        <x:v>0.003909463318980385</x:v>
      </x:c>
      <x:c r="F2170" s="12" t="n">
        <x:v>2.86</x:v>
      </x:c>
      <x:c r="G2170" s="12" t="n">
        <x:v>286</x:v>
      </x:c>
      <x:c r="H2170" s="12" t="n">
        <x:v>4</x:v>
      </x:c>
      <x:c r="I2170" s="12" t="str">
        <x:v>TuShare index_daily</x:v>
      </x:c>
      <x:c r="J2170" s="12" t="str">
        <x:v>FRED current rolling window</x:v>
      </x:c>
    </x:row>
    <x:row r="2171" ht="18" customHeight="1">
      <x:c r="A2171" s="13" t="n">
        <x:v>45868</x:v>
      </x:c>
      <x:c r="B2171" s="12" t="n">
        <x:v>4151.2379</x:v>
      </x:c>
      <x:c r="C2171" s="12" t="n">
        <x:v>4152.0247</x:v>
      </x:c>
      <x:c r="D2171" s="12" t="n">
        <x:v>-0.0189</x:v>
      </x:c>
      <x:c r="E2171" s="12" t="n">
        <x:v>-0.00018951586629451265</x:v>
      </x:c>
      <x:c r="F2171" s="12" t="n">
        <x:v>2.89</x:v>
      </x:c>
      <x:c r="G2171" s="12" t="n">
        <x:v>289</x:v>
      </x:c>
      <x:c r="H2171" s="12" t="n">
        <x:v>3</x:v>
      </x:c>
      <x:c r="I2171" s="12" t="str">
        <x:v>TuShare index_daily</x:v>
      </x:c>
      <x:c r="J2171" s="12" t="str">
        <x:v>FRED current rolling window</x:v>
      </x:c>
    </x:row>
    <x:row r="2172" ht="18" customHeight="1">
      <x:c r="A2172" s="13" t="n">
        <x:v>45869</x:v>
      </x:c>
      <x:c r="B2172" s="12" t="n">
        <x:v>4075.5912</x:v>
      </x:c>
      <x:c r="C2172" s="12" t="n">
        <x:v>4151.2379</x:v>
      </x:c>
      <x:c r="D2172" s="12" t="n">
        <x:v>-1.8223</x:v>
      </x:c>
      <x:c r="E2172" s="12" t="n">
        <x:v>-0.01839076299549046</x:v>
      </x:c>
      <x:c r="F2172" s="12" t="n">
        <x:v>2.86</x:v>
      </x:c>
      <x:c r="G2172" s="12" t="n">
        <x:v>286</x:v>
      </x:c>
      <x:c r="H2172" s="12" t="n">
        <x:v>-3</x:v>
      </x:c>
      <x:c r="I2172" s="12" t="str">
        <x:v>TuShare index_daily</x:v>
      </x:c>
      <x:c r="J2172" s="12" t="str">
        <x:v>FRED current rolling window</x:v>
      </x:c>
    </x:row>
    <x:row r="2173" ht="18" customHeight="1">
      <x:c r="A2173" s="13" t="n">
        <x:v>45870</x:v>
      </x:c>
      <x:c r="B2173" s="12" t="n">
        <x:v>4054.9286</x:v>
      </x:c>
      <x:c r="C2173" s="12" t="n">
        <x:v>4075.5912</x:v>
      </x:c>
      <x:c r="D2173" s="12" t="n">
        <x:v>-0.507</x:v>
      </x:c>
      <x:c r="E2173" s="12" t="n">
        <x:v>-0.005082736403513882</x:v>
      </x:c>
      <x:c r="F2173" s="12" t="n">
        <x:v>3.13</x:v>
      </x:c>
      <x:c r="G2173" s="12" t="n">
        <x:v>313</x:v>
      </x:c>
      <x:c r="H2173" s="12" t="n">
        <x:v>27</x:v>
      </x:c>
      <x:c r="I2173" s="12" t="str">
        <x:v>TuShare index_daily</x:v>
      </x:c>
      <x:c r="J2173" s="12" t="str">
        <x:v>FRED current rolling window</x:v>
      </x:c>
    </x:row>
    <x:row r="2174" ht="18" customHeight="1">
      <x:c r="A2174" s="13" t="n">
        <x:v>45873</x:v>
      </x:c>
      <x:c r="B2174" s="12" t="n">
        <x:v>4070.7023</x:v>
      </x:c>
      <x:c r="C2174" s="12" t="n">
        <x:v>4054.9286</x:v>
      </x:c>
      <x:c r="D2174" s="12" t="n">
        <x:v>0.389</x:v>
      </x:c>
      <x:c r="E2174" s="12" t="n">
        <x:v>0.003882460330244926</x:v>
      </x:c>
      <x:c r="F2174" s="12" t="n">
        <x:v>3.02</x:v>
      </x:c>
      <x:c r="G2174" s="12" t="n">
        <x:v>302</x:v>
      </x:c>
      <x:c r="H2174" s="12" t="n">
        <x:v>-11</x:v>
      </x:c>
      <x:c r="I2174" s="12" t="str">
        <x:v>TuShare index_daily</x:v>
      </x:c>
      <x:c r="J2174" s="12" t="str">
        <x:v>FRED current rolling window</x:v>
      </x:c>
    </x:row>
    <x:row r="2175" ht="18" customHeight="1">
      <x:c r="A2175" s="13" t="n">
        <x:v>45874</x:v>
      </x:c>
      <x:c r="B2175" s="12" t="n">
        <x:v>4103.45</x:v>
      </x:c>
      <x:c r="C2175" s="12" t="n">
        <x:v>4070.7023</x:v>
      </x:c>
      <x:c r="D2175" s="12" t="n">
        <x:v>0.8045</x:v>
      </x:c>
      <x:c r="E2175" s="12" t="n">
        <x:v>0.008012543441925745</x:v>
      </x:c>
      <x:c r="F2175" s="12" t="n">
        <x:v>2.98</x:v>
      </x:c>
      <x:c r="G2175" s="12" t="n">
        <x:v>298</x:v>
      </x:c>
      <x:c r="H2175" s="12" t="n">
        <x:v>-4</x:v>
      </x:c>
      <x:c r="I2175" s="12" t="str">
        <x:v>TuShare index_daily</x:v>
      </x:c>
      <x:c r="J2175" s="12" t="str">
        <x:v>FRED current rolling window</x:v>
      </x:c>
    </x:row>
    <x:row r="2176" ht="18" customHeight="1">
      <x:c r="A2176" s="13" t="n">
        <x:v>45875</x:v>
      </x:c>
      <x:c r="B2176" s="12" t="n">
        <x:v>4113.4852</x:v>
      </x:c>
      <x:c r="C2176" s="12" t="n">
        <x:v>4103.45</x:v>
      </x:c>
      <x:c r="D2176" s="12" t="n">
        <x:v>0.2446</x:v>
      </x:c>
      <x:c r="E2176" s="12" t="n">
        <x:v>0.002442566418018243</x:v>
      </x:c>
      <x:c r="F2176" s="12" t="n">
        <x:v>2.98</x:v>
      </x:c>
      <x:c r="G2176" s="12" t="n">
        <x:v>298</x:v>
      </x:c>
      <x:c r="H2176" s="12" t="n">
        <x:v>0</x:v>
      </x:c>
      <x:c r="I2176" s="12" t="str">
        <x:v>TuShare index_daily</x:v>
      </x:c>
      <x:c r="J2176" s="12" t="str">
        <x:v>FRED current rolling window</x:v>
      </x:c>
    </x:row>
    <x:row r="2177" ht="18" customHeight="1">
      <x:c r="A2177" s="13" t="n">
        <x:v>45876</x:v>
      </x:c>
      <x:c r="B2177" s="12" t="n">
        <x:v>4114.666</x:v>
      </x:c>
      <x:c r="C2177" s="12" t="n">
        <x:v>4113.4852</x:v>
      </x:c>
      <x:c r="D2177" s="12" t="n">
        <x:v>0.0287</x:v>
      </x:c>
      <x:c r="E2177" s="12" t="n">
        <x:v>0.00028701465964952667</x:v>
      </x:c>
      <x:c r="F2177" s="12" t="n">
        <x:v>2.95</x:v>
      </x:c>
      <x:c r="G2177" s="12" t="n">
        <x:v>295</x:v>
      </x:c>
      <x:c r="H2177" s="12" t="n">
        <x:v>-3</x:v>
      </x:c>
      <x:c r="I2177" s="12" t="str">
        <x:v>TuShare index_daily</x:v>
      </x:c>
      <x:c r="J2177" s="12" t="str">
        <x:v>FRED current rolling window</x:v>
      </x:c>
    </x:row>
    <x:row r="2178" ht="18" customHeight="1">
      <x:c r="A2178" s="13" t="n">
        <x:v>45877</x:v>
      </x:c>
      <x:c r="B2178" s="12" t="n">
        <x:v>4104.9669</x:v>
      </x:c>
      <x:c r="C2178" s="12" t="n">
        <x:v>4114.666</x:v>
      </x:c>
      <x:c r="D2178" s="12" t="n">
        <x:v>-0.2357</x:v>
      </x:c>
      <x:c r="E2178" s="12" t="n">
        <x:v>-0.002359984836212605</x:v>
      </x:c>
      <x:c r="F2178" s="12" t="n">
        <x:v>2.94</x:v>
      </x:c>
      <x:c r="G2178" s="12" t="n">
        <x:v>294</x:v>
      </x:c>
      <x:c r="H2178" s="12" t="n">
        <x:v>-1</x:v>
      </x:c>
      <x:c r="I2178" s="12" t="str">
        <x:v>TuShare index_daily</x:v>
      </x:c>
      <x:c r="J2178" s="12" t="str">
        <x:v>FRED current rolling window</x:v>
      </x:c>
    </x:row>
    <x:row r="2179" ht="18" customHeight="1">
      <x:c r="A2179" s="13" t="n">
        <x:v>45880</x:v>
      </x:c>
      <x:c r="B2179" s="12" t="n">
        <x:v>4122.5106</x:v>
      </x:c>
      <x:c r="C2179" s="12" t="n">
        <x:v>4104.9669</x:v>
      </x:c>
      <x:c r="D2179" s="12" t="n">
        <x:v>0.4274</x:v>
      </x:c>
      <x:c r="E2179" s="12" t="n">
        <x:v>0.004264667169128132</x:v>
      </x:c>
      <x:c r="F2179" s="12" t="n">
        <x:v>2.94</x:v>
      </x:c>
      <x:c r="G2179" s="12" t="n">
        <x:v>294</x:v>
      </x:c>
      <x:c r="H2179" s="12" t="n">
        <x:v>0</x:v>
      </x:c>
      <x:c r="I2179" s="12" t="str">
        <x:v>TuShare index_daily</x:v>
      </x:c>
      <x:c r="J2179" s="12" t="str">
        <x:v>FRED current rolling window</x:v>
      </x:c>
    </x:row>
    <x:row r="2180" ht="18" customHeight="1">
      <x:c r="A2180" s="13" t="n">
        <x:v>45881</x:v>
      </x:c>
      <x:c r="B2180" s="12" t="n">
        <x:v>4143.8252</x:v>
      </x:c>
      <x:c r="C2180" s="12" t="n">
        <x:v>4122.5106</x:v>
      </x:c>
      <x:c r="D2180" s="12" t="n">
        <x:v>0.517</x:v>
      </x:c>
      <x:c r="E2180" s="12" t="n">
        <x:v>0.0051569758967200535</x:v>
      </x:c>
      <x:c r="F2180" s="12" t="n">
        <x:v>2.93</x:v>
      </x:c>
      <x:c r="G2180" s="12" t="n">
        <x:v>293</x:v>
      </x:c>
      <x:c r="H2180" s="12" t="n">
        <x:v>-1</x:v>
      </x:c>
      <x:c r="I2180" s="12" t="str">
        <x:v>TuShare index_daily</x:v>
      </x:c>
      <x:c r="J2180" s="12" t="str">
        <x:v>FRED current rolling window</x:v>
      </x:c>
    </x:row>
    <x:row r="2181" ht="18" customHeight="1">
      <x:c r="A2181" s="13" t="n">
        <x:v>45882</x:v>
      </x:c>
      <x:c r="B2181" s="12" t="n">
        <x:v>4176.5776</x:v>
      </x:c>
      <x:c r="C2181" s="12" t="n">
        <x:v>4143.8252</x:v>
      </x:c>
      <x:c r="D2181" s="12" t="n">
        <x:v>0.7904</x:v>
      </x:c>
      <x:c r="E2181" s="12" t="n">
        <x:v>0.00787283259172163</x:v>
      </x:c>
      <x:c r="F2181" s="12" t="n">
        <x:v>2.9</x:v>
      </x:c>
      <x:c r="G2181" s="12" t="n">
        <x:v>290</x:v>
      </x:c>
      <x:c r="H2181" s="12" t="n">
        <x:v>-3</x:v>
      </x:c>
      <x:c r="I2181" s="12" t="str">
        <x:v>TuShare index_daily</x:v>
      </x:c>
      <x:c r="J2181" s="12" t="str">
        <x:v>FRED current rolling window</x:v>
      </x:c>
    </x:row>
    <x:row r="2182" ht="18" customHeight="1">
      <x:c r="A2182" s="13" t="n">
        <x:v>45883</x:v>
      </x:c>
      <x:c r="B2182" s="12" t="n">
        <x:v>4173.3131</x:v>
      </x:c>
      <x:c r="C2182" s="12" t="n">
        <x:v>4176.5776</x:v>
      </x:c>
      <x:c r="D2182" s="12" t="n">
        <x:v>-0.0782</x:v>
      </x:c>
      <x:c r="E2182" s="12" t="n">
        <x:v>-0.0007819264427803516</x:v>
      </x:c>
      <x:c r="F2182" s="12" t="n">
        <x:v>2.89</x:v>
      </x:c>
      <x:c r="G2182" s="12" t="n">
        <x:v>289</x:v>
      </x:c>
      <x:c r="H2182" s="12" t="n">
        <x:v>-1</x:v>
      </x:c>
      <x:c r="I2182" s="12" t="str">
        <x:v>TuShare index_daily</x:v>
      </x:c>
      <x:c r="J2182" s="12" t="str">
        <x:v>FRED current rolling window</x:v>
      </x:c>
    </x:row>
    <x:row r="2183" ht="18" customHeight="1">
      <x:c r="A2183" s="13" t="n">
        <x:v>45884</x:v>
      </x:c>
      <x:c r="B2183" s="12" t="n">
        <x:v>4202.3533</x:v>
      </x:c>
      <x:c r="C2183" s="12" t="n">
        <x:v>4173.3131</x:v>
      </x:c>
      <x:c r="D2183" s="12" t="n">
        <x:v>0.6959</x:v>
      </x:c>
      <x:c r="E2183" s="12" t="n">
        <x:v>0.0069344491490834215</x:v>
      </x:c>
      <x:c r="F2183" s="12" t="n">
        <x:v>2.88</x:v>
      </x:c>
      <x:c r="G2183" s="12" t="n">
        <x:v>288</x:v>
      </x:c>
      <x:c r="H2183" s="12" t="n">
        <x:v>-1</x:v>
      </x:c>
      <x:c r="I2183" s="12" t="str">
        <x:v>TuShare index_daily</x:v>
      </x:c>
      <x:c r="J2183" s="12" t="str">
        <x:v>FRED current rolling window</x:v>
      </x:c>
    </x:row>
    <x:row r="2184" ht="18" customHeight="1">
      <x:c r="A2184" s="13" t="n">
        <x:v>45887</x:v>
      </x:c>
      <x:c r="B2184" s="12" t="n">
        <x:v>4239.4125</x:v>
      </x:c>
      <x:c r="C2184" s="12" t="n">
        <x:v>4202.3533</x:v>
      </x:c>
      <x:c r="D2184" s="12" t="n">
        <x:v>0.8819</x:v>
      </x:c>
      <x:c r="E2184" s="12" t="n">
        <x:v>0.008780020424242996</x:v>
      </x:c>
      <x:c r="F2184" s="12" t="n">
        <x:v>2.88</x:v>
      </x:c>
      <x:c r="G2184" s="12" t="n">
        <x:v>288</x:v>
      </x:c>
      <x:c r="H2184" s="12" t="n">
        <x:v>0</x:v>
      </x:c>
      <x:c r="I2184" s="12" t="str">
        <x:v>TuShare index_daily</x:v>
      </x:c>
      <x:c r="J2184" s="12" t="str">
        <x:v>FRED current rolling window</x:v>
      </x:c>
    </x:row>
    <x:row r="2185" ht="18" customHeight="1">
      <x:c r="A2185" s="13" t="n">
        <x:v>45888</x:v>
      </x:c>
      <x:c r="B2185" s="12" t="n">
        <x:v>4223.3741</x:v>
      </x:c>
      <x:c r="C2185" s="12" t="n">
        <x:v>4239.4125</x:v>
      </x:c>
      <x:c r="D2185" s="12" t="n">
        <x:v>-0.3783</x:v>
      </x:c>
      <x:c r="E2185" s="12" t="n">
        <x:v>-0.003790339981286738</x:v>
      </x:c>
      <x:c r="F2185" s="12" t="n">
        <x:v>2.9</x:v>
      </x:c>
      <x:c r="G2185" s="12" t="n">
        <x:v>290</x:v>
      </x:c>
      <x:c r="H2185" s="12" t="n">
        <x:v>2</x:v>
      </x:c>
      <x:c r="I2185" s="12" t="str">
        <x:v>TuShare index_daily</x:v>
      </x:c>
      <x:c r="J2185" s="12" t="str">
        <x:v>FRED current rolling window</x:v>
      </x:c>
    </x:row>
    <x:row r="2186" ht="18" customHeight="1">
      <x:c r="A2186" s="13" t="n">
        <x:v>45889</x:v>
      </x:c>
      <x:c r="B2186" s="12" t="n">
        <x:v>4271.3958</x:v>
      </x:c>
      <x:c r="C2186" s="12" t="n">
        <x:v>4223.3741</x:v>
      </x:c>
      <x:c r="D2186" s="12" t="n">
        <x:v>1.137</x:v>
      </x:c>
      <x:c r="E2186" s="12" t="n">
        <x:v>0.01130630072977471</x:v>
      </x:c>
      <x:c r="F2186" s="12" t="n">
        <x:v>2.94</x:v>
      </x:c>
      <x:c r="G2186" s="12" t="n">
        <x:v>294</x:v>
      </x:c>
      <x:c r="H2186" s="12" t="n">
        <x:v>4</x:v>
      </x:c>
      <x:c r="I2186" s="12" t="str">
        <x:v>TuShare index_daily</x:v>
      </x:c>
      <x:c r="J2186" s="12" t="str">
        <x:v>FRED current rolling window</x:v>
      </x:c>
    </x:row>
    <x:row r="2187" ht="18" customHeight="1">
      <x:c r="A2187" s="13" t="n">
        <x:v>45890</x:v>
      </x:c>
      <x:c r="B2187" s="12" t="n">
        <x:v>4288.0707</x:v>
      </x:c>
      <x:c r="C2187" s="12" t="n">
        <x:v>4271.3958</x:v>
      </x:c>
      <x:c r="D2187" s="12" t="n">
        <x:v>0.3904</x:v>
      </x:c>
      <x:c r="E2187" s="12" t="n">
        <x:v>0.003896252434618806</x:v>
      </x:c>
      <x:c r="F2187" s="12" t="n">
        <x:v>2.95</x:v>
      </x:c>
      <x:c r="G2187" s="12" t="n">
        <x:v>295</x:v>
      </x:c>
      <x:c r="H2187" s="12" t="n">
        <x:v>1</x:v>
      </x:c>
      <x:c r="I2187" s="12" t="str">
        <x:v>TuShare index_daily</x:v>
      </x:c>
      <x:c r="J2187" s="12" t="str">
        <x:v>FRED current rolling window</x:v>
      </x:c>
    </x:row>
    <x:row r="2188" ht="18" customHeight="1">
      <x:c r="A2188" s="13" t="n">
        <x:v>45891</x:v>
      </x:c>
      <x:c r="B2188" s="12" t="n">
        <x:v>4377.9977</x:v>
      </x:c>
      <x:c r="C2188" s="12" t="n">
        <x:v>4288.0707</x:v>
      </x:c>
      <x:c r="D2188" s="12" t="n">
        <x:v>2.0971</x:v>
      </x:c>
      <x:c r="E2188" s="12" t="n">
        <x:v>0.020754562240778436</x:v>
      </x:c>
      <x:c r="F2188" s="12" t="n">
        <x:v>2.88</x:v>
      </x:c>
      <x:c r="G2188" s="12" t="n">
        <x:v>288</x:v>
      </x:c>
      <x:c r="H2188" s="12" t="n">
        <x:v>-7</x:v>
      </x:c>
      <x:c r="I2188" s="12" t="str">
        <x:v>TuShare index_daily</x:v>
      </x:c>
      <x:c r="J2188" s="12" t="str">
        <x:v>FRED current rolling window</x:v>
      </x:c>
    </x:row>
    <x:row r="2189" ht="18" customHeight="1">
      <x:c r="A2189" s="13" t="n">
        <x:v>45894</x:v>
      </x:c>
      <x:c r="B2189" s="12" t="n">
        <x:v>4469.2217</x:v>
      </x:c>
      <x:c r="C2189" s="12" t="n">
        <x:v>4377.9977</x:v>
      </x:c>
      <x:c r="D2189" s="12" t="n">
        <x:v>2.0837</x:v>
      </x:c>
      <x:c r="E2189" s="12" t="n">
        <x:v>0.020622803387883</x:v>
      </x:c>
      <x:c r="F2189" s="12" t="n">
        <x:v>2.8</x:v>
      </x:c>
      <x:c r="G2189" s="12" t="n">
        <x:v>280</x:v>
      </x:c>
      <x:c r="H2189" s="12" t="n">
        <x:v>-8</x:v>
      </x:c>
      <x:c r="I2189" s="12" t="str">
        <x:v>TuShare index_daily</x:v>
      </x:c>
      <x:c r="J2189" s="12" t="str">
        <x:v>FRED current rolling window</x:v>
      </x:c>
    </x:row>
    <x:row r="2190" ht="18" customHeight="1">
      <x:c r="A2190" s="13" t="n">
        <x:v>45895</x:v>
      </x:c>
      <x:c r="B2190" s="12" t="n">
        <x:v>4452.5905</x:v>
      </x:c>
      <x:c r="C2190" s="12" t="n">
        <x:v>4469.2217</x:v>
      </x:c>
      <x:c r="D2190" s="12" t="n">
        <x:v>-0.3721</x:v>
      </x:c>
      <x:c r="E2190" s="12" t="n">
        <x:v>-0.0037282154995151224</x:v>
      </x:c>
      <x:c r="F2190" s="12" t="n">
        <x:v>2.78</x:v>
      </x:c>
      <x:c r="G2190" s="12" t="n">
        <x:v>278</x:v>
      </x:c>
      <x:c r="H2190" s="12" t="n">
        <x:v>-2</x:v>
      </x:c>
      <x:c r="I2190" s="12" t="str">
        <x:v>TuShare index_daily</x:v>
      </x:c>
      <x:c r="J2190" s="12" t="str">
        <x:v>FRED current rolling window</x:v>
      </x:c>
    </x:row>
    <x:row r="2191" ht="18" customHeight="1">
      <x:c r="A2191" s="13" t="n">
        <x:v>45896</x:v>
      </x:c>
      <x:c r="B2191" s="12" t="n">
        <x:v>4386.1266</x:v>
      </x:c>
      <x:c r="C2191" s="12" t="n">
        <x:v>4452.5905</x:v>
      </x:c>
      <x:c r="D2191" s="12" t="n">
        <x:v>-1.4927</x:v>
      </x:c>
      <x:c r="E2191" s="12" t="n">
        <x:v>-0.01503954748665182</x:v>
      </x:c>
      <x:c r="F2191" s="12" t="n">
        <x:v>2.78</x:v>
      </x:c>
      <x:c r="G2191" s="12" t="n">
        <x:v>278</x:v>
      </x:c>
      <x:c r="H2191" s="12" t="n">
        <x:v>0</x:v>
      </x:c>
      <x:c r="I2191" s="12" t="str">
        <x:v>TuShare index_daily</x:v>
      </x:c>
      <x:c r="J2191" s="12" t="str">
        <x:v>FRED current rolling window</x:v>
      </x:c>
    </x:row>
    <x:row r="2192" ht="18" customHeight="1">
      <x:c r="A2192" s="13" t="n">
        <x:v>45897</x:v>
      </x:c>
      <x:c r="B2192" s="12" t="n">
        <x:v>4463.782</x:v>
      </x:c>
      <x:c r="C2192" s="12" t="n">
        <x:v>4386.1266</x:v>
      </x:c>
      <x:c r="D2192" s="12" t="n">
        <x:v>1.7705</x:v>
      </x:c>
      <x:c r="E2192" s="12" t="n">
        <x:v>0.017549874612882172</x:v>
      </x:c>
      <x:c r="F2192" s="12" t="n">
        <x:v>2.75</x:v>
      </x:c>
      <x:c r="G2192" s="12" t="n">
        <x:v>275</x:v>
      </x:c>
      <x:c r="H2192" s="12" t="n">
        <x:v>-3</x:v>
      </x:c>
      <x:c r="I2192" s="12" t="str">
        <x:v>TuShare index_daily</x:v>
      </x:c>
      <x:c r="J2192" s="12" t="str">
        <x:v>FRED current rolling window</x:v>
      </x:c>
    </x:row>
    <x:row r="2193" ht="18" customHeight="1">
      <x:c r="A2193" s="13" t="n">
        <x:v>45898</x:v>
      </x:c>
      <x:c r="B2193" s="12" t="n">
        <x:v>4496.7591</x:v>
      </x:c>
      <x:c r="C2193" s="12" t="n">
        <x:v>4463.782</x:v>
      </x:c>
      <x:c r="D2193" s="12" t="n">
        <x:v>0.7388</x:v>
      </x:c>
      <x:c r="E2193" s="12" t="n">
        <x:v>0.0073605485465789156</x:v>
      </x:c>
      <x:c r="F2193" s="12" t="n">
        <x:v>2.82</x:v>
      </x:c>
      <x:c r="G2193" s="12" t="n">
        <x:v>282</x:v>
      </x:c>
      <x:c r="H2193" s="12" t="n">
        <x:v>7</x:v>
      </x:c>
      <x:c r="I2193" s="12" t="str">
        <x:v>TuShare index_daily</x:v>
      </x:c>
      <x:c r="J2193" s="12" t="str">
        <x:v>FRED current rolling window</x:v>
      </x:c>
    </x:row>
    <x:row r="2194" ht="18" customHeight="1">
      <x:c r="A2194" s="13" t="n">
        <x:v>45901</x:v>
      </x:c>
      <x:c r="B2194" s="12" t="n">
        <x:v>4523.7111</x:v>
      </x:c>
      <x:c r="C2194" s="12" t="n">
        <x:v>4496.7591</x:v>
      </x:c>
      <x:c r="D2194" s="12" t="n">
        <x:v>0.5994</x:v>
      </x:c>
      <x:c r="E2194" s="12" t="n">
        <x:v>0.005975759490662033</x:v>
      </x:c>
      <x:c r="F2194" s="12" t="n">
        <x:v>2.84</x:v>
      </x:c>
      <x:c r="G2194" s="12" t="n">
        <x:v>284</x:v>
      </x:c>
      <x:c r="H2194" s="12" t="n">
        <x:v>0</x:v>
      </x:c>
      <x:c r="I2194" s="12" t="str">
        <x:v>TuShare index_daily</x:v>
      </x:c>
      <x:c r="J2194" s="12" t="str">
        <x:v>FRED current rolling window</x:v>
      </x:c>
    </x:row>
    <x:row r="2195" ht="18" customHeight="1">
      <x:c r="A2195" s="13" t="n">
        <x:v>45902</x:v>
      </x:c>
      <x:c r="B2195" s="12" t="n">
        <x:v>4490.4528</x:v>
      </x:c>
      <x:c r="C2195" s="12" t="n">
        <x:v>4523.7111</x:v>
      </x:c>
      <x:c r="D2195" s="12" t="n">
        <x:v>-0.7352</x:v>
      </x:c>
      <x:c r="E2195" s="12" t="n">
        <x:v>-0.007379153803648037</x:v>
      </x:c>
      <x:c r="F2195" s="12" t="n">
        <x:v>2.92</x:v>
      </x:c>
      <x:c r="G2195" s="12" t="n">
        <x:v>292</x:v>
      </x:c>
      <x:c r="H2195" s="12" t="n">
        <x:v>8</x:v>
      </x:c>
      <x:c r="I2195" s="12" t="str">
        <x:v>TuShare index_daily</x:v>
      </x:c>
      <x:c r="J2195" s="12" t="str">
        <x:v>FRED current rolling window</x:v>
      </x:c>
    </x:row>
    <x:row r="2196" ht="18" customHeight="1">
      <x:c r="A2196" s="13" t="n">
        <x:v>45903</x:v>
      </x:c>
      <x:c r="B2196" s="12" t="n">
        <x:v>4459.8296</x:v>
      </x:c>
      <x:c r="C2196" s="12" t="n">
        <x:v>4490.4528</x:v>
      </x:c>
      <x:c r="D2196" s="12" t="n">
        <x:v>-0.682</x:v>
      </x:c>
      <x:c r="E2196" s="12" t="n">
        <x:v>-0.006842983970613739</x:v>
      </x:c>
      <x:c r="F2196" s="12" t="n">
        <x:v>2.88</x:v>
      </x:c>
      <x:c r="G2196" s="12" t="n">
        <x:v>288</x:v>
      </x:c>
      <x:c r="H2196" s="12" t="n">
        <x:v>-4</x:v>
      </x:c>
      <x:c r="I2196" s="12" t="str">
        <x:v>TuShare index_daily</x:v>
      </x:c>
      <x:c r="J2196" s="12" t="str">
        <x:v>FRED current rolling window</x:v>
      </x:c>
    </x:row>
    <x:row r="2197" ht="18" customHeight="1">
      <x:c r="A2197" s="13" t="n">
        <x:v>45904</x:v>
      </x:c>
      <x:c r="B2197" s="12" t="n">
        <x:v>4365.2085</x:v>
      </x:c>
      <x:c r="C2197" s="12" t="n">
        <x:v>4459.8296</x:v>
      </x:c>
      <x:c r="D2197" s="12" t="n">
        <x:v>-2.1216</x:v>
      </x:c>
      <x:c r="E2197" s="12" t="n">
        <x:v>-0.0214446045502523</x:v>
      </x:c>
      <x:c r="F2197" s="12" t="n">
        <x:v>2.84</x:v>
      </x:c>
      <x:c r="G2197" s="12" t="n">
        <x:v>284</x:v>
      </x:c>
      <x:c r="H2197" s="12" t="n">
        <x:v>-4</x:v>
      </x:c>
      <x:c r="I2197" s="12" t="str">
        <x:v>TuShare index_daily</x:v>
      </x:c>
      <x:c r="J2197" s="12" t="str">
        <x:v>FRED current rolling window</x:v>
      </x:c>
    </x:row>
    <x:row r="2198" ht="18" customHeight="1">
      <x:c r="A2198" s="13" t="n">
        <x:v>45905</x:v>
      </x:c>
      <x:c r="B2198" s="12" t="n">
        <x:v>4460.3249</x:v>
      </x:c>
      <x:c r="C2198" s="12" t="n">
        <x:v>4365.2085</x:v>
      </x:c>
      <x:c r="D2198" s="12" t="n">
        <x:v>2.179</x:v>
      </x:c>
      <x:c r="E2198" s="12" t="n">
        <x:v>0.02155565643853706</x:v>
      </x:c>
      <x:c r="F2198" s="12" t="n">
        <x:v>2.83</x:v>
      </x:c>
      <x:c r="G2198" s="12" t="n">
        <x:v>283</x:v>
      </x:c>
      <x:c r="H2198" s="12" t="n">
        <x:v>-1</x:v>
      </x:c>
      <x:c r="I2198" s="12" t="str">
        <x:v>TuShare index_daily</x:v>
      </x:c>
      <x:c r="J2198" s="12" t="str">
        <x:v>FRED current rolling window</x:v>
      </x:c>
    </x:row>
    <x:row r="2199" ht="18" customHeight="1">
      <x:c r="A2199" s="13" t="n">
        <x:v>45908</x:v>
      </x:c>
      <x:c r="B2199" s="12" t="n">
        <x:v>4467.5733</x:v>
      </x:c>
      <x:c r="C2199" s="12" t="n">
        <x:v>4460.3249</x:v>
      </x:c>
      <x:c r="D2199" s="12" t="n">
        <x:v>0.1625</x:v>
      </x:c>
      <x:c r="E2199" s="12" t="n">
        <x:v>0.0016237643911757873</x:v>
      </x:c>
      <x:c r="F2199" s="12" t="n">
        <x:v>2.84</x:v>
      </x:c>
      <x:c r="G2199" s="12" t="n">
        <x:v>284</x:v>
      </x:c>
      <x:c r="H2199" s="12" t="n">
        <x:v>1</x:v>
      </x:c>
      <x:c r="I2199" s="12" t="str">
        <x:v>TuShare index_daily</x:v>
      </x:c>
      <x:c r="J2199" s="12" t="str">
        <x:v>FRED current rolling window</x:v>
      </x:c>
    </x:row>
    <x:row r="2200" ht="18" customHeight="1">
      <x:c r="A2200" s="13" t="n">
        <x:v>45909</x:v>
      </x:c>
      <x:c r="B2200" s="12" t="n">
        <x:v>4436.2584</x:v>
      </x:c>
      <x:c r="C2200" s="12" t="n">
        <x:v>4467.5733</x:v>
      </x:c>
      <x:c r="D2200" s="12" t="n">
        <x:v>-0.7009</x:v>
      </x:c>
      <x:c r="E2200" s="12" t="n">
        <x:v>-0.0070340568356272665</x:v>
      </x:c>
      <x:c r="F2200" s="12" t="n">
        <x:v>2.87</x:v>
      </x:c>
      <x:c r="G2200" s="12" t="n">
        <x:v>287</x:v>
      </x:c>
      <x:c r="H2200" s="12" t="n">
        <x:v>3</x:v>
      </x:c>
      <x:c r="I2200" s="12" t="str">
        <x:v>TuShare index_daily</x:v>
      </x:c>
      <x:c r="J2200" s="12" t="str">
        <x:v>FRED current rolling window</x:v>
      </x:c>
    </x:row>
    <x:row r="2201" ht="18" customHeight="1">
      <x:c r="A2201" s="13" t="n">
        <x:v>45910</x:v>
      </x:c>
      <x:c r="B2201" s="12" t="n">
        <x:v>4445.3649</x:v>
      </x:c>
      <x:c r="C2201" s="12" t="n">
        <x:v>4436.2584</x:v>
      </x:c>
      <x:c r="D2201" s="12" t="n">
        <x:v>0.2053</x:v>
      </x:c>
      <x:c r="E2201" s="12" t="n">
        <x:v>0.0020506393670538855</x:v>
      </x:c>
      <x:c r="F2201" s="12" t="n">
        <x:v>2.84</x:v>
      </x:c>
      <x:c r="G2201" s="12" t="n">
        <x:v>284</x:v>
      </x:c>
      <x:c r="H2201" s="12" t="n">
        <x:v>-3</x:v>
      </x:c>
      <x:c r="I2201" s="12" t="str">
        <x:v>TuShare index_daily</x:v>
      </x:c>
      <x:c r="J2201" s="12" t="str">
        <x:v>FRED current rolling window</x:v>
      </x:c>
    </x:row>
    <x:row r="2202" ht="18" customHeight="1">
      <x:c r="A2202" s="13" t="n">
        <x:v>45911</x:v>
      </x:c>
      <x:c r="B2202" s="12" t="n">
        <x:v>4548.0345</x:v>
      </x:c>
      <x:c r="C2202" s="12" t="n">
        <x:v>4445.3649</x:v>
      </x:c>
      <x:c r="D2202" s="12" t="n">
        <x:v>2.3096</x:v>
      </x:c>
      <x:c r="E2202" s="12" t="n">
        <x:v>0.022833203776542223</x:v>
      </x:c>
      <x:c r="F2202" s="12" t="n">
        <x:v>2.78</x:v>
      </x:c>
      <x:c r="G2202" s="12" t="n">
        <x:v>278</x:v>
      </x:c>
      <x:c r="H2202" s="12" t="n">
        <x:v>-6</x:v>
      </x:c>
      <x:c r="I2202" s="12" t="str">
        <x:v>TuShare index_daily</x:v>
      </x:c>
      <x:c r="J2202" s="12" t="str">
        <x:v>FRED current rolling window</x:v>
      </x:c>
    </x:row>
    <x:row r="2203" ht="18" customHeight="1">
      <x:c r="A2203" s="13" t="n">
        <x:v>45912</x:v>
      </x:c>
      <x:c r="B2203" s="12" t="n">
        <x:v>4521.998</x:v>
      </x:c>
      <x:c r="C2203" s="12" t="n">
        <x:v>4548.0345</x:v>
      </x:c>
      <x:c r="D2203" s="12" t="n">
        <x:v>-0.5725</x:v>
      </x:c>
      <x:c r="E2203" s="12" t="n">
        <x:v>-0.00574123003799257</x:v>
      </x:c>
      <x:c r="F2203" s="12" t="n">
        <x:v>2.79</x:v>
      </x:c>
      <x:c r="G2203" s="12" t="n">
        <x:v>279</x:v>
      </x:c>
      <x:c r="H2203" s="12" t="n">
        <x:v>1</x:v>
      </x:c>
      <x:c r="I2203" s="12" t="str">
        <x:v>TuShare index_daily</x:v>
      </x:c>
      <x:c r="J2203" s="12" t="str">
        <x:v>FRED current rolling window</x:v>
      </x:c>
    </x:row>
    <x:row r="2204" ht="18" customHeight="1">
      <x:c r="A2204" s="13" t="n">
        <x:v>45915</x:v>
      </x:c>
      <x:c r="B2204" s="12" t="n">
        <x:v>4533.0557</x:v>
      </x:c>
      <x:c r="C2204" s="12" t="n">
        <x:v>4521.998</x:v>
      </x:c>
      <x:c r="D2204" s="12" t="n">
        <x:v>0.2445</x:v>
      </x:c>
      <x:c r="E2204" s="12" t="n">
        <x:v>0.0024423279779261227</x:v>
      </x:c>
      <x:c r="F2204" s="12" t="n">
        <x:v>2.75</x:v>
      </x:c>
      <x:c r="G2204" s="12" t="n">
        <x:v>275</x:v>
      </x:c>
      <x:c r="H2204" s="12" t="n">
        <x:v>-4</x:v>
      </x:c>
      <x:c r="I2204" s="12" t="str">
        <x:v>TuShare index_daily</x:v>
      </x:c>
      <x:c r="J2204" s="12" t="str">
        <x:v>FRED current rolling window</x:v>
      </x:c>
    </x:row>
    <x:row r="2205" ht="18" customHeight="1">
      <x:c r="A2205" s="13" t="n">
        <x:v>45916</x:v>
      </x:c>
      <x:c r="B2205" s="12" t="n">
        <x:v>4523.3367</x:v>
      </x:c>
      <x:c r="C2205" s="12" t="n">
        <x:v>4533.0557</x:v>
      </x:c>
      <x:c r="D2205" s="12" t="n">
        <x:v>-0.2144</x:v>
      </x:c>
      <x:c r="E2205" s="12" t="n">
        <x:v>-0.0021463300841667505</x:v>
      </x:c>
      <x:c r="F2205" s="12" t="n">
        <x:v>2.79</x:v>
      </x:c>
      <x:c r="G2205" s="12" t="n">
        <x:v>279</x:v>
      </x:c>
      <x:c r="H2205" s="12" t="n">
        <x:v>4</x:v>
      </x:c>
      <x:c r="I2205" s="12" t="str">
        <x:v>TuShare index_daily</x:v>
      </x:c>
      <x:c r="J2205" s="12" t="str">
        <x:v>FRED current rolling window</x:v>
      </x:c>
    </x:row>
    <x:row r="2206" ht="18" customHeight="1">
      <x:c r="A2206" s="13" t="n">
        <x:v>45917</x:v>
      </x:c>
      <x:c r="B2206" s="12" t="n">
        <x:v>4551.023</x:v>
      </x:c>
      <x:c r="C2206" s="12" t="n">
        <x:v>4523.3367</x:v>
      </x:c>
      <x:c r="D2206" s="12" t="n">
        <x:v>0.6121</x:v>
      </x:c>
      <x:c r="E2206" s="12" t="n">
        <x:v>0.006102113388792819</x:v>
      </x:c>
      <x:c r="F2206" s="12" t="n">
        <x:v>2.79</x:v>
      </x:c>
      <x:c r="G2206" s="12" t="n">
        <x:v>279</x:v>
      </x:c>
      <x:c r="H2206" s="12" t="n">
        <x:v>0</x:v>
      </x:c>
      <x:c r="I2206" s="12" t="str">
        <x:v>TuShare index_daily</x:v>
      </x:c>
      <x:c r="J2206" s="12" t="str">
        <x:v>FRED current rolling window</x:v>
      </x:c>
    </x:row>
    <x:row r="2207" ht="18" customHeight="1">
      <x:c r="A2207" s="13" t="n">
        <x:v>45918</x:v>
      </x:c>
      <x:c r="B2207" s="12" t="n">
        <x:v>4498.109</x:v>
      </x:c>
      <x:c r="C2207" s="12" t="n">
        <x:v>4551.023</x:v>
      </x:c>
      <x:c r="D2207" s="12" t="n">
        <x:v>-1.1627</x:v>
      </x:c>
      <x:c r="E2207" s="12" t="n">
        <x:v>-0.011694956620105569</x:v>
      </x:c>
      <x:c r="F2207" s="12" t="n">
        <x:v>2.71</x:v>
      </x:c>
      <x:c r="G2207" s="12" t="n">
        <x:v>271</x:v>
      </x:c>
      <x:c r="H2207" s="12" t="n">
        <x:v>-8</x:v>
      </x:c>
      <x:c r="I2207" s="12" t="str">
        <x:v>TuShare index_daily</x:v>
      </x:c>
      <x:c r="J2207" s="12" t="str">
        <x:v>FRED current rolling window</x:v>
      </x:c>
    </x:row>
    <x:row r="2208" ht="18" customHeight="1">
      <x:c r="A2208" s="13" t="n">
        <x:v>45919</x:v>
      </x:c>
      <x:c r="B2208" s="12" t="n">
        <x:v>4501.9195</x:v>
      </x:c>
      <x:c r="C2208" s="12" t="n">
        <x:v>4498.109</x:v>
      </x:c>
      <x:c r="D2208" s="12" t="n">
        <x:v>0.0847</x:v>
      </x:c>
      <x:c r="E2208" s="12" t="n">
        <x:v>0.000846775146920046</x:v>
      </x:c>
      <x:c r="F2208" s="12" t="n">
        <x:v>2.72</x:v>
      </x:c>
      <x:c r="G2208" s="12" t="n">
        <x:v>272</x:v>
      </x:c>
      <x:c r="H2208" s="12" t="n">
        <x:v>1</x:v>
      </x:c>
      <x:c r="I2208" s="12" t="str">
        <x:v>TuShare index_daily</x:v>
      </x:c>
      <x:c r="J2208" s="12" t="str">
        <x:v>FRED current rolling window</x:v>
      </x:c>
    </x:row>
    <x:row r="2209" ht="18" customHeight="1">
      <x:c r="A2209" s="13" t="n">
        <x:v>45922</x:v>
      </x:c>
      <x:c r="B2209" s="12" t="n">
        <x:v>4522.608</x:v>
      </x:c>
      <x:c r="C2209" s="12" t="n">
        <x:v>4501.9195</x:v>
      </x:c>
      <x:c r="D2209" s="12" t="n">
        <x:v>0.4595</x:v>
      </x:c>
      <x:c r="E2209" s="12" t="n">
        <x:v>0.004584957216320352</x:v>
      </x:c>
      <x:c r="F2209" s="12" t="n">
        <x:v>2.69</x:v>
      </x:c>
      <x:c r="G2209" s="12" t="n">
        <x:v>269</x:v>
      </x:c>
      <x:c r="H2209" s="12" t="n">
        <x:v>-3</x:v>
      </x:c>
      <x:c r="I2209" s="12" t="str">
        <x:v>TuShare index_daily</x:v>
      </x:c>
      <x:c r="J2209" s="12" t="str">
        <x:v>FRED current rolling window</x:v>
      </x:c>
    </x:row>
    <x:row r="2210" ht="18" customHeight="1">
      <x:c r="A2210" s="13" t="n">
        <x:v>45923</x:v>
      </x:c>
      <x:c r="B2210" s="12" t="n">
        <x:v>4519.7781</x:v>
      </x:c>
      <x:c r="C2210" s="12" t="n">
        <x:v>4522.608</x:v>
      </x:c>
      <x:c r="D2210" s="12" t="n">
        <x:v>-0.0626</x:v>
      </x:c>
      <x:c r="E2210" s="12" t="n">
        <x:v>-0.0006259188805021417</x:v>
      </x:c>
      <x:c r="F2210" s="12" t="n">
        <x:v>2.71</x:v>
      </x:c>
      <x:c r="G2210" s="12" t="n">
        <x:v>271</x:v>
      </x:c>
      <x:c r="H2210" s="12" t="n">
        <x:v>2</x:v>
      </x:c>
      <x:c r="I2210" s="12" t="str">
        <x:v>TuShare index_daily</x:v>
      </x:c>
      <x:c r="J2210" s="12" t="str">
        <x:v>FRED current rolling window</x:v>
      </x:c>
    </x:row>
    <x:row r="2211" ht="18" customHeight="1">
      <x:c r="A2211" s="13" t="n">
        <x:v>45924</x:v>
      </x:c>
      <x:c r="B2211" s="12" t="n">
        <x:v>4566.0708</x:v>
      </x:c>
      <x:c r="C2211" s="12" t="n">
        <x:v>4519.7781</x:v>
      </x:c>
      <x:c r="D2211" s="12" t="n">
        <x:v>1.0242</x:v>
      </x:c>
      <x:c r="E2211" s="12" t="n">
        <x:v>0.010190154181971384</x:v>
      </x:c>
      <x:c r="F2211" s="12" t="n">
        <x:v>2.7</x:v>
      </x:c>
      <x:c r="G2211" s="12" t="n">
        <x:v>270</x:v>
      </x:c>
      <x:c r="H2211" s="12" t="n">
        <x:v>-1</x:v>
      </x:c>
      <x:c r="I2211" s="12" t="str">
        <x:v>TuShare index_daily</x:v>
      </x:c>
      <x:c r="J2211" s="12" t="str">
        <x:v>FRED current rolling window</x:v>
      </x:c>
    </x:row>
    <x:row r="2212" ht="18" customHeight="1">
      <x:c r="A2212" s="13" t="n">
        <x:v>45925</x:v>
      </x:c>
      <x:c r="B2212" s="12" t="n">
        <x:v>4593.4875</x:v>
      </x:c>
      <x:c r="C2212" s="12" t="n">
        <x:v>4566.0708</x:v>
      </x:c>
      <x:c r="D2212" s="12" t="n">
        <x:v>0.6004</x:v>
      </x:c>
      <x:c r="E2212" s="12" t="n">
        <x:v>0.0059864855884912554</x:v>
      </x:c>
      <x:c r="F2212" s="12" t="n">
        <x:v>2.76</x:v>
      </x:c>
      <x:c r="G2212" s="12" t="n">
        <x:v>276</x:v>
      </x:c>
      <x:c r="H2212" s="12" t="n">
        <x:v>6</x:v>
      </x:c>
      <x:c r="I2212" s="12" t="str">
        <x:v>TuShare index_daily</x:v>
      </x:c>
      <x:c r="J2212" s="12" t="str">
        <x:v>FRED current rolling window</x:v>
      </x:c>
    </x:row>
    <x:row r="2213" ht="18" customHeight="1">
      <x:c r="A2213" s="13" t="n">
        <x:v>45926</x:v>
      </x:c>
      <x:c r="B2213" s="12" t="n">
        <x:v>4550.0487</x:v>
      </x:c>
      <x:c r="C2213" s="12" t="n">
        <x:v>4593.4875</x:v>
      </x:c>
      <x:c r="D2213" s="12" t="n">
        <x:v>-0.9457</x:v>
      </x:c>
      <x:c r="E2213" s="12" t="n">
        <x:v>-0.009501603286869161</x:v>
      </x:c>
      <x:c r="F2213" s="12" t="n">
        <x:v>2.75</x:v>
      </x:c>
      <x:c r="G2213" s="12" t="n">
        <x:v>275</x:v>
      </x:c>
      <x:c r="H2213" s="12" t="n">
        <x:v>-1</x:v>
      </x:c>
      <x:c r="I2213" s="12" t="str">
        <x:v>TuShare index_daily</x:v>
      </x:c>
      <x:c r="J2213" s="12" t="str">
        <x:v>FRED current rolling window</x:v>
      </x:c>
    </x:row>
    <x:row r="2214" ht="18" customHeight="1">
      <x:c r="A2214" s="13" t="n">
        <x:v>45929</x:v>
      </x:c>
      <x:c r="B2214" s="12" t="n">
        <x:v>4620.0528</x:v>
      </x:c>
      <x:c r="C2214" s="12" t="n">
        <x:v>4550.0487</x:v>
      </x:c>
      <x:c r="D2214" s="12" t="n">
        <x:v>1.5385</x:v>
      </x:c>
      <x:c r="E2214" s="12" t="n">
        <x:v>0.01526819739748804</x:v>
      </x:c>
      <x:c r="F2214" s="12" t="n">
        <x:v>2.74</x:v>
      </x:c>
      <x:c r="G2214" s="12" t="n">
        <x:v>274</x:v>
      </x:c>
      <x:c r="H2214" s="12" t="n">
        <x:v>-1</x:v>
      </x:c>
      <x:c r="I2214" s="12" t="str">
        <x:v>TuShare index_daily</x:v>
      </x:c>
      <x:c r="J2214" s="12" t="str">
        <x:v>FRED current rolling window</x:v>
      </x:c>
    </x:row>
    <x:row r="2215" ht="18" customHeight="1">
      <x:c r="A2215" s="13" t="n">
        <x:v>45930</x:v>
      </x:c>
      <x:c r="B2215" s="12" t="n">
        <x:v>4640.6935</x:v>
      </x:c>
      <x:c r="C2215" s="12" t="n">
        <x:v>4620.0528</x:v>
      </x:c>
      <x:c r="D2215" s="12" t="n">
        <x:v>0.4468</x:v>
      </x:c>
      <x:c r="E2215" s="12" t="n">
        <x:v>0.004457682677076719</x:v>
      </x:c>
      <x:c r="F2215" s="12" t="n">
        <x:v>2.8</x:v>
      </x:c>
      <x:c r="G2215" s="12" t="n">
        <x:v>280</x:v>
      </x:c>
      <x:c r="H2215" s="12" t="n">
        <x:v>6</x:v>
      </x:c>
      <x:c r="I2215" s="12" t="str">
        <x:v>TuShare index_daily</x:v>
      </x:c>
      <x:c r="J2215" s="12" t="str">
        <x:v>FRED current rolling window</x:v>
      </x:c>
    </x:row>
    <x:row r="2216" ht="18" customHeight="1">
      <x:c r="A2216" s="13" t="n">
        <x:v>45939</x:v>
      </x:c>
      <x:c r="B2216" s="12" t="n">
        <x:v>4709.482</x:v>
      </x:c>
      <x:c r="C2216" s="12" t="n">
        <x:v>4640.6935</x:v>
      </x:c>
      <x:c r="D2216" s="12" t="n">
        <x:v>1.4823</x:v>
      </x:c>
      <x:c r="E2216" s="12" t="n">
        <x:v>0.014714106934793574</x:v>
      </x:c>
      <x:c r="F2216" s="12" t="n">
        <x:v>2.95</x:v>
      </x:c>
      <x:c r="G2216" s="12" t="n">
        <x:v>295</x:v>
      </x:c>
      <x:c r="H2216" s="12" t="n">
        <x:v>11</x:v>
      </x:c>
      <x:c r="I2216" s="12" t="str">
        <x:v>TuShare index_daily</x:v>
      </x:c>
      <x:c r="J2216" s="12" t="str">
        <x:v>FRED current rolling window</x:v>
      </x:c>
    </x:row>
    <x:row r="2217" ht="18" customHeight="1">
      <x:c r="A2217" s="13" t="n">
        <x:v>45940</x:v>
      </x:c>
      <x:c r="B2217" s="12" t="n">
        <x:v>4616.8341</x:v>
      </x:c>
      <x:c r="C2217" s="12" t="n">
        <x:v>4709.482</x:v>
      </x:c>
      <x:c r="D2217" s="12" t="n">
        <x:v>-1.9673</x:v>
      </x:c>
      <x:c r="E2217" s="12" t="n">
        <x:v>-0.01986871275602549</x:v>
      </x:c>
      <x:c r="F2217" s="12" t="n">
        <x:v>3.18</x:v>
      </x:c>
      <x:c r="G2217" s="12" t="n">
        <x:v>318</x:v>
      </x:c>
      <x:c r="H2217" s="12" t="n">
        <x:v>23</x:v>
      </x:c>
      <x:c r="I2217" s="12" t="str">
        <x:v>TuShare index_daily</x:v>
      </x:c>
      <x:c r="J2217" s="12" t="str">
        <x:v>FRED current rolling window</x:v>
      </x:c>
    </x:row>
    <x:row r="2218" ht="18" customHeight="1">
      <x:c r="A2218" s="13" t="n">
        <x:v>45943</x:v>
      </x:c>
      <x:c r="B2218" s="12" t="n">
        <x:v>4593.9785</x:v>
      </x:c>
      <x:c r="C2218" s="12" t="n">
        <x:v>4616.8341</x:v>
      </x:c>
      <x:c r="D2218" s="12" t="n">
        <x:v>-0.495</x:v>
      </x:c>
      <x:c r="E2218" s="12" t="n">
        <x:v>-0.00496278621707397</x:v>
      </x:c>
      <x:c r="F2218" s="12" t="n">
        <x:v>3.18</x:v>
      </x:c>
      <x:c r="G2218" s="12" t="n">
        <x:v>318</x:v>
      </x:c>
      <x:c r="H2218" s="12" t="n">
        <x:v>0</x:v>
      </x:c>
      <x:c r="I2218" s="12" t="str">
        <x:v>TuShare index_daily</x:v>
      </x:c>
      <x:c r="J2218" s="12" t="str">
        <x:v>FRED current rolling window</x:v>
      </x:c>
    </x:row>
    <x:row r="2219" ht="18" customHeight="1">
      <x:c r="A2219" s="13" t="n">
        <x:v>45944</x:v>
      </x:c>
      <x:c r="B2219" s="12" t="n">
        <x:v>4539.0644</x:v>
      </x:c>
      <x:c r="C2219" s="12" t="n">
        <x:v>4593.9785</x:v>
      </x:c>
      <x:c r="D2219" s="12" t="n">
        <x:v>-1.1953</x:v>
      </x:c>
      <x:c r="E2219" s="12" t="n">
        <x:v>-0.012025512717694411</x:v>
      </x:c>
      <x:c r="F2219" s="12" t="n">
        <x:v>3.11</x:v>
      </x:c>
      <x:c r="G2219" s="12" t="n">
        <x:v>311</x:v>
      </x:c>
      <x:c r="H2219" s="12" t="n">
        <x:v>-7</x:v>
      </x:c>
      <x:c r="I2219" s="12" t="str">
        <x:v>TuShare index_daily</x:v>
      </x:c>
      <x:c r="J2219" s="12" t="str">
        <x:v>FRED current rolling window</x:v>
      </x:c>
    </x:row>
    <x:row r="2220" ht="18" customHeight="1">
      <x:c r="A2220" s="13" t="n">
        <x:v>45945</x:v>
      </x:c>
      <x:c r="B2220" s="12" t="n">
        <x:v>4606.2879</x:v>
      </x:c>
      <x:c r="C2220" s="12" t="n">
        <x:v>4539.0644</x:v>
      </x:c>
      <x:c r="D2220" s="12" t="n">
        <x:v>1.481</x:v>
      </x:c>
      <x:c r="E2220" s="12" t="n">
        <x:v>0.01470139335196678</x:v>
      </x:c>
      <x:c r="F2220" s="12" t="n">
        <x:v>2.95</x:v>
      </x:c>
      <x:c r="G2220" s="12" t="n">
        <x:v>295</x:v>
      </x:c>
      <x:c r="H2220" s="12" t="n">
        <x:v>-16</x:v>
      </x:c>
      <x:c r="I2220" s="12" t="str">
        <x:v>TuShare index_daily</x:v>
      </x:c>
      <x:c r="J2220" s="12" t="str">
        <x:v>FRED current rolling window</x:v>
      </x:c>
    </x:row>
    <x:row r="2221" ht="18" customHeight="1">
      <x:c r="A2221" s="13" t="n">
        <x:v>45946</x:v>
      </x:c>
      <x:c r="B2221" s="12" t="n">
        <x:v>4618.4218</x:v>
      </x:c>
      <x:c r="C2221" s="12" t="n">
        <x:v>4606.2879</x:v>
      </x:c>
      <x:c r="D2221" s="12" t="n">
        <x:v>0.2634</x:v>
      </x:c>
      <x:c r="E2221" s="12" t="n">
        <x:v>0.0026307401300698563</x:v>
      </x:c>
      <x:c r="F2221" s="12" t="n">
        <x:v>3.04</x:v>
      </x:c>
      <x:c r="G2221" s="12" t="n">
        <x:v>304</x:v>
      </x:c>
      <x:c r="H2221" s="12" t="n">
        <x:v>9</x:v>
      </x:c>
      <x:c r="I2221" s="12" t="str">
        <x:v>TuShare index_daily</x:v>
      </x:c>
      <x:c r="J2221" s="12" t="str">
        <x:v>FRED current rolling window</x:v>
      </x:c>
    </x:row>
    <x:row r="2222" ht="18" customHeight="1">
      <x:c r="A2222" s="13" t="n">
        <x:v>45947</x:v>
      </x:c>
      <x:c r="B2222" s="12" t="n">
        <x:v>4514.2345</x:v>
      </x:c>
      <x:c r="C2222" s="12" t="n">
        <x:v>4618.4218</x:v>
      </x:c>
      <x:c r="D2222" s="12" t="n">
        <x:v>-2.2559</x:v>
      </x:c>
      <x:c r="E2222" s="12" t="n">
        <x:v>-0.02281741846639355</x:v>
      </x:c>
      <x:c r="F2222" s="12" t="n">
        <x:v>3.04</x:v>
      </x:c>
      <x:c r="G2222" s="12" t="n">
        <x:v>304</x:v>
      </x:c>
      <x:c r="H2222" s="12" t="n">
        <x:v>0</x:v>
      </x:c>
      <x:c r="I2222" s="12" t="str">
        <x:v>TuShare index_daily</x:v>
      </x:c>
      <x:c r="J2222" s="12" t="str">
        <x:v>FRED current rolling window</x:v>
      </x:c>
    </x:row>
    <x:row r="2223" ht="18" customHeight="1">
      <x:c r="A2223" s="13" t="n">
        <x:v>45950</x:v>
      </x:c>
      <x:c r="B2223" s="12" t="n">
        <x:v>4538.2201</x:v>
      </x:c>
      <x:c r="C2223" s="12" t="n">
        <x:v>4514.2345</x:v>
      </x:c>
      <x:c r="D2223" s="12" t="n">
        <x:v>0.5313</x:v>
      </x:c>
      <x:c r="E2223" s="12" t="n">
        <x:v>0.005299260187528013</x:v>
      </x:c>
      <x:c r="F2223" s="12" t="n">
        <x:v>2.99</x:v>
      </x:c>
      <x:c r="G2223" s="12" t="n">
        <x:v>299</x:v>
      </x:c>
      <x:c r="H2223" s="12" t="n">
        <x:v>-5</x:v>
      </x:c>
      <x:c r="I2223" s="12" t="str">
        <x:v>TuShare index_daily</x:v>
      </x:c>
      <x:c r="J2223" s="12" t="str">
        <x:v>FRED current rolling window</x:v>
      </x:c>
    </x:row>
    <x:row r="2224" ht="18" customHeight="1">
      <x:c r="A2224" s="13" t="n">
        <x:v>45951</x:v>
      </x:c>
      <x:c r="B2224" s="12" t="n">
        <x:v>4607.8715</x:v>
      </x:c>
      <x:c r="C2224" s="12" t="n">
        <x:v>4538.2201</x:v>
      </x:c>
      <x:c r="D2224" s="12" t="n">
        <x:v>1.5348</x:v>
      </x:c>
      <x:c r="E2224" s="12" t="n">
        <x:v>0.015231149996020378</x:v>
      </x:c>
      <x:c r="F2224" s="12" t="n">
        <x:v>2.97</x:v>
      </x:c>
      <x:c r="G2224" s="12" t="n">
        <x:v>297</x:v>
      </x:c>
      <x:c r="H2224" s="12" t="n">
        <x:v>-2</x:v>
      </x:c>
      <x:c r="I2224" s="12" t="str">
        <x:v>TuShare index_daily</x:v>
      </x:c>
      <x:c r="J2224" s="12" t="str">
        <x:v>FRED current rolling window</x:v>
      </x:c>
    </x:row>
    <x:row r="2225" ht="18" customHeight="1">
      <x:c r="A2225" s="13" t="n">
        <x:v>45952</x:v>
      </x:c>
      <x:c r="B2225" s="12" t="n">
        <x:v>4592.57</x:v>
      </x:c>
      <x:c r="C2225" s="12" t="n">
        <x:v>4607.8715</x:v>
      </x:c>
      <x:c r="D2225" s="12" t="n">
        <x:v>-0.3321</x:v>
      </x:c>
      <x:c r="E2225" s="12" t="n">
        <x:v>-0.0033262564862693283</x:v>
      </x:c>
      <x:c r="F2225" s="12" t="n">
        <x:v>3.01</x:v>
      </x:c>
      <x:c r="G2225" s="12" t="n">
        <x:v>301</x:v>
      </x:c>
      <x:c r="H2225" s="12" t="n">
        <x:v>4</x:v>
      </x:c>
      <x:c r="I2225" s="12" t="str">
        <x:v>TuShare index_daily</x:v>
      </x:c>
      <x:c r="J2225" s="12" t="str">
        <x:v>FRED current rolling window</x:v>
      </x:c>
    </x:row>
    <x:row r="2226" ht="18" customHeight="1">
      <x:c r="A2226" s="13" t="n">
        <x:v>45953</x:v>
      </x:c>
      <x:c r="B2226" s="12" t="n">
        <x:v>4606.3447</x:v>
      </x:c>
      <x:c r="C2226" s="12" t="n">
        <x:v>4592.57</x:v>
      </x:c>
      <x:c r="D2226" s="12" t="n">
        <x:v>0.2999</x:v>
      </x:c>
      <x:c r="E2226" s="12" t="n">
        <x:v>0.00299485553347343</x:v>
      </x:c>
      <x:c r="F2226" s="12" t="n">
        <x:v>2.96</x:v>
      </x:c>
      <x:c r="G2226" s="12" t="n">
        <x:v>296</x:v>
      </x:c>
      <x:c r="H2226" s="12" t="n">
        <x:v>-5</x:v>
      </x:c>
      <x:c r="I2226" s="12" t="str">
        <x:v>TuShare index_daily</x:v>
      </x:c>
      <x:c r="J2226" s="12" t="str">
        <x:v>FRED current rolling window</x:v>
      </x:c>
    </x:row>
    <x:row r="2227" ht="18" customHeight="1">
      <x:c r="A2227" s="13" t="n">
        <x:v>45954</x:v>
      </x:c>
      <x:c r="B2227" s="12" t="n">
        <x:v>4660.6835</x:v>
      </x:c>
      <x:c r="C2227" s="12" t="n">
        <x:v>4606.3447</x:v>
      </x:c>
      <x:c r="D2227" s="12" t="n">
        <x:v>1.1797</x:v>
      </x:c>
      <x:c r="E2227" s="12" t="n">
        <x:v>0.011727475434501661</x:v>
      </x:c>
      <x:c r="F2227" s="12" t="n">
        <x:v>2.88</x:v>
      </x:c>
      <x:c r="G2227" s="12" t="n">
        <x:v>288</x:v>
      </x:c>
      <x:c r="H2227" s="12" t="n">
        <x:v>-8</x:v>
      </x:c>
      <x:c r="I2227" s="12" t="str">
        <x:v>TuShare index_daily</x:v>
      </x:c>
      <x:c r="J2227" s="12" t="str">
        <x:v>FRED current rolling window</x:v>
      </x:c>
    </x:row>
    <x:row r="2228" ht="18" customHeight="1">
      <x:c r="A2228" s="13" t="n">
        <x:v>45957</x:v>
      </x:c>
      <x:c r="B2228" s="12" t="n">
        <x:v>4716.0186</x:v>
      </x:c>
      <x:c r="C2228" s="12" t="n">
        <x:v>4660.6835</x:v>
      </x:c>
      <x:c r="D2228" s="12" t="n">
        <x:v>1.1873</x:v>
      </x:c>
      <x:c r="E2228" s="12" t="n">
        <x:v>0.011802815485959269</x:v>
      </x:c>
      <x:c r="F2228" s="12" t="n">
        <x:v>2.8</x:v>
      </x:c>
      <x:c r="G2228" s="12" t="n">
        <x:v>280</x:v>
      </x:c>
      <x:c r="H2228" s="12" t="n">
        <x:v>-8</x:v>
      </x:c>
      <x:c r="I2228" s="12" t="str">
        <x:v>TuShare index_daily</x:v>
      </x:c>
      <x:c r="J2228" s="12" t="str">
        <x:v>FRED current rolling window</x:v>
      </x:c>
    </x:row>
    <x:row r="2229" ht="18" customHeight="1">
      <x:c r="A2229" s="13" t="n">
        <x:v>45958</x:v>
      </x:c>
      <x:c r="B2229" s="12" t="n">
        <x:v>4691.973</x:v>
      </x:c>
      <x:c r="C2229" s="12" t="n">
        <x:v>4716.0186</x:v>
      </x:c>
      <x:c r="D2229" s="12" t="n">
        <x:v>-0.5099</x:v>
      </x:c>
      <x:c r="E2229" s="12" t="n">
        <x:v>-0.005111750388734483</x:v>
      </x:c>
      <x:c r="F2229" s="12" t="n">
        <x:v>2.82</x:v>
      </x:c>
      <x:c r="G2229" s="12" t="n">
        <x:v>282</x:v>
      </x:c>
      <x:c r="H2229" s="12" t="n">
        <x:v>2</x:v>
      </x:c>
      <x:c r="I2229" s="12" t="str">
        <x:v>TuShare index_daily</x:v>
      </x:c>
      <x:c r="J2229" s="12" t="str">
        <x:v>FRED current rolling window</x:v>
      </x:c>
    </x:row>
    <x:row r="2230" ht="18" customHeight="1">
      <x:c r="A2230" s="13" t="n">
        <x:v>45959</x:v>
      </x:c>
      <x:c r="B2230" s="12" t="n">
        <x:v>4747.8378</x:v>
      </x:c>
      <x:c r="C2230" s="12" t="n">
        <x:v>4691.973</x:v>
      </x:c>
      <x:c r="D2230" s="12" t="n">
        <x:v>1.1906</x:v>
      </x:c>
      <x:c r="E2230" s="12" t="n">
        <x:v>0.01183613811261025</x:v>
      </x:c>
      <x:c r="F2230" s="12" t="n">
        <x:v>2.76</x:v>
      </x:c>
      <x:c r="G2230" s="12" t="n">
        <x:v>276</x:v>
      </x:c>
      <x:c r="H2230" s="12" t="n">
        <x:v>-6</x:v>
      </x:c>
      <x:c r="I2230" s="12" t="str">
        <x:v>TuShare index_daily</x:v>
      </x:c>
      <x:c r="J2230" s="12" t="str">
        <x:v>FRED current rolling window</x:v>
      </x:c>
    </x:row>
    <x:row r="2231" ht="18" customHeight="1">
      <x:c r="A2231" s="13" t="n">
        <x:v>45960</x:v>
      </x:c>
      <x:c r="B2231" s="12" t="n">
        <x:v>4709.911</x:v>
      </x:c>
      <x:c r="C2231" s="12" t="n">
        <x:v>4747.8378</x:v>
      </x:c>
      <x:c r="D2231" s="12" t="n">
        <x:v>-0.7988</x:v>
      </x:c>
      <x:c r="E2231" s="12" t="n">
        <x:v>-0.00802030252781325</x:v>
      </x:c>
      <x:c r="F2231" s="12" t="n">
        <x:v>2.85</x:v>
      </x:c>
      <x:c r="G2231" s="12" t="n">
        <x:v>285</x:v>
      </x:c>
      <x:c r="H2231" s="12" t="n">
        <x:v>9</x:v>
      </x:c>
      <x:c r="I2231" s="12" t="str">
        <x:v>TuShare index_daily</x:v>
      </x:c>
      <x:c r="J2231" s="12" t="str">
        <x:v>FRED current rolling window</x:v>
      </x:c>
    </x:row>
    <x:row r="2232" ht="18" customHeight="1">
      <x:c r="A2232" s="13" t="n">
        <x:v>45961</x:v>
      </x:c>
      <x:c r="B2232" s="12" t="n">
        <x:v>4640.6676</x:v>
      </x:c>
      <x:c r="C2232" s="12" t="n">
        <x:v>4709.911</x:v>
      </x:c>
      <x:c r="D2232" s="12" t="n">
        <x:v>-1.4702</x:v>
      </x:c>
      <x:c r="E2232" s="12" t="n">
        <x:v>-0.014810776684892252</x:v>
      </x:c>
      <x:c r="F2232" s="12" t="n">
        <x:v>2.94</x:v>
      </x:c>
      <x:c r="G2232" s="12" t="n">
        <x:v>294</x:v>
      </x:c>
      <x:c r="H2232" s="12" t="n">
        <x:v>9</x:v>
      </x:c>
      <x:c r="I2232" s="12" t="str">
        <x:v>TuShare index_daily</x:v>
      </x:c>
      <x:c r="J2232" s="12" t="str">
        <x:v>FRED current rolling window</x:v>
      </x:c>
    </x:row>
    <x:row r="2233" ht="18" customHeight="1">
      <x:c r="A2233" s="13" t="n">
        <x:v>45964</x:v>
      </x:c>
      <x:c r="B2233" s="12" t="n">
        <x:v>4653.4028</x:v>
      </x:c>
      <x:c r="C2233" s="12" t="n">
        <x:v>4640.6676</x:v>
      </x:c>
      <x:c r="D2233" s="12" t="n">
        <x:v>0.2744</x:v>
      </x:c>
      <x:c r="E2233" s="12" t="n">
        <x:v>0.002740501722578582</x:v>
      </x:c>
      <x:c r="F2233" s="12" t="n">
        <x:v>3.04</x:v>
      </x:c>
      <x:c r="G2233" s="12" t="n">
        <x:v>304</x:v>
      </x:c>
      <x:c r="H2233" s="12" t="n">
        <x:v>10</x:v>
      </x:c>
      <x:c r="I2233" s="12" t="str">
        <x:v>TuShare index_daily</x:v>
      </x:c>
      <x:c r="J2233" s="12" t="str">
        <x:v>FRED current rolling window</x:v>
      </x:c>
    </x:row>
    <x:row r="2234" ht="18" customHeight="1">
      <x:c r="A2234" s="13" t="n">
        <x:v>45965</x:v>
      </x:c>
      <x:c r="B2234" s="12" t="n">
        <x:v>4618.699</x:v>
      </x:c>
      <x:c r="C2234" s="12" t="n">
        <x:v>4653.4028</x:v>
      </x:c>
      <x:c r="D2234" s="12" t="n">
        <x:v>-0.7458</x:v>
      </x:c>
      <x:c r="E2234" s="12" t="n">
        <x:v>-0.00748567321661909</x:v>
      </x:c>
      <x:c r="F2234" s="12" t="n">
        <x:v>3.13</x:v>
      </x:c>
      <x:c r="G2234" s="12" t="n">
        <x:v>313</x:v>
      </x:c>
      <x:c r="H2234" s="12" t="n">
        <x:v>9</x:v>
      </x:c>
      <x:c r="I2234" s="12" t="str">
        <x:v>TuShare index_daily</x:v>
      </x:c>
      <x:c r="J2234" s="12" t="str">
        <x:v>FRED current rolling window</x:v>
      </x:c>
    </x:row>
    <x:row r="2235" ht="18" customHeight="1">
      <x:c r="A2235" s="13" t="n">
        <x:v>45966</x:v>
      </x:c>
      <x:c r="B2235" s="12" t="n">
        <x:v>4627.257</x:v>
      </x:c>
      <x:c r="C2235" s="12" t="n">
        <x:v>4618.699</x:v>
      </x:c>
      <x:c r="D2235" s="12" t="n">
        <x:v>0.1853</x:v>
      </x:c>
      <x:c r="E2235" s="12" t="n">
        <x:v>0.0018511882262794356</x:v>
      </x:c>
      <x:c r="F2235" s="12" t="n">
        <x:v>3.05</x:v>
      </x:c>
      <x:c r="G2235" s="12" t="n">
        <x:v>305</x:v>
      </x:c>
      <x:c r="H2235" s="12" t="n">
        <x:v>-8</x:v>
      </x:c>
      <x:c r="I2235" s="12" t="str">
        <x:v>TuShare index_daily</x:v>
      </x:c>
      <x:c r="J2235" s="12" t="str">
        <x:v>FRED current rolling window</x:v>
      </x:c>
    </x:row>
    <x:row r="2236" ht="18" customHeight="1">
      <x:c r="A2236" s="13" t="n">
        <x:v>45967</x:v>
      </x:c>
      <x:c r="B2236" s="12" t="n">
        <x:v>4693.4032</x:v>
      </x:c>
      <x:c r="C2236" s="12" t="n">
        <x:v>4627.257</x:v>
      </x:c>
      <x:c r="D2236" s="12" t="n">
        <x:v>1.4295</x:v>
      </x:c>
      <x:c r="E2236" s="12" t="n">
        <x:v>0.014193696383509896</x:v>
      </x:c>
      <x:c r="F2236" s="12" t="n">
        <x:v>3.13</x:v>
      </x:c>
      <x:c r="G2236" s="12" t="n">
        <x:v>313</x:v>
      </x:c>
      <x:c r="H2236" s="12" t="n">
        <x:v>8</x:v>
      </x:c>
      <x:c r="I2236" s="12" t="str">
        <x:v>TuShare index_daily</x:v>
      </x:c>
      <x:c r="J2236" s="12" t="str">
        <x:v>FRED current rolling window</x:v>
      </x:c>
    </x:row>
    <x:row r="2237" ht="18" customHeight="1">
      <x:c r="A2237" s="13" t="n">
        <x:v>45968</x:v>
      </x:c>
      <x:c r="B2237" s="12" t="n">
        <x:v>4678.7944</x:v>
      </x:c>
      <x:c r="C2237" s="12" t="n">
        <x:v>4693.4032</x:v>
      </x:c>
      <x:c r="D2237" s="12" t="n">
        <x:v>-0.3113</x:v>
      </x:c>
      <x:c r="E2237" s="12" t="n">
        <x:v>-0.003117478409014484</x:v>
      </x:c>
      <x:c r="F2237" s="12" t="n">
        <x:v>3.15</x:v>
      </x:c>
      <x:c r="G2237" s="12" t="n">
        <x:v>315</x:v>
      </x:c>
      <x:c r="H2237" s="12" t="n">
        <x:v>2</x:v>
      </x:c>
      <x:c r="I2237" s="12" t="str">
        <x:v>TuShare index_daily</x:v>
      </x:c>
      <x:c r="J2237" s="12" t="str">
        <x:v>FRED current rolling window</x:v>
      </x:c>
    </x:row>
    <x:row r="2238" ht="18" customHeight="1">
      <x:c r="A2238" s="13" t="n">
        <x:v>45971</x:v>
      </x:c>
      <x:c r="B2238" s="12" t="n">
        <x:v>4695.0507</x:v>
      </x:c>
      <x:c r="C2238" s="12" t="n">
        <x:v>4678.7944</x:v>
      </x:c>
      <x:c r="D2238" s="12" t="n">
        <x:v>0.3474</x:v>
      </x:c>
      <x:c r="E2238" s="12" t="n">
        <x:v>0.0034684414183575644</x:v>
      </x:c>
      <x:c r="F2238" s="12" t="n">
        <x:v>3.02</x:v>
      </x:c>
      <x:c r="G2238" s="12" t="n">
        <x:v>302</x:v>
      </x:c>
      <x:c r="H2238" s="12" t="n">
        <x:v>-13</x:v>
      </x:c>
      <x:c r="I2238" s="12" t="str">
        <x:v>TuShare index_daily</x:v>
      </x:c>
      <x:c r="J2238" s="12" t="str">
        <x:v>FRED current rolling window</x:v>
      </x:c>
    </x:row>
    <x:row r="2239" ht="18" customHeight="1">
      <x:c r="A2239" s="13" t="n">
        <x:v>45972</x:v>
      </x:c>
      <x:c r="B2239" s="12" t="n">
        <x:v>4652.1655</x:v>
      </x:c>
      <x:c r="C2239" s="12" t="n">
        <x:v>4695.0507</x:v>
      </x:c>
      <x:c r="D2239" s="12" t="n">
        <x:v>-0.9134</x:v>
      </x:c>
      <x:c r="E2239" s="12" t="n">
        <x:v>-0.009176101204058719</x:v>
      </x:c>
      <x:c r="F2239" s="12" t="n">
        <x:v>3.02</x:v>
      </x:c>
      <x:c r="G2239" s="12" t="n">
        <x:v>302</x:v>
      </x:c>
      <x:c r="H2239" s="12" t="n">
        <x:v>0</x:v>
      </x:c>
      <x:c r="I2239" s="12" t="str">
        <x:v>TuShare index_daily</x:v>
      </x:c>
      <x:c r="J2239" s="12" t="str">
        <x:v>FRED current rolling window</x:v>
      </x:c>
    </x:row>
    <x:row r="2240" ht="18" customHeight="1">
      <x:c r="A2240" s="13" t="n">
        <x:v>45973</x:v>
      </x:c>
      <x:c r="B2240" s="12" t="n">
        <x:v>4645.9079</x:v>
      </x:c>
      <x:c r="C2240" s="12" t="n">
        <x:v>4652.1655</x:v>
      </x:c>
      <x:c r="D2240" s="12" t="n">
        <x:v>-0.1345</x:v>
      </x:c>
      <x:c r="E2240" s="12" t="n">
        <x:v>-0.001345999472266731</x:v>
      </x:c>
      <x:c r="F2240" s="12" t="n">
        <x:v>3.02</x:v>
      </x:c>
      <x:c r="G2240" s="12" t="n">
        <x:v>302</x:v>
      </x:c>
      <x:c r="H2240" s="12" t="n">
        <x:v>0</x:v>
      </x:c>
      <x:c r="I2240" s="12" t="str">
        <x:v>TuShare index_daily</x:v>
      </x:c>
      <x:c r="J2240" s="12" t="str">
        <x:v>FRED current rolling window</x:v>
      </x:c>
    </x:row>
    <x:row r="2241" ht="18" customHeight="1">
      <x:c r="A2241" s="13" t="n">
        <x:v>45974</x:v>
      </x:c>
      <x:c r="B2241" s="12" t="n">
        <x:v>4702.0738</x:v>
      </x:c>
      <x:c r="C2241" s="12" t="n">
        <x:v>4645.9079</x:v>
      </x:c>
      <x:c r="D2241" s="12" t="n">
        <x:v>1.2089</x:v>
      </x:c>
      <x:c r="E2241" s="12" t="n">
        <x:v>0.01201683479581121</x:v>
      </x:c>
      <x:c r="F2241" s="12" t="n">
        <x:v>3.09</x:v>
      </x:c>
      <x:c r="G2241" s="12" t="n">
        <x:v>309</x:v>
      </x:c>
      <x:c r="H2241" s="12" t="n">
        <x:v>7</x:v>
      </x:c>
      <x:c r="I2241" s="12" t="str">
        <x:v>TuShare index_daily</x:v>
      </x:c>
      <x:c r="J2241" s="12" t="str">
        <x:v>FRED current rolling window</x:v>
      </x:c>
    </x:row>
    <x:row r="2242" ht="18" customHeight="1">
      <x:c r="A2242" s="13" t="n">
        <x:v>45975</x:v>
      </x:c>
      <x:c r="B2242" s="12" t="n">
        <x:v>4628.1398</x:v>
      </x:c>
      <x:c r="C2242" s="12" t="n">
        <x:v>4702.0738</x:v>
      </x:c>
      <x:c r="D2242" s="12" t="n">
        <x:v>-1.5724</x:v>
      </x:c>
      <x:c r="E2242" s="12" t="n">
        <x:v>-0.015848629135239458</x:v>
      </x:c>
      <x:c r="F2242" s="12" t="n">
        <x:v>3.07</x:v>
      </x:c>
      <x:c r="G2242" s="12" t="n">
        <x:v>307</x:v>
      </x:c>
      <x:c r="H2242" s="12" t="n">
        <x:v>-2</x:v>
      </x:c>
      <x:c r="I2242" s="12" t="str">
        <x:v>TuShare index_daily</x:v>
      </x:c>
      <x:c r="J2242" s="12" t="str">
        <x:v>FRED current rolling window</x:v>
      </x:c>
    </x:row>
    <x:row r="2243" ht="18" customHeight="1">
      <x:c r="A2243" s="13" t="n">
        <x:v>45978</x:v>
      </x:c>
      <x:c r="B2243" s="12" t="n">
        <x:v>4598.0525</x:v>
      </x:c>
      <x:c r="C2243" s="12" t="n">
        <x:v>4628.1398</x:v>
      </x:c>
      <x:c r="D2243" s="12" t="n">
        <x:v>-0.6501</x:v>
      </x:c>
      <x:c r="E2243" s="12" t="n">
        <x:v>-0.006522172024576896</x:v>
      </x:c>
      <x:c r="F2243" s="12" t="n">
        <x:v>3.13</x:v>
      </x:c>
      <x:c r="G2243" s="12" t="n">
        <x:v>313</x:v>
      </x:c>
      <x:c r="H2243" s="12" t="n">
        <x:v>6</x:v>
      </x:c>
      <x:c r="I2243" s="12" t="str">
        <x:v>TuShare index_daily</x:v>
      </x:c>
      <x:c r="J2243" s="12" t="str">
        <x:v>FRED current rolling window</x:v>
      </x:c>
    </x:row>
    <x:row r="2244" ht="18" customHeight="1">
      <x:c r="A2244" s="13" t="n">
        <x:v>45979</x:v>
      </x:c>
      <x:c r="B2244" s="12" t="n">
        <x:v>4568.1928</x:v>
      </x:c>
      <x:c r="C2244" s="12" t="n">
        <x:v>4598.0525</x:v>
      </x:c>
      <x:c r="D2244" s="12" t="n">
        <x:v>-0.6494</x:v>
      </x:c>
      <x:c r="E2244" s="12" t="n">
        <x:v>-0.006515166165609792</x:v>
      </x:c>
      <x:c r="F2244" s="12" t="n">
        <x:v>3.2</x:v>
      </x:c>
      <x:c r="G2244" s="12" t="n">
        <x:v>320</x:v>
      </x:c>
      <x:c r="H2244" s="12" t="n">
        <x:v>7</x:v>
      </x:c>
      <x:c r="I2244" s="12" t="str">
        <x:v>TuShare index_daily</x:v>
      </x:c>
      <x:c r="J2244" s="12" t="str">
        <x:v>FRED current rolling window</x:v>
      </x:c>
    </x:row>
    <x:row r="2245" ht="18" customHeight="1">
      <x:c r="A2245" s="13" t="n">
        <x:v>45980</x:v>
      </x:c>
      <x:c r="B2245" s="12" t="n">
        <x:v>4588.2922</x:v>
      </x:c>
      <x:c r="C2245" s="12" t="n">
        <x:v>4568.1928</x:v>
      </x:c>
      <x:c r="D2245" s="12" t="n">
        <x:v>0.44</x:v>
      </x:c>
      <x:c r="E2245" s="12" t="n">
        <x:v>0.004390207002542607</x:v>
      </x:c>
      <x:c r="F2245" s="12" t="n">
        <x:v>3.17</x:v>
      </x:c>
      <x:c r="G2245" s="12" t="n">
        <x:v>317</x:v>
      </x:c>
      <x:c r="H2245" s="12" t="n">
        <x:v>-3</x:v>
      </x:c>
      <x:c r="I2245" s="12" t="str">
        <x:v>TuShare index_daily</x:v>
      </x:c>
      <x:c r="J2245" s="12" t="str">
        <x:v>FRED current rolling window</x:v>
      </x:c>
    </x:row>
    <x:row r="2246" ht="18" customHeight="1">
      <x:c r="A2246" s="13" t="n">
        <x:v>45981</x:v>
      </x:c>
      <x:c r="B2246" s="12" t="n">
        <x:v>4564.9483</x:v>
      </x:c>
      <x:c r="C2246" s="12" t="n">
        <x:v>4588.2922</x:v>
      </x:c>
      <x:c r="D2246" s="12" t="n">
        <x:v>-0.5088</x:v>
      </x:c>
      <x:c r="E2246" s="12" t="n">
        <x:v>-0.005100696438971781</x:v>
      </x:c>
      <x:c r="F2246" s="12" t="n">
        <x:v>3.17</x:v>
      </x:c>
      <x:c r="G2246" s="12" t="n">
        <x:v>317</x:v>
      </x:c>
      <x:c r="H2246" s="12" t="n">
        <x:v>0</x:v>
      </x:c>
      <x:c r="I2246" s="12" t="str">
        <x:v>TuShare index_daily</x:v>
      </x:c>
      <x:c r="J2246" s="12" t="str">
        <x:v>FRED current rolling window</x:v>
      </x:c>
    </x:row>
    <x:row r="2247" ht="18" customHeight="1">
      <x:c r="A2247" s="13" t="n">
        <x:v>45982</x:v>
      </x:c>
      <x:c r="B2247" s="12" t="n">
        <x:v>4453.6076</x:v>
      </x:c>
      <x:c r="C2247" s="12" t="n">
        <x:v>4564.9483</x:v>
      </x:c>
      <x:c r="D2247" s="12" t="n">
        <x:v>-2.439</x:v>
      </x:c>
      <x:c r="E2247" s="12" t="n">
        <x:v>-0.024692724311248634</x:v>
      </x:c>
      <x:c r="F2247" s="12" t="n">
        <x:v>3.19</x:v>
      </x:c>
      <x:c r="G2247" s="12" t="n">
        <x:v>319</x:v>
      </x:c>
      <x:c r="H2247" s="12" t="n">
        <x:v>2</x:v>
      </x:c>
      <x:c r="I2247" s="12" t="str">
        <x:v>TuShare index_daily</x:v>
      </x:c>
      <x:c r="J2247" s="12" t="str">
        <x:v>FRED current rolling window</x:v>
      </x:c>
    </x:row>
    <x:row r="2248" ht="18" customHeight="1">
      <x:c r="A2248" s="13" t="n">
        <x:v>45985</x:v>
      </x:c>
      <x:c r="B2248" s="12" t="n">
        <x:v>4448.0478</x:v>
      </x:c>
      <x:c r="C2248" s="12" t="n">
        <x:v>4453.6076</x:v>
      </x:c>
      <x:c r="D2248" s="12" t="n">
        <x:v>-0.1248</x:v>
      </x:c>
      <x:c r="E2248" s="12" t="n">
        <x:v>-0.0012491610769297722</x:v>
      </x:c>
      <x:c r="F2248" s="12" t="n">
        <x:v>3.15</x:v>
      </x:c>
      <x:c r="G2248" s="12" t="n">
        <x:v>315</x:v>
      </x:c>
      <x:c r="H2248" s="12" t="n">
        <x:v>-4</x:v>
      </x:c>
      <x:c r="I2248" s="12" t="str">
        <x:v>TuShare index_daily</x:v>
      </x:c>
      <x:c r="J2248" s="12" t="str">
        <x:v>FRED current rolling window</x:v>
      </x:c>
    </x:row>
    <x:row r="2249" ht="18" customHeight="1">
      <x:c r="A2249" s="13" t="n">
        <x:v>45986</x:v>
      </x:c>
      <x:c r="B2249" s="12" t="n">
        <x:v>4490.4047</x:v>
      </x:c>
      <x:c r="C2249" s="12" t="n">
        <x:v>4448.0478</x:v>
      </x:c>
      <x:c r="D2249" s="12" t="n">
        <x:v>0.9523</x:v>
      </x:c>
      <x:c r="E2249" s="12" t="n">
        <x:v>0.009477528029243936</x:v>
      </x:c>
      <x:c r="F2249" s="12" t="n">
        <x:v>3.1</x:v>
      </x:c>
      <x:c r="G2249" s="12" t="n">
        <x:v>310</x:v>
      </x:c>
      <x:c r="H2249" s="12" t="n">
        <x:v>-5</x:v>
      </x:c>
      <x:c r="I2249" s="12" t="str">
        <x:v>TuShare index_daily</x:v>
      </x:c>
      <x:c r="J2249" s="12" t="str">
        <x:v>FRED current rolling window</x:v>
      </x:c>
    </x:row>
    <x:row r="2250" ht="18" customHeight="1">
      <x:c r="A2250" s="13" t="n">
        <x:v>45987</x:v>
      </x:c>
      <x:c r="B2250" s="12" t="n">
        <x:v>4517.6255</x:v>
      </x:c>
      <x:c r="C2250" s="12" t="n">
        <x:v>4490.4047</x:v>
      </x:c>
      <x:c r="D2250" s="12" t="n">
        <x:v>0.6062</x:v>
      </x:c>
      <x:c r="E2250" s="12" t="n">
        <x:v>0.006043692627946167</x:v>
      </x:c>
      <x:c r="F2250" s="12" t="n">
        <x:v>3</x:v>
      </x:c>
      <x:c r="G2250" s="12" t="n">
        <x:v>300</x:v>
      </x:c>
      <x:c r="H2250" s="12" t="n">
        <x:v>-10</x:v>
      </x:c>
      <x:c r="I2250" s="12" t="str">
        <x:v>TuShare index_daily</x:v>
      </x:c>
      <x:c r="J2250" s="12" t="str">
        <x:v>FRED current rolling window</x:v>
      </x:c>
    </x:row>
    <x:row r="2251" ht="18" customHeight="1">
      <x:c r="A2251" s="13" t="n">
        <x:v>45988</x:v>
      </x:c>
      <x:c r="B2251" s="12" t="n">
        <x:v>4515.4027</x:v>
      </x:c>
      <x:c r="C2251" s="12" t="n">
        <x:v>4517.6255</x:v>
      </x:c>
      <x:c r="D2251" s="12" t="n">
        <x:v>-0.0492</x:v>
      </x:c>
      <x:c r="E2251" s="12" t="n">
        <x:v>-0.0004921494753810251</x:v>
      </x:c>
      <x:c r="F2251" s="12" t="n">
        <x:v>3</x:v>
      </x:c>
      <x:c r="G2251" s="12" t="n">
        <x:v>300</x:v>
      </x:c>
      <x:c r="H2251" s="12" t="n">
        <x:v>0</x:v>
      </x:c>
      <x:c r="I2251" s="12" t="str">
        <x:v>TuShare index_daily</x:v>
      </x:c>
      <x:c r="J2251" s="12" t="str">
        <x:v>FRED current rolling window</x:v>
      </x:c>
    </x:row>
    <x:row r="2252" ht="18" customHeight="1">
      <x:c r="A2252" s="13" t="n">
        <x:v>45989</x:v>
      </x:c>
      <x:c r="B2252" s="12" t="n">
        <x:v>4526.6616</x:v>
      </x:c>
      <x:c r="C2252" s="12" t="n">
        <x:v>4515.4027</x:v>
      </x:c>
      <x:c r="D2252" s="12" t="n">
        <x:v>0.2493</x:v>
      </x:c>
      <x:c r="E2252" s="12" t="n">
        <x:v>0.0024903396935098345</x:v>
      </x:c>
      <x:c r="F2252" s="12" t="n">
        <x:v>2.95</x:v>
      </x:c>
      <x:c r="G2252" s="12" t="n">
        <x:v>295</x:v>
      </x:c>
      <x:c r="H2252" s="12" t="n">
        <x:v>-5</x:v>
      </x:c>
      <x:c r="I2252" s="12" t="str">
        <x:v>TuShare index_daily</x:v>
      </x:c>
      <x:c r="J2252" s="12" t="str">
        <x:v>FRED current rolling window</x:v>
      </x:c>
    </x:row>
    <x:row r="2253" ht="18" customHeight="1">
      <x:c r="A2253" s="13" t="n">
        <x:v>45992</x:v>
      </x:c>
      <x:c r="B2253" s="12" t="n">
        <x:v>4576.4856</x:v>
      </x:c>
      <x:c r="C2253" s="12" t="n">
        <x:v>4526.6616</x:v>
      </x:c>
      <x:c r="D2253" s="12" t="n">
        <x:v>1.1007</x:v>
      </x:c>
      <x:c r="E2253" s="12" t="n">
        <x:v>0.010946653159669466</x:v>
      </x:c>
      <x:c r="F2253" s="12" t="n">
        <x:v>2.94</x:v>
      </x:c>
      <x:c r="G2253" s="12" t="n">
        <x:v>294</x:v>
      </x:c>
      <x:c r="H2253" s="12" t="n">
        <x:v>2</x:v>
      </x:c>
      <x:c r="I2253" s="12" t="str">
        <x:v>TuShare index_daily</x:v>
      </x:c>
      <x:c r="J2253" s="12" t="str">
        <x:v>FRED current rolling window</x:v>
      </x:c>
    </x:row>
    <x:row r="2254" ht="18" customHeight="1">
      <x:c r="A2254" s="13" t="n">
        <x:v>45993</x:v>
      </x:c>
      <x:c r="B2254" s="12" t="n">
        <x:v>4554.3347</x:v>
      </x:c>
      <x:c r="C2254" s="12" t="n">
        <x:v>4576.4856</x:v>
      </x:c>
      <x:c r="D2254" s="12" t="n">
        <x:v>-0.484</x:v>
      </x:c>
      <x:c r="E2254" s="12" t="n">
        <x:v>-0.004851906559699918</x:v>
      </x:c>
      <x:c r="F2254" s="12" t="n">
        <x:v>2.92</x:v>
      </x:c>
      <x:c r="G2254" s="12" t="n">
        <x:v>292</x:v>
      </x:c>
      <x:c r="H2254" s="12" t="n">
        <x:v>-2</x:v>
      </x:c>
      <x:c r="I2254" s="12" t="str">
        <x:v>TuShare index_daily</x:v>
      </x:c>
      <x:c r="J2254" s="12" t="str">
        <x:v>FRED current rolling window</x:v>
      </x:c>
    </x:row>
    <x:row r="2255" ht="18" customHeight="1">
      <x:c r="A2255" s="13" t="n">
        <x:v>45994</x:v>
      </x:c>
      <x:c r="B2255" s="12" t="n">
        <x:v>4531.0486</x:v>
      </x:c>
      <x:c r="C2255" s="12" t="n">
        <x:v>4554.3347</x:v>
      </x:c>
      <x:c r="D2255" s="12" t="n">
        <x:v>-0.5113</x:v>
      </x:c>
      <x:c r="E2255" s="12" t="n">
        <x:v>-0.005126069032201992</x:v>
      </x:c>
      <x:c r="F2255" s="12" t="n">
        <x:v>2.89</x:v>
      </x:c>
      <x:c r="G2255" s="12" t="n">
        <x:v>289</x:v>
      </x:c>
      <x:c r="H2255" s="12" t="n">
        <x:v>-3</x:v>
      </x:c>
      <x:c r="I2255" s="12" t="str">
        <x:v>TuShare index_daily</x:v>
      </x:c>
      <x:c r="J2255" s="12" t="str">
        <x:v>FRED current rolling window</x:v>
      </x:c>
    </x:row>
    <x:row r="2256" ht="18" customHeight="1">
      <x:c r="A2256" s="13" t="n">
        <x:v>45995</x:v>
      </x:c>
      <x:c r="B2256" s="12" t="n">
        <x:v>4546.5664</x:v>
      </x:c>
      <x:c r="C2256" s="12" t="n">
        <x:v>4531.0486</x:v>
      </x:c>
      <x:c r="D2256" s="12" t="n">
        <x:v>0.3425</x:v>
      </x:c>
      <x:c r="E2256" s="12" t="n">
        <x:v>0.0034189189816126045</x:v>
      </x:c>
      <x:c r="F2256" s="12" t="n">
        <x:v>2.88</x:v>
      </x:c>
      <x:c r="G2256" s="12" t="n">
        <x:v>288</x:v>
      </x:c>
      <x:c r="H2256" s="12" t="n">
        <x:v>-1</x:v>
      </x:c>
      <x:c r="I2256" s="12" t="str">
        <x:v>TuShare index_daily</x:v>
      </x:c>
      <x:c r="J2256" s="12" t="str">
        <x:v>FRED current rolling window</x:v>
      </x:c>
    </x:row>
    <x:row r="2257" ht="18" customHeight="1">
      <x:c r="A2257" s="13" t="n">
        <x:v>45996</x:v>
      </x:c>
      <x:c r="B2257" s="12" t="n">
        <x:v>4584.5368</x:v>
      </x:c>
      <x:c r="C2257" s="12" t="n">
        <x:v>4546.5664</x:v>
      </x:c>
      <x:c r="D2257" s="12" t="n">
        <x:v>0.8351</x:v>
      </x:c>
      <x:c r="E2257" s="12" t="n">
        <x:v>0.008316764805146162</x:v>
      </x:c>
      <x:c r="F2257" s="12" t="n">
        <x:v>2.85</x:v>
      </x:c>
      <x:c r="G2257" s="12" t="n">
        <x:v>285</x:v>
      </x:c>
      <x:c r="H2257" s="12" t="n">
        <x:v>-3</x:v>
      </x:c>
      <x:c r="I2257" s="12" t="str">
        <x:v>TuShare index_daily</x:v>
      </x:c>
      <x:c r="J2257" s="12" t="str">
        <x:v>FRED current rolling window</x:v>
      </x:c>
    </x:row>
    <x:row r="2258" ht="18" customHeight="1">
      <x:c r="A2258" s="13" t="n">
        <x:v>45999</x:v>
      </x:c>
      <x:c r="B2258" s="12" t="n">
        <x:v>4621.7545</x:v>
      </x:c>
      <x:c r="C2258" s="12" t="n">
        <x:v>4584.5368</x:v>
      </x:c>
      <x:c r="D2258" s="12" t="n">
        <x:v>0.8118</x:v>
      </x:c>
      <x:c r="E2258" s="12" t="n">
        <x:v>0.008085319383845935</x:v>
      </x:c>
      <x:c r="F2258" s="12" t="n">
        <x:v>2.89</x:v>
      </x:c>
      <x:c r="G2258" s="12" t="n">
        <x:v>289</x:v>
      </x:c>
      <x:c r="H2258" s="12" t="n">
        <x:v>4</x:v>
      </x:c>
      <x:c r="I2258" s="12" t="str">
        <x:v>TuShare index_daily</x:v>
      </x:c>
      <x:c r="J2258" s="12" t="str">
        <x:v>FRED current rolling window</x:v>
      </x:c>
    </x:row>
    <x:row r="2259" ht="18" customHeight="1">
      <x:c r="A2259" s="13" t="n">
        <x:v>46000</x:v>
      </x:c>
      <x:c r="B2259" s="12" t="n">
        <x:v>4598.2232</x:v>
      </x:c>
      <x:c r="C2259" s="12" t="n">
        <x:v>4621.7545</x:v>
      </x:c>
      <x:c r="D2259" s="12" t="n">
        <x:v>-0.5091</x:v>
      </x:c>
      <x:c r="E2259" s="12" t="n">
        <x:v>-0.005104426899569132</x:v>
      </x:c>
      <x:c r="F2259" s="12" t="n">
        <x:v>2.89</x:v>
      </x:c>
      <x:c r="G2259" s="12" t="n">
        <x:v>289</x:v>
      </x:c>
      <x:c r="H2259" s="12" t="n">
        <x:v>0</x:v>
      </x:c>
      <x:c r="I2259" s="12" t="str">
        <x:v>TuShare index_daily</x:v>
      </x:c>
      <x:c r="J2259" s="12" t="str">
        <x:v>FRED current rolling window</x:v>
      </x:c>
    </x:row>
    <x:row r="2260" ht="18" customHeight="1">
      <x:c r="A2260" s="13" t="n">
        <x:v>46001</x:v>
      </x:c>
      <x:c r="B2260" s="12" t="n">
        <x:v>4591.8273</x:v>
      </x:c>
      <x:c r="C2260" s="12" t="n">
        <x:v>4598.2232</x:v>
      </x:c>
      <x:c r="D2260" s="12" t="n">
        <x:v>-0.1391</x:v>
      </x:c>
      <x:c r="E2260" s="12" t="n">
        <x:v>-0.0013919185825232096</x:v>
      </x:c>
      <x:c r="F2260" s="12" t="n">
        <x:v>2.91</x:v>
      </x:c>
      <x:c r="G2260" s="12" t="n">
        <x:v>291</x:v>
      </x:c>
      <x:c r="H2260" s="12" t="n">
        <x:v>2</x:v>
      </x:c>
      <x:c r="I2260" s="12" t="str">
        <x:v>TuShare index_daily</x:v>
      </x:c>
      <x:c r="J2260" s="12" t="str">
        <x:v>FRED current rolling window</x:v>
      </x:c>
    </x:row>
    <x:row r="2261" ht="18" customHeight="1">
      <x:c r="A2261" s="13" t="n">
        <x:v>46002</x:v>
      </x:c>
      <x:c r="B2261" s="12" t="n">
        <x:v>4552.1848</x:v>
      </x:c>
      <x:c r="C2261" s="12" t="n">
        <x:v>4591.8273</x:v>
      </x:c>
      <x:c r="D2261" s="12" t="n">
        <x:v>-0.8633</x:v>
      </x:c>
      <x:c r="E2261" s="12" t="n">
        <x:v>-0.008670755885500946</x:v>
      </x:c>
      <x:c r="F2261" s="12" t="n">
        <x:v>2.88</x:v>
      </x:c>
      <x:c r="G2261" s="12" t="n">
        <x:v>288</x:v>
      </x:c>
      <x:c r="H2261" s="12" t="n">
        <x:v>-3</x:v>
      </x:c>
      <x:c r="I2261" s="12" t="str">
        <x:v>TuShare index_daily</x:v>
      </x:c>
      <x:c r="J2261" s="12" t="str">
        <x:v>FRED current rolling window</x:v>
      </x:c>
    </x:row>
    <x:row r="2262" ht="18" customHeight="1">
      <x:c r="A2262" s="13" t="n">
        <x:v>46003</x:v>
      </x:c>
      <x:c r="B2262" s="12" t="n">
        <x:v>4580.95</x:v>
      </x:c>
      <x:c r="C2262" s="12" t="n">
        <x:v>4552.1848</x:v>
      </x:c>
      <x:c r="D2262" s="12" t="n">
        <x:v>0.6319</x:v>
      </x:c>
      <x:c r="E2262" s="12" t="n">
        <x:v>0.006299106658067917</x:v>
      </x:c>
      <x:c r="F2262" s="12" t="n">
        <x:v>2.91</x:v>
      </x:c>
      <x:c r="G2262" s="12" t="n">
        <x:v>291</x:v>
      </x:c>
      <x:c r="H2262" s="12" t="n">
        <x:v>3</x:v>
      </x:c>
      <x:c r="I2262" s="12" t="str">
        <x:v>TuShare index_daily</x:v>
      </x:c>
      <x:c r="J2262" s="12" t="str">
        <x:v>FRED current rolling window</x:v>
      </x:c>
    </x:row>
    <x:row r="2263" ht="18" customHeight="1">
      <x:c r="A2263" s="13" t="n">
        <x:v>46006</x:v>
      </x:c>
      <x:c r="B2263" s="12" t="n">
        <x:v>4552.0596</x:v>
      </x:c>
      <x:c r="C2263" s="12" t="n">
        <x:v>4580.95</x:v>
      </x:c>
      <x:c r="D2263" s="12" t="n">
        <x:v>-0.6307</x:v>
      </x:c>
      <x:c r="E2263" s="12" t="n">
        <x:v>-0.006326610313397728</x:v>
      </x:c>
      <x:c r="F2263" s="12" t="n">
        <x:v>2.91</x:v>
      </x:c>
      <x:c r="G2263" s="12" t="n">
        <x:v>291</x:v>
      </x:c>
      <x:c r="H2263" s="12" t="n">
        <x:v>0</x:v>
      </x:c>
      <x:c r="I2263" s="12" t="str">
        <x:v>TuShare index_daily</x:v>
      </x:c>
      <x:c r="J2263" s="12" t="str">
        <x:v>FRED current rolling window</x:v>
      </x:c>
    </x:row>
    <x:row r="2264" ht="18" customHeight="1">
      <x:c r="A2264" s="13" t="n">
        <x:v>46007</x:v>
      </x:c>
      <x:c r="B2264" s="12" t="n">
        <x:v>4497.5545</x:v>
      </x:c>
      <x:c r="C2264" s="12" t="n">
        <x:v>4552.0596</x:v>
      </x:c>
      <x:c r="D2264" s="12" t="n">
        <x:v>-1.1974</x:v>
      </x:c>
      <x:c r="E2264" s="12" t="n">
        <x:v>-0.01204598527180826</x:v>
      </x:c>
      <x:c r="F2264" s="12" t="n">
        <x:v>2.98</x:v>
      </x:c>
      <x:c r="G2264" s="12" t="n">
        <x:v>298</x:v>
      </x:c>
      <x:c r="H2264" s="12" t="n">
        <x:v>7</x:v>
      </x:c>
      <x:c r="I2264" s="12" t="str">
        <x:v>TuShare index_daily</x:v>
      </x:c>
      <x:c r="J2264" s="12" t="str">
        <x:v>FRED current rolling window</x:v>
      </x:c>
    </x:row>
    <x:row r="2265" ht="18" customHeight="1">
      <x:c r="A2265" s="13" t="n">
        <x:v>46008</x:v>
      </x:c>
      <x:c r="B2265" s="12" t="n">
        <x:v>4579.875</x:v>
      </x:c>
      <x:c r="C2265" s="12" t="n">
        <x:v>4497.5545</x:v>
      </x:c>
      <x:c r="D2265" s="12" t="n">
        <x:v>1.8303</x:v>
      </x:c>
      <x:c r="E2265" s="12" t="n">
        <x:v>0.01813790056484832</x:v>
      </x:c>
      <x:c r="F2265" s="12" t="n">
        <x:v>2.99</x:v>
      </x:c>
      <x:c r="G2265" s="12" t="n">
        <x:v>299</x:v>
      </x:c>
      <x:c r="H2265" s="12" t="n">
        <x:v>1</x:v>
      </x:c>
      <x:c r="I2265" s="12" t="str">
        <x:v>TuShare index_daily</x:v>
      </x:c>
      <x:c r="J2265" s="12" t="str">
        <x:v>FRED current rolling window</x:v>
      </x:c>
    </x:row>
    <x:row r="2266" ht="18" customHeight="1">
      <x:c r="A2266" s="13" t="n">
        <x:v>46009</x:v>
      </x:c>
      <x:c r="B2266" s="12" t="n">
        <x:v>4552.7926</x:v>
      </x:c>
      <x:c r="C2266" s="12" t="n">
        <x:v>4579.875</x:v>
      </x:c>
      <x:c r="D2266" s="12" t="n">
        <x:v>-0.5913</x:v>
      </x:c>
      <x:c r="E2266" s="12" t="n">
        <x:v>-0.005930902245165715</x:v>
      </x:c>
      <x:c r="F2266" s="12" t="n">
        <x:v>2.95</x:v>
      </x:c>
      <x:c r="G2266" s="12" t="n">
        <x:v>295</x:v>
      </x:c>
      <x:c r="H2266" s="12" t="n">
        <x:v>-4</x:v>
      </x:c>
      <x:c r="I2266" s="12" t="str">
        <x:v>TuShare index_daily</x:v>
      </x:c>
      <x:c r="J2266" s="12" t="str">
        <x:v>FRED current rolling window</x:v>
      </x:c>
    </x:row>
    <x:row r="2267" ht="18" customHeight="1">
      <x:c r="A2267" s="13" t="n">
        <x:v>46010</x:v>
      </x:c>
      <x:c r="B2267" s="12" t="n">
        <x:v>4568.1781</x:v>
      </x:c>
      <x:c r="C2267" s="12" t="n">
        <x:v>4552.7926</x:v>
      </x:c>
      <x:c r="D2267" s="12" t="n">
        <x:v>0.3379</x:v>
      </x:c>
      <x:c r="E2267" s="12" t="n">
        <x:v>0.0033736572780755153</x:v>
      </x:c>
      <x:c r="F2267" s="12" t="n">
        <x:v>2.9</x:v>
      </x:c>
      <x:c r="G2267" s="12" t="n">
        <x:v>290</x:v>
      </x:c>
      <x:c r="H2267" s="12" t="n">
        <x:v>-5</x:v>
      </x:c>
      <x:c r="I2267" s="12" t="str">
        <x:v>TuShare index_daily</x:v>
      </x:c>
      <x:c r="J2267" s="12" t="str">
        <x:v>FRED current rolling window</x:v>
      </x:c>
    </x:row>
    <x:row r="2268" ht="18" customHeight="1">
      <x:c r="A2268" s="13" t="n">
        <x:v>46013</x:v>
      </x:c>
      <x:c r="B2268" s="12" t="n">
        <x:v>4611.6235</x:v>
      </x:c>
      <x:c r="C2268" s="12" t="n">
        <x:v>4568.1781</x:v>
      </x:c>
      <x:c r="D2268" s="12" t="n">
        <x:v>0.951</x:v>
      </x:c>
      <x:c r="E2268" s="12" t="n">
        <x:v>0.009465503998802404</x:v>
      </x:c>
      <x:c r="F2268" s="12" t="n">
        <x:v>2.88</x:v>
      </x:c>
      <x:c r="G2268" s="12" t="n">
        <x:v>288</x:v>
      </x:c>
      <x:c r="H2268" s="12" t="n">
        <x:v>-2</x:v>
      </x:c>
      <x:c r="I2268" s="12" t="str">
        <x:v>TuShare index_daily</x:v>
      </x:c>
      <x:c r="J2268" s="12" t="str">
        <x:v>FRED current rolling window</x:v>
      </x:c>
    </x:row>
    <x:row r="2269" ht="18" customHeight="1">
      <x:c r="A2269" s="13" t="n">
        <x:v>46014</x:v>
      </x:c>
      <x:c r="B2269" s="12" t="n">
        <x:v>4620.7341</x:v>
      </x:c>
      <x:c r="C2269" s="12" t="n">
        <x:v>4611.6235</x:v>
      </x:c>
      <x:c r="D2269" s="12" t="n">
        <x:v>0.1976</x:v>
      </x:c>
      <x:c r="E2269" s="12" t="n">
        <x:v>0.0019736243659572456</x:v>
      </x:c>
      <x:c r="F2269" s="12" t="n">
        <x:v>2.83</x:v>
      </x:c>
      <x:c r="G2269" s="12" t="n">
        <x:v>283</x:v>
      </x:c>
      <x:c r="H2269" s="12" t="n">
        <x:v>-5</x:v>
      </x:c>
      <x:c r="I2269" s="12" t="str">
        <x:v>TuShare index_daily</x:v>
      </x:c>
      <x:c r="J2269" s="12" t="str">
        <x:v>FRED current rolling window</x:v>
      </x:c>
    </x:row>
    <x:row r="2270" ht="18" customHeight="1">
      <x:c r="A2270" s="13" t="n">
        <x:v>46015</x:v>
      </x:c>
      <x:c r="B2270" s="12" t="n">
        <x:v>4634.0586</x:v>
      </x:c>
      <x:c r="C2270" s="12" t="n">
        <x:v>4620.7341</x:v>
      </x:c>
      <x:c r="D2270" s="12" t="n">
        <x:v>0.2884</x:v>
      </x:c>
      <x:c r="E2270" s="12" t="n">
        <x:v>0.002879483017828682</x:v>
      </x:c>
      <x:c r="F2270" s="12" t="n">
        <x:v>2.84</x:v>
      </x:c>
      <x:c r="G2270" s="12" t="n">
        <x:v>284</x:v>
      </x:c>
      <x:c r="H2270" s="12" t="n">
        <x:v>1</x:v>
      </x:c>
      <x:c r="I2270" s="12" t="str">
        <x:v>TuShare index_daily</x:v>
      </x:c>
      <x:c r="J2270" s="12" t="str">
        <x:v>FRED current rolling window</x:v>
      </x:c>
    </x:row>
    <x:row r="2271" ht="18" customHeight="1">
      <x:c r="A2271" s="13" t="n">
        <x:v>46017</x:v>
      </x:c>
      <x:c r="B2271" s="12" t="n">
        <x:v>4657.24</x:v>
      </x:c>
      <x:c r="C2271" s="12" t="n">
        <x:v>4642.5357</x:v>
      </x:c>
      <x:c r="D2271" s="12" t="n">
        <x:v>0.3167</x:v>
      </x:c>
      <x:c r="E2271" s="12" t="n">
        <x:v>0.0031622939580590193</x:v>
      </x:c>
      <x:c r="F2271" s="12" t="n">
        <x:v>2.86</x:v>
      </x:c>
      <x:c r="G2271" s="12" t="n">
        <x:v>286</x:v>
      </x:c>
      <x:c r="H2271" s="12" t="n">
        <x:v>2</x:v>
      </x:c>
      <x:c r="I2271" s="12" t="str">
        <x:v>TuShare index_daily</x:v>
      </x:c>
      <x:c r="J2271" s="12" t="str">
        <x:v>FRED current rolling window</x:v>
      </x:c>
    </x:row>
    <x:row r="2272" ht="18" customHeight="1">
      <x:c r="A2272" s="13" t="n">
        <x:v>46020</x:v>
      </x:c>
      <x:c r="B2272" s="12" t="n">
        <x:v>4639.3721</x:v>
      </x:c>
      <x:c r="C2272" s="12" t="n">
        <x:v>4657.24</x:v>
      </x:c>
      <x:c r="D2272" s="12" t="n">
        <x:v>-0.3837</x:v>
      </x:c>
      <x:c r="E2272" s="12" t="n">
        <x:v>-0.0038439641902292404</x:v>
      </x:c>
      <x:c r="F2272" s="12" t="n">
        <x:v>2.87</x:v>
      </x:c>
      <x:c r="G2272" s="12" t="n">
        <x:v>287</x:v>
      </x:c>
      <x:c r="H2272" s="12" t="n">
        <x:v>1</x:v>
      </x:c>
      <x:c r="I2272" s="12" t="str">
        <x:v>TuShare index_daily</x:v>
      </x:c>
      <x:c r="J2272" s="12" t="str">
        <x:v>FRED current rolling window</x:v>
      </x:c>
    </x:row>
    <x:row r="2273" ht="18" customHeight="1">
      <x:c r="A2273" s="13" t="n">
        <x:v>46021</x:v>
      </x:c>
      <x:c r="B2273" s="12" t="n">
        <x:v>4651.2818</x:v>
      </x:c>
      <x:c r="C2273" s="12" t="n">
        <x:v>4639.3721</x:v>
      </x:c>
      <x:c r="D2273" s="12" t="n">
        <x:v>0.2567</x:v>
      </x:c>
      <x:c r="E2273" s="12" t="n">
        <x:v>0.0025638037218513182</x:v>
      </x:c>
      <x:c r="F2273" s="12" t="n">
        <x:v>2.84</x:v>
      </x:c>
      <x:c r="G2273" s="12" t="n">
        <x:v>284</x:v>
      </x:c>
      <x:c r="H2273" s="12" t="n">
        <x:v>-3</x:v>
      </x:c>
      <x:c r="I2273" s="12" t="str">
        <x:v>TuShare index_daily</x:v>
      </x:c>
      <x:c r="J2273" s="12" t="str">
        <x:v>FRED current rolling window</x:v>
      </x:c>
    </x:row>
    <x:row r="2274" ht="18" customHeight="1">
      <x:c r="A2274" s="13" t="n">
        <x:v>46022</x:v>
      </x:c>
      <x:c r="B2274" s="12" t="n">
        <x:v>4629.9395</x:v>
      </x:c>
      <x:c r="C2274" s="12" t="n">
        <x:v>4651.2818</x:v>
      </x:c>
      <x:c r="D2274" s="12" t="n">
        <x:v>-0.4588</x:v>
      </x:c>
      <x:c r="E2274" s="12" t="n">
        <x:v>-0.004599036469006681</x:v>
      </x:c>
      <x:c r="F2274" s="12" t="n">
        <x:v>2.81</x:v>
      </x:c>
      <x:c r="G2274" s="12" t="n">
        <x:v>281</x:v>
      </x:c>
      <x:c r="H2274" s="12" t="n">
        <x:v>-3</x:v>
      </x:c>
      <x:c r="I2274" s="12" t="str">
        <x:v>TuShare index_daily</x:v>
      </x:c>
      <x:c r="J2274" s="12" t="str">
        <x:v>FRED current rolling window</x:v>
      </x:c>
    </x:row>
    <x:row r="2275" ht="18" customHeight="1">
      <x:c r="A2275" s="13" t="n">
        <x:v>46027</x:v>
      </x:c>
      <x:c r="B2275" s="12" t="n">
        <x:v>4717.7457</x:v>
      </x:c>
      <x:c r="C2275" s="12" t="n">
        <x:v>4629.9395</x:v>
      </x:c>
      <x:c r="D2275" s="12" t="n">
        <x:v>1.8965</x:v>
      </x:c>
      <x:c r="E2275" s="12" t="n">
        <x:v>0.018787278517093456</x:v>
      </x:c>
      <x:c r="F2275" s="12" t="n">
        <x:v>2.81</x:v>
      </x:c>
      <x:c r="G2275" s="12" t="n">
        <x:v>281</x:v>
      </x:c>
      <x:c r="H2275" s="12" t="n">
        <x:v>-2</x:v>
      </x:c>
      <x:c r="I2275" s="12" t="str">
        <x:v>TuShare index_daily</x:v>
      </x:c>
      <x:c r="J2275" s="12" t="str">
        <x:v>FRED current rolling window</x:v>
      </x:c>
    </x:row>
    <x:row r="2276" ht="18" customHeight="1">
      <x:c r="A2276" s="13" t="n">
        <x:v>46028</x:v>
      </x:c>
      <x:c r="B2276" s="12" t="n">
        <x:v>4790.6938</x:v>
      </x:c>
      <x:c r="C2276" s="12" t="n">
        <x:v>4717.7457</x:v>
      </x:c>
      <x:c r="D2276" s="12" t="n">
        <x:v>1.5462</x:v>
      </x:c>
      <x:c r="E2276" s="12" t="n">
        <x:v>0.015344164782608284</x:v>
      </x:c>
      <x:c r="F2276" s="12" t="n">
        <x:v>2.79</x:v>
      </x:c>
      <x:c r="G2276" s="12" t="n">
        <x:v>279</x:v>
      </x:c>
      <x:c r="H2276" s="12" t="n">
        <x:v>-2</x:v>
      </x:c>
      <x:c r="I2276" s="12" t="str">
        <x:v>TuShare index_daily</x:v>
      </x:c>
      <x:c r="J2276" s="12" t="str">
        <x:v>FRED current rolling window</x:v>
      </x:c>
    </x:row>
    <x:row r="2277" ht="18" customHeight="1">
      <x:c r="A2277" s="13" t="n">
        <x:v>46029</x:v>
      </x:c>
      <x:c r="B2277" s="12" t="n">
        <x:v>4776.6658</x:v>
      </x:c>
      <x:c r="C2277" s="12" t="n">
        <x:v>4790.6938</x:v>
      </x:c>
      <x:c r="D2277" s="12" t="n">
        <x:v>-0.2928</x:v>
      </x:c>
      <x:c r="E2277" s="12" t="n">
        <x:v>-0.0029324726234168375</x:v>
      </x:c>
      <x:c r="F2277" s="12" t="n">
        <x:v>2.79</x:v>
      </x:c>
      <x:c r="G2277" s="12" t="n">
        <x:v>279</x:v>
      </x:c>
      <x:c r="H2277" s="12" t="n">
        <x:v>0</x:v>
      </x:c>
      <x:c r="I2277" s="12" t="str">
        <x:v>TuShare index_daily</x:v>
      </x:c>
      <x:c r="J2277" s="12" t="str">
        <x:v>FRED current rolling window</x:v>
      </x:c>
    </x:row>
    <x:row r="2278" ht="18" customHeight="1">
      <x:c r="A2278" s="13" t="n">
        <x:v>46030</x:v>
      </x:c>
      <x:c r="B2278" s="12" t="n">
        <x:v>4737.6536</x:v>
      </x:c>
      <x:c r="C2278" s="12" t="n">
        <x:v>4776.6658</x:v>
      </x:c>
      <x:c r="D2278" s="12" t="n">
        <x:v>-0.8167</x:v>
      </x:c>
      <x:c r="E2278" s="12" t="n">
        <x:v>-0.008200779687864628</x:v>
      </x:c>
      <x:c r="F2278" s="12" t="n">
        <x:v>2.76</x:v>
      </x:c>
      <x:c r="G2278" s="12" t="n">
        <x:v>276</x:v>
      </x:c>
      <x:c r="H2278" s="12" t="n">
        <x:v>-3</x:v>
      </x:c>
      <x:c r="I2278" s="12" t="str">
        <x:v>TuShare index_daily</x:v>
      </x:c>
      <x:c r="J2278" s="12" t="str">
        <x:v>FRED current rolling window</x:v>
      </x:c>
    </x:row>
    <x:row r="2279" ht="18" customHeight="1">
      <x:c r="A2279" s="13" t="n">
        <x:v>46031</x:v>
      </x:c>
      <x:c r="B2279" s="12" t="n">
        <x:v>4758.9221</x:v>
      </x:c>
      <x:c r="C2279" s="12" t="n">
        <x:v>4737.6536</x:v>
      </x:c>
      <x:c r="D2279" s="12" t="n">
        <x:v>0.4489</x:v>
      </x:c>
      <x:c r="E2279" s="12" t="n">
        <x:v>0.0044792009733730246</x:v>
      </x:c>
      <x:c r="F2279" s="12" t="n">
        <x:v>2.74</x:v>
      </x:c>
      <x:c r="G2279" s="12" t="n">
        <x:v>274</x:v>
      </x:c>
      <x:c r="H2279" s="12" t="n">
        <x:v>-2</x:v>
      </x:c>
      <x:c r="I2279" s="12" t="str">
        <x:v>TuShare index_daily</x:v>
      </x:c>
      <x:c r="J2279" s="12" t="str">
        <x:v>FRED current rolling window</x:v>
      </x:c>
    </x:row>
    <x:row r="2280" ht="18" customHeight="1">
      <x:c r="A2280" s="13" t="n">
        <x:v>46034</x:v>
      </x:c>
      <x:c r="B2280" s="12" t="n">
        <x:v>4789.9155</x:v>
      </x:c>
      <x:c r="C2280" s="12" t="n">
        <x:v>4758.9221</x:v>
      </x:c>
      <x:c r="D2280" s="12" t="n">
        <x:v>0.6513</x:v>
      </x:c>
      <x:c r="E2280" s="12" t="n">
        <x:v>0.006491577328721426</x:v>
      </x:c>
      <x:c r="F2280" s="12" t="n">
        <x:v>2.74</x:v>
      </x:c>
      <x:c r="G2280" s="12" t="n">
        <x:v>274</x:v>
      </x:c>
      <x:c r="H2280" s="12" t="n">
        <x:v>0</x:v>
      </x:c>
      <x:c r="I2280" s="12" t="str">
        <x:v>TuShare index_daily</x:v>
      </x:c>
      <x:c r="J2280" s="12" t="str">
        <x:v>FRED current rolling window</x:v>
      </x:c>
    </x:row>
    <x:row r="2281" ht="18" customHeight="1">
      <x:c r="A2281" s="13" t="n">
        <x:v>46035</x:v>
      </x:c>
      <x:c r="B2281" s="12" t="n">
        <x:v>4761.0324</x:v>
      </x:c>
      <x:c r="C2281" s="12" t="n">
        <x:v>4789.9155</x:v>
      </x:c>
      <x:c r="D2281" s="12" t="n">
        <x:v>-0.603</x:v>
      </x:c>
      <x:c r="E2281" s="12" t="n">
        <x:v>-0.006048234866409194</x:v>
      </x:c>
      <x:c r="F2281" s="12" t="n">
        <x:v>2.75</x:v>
      </x:c>
      <x:c r="G2281" s="12" t="n">
        <x:v>275</x:v>
      </x:c>
      <x:c r="H2281" s="12" t="n">
        <x:v>1</x:v>
      </x:c>
      <x:c r="I2281" s="12" t="str">
        <x:v>TuShare index_daily</x:v>
      </x:c>
      <x:c r="J2281" s="12" t="str">
        <x:v>FRED current rolling window</x:v>
      </x:c>
    </x:row>
    <x:row r="2282" ht="18" customHeight="1">
      <x:c r="A2282" s="13" t="n">
        <x:v>46036</x:v>
      </x:c>
      <x:c r="B2282" s="12" t="n">
        <x:v>4741.9306</x:v>
      </x:c>
      <x:c r="C2282" s="12" t="n">
        <x:v>4761.0324</x:v>
      </x:c>
      <x:c r="D2282" s="12" t="n">
        <x:v>-0.4012</x:v>
      </x:c>
      <x:c r="E2282" s="12" t="n">
        <x:v>-0.004020183121144707</x:v>
      </x:c>
      <x:c r="F2282" s="12" t="n">
        <x:v>2.76</x:v>
      </x:c>
      <x:c r="G2282" s="12" t="n">
        <x:v>276</x:v>
      </x:c>
      <x:c r="H2282" s="12" t="n">
        <x:v>1</x:v>
      </x:c>
      <x:c r="I2282" s="12" t="str">
        <x:v>TuShare index_daily</x:v>
      </x:c>
      <x:c r="J2282" s="12" t="str">
        <x:v>FRED current rolling window</x:v>
      </x:c>
    </x:row>
    <x:row r="2283" ht="18" customHeight="1">
      <x:c r="A2283" s="13" t="n">
        <x:v>46037</x:v>
      </x:c>
      <x:c r="B2283" s="12" t="n">
        <x:v>4751.4293</x:v>
      </x:c>
      <x:c r="C2283" s="12" t="n">
        <x:v>4741.9306</x:v>
      </x:c>
      <x:c r="D2283" s="12" t="n">
        <x:v>0.2003</x:v>
      </x:c>
      <x:c r="E2283" s="12" t="n">
        <x:v>0.002001125685711866</x:v>
      </x:c>
      <x:c r="F2283" s="12" t="n">
        <x:v>2.71</x:v>
      </x:c>
      <x:c r="G2283" s="12" t="n">
        <x:v>271</x:v>
      </x:c>
      <x:c r="H2283" s="12" t="n">
        <x:v>-5</x:v>
      </x:c>
      <x:c r="I2283" s="12" t="str">
        <x:v>TuShare index_daily</x:v>
      </x:c>
      <x:c r="J2283" s="12" t="str">
        <x:v>FRED current rolling window</x:v>
      </x:c>
    </x:row>
    <x:row r="2284" ht="18" customHeight="1">
      <x:c r="A2284" s="13" t="n">
        <x:v>46038</x:v>
      </x:c>
      <x:c r="B2284" s="12" t="n">
        <x:v>4731.8728</x:v>
      </x:c>
      <x:c r="C2284" s="12" t="n">
        <x:v>4751.4293</x:v>
      </x:c>
      <x:c r="D2284" s="12" t="n">
        <x:v>-0.4116</x:v>
      </x:c>
      <x:c r="E2284" s="12" t="n">
        <x:v>-0.0041244131034499296</x:v>
      </x:c>
      <x:c r="F2284" s="12" t="n">
        <x:v>2.65</x:v>
      </x:c>
      <x:c r="G2284" s="12" t="n">
        <x:v>265</x:v>
      </x:c>
      <x:c r="H2284" s="12" t="n">
        <x:v>-6</x:v>
      </x:c>
      <x:c r="I2284" s="12" t="str">
        <x:v>TuShare index_daily</x:v>
      </x:c>
      <x:c r="J2284" s="12" t="str">
        <x:v>FRED current rolling window</x:v>
      </x:c>
    </x:row>
    <x:row r="2285" ht="18" customHeight="1">
      <x:c r="A2285" s="13" t="n">
        <x:v>46041</x:v>
      </x:c>
      <x:c r="B2285" s="12" t="n">
        <x:v>4734.4556</x:v>
      </x:c>
      <x:c r="C2285" s="12" t="n">
        <x:v>4731.8728</x:v>
      </x:c>
      <x:c r="D2285" s="12" t="n">
        <x:v>0.0546</x:v>
      </x:c>
      <x:c r="E2285" s="12" t="n">
        <x:v>0.0005456814838769734</x:v>
      </x:c>
      <x:c r="F2285" s="12" t="n">
        <x:v>2.65</x:v>
      </x:c>
      <x:c r="G2285" s="12" t="n">
        <x:v>265</x:v>
      </x:c>
      <x:c r="H2285" s="12" t="n">
        <x:v>0</x:v>
      </x:c>
      <x:c r="I2285" s="12" t="str">
        <x:v>TuShare index_daily</x:v>
      </x:c>
      <x:c r="J2285" s="12" t="str">
        <x:v>FRED current rolling window</x:v>
      </x:c>
    </x:row>
    <x:row r="2286" ht="18" customHeight="1">
      <x:c r="A2286" s="13" t="n">
        <x:v>46042</x:v>
      </x:c>
      <x:c r="B2286" s="12" t="n">
        <x:v>4718.8782</x:v>
      </x:c>
      <x:c r="C2286" s="12" t="n">
        <x:v>4734.4556</x:v>
      </x:c>
      <x:c r="D2286" s="12" t="n">
        <x:v>-0.329</x:v>
      </x:c>
      <x:c r="E2286" s="12" t="n">
        <x:v>-0.0032956445691566306</x:v>
      </x:c>
      <x:c r="F2286" s="12" t="n">
        <x:v>2.73</x:v>
      </x:c>
      <x:c r="G2286" s="12" t="n">
        <x:v>273</x:v>
      </x:c>
      <x:c r="H2286" s="12" t="n">
        <x:v>8</x:v>
      </x:c>
      <x:c r="I2286" s="12" t="str">
        <x:v>TuShare index_daily</x:v>
      </x:c>
      <x:c r="J2286" s="12" t="str">
        <x:v>FRED current rolling window</x:v>
      </x:c>
    </x:row>
    <x:row r="2287" ht="18" customHeight="1">
      <x:c r="A2287" s="13" t="n">
        <x:v>46043</x:v>
      </x:c>
      <x:c r="B2287" s="12" t="n">
        <x:v>4723.0692</x:v>
      </x:c>
      <x:c r="C2287" s="12" t="n">
        <x:v>4718.8782</x:v>
      </x:c>
      <x:c r="D2287" s="12" t="n">
        <x:v>0.0888</x:v>
      </x:c>
      <x:c r="E2287" s="12" t="n">
        <x:v>0.000887740653000851</x:v>
      </x:c>
      <x:c r="F2287" s="12" t="n">
        <x:v>2.69</x:v>
      </x:c>
      <x:c r="G2287" s="12" t="n">
        <x:v>269</x:v>
      </x:c>
      <x:c r="H2287" s="12" t="n">
        <x:v>-4</x:v>
      </x:c>
      <x:c r="I2287" s="12" t="str">
        <x:v>TuShare index_daily</x:v>
      </x:c>
      <x:c r="J2287" s="12" t="str">
        <x:v>FRED current rolling window</x:v>
      </x:c>
    </x:row>
    <x:row r="2288" ht="18" customHeight="1">
      <x:c r="A2288" s="13" t="n">
        <x:v>46044</x:v>
      </x:c>
      <x:c r="B2288" s="12" t="n">
        <x:v>4723.7091</x:v>
      </x:c>
      <x:c r="C2288" s="12" t="n">
        <x:v>4723.0692</x:v>
      </x:c>
      <x:c r="D2288" s="12" t="n">
        <x:v>0.0135</x:v>
      </x:c>
      <x:c r="E2288" s="12" t="n">
        <x:v>0.0001354747577760709</x:v>
      </x:c>
      <x:c r="F2288" s="12" t="n">
        <x:v>2.64</x:v>
      </x:c>
      <x:c r="G2288" s="12" t="n">
        <x:v>264</x:v>
      </x:c>
      <x:c r="H2288" s="12" t="n">
        <x:v>-5</x:v>
      </x:c>
      <x:c r="I2288" s="12" t="str">
        <x:v>TuShare index_daily</x:v>
      </x:c>
      <x:c r="J2288" s="12" t="str">
        <x:v>FRED current rolling window</x:v>
      </x:c>
    </x:row>
    <x:row r="2289" ht="18" customHeight="1">
      <x:c r="A2289" s="13" t="n">
        <x:v>46045</x:v>
      </x:c>
      <x:c r="B2289" s="12" t="n">
        <x:v>4702.4966</x:v>
      </x:c>
      <x:c r="C2289" s="12" t="n">
        <x:v>4723.7091</x:v>
      </x:c>
      <x:c r="D2289" s="12" t="n">
        <x:v>-0.4491</x:v>
      </x:c>
      <x:c r="E2289" s="12" t="n">
        <x:v>-0.004500758095729463</x:v>
      </x:c>
      <x:c r="F2289" s="12" t="n">
        <x:v>2.68</x:v>
      </x:c>
      <x:c r="G2289" s="12" t="n">
        <x:v>268</x:v>
      </x:c>
      <x:c r="H2289" s="12" t="n">
        <x:v>4</x:v>
      </x:c>
      <x:c r="I2289" s="12" t="str">
        <x:v>TuShare index_daily</x:v>
      </x:c>
      <x:c r="J2289" s="12" t="str">
        <x:v>FRED current rolling window</x:v>
      </x:c>
    </x:row>
    <x:row r="2290" ht="18" customHeight="1">
      <x:c r="A2290" s="13" t="n">
        <x:v>46048</x:v>
      </x:c>
      <x:c r="B2290" s="12" t="n">
        <x:v>4706.964</x:v>
      </x:c>
      <x:c r="C2290" s="12" t="n">
        <x:v>4702.4966</x:v>
      </x:c>
      <x:c r="D2290" s="12" t="n">
        <x:v>0.095</x:v>
      </x:c>
      <x:c r="E2290" s="12" t="n">
        <x:v>0.0009495550330845036</x:v>
      </x:c>
      <x:c r="F2290" s="12" t="n">
        <x:v>2.69</x:v>
      </x:c>
      <x:c r="G2290" s="12" t="n">
        <x:v>269</x:v>
      </x:c>
      <x:c r="H2290" s="12" t="n">
        <x:v>1</x:v>
      </x:c>
      <x:c r="I2290" s="12" t="str">
        <x:v>TuShare index_daily</x:v>
      </x:c>
      <x:c r="J2290" s="12" t="str">
        <x:v>FRED current rolling window</x:v>
      </x:c>
    </x:row>
    <x:row r="2291" ht="18" customHeight="1">
      <x:c r="A2291" s="13" t="n">
        <x:v>46049</x:v>
      </x:c>
      <x:c r="B2291" s="12" t="n">
        <x:v>4705.6918</x:v>
      </x:c>
      <x:c r="C2291" s="12" t="n">
        <x:v>4706.964</x:v>
      </x:c>
      <x:c r="D2291" s="12" t="n">
        <x:v>-0.027</x:v>
      </x:c>
      <x:c r="E2291" s="12" t="n">
        <x:v>-0.00027031690837922264</x:v>
      </x:c>
      <x:c r="F2291" s="12" t="n">
        <x:v>2.71</x:v>
      </x:c>
      <x:c r="G2291" s="12" t="n">
        <x:v>271</x:v>
      </x:c>
      <x:c r="H2291" s="12" t="n">
        <x:v>2</x:v>
      </x:c>
      <x:c r="I2291" s="12" t="str">
        <x:v>TuShare index_daily</x:v>
      </x:c>
      <x:c r="J2291" s="12" t="str">
        <x:v>FRED current rolling window</x:v>
      </x:c>
    </x:row>
    <x:row r="2292" ht="18" customHeight="1">
      <x:c r="A2292" s="13" t="n">
        <x:v>46050</x:v>
      </x:c>
      <x:c r="B2292" s="12" t="n">
        <x:v>4717.9914</x:v>
      </x:c>
      <x:c r="C2292" s="12" t="n">
        <x:v>4705.6918</x:v>
      </x:c>
      <x:c r="D2292" s="12" t="n">
        <x:v>0.2614</x:v>
      </x:c>
      <x:c r="E2292" s="12" t="n">
        <x:v>0.0026103608797261027</x:v>
      </x:c>
      <x:c r="F2292" s="12" t="n">
        <x:v>2.72</x:v>
      </x:c>
      <x:c r="G2292" s="12" t="n">
        <x:v>272</x:v>
      </x:c>
      <x:c r="H2292" s="12" t="n">
        <x:v>1</x:v>
      </x:c>
      <x:c r="I2292" s="12" t="str">
        <x:v>TuShare index_daily</x:v>
      </x:c>
      <x:c r="J2292" s="12" t="str">
        <x:v>FRED current rolling window</x:v>
      </x:c>
    </x:row>
    <x:row r="2293" ht="18" customHeight="1">
      <x:c r="A2293" s="13" t="n">
        <x:v>46051</x:v>
      </x:c>
      <x:c r="B2293" s="12" t="n">
        <x:v>4753.8697</x:v>
      </x:c>
      <x:c r="C2293" s="12" t="n">
        <x:v>4717.9914</x:v>
      </x:c>
      <x:c r="D2293" s="12" t="n">
        <x:v>0.7605</x:v>
      </x:c>
      <x:c r="E2293" s="12" t="n">
        <x:v>0.007575801886727559</x:v>
      </x:c>
      <x:c r="F2293" s="12" t="n">
        <x:v>2.77</x:v>
      </x:c>
      <x:c r="G2293" s="12" t="n">
        <x:v>277</x:v>
      </x:c>
      <x:c r="H2293" s="12" t="n">
        <x:v>5</x:v>
      </x:c>
      <x:c r="I2293" s="12" t="str">
        <x:v>TuShare index_daily</x:v>
      </x:c>
      <x:c r="J2293" s="12" t="str">
        <x:v>FRED current rolling window</x:v>
      </x:c>
    </x:row>
    <x:row r="2294" ht="18" customHeight="1">
      <x:c r="A2294" s="13" t="n">
        <x:v>46052</x:v>
      </x:c>
      <x:c r="B2294" s="12" t="n">
        <x:v>4706.3401</x:v>
      </x:c>
      <x:c r="C2294" s="12" t="n">
        <x:v>4753.8697</x:v>
      </x:c>
      <x:c r="D2294" s="12" t="n">
        <x:v>-0.9998</x:v>
      </x:c>
      <x:c r="E2294" s="12" t="n">
        <x:v>-0.010048402927151283</x:v>
      </x:c>
      <x:c r="F2294" s="12" t="n">
        <x:v>2.8</x:v>
      </x:c>
      <x:c r="G2294" s="12" t="n">
        <x:v>280</x:v>
      </x:c>
      <x:c r="H2294" s="12" t="n">
        <x:v>3</x:v>
      </x:c>
      <x:c r="I2294" s="12" t="str">
        <x:v>TuShare index_daily</x:v>
      </x:c>
      <x:c r="J2294" s="12" t="str">
        <x:v>FRED current rolling window</x:v>
      </x:c>
    </x:row>
    <x:row r="2295" ht="18" customHeight="1">
      <x:c r="A2295" s="13" t="n">
        <x:v>46055</x:v>
      </x:c>
      <x:c r="B2295" s="12" t="n">
        <x:v>4605.9799</x:v>
      </x:c>
      <x:c r="C2295" s="12" t="n">
        <x:v>4706.3401</x:v>
      </x:c>
      <x:c r="D2295" s="12" t="n">
        <x:v>-2.1324</x:v>
      </x:c>
      <x:c r="E2295" s="12" t="n">
        <x:v>-0.02155511962136138</x:v>
      </x:c>
      <x:c r="F2295" s="12" t="n">
        <x:v>2.81</x:v>
      </x:c>
      <x:c r="G2295" s="12" t="n">
        <x:v>281</x:v>
      </x:c>
      <x:c r="H2295" s="12" t="n">
        <x:v>-7</x:v>
      </x:c>
      <x:c r="I2295" s="12" t="str">
        <x:v>TuShare index_daily</x:v>
      </x:c>
      <x:c r="J2295" s="12" t="str">
        <x:v>FRED current rolling window</x:v>
      </x:c>
    </x:row>
    <x:row r="2296" ht="18" customHeight="1">
      <x:c r="A2296" s="13" t="n">
        <x:v>46056</x:v>
      </x:c>
      <x:c r="B2296" s="12" t="n">
        <x:v>4660.1074</x:v>
      </x:c>
      <x:c r="C2296" s="12" t="n">
        <x:v>4605.9799</x:v>
      </x:c>
      <x:c r="D2296" s="12" t="n">
        <x:v>1.1752</x:v>
      </x:c>
      <x:c r="E2296" s="12" t="n">
        <x:v>0.011683057566509144</x:v>
      </x:c>
      <x:c r="F2296" s="12" t="n">
        <x:v>2.85</x:v>
      </x:c>
      <x:c r="G2296" s="12" t="n">
        <x:v>285</x:v>
      </x:c>
      <x:c r="H2296" s="12" t="n">
        <x:v>4</x:v>
      </x:c>
      <x:c r="I2296" s="12" t="str">
        <x:v>TuShare index_daily</x:v>
      </x:c>
      <x:c r="J2296" s="12" t="str">
        <x:v>FRED current rolling window</x:v>
      </x:c>
    </x:row>
    <x:row r="2297" ht="18" customHeight="1">
      <x:c r="A2297" s="13" t="n">
        <x:v>46057</x:v>
      </x:c>
      <x:c r="B2297" s="12" t="n">
        <x:v>4698.6832</x:v>
      </x:c>
      <x:c r="C2297" s="12" t="n">
        <x:v>4660.1074</x:v>
      </x:c>
      <x:c r="D2297" s="12" t="n">
        <x:v>0.8278</x:v>
      </x:c>
      <x:c r="E2297" s="12" t="n">
        <x:v>0.008243804165968633</x:v>
      </x:c>
      <x:c r="F2297" s="12" t="n">
        <x:v>2.86</x:v>
      </x:c>
      <x:c r="G2297" s="12" t="n">
        <x:v>286</x:v>
      </x:c>
      <x:c r="H2297" s="12" t="n">
        <x:v>1</x:v>
      </x:c>
      <x:c r="I2297" s="12" t="str">
        <x:v>TuShare index_daily</x:v>
      </x:c>
      <x:c r="J2297" s="12" t="str">
        <x:v>FRED current rolling window</x:v>
      </x:c>
    </x:row>
    <x:row r="2298" ht="18" customHeight="1">
      <x:c r="A2298" s="13" t="n">
        <x:v>46058</x:v>
      </x:c>
      <x:c r="B2298" s="12" t="n">
        <x:v>4670.4188</x:v>
      </x:c>
      <x:c r="C2298" s="12" t="n">
        <x:v>4698.6832</x:v>
      </x:c>
      <x:c r="D2298" s="12" t="n">
        <x:v>-0.6015</x:v>
      </x:c>
      <x:c r="E2298" s="12" t="n">
        <x:v>-0.006033552787481481</x:v>
      </x:c>
      <x:c r="F2298" s="12" t="n">
        <x:v>2.97</x:v>
      </x:c>
      <x:c r="G2298" s="12" t="n">
        <x:v>297</x:v>
      </x:c>
      <x:c r="H2298" s="12" t="n">
        <x:v>11</x:v>
      </x:c>
      <x:c r="I2298" s="12" t="str">
        <x:v>TuShare index_daily</x:v>
      </x:c>
      <x:c r="J2298" s="12" t="str">
        <x:v>FRED current rolling window</x:v>
      </x:c>
    </x:row>
    <x:row r="2299" ht="18" customHeight="1">
      <x:c r="A2299" s="13" t="n">
        <x:v>46059</x:v>
      </x:c>
      <x:c r="B2299" s="12" t="n">
        <x:v>4643.5959</x:v>
      </x:c>
      <x:c r="C2299" s="12" t="n">
        <x:v>4670.4188</x:v>
      </x:c>
      <x:c r="D2299" s="12" t="n">
        <x:v>-0.5743</x:v>
      </x:c>
      <x:c r="E2299" s="12" t="n">
        <x:v>-0.005759701915058707</x:v>
      </x:c>
      <x:c r="F2299" s="12" t="n">
        <x:v>2.87</x:v>
      </x:c>
      <x:c r="G2299" s="12" t="n">
        <x:v>287</x:v>
      </x:c>
      <x:c r="H2299" s="12" t="n">
        <x:v>-10</x:v>
      </x:c>
      <x:c r="I2299" s="12" t="str">
        <x:v>TuShare index_daily</x:v>
      </x:c>
      <x:c r="J2299" s="12" t="str">
        <x:v>FRED current rolling window</x:v>
      </x:c>
    </x:row>
    <x:row r="2300" ht="18" customHeight="1">
      <x:c r="A2300" s="13" t="n">
        <x:v>46062</x:v>
      </x:c>
      <x:c r="B2300" s="12" t="n">
        <x:v>4719.0559</x:v>
      </x:c>
      <x:c r="C2300" s="12" t="n">
        <x:v>4643.5959</x:v>
      </x:c>
      <x:c r="D2300" s="12" t="n">
        <x:v>1.625</x:v>
      </x:c>
      <x:c r="E2300" s="12" t="n">
        <x:v>0.016119713858417335</x:v>
      </x:c>
      <x:c r="F2300" s="12" t="n">
        <x:v>2.84</x:v>
      </x:c>
      <x:c r="G2300" s="12" t="n">
        <x:v>284</x:v>
      </x:c>
      <x:c r="H2300" s="12" t="n">
        <x:v>-3</x:v>
      </x:c>
      <x:c r="I2300" s="12" t="str">
        <x:v>TuShare index_daily</x:v>
      </x:c>
      <x:c r="J2300" s="12" t="str">
        <x:v>FRED current rolling window</x:v>
      </x:c>
    </x:row>
    <x:row r="2301" ht="18" customHeight="1">
      <x:c r="A2301" s="13" t="n">
        <x:v>46063</x:v>
      </x:c>
      <x:c r="B2301" s="12" t="n">
        <x:v>4724.2956</x:v>
      </x:c>
      <x:c r="C2301" s="12" t="n">
        <x:v>4719.0559</x:v>
      </x:c>
      <x:c r="D2301" s="12" t="n">
        <x:v>0.111</x:v>
      </x:c>
      <x:c r="E2301" s="12" t="n">
        <x:v>0.0011097120630757652</x:v>
      </x:c>
      <x:c r="F2301" s="12" t="n">
        <x:v>2.86</x:v>
      </x:c>
      <x:c r="G2301" s="12" t="n">
        <x:v>286</x:v>
      </x:c>
      <x:c r="H2301" s="12" t="n">
        <x:v>2</x:v>
      </x:c>
      <x:c r="I2301" s="12" t="str">
        <x:v>TuShare index_daily</x:v>
      </x:c>
      <x:c r="J2301" s="12" t="str">
        <x:v>FRED current rolling window</x:v>
      </x:c>
    </x:row>
    <x:row r="2302" ht="18" customHeight="1">
      <x:c r="A2302" s="13" t="n">
        <x:v>46064</x:v>
      </x:c>
      <x:c r="B2302" s="12" t="n">
        <x:v>4713.8185</x:v>
      </x:c>
      <x:c r="C2302" s="12" t="n">
        <x:v>4724.2956</x:v>
      </x:c>
      <x:c r="D2302" s="12" t="n">
        <x:v>-0.2218</x:v>
      </x:c>
      <x:c r="E2302" s="12" t="n">
        <x:v>-0.0022201690279628427</x:v>
      </x:c>
      <x:c r="F2302" s="12" t="n">
        <x:v>2.84</x:v>
      </x:c>
      <x:c r="G2302" s="12" t="n">
        <x:v>284</x:v>
      </x:c>
      <x:c r="H2302" s="12" t="n">
        <x:v>-2</x:v>
      </x:c>
      <x:c r="I2302" s="12" t="str">
        <x:v>TuShare index_daily</x:v>
      </x:c>
      <x:c r="J2302" s="12" t="str">
        <x:v>FRED current rolling window</x:v>
      </x:c>
    </x:row>
    <x:row r="2303" ht="18" customHeight="1">
      <x:c r="A2303" s="13" t="n">
        <x:v>46065</x:v>
      </x:c>
      <x:c r="B2303" s="12" t="n">
        <x:v>4719.578</x:v>
      </x:c>
      <x:c r="C2303" s="12" t="n">
        <x:v>4713.8185</x:v>
      </x:c>
      <x:c r="D2303" s="12" t="n">
        <x:v>0.1222</x:v>
      </x:c>
      <x:c r="E2303" s="12" t="n">
        <x:v>0.0012210873815480068</x:v>
      </x:c>
      <x:c r="F2303" s="12" t="n">
        <x:v>2.92</x:v>
      </x:c>
      <x:c r="G2303" s="12" t="n">
        <x:v>292</x:v>
      </x:c>
      <x:c r="H2303" s="12" t="n">
        <x:v>8</x:v>
      </x:c>
      <x:c r="I2303" s="12" t="str">
        <x:v>TuShare index_daily</x:v>
      </x:c>
      <x:c r="J2303" s="12" t="str">
        <x:v>FRED current rolling window</x:v>
      </x:c>
    </x:row>
    <x:row r="2304" ht="18" customHeight="1">
      <x:c r="A2304" s="13" t="n">
        <x:v>46066</x:v>
      </x:c>
      <x:c r="B2304" s="12" t="n">
        <x:v>4660.4056</x:v>
      </x:c>
      <x:c r="C2304" s="12" t="n">
        <x:v>4719.578</x:v>
      </x:c>
      <x:c r="D2304" s="12" t="n">
        <x:v>-1.2538</x:v>
      </x:c>
      <x:c r="E2304" s="12" t="n">
        <x:v>-0.01261690584425625</x:v>
      </x:c>
      <x:c r="F2304" s="12" t="n">
        <x:v>2.95</x:v>
      </x:c>
      <x:c r="G2304" s="12" t="n">
        <x:v>295</x:v>
      </x:c>
      <x:c r="H2304" s="12" t="n">
        <x:v>3</x:v>
      </x:c>
      <x:c r="I2304" s="12" t="str">
        <x:v>TuShare index_daily</x:v>
      </x:c>
      <x:c r="J2304" s="12" t="str">
        <x:v>FRED current rolling window</x:v>
      </x:c>
    </x:row>
    <x:row r="2305" ht="18" customHeight="1">
      <x:c r="A2305" s="13" t="n">
        <x:v>46077</x:v>
      </x:c>
      <x:c r="B2305" s="12" t="n">
        <x:v>4707.544</x:v>
      </x:c>
      <x:c r="C2305" s="12" t="n">
        <x:v>4660.4056</x:v>
      </x:c>
      <x:c r="D2305" s="12" t="n">
        <x:v>1.0115</x:v>
      </x:c>
      <x:c r="E2305" s="12" t="n">
        <x:v>0.010063845316008837</x:v>
      </x:c>
      <x:c r="F2305" s="12" t="n">
        <x:v>2.97</x:v>
      </x:c>
      <x:c r="G2305" s="12" t="n">
        <x:v>297</x:v>
      </x:c>
      <x:c r="H2305" s="12" t="n">
        <x:v>2</x:v>
      </x:c>
      <x:c r="I2305" s="12" t="str">
        <x:v>TuShare index_daily</x:v>
      </x:c>
      <x:c r="J2305" s="12" t="str">
        <x:v>FRED current rolling window</x:v>
      </x:c>
    </x:row>
    <x:row r="2306" ht="18" customHeight="1">
      <x:c r="A2306" s="13" t="n">
        <x:v>46078</x:v>
      </x:c>
      <x:c r="B2306" s="12" t="n">
        <x:v>4735.8858</x:v>
      </x:c>
      <x:c r="C2306" s="12" t="n">
        <x:v>4707.544</x:v>
      </x:c>
      <x:c r="D2306" s="12" t="n">
        <x:v>0.6021</x:v>
      </x:c>
      <x:c r="E2306" s="12" t="n">
        <x:v>0.0060024558227702906</x:v>
      </x:c>
      <x:c r="F2306" s="12" t="n">
        <x:v>2.94</x:v>
      </x:c>
      <x:c r="G2306" s="12" t="n">
        <x:v>294</x:v>
      </x:c>
      <x:c r="H2306" s="12" t="n">
        <x:v>-3</x:v>
      </x:c>
      <x:c r="I2306" s="12" t="str">
        <x:v>TuShare index_daily</x:v>
      </x:c>
      <x:c r="J2306" s="12" t="str">
        <x:v>FRED current rolling window</x:v>
      </x:c>
    </x:row>
    <x:row r="2307" ht="18" customHeight="1">
      <x:c r="A2307" s="13" t="n">
        <x:v>46079</x:v>
      </x:c>
      <x:c r="B2307" s="12" t="n">
        <x:v>4726.8739</x:v>
      </x:c>
      <x:c r="C2307" s="12" t="n">
        <x:v>4735.8858</x:v>
      </x:c>
      <x:c r="D2307" s="12" t="n">
        <x:v>-0.1903</x:v>
      </x:c>
      <x:c r="E2307" s="12" t="n">
        <x:v>-0.001904709199058713</x:v>
      </x:c>
      <x:c r="F2307" s="12" t="n">
        <x:v>2.98</x:v>
      </x:c>
      <x:c r="G2307" s="12" t="n">
        <x:v>298</x:v>
      </x:c>
      <x:c r="H2307" s="12" t="n">
        <x:v>4</x:v>
      </x:c>
      <x:c r="I2307" s="12" t="str">
        <x:v>TuShare index_daily</x:v>
      </x:c>
      <x:c r="J2307" s="12" t="str">
        <x:v>FRED current rolling window</x:v>
      </x:c>
    </x:row>
    <x:row r="2308" ht="18" customHeight="1">
      <x:c r="A2308" s="13" t="n">
        <x:v>46080</x:v>
      </x:c>
      <x:c r="B2308" s="12" t="n">
        <x:v>4710.6469</x:v>
      </x:c>
      <x:c r="C2308" s="12" t="n">
        <x:v>4726.8739</x:v>
      </x:c>
      <x:c r="D2308" s="12" t="n">
        <x:v>-0.3433</x:v>
      </x:c>
      <x:c r="E2308" s="12" t="n">
        <x:v>-0.003438830246838009</x:v>
      </x:c>
      <x:c r="F2308" s="12" t="n">
        <x:v>3.1</x:v>
      </x:c>
      <x:c r="G2308" s="12" t="n">
        <x:v>310</x:v>
      </x:c>
      <x:c r="H2308" s="12" t="n">
        <x:v>12</x:v>
      </x:c>
      <x:c r="I2308" s="12" t="str">
        <x:v>TuShare index_daily</x:v>
      </x:c>
      <x:c r="J2308" s="12" t="str">
        <x:v>FRED current rolling window</x:v>
      </x:c>
    </x:row>
    <x:row r="2309" ht="18" customHeight="1">
      <x:c r="A2309" s="13" t="n">
        <x:v>46083</x:v>
      </x:c>
      <x:c r="B2309" s="12" t="n">
        <x:v>4728.6688</x:v>
      </x:c>
      <x:c r="C2309" s="12" t="n">
        <x:v>4710.6469</x:v>
      </x:c>
      <x:c r="D2309" s="12" t="n">
        <x:v>0.3826</x:v>
      </x:c>
      <x:c r="E2309" s="12" t="n">
        <x:v>0.003818480591298883</x:v>
      </x:c>
      <x:c r="F2309" s="12" t="n">
        <x:v>3.03</x:v>
      </x:c>
      <x:c r="G2309" s="12" t="n">
        <x:v>303</x:v>
      </x:c>
      <x:c r="H2309" s="12" t="n">
        <x:v>-9</x:v>
      </x:c>
      <x:c r="I2309" s="12" t="str">
        <x:v>TuShare index_daily</x:v>
      </x:c>
      <x:c r="J2309" s="12" t="str">
        <x:v>FRED current rolling window</x:v>
      </x:c>
    </x:row>
    <x:row r="2310" ht="18" customHeight="1">
      <x:c r="A2310" s="13" t="n">
        <x:v>46084</x:v>
      </x:c>
      <x:c r="B2310" s="12" t="n">
        <x:v>4655.8962</x:v>
      </x:c>
      <x:c r="C2310" s="12" t="n">
        <x:v>4728.6688</x:v>
      </x:c>
      <x:c r="D2310" s="12" t="n">
        <x:v>-1.539</x:v>
      </x:c>
      <x:c r="E2310" s="12" t="n">
        <x:v>-0.01550930889451081</x:v>
      </x:c>
      <x:c r="F2310" s="12" t="n">
        <x:v>3.08</x:v>
      </x:c>
      <x:c r="G2310" s="12" t="n">
        <x:v>308</x:v>
      </x:c>
      <x:c r="H2310" s="12" t="n">
        <x:v>5</x:v>
      </x:c>
      <x:c r="I2310" s="12" t="str">
        <x:v>TuShare index_daily</x:v>
      </x:c>
      <x:c r="J2310" s="12" t="str">
        <x:v>FRED current rolling window</x:v>
      </x:c>
    </x:row>
    <x:row r="2311" ht="18" customHeight="1">
      <x:c r="A2311" s="13" t="n">
        <x:v>46085</x:v>
      </x:c>
      <x:c r="B2311" s="12" t="n">
        <x:v>4602.6247</x:v>
      </x:c>
      <x:c r="C2311" s="12" t="n">
        <x:v>4655.8962</x:v>
      </x:c>
      <x:c r="D2311" s="12" t="n">
        <x:v>-1.1442</x:v>
      </x:c>
      <x:c r="E2311" s="12" t="n">
        <x:v>-0.01150768863746393</x:v>
      </x:c>
      <x:c r="F2311" s="12" t="n">
        <x:v>2.97</x:v>
      </x:c>
      <x:c r="G2311" s="12" t="n">
        <x:v>297</x:v>
      </x:c>
      <x:c r="H2311" s="12" t="n">
        <x:v>-11</x:v>
      </x:c>
      <x:c r="I2311" s="12" t="str">
        <x:v>TuShare index_daily</x:v>
      </x:c>
      <x:c r="J2311" s="12" t="str">
        <x:v>FRED current rolling window</x:v>
      </x:c>
    </x:row>
    <x:row r="2312" ht="18" customHeight="1">
      <x:c r="A2312" s="13" t="n">
        <x:v>46086</x:v>
      </x:c>
      <x:c r="B2312" s="12" t="n">
        <x:v>4647.6921</x:v>
      </x:c>
      <x:c r="C2312" s="12" t="n">
        <x:v>4602.6247</x:v>
      </x:c>
      <x:c r="D2312" s="12" t="n">
        <x:v>0.9792</x:v>
      </x:c>
      <x:c r="E2312" s="12" t="n">
        <x:v>0.009744046081069595</x:v>
      </x:c>
      <x:c r="F2312" s="12" t="n">
        <x:v>3</x:v>
      </x:c>
      <x:c r="G2312" s="12" t="n">
        <x:v>300</x:v>
      </x:c>
      <x:c r="H2312" s="12" t="n">
        <x:v>3</x:v>
      </x:c>
      <x:c r="I2312" s="12" t="str">
        <x:v>TuShare index_daily</x:v>
      </x:c>
      <x:c r="J2312" s="12" t="str">
        <x:v>FRED current rolling window</x:v>
      </x:c>
    </x:row>
    <x:row r="2313" ht="18" customHeight="1">
      <x:c r="A2313" s="13" t="n">
        <x:v>46087</x:v>
      </x:c>
      <x:c r="B2313" s="12" t="n">
        <x:v>4660.439</x:v>
      </x:c>
      <x:c r="C2313" s="12" t="n">
        <x:v>4647.6921</x:v>
      </x:c>
      <x:c r="D2313" s="12" t="n">
        <x:v>0.2743</x:v>
      </x:c>
      <x:c r="E2313" s="12" t="n">
        <x:v>0.002738875899232227</x:v>
      </x:c>
      <x:c r="F2313" s="12" t="n">
        <x:v>3.13</x:v>
      </x:c>
      <x:c r="G2313" s="12" t="n">
        <x:v>313</x:v>
      </x:c>
      <x:c r="H2313" s="12" t="n">
        <x:v>13</x:v>
      </x:c>
      <x:c r="I2313" s="12" t="str">
        <x:v>TuShare index_daily</x:v>
      </x:c>
      <x:c r="J2313" s="12" t="str">
        <x:v>FRED current rolling window</x:v>
      </x:c>
    </x:row>
    <x:row r="2314" ht="18" customHeight="1">
      <x:c r="A2314" s="13" t="n">
        <x:v>46090</x:v>
      </x:c>
      <x:c r="B2314" s="12" t="n">
        <x:v>4615.4551</x:v>
      </x:c>
      <x:c r="C2314" s="12" t="n">
        <x:v>4660.439</x:v>
      </x:c>
      <x:c r="D2314" s="12" t="n">
        <x:v>-0.9652</x:v>
      </x:c>
      <x:c r="E2314" s="12" t="n">
        <x:v>-0.009699173398410947</x:v>
      </x:c>
      <x:c r="F2314" s="12" t="n">
        <x:v>3.19</x:v>
      </x:c>
      <x:c r="G2314" s="12" t="n">
        <x:v>319</x:v>
      </x:c>
      <x:c r="H2314" s="12" t="n">
        <x:v>6</x:v>
      </x:c>
      <x:c r="I2314" s="12" t="str">
        <x:v>TuShare index_daily</x:v>
      </x:c>
      <x:c r="J2314" s="12" t="str">
        <x:v>FRED current rolling window</x:v>
      </x:c>
    </x:row>
    <x:row r="2315" ht="18" customHeight="1">
      <x:c r="A2315" s="13" t="n">
        <x:v>46091</x:v>
      </x:c>
      <x:c r="B2315" s="12" t="n">
        <x:v>4674.7562</x:v>
      </x:c>
      <x:c r="C2315" s="12" t="n">
        <x:v>4615.4551</x:v>
      </x:c>
      <x:c r="D2315" s="12" t="n">
        <x:v>1.2848</x:v>
      </x:c>
      <x:c r="E2315" s="12" t="n">
        <x:v>0.012766535337565442</x:v>
      </x:c>
      <x:c r="F2315" s="12" t="n">
        <x:v>3.06</x:v>
      </x:c>
      <x:c r="G2315" s="12" t="n">
        <x:v>306</x:v>
      </x:c>
      <x:c r="H2315" s="12" t="n">
        <x:v>-13</x:v>
      </x:c>
      <x:c r="I2315" s="12" t="str">
        <x:v>TuShare index_daily</x:v>
      </x:c>
      <x:c r="J2315" s="12" t="str">
        <x:v>FRED current rolling window</x:v>
      </x:c>
    </x:row>
    <x:row r="2316" ht="18" customHeight="1">
      <x:c r="A2316" s="13" t="n">
        <x:v>46092</x:v>
      </x:c>
      <x:c r="B2316" s="12" t="n">
        <x:v>4704.4959</x:v>
      </x:c>
      <x:c r="C2316" s="12" t="n">
        <x:v>4674.7562</x:v>
      </x:c>
      <x:c r="D2316" s="12" t="n">
        <x:v>0.6362</x:v>
      </x:c>
      <x:c r="E2316" s="12" t="n">
        <x:v>0.0063416143101133245</x:v>
      </x:c>
      <x:c r="F2316" s="12" t="n">
        <x:v>3.09</x:v>
      </x:c>
      <x:c r="G2316" s="12" t="n">
        <x:v>309</x:v>
      </x:c>
      <x:c r="H2316" s="12" t="n">
        <x:v>3</x:v>
      </x:c>
      <x:c r="I2316" s="12" t="str">
        <x:v>TuShare index_daily</x:v>
      </x:c>
      <x:c r="J2316" s="12" t="str">
        <x:v>FRED current rolling window</x:v>
      </x:c>
    </x:row>
    <x:row r="2317" ht="18" customHeight="1">
      <x:c r="A2317" s="13" t="n">
        <x:v>46093</x:v>
      </x:c>
      <x:c r="B2317" s="12" t="n">
        <x:v>4687.5601</x:v>
      </x:c>
      <x:c r="C2317" s="12" t="n">
        <x:v>4704.4959</x:v>
      </x:c>
      <x:c r="D2317" s="12" t="n">
        <x:v>-0.36</x:v>
      </x:c>
      <x:c r="E2317" s="12" t="n">
        <x:v>-0.003606413410628779</x:v>
      </x:c>
      <x:c r="F2317" s="12" t="n">
        <x:v>3.17</x:v>
      </x:c>
      <x:c r="G2317" s="12" t="n">
        <x:v>317</x:v>
      </x:c>
      <x:c r="H2317" s="12" t="n">
        <x:v>8</x:v>
      </x:c>
      <x:c r="I2317" s="12" t="str">
        <x:v>TuShare index_daily</x:v>
      </x:c>
      <x:c r="J2317" s="12" t="str">
        <x:v>FRED current rolling window</x:v>
      </x:c>
    </x:row>
    <x:row r="2318" ht="18" customHeight="1">
      <x:c r="A2318" s="13" t="n">
        <x:v>46094</x:v>
      </x:c>
      <x:c r="B2318" s="12" t="n">
        <x:v>4669.14</x:v>
      </x:c>
      <x:c r="C2318" s="12" t="n">
        <x:v>4687.5601</x:v>
      </x:c>
      <x:c r="D2318" s="12" t="n">
        <x:v>-0.393</x:v>
      </x:c>
      <x:c r="E2318" s="12" t="n">
        <x:v>-0.00393731200091498</x:v>
      </x:c>
      <x:c r="F2318" s="12" t="n">
        <x:v>3.28</x:v>
      </x:c>
      <x:c r="G2318" s="12" t="n">
        <x:v>328</x:v>
      </x:c>
      <x:c r="H2318" s="12" t="n">
        <x:v>11</x:v>
      </x:c>
      <x:c r="I2318" s="12" t="str">
        <x:v>TuShare index_daily</x:v>
      </x:c>
      <x:c r="J2318" s="12" t="str">
        <x:v>FRED current rolling window</x:v>
      </x:c>
    </x:row>
    <x:row r="2319" ht="18" customHeight="1">
      <x:c r="A2319" s="13" t="n">
        <x:v>46097</x:v>
      </x:c>
      <x:c r="B2319" s="12" t="n">
        <x:v>4671.5591</x:v>
      </x:c>
      <x:c r="C2319" s="12" t="n">
        <x:v>4669.14</x:v>
      </x:c>
      <x:c r="D2319" s="12" t="n">
        <x:v>0.0518</x:v>
      </x:c>
      <x:c r="E2319" s="12" t="n">
        <x:v>0.0005179698067964963</x:v>
      </x:c>
      <x:c r="F2319" s="12" t="n">
        <x:v>3.27</x:v>
      </x:c>
      <x:c r="G2319" s="12" t="n">
        <x:v>327</x:v>
      </x:c>
      <x:c r="H2319" s="12" t="n">
        <x:v>-1</x:v>
      </x:c>
      <x:c r="I2319" s="12" t="str">
        <x:v>TuShare index_daily</x:v>
      </x:c>
      <x:c r="J2319" s="12" t="str">
        <x:v>FRED current rolling window</x:v>
      </x:c>
    </x:row>
    <x:row r="2320" ht="18" customHeight="1">
      <x:c r="A2320" s="13" t="n">
        <x:v>46098</x:v>
      </x:c>
      <x:c r="B2320" s="12" t="n">
        <x:v>4637.4392</x:v>
      </x:c>
      <x:c r="C2320" s="12" t="n">
        <x:v>4671.5591</x:v>
      </x:c>
      <x:c r="D2320" s="12" t="n">
        <x:v>-0.7304</x:v>
      </x:c>
      <x:c r="E2320" s="12" t="n">
        <x:v>-0.007330553018070816</x:v>
      </x:c>
      <x:c r="F2320" s="12" t="n">
        <x:v>3.22</x:v>
      </x:c>
      <x:c r="G2320" s="12" t="n">
        <x:v>322</x:v>
      </x:c>
      <x:c r="H2320" s="12" t="n">
        <x:v>-5</x:v>
      </x:c>
      <x:c r="I2320" s="12" t="str">
        <x:v>TuShare index_daily</x:v>
      </x:c>
      <x:c r="J2320" s="12" t="str">
        <x:v>FRED current rolling window</x:v>
      </x:c>
    </x:row>
    <x:row r="2321" ht="18" customHeight="1">
      <x:c r="A2321" s="13" t="n">
        <x:v>46099</x:v>
      </x:c>
      <x:c r="B2321" s="12" t="n">
        <x:v>4658.3324</x:v>
      </x:c>
      <x:c r="C2321" s="12" t="n">
        <x:v>4637.4392</x:v>
      </x:c>
      <x:c r="D2321" s="12" t="n">
        <x:v>0.4505</x:v>
      </x:c>
      <x:c r="E2321" s="12" t="n">
        <x:v>0.004495212679770905</x:v>
      </x:c>
      <x:c r="F2321" s="12" t="n">
        <x:v>3.2</x:v>
      </x:c>
      <x:c r="G2321" s="12" t="n">
        <x:v>320</x:v>
      </x:c>
      <x:c r="H2321" s="12" t="n">
        <x:v>-2</x:v>
      </x:c>
      <x:c r="I2321" s="12" t="str">
        <x:v>TuShare index_daily</x:v>
      </x:c>
      <x:c r="J2321" s="12" t="str">
        <x:v>FRED current rolling window</x:v>
      </x:c>
    </x:row>
    <x:row r="2322" ht="18" customHeight="1">
      <x:c r="A2322" s="13" t="n">
        <x:v>46100</x:v>
      </x:c>
      <x:c r="B2322" s="12" t="n">
        <x:v>4583.2511</x:v>
      </x:c>
      <x:c r="C2322" s="12" t="n">
        <x:v>4658.3324</x:v>
      </x:c>
      <x:c r="D2322" s="12" t="n">
        <x:v>-1.6118</x:v>
      </x:c>
      <x:c r="E2322" s="12" t="n">
        <x:v>-0.016248936549918862</x:v>
      </x:c>
      <x:c r="F2322" s="12" t="n">
        <x:v>3.27</x:v>
      </x:c>
      <x:c r="G2322" s="12" t="n">
        <x:v>327</x:v>
      </x:c>
      <x:c r="H2322" s="12" t="n">
        <x:v>7</x:v>
      </x:c>
      <x:c r="I2322" s="12" t="str">
        <x:v>TuShare index_daily</x:v>
      </x:c>
      <x:c r="J2322" s="12" t="str">
        <x:v>FRED current rolling window</x:v>
      </x:c>
    </x:row>
    <x:row r="2323" ht="18" customHeight="1">
      <x:c r="A2323" s="13" t="n">
        <x:v>46101</x:v>
      </x:c>
      <x:c r="B2323" s="12" t="n">
        <x:v>4567.0179</x:v>
      </x:c>
      <x:c r="C2323" s="12" t="n">
        <x:v>4583.2511</x:v>
      </x:c>
      <x:c r="D2323" s="12" t="n">
        <x:v>-0.3542</x:v>
      </x:c>
      <x:c r="E2323" s="12" t="n">
        <x:v>-0.0035481398482115844</x:v>
      </x:c>
      <x:c r="F2323" s="12" t="n">
        <x:v>3.24</x:v>
      </x:c>
      <x:c r="G2323" s="12" t="n">
        <x:v>324</x:v>
      </x:c>
      <x:c r="H2323" s="12" t="n">
        <x:v>-3</x:v>
      </x:c>
      <x:c r="I2323" s="12" t="str">
        <x:v>TuShare index_daily</x:v>
      </x:c>
      <x:c r="J2323" s="12" t="str">
        <x:v>FRED current rolling window</x:v>
      </x:c>
    </x:row>
    <x:row r="2324" ht="18" customHeight="1">
      <x:c r="A2324" s="13" t="n">
        <x:v>46104</x:v>
      </x:c>
      <x:c r="B2324" s="12" t="n">
        <x:v>4417.9971</x:v>
      </x:c>
      <x:c r="C2324" s="12" t="n">
        <x:v>4567.0179</x:v>
      </x:c>
      <x:c r="D2324" s="12" t="n">
        <x:v>-3.263</x:v>
      </x:c>
      <x:c r="E2324" s="12" t="n">
        <x:v>-0.033174005025024496</x:v>
      </x:c>
      <x:c r="F2324" s="12" t="n">
        <x:v>3.19</x:v>
      </x:c>
      <x:c r="G2324" s="12" t="n">
        <x:v>319</x:v>
      </x:c>
      <x:c r="H2324" s="12" t="n">
        <x:v>-5</x:v>
      </x:c>
      <x:c r="I2324" s="12" t="str">
        <x:v>TuShare index_daily</x:v>
      </x:c>
      <x:c r="J2324" s="12" t="str">
        <x:v>FRED current rolling window</x:v>
      </x:c>
    </x:row>
    <x:row r="2325" ht="18" customHeight="1">
      <x:c r="A2325" s="13" t="n">
        <x:v>46105</x:v>
      </x:c>
      <x:c r="B2325" s="12" t="n">
        <x:v>4474.7224</x:v>
      </x:c>
      <x:c r="C2325" s="12" t="n">
        <x:v>4417.9971</x:v>
      </x:c>
      <x:c r="D2325" s="12" t="n">
        <x:v>1.284</x:v>
      </x:c>
      <x:c r="E2325" s="12" t="n">
        <x:v>0.012757867691010732</x:v>
      </x:c>
      <x:c r="F2325" s="12" t="n">
        <x:v>3.19</x:v>
      </x:c>
      <x:c r="G2325" s="12" t="n">
        <x:v>319</x:v>
      </x:c>
      <x:c r="H2325" s="12" t="n">
        <x:v>0</x:v>
      </x:c>
      <x:c r="I2325" s="12" t="str">
        <x:v>TuShare index_daily</x:v>
      </x:c>
      <x:c r="J2325" s="12" t="str">
        <x:v>FRED current rolling window</x:v>
      </x:c>
    </x:row>
    <x:row r="2326" ht="18" customHeight="1">
      <x:c r="A2326" s="13" t="n">
        <x:v>46106</x:v>
      </x:c>
      <x:c r="B2326" s="12" t="n">
        <x:v>4537.4656</x:v>
      </x:c>
      <x:c r="C2326" s="12" t="n">
        <x:v>4474.7224</x:v>
      </x:c>
      <x:c r="D2326" s="12" t="n">
        <x:v>1.4022</x:v>
      </x:c>
      <x:c r="E2326" s="12" t="n">
        <x:v>0.013924302011906592</x:v>
      </x:c>
      <x:c r="F2326" s="12" t="n">
        <x:v>3.17</x:v>
      </x:c>
      <x:c r="G2326" s="12" t="n">
        <x:v>317</x:v>
      </x:c>
      <x:c r="H2326" s="12" t="n">
        <x:v>-2</x:v>
      </x:c>
      <x:c r="I2326" s="12" t="str">
        <x:v>TuShare index_daily</x:v>
      </x:c>
      <x:c r="J2326" s="12" t="str">
        <x:v>FRED current rolling window</x:v>
      </x:c>
    </x:row>
    <x:row r="2327" ht="18" customHeight="1">
      <x:c r="A2327" s="13" t="n">
        <x:v>46107</x:v>
      </x:c>
      <x:c r="B2327" s="12" t="n">
        <x:v>4477.5343</x:v>
      </x:c>
      <x:c r="C2327" s="12" t="n">
        <x:v>4537.4656</x:v>
      </x:c>
      <x:c r="D2327" s="12" t="n">
        <x:v>-1.3208</x:v>
      </x:c>
      <x:c r="E2327" s="12" t="n">
        <x:v>-0.013296102846779104</x:v>
      </x:c>
      <x:c r="F2327" s="12" t="n">
        <x:v>3.21</x:v>
      </x:c>
      <x:c r="G2327" s="12" t="n">
        <x:v>321</x:v>
      </x:c>
      <x:c r="H2327" s="12" t="n">
        <x:v>4</x:v>
      </x:c>
      <x:c r="I2327" s="12" t="str">
        <x:v>TuShare index_daily</x:v>
      </x:c>
      <x:c r="J2327" s="12" t="str">
        <x:v>FRED current rolling window</x:v>
      </x:c>
    </x:row>
    <x:row r="2328" ht="18" customHeight="1">
      <x:c r="A2328" s="13" t="n">
        <x:v>46108</x:v>
      </x:c>
      <x:c r="B2328" s="12" t="n">
        <x:v>4502.5698</x:v>
      </x:c>
      <x:c r="C2328" s="12" t="n">
        <x:v>4477.5343</x:v>
      </x:c>
      <x:c r="D2328" s="12" t="n">
        <x:v>0.5591</x:v>
      </x:c>
      <x:c r="E2328" s="12" t="n">
        <x:v>0.005575784998188893</x:v>
      </x:c>
      <x:c r="F2328" s="12" t="n">
        <x:v>3.42</x:v>
      </x:c>
      <x:c r="G2328" s="12" t="n">
        <x:v>342</x:v>
      </x:c>
      <x:c r="H2328" s="12" t="n">
        <x:v>21</x:v>
      </x:c>
      <x:c r="I2328" s="12" t="str">
        <x:v>TuShare index_daily</x:v>
      </x:c>
      <x:c r="J2328" s="12" t="str">
        <x:v>FRED current rolling window</x:v>
      </x:c>
    </x:row>
    <x:row r="2329" ht="18" customHeight="1">
      <x:c r="A2329" s="13" t="n">
        <x:v>46111</x:v>
      </x:c>
      <x:c r="B2329" s="12" t="n">
        <x:v>4491.95</x:v>
      </x:c>
      <x:c r="C2329" s="12" t="n">
        <x:v>4502.5698</x:v>
      </x:c>
      <x:c r="D2329" s="12" t="n">
        <x:v>-0.2359</x:v>
      </x:c>
      <x:c r="E2329" s="12" t="n">
        <x:v>-0.0023613945315523644</x:v>
      </x:c>
      <x:c r="F2329" s="12" t="n">
        <x:v>3.46</x:v>
      </x:c>
      <x:c r="G2329" s="12" t="n">
        <x:v>346</x:v>
      </x:c>
      <x:c r="H2329" s="12" t="n">
        <x:v>4</x:v>
      </x:c>
      <x:c r="I2329" s="12" t="str">
        <x:v>TuShare index_daily</x:v>
      </x:c>
      <x:c r="J2329" s="12" t="str">
        <x:v>FRED current rolling window</x:v>
      </x:c>
    </x:row>
    <x:row r="2330" ht="18" customHeight="1">
      <x:c r="A2330" s="13" t="n">
        <x:v>46112</x:v>
      </x:c>
      <x:c r="B2330" s="12" t="n">
        <x:v>4450.0493</x:v>
      </x:c>
      <x:c r="C2330" s="12" t="n">
        <x:v>4491.95</x:v>
      </x:c>
      <x:c r="D2330" s="12" t="n">
        <x:v>-0.9328</x:v>
      </x:c>
      <x:c r="E2330" s="12" t="n">
        <x:v>-0.009371731146404768</x:v>
      </x:c>
      <x:c r="F2330" s="12" t="n">
        <x:v>3.28</x:v>
      </x:c>
      <x:c r="G2330" s="12" t="n">
        <x:v>328</x:v>
      </x:c>
      <x:c r="H2330" s="12" t="n">
        <x:v>-18</x:v>
      </x:c>
      <x:c r="I2330" s="12" t="str">
        <x:v>TuShare index_daily</x:v>
      </x:c>
      <x:c r="J2330" s="12" t="str">
        <x:v>FRED current rolling window</x:v>
      </x:c>
    </x:row>
    <x:row r="2331" ht="18" customHeight="1">
      <x:c r="A2331" s="13" t="n">
        <x:v>46113</x:v>
      </x:c>
      <x:c r="B2331" s="12" t="n">
        <x:v>4526.0668</x:v>
      </x:c>
      <x:c r="C2331" s="12" t="n">
        <x:v>4450.0493</x:v>
      </x:c>
      <x:c r="D2331" s="12" t="n">
        <x:v>1.7082</x:v>
      </x:c>
      <x:c r="E2331" s="12" t="n">
        <x:v>0.016938131503208057</x:v>
      </x:c>
      <x:c r="F2331" s="12" t="n">
        <x:v>3.16</x:v>
      </x:c>
      <x:c r="G2331" s="12" t="n">
        <x:v>316</x:v>
      </x:c>
      <x:c r="H2331" s="12" t="n">
        <x:v>-12</x:v>
      </x:c>
      <x:c r="I2331" s="12" t="str">
        <x:v>TuShare index_daily</x:v>
      </x:c>
      <x:c r="J2331" s="12" t="str">
        <x:v>FRED current rolling window</x:v>
      </x:c>
    </x:row>
    <x:row r="2332" ht="18" customHeight="1">
      <x:c r="A2332" s="13" t="n">
        <x:v>46114</x:v>
      </x:c>
      <x:c r="B2332" s="12" t="n">
        <x:v>4478.9141</x:v>
      </x:c>
      <x:c r="C2332" s="12" t="n">
        <x:v>4526.0668</x:v>
      </x:c>
      <x:c r="D2332" s="12" t="n">
        <x:v>-1.0418</x:v>
      </x:c>
      <x:c r="E2332" s="12" t="n">
        <x:v>-0.010472677618452112</x:v>
      </x:c>
      <x:c r="F2332" s="12" t="n">
        <x:v>3.17</x:v>
      </x:c>
      <x:c r="G2332" s="12" t="n">
        <x:v>317</x:v>
      </x:c>
      <x:c r="H2332" s="12" t="n">
        <x:v>1</x:v>
      </x:c>
      <x:c r="I2332" s="12" t="str">
        <x:v>TuShare index_daily</x:v>
      </x:c>
      <x:c r="J2332" s="12" t="str">
        <x:v>FRED current rolling window</x:v>
      </x:c>
    </x:row>
    <x:row r="2333" ht="18" customHeight="1">
      <x:c r="A2333" s="13" t="n">
        <x:v>46115</x:v>
      </x:c>
      <x:c r="B2333" s="12" t="n">
        <x:v>4440.7889</x:v>
      </x:c>
      <x:c r="C2333" s="12" t="n">
        <x:v>4478.9141</x:v>
      </x:c>
      <x:c r="D2333" s="12" t="n">
        <x:v>-0.8512</x:v>
      </x:c>
      <x:c r="E2333" s="12" t="n">
        <x:v>-0.008548587812162561</x:v>
      </x:c>
      <x:c r="F2333" s="12" t="n">
        <x:v>3.13</x:v>
      </x:c>
      <x:c r="G2333" s="12" t="n">
        <x:v>313</x:v>
      </x:c>
      <x:c r="H2333" s="12" t="n">
        <x:v>-4</x:v>
      </x:c>
      <x:c r="I2333" s="12" t="str">
        <x:v>TuShare index_daily</x:v>
      </x:c>
      <x:c r="J2333" s="12" t="str">
        <x:v>FRED current rolling window</x:v>
      </x:c>
    </x:row>
    <x:row r="2334" ht="18" customHeight="1">
      <x:c r="A2334" s="13" t="n">
        <x:v>46119</x:v>
      </x:c>
      <x:c r="B2334" s="12" t="n">
        <x:v>4440.6162</x:v>
      </x:c>
      <x:c r="C2334" s="12" t="n">
        <x:v>4440.7889</x:v>
      </x:c>
      <x:c r="D2334" s="12" t="n">
        <x:v>-0.0039</x:v>
      </x:c>
      <x:c r="E2334" s="12" t="n">
        <x:v>-0.00003889024272089768</x:v>
      </x:c>
      <x:c r="F2334" s="12" t="n">
        <x:v>3.12</x:v>
      </x:c>
      <x:c r="G2334" s="12" t="n">
        <x:v>312</x:v>
      </x:c>
      <x:c r="H2334" s="12" t="n">
        <x:v>7</x:v>
      </x:c>
      <x:c r="I2334" s="12" t="str">
        <x:v>TuShare index_daily</x:v>
      </x:c>
      <x:c r="J2334" s="12" t="str">
        <x:v>FRED current rolling window</x:v>
      </x:c>
    </x:row>
    <x:row r="2335" ht="18" customHeight="1">
      <x:c r="A2335" s="13" t="n">
        <x:v>46120</x:v>
      </x:c>
      <x:c r="B2335" s="12" t="n">
        <x:v>4595.556</x:v>
      </x:c>
      <x:c r="C2335" s="12" t="n">
        <x:v>4440.6162</x:v>
      </x:c>
      <x:c r="D2335" s="12" t="n">
        <x:v>3.4892</x:v>
      </x:c>
      <x:c r="E2335" s="12" t="n">
        <x:v>0.03429659897740949</x:v>
      </x:c>
      <x:c r="F2335" s="12" t="n">
        <x:v>2.94</x:v>
      </x:c>
      <x:c r="G2335" s="12" t="n">
        <x:v>294</x:v>
      </x:c>
      <x:c r="H2335" s="12" t="n">
        <x:v>-18</x:v>
      </x:c>
      <x:c r="I2335" s="12" t="str">
        <x:v>TuShare index_daily</x:v>
      </x:c>
      <x:c r="J2335" s="12" t="str">
        <x:v>FRED current rolling window</x:v>
      </x:c>
    </x:row>
    <x:row r="2336" ht="18" customHeight="1">
      <x:c r="A2336" s="13" t="n">
        <x:v>46121</x:v>
      </x:c>
      <x:c r="B2336" s="12" t="n">
        <x:v>4566.2237</x:v>
      </x:c>
      <x:c r="C2336" s="12" t="n">
        <x:v>4595.556</x:v>
      </x:c>
      <x:c r="D2336" s="12" t="n">
        <x:v>-0.6383</x:v>
      </x:c>
      <x:c r="E2336" s="12" t="n">
        <x:v>-0.006403210114583198</x:v>
      </x:c>
      <x:c r="F2336" s="12" t="n">
        <x:v>2.9</x:v>
      </x:c>
      <x:c r="G2336" s="12" t="n">
        <x:v>290</x:v>
      </x:c>
      <x:c r="H2336" s="12" t="n">
        <x:v>-4</x:v>
      </x:c>
      <x:c r="I2336" s="12" t="str">
        <x:v>TuShare index_daily</x:v>
      </x:c>
      <x:c r="J2336" s="12" t="str">
        <x:v>FRED current rolling window</x:v>
      </x:c>
    </x:row>
    <x:row r="2337" ht="18" customHeight="1">
      <x:c r="A2337" s="13" t="n">
        <x:v>46122</x:v>
      </x:c>
      <x:c r="B2337" s="12" t="n">
        <x:v>4636.5655</x:v>
      </x:c>
      <x:c r="C2337" s="12" t="n">
        <x:v>4566.2237</x:v>
      </x:c>
      <x:c r="D2337" s="12" t="n">
        <x:v>1.5405</x:v>
      </x:c>
      <x:c r="E2337" s="12" t="n">
        <x:v>0.015287358732672058</x:v>
      </x:c>
      <x:c r="F2337" s="12" t="n">
        <x:v>2.94</x:v>
      </x:c>
      <x:c r="G2337" s="12" t="n">
        <x:v>294</x:v>
      </x:c>
      <x:c r="H2337" s="12" t="n">
        <x:v>4</x:v>
      </x:c>
      <x:c r="I2337" s="12" t="str">
        <x:v>TuShare index_daily</x:v>
      </x:c>
      <x:c r="J2337" s="12" t="str">
        <x:v>FRED current rolling window</x:v>
      </x:c>
    </x:row>
    <x:row r="2338" ht="18" customHeight="1">
      <x:c r="A2338" s="13" t="n">
        <x:v>46125</x:v>
      </x:c>
      <x:c r="B2338" s="12" t="n">
        <x:v>4646.1546</x:v>
      </x:c>
      <x:c r="C2338" s="12" t="n">
        <x:v>4636.5655</x:v>
      </x:c>
      <x:c r="D2338" s="12" t="n">
        <x:v>0.2068</x:v>
      </x:c>
      <x:c r="E2338" s="12" t="n">
        <x:v>0.002066011537037725</x:v>
      </x:c>
      <x:c r="F2338" s="12" t="n">
        <x:v>2.95</x:v>
      </x:c>
      <x:c r="G2338" s="12" t="n">
        <x:v>295</x:v>
      </x:c>
      <x:c r="H2338" s="12" t="n">
        <x:v>1</x:v>
      </x:c>
      <x:c r="I2338" s="12" t="str">
        <x:v>TuShare index_daily</x:v>
      </x:c>
      <x:c r="J2338" s="12" t="str">
        <x:v>FRED current rolling window</x:v>
      </x:c>
    </x:row>
    <x:row r="2339" ht="18" customHeight="1">
      <x:c r="A2339" s="13" t="n">
        <x:v>46126</x:v>
      </x:c>
      <x:c r="B2339" s="12" t="n">
        <x:v>4701.2837</x:v>
      </x:c>
      <x:c r="C2339" s="12" t="n">
        <x:v>4646.1546</x:v>
      </x:c>
      <x:c r="D2339" s="12" t="n">
        <x:v>1.1866</x:v>
      </x:c>
      <x:c r="E2339" s="12" t="n">
        <x:v>0.011795689352143368</x:v>
      </x:c>
      <x:c r="F2339" s="12" t="n">
        <x:v>2.84</x:v>
      </x:c>
      <x:c r="G2339" s="12" t="n">
        <x:v>284</x:v>
      </x:c>
      <x:c r="H2339" s="12" t="n">
        <x:v>-11</x:v>
      </x:c>
      <x:c r="I2339" s="12" t="str">
        <x:v>TuShare index_daily</x:v>
      </x:c>
      <x:c r="J2339" s="12" t="str">
        <x:v>FRED current rolling window</x:v>
      </x:c>
    </x:row>
    <x:row r="2340" ht="18" customHeight="1">
      <x:c r="A2340" s="13" t="n">
        <x:v>46127</x:v>
      </x:c>
      <x:c r="B2340" s="12" t="n">
        <x:v>4685.2464</x:v>
      </x:c>
      <x:c r="C2340" s="12" t="n">
        <x:v>4701.2837</x:v>
      </x:c>
      <x:c r="D2340" s="12" t="n">
        <x:v>-0.3411</x:v>
      </x:c>
      <x:c r="E2340" s="12" t="n">
        <x:v>-0.003417091392478743</x:v>
      </x:c>
      <x:c r="F2340" s="12" t="n">
        <x:v>2.85</x:v>
      </x:c>
      <x:c r="G2340" s="12" t="n">
        <x:v>285</x:v>
      </x:c>
      <x:c r="H2340" s="12" t="n">
        <x:v>1</x:v>
      </x:c>
      <x:c r="I2340" s="12" t="str">
        <x:v>TuShare index_daily</x:v>
      </x:c>
      <x:c r="J2340" s="12" t="str">
        <x:v>FRED current rolling window</x:v>
      </x:c>
    </x:row>
    <x:row r="2341" ht="18" customHeight="1">
      <x:c r="A2341" s="13" t="n">
        <x:v>46128</x:v>
      </x:c>
      <x:c r="B2341" s="12" t="n">
        <x:v>4736.6077</x:v>
      </x:c>
      <x:c r="C2341" s="12" t="n">
        <x:v>4685.2464</x:v>
      </x:c>
      <x:c r="D2341" s="12" t="n">
        <x:v>1.0962</x:v>
      </x:c>
      <x:c r="E2341" s="12" t="n">
        <x:v>0.010902696693278813</x:v>
      </x:c>
      <x:c r="F2341" s="12" t="n">
        <x:v>2.86</x:v>
      </x:c>
      <x:c r="G2341" s="12" t="n">
        <x:v>286</x:v>
      </x:c>
      <x:c r="H2341" s="12" t="n">
        <x:v>1</x:v>
      </x:c>
      <x:c r="I2341" s="12" t="str">
        <x:v>TuShare index_daily</x:v>
      </x:c>
      <x:c r="J2341" s="12" t="str">
        <x:v>FRED current rolling window</x:v>
      </x:c>
    </x:row>
    <x:row r="2342" ht="18" customHeight="1">
      <x:c r="A2342" s="13" t="n">
        <x:v>46129</x:v>
      </x:c>
      <x:c r="B2342" s="12" t="n">
        <x:v>4728.6716</x:v>
      </x:c>
      <x:c r="C2342" s="12" t="n">
        <x:v>4736.6077</x:v>
      </x:c>
      <x:c r="D2342" s="12" t="n">
        <x:v>-0.1675</x:v>
      </x:c>
      <x:c r="E2342" s="12" t="n">
        <x:v>-0.0016768869904682999</x:v>
      </x:c>
      <x:c r="F2342" s="12" t="n">
        <x:v>2.83</x:v>
      </x:c>
      <x:c r="G2342" s="12" t="n">
        <x:v>283</x:v>
      </x:c>
      <x:c r="H2342" s="12" t="n">
        <x:v>-3</x:v>
      </x:c>
      <x:c r="I2342" s="12" t="str">
        <x:v>TuShare index_daily</x:v>
      </x:c>
      <x:c r="J2342" s="12" t="str">
        <x:v>FRED current rolling window</x:v>
      </x:c>
    </x:row>
    <x:row r="2343" ht="18" customHeight="1">
      <x:c r="A2343" s="13" t="n">
        <x:v>46132</x:v>
      </x:c>
      <x:c r="B2343" s="12" t="n">
        <x:v>4757.4419</x:v>
      </x:c>
      <x:c r="C2343" s="12" t="n">
        <x:v>4728.6716</x:v>
      </x:c>
      <x:c r="D2343" s="12" t="n">
        <x:v>0.6084</x:v>
      </x:c>
      <x:c r="E2343" s="12" t="n">
        <x:v>0.006065790423872393</x:v>
      </x:c>
      <x:c r="F2343" s="12" t="n">
        <x:v>2.87</x:v>
      </x:c>
      <x:c r="G2343" s="12" t="n">
        <x:v>287</x:v>
      </x:c>
      <x:c r="H2343" s="12" t="n">
        <x:v>4</x:v>
      </x:c>
      <x:c r="I2343" s="12" t="str">
        <x:v>TuShare index_daily</x:v>
      </x:c>
      <x:c r="J2343" s="12" t="str">
        <x:v>FRED current rolling window</x:v>
      </x:c>
    </x:row>
    <x:row r="2344" ht="18" customHeight="1">
      <x:c r="A2344" s="13" t="n">
        <x:v>46133</x:v>
      </x:c>
      <x:c r="B2344" s="12" t="n">
        <x:v>4767.997</x:v>
      </x:c>
      <x:c r="C2344" s="12" t="n">
        <x:v>4757.4419</x:v>
      </x:c>
      <x:c r="D2344" s="12" t="n">
        <x:v>0.2219</x:v>
      </x:c>
      <x:c r="E2344" s="12" t="n">
        <x:v>0.0022161927509973633</x:v>
      </x:c>
      <x:c r="F2344" s="12" t="n">
        <x:v>2.85</x:v>
      </x:c>
      <x:c r="G2344" s="12" t="n">
        <x:v>285</x:v>
      </x:c>
      <x:c r="H2344" s="12" t="n">
        <x:v>-2</x:v>
      </x:c>
      <x:c r="I2344" s="12" t="str">
        <x:v>TuShare index_daily</x:v>
      </x:c>
      <x:c r="J2344" s="12" t="str">
        <x:v>FRED current rolling window</x:v>
      </x:c>
    </x:row>
    <x:row r="2345" ht="18" customHeight="1">
      <x:c r="A2345" s="13" t="n">
        <x:v>46134</x:v>
      </x:c>
      <x:c r="B2345" s="12" t="n">
        <x:v>4799.627</x:v>
      </x:c>
      <x:c r="C2345" s="12" t="n">
        <x:v>4767.997</x:v>
      </x:c>
      <x:c r="D2345" s="12" t="n">
        <x:v>0.6634</x:v>
      </x:c>
      <x:c r="E2345" s="12" t="n">
        <x:v>0.006611905992843182</x:v>
      </x:c>
      <x:c r="F2345" s="12" t="n">
        <x:v>2.84</x:v>
      </x:c>
      <x:c r="G2345" s="12" t="n">
        <x:v>284</x:v>
      </x:c>
      <x:c r="H2345" s="12" t="n">
        <x:v>-1</x:v>
      </x:c>
      <x:c r="I2345" s="12" t="str">
        <x:v>TuShare index_daily</x:v>
      </x:c>
      <x:c r="J2345" s="12" t="str">
        <x:v>FRED current rolling window</x:v>
      </x:c>
    </x:row>
    <x:row r="2346" ht="18" customHeight="1">
      <x:c r="A2346" s="13" t="n">
        <x:v>46135</x:v>
      </x:c>
      <x:c r="B2346" s="12" t="n">
        <x:v>4786.3273</x:v>
      </x:c>
      <x:c r="C2346" s="12" t="n">
        <x:v>4799.627</x:v>
      </x:c>
      <x:c r="D2346" s="12" t="n">
        <x:v>-0.2771</x:v>
      </x:c>
      <x:c r="E2346" s="12" t="n">
        <x:v>-0.002774832451190693</x:v>
      </x:c>
      <x:c r="F2346" s="12" t="n">
        <x:v>2.86</x:v>
      </x:c>
      <x:c r="G2346" s="12" t="n">
        <x:v>286</x:v>
      </x:c>
      <x:c r="H2346" s="12" t="n">
        <x:v>2</x:v>
      </x:c>
      <x:c r="I2346" s="12" t="str">
        <x:v>TuShare index_daily</x:v>
      </x:c>
      <x:c r="J2346" s="12" t="str">
        <x:v>FRED current rolling window</x:v>
      </x:c>
    </x:row>
    <x:row r="2347" ht="18" customHeight="1">
      <x:c r="A2347" s="13" t="n">
        <x:v>46136</x:v>
      </x:c>
      <x:c r="B2347" s="12" t="n">
        <x:v>4769.3688</x:v>
      </x:c>
      <x:c r="C2347" s="12" t="n">
        <x:v>4786.3273</x:v>
      </x:c>
      <x:c r="D2347" s="12" t="n">
        <x:v>-0.3543</x:v>
      </x:c>
      <x:c r="E2347" s="12" t="n">
        <x:v>-0.0035494050096433406</x:v>
      </x:c>
      <x:c r="F2347" s="12" t="n">
        <x:v>2.86</x:v>
      </x:c>
      <x:c r="G2347" s="12" t="n">
        <x:v>286</x:v>
      </x:c>
      <x:c r="H2347" s="12" t="n">
        <x:v>0</x:v>
      </x:c>
      <x:c r="I2347" s="12" t="str">
        <x:v>TuShare index_daily</x:v>
      </x:c>
      <x:c r="J2347" s="12" t="str">
        <x:v>FRED current rolling window</x:v>
      </x:c>
    </x:row>
    <x:row r="2348" ht="18" customHeight="1">
      <x:c r="A2348" s="13" t="n">
        <x:v>46139</x:v>
      </x:c>
      <x:c r="B2348" s="12" t="n">
        <x:v>4770.9469</x:v>
      </x:c>
      <x:c r="C2348" s="12" t="n">
        <x:v>4769.3688</x:v>
      </x:c>
      <x:c r="D2348" s="12" t="n">
        <x:v>0.0331</x:v>
      </x:c>
      <x:c r="E2348" s="12" t="n">
        <x:v>0.0003308276296125082</x:v>
      </x:c>
      <x:c r="F2348" s="12" t="n">
        <x:v>2.84</x:v>
      </x:c>
      <x:c r="G2348" s="12" t="n">
        <x:v>284</x:v>
      </x:c>
      <x:c r="H2348" s="12" t="n">
        <x:v>-2</x:v>
      </x:c>
      <x:c r="I2348" s="12" t="str">
        <x:v>TuShare index_daily</x:v>
      </x:c>
      <x:c r="J2348" s="12" t="str">
        <x:v>FRED current rolling window</x:v>
      </x:c>
    </x:row>
    <x:row r="2349" ht="18" customHeight="1">
      <x:c r="A2349" s="13" t="n">
        <x:v>46140</x:v>
      </x:c>
      <x:c r="B2349" s="12" t="n">
        <x:v>4758.2083</x:v>
      </x:c>
      <x:c r="C2349" s="12" t="n">
        <x:v>4770.9469</x:v>
      </x:c>
      <x:c r="D2349" s="12" t="n">
        <x:v>-0.267</x:v>
      </x:c>
      <x:c r="E2349" s="12" t="n">
        <x:v>-0.002673606908646539</x:v>
      </x:c>
      <x:c r="F2349" s="12" t="n">
        <x:v>2.85</x:v>
      </x:c>
      <x:c r="G2349" s="12" t="n">
        <x:v>285</x:v>
      </x:c>
      <x:c r="H2349" s="12" t="n">
        <x:v>1</x:v>
      </x:c>
      <x:c r="I2349" s="12" t="str">
        <x:v>TuShare index_daily</x:v>
      </x:c>
      <x:c r="J2349" s="12" t="str">
        <x:v>FRED current rolling window</x:v>
      </x:c>
    </x:row>
    <x:row r="2350" ht="18" customHeight="1">
      <x:c r="A2350" s="13" t="n">
        <x:v>46141</x:v>
      </x:c>
      <x:c r="B2350" s="12" t="n">
        <x:v>4810.3468</x:v>
      </x:c>
      <x:c r="C2350" s="12" t="n">
        <x:v>4758.2083</x:v>
      </x:c>
      <x:c r="D2350" s="12" t="n">
        <x:v>1.0958</x:v>
      </x:c>
      <x:c r="E2350" s="12" t="n">
        <x:v>0.010897991489509644</x:v>
      </x:c>
      <x:c r="F2350" s="12" t="n">
        <x:v>2.82</x:v>
      </x:c>
      <x:c r="G2350" s="12" t="n">
        <x:v>282</x:v>
      </x:c>
      <x:c r="H2350" s="12" t="n">
        <x:v>-3</x:v>
      </x:c>
      <x:c r="I2350" s="12" t="str">
        <x:v>TuShare index_daily</x:v>
      </x:c>
      <x:c r="J2350" s="12" t="str">
        <x:v>FRED current rolling window</x:v>
      </x:c>
    </x:row>
    <x:row r="2351" ht="18" customHeight="1">
      <x:c r="A2351" s="13" t="n">
        <x:v>46142</x:v>
      </x:c>
      <x:c r="B2351" s="12" t="n">
        <x:v>4807.3069</x:v>
      </x:c>
      <x:c r="C2351" s="12" t="n">
        <x:v>4810.3468</x:v>
      </x:c>
      <x:c r="D2351" s="12" t="n">
        <x:v>-0.0632</x:v>
      </x:c>
      <x:c r="E2351" s="12" t="n">
        <x:v>-0.0006321500432548737</x:v>
      </x:c>
      <x:c r="F2351" s="12" t="n">
        <x:v>2.83</x:v>
      </x:c>
      <x:c r="G2351" s="12" t="n">
        <x:v>283</x:v>
      </x:c>
      <x:c r="H2351" s="12" t="n">
        <x:v>1</x:v>
      </x:c>
      <x:c r="I2351" s="12" t="str">
        <x:v>TuShare index_daily</x:v>
      </x:c>
      <x:c r="J2351" s="12" t="str">
        <x:v>FRED current rolling window</x:v>
      </x:c>
    </x:row>
    <x:row r="2352" ht="18" customHeight="1">
      <x:c r="A2352" s="13" t="n">
        <x:v>46148</x:v>
      </x:c>
      <x:c r="B2352" s="12" t="n">
        <x:v>4877.0932</x:v>
      </x:c>
      <x:c r="C2352" s="12" t="n">
        <x:v>4807.3069</x:v>
      </x:c>
      <x:c r="D2352" s="12" t="n">
        <x:v>1.4517</x:v>
      </x:c>
      <x:c r="E2352" s="12" t="n">
        <x:v>0.014412355386543571</x:v>
      </x:c>
      <x:c r="F2352" s="12" t="n">
        <x:v>2.75</x:v>
      </x:c>
      <x:c r="G2352" s="12" t="n">
        <x:v>275</x:v>
      </x:c>
      <x:c r="H2352" s="12" t="n">
        <x:v>-2</x:v>
      </x:c>
      <x:c r="I2352" s="12" t="str">
        <x:v>TuShare index_daily</x:v>
      </x:c>
      <x:c r="J2352" s="12" t="str">
        <x:v>FRED current rolling window</x:v>
      </x:c>
    </x:row>
    <x:row r="2353" ht="18" customHeight="1">
      <x:c r="A2353" s="13" t="n">
        <x:v>46149</x:v>
      </x:c>
      <x:c r="B2353" s="12" t="n">
        <x:v>4900.5098</x:v>
      </x:c>
      <x:c r="C2353" s="12" t="n">
        <x:v>4877.0932</x:v>
      </x:c>
      <x:c r="D2353" s="12" t="n">
        <x:v>0.4801</x:v>
      </x:c>
      <x:c r="E2353" s="12" t="n">
        <x:v>0.004789853867043837</x:v>
      </x:c>
      <x:c r="F2353" s="12" t="n">
        <x:v>2.79</x:v>
      </x:c>
      <x:c r="G2353" s="12" t="n">
        <x:v>279</x:v>
      </x:c>
      <x:c r="H2353" s="12" t="n">
        <x:v>4</x:v>
      </x:c>
      <x:c r="I2353" s="12" t="str">
        <x:v>TuShare index_daily</x:v>
      </x:c>
      <x:c r="J2353" s="12" t="str">
        <x:v>FRED current rolling window</x:v>
      </x:c>
    </x:row>
    <x:row r="2354" ht="18" customHeight="1">
      <x:c r="A2354" s="13" t="n">
        <x:v>46150</x:v>
      </x:c>
      <x:c r="B2354" s="12" t="n">
        <x:v>4871.9122</x:v>
      </x:c>
      <x:c r="C2354" s="12" t="n">
        <x:v>4900.5098</x:v>
      </x:c>
      <x:c r="D2354" s="12" t="n">
        <x:v>-0.5836</x:v>
      </x:c>
      <x:c r="E2354" s="12" t="n">
        <x:v>-0.005852731622297235</x:v>
      </x:c>
      <x:c r="F2354" s="12" t="n">
        <x:v>2.81</x:v>
      </x:c>
      <x:c r="G2354" s="12" t="n">
        <x:v>281</x:v>
      </x:c>
      <x:c r="H2354" s="12" t="n">
        <x:v>2</x:v>
      </x:c>
      <x:c r="I2354" s="12" t="str">
        <x:v>TuShare index_daily</x:v>
      </x:c>
      <x:c r="J2354" s="12" t="str">
        <x:v>FRED current rolling window</x:v>
      </x:c>
    </x:row>
    <x:row r="2355" ht="18" customHeight="1">
      <x:c r="A2355" s="13" t="n">
        <x:v>46153</x:v>
      </x:c>
      <x:c r="B2355" s="12" t="n">
        <x:v>4951.8366</x:v>
      </x:c>
      <x:c r="C2355" s="12" t="n">
        <x:v>4871.9122</x:v>
      </x:c>
      <x:c r="D2355" s="12" t="n">
        <x:v>1.6405</x:v>
      </x:c>
      <x:c r="E2355" s="12" t="n">
        <x:v>0.016272029170167585</x:v>
      </x:c>
      <x:c r="F2355" s="12" t="n">
        <x:v>2.79</x:v>
      </x:c>
      <x:c r="G2355" s="12" t="n">
        <x:v>279</x:v>
      </x:c>
      <x:c r="H2355" s="12" t="n">
        <x:v>-2</x:v>
      </x:c>
      <x:c r="I2355" s="12" t="str">
        <x:v>TuShare index_daily</x:v>
      </x:c>
      <x:c r="J2355" s="12" t="str">
        <x:v>FRED current rolling window</x:v>
      </x:c>
    </x:row>
    <x:row r="2356" ht="18" customHeight="1">
      <x:c r="A2356" s="13" t="n">
        <x:v>46154</x:v>
      </x:c>
      <x:c r="B2356" s="12" t="n">
        <x:v>4948.0465</x:v>
      </x:c>
      <x:c r="C2356" s="12" t="n">
        <x:v>4951.8366</x:v>
      </x:c>
      <x:c r="D2356" s="12" t="n">
        <x:v>-0.0765</x:v>
      </x:c>
      <x:c r="E2356" s="12" t="n">
        <x:v>-0.0007656858463650147</x:v>
      </x:c>
      <x:c r="F2356" s="12" t="n">
        <x:v>2.82</x:v>
      </x:c>
      <x:c r="G2356" s="12" t="n">
        <x:v>282</x:v>
      </x:c>
      <x:c r="H2356" s="12" t="n">
        <x:v>3</x:v>
      </x:c>
      <x:c r="I2356" s="12" t="str">
        <x:v>TuShare index_daily</x:v>
      </x:c>
      <x:c r="J2356" s="12" t="str">
        <x:v>FRED current rolling window</x:v>
      </x:c>
    </x:row>
    <x:row r="2357" ht="18" customHeight="1">
      <x:c r="A2357" s="13" t="n">
        <x:v>46155</x:v>
      </x:c>
      <x:c r="B2357" s="12" t="n">
        <x:v>4998.3417</x:v>
      </x:c>
      <x:c r="C2357" s="12" t="n">
        <x:v>4948.0465</x:v>
      </x:c>
      <x:c r="D2357" s="12" t="n">
        <x:v>1.0165</x:v>
      </x:c>
      <x:c r="E2357" s="12" t="n">
        <x:v>0.01011334520021664</x:v>
      </x:c>
      <x:c r="F2357" s="12" t="n">
        <x:v>2.82</x:v>
      </x:c>
      <x:c r="G2357" s="12" t="n">
        <x:v>282</x:v>
      </x:c>
      <x:c r="H2357" s="12" t="n">
        <x:v>0</x:v>
      </x:c>
      <x:c r="I2357" s="12" t="str">
        <x:v>TuShare index_daily</x:v>
      </x:c>
      <x:c r="J2357" s="12" t="str">
        <x:v>FRED current rolling window</x:v>
      </x:c>
    </x:row>
    <x:row r="2358" ht="18" customHeight="1">
      <x:c r="A2358" s="13" t="n">
        <x:v>46156</x:v>
      </x:c>
      <x:c r="B2358" s="12" t="n">
        <x:v>4914.5971</x:v>
      </x:c>
      <x:c r="C2358" s="12" t="n">
        <x:v>4998.3417</x:v>
      </x:c>
      <x:c r="D2358" s="12" t="n">
        <x:v>-1.6754</x:v>
      </x:c>
      <x:c r="E2358" s="12" t="n">
        <x:v>-0.016896420734000092</x:v>
      </x:c>
      <x:c r="F2358" s="12" t="n">
        <x:v>2.76</x:v>
      </x:c>
      <x:c r="G2358" s="12" t="n">
        <x:v>276</x:v>
      </x:c>
      <x:c r="H2358" s="12" t="n">
        <x:v>-6</x:v>
      </x:c>
      <x:c r="I2358" s="12" t="str">
        <x:v>TuShare index_daily</x:v>
      </x:c>
      <x:c r="J2358" s="12" t="str">
        <x:v>FRED current rolling window</x:v>
      </x:c>
    </x:row>
    <x:row r="2359" ht="18" customHeight="1">
      <x:c r="A2359" s="13" t="n">
        <x:v>46157</x:v>
      </x:c>
      <x:c r="B2359" s="12" t="n">
        <x:v>4859.5927</x:v>
      </x:c>
      <x:c r="C2359" s="12" t="n">
        <x:v>4914.5971</x:v>
      </x:c>
      <x:c r="D2359" s="12" t="n">
        <x:v>-1.1192</x:v>
      </x:c>
      <x:c r="E2359" s="12" t="n">
        <x:v>-0.011255148872686452</x:v>
      </x:c>
      <x:c r="F2359" s="12" t="n">
        <x:v>2.8</x:v>
      </x:c>
      <x:c r="G2359" s="12" t="n">
        <x:v>280</x:v>
      </x:c>
      <x:c r="H2359" s="12" t="n">
        <x:v>4</x:v>
      </x:c>
      <x:c r="I2359" s="12" t="str">
        <x:v>TuShare index_daily</x:v>
      </x:c>
      <x:c r="J2359" s="12" t="str">
        <x:v>FRED current rolling window</x:v>
      </x:c>
    </x:row>
    <x:row r="2360" ht="18" customHeight="1">
      <x:c r="A2360" s="13" t="n">
        <x:v>46160</x:v>
      </x:c>
      <x:c r="B2360" s="12" t="n">
        <x:v>4833.5237</x:v>
      </x:c>
      <x:c r="C2360" s="12" t="n">
        <x:v>4859.5927</x:v>
      </x:c>
      <x:c r="D2360" s="12" t="n">
        <x:v>-0.5364</x:v>
      </x:c>
      <x:c r="E2360" s="12" t="n">
        <x:v>-0.005378881626373026</x:v>
      </x:c>
      <x:c r="F2360" s="12" t="n">
        <x:v>2.83</x:v>
      </x:c>
      <x:c r="G2360" s="12" t="n">
        <x:v>283</x:v>
      </x:c>
      <x:c r="H2360" s="12" t="n">
        <x:v>3</x:v>
      </x:c>
      <x:c r="I2360" s="12" t="str">
        <x:v>TuShare index_daily</x:v>
      </x:c>
      <x:c r="J2360" s="12" t="str">
        <x:v>FRED current rolling window</x:v>
      </x:c>
    </x:row>
    <x:row r="2361" ht="18" customHeight="1">
      <x:c r="A2361" s="13" t="n">
        <x:v>46161</x:v>
      </x:c>
      <x:c r="B2361" s="12" t="n">
        <x:v>4852.8832</x:v>
      </x:c>
      <x:c r="C2361" s="12" t="n">
        <x:v>4833.5237</x:v>
      </x:c>
      <x:c r="D2361" s="12" t="n">
        <x:v>0.4005</x:v>
      </x:c>
      <x:c r="E2361" s="12" t="n">
        <x:v>0.003997256356691384</x:v>
      </x:c>
      <x:c r="F2361" s="12" t="n">
        <x:v>2.86</x:v>
      </x:c>
      <x:c r="G2361" s="12" t="n">
        <x:v>286</x:v>
      </x:c>
      <x:c r="H2361" s="12" t="n">
        <x:v>3</x:v>
      </x:c>
      <x:c r="I2361" s="12" t="str">
        <x:v>TuShare index_daily</x:v>
      </x:c>
      <x:c r="J2361" s="12" t="str">
        <x:v>FRED current rolling window</x:v>
      </x:c>
    </x:row>
    <x:row r="2362" ht="18" customHeight="1">
      <x:c r="A2362" s="13" t="n">
        <x:v>46162</x:v>
      </x:c>
      <x:c r="B2362" s="12" t="n">
        <x:v>4850.7</x:v>
      </x:c>
      <x:c r="C2362" s="12" t="n">
        <x:v>4852.8832</x:v>
      </x:c>
      <x:c r="D2362" s="12" t="n">
        <x:v>-0.045</x:v>
      </x:c>
      <x:c r="E2362" s="12" t="n">
        <x:v>-0.0004499781146490447</x:v>
      </x:c>
      <x:c r="F2362" s="12" t="n">
        <x:v>2.8</x:v>
      </x:c>
      <x:c r="G2362" s="12" t="n">
        <x:v>280</x:v>
      </x:c>
      <x:c r="H2362" s="12" t="n">
        <x:v>-6</x:v>
      </x:c>
      <x:c r="I2362" s="12" t="str">
        <x:v>TuShare index_daily</x:v>
      </x:c>
      <x:c r="J2362" s="12" t="str">
        <x:v>FRED current rolling window</x:v>
      </x:c>
    </x:row>
    <x:row r="2363" ht="18" customHeight="1">
      <x:c r="A2363" s="13" t="n">
        <x:v>46163</x:v>
      </x:c>
      <x:c r="B2363" s="12" t="n">
        <x:v>4783.0976</x:v>
      </x:c>
      <x:c r="C2363" s="12" t="n">
        <x:v>4850.7</x:v>
      </x:c>
      <x:c r="D2363" s="12" t="n">
        <x:v>-1.3937</x:v>
      </x:c>
      <x:c r="E2363" s="12" t="n">
        <x:v>-0.014034654338595203</x:v>
      </x:c>
      <x:c r="F2363" s="12" t="n">
        <x:v>2.78</x:v>
      </x:c>
      <x:c r="G2363" s="12" t="n">
        <x:v>278</x:v>
      </x:c>
      <x:c r="H2363" s="12" t="n">
        <x:v>-2</x:v>
      </x:c>
      <x:c r="I2363" s="12" t="str">
        <x:v>TuShare index_daily</x:v>
      </x:c>
      <x:c r="J2363" s="12" t="str">
        <x:v>FRED current rolling window</x:v>
      </x:c>
    </x:row>
    <x:row r="2364" ht="18" customHeight="1">
      <x:c r="A2364" s="13" t="n">
        <x:v>46164</x:v>
      </x:c>
      <x:c r="B2364" s="12" t="n">
        <x:v>4845.0956</x:v>
      </x:c>
      <x:c r="C2364" s="12" t="n">
        <x:v>4783.0976</x:v>
      </x:c>
      <x:c r="D2364" s="12" t="n">
        <x:v>1.2962</x:v>
      </x:c>
      <x:c r="E2364" s="12" t="n">
        <x:v>0.01287860673706273</x:v>
      </x:c>
      <x:c r="F2364" s="12" t="n">
        <x:v>2.74</x:v>
      </x:c>
      <x:c r="G2364" s="12" t="n">
        <x:v>274</x:v>
      </x:c>
      <x:c r="H2364" s="12" t="n">
        <x:v>-4</x:v>
      </x:c>
      <x:c r="I2364" s="12" t="str">
        <x:v>TuShare index_daily</x:v>
      </x:c>
      <x:c r="J2364" s="12" t="str">
        <x:v>FRED current rolling window</x:v>
      </x:c>
    </x:row>
    <x:row r="2365" ht="18" customHeight="1">
      <x:c r="A2365" s="13" t="n">
        <x:v>46167</x:v>
      </x:c>
      <x:c r="B2365" s="12" t="n">
        <x:v>4921.5974</x:v>
      </x:c>
      <x:c r="C2365" s="12" t="n">
        <x:v>4845.0956</x:v>
      </x:c>
      <x:c r="D2365" s="12" t="n">
        <x:v>1.579</x:v>
      </x:c>
      <x:c r="E2365" s="12" t="n">
        <x:v>0.015666175775299437</x:v>
      </x:c>
      <x:c r="F2365" s="12" t="n">
        <x:v>2.74</x:v>
      </x:c>
      <x:c r="G2365" s="12" t="n">
        <x:v>274</x:v>
      </x:c>
      <x:c r="H2365" s="12" t="n">
        <x:v>0</x:v>
      </x:c>
      <x:c r="I2365" s="12" t="str">
        <x:v>TuShare index_daily</x:v>
      </x:c>
      <x:c r="J2365" s="12" t="str">
        <x:v>FRED current rolling window</x:v>
      </x:c>
    </x:row>
    <x:row r="2366" ht="18" customHeight="1">
      <x:c r="A2366" s="13" t="n">
        <x:v>46168</x:v>
      </x:c>
      <x:c r="B2366" s="12" t="n">
        <x:v>4947.8493</x:v>
      </x:c>
      <x:c r="C2366" s="12" t="n">
        <x:v>4921.5974</x:v>
      </x:c>
      <x:c r="D2366" s="12" t="n">
        <x:v>0.5334</x:v>
      </x:c>
      <x:c r="E2366" s="12" t="n">
        <x:v>0.005319844710714726</x:v>
      </x:c>
      <x:c r="F2366" s="12" t="n">
        <x:v>2.72</x:v>
      </x:c>
      <x:c r="G2366" s="12" t="n">
        <x:v>272</x:v>
      </x:c>
      <x:c r="H2366" s="12" t="n">
        <x:v>-2</x:v>
      </x:c>
      <x:c r="I2366" s="12" t="str">
        <x:v>TuShare index_daily</x:v>
      </x:c>
      <x:c r="J2366" s="12" t="str">
        <x:v>FRED current rolling window</x:v>
      </x:c>
    </x:row>
    <x:row r="2367" ht="18" customHeight="1">
      <x:c r="A2367" s="13" t="n">
        <x:v>46169</x:v>
      </x:c>
      <x:c r="B2367" s="12" t="n">
        <x:v>4908.1714</x:v>
      </x:c>
      <x:c r="C2367" s="12" t="n">
        <x:v>4947.8493</x:v>
      </x:c>
      <x:c r="D2367" s="12" t="n">
        <x:v>-0.8019</x:v>
      </x:c>
      <x:c r="E2367" s="12" t="n">
        <x:v>-0.008051548501949888</x:v>
      </x:c>
      <x:c r="F2367" s="12" t="n">
        <x:v>2.71</x:v>
      </x:c>
      <x:c r="G2367" s="12" t="n">
        <x:v>271</x:v>
      </x:c>
      <x:c r="H2367" s="12" t="n">
        <x:v>-1</x:v>
      </x:c>
      <x:c r="I2367" s="12" t="str">
        <x:v>TuShare index_daily</x:v>
      </x:c>
      <x:c r="J2367" s="12" t="str">
        <x:v>FRED current rolling window</x:v>
      </x:c>
    </x:row>
    <x:row r="2368" ht="18" customHeight="1">
      <x:c r="A2368" s="13" t="n">
        <x:v>46170</x:v>
      </x:c>
      <x:c r="B2368" s="12" t="n">
        <x:v>4914.2133</x:v>
      </x:c>
      <x:c r="C2368" s="12" t="n">
        <x:v>4908.1714</x:v>
      </x:c>
      <x:c r="D2368" s="12" t="n">
        <x:v>0.1231</x:v>
      </x:c>
      <x:c r="E2368" s="12" t="n">
        <x:v>0.0012302309360817918</x:v>
      </x:c>
      <x:c r="F2368" s="12" t="n">
        <x:v>2.72</x:v>
      </x:c>
      <x:c r="G2368" s="12" t="n">
        <x:v>272</x:v>
      </x:c>
      <x:c r="H2368" s="12" t="n">
        <x:v>1</x:v>
      </x:c>
      <x:c r="I2368" s="12" t="str">
        <x:v>TuShare index_daily</x:v>
      </x:c>
      <x:c r="J2368" s="12" t="str">
        <x:v>FRED current rolling window</x:v>
      </x:c>
    </x:row>
    <x:row r="2369" ht="18" customHeight="1">
      <x:c r="A2369" s="13" t="n">
        <x:v>46171</x:v>
      </x:c>
      <x:c r="B2369" s="12" t="n">
        <x:v>4892.1213</x:v>
      </x:c>
      <x:c r="C2369" s="12" t="n">
        <x:v>4914.2133</x:v>
      </x:c>
      <x:c r="D2369" s="12" t="n">
        <x:v>-0.4496</x:v>
      </x:c>
      <x:c r="E2369" s="12" t="n">
        <x:v>-0.004505666648206661</x:v>
      </x:c>
      <x:c r="F2369" s="12" t="n">
        <x:v>2.72</x:v>
      </x:c>
      <x:c r="G2369" s="12" t="n">
        <x:v>272</x:v>
      </x:c>
      <x:c r="H2369" s="12" t="n">
        <x:v>0</x:v>
      </x:c>
      <x:c r="I2369" s="12" t="str">
        <x:v>TuShare index_daily</x:v>
      </x:c>
      <x:c r="J2369" s="12" t="str">
        <x:v>FRED current rolling window</x:v>
      </x:c>
    </x:row>
    <x:row r="2370" ht="18" customHeight="1">
      <x:c r="A2370" s="13" t="n">
        <x:v>46174</x:v>
      </x:c>
      <x:c r="B2370" s="12" t="n">
        <x:v>4844.2556</x:v>
      </x:c>
      <x:c r="C2370" s="12" t="n">
        <x:v>4892.1213</x:v>
      </x:c>
      <x:c r="D2370" s="12" t="n">
        <x:v>-0.9784</x:v>
      </x:c>
      <x:c r="E2370" s="12" t="n">
        <x:v>-0.009832422494559519</x:v>
      </x:c>
      <x:c r="F2370" s="12" t="n">
        <x:v>2.72</x:v>
      </x:c>
      <x:c r="G2370" s="12" t="n">
        <x:v>272</x:v>
      </x:c>
      <x:c r="H2370" s="12" t="n">
        <x:v>-2</x:v>
      </x:c>
      <x:c r="I2370" s="12" t="str">
        <x:v>TuShare index_daily</x:v>
      </x:c>
      <x:c r="J2370" s="12" t="str">
        <x:v>FRED current rolling window</x:v>
      </x:c>
    </x:row>
    <x:row r="2371" ht="18" customHeight="1">
      <x:c r="A2371" s="13" t="n">
        <x:v>46175</x:v>
      </x:c>
      <x:c r="B2371" s="12" t="n">
        <x:v>4914.5591</x:v>
      </x:c>
      <x:c r="C2371" s="12" t="n">
        <x:v>4844.2556</x:v>
      </x:c>
      <x:c r="D2371" s="12" t="n">
        <x:v>1.4513</x:v>
      </x:c>
      <x:c r="E2371" s="12" t="n">
        <x:v>0.01440845398306778</x:v>
      </x:c>
      <x:c r="F2371" s="12" t="n">
        <x:v>2.71</x:v>
      </x:c>
      <x:c r="G2371" s="12" t="n">
        <x:v>271</x:v>
      </x:c>
      <x:c r="H2371" s="12" t="n">
        <x:v>-1</x:v>
      </x:c>
      <x:c r="I2371" s="12" t="str">
        <x:v>TuShare index_daily</x:v>
      </x:c>
      <x:c r="J2371" s="12" t="str">
        <x:v>FRED current rolling window</x:v>
      </x:c>
    </x:row>
    <x:row r="2372" ht="18" customHeight="1">
      <x:c r="A2372" s="13" t="n">
        <x:v>46176</x:v>
      </x:c>
      <x:c r="B2372" s="12" t="n">
        <x:v>4938.8091</x:v>
      </x:c>
      <x:c r="C2372" s="12" t="n">
        <x:v>4914.5591</x:v>
      </x:c>
      <x:c r="D2372" s="12" t="n">
        <x:v>0.4934</x:v>
      </x:c>
      <x:c r="E2372" s="12" t="n">
        <x:v>0.00492218467194442</x:v>
      </x:c>
      <x:c r="F2372" s="12" t="n">
        <x:v>2.75</x:v>
      </x:c>
      <x:c r="G2372" s="12" t="n">
        <x:v>275</x:v>
      </x:c>
      <x:c r="H2372" s="12" t="n">
        <x:v>4</x:v>
      </x:c>
      <x:c r="I2372" s="12" t="str">
        <x:v>TuShare index_daily</x:v>
      </x:c>
      <x:c r="J2372" s="12" t="str">
        <x:v>FRED current rolling window</x:v>
      </x:c>
    </x:row>
    <x:row r="2373" ht="18" customHeight="1">
      <x:c r="A2373" s="13" t="n">
        <x:v>46177</x:v>
      </x:c>
      <x:c r="B2373" s="12" t="n">
        <x:v>4904.7454</x:v>
      </x:c>
      <x:c r="C2373" s="12" t="n">
        <x:v>4938.8091</x:v>
      </x:c>
      <x:c r="D2373" s="12" t="n">
        <x:v>-0.6897</x:v>
      </x:c>
      <x:c r="E2373" s="12" t="n">
        <x:v>-0.0069210438105936824</x:v>
      </x:c>
      <x:c r="F2373" s="12" t="n">
        <x:v>2.74</x:v>
      </x:c>
      <x:c r="G2373" s="12" t="n">
        <x:v>274</x:v>
      </x:c>
      <x:c r="H2373" s="12" t="n">
        <x:v>-1</x:v>
      </x:c>
      <x:c r="I2373" s="12" t="str">
        <x:v>TuShare index_daily</x:v>
      </x:c>
      <x:c r="J2373" s="12" t="str">
        <x:v>FRED current rolling window</x:v>
      </x:c>
    </x:row>
    <x:row r="2374" ht="18" customHeight="1">
      <x:c r="A2374" s="13" t="n">
        <x:v>46178</x:v>
      </x:c>
      <x:c r="B2374" s="12" t="n">
        <x:v>4816.9199</x:v>
      </x:c>
      <x:c r="C2374" s="12" t="n">
        <x:v>4904.7454</x:v>
      </x:c>
      <x:c r="D2374" s="12" t="n">
        <x:v>-1.7906</x:v>
      </x:c>
      <x:c r="E2374" s="12" t="n">
        <x:v>-0.018068486549197182</x:v>
      </x:c>
      <x:c r="F2374" s="12" t="n">
        <x:v>2.76</x:v>
      </x:c>
      <x:c r="G2374" s="12" t="n">
        <x:v>276</x:v>
      </x:c>
      <x:c r="H2374" s="12" t="n">
        <x:v>2</x:v>
      </x:c>
      <x:c r="I2374" s="12" t="str">
        <x:v>TuShare index_daily</x:v>
      </x:c>
      <x:c r="J2374" s="12" t="str">
        <x:v>FRED current rolling window</x:v>
      </x:c>
    </x:row>
    <x:row r="2375" ht="18" customHeight="1">
      <x:c r="A2375" s="13" t="n">
        <x:v>46181</x:v>
      </x:c>
      <x:c r="B2375" s="12" t="n">
        <x:v>4713.6358</x:v>
      </x:c>
      <x:c r="C2375" s="12" t="n">
        <x:v>4816.9199</x:v>
      </x:c>
      <x:c r="D2375" s="12" t="n">
        <x:v>-2.1442</x:v>
      </x:c>
      <x:c r="E2375" s="12" t="n">
        <x:v>-0.021675156601350522</x:v>
      </x:c>
      <x:c r="F2375" s="12" t="n">
        <x:v>2.75</x:v>
      </x:c>
      <x:c r="G2375" s="12" t="n">
        <x:v>275</x:v>
      </x:c>
      <x:c r="H2375" s="12" t="n">
        <x:v>-1</x:v>
      </x:c>
      <x:c r="I2375" s="12" t="str">
        <x:v>TuShare index_daily</x:v>
      </x:c>
      <x:c r="J2375" s="12" t="str">
        <x:v>FRED current rolling window</x:v>
      </x:c>
    </x:row>
    <x:row r="2376" ht="18" customHeight="1">
      <x:c r="A2376" s="13" t="n">
        <x:v>46182</x:v>
      </x:c>
      <x:c r="B2376" s="12" t="n">
        <x:v>4801.8106</x:v>
      </x:c>
      <x:c r="C2376" s="12" t="n">
        <x:v>4713.6358</x:v>
      </x:c>
      <x:c r="D2376" s="12" t="n">
        <x:v>1.8706</x:v>
      </x:c>
      <x:c r="E2376" s="12" t="n">
        <x:v>0.01853351282054119</x:v>
      </x:c>
      <x:c r="F2376" s="12" t="n">
        <x:v>2.78</x:v>
      </x:c>
      <x:c r="G2376" s="12" t="n">
        <x:v>278</x:v>
      </x:c>
      <x:c r="H2376" s="12" t="n">
        <x:v>3</x:v>
      </x:c>
      <x:c r="I2376" s="12" t="str">
        <x:v>TuShare index_daily</x:v>
      </x:c>
      <x:c r="J2376" s="12" t="str">
        <x:v>FRED current rolling window</x:v>
      </x:c>
    </x:row>
    <x:row r="2377" ht="18" customHeight="1">
      <x:c r="A2377" s="13" t="n">
        <x:v>46183</x:v>
      </x:c>
      <x:c r="B2377" s="12" t="n">
        <x:v>4748.5932</x:v>
      </x:c>
      <x:c r="C2377" s="12" t="n">
        <x:v>4801.8106</x:v>
      </x:c>
      <x:c r="D2377" s="12" t="n">
        <x:v>-1.1083</x:v>
      </x:c>
      <x:c r="E2377" s="12" t="n">
        <x:v>-0.011144649363031658</x:v>
      </x:c>
      <x:c r="F2377" s="12" t="n">
        <x:v>2.8</x:v>
      </x:c>
      <x:c r="G2377" s="12" t="n">
        <x:v>280</x:v>
      </x:c>
      <x:c r="H2377" s="12" t="n">
        <x:v>2</x:v>
      </x:c>
      <x:c r="I2377" s="12" t="str">
        <x:v>TuShare index_daily</x:v>
      </x:c>
      <x:c r="J2377" s="12" t="str">
        <x:v>FRED current rolling window</x:v>
      </x:c>
    </x:row>
    <x:row r="2378" ht="18" customHeight="1">
      <x:c r="A2378" s="13" t="n">
        <x:v>46184</x:v>
      </x:c>
      <x:c r="B2378" s="12" t="n">
        <x:v>4722.4122</x:v>
      </x:c>
      <x:c r="C2378" s="12" t="n">
        <x:v>4748.5932</x:v>
      </x:c>
      <x:c r="D2378" s="12" t="n">
        <x:v>-0.5513</x:v>
      </x:c>
      <x:c r="E2378" s="12" t="n">
        <x:v>-0.005528677385810438</x:v>
      </x:c>
      <x:c r="F2378" s="12" t="n">
        <x:v>2.78</x:v>
      </x:c>
      <x:c r="G2378" s="12" t="n">
        <x:v>278</x:v>
      </x:c>
      <x:c r="H2378" s="12" t="n">
        <x:v>-2</x:v>
      </x:c>
      <x:c r="I2378" s="12" t="str">
        <x:v>TuShare index_daily</x:v>
      </x:c>
      <x:c r="J2378" s="12" t="str">
        <x:v>FRED current rolling window</x:v>
      </x:c>
    </x:row>
    <x:row r="2379" ht="18" customHeight="1">
      <x:c r="A2379" s="13" t="n">
        <x:v>46185</x:v>
      </x:c>
      <x:c r="B2379" s="12" t="n">
        <x:v>4777.3206</x:v>
      </x:c>
      <x:c r="C2379" s="12" t="n">
        <x:v>4722.4122</x:v>
      </x:c>
      <x:c r="D2379" s="12" t="n">
        <x:v>1.1627</x:v>
      </x:c>
      <x:c r="E2379" s="12" t="n">
        <x:v>0.01156011703366715</x:v>
      </x:c>
      <x:c r="F2379" s="12" t="n">
        <x:v>2.71</x:v>
      </x:c>
      <x:c r="G2379" s="12" t="n">
        <x:v>271</x:v>
      </x:c>
      <x:c r="H2379" s="12" t="n">
        <x:v>-7</x:v>
      </x:c>
      <x:c r="I2379" s="12" t="str">
        <x:v>TuShare index_daily</x:v>
      </x:c>
      <x:c r="J2379" s="12" t="str">
        <x:v>FRED current rolling window</x:v>
      </x:c>
    </x:row>
    <x:row r="2380" ht="18" customHeight="1">
      <x:c r="A2380" s="13" t="n">
        <x:v>46188</x:v>
      </x:c>
      <x:c r="B2380" s="12" t="n">
        <x:v>4891.7126</x:v>
      </x:c>
      <x:c r="C2380" s="12" t="n">
        <x:v>4777.3206</x:v>
      </x:c>
      <x:c r="D2380" s="12" t="n">
        <x:v>2.3945</x:v>
      </x:c>
      <x:c r="E2380" s="12" t="n">
        <x:v>0.02366262171438832</x:v>
      </x:c>
      <x:c r="F2380" s="12" t="n">
        <x:v>2.66</x:v>
      </x:c>
      <x:c r="G2380" s="12" t="n">
        <x:v>266</x:v>
      </x:c>
      <x:c r="H2380" s="12" t="n">
        <x:v>-5</x:v>
      </x:c>
      <x:c r="I2380" s="12" t="str">
        <x:v>TuShare index_daily</x:v>
      </x:c>
      <x:c r="J2380" s="12" t="str">
        <x:v>FRED current rolling window</x:v>
      </x:c>
    </x:row>
    <x:row r="2381" ht="18" customHeight="1">
      <x:c r="A2381" s="13" t="n">
        <x:v>46189</x:v>
      </x:c>
      <x:c r="B2381" s="12" t="n">
        <x:v>4884.2322</x:v>
      </x:c>
      <x:c r="C2381" s="12" t="n">
        <x:v>4891.7126</x:v>
      </x:c>
      <x:c r="D2381" s="12" t="n">
        <x:v>-0.1529</x:v>
      </x:c>
      <x:c r="E2381" s="12" t="n">
        <x:v>-0.001530369005345078</x:v>
      </x:c>
      <x:c r="F2381" s="12" t="n">
        <x:v>2.71</x:v>
      </x:c>
      <x:c r="G2381" s="12" t="n">
        <x:v>271</x:v>
      </x:c>
      <x:c r="H2381" s="12" t="n">
        <x:v>5</x:v>
      </x:c>
      <x:c r="I2381" s="12" t="str">
        <x:v>TuShare index_daily</x:v>
      </x:c>
      <x:c r="J2381" s="12" t="str">
        <x:v>FRED current rolling window</x:v>
      </x:c>
    </x:row>
    <x:row r="2382" ht="18" customHeight="1">
      <x:c r="A2382" s="13" t="n">
        <x:v>46190</x:v>
      </x:c>
      <x:c r="B2382" s="12" t="n">
        <x:v>4931.3861</x:v>
      </x:c>
      <x:c r="C2382" s="12" t="n">
        <x:v>4884.2322</x:v>
      </x:c>
      <x:c r="D2382" s="12" t="n">
        <x:v>0.9654</x:v>
      </x:c>
      <x:c r="E2382" s="12" t="n">
        <x:v>0.009608006608348506</x:v>
      </x:c>
      <x:c r="F2382" s="12" t="n">
        <x:v>2.63</x:v>
      </x:c>
      <x:c r="G2382" s="12" t="n">
        <x:v>263</x:v>
      </x:c>
      <x:c r="H2382" s="12" t="n">
        <x:v>-8</x:v>
      </x:c>
      <x:c r="I2382" s="12" t="str">
        <x:v>TuShare index_daily</x:v>
      </x:c>
      <x:c r="J2382" s="12" t="str">
        <x:v>FRED current rolling window</x:v>
      </x:c>
    </x:row>
    <x:row r="2383" ht="18" customHeight="1">
      <x:c r="A2383" s="13" t="n">
        <x:v>46191</x:v>
      </x:c>
      <x:c r="B2383" s="12" t="n">
        <x:v>4941.5986</x:v>
      </x:c>
      <x:c r="C2383" s="12" t="n">
        <x:v>4931.3861</x:v>
      </x:c>
      <x:c r="D2383" s="12" t="n">
        <x:v>0.2071</x:v>
      </x:c>
      <x:c r="E2383" s="12" t="n">
        <x:v>0.0020687773662452385</x:v>
      </x:c>
      <x:c r="F2383" s="12" t="n">
        <x:v>2.66</x:v>
      </x:c>
      <x:c r="G2383" s="12" t="n">
        <x:v>266</x:v>
      </x:c>
      <x:c r="H2383" s="12" t="n">
        <x:v>3</x:v>
      </x:c>
      <x:c r="I2383" s="12" t="str">
        <x:v>TuShare index_daily</x:v>
      </x:c>
      <x:c r="J2383" s="12" t="str">
        <x:v>FRED current rolling window</x:v>
      </x:c>
    </x:row>
    <x:row r="2384" ht="18" customHeight="1">
      <x:c r="A2384" s="13" t="n">
        <x:v>46195</x:v>
      </x:c>
      <x:c r="B2384" s="12" t="n">
        <x:v>5059.6582</x:v>
      </x:c>
      <x:c r="C2384" s="12" t="n">
        <x:v>4941.5986</x:v>
      </x:c>
      <x:c r="D2384" s="12" t="n">
        <x:v>2.3891</x:v>
      </x:c>
      <x:c r="E2384" s="12" t="n">
        <x:v>0.023610049520233017</x:v>
      </x:c>
      <x:c r="F2384" s="12" t="n">
        <x:v>2.65</x:v>
      </x:c>
      <x:c r="G2384" s="12" t="n">
        <x:v>265</x:v>
      </x:c>
      <x:c r="H2384" s="12" t="n">
        <x:v>-1</x:v>
      </x:c>
      <x:c r="I2384" s="12" t="str">
        <x:v>TuShare index_daily</x:v>
      </x:c>
      <x:c r="J2384" s="12" t="str">
        <x:v>FRED current rolling window</x:v>
      </x:c>
    </x:row>
    <x:row r="2385" ht="18" customHeight="1">
      <x:c r="A2385" s="13" t="n">
        <x:v>46196</x:v>
      </x:c>
      <x:c r="B2385" s="12" t="n">
        <x:v>4919.386</x:v>
      </x:c>
      <x:c r="C2385" s="12" t="n">
        <x:v>5059.6582</x:v>
      </x:c>
      <x:c r="D2385" s="12" t="n">
        <x:v>-2.7724</x:v>
      </x:c>
      <x:c r="E2385" s="12" t="n">
        <x:v>-0.02811520564220836</x:v>
      </x:c>
      <x:c r="F2385" s="12" t="n">
        <x:v>2.71</x:v>
      </x:c>
      <x:c r="G2385" s="12" t="n">
        <x:v>271</x:v>
      </x:c>
      <x:c r="H2385" s="12" t="n">
        <x:v>6</x:v>
      </x:c>
      <x:c r="I2385" s="12" t="str">
        <x:v>TuShare index_daily</x:v>
      </x:c>
      <x:c r="J2385" s="12" t="str">
        <x:v>FRED current rolling window</x:v>
      </x:c>
    </x:row>
    <x:row r="2386" ht="18" customHeight="1">
      <x:c r="A2386" s="13" t="n">
        <x:v>46197</x:v>
      </x:c>
      <x:c r="B2386" s="12" t="n">
        <x:v>4943.0197</x:v>
      </x:c>
      <x:c r="C2386" s="12" t="n">
        <x:v>4919.386</x:v>
      </x:c>
      <x:c r="D2386" s="12" t="n">
        <x:v>0.4804</x:v>
      </x:c>
      <x:c r="E2386" s="12" t="n">
        <x:v>0.004792693782340063</x:v>
      </x:c>
      <x:c r="F2386" s="12" t="n">
        <x:v>2.76</x:v>
      </x:c>
      <x:c r="G2386" s="12" t="n">
        <x:v>276</x:v>
      </x:c>
      <x:c r="H2386" s="12" t="n">
        <x:v>5</x:v>
      </x:c>
      <x:c r="I2386" s="12" t="str">
        <x:v>TuShare index_daily</x:v>
      </x:c>
      <x:c r="J2386" s="12" t="str">
        <x:v>FRED current rolling window</x:v>
      </x:c>
    </x:row>
    <x:row r="2387" ht="18" customHeight="1">
      <x:c r="A2387" s="13" t="n">
        <x:v>46198</x:v>
      </x:c>
      <x:c r="B2387" s="12" t="n">
        <x:v>5020.1038</x:v>
      </x:c>
      <x:c r="C2387" s="12" t="n">
        <x:v>4943.0197</x:v>
      </x:c>
      <x:c r="D2387" s="12" t="n">
        <x:v>1.5595</x:v>
      </x:c>
      <x:c r="E2387" s="12" t="n">
        <x:v>0.01547419102987474</x:v>
      </x:c>
      <x:c r="F2387" s="12" t="n">
        <x:v>2.78</x:v>
      </x:c>
      <x:c r="G2387" s="12" t="n">
        <x:v>278</x:v>
      </x:c>
      <x:c r="H2387" s="12" t="n">
        <x:v>2</x:v>
      </x:c>
      <x:c r="I2387" s="12" t="str">
        <x:v>TuShare index_daily</x:v>
      </x:c>
      <x:c r="J2387" s="12" t="str">
        <x:v>FRED current rolling window</x:v>
      </x:c>
    </x:row>
    <x:row r="2388" ht="18" customHeight="1">
      <x:c r="A2388" s="13" t="n">
        <x:v>46199</x:v>
      </x:c>
      <x:c r="B2388" s="12" t="n">
        <x:v>4868.2205</x:v>
      </x:c>
      <x:c r="C2388" s="12" t="n">
        <x:v>5020.1038</x:v>
      </x:c>
      <x:c r="D2388" s="12" t="n">
        <x:v>-3.0255</x:v>
      </x:c>
      <x:c r="E2388" s="12" t="n">
        <x:v>-0.03072214087187831</x:v>
      </x:c>
      <x:c r="F2388" s="12" t="n">
        <x:v>2.83</x:v>
      </x:c>
      <x:c r="G2388" s="12" t="n">
        <x:v>283</x:v>
      </x:c>
      <x:c r="H2388" s="12" t="n">
        <x:v>5</x:v>
      </x:c>
      <x:c r="I2388" s="12" t="str">
        <x:v>TuShare index_daily</x:v>
      </x:c>
      <x:c r="J2388" s="12" t="str">
        <x:v>FRED current rolling window</x:v>
      </x:c>
    </x:row>
    <x:row r="2389" ht="18" customHeight="1">
      <x:c r="A2389" s="13" t="n">
        <x:v>46202</x:v>
      </x:c>
      <x:c r="B2389" s="12" t="n">
        <x:v>4926.921</x:v>
      </x:c>
      <x:c r="C2389" s="12" t="n">
        <x:v>4868.2205</x:v>
      </x:c>
      <x:c r="D2389" s="12" t="n">
        <x:v>1.2058</x:v>
      </x:c>
      <x:c r="E2389" s="12" t="n">
        <x:v>0.011985779426626321</x:v>
      </x:c>
      <x:c r="F2389" s="12" t="n">
        <x:v>2.8</x:v>
      </x:c>
      <x:c r="G2389" s="12" t="n">
        <x:v>280</x:v>
      </x:c>
      <x:c r="H2389" s="12" t="n">
        <x:v>-3</x:v>
      </x:c>
      <x:c r="I2389" s="12" t="str">
        <x:v>TuShare index_daily</x:v>
      </x:c>
      <x:c r="J2389" s="12" t="str">
        <x:v>FRED current rolling window</x:v>
      </x:c>
    </x:row>
    <x:row r="2390" ht="18" customHeight="1">
      <x:c r="A2390" s="13" t="n">
        <x:v>46203</x:v>
      </x:c>
      <x:c r="B2390" s="12" t="n">
        <x:v>4979.4328</x:v>
      </x:c>
      <x:c r="C2390" s="12" t="n">
        <x:v>4926.921</x:v>
      </x:c>
      <x:c r="D2390" s="12" t="n">
        <x:v>1.0658</x:v>
      </x:c>
      <x:c r="E2390" s="12" t="n">
        <x:v>0.01060173963218757</x:v>
      </x:c>
      <x:c r="F2390" s="12" t="n">
        <x:v>2.75</x:v>
      </x:c>
      <x:c r="G2390" s="12" t="n">
        <x:v>275</x:v>
      </x:c>
      <x:c r="H2390" s="12" t="n">
        <x:v>-5</x:v>
      </x:c>
      <x:c r="I2390" s="12" t="str">
        <x:v>TuShare index_daily</x:v>
      </x:c>
      <x:c r="J2390" s="12" t="str">
        <x:v>FRED current rolling window</x:v>
      </x:c>
    </x:row>
    <x:row r="2391" ht="18" customHeight="1">
      <x:c r="A2391" s="13" t="n">
        <x:v>46204</x:v>
      </x:c>
      <x:c r="B2391" s="12" t="n">
        <x:v>4958.9773</x:v>
      </x:c>
      <x:c r="C2391" s="12" t="n">
        <x:v>4979.4328</x:v>
      </x:c>
      <x:c r="D2391" s="12" t="n">
        <x:v>-0.4108</x:v>
      </x:c>
      <x:c r="E2391" s="12" t="n">
        <x:v>-0.004116459006911529</x:v>
      </x:c>
      <x:c r="F2391" s="12" t="n">
        <x:v>2.74</x:v>
      </x:c>
      <x:c r="G2391" s="12" t="n">
        <x:v>274</x:v>
      </x:c>
      <x:c r="H2391" s="12" t="n">
        <x:v>-1</x:v>
      </x:c>
      <x:c r="I2391" s="12" t="str">
        <x:v>TuShare index_daily</x:v>
      </x:c>
      <x:c r="J2391" s="12" t="str">
        <x:v>FRED current rolling window</x:v>
      </x:c>
    </x:row>
    <x:row r="2392" ht="18" customHeight="1">
      <x:c r="A2392" s="13" t="n">
        <x:v>46205</x:v>
      </x:c>
      <x:c r="B2392" s="12" t="n">
        <x:v>4812.2957</x:v>
      </x:c>
      <x:c r="C2392" s="12" t="n">
        <x:v>4958.9773</x:v>
      </x:c>
      <x:c r="D2392" s="12" t="n">
        <x:v>-2.9579</x:v>
      </x:c>
      <x:c r="E2392" s="12" t="n">
        <x:v>-0.030025283195985117</x:v>
      </x:c>
      <x:c r="F2392" s="12" t="n">
        <x:v>2.75</x:v>
      </x:c>
      <x:c r="G2392" s="12" t="n">
        <x:v>275</x:v>
      </x:c>
      <x:c r="H2392" s="12" t="n">
        <x:v>1</x:v>
      </x:c>
      <x:c r="I2392" s="12" t="str">
        <x:v>TuShare index_daily</x:v>
      </x:c>
      <x:c r="J2392" s="12" t="str">
        <x:v>FRED current rolling window</x:v>
      </x:c>
    </x:row>
    <x:row r="2393" ht="18" customHeight="1">
      <x:c r="A2393" s="13" t="n">
        <x:v>46206</x:v>
      </x:c>
      <x:c r="B2393" s="12" t="n">
        <x:v>4842.1737</x:v>
      </x:c>
      <x:c r="C2393" s="12" t="n">
        <x:v>4812.2957</x:v>
      </x:c>
      <x:c r="D2393" s="12" t="n">
        <x:v>0.6209</x:v>
      </x:c>
      <x:c r="E2393" s="12" t="n">
        <x:v>0.006189484713631253</x:v>
      </x:c>
      <x:c r="F2393" s="12" t="n">
        <x:v>2.74</x:v>
      </x:c>
      <x:c r="G2393" s="12" t="n">
        <x:v>274</x:v>
      </x:c>
      <x:c r="H2393" s="12" t="n">
        <x:v>-1</x:v>
      </x:c>
      <x:c r="I2393" s="12" t="str">
        <x:v>TuShare index_daily</x:v>
      </x:c>
      <x:c r="J2393" s="12" t="str">
        <x:v>FRED current rolling window</x:v>
      </x:c>
    </x:row>
    <x:row r="2394" ht="18" customHeight="1">
      <x:c r="A2394" s="13" t="n">
        <x:v>46209</x:v>
      </x:c>
      <x:c r="B2394" s="12" t="n">
        <x:v>4841.998</x:v>
      </x:c>
      <x:c r="C2394" s="12" t="n">
        <x:v>4842.1737</x:v>
      </x:c>
      <x:c r="D2394" s="12" t="n">
        <x:v>-0.0036</x:v>
      </x:c>
      <x:c r="E2394" s="12" t="n">
        <x:v>-0.0000362860150486603</x:v>
      </x:c>
      <x:c r="F2394" s="12" t="n">
        <x:v>2.72</x:v>
      </x:c>
      <x:c r="G2394" s="12" t="n">
        <x:v>272</x:v>
      </x:c>
      <x:c r="H2394" s="12" t="n">
        <x:v>-2</x:v>
      </x:c>
      <x:c r="I2394" s="12" t="str">
        <x:v>TuShare index_daily</x:v>
      </x:c>
      <x:c r="J2394" s="12" t="str">
        <x:v>FRED current rolling window</x:v>
      </x:c>
    </x:row>
    <x:row r="2395" ht="18" customHeight="1">
      <x:c r="A2395" s="13" t="n">
        <x:v>46210</x:v>
      </x:c>
      <x:c r="B2395" s="12" t="n">
        <x:v>4792.2624</x:v>
      </x:c>
      <x:c r="C2395" s="12" t="n">
        <x:v>4841.998</x:v>
      </x:c>
      <x:c r="D2395" s="12" t="n">
        <x:v>-1.0272</x:v>
      </x:c>
      <x:c r="E2395" s="12" t="n">
        <x:v>-0.010324828219453176</x:v>
      </x:c>
      <x:c r="F2395" s="12" t="n">
        <x:v>2.67</x:v>
      </x:c>
      <x:c r="G2395" s="12" t="n">
        <x:v>267</x:v>
      </x:c>
      <x:c r="H2395" s="12" t="n">
        <x:v>-5</x:v>
      </x:c>
      <x:c r="I2395" s="12" t="str">
        <x:v>TuShare index_daily</x:v>
      </x:c>
      <x:c r="J2395" s="12" t="str">
        <x:v>FRED current rolling window</x:v>
      </x:c>
    </x:row>
    <x:row r="2396" ht="18" customHeight="1">
      <x:c r="A2396" s="13" t="n">
        <x:v>46211</x:v>
      </x:c>
      <x:c r="B2396" s="12" t="n">
        <x:v>4755.5338</x:v>
      </x:c>
      <x:c r="C2396" s="12" t="n">
        <x:v>4792.2624</x:v>
      </x:c>
      <x:c r="D2396" s="12" t="n">
        <x:v>-0.7664</x:v>
      </x:c>
      <x:c r="E2396" s="12" t="n">
        <x:v>-0.0076936667691582285</x:v>
      </x:c>
      <x:c r="F2396" s="12" t="n">
        <x:v>2.7</x:v>
      </x:c>
      <x:c r="G2396" s="12" t="n">
        <x:v>270</x:v>
      </x:c>
      <x:c r="H2396" s="12" t="n">
        <x:v>3</x:v>
      </x:c>
      <x:c r="I2396" s="12" t="str">
        <x:v>TuShare index_daily</x:v>
      </x:c>
      <x:c r="J2396" s="12" t="str">
        <x:v>FRED current rolling window</x:v>
      </x:c>
    </x:row>
    <x:row r="2397" ht="18" customHeight="1">
      <x:c r="A2397" s="13" t="n">
        <x:v>46212</x:v>
      </x:c>
      <x:c r="B2397" s="12" t="n">
        <x:v>4876.3125</x:v>
      </x:c>
      <x:c r="C2397" s="12" t="n">
        <x:v>4755.5338</x:v>
      </x:c>
      <x:c r="D2397" s="12" t="n">
        <x:v>2.5398</x:v>
      </x:c>
      <x:c r="E2397" s="12" t="n">
        <x:v>0.02508034850822912</x:v>
      </x:c>
      <x:c r="F2397" s="12" t="n">
        <x:v>2.7</x:v>
      </x:c>
      <x:c r="G2397" s="12" t="n">
        <x:v>270</x:v>
      </x:c>
      <x:c r="H2397" s="12" t="n">
        <x:v>0</x:v>
      </x:c>
      <x:c r="I2397" s="12" t="str">
        <x:v>TuShare index_daily</x:v>
      </x:c>
      <x:c r="J2397" s="12" t="str">
        <x:v>FRED current rolling window</x:v>
      </x:c>
    </x:row>
    <x:row r="2398" ht="18" customHeight="1">
      <x:c r="A2398" s="13" t="n">
        <x:v>46213</x:v>
      </x:c>
      <x:c r="B2398" s="12" t="n">
        <x:v>4780.7867</x:v>
      </x:c>
      <x:c r="C2398" s="12" t="n">
        <x:v>4876.3125</x:v>
      </x:c>
      <x:c r="D2398" s="12" t="n">
        <x:v>-1.959</x:v>
      </x:c>
      <x:c r="E2398" s="12" t="n">
        <x:v>-0.019784184431682877</x:v>
      </x:c>
      <x:c r="F2398" s="12" t="n">
        <x:v>2.69</x:v>
      </x:c>
      <x:c r="G2398" s="12" t="n">
        <x:v>269</x:v>
      </x:c>
      <x:c r="H2398" s="12" t="n">
        <x:v>-1</x:v>
      </x:c>
      <x:c r="I2398" s="12" t="str">
        <x:v>TuShare index_daily</x:v>
      </x:c>
      <x:c r="J2398" s="12" t="str">
        <x:v>FRED current rolling window</x:v>
      </x:c>
    </x:row>
    <x:row r="2399" ht="18" customHeight="1">
      <x:c r="A2399" s="13" t="n">
        <x:v>46216</x:v>
      </x:c>
      <x:c r="B2399" s="12" t="n">
        <x:v>4695.383</x:v>
      </x:c>
      <x:c r="C2399" s="12" t="n">
        <x:v>4780.7867</x:v>
      </x:c>
      <x:c r="D2399" s="12" t="n">
        <x:v>-1.7864</x:v>
      </x:c>
      <x:c r="E2399" s="12" t="n">
        <x:v>-0.01802542907335032</x:v>
      </x:c>
      <x:c r="F2399" s="12" t="n">
        <x:v>2.69</x:v>
      </x:c>
      <x:c r="G2399" s="12" t="n">
        <x:v>269</x:v>
      </x:c>
      <x:c r="H2399" s="12" t="n">
        <x:v>0</x:v>
      </x:c>
      <x:c r="I2399" s="12" t="str">
        <x:v>TuShare index_daily</x:v>
      </x:c>
      <x:c r="J2399" s="12" t="str">
        <x:v>FRED current rolling window</x:v>
      </x:c>
    </x:row>
    <x:row r="2400" ht="18" customHeight="1">
      <x:c r="A2400" s="13" t="n">
        <x:v>46217</x:v>
      </x:c>
      <x:c r="B2400" s="12" t="n">
        <x:v>4796.502</x:v>
      </x:c>
      <x:c r="C2400" s="12" t="n">
        <x:v>4695.383</x:v>
      </x:c>
      <x:c r="D2400" s="12" t="n">
        <x:v>2.1536</x:v>
      </x:c>
      <x:c r="E2400" s="12" t="n">
        <x:v>0.02130721676857777</x:v>
      </x:c>
      <x:c r="F2400" s="12" t="n">
        <x:v>2.72</x:v>
      </x:c>
      <x:c r="G2400" s="12" t="n">
        <x:v>272</x:v>
      </x:c>
      <x:c r="H2400" s="12" t="n">
        <x:v>3</x:v>
      </x:c>
      <x:c r="I2400" s="12" t="str">
        <x:v>TuShare index_daily</x:v>
      </x:c>
      <x:c r="J2400" s="12" t="str">
        <x:v>FRED current rolling window</x:v>
      </x:c>
    </x:row>
    <x:row r="2401" ht="18" customHeight="1">
      <x:c r="A2401" s="13" t="n">
        <x:v>46218</x:v>
      </x:c>
      <x:c r="B2401" s="12" t="n">
        <x:v>4786.7828</x:v>
      </x:c>
      <x:c r="C2401" s="12" t="n">
        <x:v>4796.502</x:v>
      </x:c>
      <x:c r="D2401" s="12" t="n">
        <x:v>-0.2026</x:v>
      </x:c>
      <x:c r="E2401" s="12" t="n">
        <x:v>-0.0020283657503912377</x:v>
      </x:c>
      <x:c r="F2401" s="12" t="n">
        <x:v>2.71</x:v>
      </x:c>
      <x:c r="G2401" s="12" t="n">
        <x:v>271</x:v>
      </x:c>
      <x:c r="H2401" s="12" t="n">
        <x:v>-1</x:v>
      </x:c>
      <x:c r="I2401" s="12" t="str">
        <x:v>TuShare index_daily</x:v>
      </x:c>
      <x:c r="J2401" s="12" t="str">
        <x:v>FRED current rolling window</x:v>
      </x:c>
    </x:row>
    <x:row r="2402" ht="18" customHeight="1">
      <x:c r="A2402" s="13" t="n">
        <x:v>46219</x:v>
      </x:c>
      <x:c r="B2402" s="12" t="n">
        <x:v>4698.4344</x:v>
      </x:c>
      <x:c r="C2402" s="12" t="n">
        <x:v>4786.7828</x:v>
      </x:c>
      <x:c r="D2402" s="12" t="n">
        <x:v>-1.8457</x:v>
      </x:c>
      <x:c r="E2402" s="12" t="n">
        <x:v>-0.01862918965531543</x:v>
      </x:c>
      <x:c r="F2402" s="12" t="n">
        <x:v>2.71</x:v>
      </x:c>
      <x:c r="G2402" s="12" t="n">
        <x:v>271</x:v>
      </x:c>
      <x:c r="H2402" s="12" t="n">
        <x:v>0</x:v>
      </x:c>
      <x:c r="I2402" s="12" t="str">
        <x:v>TuShare index_daily</x:v>
      </x:c>
      <x:c r="J2402" s="12" t="str">
        <x:v>FRED current rolling window</x:v>
      </x:c>
    </x:row>
    <x:row r="2403" ht="18" customHeight="1">
      <x:c r="A2403" s="13" t="n">
        <x:v>46220</x:v>
      </x:c>
      <x:c r="B2403" s="12" t="n">
        <x:v>4529.0953</x:v>
      </x:c>
      <x:c r="C2403" s="12" t="n">
        <x:v>4698.4344</x:v>
      </x:c>
      <x:c r="D2403" s="12" t="n">
        <x:v>-3.6042</x:v>
      </x:c>
      <x:c r="E2403" s="12" t="n">
        <x:v>-0.036707140315421015</x:v>
      </x:c>
      <x:c r="F2403" s="12" t="n">
        <x:v>2.73</x:v>
      </x:c>
      <x:c r="G2403" s="12" t="n">
        <x:v>273</x:v>
      </x:c>
      <x:c r="H2403" s="12" t="n">
        <x:v>2</x:v>
      </x:c>
      <x:c r="I2403" s="12" t="str">
        <x:v>TuShare index_daily</x:v>
      </x:c>
      <x:c r="J2403" s="12" t="str">
        <x:v>FRED current rolling window</x:v>
      </x:c>
    </x:row>
    <x:row r="2404" ht="18" customHeight="1">
      <x:c r="A2404" s="13" t="n">
        <x:v>46223</x:v>
      </x:c>
      <x:c r="B2404" s="12" t="n">
        <x:v>4598.3208</x:v>
      </x:c>
      <x:c r="C2404" s="12" t="n">
        <x:v>4529.0953</x:v>
      </x:c>
      <x:c r="D2404" s="12" t="n">
        <x:v>1.5285</x:v>
      </x:c>
      <x:c r="E2404" s="12" t="n">
        <x:v>0.015168986846840348</x:v>
      </x:c>
      <x:c r="F2404" s="12" t="n">
        <x:v>2.69</x:v>
      </x:c>
      <x:c r="G2404" s="12" t="n">
        <x:v>269</x:v>
      </x:c>
      <x:c r="H2404" s="12" t="n">
        <x:v>-4</x:v>
      </x:c>
      <x:c r="I2404" s="12" t="str">
        <x:v>TuShare index_daily</x:v>
      </x:c>
      <x:c r="J2404" s="12" t="str">
        <x:v>FRED current rolling window</x:v>
      </x:c>
    </x:row>
    <x:row r="2405" ht="18" customHeight="1">
      <x:c r="A2405" s="13" t="n">
        <x:v>46224</x:v>
      </x:c>
      <x:c r="B2405" s="12" t="n">
        <x:v>4739.2287</x:v>
      </x:c>
      <x:c r="C2405" s="12" t="n">
        <x:v>4598.3208</x:v>
      </x:c>
      <x:c r="D2405" s="12" t="n">
        <x:v>3.0643</x:v>
      </x:c>
      <x:c r="E2405" s="12" t="n">
        <x:v>0.0301832075752162</x:v>
      </x:c>
      <x:c r="F2405" s="12" t="n">
        <x:v>2.69</x:v>
      </x:c>
      <x:c r="G2405" s="12" t="n">
        <x:v>269</x:v>
      </x:c>
      <x:c r="H2405" s="12" t="n">
        <x:v>0</x:v>
      </x:c>
      <x:c r="I2405" s="12" t="str">
        <x:v>TuShare index_daily</x:v>
      </x:c>
      <x:c r="J2405" s="12" t="str">
        <x:v>FRED current rolling window</x:v>
      </x:c>
    </x:row>
    <x:row r="2406" ht="18" customHeight="1">
      <x:c r="A2406" s="13" t="n">
        <x:v>46225</x:v>
      </x:c>
      <x:c r="B2406" s="12" t="n">
        <x:v>4717.2442</x:v>
      </x:c>
      <x:c r="C2406" s="12" t="n">
        <x:v>4739.2287</x:v>
      </x:c>
      <x:c r="D2406" s="12" t="n">
        <x:v>-0.4639</x:v>
      </x:c>
      <x:c r="E2406" s="12" t="n">
        <x:v>-0.004649627792401307</x:v>
      </x:c>
      <x:c r="F2406" s="12" t="n">
        <x:v>2.68</x:v>
      </x:c>
      <x:c r="G2406" s="12" t="n">
        <x:v>268</x:v>
      </x:c>
      <x:c r="H2406" s="12" t="n">
        <x:v>-1</x:v>
      </x:c>
      <x:c r="I2406" s="12" t="str">
        <x:v>TuShare index_daily</x:v>
      </x:c>
      <x:c r="J2406" s="12" t="str">
        <x:v>FRED current rolling window</x:v>
      </x:c>
    </x:row>
    <x:row r="2407" ht="18" customHeight="1">
      <x:c r="A2407" s="13" t="n">
        <x:v>46226</x:v>
      </x:c>
      <x:c r="B2407" s="12" t="n">
        <x:v>4728.0018</x:v>
      </x:c>
      <x:c r="C2407" s="12" t="n">
        <x:v>4717.2442</x:v>
      </x:c>
      <x:c r="D2407" s="12" t="n">
        <x:v>0.228</x:v>
      </x:c>
      <x:c r="E2407" s="12" t="n">
        <x:v>0.002277887659370913</x:v>
      </x:c>
      <x:c r="F2407" s="12" t="n">
        <x:v>2.77</x:v>
      </x:c>
      <x:c r="G2407" s="12" t="n">
        <x:v>277</x:v>
      </x:c>
      <x:c r="H2407" s="12" t="n">
        <x:v>9</x:v>
      </x:c>
      <x:c r="I2407" s="12" t="str">
        <x:v>TuShare index_daily</x:v>
      </x:c>
      <x:c r="J2407" s="12" t="str">
        <x:v>FRED current rolling window</x:v>
      </x:c>
    </x:row>
  </x:sheetData>
  <x:pageMargins left="0.7" right="0.7" top="0.75" bottom="0.75" header="0.3" footer="0.3"/>
  <x:tableParts count="1">
    <x:tablePart xmlns:r="http://schemas.openxmlformats.org/officeDocument/2006/relationships" r:id="Rda28723e454348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9" hidden="0" customWidth="1"/>
    <x:col min="2" max="2" width="8.220000267028809" hidden="0" customWidth="1"/>
    <x:col min="3" max="3" width="10.220000267028809" hidden="0" customWidth="1"/>
    <x:col min="4" max="4" width="14.670000076293945" hidden="0" customWidth="1"/>
    <x:col min="5" max="5" width="16.440000534057617" hidden="0" customWidth="1"/>
    <x:col min="6" max="6" width="9.779999732971191" hidden="0" customWidth="1"/>
    <x:col min="7" max="7" width="12.329999923706055" hidden="0" customWidth="1"/>
    <x:col min="8" max="8" width="9.220000267028809" hidden="0" customWidth="1"/>
    <x:col min="9" max="9" width="15.779999732971191" hidden="0" customWidth="1"/>
    <x:col min="10" max="10" width="21.219999313354492" hidden="0" customWidth="1"/>
  </x:cols>
  <x:sheetData>
    <x:row r="1" ht="30" customHeight="1">
      <x:c r="A1" s="9" t="str">
        <x:v>date</x:v>
      </x:c>
      <x:c r="B1" s="10" t="str">
        <x:v>close</x:v>
      </x:c>
      <x:c r="C1" s="10" t="str">
        <x:v>pre_close</x:v>
      </x:c>
      <x:c r="D1" s="10" t="str">
        <x:v>csi300_pct_chg</x:v>
      </x:c>
      <x:c r="E1" s="10" t="str">
        <x:v>csi300_log_return</x:v>
      </x:c>
      <x:c r="F1" s="10" t="str">
        <x:v>oas_date</x:v>
      </x:c>
      <x:c r="G1" s="10" t="str">
        <x:v>oas_percent</x:v>
      </x:c>
      <x:c r="H1" s="10" t="str">
        <x:v>oas_bps</x:v>
      </x:c>
      <x:c r="I1" s="10" t="str">
        <x:v>oas_change_bps</x:v>
      </x:c>
      <x:c r="J1" s="11" t="str">
        <x:v>oas_age_calendar_days</x:v>
      </x:c>
    </x:row>
    <x:row r="2" ht="18" customHeight="1">
      <x:c r="A2" s="13" t="n">
        <x:v>42577</x:v>
      </x:c>
      <x:c r="B2" s="12" t="n">
        <x:v>3269.5882</x:v>
      </x:c>
      <x:c r="C2" s="12" t="n">
        <x:v>3230.885</x:v>
      </x:c>
      <x:c r="D2" s="12" t="n">
        <x:v>1.1979</x:v>
      </x:c>
      <x:c r="E2" s="12" t="n">
        <x:v>0.01190795074409212</x:v>
      </x:c>
      <x:c r="F2" s="13"/>
      <x:c r="G2" s="12"/>
      <x:c r="H2" s="12"/>
      <x:c r="I2" s="12"/>
      <x:c r="J2" s="12"/>
    </x:row>
    <x:row r="3" ht="18" customHeight="1">
      <x:c r="A3" s="13" t="n">
        <x:v>42578</x:v>
      </x:c>
      <x:c r="B3" s="12" t="n">
        <x:v>3218.243</x:v>
      </x:c>
      <x:c r="C3" s="12" t="n">
        <x:v>3269.5882</x:v>
      </x:c>
      <x:c r="D3" s="12" t="n">
        <x:v>-1.5704</x:v>
      </x:c>
      <x:c r="E3" s="12" t="n">
        <x:v>-0.015828485797177723</x:v>
      </x:c>
      <x:c r="F3" s="13" t="n">
        <x:v>42577</x:v>
      </x:c>
      <x:c r="G3" s="12" t="n">
        <x:v>5.45</x:v>
      </x:c>
      <x:c r="H3" s="12" t="n">
        <x:v>545</x:v>
      </x:c>
      <x:c r="I3" s="12"/>
      <x:c r="J3" s="12" t="n">
        <x:v>1</x:v>
      </x:c>
    </x:row>
    <x:row r="4" ht="18" customHeight="1">
      <x:c r="A4" s="13" t="n">
        <x:v>42579</x:v>
      </x:c>
      <x:c r="B4" s="12" t="n">
        <x:v>3221.1365</x:v>
      </x:c>
      <x:c r="C4" s="12" t="n">
        <x:v>3218.243</x:v>
      </x:c>
      <x:c r="D4" s="12" t="n">
        <x:v>0.0899</x:v>
      </x:c>
      <x:c r="E4" s="12" t="n">
        <x:v>0.0008986891344864949</x:v>
      </x:c>
      <x:c r="F4" s="13" t="n">
        <x:v>42578</x:v>
      </x:c>
      <x:c r="G4" s="12" t="n">
        <x:v>5.51</x:v>
      </x:c>
      <x:c r="H4" s="12" t="n">
        <x:v>551</x:v>
      </x:c>
      <x:c r="I4" s="12" t="n">
        <x:v>6</x:v>
      </x:c>
      <x:c r="J4" s="12" t="n">
        <x:v>1</x:v>
      </x:c>
    </x:row>
    <x:row r="5" ht="18" customHeight="1">
      <x:c r="A5" s="13" t="n">
        <x:v>42580</x:v>
      </x:c>
      <x:c r="B5" s="12" t="n">
        <x:v>3203.9304</x:v>
      </x:c>
      <x:c r="C5" s="12" t="n">
        <x:v>3221.1365</x:v>
      </x:c>
      <x:c r="D5" s="12" t="n">
        <x:v>-0.5342</x:v>
      </x:c>
      <x:c r="E5" s="12" t="n">
        <x:v>-0.005355941470840886</x:v>
      </x:c>
      <x:c r="F5" s="13" t="n">
        <x:v>42579</x:v>
      </x:c>
      <x:c r="G5" s="12" t="n">
        <x:v>5.54</x:v>
      </x:c>
      <x:c r="H5" s="12" t="n">
        <x:v>554</x:v>
      </x:c>
      <x:c r="I5" s="12" t="n">
        <x:v>3</x:v>
      </x:c>
      <x:c r="J5" s="12" t="n">
        <x:v>1</x:v>
      </x:c>
    </x:row>
    <x:row r="6" ht="18" customHeight="1">
      <x:c r="A6" s="13" t="n">
        <x:v>42583</x:v>
      </x:c>
      <x:c r="B6" s="12" t="n">
        <x:v>3176.8091</x:v>
      </x:c>
      <x:c r="C6" s="12" t="n">
        <x:v>3203.9304</x:v>
      </x:c>
      <x:c r="D6" s="12" t="n">
        <x:v>-0.8465</x:v>
      </x:c>
      <x:c r="E6" s="12" t="n">
        <x:v>-0.008501040775170844</x:v>
      </x:c>
      <x:c r="F6" s="13" t="n">
        <x:v>42582</x:v>
      </x:c>
      <x:c r="G6" s="12" t="n">
        <x:v>5.69</x:v>
      </x:c>
      <x:c r="H6" s="12" t="n">
        <x:v>569</x:v>
      </x:c>
      <x:c r="I6" s="12" t="n">
        <x:v>8</x:v>
      </x:c>
      <x:c r="J6" s="12" t="n">
        <x:v>1</x:v>
      </x:c>
    </x:row>
    <x:row r="7" ht="18" customHeight="1">
      <x:c r="A7" s="13" t="n">
        <x:v>42584</x:v>
      </x:c>
      <x:c r="B7" s="12" t="n">
        <x:v>3189.0529</x:v>
      </x:c>
      <x:c r="C7" s="12" t="n">
        <x:v>3176.8091</x:v>
      </x:c>
      <x:c r="D7" s="12" t="n">
        <x:v>0.3854</x:v>
      </x:c>
      <x:c r="E7" s="12" t="n">
        <x:v>0.0038467108139667687</x:v>
      </x:c>
      <x:c r="F7" s="13" t="n">
        <x:v>42583</x:v>
      </x:c>
      <x:c r="G7" s="12" t="n">
        <x:v>5.69</x:v>
      </x:c>
      <x:c r="H7" s="12" t="n">
        <x:v>569</x:v>
      </x:c>
      <x:c r="I7" s="12" t="n">
        <x:v>0</x:v>
      </x:c>
      <x:c r="J7" s="12" t="n">
        <x:v>1</x:v>
      </x:c>
    </x:row>
    <x:row r="8" ht="18" customHeight="1">
      <x:c r="A8" s="13" t="n">
        <x:v>42585</x:v>
      </x:c>
      <x:c r="B8" s="12" t="n">
        <x:v>3193.5073</x:v>
      </x:c>
      <x:c r="C8" s="12" t="n">
        <x:v>3189.0529</x:v>
      </x:c>
      <x:c r="D8" s="12" t="n">
        <x:v>0.1397</x:v>
      </x:c>
      <x:c r="E8" s="12" t="n">
        <x:v>0.0013958037475924041</x:v>
      </x:c>
      <x:c r="F8" s="13" t="n">
        <x:v>42584</x:v>
      </x:c>
      <x:c r="G8" s="12" t="n">
        <x:v>5.73</x:v>
      </x:c>
      <x:c r="H8" s="12" t="n">
        <x:v>573</x:v>
      </x:c>
      <x:c r="I8" s="12" t="n">
        <x:v>4</x:v>
      </x:c>
      <x:c r="J8" s="12" t="n">
        <x:v>1</x:v>
      </x:c>
    </x:row>
    <x:row r="9" ht="18" customHeight="1">
      <x:c r="A9" s="13" t="n">
        <x:v>42586</x:v>
      </x:c>
      <x:c r="B9" s="12" t="n">
        <x:v>3201.2888</x:v>
      </x:c>
      <x:c r="C9" s="12" t="n">
        <x:v>3193.5073</x:v>
      </x:c>
      <x:c r="D9" s="12" t="n">
        <x:v>0.2437</x:v>
      </x:c>
      <x:c r="E9" s="12" t="n">
        <x:v>0.0024336988135545256</x:v>
      </x:c>
      <x:c r="F9" s="13" t="n">
        <x:v>42585</x:v>
      </x:c>
      <x:c r="G9" s="12" t="n">
        <x:v>5.72</x:v>
      </x:c>
      <x:c r="H9" s="12" t="n">
        <x:v>572</x:v>
      </x:c>
      <x:c r="I9" s="12" t="n">
        <x:v>-1</x:v>
      </x:c>
      <x:c r="J9" s="12" t="n">
        <x:v>1</x:v>
      </x:c>
    </x:row>
    <x:row r="10" ht="18" customHeight="1">
      <x:c r="A10" s="13" t="n">
        <x:v>42587</x:v>
      </x:c>
      <x:c r="B10" s="12" t="n">
        <x:v>3205.1101</x:v>
      </x:c>
      <x:c r="C10" s="12" t="n">
        <x:v>3201.2888</x:v>
      </x:c>
      <x:c r="D10" s="12" t="n">
        <x:v>0.1194</x:v>
      </x:c>
      <x:c r="E10" s="12" t="n">
        <x:v>0.0011929636330307713</x:v>
      </x:c>
      <x:c r="F10" s="13" t="n">
        <x:v>42586</x:v>
      </x:c>
      <x:c r="G10" s="12" t="n">
        <x:v>5.65</x:v>
      </x:c>
      <x:c r="H10" s="12" t="n">
        <x:v>565</x:v>
      </x:c>
      <x:c r="I10" s="12" t="n">
        <x:v>-7</x:v>
      </x:c>
      <x:c r="J10" s="12" t="n">
        <x:v>1</x:v>
      </x:c>
    </x:row>
    <x:row r="11" ht="18" customHeight="1">
      <x:c r="A11" s="13" t="n">
        <x:v>42590</x:v>
      </x:c>
      <x:c r="B11" s="12" t="n">
        <x:v>3234.1833</x:v>
      </x:c>
      <x:c r="C11" s="12" t="n">
        <x:v>3205.1101</x:v>
      </x:c>
      <x:c r="D11" s="12" t="n">
        <x:v>0.9071</x:v>
      </x:c>
      <x:c r="E11" s="12" t="n">
        <x:v>0.0090299962272696</x:v>
      </x:c>
      <x:c r="F11" s="13" t="n">
        <x:v>42587</x:v>
      </x:c>
      <x:c r="G11" s="12" t="n">
        <x:v>5.46</x:v>
      </x:c>
      <x:c r="H11" s="12" t="n">
        <x:v>546</x:v>
      </x:c>
      <x:c r="I11" s="12" t="n">
        <x:v>-19</x:v>
      </x:c>
      <x:c r="J11" s="12" t="n">
        <x:v>3</x:v>
      </x:c>
    </x:row>
    <x:row r="12" ht="18" customHeight="1">
      <x:c r="A12" s="13" t="n">
        <x:v>42591</x:v>
      </x:c>
      <x:c r="B12" s="12" t="n">
        <x:v>3256.9813</x:v>
      </x:c>
      <x:c r="C12" s="12" t="n">
        <x:v>3234.1833</x:v>
      </x:c>
      <x:c r="D12" s="12" t="n">
        <x:v>0.7049</x:v>
      </x:c>
      <x:c r="E12" s="12" t="n">
        <x:v>0.007024346213754837</x:v>
      </x:c>
      <x:c r="F12" s="13" t="n">
        <x:v>42590</x:v>
      </x:c>
      <x:c r="G12" s="12" t="n">
        <x:v>5.42</x:v>
      </x:c>
      <x:c r="H12" s="12" t="n">
        <x:v>542</x:v>
      </x:c>
      <x:c r="I12" s="12" t="n">
        <x:v>-4</x:v>
      </x:c>
      <x:c r="J12" s="12" t="n">
        <x:v>1</x:v>
      </x:c>
    </x:row>
    <x:row r="13" ht="18" customHeight="1">
      <x:c r="A13" s="13" t="n">
        <x:v>42592</x:v>
      </x:c>
      <x:c r="B13" s="12" t="n">
        <x:v>3243.3409</x:v>
      </x:c>
      <x:c r="C13" s="12" t="n">
        <x:v>3256.9813</x:v>
      </x:c>
      <x:c r="D13" s="12" t="n">
        <x:v>-0.4188</x:v>
      </x:c>
      <x:c r="E13" s="12" t="n">
        <x:v>-0.004196844279891693</x:v>
      </x:c>
      <x:c r="F13" s="13" t="n">
        <x:v>42591</x:v>
      </x:c>
      <x:c r="G13" s="12" t="n">
        <x:v>5.36</x:v>
      </x:c>
      <x:c r="H13" s="12" t="n">
        <x:v>536</x:v>
      </x:c>
      <x:c r="I13" s="12" t="n">
        <x:v>-6</x:v>
      </x:c>
      <x:c r="J13" s="12" t="n">
        <x:v>1</x:v>
      </x:c>
    </x:row>
    <x:row r="14" ht="18" customHeight="1">
      <x:c r="A14" s="13" t="n">
        <x:v>42593</x:v>
      </x:c>
      <x:c r="B14" s="12" t="n">
        <x:v>3233.3604</x:v>
      </x:c>
      <x:c r="C14" s="12" t="n">
        <x:v>3243.3409</x:v>
      </x:c>
      <x:c r="D14" s="12" t="n">
        <x:v>-0.3077</x:v>
      </x:c>
      <x:c r="E14" s="12" t="n">
        <x:v>-0.0030819725776225675</x:v>
      </x:c>
      <x:c r="F14" s="13" t="n">
        <x:v>42592</x:v>
      </x:c>
      <x:c r="G14" s="12" t="n">
        <x:v>5.38</x:v>
      </x:c>
      <x:c r="H14" s="12" t="n">
        <x:v>538</x:v>
      </x:c>
      <x:c r="I14" s="12" t="n">
        <x:v>2</x:v>
      </x:c>
      <x:c r="J14" s="12" t="n">
        <x:v>1</x:v>
      </x:c>
    </x:row>
    <x:row r="15" ht="18" customHeight="1">
      <x:c r="A15" s="13" t="n">
        <x:v>42594</x:v>
      </x:c>
      <x:c r="B15" s="12" t="n">
        <x:v>3294.2337</x:v>
      </x:c>
      <x:c r="C15" s="12" t="n">
        <x:v>3233.3604</x:v>
      </x:c>
      <x:c r="D15" s="12" t="n">
        <x:v>1.8827</x:v>
      </x:c>
      <x:c r="E15" s="12" t="n">
        <x:v>0.0186516084752912</x:v>
      </x:c>
      <x:c r="F15" s="13" t="n">
        <x:v>42593</x:v>
      </x:c>
      <x:c r="G15" s="12" t="n">
        <x:v>5.31</x:v>
      </x:c>
      <x:c r="H15" s="12" t="n">
        <x:v>531</x:v>
      </x:c>
      <x:c r="I15" s="12" t="n">
        <x:v>-7</x:v>
      </x:c>
      <x:c r="J15" s="12" t="n">
        <x:v>1</x:v>
      </x:c>
    </x:row>
    <x:row r="16" ht="18" customHeight="1">
      <x:c r="A16" s="13" t="n">
        <x:v>42597</x:v>
      </x:c>
      <x:c r="B16" s="12" t="n">
        <x:v>3393.4239</x:v>
      </x:c>
      <x:c r="C16" s="12" t="n">
        <x:v>3294.2337</x:v>
      </x:c>
      <x:c r="D16" s="12" t="n">
        <x:v>3.011</x:v>
      </x:c>
      <x:c r="E16" s="12" t="n">
        <x:v>0.029665835270030912</x:v>
      </x:c>
      <x:c r="F16" s="13" t="n">
        <x:v>42594</x:v>
      </x:c>
      <x:c r="G16" s="12" t="n">
        <x:v>5.34</x:v>
      </x:c>
      <x:c r="H16" s="12" t="n">
        <x:v>534</x:v>
      </x:c>
      <x:c r="I16" s="12" t="n">
        <x:v>3</x:v>
      </x:c>
      <x:c r="J16" s="12" t="n">
        <x:v>3</x:v>
      </x:c>
    </x:row>
    <x:row r="17" ht="18" customHeight="1">
      <x:c r="A17" s="13" t="n">
        <x:v>42598</x:v>
      </x:c>
      <x:c r="B17" s="12" t="n">
        <x:v>3378.2451</x:v>
      </x:c>
      <x:c r="C17" s="12" t="n">
        <x:v>3393.4239</x:v>
      </x:c>
      <x:c r="D17" s="12" t="n">
        <x:v>-0.4473</x:v>
      </x:c>
      <x:c r="E17" s="12" t="n">
        <x:v>-0.0044830382056433955</x:v>
      </x:c>
      <x:c r="F17" s="13" t="n">
        <x:v>42597</x:v>
      </x:c>
      <x:c r="G17" s="12" t="n">
        <x:v>5.23</x:v>
      </x:c>
      <x:c r="H17" s="12" t="n">
        <x:v>523</x:v>
      </x:c>
      <x:c r="I17" s="12" t="n">
        <x:v>-11</x:v>
      </x:c>
      <x:c r="J17" s="12" t="n">
        <x:v>1</x:v>
      </x:c>
    </x:row>
    <x:row r="18" ht="18" customHeight="1">
      <x:c r="A18" s="13" t="n">
        <x:v>42599</x:v>
      </x:c>
      <x:c r="B18" s="12" t="n">
        <x:v>3373.0476</x:v>
      </x:c>
      <x:c r="C18" s="12" t="n">
        <x:v>3378.2451</x:v>
      </x:c>
      <x:c r="D18" s="12" t="n">
        <x:v>-0.1539</x:v>
      </x:c>
      <x:c r="E18" s="12" t="n">
        <x:v>-0.0015397054335406538</x:v>
      </x:c>
      <x:c r="F18" s="13" t="n">
        <x:v>42598</x:v>
      </x:c>
      <x:c r="G18" s="12" t="n">
        <x:v>5.17</x:v>
      </x:c>
      <x:c r="H18" s="12" t="n">
        <x:v>517</x:v>
      </x:c>
      <x:c r="I18" s="12" t="n">
        <x:v>-6</x:v>
      </x:c>
      <x:c r="J18" s="12" t="n">
        <x:v>1</x:v>
      </x:c>
    </x:row>
    <x:row r="19" ht="18" customHeight="1">
      <x:c r="A19" s="13" t="n">
        <x:v>42600</x:v>
      </x:c>
      <x:c r="B19" s="12" t="n">
        <x:v>3364.4851</x:v>
      </x:c>
      <x:c r="C19" s="12" t="n">
        <x:v>3373.0476</x:v>
      </x:c>
      <x:c r="D19" s="12" t="n">
        <x:v>-0.2539</x:v>
      </x:c>
      <x:c r="E19" s="12" t="n">
        <x:v>-0.0025417330025779114</x:v>
      </x:c>
      <x:c r="F19" s="13" t="n">
        <x:v>42599</x:v>
      </x:c>
      <x:c r="G19" s="12" t="n">
        <x:v>5.19</x:v>
      </x:c>
      <x:c r="H19" s="12" t="n">
        <x:v>519</x:v>
      </x:c>
      <x:c r="I19" s="12" t="n">
        <x:v>2</x:v>
      </x:c>
      <x:c r="J19" s="12" t="n">
        <x:v>1</x:v>
      </x:c>
    </x:row>
    <x:row r="20" ht="18" customHeight="1">
      <x:c r="A20" s="13" t="n">
        <x:v>42601</x:v>
      </x:c>
      <x:c r="B20" s="12" t="n">
        <x:v>3365.0197</x:v>
      </x:c>
      <x:c r="C20" s="12" t="n">
        <x:v>3364.4851</x:v>
      </x:c>
      <x:c r="D20" s="12" t="n">
        <x:v>0.0159</x:v>
      </x:c>
      <x:c r="E20" s="12" t="n">
        <x:v>0.00015888241914154328</x:v>
      </x:c>
      <x:c r="F20" s="13" t="n">
        <x:v>42600</x:v>
      </x:c>
      <x:c r="G20" s="12" t="n">
        <x:v>5.2</x:v>
      </x:c>
      <x:c r="H20" s="12" t="n">
        <x:v>520</x:v>
      </x:c>
      <x:c r="I20" s="12" t="n">
        <x:v>1</x:v>
      </x:c>
      <x:c r="J20" s="12" t="n">
        <x:v>1</x:v>
      </x:c>
    </x:row>
    <x:row r="21" ht="18" customHeight="1">
      <x:c r="A21" s="13" t="n">
        <x:v>42604</x:v>
      </x:c>
      <x:c r="B21" s="12" t="n">
        <x:v>3336.7949</x:v>
      </x:c>
      <x:c r="C21" s="12" t="n">
        <x:v>3365.0197</x:v>
      </x:c>
      <x:c r="D21" s="12" t="n">
        <x:v>-0.8388</x:v>
      </x:c>
      <x:c r="E21" s="12" t="n">
        <x:v>-0.008423081973935091</x:v>
      </x:c>
      <x:c r="F21" s="13" t="n">
        <x:v>42601</x:v>
      </x:c>
      <x:c r="G21" s="12" t="n">
        <x:v>5.15</x:v>
      </x:c>
      <x:c r="H21" s="12" t="n">
        <x:v>515</x:v>
      </x:c>
      <x:c r="I21" s="12" t="n">
        <x:v>-5</x:v>
      </x:c>
      <x:c r="J21" s="12" t="n">
        <x:v>3</x:v>
      </x:c>
    </x:row>
    <x:row r="22" ht="18" customHeight="1">
      <x:c r="A22" s="13" t="n">
        <x:v>42605</x:v>
      </x:c>
      <x:c r="B22" s="12" t="n">
        <x:v>3341.8298</x:v>
      </x:c>
      <x:c r="C22" s="12" t="n">
        <x:v>3336.7949</x:v>
      </x:c>
      <x:c r="D22" s="12" t="n">
        <x:v>0.1509</x:v>
      </x:c>
      <x:c r="E22" s="12" t="n">
        <x:v>0.001507765799100466</x:v>
      </x:c>
      <x:c r="F22" s="13" t="n">
        <x:v>42604</x:v>
      </x:c>
      <x:c r="G22" s="12" t="n">
        <x:v>5.18</x:v>
      </x:c>
      <x:c r="H22" s="12" t="n">
        <x:v>518</x:v>
      </x:c>
      <x:c r="I22" s="12" t="n">
        <x:v>3</x:v>
      </x:c>
      <x:c r="J22" s="12" t="n">
        <x:v>1</x:v>
      </x:c>
    </x:row>
    <x:row r="23" ht="18" customHeight="1">
      <x:c r="A23" s="13" t="n">
        <x:v>42606</x:v>
      </x:c>
      <x:c r="B23" s="12" t="n">
        <x:v>3329.8631</x:v>
      </x:c>
      <x:c r="C23" s="12" t="n">
        <x:v>3341.8298</x:v>
      </x:c>
      <x:c r="D23" s="12" t="n">
        <x:v>-0.3581</x:v>
      </x:c>
      <x:c r="E23" s="12" t="n">
        <x:v>-0.0035873092519213734</x:v>
      </x:c>
      <x:c r="F23" s="13" t="n">
        <x:v>42605</x:v>
      </x:c>
      <x:c r="G23" s="12" t="n">
        <x:v>5.14</x:v>
      </x:c>
      <x:c r="H23" s="12" t="n">
        <x:v>514</x:v>
      </x:c>
      <x:c r="I23" s="12" t="n">
        <x:v>-4</x:v>
      </x:c>
      <x:c r="J23" s="12" t="n">
        <x:v>1</x:v>
      </x:c>
    </x:row>
    <x:row r="24" ht="18" customHeight="1">
      <x:c r="A24" s="13" t="n">
        <x:v>42607</x:v>
      </x:c>
      <x:c r="B24" s="12" t="n">
        <x:v>3308.9721</x:v>
      </x:c>
      <x:c r="C24" s="12" t="n">
        <x:v>3329.8631</x:v>
      </x:c>
      <x:c r="D24" s="12" t="n">
        <x:v>-0.6274</x:v>
      </x:c>
      <x:c r="E24" s="12" t="n">
        <x:v>-0.006293594682544413</x:v>
      </x:c>
      <x:c r="F24" s="13" t="n">
        <x:v>42606</x:v>
      </x:c>
      <x:c r="G24" s="12" t="n">
        <x:v>5.13</x:v>
      </x:c>
      <x:c r="H24" s="12" t="n">
        <x:v>513</x:v>
      </x:c>
      <x:c r="I24" s="12" t="n">
        <x:v>-1</x:v>
      </x:c>
      <x:c r="J24" s="12" t="n">
        <x:v>1</x:v>
      </x:c>
    </x:row>
    <x:row r="25" ht="18" customHeight="1">
      <x:c r="A25" s="13" t="n">
        <x:v>42608</x:v>
      </x:c>
      <x:c r="B25" s="12" t="n">
        <x:v>3307.0902</x:v>
      </x:c>
      <x:c r="C25" s="12" t="n">
        <x:v>3308.9721</x:v>
      </x:c>
      <x:c r="D25" s="12" t="n">
        <x:v>-0.0569</x:v>
      </x:c>
      <x:c r="E25" s="12" t="n">
        <x:v>-0.0005688882496628478</x:v>
      </x:c>
      <x:c r="F25" s="13" t="n">
        <x:v>42607</x:v>
      </x:c>
      <x:c r="G25" s="12" t="n">
        <x:v>5.14</x:v>
      </x:c>
      <x:c r="H25" s="12" t="n">
        <x:v>514</x:v>
      </x:c>
      <x:c r="I25" s="12" t="n">
        <x:v>1</x:v>
      </x:c>
      <x:c r="J25" s="12" t="n">
        <x:v>1</x:v>
      </x:c>
    </x:row>
    <x:row r="26" ht="18" customHeight="1">
      <x:c r="A26" s="13" t="n">
        <x:v>42611</x:v>
      </x:c>
      <x:c r="B26" s="12" t="n">
        <x:v>3307.7812</x:v>
      </x:c>
      <x:c r="C26" s="12" t="n">
        <x:v>3307.0902</x:v>
      </x:c>
      <x:c r="D26" s="12" t="n">
        <x:v>0.0209</x:v>
      </x:c>
      <x:c r="E26" s="12" t="n">
        <x:v>0.00020892318557031632</x:v>
      </x:c>
      <x:c r="F26" s="13" t="n">
        <x:v>42608</x:v>
      </x:c>
      <x:c r="G26" s="12" t="n">
        <x:v>5.04</x:v>
      </x:c>
      <x:c r="H26" s="12" t="n">
        <x:v>504</x:v>
      </x:c>
      <x:c r="I26" s="12" t="n">
        <x:v>-10</x:v>
      </x:c>
      <x:c r="J26" s="12" t="n">
        <x:v>3</x:v>
      </x:c>
    </x:row>
    <x:row r="27" ht="18" customHeight="1">
      <x:c r="A27" s="13" t="n">
        <x:v>42612</x:v>
      </x:c>
      <x:c r="B27" s="12" t="n">
        <x:v>3311.9872</x:v>
      </x:c>
      <x:c r="C27" s="12" t="n">
        <x:v>3307.7812</x:v>
      </x:c>
      <x:c r="D27" s="12" t="n">
        <x:v>0.1272</x:v>
      </x:c>
      <x:c r="E27" s="12" t="n">
        <x:v>0.0012707394917260413</x:v>
      </x:c>
      <x:c r="F27" s="13" t="n">
        <x:v>42611</x:v>
      </x:c>
      <x:c r="G27" s="12" t="n">
        <x:v>5.1</x:v>
      </x:c>
      <x:c r="H27" s="12" t="n">
        <x:v>509.99999999999994</x:v>
      </x:c>
      <x:c r="I27" s="12" t="n">
        <x:v>5.999999999999943</x:v>
      </x:c>
      <x:c r="J27" s="12" t="n">
        <x:v>1</x:v>
      </x:c>
    </x:row>
    <x:row r="28" ht="18" customHeight="1">
      <x:c r="A28" s="13" t="n">
        <x:v>42613</x:v>
      </x:c>
      <x:c r="B28" s="12" t="n">
        <x:v>3327.7938</x:v>
      </x:c>
      <x:c r="C28" s="12" t="n">
        <x:v>3311.9872</x:v>
      </x:c>
      <x:c r="D28" s="12" t="n">
        <x:v>0.4773</x:v>
      </x:c>
      <x:c r="E28" s="12" t="n">
        <x:v>0.004761190123554675</x:v>
      </x:c>
      <x:c r="F28" s="13" t="n">
        <x:v>42612</x:v>
      </x:c>
      <x:c r="G28" s="12" t="n">
        <x:v>5.07</x:v>
      </x:c>
      <x:c r="H28" s="12" t="n">
        <x:v>507</x:v>
      </x:c>
      <x:c r="I28" s="12" t="n">
        <x:v>-2.999999999999943</x:v>
      </x:c>
      <x:c r="J28" s="12" t="n">
        <x:v>1</x:v>
      </x:c>
    </x:row>
    <x:row r="29" ht="18" customHeight="1">
      <x:c r="A29" s="13" t="n">
        <x:v>42614</x:v>
      </x:c>
      <x:c r="B29" s="12" t="n">
        <x:v>3301.5767</x:v>
      </x:c>
      <x:c r="C29" s="12" t="n">
        <x:v>3327.7938</x:v>
      </x:c>
      <x:c r="D29" s="12" t="n">
        <x:v>-0.7878</x:v>
      </x:c>
      <x:c r="E29" s="12" t="n">
        <x:v>-0.007909419657862729</x:v>
      </x:c>
      <x:c r="F29" s="13" t="n">
        <x:v>42613</x:v>
      </x:c>
      <x:c r="G29" s="12" t="n">
        <x:v>5.1</x:v>
      </x:c>
      <x:c r="H29" s="12" t="n">
        <x:v>509.99999999999994</x:v>
      </x:c>
      <x:c r="I29" s="12" t="n">
        <x:v>2.999999999999943</x:v>
      </x:c>
      <x:c r="J29" s="12" t="n">
        <x:v>1</x:v>
      </x:c>
    </x:row>
    <x:row r="30" ht="18" customHeight="1">
      <x:c r="A30" s="13" t="n">
        <x:v>42615</x:v>
      </x:c>
      <x:c r="B30" s="12" t="n">
        <x:v>3314.1142</x:v>
      </x:c>
      <x:c r="C30" s="12" t="n">
        <x:v>3301.5767</x:v>
      </x:c>
      <x:c r="D30" s="12" t="n">
        <x:v>0.3797</x:v>
      </x:c>
      <x:c r="E30" s="12" t="n">
        <x:v>0.003790236030935871</x:v>
      </x:c>
      <x:c r="F30" s="13" t="n">
        <x:v>42614</x:v>
      </x:c>
      <x:c r="G30" s="12" t="n">
        <x:v>5.12</x:v>
      </x:c>
      <x:c r="H30" s="12" t="n">
        <x:v>512</x:v>
      </x:c>
      <x:c r="I30" s="12" t="n">
        <x:v>2.000000000000057</x:v>
      </x:c>
      <x:c r="J30" s="12" t="n">
        <x:v>1</x:v>
      </x:c>
    </x:row>
    <x:row r="31" ht="18" customHeight="1">
      <x:c r="A31" s="13" t="n">
        <x:v>42618</x:v>
      </x:c>
      <x:c r="B31" s="12" t="n">
        <x:v>3319.6803</x:v>
      </x:c>
      <x:c r="C31" s="12" t="n">
        <x:v>3314.1142</x:v>
      </x:c>
      <x:c r="D31" s="12" t="n">
        <x:v>0.168</x:v>
      </x:c>
      <x:c r="E31" s="12" t="n">
        <x:v>0.0016781048331221168</x:v>
      </x:c>
      <x:c r="F31" s="13" t="n">
        <x:v>42615</x:v>
      </x:c>
      <x:c r="G31" s="12" t="n">
        <x:v>5.09</x:v>
      </x:c>
      <x:c r="H31" s="12" t="n">
        <x:v>509</x:v>
      </x:c>
      <x:c r="I31" s="12" t="n">
        <x:v>-3</x:v>
      </x:c>
      <x:c r="J31" s="12" t="n">
        <x:v>3</x:v>
      </x:c>
    </x:row>
    <x:row r="32" ht="18" customHeight="1">
      <x:c r="A32" s="13" t="n">
        <x:v>42619</x:v>
      </x:c>
      <x:c r="B32" s="12" t="n">
        <x:v>3342.6259</x:v>
      </x:c>
      <x:c r="C32" s="12" t="n">
        <x:v>3319.6803</x:v>
      </x:c>
      <x:c r="D32" s="12" t="n">
        <x:v>0.6912</x:v>
      </x:c>
      <x:c r="E32" s="12" t="n">
        <x:v>0.006888212590956062</x:v>
      </x:c>
      <x:c r="F32" s="13" t="n">
        <x:v>42618</x:v>
      </x:c>
      <x:c r="G32" s="12" t="n">
        <x:v>5.09</x:v>
      </x:c>
      <x:c r="H32" s="12" t="n">
        <x:v>509</x:v>
      </x:c>
      <x:c r="I32" s="12" t="n">
        <x:v>0</x:v>
      </x:c>
      <x:c r="J32" s="12" t="n">
        <x:v>1</x:v>
      </x:c>
    </x:row>
    <x:row r="33" ht="18" customHeight="1">
      <x:c r="A33" s="13" t="n">
        <x:v>42620</x:v>
      </x:c>
      <x:c r="B33" s="12" t="n">
        <x:v>3340.8172</x:v>
      </x:c>
      <x:c r="C33" s="12" t="n">
        <x:v>3342.6259</x:v>
      </x:c>
      <x:c r="D33" s="12" t="n">
        <x:v>-0.0541</x:v>
      </x:c>
      <x:c r="E33" s="12" t="n">
        <x:v>-0.0005412479816442902</x:v>
      </x:c>
      <x:c r="F33" s="13" t="n">
        <x:v>42619</x:v>
      </x:c>
      <x:c r="G33" s="12" t="n">
        <x:v>5.09</x:v>
      </x:c>
      <x:c r="H33" s="12" t="n">
        <x:v>509</x:v>
      </x:c>
      <x:c r="I33" s="12" t="n">
        <x:v>0</x:v>
      </x:c>
      <x:c r="J33" s="12" t="n">
        <x:v>1</x:v>
      </x:c>
    </x:row>
    <x:row r="34" ht="18" customHeight="1">
      <x:c r="A34" s="13" t="n">
        <x:v>42621</x:v>
      </x:c>
      <x:c r="B34" s="12" t="n">
        <x:v>3339.564</x:v>
      </x:c>
      <x:c r="C34" s="12" t="n">
        <x:v>3340.8172</x:v>
      </x:c>
      <x:c r="D34" s="12" t="n">
        <x:v>-0.0375</x:v>
      </x:c>
      <x:c r="E34" s="12" t="n">
        <x:v>-0.0003751881748008009</x:v>
      </x:c>
      <x:c r="F34" s="13" t="n">
        <x:v>42620</x:v>
      </x:c>
      <x:c r="G34" s="12" t="n">
        <x:v>5.07</x:v>
      </x:c>
      <x:c r="H34" s="12" t="n">
        <x:v>507</x:v>
      </x:c>
      <x:c r="I34" s="12" t="n">
        <x:v>-2</x:v>
      </x:c>
      <x:c r="J34" s="12" t="n">
        <x:v>1</x:v>
      </x:c>
    </x:row>
    <x:row r="35" ht="18" customHeight="1">
      <x:c r="A35" s="13" t="n">
        <x:v>42622</x:v>
      </x:c>
      <x:c r="B35" s="12" t="n">
        <x:v>3318.044</x:v>
      </x:c>
      <x:c r="C35" s="12" t="n">
        <x:v>3339.564</x:v>
      </x:c>
      <x:c r="D35" s="12" t="n">
        <x:v>-0.6444</x:v>
      </x:c>
      <x:c r="E35" s="12" t="n">
        <x:v>-0.006464806864577446</x:v>
      </x:c>
      <x:c r="F35" s="13" t="n">
        <x:v>42621</x:v>
      </x:c>
      <x:c r="G35" s="12" t="n">
        <x:v>4.99</x:v>
      </x:c>
      <x:c r="H35" s="12" t="n">
        <x:v>499</x:v>
      </x:c>
      <x:c r="I35" s="12" t="n">
        <x:v>-8</x:v>
      </x:c>
      <x:c r="J35" s="12" t="n">
        <x:v>1</x:v>
      </x:c>
    </x:row>
    <x:row r="36" ht="18" customHeight="1">
      <x:c r="A36" s="13" t="n">
        <x:v>42625</x:v>
      </x:c>
      <x:c r="B36" s="12" t="n">
        <x:v>3262.6043</x:v>
      </x:c>
      <x:c r="C36" s="12" t="n">
        <x:v>3318.044</x:v>
      </x:c>
      <x:c r="D36" s="12" t="n">
        <x:v>-1.6709</x:v>
      </x:c>
      <x:c r="E36" s="12" t="n">
        <x:v>-0.016849711194467095</x:v>
      </x:c>
      <x:c r="F36" s="13" t="n">
        <x:v>42622</x:v>
      </x:c>
      <x:c r="G36" s="12" t="n">
        <x:v>5.1</x:v>
      </x:c>
      <x:c r="H36" s="12" t="n">
        <x:v>509.99999999999994</x:v>
      </x:c>
      <x:c r="I36" s="12" t="n">
        <x:v>10.999999999999943</x:v>
      </x:c>
      <x:c r="J36" s="12" t="n">
        <x:v>3</x:v>
      </x:c>
    </x:row>
    <x:row r="37" ht="18" customHeight="1">
      <x:c r="A37" s="13" t="n">
        <x:v>42626</x:v>
      </x:c>
      <x:c r="B37" s="12" t="n">
        <x:v>3260.333</x:v>
      </x:c>
      <x:c r="C37" s="12" t="n">
        <x:v>3262.6043</x:v>
      </x:c>
      <x:c r="D37" s="12" t="n">
        <x:v>-0.0696</x:v>
      </x:c>
      <x:c r="E37" s="12" t="n">
        <x:v>-0.0006964040852559073</x:v>
      </x:c>
      <x:c r="F37" s="13" t="n">
        <x:v>42625</x:v>
      </x:c>
      <x:c r="G37" s="12" t="n">
        <x:v>5.18</x:v>
      </x:c>
      <x:c r="H37" s="12" t="n">
        <x:v>518</x:v>
      </x:c>
      <x:c r="I37" s="12" t="n">
        <x:v>8.000000000000057</x:v>
      </x:c>
      <x:c r="J37" s="12" t="n">
        <x:v>1</x:v>
      </x:c>
    </x:row>
    <x:row r="38" ht="18" customHeight="1">
      <x:c r="A38" s="13" t="n">
        <x:v>42627</x:v>
      </x:c>
      <x:c r="B38" s="12" t="n">
        <x:v>3238.7299</x:v>
      </x:c>
      <x:c r="C38" s="12" t="n">
        <x:v>3260.333</x:v>
      </x:c>
      <x:c r="D38" s="12" t="n">
        <x:v>-0.6626</x:v>
      </x:c>
      <x:c r="E38" s="12" t="n">
        <x:v>-0.006648090624313015</x:v>
      </x:c>
      <x:c r="F38" s="13" t="n">
        <x:v>42626</x:v>
      </x:c>
      <x:c r="G38" s="12" t="n">
        <x:v>5.24</x:v>
      </x:c>
      <x:c r="H38" s="12" t="n">
        <x:v>524</x:v>
      </x:c>
      <x:c r="I38" s="12" t="n">
        <x:v>6</x:v>
      </x:c>
      <x:c r="J38" s="12" t="n">
        <x:v>1</x:v>
      </x:c>
    </x:row>
    <x:row r="39" ht="18" customHeight="1">
      <x:c r="A39" s="13" t="n">
        <x:v>42632</x:v>
      </x:c>
      <x:c r="B39" s="12" t="n">
        <x:v>3263.1242</x:v>
      </x:c>
      <x:c r="C39" s="12" t="n">
        <x:v>3238.7299</x:v>
      </x:c>
      <x:c r="D39" s="12" t="n">
        <x:v>0.7532</x:v>
      </x:c>
      <x:c r="E39" s="12" t="n">
        <x:v>0.007503833241994968</x:v>
      </x:c>
      <x:c r="F39" s="13" t="n">
        <x:v>42629</x:v>
      </x:c>
      <x:c r="G39" s="12" t="n">
        <x:v>5.27</x:v>
      </x:c>
      <x:c r="H39" s="12" t="n">
        <x:v>527</x:v>
      </x:c>
      <x:c r="I39" s="12" t="n">
        <x:v>1</x:v>
      </x:c>
      <x:c r="J39" s="12" t="n">
        <x:v>3</x:v>
      </x:c>
    </x:row>
    <x:row r="40" ht="18" customHeight="1">
      <x:c r="A40" s="13" t="n">
        <x:v>42633</x:v>
      </x:c>
      <x:c r="B40" s="12" t="n">
        <x:v>3257.4034</x:v>
      </x:c>
      <x:c r="C40" s="12" t="n">
        <x:v>3263.1242</x:v>
      </x:c>
      <x:c r="D40" s="12" t="n">
        <x:v>-0.1753</x:v>
      </x:c>
      <x:c r="E40" s="12" t="n">
        <x:v>-0.0017547050848636815</x:v>
      </x:c>
      <x:c r="F40" s="13" t="n">
        <x:v>42632</x:v>
      </x:c>
      <x:c r="G40" s="12" t="n">
        <x:v>5.25</x:v>
      </x:c>
      <x:c r="H40" s="12" t="n">
        <x:v>525</x:v>
      </x:c>
      <x:c r="I40" s="12" t="n">
        <x:v>-2</x:v>
      </x:c>
      <x:c r="J40" s="12" t="n">
        <x:v>1</x:v>
      </x:c>
    </x:row>
    <x:row r="41" ht="18" customHeight="1">
      <x:c r="A41" s="13" t="n">
        <x:v>42634</x:v>
      </x:c>
      <x:c r="B41" s="12" t="n">
        <x:v>3266.6363</x:v>
      </x:c>
      <x:c r="C41" s="12" t="n">
        <x:v>3257.4034</x:v>
      </x:c>
      <x:c r="D41" s="12" t="n">
        <x:v>0.2834</x:v>
      </x:c>
      <x:c r="E41" s="12" t="n">
        <x:v>0.0028304261128174898</x:v>
      </x:c>
      <x:c r="F41" s="13" t="n">
        <x:v>42633</x:v>
      </x:c>
      <x:c r="G41" s="12" t="n">
        <x:v>5.24</x:v>
      </x:c>
      <x:c r="H41" s="12" t="n">
        <x:v>524</x:v>
      </x:c>
      <x:c r="I41" s="12" t="n">
        <x:v>-1</x:v>
      </x:c>
      <x:c r="J41" s="12" t="n">
        <x:v>1</x:v>
      </x:c>
    </x:row>
    <x:row r="42" ht="18" customHeight="1">
      <x:c r="A42" s="13" t="n">
        <x:v>42635</x:v>
      </x:c>
      <x:c r="B42" s="12" t="n">
        <x:v>3291.1211</x:v>
      </x:c>
      <x:c r="C42" s="12" t="n">
        <x:v>3266.6363</x:v>
      </x:c>
      <x:c r="D42" s="12" t="n">
        <x:v>0.7495</x:v>
      </x:c>
      <x:c r="E42" s="12" t="n">
        <x:v>0.007467465563396537</x:v>
      </x:c>
      <x:c r="F42" s="13" t="n">
        <x:v>42634</x:v>
      </x:c>
      <x:c r="G42" s="12" t="n">
        <x:v>5.22</x:v>
      </x:c>
      <x:c r="H42" s="12" t="n">
        <x:v>522</x:v>
      </x:c>
      <x:c r="I42" s="12" t="n">
        <x:v>-2</x:v>
      </x:c>
      <x:c r="J42" s="12" t="n">
        <x:v>1</x:v>
      </x:c>
    </x:row>
    <x:row r="43" ht="18" customHeight="1">
      <x:c r="A43" s="13" t="n">
        <x:v>42636</x:v>
      </x:c>
      <x:c r="B43" s="12" t="n">
        <x:v>3275.6665</x:v>
      </x:c>
      <x:c r="C43" s="12" t="n">
        <x:v>3291.1211</x:v>
      </x:c>
      <x:c r="D43" s="12" t="n">
        <x:v>-0.4696</x:v>
      </x:c>
      <x:c r="E43" s="12" t="n">
        <x:v>-0.004706906778287755</x:v>
      </x:c>
      <x:c r="F43" s="13" t="n">
        <x:v>42635</x:v>
      </x:c>
      <x:c r="G43" s="12" t="n">
        <x:v>5.09</x:v>
      </x:c>
      <x:c r="H43" s="12" t="n">
        <x:v>509</x:v>
      </x:c>
      <x:c r="I43" s="12" t="n">
        <x:v>-13</x:v>
      </x:c>
      <x:c r="J43" s="12" t="n">
        <x:v>1</x:v>
      </x:c>
    </x:row>
    <x:row r="44" ht="18" customHeight="1">
      <x:c r="A44" s="13" t="n">
        <x:v>42639</x:v>
      </x:c>
      <x:c r="B44" s="12" t="n">
        <x:v>3220.2838</x:v>
      </x:c>
      <x:c r="C44" s="12" t="n">
        <x:v>3275.6665</x:v>
      </x:c>
      <x:c r="D44" s="12" t="n">
        <x:v>-1.6907</x:v>
      </x:c>
      <x:c r="E44" s="12" t="n">
        <x:v>-0.017051867513477082</x:v>
      </x:c>
      <x:c r="F44" s="13" t="n">
        <x:v>42636</x:v>
      </x:c>
      <x:c r="G44" s="12" t="n">
        <x:v>5.1</x:v>
      </x:c>
      <x:c r="H44" s="12" t="n">
        <x:v>509.99999999999994</x:v>
      </x:c>
      <x:c r="I44" s="12" t="n">
        <x:v>0.9999999999999432</x:v>
      </x:c>
      <x:c r="J44" s="12" t="n">
        <x:v>3</x:v>
      </x:c>
    </x:row>
    <x:row r="45" ht="18" customHeight="1">
      <x:c r="A45" s="13" t="n">
        <x:v>42640</x:v>
      </x:c>
      <x:c r="B45" s="12" t="n">
        <x:v>3240.7546</x:v>
      </x:c>
      <x:c r="C45" s="12" t="n">
        <x:v>3220.2838</x:v>
      </x:c>
      <x:c r="D45" s="12" t="n">
        <x:v>0.6357</x:v>
      </x:c>
      <x:c r="E45" s="12" t="n">
        <x:v>0.00633671160304996</x:v>
      </x:c>
      <x:c r="F45" s="13" t="n">
        <x:v>42639</x:v>
      </x:c>
      <x:c r="G45" s="12" t="n">
        <x:v>5.16</x:v>
      </x:c>
      <x:c r="H45" s="12" t="n">
        <x:v>516</x:v>
      </x:c>
      <x:c r="I45" s="12" t="n">
        <x:v>6.000000000000057</x:v>
      </x:c>
      <x:c r="J45" s="12" t="n">
        <x:v>1</x:v>
      </x:c>
    </x:row>
    <x:row r="46" ht="18" customHeight="1">
      <x:c r="A46" s="13" t="n">
        <x:v>42641</x:v>
      </x:c>
      <x:c r="B46" s="12" t="n">
        <x:v>3230.8904</x:v>
      </x:c>
      <x:c r="C46" s="12" t="n">
        <x:v>3240.7546</x:v>
      </x:c>
      <x:c r="D46" s="12" t="n">
        <x:v>-0.3044</x:v>
      </x:c>
      <x:c r="E46" s="12" t="n">
        <x:v>-0.0030484390410734077</x:v>
      </x:c>
      <x:c r="F46" s="13" t="n">
        <x:v>42640</x:v>
      </x:c>
      <x:c r="G46" s="12" t="n">
        <x:v>5.18</x:v>
      </x:c>
      <x:c r="H46" s="12" t="n">
        <x:v>518</x:v>
      </x:c>
      <x:c r="I46" s="12" t="n">
        <x:v>2</x:v>
      </x:c>
      <x:c r="J46" s="12" t="n">
        <x:v>1</x:v>
      </x:c>
    </x:row>
    <x:row r="47" ht="18" customHeight="1">
      <x:c r="A47" s="13" t="n">
        <x:v>42642</x:v>
      </x:c>
      <x:c r="B47" s="12" t="n">
        <x:v>3244.3874</x:v>
      </x:c>
      <x:c r="C47" s="12" t="n">
        <x:v>3230.8904</x:v>
      </x:c>
      <x:c r="D47" s="12" t="n">
        <x:v>0.4177</x:v>
      </x:c>
      <x:c r="E47" s="12" t="n">
        <x:v>0.004168784711216974</x:v>
      </x:c>
      <x:c r="F47" s="13" t="n">
        <x:v>42641</x:v>
      </x:c>
      <x:c r="G47" s="12" t="n">
        <x:v>5.14</x:v>
      </x:c>
      <x:c r="H47" s="12" t="n">
        <x:v>514</x:v>
      </x:c>
      <x:c r="I47" s="12" t="n">
        <x:v>-4</x:v>
      </x:c>
      <x:c r="J47" s="12" t="n">
        <x:v>1</x:v>
      </x:c>
    </x:row>
    <x:row r="48" ht="18" customHeight="1">
      <x:c r="A48" s="13" t="n">
        <x:v>42643</x:v>
      </x:c>
      <x:c r="B48" s="12" t="n">
        <x:v>3253.2848</x:v>
      </x:c>
      <x:c r="C48" s="12" t="n">
        <x:v>3244.3874</x:v>
      </x:c>
      <x:c r="D48" s="12" t="n">
        <x:v>0.2742</x:v>
      </x:c>
      <x:c r="E48" s="12" t="n">
        <x:v>0.00273864402116231</x:v>
      </x:c>
      <x:c r="F48" s="13" t="n">
        <x:v>42642</x:v>
      </x:c>
      <x:c r="G48" s="12" t="n">
        <x:v>5.09</x:v>
      </x:c>
      <x:c r="H48" s="12" t="n">
        <x:v>509</x:v>
      </x:c>
      <x:c r="I48" s="12" t="n">
        <x:v>-5</x:v>
      </x:c>
      <x:c r="J48" s="12" t="n">
        <x:v>1</x:v>
      </x:c>
    </x:row>
    <x:row r="49" ht="18" customHeight="1">
      <x:c r="A49" s="13" t="n">
        <x:v>42653</x:v>
      </x:c>
      <x:c r="B49" s="12" t="n">
        <x:v>3293.8689</x:v>
      </x:c>
      <x:c r="C49" s="12" t="n">
        <x:v>3253.2848</x:v>
      </x:c>
      <x:c r="D49" s="12" t="n">
        <x:v>1.2475</x:v>
      </x:c>
      <x:c r="E49" s="12" t="n">
        <x:v>0.012397637714891285</x:v>
      </x:c>
      <x:c r="F49" s="13" t="n">
        <x:v>42650</x:v>
      </x:c>
      <x:c r="G49" s="12" t="n">
        <x:v>4.76</x:v>
      </x:c>
      <x:c r="H49" s="12" t="n">
        <x:v>476</x:v>
      </x:c>
      <x:c r="I49" s="12" t="n">
        <x:v>1</x:v>
      </x:c>
      <x:c r="J49" s="12" t="n">
        <x:v>3</x:v>
      </x:c>
    </x:row>
    <x:row r="50" ht="18" customHeight="1">
      <x:c r="A50" s="13" t="n">
        <x:v>42654</x:v>
      </x:c>
      <x:c r="B50" s="12" t="n">
        <x:v>3306.5573</x:v>
      </x:c>
      <x:c r="C50" s="12" t="n">
        <x:v>3293.8689</x:v>
      </x:c>
      <x:c r="D50" s="12" t="n">
        <x:v>0.3852</x:v>
      </x:c>
      <x:c r="E50" s="12" t="n">
        <x:v>0.003844726157200156</x:v>
      </x:c>
      <x:c r="F50" s="13" t="n">
        <x:v>42653</x:v>
      </x:c>
      <x:c r="G50" s="12" t="n">
        <x:v>4.76</x:v>
      </x:c>
      <x:c r="H50" s="12" t="n">
        <x:v>476</x:v>
      </x:c>
      <x:c r="I50" s="12" t="n">
        <x:v>0</x:v>
      </x:c>
      <x:c r="J50" s="12" t="n">
        <x:v>1</x:v>
      </x:c>
    </x:row>
    <x:row r="51" ht="18" customHeight="1">
      <x:c r="A51" s="13" t="n">
        <x:v>42655</x:v>
      </x:c>
      <x:c r="B51" s="12" t="n">
        <x:v>3300.0099</x:v>
      </x:c>
      <x:c r="C51" s="12" t="n">
        <x:v>3306.5573</x:v>
      </x:c>
      <x:c r="D51" s="12" t="n">
        <x:v>-0.198</x:v>
      </x:c>
      <x:c r="E51" s="12" t="n">
        <x:v>-0.0019820890169864208</x:v>
      </x:c>
      <x:c r="F51" s="13" t="n">
        <x:v>42654</x:v>
      </x:c>
      <x:c r="G51" s="12" t="n">
        <x:v>4.75</x:v>
      </x:c>
      <x:c r="H51" s="12" t="n">
        <x:v>475</x:v>
      </x:c>
      <x:c r="I51" s="12" t="n">
        <x:v>-1</x:v>
      </x:c>
      <x:c r="J51" s="12" t="n">
        <x:v>1</x:v>
      </x:c>
    </x:row>
    <x:row r="52" ht="18" customHeight="1">
      <x:c r="A52" s="13" t="n">
        <x:v>42656</x:v>
      </x:c>
      <x:c r="B52" s="12" t="n">
        <x:v>3302.6455</x:v>
      </x:c>
      <x:c r="C52" s="12" t="n">
        <x:v>3300.0099</x:v>
      </x:c>
      <x:c r="D52" s="12" t="n">
        <x:v>0.0799</x:v>
      </x:c>
      <x:c r="E52" s="12" t="n">
        <x:v>0.0007983455080768248</x:v>
      </x:c>
      <x:c r="F52" s="13" t="n">
        <x:v>42655</x:v>
      </x:c>
      <x:c r="G52" s="12" t="n">
        <x:v>4.75</x:v>
      </x:c>
      <x:c r="H52" s="12" t="n">
        <x:v>475</x:v>
      </x:c>
      <x:c r="I52" s="12" t="n">
        <x:v>0</x:v>
      </x:c>
      <x:c r="J52" s="12" t="n">
        <x:v>1</x:v>
      </x:c>
    </x:row>
    <x:row r="53" ht="18" customHeight="1">
      <x:c r="A53" s="13" t="n">
        <x:v>42657</x:v>
      </x:c>
      <x:c r="B53" s="12" t="n">
        <x:v>3305.8481</x:v>
      </x:c>
      <x:c r="C53" s="12" t="n">
        <x:v>3302.6455</x:v>
      </x:c>
      <x:c r="D53" s="12" t="n">
        <x:v>0.097</x:v>
      </x:c>
      <x:c r="E53" s="12" t="n">
        <x:v>0.0009692376037757813</x:v>
      </x:c>
      <x:c r="F53" s="13" t="n">
        <x:v>42656</x:v>
      </x:c>
      <x:c r="G53" s="12" t="n">
        <x:v>4.82</x:v>
      </x:c>
      <x:c r="H53" s="12" t="n">
        <x:v>482</x:v>
      </x:c>
      <x:c r="I53" s="12" t="n">
        <x:v>7</x:v>
      </x:c>
      <x:c r="J53" s="12" t="n">
        <x:v>1</x:v>
      </x:c>
    </x:row>
    <x:row r="54" ht="18" customHeight="1">
      <x:c r="A54" s="13" t="n">
        <x:v>42660</x:v>
      </x:c>
      <x:c r="B54" s="12" t="n">
        <x:v>3277.8787</x:v>
      </x:c>
      <x:c r="C54" s="12" t="n">
        <x:v>3305.8481</x:v>
      </x:c>
      <x:c r="D54" s="12" t="n">
        <x:v>-0.8461</x:v>
      </x:c>
      <x:c r="E54" s="12" t="n">
        <x:v>-0.008496576213721017</x:v>
      </x:c>
      <x:c r="F54" s="13" t="n">
        <x:v>42657</x:v>
      </x:c>
      <x:c r="G54" s="12" t="n">
        <x:v>4.72</x:v>
      </x:c>
      <x:c r="H54" s="12" t="n">
        <x:v>472</x:v>
      </x:c>
      <x:c r="I54" s="12" t="n">
        <x:v>-10</x:v>
      </x:c>
      <x:c r="J54" s="12" t="n">
        <x:v>3</x:v>
      </x:c>
    </x:row>
    <x:row r="55" ht="18" customHeight="1">
      <x:c r="A55" s="13" t="n">
        <x:v>42661</x:v>
      </x:c>
      <x:c r="B55" s="12" t="n">
        <x:v>3321.3324</x:v>
      </x:c>
      <x:c r="C55" s="12" t="n">
        <x:v>3277.8787</x:v>
      </x:c>
      <x:c r="D55" s="12" t="n">
        <x:v>1.3257</x:v>
      </x:c>
      <x:c r="E55" s="12" t="n">
        <x:v>0.013169552354076618</x:v>
      </x:c>
      <x:c r="F55" s="13" t="n">
        <x:v>42660</x:v>
      </x:c>
      <x:c r="G55" s="12" t="n">
        <x:v>4.76</x:v>
      </x:c>
      <x:c r="H55" s="12" t="n">
        <x:v>476</x:v>
      </x:c>
      <x:c r="I55" s="12" t="n">
        <x:v>4</x:v>
      </x:c>
      <x:c r="J55" s="12" t="n">
        <x:v>1</x:v>
      </x:c>
    </x:row>
    <x:row r="56" ht="18" customHeight="1">
      <x:c r="A56" s="13" t="n">
        <x:v>42662</x:v>
      </x:c>
      <x:c r="B56" s="12" t="n">
        <x:v>3316.2407</x:v>
      </x:c>
      <x:c r="C56" s="12" t="n">
        <x:v>3321.3324</x:v>
      </x:c>
      <x:c r="D56" s="12" t="n">
        <x:v>-0.1533</x:v>
      </x:c>
      <x:c r="E56" s="12" t="n">
        <x:v>-0.0015342056266713757</x:v>
      </x:c>
      <x:c r="F56" s="13" t="n">
        <x:v>42661</x:v>
      </x:c>
      <x:c r="G56" s="12" t="n">
        <x:v>4.72</x:v>
      </x:c>
      <x:c r="H56" s="12" t="n">
        <x:v>472</x:v>
      </x:c>
      <x:c r="I56" s="12" t="n">
        <x:v>-4</x:v>
      </x:c>
      <x:c r="J56" s="12" t="n">
        <x:v>1</x:v>
      </x:c>
    </x:row>
    <x:row r="57" ht="18" customHeight="1">
      <x:c r="A57" s="13" t="n">
        <x:v>42663</x:v>
      </x:c>
      <x:c r="B57" s="12" t="n">
        <x:v>3318.6044</x:v>
      </x:c>
      <x:c r="C57" s="12" t="n">
        <x:v>3316.2407</x:v>
      </x:c>
      <x:c r="D57" s="12" t="n">
        <x:v>0.0713</x:v>
      </x:c>
      <x:c r="E57" s="12" t="n">
        <x:v>0.0007125110125025173</x:v>
      </x:c>
      <x:c r="F57" s="13" t="n">
        <x:v>42662</x:v>
      </x:c>
      <x:c r="G57" s="12" t="n">
        <x:v>4.66</x:v>
      </x:c>
      <x:c r="H57" s="12" t="n">
        <x:v>466</x:v>
      </x:c>
      <x:c r="I57" s="12" t="n">
        <x:v>-6</x:v>
      </x:c>
      <x:c r="J57" s="12" t="n">
        <x:v>1</x:v>
      </x:c>
    </x:row>
    <x:row r="58" ht="18" customHeight="1">
      <x:c r="A58" s="13" t="n">
        <x:v>42664</x:v>
      </x:c>
      <x:c r="B58" s="12" t="n">
        <x:v>3327.74</x:v>
      </x:c>
      <x:c r="C58" s="12" t="n">
        <x:v>3318.6044</x:v>
      </x:c>
      <x:c r="D58" s="12" t="n">
        <x:v>0.2753</x:v>
      </x:c>
      <x:c r="E58" s="12" t="n">
        <x:v>0.0027490618010714697</x:v>
      </x:c>
      <x:c r="F58" s="13" t="n">
        <x:v>42663</x:v>
      </x:c>
      <x:c r="G58" s="12" t="n">
        <x:v>4.62</x:v>
      </x:c>
      <x:c r="H58" s="12" t="n">
        <x:v>462</x:v>
      </x:c>
      <x:c r="I58" s="12" t="n">
        <x:v>-4</x:v>
      </x:c>
      <x:c r="J58" s="12" t="n">
        <x:v>1</x:v>
      </x:c>
    </x:row>
    <x:row r="59" ht="18" customHeight="1">
      <x:c r="A59" s="13" t="n">
        <x:v>42667</x:v>
      </x:c>
      <x:c r="B59" s="12" t="n">
        <x:v>3367.5778</x:v>
      </x:c>
      <x:c r="C59" s="12" t="n">
        <x:v>3327.74</x:v>
      </x:c>
      <x:c r="D59" s="12" t="n">
        <x:v>1.1971</x:v>
      </x:c>
      <x:c r="E59" s="12" t="n">
        <x:v>0.01190033732074127</x:v>
      </x:c>
      <x:c r="F59" s="13" t="n">
        <x:v>42664</x:v>
      </x:c>
      <x:c r="G59" s="12" t="n">
        <x:v>4.62</x:v>
      </x:c>
      <x:c r="H59" s="12" t="n">
        <x:v>462</x:v>
      </x:c>
      <x:c r="I59" s="12" t="n">
        <x:v>0</x:v>
      </x:c>
      <x:c r="J59" s="12" t="n">
        <x:v>3</x:v>
      </x:c>
    </x:row>
    <x:row r="60" ht="18" customHeight="1">
      <x:c r="A60" s="13" t="n">
        <x:v>42668</x:v>
      </x:c>
      <x:c r="B60" s="12" t="n">
        <x:v>3367.4547</x:v>
      </x:c>
      <x:c r="C60" s="12" t="n">
        <x:v>3367.5778</x:v>
      </x:c>
      <x:c r="D60" s="12" t="n">
        <x:v>-0.0037</x:v>
      </x:c>
      <x:c r="E60" s="12" t="n">
        <x:v>-0.00003655513169800312</x:v>
      </x:c>
      <x:c r="F60" s="13" t="n">
        <x:v>42667</x:v>
      </x:c>
      <x:c r="G60" s="12" t="n">
        <x:v>4.6</x:v>
      </x:c>
      <x:c r="H60" s="12" t="n">
        <x:v>459.99999999999994</x:v>
      </x:c>
      <x:c r="I60" s="12" t="n">
        <x:v>-2.000000000000057</x:v>
      </x:c>
      <x:c r="J60" s="12" t="n">
        <x:v>1</x:v>
      </x:c>
    </x:row>
    <x:row r="61" ht="18" customHeight="1">
      <x:c r="A61" s="13" t="n">
        <x:v>42669</x:v>
      </x:c>
      <x:c r="B61" s="12" t="n">
        <x:v>3354.8003</x:v>
      </x:c>
      <x:c r="C61" s="12" t="n">
        <x:v>3367.4547</x:v>
      </x:c>
      <x:c r="D61" s="12" t="n">
        <x:v>-0.3758</x:v>
      </x:c>
      <x:c r="E61" s="12" t="n">
        <x:v>-0.0037649315438644418</x:v>
      </x:c>
      <x:c r="F61" s="13" t="n">
        <x:v>42668</x:v>
      </x:c>
      <x:c r="G61" s="12" t="n">
        <x:v>4.6</x:v>
      </x:c>
      <x:c r="H61" s="12" t="n">
        <x:v>459.99999999999994</x:v>
      </x:c>
      <x:c r="I61" s="12" t="n">
        <x:v>0</x:v>
      </x:c>
      <x:c r="J61" s="12" t="n">
        <x:v>1</x:v>
      </x:c>
    </x:row>
    <x:row r="62" ht="18" customHeight="1">
      <x:c r="A62" s="13" t="n">
        <x:v>42670</x:v>
      </x:c>
      <x:c r="B62" s="12" t="n">
        <x:v>3345.695</x:v>
      </x:c>
      <x:c r="C62" s="12" t="n">
        <x:v>3354.8003</x:v>
      </x:c>
      <x:c r="D62" s="12" t="n">
        <x:v>-0.2714</x:v>
      </x:c>
      <x:c r="E62" s="12" t="n">
        <x:v>-0.002717800758593384</x:v>
      </x:c>
      <x:c r="F62" s="13" t="n">
        <x:v>42669</x:v>
      </x:c>
      <x:c r="G62" s="12" t="n">
        <x:v>4.66</x:v>
      </x:c>
      <x:c r="H62" s="12" t="n">
        <x:v>466</x:v>
      </x:c>
      <x:c r="I62" s="12" t="n">
        <x:v>6.000000000000057</x:v>
      </x:c>
      <x:c r="J62" s="12" t="n">
        <x:v>1</x:v>
      </x:c>
    </x:row>
    <x:row r="63" ht="18" customHeight="1">
      <x:c r="A63" s="13" t="n">
        <x:v>42671</x:v>
      </x:c>
      <x:c r="B63" s="12" t="n">
        <x:v>3340.1262</x:v>
      </x:c>
      <x:c r="C63" s="12" t="n">
        <x:v>3345.695</x:v>
      </x:c>
      <x:c r="D63" s="12" t="n">
        <x:v>-0.1664</x:v>
      </x:c>
      <x:c r="E63" s="12" t="n">
        <x:v>-0.0016658540876975168</x:v>
      </x:c>
      <x:c r="F63" s="13" t="n">
        <x:v>42670</x:v>
      </x:c>
      <x:c r="G63" s="12" t="n">
        <x:v>4.69</x:v>
      </x:c>
      <x:c r="H63" s="12" t="n">
        <x:v>469.00000000000006</x:v>
      </x:c>
      <x:c r="I63" s="12" t="n">
        <x:v>3.000000000000057</x:v>
      </x:c>
      <x:c r="J63" s="12" t="n">
        <x:v>1</x:v>
      </x:c>
    </x:row>
    <x:row r="64" ht="18" customHeight="1">
      <x:c r="A64" s="13" t="n">
        <x:v>42674</x:v>
      </x:c>
      <x:c r="B64" s="12" t="n">
        <x:v>3336.2778</x:v>
      </x:c>
      <x:c r="C64" s="12" t="n">
        <x:v>3340.1262</x:v>
      </x:c>
      <x:c r="D64" s="12" t="n">
        <x:v>-0.1152</x:v>
      </x:c>
      <x:c r="E64" s="12" t="n">
        <x:v>-0.0011528362951734367</x:v>
      </x:c>
      <x:c r="F64" s="13" t="n">
        <x:v>42671</x:v>
      </x:c>
      <x:c r="G64" s="12" t="n">
        <x:v>4.76</x:v>
      </x:c>
      <x:c r="H64" s="12" t="n">
        <x:v>476</x:v>
      </x:c>
      <x:c r="I64" s="12" t="n">
        <x:v>6.999999999999943</x:v>
      </x:c>
      <x:c r="J64" s="12" t="n">
        <x:v>3</x:v>
      </x:c>
    </x:row>
    <x:row r="65" ht="18" customHeight="1">
      <x:c r="A65" s="13" t="n">
        <x:v>42675</x:v>
      </x:c>
      <x:c r="B65" s="12" t="n">
        <x:v>3359.0515</x:v>
      </x:c>
      <x:c r="C65" s="12" t="n">
        <x:v>3336.2778</x:v>
      </x:c>
      <x:c r="D65" s="12" t="n">
        <x:v>0.6826</x:v>
      </x:c>
      <x:c r="E65" s="12" t="n">
        <x:v>0.006802888045893891</x:v>
      </x:c>
      <x:c r="F65" s="13" t="n">
        <x:v>42674</x:v>
      </x:c>
      <x:c r="G65" s="12" t="n">
        <x:v>4.91</x:v>
      </x:c>
      <x:c r="H65" s="12" t="n">
        <x:v>491</x:v>
      </x:c>
      <x:c r="I65" s="12" t="n">
        <x:v>15</x:v>
      </x:c>
      <x:c r="J65" s="12" t="n">
        <x:v>1</x:v>
      </x:c>
    </x:row>
    <x:row r="66" ht="18" customHeight="1">
      <x:c r="A66" s="13" t="n">
        <x:v>42676</x:v>
      </x:c>
      <x:c r="B66" s="12" t="n">
        <x:v>3333.3524</x:v>
      </x:c>
      <x:c r="C66" s="12" t="n">
        <x:v>3359.0515</x:v>
      </x:c>
      <x:c r="D66" s="12" t="n">
        <x:v>-0.7651</x:v>
      </x:c>
      <x:c r="E66" s="12" t="n">
        <x:v>-0.007680118147076697</x:v>
      </x:c>
      <x:c r="F66" s="13" t="n">
        <x:v>42675</x:v>
      </x:c>
      <x:c r="G66" s="12" t="n">
        <x:v>5.05</x:v>
      </x:c>
      <x:c r="H66" s="12" t="n">
        <x:v>505</x:v>
      </x:c>
      <x:c r="I66" s="12" t="n">
        <x:v>14</x:v>
      </x:c>
      <x:c r="J66" s="12" t="n">
        <x:v>1</x:v>
      </x:c>
    </x:row>
    <x:row r="67" ht="18" customHeight="1">
      <x:c r="A67" s="13" t="n">
        <x:v>42677</x:v>
      </x:c>
      <x:c r="B67" s="12" t="n">
        <x:v>3365.085</x:v>
      </x:c>
      <x:c r="C67" s="12" t="n">
        <x:v>3333.3524</x:v>
      </x:c>
      <x:c r="D67" s="12" t="n">
        <x:v>0.952</x:v>
      </x:c>
      <x:c r="E67" s="12" t="n">
        <x:v>0.00947469849780264</x:v>
      </x:c>
      <x:c r="F67" s="13" t="n">
        <x:v>42676</x:v>
      </x:c>
      <x:c r="G67" s="12" t="n">
        <x:v>5.15</x:v>
      </x:c>
      <x:c r="H67" s="12" t="n">
        <x:v>515</x:v>
      </x:c>
      <x:c r="I67" s="12" t="n">
        <x:v>10</x:v>
      </x:c>
      <x:c r="J67" s="12" t="n">
        <x:v>1</x:v>
      </x:c>
    </x:row>
    <x:row r="68" ht="18" customHeight="1">
      <x:c r="A68" s="13" t="n">
        <x:v>42678</x:v>
      </x:c>
      <x:c r="B68" s="12" t="n">
        <x:v>3354.1749</x:v>
      </x:c>
      <x:c r="C68" s="12" t="n">
        <x:v>3365.085</x:v>
      </x:c>
      <x:c r="D68" s="12" t="n">
        <x:v>-0.3242</x:v>
      </x:c>
      <x:c r="E68" s="12" t="n">
        <x:v>-0.003247414075435183</x:v>
      </x:c>
      <x:c r="F68" s="13" t="n">
        <x:v>42677</x:v>
      </x:c>
      <x:c r="G68" s="12" t="n">
        <x:v>5.15</x:v>
      </x:c>
      <x:c r="H68" s="12" t="n">
        <x:v>515</x:v>
      </x:c>
      <x:c r="I68" s="12" t="n">
        <x:v>0</x:v>
      </x:c>
      <x:c r="J68" s="12" t="n">
        <x:v>1</x:v>
      </x:c>
    </x:row>
    <x:row r="69" ht="18" customHeight="1">
      <x:c r="A69" s="13" t="n">
        <x:v>42681</x:v>
      </x:c>
      <x:c r="B69" s="12" t="n">
        <x:v>3356.5916</x:v>
      </x:c>
      <x:c r="C69" s="12" t="n">
        <x:v>3354.1749</x:v>
      </x:c>
      <x:c r="D69" s="12" t="n">
        <x:v>0.0721</x:v>
      </x:c>
      <x:c r="E69" s="12" t="n">
        <x:v>0.0007202456245417308</x:v>
      </x:c>
      <x:c r="F69" s="13" t="n">
        <x:v>42678</x:v>
      </x:c>
      <x:c r="G69" s="12" t="n">
        <x:v>5.2</x:v>
      </x:c>
      <x:c r="H69" s="12" t="n">
        <x:v>520</x:v>
      </x:c>
      <x:c r="I69" s="12" t="n">
        <x:v>5</x:v>
      </x:c>
      <x:c r="J69" s="12" t="n">
        <x:v>3</x:v>
      </x:c>
    </x:row>
    <x:row r="70" ht="18" customHeight="1">
      <x:c r="A70" s="13" t="n">
        <x:v>42682</x:v>
      </x:c>
      <x:c r="B70" s="12" t="n">
        <x:v>3371.1177</x:v>
      </x:c>
      <x:c r="C70" s="12" t="n">
        <x:v>3356.5916</x:v>
      </x:c>
      <x:c r="D70" s="12" t="n">
        <x:v>0.4328</x:v>
      </x:c>
      <x:c r="E70" s="12" t="n">
        <x:v>0.004318296741261629</x:v>
      </x:c>
      <x:c r="F70" s="13" t="n">
        <x:v>42681</x:v>
      </x:c>
      <x:c r="G70" s="12" t="n">
        <x:v>5.01</x:v>
      </x:c>
      <x:c r="H70" s="12" t="n">
        <x:v>501</x:v>
      </x:c>
      <x:c r="I70" s="12" t="n">
        <x:v>-19</x:v>
      </x:c>
      <x:c r="J70" s="12" t="n">
        <x:v>1</x:v>
      </x:c>
    </x:row>
    <x:row r="71" ht="18" customHeight="1">
      <x:c r="A71" s="13" t="n">
        <x:v>42683</x:v>
      </x:c>
      <x:c r="B71" s="12" t="n">
        <x:v>3353.0547</x:v>
      </x:c>
      <x:c r="C71" s="12" t="n">
        <x:v>3371.1177</x:v>
      </x:c>
      <x:c r="D71" s="12" t="n">
        <x:v>-0.5358</x:v>
      </x:c>
      <x:c r="E71" s="12" t="n">
        <x:v>-0.0053725699978424205</x:v>
      </x:c>
      <x:c r="F71" s="13" t="n">
        <x:v>42682</x:v>
      </x:c>
      <x:c r="G71" s="12" t="n">
        <x:v>4.98</x:v>
      </x:c>
      <x:c r="H71" s="12" t="n">
        <x:v>498.00000000000006</x:v>
      </x:c>
      <x:c r="I71" s="12" t="n">
        <x:v>-2.999999999999943</x:v>
      </x:c>
      <x:c r="J71" s="12" t="n">
        <x:v>1</x:v>
      </x:c>
    </x:row>
    <x:row r="72" ht="18" customHeight="1">
      <x:c r="A72" s="13" t="n">
        <x:v>42684</x:v>
      </x:c>
      <x:c r="B72" s="12" t="n">
        <x:v>3390.6119</x:v>
      </x:c>
      <x:c r="C72" s="12" t="n">
        <x:v>3353.0547</x:v>
      </x:c>
      <x:c r="D72" s="12" t="n">
        <x:v>1.1201</x:v>
      </x:c>
      <x:c r="E72" s="12" t="n">
        <x:v>0.01113862547894849</x:v>
      </x:c>
      <x:c r="F72" s="13" t="n">
        <x:v>42683</x:v>
      </x:c>
      <x:c r="G72" s="12" t="n">
        <x:v>4.94</x:v>
      </x:c>
      <x:c r="H72" s="12" t="n">
        <x:v>494.00000000000006</x:v>
      </x:c>
      <x:c r="I72" s="12" t="n">
        <x:v>-4</x:v>
      </x:c>
      <x:c r="J72" s="12" t="n">
        <x:v>1</x:v>
      </x:c>
    </x:row>
    <x:row r="73" ht="18" customHeight="1">
      <x:c r="A73" s="13" t="n">
        <x:v>42685</x:v>
      </x:c>
      <x:c r="B73" s="12" t="n">
        <x:v>3417.2211</x:v>
      </x:c>
      <x:c r="C73" s="12" t="n">
        <x:v>3390.6119</x:v>
      </x:c>
      <x:c r="D73" s="12" t="n">
        <x:v>0.7848</x:v>
      </x:c>
      <x:c r="E73" s="12" t="n">
        <x:v>0.007817270343318574</x:v>
      </x:c>
      <x:c r="F73" s="13" t="n">
        <x:v>42684</x:v>
      </x:c>
      <x:c r="G73" s="12" t="n">
        <x:v>4.97</x:v>
      </x:c>
      <x:c r="H73" s="12" t="n">
        <x:v>497</x:v>
      </x:c>
      <x:c r="I73" s="12" t="n">
        <x:v>2.999999999999943</x:v>
      </x:c>
      <x:c r="J73" s="12" t="n">
        <x:v>1</x:v>
      </x:c>
    </x:row>
    <x:row r="74" ht="18" customHeight="1">
      <x:c r="A74" s="13" t="n">
        <x:v>42688</x:v>
      </x:c>
      <x:c r="B74" s="12" t="n">
        <x:v>3430.2482</x:v>
      </x:c>
      <x:c r="C74" s="12" t="n">
        <x:v>3417.2211</x:v>
      </x:c>
      <x:c r="D74" s="12" t="n">
        <x:v>0.3812</x:v>
      </x:c>
      <x:c r="E74" s="12" t="n">
        <x:v>0.0038049431537427606</x:v>
      </x:c>
      <x:c r="F74" s="13" t="n">
        <x:v>42685</x:v>
      </x:c>
      <x:c r="G74" s="12" t="n">
        <x:v>4.97</x:v>
      </x:c>
      <x:c r="H74" s="12" t="n">
        <x:v>497</x:v>
      </x:c>
      <x:c r="I74" s="12" t="n">
        <x:v>0</x:v>
      </x:c>
      <x:c r="J74" s="12" t="n">
        <x:v>3</x:v>
      </x:c>
    </x:row>
    <x:row r="75" ht="18" customHeight="1">
      <x:c r="A75" s="13" t="n">
        <x:v>42689</x:v>
      </x:c>
      <x:c r="B75" s="12" t="n">
        <x:v>3429.8697</x:v>
      </x:c>
      <x:c r="C75" s="12" t="n">
        <x:v>3430.2482</x:v>
      </x:c>
      <x:c r="D75" s="12" t="n">
        <x:v>-0.011</x:v>
      </x:c>
      <x:c r="E75" s="12" t="n">
        <x:v>-0.00011034795783432362</x:v>
      </x:c>
      <x:c r="F75" s="13" t="n">
        <x:v>42688</x:v>
      </x:c>
      <x:c r="G75" s="12" t="n">
        <x:v>5.11</x:v>
      </x:c>
      <x:c r="H75" s="12" t="n">
        <x:v>511.00000000000006</x:v>
      </x:c>
      <x:c r="I75" s="12" t="n">
        <x:v>14.000000000000057</x:v>
      </x:c>
      <x:c r="J75" s="12" t="n">
        <x:v>1</x:v>
      </x:c>
    </x:row>
    <x:row r="76" ht="18" customHeight="1">
      <x:c r="A76" s="13" t="n">
        <x:v>42690</x:v>
      </x:c>
      <x:c r="B76" s="12" t="n">
        <x:v>3429.5921</x:v>
      </x:c>
      <x:c r="C76" s="12" t="n">
        <x:v>3429.8697</x:v>
      </x:c>
      <x:c r="D76" s="12" t="n">
        <x:v>-0.0081</x:v>
      </x:c>
      <x:c r="E76" s="12" t="n">
        <x:v>-0.00008093929472776848</x:v>
      </x:c>
      <x:c r="F76" s="13" t="n">
        <x:v>42689</x:v>
      </x:c>
      <x:c r="G76" s="12" t="n">
        <x:v>4.94</x:v>
      </x:c>
      <x:c r="H76" s="12" t="n">
        <x:v>494.00000000000006</x:v>
      </x:c>
      <x:c r="I76" s="12" t="n">
        <x:v>-17</x:v>
      </x:c>
      <x:c r="J76" s="12" t="n">
        <x:v>1</x:v>
      </x:c>
    </x:row>
    <x:row r="77" ht="18" customHeight="1">
      <x:c r="A77" s="13" t="n">
        <x:v>42691</x:v>
      </x:c>
      <x:c r="B77" s="12" t="n">
        <x:v>3436.535</x:v>
      </x:c>
      <x:c r="C77" s="12" t="n">
        <x:v>3429.5921</x:v>
      </x:c>
      <x:c r="D77" s="12" t="n">
        <x:v>0.2024</x:v>
      </x:c>
      <x:c r="E77" s="12" t="n">
        <x:v>0.0020223634853321413</x:v>
      </x:c>
      <x:c r="F77" s="13" t="n">
        <x:v>42690</x:v>
      </x:c>
      <x:c r="G77" s="12" t="n">
        <x:v>4.94</x:v>
      </x:c>
      <x:c r="H77" s="12" t="n">
        <x:v>494.00000000000006</x:v>
      </x:c>
      <x:c r="I77" s="12" t="n">
        <x:v>0</x:v>
      </x:c>
      <x:c r="J77" s="12" t="n">
        <x:v>1</x:v>
      </x:c>
    </x:row>
    <x:row r="78" ht="18" customHeight="1">
      <x:c r="A78" s="13" t="n">
        <x:v>42692</x:v>
      </x:c>
      <x:c r="B78" s="12" t="n">
        <x:v>3417.4554</x:v>
      </x:c>
      <x:c r="C78" s="12" t="n">
        <x:v>3436.535</x:v>
      </x:c>
      <x:c r="D78" s="12" t="n">
        <x:v>-0.5552</x:v>
      </x:c>
      <x:c r="E78" s="12" t="n">
        <x:v>-0.005567457253369951</x:v>
      </x:c>
      <x:c r="F78" s="13" t="n">
        <x:v>42691</x:v>
      </x:c>
      <x:c r="G78" s="12" t="n">
        <x:v>4.85</x:v>
      </x:c>
      <x:c r="H78" s="12" t="n">
        <x:v>484.99999999999994</x:v>
      </x:c>
      <x:c r="I78" s="12" t="n">
        <x:v>-9.000000000000114</x:v>
      </x:c>
      <x:c r="J78" s="12" t="n">
        <x:v>1</x:v>
      </x:c>
    </x:row>
    <x:row r="79" ht="18" customHeight="1">
      <x:c r="A79" s="13" t="n">
        <x:v>42695</x:v>
      </x:c>
      <x:c r="B79" s="12" t="n">
        <x:v>3441.1106</x:v>
      </x:c>
      <x:c r="C79" s="12" t="n">
        <x:v>3417.4554</x:v>
      </x:c>
      <x:c r="D79" s="12" t="n">
        <x:v>0.6922</x:v>
      </x:c>
      <x:c r="E79" s="12" t="n">
        <x:v>0.006898029062729212</x:v>
      </x:c>
      <x:c r="F79" s="13" t="n">
        <x:v>42692</x:v>
      </x:c>
      <x:c r="G79" s="12" t="n">
        <x:v>4.84</x:v>
      </x:c>
      <x:c r="H79" s="12" t="n">
        <x:v>484</x:v>
      </x:c>
      <x:c r="I79" s="12" t="n">
        <x:v>-0.9999999999999432</x:v>
      </x:c>
      <x:c r="J79" s="12" t="n">
        <x:v>3</x:v>
      </x:c>
    </x:row>
    <x:row r="80" ht="18" customHeight="1">
      <x:c r="A80" s="13" t="n">
        <x:v>42696</x:v>
      </x:c>
      <x:c r="B80" s="12" t="n">
        <x:v>3468.3637</x:v>
      </x:c>
      <x:c r="C80" s="12" t="n">
        <x:v>3441.1106</x:v>
      </x:c>
      <x:c r="D80" s="12" t="n">
        <x:v>0.792</x:v>
      </x:c>
      <x:c r="E80" s="12" t="n">
        <x:v>0.007888658427169803</x:v>
      </x:c>
      <x:c r="F80" s="13" t="n">
        <x:v>42695</x:v>
      </x:c>
      <x:c r="G80" s="12" t="n">
        <x:v>4.78</x:v>
      </x:c>
      <x:c r="H80" s="12" t="n">
        <x:v>478</x:v>
      </x:c>
      <x:c r="I80" s="12" t="n">
        <x:v>-6</x:v>
      </x:c>
      <x:c r="J80" s="12" t="n">
        <x:v>1</x:v>
      </x:c>
    </x:row>
    <x:row r="81" ht="18" customHeight="1">
      <x:c r="A81" s="13" t="n">
        <x:v>42697</x:v>
      </x:c>
      <x:c r="B81" s="12" t="n">
        <x:v>3474.7289</x:v>
      </x:c>
      <x:c r="C81" s="12" t="n">
        <x:v>3468.3637</x:v>
      </x:c>
      <x:c r="D81" s="12" t="n">
        <x:v>0.1835</x:v>
      </x:c>
      <x:c r="E81" s="12" t="n">
        <x:v>0.001833535039771207</x:v>
      </x:c>
      <x:c r="F81" s="13" t="n">
        <x:v>42696</x:v>
      </x:c>
      <x:c r="G81" s="12" t="n">
        <x:v>4.7</x:v>
      </x:c>
      <x:c r="H81" s="12" t="n">
        <x:v>470</x:v>
      </x:c>
      <x:c r="I81" s="12" t="n">
        <x:v>-8</x:v>
      </x:c>
      <x:c r="J81" s="12" t="n">
        <x:v>1</x:v>
      </x:c>
    </x:row>
    <x:row r="82" ht="18" customHeight="1">
      <x:c r="A82" s="13" t="n">
        <x:v>42698</x:v>
      </x:c>
      <x:c r="B82" s="12" t="n">
        <x:v>3488.7402</x:v>
      </x:c>
      <x:c r="C82" s="12" t="n">
        <x:v>3474.7289</x:v>
      </x:c>
      <x:c r="D82" s="12" t="n">
        <x:v>0.4032</x:v>
      </x:c>
      <x:c r="E82" s="12" t="n">
        <x:v>0.004024235250442054</x:v>
      </x:c>
      <x:c r="F82" s="13" t="n">
        <x:v>42697</x:v>
      </x:c>
      <x:c r="G82" s="12" t="n">
        <x:v>4.66</x:v>
      </x:c>
      <x:c r="H82" s="12" t="n">
        <x:v>466</x:v>
      </x:c>
      <x:c r="I82" s="12" t="n">
        <x:v>-4</x:v>
      </x:c>
      <x:c r="J82" s="12" t="n">
        <x:v>1</x:v>
      </x:c>
    </x:row>
    <x:row r="83" ht="18" customHeight="1">
      <x:c r="A83" s="13" t="n">
        <x:v>42699</x:v>
      </x:c>
      <x:c r="B83" s="12" t="n">
        <x:v>3521.2984</x:v>
      </x:c>
      <x:c r="C83" s="12" t="n">
        <x:v>3488.7402</x:v>
      </x:c>
      <x:c r="D83" s="12" t="n">
        <x:v>0.9332</x:v>
      </x:c>
      <x:c r="E83" s="12" t="n">
        <x:v>0.009289088397475146</x:v>
      </x:c>
      <x:c r="F83" s="13" t="n">
        <x:v>42698</x:v>
      </x:c>
      <x:c r="G83" s="12" t="n">
        <x:v>4.66</x:v>
      </x:c>
      <x:c r="H83" s="12" t="n">
        <x:v>466</x:v>
      </x:c>
      <x:c r="I83" s="12" t="n">
        <x:v>0</x:v>
      </x:c>
      <x:c r="J83" s="12" t="n">
        <x:v>1</x:v>
      </x:c>
    </x:row>
    <x:row r="84" ht="18" customHeight="1">
      <x:c r="A84" s="13" t="n">
        <x:v>42702</x:v>
      </x:c>
      <x:c r="B84" s="12" t="n">
        <x:v>3535.0807</x:v>
      </x:c>
      <x:c r="C84" s="12" t="n">
        <x:v>3521.2984</x:v>
      </x:c>
      <x:c r="D84" s="12" t="n">
        <x:v>0.3914</x:v>
      </x:c>
      <x:c r="E84" s="12" t="n">
        <x:v>0.003906342709372829</x:v>
      </x:c>
      <x:c r="F84" s="13" t="n">
        <x:v>42699</x:v>
      </x:c>
      <x:c r="G84" s="12" t="n">
        <x:v>4.64</x:v>
      </x:c>
      <x:c r="H84" s="12" t="n">
        <x:v>463.99999999999994</x:v>
      </x:c>
      <x:c r="I84" s="12" t="n">
        <x:v>-2.000000000000057</x:v>
      </x:c>
      <x:c r="J84" s="12" t="n">
        <x:v>3</x:v>
      </x:c>
    </x:row>
    <x:row r="85" ht="18" customHeight="1">
      <x:c r="A85" s="13" t="n">
        <x:v>42703</x:v>
      </x:c>
      <x:c r="B85" s="12" t="n">
        <x:v>3564.0404</x:v>
      </x:c>
      <x:c r="C85" s="12" t="n">
        <x:v>3535.0807</x:v>
      </x:c>
      <x:c r="D85" s="12" t="n">
        <x:v>0.8192</x:v>
      </x:c>
      <x:c r="E85" s="12" t="n">
        <x:v>0.00815871718004215</x:v>
      </x:c>
      <x:c r="F85" s="13" t="n">
        <x:v>42702</x:v>
      </x:c>
      <x:c r="G85" s="12" t="n">
        <x:v>4.66</x:v>
      </x:c>
      <x:c r="H85" s="12" t="n">
        <x:v>466</x:v>
      </x:c>
      <x:c r="I85" s="12" t="n">
        <x:v>2.000000000000057</x:v>
      </x:c>
      <x:c r="J85" s="12" t="n">
        <x:v>1</x:v>
      </x:c>
    </x:row>
    <x:row r="86" ht="18" customHeight="1">
      <x:c r="A86" s="13" t="n">
        <x:v>42704</x:v>
      </x:c>
      <x:c r="B86" s="12" t="n">
        <x:v>3538.001</x:v>
      </x:c>
      <x:c r="C86" s="12" t="n">
        <x:v>3564.0404</x:v>
      </x:c>
      <x:c r="D86" s="12" t="n">
        <x:v>-0.7306</x:v>
      </x:c>
      <x:c r="E86" s="12" t="n">
        <x:v>-0.007332966739201804</x:v>
      </x:c>
      <x:c r="F86" s="13" t="n">
        <x:v>42703</x:v>
      </x:c>
      <x:c r="G86" s="12" t="n">
        <x:v>4.69</x:v>
      </x:c>
      <x:c r="H86" s="12" t="n">
        <x:v>469.00000000000006</x:v>
      </x:c>
      <x:c r="I86" s="12" t="n">
        <x:v>3.000000000000057</x:v>
      </x:c>
      <x:c r="J86" s="12" t="n">
        <x:v>1</x:v>
      </x:c>
    </x:row>
    <x:row r="87" ht="18" customHeight="1">
      <x:c r="A87" s="13" t="n">
        <x:v>42705</x:v>
      </x:c>
      <x:c r="B87" s="12" t="n">
        <x:v>3565.036</x:v>
      </x:c>
      <x:c r="C87" s="12" t="n">
        <x:v>3538.001</x:v>
      </x:c>
      <x:c r="D87" s="12" t="n">
        <x:v>0.7641</x:v>
      </x:c>
      <x:c r="E87" s="12" t="n">
        <x:v>0.007612273608875042</x:v>
      </x:c>
      <x:c r="F87" s="13" t="n">
        <x:v>42704</x:v>
      </x:c>
      <x:c r="G87" s="12" t="n">
        <x:v>4.67</x:v>
      </x:c>
      <x:c r="H87" s="12" t="n">
        <x:v>467</x:v>
      </x:c>
      <x:c r="I87" s="12" t="n">
        <x:v>-2.000000000000057</x:v>
      </x:c>
      <x:c r="J87" s="12" t="n">
        <x:v>1</x:v>
      </x:c>
    </x:row>
    <x:row r="88" ht="18" customHeight="1">
      <x:c r="A88" s="13" t="n">
        <x:v>42706</x:v>
      </x:c>
      <x:c r="B88" s="12" t="n">
        <x:v>3528.9547</x:v>
      </x:c>
      <x:c r="C88" s="12" t="n">
        <x:v>3565.036</x:v>
      </x:c>
      <x:c r="D88" s="12" t="n">
        <x:v>-1.0121</x:v>
      </x:c>
      <x:c r="E88" s="12" t="n">
        <x:v>-0.010172443878838089</x:v>
      </x:c>
      <x:c r="F88" s="13" t="n">
        <x:v>42705</x:v>
      </x:c>
      <x:c r="G88" s="12" t="n">
        <x:v>4.62</x:v>
      </x:c>
      <x:c r="H88" s="12" t="n">
        <x:v>462</x:v>
      </x:c>
      <x:c r="I88" s="12" t="n">
        <x:v>-5</x:v>
      </x:c>
      <x:c r="J88" s="12" t="n">
        <x:v>1</x:v>
      </x:c>
    </x:row>
    <x:row r="89" ht="18" customHeight="1">
      <x:c r="A89" s="13" t="n">
        <x:v>42709</x:v>
      </x:c>
      <x:c r="B89" s="12" t="n">
        <x:v>3469.4073</x:v>
      </x:c>
      <x:c r="C89" s="12" t="n">
        <x:v>3528.9547</x:v>
      </x:c>
      <x:c r="D89" s="12" t="n">
        <x:v>-1.6874</x:v>
      </x:c>
      <x:c r="E89" s="12" t="n">
        <x:v>-0.01701793565997444</x:v>
      </x:c>
      <x:c r="F89" s="13" t="n">
        <x:v>42706</x:v>
      </x:c>
      <x:c r="G89" s="12" t="n">
        <x:v>4.64</x:v>
      </x:c>
      <x:c r="H89" s="12" t="n">
        <x:v>463.99999999999994</x:v>
      </x:c>
      <x:c r="I89" s="12" t="n">
        <x:v>1.9999999999999432</x:v>
      </x:c>
      <x:c r="J89" s="12" t="n">
        <x:v>3</x:v>
      </x:c>
    </x:row>
    <x:row r="90" ht="18" customHeight="1">
      <x:c r="A90" s="13" t="n">
        <x:v>42710</x:v>
      </x:c>
      <x:c r="B90" s="12" t="n">
        <x:v>3459.1533</x:v>
      </x:c>
      <x:c r="C90" s="12" t="n">
        <x:v>3469.4073</x:v>
      </x:c>
      <x:c r="D90" s="12" t="n">
        <x:v>-0.2956</x:v>
      </x:c>
      <x:c r="E90" s="12" t="n">
        <x:v>-0.0029599243128228037</x:v>
      </x:c>
      <x:c r="F90" s="13" t="n">
        <x:v>42709</x:v>
      </x:c>
      <x:c r="G90" s="12" t="n">
        <x:v>4.58</x:v>
      </x:c>
      <x:c r="H90" s="12" t="n">
        <x:v>458</x:v>
      </x:c>
      <x:c r="I90" s="12" t="n">
        <x:v>-5.999999999999943</x:v>
      </x:c>
      <x:c r="J90" s="12" t="n">
        <x:v>1</x:v>
      </x:c>
    </x:row>
    <x:row r="91" ht="18" customHeight="1">
      <x:c r="A91" s="13" t="n">
        <x:v>42711</x:v>
      </x:c>
      <x:c r="B91" s="12" t="n">
        <x:v>3475.7473</x:v>
      </x:c>
      <x:c r="C91" s="12" t="n">
        <x:v>3459.1533</x:v>
      </x:c>
      <x:c r="D91" s="12" t="n">
        <x:v>0.4797</x:v>
      </x:c>
      <x:c r="E91" s="12" t="n">
        <x:v>0.004785658116097955</x:v>
      </x:c>
      <x:c r="F91" s="13" t="n">
        <x:v>42710</x:v>
      </x:c>
      <x:c r="G91" s="12" t="n">
        <x:v>4.5</x:v>
      </x:c>
      <x:c r="H91" s="12" t="n">
        <x:v>450</x:v>
      </x:c>
      <x:c r="I91" s="12" t="n">
        <x:v>-8</x:v>
      </x:c>
      <x:c r="J91" s="12" t="n">
        <x:v>1</x:v>
      </x:c>
    </x:row>
    <x:row r="92" ht="18" customHeight="1">
      <x:c r="A92" s="13" t="n">
        <x:v>42712</x:v>
      </x:c>
      <x:c r="B92" s="12" t="n">
        <x:v>3470.1426</x:v>
      </x:c>
      <x:c r="C92" s="12" t="n">
        <x:v>3475.7473</x:v>
      </x:c>
      <x:c r="D92" s="12" t="n">
        <x:v>-0.1613</x:v>
      </x:c>
      <x:c r="E92" s="12" t="n">
        <x:v>-0.0016138180412017936</x:v>
      </x:c>
      <x:c r="F92" s="13" t="n">
        <x:v>42711</x:v>
      </x:c>
      <x:c r="G92" s="12" t="n">
        <x:v>4.42</x:v>
      </x:c>
      <x:c r="H92" s="12" t="n">
        <x:v>442</x:v>
      </x:c>
      <x:c r="I92" s="12" t="n">
        <x:v>-8</x:v>
      </x:c>
      <x:c r="J92" s="12" t="n">
        <x:v>1</x:v>
      </x:c>
    </x:row>
    <x:row r="93" ht="18" customHeight="1">
      <x:c r="A93" s="13" t="n">
        <x:v>42713</x:v>
      </x:c>
      <x:c r="B93" s="12" t="n">
        <x:v>3493.7004</x:v>
      </x:c>
      <x:c r="C93" s="12" t="n">
        <x:v>3470.1426</x:v>
      </x:c>
      <x:c r="D93" s="12" t="n">
        <x:v>0.6789</x:v>
      </x:c>
      <x:c r="E93" s="12" t="n">
        <x:v>0.006765772825280966</x:v>
      </x:c>
      <x:c r="F93" s="13" t="n">
        <x:v>42712</x:v>
      </x:c>
      <x:c r="G93" s="12" t="n">
        <x:v>4.38</x:v>
      </x:c>
      <x:c r="H93" s="12" t="n">
        <x:v>438</x:v>
      </x:c>
      <x:c r="I93" s="12" t="n">
        <x:v>-4</x:v>
      </x:c>
      <x:c r="J93" s="12" t="n">
        <x:v>1</x:v>
      </x:c>
    </x:row>
    <x:row r="94" ht="18" customHeight="1">
      <x:c r="A94" s="13" t="n">
        <x:v>42716</x:v>
      </x:c>
      <x:c r="B94" s="12" t="n">
        <x:v>3409.1794</x:v>
      </x:c>
      <x:c r="C94" s="12" t="n">
        <x:v>3493.7004</x:v>
      </x:c>
      <x:c r="D94" s="12" t="n">
        <x:v>-2.4192</x:v>
      </x:c>
      <x:c r="E94" s="12" t="n">
        <x:v>-0.024489843866090665</x:v>
      </x:c>
      <x:c r="F94" s="13" t="n">
        <x:v>42713</x:v>
      </x:c>
      <x:c r="G94" s="12" t="n">
        <x:v>4.28</x:v>
      </x:c>
      <x:c r="H94" s="12" t="n">
        <x:v>428</x:v>
      </x:c>
      <x:c r="I94" s="12" t="n">
        <x:v>-10</x:v>
      </x:c>
      <x:c r="J94" s="12" t="n">
        <x:v>3</x:v>
      </x:c>
    </x:row>
    <x:row r="95" ht="18" customHeight="1">
      <x:c r="A95" s="13" t="n">
        <x:v>42717</x:v>
      </x:c>
      <x:c r="B95" s="12" t="n">
        <x:v>3405.0355</x:v>
      </x:c>
      <x:c r="C95" s="12" t="n">
        <x:v>3409.1794</x:v>
      </x:c>
      <x:c r="D95" s="12" t="n">
        <x:v>-0.1216</x:v>
      </x:c>
      <x:c r="E95" s="12" t="n">
        <x:v>-0.0012162517829687064</x:v>
      </x:c>
      <x:c r="F95" s="13" t="n">
        <x:v>42716</x:v>
      </x:c>
      <x:c r="G95" s="12" t="n">
        <x:v>4.25</x:v>
      </x:c>
      <x:c r="H95" s="12" t="n">
        <x:v>425</x:v>
      </x:c>
      <x:c r="I95" s="12" t="n">
        <x:v>-3</x:v>
      </x:c>
      <x:c r="J95" s="12" t="n">
        <x:v>1</x:v>
      </x:c>
    </x:row>
    <x:row r="96" ht="18" customHeight="1">
      <x:c r="A96" s="13" t="n">
        <x:v>42718</x:v>
      </x:c>
      <x:c r="B96" s="12" t="n">
        <x:v>3378.9453</x:v>
      </x:c>
      <x:c r="C96" s="12" t="n">
        <x:v>3405.0355</x:v>
      </x:c>
      <x:c r="D96" s="12" t="n">
        <x:v>-0.7662</x:v>
      </x:c>
      <x:c r="E96" s="12" t="n">
        <x:v>-0.00769174601171859</x:v>
      </x:c>
      <x:c r="F96" s="13" t="n">
        <x:v>42717</x:v>
      </x:c>
      <x:c r="G96" s="12" t="n">
        <x:v>4.2</x:v>
      </x:c>
      <x:c r="H96" s="12" t="n">
        <x:v>420</x:v>
      </x:c>
      <x:c r="I96" s="12" t="n">
        <x:v>-5</x:v>
      </x:c>
      <x:c r="J96" s="12" t="n">
        <x:v>1</x:v>
      </x:c>
    </x:row>
    <x:row r="97" ht="18" customHeight="1">
      <x:c r="A97" s="13" t="n">
        <x:v>42719</x:v>
      </x:c>
      <x:c r="B97" s="12" t="n">
        <x:v>3340.4338</x:v>
      </x:c>
      <x:c r="C97" s="12" t="n">
        <x:v>3378.9453</x:v>
      </x:c>
      <x:c r="D97" s="12" t="n">
        <x:v>-1.1397</x:v>
      </x:c>
      <x:c r="E97" s="12" t="n">
        <x:v>-0.011462940585333025</x:v>
      </x:c>
      <x:c r="F97" s="13" t="n">
        <x:v>42718</x:v>
      </x:c>
      <x:c r="G97" s="12" t="n">
        <x:v>4.12</x:v>
      </x:c>
      <x:c r="H97" s="12" t="n">
        <x:v>412</x:v>
      </x:c>
      <x:c r="I97" s="12" t="n">
        <x:v>-8</x:v>
      </x:c>
      <x:c r="J97" s="12" t="n">
        <x:v>1</x:v>
      </x:c>
    </x:row>
    <x:row r="98" ht="18" customHeight="1">
      <x:c r="A98" s="13" t="n">
        <x:v>42720</x:v>
      </x:c>
      <x:c r="B98" s="12" t="n">
        <x:v>3346.0305</x:v>
      </x:c>
      <x:c r="C98" s="12" t="n">
        <x:v>3340.4338</x:v>
      </x:c>
      <x:c r="D98" s="12" t="n">
        <x:v>0.1675</x:v>
      </x:c>
      <x:c r="E98" s="12" t="n">
        <x:v>0.0016740390902915004</x:v>
      </x:c>
      <x:c r="F98" s="13" t="n">
        <x:v>42719</x:v>
      </x:c>
      <x:c r="G98" s="12" t="n">
        <x:v>4.2</x:v>
      </x:c>
      <x:c r="H98" s="12" t="n">
        <x:v>420</x:v>
      </x:c>
      <x:c r="I98" s="12" t="n">
        <x:v>8</x:v>
      </x:c>
      <x:c r="J98" s="12" t="n">
        <x:v>1</x:v>
      </x:c>
    </x:row>
    <x:row r="99" ht="18" customHeight="1">
      <x:c r="A99" s="13" t="n">
        <x:v>42723</x:v>
      </x:c>
      <x:c r="B99" s="12" t="n">
        <x:v>3328.9827</x:v>
      </x:c>
      <x:c r="C99" s="12" t="n">
        <x:v>3346.0305</x:v>
      </x:c>
      <x:c r="D99" s="12" t="n">
        <x:v>-0.5095</x:v>
      </x:c>
      <x:c r="E99" s="12" t="n">
        <x:v>-0.00510795606111114</x:v>
      </x:c>
      <x:c r="F99" s="13" t="n">
        <x:v>42720</x:v>
      </x:c>
      <x:c r="G99" s="12" t="n">
        <x:v>4.21</x:v>
      </x:c>
      <x:c r="H99" s="12" t="n">
        <x:v>421</x:v>
      </x:c>
      <x:c r="I99" s="12" t="n">
        <x:v>1</x:v>
      </x:c>
      <x:c r="J99" s="12" t="n">
        <x:v>3</x:v>
      </x:c>
    </x:row>
    <x:row r="100" ht="18" customHeight="1">
      <x:c r="A100" s="13" t="n">
        <x:v>42724</x:v>
      </x:c>
      <x:c r="B100" s="12" t="n">
        <x:v>3309.0641</x:v>
      </x:c>
      <x:c r="C100" s="12" t="n">
        <x:v>3328.9827</x:v>
      </x:c>
      <x:c r="D100" s="12" t="n">
        <x:v>-0.5983</x:v>
      </x:c>
      <x:c r="E100" s="12" t="n">
        <x:v>-0.006001361660447885</x:v>
      </x:c>
      <x:c r="F100" s="13" t="n">
        <x:v>42723</x:v>
      </x:c>
      <x:c r="G100" s="12" t="n">
        <x:v>4.23</x:v>
      </x:c>
      <x:c r="H100" s="12" t="n">
        <x:v>423.00000000000006</x:v>
      </x:c>
      <x:c r="I100" s="12" t="n">
        <x:v>2.000000000000057</x:v>
      </x:c>
      <x:c r="J100" s="12" t="n">
        <x:v>1</x:v>
      </x:c>
    </x:row>
    <x:row r="101" ht="18" customHeight="1">
      <x:c r="A101" s="13" t="n">
        <x:v>42725</x:v>
      </x:c>
      <x:c r="B101" s="12" t="n">
        <x:v>3338.536</x:v>
      </x:c>
      <x:c r="C101" s="12" t="n">
        <x:v>3309.0641</x:v>
      </x:c>
      <x:c r="D101" s="12" t="n">
        <x:v>0.8906</x:v>
      </x:c>
      <x:c r="E101" s="12" t="n">
        <x:v>0.008866987380399797</x:v>
      </x:c>
      <x:c r="F101" s="13" t="n">
        <x:v>42724</x:v>
      </x:c>
      <x:c r="G101" s="12" t="n">
        <x:v>4.2</x:v>
      </x:c>
      <x:c r="H101" s="12" t="n">
        <x:v>420</x:v>
      </x:c>
      <x:c r="I101" s="12" t="n">
        <x:v>-3.000000000000057</x:v>
      </x:c>
      <x:c r="J101" s="12" t="n">
        <x:v>1</x:v>
      </x:c>
    </x:row>
    <x:row r="102" ht="18" customHeight="1">
      <x:c r="A102" s="13" t="n">
        <x:v>42726</x:v>
      </x:c>
      <x:c r="B102" s="12" t="n">
        <x:v>3335.672</x:v>
      </x:c>
      <x:c r="C102" s="12" t="n">
        <x:v>3338.536</x:v>
      </x:c>
      <x:c r="D102" s="12" t="n">
        <x:v>-0.0858</x:v>
      </x:c>
      <x:c r="E102" s="12" t="n">
        <x:v>-0.0008582292238395543</x:v>
      </x:c>
      <x:c r="F102" s="13" t="n">
        <x:v>42725</x:v>
      </x:c>
      <x:c r="G102" s="12" t="n">
        <x:v>4.19</x:v>
      </x:c>
      <x:c r="H102" s="12" t="n">
        <x:v>419.00000000000006</x:v>
      </x:c>
      <x:c r="I102" s="12" t="n">
        <x:v>-0.9999999999999432</x:v>
      </x:c>
      <x:c r="J102" s="12" t="n">
        <x:v>1</x:v>
      </x:c>
    </x:row>
    <x:row r="103" ht="18" customHeight="1">
      <x:c r="A103" s="13" t="n">
        <x:v>42727</x:v>
      </x:c>
      <x:c r="B103" s="12" t="n">
        <x:v>3307.5991</x:v>
      </x:c>
      <x:c r="C103" s="12" t="n">
        <x:v>3335.672</x:v>
      </x:c>
      <x:c r="D103" s="12" t="n">
        <x:v>-0.8416</x:v>
      </x:c>
      <x:c r="E103" s="12" t="n">
        <x:v>-0.008451579554493814</x:v>
      </x:c>
      <x:c r="F103" s="13" t="n">
        <x:v>42726</x:v>
      </x:c>
      <x:c r="G103" s="12" t="n">
        <x:v>4.17</x:v>
      </x:c>
      <x:c r="H103" s="12" t="n">
        <x:v>417</x:v>
      </x:c>
      <x:c r="I103" s="12" t="n">
        <x:v>-2.000000000000057</x:v>
      </x:c>
      <x:c r="J103" s="12" t="n">
        <x:v>1</x:v>
      </x:c>
    </x:row>
    <x:row r="104" ht="18" customHeight="1">
      <x:c r="A104" s="13" t="n">
        <x:v>42730</x:v>
      </x:c>
      <x:c r="B104" s="12" t="n">
        <x:v>3322.4006</x:v>
      </x:c>
      <x:c r="C104" s="12" t="n">
        <x:v>3307.5991</x:v>
      </x:c>
      <x:c r="D104" s="12" t="n">
        <x:v>0.4475</x:v>
      </x:c>
      <x:c r="E104" s="12" t="n">
        <x:v>0.004465015161512447</x:v>
      </x:c>
      <x:c r="F104" s="13" t="n">
        <x:v>42727</x:v>
      </x:c>
      <x:c r="G104" s="12" t="n">
        <x:v>4.16</x:v>
      </x:c>
      <x:c r="H104" s="12" t="n">
        <x:v>416</x:v>
      </x:c>
      <x:c r="I104" s="12" t="n">
        <x:v>-1</x:v>
      </x:c>
      <x:c r="J104" s="12" t="n">
        <x:v>3</x:v>
      </x:c>
    </x:row>
    <x:row r="105" ht="18" customHeight="1">
      <x:c r="A105" s="13" t="n">
        <x:v>42731</x:v>
      </x:c>
      <x:c r="B105" s="12" t="n">
        <x:v>3316.3852</x:v>
      </x:c>
      <x:c r="C105" s="12" t="n">
        <x:v>3322.4006</x:v>
      </x:c>
      <x:c r="D105" s="12" t="n">
        <x:v>-0.1811</x:v>
      </x:c>
      <x:c r="E105" s="12" t="n">
        <x:v>-0.001812199347129835</x:v>
      </x:c>
      <x:c r="F105" s="13" t="n">
        <x:v>42727</x:v>
      </x:c>
      <x:c r="G105" s="12" t="n">
        <x:v>4.16</x:v>
      </x:c>
      <x:c r="H105" s="12" t="n">
        <x:v>416</x:v>
      </x:c>
      <x:c r="I105" s="12" t="n">
        <x:v>-1</x:v>
      </x:c>
      <x:c r="J105" s="12" t="n">
        <x:v>4</x:v>
      </x:c>
    </x:row>
    <x:row r="106" ht="18" customHeight="1">
      <x:c r="A106" s="13" t="n">
        <x:v>42732</x:v>
      </x:c>
      <x:c r="B106" s="12" t="n">
        <x:v>3301.8887</x:v>
      </x:c>
      <x:c r="C106" s="12" t="n">
        <x:v>3316.3852</x:v>
      </x:c>
      <x:c r="D106" s="12" t="n">
        <x:v>-0.4371</x:v>
      </x:c>
      <x:c r="E106" s="12" t="n">
        <x:v>-0.004380756494092432</x:v>
      </x:c>
      <x:c r="F106" s="13" t="n">
        <x:v>42731</x:v>
      </x:c>
      <x:c r="G106" s="12" t="n">
        <x:v>4.11</x:v>
      </x:c>
      <x:c r="H106" s="12" t="n">
        <x:v>411.00000000000006</x:v>
      </x:c>
      <x:c r="I106" s="12" t="n">
        <x:v>-4.999999999999943</x:v>
      </x:c>
      <x:c r="J106" s="12" t="n">
        <x:v>1</x:v>
      </x:c>
    </x:row>
    <x:row r="107" ht="18" customHeight="1">
      <x:c r="A107" s="13" t="n">
        <x:v>42733</x:v>
      </x:c>
      <x:c r="B107" s="12" t="n">
        <x:v>3297.7648</x:v>
      </x:c>
      <x:c r="C107" s="12" t="n">
        <x:v>3301.8887</x:v>
      </x:c>
      <x:c r="D107" s="12" t="n">
        <x:v>-0.1249</x:v>
      </x:c>
      <x:c r="E107" s="12" t="n">
        <x:v>-0.0012497324402671603</x:v>
      </x:c>
      <x:c r="F107" s="13" t="n">
        <x:v>42732</x:v>
      </x:c>
      <x:c r="G107" s="12" t="n">
        <x:v>4.15</x:v>
      </x:c>
      <x:c r="H107" s="12" t="n">
        <x:v>415.00000000000006</x:v>
      </x:c>
      <x:c r="I107" s="12" t="n">
        <x:v>4</x:v>
      </x:c>
      <x:c r="J107" s="12" t="n">
        <x:v>1</x:v>
      </x:c>
    </x:row>
    <x:row r="108" ht="18" customHeight="1">
      <x:c r="A108" s="13" t="n">
        <x:v>42734</x:v>
      </x:c>
      <x:c r="B108" s="12" t="n">
        <x:v>3310.0808</x:v>
      </x:c>
      <x:c r="C108" s="12" t="n">
        <x:v>3297.7648</x:v>
      </x:c>
      <x:c r="D108" s="12" t="n">
        <x:v>0.3735</x:v>
      </x:c>
      <x:c r="E108" s="12" t="n">
        <x:v>0.003727694321920061</x:v>
      </x:c>
      <x:c r="F108" s="13" t="n">
        <x:v>42733</x:v>
      </x:c>
      <x:c r="G108" s="12" t="n">
        <x:v>4.18</x:v>
      </x:c>
      <x:c r="H108" s="12" t="n">
        <x:v>418</x:v>
      </x:c>
      <x:c r="I108" s="12" t="n">
        <x:v>2.999999999999943</x:v>
      </x:c>
      <x:c r="J108" s="12" t="n">
        <x:v>1</x:v>
      </x:c>
    </x:row>
    <x:row r="109" ht="18" customHeight="1">
      <x:c r="A109" s="13" t="n">
        <x:v>42738</x:v>
      </x:c>
      <x:c r="B109" s="12" t="n">
        <x:v>3342.2272</x:v>
      </x:c>
      <x:c r="C109" s="12" t="n">
        <x:v>3310.0808</x:v>
      </x:c>
      <x:c r="D109" s="12" t="n">
        <x:v>0.9712</x:v>
      </x:c>
      <x:c r="E109" s="12" t="n">
        <x:v>0.009664811138848765</x:v>
      </x:c>
      <x:c r="F109" s="13" t="n">
        <x:v>42735</x:v>
      </x:c>
      <x:c r="G109" s="12" t="n">
        <x:v>4.22</x:v>
      </x:c>
      <x:c r="H109" s="12" t="n">
        <x:v>422</x:v>
      </x:c>
      <x:c r="I109" s="12" t="n">
        <x:v>1</x:v>
      </x:c>
      <x:c r="J109" s="12" t="n">
        <x:v>3</x:v>
      </x:c>
    </x:row>
    <x:row r="110" ht="18" customHeight="1">
      <x:c r="A110" s="13" t="n">
        <x:v>42739</x:v>
      </x:c>
      <x:c r="B110" s="12" t="n">
        <x:v>3368.3117</x:v>
      </x:c>
      <x:c r="C110" s="12" t="n">
        <x:v>3342.2272</x:v>
      </x:c>
      <x:c r="D110" s="12" t="n">
        <x:v>0.7805</x:v>
      </x:c>
      <x:c r="E110" s="12" t="n">
        <x:v>0.007774228497749764</x:v>
      </x:c>
      <x:c r="F110" s="13" t="n">
        <x:v>42738</x:v>
      </x:c>
      <x:c r="G110" s="12" t="n">
        <x:v>4.13</x:v>
      </x:c>
      <x:c r="H110" s="12" t="n">
        <x:v>413</x:v>
      </x:c>
      <x:c r="I110" s="12" t="n">
        <x:v>-9</x:v>
      </x:c>
      <x:c r="J110" s="12" t="n">
        <x:v>1</x:v>
      </x:c>
    </x:row>
    <x:row r="111" ht="18" customHeight="1">
      <x:c r="A111" s="13" t="n">
        <x:v>42740</x:v>
      </x:c>
      <x:c r="B111" s="12" t="n">
        <x:v>3367.7892</x:v>
      </x:c>
      <x:c r="C111" s="12" t="n">
        <x:v>3368.3117</x:v>
      </x:c>
      <x:c r="D111" s="12" t="n">
        <x:v>-0.0155</x:v>
      </x:c>
      <x:c r="E111" s="12" t="n">
        <x:v>-0.0001551342560940013</x:v>
      </x:c>
      <x:c r="F111" s="13" t="n">
        <x:v>42739</x:v>
      </x:c>
      <x:c r="G111" s="12" t="n">
        <x:v>4.02</x:v>
      </x:c>
      <x:c r="H111" s="12" t="n">
        <x:v>401.99999999999994</x:v>
      </x:c>
      <x:c r="I111" s="12" t="n">
        <x:v>-11.000000000000057</x:v>
      </x:c>
      <x:c r="J111" s="12" t="n">
        <x:v>1</x:v>
      </x:c>
    </x:row>
    <x:row r="112" ht="18" customHeight="1">
      <x:c r="A112" s="13" t="n">
        <x:v>42741</x:v>
      </x:c>
      <x:c r="B112" s="12" t="n">
        <x:v>3347.6665</x:v>
      </x:c>
      <x:c r="C112" s="12" t="n">
        <x:v>3367.7892</x:v>
      </x:c>
      <x:c r="D112" s="12" t="n">
        <x:v>-0.5975</x:v>
      </x:c>
      <x:c r="E112" s="12" t="n">
        <x:v>-0.005992969390497952</x:v>
      </x:c>
      <x:c r="F112" s="13" t="n">
        <x:v>42740</x:v>
      </x:c>
      <x:c r="G112" s="12" t="n">
        <x:v>4.04</x:v>
      </x:c>
      <x:c r="H112" s="12" t="n">
        <x:v>404</x:v>
      </x:c>
      <x:c r="I112" s="12" t="n">
        <x:v>2.000000000000057</x:v>
      </x:c>
      <x:c r="J112" s="12" t="n">
        <x:v>1</x:v>
      </x:c>
    </x:row>
    <x:row r="113" ht="18" customHeight="1">
      <x:c r="A113" s="13" t="n">
        <x:v>42744</x:v>
      </x:c>
      <x:c r="B113" s="12" t="n">
        <x:v>3363.9014</x:v>
      </x:c>
      <x:c r="C113" s="12" t="n">
        <x:v>3347.6665</x:v>
      </x:c>
      <x:c r="D113" s="12" t="n">
        <x:v>0.485</x:v>
      </x:c>
      <x:c r="E113" s="12" t="n">
        <x:v>0.004837895379147162</x:v>
      </x:c>
      <x:c r="F113" s="13" t="n">
        <x:v>42741</x:v>
      </x:c>
      <x:c r="G113" s="12" t="n">
        <x:v>3.98</x:v>
      </x:c>
      <x:c r="H113" s="12" t="n">
        <x:v>398</x:v>
      </x:c>
      <x:c r="I113" s="12" t="n">
        <x:v>-6</x:v>
      </x:c>
      <x:c r="J113" s="12" t="n">
        <x:v>3</x:v>
      </x:c>
    </x:row>
    <x:row r="114" ht="18" customHeight="1">
      <x:c r="A114" s="13" t="n">
        <x:v>42745</x:v>
      </x:c>
      <x:c r="B114" s="12" t="n">
        <x:v>3358.2716</x:v>
      </x:c>
      <x:c r="C114" s="12" t="n">
        <x:v>3363.9014</x:v>
      </x:c>
      <x:c r="D114" s="12" t="n">
        <x:v>-0.1674</x:v>
      </x:c>
      <x:c r="E114" s="12" t="n">
        <x:v>-0.0016749944746291014</x:v>
      </x:c>
      <x:c r="F114" s="13" t="n">
        <x:v>42744</x:v>
      </x:c>
      <x:c r="G114" s="12" t="n">
        <x:v>4.02</x:v>
      </x:c>
      <x:c r="H114" s="12" t="n">
        <x:v>401.99999999999994</x:v>
      </x:c>
      <x:c r="I114" s="12" t="n">
        <x:v>3.999999999999943</x:v>
      </x:c>
      <x:c r="J114" s="12" t="n">
        <x:v>1</x:v>
      </x:c>
    </x:row>
    <x:row r="115" ht="18" customHeight="1">
      <x:c r="A115" s="13" t="n">
        <x:v>42746</x:v>
      </x:c>
      <x:c r="B115" s="12" t="n">
        <x:v>3334.4954</x:v>
      </x:c>
      <x:c r="C115" s="12" t="n">
        <x:v>3358.2716</x:v>
      </x:c>
      <x:c r="D115" s="12" t="n">
        <x:v>-0.708</x:v>
      </x:c>
      <x:c r="E115" s="12" t="n">
        <x:v>-0.007105073289585152</x:v>
      </x:c>
      <x:c r="F115" s="13" t="n">
        <x:v>42745</x:v>
      </x:c>
      <x:c r="G115" s="12" t="n">
        <x:v>4</x:v>
      </x:c>
      <x:c r="H115" s="12" t="n">
        <x:v>400</x:v>
      </x:c>
      <x:c r="I115" s="12" t="n">
        <x:v>-1.9999999999999432</x:v>
      </x:c>
      <x:c r="J115" s="12" t="n">
        <x:v>1</x:v>
      </x:c>
    </x:row>
    <x:row r="116" ht="18" customHeight="1">
      <x:c r="A116" s="13" t="n">
        <x:v>42747</x:v>
      </x:c>
      <x:c r="B116" s="12" t="n">
        <x:v>3317.6241</x:v>
      </x:c>
      <x:c r="C116" s="12" t="n">
        <x:v>3334.4954</x:v>
      </x:c>
      <x:c r="D116" s="12" t="n">
        <x:v>-0.506</x:v>
      </x:c>
      <x:c r="E116" s="12" t="n">
        <x:v>-0.005072469361016922</x:v>
      </x:c>
      <x:c r="F116" s="13" t="n">
        <x:v>42746</x:v>
      </x:c>
      <x:c r="G116" s="12" t="n">
        <x:v>4.03</x:v>
      </x:c>
      <x:c r="H116" s="12" t="n">
        <x:v>403</x:v>
      </x:c>
      <x:c r="I116" s="12" t="n">
        <x:v>3</x:v>
      </x:c>
      <x:c r="J116" s="12" t="n">
        <x:v>1</x:v>
      </x:c>
    </x:row>
    <x:row r="117" ht="18" customHeight="1">
      <x:c r="A117" s="13" t="n">
        <x:v>42748</x:v>
      </x:c>
      <x:c r="B117" s="12" t="n">
        <x:v>3319.9122</x:v>
      </x:c>
      <x:c r="C117" s="12" t="n">
        <x:v>3317.6241</x:v>
      </x:c>
      <x:c r="D117" s="12" t="n">
        <x:v>0.069</x:v>
      </x:c>
      <x:c r="E117" s="12" t="n">
        <x:v>0.0006894425844824638</x:v>
      </x:c>
      <x:c r="F117" s="13" t="n">
        <x:v>42747</x:v>
      </x:c>
      <x:c r="G117" s="12" t="n">
        <x:v>4.05</x:v>
      </x:c>
      <x:c r="H117" s="12" t="n">
        <x:v>405</x:v>
      </x:c>
      <x:c r="I117" s="12" t="n">
        <x:v>2</x:v>
      </x:c>
      <x:c r="J117" s="12" t="n">
        <x:v>1</x:v>
      </x:c>
    </x:row>
    <x:row r="118" ht="18" customHeight="1">
      <x:c r="A118" s="13" t="n">
        <x:v>42751</x:v>
      </x:c>
      <x:c r="B118" s="12" t="n">
        <x:v>3319.4455</x:v>
      </x:c>
      <x:c r="C118" s="12" t="n">
        <x:v>3319.9122</x:v>
      </x:c>
      <x:c r="D118" s="12" t="n">
        <x:v>-0.0141</x:v>
      </x:c>
      <x:c r="E118" s="12" t="n">
        <x:v>-0.0001405858885322311</x:v>
      </x:c>
      <x:c r="F118" s="13" t="n">
        <x:v>42748</x:v>
      </x:c>
      <x:c r="G118" s="12" t="n">
        <x:v>4.02</x:v>
      </x:c>
      <x:c r="H118" s="12" t="n">
        <x:v>401.99999999999994</x:v>
      </x:c>
      <x:c r="I118" s="12" t="n">
        <x:v>-3.000000000000057</x:v>
      </x:c>
      <x:c r="J118" s="12" t="n">
        <x:v>3</x:v>
      </x:c>
    </x:row>
    <x:row r="119" ht="18" customHeight="1">
      <x:c r="A119" s="13" t="n">
        <x:v>42752</x:v>
      </x:c>
      <x:c r="B119" s="12" t="n">
        <x:v>3326.3563</x:v>
      </x:c>
      <x:c r="C119" s="12" t="n">
        <x:v>3319.4455</x:v>
      </x:c>
      <x:c r="D119" s="12" t="n">
        <x:v>0.2082</x:v>
      </x:c>
      <x:c r="E119" s="12" t="n">
        <x:v>0.002079749802642117</x:v>
      </x:c>
      <x:c r="F119" s="13" t="n">
        <x:v>42751</x:v>
      </x:c>
      <x:c r="G119" s="12" t="n">
        <x:v>4</x:v>
      </x:c>
      <x:c r="H119" s="12" t="n">
        <x:v>400</x:v>
      </x:c>
      <x:c r="I119" s="12" t="n">
        <x:v>-1.9999999999999432</x:v>
      </x:c>
      <x:c r="J119" s="12" t="n">
        <x:v>1</x:v>
      </x:c>
    </x:row>
    <x:row r="120" ht="18" customHeight="1">
      <x:c r="A120" s="13" t="n">
        <x:v>42753</x:v>
      </x:c>
      <x:c r="B120" s="12" t="n">
        <x:v>3339.3653</x:v>
      </x:c>
      <x:c r="C120" s="12" t="n">
        <x:v>3326.3563</x:v>
      </x:c>
      <x:c r="D120" s="12" t="n">
        <x:v>0.3911</x:v>
      </x:c>
      <x:c r="E120" s="12" t="n">
        <x:v>0.0039032582808338225</x:v>
      </x:c>
      <x:c r="F120" s="13" t="n">
        <x:v>42752</x:v>
      </x:c>
      <x:c r="G120" s="12" t="n">
        <x:v>4.06</x:v>
      </x:c>
      <x:c r="H120" s="12" t="n">
        <x:v>405.99999999999994</x:v>
      </x:c>
      <x:c r="I120" s="12" t="n">
        <x:v>5.999999999999943</x:v>
      </x:c>
      <x:c r="J120" s="12" t="n">
        <x:v>1</x:v>
      </x:c>
    </x:row>
    <x:row r="121" ht="18" customHeight="1">
      <x:c r="A121" s="13" t="n">
        <x:v>42754</x:v>
      </x:c>
      <x:c r="B121" s="12" t="n">
        <x:v>3329.2891</x:v>
      </x:c>
      <x:c r="C121" s="12" t="n">
        <x:v>3339.3653</x:v>
      </x:c>
      <x:c r="D121" s="12" t="n">
        <x:v>-0.3017</x:v>
      </x:c>
      <x:c r="E121" s="12" t="n">
        <x:v>-0.003021961272486019</x:v>
      </x:c>
      <x:c r="F121" s="13" t="n">
        <x:v>42753</x:v>
      </x:c>
      <x:c r="G121" s="12" t="n">
        <x:v>4.01</x:v>
      </x:c>
      <x:c r="H121" s="12" t="n">
        <x:v>401</x:v>
      </x:c>
      <x:c r="I121" s="12" t="n">
        <x:v>-4.999999999999943</x:v>
      </x:c>
      <x:c r="J121" s="12" t="n">
        <x:v>1</x:v>
      </x:c>
    </x:row>
    <x:row r="122" ht="18" customHeight="1">
      <x:c r="A122" s="13" t="n">
        <x:v>42755</x:v>
      </x:c>
      <x:c r="B122" s="12" t="n">
        <x:v>3354.8891</x:v>
      </x:c>
      <x:c r="C122" s="12" t="n">
        <x:v>3329.2891</x:v>
      </x:c>
      <x:c r="D122" s="12" t="n">
        <x:v>0.7689</x:v>
      </x:c>
      <x:c r="E122" s="12" t="n">
        <x:v>0.007659917017705633</x:v>
      </x:c>
      <x:c r="F122" s="13" t="n">
        <x:v>42754</x:v>
      </x:c>
      <x:c r="G122" s="12" t="n">
        <x:v>3.99</x:v>
      </x:c>
      <x:c r="H122" s="12" t="n">
        <x:v>399</x:v>
      </x:c>
      <x:c r="I122" s="12" t="n">
        <x:v>-2</x:v>
      </x:c>
      <x:c r="J122" s="12" t="n">
        <x:v>1</x:v>
      </x:c>
    </x:row>
    <x:row r="123" ht="18" customHeight="1">
      <x:c r="A123" s="13" t="n">
        <x:v>42758</x:v>
      </x:c>
      <x:c r="B123" s="12" t="n">
        <x:v>3364.0808</x:v>
      </x:c>
      <x:c r="C123" s="12" t="n">
        <x:v>3354.8891</x:v>
      </x:c>
      <x:c r="D123" s="12" t="n">
        <x:v>0.274</x:v>
      </x:c>
      <x:c r="E123" s="12" t="n">
        <x:v>0.0027360461114876037</x:v>
      </x:c>
      <x:c r="F123" s="13" t="n">
        <x:v>42755</x:v>
      </x:c>
      <x:c r="G123" s="12" t="n">
        <x:v>4.02</x:v>
      </x:c>
      <x:c r="H123" s="12" t="n">
        <x:v>401.99999999999994</x:v>
      </x:c>
      <x:c r="I123" s="12" t="n">
        <x:v>2.999999999999943</x:v>
      </x:c>
      <x:c r="J123" s="12" t="n">
        <x:v>3</x:v>
      </x:c>
    </x:row>
    <x:row r="124" ht="18" customHeight="1">
      <x:c r="A124" s="13" t="n">
        <x:v>42759</x:v>
      </x:c>
      <x:c r="B124" s="12" t="n">
        <x:v>3364.4509</x:v>
      </x:c>
      <x:c r="C124" s="12" t="n">
        <x:v>3364.0808</x:v>
      </x:c>
      <x:c r="D124" s="12" t="n">
        <x:v>0.011</x:v>
      </x:c>
      <x:c r="E124" s="12" t="n">
        <x:v>0.00011000914222430327</x:v>
      </x:c>
      <x:c r="F124" s="13" t="n">
        <x:v>42758</x:v>
      </x:c>
      <x:c r="G124" s="12" t="n">
        <x:v>4.1</x:v>
      </x:c>
      <x:c r="H124" s="12" t="n">
        <x:v>409.99999999999994</x:v>
      </x:c>
      <x:c r="I124" s="12" t="n">
        <x:v>8</x:v>
      </x:c>
      <x:c r="J124" s="12" t="n">
        <x:v>1</x:v>
      </x:c>
    </x:row>
    <x:row r="125" ht="18" customHeight="1">
      <x:c r="A125" s="13" t="n">
        <x:v>42760</x:v>
      </x:c>
      <x:c r="B125" s="12" t="n">
        <x:v>3375.9042</x:v>
      </x:c>
      <x:c r="C125" s="12" t="n">
        <x:v>3364.4509</x:v>
      </x:c>
      <x:c r="D125" s="12" t="n">
        <x:v>0.3404</x:v>
      </x:c>
      <x:c r="E125" s="12" t="n">
        <x:v>0.0033984295643869795</x:v>
      </x:c>
      <x:c r="F125" s="13" t="n">
        <x:v>42759</x:v>
      </x:c>
      <x:c r="G125" s="12" t="n">
        <x:v>4.02</x:v>
      </x:c>
      <x:c r="H125" s="12" t="n">
        <x:v>401.99999999999994</x:v>
      </x:c>
      <x:c r="I125" s="12" t="n">
        <x:v>-8</x:v>
      </x:c>
      <x:c r="J125" s="12" t="n">
        <x:v>1</x:v>
      </x:c>
    </x:row>
    <x:row r="126" ht="18" customHeight="1">
      <x:c r="A126" s="13" t="n">
        <x:v>42761</x:v>
      </x:c>
      <x:c r="B126" s="12" t="n">
        <x:v>3387.9606</x:v>
      </x:c>
      <x:c r="C126" s="12" t="n">
        <x:v>3375.9042</x:v>
      </x:c>
      <x:c r="D126" s="12" t="n">
        <x:v>0.3571</x:v>
      </x:c>
      <x:c r="E126" s="12" t="n">
        <x:v>0.003564947888545204</x:v>
      </x:c>
      <x:c r="F126" s="13" t="n">
        <x:v>42760</x:v>
      </x:c>
      <x:c r="G126" s="12" t="n">
        <x:v>3.93</x:v>
      </x:c>
      <x:c r="H126" s="12" t="n">
        <x:v>393</x:v>
      </x:c>
      <x:c r="I126" s="12" t="n">
        <x:v>-8.999999999999943</x:v>
      </x:c>
      <x:c r="J126" s="12" t="n">
        <x:v>1</x:v>
      </x:c>
    </x:row>
    <x:row r="127" ht="18" customHeight="1">
      <x:c r="A127" s="13" t="n">
        <x:v>42769</x:v>
      </x:c>
      <x:c r="B127" s="12" t="n">
        <x:v>3364.4923</x:v>
      </x:c>
      <x:c r="C127" s="12" t="n">
        <x:v>3387.9606</x:v>
      </x:c>
      <x:c r="D127" s="12" t="n">
        <x:v>-0.6927</x:v>
      </x:c>
      <x:c r="E127" s="12" t="n">
        <x:v>-0.006951072400334702</x:v>
      </x:c>
      <x:c r="F127" s="13" t="n">
        <x:v>42768</x:v>
      </x:c>
      <x:c r="G127" s="12" t="n">
        <x:v>3.93</x:v>
      </x:c>
      <x:c r="H127" s="12" t="n">
        <x:v>393</x:v>
      </x:c>
      <x:c r="I127" s="12" t="n">
        <x:v>-2</x:v>
      </x:c>
      <x:c r="J127" s="12" t="n">
        <x:v>1</x:v>
      </x:c>
    </x:row>
    <x:row r="128" ht="18" customHeight="1">
      <x:c r="A128" s="13" t="n">
        <x:v>42772</x:v>
      </x:c>
      <x:c r="B128" s="12" t="n">
        <x:v>3373.2051</x:v>
      </x:c>
      <x:c r="C128" s="12" t="n">
        <x:v>3364.4923</x:v>
      </x:c>
      <x:c r="D128" s="12" t="n">
        <x:v>0.259</x:v>
      </x:c>
      <x:c r="E128" s="12" t="n">
        <x:v>0.002586285592632144</x:v>
      </x:c>
      <x:c r="F128" s="13" t="n">
        <x:v>42769</x:v>
      </x:c>
      <x:c r="G128" s="12" t="n">
        <x:v>3.86</x:v>
      </x:c>
      <x:c r="H128" s="12" t="n">
        <x:v>386</x:v>
      </x:c>
      <x:c r="I128" s="12" t="n">
        <x:v>-7</x:v>
      </x:c>
      <x:c r="J128" s="12" t="n">
        <x:v>3</x:v>
      </x:c>
    </x:row>
    <x:row r="129" ht="18" customHeight="1">
      <x:c r="A129" s="13" t="n">
        <x:v>42773</x:v>
      </x:c>
      <x:c r="B129" s="12" t="n">
        <x:v>3365.6849</x:v>
      </x:c>
      <x:c r="C129" s="12" t="n">
        <x:v>3373.2051</x:v>
      </x:c>
      <x:c r="D129" s="12" t="n">
        <x:v>-0.2229</x:v>
      </x:c>
      <x:c r="E129" s="12" t="n">
        <x:v>-0.0022318818445456945</x:v>
      </x:c>
      <x:c r="F129" s="13" t="n">
        <x:v>42772</x:v>
      </x:c>
      <x:c r="G129" s="12" t="n">
        <x:v>3.91</x:v>
      </x:c>
      <x:c r="H129" s="12" t="n">
        <x:v>391</x:v>
      </x:c>
      <x:c r="I129" s="12" t="n">
        <x:v>5</x:v>
      </x:c>
      <x:c r="J129" s="12" t="n">
        <x:v>1</x:v>
      </x:c>
    </x:row>
    <x:row r="130" ht="18" customHeight="1">
      <x:c r="A130" s="13" t="n">
        <x:v>42774</x:v>
      </x:c>
      <x:c r="B130" s="12" t="n">
        <x:v>3383.2878</x:v>
      </x:c>
      <x:c r="C130" s="12" t="n">
        <x:v>3365.6849</x:v>
      </x:c>
      <x:c r="D130" s="12" t="n">
        <x:v>0.523</x:v>
      </x:c>
      <x:c r="E130" s="12" t="n">
        <x:v>0.005216479810918396</x:v>
      </x:c>
      <x:c r="F130" s="13" t="n">
        <x:v>42773</x:v>
      </x:c>
      <x:c r="G130" s="12" t="n">
        <x:v>3.93</x:v>
      </x:c>
      <x:c r="H130" s="12" t="n">
        <x:v>393</x:v>
      </x:c>
      <x:c r="I130" s="12" t="n">
        <x:v>2</x:v>
      </x:c>
      <x:c r="J130" s="12" t="n">
        <x:v>1</x:v>
      </x:c>
    </x:row>
    <x:row r="131" ht="18" customHeight="1">
      <x:c r="A131" s="13" t="n">
        <x:v>42775</x:v>
      </x:c>
      <x:c r="B131" s="12" t="n">
        <x:v>3396.2924</x:v>
      </x:c>
      <x:c r="C131" s="12" t="n">
        <x:v>3383.2878</x:v>
      </x:c>
      <x:c r="D131" s="12" t="n">
        <x:v>0.3844</x:v>
      </x:c>
      <x:c r="E131" s="12" t="n">
        <x:v>0.003836407437192441</x:v>
      </x:c>
      <x:c r="F131" s="13" t="n">
        <x:v>42774</x:v>
      </x:c>
      <x:c r="G131" s="12" t="n">
        <x:v>3.98</x:v>
      </x:c>
      <x:c r="H131" s="12" t="n">
        <x:v>398</x:v>
      </x:c>
      <x:c r="I131" s="12" t="n">
        <x:v>5</x:v>
      </x:c>
      <x:c r="J131" s="12" t="n">
        <x:v>1</x:v>
      </x:c>
    </x:row>
    <x:row r="132" ht="18" customHeight="1">
      <x:c r="A132" s="13" t="n">
        <x:v>42776</x:v>
      </x:c>
      <x:c r="B132" s="12" t="n">
        <x:v>3413.4868</x:v>
      </x:c>
      <x:c r="C132" s="12" t="n">
        <x:v>3396.2924</x:v>
      </x:c>
      <x:c r="D132" s="12" t="n">
        <x:v>0.5063</x:v>
      </x:c>
      <x:c r="E132" s="12" t="n">
        <x:v>0.005049924831800413</x:v>
      </x:c>
      <x:c r="F132" s="13" t="n">
        <x:v>42775</x:v>
      </x:c>
      <x:c r="G132" s="12" t="n">
        <x:v>3.93</x:v>
      </x:c>
      <x:c r="H132" s="12" t="n">
        <x:v>393</x:v>
      </x:c>
      <x:c r="I132" s="12" t="n">
        <x:v>-5</x:v>
      </x:c>
      <x:c r="J132" s="12" t="n">
        <x:v>1</x:v>
      </x:c>
    </x:row>
    <x:row r="133" ht="18" customHeight="1">
      <x:c r="A133" s="13" t="n">
        <x:v>42779</x:v>
      </x:c>
      <x:c r="B133" s="12" t="n">
        <x:v>3436.275</x:v>
      </x:c>
      <x:c r="C133" s="12" t="n">
        <x:v>3413.4868</x:v>
      </x:c>
      <x:c r="D133" s="12" t="n">
        <x:v>0.6676</x:v>
      </x:c>
      <x:c r="E133" s="12" t="n">
        <x:v>0.006653744973676488</x:v>
      </x:c>
      <x:c r="F133" s="13" t="n">
        <x:v>42776</x:v>
      </x:c>
      <x:c r="G133" s="12" t="n">
        <x:v>3.9</x:v>
      </x:c>
      <x:c r="H133" s="12" t="n">
        <x:v>390</x:v>
      </x:c>
      <x:c r="I133" s="12" t="n">
        <x:v>-3</x:v>
      </x:c>
      <x:c r="J133" s="12" t="n">
        <x:v>3</x:v>
      </x:c>
    </x:row>
    <x:row r="134" ht="18" customHeight="1">
      <x:c r="A134" s="13" t="n">
        <x:v>42780</x:v>
      </x:c>
      <x:c r="B134" s="12" t="n">
        <x:v>3435.8042</x:v>
      </x:c>
      <x:c r="C134" s="12" t="n">
        <x:v>3436.275</x:v>
      </x:c>
      <x:c r="D134" s="12" t="n">
        <x:v>-0.0137</x:v>
      </x:c>
      <x:c r="E134" s="12" t="n">
        <x:v>-0.00013701821152957766</x:v>
      </x:c>
      <x:c r="F134" s="13" t="n">
        <x:v>42779</x:v>
      </x:c>
      <x:c r="G134" s="12" t="n">
        <x:v>3.86</x:v>
      </x:c>
      <x:c r="H134" s="12" t="n">
        <x:v>386</x:v>
      </x:c>
      <x:c r="I134" s="12" t="n">
        <x:v>-4</x:v>
      </x:c>
      <x:c r="J134" s="12" t="n">
        <x:v>1</x:v>
      </x:c>
    </x:row>
    <x:row r="135" ht="18" customHeight="1">
      <x:c r="A135" s="13" t="n">
        <x:v>42781</x:v>
      </x:c>
      <x:c r="B135" s="12" t="n">
        <x:v>3421.7131</x:v>
      </x:c>
      <x:c r="C135" s="12" t="n">
        <x:v>3435.8042</x:v>
      </x:c>
      <x:c r="D135" s="12" t="n">
        <x:v>-0.4101</x:v>
      </x:c>
      <x:c r="E135" s="12" t="n">
        <x:v>-0.004109685536673305</x:v>
      </x:c>
      <x:c r="F135" s="13" t="n">
        <x:v>42780</x:v>
      </x:c>
      <x:c r="G135" s="12" t="n">
        <x:v>3.8</x:v>
      </x:c>
      <x:c r="H135" s="12" t="n">
        <x:v>380</x:v>
      </x:c>
      <x:c r="I135" s="12" t="n">
        <x:v>-6</x:v>
      </x:c>
      <x:c r="J135" s="12" t="n">
        <x:v>1</x:v>
      </x:c>
    </x:row>
    <x:row r="136" ht="18" customHeight="1">
      <x:c r="A136" s="13" t="n">
        <x:v>42782</x:v>
      </x:c>
      <x:c r="B136" s="12" t="n">
        <x:v>3440.9331</x:v>
      </x:c>
      <x:c r="C136" s="12" t="n">
        <x:v>3421.7131</x:v>
      </x:c>
      <x:c r="D136" s="12" t="n">
        <x:v>0.5617</x:v>
      </x:c>
      <x:c r="E136" s="12" t="n">
        <x:v>0.005601352508163811</x:v>
      </x:c>
      <x:c r="F136" s="13" t="n">
        <x:v>42781</x:v>
      </x:c>
      <x:c r="G136" s="12" t="n">
        <x:v>3.77</x:v>
      </x:c>
      <x:c r="H136" s="12" t="n">
        <x:v>377</x:v>
      </x:c>
      <x:c r="I136" s="12" t="n">
        <x:v>-3</x:v>
      </x:c>
      <x:c r="J136" s="12" t="n">
        <x:v>1</x:v>
      </x:c>
    </x:row>
    <x:row r="137" ht="18" customHeight="1">
      <x:c r="A137" s="13" t="n">
        <x:v>42783</x:v>
      </x:c>
      <x:c r="B137" s="12" t="n">
        <x:v>3421.4419</x:v>
      </x:c>
      <x:c r="C137" s="12" t="n">
        <x:v>3440.9331</x:v>
      </x:c>
      <x:c r="D137" s="12" t="n">
        <x:v>-0.5665</x:v>
      </x:c>
      <x:c r="E137" s="12" t="n">
        <x:v>-0.005680614193787631</x:v>
      </x:c>
      <x:c r="F137" s="13" t="n">
        <x:v>42782</x:v>
      </x:c>
      <x:c r="G137" s="12" t="n">
        <x:v>3.83</x:v>
      </x:c>
      <x:c r="H137" s="12" t="n">
        <x:v>383</x:v>
      </x:c>
      <x:c r="I137" s="12" t="n">
        <x:v>6</x:v>
      </x:c>
      <x:c r="J137" s="12" t="n">
        <x:v>1</x:v>
      </x:c>
    </x:row>
    <x:row r="138" ht="18" customHeight="1">
      <x:c r="A138" s="13" t="n">
        <x:v>42786</x:v>
      </x:c>
      <x:c r="B138" s="12" t="n">
        <x:v>3471.3926</x:v>
      </x:c>
      <x:c r="C138" s="12" t="n">
        <x:v>3421.4419</x:v>
      </x:c>
      <x:c r="D138" s="12" t="n">
        <x:v>1.4599</x:v>
      </x:c>
      <x:c r="E138" s="12" t="n">
        <x:v>0.014493768687695141</x:v>
      </x:c>
      <x:c r="F138" s="13" t="n">
        <x:v>42783</x:v>
      </x:c>
      <x:c r="G138" s="12" t="n">
        <x:v>3.86</x:v>
      </x:c>
      <x:c r="H138" s="12" t="n">
        <x:v>386</x:v>
      </x:c>
      <x:c r="I138" s="12" t="n">
        <x:v>3</x:v>
      </x:c>
      <x:c r="J138" s="12" t="n">
        <x:v>3</x:v>
      </x:c>
    </x:row>
    <x:row r="139" ht="18" customHeight="1">
      <x:c r="A139" s="13" t="n">
        <x:v>42787</x:v>
      </x:c>
      <x:c r="B139" s="12" t="n">
        <x:v>3482.823</x:v>
      </x:c>
      <x:c r="C139" s="12" t="n">
        <x:v>3471.3926</x:v>
      </x:c>
      <x:c r="D139" s="12" t="n">
        <x:v>0.3293</x:v>
      </x:c>
      <x:c r="E139" s="12" t="n">
        <x:v>0.0032873327348675757</x:v>
      </x:c>
      <x:c r="F139" s="13" t="n">
        <x:v>42786</x:v>
      </x:c>
      <x:c r="G139" s="12" t="n">
        <x:v>3.86</x:v>
      </x:c>
      <x:c r="H139" s="12" t="n">
        <x:v>386</x:v>
      </x:c>
      <x:c r="I139" s="12" t="n">
        <x:v>0</x:v>
      </x:c>
      <x:c r="J139" s="12" t="n">
        <x:v>1</x:v>
      </x:c>
    </x:row>
    <x:row r="140" ht="18" customHeight="1">
      <x:c r="A140" s="13" t="n">
        <x:v>42788</x:v>
      </x:c>
      <x:c r="B140" s="12" t="n">
        <x:v>3489.7567</x:v>
      </x:c>
      <x:c r="C140" s="12" t="n">
        <x:v>3482.823</x:v>
      </x:c>
      <x:c r="D140" s="12" t="n">
        <x:v>0.1991</x:v>
      </x:c>
      <x:c r="E140" s="12" t="n">
        <x:v>0.0019888484847383437</x:v>
      </x:c>
      <x:c r="F140" s="13" t="n">
        <x:v>42787</x:v>
      </x:c>
      <x:c r="G140" s="12" t="n">
        <x:v>3.81</x:v>
      </x:c>
      <x:c r="H140" s="12" t="n">
        <x:v>381</x:v>
      </x:c>
      <x:c r="I140" s="12" t="n">
        <x:v>-5</x:v>
      </x:c>
      <x:c r="J140" s="12" t="n">
        <x:v>1</x:v>
      </x:c>
    </x:row>
    <x:row r="141" ht="18" customHeight="1">
      <x:c r="A141" s="13" t="n">
        <x:v>42789</x:v>
      </x:c>
      <x:c r="B141" s="12" t="n">
        <x:v>3473.3236</x:v>
      </x:c>
      <x:c r="C141" s="12" t="n">
        <x:v>3489.7567</x:v>
      </x:c>
      <x:c r="D141" s="12" t="n">
        <x:v>-0.4709</x:v>
      </x:c>
      <x:c r="E141" s="12" t="n">
        <x:v>-0.004720074967268536</x:v>
      </x:c>
      <x:c r="F141" s="13" t="n">
        <x:v>42788</x:v>
      </x:c>
      <x:c r="G141" s="12" t="n">
        <x:v>3.78</x:v>
      </x:c>
      <x:c r="H141" s="12" t="n">
        <x:v>378</x:v>
      </x:c>
      <x:c r="I141" s="12" t="n">
        <x:v>-3</x:v>
      </x:c>
      <x:c r="J141" s="12" t="n">
        <x:v>1</x:v>
      </x:c>
    </x:row>
    <x:row r="142" ht="18" customHeight="1">
      <x:c r="A142" s="13" t="n">
        <x:v>42790</x:v>
      </x:c>
      <x:c r="B142" s="12" t="n">
        <x:v>3473.8517</x:v>
      </x:c>
      <x:c r="C142" s="12" t="n">
        <x:v>3473.3236</x:v>
      </x:c>
      <x:c r="D142" s="12" t="n">
        <x:v>0.0152</x:v>
      </x:c>
      <x:c r="E142" s="12" t="n">
        <x:v>0.00015203301434385405</x:v>
      </x:c>
      <x:c r="F142" s="13" t="n">
        <x:v>42789</x:v>
      </x:c>
      <x:c r="G142" s="12" t="n">
        <x:v>3.77</x:v>
      </x:c>
      <x:c r="H142" s="12" t="n">
        <x:v>377</x:v>
      </x:c>
      <x:c r="I142" s="12" t="n">
        <x:v>-1</x:v>
      </x:c>
      <x:c r="J142" s="12" t="n">
        <x:v>1</x:v>
      </x:c>
    </x:row>
    <x:row r="143" ht="18" customHeight="1">
      <x:c r="A143" s="13" t="n">
        <x:v>42793</x:v>
      </x:c>
      <x:c r="B143" s="12" t="n">
        <x:v>3446.2228</x:v>
      </x:c>
      <x:c r="C143" s="12" t="n">
        <x:v>3473.8517</x:v>
      </x:c>
      <x:c r="D143" s="12" t="n">
        <x:v>-0.7953</x:v>
      </x:c>
      <x:c r="E143" s="12" t="n">
        <x:v>-0.007985187676467454</x:v>
      </x:c>
      <x:c r="F143" s="13" t="n">
        <x:v>42790</x:v>
      </x:c>
      <x:c r="G143" s="12" t="n">
        <x:v>3.84</x:v>
      </x:c>
      <x:c r="H143" s="12" t="n">
        <x:v>384</x:v>
      </x:c>
      <x:c r="I143" s="12" t="n">
        <x:v>7</x:v>
      </x:c>
      <x:c r="J143" s="12" t="n">
        <x:v>3</x:v>
      </x:c>
    </x:row>
    <x:row r="144" ht="18" customHeight="1">
      <x:c r="A144" s="13" t="n">
        <x:v>42794</x:v>
      </x:c>
      <x:c r="B144" s="12" t="n">
        <x:v>3452.8103</x:v>
      </x:c>
      <x:c r="C144" s="12" t="n">
        <x:v>3446.2228</x:v>
      </x:c>
      <x:c r="D144" s="12" t="n">
        <x:v>0.1912</x:v>
      </x:c>
      <x:c r="E144" s="12" t="n">
        <x:v>0.0019096884756218898</x:v>
      </x:c>
      <x:c r="F144" s="13" t="n">
        <x:v>42793</x:v>
      </x:c>
      <x:c r="G144" s="12" t="n">
        <x:v>3.75</x:v>
      </x:c>
      <x:c r="H144" s="12" t="n">
        <x:v>375</x:v>
      </x:c>
      <x:c r="I144" s="12" t="n">
        <x:v>-9</x:v>
      </x:c>
      <x:c r="J144" s="12" t="n">
        <x:v>1</x:v>
      </x:c>
    </x:row>
    <x:row r="145" ht="18" customHeight="1">
      <x:c r="A145" s="13" t="n">
        <x:v>42795</x:v>
      </x:c>
      <x:c r="B145" s="12" t="n">
        <x:v>3458.4376</x:v>
      </x:c>
      <x:c r="C145" s="12" t="n">
        <x:v>3452.8103</x:v>
      </x:c>
      <x:c r="D145" s="12" t="n">
        <x:v>0.163</x:v>
      </x:c>
      <x:c r="E145" s="12" t="n">
        <x:v>0.0016284472283388108</x:v>
      </x:c>
      <x:c r="F145" s="13" t="n">
        <x:v>42794</x:v>
      </x:c>
      <x:c r="G145" s="12" t="n">
        <x:v>3.74</x:v>
      </x:c>
      <x:c r="H145" s="12" t="n">
        <x:v>374</x:v>
      </x:c>
      <x:c r="I145" s="12" t="n">
        <x:v>-1</x:v>
      </x:c>
      <x:c r="J145" s="12" t="n">
        <x:v>1</x:v>
      </x:c>
    </x:row>
    <x:row r="146" ht="18" customHeight="1">
      <x:c r="A146" s="13" t="n">
        <x:v>42796</x:v>
      </x:c>
      <x:c r="B146" s="12" t="n">
        <x:v>3435.0963</x:v>
      </x:c>
      <x:c r="C146" s="12" t="n">
        <x:v>3458.4376</x:v>
      </x:c>
      <x:c r="D146" s="12" t="n">
        <x:v>-0.6749</x:v>
      </x:c>
      <x:c r="E146" s="12" t="n">
        <x:v>-0.0067719661759197015</x:v>
      </x:c>
      <x:c r="F146" s="13" t="n">
        <x:v>42795</x:v>
      </x:c>
      <x:c r="G146" s="12" t="n">
        <x:v>3.57</x:v>
      </x:c>
      <x:c r="H146" s="12" t="n">
        <x:v>357</x:v>
      </x:c>
      <x:c r="I146" s="12" t="n">
        <x:v>-17</x:v>
      </x:c>
      <x:c r="J146" s="12" t="n">
        <x:v>1</x:v>
      </x:c>
    </x:row>
    <x:row r="147" ht="18" customHeight="1">
      <x:c r="A147" s="13" t="n">
        <x:v>42797</x:v>
      </x:c>
      <x:c r="B147" s="12" t="n">
        <x:v>3427.8628</x:v>
      </x:c>
      <x:c r="C147" s="12" t="n">
        <x:v>3435.0963</x:v>
      </x:c>
      <x:c r="D147" s="12" t="n">
        <x:v>-0.2106</x:v>
      </x:c>
      <x:c r="E147" s="12" t="n">
        <x:v>-0.0021079836184837606</x:v>
      </x:c>
      <x:c r="F147" s="13" t="n">
        <x:v>42796</x:v>
      </x:c>
      <x:c r="G147" s="12" t="n">
        <x:v>3.55</x:v>
      </x:c>
      <x:c r="H147" s="12" t="n">
        <x:v>355</x:v>
      </x:c>
      <x:c r="I147" s="12" t="n">
        <x:v>-2</x:v>
      </x:c>
      <x:c r="J147" s="12" t="n">
        <x:v>1</x:v>
      </x:c>
    </x:row>
    <x:row r="148" ht="18" customHeight="1">
      <x:c r="A148" s="13" t="n">
        <x:v>42800</x:v>
      </x:c>
      <x:c r="B148" s="12" t="n">
        <x:v>3446.484</x:v>
      </x:c>
      <x:c r="C148" s="12" t="n">
        <x:v>3427.8628</x:v>
      </x:c>
      <x:c r="D148" s="12" t="n">
        <x:v>0.5432</x:v>
      </x:c>
      <x:c r="E148" s="12" t="n">
        <x:v>0.005417604344606997</x:v>
      </x:c>
      <x:c r="F148" s="13" t="n">
        <x:v>42797</x:v>
      </x:c>
      <x:c r="G148" s="12" t="n">
        <x:v>3.6</x:v>
      </x:c>
      <x:c r="H148" s="12" t="n">
        <x:v>360</x:v>
      </x:c>
      <x:c r="I148" s="12" t="n">
        <x:v>5</x:v>
      </x:c>
      <x:c r="J148" s="12" t="n">
        <x:v>3</x:v>
      </x:c>
    </x:row>
    <x:row r="149" ht="18" customHeight="1">
      <x:c r="A149" s="13" t="n">
        <x:v>42801</x:v>
      </x:c>
      <x:c r="B149" s="12" t="n">
        <x:v>3453.9565</x:v>
      </x:c>
      <x:c r="C149" s="12" t="n">
        <x:v>3446.484</x:v>
      </x:c>
      <x:c r="D149" s="12" t="n">
        <x:v>0.2168</x:v>
      </x:c>
      <x:c r="E149" s="12" t="n">
        <x:v>0.0021658046094139493</x:v>
      </x:c>
      <x:c r="F149" s="13" t="n">
        <x:v>42800</x:v>
      </x:c>
      <x:c r="G149" s="12" t="n">
        <x:v>3.66</x:v>
      </x:c>
      <x:c r="H149" s="12" t="n">
        <x:v>366</x:v>
      </x:c>
      <x:c r="I149" s="12" t="n">
        <x:v>6</x:v>
      </x:c>
      <x:c r="J149" s="12" t="n">
        <x:v>1</x:v>
      </x:c>
    </x:row>
    <x:row r="150" ht="18" customHeight="1">
      <x:c r="A150" s="13" t="n">
        <x:v>42802</x:v>
      </x:c>
      <x:c r="B150" s="12" t="n">
        <x:v>3448.7313</x:v>
      </x:c>
      <x:c r="C150" s="12" t="n">
        <x:v>3453.9565</x:v>
      </x:c>
      <x:c r="D150" s="12" t="n">
        <x:v>-0.1513</x:v>
      </x:c>
      <x:c r="E150" s="12" t="n">
        <x:v>-0.0015139612711579506</x:v>
      </x:c>
      <x:c r="F150" s="13" t="n">
        <x:v>42801</x:v>
      </x:c>
      <x:c r="G150" s="12" t="n">
        <x:v>3.73</x:v>
      </x:c>
      <x:c r="H150" s="12" t="n">
        <x:v>373</x:v>
      </x:c>
      <x:c r="I150" s="12" t="n">
        <x:v>7</x:v>
      </x:c>
      <x:c r="J150" s="12" t="n">
        <x:v>1</x:v>
      </x:c>
    </x:row>
    <x:row r="151" ht="18" customHeight="1">
      <x:c r="A151" s="13" t="n">
        <x:v>42803</x:v>
      </x:c>
      <x:c r="B151" s="12" t="n">
        <x:v>3426.9438</x:v>
      </x:c>
      <x:c r="C151" s="12" t="n">
        <x:v>3448.7313</x:v>
      </x:c>
      <x:c r="D151" s="12" t="n">
        <x:v>-0.6318</x:v>
      </x:c>
      <x:c r="E151" s="12" t="n">
        <x:v>-0.0063375807051733735</x:v>
      </x:c>
      <x:c r="F151" s="13" t="n">
        <x:v>42802</x:v>
      </x:c>
      <x:c r="G151" s="12" t="n">
        <x:v>3.79</x:v>
      </x:c>
      <x:c r="H151" s="12" t="n">
        <x:v>379</x:v>
      </x:c>
      <x:c r="I151" s="12" t="n">
        <x:v>6</x:v>
      </x:c>
      <x:c r="J151" s="12" t="n">
        <x:v>1</x:v>
      </x:c>
    </x:row>
    <x:row r="152" ht="18" customHeight="1">
      <x:c r="A152" s="13" t="n">
        <x:v>42804</x:v>
      </x:c>
      <x:c r="B152" s="12" t="n">
        <x:v>3427.8916</x:v>
      </x:c>
      <x:c r="C152" s="12" t="n">
        <x:v>3426.9438</x:v>
      </x:c>
      <x:c r="D152" s="12" t="n">
        <x:v>0.0277</x:v>
      </x:c>
      <x:c r="E152" s="12" t="n">
        <x:v>0.00027653472351488564</x:v>
      </x:c>
      <x:c r="F152" s="13" t="n">
        <x:v>42803</x:v>
      </x:c>
      <x:c r="G152" s="12" t="n">
        <x:v>3.88</x:v>
      </x:c>
      <x:c r="H152" s="12" t="n">
        <x:v>388</x:v>
      </x:c>
      <x:c r="I152" s="12" t="n">
        <x:v>9</x:v>
      </x:c>
      <x:c r="J152" s="12" t="n">
        <x:v>1</x:v>
      </x:c>
    </x:row>
    <x:row r="153" ht="18" customHeight="1">
      <x:c r="A153" s="13" t="n">
        <x:v>42807</x:v>
      </x:c>
      <x:c r="B153" s="12" t="n">
        <x:v>3458.098</x:v>
      </x:c>
      <x:c r="C153" s="12" t="n">
        <x:v>3427.8916</x:v>
      </x:c>
      <x:c r="D153" s="12" t="n">
        <x:v>0.8812</x:v>
      </x:c>
      <x:c r="E153" s="12" t="n">
        <x:v>0.00877334864193802</x:v>
      </x:c>
      <x:c r="F153" s="13" t="n">
        <x:v>42804</x:v>
      </x:c>
      <x:c r="G153" s="12" t="n">
        <x:v>3.89</x:v>
      </x:c>
      <x:c r="H153" s="12" t="n">
        <x:v>389</x:v>
      </x:c>
      <x:c r="I153" s="12" t="n">
        <x:v>1</x:v>
      </x:c>
      <x:c r="J153" s="12" t="n">
        <x:v>3</x:v>
      </x:c>
    </x:row>
    <x:row r="154" ht="18" customHeight="1">
      <x:c r="A154" s="13" t="n">
        <x:v>42808</x:v>
      </x:c>
      <x:c r="B154" s="12" t="n">
        <x:v>3456.6934</x:v>
      </x:c>
      <x:c r="C154" s="12" t="n">
        <x:v>3458.098</x:v>
      </x:c>
      <x:c r="D154" s="12" t="n">
        <x:v>-0.0406</x:v>
      </x:c>
      <x:c r="E154" s="12" t="n">
        <x:v>-0.00040625954944027487</x:v>
      </x:c>
      <x:c r="F154" s="13" t="n">
        <x:v>42807</x:v>
      </x:c>
      <x:c r="G154" s="12" t="n">
        <x:v>3.94</x:v>
      </x:c>
      <x:c r="H154" s="12" t="n">
        <x:v>394</x:v>
      </x:c>
      <x:c r="I154" s="12" t="n">
        <x:v>5</x:v>
      </x:c>
      <x:c r="J154" s="12" t="n">
        <x:v>1</x:v>
      </x:c>
    </x:row>
    <x:row r="155" ht="18" customHeight="1">
      <x:c r="A155" s="13" t="n">
        <x:v>42809</x:v>
      </x:c>
      <x:c r="B155" s="12" t="n">
        <x:v>3463.6436</x:v>
      </x:c>
      <x:c r="C155" s="12" t="n">
        <x:v>3456.6934</x:v>
      </x:c>
      <x:c r="D155" s="12" t="n">
        <x:v>0.2011</x:v>
      </x:c>
      <x:c r="E155" s="12" t="n">
        <x:v>0.0020086311798897453</x:v>
      </x:c>
      <x:c r="F155" s="13" t="n">
        <x:v>42808</x:v>
      </x:c>
      <x:c r="G155" s="12" t="n">
        <x:v>4.05</x:v>
      </x:c>
      <x:c r="H155" s="12" t="n">
        <x:v>405</x:v>
      </x:c>
      <x:c r="I155" s="12" t="n">
        <x:v>11</x:v>
      </x:c>
      <x:c r="J155" s="12" t="n">
        <x:v>1</x:v>
      </x:c>
    </x:row>
    <x:row r="156" ht="18" customHeight="1">
      <x:c r="A156" s="13" t="n">
        <x:v>42810</x:v>
      </x:c>
      <x:c r="B156" s="12" t="n">
        <x:v>3481.5066</x:v>
      </x:c>
      <x:c r="C156" s="12" t="n">
        <x:v>3463.6436</x:v>
      </x:c>
      <x:c r="D156" s="12" t="n">
        <x:v>0.5157</x:v>
      </x:c>
      <x:c r="E156" s="12" t="n">
        <x:v>0.005144032562317347</x:v>
      </x:c>
      <x:c r="F156" s="13" t="n">
        <x:v>42809</x:v>
      </x:c>
      <x:c r="G156" s="12" t="n">
        <x:v>4.02</x:v>
      </x:c>
      <x:c r="H156" s="12" t="n">
        <x:v>401.99999999999994</x:v>
      </x:c>
      <x:c r="I156" s="12" t="n">
        <x:v>-3.000000000000057</x:v>
      </x:c>
      <x:c r="J156" s="12" t="n">
        <x:v>1</x:v>
      </x:c>
    </x:row>
    <x:row r="157" ht="18" customHeight="1">
      <x:c r="A157" s="13" t="n">
        <x:v>42811</x:v>
      </x:c>
      <x:c r="B157" s="12" t="n">
        <x:v>3445.8051</x:v>
      </x:c>
      <x:c r="C157" s="12" t="n">
        <x:v>3481.5066</x:v>
      </x:c>
      <x:c r="D157" s="12" t="n">
        <x:v>-1.0255</x:v>
      </x:c>
      <x:c r="E157" s="12" t="n">
        <x:v>-0.010307552955506163</x:v>
      </x:c>
      <x:c r="F157" s="13" t="n">
        <x:v>42810</x:v>
      </x:c>
      <x:c r="G157" s="12" t="n">
        <x:v>3.88</x:v>
      </x:c>
      <x:c r="H157" s="12" t="n">
        <x:v>388</x:v>
      </x:c>
      <x:c r="I157" s="12" t="n">
        <x:v>-13.999999999999943</x:v>
      </x:c>
      <x:c r="J157" s="12" t="n">
        <x:v>1</x:v>
      </x:c>
    </x:row>
    <x:row r="158" ht="18" customHeight="1">
      <x:c r="A158" s="13" t="n">
        <x:v>42814</x:v>
      </x:c>
      <x:c r="B158" s="12" t="n">
        <x:v>3449.6126</x:v>
      </x:c>
      <x:c r="C158" s="12" t="n">
        <x:v>3445.8051</x:v>
      </x:c>
      <x:c r="D158" s="12" t="n">
        <x:v>0.1105</x:v>
      </x:c>
      <x:c r="E158" s="12" t="n">
        <x:v>0.0011043567054596322</x:v>
      </x:c>
      <x:c r="F158" s="13" t="n">
        <x:v>42811</x:v>
      </x:c>
      <x:c r="G158" s="12" t="n">
        <x:v>3.91</x:v>
      </x:c>
      <x:c r="H158" s="12" t="n">
        <x:v>391</x:v>
      </x:c>
      <x:c r="I158" s="12" t="n">
        <x:v>3</x:v>
      </x:c>
      <x:c r="J158" s="12" t="n">
        <x:v>3</x:v>
      </x:c>
    </x:row>
    <x:row r="159" ht="18" customHeight="1">
      <x:c r="A159" s="13" t="n">
        <x:v>42815</x:v>
      </x:c>
      <x:c r="B159" s="12" t="n">
        <x:v>3466.3468</x:v>
      </x:c>
      <x:c r="C159" s="12" t="n">
        <x:v>3449.6126</x:v>
      </x:c>
      <x:c r="D159" s="12" t="n">
        <x:v>0.4851</x:v>
      </x:c>
      <x:c r="E159" s="12" t="n">
        <x:v>0.004839309108162561</x:v>
      </x:c>
      <x:c r="F159" s="13" t="n">
        <x:v>42814</x:v>
      </x:c>
      <x:c r="G159" s="12" t="n">
        <x:v>3.97</x:v>
      </x:c>
      <x:c r="H159" s="12" t="n">
        <x:v>397</x:v>
      </x:c>
      <x:c r="I159" s="12" t="n">
        <x:v>6</x:v>
      </x:c>
      <x:c r="J159" s="12" t="n">
        <x:v>1</x:v>
      </x:c>
    </x:row>
    <x:row r="160" ht="18" customHeight="1">
      <x:c r="A160" s="13" t="n">
        <x:v>42816</x:v>
      </x:c>
      <x:c r="B160" s="12" t="n">
        <x:v>3450.0502</x:v>
      </x:c>
      <x:c r="C160" s="12" t="n">
        <x:v>3466.3468</x:v>
      </x:c>
      <x:c r="D160" s="12" t="n">
        <x:v>-0.4701</x:v>
      </x:c>
      <x:c r="E160" s="12" t="n">
        <x:v>-0.0047124623293353035</x:v>
      </x:c>
      <x:c r="F160" s="13" t="n">
        <x:v>42815</x:v>
      </x:c>
      <x:c r="G160" s="12" t="n">
        <x:v>4.04</x:v>
      </x:c>
      <x:c r="H160" s="12" t="n">
        <x:v>404</x:v>
      </x:c>
      <x:c r="I160" s="12" t="n">
        <x:v>7</x:v>
      </x:c>
      <x:c r="J160" s="12" t="n">
        <x:v>1</x:v>
      </x:c>
    </x:row>
    <x:row r="161" ht="18" customHeight="1">
      <x:c r="A161" s="13" t="n">
        <x:v>42817</x:v>
      </x:c>
      <x:c r="B161" s="12" t="n">
        <x:v>3461.9782</x:v>
      </x:c>
      <x:c r="C161" s="12" t="n">
        <x:v>3450.0502</x:v>
      </x:c>
      <x:c r="D161" s="12" t="n">
        <x:v>0.3457</x:v>
      </x:c>
      <x:c r="E161" s="12" t="n">
        <x:v>0.003451378133960319</x:v>
      </x:c>
      <x:c r="F161" s="13" t="n">
        <x:v>42816</x:v>
      </x:c>
      <x:c r="G161" s="12" t="n">
        <x:v>4.16</x:v>
      </x:c>
      <x:c r="H161" s="12" t="n">
        <x:v>416</x:v>
      </x:c>
      <x:c r="I161" s="12" t="n">
        <x:v>12</x:v>
      </x:c>
      <x:c r="J161" s="12" t="n">
        <x:v>1</x:v>
      </x:c>
    </x:row>
    <x:row r="162" ht="18" customHeight="1">
      <x:c r="A162" s="13" t="n">
        <x:v>42818</x:v>
      </x:c>
      <x:c r="B162" s="12" t="n">
        <x:v>3489.5997</x:v>
      </x:c>
      <x:c r="C162" s="12" t="n">
        <x:v>3461.9782</x:v>
      </x:c>
      <x:c r="D162" s="12" t="n">
        <x:v>0.7979</x:v>
      </x:c>
      <x:c r="E162" s="12" t="n">
        <x:v>0.00794687069947966</x:v>
      </x:c>
      <x:c r="F162" s="13" t="n">
        <x:v>42817</x:v>
      </x:c>
      <x:c r="G162" s="12" t="n">
        <x:v>4.11</x:v>
      </x:c>
      <x:c r="H162" s="12" t="n">
        <x:v>411.00000000000006</x:v>
      </x:c>
      <x:c r="I162" s="12" t="n">
        <x:v>-4.999999999999943</x:v>
      </x:c>
      <x:c r="J162" s="12" t="n">
        <x:v>1</x:v>
      </x:c>
    </x:row>
    <x:row r="163" ht="18" customHeight="1">
      <x:c r="A163" s="13" t="n">
        <x:v>42821</x:v>
      </x:c>
      <x:c r="B163" s="12" t="n">
        <x:v>3478.0385</x:v>
      </x:c>
      <x:c r="C163" s="12" t="n">
        <x:v>3489.5997</x:v>
      </x:c>
      <x:c r="D163" s="12" t="n">
        <x:v>-0.3313</x:v>
      </x:c>
      <x:c r="E163" s="12" t="n">
        <x:v>-0.0033185450444427754</x:v>
      </x:c>
      <x:c r="F163" s="13" t="n">
        <x:v>42818</x:v>
      </x:c>
      <x:c r="G163" s="12" t="n">
        <x:v>4.07</x:v>
      </x:c>
      <x:c r="H163" s="12" t="n">
        <x:v>407</x:v>
      </x:c>
      <x:c r="I163" s="12" t="n">
        <x:v>-4.000000000000057</x:v>
      </x:c>
      <x:c r="J163" s="12" t="n">
        <x:v>3</x:v>
      </x:c>
    </x:row>
    <x:row r="164" ht="18" customHeight="1">
      <x:c r="A164" s="13" t="n">
        <x:v>42822</x:v>
      </x:c>
      <x:c r="B164" s="12" t="n">
        <x:v>3469.8093</x:v>
      </x:c>
      <x:c r="C164" s="12" t="n">
        <x:v>3478.0385</x:v>
      </x:c>
      <x:c r="D164" s="12" t="n">
        <x:v>-0.2366</x:v>
      </x:c>
      <x:c r="E164" s="12" t="n">
        <x:v>-0.002368849774787695</x:v>
      </x:c>
      <x:c r="F164" s="13" t="n">
        <x:v>42821</x:v>
      </x:c>
      <x:c r="G164" s="12" t="n">
        <x:v>4.12</x:v>
      </x:c>
      <x:c r="H164" s="12" t="n">
        <x:v>412</x:v>
      </x:c>
      <x:c r="I164" s="12" t="n">
        <x:v>5</x:v>
      </x:c>
      <x:c r="J164" s="12" t="n">
        <x:v>1</x:v>
      </x:c>
    </x:row>
    <x:row r="165" ht="18" customHeight="1">
      <x:c r="A165" s="13" t="n">
        <x:v>42823</x:v>
      </x:c>
      <x:c r="B165" s="12" t="n">
        <x:v>3465.1933</x:v>
      </x:c>
      <x:c r="C165" s="12" t="n">
        <x:v>3469.8093</x:v>
      </x:c>
      <x:c r="D165" s="12" t="n">
        <x:v>-0.133</x:v>
      </x:c>
      <x:c r="E165" s="12" t="n">
        <x:v>-0.001331218154607123</x:v>
      </x:c>
      <x:c r="F165" s="13" t="n">
        <x:v>42822</x:v>
      </x:c>
      <x:c r="G165" s="12" t="n">
        <x:v>4.01</x:v>
      </x:c>
      <x:c r="H165" s="12" t="n">
        <x:v>401</x:v>
      </x:c>
      <x:c r="I165" s="12" t="n">
        <x:v>-11</x:v>
      </x:c>
      <x:c r="J165" s="12" t="n">
        <x:v>1</x:v>
      </x:c>
    </x:row>
    <x:row r="166" ht="18" customHeight="1">
      <x:c r="A166" s="13" t="n">
        <x:v>42824</x:v>
      </x:c>
      <x:c r="B166" s="12" t="n">
        <x:v>3436.758</x:v>
      </x:c>
      <x:c r="C166" s="12" t="n">
        <x:v>3465.1933</x:v>
      </x:c>
      <x:c r="D166" s="12" t="n">
        <x:v>-0.8206</x:v>
      </x:c>
      <x:c r="E166" s="12" t="n">
        <x:v>-0.008239832374357891</x:v>
      </x:c>
      <x:c r="F166" s="13" t="n">
        <x:v>42823</x:v>
      </x:c>
      <x:c r="G166" s="12" t="n">
        <x:v>3.94</x:v>
      </x:c>
      <x:c r="H166" s="12" t="n">
        <x:v>394</x:v>
      </x:c>
      <x:c r="I166" s="12" t="n">
        <x:v>-7</x:v>
      </x:c>
      <x:c r="J166" s="12" t="n">
        <x:v>1</x:v>
      </x:c>
    </x:row>
    <x:row r="167" ht="18" customHeight="1">
      <x:c r="A167" s="13" t="n">
        <x:v>42825</x:v>
      </x:c>
      <x:c r="B167" s="12" t="n">
        <x:v>3456.0455</x:v>
      </x:c>
      <x:c r="C167" s="12" t="n">
        <x:v>3436.758</x:v>
      </x:c>
      <x:c r="D167" s="12" t="n">
        <x:v>0.5612</x:v>
      </x:c>
      <x:c r="E167" s="12" t="n">
        <x:v>0.005596431217114241</x:v>
      </x:c>
      <x:c r="F167" s="13" t="n">
        <x:v>42824</x:v>
      </x:c>
      <x:c r="G167" s="12" t="n">
        <x:v>3.85</x:v>
      </x:c>
      <x:c r="H167" s="12" t="n">
        <x:v>385</x:v>
      </x:c>
      <x:c r="I167" s="12" t="n">
        <x:v>-9</x:v>
      </x:c>
      <x:c r="J167" s="12" t="n">
        <x:v>1</x:v>
      </x:c>
    </x:row>
    <x:row r="168" ht="18" customHeight="1">
      <x:c r="A168" s="13" t="n">
        <x:v>42830</x:v>
      </x:c>
      <x:c r="B168" s="12" t="n">
        <x:v>3503.8932</x:v>
      </x:c>
      <x:c r="C168" s="12" t="n">
        <x:v>3456.0455</x:v>
      </x:c>
      <x:c r="D168" s="12" t="n">
        <x:v>1.3845</x:v>
      </x:c>
      <x:c r="E168" s="12" t="n">
        <x:v>0.013749676793178263</x:v>
      </x:c>
      <x:c r="F168" s="13" t="n">
        <x:v>42829</x:v>
      </x:c>
      <x:c r="G168" s="12" t="n">
        <x:v>3.98</x:v>
      </x:c>
      <x:c r="H168" s="12" t="n">
        <x:v>398</x:v>
      </x:c>
      <x:c r="I168" s="12" t="n">
        <x:v>0</x:v>
      </x:c>
      <x:c r="J168" s="12" t="n">
        <x:v>1</x:v>
      </x:c>
    </x:row>
    <x:row r="169" ht="18" customHeight="1">
      <x:c r="A169" s="13" t="n">
        <x:v>42831</x:v>
      </x:c>
      <x:c r="B169" s="12" t="n">
        <x:v>3514.0469</x:v>
      </x:c>
      <x:c r="C169" s="12" t="n">
        <x:v>3503.8932</x:v>
      </x:c>
      <x:c r="D169" s="12" t="n">
        <x:v>0.2898</x:v>
      </x:c>
      <x:c r="E169" s="12" t="n">
        <x:v>0.0028936431318037823</x:v>
      </x:c>
      <x:c r="F169" s="13" t="n">
        <x:v>42830</x:v>
      </x:c>
      <x:c r="G169" s="12" t="n">
        <x:v>3.91</x:v>
      </x:c>
      <x:c r="H169" s="12" t="n">
        <x:v>391</x:v>
      </x:c>
      <x:c r="I169" s="12" t="n">
        <x:v>-7</x:v>
      </x:c>
      <x:c r="J169" s="12" t="n">
        <x:v>1</x:v>
      </x:c>
    </x:row>
    <x:row r="170" ht="18" customHeight="1">
      <x:c r="A170" s="13" t="n">
        <x:v>42832</x:v>
      </x:c>
      <x:c r="B170" s="12" t="n">
        <x:v>3517.4634</x:v>
      </x:c>
      <x:c r="C170" s="12" t="n">
        <x:v>3514.0469</x:v>
      </x:c>
      <x:c r="D170" s="12" t="n">
        <x:v>0.0972</x:v>
      </x:c>
      <x:c r="E170" s="12" t="n">
        <x:v>0.0009717685456167432</x:v>
      </x:c>
      <x:c r="F170" s="13" t="n">
        <x:v>42831</x:v>
      </x:c>
      <x:c r="G170" s="12" t="n">
        <x:v>3.93</x:v>
      </x:c>
      <x:c r="H170" s="12" t="n">
        <x:v>393</x:v>
      </x:c>
      <x:c r="I170" s="12" t="n">
        <x:v>2</x:v>
      </x:c>
      <x:c r="J170" s="12" t="n">
        <x:v>1</x:v>
      </x:c>
    </x:row>
    <x:row r="171" ht="18" customHeight="1">
      <x:c r="A171" s="13" t="n">
        <x:v>42835</x:v>
      </x:c>
      <x:c r="B171" s="12" t="n">
        <x:v>3505.1392</x:v>
      </x:c>
      <x:c r="C171" s="12" t="n">
        <x:v>3517.4634</x:v>
      </x:c>
      <x:c r="D171" s="12" t="n">
        <x:v>-0.3504</x:v>
      </x:c>
      <x:c r="E171" s="12" t="n">
        <x:v>-0.003509870443761566</x:v>
      </x:c>
      <x:c r="F171" s="13" t="n">
        <x:v>42832</x:v>
      </x:c>
      <x:c r="G171" s="12" t="n">
        <x:v>3.86</x:v>
      </x:c>
      <x:c r="H171" s="12" t="n">
        <x:v>386</x:v>
      </x:c>
      <x:c r="I171" s="12" t="n">
        <x:v>-7</x:v>
      </x:c>
      <x:c r="J171" s="12" t="n">
        <x:v>3</x:v>
      </x:c>
    </x:row>
    <x:row r="172" ht="18" customHeight="1">
      <x:c r="A172" s="13" t="n">
        <x:v>42836</x:v>
      </x:c>
      <x:c r="B172" s="12" t="n">
        <x:v>3517.328</x:v>
      </x:c>
      <x:c r="C172" s="12" t="n">
        <x:v>3505.1392</x:v>
      </x:c>
      <x:c r="D172" s="12" t="n">
        <x:v>0.3477</x:v>
      </x:c>
      <x:c r="E172" s="12" t="n">
        <x:v>0.0034713760542855474</x:v>
      </x:c>
      <x:c r="F172" s="13" t="n">
        <x:v>42835</x:v>
      </x:c>
      <x:c r="G172" s="12" t="n">
        <x:v>3.86</x:v>
      </x:c>
      <x:c r="H172" s="12" t="n">
        <x:v>386</x:v>
      </x:c>
      <x:c r="I172" s="12" t="n">
        <x:v>0</x:v>
      </x:c>
      <x:c r="J172" s="12" t="n">
        <x:v>1</x:v>
      </x:c>
    </x:row>
    <x:row r="173" ht="18" customHeight="1">
      <x:c r="A173" s="13" t="n">
        <x:v>42837</x:v>
      </x:c>
      <x:c r="B173" s="12" t="n">
        <x:v>3509.4387</x:v>
      </x:c>
      <x:c r="C173" s="12" t="n">
        <x:v>3517.328</x:v>
      </x:c>
      <x:c r="D173" s="12" t="n">
        <x:v>-0.2243</x:v>
      </x:c>
      <x:c r="E173" s="12" t="n">
        <x:v>-0.0022455002853585654</x:v>
      </x:c>
      <x:c r="F173" s="13" t="n">
        <x:v>42836</x:v>
      </x:c>
      <x:c r="G173" s="12" t="n">
        <x:v>3.94</x:v>
      </x:c>
      <x:c r="H173" s="12" t="n">
        <x:v>394</x:v>
      </x:c>
      <x:c r="I173" s="12" t="n">
        <x:v>8</x:v>
      </x:c>
      <x:c r="J173" s="12" t="n">
        <x:v>1</x:v>
      </x:c>
    </x:row>
    <x:row r="174" ht="18" customHeight="1">
      <x:c r="A174" s="13" t="n">
        <x:v>42838</x:v>
      </x:c>
      <x:c r="B174" s="12" t="n">
        <x:v>3514.5662</x:v>
      </x:c>
      <x:c r="C174" s="12" t="n">
        <x:v>3509.4387</x:v>
      </x:c>
      <x:c r="D174" s="12" t="n">
        <x:v>0.1461</x:v>
      </x:c>
      <x:c r="E174" s="12" t="n">
        <x:v>0.001459993546077126</x:v>
      </x:c>
      <x:c r="F174" s="13" t="n">
        <x:v>42837</x:v>
      </x:c>
      <x:c r="G174" s="12" t="n">
        <x:v>3.96</x:v>
      </x:c>
      <x:c r="H174" s="12" t="n">
        <x:v>396</x:v>
      </x:c>
      <x:c r="I174" s="12" t="n">
        <x:v>2</x:v>
      </x:c>
      <x:c r="J174" s="12" t="n">
        <x:v>1</x:v>
      </x:c>
    </x:row>
    <x:row r="175" ht="18" customHeight="1">
      <x:c r="A175" s="13" t="n">
        <x:v>42839</x:v>
      </x:c>
      <x:c r="B175" s="12" t="n">
        <x:v>3486.5045</x:v>
      </x:c>
      <x:c r="C175" s="12" t="n">
        <x:v>3514.5662</x:v>
      </x:c>
      <x:c r="D175" s="12" t="n">
        <x:v>-0.7984</x:v>
      </x:c>
      <x:c r="E175" s="12" t="n">
        <x:v>-0.00801644533547814</x:v>
      </x:c>
      <x:c r="F175" s="13" t="n">
        <x:v>42838</x:v>
      </x:c>
      <x:c r="G175" s="12" t="n">
        <x:v>4.03</x:v>
      </x:c>
      <x:c r="H175" s="12" t="n">
        <x:v>403</x:v>
      </x:c>
      <x:c r="I175" s="12" t="n">
        <x:v>7</x:v>
      </x:c>
      <x:c r="J175" s="12" t="n">
        <x:v>1</x:v>
      </x:c>
    </x:row>
    <x:row r="176" ht="18" customHeight="1">
      <x:c r="A176" s="13" t="n">
        <x:v>42842</x:v>
      </x:c>
      <x:c r="B176" s="12" t="n">
        <x:v>3479.9417</x:v>
      </x:c>
      <x:c r="C176" s="12" t="n">
        <x:v>3486.5045</x:v>
      </x:c>
      <x:c r="D176" s="12" t="n">
        <x:v>-0.1882</x:v>
      </x:c>
      <x:c r="E176" s="12" t="n">
        <x:v>-0.0018841175982784407</x:v>
      </x:c>
      <x:c r="F176" s="13" t="n">
        <x:v>42838</x:v>
      </x:c>
      <x:c r="G176" s="12" t="n">
        <x:v>4.03</x:v>
      </x:c>
      <x:c r="H176" s="12" t="n">
        <x:v>403</x:v>
      </x:c>
      <x:c r="I176" s="12" t="n">
        <x:v>7</x:v>
      </x:c>
      <x:c r="J176" s="12" t="n">
        <x:v>4</x:v>
      </x:c>
    </x:row>
    <x:row r="177" ht="18" customHeight="1">
      <x:c r="A177" s="13" t="n">
        <x:v>42843</x:v>
      </x:c>
      <x:c r="B177" s="12" t="n">
        <x:v>3462.7429</x:v>
      </x:c>
      <x:c r="C177" s="12" t="n">
        <x:v>3479.9417</x:v>
      </x:c>
      <x:c r="D177" s="12" t="n">
        <x:v>-0.4942</x:v>
      </x:c>
      <x:c r="E177" s="12" t="n">
        <x:v>-0.004954520094993246</x:v>
      </x:c>
      <x:c r="F177" s="13" t="n">
        <x:v>42842</x:v>
      </x:c>
      <x:c r="G177" s="12" t="n">
        <x:v>4</x:v>
      </x:c>
      <x:c r="H177" s="12" t="n">
        <x:v>400</x:v>
      </x:c>
      <x:c r="I177" s="12" t="n">
        <x:v>-3</x:v>
      </x:c>
      <x:c r="J177" s="12" t="n">
        <x:v>1</x:v>
      </x:c>
    </x:row>
    <x:row r="178" ht="18" customHeight="1">
      <x:c r="A178" s="13" t="n">
        <x:v>42844</x:v>
      </x:c>
      <x:c r="B178" s="12" t="n">
        <x:v>3445.8761</x:v>
      </x:c>
      <x:c r="C178" s="12" t="n">
        <x:v>3462.7429</x:v>
      </x:c>
      <x:c r="D178" s="12" t="n">
        <x:v>-0.4871</x:v>
      </x:c>
      <x:c r="E178" s="12" t="n">
        <x:v>-0.004882837948266378</x:v>
      </x:c>
      <x:c r="F178" s="13" t="n">
        <x:v>42843</x:v>
      </x:c>
      <x:c r="G178" s="12" t="n">
        <x:v>4.07</x:v>
      </x:c>
      <x:c r="H178" s="12" t="n">
        <x:v>407</x:v>
      </x:c>
      <x:c r="I178" s="12" t="n">
        <x:v>7</x:v>
      </x:c>
      <x:c r="J178" s="12" t="n">
        <x:v>1</x:v>
      </x:c>
    </x:row>
    <x:row r="179" ht="18" customHeight="1">
      <x:c r="A179" s="13" t="n">
        <x:v>42845</x:v>
      </x:c>
      <x:c r="B179" s="12" t="n">
        <x:v>3461.5481</x:v>
      </x:c>
      <x:c r="C179" s="12" t="n">
        <x:v>3445.8761</x:v>
      </x:c>
      <x:c r="D179" s="12" t="n">
        <x:v>0.4548</x:v>
      </x:c>
      <x:c r="E179" s="12" t="n">
        <x:v>0.0045377340201217834</x:v>
      </x:c>
      <x:c r="F179" s="13" t="n">
        <x:v>42844</x:v>
      </x:c>
      <x:c r="G179" s="12" t="n">
        <x:v>4.01</x:v>
      </x:c>
      <x:c r="H179" s="12" t="n">
        <x:v>401</x:v>
      </x:c>
      <x:c r="I179" s="12" t="n">
        <x:v>-6</x:v>
      </x:c>
      <x:c r="J179" s="12" t="n">
        <x:v>1</x:v>
      </x:c>
    </x:row>
    <x:row r="180" ht="18" customHeight="1">
      <x:c r="A180" s="13" t="n">
        <x:v>42846</x:v>
      </x:c>
      <x:c r="B180" s="12" t="n">
        <x:v>3466.7865</x:v>
      </x:c>
      <x:c r="C180" s="12" t="n">
        <x:v>3461.5481</x:v>
      </x:c>
      <x:c r="D180" s="12" t="n">
        <x:v>0.1513</x:v>
      </x:c>
      <x:c r="E180" s="12" t="n">
        <x:v>0.0015121674401230765</x:v>
      </x:c>
      <x:c r="F180" s="13" t="n">
        <x:v>42845</x:v>
      </x:c>
      <x:c r="G180" s="12" t="n">
        <x:v>3.98</x:v>
      </x:c>
      <x:c r="H180" s="12" t="n">
        <x:v>398</x:v>
      </x:c>
      <x:c r="I180" s="12" t="n">
        <x:v>-3</x:v>
      </x:c>
      <x:c r="J180" s="12" t="n">
        <x:v>1</x:v>
      </x:c>
    </x:row>
    <x:row r="181" ht="18" customHeight="1">
      <x:c r="A181" s="13" t="n">
        <x:v>42849</x:v>
      </x:c>
      <x:c r="B181" s="12" t="n">
        <x:v>3431.2587</x:v>
      </x:c>
      <x:c r="C181" s="12" t="n">
        <x:v>3466.7865</x:v>
      </x:c>
      <x:c r="D181" s="12" t="n">
        <x:v>-1.0248</x:v>
      </x:c>
      <x:c r="E181" s="12" t="n">
        <x:v>-0.010300922397859099</x:v>
      </x:c>
      <x:c r="F181" s="13" t="n">
        <x:v>42846</x:v>
      </x:c>
      <x:c r="G181" s="12" t="n">
        <x:v>3.97</x:v>
      </x:c>
      <x:c r="H181" s="12" t="n">
        <x:v>397</x:v>
      </x:c>
      <x:c r="I181" s="12" t="n">
        <x:v>-1</x:v>
      </x:c>
      <x:c r="J181" s="12" t="n">
        <x:v>3</x:v>
      </x:c>
    </x:row>
    <x:row r="182" ht="18" customHeight="1">
      <x:c r="A182" s="13" t="n">
        <x:v>42850</x:v>
      </x:c>
      <x:c r="B182" s="12" t="n">
        <x:v>3440.9743</x:v>
      </x:c>
      <x:c r="C182" s="12" t="n">
        <x:v>3431.2587</x:v>
      </x:c>
      <x:c r="D182" s="12" t="n">
        <x:v>0.2831</x:v>
      </x:c>
      <x:c r="E182" s="12" t="n">
        <x:v>0.0028274962367554088</x:v>
      </x:c>
      <x:c r="F182" s="13" t="n">
        <x:v>42849</x:v>
      </x:c>
      <x:c r="G182" s="12" t="n">
        <x:v>3.86</x:v>
      </x:c>
      <x:c r="H182" s="12" t="n">
        <x:v>386</x:v>
      </x:c>
      <x:c r="I182" s="12" t="n">
        <x:v>-11</x:v>
      </x:c>
      <x:c r="J182" s="12" t="n">
        <x:v>1</x:v>
      </x:c>
    </x:row>
    <x:row r="183" ht="18" customHeight="1">
      <x:c r="A183" s="13" t="n">
        <x:v>42851</x:v>
      </x:c>
      <x:c r="B183" s="12" t="n">
        <x:v>3445.1832</x:v>
      </x:c>
      <x:c r="C183" s="12" t="n">
        <x:v>3440.9743</x:v>
      </x:c>
      <x:c r="D183" s="12" t="n">
        <x:v>0.1223</x:v>
      </x:c>
      <x:c r="E183" s="12" t="n">
        <x:v>0.0012224235429179387</x:v>
      </x:c>
      <x:c r="F183" s="13" t="n">
        <x:v>42850</x:v>
      </x:c>
      <x:c r="G183" s="12" t="n">
        <x:v>3.78</x:v>
      </x:c>
      <x:c r="H183" s="12" t="n">
        <x:v>378</x:v>
      </x:c>
      <x:c r="I183" s="12" t="n">
        <x:v>-8</x:v>
      </x:c>
      <x:c r="J183" s="12" t="n">
        <x:v>1</x:v>
      </x:c>
    </x:row>
    <x:row r="184" ht="18" customHeight="1">
      <x:c r="A184" s="13" t="n">
        <x:v>42852</x:v>
      </x:c>
      <x:c r="B184" s="12" t="n">
        <x:v>3446.7202</x:v>
      </x:c>
      <x:c r="C184" s="12" t="n">
        <x:v>3445.1832</x:v>
      </x:c>
      <x:c r="D184" s="12" t="n">
        <x:v>0.0446</x:v>
      </x:c>
      <x:c r="E184" s="12" t="n">
        <x:v>0.0004460306351600045</x:v>
      </x:c>
      <x:c r="F184" s="13" t="n">
        <x:v>42851</x:v>
      </x:c>
      <x:c r="G184" s="12" t="n">
        <x:v>3.76</x:v>
      </x:c>
      <x:c r="H184" s="12" t="n">
        <x:v>376</x:v>
      </x:c>
      <x:c r="I184" s="12" t="n">
        <x:v>-2</x:v>
      </x:c>
      <x:c r="J184" s="12" t="n">
        <x:v>1</x:v>
      </x:c>
    </x:row>
    <x:row r="185" ht="18" customHeight="1">
      <x:c r="A185" s="13" t="n">
        <x:v>42853</x:v>
      </x:c>
      <x:c r="B185" s="12" t="n">
        <x:v>3439.753</x:v>
      </x:c>
      <x:c r="C185" s="12" t="n">
        <x:v>3446.7202</x:v>
      </x:c>
      <x:c r="D185" s="12" t="n">
        <x:v>-0.2021</x:v>
      </x:c>
      <x:c r="E185" s="12" t="n">
        <x:v>-0.0020234457246328286</x:v>
      </x:c>
      <x:c r="F185" s="13" t="n">
        <x:v>42852</x:v>
      </x:c>
      <x:c r="G185" s="12" t="n">
        <x:v>3.78</x:v>
      </x:c>
      <x:c r="H185" s="12" t="n">
        <x:v>378</x:v>
      </x:c>
      <x:c r="I185" s="12" t="n">
        <x:v>2</x:v>
      </x:c>
      <x:c r="J185" s="12" t="n">
        <x:v>1</x:v>
      </x:c>
    </x:row>
    <x:row r="186" ht="18" customHeight="1">
      <x:c r="A186" s="13" t="n">
        <x:v>42857</x:v>
      </x:c>
      <x:c r="B186" s="12" t="n">
        <x:v>3426.5766</x:v>
      </x:c>
      <x:c r="C186" s="12" t="n">
        <x:v>3439.753</x:v>
      </x:c>
      <x:c r="D186" s="12" t="n">
        <x:v>-0.3831</x:v>
      </x:c>
      <x:c r="E186" s="12" t="n">
        <x:v>-0.003837979515030131</x:v>
      </x:c>
      <x:c r="F186" s="13" t="n">
        <x:v>42856</x:v>
      </x:c>
      <x:c r="G186" s="12" t="n">
        <x:v>3.78</x:v>
      </x:c>
      <x:c r="H186" s="12" t="n">
        <x:v>378</x:v>
      </x:c>
      <x:c r="I186" s="12" t="n">
        <x:v>-3</x:v>
      </x:c>
      <x:c r="J186" s="12" t="n">
        <x:v>1</x:v>
      </x:c>
    </x:row>
    <x:row r="187" ht="18" customHeight="1">
      <x:c r="A187" s="13" t="n">
        <x:v>42858</x:v>
      </x:c>
      <x:c r="B187" s="12" t="n">
        <x:v>3413.1282</x:v>
      </x:c>
      <x:c r="C187" s="12" t="n">
        <x:v>3426.5766</x:v>
      </x:c>
      <x:c r="D187" s="12" t="n">
        <x:v>-0.3925</x:v>
      </x:c>
      <x:c r="E187" s="12" t="n">
        <x:v>-0.003932455485719591</x:v>
      </x:c>
      <x:c r="F187" s="13" t="n">
        <x:v>42857</x:v>
      </x:c>
      <x:c r="G187" s="12" t="n">
        <x:v>3.79</x:v>
      </x:c>
      <x:c r="H187" s="12" t="n">
        <x:v>379</x:v>
      </x:c>
      <x:c r="I187" s="12" t="n">
        <x:v>1</x:v>
      </x:c>
      <x:c r="J187" s="12" t="n">
        <x:v>1</x:v>
      </x:c>
    </x:row>
    <x:row r="188" ht="18" customHeight="1">
      <x:c r="A188" s="13" t="n">
        <x:v>42859</x:v>
      </x:c>
      <x:c r="B188" s="12" t="n">
        <x:v>3404.3864</x:v>
      </x:c>
      <x:c r="C188" s="12" t="n">
        <x:v>3413.1282</x:v>
      </x:c>
      <x:c r="D188" s="12" t="n">
        <x:v>-0.2561</x:v>
      </x:c>
      <x:c r="E188" s="12" t="n">
        <x:v>-0.0025645136985957425</x:v>
      </x:c>
      <x:c r="F188" s="13" t="n">
        <x:v>42858</x:v>
      </x:c>
      <x:c r="G188" s="12" t="n">
        <x:v>3.76</x:v>
      </x:c>
      <x:c r="H188" s="12" t="n">
        <x:v>376</x:v>
      </x:c>
      <x:c r="I188" s="12" t="n">
        <x:v>-3</x:v>
      </x:c>
      <x:c r="J188" s="12" t="n">
        <x:v>1</x:v>
      </x:c>
    </x:row>
    <x:row r="189" ht="18" customHeight="1">
      <x:c r="A189" s="13" t="n">
        <x:v>42860</x:v>
      </x:c>
      <x:c r="B189" s="12" t="n">
        <x:v>3382.5502</x:v>
      </x:c>
      <x:c r="C189" s="12" t="n">
        <x:v>3404.3864</x:v>
      </x:c>
      <x:c r="D189" s="12" t="n">
        <x:v>-0.6414</x:v>
      </x:c>
      <x:c r="E189" s="12" t="n">
        <x:v>-0.006434795735926154</x:v>
      </x:c>
      <x:c r="F189" s="13" t="n">
        <x:v>42859</x:v>
      </x:c>
      <x:c r="G189" s="12" t="n">
        <x:v>3.8</x:v>
      </x:c>
      <x:c r="H189" s="12" t="n">
        <x:v>380</x:v>
      </x:c>
      <x:c r="I189" s="12" t="n">
        <x:v>4</x:v>
      </x:c>
      <x:c r="J189" s="12" t="n">
        <x:v>1</x:v>
      </x:c>
    </x:row>
    <x:row r="190" ht="18" customHeight="1">
      <x:c r="A190" s="13" t="n">
        <x:v>42863</x:v>
      </x:c>
      <x:c r="B190" s="12" t="n">
        <x:v>3358.8125</x:v>
      </x:c>
      <x:c r="C190" s="12" t="n">
        <x:v>3382.5502</x:v>
      </x:c>
      <x:c r="D190" s="12" t="n">
        <x:v>-0.7018</x:v>
      </x:c>
      <x:c r="E190" s="12" t="n">
        <x:v>-0.007042433158971218</x:v>
      </x:c>
      <x:c r="F190" s="13" t="n">
        <x:v>42860</x:v>
      </x:c>
      <x:c r="G190" s="12" t="n">
        <x:v>3.82</x:v>
      </x:c>
      <x:c r="H190" s="12" t="n">
        <x:v>382</x:v>
      </x:c>
      <x:c r="I190" s="12" t="n">
        <x:v>2</x:v>
      </x:c>
      <x:c r="J190" s="12" t="n">
        <x:v>3</x:v>
      </x:c>
    </x:row>
    <x:row r="191" ht="18" customHeight="1">
      <x:c r="A191" s="13" t="n">
        <x:v>42864</x:v>
      </x:c>
      <x:c r="B191" s="12" t="n">
        <x:v>3352.5324</x:v>
      </x:c>
      <x:c r="C191" s="12" t="n">
        <x:v>3358.8125</x:v>
      </x:c>
      <x:c r="D191" s="12" t="n">
        <x:v>-0.187</x:v>
      </x:c>
      <x:c r="E191" s="12" t="n">
        <x:v>-0.0018714883310459937</x:v>
      </x:c>
      <x:c r="F191" s="13" t="n">
        <x:v>42863</x:v>
      </x:c>
      <x:c r="G191" s="12" t="n">
        <x:v>3.8</x:v>
      </x:c>
      <x:c r="H191" s="12" t="n">
        <x:v>380</x:v>
      </x:c>
      <x:c r="I191" s="12" t="n">
        <x:v>-2</x:v>
      </x:c>
      <x:c r="J191" s="12" t="n">
        <x:v>1</x:v>
      </x:c>
    </x:row>
    <x:row r="192" ht="18" customHeight="1">
      <x:c r="A192" s="13" t="n">
        <x:v>42865</x:v>
      </x:c>
      <x:c r="B192" s="12" t="n">
        <x:v>3337.7007</x:v>
      </x:c>
      <x:c r="C192" s="12" t="n">
        <x:v>3352.5324</x:v>
      </x:c>
      <x:c r="D192" s="12" t="n">
        <x:v>-0.4424</x:v>
      </x:c>
      <x:c r="E192" s="12" t="n">
        <x:v>-0.004433843806724372</x:v>
      </x:c>
      <x:c r="F192" s="13" t="n">
        <x:v>42864</x:v>
      </x:c>
      <x:c r="G192" s="12" t="n">
        <x:v>3.74</x:v>
      </x:c>
      <x:c r="H192" s="12" t="n">
        <x:v>374</x:v>
      </x:c>
      <x:c r="I192" s="12" t="n">
        <x:v>-6</x:v>
      </x:c>
      <x:c r="J192" s="12" t="n">
        <x:v>1</x:v>
      </x:c>
    </x:row>
    <x:row r="193" ht="18" customHeight="1">
      <x:c r="A193" s="13" t="n">
        <x:v>42866</x:v>
      </x:c>
      <x:c r="B193" s="12" t="n">
        <x:v>3356.6459</x:v>
      </x:c>
      <x:c r="C193" s="12" t="n">
        <x:v>3337.7007</x:v>
      </x:c>
      <x:c r="D193" s="12" t="n">
        <x:v>0.5676</x:v>
      </x:c>
      <x:c r="E193" s="12" t="n">
        <x:v>0.005660074600273593</x:v>
      </x:c>
      <x:c r="F193" s="13" t="n">
        <x:v>42865</x:v>
      </x:c>
      <x:c r="G193" s="12" t="n">
        <x:v>3.72</x:v>
      </x:c>
      <x:c r="H193" s="12" t="n">
        <x:v>372</x:v>
      </x:c>
      <x:c r="I193" s="12" t="n">
        <x:v>-2</x:v>
      </x:c>
      <x:c r="J193" s="12" t="n">
        <x:v>1</x:v>
      </x:c>
    </x:row>
    <x:row r="194" ht="18" customHeight="1">
      <x:c r="A194" s="13" t="n">
        <x:v>42867</x:v>
      </x:c>
      <x:c r="B194" s="12" t="n">
        <x:v>3385.3787</x:v>
      </x:c>
      <x:c r="C194" s="12" t="n">
        <x:v>3356.6459</x:v>
      </x:c>
      <x:c r="D194" s="12" t="n">
        <x:v>0.856</x:v>
      </x:c>
      <x:c r="E194" s="12" t="n">
        <x:v>0.008523544679708842</x:v>
      </x:c>
      <x:c r="F194" s="13" t="n">
        <x:v>42866</x:v>
      </x:c>
      <x:c r="G194" s="12" t="n">
        <x:v>3.72</x:v>
      </x:c>
      <x:c r="H194" s="12" t="n">
        <x:v>372</x:v>
      </x:c>
      <x:c r="I194" s="12" t="n">
        <x:v>0</x:v>
      </x:c>
      <x:c r="J194" s="12" t="n">
        <x:v>1</x:v>
      </x:c>
    </x:row>
    <x:row r="195" ht="18" customHeight="1">
      <x:c r="A195" s="13" t="n">
        <x:v>42870</x:v>
      </x:c>
      <x:c r="B195" s="12" t="n">
        <x:v>3399.1937</x:v>
      </x:c>
      <x:c r="C195" s="12" t="n">
        <x:v>3385.3787</x:v>
      </x:c>
      <x:c r="D195" s="12" t="n">
        <x:v>0.4081</x:v>
      </x:c>
      <x:c r="E195" s="12" t="n">
        <x:v>0.004072480409697438</x:v>
      </x:c>
      <x:c r="F195" s="13" t="n">
        <x:v>42867</x:v>
      </x:c>
      <x:c r="G195" s="12" t="n">
        <x:v>3.77</x:v>
      </x:c>
      <x:c r="H195" s="12" t="n">
        <x:v>377</x:v>
      </x:c>
      <x:c r="I195" s="12" t="n">
        <x:v>5</x:v>
      </x:c>
      <x:c r="J195" s="12" t="n">
        <x:v>3</x:v>
      </x:c>
    </x:row>
    <x:row r="196" ht="18" customHeight="1">
      <x:c r="A196" s="13" t="n">
        <x:v>42871</x:v>
      </x:c>
      <x:c r="B196" s="12" t="n">
        <x:v>3428.6491</x:v>
      </x:c>
      <x:c r="C196" s="12" t="n">
        <x:v>3399.1937</x:v>
      </x:c>
      <x:c r="D196" s="12" t="n">
        <x:v>0.8665</x:v>
      </x:c>
      <x:c r="E196" s="12" t="n">
        <x:v>0.008628078763215188</x:v>
      </x:c>
      <x:c r="F196" s="13" t="n">
        <x:v>42870</x:v>
      </x:c>
      <x:c r="G196" s="12" t="n">
        <x:v>3.72</x:v>
      </x:c>
      <x:c r="H196" s="12" t="n">
        <x:v>372</x:v>
      </x:c>
      <x:c r="I196" s="12" t="n">
        <x:v>-5</x:v>
      </x:c>
      <x:c r="J196" s="12" t="n">
        <x:v>1</x:v>
      </x:c>
    </x:row>
    <x:row r="197" ht="18" customHeight="1">
      <x:c r="A197" s="13" t="n">
        <x:v>42872</x:v>
      </x:c>
      <x:c r="B197" s="12" t="n">
        <x:v>3409.9656</x:v>
      </x:c>
      <x:c r="C197" s="12" t="n">
        <x:v>3428.6491</x:v>
      </x:c>
      <x:c r="D197" s="12" t="n">
        <x:v>-0.5449</x:v>
      </x:c>
      <x:c r="E197" s="12" t="n">
        <x:v>-0.005464131934695424</x:v>
      </x:c>
      <x:c r="F197" s="13" t="n">
        <x:v>42871</x:v>
      </x:c>
      <x:c r="G197" s="12" t="n">
        <x:v>3.71</x:v>
      </x:c>
      <x:c r="H197" s="12" t="n">
        <x:v>371</x:v>
      </x:c>
      <x:c r="I197" s="12" t="n">
        <x:v>-1</x:v>
      </x:c>
      <x:c r="J197" s="12" t="n">
        <x:v>1</x:v>
      </x:c>
    </x:row>
    <x:row r="198" ht="18" customHeight="1">
      <x:c r="A198" s="13" t="n">
        <x:v>42873</x:v>
      </x:c>
      <x:c r="B198" s="12" t="n">
        <x:v>3398.1127</x:v>
      </x:c>
      <x:c r="C198" s="12" t="n">
        <x:v>3409.9656</x:v>
      </x:c>
      <x:c r="D198" s="12" t="n">
        <x:v>-0.3476</x:v>
      </x:c>
      <x:c r="E198" s="12" t="n">
        <x:v>-0.0034820139996903057</x:v>
      </x:c>
      <x:c r="F198" s="13" t="n">
        <x:v>42872</x:v>
      </x:c>
      <x:c r="G198" s="12" t="n">
        <x:v>3.84</x:v>
      </x:c>
      <x:c r="H198" s="12" t="n">
        <x:v>384</x:v>
      </x:c>
      <x:c r="I198" s="12" t="n">
        <x:v>13</x:v>
      </x:c>
      <x:c r="J198" s="12" t="n">
        <x:v>1</x:v>
      </x:c>
    </x:row>
    <x:row r="199" ht="18" customHeight="1">
      <x:c r="A199" s="13" t="n">
        <x:v>42874</x:v>
      </x:c>
      <x:c r="B199" s="12" t="n">
        <x:v>3403.8492</x:v>
      </x:c>
      <x:c r="C199" s="12" t="n">
        <x:v>3398.1127</x:v>
      </x:c>
      <x:c r="D199" s="12" t="n">
        <x:v>0.1688</x:v>
      </x:c>
      <x:c r="E199" s="12" t="n">
        <x:v>0.0016867196389440404</x:v>
      </x:c>
      <x:c r="F199" s="13" t="n">
        <x:v>42873</x:v>
      </x:c>
      <x:c r="G199" s="12" t="n">
        <x:v>3.85</x:v>
      </x:c>
      <x:c r="H199" s="12" t="n">
        <x:v>385</x:v>
      </x:c>
      <x:c r="I199" s="12" t="n">
        <x:v>1</x:v>
      </x:c>
      <x:c r="J199" s="12" t="n">
        <x:v>1</x:v>
      </x:c>
    </x:row>
    <x:row r="200" ht="18" customHeight="1">
      <x:c r="A200" s="13" t="n">
        <x:v>42877</x:v>
      </x:c>
      <x:c r="B200" s="12" t="n">
        <x:v>3411.2387</x:v>
      </x:c>
      <x:c r="C200" s="12" t="n">
        <x:v>3403.8492</x:v>
      </x:c>
      <x:c r="D200" s="12" t="n">
        <x:v>0.2171</x:v>
      </x:c>
      <x:c r="E200" s="12" t="n">
        <x:v>0.002168571558962522</x:v>
      </x:c>
      <x:c r="F200" s="13" t="n">
        <x:v>42874</x:v>
      </x:c>
      <x:c r="G200" s="12" t="n">
        <x:v>3.78</x:v>
      </x:c>
      <x:c r="H200" s="12" t="n">
        <x:v>378</x:v>
      </x:c>
      <x:c r="I200" s="12" t="n">
        <x:v>-7</x:v>
      </x:c>
      <x:c r="J200" s="12" t="n">
        <x:v>3</x:v>
      </x:c>
    </x:row>
    <x:row r="201" ht="18" customHeight="1">
      <x:c r="A201" s="13" t="n">
        <x:v>42878</x:v>
      </x:c>
      <x:c r="B201" s="12" t="n">
        <x:v>3424.194</x:v>
      </x:c>
      <x:c r="C201" s="12" t="n">
        <x:v>3411.2387</x:v>
      </x:c>
      <x:c r="D201" s="12" t="n">
        <x:v>0.3798</x:v>
      </x:c>
      <x:c r="E201" s="12" t="n">
        <x:v>0.0037906350867286664</x:v>
      </x:c>
      <x:c r="F201" s="13" t="n">
        <x:v>42877</x:v>
      </x:c>
      <x:c r="G201" s="12" t="n">
        <x:v>3.72</x:v>
      </x:c>
      <x:c r="H201" s="12" t="n">
        <x:v>372</x:v>
      </x:c>
      <x:c r="I201" s="12" t="n">
        <x:v>-6</x:v>
      </x:c>
      <x:c r="J201" s="12" t="n">
        <x:v>1</x:v>
      </x:c>
    </x:row>
    <x:row r="202" ht="18" customHeight="1">
      <x:c r="A202" s="13" t="n">
        <x:v>42879</x:v>
      </x:c>
      <x:c r="B202" s="12" t="n">
        <x:v>3424.1669</x:v>
      </x:c>
      <x:c r="C202" s="12" t="n">
        <x:v>3424.194</x:v>
      </x:c>
      <x:c r="D202" s="12" t="n">
        <x:v>-0.0008</x:v>
      </x:c>
      <x:c r="E202" s="12" t="n">
        <x:v>-0.00000791430253039329</x:v>
      </x:c>
      <x:c r="F202" s="13" t="n">
        <x:v>42878</x:v>
      </x:c>
      <x:c r="G202" s="12" t="n">
        <x:v>3.67</x:v>
      </x:c>
      <x:c r="H202" s="12" t="n">
        <x:v>367</x:v>
      </x:c>
      <x:c r="I202" s="12" t="n">
        <x:v>-5</x:v>
      </x:c>
      <x:c r="J202" s="12" t="n">
        <x:v>1</x:v>
      </x:c>
    </x:row>
    <x:row r="203" ht="18" customHeight="1">
      <x:c r="A203" s="13" t="n">
        <x:v>42880</x:v>
      </x:c>
      <x:c r="B203" s="12" t="n">
        <x:v>3485.6581</x:v>
      </x:c>
      <x:c r="C203" s="12" t="n">
        <x:v>3424.1669</x:v>
      </x:c>
      <x:c r="D203" s="12" t="n">
        <x:v>1.7958</x:v>
      </x:c>
      <x:c r="E203" s="12" t="n">
        <x:v>0.017798663011057387</x:v>
      </x:c>
      <x:c r="F203" s="13" t="n">
        <x:v>42879</x:v>
      </x:c>
      <x:c r="G203" s="12" t="n">
        <x:v>3.68</x:v>
      </x:c>
      <x:c r="H203" s="12" t="n">
        <x:v>368</x:v>
      </x:c>
      <x:c r="I203" s="12" t="n">
        <x:v>1</x:v>
      </x:c>
      <x:c r="J203" s="12" t="n">
        <x:v>1</x:v>
      </x:c>
    </x:row>
    <x:row r="204" ht="18" customHeight="1">
      <x:c r="A204" s="13" t="n">
        <x:v>42881</x:v>
      </x:c>
      <x:c r="B204" s="12" t="n">
        <x:v>3480.4345</x:v>
      </x:c>
      <x:c r="C204" s="12" t="n">
        <x:v>3485.6581</x:v>
      </x:c>
      <x:c r="D204" s="12" t="n">
        <x:v>-0.1499</x:v>
      </x:c>
      <x:c r="E204" s="12" t="n">
        <x:v>-0.0014997219471536538</x:v>
      </x:c>
      <x:c r="F204" s="13" t="n">
        <x:v>42880</x:v>
      </x:c>
      <x:c r="G204" s="12" t="n">
        <x:v>3.67</x:v>
      </x:c>
      <x:c r="H204" s="12" t="n">
        <x:v>367</x:v>
      </x:c>
      <x:c r="I204" s="12" t="n">
        <x:v>-1</x:v>
      </x:c>
      <x:c r="J204" s="12" t="n">
        <x:v>1</x:v>
      </x:c>
    </x:row>
    <x:row r="205" ht="18" customHeight="1">
      <x:c r="A205" s="13" t="n">
        <x:v>42886</x:v>
      </x:c>
      <x:c r="B205" s="12" t="n">
        <x:v>3492.8845</x:v>
      </x:c>
      <x:c r="C205" s="12" t="n">
        <x:v>3480.4345</x:v>
      </x:c>
      <x:c r="D205" s="12" t="n">
        <x:v>0.3577</x:v>
      </x:c>
      <x:c r="E205" s="12" t="n">
        <x:v>0.0035707568314135704</x:v>
      </x:c>
      <x:c r="F205" s="13" t="n">
        <x:v>42885</x:v>
      </x:c>
      <x:c r="G205" s="12" t="n">
        <x:v>3.68</x:v>
      </x:c>
      <x:c r="H205" s="12" t="n">
        <x:v>368</x:v>
      </x:c>
      <x:c r="I205" s="12" t="n">
        <x:v>1</x:v>
      </x:c>
      <x:c r="J205" s="12" t="n">
        <x:v>1</x:v>
      </x:c>
    </x:row>
    <x:row r="206" ht="18" customHeight="1">
      <x:c r="A206" s="13" t="n">
        <x:v>42887</x:v>
      </x:c>
      <x:c r="B206" s="12" t="n">
        <x:v>3497.7382</x:v>
      </x:c>
      <x:c r="C206" s="12" t="n">
        <x:v>3492.8845</x:v>
      </x:c>
      <x:c r="D206" s="12" t="n">
        <x:v>0.139</x:v>
      </x:c>
      <x:c r="E206" s="12" t="n">
        <x:v>0.0013886318825212262</x:v>
      </x:c>
      <x:c r="F206" s="13" t="n">
        <x:v>42886</x:v>
      </x:c>
      <x:c r="G206" s="12" t="n">
        <x:v>3.74</x:v>
      </x:c>
      <x:c r="H206" s="12" t="n">
        <x:v>374</x:v>
      </x:c>
      <x:c r="I206" s="12" t="n">
        <x:v>6</x:v>
      </x:c>
      <x:c r="J206" s="12" t="n">
        <x:v>1</x:v>
      </x:c>
    </x:row>
    <x:row r="207" ht="18" customHeight="1">
      <x:c r="A207" s="13" t="n">
        <x:v>42888</x:v>
      </x:c>
      <x:c r="B207" s="12" t="n">
        <x:v>3486.5074</x:v>
      </x:c>
      <x:c r="C207" s="12" t="n">
        <x:v>3497.7382</x:v>
      </x:c>
      <x:c r="D207" s="12" t="n">
        <x:v>-0.3211</x:v>
      </x:c>
      <x:c r="E207" s="12" t="n">
        <x:v>-0.0032160408791855996</x:v>
      </x:c>
      <x:c r="F207" s="13" t="n">
        <x:v>42887</x:v>
      </x:c>
      <x:c r="G207" s="12" t="n">
        <x:v>3.69</x:v>
      </x:c>
      <x:c r="H207" s="12" t="n">
        <x:v>369</x:v>
      </x:c>
      <x:c r="I207" s="12" t="n">
        <x:v>-5</x:v>
      </x:c>
      <x:c r="J207" s="12" t="n">
        <x:v>1</x:v>
      </x:c>
    </x:row>
    <x:row r="208" ht="18" customHeight="1">
      <x:c r="A208" s="13" t="n">
        <x:v>42891</x:v>
      </x:c>
      <x:c r="B208" s="12" t="n">
        <x:v>3468.7538</x:v>
      </x:c>
      <x:c r="C208" s="12" t="n">
        <x:v>3486.5074</x:v>
      </x:c>
      <x:c r="D208" s="12" t="n">
        <x:v>-0.5092</x:v>
      </x:c>
      <x:c r="E208" s="12" t="n">
        <x:v>-0.0051050961415664035</x:v>
      </x:c>
      <x:c r="F208" s="13" t="n">
        <x:v>42888</x:v>
      </x:c>
      <x:c r="G208" s="12" t="n">
        <x:v>3.69</x:v>
      </x:c>
      <x:c r="H208" s="12" t="n">
        <x:v>369</x:v>
      </x:c>
      <x:c r="I208" s="12" t="n">
        <x:v>0</x:v>
      </x:c>
      <x:c r="J208" s="12" t="n">
        <x:v>3</x:v>
      </x:c>
    </x:row>
    <x:row r="209" ht="18" customHeight="1">
      <x:c r="A209" s="13" t="n">
        <x:v>42892</x:v>
      </x:c>
      <x:c r="B209" s="12" t="n">
        <x:v>3492.8816</x:v>
      </x:c>
      <x:c r="C209" s="12" t="n">
        <x:v>3468.7538</x:v>
      </x:c>
      <x:c r="D209" s="12" t="n">
        <x:v>0.6956</x:v>
      </x:c>
      <x:c r="E209" s="12" t="n">
        <x:v>0.006931674878540226</x:v>
      </x:c>
      <x:c r="F209" s="13" t="n">
        <x:v>42891</x:v>
      </x:c>
      <x:c r="G209" s="12" t="n">
        <x:v>3.68</x:v>
      </x:c>
      <x:c r="H209" s="12" t="n">
        <x:v>368</x:v>
      </x:c>
      <x:c r="I209" s="12" t="n">
        <x:v>-1</x:v>
      </x:c>
      <x:c r="J209" s="12" t="n">
        <x:v>1</x:v>
      </x:c>
    </x:row>
    <x:row r="210" ht="18" customHeight="1">
      <x:c r="A210" s="13" t="n">
        <x:v>42893</x:v>
      </x:c>
      <x:c r="B210" s="12" t="n">
        <x:v>3533.8718</x:v>
      </x:c>
      <x:c r="C210" s="12" t="n">
        <x:v>3492.8816</x:v>
      </x:c>
      <x:c r="D210" s="12" t="n">
        <x:v>1.1735</x:v>
      </x:c>
      <x:c r="E210" s="12" t="n">
        <x:v>0.011667028179158117</x:v>
      </x:c>
      <x:c r="F210" s="13" t="n">
        <x:v>42892</x:v>
      </x:c>
      <x:c r="G210" s="12" t="n">
        <x:v>3.72</x:v>
      </x:c>
      <x:c r="H210" s="12" t="n">
        <x:v>372</x:v>
      </x:c>
      <x:c r="I210" s="12" t="n">
        <x:v>4</x:v>
      </x:c>
      <x:c r="J210" s="12" t="n">
        <x:v>1</x:v>
      </x:c>
    </x:row>
    <x:row r="211" ht="18" customHeight="1">
      <x:c r="A211" s="13" t="n">
        <x:v>42894</x:v>
      </x:c>
      <x:c r="B211" s="12" t="n">
        <x:v>3560.9786</x:v>
      </x:c>
      <x:c r="C211" s="12" t="n">
        <x:v>3533.8718</x:v>
      </x:c>
      <x:c r="D211" s="12" t="n">
        <x:v>0.7671</x:v>
      </x:c>
      <x:c r="E211" s="12" t="n">
        <x:v>0.007641297664501799</x:v>
      </x:c>
      <x:c r="F211" s="13" t="n">
        <x:v>42893</x:v>
      </x:c>
      <x:c r="G211" s="12" t="n">
        <x:v>3.73</x:v>
      </x:c>
      <x:c r="H211" s="12" t="n">
        <x:v>373</x:v>
      </x:c>
      <x:c r="I211" s="12" t="n">
        <x:v>1</x:v>
      </x:c>
      <x:c r="J211" s="12" t="n">
        <x:v>1</x:v>
      </x:c>
    </x:row>
    <x:row r="212" ht="18" customHeight="1">
      <x:c r="A212" s="13" t="n">
        <x:v>42895</x:v>
      </x:c>
      <x:c r="B212" s="12" t="n">
        <x:v>3576.1703</x:v>
      </x:c>
      <x:c r="C212" s="12" t="n">
        <x:v>3560.9786</x:v>
      </x:c>
      <x:c r="D212" s="12" t="n">
        <x:v>0.4266</x:v>
      </x:c>
      <x:c r="E212" s="12" t="n">
        <x:v>0.004257084490128767</x:v>
      </x:c>
      <x:c r="F212" s="13" t="n">
        <x:v>42894</x:v>
      </x:c>
      <x:c r="G212" s="12" t="n">
        <x:v>3.76</x:v>
      </x:c>
      <x:c r="H212" s="12" t="n">
        <x:v>376</x:v>
      </x:c>
      <x:c r="I212" s="12" t="n">
        <x:v>3</x:v>
      </x:c>
      <x:c r="J212" s="12" t="n">
        <x:v>1</x:v>
      </x:c>
    </x:row>
    <x:row r="213" ht="18" customHeight="1">
      <x:c r="A213" s="13" t="n">
        <x:v>42898</x:v>
      </x:c>
      <x:c r="B213" s="12" t="n">
        <x:v>3574.3894</x:v>
      </x:c>
      <x:c r="C213" s="12" t="n">
        <x:v>3576.1703</x:v>
      </x:c>
      <x:c r="D213" s="12" t="n">
        <x:v>-0.0498</x:v>
      </x:c>
      <x:c r="E213" s="12" t="n">
        <x:v>-0.0004981148641617354</x:v>
      </x:c>
      <x:c r="F213" s="13" t="n">
        <x:v>42895</x:v>
      </x:c>
      <x:c r="G213" s="12" t="n">
        <x:v>3.73</x:v>
      </x:c>
      <x:c r="H213" s="12" t="n">
        <x:v>373</x:v>
      </x:c>
      <x:c r="I213" s="12" t="n">
        <x:v>-3</x:v>
      </x:c>
      <x:c r="J213" s="12" t="n">
        <x:v>3</x:v>
      </x:c>
    </x:row>
    <x:row r="214" ht="18" customHeight="1">
      <x:c r="A214" s="13" t="n">
        <x:v>42899</x:v>
      </x:c>
      <x:c r="B214" s="12" t="n">
        <x:v>3582.2674</x:v>
      </x:c>
      <x:c r="C214" s="12" t="n">
        <x:v>3574.3894</x:v>
      </x:c>
      <x:c r="D214" s="12" t="n">
        <x:v>0.2204</x:v>
      </x:c>
      <x:c r="E214" s="12" t="n">
        <x:v>0.0022015875295422825</x:v>
      </x:c>
      <x:c r="F214" s="13" t="n">
        <x:v>42898</x:v>
      </x:c>
      <x:c r="G214" s="12" t="n">
        <x:v>3.71</x:v>
      </x:c>
      <x:c r="H214" s="12" t="n">
        <x:v>371</x:v>
      </x:c>
      <x:c r="I214" s="12" t="n">
        <x:v>-2</x:v>
      </x:c>
      <x:c r="J214" s="12" t="n">
        <x:v>1</x:v>
      </x:c>
    </x:row>
    <x:row r="215" ht="18" customHeight="1">
      <x:c r="A215" s="13" t="n">
        <x:v>42900</x:v>
      </x:c>
      <x:c r="B215" s="12" t="n">
        <x:v>3535.2987</x:v>
      </x:c>
      <x:c r="C215" s="12" t="n">
        <x:v>3582.2674</x:v>
      </x:c>
      <x:c r="D215" s="12" t="n">
        <x:v>-1.3111</x:v>
      </x:c>
      <x:c r="E215" s="12" t="n">
        <x:v>-0.0131981582280622</x:v>
      </x:c>
      <x:c r="F215" s="13" t="n">
        <x:v>42899</x:v>
      </x:c>
      <x:c r="G215" s="12" t="n">
        <x:v>3.68</x:v>
      </x:c>
      <x:c r="H215" s="12" t="n">
        <x:v>368</x:v>
      </x:c>
      <x:c r="I215" s="12" t="n">
        <x:v>-3</x:v>
      </x:c>
      <x:c r="J215" s="12" t="n">
        <x:v>1</x:v>
      </x:c>
    </x:row>
    <x:row r="216" ht="18" customHeight="1">
      <x:c r="A216" s="13" t="n">
        <x:v>42901</x:v>
      </x:c>
      <x:c r="B216" s="12" t="n">
        <x:v>3528.7926</x:v>
      </x:c>
      <x:c r="C216" s="12" t="n">
        <x:v>3535.2987</x:v>
      </x:c>
      <x:c r="D216" s="12" t="n">
        <x:v>-0.184</x:v>
      </x:c>
      <x:c r="E216" s="12" t="n">
        <x:v>-0.0018420208809083619</x:v>
      </x:c>
      <x:c r="F216" s="13" t="n">
        <x:v>42900</x:v>
      </x:c>
      <x:c r="G216" s="12" t="n">
        <x:v>3.7</x:v>
      </x:c>
      <x:c r="H216" s="12" t="n">
        <x:v>370</x:v>
      </x:c>
      <x:c r="I216" s="12" t="n">
        <x:v>2</x:v>
      </x:c>
      <x:c r="J216" s="12" t="n">
        <x:v>1</x:v>
      </x:c>
    </x:row>
    <x:row r="217" ht="18" customHeight="1">
      <x:c r="A217" s="13" t="n">
        <x:v>42902</x:v>
      </x:c>
      <x:c r="B217" s="12" t="n">
        <x:v>3518.7611</x:v>
      </x:c>
      <x:c r="C217" s="12" t="n">
        <x:v>3528.7926</x:v>
      </x:c>
      <x:c r="D217" s="12" t="n">
        <x:v>-0.2843</x:v>
      </x:c>
      <x:c r="E217" s="12" t="n">
        <x:v>-0.0028468053460470708</x:v>
      </x:c>
      <x:c r="F217" s="13" t="n">
        <x:v>42901</x:v>
      </x:c>
      <x:c r="G217" s="12" t="n">
        <x:v>3.72</x:v>
      </x:c>
      <x:c r="H217" s="12" t="n">
        <x:v>372</x:v>
      </x:c>
      <x:c r="I217" s="12" t="n">
        <x:v>2</x:v>
      </x:c>
      <x:c r="J217" s="12" t="n">
        <x:v>1</x:v>
      </x:c>
    </x:row>
    <x:row r="218" ht="18" customHeight="1">
      <x:c r="A218" s="13" t="n">
        <x:v>42905</x:v>
      </x:c>
      <x:c r="B218" s="12" t="n">
        <x:v>3553.6653</x:v>
      </x:c>
      <x:c r="C218" s="12" t="n">
        <x:v>3518.7611</x:v>
      </x:c>
      <x:c r="D218" s="12" t="n">
        <x:v>0.9919</x:v>
      </x:c>
      <x:c r="E218" s="12" t="n">
        <x:v>0.009870582290651478</x:v>
      </x:c>
      <x:c r="F218" s="13" t="n">
        <x:v>42902</x:v>
      </x:c>
      <x:c r="G218" s="12" t="n">
        <x:v>3.76</x:v>
      </x:c>
      <x:c r="H218" s="12" t="n">
        <x:v>376</x:v>
      </x:c>
      <x:c r="I218" s="12" t="n">
        <x:v>4</x:v>
      </x:c>
      <x:c r="J218" s="12" t="n">
        <x:v>3</x:v>
      </x:c>
    </x:row>
    <x:row r="219" ht="18" customHeight="1">
      <x:c r="A219" s="13" t="n">
        <x:v>42906</x:v>
      </x:c>
      <x:c r="B219" s="12" t="n">
        <x:v>3546.494</x:v>
      </x:c>
      <x:c r="C219" s="12" t="n">
        <x:v>3553.6653</x:v>
      </x:c>
      <x:c r="D219" s="12" t="n">
        <x:v>-0.2018</x:v>
      </x:c>
      <x:c r="E219" s="12" t="n">
        <x:v>-0.0020200398710990114</x:v>
      </x:c>
      <x:c r="F219" s="13" t="n">
        <x:v>42905</x:v>
      </x:c>
      <x:c r="G219" s="12" t="n">
        <x:v>3.7</x:v>
      </x:c>
      <x:c r="H219" s="12" t="n">
        <x:v>370</x:v>
      </x:c>
      <x:c r="I219" s="12" t="n">
        <x:v>-6</x:v>
      </x:c>
      <x:c r="J219" s="12" t="n">
        <x:v>1</x:v>
      </x:c>
    </x:row>
    <x:row r="220" ht="18" customHeight="1">
      <x:c r="A220" s="13" t="n">
        <x:v>42907</x:v>
      </x:c>
      <x:c r="B220" s="12" t="n">
        <x:v>3587.955</x:v>
      </x:c>
      <x:c r="C220" s="12" t="n">
        <x:v>3546.494</x:v>
      </x:c>
      <x:c r="D220" s="12" t="n">
        <x:v>1.1691</x:v>
      </x:c>
      <x:c r="E220" s="12" t="n">
        <x:v>0.011622892462132673</x:v>
      </x:c>
      <x:c r="F220" s="13" t="n">
        <x:v>42906</x:v>
      </x:c>
      <x:c r="G220" s="12" t="n">
        <x:v>3.77</x:v>
      </x:c>
      <x:c r="H220" s="12" t="n">
        <x:v>377</x:v>
      </x:c>
      <x:c r="I220" s="12" t="n">
        <x:v>7</x:v>
      </x:c>
      <x:c r="J220" s="12" t="n">
        <x:v>1</x:v>
      </x:c>
    </x:row>
    <x:row r="221" ht="18" customHeight="1">
      <x:c r="A221" s="13" t="n">
        <x:v>42908</x:v>
      </x:c>
      <x:c r="B221" s="12" t="n">
        <x:v>3590.3425</x:v>
      </x:c>
      <x:c r="C221" s="12" t="n">
        <x:v>3587.955</x:v>
      </x:c>
      <x:c r="D221" s="12" t="n">
        <x:v>0.0665</x:v>
      </x:c>
      <x:c r="E221" s="12" t="n">
        <x:v>0.000665199537365851</x:v>
      </x:c>
      <x:c r="F221" s="13" t="n">
        <x:v>42907</x:v>
      </x:c>
      <x:c r="G221" s="12" t="n">
        <x:v>3.85</x:v>
      </x:c>
      <x:c r="H221" s="12" t="n">
        <x:v>385</x:v>
      </x:c>
      <x:c r="I221" s="12" t="n">
        <x:v>8</x:v>
      </x:c>
      <x:c r="J221" s="12" t="n">
        <x:v>1</x:v>
      </x:c>
    </x:row>
    <x:row r="222" ht="18" customHeight="1">
      <x:c r="A222" s="13" t="n">
        <x:v>42909</x:v>
      </x:c>
      <x:c r="B222" s="12" t="n">
        <x:v>3622.8831</x:v>
      </x:c>
      <x:c r="C222" s="12" t="n">
        <x:v>3590.3425</x:v>
      </x:c>
      <x:c r="D222" s="12" t="n">
        <x:v>0.9063</x:v>
      </x:c>
      <x:c r="E222" s="12" t="n">
        <x:v>0.009022543465296705</x:v>
      </x:c>
      <x:c r="F222" s="13" t="n">
        <x:v>42908</x:v>
      </x:c>
      <x:c r="G222" s="12" t="n">
        <x:v>3.87</x:v>
      </x:c>
      <x:c r="H222" s="12" t="n">
        <x:v>387</x:v>
      </x:c>
      <x:c r="I222" s="12" t="n">
        <x:v>2</x:v>
      </x:c>
      <x:c r="J222" s="12" t="n">
        <x:v>1</x:v>
      </x:c>
    </x:row>
    <x:row r="223" ht="18" customHeight="1">
      <x:c r="A223" s="13" t="n">
        <x:v>42912</x:v>
      </x:c>
      <x:c r="B223" s="12" t="n">
        <x:v>3668.0919</x:v>
      </x:c>
      <x:c r="C223" s="12" t="n">
        <x:v>3622.8831</x:v>
      </x:c>
      <x:c r="D223" s="12" t="n">
        <x:v>1.2479</x:v>
      </x:c>
      <x:c r="E223" s="12" t="n">
        <x:v>0.012401463291442894</x:v>
      </x:c>
      <x:c r="F223" s="13" t="n">
        <x:v>42909</x:v>
      </x:c>
      <x:c r="G223" s="12" t="n">
        <x:v>3.86</x:v>
      </x:c>
      <x:c r="H223" s="12" t="n">
        <x:v>386</x:v>
      </x:c>
      <x:c r="I223" s="12" t="n">
        <x:v>-1</x:v>
      </x:c>
      <x:c r="J223" s="12" t="n">
        <x:v>3</x:v>
      </x:c>
    </x:row>
    <x:row r="224" ht="18" customHeight="1">
      <x:c r="A224" s="13" t="n">
        <x:v>42913</x:v>
      </x:c>
      <x:c r="B224" s="12" t="n">
        <x:v>3674.7152</x:v>
      </x:c>
      <x:c r="C224" s="12" t="n">
        <x:v>3668.0919</x:v>
      </x:c>
      <x:c r="D224" s="12" t="n">
        <x:v>0.1806</x:v>
      </x:c>
      <x:c r="E224" s="12" t="n">
        <x:v>0.0018040244571579066</x:v>
      </x:c>
      <x:c r="F224" s="13" t="n">
        <x:v>42912</x:v>
      </x:c>
      <x:c r="G224" s="12" t="n">
        <x:v>3.83</x:v>
      </x:c>
      <x:c r="H224" s="12" t="n">
        <x:v>383</x:v>
      </x:c>
      <x:c r="I224" s="12" t="n">
        <x:v>-3</x:v>
      </x:c>
      <x:c r="J224" s="12" t="n">
        <x:v>1</x:v>
      </x:c>
    </x:row>
    <x:row r="225" ht="18" customHeight="1">
      <x:c r="A225" s="13" t="n">
        <x:v>42914</x:v>
      </x:c>
      <x:c r="B225" s="12" t="n">
        <x:v>3646.1666</x:v>
      </x:c>
      <x:c r="C225" s="12" t="n">
        <x:v>3674.7152</x:v>
      </x:c>
      <x:c r="D225" s="12" t="n">
        <x:v>-0.7769</x:v>
      </x:c>
      <x:c r="E225" s="12" t="n">
        <x:v>-0.0077992639394721675</x:v>
      </x:c>
      <x:c r="F225" s="13" t="n">
        <x:v>42913</x:v>
      </x:c>
      <x:c r="G225" s="12" t="n">
        <x:v>3.77</x:v>
      </x:c>
      <x:c r="H225" s="12" t="n">
        <x:v>377</x:v>
      </x:c>
      <x:c r="I225" s="12" t="n">
        <x:v>-6</x:v>
      </x:c>
      <x:c r="J225" s="12" t="n">
        <x:v>1</x:v>
      </x:c>
    </x:row>
    <x:row r="226" ht="18" customHeight="1">
      <x:c r="A226" s="13" t="n">
        <x:v>42915</x:v>
      </x:c>
      <x:c r="B226" s="12" t="n">
        <x:v>3668.8279</x:v>
      </x:c>
      <x:c r="C226" s="12" t="n">
        <x:v>3646.1666</x:v>
      </x:c>
      <x:c r="D226" s="12" t="n">
        <x:v>0.6215</x:v>
      </x:c>
      <x:c r="E226" s="12" t="n">
        <x:v>0.006195868635291732</x:v>
      </x:c>
      <x:c r="F226" s="13" t="n">
        <x:v>42914</x:v>
      </x:c>
      <x:c r="G226" s="12" t="n">
        <x:v>3.77</x:v>
      </x:c>
      <x:c r="H226" s="12" t="n">
        <x:v>377</x:v>
      </x:c>
      <x:c r="I226" s="12" t="n">
        <x:v>0</x:v>
      </x:c>
      <x:c r="J226" s="12" t="n">
        <x:v>1</x:v>
      </x:c>
    </x:row>
    <x:row r="227" ht="18" customHeight="1">
      <x:c r="A227" s="13" t="n">
        <x:v>42916</x:v>
      </x:c>
      <x:c r="B227" s="12" t="n">
        <x:v>3666.7977</x:v>
      </x:c>
      <x:c r="C227" s="12" t="n">
        <x:v>3668.8279</x:v>
      </x:c>
      <x:c r="D227" s="12" t="n">
        <x:v>-0.0553</x:v>
      </x:c>
      <x:c r="E227" s="12" t="n">
        <x:v>-0.000553517903594956</x:v>
      </x:c>
      <x:c r="F227" s="13" t="n">
        <x:v>42915</x:v>
      </x:c>
      <x:c r="G227" s="12" t="n">
        <x:v>3.76</x:v>
      </x:c>
      <x:c r="H227" s="12" t="n">
        <x:v>376</x:v>
      </x:c>
      <x:c r="I227" s="12" t="n">
        <x:v>-1</x:v>
      </x:c>
      <x:c r="J227" s="12" t="n">
        <x:v>1</x:v>
      </x:c>
    </x:row>
    <x:row r="228" ht="18" customHeight="1">
      <x:c r="A228" s="13" t="n">
        <x:v>42919</x:v>
      </x:c>
      <x:c r="B228" s="12" t="n">
        <x:v>3650.8463</x:v>
      </x:c>
      <x:c r="C228" s="12" t="n">
        <x:v>3666.7977</x:v>
      </x:c>
      <x:c r="D228" s="12" t="n">
        <x:v>-0.435</x:v>
      </x:c>
      <x:c r="E228" s="12" t="n">
        <x:v>-0.004359716123344102</x:v>
      </x:c>
      <x:c r="F228" s="13" t="n">
        <x:v>42916</x:v>
      </x:c>
      <x:c r="G228" s="12" t="n">
        <x:v>3.77</x:v>
      </x:c>
      <x:c r="H228" s="12" t="n">
        <x:v>377</x:v>
      </x:c>
      <x:c r="I228" s="12" t="n">
        <x:v>1</x:v>
      </x:c>
      <x:c r="J228" s="12" t="n">
        <x:v>3</x:v>
      </x:c>
    </x:row>
    <x:row r="229" ht="18" customHeight="1">
      <x:c r="A229" s="13" t="n">
        <x:v>42920</x:v>
      </x:c>
      <x:c r="B229" s="12" t="n">
        <x:v>3619.9841</x:v>
      </x:c>
      <x:c r="C229" s="12" t="n">
        <x:v>3650.8463</x:v>
      </x:c>
      <x:c r="D229" s="12" t="n">
        <x:v>-0.8453</x:v>
      </x:c>
      <x:c r="E229" s="12" t="n">
        <x:v>-0.00848937016918417</x:v>
      </x:c>
      <x:c r="F229" s="13" t="n">
        <x:v>42919</x:v>
      </x:c>
      <x:c r="G229" s="12" t="n">
        <x:v>3.72</x:v>
      </x:c>
      <x:c r="H229" s="12" t="n">
        <x:v>372</x:v>
      </x:c>
      <x:c r="I229" s="12" t="n">
        <x:v>-5</x:v>
      </x:c>
      <x:c r="J229" s="12" t="n">
        <x:v>1</x:v>
      </x:c>
    </x:row>
    <x:row r="230" ht="18" customHeight="1">
      <x:c r="A230" s="13" t="n">
        <x:v>42921</x:v>
      </x:c>
      <x:c r="B230" s="12" t="n">
        <x:v>3659.6795</x:v>
      </x:c>
      <x:c r="C230" s="12" t="n">
        <x:v>3619.9841</x:v>
      </x:c>
      <x:c r="D230" s="12" t="n">
        <x:v>1.0966</x:v>
      </x:c>
      <x:c r="E230" s="12" t="n">
        <x:v>0.010905941710095658</x:v>
      </x:c>
      <x:c r="F230" s="13" t="n">
        <x:v>42920</x:v>
      </x:c>
      <x:c r="G230" s="12" t="n">
        <x:v>3.72</x:v>
      </x:c>
      <x:c r="H230" s="12" t="n">
        <x:v>372</x:v>
      </x:c>
      <x:c r="I230" s="12" t="n">
        <x:v>0</x:v>
      </x:c>
      <x:c r="J230" s="12" t="n">
        <x:v>1</x:v>
      </x:c>
    </x:row>
    <x:row r="231" ht="18" customHeight="1">
      <x:c r="A231" s="13" t="n">
        <x:v>42922</x:v>
      </x:c>
      <x:c r="B231" s="12" t="n">
        <x:v>3660.0967</x:v>
      </x:c>
      <x:c r="C231" s="12" t="n">
        <x:v>3659.6795</x:v>
      </x:c>
      <x:c r="D231" s="12" t="n">
        <x:v>0.0114</x:v>
      </x:c>
      <x:c r="E231" s="12" t="n">
        <x:v>0.00011399255634387506</x:v>
      </x:c>
      <x:c r="F231" s="13" t="n">
        <x:v>42921</x:v>
      </x:c>
      <x:c r="G231" s="12" t="n">
        <x:v>3.73</x:v>
      </x:c>
      <x:c r="H231" s="12" t="n">
        <x:v>373</x:v>
      </x:c>
      <x:c r="I231" s="12" t="n">
        <x:v>1</x:v>
      </x:c>
      <x:c r="J231" s="12" t="n">
        <x:v>1</x:v>
      </x:c>
    </x:row>
    <x:row r="232" ht="18" customHeight="1">
      <x:c r="A232" s="13" t="n">
        <x:v>42923</x:v>
      </x:c>
      <x:c r="B232" s="12" t="n">
        <x:v>3655.9293</x:v>
      </x:c>
      <x:c r="C232" s="12" t="n">
        <x:v>3660.0967</x:v>
      </x:c>
      <x:c r="D232" s="12" t="n">
        <x:v>-0.1139</x:v>
      </x:c>
      <x:c r="E232" s="12" t="n">
        <x:v>-0.0011392524987576937</x:v>
      </x:c>
      <x:c r="F232" s="13" t="n">
        <x:v>42922</x:v>
      </x:c>
      <x:c r="G232" s="12" t="n">
        <x:v>3.78</x:v>
      </x:c>
      <x:c r="H232" s="12" t="n">
        <x:v>378</x:v>
      </x:c>
      <x:c r="I232" s="12" t="n">
        <x:v>5</x:v>
      </x:c>
      <x:c r="J232" s="12" t="n">
        <x:v>1</x:v>
      </x:c>
    </x:row>
    <x:row r="233" ht="18" customHeight="1">
      <x:c r="A233" s="13" t="n">
        <x:v>42926</x:v>
      </x:c>
      <x:c r="B233" s="12" t="n">
        <x:v>3653.6868</x:v>
      </x:c>
      <x:c r="C233" s="12" t="n">
        <x:v>3655.9293</x:v>
      </x:c>
      <x:c r="D233" s="12" t="n">
        <x:v>-0.0613</x:v>
      </x:c>
      <x:c r="E233" s="12" t="n">
        <x:v>-0.0006135753341008933</x:v>
      </x:c>
      <x:c r="F233" s="13" t="n">
        <x:v>42923</x:v>
      </x:c>
      <x:c r="G233" s="12" t="n">
        <x:v>3.83</x:v>
      </x:c>
      <x:c r="H233" s="12" t="n">
        <x:v>383</x:v>
      </x:c>
      <x:c r="I233" s="12" t="n">
        <x:v>5</x:v>
      </x:c>
      <x:c r="J233" s="12" t="n">
        <x:v>3</x:v>
      </x:c>
    </x:row>
    <x:row r="234" ht="18" customHeight="1">
      <x:c r="A234" s="13" t="n">
        <x:v>42927</x:v>
      </x:c>
      <x:c r="B234" s="12" t="n">
        <x:v>3670.8086</x:v>
      </x:c>
      <x:c r="C234" s="12" t="n">
        <x:v>3653.6868</x:v>
      </x:c>
      <x:c r="D234" s="12" t="n">
        <x:v>0.4686</x:v>
      </x:c>
      <x:c r="E234" s="12" t="n">
        <x:v>0.004675224777110892</x:v>
      </x:c>
      <x:c r="F234" s="13" t="n">
        <x:v>42926</x:v>
      </x:c>
      <x:c r="G234" s="12" t="n">
        <x:v>3.83</x:v>
      </x:c>
      <x:c r="H234" s="12" t="n">
        <x:v>383</x:v>
      </x:c>
      <x:c r="I234" s="12" t="n">
        <x:v>0</x:v>
      </x:c>
      <x:c r="J234" s="12" t="n">
        <x:v>1</x:v>
      </x:c>
    </x:row>
    <x:row r="235" ht="18" customHeight="1">
      <x:c r="A235" s="13" t="n">
        <x:v>42928</x:v>
      </x:c>
      <x:c r="B235" s="12" t="n">
        <x:v>3658.8236</x:v>
      </x:c>
      <x:c r="C235" s="12" t="n">
        <x:v>3670.8086</x:v>
      </x:c>
      <x:c r="D235" s="12" t="n">
        <x:v>-0.3265</x:v>
      </x:c>
      <x:c r="E235" s="12" t="n">
        <x:v>-0.003270289792010191</x:v>
      </x:c>
      <x:c r="F235" s="13" t="n">
        <x:v>42927</x:v>
      </x:c>
      <x:c r="G235" s="12" t="n">
        <x:v>3.85</x:v>
      </x:c>
      <x:c r="H235" s="12" t="n">
        <x:v>385</x:v>
      </x:c>
      <x:c r="I235" s="12" t="n">
        <x:v>2</x:v>
      </x:c>
      <x:c r="J235" s="12" t="n">
        <x:v>1</x:v>
      </x:c>
    </x:row>
    <x:row r="236" ht="18" customHeight="1">
      <x:c r="A236" s="13" t="n">
        <x:v>42929</x:v>
      </x:c>
      <x:c r="B236" s="12" t="n">
        <x:v>3686.9205</x:v>
      </x:c>
      <x:c r="C236" s="12" t="n">
        <x:v>3658.8236</x:v>
      </x:c>
      <x:c r="D236" s="12" t="n">
        <x:v>0.7679</x:v>
      </x:c>
      <x:c r="E236" s="12" t="n">
        <x:v>0.0076498817922887085</x:v>
      </x:c>
      <x:c r="F236" s="13" t="n">
        <x:v>42928</x:v>
      </x:c>
      <x:c r="G236" s="12" t="n">
        <x:v>3.81</x:v>
      </x:c>
      <x:c r="H236" s="12" t="n">
        <x:v>381</x:v>
      </x:c>
      <x:c r="I236" s="12" t="n">
        <x:v>-4</x:v>
      </x:c>
      <x:c r="J236" s="12" t="n">
        <x:v>1</x:v>
      </x:c>
    </x:row>
    <x:row r="237" ht="18" customHeight="1">
      <x:c r="A237" s="13" t="n">
        <x:v>42930</x:v>
      </x:c>
      <x:c r="B237" s="12" t="n">
        <x:v>3703.094</x:v>
      </x:c>
      <x:c r="C237" s="12" t="n">
        <x:v>3686.9205</x:v>
      </x:c>
      <x:c r="D237" s="12" t="n">
        <x:v>0.4387</x:v>
      </x:c>
      <x:c r="E237" s="12" t="n">
        <x:v>0.004377129658592193</x:v>
      </x:c>
      <x:c r="F237" s="13" t="n">
        <x:v>42929</x:v>
      </x:c>
      <x:c r="G237" s="12" t="n">
        <x:v>3.77</x:v>
      </x:c>
      <x:c r="H237" s="12" t="n">
        <x:v>377</x:v>
      </x:c>
      <x:c r="I237" s="12" t="n">
        <x:v>-4</x:v>
      </x:c>
      <x:c r="J237" s="12" t="n">
        <x:v>1</x:v>
      </x:c>
    </x:row>
    <x:row r="238" ht="18" customHeight="1">
      <x:c r="A238" s="13" t="n">
        <x:v>42933</x:v>
      </x:c>
      <x:c r="B238" s="12" t="n">
        <x:v>3663.5575</x:v>
      </x:c>
      <x:c r="C238" s="12" t="n">
        <x:v>3703.094</x:v>
      </x:c>
      <x:c r="D238" s="12" t="n">
        <x:v>-1.0677</x:v>
      </x:c>
      <x:c r="E238" s="12" t="n">
        <x:v>-0.010734016564415513</x:v>
      </x:c>
      <x:c r="F238" s="13" t="n">
        <x:v>42930</x:v>
      </x:c>
      <x:c r="G238" s="12" t="n">
        <x:v>3.73</x:v>
      </x:c>
      <x:c r="H238" s="12" t="n">
        <x:v>373</x:v>
      </x:c>
      <x:c r="I238" s="12" t="n">
        <x:v>-4</x:v>
      </x:c>
      <x:c r="J238" s="12" t="n">
        <x:v>3</x:v>
      </x:c>
    </x:row>
    <x:row r="239" ht="18" customHeight="1">
      <x:c r="A239" s="13" t="n">
        <x:v>42934</x:v>
      </x:c>
      <x:c r="B239" s="12" t="n">
        <x:v>3667.1807</x:v>
      </x:c>
      <x:c r="C239" s="12" t="n">
        <x:v>3663.5575</x:v>
      </x:c>
      <x:c r="D239" s="12" t="n">
        <x:v>0.0989</x:v>
      </x:c>
      <x:c r="E239" s="12" t="n">
        <x:v>0.0009884953455373269</x:v>
      </x:c>
      <x:c r="F239" s="13" t="n">
        <x:v>42933</x:v>
      </x:c>
      <x:c r="G239" s="12" t="n">
        <x:v>3.69</x:v>
      </x:c>
      <x:c r="H239" s="12" t="n">
        <x:v>369</x:v>
      </x:c>
      <x:c r="I239" s="12" t="n">
        <x:v>-4</x:v>
      </x:c>
      <x:c r="J239" s="12" t="n">
        <x:v>1</x:v>
      </x:c>
    </x:row>
    <x:row r="240" ht="18" customHeight="1">
      <x:c r="A240" s="13" t="n">
        <x:v>42935</x:v>
      </x:c>
      <x:c r="B240" s="12" t="n">
        <x:v>3729.7466</x:v>
      </x:c>
      <x:c r="C240" s="12" t="n">
        <x:v>3667.1807</x:v>
      </x:c>
      <x:c r="D240" s="12" t="n">
        <x:v>1.7061</x:v>
      </x:c>
      <x:c r="E240" s="12" t="n">
        <x:v>0.016917130477631895</x:v>
      </x:c>
      <x:c r="F240" s="13" t="n">
        <x:v>42934</x:v>
      </x:c>
      <x:c r="G240" s="12" t="n">
        <x:v>3.69</x:v>
      </x:c>
      <x:c r="H240" s="12" t="n">
        <x:v>369</x:v>
      </x:c>
      <x:c r="I240" s="12" t="n">
        <x:v>0</x:v>
      </x:c>
      <x:c r="J240" s="12" t="n">
        <x:v>1</x:v>
      </x:c>
    </x:row>
    <x:row r="241" ht="18" customHeight="1">
      <x:c r="A241" s="13" t="n">
        <x:v>42936</x:v>
      </x:c>
      <x:c r="B241" s="12" t="n">
        <x:v>3747.8843</x:v>
      </x:c>
      <x:c r="C241" s="12" t="n">
        <x:v>3729.7466</x:v>
      </x:c>
      <x:c r="D241" s="12" t="n">
        <x:v>0.4863</x:v>
      </x:c>
      <x:c r="E241" s="12" t="n">
        <x:v>0.004851198411312107</x:v>
      </x:c>
      <x:c r="F241" s="13" t="n">
        <x:v>42935</x:v>
      </x:c>
      <x:c r="G241" s="12" t="n">
        <x:v>3.64</x:v>
      </x:c>
      <x:c r="H241" s="12" t="n">
        <x:v>364</x:v>
      </x:c>
      <x:c r="I241" s="12" t="n">
        <x:v>-5</x:v>
      </x:c>
      <x:c r="J241" s="12" t="n">
        <x:v>1</x:v>
      </x:c>
    </x:row>
    <x:row r="242" ht="18" customHeight="1">
      <x:c r="A242" s="13" t="n">
        <x:v>42937</x:v>
      </x:c>
      <x:c r="B242" s="12" t="n">
        <x:v>3728.5976</x:v>
      </x:c>
      <x:c r="C242" s="12" t="n">
        <x:v>3747.8843</x:v>
      </x:c>
      <x:c r="D242" s="12" t="n">
        <x:v>-0.5146</x:v>
      </x:c>
      <x:c r="E242" s="12" t="n">
        <x:v>-0.005159309696680246</x:v>
      </x:c>
      <x:c r="F242" s="13" t="n">
        <x:v>42936</x:v>
      </x:c>
      <x:c r="G242" s="12" t="n">
        <x:v>3.61</x:v>
      </x:c>
      <x:c r="H242" s="12" t="n">
        <x:v>361</x:v>
      </x:c>
      <x:c r="I242" s="12" t="n">
        <x:v>-3</x:v>
      </x:c>
      <x:c r="J242" s="12" t="n">
        <x:v>1</x:v>
      </x:c>
    </x:row>
    <x:row r="243" ht="18" customHeight="1">
      <x:c r="A243" s="13" t="n">
        <x:v>42940</x:v>
      </x:c>
      <x:c r="B243" s="12" t="n">
        <x:v>3743.4686</x:v>
      </x:c>
      <x:c r="C243" s="12" t="n">
        <x:v>3728.5976</x:v>
      </x:c>
      <x:c r="D243" s="12" t="n">
        <x:v>0.3988</x:v>
      </x:c>
      <x:c r="E243" s="12" t="n">
        <x:v>0.003980430375324101</x:v>
      </x:c>
      <x:c r="F243" s="13" t="n">
        <x:v>42937</x:v>
      </x:c>
      <x:c r="G243" s="12" t="n">
        <x:v>3.64</x:v>
      </x:c>
      <x:c r="H243" s="12" t="n">
        <x:v>364</x:v>
      </x:c>
      <x:c r="I243" s="12" t="n">
        <x:v>3</x:v>
      </x:c>
      <x:c r="J243" s="12" t="n">
        <x:v>3</x:v>
      </x:c>
    </x:row>
    <x:row r="244" ht="18" customHeight="1">
      <x:c r="A244" s="13" t="n">
        <x:v>42941</x:v>
      </x:c>
      <x:c r="B244" s="12" t="n">
        <x:v>3719.559</x:v>
      </x:c>
      <x:c r="C244" s="12" t="n">
        <x:v>3743.4686</x:v>
      </x:c>
      <x:c r="D244" s="12" t="n">
        <x:v>-0.6387</x:v>
      </x:c>
      <x:c r="E244" s="12" t="n">
        <x:v>-0.006407501910569485</x:v>
      </x:c>
      <x:c r="F244" s="13" t="n">
        <x:v>42940</x:v>
      </x:c>
      <x:c r="G244" s="12" t="n">
        <x:v>3.63</x:v>
      </x:c>
      <x:c r="H244" s="12" t="n">
        <x:v>363</x:v>
      </x:c>
      <x:c r="I244" s="12" t="n">
        <x:v>-1</x:v>
      </x:c>
      <x:c r="J244" s="12" t="n">
        <x:v>1</x:v>
      </x:c>
    </x:row>
    <x:row r="245" ht="18" customHeight="1">
      <x:c r="A245" s="13" t="n">
        <x:v>42942</x:v>
      </x:c>
      <x:c r="B245" s="12" t="n">
        <x:v>3705.3884</x:v>
      </x:c>
      <x:c r="C245" s="12" t="n">
        <x:v>3719.559</x:v>
      </x:c>
      <x:c r="D245" s="12" t="n">
        <x:v>-0.381</x:v>
      </x:c>
      <x:c r="E245" s="12" t="n">
        <x:v>-0.0038170283078687544</x:v>
      </x:c>
      <x:c r="F245" s="13" t="n">
        <x:v>42941</x:v>
      </x:c>
      <x:c r="G245" s="12" t="n">
        <x:v>3.55</x:v>
      </x:c>
      <x:c r="H245" s="12" t="n">
        <x:v>355</x:v>
      </x:c>
      <x:c r="I245" s="12" t="n">
        <x:v>-8</x:v>
      </x:c>
      <x:c r="J245" s="12" t="n">
        <x:v>1</x:v>
      </x:c>
    </x:row>
    <x:row r="246" ht="18" customHeight="1">
      <x:c r="A246" s="13" t="n">
        <x:v>42943</x:v>
      </x:c>
      <x:c r="B246" s="12" t="n">
        <x:v>3712.1947</x:v>
      </x:c>
      <x:c r="C246" s="12" t="n">
        <x:v>3705.3884</x:v>
      </x:c>
      <x:c r="D246" s="12" t="n">
        <x:v>0.1837</x:v>
      </x:c>
      <x:c r="E246" s="12" t="n">
        <x:v>0.0018351804943682085</x:v>
      </x:c>
      <x:c r="F246" s="13" t="n">
        <x:v>42942</x:v>
      </x:c>
      <x:c r="G246" s="12" t="n">
        <x:v>3.56</x:v>
      </x:c>
      <x:c r="H246" s="12" t="n">
        <x:v>356</x:v>
      </x:c>
      <x:c r="I246" s="12" t="n">
        <x:v>1</x:v>
      </x:c>
      <x:c r="J246" s="12" t="n">
        <x:v>1</x:v>
      </x:c>
    </x:row>
    <x:row r="247" ht="18" customHeight="1">
      <x:c r="A247" s="13" t="n">
        <x:v>42944</x:v>
      </x:c>
      <x:c r="B247" s="12" t="n">
        <x:v>3721.8914</x:v>
      </x:c>
      <x:c r="C247" s="12" t="n">
        <x:v>3712.1947</x:v>
      </x:c>
      <x:c r="D247" s="12" t="n">
        <x:v>0.2612</x:v>
      </x:c>
      <x:c r="E247" s="12" t="n">
        <x:v>0.0026087148759696005</x:v>
      </x:c>
      <x:c r="F247" s="13" t="n">
        <x:v>42943</x:v>
      </x:c>
      <x:c r="G247" s="12" t="n">
        <x:v>3.55</x:v>
      </x:c>
      <x:c r="H247" s="12" t="n">
        <x:v>355</x:v>
      </x:c>
      <x:c r="I247" s="12" t="n">
        <x:v>-1</x:v>
      </x:c>
      <x:c r="J247" s="12" t="n">
        <x:v>1</x:v>
      </x:c>
    </x:row>
    <x:row r="248" ht="18" customHeight="1">
      <x:c r="A248" s="13" t="n">
        <x:v>42947</x:v>
      </x:c>
      <x:c r="B248" s="12" t="n">
        <x:v>3737.8732</x:v>
      </x:c>
      <x:c r="C248" s="12" t="n">
        <x:v>3721.8914</x:v>
      </x:c>
      <x:c r="D248" s="12" t="n">
        <x:v>0.4294</x:v>
      </x:c>
      <x:c r="E248" s="12" t="n">
        <x:v>0.004284806641638821</x:v>
      </x:c>
      <x:c r="F248" s="13" t="n">
        <x:v>42944</x:v>
      </x:c>
      <x:c r="G248" s="12" t="n">
        <x:v>3.59</x:v>
      </x:c>
      <x:c r="H248" s="12" t="n">
        <x:v>359</x:v>
      </x:c>
      <x:c r="I248" s="12" t="n">
        <x:v>4</x:v>
      </x:c>
      <x:c r="J248" s="12" t="n">
        <x:v>3</x:v>
      </x:c>
    </x:row>
    <x:row r="249" ht="18" customHeight="1">
      <x:c r="A249" s="13" t="n">
        <x:v>42948</x:v>
      </x:c>
      <x:c r="B249" s="12" t="n">
        <x:v>3770.3828</x:v>
      </x:c>
      <x:c r="C249" s="12" t="n">
        <x:v>3737.8732</x:v>
      </x:c>
      <x:c r="D249" s="12" t="n">
        <x:v>0.8697</x:v>
      </x:c>
      <x:c r="E249" s="12" t="n">
        <x:v>0.008659748192126341</x:v>
      </x:c>
      <x:c r="F249" s="13" t="n">
        <x:v>42947</x:v>
      </x:c>
      <x:c r="G249" s="12" t="n">
        <x:v>3.61</x:v>
      </x:c>
      <x:c r="H249" s="12" t="n">
        <x:v>361</x:v>
      </x:c>
      <x:c r="I249" s="12" t="n">
        <x:v>2</x:v>
      </x:c>
      <x:c r="J249" s="12" t="n">
        <x:v>1</x:v>
      </x:c>
    </x:row>
    <x:row r="250" ht="18" customHeight="1">
      <x:c r="A250" s="13" t="n">
        <x:v>42949</x:v>
      </x:c>
      <x:c r="B250" s="12" t="n">
        <x:v>3760.8525</x:v>
      </x:c>
      <x:c r="C250" s="12" t="n">
        <x:v>3770.3828</x:v>
      </x:c>
      <x:c r="D250" s="12" t="n">
        <x:v>-0.2528</x:v>
      </x:c>
      <x:c r="E250" s="12" t="n">
        <x:v>-0.0025308743406424234</x:v>
      </x:c>
      <x:c r="F250" s="13" t="n">
        <x:v>42948</x:v>
      </x:c>
      <x:c r="G250" s="12" t="n">
        <x:v>3.6</x:v>
      </x:c>
      <x:c r="H250" s="12" t="n">
        <x:v>360</x:v>
      </x:c>
      <x:c r="I250" s="12" t="n">
        <x:v>-1</x:v>
      </x:c>
      <x:c r="J250" s="12" t="n">
        <x:v>1</x:v>
      </x:c>
    </x:row>
    <x:row r="251" ht="18" customHeight="1">
      <x:c r="A251" s="13" t="n">
        <x:v>42950</x:v>
      </x:c>
      <x:c r="B251" s="12" t="n">
        <x:v>3727.8264</x:v>
      </x:c>
      <x:c r="C251" s="12" t="n">
        <x:v>3760.8525</x:v>
      </x:c>
      <x:c r="D251" s="12" t="n">
        <x:v>-0.8782</x:v>
      </x:c>
      <x:c r="E251" s="12" t="n">
        <x:v>-0.008820331210649436</x:v>
      </x:c>
      <x:c r="F251" s="13" t="n">
        <x:v>42949</x:v>
      </x:c>
      <x:c r="G251" s="12" t="n">
        <x:v>3.59</x:v>
      </x:c>
      <x:c r="H251" s="12" t="n">
        <x:v>359</x:v>
      </x:c>
      <x:c r="I251" s="12" t="n">
        <x:v>-1</x:v>
      </x:c>
      <x:c r="J251" s="12" t="n">
        <x:v>1</x:v>
      </x:c>
    </x:row>
    <x:row r="252" ht="18" customHeight="1">
      <x:c r="A252" s="13" t="n">
        <x:v>42951</x:v>
      </x:c>
      <x:c r="B252" s="12" t="n">
        <x:v>3707.5796</x:v>
      </x:c>
      <x:c r="C252" s="12" t="n">
        <x:v>3727.8264</x:v>
      </x:c>
      <x:c r="D252" s="12" t="n">
        <x:v>-0.5431</x:v>
      </x:c>
      <x:c r="E252" s="12" t="n">
        <x:v>-0.005446064422755287</x:v>
      </x:c>
      <x:c r="F252" s="13" t="n">
        <x:v>42950</x:v>
      </x:c>
      <x:c r="G252" s="12" t="n">
        <x:v>3.63</x:v>
      </x:c>
      <x:c r="H252" s="12" t="n">
        <x:v>363</x:v>
      </x:c>
      <x:c r="I252" s="12" t="n">
        <x:v>4</x:v>
      </x:c>
      <x:c r="J252" s="12" t="n">
        <x:v>1</x:v>
      </x:c>
    </x:row>
    <x:row r="253" ht="18" customHeight="1">
      <x:c r="A253" s="13" t="n">
        <x:v>42954</x:v>
      </x:c>
      <x:c r="B253" s="12" t="n">
        <x:v>3726.7948</x:v>
      </x:c>
      <x:c r="C253" s="12" t="n">
        <x:v>3707.5796</x:v>
      </x:c>
      <x:c r="D253" s="12" t="n">
        <x:v>0.5183</x:v>
      </x:c>
      <x:c r="E253" s="12" t="n">
        <x:v>0.0051692965015135515</x:v>
      </x:c>
      <x:c r="F253" s="13" t="n">
        <x:v>42951</x:v>
      </x:c>
      <x:c r="G253" s="12" t="n">
        <x:v>3.63</x:v>
      </x:c>
      <x:c r="H253" s="12" t="n">
        <x:v>363</x:v>
      </x:c>
      <x:c r="I253" s="12" t="n">
        <x:v>0</x:v>
      </x:c>
      <x:c r="J253" s="12" t="n">
        <x:v>3</x:v>
      </x:c>
    </x:row>
    <x:row r="254" ht="18" customHeight="1">
      <x:c r="A254" s="13" t="n">
        <x:v>42955</x:v>
      </x:c>
      <x:c r="B254" s="12" t="n">
        <x:v>3732.2129</x:v>
      </x:c>
      <x:c r="C254" s="12" t="n">
        <x:v>3726.7948</x:v>
      </x:c>
      <x:c r="D254" s="12" t="n">
        <x:v>0.1454</x:v>
      </x:c>
      <x:c r="E254" s="12" t="n">
        <x:v>0.0014527672234264035</x:v>
      </x:c>
      <x:c r="F254" s="13" t="n">
        <x:v>42954</x:v>
      </x:c>
      <x:c r="G254" s="12" t="n">
        <x:v>3.64</x:v>
      </x:c>
      <x:c r="H254" s="12" t="n">
        <x:v>364</x:v>
      </x:c>
      <x:c r="I254" s="12" t="n">
        <x:v>1</x:v>
      </x:c>
      <x:c r="J254" s="12" t="n">
        <x:v>1</x:v>
      </x:c>
    </x:row>
    <x:row r="255" ht="18" customHeight="1">
      <x:c r="A255" s="13" t="n">
        <x:v>42956</x:v>
      </x:c>
      <x:c r="B255" s="12" t="n">
        <x:v>3731.044</x:v>
      </x:c>
      <x:c r="C255" s="12" t="n">
        <x:v>3732.2129</x:v>
      </x:c>
      <x:c r="D255" s="12" t="n">
        <x:v>-0.0313</x:v>
      </x:c>
      <x:c r="E255" s="12" t="n">
        <x:v>-0.00031324126322330027</x:v>
      </x:c>
      <x:c r="F255" s="13" t="n">
        <x:v>42955</x:v>
      </x:c>
      <x:c r="G255" s="12" t="n">
        <x:v>3.64</x:v>
      </x:c>
      <x:c r="H255" s="12" t="n">
        <x:v>364</x:v>
      </x:c>
      <x:c r="I255" s="12" t="n">
        <x:v>0</x:v>
      </x:c>
      <x:c r="J255" s="12" t="n">
        <x:v>1</x:v>
      </x:c>
    </x:row>
    <x:row r="256" ht="18" customHeight="1">
      <x:c r="A256" s="13" t="n">
        <x:v>42957</x:v>
      </x:c>
      <x:c r="B256" s="12" t="n">
        <x:v>3715.9208</x:v>
      </x:c>
      <x:c r="C256" s="12" t="n">
        <x:v>3731.044</x:v>
      </x:c>
      <x:c r="D256" s="12" t="n">
        <x:v>-0.4053</x:v>
      </x:c>
      <x:c r="E256" s="12" t="n">
        <x:v>-0.004061579770028071</x:v>
      </x:c>
      <x:c r="F256" s="13" t="n">
        <x:v>42956</x:v>
      </x:c>
      <x:c r="G256" s="12" t="n">
        <x:v>3.81</x:v>
      </x:c>
      <x:c r="H256" s="12" t="n">
        <x:v>381</x:v>
      </x:c>
      <x:c r="I256" s="12" t="n">
        <x:v>17</x:v>
      </x:c>
      <x:c r="J256" s="12" t="n">
        <x:v>1</x:v>
      </x:c>
    </x:row>
    <x:row r="257" ht="18" customHeight="1">
      <x:c r="A257" s="13" t="n">
        <x:v>42958</x:v>
      </x:c>
      <x:c r="B257" s="12" t="n">
        <x:v>3647.3503</x:v>
      </x:c>
      <x:c r="C257" s="12" t="n">
        <x:v>3715.9208</x:v>
      </x:c>
      <x:c r="D257" s="12" t="n">
        <x:v>-1.8453</x:v>
      </x:c>
      <x:c r="E257" s="12" t="n">
        <x:v>-0.018625548721311613</x:v>
      </x:c>
      <x:c r="F257" s="13" t="n">
        <x:v>42957</x:v>
      </x:c>
      <x:c r="G257" s="12" t="n">
        <x:v>3.92</x:v>
      </x:c>
      <x:c r="H257" s="12" t="n">
        <x:v>392</x:v>
      </x:c>
      <x:c r="I257" s="12" t="n">
        <x:v>11</x:v>
      </x:c>
      <x:c r="J257" s="12" t="n">
        <x:v>1</x:v>
      </x:c>
    </x:row>
    <x:row r="258" ht="18" customHeight="1">
      <x:c r="A258" s="13" t="n">
        <x:v>42961</x:v>
      </x:c>
      <x:c r="B258" s="12" t="n">
        <x:v>3694.6831</x:v>
      </x:c>
      <x:c r="C258" s="12" t="n">
        <x:v>3647.3503</x:v>
      </x:c>
      <x:c r="D258" s="12" t="n">
        <x:v>1.2977</x:v>
      </x:c>
      <x:c r="E258" s="12" t="n">
        <x:v>0.012893827412384441</x:v>
      </x:c>
      <x:c r="F258" s="13" t="n">
        <x:v>42958</x:v>
      </x:c>
      <x:c r="G258" s="12" t="n">
        <x:v>4</x:v>
      </x:c>
      <x:c r="H258" s="12" t="n">
        <x:v>400</x:v>
      </x:c>
      <x:c r="I258" s="12" t="n">
        <x:v>8</x:v>
      </x:c>
      <x:c r="J258" s="12" t="n">
        <x:v>3</x:v>
      </x:c>
    </x:row>
    <x:row r="259" ht="18" customHeight="1">
      <x:c r="A259" s="13" t="n">
        <x:v>42962</x:v>
      </x:c>
      <x:c r="B259" s="12" t="n">
        <x:v>3706.0566</x:v>
      </x:c>
      <x:c r="C259" s="12" t="n">
        <x:v>3694.6831</x:v>
      </x:c>
      <x:c r="D259" s="12" t="n">
        <x:v>0.3078</x:v>
      </x:c>
      <x:c r="E259" s="12" t="n">
        <x:v>0.003073614102083343</x:v>
      </x:c>
      <x:c r="F259" s="13" t="n">
        <x:v>42961</x:v>
      </x:c>
      <x:c r="G259" s="12" t="n">
        <x:v>3.89</x:v>
      </x:c>
      <x:c r="H259" s="12" t="n">
        <x:v>389</x:v>
      </x:c>
      <x:c r="I259" s="12" t="n">
        <x:v>-11</x:v>
      </x:c>
      <x:c r="J259" s="12" t="n">
        <x:v>1</x:v>
      </x:c>
    </x:row>
    <x:row r="260" ht="18" customHeight="1">
      <x:c r="A260" s="13" t="n">
        <x:v>42963</x:v>
      </x:c>
      <x:c r="B260" s="12" t="n">
        <x:v>3701.4207</x:v>
      </x:c>
      <x:c r="C260" s="12" t="n">
        <x:v>3706.0566</x:v>
      </x:c>
      <x:c r="D260" s="12" t="n">
        <x:v>-0.1251</x:v>
      </x:c>
      <x:c r="E260" s="12" t="n">
        <x:v>-0.001251681353180175</x:v>
      </x:c>
      <x:c r="F260" s="13" t="n">
        <x:v>42962</x:v>
      </x:c>
      <x:c r="G260" s="12" t="n">
        <x:v>3.87</x:v>
      </x:c>
      <x:c r="H260" s="12" t="n">
        <x:v>387</x:v>
      </x:c>
      <x:c r="I260" s="12" t="n">
        <x:v>-2</x:v>
      </x:c>
      <x:c r="J260" s="12" t="n">
        <x:v>1</x:v>
      </x:c>
    </x:row>
    <x:row r="261" ht="18" customHeight="1">
      <x:c r="A261" s="13" t="n">
        <x:v>42964</x:v>
      </x:c>
      <x:c r="B261" s="12" t="n">
        <x:v>3721.277</x:v>
      </x:c>
      <x:c r="C261" s="12" t="n">
        <x:v>3701.4207</x:v>
      </x:c>
      <x:c r="D261" s="12" t="n">
        <x:v>0.5365</x:v>
      </x:c>
      <x:c r="E261" s="12" t="n">
        <x:v>0.005350170023601936</x:v>
      </x:c>
      <x:c r="F261" s="13" t="n">
        <x:v>42963</x:v>
      </x:c>
      <x:c r="G261" s="12" t="n">
        <x:v>3.88</x:v>
      </x:c>
      <x:c r="H261" s="12" t="n">
        <x:v>388</x:v>
      </x:c>
      <x:c r="I261" s="12" t="n">
        <x:v>1</x:v>
      </x:c>
      <x:c r="J261" s="12" t="n">
        <x:v>1</x:v>
      </x:c>
    </x:row>
    <x:row r="262" ht="18" customHeight="1">
      <x:c r="A262" s="13" t="n">
        <x:v>42965</x:v>
      </x:c>
      <x:c r="B262" s="12" t="n">
        <x:v>3724.6748</x:v>
      </x:c>
      <x:c r="C262" s="12" t="n">
        <x:v>3721.277</x:v>
      </x:c>
      <x:c r="D262" s="12" t="n">
        <x:v>0.0913</x:v>
      </x:c>
      <x:c r="E262" s="12" t="n">
        <x:v>0.0009126570590606256</x:v>
      </x:c>
      <x:c r="F262" s="13" t="n">
        <x:v>42964</x:v>
      </x:c>
      <x:c r="G262" s="12" t="n">
        <x:v>3.93</x:v>
      </x:c>
      <x:c r="H262" s="12" t="n">
        <x:v>393</x:v>
      </x:c>
      <x:c r="I262" s="12" t="n">
        <x:v>5</x:v>
      </x:c>
      <x:c r="J262" s="12" t="n">
        <x:v>1</x:v>
      </x:c>
    </x:row>
    <x:row r="263" ht="18" customHeight="1">
      <x:c r="A263" s="13" t="n">
        <x:v>42968</x:v>
      </x:c>
      <x:c r="B263" s="12" t="n">
        <x:v>3740.9941</x:v>
      </x:c>
      <x:c r="C263" s="12" t="n">
        <x:v>3724.6748</x:v>
      </x:c>
      <x:c r="D263" s="12" t="n">
        <x:v>0.4381</x:v>
      </x:c>
      <x:c r="E263" s="12" t="n">
        <x:v>0.004371832239290388</x:v>
      </x:c>
      <x:c r="F263" s="13" t="n">
        <x:v>42965</x:v>
      </x:c>
      <x:c r="G263" s="12" t="n">
        <x:v>3.98</x:v>
      </x:c>
      <x:c r="H263" s="12" t="n">
        <x:v>398</x:v>
      </x:c>
      <x:c r="I263" s="12" t="n">
        <x:v>5</x:v>
      </x:c>
      <x:c r="J263" s="12" t="n">
        <x:v>3</x:v>
      </x:c>
    </x:row>
    <x:row r="264" ht="18" customHeight="1">
      <x:c r="A264" s="13" t="n">
        <x:v>42969</x:v>
      </x:c>
      <x:c r="B264" s="12" t="n">
        <x:v>3752.298</x:v>
      </x:c>
      <x:c r="C264" s="12" t="n">
        <x:v>3740.9941</x:v>
      </x:c>
      <x:c r="D264" s="12" t="n">
        <x:v>0.3022</x:v>
      </x:c>
      <x:c r="E264" s="12" t="n">
        <x:v>0.0030170740507233697</x:v>
      </x:c>
      <x:c r="F264" s="13" t="n">
        <x:v>42968</x:v>
      </x:c>
      <x:c r="G264" s="12" t="n">
        <x:v>4</x:v>
      </x:c>
      <x:c r="H264" s="12" t="n">
        <x:v>400</x:v>
      </x:c>
      <x:c r="I264" s="12" t="n">
        <x:v>2</x:v>
      </x:c>
      <x:c r="J264" s="12" t="n">
        <x:v>1</x:v>
      </x:c>
    </x:row>
    <x:row r="265" ht="18" customHeight="1">
      <x:c r="A265" s="13" t="n">
        <x:v>42970</x:v>
      </x:c>
      <x:c r="B265" s="12" t="n">
        <x:v>3756.0884</x:v>
      </x:c>
      <x:c r="C265" s="12" t="n">
        <x:v>3752.298</x:v>
      </x:c>
      <x:c r="D265" s="12" t="n">
        <x:v>0.101</x:v>
      </x:c>
      <x:c r="E265" s="12" t="n">
        <x:v>0.0010096444482368895</x:v>
      </x:c>
      <x:c r="F265" s="13" t="n">
        <x:v>42969</x:v>
      </x:c>
      <x:c r="G265" s="12" t="n">
        <x:v>3.93</x:v>
      </x:c>
      <x:c r="H265" s="12" t="n">
        <x:v>393</x:v>
      </x:c>
      <x:c r="I265" s="12" t="n">
        <x:v>-7</x:v>
      </x:c>
      <x:c r="J265" s="12" t="n">
        <x:v>1</x:v>
      </x:c>
    </x:row>
    <x:row r="266" ht="18" customHeight="1">
      <x:c r="A266" s="13" t="n">
        <x:v>42971</x:v>
      </x:c>
      <x:c r="B266" s="12" t="n">
        <x:v>3734.6458</x:v>
      </x:c>
      <x:c r="C266" s="12" t="n">
        <x:v>3756.0884</x:v>
      </x:c>
      <x:c r="D266" s="12" t="n">
        <x:v>-0.5709</x:v>
      </x:c>
      <x:c r="E266" s="12" t="n">
        <x:v>-0.005725115321418205</x:v>
      </x:c>
      <x:c r="F266" s="13" t="n">
        <x:v>42970</x:v>
      </x:c>
      <x:c r="G266" s="12" t="n">
        <x:v>3.95</x:v>
      </x:c>
      <x:c r="H266" s="12" t="n">
        <x:v>395</x:v>
      </x:c>
      <x:c r="I266" s="12" t="n">
        <x:v>2</x:v>
      </x:c>
      <x:c r="J266" s="12" t="n">
        <x:v>1</x:v>
      </x:c>
    </x:row>
    <x:row r="267" ht="18" customHeight="1">
      <x:c r="A267" s="13" t="n">
        <x:v>42972</x:v>
      </x:c>
      <x:c r="B267" s="12" t="n">
        <x:v>3795.7544</x:v>
      </x:c>
      <x:c r="C267" s="12" t="n">
        <x:v>3734.6458</x:v>
      </x:c>
      <x:c r="D267" s="12" t="n">
        <x:v>1.6363</x:v>
      </x:c>
      <x:c r="E267" s="12" t="n">
        <x:v>0.0162301975467989</x:v>
      </x:c>
      <x:c r="F267" s="13" t="n">
        <x:v>42971</x:v>
      </x:c>
      <x:c r="G267" s="12" t="n">
        <x:v>3.91</x:v>
      </x:c>
      <x:c r="H267" s="12" t="n">
        <x:v>391</x:v>
      </x:c>
      <x:c r="I267" s="12" t="n">
        <x:v>-4</x:v>
      </x:c>
      <x:c r="J267" s="12" t="n">
        <x:v>1</x:v>
      </x:c>
    </x:row>
    <x:row r="268" ht="18" customHeight="1">
      <x:c r="A268" s="13" t="n">
        <x:v>42975</x:v>
      </x:c>
      <x:c r="B268" s="12" t="n">
        <x:v>3842.7119</x:v>
      </x:c>
      <x:c r="C268" s="12" t="n">
        <x:v>3795.7544</x:v>
      </x:c>
      <x:c r="D268" s="12" t="n">
        <x:v>1.2371</x:v>
      </x:c>
      <x:c r="E268" s="12" t="n">
        <x:v>0.012295162328488495</x:v>
      </x:c>
      <x:c r="F268" s="13" t="n">
        <x:v>42972</x:v>
      </x:c>
      <x:c r="G268" s="12" t="n">
        <x:v>3.89</x:v>
      </x:c>
      <x:c r="H268" s="12" t="n">
        <x:v>389</x:v>
      </x:c>
      <x:c r="I268" s="12" t="n">
        <x:v>-2</x:v>
      </x:c>
      <x:c r="J268" s="12" t="n">
        <x:v>3</x:v>
      </x:c>
    </x:row>
    <x:row r="269" ht="18" customHeight="1">
      <x:c r="A269" s="13" t="n">
        <x:v>42976</x:v>
      </x:c>
      <x:c r="B269" s="12" t="n">
        <x:v>3834.5376</x:v>
      </x:c>
      <x:c r="C269" s="12" t="n">
        <x:v>3842.7119</x:v>
      </x:c>
      <x:c r="D269" s="12" t="n">
        <x:v>-0.2127</x:v>
      </x:c>
      <x:c r="E269" s="12" t="n">
        <x:v>-0.002129487413170702</x:v>
      </x:c>
      <x:c r="F269" s="13" t="n">
        <x:v>42975</x:v>
      </x:c>
      <x:c r="G269" s="12" t="n">
        <x:v>3.88</x:v>
      </x:c>
      <x:c r="H269" s="12" t="n">
        <x:v>388</x:v>
      </x:c>
      <x:c r="I269" s="12" t="n">
        <x:v>-1</x:v>
      </x:c>
      <x:c r="J269" s="12" t="n">
        <x:v>1</x:v>
      </x:c>
    </x:row>
    <x:row r="270" ht="18" customHeight="1">
      <x:c r="A270" s="13" t="n">
        <x:v>42977</x:v>
      </x:c>
      <x:c r="B270" s="12" t="n">
        <x:v>3834.3005</x:v>
      </x:c>
      <x:c r="C270" s="12" t="n">
        <x:v>3834.5376</x:v>
      </x:c>
      <x:c r="D270" s="12" t="n">
        <x:v>-0.0062</x:v>
      </x:c>
      <x:c r="E270" s="12" t="n">
        <x:v>-0.00006183466047503646</x:v>
      </x:c>
      <x:c r="F270" s="13" t="n">
        <x:v>42976</x:v>
      </x:c>
      <x:c r="G270" s="12" t="n">
        <x:v>3.9</x:v>
      </x:c>
      <x:c r="H270" s="12" t="n">
        <x:v>390</x:v>
      </x:c>
      <x:c r="I270" s="12" t="n">
        <x:v>2</x:v>
      </x:c>
      <x:c r="J270" s="12" t="n">
        <x:v>1</x:v>
      </x:c>
    </x:row>
    <x:row r="271" ht="18" customHeight="1">
      <x:c r="A271" s="13" t="n">
        <x:v>42978</x:v>
      </x:c>
      <x:c r="B271" s="12" t="n">
        <x:v>3822.0928</x:v>
      </x:c>
      <x:c r="C271" s="12" t="n">
        <x:v>3834.3005</x:v>
      </x:c>
      <x:c r="D271" s="12" t="n">
        <x:v>-0.3184</x:v>
      </x:c>
      <x:c r="E271" s="12" t="n">
        <x:v>-0.003188893220792988</x:v>
      </x:c>
      <x:c r="F271" s="13" t="n">
        <x:v>42977</x:v>
      </x:c>
      <x:c r="G271" s="12" t="n">
        <x:v>3.86</x:v>
      </x:c>
      <x:c r="H271" s="12" t="n">
        <x:v>386</x:v>
      </x:c>
      <x:c r="I271" s="12" t="n">
        <x:v>-4</x:v>
      </x:c>
      <x:c r="J271" s="12" t="n">
        <x:v>1</x:v>
      </x:c>
    </x:row>
    <x:row r="272" ht="18" customHeight="1">
      <x:c r="A272" s="13" t="n">
        <x:v>42979</x:v>
      </x:c>
      <x:c r="B272" s="12" t="n">
        <x:v>3830.5383</x:v>
      </x:c>
      <x:c r="C272" s="12" t="n">
        <x:v>3822.0928</x:v>
      </x:c>
      <x:c r="D272" s="12" t="n">
        <x:v>0.221</x:v>
      </x:c>
      <x:c r="E272" s="12" t="n">
        <x:v>0.0022072156147009</x:v>
      </x:c>
      <x:c r="F272" s="13" t="n">
        <x:v>42978</x:v>
      </x:c>
      <x:c r="G272" s="12" t="n">
        <x:v>3.85</x:v>
      </x:c>
      <x:c r="H272" s="12" t="n">
        <x:v>385</x:v>
      </x:c>
      <x:c r="I272" s="12" t="n">
        <x:v>-1</x:v>
      </x:c>
      <x:c r="J272" s="12" t="n">
        <x:v>1</x:v>
      </x:c>
    </x:row>
    <x:row r="273" ht="18" customHeight="1">
      <x:c r="A273" s="13" t="n">
        <x:v>42982</x:v>
      </x:c>
      <x:c r="B273" s="12" t="n">
        <x:v>3845.6163</x:v>
      </x:c>
      <x:c r="C273" s="12" t="n">
        <x:v>3830.5383</x:v>
      </x:c>
      <x:c r="D273" s="12" t="n">
        <x:v>0.3936</x:v>
      </x:c>
      <x:c r="E273" s="12" t="n">
        <x:v>0.003928534579551534</x:v>
      </x:c>
      <x:c r="F273" s="13" t="n">
        <x:v>42979</x:v>
      </x:c>
      <x:c r="G273" s="12" t="n">
        <x:v>3.82</x:v>
      </x:c>
      <x:c r="H273" s="12" t="n">
        <x:v>382</x:v>
      </x:c>
      <x:c r="I273" s="12" t="n">
        <x:v>-3</x:v>
      </x:c>
      <x:c r="J273" s="12" t="n">
        <x:v>3</x:v>
      </x:c>
    </x:row>
    <x:row r="274" ht="18" customHeight="1">
      <x:c r="A274" s="13" t="n">
        <x:v>42983</x:v>
      </x:c>
      <x:c r="B274" s="12" t="n">
        <x:v>3857.0464</x:v>
      </x:c>
      <x:c r="C274" s="12" t="n">
        <x:v>3845.6163</x:v>
      </x:c>
      <x:c r="D274" s="12" t="n">
        <x:v>0.2972</x:v>
      </x:c>
      <x:c r="E274" s="12" t="n">
        <x:v>0.0029678330299271072</x:v>
      </x:c>
      <x:c r="F274" s="13" t="n">
        <x:v>42982</x:v>
      </x:c>
      <x:c r="G274" s="12" t="n">
        <x:v>3.82</x:v>
      </x:c>
      <x:c r="H274" s="12" t="n">
        <x:v>382</x:v>
      </x:c>
      <x:c r="I274" s="12" t="n">
        <x:v>0</x:v>
      </x:c>
      <x:c r="J274" s="12" t="n">
        <x:v>1</x:v>
      </x:c>
    </x:row>
    <x:row r="275" ht="18" customHeight="1">
      <x:c r="A275" s="13" t="n">
        <x:v>42984</x:v>
      </x:c>
      <x:c r="B275" s="12" t="n">
        <x:v>3849.4499</x:v>
      </x:c>
      <x:c r="C275" s="12" t="n">
        <x:v>3857.0464</x:v>
      </x:c>
      <x:c r="D275" s="12" t="n">
        <x:v>-0.197</x:v>
      </x:c>
      <x:c r="E275" s="12" t="n">
        <x:v>-0.0019714542548732172</x:v>
      </x:c>
      <x:c r="F275" s="13" t="n">
        <x:v>42983</x:v>
      </x:c>
      <x:c r="G275" s="12" t="n">
        <x:v>3.91</x:v>
      </x:c>
      <x:c r="H275" s="12" t="n">
        <x:v>391</x:v>
      </x:c>
      <x:c r="I275" s="12" t="n">
        <x:v>9</x:v>
      </x:c>
      <x:c r="J275" s="12" t="n">
        <x:v>1</x:v>
      </x:c>
    </x:row>
    <x:row r="276" ht="18" customHeight="1">
      <x:c r="A276" s="13" t="n">
        <x:v>42985</x:v>
      </x:c>
      <x:c r="B276" s="12" t="n">
        <x:v>3829.8713</x:v>
      </x:c>
      <x:c r="C276" s="12" t="n">
        <x:v>3849.4499</x:v>
      </x:c>
      <x:c r="D276" s="12" t="n">
        <x:v>-0.5086</x:v>
      </x:c>
      <x:c r="E276" s="12" t="n">
        <x:v>-0.0050990554792473795</x:v>
      </x:c>
      <x:c r="F276" s="13" t="n">
        <x:v>42984</x:v>
      </x:c>
      <x:c r="G276" s="12" t="n">
        <x:v>3.84</x:v>
      </x:c>
      <x:c r="H276" s="12" t="n">
        <x:v>384</x:v>
      </x:c>
      <x:c r="I276" s="12" t="n">
        <x:v>-7</x:v>
      </x:c>
      <x:c r="J276" s="12" t="n">
        <x:v>1</x:v>
      </x:c>
    </x:row>
    <x:row r="277" ht="18" customHeight="1">
      <x:c r="A277" s="13" t="n">
        <x:v>42986</x:v>
      </x:c>
      <x:c r="B277" s="12" t="n">
        <x:v>3825.9895</x:v>
      </x:c>
      <x:c r="C277" s="12" t="n">
        <x:v>3829.8713</x:v>
      </x:c>
      <x:c r="D277" s="12" t="n">
        <x:v>-0.1014</x:v>
      </x:c>
      <x:c r="E277" s="12" t="n">
        <x:v>-0.0010140728610560975</x:v>
      </x:c>
      <x:c r="F277" s="13" t="n">
        <x:v>42985</x:v>
      </x:c>
      <x:c r="G277" s="12" t="n">
        <x:v>3.88</x:v>
      </x:c>
      <x:c r="H277" s="12" t="n">
        <x:v>388</x:v>
      </x:c>
      <x:c r="I277" s="12" t="n">
        <x:v>4</x:v>
      </x:c>
      <x:c r="J277" s="12" t="n">
        <x:v>1</x:v>
      </x:c>
    </x:row>
    <x:row r="278" ht="18" customHeight="1">
      <x:c r="A278" s="13" t="n">
        <x:v>42989</x:v>
      </x:c>
      <x:c r="B278" s="12" t="n">
        <x:v>3825.6453</x:v>
      </x:c>
      <x:c r="C278" s="12" t="n">
        <x:v>3825.9895</x:v>
      </x:c>
      <x:c r="D278" s="12" t="n">
        <x:v>-0.009</x:v>
      </x:c>
      <x:c r="E278" s="12" t="n">
        <x:v>-0.00008996770212613721</x:v>
      </x:c>
      <x:c r="F278" s="13" t="n">
        <x:v>42986</x:v>
      </x:c>
      <x:c r="G278" s="12" t="n">
        <x:v>3.92</x:v>
      </x:c>
      <x:c r="H278" s="12" t="n">
        <x:v>392</x:v>
      </x:c>
      <x:c r="I278" s="12" t="n">
        <x:v>4</x:v>
      </x:c>
      <x:c r="J278" s="12" t="n">
        <x:v>3</x:v>
      </x:c>
    </x:row>
    <x:row r="279" ht="18" customHeight="1">
      <x:c r="A279" s="13" t="n">
        <x:v>42990</x:v>
      </x:c>
      <x:c r="B279" s="12" t="n">
        <x:v>3837.9341</x:v>
      </x:c>
      <x:c r="C279" s="12" t="n">
        <x:v>3825.6453</x:v>
      </x:c>
      <x:c r="D279" s="12" t="n">
        <x:v>0.3212</x:v>
      </x:c>
      <x:c r="E279" s="12" t="n">
        <x:v>0.003207068105229335</x:v>
      </x:c>
      <x:c r="F279" s="13" t="n">
        <x:v>42989</x:v>
      </x:c>
      <x:c r="G279" s="12" t="n">
        <x:v>3.85</x:v>
      </x:c>
      <x:c r="H279" s="12" t="n">
        <x:v>385</x:v>
      </x:c>
      <x:c r="I279" s="12" t="n">
        <x:v>-7</x:v>
      </x:c>
      <x:c r="J279" s="12" t="n">
        <x:v>1</x:v>
      </x:c>
    </x:row>
    <x:row r="280" ht="18" customHeight="1">
      <x:c r="A280" s="13" t="n">
        <x:v>42991</x:v>
      </x:c>
      <x:c r="B280" s="12" t="n">
        <x:v>3842.6061</x:v>
      </x:c>
      <x:c r="C280" s="12" t="n">
        <x:v>3837.9341</x:v>
      </x:c>
      <x:c r="D280" s="12" t="n">
        <x:v>0.1217</x:v>
      </x:c>
      <x:c r="E280" s="12" t="n">
        <x:v>0.001216581244178713</x:v>
      </x:c>
      <x:c r="F280" s="13" t="n">
        <x:v>42990</x:v>
      </x:c>
      <x:c r="G280" s="12" t="n">
        <x:v>3.81</x:v>
      </x:c>
      <x:c r="H280" s="12" t="n">
        <x:v>381</x:v>
      </x:c>
      <x:c r="I280" s="12" t="n">
        <x:v>-4</x:v>
      </x:c>
      <x:c r="J280" s="12" t="n">
        <x:v>1</x:v>
      </x:c>
    </x:row>
    <x:row r="281" ht="18" customHeight="1">
      <x:c r="A281" s="13" t="n">
        <x:v>42992</x:v>
      </x:c>
      <x:c r="B281" s="12" t="n">
        <x:v>3829.9554</x:v>
      </x:c>
      <x:c r="C281" s="12" t="n">
        <x:v>3842.6061</x:v>
      </x:c>
      <x:c r="D281" s="12" t="n">
        <x:v>-0.3292</x:v>
      </x:c>
      <x:c r="E281" s="12" t="n">
        <x:v>-0.0032976500648873265</x:v>
      </x:c>
      <x:c r="F281" s="13" t="n">
        <x:v>42991</x:v>
      </x:c>
      <x:c r="G281" s="12" t="n">
        <x:v>3.78</x:v>
      </x:c>
      <x:c r="H281" s="12" t="n">
        <x:v>378</x:v>
      </x:c>
      <x:c r="I281" s="12" t="n">
        <x:v>-3</x:v>
      </x:c>
      <x:c r="J281" s="12" t="n">
        <x:v>1</x:v>
      </x:c>
    </x:row>
    <x:row r="282" ht="18" customHeight="1">
      <x:c r="A282" s="13" t="n">
        <x:v>42993</x:v>
      </x:c>
      <x:c r="B282" s="12" t="n">
        <x:v>3831.2965</x:v>
      </x:c>
      <x:c r="C282" s="12" t="n">
        <x:v>3829.9554</x:v>
      </x:c>
      <x:c r="D282" s="12" t="n">
        <x:v>0.035</x:v>
      </x:c>
      <x:c r="E282" s="12" t="n">
        <x:v>0.000350099443590409</x:v>
      </x:c>
      <x:c r="F282" s="13" t="n">
        <x:v>42992</x:v>
      </x:c>
      <x:c r="G282" s="12" t="n">
        <x:v>3.74</x:v>
      </x:c>
      <x:c r="H282" s="12" t="n">
        <x:v>374</x:v>
      </x:c>
      <x:c r="I282" s="12" t="n">
        <x:v>-4</x:v>
      </x:c>
      <x:c r="J282" s="12" t="n">
        <x:v>1</x:v>
      </x:c>
    </x:row>
    <x:row r="283" ht="18" customHeight="1">
      <x:c r="A283" s="13" t="n">
        <x:v>42996</x:v>
      </x:c>
      <x:c r="B283" s="12" t="n">
        <x:v>3843.1428</x:v>
      </x:c>
      <x:c r="C283" s="12" t="n">
        <x:v>3831.2965</x:v>
      </x:c>
      <x:c r="D283" s="12" t="n">
        <x:v>0.3092</x:v>
      </x:c>
      <x:c r="E283" s="12" t="n">
        <x:v>0.003087211702567067</x:v>
      </x:c>
      <x:c r="F283" s="13" t="n">
        <x:v>42993</x:v>
      </x:c>
      <x:c r="G283" s="12" t="n">
        <x:v>3.73</x:v>
      </x:c>
      <x:c r="H283" s="12" t="n">
        <x:v>373</x:v>
      </x:c>
      <x:c r="I283" s="12" t="n">
        <x:v>-1</x:v>
      </x:c>
      <x:c r="J283" s="12" t="n">
        <x:v>3</x:v>
      </x:c>
    </x:row>
    <x:row r="284" ht="18" customHeight="1">
      <x:c r="A284" s="13" t="n">
        <x:v>42997</x:v>
      </x:c>
      <x:c r="B284" s="12" t="n">
        <x:v>3832.1161</x:v>
      </x:c>
      <x:c r="C284" s="12" t="n">
        <x:v>3843.1428</x:v>
      </x:c>
      <x:c r="D284" s="12" t="n">
        <x:v>-0.2869</x:v>
      </x:c>
      <x:c r="E284" s="12" t="n">
        <x:v>-0.0028733122178582586</x:v>
      </x:c>
      <x:c r="F284" s="13" t="n">
        <x:v>42996</x:v>
      </x:c>
      <x:c r="G284" s="12" t="n">
        <x:v>3.68</x:v>
      </x:c>
      <x:c r="H284" s="12" t="n">
        <x:v>368</x:v>
      </x:c>
      <x:c r="I284" s="12" t="n">
        <x:v>-5</x:v>
      </x:c>
      <x:c r="J284" s="12" t="n">
        <x:v>1</x:v>
      </x:c>
    </x:row>
    <x:row r="285" ht="18" customHeight="1">
      <x:c r="A285" s="13" t="n">
        <x:v>42998</x:v>
      </x:c>
      <x:c r="B285" s="12" t="n">
        <x:v>3842.4353</x:v>
      </x:c>
      <x:c r="C285" s="12" t="n">
        <x:v>3832.1161</x:v>
      </x:c>
      <x:c r="D285" s="12" t="n">
        <x:v>0.2693</x:v>
      </x:c>
      <x:c r="E285" s="12" t="n">
        <x:v>0.00268920114832173</x:v>
      </x:c>
      <x:c r="F285" s="13" t="n">
        <x:v>42997</x:v>
      </x:c>
      <x:c r="G285" s="12" t="n">
        <x:v>3.66</x:v>
      </x:c>
      <x:c r="H285" s="12" t="n">
        <x:v>366</x:v>
      </x:c>
      <x:c r="I285" s="12" t="n">
        <x:v>-2</x:v>
      </x:c>
      <x:c r="J285" s="12" t="n">
        <x:v>1</x:v>
      </x:c>
    </x:row>
    <x:row r="286" ht="18" customHeight="1">
      <x:c r="A286" s="13" t="n">
        <x:v>42999</x:v>
      </x:c>
      <x:c r="B286" s="12" t="n">
        <x:v>3837.8176</x:v>
      </x:c>
      <x:c r="C286" s="12" t="n">
        <x:v>3842.4353</x:v>
      </x:c>
      <x:c r="D286" s="12" t="n">
        <x:v>-0.1202</x:v>
      </x:c>
      <x:c r="E286" s="12" t="n">
        <x:v>-0.0012024865890608793</x:v>
      </x:c>
      <x:c r="F286" s="13" t="n">
        <x:v>42998</x:v>
      </x:c>
      <x:c r="G286" s="12" t="n">
        <x:v>3.6</x:v>
      </x:c>
      <x:c r="H286" s="12" t="n">
        <x:v>360</x:v>
      </x:c>
      <x:c r="I286" s="12" t="n">
        <x:v>-6</x:v>
      </x:c>
      <x:c r="J286" s="12" t="n">
        <x:v>1</x:v>
      </x:c>
    </x:row>
    <x:row r="287" ht="18" customHeight="1">
      <x:c r="A287" s="13" t="n">
        <x:v>43000</x:v>
      </x:c>
      <x:c r="B287" s="12" t="n">
        <x:v>3837.7304</x:v>
      </x:c>
      <x:c r="C287" s="12" t="n">
        <x:v>3837.8176</x:v>
      </x:c>
      <x:c r="D287" s="12" t="n">
        <x:v>-0.0023</x:v>
      </x:c>
      <x:c r="E287" s="12" t="n">
        <x:v>-0.000022721504706530016</x:v>
      </x:c>
      <x:c r="F287" s="13" t="n">
        <x:v>42999</x:v>
      </x:c>
      <x:c r="G287" s="12" t="n">
        <x:v>3.62</x:v>
      </x:c>
      <x:c r="H287" s="12" t="n">
        <x:v>362</x:v>
      </x:c>
      <x:c r="I287" s="12" t="n">
        <x:v>2</x:v>
      </x:c>
      <x:c r="J287" s="12" t="n">
        <x:v>1</x:v>
      </x:c>
    </x:row>
    <x:row r="288" ht="18" customHeight="1">
      <x:c r="A288" s="13" t="n">
        <x:v>43003</x:v>
      </x:c>
      <x:c r="B288" s="12" t="n">
        <x:v>3817.7915</x:v>
      </x:c>
      <x:c r="C288" s="12" t="n">
        <x:v>3837.7304</x:v>
      </x:c>
      <x:c r="D288" s="12" t="n">
        <x:v>-0.5195</x:v>
      </x:c>
      <x:c r="E288" s="12" t="n">
        <x:v>-0.005209036129921053</x:v>
      </x:c>
      <x:c r="F288" s="13" t="n">
        <x:v>43000</x:v>
      </x:c>
      <x:c r="G288" s="12" t="n">
        <x:v>3.64</x:v>
      </x:c>
      <x:c r="H288" s="12" t="n">
        <x:v>364</x:v>
      </x:c>
      <x:c r="I288" s="12" t="n">
        <x:v>2</x:v>
      </x:c>
      <x:c r="J288" s="12" t="n">
        <x:v>3</x:v>
      </x:c>
    </x:row>
    <x:row r="289" ht="18" customHeight="1">
      <x:c r="A289" s="13" t="n">
        <x:v>43004</x:v>
      </x:c>
      <x:c r="B289" s="12" t="n">
        <x:v>3820.7816</x:v>
      </x:c>
      <x:c r="C289" s="12" t="n">
        <x:v>3817.7915</x:v>
      </x:c>
      <x:c r="D289" s="12" t="n">
        <x:v>0.0783</x:v>
      </x:c>
      <x:c r="E289" s="12" t="n">
        <x:v>0.0007828949500334316</x:v>
      </x:c>
      <x:c r="F289" s="13" t="n">
        <x:v>43003</x:v>
      </x:c>
      <x:c r="G289" s="12" t="n">
        <x:v>3.66</x:v>
      </x:c>
      <x:c r="H289" s="12" t="n">
        <x:v>366</x:v>
      </x:c>
      <x:c r="I289" s="12" t="n">
        <x:v>2</x:v>
      </x:c>
      <x:c r="J289" s="12" t="n">
        <x:v>1</x:v>
      </x:c>
    </x:row>
    <x:row r="290" ht="18" customHeight="1">
      <x:c r="A290" s="13" t="n">
        <x:v>43005</x:v>
      </x:c>
      <x:c r="B290" s="12" t="n">
        <x:v>3821.2</x:v>
      </x:c>
      <x:c r="C290" s="12" t="n">
        <x:v>3820.7816</x:v>
      </x:c>
      <x:c r="D290" s="12" t="n">
        <x:v>0.011</x:v>
      </x:c>
      <x:c r="E290" s="12" t="n">
        <x:v>0.00010950039461436072</x:v>
      </x:c>
      <x:c r="F290" s="13" t="n">
        <x:v>43004</x:v>
      </x:c>
      <x:c r="G290" s="12" t="n">
        <x:v>3.62</x:v>
      </x:c>
      <x:c r="H290" s="12" t="n">
        <x:v>362</x:v>
      </x:c>
      <x:c r="I290" s="12" t="n">
        <x:v>-4</x:v>
      </x:c>
      <x:c r="J290" s="12" t="n">
        <x:v>1</x:v>
      </x:c>
    </x:row>
    <x:row r="291" ht="18" customHeight="1">
      <x:c r="A291" s="13" t="n">
        <x:v>43006</x:v>
      </x:c>
      <x:c r="B291" s="12" t="n">
        <x:v>3822.5386</x:v>
      </x:c>
      <x:c r="C291" s="12" t="n">
        <x:v>3821.2</x:v>
      </x:c>
      <x:c r="D291" s="12" t="n">
        <x:v>0.035</x:v>
      </x:c>
      <x:c r="E291" s="12" t="n">
        <x:v>0.00035024745971412797</x:v>
      </x:c>
      <x:c r="F291" s="13" t="n">
        <x:v>43005</x:v>
      </x:c>
      <x:c r="G291" s="12" t="n">
        <x:v>3.57</x:v>
      </x:c>
      <x:c r="H291" s="12" t="n">
        <x:v>357</x:v>
      </x:c>
      <x:c r="I291" s="12" t="n">
        <x:v>-5</x:v>
      </x:c>
      <x:c r="J291" s="12" t="n">
        <x:v>1</x:v>
      </x:c>
    </x:row>
    <x:row r="292" ht="18" customHeight="1">
      <x:c r="A292" s="13" t="n">
        <x:v>43007</x:v>
      </x:c>
      <x:c r="B292" s="12" t="n">
        <x:v>3836.5013</x:v>
      </x:c>
      <x:c r="C292" s="12" t="n">
        <x:v>3822.5386</x:v>
      </x:c>
      <x:c r="D292" s="12" t="n">
        <x:v>0.3653</x:v>
      </x:c>
      <x:c r="E292" s="12" t="n">
        <x:v>0.003646074612610034</x:v>
      </x:c>
      <x:c r="F292" s="13" t="n">
        <x:v>43006</x:v>
      </x:c>
      <x:c r="G292" s="12" t="n">
        <x:v>3.57</x:v>
      </x:c>
      <x:c r="H292" s="12" t="n">
        <x:v>357</x:v>
      </x:c>
      <x:c r="I292" s="12" t="n">
        <x:v>0</x:v>
      </x:c>
      <x:c r="J292" s="12" t="n">
        <x:v>1</x:v>
      </x:c>
    </x:row>
    <x:row r="293" ht="18" customHeight="1">
      <x:c r="A293" s="13" t="n">
        <x:v>43017</x:v>
      </x:c>
      <x:c r="B293" s="12" t="n">
        <x:v>3882.2076</x:v>
      </x:c>
      <x:c r="C293" s="12" t="n">
        <x:v>3836.5013</x:v>
      </x:c>
      <x:c r="D293" s="12" t="n">
        <x:v>1.1914</x:v>
      </x:c>
      <x:c r="E293" s="12" t="n">
        <x:v>0.01184312941977477</x:v>
      </x:c>
      <x:c r="F293" s="13" t="n">
        <x:v>43014</x:v>
      </x:c>
      <x:c r="G293" s="12" t="n">
        <x:v>3.52</x:v>
      </x:c>
      <x:c r="H293" s="12" t="n">
        <x:v>352</x:v>
      </x:c>
      <x:c r="I293" s="12" t="n">
        <x:v>0</x:v>
      </x:c>
      <x:c r="J293" s="12" t="n">
        <x:v>3</x:v>
      </x:c>
    </x:row>
    <x:row r="294" ht="18" customHeight="1">
      <x:c r="A294" s="13" t="n">
        <x:v>43018</x:v>
      </x:c>
      <x:c r="B294" s="12" t="n">
        <x:v>3889.8637</x:v>
      </x:c>
      <x:c r="C294" s="12" t="n">
        <x:v>3882.2076</x:v>
      </x:c>
      <x:c r="D294" s="12" t="n">
        <x:v>0.1972</x:v>
      </x:c>
      <x:c r="E294" s="12" t="n">
        <x:v>0.001970157550263779</x:v>
      </x:c>
      <x:c r="F294" s="13" t="n">
        <x:v>43017</x:v>
      </x:c>
      <x:c r="G294" s="12" t="n">
        <x:v>3.51</x:v>
      </x:c>
      <x:c r="H294" s="12" t="n">
        <x:v>351</x:v>
      </x:c>
      <x:c r="I294" s="12" t="n">
        <x:v>-1</x:v>
      </x:c>
      <x:c r="J294" s="12" t="n">
        <x:v>1</x:v>
      </x:c>
    </x:row>
    <x:row r="295" ht="18" customHeight="1">
      <x:c r="A295" s="13" t="n">
        <x:v>43019</x:v>
      </x:c>
      <x:c r="B295" s="12" t="n">
        <x:v>3902.6868</x:v>
      </x:c>
      <x:c r="C295" s="12" t="n">
        <x:v>3889.8637</x:v>
      </x:c>
      <x:c r="D295" s="12" t="n">
        <x:v>0.3297</x:v>
      </x:c>
      <x:c r="E295" s="12" t="n">
        <x:v>0.003291120557876686</x:v>
      </x:c>
      <x:c r="F295" s="13" t="n">
        <x:v>43018</x:v>
      </x:c>
      <x:c r="G295" s="12" t="n">
        <x:v>3.52</x:v>
      </x:c>
      <x:c r="H295" s="12" t="n">
        <x:v>352</x:v>
      </x:c>
      <x:c r="I295" s="12" t="n">
        <x:v>1</x:v>
      </x:c>
      <x:c r="J295" s="12" t="n">
        <x:v>1</x:v>
      </x:c>
    </x:row>
    <x:row r="296" ht="18" customHeight="1">
      <x:c r="A296" s="13" t="n">
        <x:v>43020</x:v>
      </x:c>
      <x:c r="B296" s="12" t="n">
        <x:v>3912.9536</x:v>
      </x:c>
      <x:c r="C296" s="12" t="n">
        <x:v>3902.6868</x:v>
      </x:c>
      <x:c r="D296" s="12" t="n">
        <x:v>0.2631</x:v>
      </x:c>
      <x:c r="E296" s="12" t="n">
        <x:v>0.002627246234481852</x:v>
      </x:c>
      <x:c r="F296" s="13" t="n">
        <x:v>43019</x:v>
      </x:c>
      <x:c r="G296" s="12" t="n">
        <x:v>3.52</x:v>
      </x:c>
      <x:c r="H296" s="12" t="n">
        <x:v>352</x:v>
      </x:c>
      <x:c r="I296" s="12" t="n">
        <x:v>0</x:v>
      </x:c>
      <x:c r="J296" s="12" t="n">
        <x:v>1</x:v>
      </x:c>
    </x:row>
    <x:row r="297" ht="18" customHeight="1">
      <x:c r="A297" s="13" t="n">
        <x:v>43021</x:v>
      </x:c>
      <x:c r="B297" s="12" t="n">
        <x:v>3921.0017</x:v>
      </x:c>
      <x:c r="C297" s="12" t="n">
        <x:v>3912.9536</x:v>
      </x:c>
      <x:c r="D297" s="12" t="n">
        <x:v>0.2057</x:v>
      </x:c>
      <x:c r="E297" s="12" t="n">
        <x:v>0.0020546716245297427</x:v>
      </x:c>
      <x:c r="F297" s="13" t="n">
        <x:v>43020</x:v>
      </x:c>
      <x:c r="G297" s="12" t="n">
        <x:v>3.56</x:v>
      </x:c>
      <x:c r="H297" s="12" t="n">
        <x:v>356</x:v>
      </x:c>
      <x:c r="I297" s="12" t="n">
        <x:v>4</x:v>
      </x:c>
      <x:c r="J297" s="12" t="n">
        <x:v>1</x:v>
      </x:c>
    </x:row>
    <x:row r="298" ht="18" customHeight="1">
      <x:c r="A298" s="13" t="n">
        <x:v>43024</x:v>
      </x:c>
      <x:c r="B298" s="12" t="n">
        <x:v>3913.4462</x:v>
      </x:c>
      <x:c r="C298" s="12" t="n">
        <x:v>3921.0017</x:v>
      </x:c>
      <x:c r="D298" s="12" t="n">
        <x:v>-0.1927</x:v>
      </x:c>
      <x:c r="E298" s="12" t="n">
        <x:v>-0.0019287899897451727</x:v>
      </x:c>
      <x:c r="F298" s="13" t="n">
        <x:v>43021</x:v>
      </x:c>
      <x:c r="G298" s="12" t="n">
        <x:v>3.6</x:v>
      </x:c>
      <x:c r="H298" s="12" t="n">
        <x:v>360</x:v>
      </x:c>
      <x:c r="I298" s="12" t="n">
        <x:v>4</x:v>
      </x:c>
      <x:c r="J298" s="12" t="n">
        <x:v>3</x:v>
      </x:c>
    </x:row>
    <x:row r="299" ht="18" customHeight="1">
      <x:c r="A299" s="13" t="n">
        <x:v>43025</x:v>
      </x:c>
      <x:c r="B299" s="12" t="n">
        <x:v>3913.0688</x:v>
      </x:c>
      <x:c r="C299" s="12" t="n">
        <x:v>3913.4462</x:v>
      </x:c>
      <x:c r="D299" s="12" t="n">
        <x:v>-0.0096</x:v>
      </x:c>
      <x:c r="E299" s="12" t="n">
        <x:v>-0.00009644139193307079</x:v>
      </x:c>
      <x:c r="F299" s="13" t="n">
        <x:v>43024</x:v>
      </x:c>
      <x:c r="G299" s="12" t="n">
        <x:v>3.53</x:v>
      </x:c>
      <x:c r="H299" s="12" t="n">
        <x:v>353</x:v>
      </x:c>
      <x:c r="I299" s="12" t="n">
        <x:v>-7</x:v>
      </x:c>
      <x:c r="J299" s="12" t="n">
        <x:v>1</x:v>
      </x:c>
    </x:row>
    <x:row r="300" ht="18" customHeight="1">
      <x:c r="A300" s="13" t="n">
        <x:v>43026</x:v>
      </x:c>
      <x:c r="B300" s="12" t="n">
        <x:v>3944.1626</x:v>
      </x:c>
      <x:c r="C300" s="12" t="n">
        <x:v>3913.0688</x:v>
      </x:c>
      <x:c r="D300" s="12" t="n">
        <x:v>0.7946</x:v>
      </x:c>
      <x:c r="E300" s="12" t="n">
        <x:v>0.007914737579810524</x:v>
      </x:c>
      <x:c r="F300" s="13" t="n">
        <x:v>43025</x:v>
      </x:c>
      <x:c r="G300" s="12" t="n">
        <x:v>3.5</x:v>
      </x:c>
      <x:c r="H300" s="12" t="n">
        <x:v>350</x:v>
      </x:c>
      <x:c r="I300" s="12" t="n">
        <x:v>-3</x:v>
      </x:c>
      <x:c r="J300" s="12" t="n">
        <x:v>1</x:v>
      </x:c>
    </x:row>
    <x:row r="301" ht="18" customHeight="1">
      <x:c r="A301" s="13" t="n">
        <x:v>43027</x:v>
      </x:c>
      <x:c r="B301" s="12" t="n">
        <x:v>3931.2495</x:v>
      </x:c>
      <x:c r="C301" s="12" t="n">
        <x:v>3944.1626</x:v>
      </x:c>
      <x:c r="D301" s="12" t="n">
        <x:v>-0.3274</x:v>
      </x:c>
      <x:c r="E301" s="12" t="n">
        <x:v>-0.0032793487905036084</x:v>
      </x:c>
      <x:c r="F301" s="13" t="n">
        <x:v>43026</x:v>
      </x:c>
      <x:c r="G301" s="12" t="n">
        <x:v>3.46</x:v>
      </x:c>
      <x:c r="H301" s="12" t="n">
        <x:v>346</x:v>
      </x:c>
      <x:c r="I301" s="12" t="n">
        <x:v>-4</x:v>
      </x:c>
      <x:c r="J301" s="12" t="n">
        <x:v>1</x:v>
      </x:c>
    </x:row>
    <x:row r="302" ht="18" customHeight="1">
      <x:c r="A302" s="13" t="n">
        <x:v>43028</x:v>
      </x:c>
      <x:c r="B302" s="12" t="n">
        <x:v>3926.852</x:v>
      </x:c>
      <x:c r="C302" s="12" t="n">
        <x:v>3931.2495</x:v>
      </x:c>
      <x:c r="D302" s="12" t="n">
        <x:v>-0.1119</x:v>
      </x:c>
      <x:c r="E302" s="12" t="n">
        <x:v>-0.0011192271973201407</x:v>
      </x:c>
      <x:c r="F302" s="13" t="n">
        <x:v>43027</x:v>
      </x:c>
      <x:c r="G302" s="12" t="n">
        <x:v>3.48</x:v>
      </x:c>
      <x:c r="H302" s="12" t="n">
        <x:v>348</x:v>
      </x:c>
      <x:c r="I302" s="12" t="n">
        <x:v>2</x:v>
      </x:c>
      <x:c r="J302" s="12" t="n">
        <x:v>1</x:v>
      </x:c>
    </x:row>
    <x:row r="303" ht="18" customHeight="1">
      <x:c r="A303" s="13" t="n">
        <x:v>43031</x:v>
      </x:c>
      <x:c r="B303" s="12" t="n">
        <x:v>3930.7981</x:v>
      </x:c>
      <x:c r="C303" s="12" t="n">
        <x:v>3926.852</x:v>
      </x:c>
      <x:c r="D303" s="12" t="n">
        <x:v>0.1005</x:v>
      </x:c>
      <x:c r="E303" s="12" t="n">
        <x:v>0.0010043970605767502</x:v>
      </x:c>
      <x:c r="F303" s="13" t="n">
        <x:v>43028</x:v>
      </x:c>
      <x:c r="G303" s="12" t="n">
        <x:v>3.42</x:v>
      </x:c>
      <x:c r="H303" s="12" t="n">
        <x:v>342</x:v>
      </x:c>
      <x:c r="I303" s="12" t="n">
        <x:v>-6</x:v>
      </x:c>
      <x:c r="J303" s="12" t="n">
        <x:v>3</x:v>
      </x:c>
    </x:row>
    <x:row r="304" ht="18" customHeight="1">
      <x:c r="A304" s="13" t="n">
        <x:v>43032</x:v>
      </x:c>
      <x:c r="B304" s="12" t="n">
        <x:v>3959.3953</x:v>
      </x:c>
      <x:c r="C304" s="12" t="n">
        <x:v>3930.7981</x:v>
      </x:c>
      <x:c r="D304" s="12" t="n">
        <x:v>0.7275</x:v>
      </x:c>
      <x:c r="E304" s="12" t="n">
        <x:v>0.007248827442194198</x:v>
      </x:c>
      <x:c r="F304" s="13" t="n">
        <x:v>43031</x:v>
      </x:c>
      <x:c r="G304" s="12" t="n">
        <x:v>3.4</x:v>
      </x:c>
      <x:c r="H304" s="12" t="n">
        <x:v>340</x:v>
      </x:c>
      <x:c r="I304" s="12" t="n">
        <x:v>-2</x:v>
      </x:c>
      <x:c r="J304" s="12" t="n">
        <x:v>1</x:v>
      </x:c>
    </x:row>
    <x:row r="305" ht="18" customHeight="1">
      <x:c r="A305" s="13" t="n">
        <x:v>43033</x:v>
      </x:c>
      <x:c r="B305" s="12" t="n">
        <x:v>3976.949</x:v>
      </x:c>
      <x:c r="C305" s="12" t="n">
        <x:v>3959.3953</x:v>
      </x:c>
      <x:c r="D305" s="12" t="n">
        <x:v>0.4433</x:v>
      </x:c>
      <x:c r="E305" s="12" t="n">
        <x:v>0.004423630820797213</x:v>
      </x:c>
      <x:c r="F305" s="13" t="n">
        <x:v>43032</x:v>
      </x:c>
      <x:c r="G305" s="12" t="n">
        <x:v>3.38</x:v>
      </x:c>
      <x:c r="H305" s="12" t="n">
        <x:v>338</x:v>
      </x:c>
      <x:c r="I305" s="12" t="n">
        <x:v>-2</x:v>
      </x:c>
      <x:c r="J305" s="12" t="n">
        <x:v>1</x:v>
      </x:c>
    </x:row>
    <x:row r="306" ht="18" customHeight="1">
      <x:c r="A306" s="13" t="n">
        <x:v>43034</x:v>
      </x:c>
      <x:c r="B306" s="12" t="n">
        <x:v>3993.5752</x:v>
      </x:c>
      <x:c r="C306" s="12" t="n">
        <x:v>3976.949</x:v>
      </x:c>
      <x:c r="D306" s="12" t="n">
        <x:v>0.4181</x:v>
      </x:c>
      <x:c r="E306" s="12" t="n">
        <x:v>0.004171927390893789</x:v>
      </x:c>
      <x:c r="F306" s="13" t="n">
        <x:v>43033</x:v>
      </x:c>
      <x:c r="G306" s="12" t="n">
        <x:v>3.42</x:v>
      </x:c>
      <x:c r="H306" s="12" t="n">
        <x:v>342</x:v>
      </x:c>
      <x:c r="I306" s="12" t="n">
        <x:v>4</x:v>
      </x:c>
      <x:c r="J306" s="12" t="n">
        <x:v>1</x:v>
      </x:c>
    </x:row>
    <x:row r="307" ht="18" customHeight="1">
      <x:c r="A307" s="13" t="n">
        <x:v>43035</x:v>
      </x:c>
      <x:c r="B307" s="12" t="n">
        <x:v>4021.9676</x:v>
      </x:c>
      <x:c r="C307" s="12" t="n">
        <x:v>3993.5752</x:v>
      </x:c>
      <x:c r="D307" s="12" t="n">
        <x:v>0.711</x:v>
      </x:c>
      <x:c r="E307" s="12" t="n">
        <x:v>0.0070843658265906375</x:v>
      </x:c>
      <x:c r="F307" s="13" t="n">
        <x:v>43034</x:v>
      </x:c>
      <x:c r="G307" s="12" t="n">
        <x:v>3.41</x:v>
      </x:c>
      <x:c r="H307" s="12" t="n">
        <x:v>341</x:v>
      </x:c>
      <x:c r="I307" s="12" t="n">
        <x:v>-1</x:v>
      </x:c>
      <x:c r="J307" s="12" t="n">
        <x:v>1</x:v>
      </x:c>
    </x:row>
    <x:row r="308" ht="18" customHeight="1">
      <x:c r="A308" s="13" t="n">
        <x:v>43038</x:v>
      </x:c>
      <x:c r="B308" s="12" t="n">
        <x:v>4009.7218</x:v>
      </x:c>
      <x:c r="C308" s="12" t="n">
        <x:v>4021.9676</x:v>
      </x:c>
      <x:c r="D308" s="12" t="n">
        <x:v>-0.3045</x:v>
      </x:c>
      <x:c r="E308" s="12" t="n">
        <x:v>-0.0030493732711187656</x:v>
      </x:c>
      <x:c r="F308" s="13" t="n">
        <x:v>43035</x:v>
      </x:c>
      <x:c r="G308" s="12" t="n">
        <x:v>3.44</x:v>
      </x:c>
      <x:c r="H308" s="12" t="n">
        <x:v>344</x:v>
      </x:c>
      <x:c r="I308" s="12" t="n">
        <x:v>3</x:v>
      </x:c>
      <x:c r="J308" s="12" t="n">
        <x:v>3</x:v>
      </x:c>
    </x:row>
    <x:row r="309" ht="18" customHeight="1">
      <x:c r="A309" s="13" t="n">
        <x:v>43039</x:v>
      </x:c>
      <x:c r="B309" s="12" t="n">
        <x:v>4006.7179</x:v>
      </x:c>
      <x:c r="C309" s="12" t="n">
        <x:v>4009.7218</x:v>
      </x:c>
      <x:c r="D309" s="12" t="n">
        <x:v>-0.0749</x:v>
      </x:c>
      <x:c r="E309" s="12" t="n">
        <x:v>-0.0007494349743803357</x:v>
      </x:c>
      <x:c r="F309" s="13" t="n">
        <x:v>43038</x:v>
      </x:c>
      <x:c r="G309" s="12" t="n">
        <x:v>3.49</x:v>
      </x:c>
      <x:c r="H309" s="12" t="n">
        <x:v>349</x:v>
      </x:c>
      <x:c r="I309" s="12" t="n">
        <x:v>5</x:v>
      </x:c>
      <x:c r="J309" s="12" t="n">
        <x:v>1</x:v>
      </x:c>
    </x:row>
    <x:row r="310" ht="18" customHeight="1">
      <x:c r="A310" s="13" t="n">
        <x:v>43040</x:v>
      </x:c>
      <x:c r="B310" s="12" t="n">
        <x:v>3996.6221</x:v>
      </x:c>
      <x:c r="C310" s="12" t="n">
        <x:v>4006.7179</x:v>
      </x:c>
      <x:c r="D310" s="12" t="n">
        <x:v>-0.252</x:v>
      </x:c>
      <x:c r="E310" s="12" t="n">
        <x:v>-0.002522898028820987</x:v>
      </x:c>
      <x:c r="F310" s="13" t="n">
        <x:v>43039</x:v>
      </x:c>
      <x:c r="G310" s="12" t="n">
        <x:v>3.51</x:v>
      </x:c>
      <x:c r="H310" s="12" t="n">
        <x:v>351</x:v>
      </x:c>
      <x:c r="I310" s="12" t="n">
        <x:v>2</x:v>
      </x:c>
      <x:c r="J310" s="12" t="n">
        <x:v>1</x:v>
      </x:c>
    </x:row>
    <x:row r="311" ht="18" customHeight="1">
      <x:c r="A311" s="13" t="n">
        <x:v>43041</x:v>
      </x:c>
      <x:c r="B311" s="12" t="n">
        <x:v>3997.1343</x:v>
      </x:c>
      <x:c r="C311" s="12" t="n">
        <x:v>3996.6221</x:v>
      </x:c>
      <x:c r="D311" s="12" t="n">
        <x:v>0.0128</x:v>
      </x:c>
      <x:c r="E311" s="12" t="n">
        <x:v>0.00012815001485439733</x:v>
      </x:c>
      <x:c r="F311" s="13" t="n">
        <x:v>43040</x:v>
      </x:c>
      <x:c r="G311" s="12" t="n">
        <x:v>3.48</x:v>
      </x:c>
      <x:c r="H311" s="12" t="n">
        <x:v>348</x:v>
      </x:c>
      <x:c r="I311" s="12" t="n">
        <x:v>-3</x:v>
      </x:c>
      <x:c r="J311" s="12" t="n">
        <x:v>1</x:v>
      </x:c>
    </x:row>
    <x:row r="312" ht="18" customHeight="1">
      <x:c r="A312" s="13" t="n">
        <x:v>43042</x:v>
      </x:c>
      <x:c r="B312" s="12" t="n">
        <x:v>3992.6979</x:v>
      </x:c>
      <x:c r="C312" s="12" t="n">
        <x:v>3997.1343</x:v>
      </x:c>
      <x:c r="D312" s="12" t="n">
        <x:v>-0.111</x:v>
      </x:c>
      <x:c r="E312" s="12" t="n">
        <x:v>-0.001110511546394529</x:v>
      </x:c>
      <x:c r="F312" s="13" t="n">
        <x:v>43041</x:v>
      </x:c>
      <x:c r="G312" s="12" t="n">
        <x:v>3.52</x:v>
      </x:c>
      <x:c r="H312" s="12" t="n">
        <x:v>352</x:v>
      </x:c>
      <x:c r="I312" s="12" t="n">
        <x:v>4</x:v>
      </x:c>
      <x:c r="J312" s="12" t="n">
        <x:v>1</x:v>
      </x:c>
    </x:row>
    <x:row r="313" ht="18" customHeight="1">
      <x:c r="A313" s="13" t="n">
        <x:v>43045</x:v>
      </x:c>
      <x:c r="B313" s="12" t="n">
        <x:v>4020.8896</x:v>
      </x:c>
      <x:c r="C313" s="12" t="n">
        <x:v>3992.6979</x:v>
      </x:c>
      <x:c r="D313" s="12" t="n">
        <x:v>0.7061</x:v>
      </x:c>
      <x:c r="E313" s="12" t="n">
        <x:v>0.007036003862998055</x:v>
      </x:c>
      <x:c r="F313" s="13" t="n">
        <x:v>43042</x:v>
      </x:c>
      <x:c r="G313" s="12" t="n">
        <x:v>3.52</x:v>
      </x:c>
      <x:c r="H313" s="12" t="n">
        <x:v>352</x:v>
      </x:c>
      <x:c r="I313" s="12" t="n">
        <x:v>0</x:v>
      </x:c>
      <x:c r="J313" s="12" t="n">
        <x:v>3</x:v>
      </x:c>
    </x:row>
    <x:row r="314" ht="18" customHeight="1">
      <x:c r="A314" s="13" t="n">
        <x:v>43046</x:v>
      </x:c>
      <x:c r="B314" s="12" t="n">
        <x:v>4054.2465</x:v>
      </x:c>
      <x:c r="C314" s="12" t="n">
        <x:v>4020.8896</x:v>
      </x:c>
      <x:c r="D314" s="12" t="n">
        <x:v>0.8296</x:v>
      </x:c>
      <x:c r="E314" s="12" t="n">
        <x:v>0.008261678643900625</x:v>
      </x:c>
      <x:c r="F314" s="13" t="n">
        <x:v>43045</x:v>
      </x:c>
      <x:c r="G314" s="12" t="n">
        <x:v>3.55</x:v>
      </x:c>
      <x:c r="H314" s="12" t="n">
        <x:v>355</x:v>
      </x:c>
      <x:c r="I314" s="12" t="n">
        <x:v>3</x:v>
      </x:c>
      <x:c r="J314" s="12" t="n">
        <x:v>1</x:v>
      </x:c>
    </x:row>
    <x:row r="315" ht="18" customHeight="1">
      <x:c r="A315" s="13" t="n">
        <x:v>43047</x:v>
      </x:c>
      <x:c r="B315" s="12" t="n">
        <x:v>4048.0057</x:v>
      </x:c>
      <x:c r="C315" s="12" t="n">
        <x:v>4054.2465</x:v>
      </x:c>
      <x:c r="D315" s="12" t="n">
        <x:v>-0.1539</x:v>
      </x:c>
      <x:c r="E315" s="12" t="n">
        <x:v>-0.0015405102384266635</x:v>
      </x:c>
      <x:c r="F315" s="13" t="n">
        <x:v>43046</x:v>
      </x:c>
      <x:c r="G315" s="12" t="n">
        <x:v>3.57</x:v>
      </x:c>
      <x:c r="H315" s="12" t="n">
        <x:v>357</x:v>
      </x:c>
      <x:c r="I315" s="12" t="n">
        <x:v>2</x:v>
      </x:c>
      <x:c r="J315" s="12" t="n">
        <x:v>1</x:v>
      </x:c>
    </x:row>
    <x:row r="316" ht="18" customHeight="1">
      <x:c r="A316" s="13" t="n">
        <x:v>43048</x:v>
      </x:c>
      <x:c r="B316" s="12" t="n">
        <x:v>4075.8998</x:v>
      </x:c>
      <x:c r="C316" s="12" t="n">
        <x:v>4048.0057</x:v>
      </x:c>
      <x:c r="D316" s="12" t="n">
        <x:v>0.6891</x:v>
      </x:c>
      <x:c r="E316" s="12" t="n">
        <x:v>0.006867192046937809</x:v>
      </x:c>
      <x:c r="F316" s="13" t="n">
        <x:v>43047</x:v>
      </x:c>
      <x:c r="G316" s="12" t="n">
        <x:v>3.67</x:v>
      </x:c>
      <x:c r="H316" s="12" t="n">
        <x:v>367</x:v>
      </x:c>
      <x:c r="I316" s="12" t="n">
        <x:v>10</x:v>
      </x:c>
      <x:c r="J316" s="12" t="n">
        <x:v>1</x:v>
      </x:c>
    </x:row>
    <x:row r="317" ht="18" customHeight="1">
      <x:c r="A317" s="13" t="n">
        <x:v>43049</x:v>
      </x:c>
      <x:c r="B317" s="12" t="n">
        <x:v>4111.9112</x:v>
      </x:c>
      <x:c r="C317" s="12" t="n">
        <x:v>4075.8998</x:v>
      </x:c>
      <x:c r="D317" s="12" t="n">
        <x:v>0.8835</x:v>
      </x:c>
      <x:c r="E317" s="12" t="n">
        <x:v>0.008796400455064404</x:v>
      </x:c>
      <x:c r="F317" s="13" t="n">
        <x:v>43048</x:v>
      </x:c>
      <x:c r="G317" s="12" t="n">
        <x:v>3.79</x:v>
      </x:c>
      <x:c r="H317" s="12" t="n">
        <x:v>379</x:v>
      </x:c>
      <x:c r="I317" s="12" t="n">
        <x:v>12</x:v>
      </x:c>
      <x:c r="J317" s="12" t="n">
        <x:v>1</x:v>
      </x:c>
    </x:row>
    <x:row r="318" ht="18" customHeight="1">
      <x:c r="A318" s="13" t="n">
        <x:v>43052</x:v>
      </x:c>
      <x:c r="B318" s="12" t="n">
        <x:v>4128.0733</x:v>
      </x:c>
      <x:c r="C318" s="12" t="n">
        <x:v>4111.9112</x:v>
      </x:c>
      <x:c r="D318" s="12" t="n">
        <x:v>0.3931</x:v>
      </x:c>
      <x:c r="E318" s="12" t="n">
        <x:v>0.0039228522156154084</x:v>
      </x:c>
      <x:c r="F318" s="13" t="n">
        <x:v>43049</x:v>
      </x:c>
      <x:c r="G318" s="12" t="n">
        <x:v>3.76</x:v>
      </x:c>
      <x:c r="H318" s="12" t="n">
        <x:v>376</x:v>
      </x:c>
      <x:c r="I318" s="12" t="n">
        <x:v>-3</x:v>
      </x:c>
      <x:c r="J318" s="12" t="n">
        <x:v>3</x:v>
      </x:c>
    </x:row>
    <x:row r="319" ht="18" customHeight="1">
      <x:c r="A319" s="13" t="n">
        <x:v>43053</x:v>
      </x:c>
      <x:c r="B319" s="12" t="n">
        <x:v>4099.351</x:v>
      </x:c>
      <x:c r="C319" s="12" t="n">
        <x:v>4128.0733</x:v>
      </x:c>
      <x:c r="D319" s="12" t="n">
        <x:v>-0.6958</x:v>
      </x:c>
      <x:c r="E319" s="12" t="n">
        <x:v>-0.006982116306831353</x:v>
      </x:c>
      <x:c r="F319" s="13" t="n">
        <x:v>43052</x:v>
      </x:c>
      <x:c r="G319" s="12" t="n">
        <x:v>3.77</x:v>
      </x:c>
      <x:c r="H319" s="12" t="n">
        <x:v>377</x:v>
      </x:c>
      <x:c r="I319" s="12" t="n">
        <x:v>1</x:v>
      </x:c>
      <x:c r="J319" s="12" t="n">
        <x:v>1</x:v>
      </x:c>
    </x:row>
    <x:row r="320" ht="18" customHeight="1">
      <x:c r="A320" s="13" t="n">
        <x:v>43054</x:v>
      </x:c>
      <x:c r="B320" s="12" t="n">
        <x:v>4073.6696</x:v>
      </x:c>
      <x:c r="C320" s="12" t="n">
        <x:v>4099.351</x:v>
      </x:c>
      <x:c r="D320" s="12" t="n">
        <x:v>-0.6265</x:v>
      </x:c>
      <x:c r="E320" s="12" t="n">
        <x:v>-0.006284453638224415</x:v>
      </x:c>
      <x:c r="F320" s="13" t="n">
        <x:v>43053</x:v>
      </x:c>
      <x:c r="G320" s="12" t="n">
        <x:v>3.84</x:v>
      </x:c>
      <x:c r="H320" s="12" t="n">
        <x:v>384</x:v>
      </x:c>
      <x:c r="I320" s="12" t="n">
        <x:v>7</x:v>
      </x:c>
      <x:c r="J320" s="12" t="n">
        <x:v>1</x:v>
      </x:c>
    </x:row>
    <x:row r="321" ht="18" customHeight="1">
      <x:c r="A321" s="13" t="n">
        <x:v>43055</x:v>
      </x:c>
      <x:c r="B321" s="12" t="n">
        <x:v>4105.0122</x:v>
      </x:c>
      <x:c r="C321" s="12" t="n">
        <x:v>4073.6696</x:v>
      </x:c>
      <x:c r="D321" s="12" t="n">
        <x:v>0.7694</x:v>
      </x:c>
      <x:c r="E321" s="12" t="n">
        <x:v>0.0076645000258571145</x:v>
      </x:c>
      <x:c r="F321" s="13" t="n">
        <x:v>43054</x:v>
      </x:c>
      <x:c r="G321" s="12" t="n">
        <x:v>3.97</x:v>
      </x:c>
      <x:c r="H321" s="12" t="n">
        <x:v>397</x:v>
      </x:c>
      <x:c r="I321" s="12" t="n">
        <x:v>13</x:v>
      </x:c>
      <x:c r="J321" s="12" t="n">
        <x:v>1</x:v>
      </x:c>
    </x:row>
    <x:row r="322" ht="18" customHeight="1">
      <x:c r="A322" s="13" t="n">
        <x:v>43056</x:v>
      </x:c>
      <x:c r="B322" s="12" t="n">
        <x:v>4120.8508</x:v>
      </x:c>
      <x:c r="C322" s="12" t="n">
        <x:v>4105.0122</x:v>
      </x:c>
      <x:c r="D322" s="12" t="n">
        <x:v>0.3858</x:v>
      </x:c>
      <x:c r="E322" s="12" t="n">
        <x:v>0.0038509320112525168</x:v>
      </x:c>
      <x:c r="F322" s="13" t="n">
        <x:v>43055</x:v>
      </x:c>
      <x:c r="G322" s="12" t="n">
        <x:v>3.79</x:v>
      </x:c>
      <x:c r="H322" s="12" t="n">
        <x:v>379</x:v>
      </x:c>
      <x:c r="I322" s="12" t="n">
        <x:v>-18</x:v>
      </x:c>
      <x:c r="J322" s="12" t="n">
        <x:v>1</x:v>
      </x:c>
    </x:row>
    <x:row r="323" ht="18" customHeight="1">
      <x:c r="A323" s="13" t="n">
        <x:v>43059</x:v>
      </x:c>
      <x:c r="B323" s="12" t="n">
        <x:v>4143.8334</x:v>
      </x:c>
      <x:c r="C323" s="12" t="n">
        <x:v>4120.8508</x:v>
      </x:c>
      <x:c r="D323" s="12" t="n">
        <x:v>0.5577</x:v>
      </x:c>
      <x:c r="E323" s="12" t="n">
        <x:v>0.005561654549717554</x:v>
      </x:c>
      <x:c r="F323" s="13" t="n">
        <x:v>43056</x:v>
      </x:c>
      <x:c r="G323" s="12" t="n">
        <x:v>3.76</x:v>
      </x:c>
      <x:c r="H323" s="12" t="n">
        <x:v>376</x:v>
      </x:c>
      <x:c r="I323" s="12" t="n">
        <x:v>-3</x:v>
      </x:c>
      <x:c r="J323" s="12" t="n">
        <x:v>3</x:v>
      </x:c>
    </x:row>
    <x:row r="324" ht="18" customHeight="1">
      <x:c r="A324" s="13" t="n">
        <x:v>43060</x:v>
      </x:c>
      <x:c r="B324" s="12" t="n">
        <x:v>4217.7015</x:v>
      </x:c>
      <x:c r="C324" s="12" t="n">
        <x:v>4143.8334</x:v>
      </x:c>
      <x:c r="D324" s="12" t="n">
        <x:v>1.7826</x:v>
      </x:c>
      <x:c r="E324" s="12" t="n">
        <x:v>0.01766900996951351</x:v>
      </x:c>
      <x:c r="F324" s="13" t="n">
        <x:v>43059</x:v>
      </x:c>
      <x:c r="G324" s="12" t="n">
        <x:v>3.7</x:v>
      </x:c>
      <x:c r="H324" s="12" t="n">
        <x:v>370</x:v>
      </x:c>
      <x:c r="I324" s="12" t="n">
        <x:v>-6</x:v>
      </x:c>
      <x:c r="J324" s="12" t="n">
        <x:v>1</x:v>
      </x:c>
    </x:row>
    <x:row r="325" ht="18" customHeight="1">
      <x:c r="A325" s="13" t="n">
        <x:v>43061</x:v>
      </x:c>
      <x:c r="B325" s="12" t="n">
        <x:v>4227.5666</x:v>
      </x:c>
      <x:c r="C325" s="12" t="n">
        <x:v>4217.7015</x:v>
      </x:c>
      <x:c r="D325" s="12" t="n">
        <x:v>0.2339</x:v>
      </x:c>
      <x:c r="E325" s="12" t="n">
        <x:v>0.0023362442423838147</x:v>
      </x:c>
      <x:c r="F325" s="13" t="n">
        <x:v>43060</x:v>
      </x:c>
      <x:c r="G325" s="12" t="n">
        <x:v>3.66</x:v>
      </x:c>
      <x:c r="H325" s="12" t="n">
        <x:v>366</x:v>
      </x:c>
      <x:c r="I325" s="12" t="n">
        <x:v>-4</x:v>
      </x:c>
      <x:c r="J325" s="12" t="n">
        <x:v>1</x:v>
      </x:c>
    </x:row>
    <x:row r="326" ht="18" customHeight="1">
      <x:c r="A326" s="13" t="n">
        <x:v>43062</x:v>
      </x:c>
      <x:c r="B326" s="12" t="n">
        <x:v>4102.3966</x:v>
      </x:c>
      <x:c r="C326" s="12" t="n">
        <x:v>4227.5666</x:v>
      </x:c>
      <x:c r="D326" s="12" t="n">
        <x:v>-2.9608</x:v>
      </x:c>
      <x:c r="E326" s="12" t="n">
        <x:v>-0.03005521613756193</x:v>
      </x:c>
      <x:c r="F326" s="13" t="n">
        <x:v>43061</x:v>
      </x:c>
      <x:c r="G326" s="12" t="n">
        <x:v>3.7</x:v>
      </x:c>
      <x:c r="H326" s="12" t="n">
        <x:v>370</x:v>
      </x:c>
      <x:c r="I326" s="12" t="n">
        <x:v>4</x:v>
      </x:c>
      <x:c r="J326" s="12" t="n">
        <x:v>1</x:v>
      </x:c>
    </x:row>
    <x:row r="327" ht="18" customHeight="1">
      <x:c r="A327" s="13" t="n">
        <x:v>43063</x:v>
      </x:c>
      <x:c r="B327" s="12" t="n">
        <x:v>4104.2034</x:v>
      </x:c>
      <x:c r="C327" s="12" t="n">
        <x:v>4102.3966</x:v>
      </x:c>
      <x:c r="D327" s="12" t="n">
        <x:v>0.044</x:v>
      </x:c>
      <x:c r="E327" s="12" t="n">
        <x:v>0.00044032852318716474</x:v>
      </x:c>
      <x:c r="F327" s="13" t="n">
        <x:v>43062</x:v>
      </x:c>
      <x:c r="G327" s="12" t="n">
        <x:v>3.7</x:v>
      </x:c>
      <x:c r="H327" s="12" t="n">
        <x:v>370</x:v>
      </x:c>
      <x:c r="I327" s="12" t="n">
        <x:v>0</x:v>
      </x:c>
      <x:c r="J327" s="12" t="n">
        <x:v>1</x:v>
      </x:c>
    </x:row>
    <x:row r="328" ht="18" customHeight="1">
      <x:c r="A328" s="13" t="n">
        <x:v>43066</x:v>
      </x:c>
      <x:c r="B328" s="12" t="n">
        <x:v>4049.9475</x:v>
      </x:c>
      <x:c r="C328" s="12" t="n">
        <x:v>4104.2034</x:v>
      </x:c>
      <x:c r="D328" s="12" t="n">
        <x:v>-1.322</x:v>
      </x:c>
      <x:c r="E328" s="12" t="n">
        <x:v>-0.013307749972386596</x:v>
      </x:c>
      <x:c r="F328" s="13" t="n">
        <x:v>43063</x:v>
      </x:c>
      <x:c r="G328" s="12" t="n">
        <x:v>3.67</x:v>
      </x:c>
      <x:c r="H328" s="12" t="n">
        <x:v>367</x:v>
      </x:c>
      <x:c r="I328" s="12" t="n">
        <x:v>-3</x:v>
      </x:c>
      <x:c r="J328" s="12" t="n">
        <x:v>3</x:v>
      </x:c>
    </x:row>
    <x:row r="329" ht="18" customHeight="1">
      <x:c r="A329" s="13" t="n">
        <x:v>43067</x:v>
      </x:c>
      <x:c r="B329" s="12" t="n">
        <x:v>4055.8235</x:v>
      </x:c>
      <x:c r="C329" s="12" t="n">
        <x:v>4049.9475</x:v>
      </x:c>
      <x:c r="D329" s="12" t="n">
        <x:v>0.1451</x:v>
      </x:c>
      <x:c r="E329" s="12" t="n">
        <x:v>0.0014498314914854682</x:v>
      </x:c>
      <x:c r="F329" s="13" t="n">
        <x:v>43066</x:v>
      </x:c>
      <x:c r="G329" s="12" t="n">
        <x:v>3.66</x:v>
      </x:c>
      <x:c r="H329" s="12" t="n">
        <x:v>366</x:v>
      </x:c>
      <x:c r="I329" s="12" t="n">
        <x:v>-1</x:v>
      </x:c>
      <x:c r="J329" s="12" t="n">
        <x:v>1</x:v>
      </x:c>
    </x:row>
    <x:row r="330" ht="18" customHeight="1">
      <x:c r="A330" s="13" t="n">
        <x:v>43068</x:v>
      </x:c>
      <x:c r="B330" s="12" t="n">
        <x:v>4053.7529</x:v>
      </x:c>
      <x:c r="C330" s="12" t="n">
        <x:v>4055.8235</x:v>
      </x:c>
      <x:c r="D330" s="12" t="n">
        <x:v>-0.0511</x:v>
      </x:c>
      <x:c r="E330" s="12" t="n">
        <x:v>-0.000510655536828198</x:v>
      </x:c>
      <x:c r="F330" s="13" t="n">
        <x:v>43067</x:v>
      </x:c>
      <x:c r="G330" s="12" t="n">
        <x:v>3.67</x:v>
      </x:c>
      <x:c r="H330" s="12" t="n">
        <x:v>367</x:v>
      </x:c>
      <x:c r="I330" s="12" t="n">
        <x:v>1</x:v>
      </x:c>
      <x:c r="J330" s="12" t="n">
        <x:v>1</x:v>
      </x:c>
    </x:row>
    <x:row r="331" ht="18" customHeight="1">
      <x:c r="A331" s="13" t="n">
        <x:v>43069</x:v>
      </x:c>
      <x:c r="B331" s="12" t="n">
        <x:v>4006.0993</x:v>
      </x:c>
      <x:c r="C331" s="12" t="n">
        <x:v>4053.7529</x:v>
      </x:c>
      <x:c r="D331" s="12" t="n">
        <x:v>-1.1755</x:v>
      </x:c>
      <x:c r="E331" s="12" t="n">
        <x:v>-0.011825069271435942</x:v>
      </x:c>
      <x:c r="F331" s="13" t="n">
        <x:v>43068</x:v>
      </x:c>
      <x:c r="G331" s="12" t="n">
        <x:v>3.64</x:v>
      </x:c>
      <x:c r="H331" s="12" t="n">
        <x:v>364</x:v>
      </x:c>
      <x:c r="I331" s="12" t="n">
        <x:v>-3</x:v>
      </x:c>
      <x:c r="J331" s="12" t="n">
        <x:v>1</x:v>
      </x:c>
    </x:row>
    <x:row r="332" ht="18" customHeight="1">
      <x:c r="A332" s="13" t="n">
        <x:v>43070</x:v>
      </x:c>
      <x:c r="B332" s="12" t="n">
        <x:v>3998.1365</x:v>
      </x:c>
      <x:c r="C332" s="12" t="n">
        <x:v>4006.0993</x:v>
      </x:c>
      <x:c r="D332" s="12" t="n">
        <x:v>-0.1988</x:v>
      </x:c>
      <x:c r="E332" s="12" t="n">
        <x:v>-0.0019896471882695846</x:v>
      </x:c>
      <x:c r="F332" s="13" t="n">
        <x:v>43069</x:v>
      </x:c>
      <x:c r="G332" s="12" t="n">
        <x:v>3.61</x:v>
      </x:c>
      <x:c r="H332" s="12" t="n">
        <x:v>361</x:v>
      </x:c>
      <x:c r="I332" s="12" t="n">
        <x:v>-3</x:v>
      </x:c>
      <x:c r="J332" s="12" t="n">
        <x:v>1</x:v>
      </x:c>
    </x:row>
    <x:row r="333" ht="18" customHeight="1">
      <x:c r="A333" s="13" t="n">
        <x:v>43073</x:v>
      </x:c>
      <x:c r="B333" s="12" t="n">
        <x:v>4018.8571</x:v>
      </x:c>
      <x:c r="C333" s="12" t="n">
        <x:v>3998.1365</x:v>
      </x:c>
      <x:c r="D333" s="12" t="n">
        <x:v>0.5183</x:v>
      </x:c>
      <x:c r="E333" s="12" t="n">
        <x:v>0.005169181160029381</x:v>
      </x:c>
      <x:c r="F333" s="13" t="n">
        <x:v>43070</x:v>
      </x:c>
      <x:c r="G333" s="12" t="n">
        <x:v>3.63</x:v>
      </x:c>
      <x:c r="H333" s="12" t="n">
        <x:v>363</x:v>
      </x:c>
      <x:c r="I333" s="12" t="n">
        <x:v>2</x:v>
      </x:c>
      <x:c r="J333" s="12" t="n">
        <x:v>3</x:v>
      </x:c>
    </x:row>
    <x:row r="334" ht="18" customHeight="1">
      <x:c r="A334" s="13" t="n">
        <x:v>43074</x:v>
      </x:c>
      <x:c r="B334" s="12" t="n">
        <x:v>4040.1704</x:v>
      </x:c>
      <x:c r="C334" s="12" t="n">
        <x:v>4018.8571</x:v>
      </x:c>
      <x:c r="D334" s="12" t="n">
        <x:v>0.5303</x:v>
      </x:c>
      <x:c r="E334" s="12" t="n">
        <x:v>0.005289310574958369</x:v>
      </x:c>
      <x:c r="F334" s="13" t="n">
        <x:v>43073</x:v>
      </x:c>
      <x:c r="G334" s="12" t="n">
        <x:v>3.58</x:v>
      </x:c>
      <x:c r="H334" s="12" t="n">
        <x:v>358</x:v>
      </x:c>
      <x:c r="I334" s="12" t="n">
        <x:v>-5</x:v>
      </x:c>
      <x:c r="J334" s="12" t="n">
        <x:v>1</x:v>
      </x:c>
    </x:row>
    <x:row r="335" ht="18" customHeight="1">
      <x:c r="A335" s="13" t="n">
        <x:v>43075</x:v>
      </x:c>
      <x:c r="B335" s="12" t="n">
        <x:v>4015.8211</x:v>
      </x:c>
      <x:c r="C335" s="12" t="n">
        <x:v>4040.1704</x:v>
      </x:c>
      <x:c r="D335" s="12" t="n">
        <x:v>-0.6027</x:v>
      </x:c>
      <x:c r="E335" s="12" t="n">
        <x:v>-0.006045034716964068</x:v>
      </x:c>
      <x:c r="F335" s="13" t="n">
        <x:v>43074</x:v>
      </x:c>
      <x:c r="G335" s="12" t="n">
        <x:v>3.57</x:v>
      </x:c>
      <x:c r="H335" s="12" t="n">
        <x:v>357</x:v>
      </x:c>
      <x:c r="I335" s="12" t="n">
        <x:v>-1</x:v>
      </x:c>
      <x:c r="J335" s="12" t="n">
        <x:v>1</x:v>
      </x:c>
    </x:row>
    <x:row r="336" ht="18" customHeight="1">
      <x:c r="A336" s="13" t="n">
        <x:v>43076</x:v>
      </x:c>
      <x:c r="B336" s="12" t="n">
        <x:v>3971.0569</x:v>
      </x:c>
      <x:c r="C336" s="12" t="n">
        <x:v>4015.8211</x:v>
      </x:c>
      <x:c r="D336" s="12" t="n">
        <x:v>-1.1147</x:v>
      </x:c>
      <x:c r="E336" s="12" t="n">
        <x:v>-0.011209553653571425</x:v>
      </x:c>
      <x:c r="F336" s="13" t="n">
        <x:v>43075</x:v>
      </x:c>
      <x:c r="G336" s="12" t="n">
        <x:v>3.63</x:v>
      </x:c>
      <x:c r="H336" s="12" t="n">
        <x:v>363</x:v>
      </x:c>
      <x:c r="I336" s="12" t="n">
        <x:v>6</x:v>
      </x:c>
      <x:c r="J336" s="12" t="n">
        <x:v>1</x:v>
      </x:c>
    </x:row>
    <x:row r="337" ht="18" customHeight="1">
      <x:c r="A337" s="13" t="n">
        <x:v>43077</x:v>
      </x:c>
      <x:c r="B337" s="12" t="n">
        <x:v>4003.3792</x:v>
      </x:c>
      <x:c r="C337" s="12" t="n">
        <x:v>3971.0569</x:v>
      </x:c>
      <x:c r="D337" s="12" t="n">
        <x:v>0.8139</x:v>
      </x:c>
      <x:c r="E337" s="12" t="n">
        <x:v>0.008106523546348764</x:v>
      </x:c>
      <x:c r="F337" s="13" t="n">
        <x:v>43076</x:v>
      </x:c>
      <x:c r="G337" s="12" t="n">
        <x:v>3.63</x:v>
      </x:c>
      <x:c r="H337" s="12" t="n">
        <x:v>363</x:v>
      </x:c>
      <x:c r="I337" s="12" t="n">
        <x:v>0</x:v>
      </x:c>
      <x:c r="J337" s="12" t="n">
        <x:v>1</x:v>
      </x:c>
    </x:row>
    <x:row r="338" ht="18" customHeight="1">
      <x:c r="A338" s="13" t="n">
        <x:v>43080</x:v>
      </x:c>
      <x:c r="B338" s="12" t="n">
        <x:v>4069.4997</x:v>
      </x:c>
      <x:c r="C338" s="12" t="n">
        <x:v>4003.3792</x:v>
      </x:c>
      <x:c r="D338" s="12" t="n">
        <x:v>1.6516</x:v>
      </x:c>
      <x:c r="E338" s="12" t="n">
        <x:v>0.016381263588608606</x:v>
      </x:c>
      <x:c r="F338" s="13" t="n">
        <x:v>43077</x:v>
      </x:c>
      <x:c r="G338" s="12" t="n">
        <x:v>3.63</x:v>
      </x:c>
      <x:c r="H338" s="12" t="n">
        <x:v>363</x:v>
      </x:c>
      <x:c r="I338" s="12" t="n">
        <x:v>0</x:v>
      </x:c>
      <x:c r="J338" s="12" t="n">
        <x:v>3</x:v>
      </x:c>
    </x:row>
    <x:row r="339" ht="18" customHeight="1">
      <x:c r="A339" s="13" t="n">
        <x:v>43081</x:v>
      </x:c>
      <x:c r="B339" s="12" t="n">
        <x:v>4016.0163</x:v>
      </x:c>
      <x:c r="C339" s="12" t="n">
        <x:v>4069.4997</x:v>
      </x:c>
      <x:c r="D339" s="12" t="n">
        <x:v>-1.3143</x:v>
      </x:c>
      <x:c r="E339" s="12" t="n">
        <x:v>-0.013229626919694766</x:v>
      </x:c>
      <x:c r="F339" s="13" t="n">
        <x:v>43080</x:v>
      </x:c>
      <x:c r="G339" s="12" t="n">
        <x:v>3.61</x:v>
      </x:c>
      <x:c r="H339" s="12" t="n">
        <x:v>361</x:v>
      </x:c>
      <x:c r="I339" s="12" t="n">
        <x:v>-2</x:v>
      </x:c>
      <x:c r="J339" s="12" t="n">
        <x:v>1</x:v>
      </x:c>
    </x:row>
    <x:row r="340" ht="18" customHeight="1">
      <x:c r="A340" s="13" t="n">
        <x:v>43082</x:v>
      </x:c>
      <x:c r="B340" s="12" t="n">
        <x:v>4050.0927</x:v>
      </x:c>
      <x:c r="C340" s="12" t="n">
        <x:v>4016.0163</x:v>
      </x:c>
      <x:c r="D340" s="12" t="n">
        <x:v>0.8485</x:v>
      </x:c>
      <x:c r="E340" s="12" t="n">
        <x:v>0.008449328599258595</x:v>
      </x:c>
      <x:c r="F340" s="13" t="n">
        <x:v>43081</x:v>
      </x:c>
      <x:c r="G340" s="12" t="n">
        <x:v>3.58</x:v>
      </x:c>
      <x:c r="H340" s="12" t="n">
        <x:v>358</x:v>
      </x:c>
      <x:c r="I340" s="12" t="n">
        <x:v>-3</x:v>
      </x:c>
      <x:c r="J340" s="12" t="n">
        <x:v>1</x:v>
      </x:c>
    </x:row>
    <x:row r="341" ht="18" customHeight="1">
      <x:c r="A341" s="13" t="n">
        <x:v>43083</x:v>
      </x:c>
      <x:c r="B341" s="12" t="n">
        <x:v>4026.1516</x:v>
      </x:c>
      <x:c r="C341" s="12" t="n">
        <x:v>4050.0927</x:v>
      </x:c>
      <x:c r="D341" s="12" t="n">
        <x:v>-0.5911</x:v>
      </x:c>
      <x:c r="E341" s="12" t="n">
        <x:v>-0.005928787995797188</x:v>
      </x:c>
      <x:c r="F341" s="13" t="n">
        <x:v>43082</x:v>
      </x:c>
      <x:c r="G341" s="12" t="n">
        <x:v>3.64</x:v>
      </x:c>
      <x:c r="H341" s="12" t="n">
        <x:v>364</x:v>
      </x:c>
      <x:c r="I341" s="12" t="n">
        <x:v>6</x:v>
      </x:c>
      <x:c r="J341" s="12" t="n">
        <x:v>1</x:v>
      </x:c>
    </x:row>
    <x:row r="342" ht="18" customHeight="1">
      <x:c r="A342" s="13" t="n">
        <x:v>43084</x:v>
      </x:c>
      <x:c r="B342" s="12" t="n">
        <x:v>3980.8558</x:v>
      </x:c>
      <x:c r="C342" s="12" t="n">
        <x:v>4026.1516</x:v>
      </x:c>
      <x:c r="D342" s="12" t="n">
        <x:v>-1.125</x:v>
      </x:c>
      <x:c r="E342" s="12" t="n">
        <x:v>-0.011314160442207443</x:v>
      </x:c>
      <x:c r="F342" s="13" t="n">
        <x:v>43083</x:v>
      </x:c>
      <x:c r="G342" s="12" t="n">
        <x:v>3.63</x:v>
      </x:c>
      <x:c r="H342" s="12" t="n">
        <x:v>363</x:v>
      </x:c>
      <x:c r="I342" s="12" t="n">
        <x:v>-1</x:v>
      </x:c>
      <x:c r="J342" s="12" t="n">
        <x:v>1</x:v>
      </x:c>
    </x:row>
    <x:row r="343" ht="18" customHeight="1">
      <x:c r="A343" s="13" t="n">
        <x:v>43087</x:v>
      </x:c>
      <x:c r="B343" s="12" t="n">
        <x:v>3985.2914</x:v>
      </x:c>
      <x:c r="C343" s="12" t="n">
        <x:v>3980.8558</x:v>
      </x:c>
      <x:c r="D343" s="12" t="n">
        <x:v>0.1114</x:v>
      </x:c>
      <x:c r="E343" s="12" t="n">
        <x:v>0.001113612477157036</x:v>
      </x:c>
      <x:c r="F343" s="13" t="n">
        <x:v>43084</x:v>
      </x:c>
      <x:c r="G343" s="12" t="n">
        <x:v>3.64</x:v>
      </x:c>
      <x:c r="H343" s="12" t="n">
        <x:v>364</x:v>
      </x:c>
      <x:c r="I343" s="12" t="n">
        <x:v>1</x:v>
      </x:c>
      <x:c r="J343" s="12" t="n">
        <x:v>3</x:v>
      </x:c>
    </x:row>
    <x:row r="344" ht="18" customHeight="1">
      <x:c r="A344" s="13" t="n">
        <x:v>43088</x:v>
      </x:c>
      <x:c r="B344" s="12" t="n">
        <x:v>4035.3294</x:v>
      </x:c>
      <x:c r="C344" s="12" t="n">
        <x:v>3985.2914</x:v>
      </x:c>
      <x:c r="D344" s="12" t="n">
        <x:v>1.2556</x:v>
      </x:c>
      <x:c r="E344" s="12" t="n">
        <x:v>0.012477500293090553</x:v>
      </x:c>
      <x:c r="F344" s="13" t="n">
        <x:v>43087</x:v>
      </x:c>
      <x:c r="G344" s="12" t="n">
        <x:v>3.64</x:v>
      </x:c>
      <x:c r="H344" s="12" t="n">
        <x:v>364</x:v>
      </x:c>
      <x:c r="I344" s="12" t="n">
        <x:v>0</x:v>
      </x:c>
      <x:c r="J344" s="12" t="n">
        <x:v>1</x:v>
      </x:c>
    </x:row>
    <x:row r="345" ht="18" customHeight="1">
      <x:c r="A345" s="13" t="n">
        <x:v>43089</x:v>
      </x:c>
      <x:c r="B345" s="12" t="n">
        <x:v>4030.4898</x:v>
      </x:c>
      <x:c r="C345" s="12" t="n">
        <x:v>4035.3294</x:v>
      </x:c>
      <x:c r="D345" s="12" t="n">
        <x:v>-0.1199</x:v>
      </x:c>
      <x:c r="E345" s="12" t="n">
        <x:v>-0.0012000270427034853</x:v>
      </x:c>
      <x:c r="F345" s="13" t="n">
        <x:v>43088</x:v>
      </x:c>
      <x:c r="G345" s="12" t="n">
        <x:v>3.6</x:v>
      </x:c>
      <x:c r="H345" s="12" t="n">
        <x:v>360</x:v>
      </x:c>
      <x:c r="I345" s="12" t="n">
        <x:v>-4</x:v>
      </x:c>
      <x:c r="J345" s="12" t="n">
        <x:v>1</x:v>
      </x:c>
    </x:row>
    <x:row r="346" ht="18" customHeight="1">
      <x:c r="A346" s="13" t="n">
        <x:v>43090</x:v>
      </x:c>
      <x:c r="B346" s="12" t="n">
        <x:v>4067.8485</x:v>
      </x:c>
      <x:c r="C346" s="12" t="n">
        <x:v>4030.4898</x:v>
      </x:c>
      <x:c r="D346" s="12" t="n">
        <x:v>0.9269</x:v>
      </x:c>
      <x:c r="E346" s="12" t="n">
        <x:v>0.009226328569982019</x:v>
      </x:c>
      <x:c r="F346" s="13" t="n">
        <x:v>43089</x:v>
      </x:c>
      <x:c r="G346" s="12" t="n">
        <x:v>3.58</x:v>
      </x:c>
      <x:c r="H346" s="12" t="n">
        <x:v>358</x:v>
      </x:c>
      <x:c r="I346" s="12" t="n">
        <x:v>-2</x:v>
      </x:c>
      <x:c r="J346" s="12" t="n">
        <x:v>1</x:v>
      </x:c>
    </x:row>
    <x:row r="347" ht="18" customHeight="1">
      <x:c r="A347" s="13" t="n">
        <x:v>43091</x:v>
      </x:c>
      <x:c r="B347" s="12" t="n">
        <x:v>4054.5984</x:v>
      </x:c>
      <x:c r="C347" s="12" t="n">
        <x:v>4067.8485</x:v>
      </x:c>
      <x:c r="D347" s="12" t="n">
        <x:v>-0.3257</x:v>
      </x:c>
      <x:c r="E347" s="12" t="n">
        <x:v>-0.003262591166558445</x:v>
      </x:c>
      <x:c r="F347" s="13" t="n">
        <x:v>43090</x:v>
      </x:c>
      <x:c r="G347" s="12" t="n">
        <x:v>3.57</x:v>
      </x:c>
      <x:c r="H347" s="12" t="n">
        <x:v>357</x:v>
      </x:c>
      <x:c r="I347" s="12" t="n">
        <x:v>-1</x:v>
      </x:c>
      <x:c r="J347" s="12" t="n">
        <x:v>1</x:v>
      </x:c>
    </x:row>
    <x:row r="348" ht="18" customHeight="1">
      <x:c r="A348" s="13" t="n">
        <x:v>43094</x:v>
      </x:c>
      <x:c r="B348" s="12" t="n">
        <x:v>4041.5401</x:v>
      </x:c>
      <x:c r="C348" s="12" t="n">
        <x:v>4054.5984</x:v>
      </x:c>
      <x:c r="D348" s="12" t="n">
        <x:v>-0.3221</x:v>
      </x:c>
      <x:c r="E348" s="12" t="n">
        <x:v>-0.0032258122371727847</x:v>
      </x:c>
      <x:c r="F348" s="13" t="n">
        <x:v>43091</x:v>
      </x:c>
      <x:c r="G348" s="12" t="n">
        <x:v>3.56</x:v>
      </x:c>
      <x:c r="H348" s="12" t="n">
        <x:v>356</x:v>
      </x:c>
      <x:c r="I348" s="12" t="n">
        <x:v>-1</x:v>
      </x:c>
      <x:c r="J348" s="12" t="n">
        <x:v>3</x:v>
      </x:c>
    </x:row>
    <x:row r="349" ht="18" customHeight="1">
      <x:c r="A349" s="13" t="n">
        <x:v>43095</x:v>
      </x:c>
      <x:c r="B349" s="12" t="n">
        <x:v>4053.6224</x:v>
      </x:c>
      <x:c r="C349" s="12" t="n">
        <x:v>4041.5401</x:v>
      </x:c>
      <x:c r="D349" s="12" t="n">
        <x:v>0.299</x:v>
      </x:c>
      <x:c r="E349" s="12" t="n">
        <x:v>0.0029850689153547018</x:v>
      </x:c>
      <x:c r="F349" s="13" t="n">
        <x:v>43091</x:v>
      </x:c>
      <x:c r="G349" s="12" t="n">
        <x:v>3.56</x:v>
      </x:c>
      <x:c r="H349" s="12" t="n">
        <x:v>356</x:v>
      </x:c>
      <x:c r="I349" s="12" t="n">
        <x:v>-1</x:v>
      </x:c>
      <x:c r="J349" s="12" t="n">
        <x:v>4</x:v>
      </x:c>
    </x:row>
    <x:row r="350" ht="18" customHeight="1">
      <x:c r="A350" s="13" t="n">
        <x:v>43096</x:v>
      </x:c>
      <x:c r="B350" s="12" t="n">
        <x:v>3991.2075</x:v>
      </x:c>
      <x:c r="C350" s="12" t="n">
        <x:v>4053.6224</x:v>
      </x:c>
      <x:c r="D350" s="12" t="n">
        <x:v>-1.5397</x:v>
      </x:c>
      <x:c r="E350" s="12" t="n">
        <x:v>-0.01551708441951503</x:v>
      </x:c>
      <x:c r="F350" s="13" t="n">
        <x:v>43095</x:v>
      </x:c>
      <x:c r="G350" s="12" t="n">
        <x:v>3.57</x:v>
      </x:c>
      <x:c r="H350" s="12" t="n">
        <x:v>357</x:v>
      </x:c>
      <x:c r="I350" s="12" t="n">
        <x:v>1</x:v>
      </x:c>
      <x:c r="J350" s="12" t="n">
        <x:v>1</x:v>
      </x:c>
    </x:row>
    <x:row r="351" ht="18" customHeight="1">
      <x:c r="A351" s="13" t="n">
        <x:v>43097</x:v>
      </x:c>
      <x:c r="B351" s="12" t="n">
        <x:v>4018.8974</x:v>
      </x:c>
      <x:c r="C351" s="12" t="n">
        <x:v>3991.2075</x:v>
      </x:c>
      <x:c r="D351" s="12" t="n">
        <x:v>0.6938</x:v>
      </x:c>
      <x:c r="E351" s="12" t="n">
        <x:v>0.00691376970568803</x:v>
      </x:c>
      <x:c r="F351" s="13" t="n">
        <x:v>43096</x:v>
      </x:c>
      <x:c r="G351" s="12" t="n">
        <x:v>3.59</x:v>
      </x:c>
      <x:c r="H351" s="12" t="n">
        <x:v>359</x:v>
      </x:c>
      <x:c r="I351" s="12" t="n">
        <x:v>2</x:v>
      </x:c>
      <x:c r="J351" s="12" t="n">
        <x:v>1</x:v>
      </x:c>
    </x:row>
    <x:row r="352" ht="18" customHeight="1">
      <x:c r="A352" s="13" t="n">
        <x:v>43098</x:v>
      </x:c>
      <x:c r="B352" s="12" t="n">
        <x:v>4030.8549</x:v>
      </x:c>
      <x:c r="C352" s="12" t="n">
        <x:v>4018.8974</x:v>
      </x:c>
      <x:c r="D352" s="12" t="n">
        <x:v>0.2975</x:v>
      </x:c>
      <x:c r="E352" s="12" t="n">
        <x:v>0.002970901053686374</x:v>
      </x:c>
      <x:c r="F352" s="13" t="n">
        <x:v>43097</x:v>
      </x:c>
      <x:c r="G352" s="12" t="n">
        <x:v>3.55</x:v>
      </x:c>
      <x:c r="H352" s="12" t="n">
        <x:v>355</x:v>
      </x:c>
      <x:c r="I352" s="12" t="n">
        <x:v>-4</x:v>
      </x:c>
      <x:c r="J352" s="12" t="n">
        <x:v>1</x:v>
      </x:c>
    </x:row>
    <x:row r="353" ht="18" customHeight="1">
      <x:c r="A353" s="13" t="n">
        <x:v>43102</x:v>
      </x:c>
      <x:c r="B353" s="12" t="n">
        <x:v>4087.4012</x:v>
      </x:c>
      <x:c r="C353" s="12" t="n">
        <x:v>4030.8549</x:v>
      </x:c>
      <x:c r="D353" s="12" t="n">
        <x:v>1.4028</x:v>
      </x:c>
      <x:c r="E353" s="12" t="n">
        <x:v>0.013930877221025127</x:v>
      </x:c>
      <x:c r="F353" s="13" t="n">
        <x:v>43100</x:v>
      </x:c>
      <x:c r="G353" s="12" t="n">
        <x:v>3.63</x:v>
      </x:c>
      <x:c r="H353" s="12" t="n">
        <x:v>363</x:v>
      </x:c>
      <x:c r="I353" s="12" t="n">
        <x:v>5</x:v>
      </x:c>
      <x:c r="J353" s="12" t="n">
        <x:v>2</x:v>
      </x:c>
    </x:row>
    <x:row r="354" ht="18" customHeight="1">
      <x:c r="A354" s="13" t="n">
        <x:v>43103</x:v>
      </x:c>
      <x:c r="B354" s="12" t="n">
        <x:v>4111.3925</x:v>
      </x:c>
      <x:c r="C354" s="12" t="n">
        <x:v>4087.4012</x:v>
      </x:c>
      <x:c r="D354" s="12" t="n">
        <x:v>0.587</x:v>
      </x:c>
      <x:c r="E354" s="12" t="n">
        <x:v>0.005852414234214498</x:v>
      </x:c>
      <x:c r="F354" s="13" t="n">
        <x:v>43102</x:v>
      </x:c>
      <x:c r="G354" s="12" t="n">
        <x:v>3.55</x:v>
      </x:c>
      <x:c r="H354" s="12" t="n">
        <x:v>355</x:v>
      </x:c>
      <x:c r="I354" s="12" t="n">
        <x:v>-8</x:v>
      </x:c>
      <x:c r="J354" s="12" t="n">
        <x:v>1</x:v>
      </x:c>
    </x:row>
    <x:row r="355" ht="18" customHeight="1">
      <x:c r="A355" s="13" t="n">
        <x:v>43104</x:v>
      </x:c>
      <x:c r="B355" s="12" t="n">
        <x:v>4128.8119</x:v>
      </x:c>
      <x:c r="C355" s="12" t="n">
        <x:v>4111.3925</x:v>
      </x:c>
      <x:c r="D355" s="12" t="n">
        <x:v>0.4237</x:v>
      </x:c>
      <x:c r="E355" s="12" t="n">
        <x:v>0.004227911129966085</x:v>
      </x:c>
      <x:c r="F355" s="13" t="n">
        <x:v>43103</x:v>
      </x:c>
      <x:c r="G355" s="12" t="n">
        <x:v>3.48</x:v>
      </x:c>
      <x:c r="H355" s="12" t="n">
        <x:v>348</x:v>
      </x:c>
      <x:c r="I355" s="12" t="n">
        <x:v>-7</x:v>
      </x:c>
      <x:c r="J355" s="12" t="n">
        <x:v>1</x:v>
      </x:c>
    </x:row>
    <x:row r="356" ht="18" customHeight="1">
      <x:c r="A356" s="13" t="n">
        <x:v>43105</x:v>
      </x:c>
      <x:c r="B356" s="12" t="n">
        <x:v>4138.7505</x:v>
      </x:c>
      <x:c r="C356" s="12" t="n">
        <x:v>4128.8119</x:v>
      </x:c>
      <x:c r="D356" s="12" t="n">
        <x:v>0.2407</x:v>
      </x:c>
      <x:c r="E356" s="12" t="n">
        <x:v>0.0024042406471347275</x:v>
      </x:c>
      <x:c r="F356" s="13" t="n">
        <x:v>43104</x:v>
      </x:c>
      <x:c r="G356" s="12" t="n">
        <x:v>3.4</x:v>
      </x:c>
      <x:c r="H356" s="12" t="n">
        <x:v>340</x:v>
      </x:c>
      <x:c r="I356" s="12" t="n">
        <x:v>-8</x:v>
      </x:c>
      <x:c r="J356" s="12" t="n">
        <x:v>1</x:v>
      </x:c>
    </x:row>
    <x:row r="357" ht="18" customHeight="1">
      <x:c r="A357" s="13" t="n">
        <x:v>43108</x:v>
      </x:c>
      <x:c r="B357" s="12" t="n">
        <x:v>4160.1595</x:v>
      </x:c>
      <x:c r="C357" s="12" t="n">
        <x:v>4138.7505</x:v>
      </x:c>
      <x:c r="D357" s="12" t="n">
        <x:v>0.5173</x:v>
      </x:c>
      <x:c r="E357" s="12" t="n">
        <x:v>0.0051594841955802774</x:v>
      </x:c>
      <x:c r="F357" s="13" t="n">
        <x:v>43105</x:v>
      </x:c>
      <x:c r="G357" s="12" t="n">
        <x:v>3.36</x:v>
      </x:c>
      <x:c r="H357" s="12" t="n">
        <x:v>336</x:v>
      </x:c>
      <x:c r="I357" s="12" t="n">
        <x:v>-4</x:v>
      </x:c>
      <x:c r="J357" s="12" t="n">
        <x:v>3</x:v>
      </x:c>
    </x:row>
    <x:row r="358" ht="18" customHeight="1">
      <x:c r="A358" s="13" t="n">
        <x:v>43109</x:v>
      </x:c>
      <x:c r="B358" s="12" t="n">
        <x:v>4189.2977</x:v>
      </x:c>
      <x:c r="C358" s="12" t="n">
        <x:v>4160.1595</x:v>
      </x:c>
      <x:c r="D358" s="12" t="n">
        <x:v>0.7004</x:v>
      </x:c>
      <x:c r="E358" s="12" t="n">
        <x:v>0.006979691635886268</x:v>
      </x:c>
      <x:c r="F358" s="13" t="n">
        <x:v>43108</x:v>
      </x:c>
      <x:c r="G358" s="12" t="n">
        <x:v>3.35</x:v>
      </x:c>
      <x:c r="H358" s="12" t="n">
        <x:v>335</x:v>
      </x:c>
      <x:c r="I358" s="12" t="n">
        <x:v>-1</x:v>
      </x:c>
      <x:c r="J358" s="12" t="n">
        <x:v>1</x:v>
      </x:c>
    </x:row>
    <x:row r="359" ht="18" customHeight="1">
      <x:c r="A359" s="13" t="n">
        <x:v>43110</x:v>
      </x:c>
      <x:c r="B359" s="12" t="n">
        <x:v>4207.8132</x:v>
      </x:c>
      <x:c r="C359" s="12" t="n">
        <x:v>4189.2977</x:v>
      </x:c>
      <x:c r="D359" s="12" t="n">
        <x:v>0.442</x:v>
      </x:c>
      <x:c r="E359" s="12" t="n">
        <x:v>0.004409976294888542</x:v>
      </x:c>
      <x:c r="F359" s="13" t="n">
        <x:v>43109</x:v>
      </x:c>
      <x:c r="G359" s="12" t="n">
        <x:v>3.33</x:v>
      </x:c>
      <x:c r="H359" s="12" t="n">
        <x:v>333</x:v>
      </x:c>
      <x:c r="I359" s="12" t="n">
        <x:v>-2</x:v>
      </x:c>
      <x:c r="J359" s="12" t="n">
        <x:v>1</x:v>
      </x:c>
    </x:row>
    <x:row r="360" ht="18" customHeight="1">
      <x:c r="A360" s="13" t="n">
        <x:v>43111</x:v>
      </x:c>
      <x:c r="B360" s="12" t="n">
        <x:v>4205.5863</x:v>
      </x:c>
      <x:c r="C360" s="12" t="n">
        <x:v>4207.8132</x:v>
      </x:c>
      <x:c r="D360" s="12" t="n">
        <x:v>-0.0529</x:v>
      </x:c>
      <x:c r="E360" s="12" t="n">
        <x:v>-0.000529369858641328</x:v>
      </x:c>
      <x:c r="F360" s="13" t="n">
        <x:v>43110</x:v>
      </x:c>
      <x:c r="G360" s="12" t="n">
        <x:v>3.42</x:v>
      </x:c>
      <x:c r="H360" s="12" t="n">
        <x:v>342</x:v>
      </x:c>
      <x:c r="I360" s="12" t="n">
        <x:v>9</x:v>
      </x:c>
      <x:c r="J360" s="12" t="n">
        <x:v>1</x:v>
      </x:c>
    </x:row>
    <x:row r="361" ht="18" customHeight="1">
      <x:c r="A361" s="13" t="n">
        <x:v>43112</x:v>
      </x:c>
      <x:c r="B361" s="12" t="n">
        <x:v>4225.001</x:v>
      </x:c>
      <x:c r="C361" s="12" t="n">
        <x:v>4205.5863</x:v>
      </x:c>
      <x:c r="D361" s="12" t="n">
        <x:v>0.4616</x:v>
      </x:c>
      <x:c r="E361" s="12" t="n">
        <x:v>0.004605784539051153</x:v>
      </x:c>
      <x:c r="F361" s="13" t="n">
        <x:v>43111</x:v>
      </x:c>
      <x:c r="G361" s="12" t="n">
        <x:v>3.4</x:v>
      </x:c>
      <x:c r="H361" s="12" t="n">
        <x:v>340</x:v>
      </x:c>
      <x:c r="I361" s="12" t="n">
        <x:v>-2</x:v>
      </x:c>
      <x:c r="J361" s="12" t="n">
        <x:v>1</x:v>
      </x:c>
    </x:row>
    <x:row r="362" ht="18" customHeight="1">
      <x:c r="A362" s="13" t="n">
        <x:v>43115</x:v>
      </x:c>
      <x:c r="B362" s="12" t="n">
        <x:v>4225.2393</x:v>
      </x:c>
      <x:c r="C362" s="12" t="n">
        <x:v>4225.001</x:v>
      </x:c>
      <x:c r="D362" s="12" t="n">
        <x:v>0.0056</x:v>
      </x:c>
      <x:c r="E362" s="12" t="n">
        <x:v>0.00005640076296140589</x:v>
      </x:c>
      <x:c r="F362" s="13" t="n">
        <x:v>43112</x:v>
      </x:c>
      <x:c r="G362" s="12" t="n">
        <x:v>3.37</x:v>
      </x:c>
      <x:c r="H362" s="12" t="n">
        <x:v>337</x:v>
      </x:c>
      <x:c r="I362" s="12" t="n">
        <x:v>-3</x:v>
      </x:c>
      <x:c r="J362" s="12" t="n">
        <x:v>3</x:v>
      </x:c>
    </x:row>
    <x:row r="363" ht="18" customHeight="1">
      <x:c r="A363" s="13" t="n">
        <x:v>43116</x:v>
      </x:c>
      <x:c r="B363" s="12" t="n">
        <x:v>4258.473</x:v>
      </x:c>
      <x:c r="C363" s="12" t="n">
        <x:v>4225.2393</x:v>
      </x:c>
      <x:c r="D363" s="12" t="n">
        <x:v>0.7866</x:v>
      </x:c>
      <x:c r="E363" s="12" t="n">
        <x:v>0.0078347470597828</x:v>
      </x:c>
      <x:c r="F363" s="13" t="n">
        <x:v>43115</x:v>
      </x:c>
      <x:c r="G363" s="12" t="n">
        <x:v>3.35</x:v>
      </x:c>
      <x:c r="H363" s="12" t="n">
        <x:v>335</x:v>
      </x:c>
      <x:c r="I363" s="12" t="n">
        <x:v>-2</x:v>
      </x:c>
      <x:c r="J363" s="12" t="n">
        <x:v>1</x:v>
      </x:c>
    </x:row>
    <x:row r="364" ht="18" customHeight="1">
      <x:c r="A364" s="13" t="n">
        <x:v>43117</x:v>
      </x:c>
      <x:c r="B364" s="12" t="n">
        <x:v>4248.1164</x:v>
      </x:c>
      <x:c r="C364" s="12" t="n">
        <x:v>4258.473</x:v>
      </x:c>
      <x:c r="D364" s="12" t="n">
        <x:v>-0.2432</x:v>
      </x:c>
      <x:c r="E364" s="12" t="n">
        <x:v>-0.002434960624066686</x:v>
      </x:c>
      <x:c r="F364" s="13" t="n">
        <x:v>43116</x:v>
      </x:c>
      <x:c r="G364" s="12" t="n">
        <x:v>3.34</x:v>
      </x:c>
      <x:c r="H364" s="12" t="n">
        <x:v>334</x:v>
      </x:c>
      <x:c r="I364" s="12" t="n">
        <x:v>-1</x:v>
      </x:c>
      <x:c r="J364" s="12" t="n">
        <x:v>1</x:v>
      </x:c>
    </x:row>
    <x:row r="365" ht="18" customHeight="1">
      <x:c r="A365" s="13" t="n">
        <x:v>43118</x:v>
      </x:c>
      <x:c r="B365" s="12" t="n">
        <x:v>4271.4168</x:v>
      </x:c>
      <x:c r="C365" s="12" t="n">
        <x:v>4248.1164</x:v>
      </x:c>
      <x:c r="D365" s="12" t="n">
        <x:v>0.5485</x:v>
      </x:c>
      <x:c r="E365" s="12" t="n">
        <x:v>0.0054698907905102205</x:v>
      </x:c>
      <x:c r="F365" s="13" t="n">
        <x:v>43117</x:v>
      </x:c>
      <x:c r="G365" s="12" t="n">
        <x:v>3.34</x:v>
      </x:c>
      <x:c r="H365" s="12" t="n">
        <x:v>334</x:v>
      </x:c>
      <x:c r="I365" s="12" t="n">
        <x:v>0</x:v>
      </x:c>
      <x:c r="J365" s="12" t="n">
        <x:v>1</x:v>
      </x:c>
    </x:row>
    <x:row r="366" ht="18" customHeight="1">
      <x:c r="A366" s="13" t="n">
        <x:v>43119</x:v>
      </x:c>
      <x:c r="B366" s="12" t="n">
        <x:v>4285.395</x:v>
      </x:c>
      <x:c r="C366" s="12" t="n">
        <x:v>4271.4168</x:v>
      </x:c>
      <x:c r="D366" s="12" t="n">
        <x:v>0.3272</x:v>
      </x:c>
      <x:c r="E366" s="12" t="n">
        <x:v>0.003267154346892089</x:v>
      </x:c>
      <x:c r="F366" s="13" t="n">
        <x:v>43118</x:v>
      </x:c>
      <x:c r="G366" s="12" t="n">
        <x:v>3.35</x:v>
      </x:c>
      <x:c r="H366" s="12" t="n">
        <x:v>335</x:v>
      </x:c>
      <x:c r="I366" s="12" t="n">
        <x:v>1</x:v>
      </x:c>
      <x:c r="J366" s="12" t="n">
        <x:v>1</x:v>
      </x:c>
    </x:row>
    <x:row r="367" ht="18" customHeight="1">
      <x:c r="A367" s="13" t="n">
        <x:v>43122</x:v>
      </x:c>
      <x:c r="B367" s="12" t="n">
        <x:v>4336.5974</x:v>
      </x:c>
      <x:c r="C367" s="12" t="n">
        <x:v>4285.395</x:v>
      </x:c>
      <x:c r="D367" s="12" t="n">
        <x:v>1.1948</x:v>
      </x:c>
      <x:c r="E367" s="12" t="n">
        <x:v>0.011877301568188106</x:v>
      </x:c>
      <x:c r="F367" s="13" t="n">
        <x:v>43119</x:v>
      </x:c>
      <x:c r="G367" s="12" t="n">
        <x:v>3.35</x:v>
      </x:c>
      <x:c r="H367" s="12" t="n">
        <x:v>335</x:v>
      </x:c>
      <x:c r="I367" s="12" t="n">
        <x:v>0</x:v>
      </x:c>
      <x:c r="J367" s="12" t="n">
        <x:v>3</x:v>
      </x:c>
    </x:row>
    <x:row r="368" ht="18" customHeight="1">
      <x:c r="A368" s="13" t="n">
        <x:v>43123</x:v>
      </x:c>
      <x:c r="B368" s="12" t="n">
        <x:v>4382.6129</x:v>
      </x:c>
      <x:c r="C368" s="12" t="n">
        <x:v>4336.5974</x:v>
      </x:c>
      <x:c r="D368" s="12" t="n">
        <x:v>1.0611</x:v>
      </x:c>
      <x:c r="E368" s="12" t="n">
        <x:v>0.010555067633287804</x:v>
      </x:c>
      <x:c r="F368" s="13" t="n">
        <x:v>43122</x:v>
      </x:c>
      <x:c r="G368" s="12" t="n">
        <x:v>3.32</x:v>
      </x:c>
      <x:c r="H368" s="12" t="n">
        <x:v>332</x:v>
      </x:c>
      <x:c r="I368" s="12" t="n">
        <x:v>-3</x:v>
      </x:c>
      <x:c r="J368" s="12" t="n">
        <x:v>1</x:v>
      </x:c>
    </x:row>
    <x:row r="369" ht="18" customHeight="1">
      <x:c r="A369" s="13" t="n">
        <x:v>43124</x:v>
      </x:c>
      <x:c r="B369" s="12" t="n">
        <x:v>4389.8853</x:v>
      </x:c>
      <x:c r="C369" s="12" t="n">
        <x:v>4382.6129</x:v>
      </x:c>
      <x:c r="D369" s="12" t="n">
        <x:v>0.1659</x:v>
      </x:c>
      <x:c r="E369" s="12" t="n">
        <x:v>0.0016580001500516833</x:v>
      </x:c>
      <x:c r="F369" s="13" t="n">
        <x:v>43123</x:v>
      </x:c>
      <x:c r="G369" s="12" t="n">
        <x:v>3.31</x:v>
      </x:c>
      <x:c r="H369" s="12" t="n">
        <x:v>331</x:v>
      </x:c>
      <x:c r="I369" s="12" t="n">
        <x:v>-1</x:v>
      </x:c>
      <x:c r="J369" s="12" t="n">
        <x:v>1</x:v>
      </x:c>
    </x:row>
    <x:row r="370" ht="18" customHeight="1">
      <x:c r="A370" s="13" t="n">
        <x:v>43125</x:v>
      </x:c>
      <x:c r="B370" s="12" t="n">
        <x:v>4365.0794</x:v>
      </x:c>
      <x:c r="C370" s="12" t="n">
        <x:v>4389.8853</x:v>
      </x:c>
      <x:c r="D370" s="12" t="n">
        <x:v>-0.5651</x:v>
      </x:c>
      <x:c r="E370" s="12" t="n">
        <x:v>-0.005666719908068406</x:v>
      </x:c>
      <x:c r="F370" s="13" t="n">
        <x:v>43124</x:v>
      </x:c>
      <x:c r="G370" s="12" t="n">
        <x:v>3.28</x:v>
      </x:c>
      <x:c r="H370" s="12" t="n">
        <x:v>328</x:v>
      </x:c>
      <x:c r="I370" s="12" t="n">
        <x:v>-3</x:v>
      </x:c>
      <x:c r="J370" s="12" t="n">
        <x:v>1</x:v>
      </x:c>
    </x:row>
    <x:row r="371" ht="18" customHeight="1">
      <x:c r="A371" s="13" t="n">
        <x:v>43126</x:v>
      </x:c>
      <x:c r="B371" s="12" t="n">
        <x:v>4381.2996</x:v>
      </x:c>
      <x:c r="C371" s="12" t="n">
        <x:v>4365.0794</x:v>
      </x:c>
      <x:c r="D371" s="12" t="n">
        <x:v>0.3716</x:v>
      </x:c>
      <x:c r="E371" s="12" t="n">
        <x:v>0.003709013431685871</x:v>
      </x:c>
      <x:c r="F371" s="13" t="n">
        <x:v>43125</x:v>
      </x:c>
      <x:c r="G371" s="12" t="n">
        <x:v>3.28</x:v>
      </x:c>
      <x:c r="H371" s="12" t="n">
        <x:v>328</x:v>
      </x:c>
      <x:c r="I371" s="12" t="n">
        <x:v>0</x:v>
      </x:c>
      <x:c r="J371" s="12" t="n">
        <x:v>1</x:v>
      </x:c>
    </x:row>
    <x:row r="372" ht="18" customHeight="1">
      <x:c r="A372" s="13" t="n">
        <x:v>43129</x:v>
      </x:c>
      <x:c r="B372" s="12" t="n">
        <x:v>4302.0181</x:v>
      </x:c>
      <x:c r="C372" s="12" t="n">
        <x:v>4381.2996</x:v>
      </x:c>
      <x:c r="D372" s="12" t="n">
        <x:v>-1.8095</x:v>
      </x:c>
      <x:c r="E372" s="12" t="n">
        <x:v>-0.018261154524616036</x:v>
      </x:c>
      <x:c r="F372" s="13" t="n">
        <x:v>43126</x:v>
      </x:c>
      <x:c r="G372" s="12" t="n">
        <x:v>3.23</x:v>
      </x:c>
      <x:c r="H372" s="12" t="n">
        <x:v>323</x:v>
      </x:c>
      <x:c r="I372" s="12" t="n">
        <x:v>-5</x:v>
      </x:c>
      <x:c r="J372" s="12" t="n">
        <x:v>3</x:v>
      </x:c>
    </x:row>
    <x:row r="373" ht="18" customHeight="1">
      <x:c r="A373" s="13" t="n">
        <x:v>43130</x:v>
      </x:c>
      <x:c r="B373" s="12" t="n">
        <x:v>4256.1021</x:v>
      </x:c>
      <x:c r="C373" s="12" t="n">
        <x:v>4302.0181</x:v>
      </x:c>
      <x:c r="D373" s="12" t="n">
        <x:v>-1.0673</x:v>
      </x:c>
      <x:c r="E373" s="12" t="n">
        <x:v>-0.010730496768858172</x:v>
      </x:c>
      <x:c r="F373" s="13" t="n">
        <x:v>43129</x:v>
      </x:c>
      <x:c r="G373" s="12" t="n">
        <x:v>3.26</x:v>
      </x:c>
      <x:c r="H373" s="12" t="n">
        <x:v>326</x:v>
      </x:c>
      <x:c r="I373" s="12" t="n">
        <x:v>3</x:v>
      </x:c>
      <x:c r="J373" s="12" t="n">
        <x:v>1</x:v>
      </x:c>
    </x:row>
    <x:row r="374" ht="18" customHeight="1">
      <x:c r="A374" s="13" t="n">
        <x:v>43131</x:v>
      </x:c>
      <x:c r="B374" s="12" t="n">
        <x:v>4275.8986</x:v>
      </x:c>
      <x:c r="C374" s="12" t="n">
        <x:v>4256.1021</x:v>
      </x:c>
      <x:c r="D374" s="12" t="n">
        <x:v>0.4651</x:v>
      </x:c>
      <x:c r="E374" s="12" t="n">
        <x:v>0.0046405377172039795</x:v>
      </x:c>
      <x:c r="F374" s="13" t="n">
        <x:v>43130</x:v>
      </x:c>
      <x:c r="G374" s="12" t="n">
        <x:v>3.33</x:v>
      </x:c>
      <x:c r="H374" s="12" t="n">
        <x:v>333</x:v>
      </x:c>
      <x:c r="I374" s="12" t="n">
        <x:v>7</x:v>
      </x:c>
      <x:c r="J374" s="12" t="n">
        <x:v>1</x:v>
      </x:c>
    </x:row>
    <x:row r="375" ht="18" customHeight="1">
      <x:c r="A375" s="13" t="n">
        <x:v>43132</x:v>
      </x:c>
      <x:c r="B375" s="12" t="n">
        <x:v>4245.8978</x:v>
      </x:c>
      <x:c r="C375" s="12" t="n">
        <x:v>4275.8986</x:v>
      </x:c>
      <x:c r="D375" s="12" t="n">
        <x:v>-0.7016</x:v>
      </x:c>
      <x:c r="E375" s="12" t="n">
        <x:v>-0.007040985851740781</x:v>
      </x:c>
      <x:c r="F375" s="13" t="n">
        <x:v>43131</x:v>
      </x:c>
      <x:c r="G375" s="12" t="n">
        <x:v>3.29</x:v>
      </x:c>
      <x:c r="H375" s="12" t="n">
        <x:v>329</x:v>
      </x:c>
      <x:c r="I375" s="12" t="n">
        <x:v>-4</x:v>
      </x:c>
      <x:c r="J375" s="12" t="n">
        <x:v>1</x:v>
      </x:c>
    </x:row>
    <x:row r="376" ht="18" customHeight="1">
      <x:c r="A376" s="13" t="n">
        <x:v>43133</x:v>
      </x:c>
      <x:c r="B376" s="12" t="n">
        <x:v>4271.2326</x:v>
      </x:c>
      <x:c r="C376" s="12" t="n">
        <x:v>4245.8978</x:v>
      </x:c>
      <x:c r="D376" s="12" t="n">
        <x:v>0.5967</x:v>
      </x:c>
      <x:c r="E376" s="12" t="n">
        <x:v>0.005949157411450897</x:v>
      </x:c>
      <x:c r="F376" s="13" t="n">
        <x:v>43132</x:v>
      </x:c>
      <x:c r="G376" s="12" t="n">
        <x:v>3.29</x:v>
      </x:c>
      <x:c r="H376" s="12" t="n">
        <x:v>329</x:v>
      </x:c>
      <x:c r="I376" s="12" t="n">
        <x:v>0</x:v>
      </x:c>
      <x:c r="J376" s="12" t="n">
        <x:v>1</x:v>
      </x:c>
    </x:row>
    <x:row r="377" ht="18" customHeight="1">
      <x:c r="A377" s="13" t="n">
        <x:v>43136</x:v>
      </x:c>
      <x:c r="B377" s="12" t="n">
        <x:v>4274.1464</x:v>
      </x:c>
      <x:c r="C377" s="12" t="n">
        <x:v>4271.2326</x:v>
      </x:c>
      <x:c r="D377" s="12" t="n">
        <x:v>0.0682</x:v>
      </x:c>
      <x:c r="E377" s="12" t="n">
        <x:v>0.0006819592467287383</x:v>
      </x:c>
      <x:c r="F377" s="13" t="n">
        <x:v>43133</x:v>
      </x:c>
      <x:c r="G377" s="12" t="n">
        <x:v>3.36</x:v>
      </x:c>
      <x:c r="H377" s="12" t="n">
        <x:v>336</x:v>
      </x:c>
      <x:c r="I377" s="12" t="n">
        <x:v>7</x:v>
      </x:c>
      <x:c r="J377" s="12" t="n">
        <x:v>3</x:v>
      </x:c>
    </x:row>
    <x:row r="378" ht="18" customHeight="1">
      <x:c r="A378" s="13" t="n">
        <x:v>43137</x:v>
      </x:c>
      <x:c r="B378" s="12" t="n">
        <x:v>4148.8856</x:v>
      </x:c>
      <x:c r="C378" s="12" t="n">
        <x:v>4274.1464</x:v>
      </x:c>
      <x:c r="D378" s="12" t="n">
        <x:v>-2.9307</x:v>
      </x:c>
      <x:c r="E378" s="12" t="n">
        <x:v>-0.02974464187543662</x:v>
      </x:c>
      <x:c r="F378" s="13" t="n">
        <x:v>43136</x:v>
      </x:c>
      <x:c r="G378" s="12" t="n">
        <x:v>3.48</x:v>
      </x:c>
      <x:c r="H378" s="12" t="n">
        <x:v>348</x:v>
      </x:c>
      <x:c r="I378" s="12" t="n">
        <x:v>12</x:v>
      </x:c>
      <x:c r="J378" s="12" t="n">
        <x:v>1</x:v>
      </x:c>
    </x:row>
    <x:row r="379" ht="18" customHeight="1">
      <x:c r="A379" s="13" t="n">
        <x:v>43138</x:v>
      </x:c>
      <x:c r="B379" s="12" t="n">
        <x:v>4050.4972</x:v>
      </x:c>
      <x:c r="C379" s="12" t="n">
        <x:v>4148.8856</x:v>
      </x:c>
      <x:c r="D379" s="12" t="n">
        <x:v>-2.3714</x:v>
      </x:c>
      <x:c r="E379" s="12" t="n">
        <x:v>-0.024000129045968894</x:v>
      </x:c>
      <x:c r="F379" s="13" t="n">
        <x:v>43137</x:v>
      </x:c>
      <x:c r="G379" s="12" t="n">
        <x:v>3.6</x:v>
      </x:c>
      <x:c r="H379" s="12" t="n">
        <x:v>360</x:v>
      </x:c>
      <x:c r="I379" s="12" t="n">
        <x:v>12</x:v>
      </x:c>
      <x:c r="J379" s="12" t="n">
        <x:v>1</x:v>
      </x:c>
    </x:row>
    <x:row r="380" ht="18" customHeight="1">
      <x:c r="A380" s="13" t="n">
        <x:v>43139</x:v>
      </x:c>
      <x:c r="B380" s="12" t="n">
        <x:v>4012.0472</x:v>
      </x:c>
      <x:c r="C380" s="12" t="n">
        <x:v>4050.4972</x:v>
      </x:c>
      <x:c r="D380" s="12" t="n">
        <x:v>-0.9493</x:v>
      </x:c>
      <x:c r="E380" s="12" t="n">
        <x:v>-0.009538004279119664</x:v>
      </x:c>
      <x:c r="F380" s="13" t="n">
        <x:v>43138</x:v>
      </x:c>
      <x:c r="G380" s="12" t="n">
        <x:v>3.46</x:v>
      </x:c>
      <x:c r="H380" s="12" t="n">
        <x:v>346</x:v>
      </x:c>
      <x:c r="I380" s="12" t="n">
        <x:v>-14</x:v>
      </x:c>
      <x:c r="J380" s="12" t="n">
        <x:v>1</x:v>
      </x:c>
    </x:row>
    <x:row r="381" ht="18" customHeight="1">
      <x:c r="A381" s="13" t="n">
        <x:v>43140</x:v>
      </x:c>
      <x:c r="B381" s="12" t="n">
        <x:v>3840.6527</x:v>
      </x:c>
      <x:c r="C381" s="12" t="n">
        <x:v>4012.0472</x:v>
      </x:c>
      <x:c r="D381" s="12" t="n">
        <x:v>-4.272</x:v>
      </x:c>
      <x:c r="E381" s="12" t="n">
        <x:v>-0.04365930862233555</x:v>
      </x:c>
      <x:c r="F381" s="13" t="n">
        <x:v>43139</x:v>
      </x:c>
      <x:c r="G381" s="12" t="n">
        <x:v>3.59</x:v>
      </x:c>
      <x:c r="H381" s="12" t="n">
        <x:v>359</x:v>
      </x:c>
      <x:c r="I381" s="12" t="n">
        <x:v>13</x:v>
      </x:c>
      <x:c r="J381" s="12" t="n">
        <x:v>1</x:v>
      </x:c>
    </x:row>
    <x:row r="382" ht="18" customHeight="1">
      <x:c r="A382" s="13" t="n">
        <x:v>43143</x:v>
      </x:c>
      <x:c r="B382" s="12" t="n">
        <x:v>3890.1046</x:v>
      </x:c>
      <x:c r="C382" s="12" t="n">
        <x:v>3840.6527</x:v>
      </x:c>
      <x:c r="D382" s="12" t="n">
        <x:v>1.2876</x:v>
      </x:c>
      <x:c r="E382" s="12" t="n">
        <x:v>0.012793720614961816</x:v>
      </x:c>
      <x:c r="F382" s="13" t="n">
        <x:v>43140</x:v>
      </x:c>
      <x:c r="G382" s="12" t="n">
        <x:v>3.82</x:v>
      </x:c>
      <x:c r="H382" s="12" t="n">
        <x:v>382</x:v>
      </x:c>
      <x:c r="I382" s="12" t="n">
        <x:v>23</x:v>
      </x:c>
      <x:c r="J382" s="12" t="n">
        <x:v>3</x:v>
      </x:c>
    </x:row>
    <x:row r="383" ht="18" customHeight="1">
      <x:c r="A383" s="13" t="n">
        <x:v>43144</x:v>
      </x:c>
      <x:c r="B383" s="12" t="n">
        <x:v>3935.6324</x:v>
      </x:c>
      <x:c r="C383" s="12" t="n">
        <x:v>3890.1046</x:v>
      </x:c>
      <x:c r="D383" s="12" t="n">
        <x:v>1.1703</x:v>
      </x:c>
      <x:c r="E383" s="12" t="n">
        <x:v>0.011635533790549657</x:v>
      </x:c>
      <x:c r="F383" s="13" t="n">
        <x:v>43143</x:v>
      </x:c>
      <x:c r="G383" s="12" t="n">
        <x:v>3.71</x:v>
      </x:c>
      <x:c r="H383" s="12" t="n">
        <x:v>371</x:v>
      </x:c>
      <x:c r="I383" s="12" t="n">
        <x:v>-11</x:v>
      </x:c>
      <x:c r="J383" s="12" t="n">
        <x:v>1</x:v>
      </x:c>
    </x:row>
    <x:row r="384" ht="18" customHeight="1">
      <x:c r="A384" s="13" t="n">
        <x:v>43145</x:v>
      </x:c>
      <x:c r="B384" s="12" t="n">
        <x:v>3966.9614</x:v>
      </x:c>
      <x:c r="C384" s="12" t="n">
        <x:v>3935.6324</x:v>
      </x:c>
      <x:c r="D384" s="12" t="n">
        <x:v>0.796</x:v>
      </x:c>
      <x:c r="E384" s="12" t="n">
        <x:v>0.007928830690543</x:v>
      </x:c>
      <x:c r="F384" s="13" t="n">
        <x:v>43144</x:v>
      </x:c>
      <x:c r="G384" s="12" t="n">
        <x:v>3.78</x:v>
      </x:c>
      <x:c r="H384" s="12" t="n">
        <x:v>378</x:v>
      </x:c>
      <x:c r="I384" s="12" t="n">
        <x:v>7</x:v>
      </x:c>
      <x:c r="J384" s="12" t="n">
        <x:v>1</x:v>
      </x:c>
    </x:row>
    <x:row r="385" ht="18" customHeight="1">
      <x:c r="A385" s="13" t="n">
        <x:v>43153</x:v>
      </x:c>
      <x:c r="B385" s="12" t="n">
        <x:v>4052.7332</x:v>
      </x:c>
      <x:c r="C385" s="12" t="n">
        <x:v>3966.9614</x:v>
      </x:c>
      <x:c r="D385" s="12" t="n">
        <x:v>2.1622</x:v>
      </x:c>
      <x:c r="E385" s="12" t="n">
        <x:v>0.021391106487451253</x:v>
      </x:c>
      <x:c r="F385" s="13" t="n">
        <x:v>43152</x:v>
      </x:c>
      <x:c r="G385" s="12" t="n">
        <x:v>3.46</x:v>
      </x:c>
      <x:c r="H385" s="12" t="n">
        <x:v>346</x:v>
      </x:c>
      <x:c r="I385" s="12" t="n">
        <x:v>-2</x:v>
      </x:c>
      <x:c r="J385" s="12" t="n">
        <x:v>1</x:v>
      </x:c>
    </x:row>
    <x:row r="386" ht="18" customHeight="1">
      <x:c r="A386" s="13" t="n">
        <x:v>43154</x:v>
      </x:c>
      <x:c r="B386" s="12" t="n">
        <x:v>4071.0889</x:v>
      </x:c>
      <x:c r="C386" s="12" t="n">
        <x:v>4052.7332</x:v>
      </x:c>
      <x:c r="D386" s="12" t="n">
        <x:v>0.4529</x:v>
      </x:c>
      <x:c r="E386" s="12" t="n">
        <x:v>0.004518988971263035</x:v>
      </x:c>
      <x:c r="F386" s="13" t="n">
        <x:v>43153</x:v>
      </x:c>
      <x:c r="G386" s="12" t="n">
        <x:v>3.53</x:v>
      </x:c>
      <x:c r="H386" s="12" t="n">
        <x:v>353</x:v>
      </x:c>
      <x:c r="I386" s="12" t="n">
        <x:v>7</x:v>
      </x:c>
      <x:c r="J386" s="12" t="n">
        <x:v>1</x:v>
      </x:c>
    </x:row>
    <x:row r="387" ht="18" customHeight="1">
      <x:c r="A387" s="13" t="n">
        <x:v>43157</x:v>
      </x:c>
      <x:c r="B387" s="12" t="n">
        <x:v>4118.4186</x:v>
      </x:c>
      <x:c r="C387" s="12" t="n">
        <x:v>4071.0889</x:v>
      </x:c>
      <x:c r="D387" s="12" t="n">
        <x:v>1.1626</x:v>
      </x:c>
      <x:c r="E387" s="12" t="n">
        <x:v>0.011558748057687147</x:v>
      </x:c>
      <x:c r="F387" s="13" t="n">
        <x:v>43154</x:v>
      </x:c>
      <x:c r="G387" s="12" t="n">
        <x:v>3.58</x:v>
      </x:c>
      <x:c r="H387" s="12" t="n">
        <x:v>358</x:v>
      </x:c>
      <x:c r="I387" s="12" t="n">
        <x:v>5</x:v>
      </x:c>
      <x:c r="J387" s="12" t="n">
        <x:v>3</x:v>
      </x:c>
    </x:row>
    <x:row r="388" ht="18" customHeight="1">
      <x:c r="A388" s="13" t="n">
        <x:v>43158</x:v>
      </x:c>
      <x:c r="B388" s="12" t="n">
        <x:v>4058.9806</x:v>
      </x:c>
      <x:c r="C388" s="12" t="n">
        <x:v>4118.4186</x:v>
      </x:c>
      <x:c r="D388" s="12" t="n">
        <x:v>-1.4432</x:v>
      </x:c>
      <x:c r="E388" s="12" t="n">
        <x:v>-0.01453739638348993</x:v>
      </x:c>
      <x:c r="F388" s="13" t="n">
        <x:v>43157</x:v>
      </x:c>
      <x:c r="G388" s="12" t="n">
        <x:v>3.5</x:v>
      </x:c>
      <x:c r="H388" s="12" t="n">
        <x:v>350</x:v>
      </x:c>
      <x:c r="I388" s="12" t="n">
        <x:v>-8</x:v>
      </x:c>
      <x:c r="J388" s="12" t="n">
        <x:v>1</x:v>
      </x:c>
    </x:row>
    <x:row r="389" ht="18" customHeight="1">
      <x:c r="A389" s="13" t="n">
        <x:v>43159</x:v>
      </x:c>
      <x:c r="B389" s="12" t="n">
        <x:v>4023.6415</x:v>
      </x:c>
      <x:c r="C389" s="12" t="n">
        <x:v>4058.9806</x:v>
      </x:c>
      <x:c r="D389" s="12" t="n">
        <x:v>-0.8706</x:v>
      </x:c>
      <x:c r="E389" s="12" t="n">
        <x:v>-0.008744519971607157</x:v>
      </x:c>
      <x:c r="F389" s="13" t="n">
        <x:v>43158</x:v>
      </x:c>
      <x:c r="G389" s="12" t="n">
        <x:v>3.47</x:v>
      </x:c>
      <x:c r="H389" s="12" t="n">
        <x:v>347</x:v>
      </x:c>
      <x:c r="I389" s="12" t="n">
        <x:v>-3</x:v>
      </x:c>
      <x:c r="J389" s="12" t="n">
        <x:v>1</x:v>
      </x:c>
    </x:row>
    <x:row r="390" ht="18" customHeight="1">
      <x:c r="A390" s="13" t="n">
        <x:v>43160</x:v>
      </x:c>
      <x:c r="B390" s="12" t="n">
        <x:v>4049.0863</x:v>
      </x:c>
      <x:c r="C390" s="12" t="n">
        <x:v>4023.6415</x:v>
      </x:c>
      <x:c r="D390" s="12" t="n">
        <x:v>0.6324</x:v>
      </x:c>
      <x:c r="E390" s="12" t="n">
        <x:v>0.006303912356162683</x:v>
      </x:c>
      <x:c r="F390" s="13" t="n">
        <x:v>43159</x:v>
      </x:c>
      <x:c r="G390" s="12" t="n">
        <x:v>3.47</x:v>
      </x:c>
      <x:c r="H390" s="12" t="n">
        <x:v>347</x:v>
      </x:c>
      <x:c r="I390" s="12" t="n">
        <x:v>0</x:v>
      </x:c>
      <x:c r="J390" s="12" t="n">
        <x:v>1</x:v>
      </x:c>
    </x:row>
    <x:row r="391" ht="18" customHeight="1">
      <x:c r="A391" s="13" t="n">
        <x:v>43161</x:v>
      </x:c>
      <x:c r="B391" s="12" t="n">
        <x:v>4016.461</x:v>
      </x:c>
      <x:c r="C391" s="12" t="n">
        <x:v>4049.0863</x:v>
      </x:c>
      <x:c r="D391" s="12" t="n">
        <x:v>-0.8057</x:v>
      </x:c>
      <x:c r="E391" s="12" t="n">
        <x:v>-0.008090084089436332</x:v>
      </x:c>
      <x:c r="F391" s="13" t="n">
        <x:v>43160</x:v>
      </x:c>
      <x:c r="G391" s="12" t="n">
        <x:v>3.59</x:v>
      </x:c>
      <x:c r="H391" s="12" t="n">
        <x:v>359</x:v>
      </x:c>
      <x:c r="I391" s="12" t="n">
        <x:v>12</x:v>
      </x:c>
      <x:c r="J391" s="12" t="n">
        <x:v>1</x:v>
      </x:c>
    </x:row>
    <x:row r="392" ht="18" customHeight="1">
      <x:c r="A392" s="13" t="n">
        <x:v>43164</x:v>
      </x:c>
      <x:c r="B392" s="12" t="n">
        <x:v>4018.097</x:v>
      </x:c>
      <x:c r="C392" s="12" t="n">
        <x:v>4016.461</x:v>
      </x:c>
      <x:c r="D392" s="12" t="n">
        <x:v>0.0407</x:v>
      </x:c>
      <x:c r="E392" s="12" t="n">
        <x:v>0.0004072408270897777</x:v>
      </x:c>
      <x:c r="F392" s="13" t="n">
        <x:v>43161</x:v>
      </x:c>
      <x:c r="G392" s="12" t="n">
        <x:v>3.65</x:v>
      </x:c>
      <x:c r="H392" s="12" t="n">
        <x:v>365</x:v>
      </x:c>
      <x:c r="I392" s="12" t="n">
        <x:v>6</x:v>
      </x:c>
      <x:c r="J392" s="12" t="n">
        <x:v>3</x:v>
      </x:c>
    </x:row>
    <x:row r="393" ht="18" customHeight="1">
      <x:c r="A393" s="13" t="n">
        <x:v>43165</x:v>
      </x:c>
      <x:c r="B393" s="12" t="n">
        <x:v>4066.5647</x:v>
      </x:c>
      <x:c r="C393" s="12" t="n">
        <x:v>4018.097</x:v>
      </x:c>
      <x:c r="D393" s="12" t="n">
        <x:v>1.2062</x:v>
      </x:c>
      <x:c r="E393" s="12" t="n">
        <x:v>0.011990181521049881</x:v>
      </x:c>
      <x:c r="F393" s="13" t="n">
        <x:v>43164</x:v>
      </x:c>
      <x:c r="G393" s="12" t="n">
        <x:v>3.59</x:v>
      </x:c>
      <x:c r="H393" s="12" t="n">
        <x:v>359</x:v>
      </x:c>
      <x:c r="I393" s="12" t="n">
        <x:v>-6</x:v>
      </x:c>
      <x:c r="J393" s="12" t="n">
        <x:v>1</x:v>
      </x:c>
    </x:row>
    <x:row r="394" ht="18" customHeight="1">
      <x:c r="A394" s="13" t="n">
        <x:v>43166</x:v>
      </x:c>
      <x:c r="B394" s="12" t="n">
        <x:v>4036.6536</x:v>
      </x:c>
      <x:c r="C394" s="12" t="n">
        <x:v>4066.5647</x:v>
      </x:c>
      <x:c r="D394" s="12" t="n">
        <x:v>-0.7355</x:v>
      </x:c>
      <x:c r="E394" s="12" t="n">
        <x:v>-0.0073825570888245776</x:v>
      </x:c>
      <x:c r="F394" s="13" t="n">
        <x:v>43165</x:v>
      </x:c>
      <x:c r="G394" s="12" t="n">
        <x:v>3.53</x:v>
      </x:c>
      <x:c r="H394" s="12" t="n">
        <x:v>353</x:v>
      </x:c>
      <x:c r="I394" s="12" t="n">
        <x:v>-6</x:v>
      </x:c>
      <x:c r="J394" s="12" t="n">
        <x:v>1</x:v>
      </x:c>
    </x:row>
    <x:row r="395" ht="18" customHeight="1">
      <x:c r="A395" s="13" t="n">
        <x:v>43167</x:v>
      </x:c>
      <x:c r="B395" s="12" t="n">
        <x:v>4077.6001</x:v>
      </x:c>
      <x:c r="C395" s="12" t="n">
        <x:v>4036.6536</x:v>
      </x:c>
      <x:c r="D395" s="12" t="n">
        <x:v>1.0144</x:v>
      </x:c>
      <x:c r="E395" s="12" t="n">
        <x:v>0.01009257267049201</x:v>
      </x:c>
      <x:c r="F395" s="13" t="n">
        <x:v>43166</x:v>
      </x:c>
      <x:c r="G395" s="12" t="n">
        <x:v>3.56</x:v>
      </x:c>
      <x:c r="H395" s="12" t="n">
        <x:v>356</x:v>
      </x:c>
      <x:c r="I395" s="12" t="n">
        <x:v>3</x:v>
      </x:c>
      <x:c r="J395" s="12" t="n">
        <x:v>1</x:v>
      </x:c>
    </x:row>
    <x:row r="396" ht="18" customHeight="1">
      <x:c r="A396" s="13" t="n">
        <x:v>43168</x:v>
      </x:c>
      <x:c r="B396" s="12" t="n">
        <x:v>4108.8652</x:v>
      </x:c>
      <x:c r="C396" s="12" t="n">
        <x:v>4077.6001</x:v>
      </x:c>
      <x:c r="D396" s="12" t="n">
        <x:v>0.7668</x:v>
      </x:c>
      <x:c r="E396" s="12" t="n">
        <x:v>0.007638278759686679</x:v>
      </x:c>
      <x:c r="F396" s="13" t="n">
        <x:v>43167</x:v>
      </x:c>
      <x:c r="G396" s="12" t="n">
        <x:v>3.56</x:v>
      </x:c>
      <x:c r="H396" s="12" t="n">
        <x:v>356</x:v>
      </x:c>
      <x:c r="I396" s="12" t="n">
        <x:v>0</x:v>
      </x:c>
      <x:c r="J396" s="12" t="n">
        <x:v>1</x:v>
      </x:c>
    </x:row>
    <x:row r="397" ht="18" customHeight="1">
      <x:c r="A397" s="13" t="n">
        <x:v>43171</x:v>
      </x:c>
      <x:c r="B397" s="12" t="n">
        <x:v>4127.6662</x:v>
      </x:c>
      <x:c r="C397" s="12" t="n">
        <x:v>4108.8652</x:v>
      </x:c>
      <x:c r="D397" s="12" t="n">
        <x:v>0.4576</x:v>
      </x:c>
      <x:c r="E397" s="12" t="n">
        <x:v>0.0045652791790092165</x:v>
      </x:c>
      <x:c r="F397" s="13" t="n">
        <x:v>43168</x:v>
      </x:c>
      <x:c r="G397" s="12" t="n">
        <x:v>3.53</x:v>
      </x:c>
      <x:c r="H397" s="12" t="n">
        <x:v>353</x:v>
      </x:c>
      <x:c r="I397" s="12" t="n">
        <x:v>-3</x:v>
      </x:c>
      <x:c r="J397" s="12" t="n">
        <x:v>3</x:v>
      </x:c>
    </x:row>
    <x:row r="398" ht="18" customHeight="1">
      <x:c r="A398" s="13" t="n">
        <x:v>43172</x:v>
      </x:c>
      <x:c r="B398" s="12" t="n">
        <x:v>4091.2533</x:v>
      </x:c>
      <x:c r="C398" s="12" t="n">
        <x:v>4127.6662</x:v>
      </x:c>
      <x:c r="D398" s="12" t="n">
        <x:v>-0.8822</x:v>
      </x:c>
      <x:c r="E398" s="12" t="n">
        <x:v>-0.00886080907424242</x:v>
      </x:c>
      <x:c r="F398" s="13" t="n">
        <x:v>43171</x:v>
      </x:c>
      <x:c r="G398" s="12" t="n">
        <x:v>3.55</x:v>
      </x:c>
      <x:c r="H398" s="12" t="n">
        <x:v>355</x:v>
      </x:c>
      <x:c r="I398" s="12" t="n">
        <x:v>2</x:v>
      </x:c>
      <x:c r="J398" s="12" t="n">
        <x:v>1</x:v>
      </x:c>
    </x:row>
    <x:row r="399" ht="18" customHeight="1">
      <x:c r="A399" s="13" t="n">
        <x:v>43173</x:v>
      </x:c>
      <x:c r="B399" s="12" t="n">
        <x:v>4073.3447</x:v>
      </x:c>
      <x:c r="C399" s="12" t="n">
        <x:v>4091.2533</x:v>
      </x:c>
      <x:c r="D399" s="12" t="n">
        <x:v>-0.4377</x:v>
      </x:c>
      <x:c r="E399" s="12" t="n">
        <x:v>-0.0043868978535668065</x:v>
      </x:c>
      <x:c r="F399" s="13" t="n">
        <x:v>43172</x:v>
      </x:c>
      <x:c r="G399" s="12" t="n">
        <x:v>3.58</x:v>
      </x:c>
      <x:c r="H399" s="12" t="n">
        <x:v>358</x:v>
      </x:c>
      <x:c r="I399" s="12" t="n">
        <x:v>3</x:v>
      </x:c>
      <x:c r="J399" s="12" t="n">
        <x:v>1</x:v>
      </x:c>
    </x:row>
    <x:row r="400" ht="18" customHeight="1">
      <x:c r="A400" s="13" t="n">
        <x:v>43174</x:v>
      </x:c>
      <x:c r="B400" s="12" t="n">
        <x:v>4096.1627</x:v>
      </x:c>
      <x:c r="C400" s="12" t="n">
        <x:v>4073.3447</x:v>
      </x:c>
      <x:c r="D400" s="12" t="n">
        <x:v>0.5602</x:v>
      </x:c>
      <x:c r="E400" s="12" t="n">
        <x:v>0.005586153049198009</x:v>
      </x:c>
      <x:c r="F400" s="13" t="n">
        <x:v>43173</x:v>
      </x:c>
      <x:c r="G400" s="12" t="n">
        <x:v>3.62</x:v>
      </x:c>
      <x:c r="H400" s="12" t="n">
        <x:v>362</x:v>
      </x:c>
      <x:c r="I400" s="12" t="n">
        <x:v>4</x:v>
      </x:c>
      <x:c r="J400" s="12" t="n">
        <x:v>1</x:v>
      </x:c>
    </x:row>
    <x:row r="401" ht="18" customHeight="1">
      <x:c r="A401" s="13" t="n">
        <x:v>43175</x:v>
      </x:c>
      <x:c r="B401" s="12" t="n">
        <x:v>4056.4226</x:v>
      </x:c>
      <x:c r="C401" s="12" t="n">
        <x:v>4096.1627</x:v>
      </x:c>
      <x:c r="D401" s="12" t="n">
        <x:v>-0.9702</x:v>
      </x:c>
      <x:c r="E401" s="12" t="n">
        <x:v>-0.00974915644516685</x:v>
      </x:c>
      <x:c r="F401" s="13" t="n">
        <x:v>43174</x:v>
      </x:c>
      <x:c r="G401" s="12" t="n">
        <x:v>3.62</x:v>
      </x:c>
      <x:c r="H401" s="12" t="n">
        <x:v>362</x:v>
      </x:c>
      <x:c r="I401" s="12" t="n">
        <x:v>0</x:v>
      </x:c>
      <x:c r="J401" s="12" t="n">
        <x:v>1</x:v>
      </x:c>
    </x:row>
    <x:row r="402" ht="18" customHeight="1">
      <x:c r="A402" s="13" t="n">
        <x:v>43178</x:v>
      </x:c>
      <x:c r="B402" s="12" t="n">
        <x:v>4074.2479</x:v>
      </x:c>
      <x:c r="C402" s="12" t="n">
        <x:v>4056.4226</x:v>
      </x:c>
      <x:c r="D402" s="12" t="n">
        <x:v>0.4394</x:v>
      </x:c>
      <x:c r="E402" s="12" t="n">
        <x:v>0.004384713058697811</x:v>
      </x:c>
      <x:c r="F402" s="13" t="n">
        <x:v>43175</x:v>
      </x:c>
      <x:c r="G402" s="12" t="n">
        <x:v>3.6</x:v>
      </x:c>
      <x:c r="H402" s="12" t="n">
        <x:v>360</x:v>
      </x:c>
      <x:c r="I402" s="12" t="n">
        <x:v>-2</x:v>
      </x:c>
      <x:c r="J402" s="12" t="n">
        <x:v>3</x:v>
      </x:c>
    </x:row>
    <x:row r="403" ht="18" customHeight="1">
      <x:c r="A403" s="13" t="n">
        <x:v>43179</x:v>
      </x:c>
      <x:c r="B403" s="12" t="n">
        <x:v>4077.7041</x:v>
      </x:c>
      <x:c r="C403" s="12" t="n">
        <x:v>4074.2479</x:v>
      </x:c>
      <x:c r="D403" s="12" t="n">
        <x:v>0.0848</x:v>
      </x:c>
      <x:c r="E403" s="12" t="n">
        <x:v>0.0008479441996437564</x:v>
      </x:c>
      <x:c r="F403" s="13" t="n">
        <x:v>43178</x:v>
      </x:c>
      <x:c r="G403" s="12" t="n">
        <x:v>3.65</x:v>
      </x:c>
      <x:c r="H403" s="12" t="n">
        <x:v>365</x:v>
      </x:c>
      <x:c r="I403" s="12" t="n">
        <x:v>5</x:v>
      </x:c>
      <x:c r="J403" s="12" t="n">
        <x:v>1</x:v>
      </x:c>
    </x:row>
    <x:row r="404" ht="18" customHeight="1">
      <x:c r="A404" s="13" t="n">
        <x:v>43180</x:v>
      </x:c>
      <x:c r="B404" s="12" t="n">
        <x:v>4061.0502</x:v>
      </x:c>
      <x:c r="C404" s="12" t="n">
        <x:v>4077.7041</x:v>
      </x:c>
      <x:c r="D404" s="12" t="n">
        <x:v>-0.4084</x:v>
      </x:c>
      <x:c r="E404" s="12" t="n">
        <x:v>-0.004092499326107085</x:v>
      </x:c>
      <x:c r="F404" s="13" t="n">
        <x:v>43179</x:v>
      </x:c>
      <x:c r="G404" s="12" t="n">
        <x:v>3.62</x:v>
      </x:c>
      <x:c r="H404" s="12" t="n">
        <x:v>362</x:v>
      </x:c>
      <x:c r="I404" s="12" t="n">
        <x:v>-3</x:v>
      </x:c>
      <x:c r="J404" s="12" t="n">
        <x:v>1</x:v>
      </x:c>
    </x:row>
    <x:row r="405" ht="18" customHeight="1">
      <x:c r="A405" s="13" t="n">
        <x:v>43181</x:v>
      </x:c>
      <x:c r="B405" s="12" t="n">
        <x:v>4020.349</x:v>
      </x:c>
      <x:c r="C405" s="12" t="n">
        <x:v>4061.0502</x:v>
      </x:c>
      <x:c r="D405" s="12" t="n">
        <x:v>-1.0022</x:v>
      </x:c>
      <x:c r="E405" s="12" t="n">
        <x:v>-0.01007289533203283</x:v>
      </x:c>
      <x:c r="F405" s="13" t="n">
        <x:v>43180</x:v>
      </x:c>
      <x:c r="G405" s="12" t="n">
        <x:v>3.6</x:v>
      </x:c>
      <x:c r="H405" s="12" t="n">
        <x:v>360</x:v>
      </x:c>
      <x:c r="I405" s="12" t="n">
        <x:v>-2</x:v>
      </x:c>
      <x:c r="J405" s="12" t="n">
        <x:v>1</x:v>
      </x:c>
    </x:row>
    <x:row r="406" ht="18" customHeight="1">
      <x:c r="A406" s="13" t="n">
        <x:v>43182</x:v>
      </x:c>
      <x:c r="B406" s="12" t="n">
        <x:v>3904.9355</x:v>
      </x:c>
      <x:c r="C406" s="12" t="n">
        <x:v>4020.349</x:v>
      </x:c>
      <x:c r="D406" s="12" t="n">
        <x:v>-2.8707</x:v>
      </x:c>
      <x:c r="E406" s="12" t="n">
        <x:v>-0.029127448913337784</x:v>
      </x:c>
      <x:c r="F406" s="13" t="n">
        <x:v>43181</x:v>
      </x:c>
      <x:c r="G406" s="12" t="n">
        <x:v>3.7</x:v>
      </x:c>
      <x:c r="H406" s="12" t="n">
        <x:v>370</x:v>
      </x:c>
      <x:c r="I406" s="12" t="n">
        <x:v>10</x:v>
      </x:c>
      <x:c r="J406" s="12" t="n">
        <x:v>1</x:v>
      </x:c>
    </x:row>
    <x:row r="407" ht="18" customHeight="1">
      <x:c r="A407" s="13" t="n">
        <x:v>43185</x:v>
      </x:c>
      <x:c r="B407" s="12" t="n">
        <x:v>3879.893</x:v>
      </x:c>
      <x:c r="C407" s="12" t="n">
        <x:v>3904.9355</x:v>
      </x:c>
      <x:c r="D407" s="12" t="n">
        <x:v>-0.6413</x:v>
      </x:c>
      <x:c r="E407" s="12" t="n">
        <x:v>-0.006433689934372874</x:v>
      </x:c>
      <x:c r="F407" s="13" t="n">
        <x:v>43182</x:v>
      </x:c>
      <x:c r="G407" s="12" t="n">
        <x:v>3.74</x:v>
      </x:c>
      <x:c r="H407" s="12" t="n">
        <x:v>374</x:v>
      </x:c>
      <x:c r="I407" s="12" t="n">
        <x:v>4</x:v>
      </x:c>
      <x:c r="J407" s="12" t="n">
        <x:v>3</x:v>
      </x:c>
    </x:row>
    <x:row r="408" ht="18" customHeight="1">
      <x:c r="A408" s="13" t="n">
        <x:v>43186</x:v>
      </x:c>
      <x:c r="B408" s="12" t="n">
        <x:v>3913.2689</x:v>
      </x:c>
      <x:c r="C408" s="12" t="n">
        <x:v>3879.893</x:v>
      </x:c>
      <x:c r="D408" s="12" t="n">
        <x:v>0.8602</x:v>
      </x:c>
      <x:c r="E408" s="12" t="n">
        <x:v>0.008565484584295732</x:v>
      </x:c>
      <x:c r="F408" s="13" t="n">
        <x:v>43185</x:v>
      </x:c>
      <x:c r="G408" s="12" t="n">
        <x:v>3.73</x:v>
      </x:c>
      <x:c r="H408" s="12" t="n">
        <x:v>373</x:v>
      </x:c>
      <x:c r="I408" s="12" t="n">
        <x:v>-1</x:v>
      </x:c>
      <x:c r="J408" s="12" t="n">
        <x:v>1</x:v>
      </x:c>
    </x:row>
    <x:row r="409" ht="18" customHeight="1">
      <x:c r="A409" s="13" t="n">
        <x:v>43187</x:v>
      </x:c>
      <x:c r="B409" s="12" t="n">
        <x:v>3842.7155</x:v>
      </x:c>
      <x:c r="C409" s="12" t="n">
        <x:v>3913.2689</x:v>
      </x:c>
      <x:c r="D409" s="12" t="n">
        <x:v>-1.8029</x:v>
      </x:c>
      <x:c r="E409" s="12" t="n">
        <x:v>-0.018193782382508124</x:v>
      </x:c>
      <x:c r="F409" s="13" t="n">
        <x:v>43186</x:v>
      </x:c>
      <x:c r="G409" s="12" t="n">
        <x:v>3.75</x:v>
      </x:c>
      <x:c r="H409" s="12" t="n">
        <x:v>375</x:v>
      </x:c>
      <x:c r="I409" s="12" t="n">
        <x:v>2</x:v>
      </x:c>
      <x:c r="J409" s="12" t="n">
        <x:v>1</x:v>
      </x:c>
    </x:row>
    <x:row r="410" ht="18" customHeight="1">
      <x:c r="A410" s="13" t="n">
        <x:v>43188</x:v>
      </x:c>
      <x:c r="B410" s="12" t="n">
        <x:v>3894.0498</x:v>
      </x:c>
      <x:c r="C410" s="12" t="n">
        <x:v>3842.7155</x:v>
      </x:c>
      <x:c r="D410" s="12" t="n">
        <x:v>1.3359</x:v>
      </x:c>
      <x:c r="E410" s="12" t="n">
        <x:v>0.013270417637119006</x:v>
      </x:c>
      <x:c r="F410" s="13" t="n">
        <x:v>43187</x:v>
      </x:c>
      <x:c r="G410" s="12" t="n">
        <x:v>3.77</x:v>
      </x:c>
      <x:c r="H410" s="12" t="n">
        <x:v>377</x:v>
      </x:c>
      <x:c r="I410" s="12" t="n">
        <x:v>2</x:v>
      </x:c>
      <x:c r="J410" s="12" t="n">
        <x:v>1</x:v>
      </x:c>
    </x:row>
    <x:row r="411" ht="18" customHeight="1">
      <x:c r="A411" s="13" t="n">
        <x:v>43189</x:v>
      </x:c>
      <x:c r="B411" s="12" t="n">
        <x:v>3898.4977</x:v>
      </x:c>
      <x:c r="C411" s="12" t="n">
        <x:v>3894.0498</x:v>
      </x:c>
      <x:c r="D411" s="12" t="n">
        <x:v>0.1142</x:v>
      </x:c>
      <x:c r="E411" s="12" t="n">
        <x:v>0.0011415780226023604</x:v>
      </x:c>
      <x:c r="F411" s="13" t="n">
        <x:v>43188</x:v>
      </x:c>
      <x:c r="G411" s="12" t="n">
        <x:v>3.79</x:v>
      </x:c>
      <x:c r="H411" s="12" t="n">
        <x:v>379</x:v>
      </x:c>
      <x:c r="I411" s="12" t="n">
        <x:v>2</x:v>
      </x:c>
      <x:c r="J411" s="12" t="n">
        <x:v>1</x:v>
      </x:c>
    </x:row>
    <x:row r="412" ht="18" customHeight="1">
      <x:c r="A412" s="13" t="n">
        <x:v>43192</x:v>
      </x:c>
      <x:c r="B412" s="12" t="n">
        <x:v>3886.9189</x:v>
      </x:c>
      <x:c r="C412" s="12" t="n">
        <x:v>3898.4977</x:v>
      </x:c>
      <x:c r="D412" s="12" t="n">
        <x:v>-0.297</x:v>
      </x:c>
      <x:c r="E412" s="12" t="n">
        <x:v>-0.0029744865642820487</x:v>
      </x:c>
      <x:c r="F412" s="13" t="n">
        <x:v>43190</x:v>
      </x:c>
      <x:c r="G412" s="12" t="n">
        <x:v>3.72</x:v>
      </x:c>
      <x:c r="H412" s="12" t="n">
        <x:v>372</x:v>
      </x:c>
      <x:c r="I412" s="12" t="n">
        <x:v>-7</x:v>
      </x:c>
      <x:c r="J412" s="12" t="n">
        <x:v>2</x:v>
      </x:c>
    </x:row>
    <x:row r="413" ht="18" customHeight="1">
      <x:c r="A413" s="13" t="n">
        <x:v>43193</x:v>
      </x:c>
      <x:c r="B413" s="12" t="n">
        <x:v>3862.4796</x:v>
      </x:c>
      <x:c r="C413" s="12" t="n">
        <x:v>3886.9189</x:v>
      </x:c>
      <x:c r="D413" s="12" t="n">
        <x:v>-0.6288</x:v>
      </x:c>
      <x:c r="E413" s="12" t="n">
        <x:v>-0.0063074265760417105</x:v>
      </x:c>
      <x:c r="F413" s="13" t="n">
        <x:v>43192</x:v>
      </x:c>
      <x:c r="G413" s="12" t="n">
        <x:v>3.77</x:v>
      </x:c>
      <x:c r="H413" s="12" t="n">
        <x:v>377</x:v>
      </x:c>
      <x:c r="I413" s="12" t="n">
        <x:v>5</x:v>
      </x:c>
      <x:c r="J413" s="12" t="n">
        <x:v>1</x:v>
      </x:c>
    </x:row>
    <x:row r="414" ht="18" customHeight="1">
      <x:c r="A414" s="13" t="n">
        <x:v>43194</x:v>
      </x:c>
      <x:c r="B414" s="12" t="n">
        <x:v>3854.8625</x:v>
      </x:c>
      <x:c r="C414" s="12" t="n">
        <x:v>3862.4796</x:v>
      </x:c>
      <x:c r="D414" s="12" t="n">
        <x:v>-0.1972</x:v>
      </x:c>
      <x:c r="E414" s="12" t="n">
        <x:v>-0.001974022241025953</x:v>
      </x:c>
      <x:c r="F414" s="13" t="n">
        <x:v>43193</x:v>
      </x:c>
      <x:c r="G414" s="12" t="n">
        <x:v>3.71</x:v>
      </x:c>
      <x:c r="H414" s="12" t="n">
        <x:v>371</x:v>
      </x:c>
      <x:c r="I414" s="12" t="n">
        <x:v>-6</x:v>
      </x:c>
      <x:c r="J414" s="12" t="n">
        <x:v>1</x:v>
      </x:c>
    </x:row>
    <x:row r="415" ht="18" customHeight="1">
      <x:c r="A415" s="13" t="n">
        <x:v>43199</x:v>
      </x:c>
      <x:c r="B415" s="12" t="n">
        <x:v>3852.9292</x:v>
      </x:c>
      <x:c r="C415" s="12" t="n">
        <x:v>3854.8625</x:v>
      </x:c>
      <x:c r="D415" s="12" t="n">
        <x:v>-0.0502</x:v>
      </x:c>
      <x:c r="E415" s="12" t="n">
        <x:v>-0.0005016482322799196</x:v>
      </x:c>
      <x:c r="F415" s="13" t="n">
        <x:v>43196</x:v>
      </x:c>
      <x:c r="G415" s="12" t="n">
        <x:v>3.64</x:v>
      </x:c>
      <x:c r="H415" s="12" t="n">
        <x:v>364</x:v>
      </x:c>
      <x:c r="I415" s="12" t="n">
        <x:v>5</x:v>
      </x:c>
      <x:c r="J415" s="12" t="n">
        <x:v>3</x:v>
      </x:c>
    </x:row>
    <x:row r="416" ht="18" customHeight="1">
      <x:c r="A416" s="13" t="n">
        <x:v>43200</x:v>
      </x:c>
      <x:c r="B416" s="12" t="n">
        <x:v>3927.1729</x:v>
      </x:c>
      <x:c r="C416" s="12" t="n">
        <x:v>3852.9292</x:v>
      </x:c>
      <x:c r="D416" s="12" t="n">
        <x:v>1.9269</x:v>
      </x:c>
      <x:c r="E416" s="12" t="n">
        <x:v>0.01908611296393232</x:v>
      </x:c>
      <x:c r="F416" s="13" t="n">
        <x:v>43199</x:v>
      </x:c>
      <x:c r="G416" s="12" t="n">
        <x:v>3.61</x:v>
      </x:c>
      <x:c r="H416" s="12" t="n">
        <x:v>361</x:v>
      </x:c>
      <x:c r="I416" s="12" t="n">
        <x:v>-3</x:v>
      </x:c>
      <x:c r="J416" s="12" t="n">
        <x:v>1</x:v>
      </x:c>
    </x:row>
    <x:row r="417" ht="18" customHeight="1">
      <x:c r="A417" s="13" t="n">
        <x:v>43201</x:v>
      </x:c>
      <x:c r="B417" s="12" t="n">
        <x:v>3938.3434</x:v>
      </x:c>
      <x:c r="C417" s="12" t="n">
        <x:v>3927.1729</x:v>
      </x:c>
      <x:c r="D417" s="12" t="n">
        <x:v>0.2844</x:v>
      </x:c>
      <x:c r="E417" s="12" t="n">
        <x:v>0.0028403748931388356</x:v>
      </x:c>
      <x:c r="F417" s="13" t="n">
        <x:v>43200</x:v>
      </x:c>
      <x:c r="G417" s="12" t="n">
        <x:v>3.52</x:v>
      </x:c>
      <x:c r="H417" s="12" t="n">
        <x:v>352</x:v>
      </x:c>
      <x:c r="I417" s="12" t="n">
        <x:v>-9</x:v>
      </x:c>
      <x:c r="J417" s="12" t="n">
        <x:v>1</x:v>
      </x:c>
    </x:row>
    <x:row r="418" ht="18" customHeight="1">
      <x:c r="A418" s="13" t="n">
        <x:v>43202</x:v>
      </x:c>
      <x:c r="B418" s="12" t="n">
        <x:v>3898.6354</x:v>
      </x:c>
      <x:c r="C418" s="12" t="n">
        <x:v>3938.3434</x:v>
      </x:c>
      <x:c r="D418" s="12" t="n">
        <x:v>-1.0082</x:v>
      </x:c>
      <x:c r="E418" s="12" t="n">
        <x:v>-0.010133583568970973</x:v>
      </x:c>
      <x:c r="F418" s="13" t="n">
        <x:v>43201</x:v>
      </x:c>
      <x:c r="G418" s="12" t="n">
        <x:v>3.5</x:v>
      </x:c>
      <x:c r="H418" s="12" t="n">
        <x:v>350</x:v>
      </x:c>
      <x:c r="I418" s="12" t="n">
        <x:v>-2</x:v>
      </x:c>
      <x:c r="J418" s="12" t="n">
        <x:v>1</x:v>
      </x:c>
    </x:row>
    <x:row r="419" ht="18" customHeight="1">
      <x:c r="A419" s="13" t="n">
        <x:v>43203</x:v>
      </x:c>
      <x:c r="B419" s="12" t="n">
        <x:v>3871.1443</x:v>
      </x:c>
      <x:c r="C419" s="12" t="n">
        <x:v>3898.6354</x:v>
      </x:c>
      <x:c r="D419" s="12" t="n">
        <x:v>-0.7051</x:v>
      </x:c>
      <x:c r="E419" s="12" t="n">
        <x:v>-0.007076446381222022</x:v>
      </x:c>
      <x:c r="F419" s="13" t="n">
        <x:v>43202</x:v>
      </x:c>
      <x:c r="G419" s="12" t="n">
        <x:v>3.42</x:v>
      </x:c>
      <x:c r="H419" s="12" t="n">
        <x:v>342</x:v>
      </x:c>
      <x:c r="I419" s="12" t="n">
        <x:v>-8</x:v>
      </x:c>
      <x:c r="J419" s="12" t="n">
        <x:v>1</x:v>
      </x:c>
    </x:row>
    <x:row r="420" ht="18" customHeight="1">
      <x:c r="A420" s="13" t="n">
        <x:v>43206</x:v>
      </x:c>
      <x:c r="B420" s="12" t="n">
        <x:v>3808.863</x:v>
      </x:c>
      <x:c r="C420" s="12" t="n">
        <x:v>3871.1443</x:v>
      </x:c>
      <x:c r="D420" s="12" t="n">
        <x:v>-1.6089</x:v>
      </x:c>
      <x:c r="E420" s="12" t="n">
        <x:v>-0.016219428685991556</x:v>
      </x:c>
      <x:c r="F420" s="13" t="n">
        <x:v>43203</x:v>
      </x:c>
      <x:c r="G420" s="12" t="n">
        <x:v>3.38</x:v>
      </x:c>
      <x:c r="H420" s="12" t="n">
        <x:v>338</x:v>
      </x:c>
      <x:c r="I420" s="12" t="n">
        <x:v>-4</x:v>
      </x:c>
      <x:c r="J420" s="12" t="n">
        <x:v>3</x:v>
      </x:c>
    </x:row>
    <x:row r="421" ht="18" customHeight="1">
      <x:c r="A421" s="13" t="n">
        <x:v>43207</x:v>
      </x:c>
      <x:c r="B421" s="12" t="n">
        <x:v>3748.6412</x:v>
      </x:c>
      <x:c r="C421" s="12" t="n">
        <x:v>3808.863</x:v>
      </x:c>
      <x:c r="D421" s="12" t="n">
        <x:v>-1.5811</x:v>
      </x:c>
      <x:c r="E421" s="12" t="n">
        <x:v>-0.015937291751862186</x:v>
      </x:c>
      <x:c r="F421" s="13" t="n">
        <x:v>43206</x:v>
      </x:c>
      <x:c r="G421" s="12" t="n">
        <x:v>3.33</x:v>
      </x:c>
      <x:c r="H421" s="12" t="n">
        <x:v>333</x:v>
      </x:c>
      <x:c r="I421" s="12" t="n">
        <x:v>-5</x:v>
      </x:c>
      <x:c r="J421" s="12" t="n">
        <x:v>1</x:v>
      </x:c>
    </x:row>
    <x:row r="422" ht="18" customHeight="1">
      <x:c r="A422" s="13" t="n">
        <x:v>43208</x:v>
      </x:c>
      <x:c r="B422" s="12" t="n">
        <x:v>3766.282</x:v>
      </x:c>
      <x:c r="C422" s="12" t="n">
        <x:v>3748.6412</x:v>
      </x:c>
      <x:c r="D422" s="12" t="n">
        <x:v>0.4706</x:v>
      </x:c>
      <x:c r="E422" s="12" t="n">
        <x:v>0.0046948802891430465</x:v>
      </x:c>
      <x:c r="F422" s="13" t="n">
        <x:v>43207</x:v>
      </x:c>
      <x:c r="G422" s="12" t="n">
        <x:v>3.29</x:v>
      </x:c>
      <x:c r="H422" s="12" t="n">
        <x:v>329</x:v>
      </x:c>
      <x:c r="I422" s="12" t="n">
        <x:v>-4</x:v>
      </x:c>
      <x:c r="J422" s="12" t="n">
        <x:v>1</x:v>
      </x:c>
    </x:row>
    <x:row r="423" ht="18" customHeight="1">
      <x:c r="A423" s="13" t="n">
        <x:v>43209</x:v>
      </x:c>
      <x:c r="B423" s="12" t="n">
        <x:v>3811.843</x:v>
      </x:c>
      <x:c r="C423" s="12" t="n">
        <x:v>3766.282</x:v>
      </x:c>
      <x:c r="D423" s="12" t="n">
        <x:v>1.2097</x:v>
      </x:c>
      <x:c r="E423" s="12" t="n">
        <x:v>0.012024491273144259</x:v>
      </x:c>
      <x:c r="F423" s="13" t="n">
        <x:v>43208</x:v>
      </x:c>
      <x:c r="G423" s="12" t="n">
        <x:v>3.24</x:v>
      </x:c>
      <x:c r="H423" s="12" t="n">
        <x:v>324</x:v>
      </x:c>
      <x:c r="I423" s="12" t="n">
        <x:v>-5</x:v>
      </x:c>
      <x:c r="J423" s="12" t="n">
        <x:v>1</x:v>
      </x:c>
    </x:row>
    <x:row r="424" ht="18" customHeight="1">
      <x:c r="A424" s="13" t="n">
        <x:v>43210</x:v>
      </x:c>
      <x:c r="B424" s="12" t="n">
        <x:v>3760.8543</x:v>
      </x:c>
      <x:c r="C424" s="12" t="n">
        <x:v>3811.843</x:v>
      </x:c>
      <x:c r="D424" s="12" t="n">
        <x:v>-1.3376</x:v>
      </x:c>
      <x:c r="E424" s="12" t="n">
        <x:v>-0.013466660173615443</x:v>
      </x:c>
      <x:c r="F424" s="13" t="n">
        <x:v>43209</x:v>
      </x:c>
      <x:c r="G424" s="12" t="n">
        <x:v>3.33</x:v>
      </x:c>
      <x:c r="H424" s="12" t="n">
        <x:v>333</x:v>
      </x:c>
      <x:c r="I424" s="12" t="n">
        <x:v>9</x:v>
      </x:c>
      <x:c r="J424" s="12" t="n">
        <x:v>1</x:v>
      </x:c>
    </x:row>
    <x:row r="425" ht="18" customHeight="1">
      <x:c r="A425" s="13" t="n">
        <x:v>43213</x:v>
      </x:c>
      <x:c r="B425" s="12" t="n">
        <x:v>3766.3257</x:v>
      </x:c>
      <x:c r="C425" s="12" t="n">
        <x:v>3760.8543</x:v>
      </x:c>
      <x:c r="D425" s="12" t="n">
        <x:v>0.1455</x:v>
      </x:c>
      <x:c r="E425" s="12" t="n">
        <x:v>0.0014537717880077582</x:v>
      </x:c>
      <x:c r="F425" s="13" t="n">
        <x:v>43210</x:v>
      </x:c>
      <x:c r="G425" s="12" t="n">
        <x:v>3.33</x:v>
      </x:c>
      <x:c r="H425" s="12" t="n">
        <x:v>333</x:v>
      </x:c>
      <x:c r="I425" s="12" t="n">
        <x:v>0</x:v>
      </x:c>
      <x:c r="J425" s="12" t="n">
        <x:v>3</x:v>
      </x:c>
    </x:row>
    <x:row r="426" ht="18" customHeight="1">
      <x:c r="A426" s="13" t="n">
        <x:v>43214</x:v>
      </x:c>
      <x:c r="B426" s="12" t="n">
        <x:v>3843.4886</x:v>
      </x:c>
      <x:c r="C426" s="12" t="n">
        <x:v>3766.3257</x:v>
      </x:c>
      <x:c r="D426" s="12" t="n">
        <x:v>2.0488</x:v>
      </x:c>
      <x:c r="E426" s="12" t="n">
        <x:v>0.020280532927162264</x:v>
      </x:c>
      <x:c r="F426" s="13" t="n">
        <x:v>43213</x:v>
      </x:c>
      <x:c r="G426" s="12" t="n">
        <x:v>3.36</x:v>
      </x:c>
      <x:c r="H426" s="12" t="n">
        <x:v>336</x:v>
      </x:c>
      <x:c r="I426" s="12" t="n">
        <x:v>3</x:v>
      </x:c>
      <x:c r="J426" s="12" t="n">
        <x:v>1</x:v>
      </x:c>
    </x:row>
    <x:row r="427" ht="18" customHeight="1">
      <x:c r="A427" s="13" t="n">
        <x:v>43215</x:v>
      </x:c>
      <x:c r="B427" s="12" t="n">
        <x:v>3828.7015</x:v>
      </x:c>
      <x:c r="C427" s="12" t="n">
        <x:v>3843.4886</x:v>
      </x:c>
      <x:c r="D427" s="12" t="n">
        <x:v>-0.3847</x:v>
      </x:c>
      <x:c r="E427" s="12" t="n">
        <x:v>-0.0038547319910832763</x:v>
      </x:c>
      <x:c r="F427" s="13" t="n">
        <x:v>43214</x:v>
      </x:c>
      <x:c r="G427" s="12" t="n">
        <x:v>3.41</x:v>
      </x:c>
      <x:c r="H427" s="12" t="n">
        <x:v>341</x:v>
      </x:c>
      <x:c r="I427" s="12" t="n">
        <x:v>5</x:v>
      </x:c>
      <x:c r="J427" s="12" t="n">
        <x:v>1</x:v>
      </x:c>
    </x:row>
    <x:row r="428" ht="18" customHeight="1">
      <x:c r="A428" s="13" t="n">
        <x:v>43216</x:v>
      </x:c>
      <x:c r="B428" s="12" t="n">
        <x:v>3755.4941</x:v>
      </x:c>
      <x:c r="C428" s="12" t="n">
        <x:v>3828.7015</x:v>
      </x:c>
      <x:c r="D428" s="12" t="n">
        <x:v>-1.9121</x:v>
      </x:c>
      <x:c r="E428" s="12" t="n">
        <x:v>-0.01930585065145748</x:v>
      </x:c>
      <x:c r="F428" s="13" t="n">
        <x:v>43215</x:v>
      </x:c>
      <x:c r="G428" s="12" t="n">
        <x:v>3.47</x:v>
      </x:c>
      <x:c r="H428" s="12" t="n">
        <x:v>347</x:v>
      </x:c>
      <x:c r="I428" s="12" t="n">
        <x:v>6</x:v>
      </x:c>
      <x:c r="J428" s="12" t="n">
        <x:v>1</x:v>
      </x:c>
    </x:row>
    <x:row r="429" ht="18" customHeight="1">
      <x:c r="A429" s="13" t="n">
        <x:v>43217</x:v>
      </x:c>
      <x:c r="B429" s="12" t="n">
        <x:v>3756.8765</x:v>
      </x:c>
      <x:c r="C429" s="12" t="n">
        <x:v>3755.4941</x:v>
      </x:c>
      <x:c r="D429" s="12" t="n">
        <x:v>0.0368</x:v>
      </x:c>
      <x:c r="E429" s="12" t="n">
        <x:v>0.0003680329656801829</x:v>
      </x:c>
      <x:c r="F429" s="13" t="n">
        <x:v>43216</x:v>
      </x:c>
      <x:c r="G429" s="12" t="n">
        <x:v>3.43</x:v>
      </x:c>
      <x:c r="H429" s="12" t="n">
        <x:v>343</x:v>
      </x:c>
      <x:c r="I429" s="12" t="n">
        <x:v>-4</x:v>
      </x:c>
      <x:c r="J429" s="12" t="n">
        <x:v>1</x:v>
      </x:c>
    </x:row>
    <x:row r="430" ht="18" customHeight="1">
      <x:c r="A430" s="13" t="n">
        <x:v>43222</x:v>
      </x:c>
      <x:c r="B430" s="12" t="n">
        <x:v>3763.6461</x:v>
      </x:c>
      <x:c r="C430" s="12" t="n">
        <x:v>3756.8765</x:v>
      </x:c>
      <x:c r="D430" s="12" t="n">
        <x:v>0.1802</x:v>
      </x:c>
      <x:c r="E430" s="12" t="n">
        <x:v>0.0018003009068554776</x:v>
      </x:c>
      <x:c r="F430" s="13" t="n">
        <x:v>43221</x:v>
      </x:c>
      <x:c r="G430" s="12" t="n">
        <x:v>3.47</x:v>
      </x:c>
      <x:c r="H430" s="12" t="n">
        <x:v>347</x:v>
      </x:c>
      <x:c r="I430" s="12" t="n">
        <x:v>1</x:v>
      </x:c>
      <x:c r="J430" s="12" t="n">
        <x:v>1</x:v>
      </x:c>
    </x:row>
    <x:row r="431" ht="18" customHeight="1">
      <x:c r="A431" s="13" t="n">
        <x:v>43223</x:v>
      </x:c>
      <x:c r="B431" s="12" t="n">
        <x:v>3793.0001</x:v>
      </x:c>
      <x:c r="C431" s="12" t="n">
        <x:v>3763.6461</x:v>
      </x:c>
      <x:c r="D431" s="12" t="n">
        <x:v>0.7799</x:v>
      </x:c>
      <x:c r="E431" s="12" t="n">
        <x:v>0.0077690940850433</x:v>
      </x:c>
      <x:c r="F431" s="13" t="n">
        <x:v>43222</x:v>
      </x:c>
      <x:c r="G431" s="12" t="n">
        <x:v>3.45</x:v>
      </x:c>
      <x:c r="H431" s="12" t="n">
        <x:v>345</x:v>
      </x:c>
      <x:c r="I431" s="12" t="n">
        <x:v>-2</x:v>
      </x:c>
      <x:c r="J431" s="12" t="n">
        <x:v>1</x:v>
      </x:c>
    </x:row>
    <x:row r="432" ht="18" customHeight="1">
      <x:c r="A432" s="13" t="n">
        <x:v>43224</x:v>
      </x:c>
      <x:c r="B432" s="12" t="n">
        <x:v>3774.5981</x:v>
      </x:c>
      <x:c r="C432" s="12" t="n">
        <x:v>3793.0001</x:v>
      </x:c>
      <x:c r="D432" s="12" t="n">
        <x:v>-0.4852</x:v>
      </x:c>
      <x:c r="E432" s="12" t="n">
        <x:v>-0.0048633756139366815</x:v>
      </x:c>
      <x:c r="F432" s="13" t="n">
        <x:v>43223</x:v>
      </x:c>
      <x:c r="G432" s="12" t="n">
        <x:v>3.5</x:v>
      </x:c>
      <x:c r="H432" s="12" t="n">
        <x:v>350</x:v>
      </x:c>
      <x:c r="I432" s="12" t="n">
        <x:v>5</x:v>
      </x:c>
      <x:c r="J432" s="12" t="n">
        <x:v>1</x:v>
      </x:c>
    </x:row>
    <x:row r="433" ht="18" customHeight="1">
      <x:c r="A433" s="13" t="n">
        <x:v>43227</x:v>
      </x:c>
      <x:c r="B433" s="12" t="n">
        <x:v>3834.1877</x:v>
      </x:c>
      <x:c r="C433" s="12" t="n">
        <x:v>3774.5981</x:v>
      </x:c>
      <x:c r="D433" s="12" t="n">
        <x:v>1.5787</x:v>
      </x:c>
      <x:c r="E433" s="12" t="n">
        <x:v>0.015663686671114112</x:v>
      </x:c>
      <x:c r="F433" s="13" t="n">
        <x:v>43224</x:v>
      </x:c>
      <x:c r="G433" s="12" t="n">
        <x:v>3.49</x:v>
      </x:c>
      <x:c r="H433" s="12" t="n">
        <x:v>349</x:v>
      </x:c>
      <x:c r="I433" s="12" t="n">
        <x:v>-1</x:v>
      </x:c>
      <x:c r="J433" s="12" t="n">
        <x:v>3</x:v>
      </x:c>
    </x:row>
    <x:row r="434" ht="18" customHeight="1">
      <x:c r="A434" s="13" t="n">
        <x:v>43228</x:v>
      </x:c>
      <x:c r="B434" s="12" t="n">
        <x:v>3878.6767</x:v>
      </x:c>
      <x:c r="C434" s="12" t="n">
        <x:v>3834.1877</x:v>
      </x:c>
      <x:c r="D434" s="12" t="n">
        <x:v>1.1603</x:v>
      </x:c>
      <x:c r="E434" s="12" t="n">
        <x:v>0.011536438632792785</x:v>
      </x:c>
      <x:c r="F434" s="13" t="n">
        <x:v>43227</x:v>
      </x:c>
      <x:c r="G434" s="12" t="n">
        <x:v>3.46</x:v>
      </x:c>
      <x:c r="H434" s="12" t="n">
        <x:v>346</x:v>
      </x:c>
      <x:c r="I434" s="12" t="n">
        <x:v>-3</x:v>
      </x:c>
      <x:c r="J434" s="12" t="n">
        <x:v>1</x:v>
      </x:c>
    </x:row>
    <x:row r="435" ht="18" customHeight="1">
      <x:c r="A435" s="13" t="n">
        <x:v>43229</x:v>
      </x:c>
      <x:c r="B435" s="12" t="n">
        <x:v>3871.6152</x:v>
      </x:c>
      <x:c r="C435" s="12" t="n">
        <x:v>3878.6767</x:v>
      </x:c>
      <x:c r="D435" s="12" t="n">
        <x:v>-0.1821</x:v>
      </x:c>
      <x:c r="E435" s="12" t="n">
        <x:v>-0.00182225445058165</x:v>
      </x:c>
      <x:c r="F435" s="13" t="n">
        <x:v>43228</x:v>
      </x:c>
      <x:c r="G435" s="12" t="n">
        <x:v>3.46</x:v>
      </x:c>
      <x:c r="H435" s="12" t="n">
        <x:v>346</x:v>
      </x:c>
      <x:c r="I435" s="12" t="n">
        <x:v>0</x:v>
      </x:c>
      <x:c r="J435" s="12" t="n">
        <x:v>1</x:v>
      </x:c>
    </x:row>
    <x:row r="436" ht="18" customHeight="1">
      <x:c r="A436" s="13" t="n">
        <x:v>43230</x:v>
      </x:c>
      <x:c r="B436" s="12" t="n">
        <x:v>3893.0565</x:v>
      </x:c>
      <x:c r="C436" s="12" t="n">
        <x:v>3871.6152</x:v>
      </x:c>
      <x:c r="D436" s="12" t="n">
        <x:v>0.5538</x:v>
      </x:c>
      <x:c r="E436" s="12" t="n">
        <x:v>0.00552279744136965</x:v>
      </x:c>
      <x:c r="F436" s="13" t="n">
        <x:v>43229</x:v>
      </x:c>
      <x:c r="G436" s="12" t="n">
        <x:v>3.43</x:v>
      </x:c>
      <x:c r="H436" s="12" t="n">
        <x:v>343</x:v>
      </x:c>
      <x:c r="I436" s="12" t="n">
        <x:v>-3</x:v>
      </x:c>
      <x:c r="J436" s="12" t="n">
        <x:v>1</x:v>
      </x:c>
    </x:row>
    <x:row r="437" ht="18" customHeight="1">
      <x:c r="A437" s="13" t="n">
        <x:v>43231</x:v>
      </x:c>
      <x:c r="B437" s="12" t="n">
        <x:v>3872.8383</x:v>
      </x:c>
      <x:c r="C437" s="12" t="n">
        <x:v>3893.0565</x:v>
      </x:c>
      <x:c r="D437" s="12" t="n">
        <x:v>-0.5193</x:v>
      </x:c>
      <x:c r="E437" s="12" t="n">
        <x:v>-0.005206932671784782</x:v>
      </x:c>
      <x:c r="F437" s="13" t="n">
        <x:v>43230</x:v>
      </x:c>
      <x:c r="G437" s="12" t="n">
        <x:v>3.41</x:v>
      </x:c>
      <x:c r="H437" s="12" t="n">
        <x:v>341</x:v>
      </x:c>
      <x:c r="I437" s="12" t="n">
        <x:v>-2</x:v>
      </x:c>
      <x:c r="J437" s="12" t="n">
        <x:v>1</x:v>
      </x:c>
    </x:row>
    <x:row r="438" ht="18" customHeight="1">
      <x:c r="A438" s="13" t="n">
        <x:v>43234</x:v>
      </x:c>
      <x:c r="B438" s="12" t="n">
        <x:v>3909.2933</x:v>
      </x:c>
      <x:c r="C438" s="12" t="n">
        <x:v>3872.8383</x:v>
      </x:c>
      <x:c r="D438" s="12" t="n">
        <x:v>0.9413</x:v>
      </x:c>
      <x:c r="E438" s="12" t="n">
        <x:v>0.009368966893457287</x:v>
      </x:c>
      <x:c r="F438" s="13" t="n">
        <x:v>43231</x:v>
      </x:c>
      <x:c r="G438" s="12" t="n">
        <x:v>3.4</x:v>
      </x:c>
      <x:c r="H438" s="12" t="n">
        <x:v>340</x:v>
      </x:c>
      <x:c r="I438" s="12" t="n">
        <x:v>-1</x:v>
      </x:c>
      <x:c r="J438" s="12" t="n">
        <x:v>3</x:v>
      </x:c>
    </x:row>
    <x:row r="439" ht="18" customHeight="1">
      <x:c r="A439" s="13" t="n">
        <x:v>43235</x:v>
      </x:c>
      <x:c r="B439" s="12" t="n">
        <x:v>3924.0975</x:v>
      </x:c>
      <x:c r="C439" s="12" t="n">
        <x:v>3909.2933</x:v>
      </x:c>
      <x:c r="D439" s="12" t="n">
        <x:v>0.3787</x:v>
      </x:c>
      <x:c r="E439" s="12" t="n">
        <x:v>0.0037797725156862973</x:v>
      </x:c>
      <x:c r="F439" s="13" t="n">
        <x:v>43234</x:v>
      </x:c>
      <x:c r="G439" s="12" t="n">
        <x:v>3.37</x:v>
      </x:c>
      <x:c r="H439" s="12" t="n">
        <x:v>337</x:v>
      </x:c>
      <x:c r="I439" s="12" t="n">
        <x:v>-3</x:v>
      </x:c>
      <x:c r="J439" s="12" t="n">
        <x:v>1</x:v>
      </x:c>
    </x:row>
    <x:row r="440" ht="18" customHeight="1">
      <x:c r="A440" s="13" t="n">
        <x:v>43236</x:v>
      </x:c>
      <x:c r="B440" s="12" t="n">
        <x:v>3892.8442</x:v>
      </x:c>
      <x:c r="C440" s="12" t="n">
        <x:v>3924.0975</x:v>
      </x:c>
      <x:c r="D440" s="12" t="n">
        <x:v>-0.7964</x:v>
      </x:c>
      <x:c r="E440" s="12" t="n">
        <x:v>-0.007996341211463335</x:v>
      </x:c>
      <x:c r="F440" s="13" t="n">
        <x:v>43235</x:v>
      </x:c>
      <x:c r="G440" s="12" t="n">
        <x:v>3.36</x:v>
      </x:c>
      <x:c r="H440" s="12" t="n">
        <x:v>336</x:v>
      </x:c>
      <x:c r="I440" s="12" t="n">
        <x:v>-1</x:v>
      </x:c>
      <x:c r="J440" s="12" t="n">
        <x:v>1</x:v>
      </x:c>
    </x:row>
    <x:row r="441" ht="18" customHeight="1">
      <x:c r="A441" s="13" t="n">
        <x:v>43237</x:v>
      </x:c>
      <x:c r="B441" s="12" t="n">
        <x:v>3864.0507</x:v>
      </x:c>
      <x:c r="C441" s="12" t="n">
        <x:v>3892.8442</x:v>
      </x:c>
      <x:c r="D441" s="12" t="n">
        <x:v>-0.7397</x:v>
      </x:c>
      <x:c r="E441" s="12" t="n">
        <x:v>-0.007424009895567731</x:v>
      </x:c>
      <x:c r="F441" s="13" t="n">
        <x:v>43236</x:v>
      </x:c>
      <x:c r="G441" s="12" t="n">
        <x:v>3.37</x:v>
      </x:c>
      <x:c r="H441" s="12" t="n">
        <x:v>337</x:v>
      </x:c>
      <x:c r="I441" s="12" t="n">
        <x:v>1</x:v>
      </x:c>
      <x:c r="J441" s="12" t="n">
        <x:v>1</x:v>
      </x:c>
    </x:row>
    <x:row r="442" ht="18" customHeight="1">
      <x:c r="A442" s="13" t="n">
        <x:v>43238</x:v>
      </x:c>
      <x:c r="B442" s="12" t="n">
        <x:v>3903.0637</x:v>
      </x:c>
      <x:c r="C442" s="12" t="n">
        <x:v>3864.0507</x:v>
      </x:c>
      <x:c r="D442" s="12" t="n">
        <x:v>1.0096</x:v>
      </x:c>
      <x:c r="E442" s="12" t="n">
        <x:v>0.010045771461980648</x:v>
      </x:c>
      <x:c r="F442" s="13" t="n">
        <x:v>43237</x:v>
      </x:c>
      <x:c r="G442" s="12" t="n">
        <x:v>3.36</x:v>
      </x:c>
      <x:c r="H442" s="12" t="n">
        <x:v>336</x:v>
      </x:c>
      <x:c r="I442" s="12" t="n">
        <x:v>-1</x:v>
      </x:c>
      <x:c r="J442" s="12" t="n">
        <x:v>1</x:v>
      </x:c>
    </x:row>
    <x:row r="443" ht="18" customHeight="1">
      <x:c r="A443" s="13" t="n">
        <x:v>43241</x:v>
      </x:c>
      <x:c r="B443" s="12" t="n">
        <x:v>3921.2421</x:v>
      </x:c>
      <x:c r="C443" s="12" t="n">
        <x:v>3903.0637</x:v>
      </x:c>
      <x:c r="D443" s="12" t="n">
        <x:v>0.4657</x:v>
      </x:c>
      <x:c r="E443" s="12" t="n">
        <x:v>0.004646657012846476</x:v>
      </x:c>
      <x:c r="F443" s="13" t="n">
        <x:v>43238</x:v>
      </x:c>
      <x:c r="G443" s="12" t="n">
        <x:v>3.41</x:v>
      </x:c>
      <x:c r="H443" s="12" t="n">
        <x:v>341</x:v>
      </x:c>
      <x:c r="I443" s="12" t="n">
        <x:v>5</x:v>
      </x:c>
      <x:c r="J443" s="12" t="n">
        <x:v>3</x:v>
      </x:c>
    </x:row>
    <x:row r="444" ht="18" customHeight="1">
      <x:c r="A444" s="13" t="n">
        <x:v>43242</x:v>
      </x:c>
      <x:c r="B444" s="12" t="n">
        <x:v>3906.2081</x:v>
      </x:c>
      <x:c r="C444" s="12" t="n">
        <x:v>3921.2421</x:v>
      </x:c>
      <x:c r="D444" s="12" t="n">
        <x:v>-0.3834</x:v>
      </x:c>
      <x:c r="E444" s="12" t="n">
        <x:v>-0.0038413578119837126</x:v>
      </x:c>
      <x:c r="F444" s="13" t="n">
        <x:v>43241</x:v>
      </x:c>
      <x:c r="G444" s="12" t="n">
        <x:v>3.4</x:v>
      </x:c>
      <x:c r="H444" s="12" t="n">
        <x:v>340</x:v>
      </x:c>
      <x:c r="I444" s="12" t="n">
        <x:v>-1</x:v>
      </x:c>
      <x:c r="J444" s="12" t="n">
        <x:v>1</x:v>
      </x:c>
    </x:row>
    <x:row r="445" ht="18" customHeight="1">
      <x:c r="A445" s="13" t="n">
        <x:v>43243</x:v>
      </x:c>
      <x:c r="B445" s="12" t="n">
        <x:v>3854.5825</x:v>
      </x:c>
      <x:c r="C445" s="12" t="n">
        <x:v>3906.2081</x:v>
      </x:c>
      <x:c r="D445" s="12" t="n">
        <x:v>-1.3216</x:v>
      </x:c>
      <x:c r="E445" s="12" t="n">
        <x:v>-0.013304407802632041</x:v>
      </x:c>
      <x:c r="F445" s="13" t="n">
        <x:v>43242</x:v>
      </x:c>
      <x:c r="G445" s="12" t="n">
        <x:v>3.39</x:v>
      </x:c>
      <x:c r="H445" s="12" t="n">
        <x:v>339</x:v>
      </x:c>
      <x:c r="I445" s="12" t="n">
        <x:v>-1</x:v>
      </x:c>
      <x:c r="J445" s="12" t="n">
        <x:v>1</x:v>
      </x:c>
    </x:row>
    <x:row r="446" ht="18" customHeight="1">
      <x:c r="A446" s="13" t="n">
        <x:v>43244</x:v>
      </x:c>
      <x:c r="B446" s="12" t="n">
        <x:v>3827.217</x:v>
      </x:c>
      <x:c r="C446" s="12" t="n">
        <x:v>3854.5825</x:v>
      </x:c>
      <x:c r="D446" s="12" t="n">
        <x:v>-0.7099</x:v>
      </x:c>
      <x:c r="E446" s="12" t="n">
        <x:v>-0.007124793028526381</x:v>
      </x:c>
      <x:c r="F446" s="13" t="n">
        <x:v>43243</x:v>
      </x:c>
      <x:c r="G446" s="12" t="n">
        <x:v>3.48</x:v>
      </x:c>
      <x:c r="H446" s="12" t="n">
        <x:v>348</x:v>
      </x:c>
      <x:c r="I446" s="12" t="n">
        <x:v>9</x:v>
      </x:c>
      <x:c r="J446" s="12" t="n">
        <x:v>1</x:v>
      </x:c>
    </x:row>
    <x:row r="447" ht="18" customHeight="1">
      <x:c r="A447" s="13" t="n">
        <x:v>43245</x:v>
      </x:c>
      <x:c r="B447" s="12" t="n">
        <x:v>3816.498</x:v>
      </x:c>
      <x:c r="C447" s="12" t="n">
        <x:v>3827.217</x:v>
      </x:c>
      <x:c r="D447" s="12" t="n">
        <x:v>-0.2801</x:v>
      </x:c>
      <x:c r="E447" s="12" t="n">
        <x:v>-0.0028046589979882457</x:v>
      </x:c>
      <x:c r="F447" s="13" t="n">
        <x:v>43244</x:v>
      </x:c>
      <x:c r="G447" s="12" t="n">
        <x:v>3.49</x:v>
      </x:c>
      <x:c r="H447" s="12" t="n">
        <x:v>349</x:v>
      </x:c>
      <x:c r="I447" s="12" t="n">
        <x:v>1</x:v>
      </x:c>
      <x:c r="J447" s="12" t="n">
        <x:v>1</x:v>
      </x:c>
    </x:row>
    <x:row r="448" ht="18" customHeight="1">
      <x:c r="A448" s="13" t="n">
        <x:v>43248</x:v>
      </x:c>
      <x:c r="B448" s="12" t="n">
        <x:v>3833.2599</x:v>
      </x:c>
      <x:c r="C448" s="12" t="n">
        <x:v>3816.498</x:v>
      </x:c>
      <x:c r="D448" s="12" t="n">
        <x:v>0.4392</x:v>
      </x:c>
      <x:c r="E448" s="12" t="n">
        <x:v>0.004382341779967459</x:v>
      </x:c>
      <x:c r="F448" s="13" t="n">
        <x:v>43245</x:v>
      </x:c>
      <x:c r="G448" s="12" t="n">
        <x:v>3.53</x:v>
      </x:c>
      <x:c r="H448" s="12" t="n">
        <x:v>353</x:v>
      </x:c>
      <x:c r="I448" s="12" t="n">
        <x:v>4</x:v>
      </x:c>
      <x:c r="J448" s="12" t="n">
        <x:v>3</x:v>
      </x:c>
    </x:row>
    <x:row r="449" ht="18" customHeight="1">
      <x:c r="A449" s="13" t="n">
        <x:v>43249</x:v>
      </x:c>
      <x:c r="B449" s="12" t="n">
        <x:v>3804.0093</x:v>
      </x:c>
      <x:c r="C449" s="12" t="n">
        <x:v>3833.2599</x:v>
      </x:c>
      <x:c r="D449" s="12" t="n">
        <x:v>-0.7631</x:v>
      </x:c>
      <x:c r="E449" s="12" t="n">
        <x:v>-0.007660000520758945</x:v>
      </x:c>
      <x:c r="F449" s="13" t="n">
        <x:v>43248</x:v>
      </x:c>
      <x:c r="G449" s="12" t="n">
        <x:v>3.53</x:v>
      </x:c>
      <x:c r="H449" s="12" t="n">
        <x:v>353</x:v>
      </x:c>
      <x:c r="I449" s="12" t="n">
        <x:v>0</x:v>
      </x:c>
      <x:c r="J449" s="12" t="n">
        <x:v>1</x:v>
      </x:c>
    </x:row>
    <x:row r="450" ht="18" customHeight="1">
      <x:c r="A450" s="13" t="n">
        <x:v>43250</x:v>
      </x:c>
      <x:c r="B450" s="12" t="n">
        <x:v>3723.3724</x:v>
      </x:c>
      <x:c r="C450" s="12" t="n">
        <x:v>3804.0093</x:v>
      </x:c>
      <x:c r="D450" s="12" t="n">
        <x:v>-2.1198</x:v>
      </x:c>
      <x:c r="E450" s="12" t="n">
        <x:v>-0.02142577272682183</x:v>
      </x:c>
      <x:c r="F450" s="13" t="n">
        <x:v>43249</x:v>
      </x:c>
      <x:c r="G450" s="12" t="n">
        <x:v>3.75</x:v>
      </x:c>
      <x:c r="H450" s="12" t="n">
        <x:v>375</x:v>
      </x:c>
      <x:c r="I450" s="12" t="n">
        <x:v>22</x:v>
      </x:c>
      <x:c r="J450" s="12" t="n">
        <x:v>1</x:v>
      </x:c>
    </x:row>
    <x:row r="451" ht="18" customHeight="1">
      <x:c r="A451" s="13" t="n">
        <x:v>43251</x:v>
      </x:c>
      <x:c r="B451" s="12" t="n">
        <x:v>3802.3759</x:v>
      </x:c>
      <x:c r="C451" s="12" t="n">
        <x:v>3723.3724</x:v>
      </x:c>
      <x:c r="D451" s="12" t="n">
        <x:v>2.1218</x:v>
      </x:c>
      <x:c r="E451" s="12" t="n">
        <x:v>0.02099629144703934</x:v>
      </x:c>
      <x:c r="F451" s="13" t="n">
        <x:v>43250</x:v>
      </x:c>
      <x:c r="G451" s="12" t="n">
        <x:v>3.64</x:v>
      </x:c>
      <x:c r="H451" s="12" t="n">
        <x:v>364</x:v>
      </x:c>
      <x:c r="I451" s="12" t="n">
        <x:v>-11</x:v>
      </x:c>
      <x:c r="J451" s="12" t="n">
        <x:v>1</x:v>
      </x:c>
    </x:row>
    <x:row r="452" ht="18" customHeight="1">
      <x:c r="A452" s="13" t="n">
        <x:v>43252</x:v>
      </x:c>
      <x:c r="B452" s="12" t="n">
        <x:v>3770.5891</x:v>
      </x:c>
      <x:c r="C452" s="12" t="n">
        <x:v>3802.3759</x:v>
      </x:c>
      <x:c r="D452" s="12" t="n">
        <x:v>-0.836</x:v>
      </x:c>
      <x:c r="E452" s="12" t="n">
        <x:v>-0.008394858995770414</x:v>
      </x:c>
      <x:c r="F452" s="13" t="n">
        <x:v>43251</x:v>
      </x:c>
      <x:c r="G452" s="12" t="n">
        <x:v>3.63</x:v>
      </x:c>
      <x:c r="H452" s="12" t="n">
        <x:v>363</x:v>
      </x:c>
      <x:c r="I452" s="12" t="n">
        <x:v>-1</x:v>
      </x:c>
      <x:c r="J452" s="12" t="n">
        <x:v>1</x:v>
      </x:c>
    </x:row>
    <x:row r="453" ht="18" customHeight="1">
      <x:c r="A453" s="13" t="n">
        <x:v>43255</x:v>
      </x:c>
      <x:c r="B453" s="12" t="n">
        <x:v>3807.5781</x:v>
      </x:c>
      <x:c r="C453" s="12" t="n">
        <x:v>3770.5891</x:v>
      </x:c>
      <x:c r="D453" s="12" t="n">
        <x:v>0.981</x:v>
      </x:c>
      <x:c r="E453" s="12" t="n">
        <x:v>0.009762068524331617</x:v>
      </x:c>
      <x:c r="F453" s="13" t="n">
        <x:v>43252</x:v>
      </x:c>
      <x:c r="G453" s="12" t="n">
        <x:v>3.55</x:v>
      </x:c>
      <x:c r="H453" s="12" t="n">
        <x:v>355</x:v>
      </x:c>
      <x:c r="I453" s="12" t="n">
        <x:v>-8</x:v>
      </x:c>
      <x:c r="J453" s="12" t="n">
        <x:v>3</x:v>
      </x:c>
    </x:row>
    <x:row r="454" ht="18" customHeight="1">
      <x:c r="A454" s="13" t="n">
        <x:v>43256</x:v>
      </x:c>
      <x:c r="B454" s="12" t="n">
        <x:v>3845.3164</x:v>
      </x:c>
      <x:c r="C454" s="12" t="n">
        <x:v>3807.5781</x:v>
      </x:c>
      <x:c r="D454" s="12" t="n">
        <x:v>0.9911</x:v>
      </x:c>
      <x:c r="E454" s="12" t="n">
        <x:v>0.009862570534798203</x:v>
      </x:c>
      <x:c r="F454" s="13" t="n">
        <x:v>43255</x:v>
      </x:c>
      <x:c r="G454" s="12" t="n">
        <x:v>3.49</x:v>
      </x:c>
      <x:c r="H454" s="12" t="n">
        <x:v>349</x:v>
      </x:c>
      <x:c r="I454" s="12" t="n">
        <x:v>-6</x:v>
      </x:c>
      <x:c r="J454" s="12" t="n">
        <x:v>1</x:v>
      </x:c>
    </x:row>
    <x:row r="455" ht="18" customHeight="1">
      <x:c r="A455" s="13" t="n">
        <x:v>43257</x:v>
      </x:c>
      <x:c r="B455" s="12" t="n">
        <x:v>3837.3511</x:v>
      </x:c>
      <x:c r="C455" s="12" t="n">
        <x:v>3845.3164</x:v>
      </x:c>
      <x:c r="D455" s="12" t="n">
        <x:v>-0.2071</x:v>
      </x:c>
      <x:c r="E455" s="12" t="n">
        <x:v>-0.002073577401091168</x:v>
      </x:c>
      <x:c r="F455" s="13" t="n">
        <x:v>43256</x:v>
      </x:c>
      <x:c r="G455" s="12" t="n">
        <x:v>3.5</x:v>
      </x:c>
      <x:c r="H455" s="12" t="n">
        <x:v>350</x:v>
      </x:c>
      <x:c r="I455" s="12" t="n">
        <x:v>1</x:v>
      </x:c>
      <x:c r="J455" s="12" t="n">
        <x:v>1</x:v>
      </x:c>
    </x:row>
    <x:row r="456" ht="18" customHeight="1">
      <x:c r="A456" s="13" t="n">
        <x:v>43258</x:v>
      </x:c>
      <x:c r="B456" s="12" t="n">
        <x:v>3831.0128</x:v>
      </x:c>
      <x:c r="C456" s="12" t="n">
        <x:v>3837.3511</x:v>
      </x:c>
      <x:c r="D456" s="12" t="n">
        <x:v>-0.1652</x:v>
      </x:c>
      <x:c r="E456" s="12" t="n">
        <x:v>-0.0016531039804767416</x:v>
      </x:c>
      <x:c r="F456" s="13" t="n">
        <x:v>43257</x:v>
      </x:c>
      <x:c r="G456" s="12" t="n">
        <x:v>3.44</x:v>
      </x:c>
      <x:c r="H456" s="12" t="n">
        <x:v>344</x:v>
      </x:c>
      <x:c r="I456" s="12" t="n">
        <x:v>-6</x:v>
      </x:c>
      <x:c r="J456" s="12" t="n">
        <x:v>1</x:v>
      </x:c>
    </x:row>
    <x:row r="457" ht="18" customHeight="1">
      <x:c r="A457" s="13" t="n">
        <x:v>43259</x:v>
      </x:c>
      <x:c r="B457" s="12" t="n">
        <x:v>3779.6159</x:v>
      </x:c>
      <x:c r="C457" s="12" t="n">
        <x:v>3831.0128</x:v>
      </x:c>
      <x:c r="D457" s="12" t="n">
        <x:v>-1.3416</x:v>
      </x:c>
      <x:c r="E457" s="12" t="n">
        <x:v>-0.013506816165262114</x:v>
      </x:c>
      <x:c r="F457" s="13" t="n">
        <x:v>43258</x:v>
      </x:c>
      <x:c r="G457" s="12" t="n">
        <x:v>3.44</x:v>
      </x:c>
      <x:c r="H457" s="12" t="n">
        <x:v>344</x:v>
      </x:c>
      <x:c r="I457" s="12" t="n">
        <x:v>0</x:v>
      </x:c>
      <x:c r="J457" s="12" t="n">
        <x:v>1</x:v>
      </x:c>
    </x:row>
    <x:row r="458" ht="18" customHeight="1">
      <x:c r="A458" s="13" t="n">
        <x:v>43262</x:v>
      </x:c>
      <x:c r="B458" s="12" t="n">
        <x:v>3779.9818</x:v>
      </x:c>
      <x:c r="C458" s="12" t="n">
        <x:v>3779.6159</x:v>
      </x:c>
      <x:c r="D458" s="12" t="n">
        <x:v>0.0097</x:v>
      </x:c>
      <x:c r="E458" s="12" t="n">
        <x:v>0.00009680409323518328</x:v>
      </x:c>
      <x:c r="F458" s="13" t="n">
        <x:v>43259</x:v>
      </x:c>
      <x:c r="G458" s="12" t="n">
        <x:v>3.45</x:v>
      </x:c>
      <x:c r="H458" s="12" t="n">
        <x:v>345</x:v>
      </x:c>
      <x:c r="I458" s="12" t="n">
        <x:v>1</x:v>
      </x:c>
      <x:c r="J458" s="12" t="n">
        <x:v>3</x:v>
      </x:c>
    </x:row>
    <x:row r="459" ht="18" customHeight="1">
      <x:c r="A459" s="13" t="n">
        <x:v>43263</x:v>
      </x:c>
      <x:c r="B459" s="12" t="n">
        <x:v>3825.9534</x:v>
      </x:c>
      <x:c r="C459" s="12" t="n">
        <x:v>3779.9818</x:v>
      </x:c>
      <x:c r="D459" s="12" t="n">
        <x:v>1.2162</x:v>
      </x:c>
      <x:c r="E459" s="12" t="n">
        <x:v>0.012088496316527605</x:v>
      </x:c>
      <x:c r="F459" s="13" t="n">
        <x:v>43262</x:v>
      </x:c>
      <x:c r="G459" s="12" t="n">
        <x:v>3.39</x:v>
      </x:c>
      <x:c r="H459" s="12" t="n">
        <x:v>339</x:v>
      </x:c>
      <x:c r="I459" s="12" t="n">
        <x:v>-6</x:v>
      </x:c>
      <x:c r="J459" s="12" t="n">
        <x:v>1</x:v>
      </x:c>
    </x:row>
    <x:row r="460" ht="18" customHeight="1">
      <x:c r="A460" s="13" t="n">
        <x:v>43264</x:v>
      </x:c>
      <x:c r="B460" s="12" t="n">
        <x:v>3788.3391</x:v>
      </x:c>
      <x:c r="C460" s="12" t="n">
        <x:v>3825.9534</x:v>
      </x:c>
      <x:c r="D460" s="12" t="n">
        <x:v>-0.9831</x:v>
      </x:c>
      <x:c r="E460" s="12" t="n">
        <x:v>-0.00988000026904556</x:v>
      </x:c>
      <x:c r="F460" s="13" t="n">
        <x:v>43263</x:v>
      </x:c>
      <x:c r="G460" s="12" t="n">
        <x:v>3.38</x:v>
      </x:c>
      <x:c r="H460" s="12" t="n">
        <x:v>338</x:v>
      </x:c>
      <x:c r="I460" s="12" t="n">
        <x:v>-1</x:v>
      </x:c>
      <x:c r="J460" s="12" t="n">
        <x:v>1</x:v>
      </x:c>
    </x:row>
    <x:row r="461" ht="18" customHeight="1">
      <x:c r="A461" s="13" t="n">
        <x:v>43265</x:v>
      </x:c>
      <x:c r="B461" s="12" t="n">
        <x:v>3773.3655</x:v>
      </x:c>
      <x:c r="C461" s="12" t="n">
        <x:v>3788.3391</x:v>
      </x:c>
      <x:c r="D461" s="12" t="n">
        <x:v>-0.3953</x:v>
      </x:c>
      <x:c r="E461" s="12" t="n">
        <x:v>-0.003960382046998095</x:v>
      </x:c>
      <x:c r="F461" s="13" t="n">
        <x:v>43264</x:v>
      </x:c>
      <x:c r="G461" s="12" t="n">
        <x:v>3.33</x:v>
      </x:c>
      <x:c r="H461" s="12" t="n">
        <x:v>333</x:v>
      </x:c>
      <x:c r="I461" s="12" t="n">
        <x:v>-5</x:v>
      </x:c>
      <x:c r="J461" s="12" t="n">
        <x:v>1</x:v>
      </x:c>
    </x:row>
    <x:row r="462" ht="18" customHeight="1">
      <x:c r="A462" s="13" t="n">
        <x:v>43266</x:v>
      </x:c>
      <x:c r="B462" s="12" t="n">
        <x:v>3753.4338</x:v>
      </x:c>
      <x:c r="C462" s="12" t="n">
        <x:v>3773.3655</x:v>
      </x:c>
      <x:c r="D462" s="12" t="n">
        <x:v>-0.5282</x:v>
      </x:c>
      <x:c r="E462" s="12" t="n">
        <x:v>-0.0052962078024381964</x:v>
      </x:c>
      <x:c r="F462" s="13" t="n">
        <x:v>43265</x:v>
      </x:c>
      <x:c r="G462" s="12" t="n">
        <x:v>3.31</x:v>
      </x:c>
      <x:c r="H462" s="12" t="n">
        <x:v>331</x:v>
      </x:c>
      <x:c r="I462" s="12" t="n">
        <x:v>-2</x:v>
      </x:c>
      <x:c r="J462" s="12" t="n">
        <x:v>1</x:v>
      </x:c>
    </x:row>
    <x:row r="463" ht="18" customHeight="1">
      <x:c r="A463" s="13" t="n">
        <x:v>43270</x:v>
      </x:c>
      <x:c r="B463" s="12" t="n">
        <x:v>3621.1166</x:v>
      </x:c>
      <x:c r="C463" s="12" t="n">
        <x:v>3753.4338</x:v>
      </x:c>
      <x:c r="D463" s="12" t="n">
        <x:v>-3.5252</x:v>
      </x:c>
      <x:c r="E463" s="12" t="n">
        <x:v>-0.035888669688640594</x:v>
      </x:c>
      <x:c r="F463" s="13" t="n">
        <x:v>43269</x:v>
      </x:c>
      <x:c r="G463" s="12" t="n">
        <x:v>3.34</x:v>
      </x:c>
      <x:c r="H463" s="12" t="n">
        <x:v>334</x:v>
      </x:c>
      <x:c r="I463" s="12" t="n">
        <x:v>1</x:v>
      </x:c>
      <x:c r="J463" s="12" t="n">
        <x:v>1</x:v>
      </x:c>
    </x:row>
    <x:row r="464" ht="18" customHeight="1">
      <x:c r="A464" s="13" t="n">
        <x:v>43271</x:v>
      </x:c>
      <x:c r="B464" s="12" t="n">
        <x:v>3635.4436</x:v>
      </x:c>
      <x:c r="C464" s="12" t="n">
        <x:v>3621.1166</x:v>
      </x:c>
      <x:c r="D464" s="12" t="n">
        <x:v>0.3957</x:v>
      </x:c>
      <x:c r="E464" s="12" t="n">
        <x:v>0.00394870798864066</x:v>
      </x:c>
      <x:c r="F464" s="13" t="n">
        <x:v>43270</x:v>
      </x:c>
      <x:c r="G464" s="12" t="n">
        <x:v>3.4</x:v>
      </x:c>
      <x:c r="H464" s="12" t="n">
        <x:v>340</x:v>
      </x:c>
      <x:c r="I464" s="12" t="n">
        <x:v>6</x:v>
      </x:c>
      <x:c r="J464" s="12" t="n">
        <x:v>1</x:v>
      </x:c>
    </x:row>
    <x:row r="465" ht="18" customHeight="1">
      <x:c r="A465" s="13" t="n">
        <x:v>43272</x:v>
      </x:c>
      <x:c r="B465" s="12" t="n">
        <x:v>3592.965</x:v>
      </x:c>
      <x:c r="C465" s="12" t="n">
        <x:v>3635.4436</x:v>
      </x:c>
      <x:c r="D465" s="12" t="n">
        <x:v>-1.1685</x:v>
      </x:c>
      <x:c r="E465" s="12" t="n">
        <x:v>-0.011753372382572898</x:v>
      </x:c>
      <x:c r="F465" s="13" t="n">
        <x:v>43271</x:v>
      </x:c>
      <x:c r="G465" s="12" t="n">
        <x:v>3.34</x:v>
      </x:c>
      <x:c r="H465" s="12" t="n">
        <x:v>334</x:v>
      </x:c>
      <x:c r="I465" s="12" t="n">
        <x:v>-6</x:v>
      </x:c>
      <x:c r="J465" s="12" t="n">
        <x:v>1</x:v>
      </x:c>
    </x:row>
    <x:row r="466" ht="18" customHeight="1">
      <x:c r="A466" s="13" t="n">
        <x:v>43273</x:v>
      </x:c>
      <x:c r="B466" s="12" t="n">
        <x:v>3608.9046</x:v>
      </x:c>
      <x:c r="C466" s="12" t="n">
        <x:v>3592.965</x:v>
      </x:c>
      <x:c r="D466" s="12" t="n">
        <x:v>0.4436</x:v>
      </x:c>
      <x:c r="E466" s="12" t="n">
        <x:v>0.00442652447549438</x:v>
      </x:c>
      <x:c r="F466" s="13" t="n">
        <x:v>43272</x:v>
      </x:c>
      <x:c r="G466" s="12" t="n">
        <x:v>3.39</x:v>
      </x:c>
      <x:c r="H466" s="12" t="n">
        <x:v>339</x:v>
      </x:c>
      <x:c r="I466" s="12" t="n">
        <x:v>5</x:v>
      </x:c>
      <x:c r="J466" s="12" t="n">
        <x:v>1</x:v>
      </x:c>
    </x:row>
    <x:row r="467" ht="18" customHeight="1">
      <x:c r="A467" s="13" t="n">
        <x:v>43276</x:v>
      </x:c>
      <x:c r="B467" s="12" t="n">
        <x:v>3560.4777</x:v>
      </x:c>
      <x:c r="C467" s="12" t="n">
        <x:v>3608.9046</x:v>
      </x:c>
      <x:c r="D467" s="12" t="n">
        <x:v>-1.3419</x:v>
      </x:c>
      <x:c r="E467" s="12" t="n">
        <x:v>-0.01350957014091455</x:v>
      </x:c>
      <x:c r="F467" s="13" t="n">
        <x:v>43273</x:v>
      </x:c>
      <x:c r="G467" s="12" t="n">
        <x:v>3.39</x:v>
      </x:c>
      <x:c r="H467" s="12" t="n">
        <x:v>339</x:v>
      </x:c>
      <x:c r="I467" s="12" t="n">
        <x:v>0</x:v>
      </x:c>
      <x:c r="J467" s="12" t="n">
        <x:v>3</x:v>
      </x:c>
    </x:row>
    <x:row r="468" ht="18" customHeight="1">
      <x:c r="A468" s="13" t="n">
        <x:v>43277</x:v>
      </x:c>
      <x:c r="B468" s="12" t="n">
        <x:v>3531.1112</x:v>
      </x:c>
      <x:c r="C468" s="12" t="n">
        <x:v>3560.4777</x:v>
      </x:c>
      <x:c r="D468" s="12" t="n">
        <x:v>-0.8248</x:v>
      </x:c>
      <x:c r="E468" s="12" t="n">
        <x:v>-0.008282112309727857</x:v>
      </x:c>
      <x:c r="F468" s="13" t="n">
        <x:v>43276</x:v>
      </x:c>
      <x:c r="G468" s="12" t="n">
        <x:v>3.47</x:v>
      </x:c>
      <x:c r="H468" s="12" t="n">
        <x:v>347</x:v>
      </x:c>
      <x:c r="I468" s="12" t="n">
        <x:v>8</x:v>
      </x:c>
      <x:c r="J468" s="12" t="n">
        <x:v>1</x:v>
      </x:c>
    </x:row>
    <x:row r="469" ht="18" customHeight="1">
      <x:c r="A469" s="13" t="n">
        <x:v>43278</x:v>
      </x:c>
      <x:c r="B469" s="12" t="n">
        <x:v>3459.2621</x:v>
      </x:c>
      <x:c r="C469" s="12" t="n">
        <x:v>3531.1112</x:v>
      </x:c>
      <x:c r="D469" s="12" t="n">
        <x:v>-2.0347</x:v>
      </x:c>
      <x:c r="E469" s="12" t="n">
        <x:v>-0.02055730851614087</x:v>
      </x:c>
      <x:c r="F469" s="13" t="n">
        <x:v>43277</x:v>
      </x:c>
      <x:c r="G469" s="12" t="n">
        <x:v>3.48</x:v>
      </x:c>
      <x:c r="H469" s="12" t="n">
        <x:v>348</x:v>
      </x:c>
      <x:c r="I469" s="12" t="n">
        <x:v>1</x:v>
      </x:c>
      <x:c r="J469" s="12" t="n">
        <x:v>1</x:v>
      </x:c>
    </x:row>
    <x:row r="470" ht="18" customHeight="1">
      <x:c r="A470" s="13" t="n">
        <x:v>43279</x:v>
      </x:c>
      <x:c r="B470" s="12" t="n">
        <x:v>3423.5255</x:v>
      </x:c>
      <x:c r="C470" s="12" t="n">
        <x:v>3459.2621</x:v>
      </x:c>
      <x:c r="D470" s="12" t="n">
        <x:v>-1.0331</x:v>
      </x:c>
      <x:c r="E470" s="12" t="n">
        <x:v>-0.0103844323604346</x:v>
      </x:c>
      <x:c r="F470" s="13" t="n">
        <x:v>43278</x:v>
      </x:c>
      <x:c r="G470" s="12" t="n">
        <x:v>3.56</x:v>
      </x:c>
      <x:c r="H470" s="12" t="n">
        <x:v>356</x:v>
      </x:c>
      <x:c r="I470" s="12" t="n">
        <x:v>8</x:v>
      </x:c>
      <x:c r="J470" s="12" t="n">
        <x:v>1</x:v>
      </x:c>
    </x:row>
    <x:row r="471" ht="18" customHeight="1">
      <x:c r="A471" s="13" t="n">
        <x:v>43280</x:v>
      </x:c>
      <x:c r="B471" s="12" t="n">
        <x:v>3510.9845</x:v>
      </x:c>
      <x:c r="C471" s="12" t="n">
        <x:v>3423.5255</x:v>
      </x:c>
      <x:c r="D471" s="12" t="n">
        <x:v>2.5546</x:v>
      </x:c>
      <x:c r="E471" s="12" t="n">
        <x:v>0.025225614411043255</x:v>
      </x:c>
      <x:c r="F471" s="13" t="n">
        <x:v>43279</x:v>
      </x:c>
      <x:c r="G471" s="12" t="n">
        <x:v>3.64</x:v>
      </x:c>
      <x:c r="H471" s="12" t="n">
        <x:v>364</x:v>
      </x:c>
      <x:c r="I471" s="12" t="n">
        <x:v>8</x:v>
      </x:c>
      <x:c r="J471" s="12" t="n">
        <x:v>1</x:v>
      </x:c>
    </x:row>
    <x:row r="472" ht="18" customHeight="1">
      <x:c r="A472" s="13" t="n">
        <x:v>43283</x:v>
      </x:c>
      <x:c r="B472" s="12" t="n">
        <x:v>3407.9638</x:v>
      </x:c>
      <x:c r="C472" s="12" t="n">
        <x:v>3510.9845</x:v>
      </x:c>
      <x:c r="D472" s="12" t="n">
        <x:v>-2.9342</x:v>
      </x:c>
      <x:c r="E472" s="12" t="n">
        <x:v>-0.029781495634955715</x:v>
      </x:c>
      <x:c r="F472" s="13" t="n">
        <x:v>43281</x:v>
      </x:c>
      <x:c r="G472" s="12" t="n">
        <x:v>3.71</x:v>
      </x:c>
      <x:c r="H472" s="12" t="n">
        <x:v>371</x:v>
      </x:c>
      <x:c r="I472" s="12" t="n">
        <x:v>10</x:v>
      </x:c>
      <x:c r="J472" s="12" t="n">
        <x:v>2</x:v>
      </x:c>
    </x:row>
    <x:row r="473" ht="18" customHeight="1">
      <x:c r="A473" s="13" t="n">
        <x:v>43284</x:v>
      </x:c>
      <x:c r="B473" s="12" t="n">
        <x:v>3409.2801</x:v>
      </x:c>
      <x:c r="C473" s="12" t="n">
        <x:v>3407.9638</x:v>
      </x:c>
      <x:c r="D473" s="12" t="n">
        <x:v>0.0386</x:v>
      </x:c>
      <x:c r="E473" s="12" t="n">
        <x:v>0.0003861677932213714</x:v>
      </x:c>
      <x:c r="F473" s="13" t="n">
        <x:v>43283</x:v>
      </x:c>
      <x:c r="G473" s="12" t="n">
        <x:v>3.78</x:v>
      </x:c>
      <x:c r="H473" s="12" t="n">
        <x:v>378</x:v>
      </x:c>
      <x:c r="I473" s="12" t="n">
        <x:v>7</x:v>
      </x:c>
      <x:c r="J473" s="12" t="n">
        <x:v>1</x:v>
      </x:c>
    </x:row>
    <x:row r="474" ht="18" customHeight="1">
      <x:c r="A474" s="13" t="n">
        <x:v>43285</x:v>
      </x:c>
      <x:c r="B474" s="12" t="n">
        <x:v>3363.7473</x:v>
      </x:c>
      <x:c r="C474" s="12" t="n">
        <x:v>3409.2801</x:v>
      </x:c>
      <x:c r="D474" s="12" t="n">
        <x:v>-1.3356</x:v>
      </x:c>
      <x:c r="E474" s="12" t="n">
        <x:v>-0.013445534255077423</x:v>
      </x:c>
      <x:c r="F474" s="13" t="n">
        <x:v>43284</x:v>
      </x:c>
      <x:c r="G474" s="12" t="n">
        <x:v>3.77</x:v>
      </x:c>
      <x:c r="H474" s="12" t="n">
        <x:v>377</x:v>
      </x:c>
      <x:c r="I474" s="12" t="n">
        <x:v>-1</x:v>
      </x:c>
      <x:c r="J474" s="12" t="n">
        <x:v>1</x:v>
      </x:c>
    </x:row>
    <x:row r="475" ht="18" customHeight="1">
      <x:c r="A475" s="13" t="n">
        <x:v>43286</x:v>
      </x:c>
      <x:c r="B475" s="12" t="n">
        <x:v>3342.4379</x:v>
      </x:c>
      <x:c r="C475" s="12" t="n">
        <x:v>3363.7473</x:v>
      </x:c>
      <x:c r="D475" s="12" t="n">
        <x:v>-0.6335</x:v>
      </x:c>
      <x:c r="E475" s="12" t="n">
        <x:v>-0.0063551694697030125</x:v>
      </x:c>
      <x:c r="F475" s="13" t="n">
        <x:v>43285</x:v>
      </x:c>
      <x:c r="G475" s="12" t="n">
        <x:v>3.77</x:v>
      </x:c>
      <x:c r="H475" s="12" t="n">
        <x:v>377</x:v>
      </x:c>
      <x:c r="I475" s="12" t="n">
        <x:v>0</x:v>
      </x:c>
      <x:c r="J475" s="12" t="n">
        <x:v>1</x:v>
      </x:c>
    </x:row>
    <x:row r="476" ht="18" customHeight="1">
      <x:c r="A476" s="13" t="n">
        <x:v>43287</x:v>
      </x:c>
      <x:c r="B476" s="12" t="n">
        <x:v>3365.1227</x:v>
      </x:c>
      <x:c r="C476" s="12" t="n">
        <x:v>3342.4379</x:v>
      </x:c>
      <x:c r="D476" s="12" t="n">
        <x:v>0.6787</x:v>
      </x:c>
      <x:c r="E476" s="12" t="n">
        <x:v>0.006763975114381641</x:v>
      </x:c>
      <x:c r="F476" s="13" t="n">
        <x:v>43286</x:v>
      </x:c>
      <x:c r="G476" s="12" t="n">
        <x:v>3.74</x:v>
      </x:c>
      <x:c r="H476" s="12" t="n">
        <x:v>374</x:v>
      </x:c>
      <x:c r="I476" s="12" t="n">
        <x:v>-3</x:v>
      </x:c>
      <x:c r="J476" s="12" t="n">
        <x:v>1</x:v>
      </x:c>
    </x:row>
    <x:row r="477" ht="18" customHeight="1">
      <x:c r="A477" s="13" t="n">
        <x:v>43290</x:v>
      </x:c>
      <x:c r="B477" s="12" t="n">
        <x:v>3459.1837</x:v>
      </x:c>
      <x:c r="C477" s="12" t="n">
        <x:v>3365.1227</x:v>
      </x:c>
      <x:c r="D477" s="12" t="n">
        <x:v>2.7952</x:v>
      </x:c>
      <x:c r="E477" s="12" t="n">
        <x:v>0.027568210351744886</x:v>
      </x:c>
      <x:c r="F477" s="13" t="n">
        <x:v>43287</x:v>
      </x:c>
      <x:c r="G477" s="12" t="n">
        <x:v>3.74</x:v>
      </x:c>
      <x:c r="H477" s="12" t="n">
        <x:v>374</x:v>
      </x:c>
      <x:c r="I477" s="12" t="n">
        <x:v>0</x:v>
      </x:c>
      <x:c r="J477" s="12" t="n">
        <x:v>3</x:v>
      </x:c>
    </x:row>
    <x:row r="478" ht="18" customHeight="1">
      <x:c r="A478" s="13" t="n">
        <x:v>43291</x:v>
      </x:c>
      <x:c r="B478" s="12" t="n">
        <x:v>3467.5155</x:v>
      </x:c>
      <x:c r="C478" s="12" t="n">
        <x:v>3459.1837</x:v>
      </x:c>
      <x:c r="D478" s="12" t="n">
        <x:v>0.2409</x:v>
      </x:c>
      <x:c r="E478" s="12" t="n">
        <x:v>0.002405706896671865</x:v>
      </x:c>
      <x:c r="F478" s="13" t="n">
        <x:v>43290</x:v>
      </x:c>
      <x:c r="G478" s="12" t="n">
        <x:v>3.65</x:v>
      </x:c>
      <x:c r="H478" s="12" t="n">
        <x:v>365</x:v>
      </x:c>
      <x:c r="I478" s="12" t="n">
        <x:v>-9</x:v>
      </x:c>
      <x:c r="J478" s="12" t="n">
        <x:v>1</x:v>
      </x:c>
    </x:row>
    <x:row r="479" ht="18" customHeight="1">
      <x:c r="A479" s="13" t="n">
        <x:v>43292</x:v>
      </x:c>
      <x:c r="B479" s="12" t="n">
        <x:v>3407.5297</x:v>
      </x:c>
      <x:c r="C479" s="12" t="n">
        <x:v>3467.5155</x:v>
      </x:c>
      <x:c r="D479" s="12" t="n">
        <x:v>-1.7299</x:v>
      </x:c>
      <x:c r="E479" s="12" t="n">
        <x:v>-0.017450742658102533</x:v>
      </x:c>
      <x:c r="F479" s="13" t="n">
        <x:v>43291</x:v>
      </x:c>
      <x:c r="G479" s="12" t="n">
        <x:v>3.59</x:v>
      </x:c>
      <x:c r="H479" s="12" t="n">
        <x:v>359</x:v>
      </x:c>
      <x:c r="I479" s="12" t="n">
        <x:v>-6</x:v>
      </x:c>
      <x:c r="J479" s="12" t="n">
        <x:v>1</x:v>
      </x:c>
    </x:row>
    <x:row r="480" ht="18" customHeight="1">
      <x:c r="A480" s="13" t="n">
        <x:v>43293</x:v>
      </x:c>
      <x:c r="B480" s="12" t="n">
        <x:v>3481.0559</x:v>
      </x:c>
      <x:c r="C480" s="12" t="n">
        <x:v>3407.5297</x:v>
      </x:c>
      <x:c r="D480" s="12" t="n">
        <x:v>2.1578</x:v>
      </x:c>
      <x:c r="E480" s="12" t="n">
        <x:v>0.021348066686149133</x:v>
      </x:c>
      <x:c r="F480" s="13" t="n">
        <x:v>43292</x:v>
      </x:c>
      <x:c r="G480" s="12" t="n">
        <x:v>3.66</x:v>
      </x:c>
      <x:c r="H480" s="12" t="n">
        <x:v>366</x:v>
      </x:c>
      <x:c r="I480" s="12" t="n">
        <x:v>7</x:v>
      </x:c>
      <x:c r="J480" s="12" t="n">
        <x:v>1</x:v>
      </x:c>
    </x:row>
    <x:row r="481" ht="18" customHeight="1">
      <x:c r="A481" s="13" t="n">
        <x:v>43294</x:v>
      </x:c>
      <x:c r="B481" s="12" t="n">
        <x:v>3492.6897</x:v>
      </x:c>
      <x:c r="C481" s="12" t="n">
        <x:v>3481.0559</x:v>
      </x:c>
      <x:c r="D481" s="12" t="n">
        <x:v>0.3342</x:v>
      </x:c>
      <x:c r="E481" s="12" t="n">
        <x:v>0.0033364597619537804</x:v>
      </x:c>
      <x:c r="F481" s="13" t="n">
        <x:v>43293</x:v>
      </x:c>
      <x:c r="G481" s="12" t="n">
        <x:v>3.61</x:v>
      </x:c>
      <x:c r="H481" s="12" t="n">
        <x:v>361</x:v>
      </x:c>
      <x:c r="I481" s="12" t="n">
        <x:v>-5</x:v>
      </x:c>
      <x:c r="J481" s="12" t="n">
        <x:v>1</x:v>
      </x:c>
    </x:row>
    <x:row r="482" ht="18" customHeight="1">
      <x:c r="A482" s="13" t="n">
        <x:v>43297</x:v>
      </x:c>
      <x:c r="B482" s="12" t="n">
        <x:v>3472.0859</x:v>
      </x:c>
      <x:c r="C482" s="12" t="n">
        <x:v>3492.6897</x:v>
      </x:c>
      <x:c r="D482" s="12" t="n">
        <x:v>-0.5899</x:v>
      </x:c>
      <x:c r="E482" s="12" t="n">
        <x:v>-0.005916589790701419</x:v>
      </x:c>
      <x:c r="F482" s="13" t="n">
        <x:v>43294</x:v>
      </x:c>
      <x:c r="G482" s="12" t="n">
        <x:v>3.62</x:v>
      </x:c>
      <x:c r="H482" s="12" t="n">
        <x:v>362</x:v>
      </x:c>
      <x:c r="I482" s="12" t="n">
        <x:v>1</x:v>
      </x:c>
      <x:c r="J482" s="12" t="n">
        <x:v>3</x:v>
      </x:c>
    </x:row>
    <x:row r="483" ht="18" customHeight="1">
      <x:c r="A483" s="13" t="n">
        <x:v>43298</x:v>
      </x:c>
      <x:c r="B483" s="12" t="n">
        <x:v>3449.3773</x:v>
      </x:c>
      <x:c r="C483" s="12" t="n">
        <x:v>3472.0859</x:v>
      </x:c>
      <x:c r="D483" s="12" t="n">
        <x:v>-0.654</x:v>
      </x:c>
      <x:c r="E483" s="12" t="n">
        <x:v>-0.0065618152765978205</x:v>
      </x:c>
      <x:c r="F483" s="13" t="n">
        <x:v>43297</x:v>
      </x:c>
      <x:c r="G483" s="12" t="n">
        <x:v>3.59</x:v>
      </x:c>
      <x:c r="H483" s="12" t="n">
        <x:v>359</x:v>
      </x:c>
      <x:c r="I483" s="12" t="n">
        <x:v>-3</x:v>
      </x:c>
      <x:c r="J483" s="12" t="n">
        <x:v>1</x:v>
      </x:c>
    </x:row>
    <x:row r="484" ht="18" customHeight="1">
      <x:c r="A484" s="13" t="n">
        <x:v>43299</x:v>
      </x:c>
      <x:c r="B484" s="12" t="n">
        <x:v>3431.3227</x:v>
      </x:c>
      <x:c r="C484" s="12" t="n">
        <x:v>3449.3773</x:v>
      </x:c>
      <x:c r="D484" s="12" t="n">
        <x:v>-0.5234</x:v>
      </x:c>
      <x:c r="E484" s="12" t="n">
        <x:v>-0.005247908333775128</x:v>
      </x:c>
      <x:c r="F484" s="13" t="n">
        <x:v>43298</x:v>
      </x:c>
      <x:c r="G484" s="12" t="n">
        <x:v>3.58</x:v>
      </x:c>
      <x:c r="H484" s="12" t="n">
        <x:v>358</x:v>
      </x:c>
      <x:c r="I484" s="12" t="n">
        <x:v>-1</x:v>
      </x:c>
      <x:c r="J484" s="12" t="n">
        <x:v>1</x:v>
      </x:c>
    </x:row>
    <x:row r="485" ht="18" customHeight="1">
      <x:c r="A485" s="13" t="n">
        <x:v>43300</x:v>
      </x:c>
      <x:c r="B485" s="12" t="n">
        <x:v>3428.343</x:v>
      </x:c>
      <x:c r="C485" s="12" t="n">
        <x:v>3431.3227</x:v>
      </x:c>
      <x:c r="D485" s="12" t="n">
        <x:v>-0.0868</x:v>
      </x:c>
      <x:c r="E485" s="12" t="n">
        <x:v>-0.000868759592004376</x:v>
      </x:c>
      <x:c r="F485" s="13" t="n">
        <x:v>43299</x:v>
      </x:c>
      <x:c r="G485" s="12" t="n">
        <x:v>3.56</x:v>
      </x:c>
      <x:c r="H485" s="12" t="n">
        <x:v>356</x:v>
      </x:c>
      <x:c r="I485" s="12" t="n">
        <x:v>-2</x:v>
      </x:c>
      <x:c r="J485" s="12" t="n">
        <x:v>1</x:v>
      </x:c>
    </x:row>
    <x:row r="486" ht="18" customHeight="1">
      <x:c r="A486" s="13" t="n">
        <x:v>43301</x:v>
      </x:c>
      <x:c r="B486" s="12" t="n">
        <x:v>3492.8938</x:v>
      </x:c>
      <x:c r="C486" s="12" t="n">
        <x:v>3428.343</x:v>
      </x:c>
      <x:c r="D486" s="12" t="n">
        <x:v>1.8829</x:v>
      </x:c>
      <x:c r="E486" s="12" t="n">
        <x:v>0.018653507624934004</x:v>
      </x:c>
      <x:c r="F486" s="13" t="n">
        <x:v>43300</x:v>
      </x:c>
      <x:c r="G486" s="12" t="n">
        <x:v>3.59</x:v>
      </x:c>
      <x:c r="H486" s="12" t="n">
        <x:v>359</x:v>
      </x:c>
      <x:c r="I486" s="12" t="n">
        <x:v>3</x:v>
      </x:c>
      <x:c r="J486" s="12" t="n">
        <x:v>1</x:v>
      </x:c>
    </x:row>
    <x:row r="487" ht="18" customHeight="1">
      <x:c r="A487" s="13" t="n">
        <x:v>43304</x:v>
      </x:c>
      <x:c r="B487" s="12" t="n">
        <x:v>3525.7503</x:v>
      </x:c>
      <x:c r="C487" s="12" t="n">
        <x:v>3492.8938</x:v>
      </x:c>
      <x:c r="D487" s="12" t="n">
        <x:v>0.9407</x:v>
      </x:c>
      <x:c r="E487" s="12" t="n">
        <x:v>0.009362702980465857</x:v>
      </x:c>
      <x:c r="F487" s="13" t="n">
        <x:v>43301</x:v>
      </x:c>
      <x:c r="G487" s="12" t="n">
        <x:v>3.55</x:v>
      </x:c>
      <x:c r="H487" s="12" t="n">
        <x:v>355</x:v>
      </x:c>
      <x:c r="I487" s="12" t="n">
        <x:v>-4</x:v>
      </x:c>
      <x:c r="J487" s="12" t="n">
        <x:v>3</x:v>
      </x:c>
    </x:row>
    <x:row r="488" ht="18" customHeight="1">
      <x:c r="A488" s="13" t="n">
        <x:v>43305</x:v>
      </x:c>
      <x:c r="B488" s="12" t="n">
        <x:v>3581.7057</x:v>
      </x:c>
      <x:c r="C488" s="12" t="n">
        <x:v>3525.7503</x:v>
      </x:c>
      <x:c r="D488" s="12" t="n">
        <x:v>1.587</x:v>
      </x:c>
      <x:c r="E488" s="12" t="n">
        <x:v>0.015745874780628118</x:v>
      </x:c>
      <x:c r="F488" s="13" t="n">
        <x:v>43304</x:v>
      </x:c>
      <x:c r="G488" s="12" t="n">
        <x:v>3.5</x:v>
      </x:c>
      <x:c r="H488" s="12" t="n">
        <x:v>350</x:v>
      </x:c>
      <x:c r="I488" s="12" t="n">
        <x:v>-5</x:v>
      </x:c>
      <x:c r="J488" s="12" t="n">
        <x:v>1</x:v>
      </x:c>
    </x:row>
    <x:row r="489" ht="18" customHeight="1">
      <x:c r="A489" s="13" t="n">
        <x:v>43306</x:v>
      </x:c>
      <x:c r="B489" s="12" t="n">
        <x:v>3577.7522</x:v>
      </x:c>
      <x:c r="C489" s="12" t="n">
        <x:v>3581.7057</x:v>
      </x:c>
      <x:c r="D489" s="12" t="n">
        <x:v>-0.1104</x:v>
      </x:c>
      <x:c r="E489" s="12" t="n">
        <x:v>-0.001104413338850653</x:v>
      </x:c>
      <x:c r="F489" s="13" t="n">
        <x:v>43305</x:v>
      </x:c>
      <x:c r="G489" s="12" t="n">
        <x:v>3.47</x:v>
      </x:c>
      <x:c r="H489" s="12" t="n">
        <x:v>347</x:v>
      </x:c>
      <x:c r="I489" s="12" t="n">
        <x:v>-3</x:v>
      </x:c>
      <x:c r="J489" s="12" t="n">
        <x:v>1</x:v>
      </x:c>
    </x:row>
    <x:row r="490" ht="18" customHeight="1">
      <x:c r="A490" s="13" t="n">
        <x:v>43307</x:v>
      </x:c>
      <x:c r="B490" s="12" t="n">
        <x:v>3536.2456</x:v>
      </x:c>
      <x:c r="C490" s="12" t="n">
        <x:v>3577.7522</x:v>
      </x:c>
      <x:c r="D490" s="12" t="n">
        <x:v>-1.1601</x:v>
      </x:c>
      <x:c r="E490" s="12" t="n">
        <x:v>-0.011669126743320535</x:v>
      </x:c>
      <x:c r="F490" s="13" t="n">
        <x:v>43306</x:v>
      </x:c>
      <x:c r="G490" s="12" t="n">
        <x:v>3.48</x:v>
      </x:c>
      <x:c r="H490" s="12" t="n">
        <x:v>348</x:v>
      </x:c>
      <x:c r="I490" s="12" t="n">
        <x:v>1</x:v>
      </x:c>
      <x:c r="J490" s="12" t="n">
        <x:v>1</x:v>
      </x:c>
    </x:row>
    <x:row r="491" ht="18" customHeight="1">
      <x:c r="A491" s="13" t="n">
        <x:v>43308</x:v>
      </x:c>
      <x:c r="B491" s="12" t="n">
        <x:v>3521.2269</x:v>
      </x:c>
      <x:c r="C491" s="12" t="n">
        <x:v>3536.2456</x:v>
      </x:c>
      <x:c r="D491" s="12" t="n">
        <x:v>-0.4247</x:v>
      </x:c>
      <x:c r="E491" s="12" t="n">
        <x:v>-0.004256119360411777</x:v>
      </x:c>
      <x:c r="F491" s="13" t="n">
        <x:v>43307</x:v>
      </x:c>
      <x:c r="G491" s="12" t="n">
        <x:v>3.42</x:v>
      </x:c>
      <x:c r="H491" s="12" t="n">
        <x:v>342</x:v>
      </x:c>
      <x:c r="I491" s="12" t="n">
        <x:v>-6</x:v>
      </x:c>
      <x:c r="J491" s="12" t="n">
        <x:v>1</x:v>
      </x:c>
    </x:row>
    <x:row r="492" ht="18" customHeight="1">
      <x:c r="A492" s="13" t="n">
        <x:v>43311</x:v>
      </x:c>
      <x:c r="B492" s="12" t="n">
        <x:v>3515.0794</x:v>
      </x:c>
      <x:c r="C492" s="12" t="n">
        <x:v>3521.2269</x:v>
      </x:c>
      <x:c r="D492" s="12" t="n">
        <x:v>-0.1746</x:v>
      </x:c>
      <x:c r="E492" s="12" t="n">
        <x:v>-0.0017473661043363438</x:v>
      </x:c>
      <x:c r="F492" s="13" t="n">
        <x:v>43308</x:v>
      </x:c>
      <x:c r="G492" s="12" t="n">
        <x:v>3.42</x:v>
      </x:c>
      <x:c r="H492" s="12" t="n">
        <x:v>342</x:v>
      </x:c>
      <x:c r="I492" s="12" t="n">
        <x:v>0</x:v>
      </x:c>
      <x:c r="J492" s="12" t="n">
        <x:v>3</x:v>
      </x:c>
    </x:row>
    <x:row r="493" ht="18" customHeight="1">
      <x:c r="A493" s="13" t="n">
        <x:v>43312</x:v>
      </x:c>
      <x:c r="B493" s="12" t="n">
        <x:v>3517.6568</x:v>
      </x:c>
      <x:c r="C493" s="12" t="n">
        <x:v>3515.0794</x:v>
      </x:c>
      <x:c r="D493" s="12" t="n">
        <x:v>0.0733</x:v>
      </x:c>
      <x:c r="E493" s="12" t="n">
        <x:v>0.0007329722151080376</x:v>
      </x:c>
      <x:c r="F493" s="13" t="n">
        <x:v>43311</x:v>
      </x:c>
      <x:c r="G493" s="12" t="n">
        <x:v>3.43</x:v>
      </x:c>
      <x:c r="H493" s="12" t="n">
        <x:v>343</x:v>
      </x:c>
      <x:c r="I493" s="12" t="n">
        <x:v>1</x:v>
      </x:c>
      <x:c r="J493" s="12" t="n">
        <x:v>1</x:v>
      </x:c>
    </x:row>
    <x:row r="494" ht="18" customHeight="1">
      <x:c r="A494" s="13" t="n">
        <x:v>43313</x:v>
      </x:c>
      <x:c r="B494" s="12" t="n">
        <x:v>3447.3882</x:v>
      </x:c>
      <x:c r="C494" s="12" t="n">
        <x:v>3517.6568</x:v>
      </x:c>
      <x:c r="D494" s="12" t="n">
        <x:v>-1.9976</x:v>
      </x:c>
      <x:c r="E494" s="12" t="n">
        <x:v>-0.020178185264417878</x:v>
      </x:c>
      <x:c r="F494" s="13" t="n">
        <x:v>43312</x:v>
      </x:c>
      <x:c r="G494" s="12" t="n">
        <x:v>3.46</x:v>
      </x:c>
      <x:c r="H494" s="12" t="n">
        <x:v>346</x:v>
      </x:c>
      <x:c r="I494" s="12" t="n">
        <x:v>3</x:v>
      </x:c>
      <x:c r="J494" s="12" t="n">
        <x:v>1</x:v>
      </x:c>
    </x:row>
    <x:row r="495" ht="18" customHeight="1">
      <x:c r="A495" s="13" t="n">
        <x:v>43314</x:v>
      </x:c>
      <x:c r="B495" s="12" t="n">
        <x:v>3370.9579</x:v>
      </x:c>
      <x:c r="C495" s="12" t="n">
        <x:v>3447.3882</x:v>
      </x:c>
      <x:c r="D495" s="12" t="n">
        <x:v>-2.217</x:v>
      </x:c>
      <x:c r="E495" s="12" t="n">
        <x:v>-0.022419953564654645</x:v>
      </x:c>
      <x:c r="F495" s="13" t="n">
        <x:v>43313</x:v>
      </x:c>
      <x:c r="G495" s="12" t="n">
        <x:v>3.43</x:v>
      </x:c>
      <x:c r="H495" s="12" t="n">
        <x:v>343</x:v>
      </x:c>
      <x:c r="I495" s="12" t="n">
        <x:v>-3</x:v>
      </x:c>
      <x:c r="J495" s="12" t="n">
        <x:v>1</x:v>
      </x:c>
    </x:row>
    <x:row r="496" ht="18" customHeight="1">
      <x:c r="A496" s="13" t="n">
        <x:v>43315</x:v>
      </x:c>
      <x:c r="B496" s="12" t="n">
        <x:v>3315.2839</x:v>
      </x:c>
      <x:c r="C496" s="12" t="n">
        <x:v>3370.9579</x:v>
      </x:c>
      <x:c r="D496" s="12" t="n">
        <x:v>-1.6516</x:v>
      </x:c>
      <x:c r="E496" s="12" t="n">
        <x:v>-0.01665368630174887</x:v>
      </x:c>
      <x:c r="F496" s="13" t="n">
        <x:v>43314</x:v>
      </x:c>
      <x:c r="G496" s="12" t="n">
        <x:v>3.43</x:v>
      </x:c>
      <x:c r="H496" s="12" t="n">
        <x:v>343</x:v>
      </x:c>
      <x:c r="I496" s="12" t="n">
        <x:v>0</x:v>
      </x:c>
      <x:c r="J496" s="12" t="n">
        <x:v>1</x:v>
      </x:c>
    </x:row>
    <x:row r="497" ht="18" customHeight="1">
      <x:c r="A497" s="13" t="n">
        <x:v>43318</x:v>
      </x:c>
      <x:c r="B497" s="12" t="n">
        <x:v>3273.2728</x:v>
      </x:c>
      <x:c r="C497" s="12" t="n">
        <x:v>3315.2839</x:v>
      </x:c>
      <x:c r="D497" s="12" t="n">
        <x:v>-1.2672</x:v>
      </x:c>
      <x:c r="E497" s="12" t="n">
        <x:v>-0.012752920340904368</x:v>
      </x:c>
      <x:c r="F497" s="13" t="n">
        <x:v>43315</x:v>
      </x:c>
      <x:c r="G497" s="12" t="n">
        <x:v>3.43</x:v>
      </x:c>
      <x:c r="H497" s="12" t="n">
        <x:v>343</x:v>
      </x:c>
      <x:c r="I497" s="12" t="n">
        <x:v>0</x:v>
      </x:c>
      <x:c r="J497" s="12" t="n">
        <x:v>3</x:v>
      </x:c>
    </x:row>
    <x:row r="498" ht="18" customHeight="1">
      <x:c r="A498" s="13" t="n">
        <x:v>43319</x:v>
      </x:c>
      <x:c r="B498" s="12" t="n">
        <x:v>3368.8695</x:v>
      </x:c>
      <x:c r="C498" s="12" t="n">
        <x:v>3273.2728</x:v>
      </x:c>
      <x:c r="D498" s="12" t="n">
        <x:v>2.9205</x:v>
      </x:c>
      <x:c r="E498" s="12" t="n">
        <x:v>0.028786887488765636</x:v>
      </x:c>
      <x:c r="F498" s="13" t="n">
        <x:v>43318</x:v>
      </x:c>
      <x:c r="G498" s="12" t="n">
        <x:v>3.43</x:v>
      </x:c>
      <x:c r="H498" s="12" t="n">
        <x:v>343</x:v>
      </x:c>
      <x:c r="I498" s="12" t="n">
        <x:v>0</x:v>
      </x:c>
      <x:c r="J498" s="12" t="n">
        <x:v>1</x:v>
      </x:c>
    </x:row>
    <x:row r="499" ht="18" customHeight="1">
      <x:c r="A499" s="13" t="n">
        <x:v>43320</x:v>
      </x:c>
      <x:c r="B499" s="12" t="n">
        <x:v>3314.5075</x:v>
      </x:c>
      <x:c r="C499" s="12" t="n">
        <x:v>3368.8695</x:v>
      </x:c>
      <x:c r="D499" s="12" t="n">
        <x:v>-1.6137</x:v>
      </x:c>
      <x:c r="E499" s="12" t="n">
        <x:v>-0.016268182662861997</x:v>
      </x:c>
      <x:c r="F499" s="13" t="n">
        <x:v>43319</x:v>
      </x:c>
      <x:c r="G499" s="12" t="n">
        <x:v>3.35</x:v>
      </x:c>
      <x:c r="H499" s="12" t="n">
        <x:v>335</x:v>
      </x:c>
      <x:c r="I499" s="12" t="n">
        <x:v>-8</x:v>
      </x:c>
      <x:c r="J499" s="12" t="n">
        <x:v>1</x:v>
      </x:c>
    </x:row>
    <x:row r="500" ht="18" customHeight="1">
      <x:c r="A500" s="13" t="n">
        <x:v>43321</x:v>
      </x:c>
      <x:c r="B500" s="12" t="n">
        <x:v>3397.5298</x:v>
      </x:c>
      <x:c r="C500" s="12" t="n">
        <x:v>3314.5075</x:v>
      </x:c>
      <x:c r="D500" s="12" t="n">
        <x:v>2.5048</x:v>
      </x:c>
      <x:c r="E500" s="12" t="n">
        <x:v>0.02473959267847368</x:v>
      </x:c>
      <x:c r="F500" s="13" t="n">
        <x:v>43320</x:v>
      </x:c>
      <x:c r="G500" s="12" t="n">
        <x:v>3.37</x:v>
      </x:c>
      <x:c r="H500" s="12" t="n">
        <x:v>337</x:v>
      </x:c>
      <x:c r="I500" s="12" t="n">
        <x:v>2</x:v>
      </x:c>
      <x:c r="J500" s="12" t="n">
        <x:v>1</x:v>
      </x:c>
    </x:row>
    <x:row r="501" ht="18" customHeight="1">
      <x:c r="A501" s="13" t="n">
        <x:v>43322</x:v>
      </x:c>
      <x:c r="B501" s="12" t="n">
        <x:v>3405.0191</x:v>
      </x:c>
      <x:c r="C501" s="12" t="n">
        <x:v>3397.5298</x:v>
      </x:c>
      <x:c r="D501" s="12" t="n">
        <x:v>0.2204</x:v>
      </x:c>
      <x:c r="E501" s="12" t="n">
        <x:v>0.0022019108237307785</x:v>
      </x:c>
      <x:c r="F501" s="13" t="n">
        <x:v>43321</x:v>
      </x:c>
      <x:c r="G501" s="12" t="n">
        <x:v>3.38</x:v>
      </x:c>
      <x:c r="H501" s="12" t="n">
        <x:v>338</x:v>
      </x:c>
      <x:c r="I501" s="12" t="n">
        <x:v>1</x:v>
      </x:c>
      <x:c r="J501" s="12" t="n">
        <x:v>1</x:v>
      </x:c>
    </x:row>
    <x:row r="502" ht="18" customHeight="1">
      <x:c r="A502" s="13" t="n">
        <x:v>43325</x:v>
      </x:c>
      <x:c r="B502" s="12" t="n">
        <x:v>3390.3441</x:v>
      </x:c>
      <x:c r="C502" s="12" t="n">
        <x:v>3405.0191</x:v>
      </x:c>
      <x:c r="D502" s="12" t="n">
        <x:v>-0.431</x:v>
      </x:c>
      <x:c r="E502" s="12" t="n">
        <x:v>-0.004319128317775212</x:v>
      </x:c>
      <x:c r="F502" s="13" t="n">
        <x:v>43322</x:v>
      </x:c>
      <x:c r="G502" s="12" t="n">
        <x:v>3.5</x:v>
      </x:c>
      <x:c r="H502" s="12" t="n">
        <x:v>350</x:v>
      </x:c>
      <x:c r="I502" s="12" t="n">
        <x:v>12</x:v>
      </x:c>
      <x:c r="J502" s="12" t="n">
        <x:v>3</x:v>
      </x:c>
    </x:row>
    <x:row r="503" ht="18" customHeight="1">
      <x:c r="A503" s="13" t="n">
        <x:v>43326</x:v>
      </x:c>
      <x:c r="B503" s="12" t="n">
        <x:v>3372.9137</x:v>
      </x:c>
      <x:c r="C503" s="12" t="n">
        <x:v>3390.3441</x:v>
      </x:c>
      <x:c r="D503" s="12" t="n">
        <x:v>-0.5141</x:v>
      </x:c>
      <x:c r="E503" s="12" t="n">
        <x:v>-0.005154450445881381</x:v>
      </x:c>
      <x:c r="F503" s="13" t="n">
        <x:v>43325</x:v>
      </x:c>
      <x:c r="G503" s="12" t="n">
        <x:v>3.52</x:v>
      </x:c>
      <x:c r="H503" s="12" t="n">
        <x:v>352</x:v>
      </x:c>
      <x:c r="I503" s="12" t="n">
        <x:v>2</x:v>
      </x:c>
      <x:c r="J503" s="12" t="n">
        <x:v>1</x:v>
      </x:c>
    </x:row>
    <x:row r="504" ht="18" customHeight="1">
      <x:c r="A504" s="13" t="n">
        <x:v>43327</x:v>
      </x:c>
      <x:c r="B504" s="12" t="n">
        <x:v>3291.976</x:v>
      </x:c>
      <x:c r="C504" s="12" t="n">
        <x:v>3372.9137</x:v>
      </x:c>
      <x:c r="D504" s="12" t="n">
        <x:v>-2.3996</x:v>
      </x:c>
      <x:c r="E504" s="12" t="n">
        <x:v>-0.024288977832754376</x:v>
      </x:c>
      <x:c r="F504" s="13" t="n">
        <x:v>43326</x:v>
      </x:c>
      <x:c r="G504" s="12" t="n">
        <x:v>3.48</x:v>
      </x:c>
      <x:c r="H504" s="12" t="n">
        <x:v>348</x:v>
      </x:c>
      <x:c r="I504" s="12" t="n">
        <x:v>-4</x:v>
      </x:c>
      <x:c r="J504" s="12" t="n">
        <x:v>1</x:v>
      </x:c>
    </x:row>
    <x:row r="505" ht="18" customHeight="1">
      <x:c r="A505" s="13" t="n">
        <x:v>43328</x:v>
      </x:c>
      <x:c r="B505" s="12" t="n">
        <x:v>3276.7276</x:v>
      </x:c>
      <x:c r="C505" s="12" t="n">
        <x:v>3291.976</x:v>
      </x:c>
      <x:c r="D505" s="12" t="n">
        <x:v>-0.4632</x:v>
      </x:c>
      <x:c r="E505" s="12" t="n">
        <x:v>-0.0046427509349338284</x:v>
      </x:c>
      <x:c r="F505" s="13" t="n">
        <x:v>43327</x:v>
      </x:c>
      <x:c r="G505" s="12" t="n">
        <x:v>3.55</x:v>
      </x:c>
      <x:c r="H505" s="12" t="n">
        <x:v>355</x:v>
      </x:c>
      <x:c r="I505" s="12" t="n">
        <x:v>7</x:v>
      </x:c>
      <x:c r="J505" s="12" t="n">
        <x:v>1</x:v>
      </x:c>
    </x:row>
    <x:row r="506" ht="18" customHeight="1">
      <x:c r="A506" s="13" t="n">
        <x:v>43329</x:v>
      </x:c>
      <x:c r="B506" s="12" t="n">
        <x:v>3229.6198</x:v>
      </x:c>
      <x:c r="C506" s="12" t="n">
        <x:v>3276.7276</x:v>
      </x:c>
      <x:c r="D506" s="12" t="n">
        <x:v>-1.4376</x:v>
      </x:c>
      <x:c r="E506" s="12" t="n">
        <x:v>-0.014480820124350875</x:v>
      </x:c>
      <x:c r="F506" s="13" t="n">
        <x:v>43328</x:v>
      </x:c>
      <x:c r="G506" s="12" t="n">
        <x:v>3.49</x:v>
      </x:c>
      <x:c r="H506" s="12" t="n">
        <x:v>349</x:v>
      </x:c>
      <x:c r="I506" s="12" t="n">
        <x:v>-6</x:v>
      </x:c>
      <x:c r="J506" s="12" t="n">
        <x:v>1</x:v>
      </x:c>
    </x:row>
    <x:row r="507" ht="18" customHeight="1">
      <x:c r="A507" s="13" t="n">
        <x:v>43332</x:v>
      </x:c>
      <x:c r="B507" s="12" t="n">
        <x:v>3267.2498</x:v>
      </x:c>
      <x:c r="C507" s="12" t="n">
        <x:v>3229.6198</x:v>
      </x:c>
      <x:c r="D507" s="12" t="n">
        <x:v>1.1652</x:v>
      </x:c>
      <x:c r="E507" s="12" t="n">
        <x:v>0.01158416995345613</x:v>
      </x:c>
      <x:c r="F507" s="13" t="n">
        <x:v>43329</x:v>
      </x:c>
      <x:c r="G507" s="12" t="n">
        <x:v>3.49</x:v>
      </x:c>
      <x:c r="H507" s="12" t="n">
        <x:v>349</x:v>
      </x:c>
      <x:c r="I507" s="12" t="n">
        <x:v>0</x:v>
      </x:c>
      <x:c r="J507" s="12" t="n">
        <x:v>3</x:v>
      </x:c>
    </x:row>
    <x:row r="508" ht="18" customHeight="1">
      <x:c r="A508" s="13" t="n">
        <x:v>43333</x:v>
      </x:c>
      <x:c r="B508" s="12" t="n">
        <x:v>3326.6489</x:v>
      </x:c>
      <x:c r="C508" s="12" t="n">
        <x:v>3267.2498</x:v>
      </x:c>
      <x:c r="D508" s="12" t="n">
        <x:v>1.818</x:v>
      </x:c>
      <x:c r="E508" s="12" t="n">
        <x:v>0.018016869678191053</x:v>
      </x:c>
      <x:c r="F508" s="13" t="n">
        <x:v>43332</x:v>
      </x:c>
      <x:c r="G508" s="12" t="n">
        <x:v>3.52</x:v>
      </x:c>
      <x:c r="H508" s="12" t="n">
        <x:v>352</x:v>
      </x:c>
      <x:c r="I508" s="12" t="n">
        <x:v>3</x:v>
      </x:c>
      <x:c r="J508" s="12" t="n">
        <x:v>1</x:v>
      </x:c>
    </x:row>
    <x:row r="509" ht="18" customHeight="1">
      <x:c r="A509" s="13" t="n">
        <x:v>43334</x:v>
      </x:c>
      <x:c r="B509" s="12" t="n">
        <x:v>3307.9545</x:v>
      </x:c>
      <x:c r="C509" s="12" t="n">
        <x:v>3326.6489</x:v>
      </x:c>
      <x:c r="D509" s="12" t="n">
        <x:v>-0.562</x:v>
      </x:c>
      <x:c r="E509" s="12" t="n">
        <x:v>-0.005635438427250307</x:v>
      </x:c>
      <x:c r="F509" s="13" t="n">
        <x:v>43333</x:v>
      </x:c>
      <x:c r="G509" s="12" t="n">
        <x:v>3.48</x:v>
      </x:c>
      <x:c r="H509" s="12" t="n">
        <x:v>348</x:v>
      </x:c>
      <x:c r="I509" s="12" t="n">
        <x:v>-4</x:v>
      </x:c>
      <x:c r="J509" s="12" t="n">
        <x:v>1</x:v>
      </x:c>
    </x:row>
    <x:row r="510" ht="18" customHeight="1">
      <x:c r="A510" s="13" t="n">
        <x:v>43335</x:v>
      </x:c>
      <x:c r="B510" s="12" t="n">
        <x:v>3320.0257</x:v>
      </x:c>
      <x:c r="C510" s="12" t="n">
        <x:v>3307.9545</x:v>
      </x:c>
      <x:c r="D510" s="12" t="n">
        <x:v>0.3649</x:v>
      </x:c>
      <x:c r="E510" s="12" t="n">
        <x:v>0.003642501329903129</x:v>
      </x:c>
      <x:c r="F510" s="13" t="n">
        <x:v>43334</x:v>
      </x:c>
      <x:c r="G510" s="12" t="n">
        <x:v>3.48</x:v>
      </x:c>
      <x:c r="H510" s="12" t="n">
        <x:v>348</x:v>
      </x:c>
      <x:c r="I510" s="12" t="n">
        <x:v>0</x:v>
      </x:c>
      <x:c r="J510" s="12" t="n">
        <x:v>1</x:v>
      </x:c>
    </x:row>
    <x:row r="511" ht="18" customHeight="1">
      <x:c r="A511" s="13" t="n">
        <x:v>43336</x:v>
      </x:c>
      <x:c r="B511" s="12" t="n">
        <x:v>3325.3347</x:v>
      </x:c>
      <x:c r="C511" s="12" t="n">
        <x:v>3320.0257</x:v>
      </x:c>
      <x:c r="D511" s="12" t="n">
        <x:v>0.1599</x:v>
      </x:c>
      <x:c r="E511" s="12" t="n">
        <x:v>0.0015978068336168277</x:v>
      </x:c>
      <x:c r="F511" s="13" t="n">
        <x:v>43335</x:v>
      </x:c>
      <x:c r="G511" s="12" t="n">
        <x:v>3.47</x:v>
      </x:c>
      <x:c r="H511" s="12" t="n">
        <x:v>347</x:v>
      </x:c>
      <x:c r="I511" s="12" t="n">
        <x:v>-1</x:v>
      </x:c>
      <x:c r="J511" s="12" t="n">
        <x:v>1</x:v>
      </x:c>
    </x:row>
    <x:row r="512" ht="18" customHeight="1">
      <x:c r="A512" s="13" t="n">
        <x:v>43339</x:v>
      </x:c>
      <x:c r="B512" s="12" t="n">
        <x:v>3406.5735</x:v>
      </x:c>
      <x:c r="C512" s="12" t="n">
        <x:v>3325.3347</x:v>
      </x:c>
      <x:c r="D512" s="12" t="n">
        <x:v>2.443</x:v>
      </x:c>
      <x:c r="E512" s="12" t="n">
        <x:v>0.024136616700972842</x:v>
      </x:c>
      <x:c r="F512" s="13" t="n">
        <x:v>43336</x:v>
      </x:c>
      <x:c r="G512" s="12" t="n">
        <x:v>3.46</x:v>
      </x:c>
      <x:c r="H512" s="12" t="n">
        <x:v>346</x:v>
      </x:c>
      <x:c r="I512" s="12" t="n">
        <x:v>-1</x:v>
      </x:c>
      <x:c r="J512" s="12" t="n">
        <x:v>3</x:v>
      </x:c>
    </x:row>
    <x:row r="513" ht="18" customHeight="1">
      <x:c r="A513" s="13" t="n">
        <x:v>43340</x:v>
      </x:c>
      <x:c r="B513" s="12" t="n">
        <x:v>3400.1705</x:v>
      </x:c>
      <x:c r="C513" s="12" t="n">
        <x:v>3406.5735</x:v>
      </x:c>
      <x:c r="D513" s="12" t="n">
        <x:v>-0.188</x:v>
      </x:c>
      <x:c r="E513" s="12" t="n">
        <x:v>-0.0018813699732636035</x:v>
      </x:c>
      <x:c r="F513" s="13" t="n">
        <x:v>43339</x:v>
      </x:c>
      <x:c r="G513" s="12" t="n">
        <x:v>3.43</x:v>
      </x:c>
      <x:c r="H513" s="12" t="n">
        <x:v>343</x:v>
      </x:c>
      <x:c r="I513" s="12" t="n">
        <x:v>-3</x:v>
      </x:c>
      <x:c r="J513" s="12" t="n">
        <x:v>1</x:v>
      </x:c>
    </x:row>
    <x:row r="514" ht="18" customHeight="1">
      <x:c r="A514" s="13" t="n">
        <x:v>43341</x:v>
      </x:c>
      <x:c r="B514" s="12" t="n">
        <x:v>3386.5736</x:v>
      </x:c>
      <x:c r="C514" s="12" t="n">
        <x:v>3400.1705</x:v>
      </x:c>
      <x:c r="D514" s="12" t="n">
        <x:v>-0.3999</x:v>
      </x:c>
      <x:c r="E514" s="12" t="n">
        <x:v>-0.004006904633942815</x:v>
      </x:c>
      <x:c r="F514" s="13" t="n">
        <x:v>43340</x:v>
      </x:c>
      <x:c r="G514" s="12" t="n">
        <x:v>3.4</x:v>
      </x:c>
      <x:c r="H514" s="12" t="n">
        <x:v>340</x:v>
      </x:c>
      <x:c r="I514" s="12" t="n">
        <x:v>-3</x:v>
      </x:c>
      <x:c r="J514" s="12" t="n">
        <x:v>1</x:v>
      </x:c>
    </x:row>
    <x:row r="515" ht="18" customHeight="1">
      <x:c r="A515" s="13" t="n">
        <x:v>43342</x:v>
      </x:c>
      <x:c r="B515" s="12" t="n">
        <x:v>3351.0942</x:v>
      </x:c>
      <x:c r="C515" s="12" t="n">
        <x:v>3386.5736</x:v>
      </x:c>
      <x:c r="D515" s="12" t="n">
        <x:v>-1.0476</x:v>
      </x:c>
      <x:c r="E515" s="12" t="n">
        <x:v>-0.010531753417970224</x:v>
      </x:c>
      <x:c r="F515" s="13" t="n">
        <x:v>43341</x:v>
      </x:c>
      <x:c r="G515" s="12" t="n">
        <x:v>3.39</x:v>
      </x:c>
      <x:c r="H515" s="12" t="n">
        <x:v>339</x:v>
      </x:c>
      <x:c r="I515" s="12" t="n">
        <x:v>-1</x:v>
      </x:c>
      <x:c r="J515" s="12" t="n">
        <x:v>1</x:v>
      </x:c>
    </x:row>
    <x:row r="516" ht="18" customHeight="1">
      <x:c r="A516" s="13" t="n">
        <x:v>43343</x:v>
      </x:c>
      <x:c r="B516" s="12" t="n">
        <x:v>3334.5036</x:v>
      </x:c>
      <x:c r="C516" s="12" t="n">
        <x:v>3351.0942</x:v>
      </x:c>
      <x:c r="D516" s="12" t="n">
        <x:v>-0.4951</x:v>
      </x:c>
      <x:c r="E516" s="12" t="n">
        <x:v>-0.0049630966599312565</x:v>
      </x:c>
      <x:c r="F516" s="13" t="n">
        <x:v>43342</x:v>
      </x:c>
      <x:c r="G516" s="12" t="n">
        <x:v>3.44</x:v>
      </x:c>
      <x:c r="H516" s="12" t="n">
        <x:v>344</x:v>
      </x:c>
      <x:c r="I516" s="12" t="n">
        <x:v>5</x:v>
      </x:c>
      <x:c r="J516" s="12" t="n">
        <x:v>1</x:v>
      </x:c>
    </x:row>
    <x:row r="517" ht="18" customHeight="1">
      <x:c r="A517" s="13" t="n">
        <x:v>43346</x:v>
      </x:c>
      <x:c r="B517" s="12" t="n">
        <x:v>3321.8248</x:v>
      </x:c>
      <x:c r="C517" s="12" t="n">
        <x:v>3334.5036</x:v>
      </x:c>
      <x:c r="D517" s="12" t="n">
        <x:v>-0.3802</x:v>
      </x:c>
      <x:c r="E517" s="12" t="n">
        <x:v>-0.0038095522251032424</x:v>
      </x:c>
      <x:c r="F517" s="13" t="n">
        <x:v>43343</x:v>
      </x:c>
      <x:c r="G517" s="12" t="n">
        <x:v>3.49</x:v>
      </x:c>
      <x:c r="H517" s="12" t="n">
        <x:v>349</x:v>
      </x:c>
      <x:c r="I517" s="12" t="n">
        <x:v>5</x:v>
      </x:c>
      <x:c r="J517" s="12" t="n">
        <x:v>3</x:v>
      </x:c>
    </x:row>
    <x:row r="518" ht="18" customHeight="1">
      <x:c r="A518" s="13" t="n">
        <x:v>43347</x:v>
      </x:c>
      <x:c r="B518" s="12" t="n">
        <x:v>3363.8984</x:v>
      </x:c>
      <x:c r="C518" s="12" t="n">
        <x:v>3321.8248</x:v>
      </x:c>
      <x:c r="D518" s="12" t="n">
        <x:v>1.2666</x:v>
      </x:c>
      <x:c r="E518" s="12" t="n">
        <x:v>0.012586269027628546</x:v>
      </x:c>
      <x:c r="F518" s="13" t="n">
        <x:v>43346</x:v>
      </x:c>
      <x:c r="G518" s="12" t="n">
        <x:v>3.49</x:v>
      </x:c>
      <x:c r="H518" s="12" t="n">
        <x:v>349</x:v>
      </x:c>
      <x:c r="I518" s="12" t="n">
        <x:v>0</x:v>
      </x:c>
      <x:c r="J518" s="12" t="n">
        <x:v>1</x:v>
      </x:c>
    </x:row>
    <x:row r="519" ht="18" customHeight="1">
      <x:c r="A519" s="13" t="n">
        <x:v>43348</x:v>
      </x:c>
      <x:c r="B519" s="12" t="n">
        <x:v>3298.1412</x:v>
      </x:c>
      <x:c r="C519" s="12" t="n">
        <x:v>3363.8984</x:v>
      </x:c>
      <x:c r="D519" s="12" t="n">
        <x:v>-1.9548</x:v>
      </x:c>
      <x:c r="E519" s="12" t="n">
        <x:v>-0.019741502466815615</x:v>
      </x:c>
      <x:c r="F519" s="13" t="n">
        <x:v>43347</x:v>
      </x:c>
      <x:c r="G519" s="12" t="n">
        <x:v>3.46</x:v>
      </x:c>
      <x:c r="H519" s="12" t="n">
        <x:v>346</x:v>
      </x:c>
      <x:c r="I519" s="12" t="n">
        <x:v>-3</x:v>
      </x:c>
      <x:c r="J519" s="12" t="n">
        <x:v>1</x:v>
      </x:c>
    </x:row>
    <x:row r="520" ht="18" customHeight="1">
      <x:c r="A520" s="13" t="n">
        <x:v>43349</x:v>
      </x:c>
      <x:c r="B520" s="12" t="n">
        <x:v>3262.8808</x:v>
      </x:c>
      <x:c r="C520" s="12" t="n">
        <x:v>3298.1412</x:v>
      </x:c>
      <x:c r="D520" s="12" t="n">
        <x:v>-1.0691</x:v>
      </x:c>
      <x:c r="E520" s="12" t="n">
        <x:v>-0.01074855090344283</x:v>
      </x:c>
      <x:c r="F520" s="13" t="n">
        <x:v>43348</x:v>
      </x:c>
      <x:c r="G520" s="12" t="n">
        <x:v>3.49</x:v>
      </x:c>
      <x:c r="H520" s="12" t="n">
        <x:v>349</x:v>
      </x:c>
      <x:c r="I520" s="12" t="n">
        <x:v>3</x:v>
      </x:c>
      <x:c r="J520" s="12" t="n">
        <x:v>1</x:v>
      </x:c>
    </x:row>
    <x:row r="521" ht="18" customHeight="1">
      <x:c r="A521" s="13" t="n">
        <x:v>43350</x:v>
      </x:c>
      <x:c r="B521" s="12" t="n">
        <x:v>3277.6438</x:v>
      </x:c>
      <x:c r="C521" s="12" t="n">
        <x:v>3262.8808</x:v>
      </x:c>
      <x:c r="D521" s="12" t="n">
        <x:v>0.4525</x:v>
      </x:c>
      <x:c r="E521" s="12" t="n">
        <x:v>0.004514324453855149</x:v>
      </x:c>
      <x:c r="F521" s="13" t="n">
        <x:v>43349</x:v>
      </x:c>
      <x:c r="G521" s="12" t="n">
        <x:v>3.52</x:v>
      </x:c>
      <x:c r="H521" s="12" t="n">
        <x:v>352</x:v>
      </x:c>
      <x:c r="I521" s="12" t="n">
        <x:v>3</x:v>
      </x:c>
      <x:c r="J521" s="12" t="n">
        <x:v>1</x:v>
      </x:c>
    </x:row>
    <x:row r="522" ht="18" customHeight="1">
      <x:c r="A522" s="13" t="n">
        <x:v>43353</x:v>
      </x:c>
      <x:c r="B522" s="12" t="n">
        <x:v>3230.0681</x:v>
      </x:c>
      <x:c r="C522" s="12" t="n">
        <x:v>3277.6438</x:v>
      </x:c>
      <x:c r="D522" s="12" t="n">
        <x:v>-1.4515</x:v>
      </x:c>
      <x:c r="E522" s="12" t="n">
        <x:v>-0.014621589994254605</x:v>
      </x:c>
      <x:c r="F522" s="13" t="n">
        <x:v>43350</x:v>
      </x:c>
      <x:c r="G522" s="12" t="n">
        <x:v>3.48</x:v>
      </x:c>
      <x:c r="H522" s="12" t="n">
        <x:v>348</x:v>
      </x:c>
      <x:c r="I522" s="12" t="n">
        <x:v>-4</x:v>
      </x:c>
      <x:c r="J522" s="12" t="n">
        <x:v>3</x:v>
      </x:c>
    </x:row>
    <x:row r="523" ht="18" customHeight="1">
      <x:c r="A523" s="13" t="n">
        <x:v>43354</x:v>
      </x:c>
      <x:c r="B523" s="12" t="n">
        <x:v>3224.2116</x:v>
      </x:c>
      <x:c r="C523" s="12" t="n">
        <x:v>3230.0681</x:v>
      </x:c>
      <x:c r="D523" s="12" t="n">
        <x:v>-0.1813</x:v>
      </x:c>
      <x:c r="E523" s="12" t="n">
        <x:v>-0.0018147653586513468</x:v>
      </x:c>
      <x:c r="F523" s="13" t="n">
        <x:v>43353</x:v>
      </x:c>
      <x:c r="G523" s="12" t="n">
        <x:v>3.46</x:v>
      </x:c>
      <x:c r="H523" s="12" t="n">
        <x:v>346</x:v>
      </x:c>
      <x:c r="I523" s="12" t="n">
        <x:v>-2</x:v>
      </x:c>
      <x:c r="J523" s="12" t="n">
        <x:v>1</x:v>
      </x:c>
    </x:row>
    <x:row r="524" ht="18" customHeight="1">
      <x:c r="A524" s="13" t="n">
        <x:v>43355</x:v>
      </x:c>
      <x:c r="B524" s="12" t="n">
        <x:v>3202.0248</x:v>
      </x:c>
      <x:c r="C524" s="12" t="n">
        <x:v>3224.2116</x:v>
      </x:c>
      <x:c r="D524" s="12" t="n">
        <x:v>-0.6881</x:v>
      </x:c>
      <x:c r="E524" s="12" t="n">
        <x:v>-0.006905095541184463</x:v>
      </x:c>
      <x:c r="F524" s="13" t="n">
        <x:v>43354</x:v>
      </x:c>
      <x:c r="G524" s="12" t="n">
        <x:v>3.4</x:v>
      </x:c>
      <x:c r="H524" s="12" t="n">
        <x:v>340</x:v>
      </x:c>
      <x:c r="I524" s="12" t="n">
        <x:v>-6</x:v>
      </x:c>
      <x:c r="J524" s="12" t="n">
        <x:v>1</x:v>
      </x:c>
    </x:row>
    <x:row r="525" ht="18" customHeight="1">
      <x:c r="A525" s="13" t="n">
        <x:v>43356</x:v>
      </x:c>
      <x:c r="B525" s="12" t="n">
        <x:v>3236.5662</x:v>
      </x:c>
      <x:c r="C525" s="12" t="n">
        <x:v>3202.0248</x:v>
      </x:c>
      <x:c r="D525" s="12" t="n">
        <x:v>1.0787</x:v>
      </x:c>
      <x:c r="E525" s="12" t="n">
        <x:v>0.010729593284784572</x:v>
      </x:c>
      <x:c r="F525" s="13" t="n">
        <x:v>43355</x:v>
      </x:c>
      <x:c r="G525" s="12" t="n">
        <x:v>3.38</x:v>
      </x:c>
      <x:c r="H525" s="12" t="n">
        <x:v>338</x:v>
      </x:c>
      <x:c r="I525" s="12" t="n">
        <x:v>-2</x:v>
      </x:c>
      <x:c r="J525" s="12" t="n">
        <x:v>1</x:v>
      </x:c>
    </x:row>
    <x:row r="526" ht="18" customHeight="1">
      <x:c r="A526" s="13" t="n">
        <x:v>43357</x:v>
      </x:c>
      <x:c r="B526" s="12" t="n">
        <x:v>3242.0902</x:v>
      </x:c>
      <x:c r="C526" s="12" t="n">
        <x:v>3236.5662</x:v>
      </x:c>
      <x:c r="D526" s="12" t="n">
        <x:v>0.1707</x:v>
      </x:c>
      <x:c r="E526" s="12" t="n">
        <x:v>0.001705292269754922</x:v>
      </x:c>
      <x:c r="F526" s="13" t="n">
        <x:v>43356</x:v>
      </x:c>
      <x:c r="G526" s="12" t="n">
        <x:v>3.35</x:v>
      </x:c>
      <x:c r="H526" s="12" t="n">
        <x:v>335</x:v>
      </x:c>
      <x:c r="I526" s="12" t="n">
        <x:v>-3</x:v>
      </x:c>
      <x:c r="J526" s="12" t="n">
        <x:v>1</x:v>
      </x:c>
    </x:row>
    <x:row r="527" ht="18" customHeight="1">
      <x:c r="A527" s="13" t="n">
        <x:v>43360</x:v>
      </x:c>
      <x:c r="B527" s="12" t="n">
        <x:v>3204.9224</x:v>
      </x:c>
      <x:c r="C527" s="12" t="n">
        <x:v>3242.0902</x:v>
      </x:c>
      <x:c r="D527" s="12" t="n">
        <x:v>-1.1464</x:v>
      </x:c>
      <x:c r="E527" s="12" t="n">
        <x:v>-0.01153036734731709</x:v>
      </x:c>
      <x:c r="F527" s="13" t="n">
        <x:v>43357</x:v>
      </x:c>
      <x:c r="G527" s="12" t="n">
        <x:v>3.29</x:v>
      </x:c>
      <x:c r="H527" s="12" t="n">
        <x:v>329</x:v>
      </x:c>
      <x:c r="I527" s="12" t="n">
        <x:v>-6</x:v>
      </x:c>
      <x:c r="J527" s="12" t="n">
        <x:v>3</x:v>
      </x:c>
    </x:row>
    <x:row r="528" ht="18" customHeight="1">
      <x:c r="A528" s="13" t="n">
        <x:v>43361</x:v>
      </x:c>
      <x:c r="B528" s="12" t="n">
        <x:v>3269.4319</x:v>
      </x:c>
      <x:c r="C528" s="12" t="n">
        <x:v>3204.9224</x:v>
      </x:c>
      <x:c r="D528" s="12" t="n">
        <x:v>2.0128</x:v>
      </x:c>
      <x:c r="E528" s="12" t="n">
        <x:v>0.01992836101832585</x:v>
      </x:c>
      <x:c r="F528" s="13" t="n">
        <x:v>43360</x:v>
      </x:c>
      <x:c r="G528" s="12" t="n">
        <x:v>3.29</x:v>
      </x:c>
      <x:c r="H528" s="12" t="n">
        <x:v>329</x:v>
      </x:c>
      <x:c r="I528" s="12" t="n">
        <x:v>0</x:v>
      </x:c>
      <x:c r="J528" s="12" t="n">
        <x:v>1</x:v>
      </x:c>
    </x:row>
    <x:row r="529" ht="18" customHeight="1">
      <x:c r="A529" s="13" t="n">
        <x:v>43362</x:v>
      </x:c>
      <x:c r="B529" s="12" t="n">
        <x:v>3312.4823</x:v>
      </x:c>
      <x:c r="C529" s="12" t="n">
        <x:v>3269.4319</x:v>
      </x:c>
      <x:c r="D529" s="12" t="n">
        <x:v>1.3168</x:v>
      </x:c>
      <x:c r="E529" s="12" t="n">
        <x:v>0.013081608972484867</x:v>
      </x:c>
      <x:c r="F529" s="13" t="n">
        <x:v>43361</x:v>
      </x:c>
      <x:c r="G529" s="12" t="n">
        <x:v>3.24</x:v>
      </x:c>
      <x:c r="H529" s="12" t="n">
        <x:v>324</x:v>
      </x:c>
      <x:c r="I529" s="12" t="n">
        <x:v>-5</x:v>
      </x:c>
      <x:c r="J529" s="12" t="n">
        <x:v>1</x:v>
      </x:c>
    </x:row>
    <x:row r="530" ht="18" customHeight="1">
      <x:c r="A530" s="13" t="n">
        <x:v>43363</x:v>
      </x:c>
      <x:c r="B530" s="12" t="n">
        <x:v>3310.1258</x:v>
      </x:c>
      <x:c r="C530" s="12" t="n">
        <x:v>3312.4823</x:v>
      </x:c>
      <x:c r="D530" s="12" t="n">
        <x:v>-0.0711</x:v>
      </x:c>
      <x:c r="E530" s="12" t="n">
        <x:v>-0.0007116531927820131</x:v>
      </x:c>
      <x:c r="F530" s="13" t="n">
        <x:v>43362</x:v>
      </x:c>
      <x:c r="G530" s="12" t="n">
        <x:v>3.24</x:v>
      </x:c>
      <x:c r="H530" s="12" t="n">
        <x:v>324</x:v>
      </x:c>
      <x:c r="I530" s="12" t="n">
        <x:v>0</x:v>
      </x:c>
      <x:c r="J530" s="12" t="n">
        <x:v>1</x:v>
      </x:c>
    </x:row>
    <x:row r="531" ht="18" customHeight="1">
      <x:c r="A531" s="13" t="n">
        <x:v>43364</x:v>
      </x:c>
      <x:c r="B531" s="12" t="n">
        <x:v>3410.4856</x:v>
      </x:c>
      <x:c r="C531" s="12" t="n">
        <x:v>3310.1258</x:v>
      </x:c>
      <x:c r="D531" s="12" t="n">
        <x:v>3.0319</x:v>
      </x:c>
      <x:c r="E531" s="12" t="n">
        <x:v>0.029868491139865755</x:v>
      </x:c>
      <x:c r="F531" s="13" t="n">
        <x:v>43363</x:v>
      </x:c>
      <x:c r="G531" s="12" t="n">
        <x:v>3.25</x:v>
      </x:c>
      <x:c r="H531" s="12" t="n">
        <x:v>325</x:v>
      </x:c>
      <x:c r="I531" s="12" t="n">
        <x:v>1</x:v>
      </x:c>
      <x:c r="J531" s="12" t="n">
        <x:v>1</x:v>
      </x:c>
    </x:row>
    <x:row r="532" ht="18" customHeight="1">
      <x:c r="A532" s="13" t="n">
        <x:v>43368</x:v>
      </x:c>
      <x:c r="B532" s="12" t="n">
        <x:v>3379.8043</x:v>
      </x:c>
      <x:c r="C532" s="12" t="n">
        <x:v>3410.4856</x:v>
      </x:c>
      <x:c r="D532" s="12" t="n">
        <x:v>-0.8996</x:v>
      </x:c>
      <x:c r="E532" s="12" t="n">
        <x:v>-0.009036877438513951</x:v>
      </x:c>
      <x:c r="F532" s="13" t="n">
        <x:v>43367</x:v>
      </x:c>
      <x:c r="G532" s="12" t="n">
        <x:v>3.28</x:v>
      </x:c>
      <x:c r="H532" s="12" t="n">
        <x:v>328</x:v>
      </x:c>
      <x:c r="I532" s="12" t="n">
        <x:v>3</x:v>
      </x:c>
      <x:c r="J532" s="12" t="n">
        <x:v>1</x:v>
      </x:c>
    </x:row>
    <x:row r="533" ht="18" customHeight="1">
      <x:c r="A533" s="13" t="n">
        <x:v>43369</x:v>
      </x:c>
      <x:c r="B533" s="12" t="n">
        <x:v>3417.2413</x:v>
      </x:c>
      <x:c r="C533" s="12" t="n">
        <x:v>3379.8043</x:v>
      </x:c>
      <x:c r="D533" s="12" t="n">
        <x:v>1.1077</x:v>
      </x:c>
      <x:c r="E533" s="12" t="n">
        <x:v>0.011015779730180341</x:v>
      </x:c>
      <x:c r="F533" s="13" t="n">
        <x:v>43368</x:v>
      </x:c>
      <x:c r="G533" s="12" t="n">
        <x:v>3.26</x:v>
      </x:c>
      <x:c r="H533" s="12" t="n">
        <x:v>326</x:v>
      </x:c>
      <x:c r="I533" s="12" t="n">
        <x:v>-2</x:v>
      </x:c>
      <x:c r="J533" s="12" t="n">
        <x:v>1</x:v>
      </x:c>
    </x:row>
    <x:row r="534" ht="18" customHeight="1">
      <x:c r="A534" s="13" t="n">
        <x:v>43370</x:v>
      </x:c>
      <x:c r="B534" s="12" t="n">
        <x:v>3403.5902</x:v>
      </x:c>
      <x:c r="C534" s="12" t="n">
        <x:v>3417.2413</x:v>
      </x:c>
      <x:c r="D534" s="12" t="n">
        <x:v>-0.3995</x:v>
      </x:c>
      <x:c r="E534" s="12" t="n">
        <x:v>-0.004002772455734116</x:v>
      </x:c>
      <x:c r="F534" s="13" t="n">
        <x:v>43369</x:v>
      </x:c>
      <x:c r="G534" s="12" t="n">
        <x:v>3.27</x:v>
      </x:c>
      <x:c r="H534" s="12" t="n">
        <x:v>327</x:v>
      </x:c>
      <x:c r="I534" s="12" t="n">
        <x:v>1</x:v>
      </x:c>
      <x:c r="J534" s="12" t="n">
        <x:v>1</x:v>
      </x:c>
    </x:row>
    <x:row r="535" ht="18" customHeight="1">
      <x:c r="A535" s="13" t="n">
        <x:v>43371</x:v>
      </x:c>
      <x:c r="B535" s="12" t="n">
        <x:v>3438.8649</x:v>
      </x:c>
      <x:c r="C535" s="12" t="n">
        <x:v>3403.5902</x:v>
      </x:c>
      <x:c r="D535" s="12" t="n">
        <x:v>1.0364</x:v>
      </x:c>
      <x:c r="E535" s="12" t="n">
        <x:v>0.010310630317834349</x:v>
      </x:c>
      <x:c r="F535" s="13" t="n">
        <x:v>43370</x:v>
      </x:c>
      <x:c r="G535" s="12" t="n">
        <x:v>3.25</x:v>
      </x:c>
      <x:c r="H535" s="12" t="n">
        <x:v>325</x:v>
      </x:c>
      <x:c r="I535" s="12" t="n">
        <x:v>-2</x:v>
      </x:c>
      <x:c r="J535" s="12" t="n">
        <x:v>1</x:v>
      </x:c>
    </x:row>
    <x:row r="536" ht="18" customHeight="1">
      <x:c r="A536" s="13" t="n">
        <x:v>43381</x:v>
      </x:c>
      <x:c r="B536" s="12" t="n">
        <x:v>3290.8988</x:v>
      </x:c>
      <x:c r="C536" s="12" t="n">
        <x:v>3438.8649</x:v>
      </x:c>
      <x:c r="D536" s="12" t="n">
        <x:v>-4.3028</x:v>
      </x:c>
      <x:c r="E536" s="12" t="n">
        <x:v>-0.04398072704604592</x:v>
      </x:c>
      <x:c r="F536" s="13" t="n">
        <x:v>43378</x:v>
      </x:c>
      <x:c r="G536" s="12" t="n">
        <x:v>3.32</x:v>
      </x:c>
      <x:c r="H536" s="12" t="n">
        <x:v>332</x:v>
      </x:c>
      <x:c r="I536" s="12" t="n">
        <x:v>3</x:v>
      </x:c>
      <x:c r="J536" s="12" t="n">
        <x:v>3</x:v>
      </x:c>
    </x:row>
    <x:row r="537" ht="18" customHeight="1">
      <x:c r="A537" s="13" t="n">
        <x:v>43382</x:v>
      </x:c>
      <x:c r="B537" s="12" t="n">
        <x:v>3288.6906</x:v>
      </x:c>
      <x:c r="C537" s="12" t="n">
        <x:v>3290.8988</x:v>
      </x:c>
      <x:c r="D537" s="12" t="n">
        <x:v>-0.0671</x:v>
      </x:c>
      <x:c r="E537" s="12" t="n">
        <x:v>-0.0006712273209352538</x:v>
      </x:c>
      <x:c r="F537" s="13" t="n">
        <x:v>43381</x:v>
      </x:c>
      <x:c r="G537" s="12" t="n">
        <x:v>3.32</x:v>
      </x:c>
      <x:c r="H537" s="12" t="n">
        <x:v>332</x:v>
      </x:c>
      <x:c r="I537" s="12" t="n">
        <x:v>0</x:v>
      </x:c>
      <x:c r="J537" s="12" t="n">
        <x:v>1</x:v>
      </x:c>
    </x:row>
    <x:row r="538" ht="18" customHeight="1">
      <x:c r="A538" s="13" t="n">
        <x:v>43383</x:v>
      </x:c>
      <x:c r="B538" s="12" t="n">
        <x:v>3281.5978</x:v>
      </x:c>
      <x:c r="C538" s="12" t="n">
        <x:v>3288.6906</x:v>
      </x:c>
      <x:c r="D538" s="12" t="n">
        <x:v>-0.2157</x:v>
      </x:c>
      <x:c r="E538" s="12" t="n">
        <x:v>-0.0021590537046332764</x:v>
      </x:c>
      <x:c r="F538" s="13" t="n">
        <x:v>43382</x:v>
      </x:c>
      <x:c r="G538" s="12" t="n">
        <x:v>3.41</x:v>
      </x:c>
      <x:c r="H538" s="12" t="n">
        <x:v>341</x:v>
      </x:c>
      <x:c r="I538" s="12" t="n">
        <x:v>9</x:v>
      </x:c>
      <x:c r="J538" s="12" t="n">
        <x:v>1</x:v>
      </x:c>
    </x:row>
    <x:row r="539" ht="18" customHeight="1">
      <x:c r="A539" s="13" t="n">
        <x:v>43384</x:v>
      </x:c>
      <x:c r="B539" s="12" t="n">
        <x:v>3124.1139</x:v>
      </x:c>
      <x:c r="C539" s="12" t="n">
        <x:v>3281.5978</x:v>
      </x:c>
      <x:c r="D539" s="12" t="n">
        <x:v>-4.799</x:v>
      </x:c>
      <x:c r="E539" s="12" t="n">
        <x:v>-0.04917974695117834</x:v>
      </x:c>
      <x:c r="F539" s="13" t="n">
        <x:v>43383</x:v>
      </x:c>
      <x:c r="G539" s="12" t="n">
        <x:v>3.51</x:v>
      </x:c>
      <x:c r="H539" s="12" t="n">
        <x:v>351</x:v>
      </x:c>
      <x:c r="I539" s="12" t="n">
        <x:v>10</x:v>
      </x:c>
      <x:c r="J539" s="12" t="n">
        <x:v>1</x:v>
      </x:c>
    </x:row>
    <x:row r="540" ht="18" customHeight="1">
      <x:c r="A540" s="13" t="n">
        <x:v>43385</x:v>
      </x:c>
      <x:c r="B540" s="12" t="n">
        <x:v>3170.7262</x:v>
      </x:c>
      <x:c r="C540" s="12" t="n">
        <x:v>3124.1139</x:v>
      </x:c>
      <x:c r="D540" s="12" t="n">
        <x:v>1.492</x:v>
      </x:c>
      <x:c r="E540" s="12" t="n">
        <x:v>0.0148099558467938</x:v>
      </x:c>
      <x:c r="F540" s="13" t="n">
        <x:v>43384</x:v>
      </x:c>
      <x:c r="G540" s="12" t="n">
        <x:v>3.58</x:v>
      </x:c>
      <x:c r="H540" s="12" t="n">
        <x:v>358</x:v>
      </x:c>
      <x:c r="I540" s="12" t="n">
        <x:v>7</x:v>
      </x:c>
      <x:c r="J540" s="12" t="n">
        <x:v>1</x:v>
      </x:c>
    </x:row>
    <x:row r="541" ht="18" customHeight="1">
      <x:c r="A541" s="13" t="n">
        <x:v>43388</x:v>
      </x:c>
      <x:c r="B541" s="12" t="n">
        <x:v>3126.4516</x:v>
      </x:c>
      <x:c r="C541" s="12" t="n">
        <x:v>3170.7262</x:v>
      </x:c>
      <x:c r="D541" s="12" t="n">
        <x:v>-1.3964</x:v>
      </x:c>
      <x:c r="E541" s="12" t="n">
        <x:v>-0.014061959490625714</x:v>
      </x:c>
      <x:c r="F541" s="13" t="n">
        <x:v>43385</x:v>
      </x:c>
      <x:c r="G541" s="12" t="n">
        <x:v>3.54</x:v>
      </x:c>
      <x:c r="H541" s="12" t="n">
        <x:v>354</x:v>
      </x:c>
      <x:c r="I541" s="12" t="n">
        <x:v>-4</x:v>
      </x:c>
      <x:c r="J541" s="12" t="n">
        <x:v>3</x:v>
      </x:c>
    </x:row>
    <x:row r="542" ht="18" customHeight="1">
      <x:c r="A542" s="13" t="n">
        <x:v>43389</x:v>
      </x:c>
      <x:c r="B542" s="12" t="n">
        <x:v>3100.9738</x:v>
      </x:c>
      <x:c r="C542" s="12" t="n">
        <x:v>3126.4516</x:v>
      </x:c>
      <x:c r="D542" s="12" t="n">
        <x:v>-0.8149</x:v>
      </x:c>
      <x:c r="E542" s="12" t="n">
        <x:v>-0.008182496140899246</x:v>
      </x:c>
      <x:c r="F542" s="13" t="n">
        <x:v>43388</x:v>
      </x:c>
      <x:c r="G542" s="12" t="n">
        <x:v>3.49</x:v>
      </x:c>
      <x:c r="H542" s="12" t="n">
        <x:v>349</x:v>
      </x:c>
      <x:c r="I542" s="12" t="n">
        <x:v>-5</x:v>
      </x:c>
      <x:c r="J542" s="12" t="n">
        <x:v>1</x:v>
      </x:c>
    </x:row>
    <x:row r="543" ht="18" customHeight="1">
      <x:c r="A543" s="13" t="n">
        <x:v>43390</x:v>
      </x:c>
      <x:c r="B543" s="12" t="n">
        <x:v>3118.2463</x:v>
      </x:c>
      <x:c r="C543" s="12" t="n">
        <x:v>3100.9738</x:v>
      </x:c>
      <x:c r="D543" s="12" t="n">
        <x:v>0.557</x:v>
      </x:c>
      <x:c r="E543" s="12" t="n">
        <x:v>0.0055545692648370695</x:v>
      </x:c>
      <x:c r="F543" s="13" t="n">
        <x:v>43389</x:v>
      </x:c>
      <x:c r="G543" s="12" t="n">
        <x:v>3.45</x:v>
      </x:c>
      <x:c r="H543" s="12" t="n">
        <x:v>345</x:v>
      </x:c>
      <x:c r="I543" s="12" t="n">
        <x:v>-4</x:v>
      </x:c>
      <x:c r="J543" s="12" t="n">
        <x:v>1</x:v>
      </x:c>
    </x:row>
    <x:row r="544" ht="18" customHeight="1">
      <x:c r="A544" s="13" t="n">
        <x:v>43391</x:v>
      </x:c>
      <x:c r="B544" s="12" t="n">
        <x:v>3044.3918</x:v>
      </x:c>
      <x:c r="C544" s="12" t="n">
        <x:v>3118.2463</x:v>
      </x:c>
      <x:c r="D544" s="12" t="n">
        <x:v>-2.3685</x:v>
      </x:c>
      <x:c r="E544" s="12" t="n">
        <x:v>-0.023969616522507044</x:v>
      </x:c>
      <x:c r="F544" s="13" t="n">
        <x:v>43390</x:v>
      </x:c>
      <x:c r="G544" s="12" t="n">
        <x:v>3.45</x:v>
      </x:c>
      <x:c r="H544" s="12" t="n">
        <x:v>345</x:v>
      </x:c>
      <x:c r="I544" s="12" t="n">
        <x:v>0</x:v>
      </x:c>
      <x:c r="J544" s="12" t="n">
        <x:v>1</x:v>
      </x:c>
    </x:row>
    <x:row r="545" ht="18" customHeight="1">
      <x:c r="A545" s="13" t="n">
        <x:v>43392</x:v>
      </x:c>
      <x:c r="B545" s="12" t="n">
        <x:v>3134.9455</x:v>
      </x:c>
      <x:c r="C545" s="12" t="n">
        <x:v>3044.3918</x:v>
      </x:c>
      <x:c r="D545" s="12" t="n">
        <x:v>2.9744</x:v>
      </x:c>
      <x:c r="E545" s="12" t="n">
        <x:v>0.029310645626263784</x:v>
      </x:c>
      <x:c r="F545" s="13" t="n">
        <x:v>43391</x:v>
      </x:c>
      <x:c r="G545" s="12" t="n">
        <x:v>3.51</x:v>
      </x:c>
      <x:c r="H545" s="12" t="n">
        <x:v>351</x:v>
      </x:c>
      <x:c r="I545" s="12" t="n">
        <x:v>6</x:v>
      </x:c>
      <x:c r="J545" s="12" t="n">
        <x:v>1</x:v>
      </x:c>
    </x:row>
    <x:row r="546" ht="18" customHeight="1">
      <x:c r="A546" s="13" t="n">
        <x:v>43395</x:v>
      </x:c>
      <x:c r="B546" s="12" t="n">
        <x:v>3270.2732</x:v>
      </x:c>
      <x:c r="C546" s="12" t="n">
        <x:v>3134.9455</x:v>
      </x:c>
      <x:c r="D546" s="12" t="n">
        <x:v>4.3167</x:v>
      </x:c>
      <x:c r="E546" s="12" t="n">
        <x:v>0.042261739256125835</x:v>
      </x:c>
      <x:c r="F546" s="13" t="n">
        <x:v>43392</x:v>
      </x:c>
      <x:c r="G546" s="12" t="n">
        <x:v>3.51</x:v>
      </x:c>
      <x:c r="H546" s="12" t="n">
        <x:v>351</x:v>
      </x:c>
      <x:c r="I546" s="12" t="n">
        <x:v>0</x:v>
      </x:c>
      <x:c r="J546" s="12" t="n">
        <x:v>3</x:v>
      </x:c>
    </x:row>
    <x:row r="547" ht="18" customHeight="1">
      <x:c r="A547" s="13" t="n">
        <x:v>43396</x:v>
      </x:c>
      <x:c r="B547" s="12" t="n">
        <x:v>3183.4257</x:v>
      </x:c>
      <x:c r="C547" s="12" t="n">
        <x:v>3270.2732</x:v>
      </x:c>
      <x:c r="D547" s="12" t="n">
        <x:v>-2.6557</x:v>
      </x:c>
      <x:c r="E547" s="12" t="n">
        <x:v>-0.026915647709496032</x:v>
      </x:c>
      <x:c r="F547" s="13" t="n">
        <x:v>43395</x:v>
      </x:c>
      <x:c r="G547" s="12" t="n">
        <x:v>3.52</x:v>
      </x:c>
      <x:c r="H547" s="12" t="n">
        <x:v>352</x:v>
      </x:c>
      <x:c r="I547" s="12" t="n">
        <x:v>1</x:v>
      </x:c>
      <x:c r="J547" s="12" t="n">
        <x:v>1</x:v>
      </x:c>
    </x:row>
    <x:row r="548" ht="18" customHeight="1">
      <x:c r="A548" s="13" t="n">
        <x:v>43397</x:v>
      </x:c>
      <x:c r="B548" s="12" t="n">
        <x:v>3188.2018</x:v>
      </x:c>
      <x:c r="C548" s="12" t="n">
        <x:v>3183.4257</x:v>
      </x:c>
      <x:c r="D548" s="12" t="n">
        <x:v>0.15</x:v>
      </x:c>
      <x:c r="E548" s="12" t="n">
        <x:v>0.0014991776887575102</x:v>
      </x:c>
      <x:c r="F548" s="13" t="n">
        <x:v>43396</x:v>
      </x:c>
      <x:c r="G548" s="12" t="n">
        <x:v>3.65</x:v>
      </x:c>
      <x:c r="H548" s="12" t="n">
        <x:v>365</x:v>
      </x:c>
      <x:c r="I548" s="12" t="n">
        <x:v>13</x:v>
      </x:c>
      <x:c r="J548" s="12" t="n">
        <x:v>1</x:v>
      </x:c>
    </x:row>
    <x:row r="549" ht="18" customHeight="1">
      <x:c r="A549" s="13" t="n">
        <x:v>43398</x:v>
      </x:c>
      <x:c r="B549" s="12" t="n">
        <x:v>3194.3084</x:v>
      </x:c>
      <x:c r="C549" s="12" t="n">
        <x:v>3188.2018</x:v>
      </x:c>
      <x:c r="D549" s="12" t="n">
        <x:v>0.1915</x:v>
      </x:c>
      <x:c r="E549" s="12" t="n">
        <x:v>0.0019135423750204369</x:v>
      </x:c>
      <x:c r="F549" s="13" t="n">
        <x:v>43397</x:v>
      </x:c>
      <x:c r="G549" s="12" t="n">
        <x:v>3.68</x:v>
      </x:c>
      <x:c r="H549" s="12" t="n">
        <x:v>368</x:v>
      </x:c>
      <x:c r="I549" s="12" t="n">
        <x:v>3</x:v>
      </x:c>
      <x:c r="J549" s="12" t="n">
        <x:v>1</x:v>
      </x:c>
    </x:row>
    <x:row r="550" ht="18" customHeight="1">
      <x:c r="A550" s="13" t="n">
        <x:v>43399</x:v>
      </x:c>
      <x:c r="B550" s="12" t="n">
        <x:v>3173.635</x:v>
      </x:c>
      <x:c r="C550" s="12" t="n">
        <x:v>3194.3084</x:v>
      </x:c>
      <x:c r="D550" s="12" t="n">
        <x:v>-0.6472</x:v>
      </x:c>
      <x:c r="E550" s="12" t="n">
        <x:v>-0.006492982531994522</x:v>
      </x:c>
      <x:c r="F550" s="13" t="n">
        <x:v>43398</x:v>
      </x:c>
      <x:c r="G550" s="12" t="n">
        <x:v>3.72</x:v>
      </x:c>
      <x:c r="H550" s="12" t="n">
        <x:v>372</x:v>
      </x:c>
      <x:c r="I550" s="12" t="n">
        <x:v>4</x:v>
      </x:c>
      <x:c r="J550" s="12" t="n">
        <x:v>1</x:v>
      </x:c>
    </x:row>
    <x:row r="551" ht="18" customHeight="1">
      <x:c r="A551" s="13" t="n">
        <x:v>43402</x:v>
      </x:c>
      <x:c r="B551" s="12" t="n">
        <x:v>3076.8889</x:v>
      </x:c>
      <x:c r="C551" s="12" t="n">
        <x:v>3173.635</x:v>
      </x:c>
      <x:c r="D551" s="12" t="n">
        <x:v>-3.0484</x:v>
      </x:c>
      <x:c r="E551" s="12" t="n">
        <x:v>-0.03095862955146051</x:v>
      </x:c>
      <x:c r="F551" s="13" t="n">
        <x:v>43399</x:v>
      </x:c>
      <x:c r="G551" s="12" t="n">
        <x:v>3.85</x:v>
      </x:c>
      <x:c r="H551" s="12" t="n">
        <x:v>385</x:v>
      </x:c>
      <x:c r="I551" s="12" t="n">
        <x:v>13</x:v>
      </x:c>
      <x:c r="J551" s="12" t="n">
        <x:v>3</x:v>
      </x:c>
    </x:row>
    <x:row r="552" ht="18" customHeight="1">
      <x:c r="A552" s="13" t="n">
        <x:v>43403</x:v>
      </x:c>
      <x:c r="B552" s="12" t="n">
        <x:v>3110.2605</x:v>
      </x:c>
      <x:c r="C552" s="12" t="n">
        <x:v>3076.8889</x:v>
      </x:c>
      <x:c r="D552" s="12" t="n">
        <x:v>1.0846</x:v>
      </x:c>
      <x:c r="E552" s="12" t="n">
        <x:v>0.010787495650464536</x:v>
      </x:c>
      <x:c r="F552" s="13" t="n">
        <x:v>43402</x:v>
      </x:c>
      <x:c r="G552" s="12" t="n">
        <x:v>3.84</x:v>
      </x:c>
      <x:c r="H552" s="12" t="n">
        <x:v>384</x:v>
      </x:c>
      <x:c r="I552" s="12" t="n">
        <x:v>-1</x:v>
      </x:c>
      <x:c r="J552" s="12" t="n">
        <x:v>1</x:v>
      </x:c>
    </x:row>
    <x:row r="553" ht="18" customHeight="1">
      <x:c r="A553" s="13" t="n">
        <x:v>43404</x:v>
      </x:c>
      <x:c r="B553" s="12" t="n">
        <x:v>3153.8234</x:v>
      </x:c>
      <x:c r="C553" s="12" t="n">
        <x:v>3110.2605</x:v>
      </x:c>
      <x:c r="D553" s="12" t="n">
        <x:v>1.4006</x:v>
      </x:c>
      <x:c r="E553" s="12" t="n">
        <x:v>0.013909009841423929</x:v>
      </x:c>
      <x:c r="F553" s="13" t="n">
        <x:v>43403</x:v>
      </x:c>
      <x:c r="G553" s="12" t="n">
        <x:v>3.89</x:v>
      </x:c>
      <x:c r="H553" s="12" t="n">
        <x:v>389</x:v>
      </x:c>
      <x:c r="I553" s="12" t="n">
        <x:v>5</x:v>
      </x:c>
      <x:c r="J553" s="12" t="n">
        <x:v>1</x:v>
      </x:c>
    </x:row>
    <x:row r="554" ht="18" customHeight="1">
      <x:c r="A554" s="13" t="n">
        <x:v>43405</x:v>
      </x:c>
      <x:c r="B554" s="12" t="n">
        <x:v>3177.0338</x:v>
      </x:c>
      <x:c r="C554" s="12" t="n">
        <x:v>3153.8234</x:v>
      </x:c>
      <x:c r="D554" s="12" t="n">
        <x:v>0.7359</x:v>
      </x:c>
      <x:c r="E554" s="12" t="n">
        <x:v>0.007332499615765938</x:v>
      </x:c>
      <x:c r="F554" s="13" t="n">
        <x:v>43404</x:v>
      </x:c>
      <x:c r="G554" s="12" t="n">
        <x:v>3.81</x:v>
      </x:c>
      <x:c r="H554" s="12" t="n">
        <x:v>381</x:v>
      </x:c>
      <x:c r="I554" s="12" t="n">
        <x:v>-8</x:v>
      </x:c>
      <x:c r="J554" s="12" t="n">
        <x:v>1</x:v>
      </x:c>
    </x:row>
    <x:row r="555" ht="18" customHeight="1">
      <x:c r="A555" s="13" t="n">
        <x:v>43406</x:v>
      </x:c>
      <x:c r="B555" s="12" t="n">
        <x:v>3290.2455</x:v>
      </x:c>
      <x:c r="C555" s="12" t="n">
        <x:v>3177.0338</x:v>
      </x:c>
      <x:c r="D555" s="12" t="n">
        <x:v>3.5634</x:v>
      </x:c>
      <x:c r="E555" s="12" t="n">
        <x:v>0.03501418785576726</x:v>
      </x:c>
      <x:c r="F555" s="13" t="n">
        <x:v>43405</x:v>
      </x:c>
      <x:c r="G555" s="12" t="n">
        <x:v>3.81</x:v>
      </x:c>
      <x:c r="H555" s="12" t="n">
        <x:v>381</x:v>
      </x:c>
      <x:c r="I555" s="12" t="n">
        <x:v>0</x:v>
      </x:c>
      <x:c r="J555" s="12" t="n">
        <x:v>1</x:v>
      </x:c>
    </x:row>
    <x:row r="556" ht="18" customHeight="1">
      <x:c r="A556" s="13" t="n">
        <x:v>43409</x:v>
      </x:c>
      <x:c r="B556" s="12" t="n">
        <x:v>3262.8351</x:v>
      </x:c>
      <x:c r="C556" s="12" t="n">
        <x:v>3290.2455</x:v>
      </x:c>
      <x:c r="D556" s="12" t="n">
        <x:v>-0.8331</x:v>
      </x:c>
      <x:c r="E556" s="12" t="n">
        <x:v>-0.008365702036225015</x:v>
      </x:c>
      <x:c r="F556" s="13" t="n">
        <x:v>43406</x:v>
      </x:c>
      <x:c r="G556" s="12" t="n">
        <x:v>3.72</x:v>
      </x:c>
      <x:c r="H556" s="12" t="n">
        <x:v>372</x:v>
      </x:c>
      <x:c r="I556" s="12" t="n">
        <x:v>-9</x:v>
      </x:c>
      <x:c r="J556" s="12" t="n">
        <x:v>3</x:v>
      </x:c>
    </x:row>
    <x:row r="557" ht="18" customHeight="1">
      <x:c r="A557" s="13" t="n">
        <x:v>43410</x:v>
      </x:c>
      <x:c r="B557" s="12" t="n">
        <x:v>3243.1504</x:v>
      </x:c>
      <x:c r="C557" s="12" t="n">
        <x:v>3262.8351</x:v>
      </x:c>
      <x:c r="D557" s="12" t="n">
        <x:v>-0.6033</x:v>
      </x:c>
      <x:c r="E557" s="12" t="n">
        <x:v>-0.006051276956503466</x:v>
      </x:c>
      <x:c r="F557" s="13" t="n">
        <x:v>43409</x:v>
      </x:c>
      <x:c r="G557" s="12" t="n">
        <x:v>3.72</x:v>
      </x:c>
      <x:c r="H557" s="12" t="n">
        <x:v>372</x:v>
      </x:c>
      <x:c r="I557" s="12" t="n">
        <x:v>0</x:v>
      </x:c>
      <x:c r="J557" s="12" t="n">
        <x:v>1</x:v>
      </x:c>
    </x:row>
    <x:row r="558" ht="18" customHeight="1">
      <x:c r="A558" s="13" t="n">
        <x:v>43411</x:v>
      </x:c>
      <x:c r="B558" s="12" t="n">
        <x:v>3221.9101</x:v>
      </x:c>
      <x:c r="C558" s="12" t="n">
        <x:v>3243.1504</x:v>
      </x:c>
      <x:c r="D558" s="12" t="n">
        <x:v>-0.6549</x:v>
      </x:c>
      <x:c r="E558" s="12" t="n">
        <x:v>-0.006570820620157931</x:v>
      </x:c>
      <x:c r="F558" s="13" t="n">
        <x:v>43410</x:v>
      </x:c>
      <x:c r="G558" s="12" t="n">
        <x:v>3.68</x:v>
      </x:c>
      <x:c r="H558" s="12" t="n">
        <x:v>368</x:v>
      </x:c>
      <x:c r="I558" s="12" t="n">
        <x:v>-4</x:v>
      </x:c>
      <x:c r="J558" s="12" t="n">
        <x:v>1</x:v>
      </x:c>
    </x:row>
    <x:row r="559" ht="18" customHeight="1">
      <x:c r="A559" s="13" t="n">
        <x:v>43412</x:v>
      </x:c>
      <x:c r="B559" s="12" t="n">
        <x:v>3212.7737</x:v>
      </x:c>
      <x:c r="C559" s="12" t="n">
        <x:v>3221.9101</x:v>
      </x:c>
      <x:c r="D559" s="12" t="n">
        <x:v>-0.2836</x:v>
      </x:c>
      <x:c r="E559" s="12" t="n">
        <x:v>-0.0028397374055093238</x:v>
      </x:c>
      <x:c r="F559" s="13" t="n">
        <x:v>43411</x:v>
      </x:c>
      <x:c r="G559" s="12" t="n">
        <x:v>3.6</x:v>
      </x:c>
      <x:c r="H559" s="12" t="n">
        <x:v>360</x:v>
      </x:c>
      <x:c r="I559" s="12" t="n">
        <x:v>-8</x:v>
      </x:c>
      <x:c r="J559" s="12" t="n">
        <x:v>1</x:v>
      </x:c>
    </x:row>
    <x:row r="560" ht="18" customHeight="1">
      <x:c r="A560" s="13" t="n">
        <x:v>43413</x:v>
      </x:c>
      <x:c r="B560" s="12" t="n">
        <x:v>3167.4442</x:v>
      </x:c>
      <x:c r="C560" s="12" t="n">
        <x:v>3212.7737</x:v>
      </x:c>
      <x:c r="D560" s="12" t="n">
        <x:v>-1.4109</x:v>
      </x:c>
      <x:c r="E560" s="12" t="n">
        <x:v>-0.014209628394483092</x:v>
      </x:c>
      <x:c r="F560" s="13" t="n">
        <x:v>43412</x:v>
      </x:c>
      <x:c r="G560" s="12" t="n">
        <x:v>3.57</x:v>
      </x:c>
      <x:c r="H560" s="12" t="n">
        <x:v>357</x:v>
      </x:c>
      <x:c r="I560" s="12" t="n">
        <x:v>-3</x:v>
      </x:c>
      <x:c r="J560" s="12" t="n">
        <x:v>1</x:v>
      </x:c>
    </x:row>
    <x:row r="561" ht="18" customHeight="1">
      <x:c r="A561" s="13" t="n">
        <x:v>43416</x:v>
      </x:c>
      <x:c r="B561" s="12" t="n">
        <x:v>3205.1407</x:v>
      </x:c>
      <x:c r="C561" s="12" t="n">
        <x:v>3167.4442</x:v>
      </x:c>
      <x:c r="D561" s="12" t="n">
        <x:v>1.1901</x:v>
      </x:c>
      <x:c r="E561" s="12" t="n">
        <x:v>0.011830972923802153</x:v>
      </x:c>
      <x:c r="F561" s="13" t="n">
        <x:v>43413</x:v>
      </x:c>
      <x:c r="G561" s="12" t="n">
        <x:v>3.71</x:v>
      </x:c>
      <x:c r="H561" s="12" t="n">
        <x:v>371</x:v>
      </x:c>
      <x:c r="I561" s="12" t="n">
        <x:v>14</x:v>
      </x:c>
      <x:c r="J561" s="12" t="n">
        <x:v>3</x:v>
      </x:c>
    </x:row>
    <x:row r="562" ht="18" customHeight="1">
      <x:c r="A562" s="13" t="n">
        <x:v>43417</x:v>
      </x:c>
      <x:c r="B562" s="12" t="n">
        <x:v>3237.3823</x:v>
      </x:c>
      <x:c r="C562" s="12" t="n">
        <x:v>3205.1407</x:v>
      </x:c>
      <x:c r="D562" s="12" t="n">
        <x:v>1.0059</x:v>
      </x:c>
      <x:c r="E562" s="12" t="n">
        <x:v>0.01000908158737834</x:v>
      </x:c>
      <x:c r="F562" s="13" t="n">
        <x:v>43416</x:v>
      </x:c>
      <x:c r="G562" s="12" t="n">
        <x:v>3.71</x:v>
      </x:c>
      <x:c r="H562" s="12" t="n">
        <x:v>371</x:v>
      </x:c>
      <x:c r="I562" s="12" t="n">
        <x:v>0</x:v>
      </x:c>
      <x:c r="J562" s="12" t="n">
        <x:v>1</x:v>
      </x:c>
    </x:row>
    <x:row r="563" ht="18" customHeight="1">
      <x:c r="A563" s="13" t="n">
        <x:v>43418</x:v>
      </x:c>
      <x:c r="B563" s="12" t="n">
        <x:v>3204.9427</x:v>
      </x:c>
      <x:c r="C563" s="12" t="n">
        <x:v>3237.3823</x:v>
      </x:c>
      <x:c r="D563" s="12" t="n">
        <x:v>-1.002</x:v>
      </x:c>
      <x:c r="E563" s="12" t="n">
        <x:v>-0.010070859254752394</x:v>
      </x:c>
      <x:c r="F563" s="13" t="n">
        <x:v>43417</x:v>
      </x:c>
      <x:c r="G563" s="12" t="n">
        <x:v>3.89</x:v>
      </x:c>
      <x:c r="H563" s="12" t="n">
        <x:v>389</x:v>
      </x:c>
      <x:c r="I563" s="12" t="n">
        <x:v>18</x:v>
      </x:c>
      <x:c r="J563" s="12" t="n">
        <x:v>1</x:v>
      </x:c>
    </x:row>
    <x:row r="564" ht="18" customHeight="1">
      <x:c r="A564" s="13" t="n">
        <x:v>43419</x:v>
      </x:c>
      <x:c r="B564" s="12" t="n">
        <x:v>3242.3715</x:v>
      </x:c>
      <x:c r="C564" s="12" t="n">
        <x:v>3204.9427</x:v>
      </x:c>
      <x:c r="D564" s="12" t="n">
        <x:v>1.1678</x:v>
      </x:c>
      <x:c r="E564" s="12" t="n">
        <x:v>0.011610794610305406</x:v>
      </x:c>
      <x:c r="F564" s="13" t="n">
        <x:v>43418</x:v>
      </x:c>
      <x:c r="G564" s="12" t="n">
        <x:v>3.99</x:v>
      </x:c>
      <x:c r="H564" s="12" t="n">
        <x:v>399</x:v>
      </x:c>
      <x:c r="I564" s="12" t="n">
        <x:v>10</x:v>
      </x:c>
      <x:c r="J564" s="12" t="n">
        <x:v>1</x:v>
      </x:c>
    </x:row>
    <x:row r="565" ht="18" customHeight="1">
      <x:c r="A565" s="13" t="n">
        <x:v>43420</x:v>
      </x:c>
      <x:c r="B565" s="12" t="n">
        <x:v>3257.6735</x:v>
      </x:c>
      <x:c r="C565" s="12" t="n">
        <x:v>3242.3715</x:v>
      </x:c>
      <x:c r="D565" s="12" t="n">
        <x:v>0.4719</x:v>
      </x:c>
      <x:c r="E565" s="12" t="n">
        <x:v>0.004708283794282228</x:v>
      </x:c>
      <x:c r="F565" s="13" t="n">
        <x:v>43419</x:v>
      </x:c>
      <x:c r="G565" s="12" t="n">
        <x:v>4.11</x:v>
      </x:c>
      <x:c r="H565" s="12" t="n">
        <x:v>411.00000000000006</x:v>
      </x:c>
      <x:c r="I565" s="12" t="n">
        <x:v>12.000000000000057</x:v>
      </x:c>
      <x:c r="J565" s="12" t="n">
        <x:v>1</x:v>
      </x:c>
    </x:row>
    <x:row r="566" ht="18" customHeight="1">
      <x:c r="A566" s="13" t="n">
        <x:v>43423</x:v>
      </x:c>
      <x:c r="B566" s="12" t="n">
        <x:v>3294.6031</x:v>
      </x:c>
      <x:c r="C566" s="12" t="n">
        <x:v>3257.6735</x:v>
      </x:c>
      <x:c r="D566" s="12" t="n">
        <x:v>1.1336</x:v>
      </x:c>
      <x:c r="E566" s="12" t="n">
        <x:v>0.011272415161681665</x:v>
      </x:c>
      <x:c r="F566" s="13" t="n">
        <x:v>43420</x:v>
      </x:c>
      <x:c r="G566" s="12" t="n">
        <x:v>4.18</x:v>
      </x:c>
      <x:c r="H566" s="12" t="n">
        <x:v>418</x:v>
      </x:c>
      <x:c r="I566" s="12" t="n">
        <x:v>6.999999999999943</x:v>
      </x:c>
      <x:c r="J566" s="12" t="n">
        <x:v>3</x:v>
      </x:c>
    </x:row>
    <x:row r="567" ht="18" customHeight="1">
      <x:c r="A567" s="13" t="n">
        <x:v>43424</x:v>
      </x:c>
      <x:c r="B567" s="12" t="n">
        <x:v>3218.4076</x:v>
      </x:c>
      <x:c r="C567" s="12" t="n">
        <x:v>3294.6031</x:v>
      </x:c>
      <x:c r="D567" s="12" t="n">
        <x:v>-2.3127</x:v>
      </x:c>
      <x:c r="E567" s="12" t="n">
        <x:v>-0.023399002391473384</x:v>
      </x:c>
      <x:c r="F567" s="13" t="n">
        <x:v>43423</x:v>
      </x:c>
      <x:c r="G567" s="12" t="n">
        <x:v>4.25</x:v>
      </x:c>
      <x:c r="H567" s="12" t="n">
        <x:v>425</x:v>
      </x:c>
      <x:c r="I567" s="12" t="n">
        <x:v>7</x:v>
      </x:c>
      <x:c r="J567" s="12" t="n">
        <x:v>1</x:v>
      </x:c>
    </x:row>
    <x:row r="568" ht="18" customHeight="1">
      <x:c r="A568" s="13" t="n">
        <x:v>43425</x:v>
      </x:c>
      <x:c r="B568" s="12" t="n">
        <x:v>3226.4918</x:v>
      </x:c>
      <x:c r="C568" s="12" t="n">
        <x:v>3218.4076</x:v>
      </x:c>
      <x:c r="D568" s="12" t="n">
        <x:v>0.2512</x:v>
      </x:c>
      <x:c r="E568" s="12" t="n">
        <x:v>0.002508713864462597</x:v>
      </x:c>
      <x:c r="F568" s="13" t="n">
        <x:v>43424</x:v>
      </x:c>
      <x:c r="G568" s="12" t="n">
        <x:v>4.33</x:v>
      </x:c>
      <x:c r="H568" s="12" t="n">
        <x:v>433</x:v>
      </x:c>
      <x:c r="I568" s="12" t="n">
        <x:v>8</x:v>
      </x:c>
      <x:c r="J568" s="12" t="n">
        <x:v>1</x:v>
      </x:c>
    </x:row>
    <x:row r="569" ht="18" customHeight="1">
      <x:c r="A569" s="13" t="n">
        <x:v>43426</x:v>
      </x:c>
      <x:c r="B569" s="12" t="n">
        <x:v>3214.4273</x:v>
      </x:c>
      <x:c r="C569" s="12" t="n">
        <x:v>3226.4918</x:v>
      </x:c>
      <x:c r="D569" s="12" t="n">
        <x:v>-0.3739</x:v>
      </x:c>
      <x:c r="E569" s="12" t="n">
        <x:v>-0.003746208863114145</x:v>
      </x:c>
      <x:c r="F569" s="13" t="n">
        <x:v>43425</x:v>
      </x:c>
      <x:c r="G569" s="12" t="n">
        <x:v>4.24</x:v>
      </x:c>
      <x:c r="H569" s="12" t="n">
        <x:v>424</x:v>
      </x:c>
      <x:c r="I569" s="12" t="n">
        <x:v>-9</x:v>
      </x:c>
      <x:c r="J569" s="12" t="n">
        <x:v>1</x:v>
      </x:c>
    </x:row>
    <x:row r="570" ht="18" customHeight="1">
      <x:c r="A570" s="13" t="n">
        <x:v>43427</x:v>
      </x:c>
      <x:c r="B570" s="12" t="n">
        <x:v>3143.4752</x:v>
      </x:c>
      <x:c r="C570" s="12" t="n">
        <x:v>3214.4273</x:v>
      </x:c>
      <x:c r="D570" s="12" t="n">
        <x:v>-2.2073</x:v>
      </x:c>
      <x:c r="E570" s="12" t="n">
        <x:v>-0.022320268559339572</x:v>
      </x:c>
      <x:c r="F570" s="13" t="n">
        <x:v>43426</x:v>
      </x:c>
      <x:c r="G570" s="12" t="n">
        <x:v>4.25</x:v>
      </x:c>
      <x:c r="H570" s="12" t="n">
        <x:v>425</x:v>
      </x:c>
      <x:c r="I570" s="12" t="n">
        <x:v>1</x:v>
      </x:c>
      <x:c r="J570" s="12" t="n">
        <x:v>1</x:v>
      </x:c>
    </x:row>
    <x:row r="571" ht="18" customHeight="1">
      <x:c r="A571" s="13" t="n">
        <x:v>43430</x:v>
      </x:c>
      <x:c r="B571" s="12" t="n">
        <x:v>3141.2434</x:v>
      </x:c>
      <x:c r="C571" s="12" t="n">
        <x:v>3143.4752</x:v>
      </x:c>
      <x:c r="D571" s="12" t="n">
        <x:v>-0.071</x:v>
      </x:c>
      <x:c r="E571" s="12" t="n">
        <x:v>-0.0007102307154421204</x:v>
      </x:c>
      <x:c r="F571" s="13" t="n">
        <x:v>43427</x:v>
      </x:c>
      <x:c r="G571" s="12" t="n">
        <x:v>4.29</x:v>
      </x:c>
      <x:c r="H571" s="12" t="n">
        <x:v>429</x:v>
      </x:c>
      <x:c r="I571" s="12" t="n">
        <x:v>4</x:v>
      </x:c>
      <x:c r="J571" s="12" t="n">
        <x:v>3</x:v>
      </x:c>
    </x:row>
    <x:row r="572" ht="18" customHeight="1">
      <x:c r="A572" s="13" t="n">
        <x:v>43431</x:v>
      </x:c>
      <x:c r="B572" s="12" t="n">
        <x:v>3137.2413</x:v>
      </x:c>
      <x:c r="C572" s="12" t="n">
        <x:v>3141.2434</x:v>
      </x:c>
      <x:c r="D572" s="12" t="n">
        <x:v>-0.1274</x:v>
      </x:c>
      <x:c r="E572" s="12" t="n">
        <x:v>-0.001274861923942222</x:v>
      </x:c>
      <x:c r="F572" s="13" t="n">
        <x:v>43430</x:v>
      </x:c>
      <x:c r="G572" s="12" t="n">
        <x:v>4.26</x:v>
      </x:c>
      <x:c r="H572" s="12" t="n">
        <x:v>426</x:v>
      </x:c>
      <x:c r="I572" s="12" t="n">
        <x:v>-3</x:v>
      </x:c>
      <x:c r="J572" s="12" t="n">
        <x:v>1</x:v>
      </x:c>
    </x:row>
    <x:row r="573" ht="18" customHeight="1">
      <x:c r="A573" s="13" t="n">
        <x:v>43432</x:v>
      </x:c>
      <x:c r="B573" s="12" t="n">
        <x:v>3178.9326</x:v>
      </x:c>
      <x:c r="C573" s="12" t="n">
        <x:v>3137.2413</x:v>
      </x:c>
      <x:c r="D573" s="12" t="n">
        <x:v>1.3289</x:v>
      </x:c>
      <x:c r="E573" s="12" t="n">
        <x:v>0.013201633193070952</x:v>
      </x:c>
      <x:c r="F573" s="13" t="n">
        <x:v>43431</x:v>
      </x:c>
      <x:c r="G573" s="12" t="n">
        <x:v>4.31</x:v>
      </x:c>
      <x:c r="H573" s="12" t="n">
        <x:v>430.99999999999994</x:v>
      </x:c>
      <x:c r="I573" s="12" t="n">
        <x:v>4.999999999999943</x:v>
      </x:c>
      <x:c r="J573" s="12" t="n">
        <x:v>1</x:v>
      </x:c>
    </x:row>
    <x:row r="574" ht="18" customHeight="1">
      <x:c r="A574" s="13" t="n">
        <x:v>43433</x:v>
      </x:c>
      <x:c r="B574" s="12" t="n">
        <x:v>3137.6542</x:v>
      </x:c>
      <x:c r="C574" s="12" t="n">
        <x:v>3178.9326</x:v>
      </x:c>
      <x:c r="D574" s="12" t="n">
        <x:v>-1.2985</x:v>
      </x:c>
      <x:c r="E574" s="12" t="n">
        <x:v>-0.013070029407606876</x:v>
      </x:c>
      <x:c r="F574" s="13" t="n">
        <x:v>43432</x:v>
      </x:c>
      <x:c r="G574" s="12" t="n">
        <x:v>4.25</x:v>
      </x:c>
      <x:c r="H574" s="12" t="n">
        <x:v>425</x:v>
      </x:c>
      <x:c r="I574" s="12" t="n">
        <x:v>-5.999999999999943</x:v>
      </x:c>
      <x:c r="J574" s="12" t="n">
        <x:v>1</x:v>
      </x:c>
    </x:row>
    <x:row r="575" ht="18" customHeight="1">
      <x:c r="A575" s="13" t="n">
        <x:v>43434</x:v>
      </x:c>
      <x:c r="B575" s="12" t="n">
        <x:v>3172.69</x:v>
      </x:c>
      <x:c r="C575" s="12" t="n">
        <x:v>3137.6542</x:v>
      </x:c>
      <x:c r="D575" s="12" t="n">
        <x:v>1.1166</x:v>
      </x:c>
      <x:c r="E575" s="12" t="n">
        <x:v>0.01110435782943523</x:v>
      </x:c>
      <x:c r="F575" s="13" t="n">
        <x:v>43433</x:v>
      </x:c>
      <x:c r="G575" s="12" t="n">
        <x:v>4.22</x:v>
      </x:c>
      <x:c r="H575" s="12" t="n">
        <x:v>422</x:v>
      </x:c>
      <x:c r="I575" s="12" t="n">
        <x:v>-3</x:v>
      </x:c>
      <x:c r="J575" s="12" t="n">
        <x:v>1</x:v>
      </x:c>
    </x:row>
    <x:row r="576" ht="18" customHeight="1">
      <x:c r="A576" s="13" t="n">
        <x:v>43437</x:v>
      </x:c>
      <x:c r="B576" s="12" t="n">
        <x:v>3260.9502</x:v>
      </x:c>
      <x:c r="C576" s="12" t="n">
        <x:v>3172.69</x:v>
      </x:c>
      <x:c r="D576" s="12" t="n">
        <x:v>2.7819</x:v>
      </x:c>
      <x:c r="E576" s="12" t="n">
        <x:v>0.027438816811427395</x:v>
      </x:c>
      <x:c r="F576" s="13" t="n">
        <x:v>43434</x:v>
      </x:c>
      <x:c r="G576" s="12" t="n">
        <x:v>4.29</x:v>
      </x:c>
      <x:c r="H576" s="12" t="n">
        <x:v>429</x:v>
      </x:c>
      <x:c r="I576" s="12" t="n">
        <x:v>7</x:v>
      </x:c>
      <x:c r="J576" s="12" t="n">
        <x:v>3</x:v>
      </x:c>
    </x:row>
    <x:row r="577" ht="18" customHeight="1">
      <x:c r="A577" s="13" t="n">
        <x:v>43438</x:v>
      </x:c>
      <x:c r="B577" s="12" t="n">
        <x:v>3267.7095</x:v>
      </x:c>
      <x:c r="C577" s="12" t="n">
        <x:v>3260.9502</x:v>
      </x:c>
      <x:c r="D577" s="12" t="n">
        <x:v>0.2073</x:v>
      </x:c>
      <x:c r="E577" s="12" t="n">
        <x:v>0.002070655456312225</x:v>
      </x:c>
      <x:c r="F577" s="13" t="n">
        <x:v>43437</x:v>
      </x:c>
      <x:c r="G577" s="12" t="n">
        <x:v>4.2</x:v>
      </x:c>
      <x:c r="H577" s="12" t="n">
        <x:v>420</x:v>
      </x:c>
      <x:c r="I577" s="12" t="n">
        <x:v>-9</x:v>
      </x:c>
      <x:c r="J577" s="12" t="n">
        <x:v>1</x:v>
      </x:c>
    </x:row>
    <x:row r="578" ht="18" customHeight="1">
      <x:c r="A578" s="13" t="n">
        <x:v>43439</x:v>
      </x:c>
      <x:c r="B578" s="12" t="n">
        <x:v>3252.0041</x:v>
      </x:c>
      <x:c r="C578" s="12" t="n">
        <x:v>3267.7095</x:v>
      </x:c>
      <x:c r="D578" s="12" t="n">
        <x:v>-0.4806</x:v>
      </x:c>
      <x:c r="E578" s="12" t="n">
        <x:v>-0.00481782831036399</x:v>
      </x:c>
      <x:c r="F578" s="13" t="n">
        <x:v>43438</x:v>
      </x:c>
      <x:c r="G578" s="12" t="n">
        <x:v>4.29</x:v>
      </x:c>
      <x:c r="H578" s="12" t="n">
        <x:v>429</x:v>
      </x:c>
      <x:c r="I578" s="12" t="n">
        <x:v>9</x:v>
      </x:c>
      <x:c r="J578" s="12" t="n">
        <x:v>1</x:v>
      </x:c>
    </x:row>
    <x:row r="579" ht="18" customHeight="1">
      <x:c r="A579" s="13" t="n">
        <x:v>43440</x:v>
      </x:c>
      <x:c r="B579" s="12" t="n">
        <x:v>3181.673</x:v>
      </x:c>
      <x:c r="C579" s="12" t="n">
        <x:v>3252.0041</x:v>
      </x:c>
      <x:c r="D579" s="12" t="n">
        <x:v>-2.1627</x:v>
      </x:c>
      <x:c r="E579" s="12" t="n">
        <x:v>-0.02186429336877751</x:v>
      </x:c>
      <x:c r="F579" s="13" t="n">
        <x:v>43439</x:v>
      </x:c>
      <x:c r="G579" s="12" t="n">
        <x:v>4.29</x:v>
      </x:c>
      <x:c r="H579" s="12" t="n">
        <x:v>429</x:v>
      </x:c>
      <x:c r="I579" s="12" t="n">
        <x:v>0</x:v>
      </x:c>
      <x:c r="J579" s="12" t="n">
        <x:v>1</x:v>
      </x:c>
    </x:row>
    <x:row r="580" ht="18" customHeight="1">
      <x:c r="A580" s="13" t="n">
        <x:v>43441</x:v>
      </x:c>
      <x:c r="B580" s="12" t="n">
        <x:v>3181.5646</x:v>
      </x:c>
      <x:c r="C580" s="12" t="n">
        <x:v>3181.673</x:v>
      </x:c>
      <x:c r="D580" s="12" t="n">
        <x:v>-0.0034</x:v>
      </x:c>
      <x:c r="E580" s="12" t="n">
        <x:v>-0.00003407070639957803</x:v>
      </x:c>
      <x:c r="F580" s="13" t="n">
        <x:v>43440</x:v>
      </x:c>
      <x:c r="G580" s="12" t="n">
        <x:v>4.5</x:v>
      </x:c>
      <x:c r="H580" s="12" t="n">
        <x:v>450</x:v>
      </x:c>
      <x:c r="I580" s="12" t="n">
        <x:v>21</x:v>
      </x:c>
      <x:c r="J580" s="12" t="n">
        <x:v>1</x:v>
      </x:c>
    </x:row>
    <x:row r="581" ht="18" customHeight="1">
      <x:c r="A581" s="13" t="n">
        <x:v>43444</x:v>
      </x:c>
      <x:c r="B581" s="12" t="n">
        <x:v>3144.7631</x:v>
      </x:c>
      <x:c r="C581" s="12" t="n">
        <x:v>3181.5646</x:v>
      </x:c>
      <x:c r="D581" s="12" t="n">
        <x:v>-1.1567</x:v>
      </x:c>
      <x:c r="E581" s="12" t="n">
        <x:v>-0.011634526971084672</x:v>
      </x:c>
      <x:c r="F581" s="13" t="n">
        <x:v>43441</x:v>
      </x:c>
      <x:c r="G581" s="12" t="n">
        <x:v>4.5</x:v>
      </x:c>
      <x:c r="H581" s="12" t="n">
        <x:v>450</x:v>
      </x:c>
      <x:c r="I581" s="12" t="n">
        <x:v>0</x:v>
      </x:c>
      <x:c r="J581" s="12" t="n">
        <x:v>3</x:v>
      </x:c>
    </x:row>
    <x:row r="582" ht="18" customHeight="1">
      <x:c r="A582" s="13" t="n">
        <x:v>43445</x:v>
      </x:c>
      <x:c r="B582" s="12" t="n">
        <x:v>3159.8158</x:v>
      </x:c>
      <x:c r="C582" s="12" t="n">
        <x:v>3144.7631</x:v>
      </x:c>
      <x:c r="D582" s="12" t="n">
        <x:v>0.4787</x:v>
      </x:c>
      <x:c r="E582" s="12" t="n">
        <x:v>0.004775173359470306</x:v>
      </x:c>
      <x:c r="F582" s="13" t="n">
        <x:v>43444</x:v>
      </x:c>
      <x:c r="G582" s="12" t="n">
        <x:v>4.56</x:v>
      </x:c>
      <x:c r="H582" s="12" t="n">
        <x:v>455.99999999999994</x:v>
      </x:c>
      <x:c r="I582" s="12" t="n">
        <x:v>5.999999999999943</x:v>
      </x:c>
      <x:c r="J582" s="12" t="n">
        <x:v>1</x:v>
      </x:c>
    </x:row>
    <x:row r="583" ht="18" customHeight="1">
      <x:c r="A583" s="13" t="n">
        <x:v>43446</x:v>
      </x:c>
      <x:c r="B583" s="12" t="n">
        <x:v>3170.6092</x:v>
      </x:c>
      <x:c r="C583" s="12" t="n">
        <x:v>3159.8158</x:v>
      </x:c>
      <x:c r="D583" s="12" t="n">
        <x:v>0.3416</x:v>
      </x:c>
      <x:c r="E583" s="12" t="n">
        <x:v>0.003410011321186899</x:v>
      </x:c>
      <x:c r="F583" s="13" t="n">
        <x:v>43445</x:v>
      </x:c>
      <x:c r="G583" s="12" t="n">
        <x:v>4.48</x:v>
      </x:c>
      <x:c r="H583" s="12" t="n">
        <x:v>448.00000000000006</x:v>
      </x:c>
      <x:c r="I583" s="12" t="n">
        <x:v>-7.999999999999886</x:v>
      </x:c>
      <x:c r="J583" s="12" t="n">
        <x:v>1</x:v>
      </x:c>
    </x:row>
    <x:row r="584" ht="18" customHeight="1">
      <x:c r="A584" s="13" t="n">
        <x:v>43447</x:v>
      </x:c>
      <x:c r="B584" s="12" t="n">
        <x:v>3219.6924</x:v>
      </x:c>
      <x:c r="C584" s="12" t="n">
        <x:v>3170.6092</x:v>
      </x:c>
      <x:c r="D584" s="12" t="n">
        <x:v>1.5481</x:v>
      </x:c>
      <x:c r="E584" s="12" t="n">
        <x:v>0.015362080961148552</x:v>
      </x:c>
      <x:c r="F584" s="13" t="n">
        <x:v>43446</x:v>
      </x:c>
      <x:c r="G584" s="12" t="n">
        <x:v>4.4</x:v>
      </x:c>
      <x:c r="H584" s="12" t="n">
        <x:v>440.00000000000006</x:v>
      </x:c>
      <x:c r="I584" s="12" t="n">
        <x:v>-8</x:v>
      </x:c>
      <x:c r="J584" s="12" t="n">
        <x:v>1</x:v>
      </x:c>
    </x:row>
    <x:row r="585" ht="18" customHeight="1">
      <x:c r="A585" s="13" t="n">
        <x:v>43448</x:v>
      </x:c>
      <x:c r="B585" s="12" t="n">
        <x:v>3165.9109</x:v>
      </x:c>
      <x:c r="C585" s="12" t="n">
        <x:v>3219.6924</x:v>
      </x:c>
      <x:c r="D585" s="12" t="n">
        <x:v>-1.6704</x:v>
      </x:c>
      <x:c r="E585" s="12" t="n">
        <x:v>-0.01684500874701418</x:v>
      </x:c>
      <x:c r="F585" s="13" t="n">
        <x:v>43447</x:v>
      </x:c>
      <x:c r="G585" s="12" t="n">
        <x:v>4.39</x:v>
      </x:c>
      <x:c r="H585" s="12" t="n">
        <x:v>438.99999999999994</x:v>
      </x:c>
      <x:c r="I585" s="12" t="n">
        <x:v>-1.0000000000001137</x:v>
      </x:c>
      <x:c r="J585" s="12" t="n">
        <x:v>1</x:v>
      </x:c>
    </x:row>
    <x:row r="586" ht="18" customHeight="1">
      <x:c r="A586" s="13" t="n">
        <x:v>43451</x:v>
      </x:c>
      <x:c r="B586" s="12" t="n">
        <x:v>3161.1966</x:v>
      </x:c>
      <x:c r="C586" s="12" t="n">
        <x:v>3165.9109</x:v>
      </x:c>
      <x:c r="D586" s="12" t="n">
        <x:v>-0.1489</x:v>
      </x:c>
      <x:c r="E586" s="12" t="n">
        <x:v>-0.0014901914887359281</x:v>
      </x:c>
      <x:c r="F586" s="13" t="n">
        <x:v>43448</x:v>
      </x:c>
      <x:c r="G586" s="12" t="n">
        <x:v>4.46</x:v>
      </x:c>
      <x:c r="H586" s="12" t="n">
        <x:v>446</x:v>
      </x:c>
      <x:c r="I586" s="12" t="n">
        <x:v>7.000000000000057</x:v>
      </x:c>
      <x:c r="J586" s="12" t="n">
        <x:v>3</x:v>
      </x:c>
    </x:row>
    <x:row r="587" ht="18" customHeight="1">
      <x:c r="A587" s="13" t="n">
        <x:v>43452</x:v>
      </x:c>
      <x:c r="B587" s="12" t="n">
        <x:v>3128.4265</x:v>
      </x:c>
      <x:c r="C587" s="12" t="n">
        <x:v>3161.1966</x:v>
      </x:c>
      <x:c r="D587" s="12" t="n">
        <x:v>-1.0366</x:v>
      </x:c>
      <x:c r="E587" s="12" t="n">
        <x:v>-0.010420464313941379</x:v>
      </x:c>
      <x:c r="F587" s="13" t="n">
        <x:v>43451</x:v>
      </x:c>
      <x:c r="G587" s="12" t="n">
        <x:v>4.58</x:v>
      </x:c>
      <x:c r="H587" s="12" t="n">
        <x:v>458</x:v>
      </x:c>
      <x:c r="I587" s="12" t="n">
        <x:v>12</x:v>
      </x:c>
      <x:c r="J587" s="12" t="n">
        <x:v>1</x:v>
      </x:c>
    </x:row>
    <x:row r="588" ht="18" customHeight="1">
      <x:c r="A588" s="13" t="n">
        <x:v>43453</x:v>
      </x:c>
      <x:c r="B588" s="12" t="n">
        <x:v>3091.1255</x:v>
      </x:c>
      <x:c r="C588" s="12" t="n">
        <x:v>3128.4265</x:v>
      </x:c>
      <x:c r="D588" s="12" t="n">
        <x:v>-1.1923</x:v>
      </x:c>
      <x:c r="E588" s="12" t="n">
        <x:v>-0.011994898420471533</x:v>
      </x:c>
      <x:c r="F588" s="13" t="n">
        <x:v>43452</x:v>
      </x:c>
      <x:c r="G588" s="12" t="n">
        <x:v>4.72</x:v>
      </x:c>
      <x:c r="H588" s="12" t="n">
        <x:v>472</x:v>
      </x:c>
      <x:c r="I588" s="12" t="n">
        <x:v>14</x:v>
      </x:c>
      <x:c r="J588" s="12" t="n">
        <x:v>1</x:v>
      </x:c>
    </x:row>
    <x:row r="589" ht="18" customHeight="1">
      <x:c r="A589" s="13" t="n">
        <x:v>43454</x:v>
      </x:c>
      <x:c r="B589" s="12" t="n">
        <x:v>3067.4169</x:v>
      </x:c>
      <x:c r="C589" s="12" t="n">
        <x:v>3091.1255</x:v>
      </x:c>
      <x:c r="D589" s="12" t="n">
        <x:v>-0.767</x:v>
      </x:c>
      <x:c r="E589" s="12" t="n">
        <x:v>-0.007699457301329583</x:v>
      </x:c>
      <x:c r="F589" s="13" t="n">
        <x:v>43453</x:v>
      </x:c>
      <x:c r="G589" s="12" t="n">
        <x:v>4.84</x:v>
      </x:c>
      <x:c r="H589" s="12" t="n">
        <x:v>484</x:v>
      </x:c>
      <x:c r="I589" s="12" t="n">
        <x:v>12</x:v>
      </x:c>
      <x:c r="J589" s="12" t="n">
        <x:v>1</x:v>
      </x:c>
    </x:row>
    <x:row r="590" ht="18" customHeight="1">
      <x:c r="A590" s="13" t="n">
        <x:v>43455</x:v>
      </x:c>
      <x:c r="B590" s="12" t="n">
        <x:v>3029.3951</x:v>
      </x:c>
      <x:c r="C590" s="12" t="n">
        <x:v>3067.4169</x:v>
      </x:c>
      <x:c r="D590" s="12" t="n">
        <x:v>-1.2395</x:v>
      </x:c>
      <x:c r="E590" s="12" t="n">
        <x:v>-0.01247284414395827</x:v>
      </x:c>
      <x:c r="F590" s="13" t="n">
        <x:v>43454</x:v>
      </x:c>
      <x:c r="G590" s="12" t="n">
        <x:v>5.11</x:v>
      </x:c>
      <x:c r="H590" s="12" t="n">
        <x:v>511.00000000000006</x:v>
      </x:c>
      <x:c r="I590" s="12" t="n">
        <x:v>27.000000000000057</x:v>
      </x:c>
      <x:c r="J590" s="12" t="n">
        <x:v>1</x:v>
      </x:c>
    </x:row>
    <x:row r="591" ht="18" customHeight="1">
      <x:c r="A591" s="13" t="n">
        <x:v>43458</x:v>
      </x:c>
      <x:c r="B591" s="12" t="n">
        <x:v>3038.1981</x:v>
      </x:c>
      <x:c r="C591" s="12" t="n">
        <x:v>3029.3951</x:v>
      </x:c>
      <x:c r="D591" s="12" t="n">
        <x:v>0.2906</x:v>
      </x:c>
      <x:c r="E591" s="12" t="n">
        <x:v>0.0029016467934745113</x:v>
      </x:c>
      <x:c r="F591" s="13" t="n">
        <x:v>43455</x:v>
      </x:c>
      <x:c r="G591" s="12" t="n">
        <x:v>5.22</x:v>
      </x:c>
      <x:c r="H591" s="12" t="n">
        <x:v>522</x:v>
      </x:c>
      <x:c r="I591" s="12" t="n">
        <x:v>10.999999999999943</x:v>
      </x:c>
      <x:c r="J591" s="12" t="n">
        <x:v>3</x:v>
      </x:c>
    </x:row>
    <x:row r="592" ht="18" customHeight="1">
      <x:c r="A592" s="13" t="n">
        <x:v>43459</x:v>
      </x:c>
      <x:c r="B592" s="12" t="n">
        <x:v>3017.2815</x:v>
      </x:c>
      <x:c r="C592" s="12" t="n">
        <x:v>3038.1981</x:v>
      </x:c>
      <x:c r="D592" s="12" t="n">
        <x:v>-0.6885</x:v>
      </x:c>
      <x:c r="E592" s="12" t="n">
        <x:v>-0.006908348989399066</x:v>
      </x:c>
      <x:c r="F592" s="13" t="n">
        <x:v>43458</x:v>
      </x:c>
      <x:c r="G592" s="12" t="n">
        <x:v>5.35</x:v>
      </x:c>
      <x:c r="H592" s="12" t="n">
        <x:v>535</x:v>
      </x:c>
      <x:c r="I592" s="12" t="n">
        <x:v>13</x:v>
      </x:c>
      <x:c r="J592" s="12" t="n">
        <x:v>1</x:v>
      </x:c>
    </x:row>
    <x:row r="593" ht="18" customHeight="1">
      <x:c r="A593" s="13" t="n">
        <x:v>43460</x:v>
      </x:c>
      <x:c r="B593" s="12" t="n">
        <x:v>3002.0327</x:v>
      </x:c>
      <x:c r="C593" s="12" t="n">
        <x:v>3017.2815</x:v>
      </x:c>
      <x:c r="D593" s="12" t="n">
        <x:v>-0.5054</x:v>
      </x:c>
      <x:c r="E593" s="12" t="n">
        <x:v>-0.005066634541426275</x:v>
      </x:c>
      <x:c r="F593" s="13" t="n">
        <x:v>43458</x:v>
      </x:c>
      <x:c r="G593" s="12" t="n">
        <x:v>5.35</x:v>
      </x:c>
      <x:c r="H593" s="12" t="n">
        <x:v>535</x:v>
      </x:c>
      <x:c r="I593" s="12" t="n">
        <x:v>13</x:v>
      </x:c>
      <x:c r="J593" s="12" t="n">
        <x:v>2</x:v>
      </x:c>
    </x:row>
    <x:row r="594" ht="18" customHeight="1">
      <x:c r="A594" s="13" t="n">
        <x:v>43461</x:v>
      </x:c>
      <x:c r="B594" s="12" t="n">
        <x:v>2990.5057</x:v>
      </x:c>
      <x:c r="C594" s="12" t="n">
        <x:v>3002.0327</x:v>
      </x:c>
      <x:c r="D594" s="12" t="n">
        <x:v>-0.384</x:v>
      </x:c>
      <x:c r="E594" s="12" t="n">
        <x:v>-0.0038471223536812207</x:v>
      </x:c>
      <x:c r="F594" s="13" t="n">
        <x:v>43460</x:v>
      </x:c>
      <x:c r="G594" s="12" t="n">
        <x:v>5.37</x:v>
      </x:c>
      <x:c r="H594" s="12" t="n">
        <x:v>537</x:v>
      </x:c>
      <x:c r="I594" s="12" t="n">
        <x:v>2</x:v>
      </x:c>
      <x:c r="J594" s="12" t="n">
        <x:v>1</x:v>
      </x:c>
    </x:row>
    <x:row r="595" ht="18" customHeight="1">
      <x:c r="A595" s="13" t="n">
        <x:v>43462</x:v>
      </x:c>
      <x:c r="B595" s="12" t="n">
        <x:v>3010.6536</x:v>
      </x:c>
      <x:c r="C595" s="12" t="n">
        <x:v>2990.5057</x:v>
      </x:c>
      <x:c r="D595" s="12" t="n">
        <x:v>0.6737</x:v>
      </x:c>
      <x:c r="E595" s="12" t="n">
        <x:v>0.006714694509391029</x:v>
      </x:c>
      <x:c r="F595" s="13" t="n">
        <x:v>43461</x:v>
      </x:c>
      <x:c r="G595" s="12" t="n">
        <x:v>5.38</x:v>
      </x:c>
      <x:c r="H595" s="12" t="n">
        <x:v>538</x:v>
      </x:c>
      <x:c r="I595" s="12" t="n">
        <x:v>1</x:v>
      </x:c>
      <x:c r="J595" s="12" t="n">
        <x:v>1</x:v>
      </x:c>
    </x:row>
    <x:row r="596" ht="18" customHeight="1">
      <x:c r="A596" s="13" t="n">
        <x:v>43467</x:v>
      </x:c>
      <x:c r="B596" s="12" t="n">
        <x:v>2969.5353</x:v>
      </x:c>
      <x:c r="C596" s="12" t="n">
        <x:v>3010.6536</x:v>
      </x:c>
      <x:c r="D596" s="12" t="n">
        <x:v>-1.3658</x:v>
      </x:c>
      <x:c r="E596" s="12" t="n">
        <x:v>-0.01375172211955543</x:v>
      </x:c>
      <x:c r="F596" s="13" t="n">
        <x:v>43465</x:v>
      </x:c>
      <x:c r="G596" s="12" t="n">
        <x:v>5.33</x:v>
      </x:c>
      <x:c r="H596" s="12" t="n">
        <x:v>533</x:v>
      </x:c>
      <x:c r="I596" s="12" t="n">
        <x:v>3</x:v>
      </x:c>
      <x:c r="J596" s="12" t="n">
        <x:v>2</x:v>
      </x:c>
    </x:row>
    <x:row r="597" ht="18" customHeight="1">
      <x:c r="A597" s="13" t="n">
        <x:v>43468</x:v>
      </x:c>
      <x:c r="B597" s="12" t="n">
        <x:v>2964.8421</x:v>
      </x:c>
      <x:c r="C597" s="12" t="n">
        <x:v>2969.5353</x:v>
      </x:c>
      <x:c r="D597" s="12" t="n">
        <x:v>-0.158</x:v>
      </x:c>
      <x:c r="E597" s="12" t="n">
        <x:v>-0.0015816995321003935</x:v>
      </x:c>
      <x:c r="F597" s="13" t="n">
        <x:v>43467</x:v>
      </x:c>
      <x:c r="G597" s="12" t="n">
        <x:v>5.35</x:v>
      </x:c>
      <x:c r="H597" s="12" t="n">
        <x:v>535</x:v>
      </x:c>
      <x:c r="I597" s="12" t="n">
        <x:v>2</x:v>
      </x:c>
      <x:c r="J597" s="12" t="n">
        <x:v>1</x:v>
      </x:c>
    </x:row>
    <x:row r="598" ht="18" customHeight="1">
      <x:c r="A598" s="13" t="n">
        <x:v>43469</x:v>
      </x:c>
      <x:c r="B598" s="12" t="n">
        <x:v>3035.8741</x:v>
      </x:c>
      <x:c r="C598" s="12" t="n">
        <x:v>2964.8421</x:v>
      </x:c>
      <x:c r="D598" s="12" t="n">
        <x:v>2.3958</x:v>
      </x:c>
      <x:c r="E598" s="12" t="n">
        <x:v>0.023675613241137573</x:v>
      </x:c>
      <x:c r="F598" s="13" t="n">
        <x:v>43468</x:v>
      </x:c>
      <x:c r="G598" s="12" t="n">
        <x:v>5.44</x:v>
      </x:c>
      <x:c r="H598" s="12" t="n">
        <x:v>544</x:v>
      </x:c>
      <x:c r="I598" s="12" t="n">
        <x:v>9</x:v>
      </x:c>
      <x:c r="J598" s="12" t="n">
        <x:v>1</x:v>
      </x:c>
    </x:row>
    <x:row r="599" ht="18" customHeight="1">
      <x:c r="A599" s="13" t="n">
        <x:v>43472</x:v>
      </x:c>
      <x:c r="B599" s="12" t="n">
        <x:v>3054.303</x:v>
      </x:c>
      <x:c r="C599" s="12" t="n">
        <x:v>3035.8741</x:v>
      </x:c>
      <x:c r="D599" s="12" t="n">
        <x:v>0.607</x:v>
      </x:c>
      <x:c r="E599" s="12" t="n">
        <x:v>0.00605202638511489</x:v>
      </x:c>
      <x:c r="F599" s="13" t="n">
        <x:v>43469</x:v>
      </x:c>
      <x:c r="G599" s="12" t="n">
        <x:v>5.05</x:v>
      </x:c>
      <x:c r="H599" s="12" t="n">
        <x:v>505</x:v>
      </x:c>
      <x:c r="I599" s="12" t="n">
        <x:v>-39</x:v>
      </x:c>
      <x:c r="J599" s="12" t="n">
        <x:v>3</x:v>
      </x:c>
    </x:row>
    <x:row r="600" ht="18" customHeight="1">
      <x:c r="A600" s="13" t="n">
        <x:v>43473</x:v>
      </x:c>
      <x:c r="B600" s="12" t="n">
        <x:v>3047.7035</x:v>
      </x:c>
      <x:c r="C600" s="12" t="n">
        <x:v>3054.303</x:v>
      </x:c>
      <x:c r="D600" s="12" t="n">
        <x:v>-0.2161</x:v>
      </x:c>
      <x:c r="E600" s="12" t="n">
        <x:v>-0.0021630598306179886</x:v>
      </x:c>
      <x:c r="F600" s="13" t="n">
        <x:v>43472</x:v>
      </x:c>
      <x:c r="G600" s="12" t="n">
        <x:v>4.83</x:v>
      </x:c>
      <x:c r="H600" s="12" t="n">
        <x:v>483</x:v>
      </x:c>
      <x:c r="I600" s="12" t="n">
        <x:v>-22</x:v>
      </x:c>
      <x:c r="J600" s="12" t="n">
        <x:v>1</x:v>
      </x:c>
    </x:row>
    <x:row r="601" ht="18" customHeight="1">
      <x:c r="A601" s="13" t="n">
        <x:v>43474</x:v>
      </x:c>
      <x:c r="B601" s="12" t="n">
        <x:v>3078.4759</x:v>
      </x:c>
      <x:c r="C601" s="12" t="n">
        <x:v>3047.7035</x:v>
      </x:c>
      <x:c r="D601" s="12" t="n">
        <x:v>1.0097</x:v>
      </x:c>
      <x:c r="E601" s="12" t="n">
        <x:v>0.010046280660777089</x:v>
      </x:c>
      <x:c r="F601" s="13" t="n">
        <x:v>43473</x:v>
      </x:c>
      <x:c r="G601" s="12" t="n">
        <x:v>4.65</x:v>
      </x:c>
      <x:c r="H601" s="12" t="n">
        <x:v>465.00000000000006</x:v>
      </x:c>
      <x:c r="I601" s="12" t="n">
        <x:v>-17.999999999999943</x:v>
      </x:c>
      <x:c r="J601" s="12" t="n">
        <x:v>1</x:v>
      </x:c>
    </x:row>
    <x:row r="602" ht="18" customHeight="1">
      <x:c r="A602" s="13" t="n">
        <x:v>43475</x:v>
      </x:c>
      <x:c r="B602" s="12" t="n">
        <x:v>3072.6864</x:v>
      </x:c>
      <x:c r="C602" s="12" t="n">
        <x:v>3078.4759</x:v>
      </x:c>
      <x:c r="D602" s="12" t="n">
        <x:v>-0.1881</x:v>
      </x:c>
      <x:c r="E602" s="12" t="n">
        <x:v>-0.001882409023599767</x:v>
      </x:c>
      <x:c r="F602" s="13" t="n">
        <x:v>43474</x:v>
      </x:c>
      <x:c r="G602" s="12" t="n">
        <x:v>4.52</x:v>
      </x:c>
      <x:c r="H602" s="12" t="n">
        <x:v>451.99999999999994</x:v>
      </x:c>
      <x:c r="I602" s="12" t="n">
        <x:v>-13.000000000000114</x:v>
      </x:c>
      <x:c r="J602" s="12" t="n">
        <x:v>1</x:v>
      </x:c>
    </x:row>
    <x:row r="603" ht="18" customHeight="1">
      <x:c r="A603" s="13" t="n">
        <x:v>43476</x:v>
      </x:c>
      <x:c r="B603" s="12" t="n">
        <x:v>3094.7782</x:v>
      </x:c>
      <x:c r="C603" s="12" t="n">
        <x:v>3072.6864</x:v>
      </x:c>
      <x:c r="D603" s="12" t="n">
        <x:v>0.719</x:v>
      </x:c>
      <x:c r="E603" s="12" t="n">
        <x:v>0.007164011767437094</x:v>
      </x:c>
      <x:c r="F603" s="13" t="n">
        <x:v>43475</x:v>
      </x:c>
      <x:c r="G603" s="12" t="n">
        <x:v>4.54</x:v>
      </x:c>
      <x:c r="H603" s="12" t="n">
        <x:v>454</x:v>
      </x:c>
      <x:c r="I603" s="12" t="n">
        <x:v>2.000000000000057</x:v>
      </x:c>
      <x:c r="J603" s="12" t="n">
        <x:v>1</x:v>
      </x:c>
    </x:row>
    <x:row r="604" ht="18" customHeight="1">
      <x:c r="A604" s="13" t="n">
        <x:v>43479</x:v>
      </x:c>
      <x:c r="B604" s="12" t="n">
        <x:v>3067.7845</x:v>
      </x:c>
      <x:c r="C604" s="12" t="n">
        <x:v>3094.7782</x:v>
      </x:c>
      <x:c r="D604" s="12" t="n">
        <x:v>-0.8722</x:v>
      </x:c>
      <x:c r="E604" s="12" t="n">
        <x:v>-0.008760599755919578</x:v>
      </x:c>
      <x:c r="F604" s="13" t="n">
        <x:v>43476</x:v>
      </x:c>
      <x:c r="G604" s="12" t="n">
        <x:v>4.55</x:v>
      </x:c>
      <x:c r="H604" s="12" t="n">
        <x:v>455</x:v>
      </x:c>
      <x:c r="I604" s="12" t="n">
        <x:v>1</x:v>
      </x:c>
      <x:c r="J604" s="12" t="n">
        <x:v>3</x:v>
      </x:c>
    </x:row>
    <x:row r="605" ht="18" customHeight="1">
      <x:c r="A605" s="13" t="n">
        <x:v>43480</x:v>
      </x:c>
      <x:c r="B605" s="12" t="n">
        <x:v>3127.9904</x:v>
      </x:c>
      <x:c r="C605" s="12" t="n">
        <x:v>3067.7845</x:v>
      </x:c>
      <x:c r="D605" s="12" t="n">
        <x:v>1.9625</x:v>
      </x:c>
      <x:c r="E605" s="12" t="n">
        <x:v>0.019435113786143984</x:v>
      </x:c>
      <x:c r="F605" s="13" t="n">
        <x:v>43479</x:v>
      </x:c>
      <x:c r="G605" s="12" t="n">
        <x:v>4.6</x:v>
      </x:c>
      <x:c r="H605" s="12" t="n">
        <x:v>459.99999999999994</x:v>
      </x:c>
      <x:c r="I605" s="12" t="n">
        <x:v>4.999999999999943</x:v>
      </x:c>
      <x:c r="J605" s="12" t="n">
        <x:v>1</x:v>
      </x:c>
    </x:row>
    <x:row r="606" ht="18" customHeight="1">
      <x:c r="A606" s="13" t="n">
        <x:v>43481</x:v>
      </x:c>
      <x:c r="B606" s="12" t="n">
        <x:v>3128.6517</x:v>
      </x:c>
      <x:c r="C606" s="12" t="n">
        <x:v>3127.9904</x:v>
      </x:c>
      <x:c r="D606" s="12" t="n">
        <x:v>0.0211</x:v>
      </x:c>
      <x:c r="E606" s="12" t="n">
        <x:v>0.0002113913475927562</x:v>
      </x:c>
      <x:c r="F606" s="13" t="n">
        <x:v>43480</x:v>
      </x:c>
      <x:c r="G606" s="12" t="n">
        <x:v>4.55</x:v>
      </x:c>
      <x:c r="H606" s="12" t="n">
        <x:v>455</x:v>
      </x:c>
      <x:c r="I606" s="12" t="n">
        <x:v>-4.999999999999943</x:v>
      </x:c>
      <x:c r="J606" s="12" t="n">
        <x:v>1</x:v>
      </x:c>
    </x:row>
    <x:row r="607" ht="18" customHeight="1">
      <x:c r="A607" s="13" t="n">
        <x:v>43482</x:v>
      </x:c>
      <x:c r="B607" s="12" t="n">
        <x:v>3111.4168</x:v>
      </x:c>
      <x:c r="C607" s="12" t="n">
        <x:v>3128.6517</x:v>
      </x:c>
      <x:c r="D607" s="12" t="n">
        <x:v>-0.5509</x:v>
      </x:c>
      <x:c r="E607" s="12" t="n">
        <x:v>-0.0055239598173146606</x:v>
      </x:c>
      <x:c r="F607" s="13" t="n">
        <x:v>43481</x:v>
      </x:c>
      <x:c r="G607" s="12" t="n">
        <x:v>4.44</x:v>
      </x:c>
      <x:c r="H607" s="12" t="n">
        <x:v>444.00000000000006</x:v>
      </x:c>
      <x:c r="I607" s="12" t="n">
        <x:v>-10.999999999999943</x:v>
      </x:c>
      <x:c r="J607" s="12" t="n">
        <x:v>1</x:v>
      </x:c>
    </x:row>
    <x:row r="608" ht="18" customHeight="1">
      <x:c r="A608" s="13" t="n">
        <x:v>43483</x:v>
      </x:c>
      <x:c r="B608" s="12" t="n">
        <x:v>3168.1739</x:v>
      </x:c>
      <x:c r="C608" s="12" t="n">
        <x:v>3111.4168</x:v>
      </x:c>
      <x:c r="D608" s="12" t="n">
        <x:v>1.8242</x:v>
      </x:c>
      <x:c r="E608" s="12" t="n">
        <x:v>0.018077179967474297</x:v>
      </x:c>
      <x:c r="F608" s="13" t="n">
        <x:v>43482</x:v>
      </x:c>
      <x:c r="G608" s="12" t="n">
        <x:v>4.4</x:v>
      </x:c>
      <x:c r="H608" s="12" t="n">
        <x:v>440.00000000000006</x:v>
      </x:c>
      <x:c r="I608" s="12" t="n">
        <x:v>-4</x:v>
      </x:c>
      <x:c r="J608" s="12" t="n">
        <x:v>1</x:v>
      </x:c>
    </x:row>
    <x:row r="609" ht="18" customHeight="1">
      <x:c r="A609" s="13" t="n">
        <x:v>43486</x:v>
      </x:c>
      <x:c r="B609" s="12" t="n">
        <x:v>3185.6364</x:v>
      </x:c>
      <x:c r="C609" s="12" t="n">
        <x:v>3168.1739</x:v>
      </x:c>
      <x:c r="D609" s="12" t="n">
        <x:v>0.5512</x:v>
      </x:c>
      <x:c r="E609" s="12" t="n">
        <x:v>0.005496715558999611</x:v>
      </x:c>
      <x:c r="F609" s="13" t="n">
        <x:v>43483</x:v>
      </x:c>
      <x:c r="G609" s="12" t="n">
        <x:v>4.27</x:v>
      </x:c>
      <x:c r="H609" s="12" t="n">
        <x:v>426.99999999999994</x:v>
      </x:c>
      <x:c r="I609" s="12" t="n">
        <x:v>-13.000000000000114</x:v>
      </x:c>
      <x:c r="J609" s="12" t="n">
        <x:v>3</x:v>
      </x:c>
    </x:row>
    <x:row r="610" ht="18" customHeight="1">
      <x:c r="A610" s="13" t="n">
        <x:v>43487</x:v>
      </x:c>
      <x:c r="B610" s="12" t="n">
        <x:v>3143.3171</x:v>
      </x:c>
      <x:c r="C610" s="12" t="n">
        <x:v>3185.6364</x:v>
      </x:c>
      <x:c r="D610" s="12" t="n">
        <x:v>-1.3284</x:v>
      </x:c>
      <x:c r="E610" s="12" t="n">
        <x:v>-0.01337343708651259</x:v>
      </x:c>
      <x:c r="F610" s="13" t="n">
        <x:v>43486</x:v>
      </x:c>
      <x:c r="G610" s="12" t="n">
        <x:v>4.27</x:v>
      </x:c>
      <x:c r="H610" s="12" t="n">
        <x:v>426.99999999999994</x:v>
      </x:c>
      <x:c r="I610" s="12" t="n">
        <x:v>0</x:v>
      </x:c>
      <x:c r="J610" s="12" t="n">
        <x:v>1</x:v>
      </x:c>
    </x:row>
    <x:row r="611" ht="18" customHeight="1">
      <x:c r="A611" s="13" t="n">
        <x:v>43488</x:v>
      </x:c>
      <x:c r="B611" s="12" t="n">
        <x:v>3141.0532</x:v>
      </x:c>
      <x:c r="C611" s="12" t="n">
        <x:v>3143.3171</x:v>
      </x:c>
      <x:c r="D611" s="12" t="n">
        <x:v>-0.072</x:v>
      </x:c>
      <x:c r="E611" s="12" t="n">
        <x:v>-0.0007204859006901076</x:v>
      </x:c>
      <x:c r="F611" s="13" t="n">
        <x:v>43487</x:v>
      </x:c>
      <x:c r="G611" s="12" t="n">
        <x:v>4.41</x:v>
      </x:c>
      <x:c r="H611" s="12" t="n">
        <x:v>441</x:v>
      </x:c>
      <x:c r="I611" s="12" t="n">
        <x:v>14.000000000000057</x:v>
      </x:c>
      <x:c r="J611" s="12" t="n">
        <x:v>1</x:v>
      </x:c>
    </x:row>
    <x:row r="612" ht="18" customHeight="1">
      <x:c r="A612" s="13" t="n">
        <x:v>43489</x:v>
      </x:c>
      <x:c r="B612" s="12" t="n">
        <x:v>3158.7817</x:v>
      </x:c>
      <x:c r="C612" s="12" t="n">
        <x:v>3141.0532</x:v>
      </x:c>
      <x:c r="D612" s="12" t="n">
        <x:v>0.5644</x:v>
      </x:c>
      <x:c r="E612" s="12" t="n">
        <x:v>0.005628257591068691</x:v>
      </x:c>
      <x:c r="F612" s="13" t="n">
        <x:v>43488</x:v>
      </x:c>
      <x:c r="G612" s="12" t="n">
        <x:v>4.39</x:v>
      </x:c>
      <x:c r="H612" s="12" t="n">
        <x:v>438.99999999999994</x:v>
      </x:c>
      <x:c r="I612" s="12" t="n">
        <x:v>-2.000000000000057</x:v>
      </x:c>
      <x:c r="J612" s="12" t="n">
        <x:v>1</x:v>
      </x:c>
    </x:row>
    <x:row r="613" ht="18" customHeight="1">
      <x:c r="A613" s="13" t="n">
        <x:v>43490</x:v>
      </x:c>
      <x:c r="B613" s="12" t="n">
        <x:v>3184.4696</x:v>
      </x:c>
      <x:c r="C613" s="12" t="n">
        <x:v>3158.7817</x:v>
      </x:c>
      <x:c r="D613" s="12" t="n">
        <x:v>0.8132</x:v>
      </x:c>
      <x:c r="E613" s="12" t="n">
        <x:v>0.008099329258855039</x:v>
      </x:c>
      <x:c r="F613" s="13" t="n">
        <x:v>43489</x:v>
      </x:c>
      <x:c r="G613" s="12" t="n">
        <x:v>4.45</x:v>
      </x:c>
      <x:c r="H613" s="12" t="n">
        <x:v>445</x:v>
      </x:c>
      <x:c r="I613" s="12" t="n">
        <x:v>6.000000000000057</x:v>
      </x:c>
      <x:c r="J613" s="12" t="n">
        <x:v>1</x:v>
      </x:c>
    </x:row>
    <x:row r="614" ht="18" customHeight="1">
      <x:c r="A614" s="13" t="n">
        <x:v>43493</x:v>
      </x:c>
      <x:c r="B614" s="12" t="n">
        <x:v>3183.7777</x:v>
      </x:c>
      <x:c r="C614" s="12" t="n">
        <x:v>3184.4696</x:v>
      </x:c>
      <x:c r="D614" s="12" t="n">
        <x:v>-0.0217</x:v>
      </x:c>
      <x:c r="E614" s="12" t="n">
        <x:v>-0.00021729683855788832</x:v>
      </x:c>
      <x:c r="F614" s="13" t="n">
        <x:v>43490</x:v>
      </x:c>
      <x:c r="G614" s="12" t="n">
        <x:v>4.34</x:v>
      </x:c>
      <x:c r="H614" s="12" t="n">
        <x:v>434</x:v>
      </x:c>
      <x:c r="I614" s="12" t="n">
        <x:v>-11</x:v>
      </x:c>
      <x:c r="J614" s="12" t="n">
        <x:v>3</x:v>
      </x:c>
    </x:row>
    <x:row r="615" ht="18" customHeight="1">
      <x:c r="A615" s="13" t="n">
        <x:v>43494</x:v>
      </x:c>
      <x:c r="B615" s="12" t="n">
        <x:v>3193.9698</x:v>
      </x:c>
      <x:c r="C615" s="12" t="n">
        <x:v>3183.7777</x:v>
      </x:c>
      <x:c r="D615" s="12" t="n">
        <x:v>0.3201</x:v>
      </x:c>
      <x:c r="E615" s="12" t="n">
        <x:v>0.003196146814004265</x:v>
      </x:c>
      <x:c r="F615" s="13" t="n">
        <x:v>43493</x:v>
      </x:c>
      <x:c r="G615" s="12" t="n">
        <x:v>4.41</x:v>
      </x:c>
      <x:c r="H615" s="12" t="n">
        <x:v>441</x:v>
      </x:c>
      <x:c r="I615" s="12" t="n">
        <x:v>7</x:v>
      </x:c>
      <x:c r="J615" s="12" t="n">
        <x:v>1</x:v>
      </x:c>
    </x:row>
    <x:row r="616" ht="18" customHeight="1">
      <x:c r="A616" s="13" t="n">
        <x:v>43495</x:v>
      </x:c>
      <x:c r="B616" s="12" t="n">
        <x:v>3168.4829</x:v>
      </x:c>
      <x:c r="C616" s="12" t="n">
        <x:v>3193.9698</x:v>
      </x:c>
      <x:c r="D616" s="12" t="n">
        <x:v>-0.798</x:v>
      </x:c>
      <x:c r="E616" s="12" t="n">
        <x:v>-0.008011701628187862</x:v>
      </x:c>
      <x:c r="F616" s="13" t="n">
        <x:v>43494</x:v>
      </x:c>
      <x:c r="G616" s="12" t="n">
        <x:v>4.4</x:v>
      </x:c>
      <x:c r="H616" s="12" t="n">
        <x:v>440.00000000000006</x:v>
      </x:c>
      <x:c r="I616" s="12" t="n">
        <x:v>-0.9999999999999432</x:v>
      </x:c>
      <x:c r="J616" s="12" t="n">
        <x:v>1</x:v>
      </x:c>
    </x:row>
    <x:row r="617" ht="18" customHeight="1">
      <x:c r="A617" s="13" t="n">
        <x:v>43496</x:v>
      </x:c>
      <x:c r="B617" s="12" t="n">
        <x:v>3201.6331</x:v>
      </x:c>
      <x:c r="C617" s="12" t="n">
        <x:v>3168.4829</x:v>
      </x:c>
      <x:c r="D617" s="12" t="n">
        <x:v>1.0462</x:v>
      </x:c>
      <x:c r="E617" s="12" t="n">
        <x:v>0.01040813048322049</x:v>
      </x:c>
      <x:c r="F617" s="13" t="n">
        <x:v>43495</x:v>
      </x:c>
      <x:c r="G617" s="12" t="n">
        <x:v>4.36</x:v>
      </x:c>
      <x:c r="H617" s="12" t="n">
        <x:v>436.00000000000006</x:v>
      </x:c>
      <x:c r="I617" s="12" t="n">
        <x:v>-4</x:v>
      </x:c>
      <x:c r="J617" s="12" t="n">
        <x:v>1</x:v>
      </x:c>
    </x:row>
    <x:row r="618" ht="18" customHeight="1">
      <x:c r="A618" s="13" t="n">
        <x:v>43497</x:v>
      </x:c>
      <x:c r="B618" s="12" t="n">
        <x:v>3247.3971</x:v>
      </x:c>
      <x:c r="C618" s="12" t="n">
        <x:v>3201.6331</x:v>
      </x:c>
      <x:c r="D618" s="12" t="n">
        <x:v>1.4294</x:v>
      </x:c>
      <x:c r="E618" s="12" t="n">
        <x:v>0.014192759773769527</x:v>
      </x:c>
      <x:c r="F618" s="13" t="n">
        <x:v>43496</x:v>
      </x:c>
      <x:c r="G618" s="12" t="n">
        <x:v>4.37</x:v>
      </x:c>
      <x:c r="H618" s="12" t="n">
        <x:v>437</x:v>
      </x:c>
      <x:c r="I618" s="12" t="n">
        <x:v>0.9999999999999432</x:v>
      </x:c>
      <x:c r="J618" s="12" t="n">
        <x:v>1</x:v>
      </x:c>
    </x:row>
    <x:row r="619" ht="18" customHeight="1">
      <x:c r="A619" s="13" t="n">
        <x:v>43507</x:v>
      </x:c>
      <x:c r="B619" s="12" t="n">
        <x:v>3306.4725</x:v>
      </x:c>
      <x:c r="C619" s="12" t="n">
        <x:v>3247.3971</x:v>
      </x:c>
      <x:c r="D619" s="12" t="n">
        <x:v>1.8192</x:v>
      </x:c>
      <x:c r="E619" s="12" t="n">
        <x:v>0.018028127998166308</x:v>
      </x:c>
      <x:c r="F619" s="13" t="n">
        <x:v>43504</x:v>
      </x:c>
      <x:c r="G619" s="12" t="n">
        <x:v>4.32</x:v>
      </x:c>
      <x:c r="H619" s="12" t="n">
        <x:v>432</x:v>
      </x:c>
      <x:c r="I619" s="12" t="n">
        <x:v>3</x:v>
      </x:c>
      <x:c r="J619" s="12" t="n">
        <x:v>3</x:v>
      </x:c>
    </x:row>
    <x:row r="620" ht="18" customHeight="1">
      <x:c r="A620" s="13" t="n">
        <x:v>43508</x:v>
      </x:c>
      <x:c r="B620" s="12" t="n">
        <x:v>3330.3353</x:v>
      </x:c>
      <x:c r="C620" s="12" t="n">
        <x:v>3306.4725</x:v>
      </x:c>
      <x:c r="D620" s="12" t="n">
        <x:v>0.7217</x:v>
      </x:c>
      <x:c r="E620" s="12" t="n">
        <x:v>0.007191078467541088</x:v>
      </x:c>
      <x:c r="F620" s="13" t="n">
        <x:v>43507</x:v>
      </x:c>
      <x:c r="G620" s="12" t="n">
        <x:v>4.28</x:v>
      </x:c>
      <x:c r="H620" s="12" t="n">
        <x:v>428</x:v>
      </x:c>
      <x:c r="I620" s="12" t="n">
        <x:v>-4</x:v>
      </x:c>
      <x:c r="J620" s="12" t="n">
        <x:v>1</x:v>
      </x:c>
    </x:row>
    <x:row r="621" ht="18" customHeight="1">
      <x:c r="A621" s="13" t="n">
        <x:v>43509</x:v>
      </x:c>
      <x:c r="B621" s="12" t="n">
        <x:v>3397.0276</x:v>
      </x:c>
      <x:c r="C621" s="12" t="n">
        <x:v>3330.3353</x:v>
      </x:c>
      <x:c r="D621" s="12" t="n">
        <x:v>2.0026</x:v>
      </x:c>
      <x:c r="E621" s="12" t="n">
        <x:v>0.01982782434737895</x:v>
      </x:c>
      <x:c r="F621" s="13" t="n">
        <x:v>43508</x:v>
      </x:c>
      <x:c r="G621" s="12" t="n">
        <x:v>4.17</x:v>
      </x:c>
      <x:c r="H621" s="12" t="n">
        <x:v>417</x:v>
      </x:c>
      <x:c r="I621" s="12" t="n">
        <x:v>-11</x:v>
      </x:c>
      <x:c r="J621" s="12" t="n">
        <x:v>1</x:v>
      </x:c>
    </x:row>
    <x:row r="622" ht="18" customHeight="1">
      <x:c r="A622" s="13" t="n">
        <x:v>43510</x:v>
      </x:c>
      <x:c r="B622" s="12" t="n">
        <x:v>3402.1403</x:v>
      </x:c>
      <x:c r="C622" s="12" t="n">
        <x:v>3397.0276</x:v>
      </x:c>
      <x:c r="D622" s="12" t="n">
        <x:v>0.1505</x:v>
      </x:c>
      <x:c r="E622" s="12" t="n">
        <x:v>0.001503919608647295</x:v>
      </x:c>
      <x:c r="F622" s="13" t="n">
        <x:v>43509</x:v>
      </x:c>
      <x:c r="G622" s="12" t="n">
        <x:v>4.12</x:v>
      </x:c>
      <x:c r="H622" s="12" t="n">
        <x:v>412</x:v>
      </x:c>
      <x:c r="I622" s="12" t="n">
        <x:v>-5</x:v>
      </x:c>
      <x:c r="J622" s="12" t="n">
        <x:v>1</x:v>
      </x:c>
    </x:row>
    <x:row r="623" ht="18" customHeight="1">
      <x:c r="A623" s="13" t="n">
        <x:v>43511</x:v>
      </x:c>
      <x:c r="B623" s="12" t="n">
        <x:v>3338.7047</x:v>
      </x:c>
      <x:c r="C623" s="12" t="n">
        <x:v>3402.1403</x:v>
      </x:c>
      <x:c r="D623" s="12" t="n">
        <x:v>-1.8646</x:v>
      </x:c>
      <x:c r="E623" s="12" t="n">
        <x:v>-0.018821816172192005</x:v>
      </x:c>
      <x:c r="F623" s="13" t="n">
        <x:v>43510</x:v>
      </x:c>
      <x:c r="G623" s="12" t="n">
        <x:v>4.17</x:v>
      </x:c>
      <x:c r="H623" s="12" t="n">
        <x:v>417</x:v>
      </x:c>
      <x:c r="I623" s="12" t="n">
        <x:v>5</x:v>
      </x:c>
      <x:c r="J623" s="12" t="n">
        <x:v>1</x:v>
      </x:c>
    </x:row>
    <x:row r="624" ht="18" customHeight="1">
      <x:c r="A624" s="13" t="n">
        <x:v>43514</x:v>
      </x:c>
      <x:c r="B624" s="12" t="n">
        <x:v>3445.7448</x:v>
      </x:c>
      <x:c r="C624" s="12" t="n">
        <x:v>3338.7047</x:v>
      </x:c>
      <x:c r="D624" s="12" t="n">
        <x:v>3.206</x:v>
      </x:c>
      <x:c r="E624" s="12" t="n">
        <x:v>0.03155716108794263</x:v>
      </x:c>
      <x:c r="F624" s="13" t="n">
        <x:v>43511</x:v>
      </x:c>
      <x:c r="G624" s="12" t="n">
        <x:v>4.12</x:v>
      </x:c>
      <x:c r="H624" s="12" t="n">
        <x:v>412</x:v>
      </x:c>
      <x:c r="I624" s="12" t="n">
        <x:v>-5</x:v>
      </x:c>
      <x:c r="J624" s="12" t="n">
        <x:v>3</x:v>
      </x:c>
    </x:row>
    <x:row r="625" ht="18" customHeight="1">
      <x:c r="A625" s="13" t="n">
        <x:v>43515</x:v>
      </x:c>
      <x:c r="B625" s="12" t="n">
        <x:v>3439.6078</x:v>
      </x:c>
      <x:c r="C625" s="12" t="n">
        <x:v>3445.7448</x:v>
      </x:c>
      <x:c r="D625" s="12" t="n">
        <x:v>-0.1781</x:v>
      </x:c>
      <x:c r="E625" s="12" t="n">
        <x:v>-0.0017826252282723291</x:v>
      </x:c>
      <x:c r="F625" s="13" t="n">
        <x:v>43514</x:v>
      </x:c>
      <x:c r="G625" s="12" t="n">
        <x:v>4.12</x:v>
      </x:c>
      <x:c r="H625" s="12" t="n">
        <x:v>412</x:v>
      </x:c>
      <x:c r="I625" s="12" t="n">
        <x:v>0</x:v>
      </x:c>
      <x:c r="J625" s="12" t="n">
        <x:v>1</x:v>
      </x:c>
    </x:row>
    <x:row r="626" ht="18" customHeight="1">
      <x:c r="A626" s="13" t="n">
        <x:v>43516</x:v>
      </x:c>
      <x:c r="B626" s="12" t="n">
        <x:v>3451.9273</x:v>
      </x:c>
      <x:c r="C626" s="12" t="n">
        <x:v>3439.6078</x:v>
      </x:c>
      <x:c r="D626" s="12" t="n">
        <x:v>0.3582</x:v>
      </x:c>
      <x:c r="E626" s="12" t="n">
        <x:v>0.0035752594869061863</x:v>
      </x:c>
      <x:c r="F626" s="13" t="n">
        <x:v>43515</x:v>
      </x:c>
      <x:c r="G626" s="12" t="n">
        <x:v>4.11</x:v>
      </x:c>
      <x:c r="H626" s="12" t="n">
        <x:v>411.00000000000006</x:v>
      </x:c>
      <x:c r="I626" s="12" t="n">
        <x:v>-0.9999999999999432</x:v>
      </x:c>
      <x:c r="J626" s="12" t="n">
        <x:v>1</x:v>
      </x:c>
    </x:row>
    <x:row r="627" ht="18" customHeight="1">
      <x:c r="A627" s="13" t="n">
        <x:v>43517</x:v>
      </x:c>
      <x:c r="B627" s="12" t="n">
        <x:v>3442.7056</x:v>
      </x:c>
      <x:c r="C627" s="12" t="n">
        <x:v>3451.9273</x:v>
      </x:c>
      <x:c r="D627" s="12" t="n">
        <x:v>-0.2671</x:v>
      </x:c>
      <x:c r="E627" s="12" t="n">
        <x:v>-0.0026750388694597887</x:v>
      </x:c>
      <x:c r="F627" s="13" t="n">
        <x:v>43516</x:v>
      </x:c>
      <x:c r="G627" s="12" t="n">
        <x:v>4.08</x:v>
      </x:c>
      <x:c r="H627" s="12" t="n">
        <x:v>408</x:v>
      </x:c>
      <x:c r="I627" s="12" t="n">
        <x:v>-3.000000000000057</x:v>
      </x:c>
      <x:c r="J627" s="12" t="n">
        <x:v>1</x:v>
      </x:c>
    </x:row>
    <x:row r="628" ht="18" customHeight="1">
      <x:c r="A628" s="13" t="n">
        <x:v>43518</x:v>
      </x:c>
      <x:c r="B628" s="12" t="n">
        <x:v>3520.1182</x:v>
      </x:c>
      <x:c r="C628" s="12" t="n">
        <x:v>3442.7056</x:v>
      </x:c>
      <x:c r="D628" s="12" t="n">
        <x:v>2.2486</x:v>
      </x:c>
      <x:c r="E628" s="12" t="n">
        <x:v>0.022236894716653265</x:v>
      </x:c>
      <x:c r="F628" s="13" t="n">
        <x:v>43517</x:v>
      </x:c>
      <x:c r="G628" s="12" t="n">
        <x:v>4.04</x:v>
      </x:c>
      <x:c r="H628" s="12" t="n">
        <x:v>404</x:v>
      </x:c>
      <x:c r="I628" s="12" t="n">
        <x:v>-4</x:v>
      </x:c>
      <x:c r="J628" s="12" t="n">
        <x:v>1</x:v>
      </x:c>
    </x:row>
    <x:row r="629" ht="18" customHeight="1">
      <x:c r="A629" s="13" t="n">
        <x:v>43521</x:v>
      </x:c>
      <x:c r="B629" s="12" t="n">
        <x:v>3729.4831</x:v>
      </x:c>
      <x:c r="C629" s="12" t="n">
        <x:v>3520.1182</x:v>
      </x:c>
      <x:c r="D629" s="12" t="n">
        <x:v>5.9477</x:v>
      </x:c>
      <x:c r="E629" s="12" t="n">
        <x:v>0.05777507637260326</x:v>
      </x:c>
      <x:c r="F629" s="13" t="n">
        <x:v>43518</x:v>
      </x:c>
      <x:c r="G629" s="12" t="n">
        <x:v>4.05</x:v>
      </x:c>
      <x:c r="H629" s="12" t="n">
        <x:v>405</x:v>
      </x:c>
      <x:c r="I629" s="12" t="n">
        <x:v>1</x:v>
      </x:c>
      <x:c r="J629" s="12" t="n">
        <x:v>3</x:v>
      </x:c>
    </x:row>
    <x:row r="630" ht="18" customHeight="1">
      <x:c r="A630" s="13" t="n">
        <x:v>43522</x:v>
      </x:c>
      <x:c r="B630" s="12" t="n">
        <x:v>3684.6935</x:v>
      </x:c>
      <x:c r="C630" s="12" t="n">
        <x:v>3729.4831</x:v>
      </x:c>
      <x:c r="D630" s="12" t="n">
        <x:v>-1.201</x:v>
      </x:c>
      <x:c r="E630" s="12" t="n">
        <x:v>-0.012082297816139545</x:v>
      </x:c>
      <x:c r="F630" s="13" t="n">
        <x:v>43521</x:v>
      </x:c>
      <x:c r="G630" s="12" t="n">
        <x:v>4</x:v>
      </x:c>
      <x:c r="H630" s="12" t="n">
        <x:v>400</x:v>
      </x:c>
      <x:c r="I630" s="12" t="n">
        <x:v>-5</x:v>
      </x:c>
      <x:c r="J630" s="12" t="n">
        <x:v>1</x:v>
      </x:c>
    </x:row>
    <x:row r="631" ht="18" customHeight="1">
      <x:c r="A631" s="13" t="n">
        <x:v>43523</x:v>
      </x:c>
      <x:c r="B631" s="12" t="n">
        <x:v>3678.3921</x:v>
      </x:c>
      <x:c r="C631" s="12" t="n">
        <x:v>3684.6935</x:v>
      </x:c>
      <x:c r="D631" s="12" t="n">
        <x:v>-0.171</x:v>
      </x:c>
      <x:c r="E631" s="12" t="n">
        <x:v>-0.0017116197965711278</x:v>
      </x:c>
      <x:c r="F631" s="13" t="n">
        <x:v>43522</x:v>
      </x:c>
      <x:c r="G631" s="12" t="n">
        <x:v>4.01</x:v>
      </x:c>
      <x:c r="H631" s="12" t="n">
        <x:v>401</x:v>
      </x:c>
      <x:c r="I631" s="12" t="n">
        <x:v>1</x:v>
      </x:c>
      <x:c r="J631" s="12" t="n">
        <x:v>1</x:v>
      </x:c>
    </x:row>
    <x:row r="632" ht="18" customHeight="1">
      <x:c r="A632" s="13" t="n">
        <x:v>43524</x:v>
      </x:c>
      <x:c r="B632" s="12" t="n">
        <x:v>3669.3703</x:v>
      </x:c>
      <x:c r="C632" s="12" t="n">
        <x:v>3678.3921</x:v>
      </x:c>
      <x:c r="D632" s="12" t="n">
        <x:v>-0.2453</x:v>
      </x:c>
      <x:c r="E632" s="12" t="n">
        <x:v>-0.002455660388162692</x:v>
      </x:c>
      <x:c r="F632" s="13" t="n">
        <x:v>43523</x:v>
      </x:c>
      <x:c r="G632" s="12" t="n">
        <x:v>3.94</x:v>
      </x:c>
      <x:c r="H632" s="12" t="n">
        <x:v>394</x:v>
      </x:c>
      <x:c r="I632" s="12" t="n">
        <x:v>-7</x:v>
      </x:c>
      <x:c r="J632" s="12" t="n">
        <x:v>1</x:v>
      </x:c>
    </x:row>
    <x:row r="633" ht="18" customHeight="1">
      <x:c r="A633" s="13" t="n">
        <x:v>43525</x:v>
      </x:c>
      <x:c r="B633" s="12" t="n">
        <x:v>3749.7143</x:v>
      </x:c>
      <x:c r="C633" s="12" t="n">
        <x:v>3669.3703</x:v>
      </x:c>
      <x:c r="D633" s="12" t="n">
        <x:v>2.1896</x:v>
      </x:c>
      <x:c r="E633" s="12" t="n">
        <x:v>0.021659583449891353</x:v>
      </x:c>
      <x:c r="F633" s="13" t="n">
        <x:v>43524</x:v>
      </x:c>
      <x:c r="G633" s="12" t="n">
        <x:v>3.92</x:v>
      </x:c>
      <x:c r="H633" s="12" t="n">
        <x:v>392</x:v>
      </x:c>
      <x:c r="I633" s="12" t="n">
        <x:v>-2</x:v>
      </x:c>
      <x:c r="J633" s="12" t="n">
        <x:v>1</x:v>
      </x:c>
    </x:row>
    <x:row r="634" ht="18" customHeight="1">
      <x:c r="A634" s="13" t="n">
        <x:v>43528</x:v>
      </x:c>
      <x:c r="B634" s="12" t="n">
        <x:v>3794.104</x:v>
      </x:c>
      <x:c r="C634" s="12" t="n">
        <x:v>3749.7143</x:v>
      </x:c>
      <x:c r="D634" s="12" t="n">
        <x:v>1.1838</x:v>
      </x:c>
      <x:c r="E634" s="12" t="n">
        <x:v>0.011768632426515767</x:v>
      </x:c>
      <x:c r="F634" s="13" t="n">
        <x:v>43525</x:v>
      </x:c>
      <x:c r="G634" s="12" t="n">
        <x:v>3.86</x:v>
      </x:c>
      <x:c r="H634" s="12" t="n">
        <x:v>386</x:v>
      </x:c>
      <x:c r="I634" s="12" t="n">
        <x:v>-6</x:v>
      </x:c>
      <x:c r="J634" s="12" t="n">
        <x:v>3</x:v>
      </x:c>
    </x:row>
    <x:row r="635" ht="18" customHeight="1">
      <x:c r="A635" s="13" t="n">
        <x:v>43529</x:v>
      </x:c>
      <x:c r="B635" s="12" t="n">
        <x:v>3816.0132</x:v>
      </x:c>
      <x:c r="C635" s="12" t="n">
        <x:v>3794.104</x:v>
      </x:c>
      <x:c r="D635" s="12" t="n">
        <x:v>0.5775</x:v>
      </x:c>
      <x:c r="E635" s="12" t="n">
        <x:v>0.005757929859737223</x:v>
      </x:c>
      <x:c r="F635" s="13" t="n">
        <x:v>43528</x:v>
      </x:c>
      <x:c r="G635" s="12" t="n">
        <x:v>3.9</x:v>
      </x:c>
      <x:c r="H635" s="12" t="n">
        <x:v>390</x:v>
      </x:c>
      <x:c r="I635" s="12" t="n">
        <x:v>4</x:v>
      </x:c>
      <x:c r="J635" s="12" t="n">
        <x:v>1</x:v>
      </x:c>
    </x:row>
    <x:row r="636" ht="18" customHeight="1">
      <x:c r="A636" s="13" t="n">
        <x:v>43530</x:v>
      </x:c>
      <x:c r="B636" s="12" t="n">
        <x:v>3848.0903</x:v>
      </x:c>
      <x:c r="C636" s="12" t="n">
        <x:v>3816.0132</x:v>
      </x:c>
      <x:c r="D636" s="12" t="n">
        <x:v>0.8406</x:v>
      </x:c>
      <x:c r="E636" s="12" t="n">
        <x:v>0.008370786564533118</x:v>
      </x:c>
      <x:c r="F636" s="13" t="n">
        <x:v>43529</x:v>
      </x:c>
      <x:c r="G636" s="12" t="n">
        <x:v>3.91</x:v>
      </x:c>
      <x:c r="H636" s="12" t="n">
        <x:v>391</x:v>
      </x:c>
      <x:c r="I636" s="12" t="n">
        <x:v>1</x:v>
      </x:c>
      <x:c r="J636" s="12" t="n">
        <x:v>1</x:v>
      </x:c>
    </x:row>
    <x:row r="637" ht="18" customHeight="1">
      <x:c r="A637" s="13" t="n">
        <x:v>43531</x:v>
      </x:c>
      <x:c r="B637" s="12" t="n">
        <x:v>3808.8497</x:v>
      </x:c>
      <x:c r="C637" s="12" t="n">
        <x:v>3848.0903</x:v>
      </x:c>
      <x:c r="D637" s="12" t="n">
        <x:v>-1.0197</x:v>
      </x:c>
      <x:c r="E637" s="12" t="n">
        <x:v>-0.010249771721790521</x:v>
      </x:c>
      <x:c r="F637" s="13" t="n">
        <x:v>43530</x:v>
      </x:c>
      <x:c r="G637" s="12" t="n">
        <x:v>3.98</x:v>
      </x:c>
      <x:c r="H637" s="12" t="n">
        <x:v>398</x:v>
      </x:c>
      <x:c r="I637" s="12" t="n">
        <x:v>7</x:v>
      </x:c>
      <x:c r="J637" s="12" t="n">
        <x:v>1</x:v>
      </x:c>
    </x:row>
    <x:row r="638" ht="18" customHeight="1">
      <x:c r="A638" s="13" t="n">
        <x:v>43532</x:v>
      </x:c>
      <x:c r="B638" s="12" t="n">
        <x:v>3657.579</x:v>
      </x:c>
      <x:c r="C638" s="12" t="n">
        <x:v>3808.8497</x:v>
      </x:c>
      <x:c r="D638" s="12" t="n">
        <x:v>-3.9716</x:v>
      </x:c>
      <x:c r="E638" s="12" t="n">
        <x:v>-0.04052577441024072</x:v>
      </x:c>
      <x:c r="F638" s="13" t="n">
        <x:v>43531</x:v>
      </x:c>
      <x:c r="G638" s="12" t="n">
        <x:v>4.1</x:v>
      </x:c>
      <x:c r="H638" s="12" t="n">
        <x:v>409.99999999999994</x:v>
      </x:c>
      <x:c r="I638" s="12" t="n">
        <x:v>11.999999999999943</x:v>
      </x:c>
      <x:c r="J638" s="12" t="n">
        <x:v>1</x:v>
      </x:c>
    </x:row>
    <x:row r="639" ht="18" customHeight="1">
      <x:c r="A639" s="13" t="n">
        <x:v>43535</x:v>
      </x:c>
      <x:c r="B639" s="12" t="n">
        <x:v>3729.9546</x:v>
      </x:c>
      <x:c r="C639" s="12" t="n">
        <x:v>3657.579</x:v>
      </x:c>
      <x:c r="D639" s="12" t="n">
        <x:v>1.9788</x:v>
      </x:c>
      <x:c r="E639" s="12" t="n">
        <x:v>0.01959460886782455</x:v>
      </x:c>
      <x:c r="F639" s="13" t="n">
        <x:v>43532</x:v>
      </x:c>
      <x:c r="G639" s="12" t="n">
        <x:v>4.18</x:v>
      </x:c>
      <x:c r="H639" s="12" t="n">
        <x:v>418</x:v>
      </x:c>
      <x:c r="I639" s="12" t="n">
        <x:v>8.000000000000057</x:v>
      </x:c>
      <x:c r="J639" s="12" t="n">
        <x:v>3</x:v>
      </x:c>
    </x:row>
    <x:row r="640" ht="18" customHeight="1">
      <x:c r="A640" s="13" t="n">
        <x:v>43536</x:v>
      </x:c>
      <x:c r="B640" s="12" t="n">
        <x:v>3755.3519</x:v>
      </x:c>
      <x:c r="C640" s="12" t="n">
        <x:v>3729.9546</x:v>
      </x:c>
      <x:c r="D640" s="12" t="n">
        <x:v>0.6809</x:v>
      </x:c>
      <x:c r="E640" s="12" t="n">
        <x:v>0.006785933871841623</x:v>
      </x:c>
      <x:c r="F640" s="13" t="n">
        <x:v>43535</x:v>
      </x:c>
      <x:c r="G640" s="12" t="n">
        <x:v>4.12</x:v>
      </x:c>
      <x:c r="H640" s="12" t="n">
        <x:v>412</x:v>
      </x:c>
      <x:c r="I640" s="12" t="n">
        <x:v>-6</x:v>
      </x:c>
      <x:c r="J640" s="12" t="n">
        <x:v>1</x:v>
      </x:c>
    </x:row>
    <x:row r="641" ht="18" customHeight="1">
      <x:c r="A641" s="13" t="n">
        <x:v>43537</x:v>
      </x:c>
      <x:c r="B641" s="12" t="n">
        <x:v>3724.1941</x:v>
      </x:c>
      <x:c r="C641" s="12" t="n">
        <x:v>3755.3519</x:v>
      </x:c>
      <x:c r="D641" s="12" t="n">
        <x:v>-0.8297</x:v>
      </x:c>
      <x:c r="E641" s="12" t="n">
        <x:v>-0.00833151644030722</x:v>
      </x:c>
      <x:c r="F641" s="13" t="n">
        <x:v>43536</x:v>
      </x:c>
      <x:c r="G641" s="12" t="n">
        <x:v>4.08</x:v>
      </x:c>
      <x:c r="H641" s="12" t="n">
        <x:v>408</x:v>
      </x:c>
      <x:c r="I641" s="12" t="n">
        <x:v>-4</x:v>
      </x:c>
      <x:c r="J641" s="12" t="n">
        <x:v>1</x:v>
      </x:c>
    </x:row>
    <x:row r="642" ht="18" customHeight="1">
      <x:c r="A642" s="13" t="n">
        <x:v>43538</x:v>
      </x:c>
      <x:c r="B642" s="12" t="n">
        <x:v>3698.4858</x:v>
      </x:c>
      <x:c r="C642" s="12" t="n">
        <x:v>3724.1941</x:v>
      </x:c>
      <x:c r="D642" s="12" t="n">
        <x:v>-0.6903</x:v>
      </x:c>
      <x:c r="E642" s="12" t="n">
        <x:v>-0.006926986787349062</x:v>
      </x:c>
      <x:c r="F642" s="13" t="n">
        <x:v>43537</x:v>
      </x:c>
      <x:c r="G642" s="12" t="n">
        <x:v>3.99</x:v>
      </x:c>
      <x:c r="H642" s="12" t="n">
        <x:v>399</x:v>
      </x:c>
      <x:c r="I642" s="12" t="n">
        <x:v>-9</x:v>
      </x:c>
      <x:c r="J642" s="12" t="n">
        <x:v>1</x:v>
      </x:c>
    </x:row>
    <x:row r="643" ht="18" customHeight="1">
      <x:c r="A643" s="13" t="n">
        <x:v>43539</x:v>
      </x:c>
      <x:c r="B643" s="12" t="n">
        <x:v>3745.005</x:v>
      </x:c>
      <x:c r="C643" s="12" t="n">
        <x:v>3698.4858</x:v>
      </x:c>
      <x:c r="D643" s="12" t="n">
        <x:v>1.2578</x:v>
      </x:c>
      <x:c r="E643" s="12" t="n">
        <x:v>0.012499459437710598</x:v>
      </x:c>
      <x:c r="F643" s="13" t="n">
        <x:v>43538</x:v>
      </x:c>
      <x:c r="G643" s="12" t="n">
        <x:v>3.95</x:v>
      </x:c>
      <x:c r="H643" s="12" t="n">
        <x:v>395</x:v>
      </x:c>
      <x:c r="I643" s="12" t="n">
        <x:v>-4</x:v>
      </x:c>
      <x:c r="J643" s="12" t="n">
        <x:v>1</x:v>
      </x:c>
    </x:row>
    <x:row r="644" ht="18" customHeight="1">
      <x:c r="A644" s="13" t="n">
        <x:v>43542</x:v>
      </x:c>
      <x:c r="B644" s="12" t="n">
        <x:v>3851.7479</x:v>
      </x:c>
      <x:c r="C644" s="12" t="n">
        <x:v>3745.005</x:v>
      </x:c>
      <x:c r="D644" s="12" t="n">
        <x:v>2.8503</x:v>
      </x:c>
      <x:c r="E644" s="12" t="n">
        <x:v>0.02810409319109816</x:v>
      </x:c>
      <x:c r="F644" s="13" t="n">
        <x:v>43539</x:v>
      </x:c>
      <x:c r="G644" s="12" t="n">
        <x:v>3.95</x:v>
      </x:c>
      <x:c r="H644" s="12" t="n">
        <x:v>395</x:v>
      </x:c>
      <x:c r="I644" s="12" t="n">
        <x:v>0</x:v>
      </x:c>
      <x:c r="J644" s="12" t="n">
        <x:v>3</x:v>
      </x:c>
    </x:row>
    <x:row r="645" ht="18" customHeight="1">
      <x:c r="A645" s="13" t="n">
        <x:v>43543</x:v>
      </x:c>
      <x:c r="B645" s="12" t="n">
        <x:v>3833.9626</x:v>
      </x:c>
      <x:c r="C645" s="12" t="n">
        <x:v>3851.7479</x:v>
      </x:c>
      <x:c r="D645" s="12" t="n">
        <x:v>-0.4617</x:v>
      </x:c>
      <x:c r="E645" s="12" t="n">
        <x:v>-0.0046281555222481095</x:v>
      </x:c>
      <x:c r="F645" s="13" t="n">
        <x:v>43542</x:v>
      </x:c>
      <x:c r="G645" s="12" t="n">
        <x:v>3.95</x:v>
      </x:c>
      <x:c r="H645" s="12" t="n">
        <x:v>395</x:v>
      </x:c>
      <x:c r="I645" s="12" t="n">
        <x:v>0</x:v>
      </x:c>
      <x:c r="J645" s="12" t="n">
        <x:v>1</x:v>
      </x:c>
    </x:row>
    <x:row r="646" ht="18" customHeight="1">
      <x:c r="A646" s="13" t="n">
        <x:v>43544</x:v>
      </x:c>
      <x:c r="B646" s="12" t="n">
        <x:v>3835.4397</x:v>
      </x:c>
      <x:c r="C646" s="12" t="n">
        <x:v>3833.9626</x:v>
      </x:c>
      <x:c r="D646" s="12" t="n">
        <x:v>0.0385</x:v>
      </x:c>
      <x:c r="E646" s="12" t="n">
        <x:v>0.00038519299431279954</x:v>
      </x:c>
      <x:c r="F646" s="13" t="n">
        <x:v>43543</x:v>
      </x:c>
      <x:c r="G646" s="12" t="n">
        <x:v>3.91</x:v>
      </x:c>
      <x:c r="H646" s="12" t="n">
        <x:v>391</x:v>
      </x:c>
      <x:c r="I646" s="12" t="n">
        <x:v>-4</x:v>
      </x:c>
      <x:c r="J646" s="12" t="n">
        <x:v>1</x:v>
      </x:c>
    </x:row>
    <x:row r="647" ht="18" customHeight="1">
      <x:c r="A647" s="13" t="n">
        <x:v>43545</x:v>
      </x:c>
      <x:c r="B647" s="12" t="n">
        <x:v>3836.8913</x:v>
      </x:c>
      <x:c r="C647" s="12" t="n">
        <x:v>3835.4397</x:v>
      </x:c>
      <x:c r="D647" s="12" t="n">
        <x:v>0.0378</x:v>
      </x:c>
      <x:c r="E647" s="12" t="n">
        <x:v>0.0003783986945611922</x:v>
      </x:c>
      <x:c r="F647" s="13" t="n">
        <x:v>43544</x:v>
      </x:c>
      <x:c r="G647" s="12" t="n">
        <x:v>3.97</x:v>
      </x:c>
      <x:c r="H647" s="12" t="n">
        <x:v>397</x:v>
      </x:c>
      <x:c r="I647" s="12" t="n">
        <x:v>6</x:v>
      </x:c>
      <x:c r="J647" s="12" t="n">
        <x:v>1</x:v>
      </x:c>
    </x:row>
    <x:row r="648" ht="18" customHeight="1">
      <x:c r="A648" s="13" t="n">
        <x:v>43546</x:v>
      </x:c>
      <x:c r="B648" s="12" t="n">
        <x:v>3833.8013</x:v>
      </x:c>
      <x:c r="C648" s="12" t="n">
        <x:v>3836.8913</x:v>
      </x:c>
      <x:c r="D648" s="12" t="n">
        <x:v>-0.0805</x:v>
      </x:c>
      <x:c r="E648" s="12" t="n">
        <x:v>-0.0008056639284805862</x:v>
      </x:c>
      <x:c r="F648" s="13" t="n">
        <x:v>43545</x:v>
      </x:c>
      <x:c r="G648" s="12" t="n">
        <x:v>3.92</x:v>
      </x:c>
      <x:c r="H648" s="12" t="n">
        <x:v>392</x:v>
      </x:c>
      <x:c r="I648" s="12" t="n">
        <x:v>-5</x:v>
      </x:c>
      <x:c r="J648" s="12" t="n">
        <x:v>1</x:v>
      </x:c>
    </x:row>
    <x:row r="649" ht="18" customHeight="1">
      <x:c r="A649" s="13" t="n">
        <x:v>43549</x:v>
      </x:c>
      <x:c r="B649" s="12" t="n">
        <x:v>3742.8252</x:v>
      </x:c>
      <x:c r="C649" s="12" t="n">
        <x:v>3833.8013</x:v>
      </x:c>
      <x:c r="D649" s="12" t="n">
        <x:v>-2.373</x:v>
      </x:c>
      <x:c r="E649" s="12" t="n">
        <x:v>-0.02401609018684471</x:v>
      </x:c>
      <x:c r="F649" s="13" t="n">
        <x:v>43546</x:v>
      </x:c>
      <x:c r="G649" s="12" t="n">
        <x:v>4.03</x:v>
      </x:c>
      <x:c r="H649" s="12" t="n">
        <x:v>403</x:v>
      </x:c>
      <x:c r="I649" s="12" t="n">
        <x:v>11</x:v>
      </x:c>
      <x:c r="J649" s="12" t="n">
        <x:v>3</x:v>
      </x:c>
    </x:row>
    <x:row r="650" ht="18" customHeight="1">
      <x:c r="A650" s="13" t="n">
        <x:v>43550</x:v>
      </x:c>
      <x:c r="B650" s="12" t="n">
        <x:v>3700.4388</x:v>
      </x:c>
      <x:c r="C650" s="12" t="n">
        <x:v>3742.8252</x:v>
      </x:c>
      <x:c r="D650" s="12" t="n">
        <x:v>-1.1325</x:v>
      </x:c>
      <x:c r="E650" s="12" t="n">
        <x:v>-0.011389320111184707</x:v>
      </x:c>
      <x:c r="F650" s="13" t="n">
        <x:v>43549</x:v>
      </x:c>
      <x:c r="G650" s="12" t="n">
        <x:v>4.13</x:v>
      </x:c>
      <x:c r="H650" s="12" t="n">
        <x:v>413</x:v>
      </x:c>
      <x:c r="I650" s="12" t="n">
        <x:v>10</x:v>
      </x:c>
      <x:c r="J650" s="12" t="n">
        <x:v>1</x:v>
      </x:c>
    </x:row>
    <x:row r="651" ht="18" customHeight="1">
      <x:c r="A651" s="13" t="n">
        <x:v>43551</x:v>
      </x:c>
      <x:c r="B651" s="12" t="n">
        <x:v>3743.3878</x:v>
      </x:c>
      <x:c r="C651" s="12" t="n">
        <x:v>3700.4388</x:v>
      </x:c>
      <x:c r="D651" s="12" t="n">
        <x:v>1.1606</x:v>
      </x:c>
      <x:c r="E651" s="12" t="n">
        <x:v>0.011539623075062276</x:v>
      </x:c>
      <x:c r="F651" s="13" t="n">
        <x:v>43550</x:v>
      </x:c>
      <x:c r="G651" s="12" t="n">
        <x:v>4.09</x:v>
      </x:c>
      <x:c r="H651" s="12" t="n">
        <x:v>409</x:v>
      </x:c>
      <x:c r="I651" s="12" t="n">
        <x:v>-4</x:v>
      </x:c>
      <x:c r="J651" s="12" t="n">
        <x:v>1</x:v>
      </x:c>
    </x:row>
    <x:row r="652" ht="18" customHeight="1">
      <x:c r="A652" s="13" t="n">
        <x:v>43552</x:v>
      </x:c>
      <x:c r="B652" s="12" t="n">
        <x:v>3728.3953</x:v>
      </x:c>
      <x:c r="C652" s="12" t="n">
        <x:v>3743.3878</x:v>
      </x:c>
      <x:c r="D652" s="12" t="n">
        <x:v>-0.4005</x:v>
      </x:c>
      <x:c r="E652" s="12" t="n">
        <x:v>-0.004013103678338908</x:v>
      </x:c>
      <x:c r="F652" s="13" t="n">
        <x:v>43551</x:v>
      </x:c>
      <x:c r="G652" s="12" t="n">
        <x:v>4.09</x:v>
      </x:c>
      <x:c r="H652" s="12" t="n">
        <x:v>409</x:v>
      </x:c>
      <x:c r="I652" s="12" t="n">
        <x:v>0</x:v>
      </x:c>
      <x:c r="J652" s="12" t="n">
        <x:v>1</x:v>
      </x:c>
    </x:row>
    <x:row r="653" ht="18" customHeight="1">
      <x:c r="A653" s="13" t="n">
        <x:v>43553</x:v>
      </x:c>
      <x:c r="B653" s="12" t="n">
        <x:v>3872.3412</x:v>
      </x:c>
      <x:c r="C653" s="12" t="n">
        <x:v>3728.3953</x:v>
      </x:c>
      <x:c r="D653" s="12" t="n">
        <x:v>3.8608</x:v>
      </x:c>
      <x:c r="E653" s="12" t="n">
        <x:v>0.03788135875700307</x:v>
      </x:c>
      <x:c r="F653" s="13" t="n">
        <x:v>43552</x:v>
      </x:c>
      <x:c r="G653" s="12" t="n">
        <x:v>4.08</x:v>
      </x:c>
      <x:c r="H653" s="12" t="n">
        <x:v>408</x:v>
      </x:c>
      <x:c r="I653" s="12" t="n">
        <x:v>-1</x:v>
      </x:c>
      <x:c r="J653" s="12" t="n">
        <x:v>1</x:v>
      </x:c>
    </x:row>
    <x:row r="654" ht="18" customHeight="1">
      <x:c r="A654" s="13" t="n">
        <x:v>43556</x:v>
      </x:c>
      <x:c r="B654" s="12" t="n">
        <x:v>3973.928</x:v>
      </x:c>
      <x:c r="C654" s="12" t="n">
        <x:v>3872.3412</x:v>
      </x:c>
      <x:c r="D654" s="12" t="n">
        <x:v>2.6234</x:v>
      </x:c>
      <x:c r="E654" s="12" t="n">
        <x:v>0.02589574083330405</x:v>
      </x:c>
      <x:c r="F654" s="13" t="n">
        <x:v>43555</x:v>
      </x:c>
      <x:c r="G654" s="12" t="n">
        <x:v>4.05</x:v>
      </x:c>
      <x:c r="H654" s="12" t="n">
        <x:v>405</x:v>
      </x:c>
      <x:c r="I654" s="12" t="n">
        <x:v>6</x:v>
      </x:c>
      <x:c r="J654" s="12" t="n">
        <x:v>1</x:v>
      </x:c>
    </x:row>
    <x:row r="655" ht="18" customHeight="1">
      <x:c r="A655" s="13" t="n">
        <x:v>43557</x:v>
      </x:c>
      <x:c r="B655" s="12" t="n">
        <x:v>3971.2852</x:v>
      </x:c>
      <x:c r="C655" s="12" t="n">
        <x:v>3973.928</x:v>
      </x:c>
      <x:c r="D655" s="12" t="n">
        <x:v>-0.0665</x:v>
      </x:c>
      <x:c r="E655" s="12" t="n">
        <x:v>-0.00066525592981389</x:v>
      </x:c>
      <x:c r="F655" s="13" t="n">
        <x:v>43556</x:v>
      </x:c>
      <x:c r="G655" s="12" t="n">
        <x:v>3.94</x:v>
      </x:c>
      <x:c r="H655" s="12" t="n">
        <x:v>394</x:v>
      </x:c>
      <x:c r="I655" s="12" t="n">
        <x:v>-11</x:v>
      </x:c>
      <x:c r="J655" s="12" t="n">
        <x:v>1</x:v>
      </x:c>
    </x:row>
    <x:row r="656" ht="18" customHeight="1">
      <x:c r="A656" s="13" t="n">
        <x:v>43558</x:v>
      </x:c>
      <x:c r="B656" s="12" t="n">
        <x:v>4022.1566</x:v>
      </x:c>
      <x:c r="C656" s="12" t="n">
        <x:v>3971.2852</x:v>
      </x:c>
      <x:c r="D656" s="12" t="n">
        <x:v>1.281</x:v>
      </x:c>
      <x:c r="E656" s="12" t="n">
        <x:v>0.012728456175082285</x:v>
      </x:c>
      <x:c r="F656" s="13" t="n">
        <x:v>43557</x:v>
      </x:c>
      <x:c r="G656" s="12" t="n">
        <x:v>3.95</x:v>
      </x:c>
      <x:c r="H656" s="12" t="n">
        <x:v>395</x:v>
      </x:c>
      <x:c r="I656" s="12" t="n">
        <x:v>1</x:v>
      </x:c>
      <x:c r="J656" s="12" t="n">
        <x:v>1</x:v>
      </x:c>
    </x:row>
    <x:row r="657" ht="18" customHeight="1">
      <x:c r="A657" s="13" t="n">
        <x:v>43559</x:v>
      </x:c>
      <x:c r="B657" s="12" t="n">
        <x:v>4062.2309</x:v>
      </x:c>
      <x:c r="C657" s="12" t="n">
        <x:v>4022.1566</x:v>
      </x:c>
      <x:c r="D657" s="12" t="n">
        <x:v>0.9963</x:v>
      </x:c>
      <x:c r="E657" s="12" t="n">
        <x:v>0.009914079016601029</x:v>
      </x:c>
      <x:c r="F657" s="13" t="n">
        <x:v>43558</x:v>
      </x:c>
      <x:c r="G657" s="12" t="n">
        <x:v>3.9</x:v>
      </x:c>
      <x:c r="H657" s="12" t="n">
        <x:v>390</x:v>
      </x:c>
      <x:c r="I657" s="12" t="n">
        <x:v>-5</x:v>
      </x:c>
      <x:c r="J657" s="12" t="n">
        <x:v>1</x:v>
      </x:c>
    </x:row>
    <x:row r="658" ht="18" customHeight="1">
      <x:c r="A658" s="13" t="n">
        <x:v>43563</x:v>
      </x:c>
      <x:c r="B658" s="12" t="n">
        <x:v>4057.2286</x:v>
      </x:c>
      <x:c r="C658" s="12" t="n">
        <x:v>4062.2309</x:v>
      </x:c>
      <x:c r="D658" s="12" t="n">
        <x:v>-0.1231</x:v>
      </x:c>
      <x:c r="E658" s="12" t="n">
        <x:v>-0.0012321757705419608</x:v>
      </x:c>
      <x:c r="F658" s="13" t="n">
        <x:v>43560</x:v>
      </x:c>
      <x:c r="G658" s="12" t="n">
        <x:v>3.86</x:v>
      </x:c>
      <x:c r="H658" s="12" t="n">
        <x:v>386</x:v>
      </x:c>
      <x:c r="I658" s="12" t="n">
        <x:v>-4</x:v>
      </x:c>
      <x:c r="J658" s="12" t="n">
        <x:v>3</x:v>
      </x:c>
    </x:row>
    <x:row r="659" ht="18" customHeight="1">
      <x:c r="A659" s="13" t="n">
        <x:v>43564</x:v>
      </x:c>
      <x:c r="B659" s="12" t="n">
        <x:v>4075.4301</x:v>
      </x:c>
      <x:c r="C659" s="12" t="n">
        <x:v>4057.2286</x:v>
      </x:c>
      <x:c r="D659" s="12" t="n">
        <x:v>0.4486</x:v>
      </x:c>
      <x:c r="E659" s="12" t="n">
        <x:v>0.004476157444159239</x:v>
      </x:c>
      <x:c r="F659" s="13" t="n">
        <x:v>43563</x:v>
      </x:c>
      <x:c r="G659" s="12" t="n">
        <x:v>3.84</x:v>
      </x:c>
      <x:c r="H659" s="12" t="n">
        <x:v>384</x:v>
      </x:c>
      <x:c r="I659" s="12" t="n">
        <x:v>-2</x:v>
      </x:c>
      <x:c r="J659" s="12" t="n">
        <x:v>1</x:v>
      </x:c>
    </x:row>
    <x:row r="660" ht="18" customHeight="1">
      <x:c r="A660" s="13" t="n">
        <x:v>43565</x:v>
      </x:c>
      <x:c r="B660" s="12" t="n">
        <x:v>4085.847</x:v>
      </x:c>
      <x:c r="C660" s="12" t="n">
        <x:v>4075.4301</x:v>
      </x:c>
      <x:c r="D660" s="12" t="n">
        <x:v>0.2556</x:v>
      </x:c>
      <x:c r="E660" s="12" t="n">
        <x:v>0.0025527636249231857</x:v>
      </x:c>
      <x:c r="F660" s="13" t="n">
        <x:v>43564</x:v>
      </x:c>
      <x:c r="G660" s="12" t="n">
        <x:v>3.86</x:v>
      </x:c>
      <x:c r="H660" s="12" t="n">
        <x:v>386</x:v>
      </x:c>
      <x:c r="I660" s="12" t="n">
        <x:v>2</x:v>
      </x:c>
      <x:c r="J660" s="12" t="n">
        <x:v>1</x:v>
      </x:c>
    </x:row>
    <x:row r="661" ht="18" customHeight="1">
      <x:c r="A661" s="13" t="n">
        <x:v>43566</x:v>
      </x:c>
      <x:c r="B661" s="12" t="n">
        <x:v>3997.5778</x:v>
      </x:c>
      <x:c r="C661" s="12" t="n">
        <x:v>4085.847</x:v>
      </x:c>
      <x:c r="D661" s="12" t="n">
        <x:v>-2.1604</x:v>
      </x:c>
      <x:c r="E661" s="12" t="n">
        <x:v>-0.021840423059991402</x:v>
      </x:c>
      <x:c r="F661" s="13" t="n">
        <x:v>43565</x:v>
      </x:c>
      <x:c r="G661" s="12" t="n">
        <x:v>3.86</x:v>
      </x:c>
      <x:c r="H661" s="12" t="n">
        <x:v>386</x:v>
      </x:c>
      <x:c r="I661" s="12" t="n">
        <x:v>0</x:v>
      </x:c>
      <x:c r="J661" s="12" t="n">
        <x:v>1</x:v>
      </x:c>
    </x:row>
    <x:row r="662" ht="18" customHeight="1">
      <x:c r="A662" s="13" t="n">
        <x:v>43567</x:v>
      </x:c>
      <x:c r="B662" s="12" t="n">
        <x:v>3988.6168</x:v>
      </x:c>
      <x:c r="C662" s="12" t="n">
        <x:v>3997.5778</x:v>
      </x:c>
      <x:c r="D662" s="12" t="n">
        <x:v>-0.2242</x:v>
      </x:c>
      <x:c r="E662" s="12" t="n">
        <x:v>-0.0022441235681135564</x:v>
      </x:c>
      <x:c r="F662" s="13" t="n">
        <x:v>43566</x:v>
      </x:c>
      <x:c r="G662" s="12" t="n">
        <x:v>3.79</x:v>
      </x:c>
      <x:c r="H662" s="12" t="n">
        <x:v>379</x:v>
      </x:c>
      <x:c r="I662" s="12" t="n">
        <x:v>-7</x:v>
      </x:c>
      <x:c r="J662" s="12" t="n">
        <x:v>1</x:v>
      </x:c>
    </x:row>
    <x:row r="663" ht="18" customHeight="1">
      <x:c r="A663" s="13" t="n">
        <x:v>43570</x:v>
      </x:c>
      <x:c r="B663" s="12" t="n">
        <x:v>3975.5244</x:v>
      </x:c>
      <x:c r="C663" s="12" t="n">
        <x:v>3988.6168</x:v>
      </x:c>
      <x:c r="D663" s="12" t="n">
        <x:v>-0.3282</x:v>
      </x:c>
      <x:c r="E663" s="12" t="n">
        <x:v>-0.003287840199003918</x:v>
      </x:c>
      <x:c r="F663" s="13" t="n">
        <x:v>43567</x:v>
      </x:c>
      <x:c r="G663" s="12" t="n">
        <x:v>3.68</x:v>
      </x:c>
      <x:c r="H663" s="12" t="n">
        <x:v>368</x:v>
      </x:c>
      <x:c r="I663" s="12" t="n">
        <x:v>-11</x:v>
      </x:c>
      <x:c r="J663" s="12" t="n">
        <x:v>3</x:v>
      </x:c>
    </x:row>
    <x:row r="664" ht="18" customHeight="1">
      <x:c r="A664" s="13" t="n">
        <x:v>43571</x:v>
      </x:c>
      <x:c r="B664" s="12" t="n">
        <x:v>4085.7891</x:v>
      </x:c>
      <x:c r="C664" s="12" t="n">
        <x:v>3975.5244</x:v>
      </x:c>
      <x:c r="D664" s="12" t="n">
        <x:v>2.7736</x:v>
      </x:c>
      <x:c r="E664" s="12" t="n">
        <x:v>0.02735821585833531</x:v>
      </x:c>
      <x:c r="F664" s="13" t="n">
        <x:v>43570</x:v>
      </x:c>
      <x:c r="G664" s="12" t="n">
        <x:v>3.68</x:v>
      </x:c>
      <x:c r="H664" s="12" t="n">
        <x:v>368</x:v>
      </x:c>
      <x:c r="I664" s="12" t="n">
        <x:v>0</x:v>
      </x:c>
      <x:c r="J664" s="12" t="n">
        <x:v>1</x:v>
      </x:c>
    </x:row>
    <x:row r="665" ht="18" customHeight="1">
      <x:c r="A665" s="13" t="n">
        <x:v>43572</x:v>
      </x:c>
      <x:c r="B665" s="12" t="n">
        <x:v>4087.2398</x:v>
      </x:c>
      <x:c r="C665" s="12" t="n">
        <x:v>4085.7891</x:v>
      </x:c>
      <x:c r="D665" s="12" t="n">
        <x:v>0.0355</x:v>
      </x:c>
      <x:c r="E665" s="12" t="n">
        <x:v>0.00035499691313591156</x:v>
      </x:c>
      <x:c r="F665" s="13" t="n">
        <x:v>43571</x:v>
      </x:c>
      <x:c r="G665" s="12" t="n">
        <x:v>3.64</x:v>
      </x:c>
      <x:c r="H665" s="12" t="n">
        <x:v>364</x:v>
      </x:c>
      <x:c r="I665" s="12" t="n">
        <x:v>-4</x:v>
      </x:c>
      <x:c r="J665" s="12" t="n">
        <x:v>1</x:v>
      </x:c>
    </x:row>
    <x:row r="666" ht="18" customHeight="1">
      <x:c r="A666" s="13" t="n">
        <x:v>43573</x:v>
      </x:c>
      <x:c r="B666" s="12" t="n">
        <x:v>4072.0753</x:v>
      </x:c>
      <x:c r="C666" s="12" t="n">
        <x:v>4087.2398</x:v>
      </x:c>
      <x:c r="D666" s="12" t="n">
        <x:v>-0.371</x:v>
      </x:c>
      <x:c r="E666" s="12" t="n">
        <x:v>-0.0037171054860949664</x:v>
      </x:c>
      <x:c r="F666" s="13" t="n">
        <x:v>43572</x:v>
      </x:c>
      <x:c r="G666" s="12" t="n">
        <x:v>3.67</x:v>
      </x:c>
      <x:c r="H666" s="12" t="n">
        <x:v>367</x:v>
      </x:c>
      <x:c r="I666" s="12" t="n">
        <x:v>3</x:v>
      </x:c>
      <x:c r="J666" s="12" t="n">
        <x:v>1</x:v>
      </x:c>
    </x:row>
    <x:row r="667" ht="18" customHeight="1">
      <x:c r="A667" s="13" t="n">
        <x:v>43574</x:v>
      </x:c>
      <x:c r="B667" s="12" t="n">
        <x:v>4120.6078</x:v>
      </x:c>
      <x:c r="C667" s="12" t="n">
        <x:v>4072.0753</x:v>
      </x:c>
      <x:c r="D667" s="12" t="n">
        <x:v>1.1918</x:v>
      </x:c>
      <x:c r="E667" s="12" t="n">
        <x:v>0.011847905533946322</x:v>
      </x:c>
      <x:c r="F667" s="13" t="n">
        <x:v>43573</x:v>
      </x:c>
      <x:c r="G667" s="12" t="n">
        <x:v>3.73</x:v>
      </x:c>
      <x:c r="H667" s="12" t="n">
        <x:v>373</x:v>
      </x:c>
      <x:c r="I667" s="12" t="n">
        <x:v>6</x:v>
      </x:c>
      <x:c r="J667" s="12" t="n">
        <x:v>1</x:v>
      </x:c>
    </x:row>
    <x:row r="668" ht="18" customHeight="1">
      <x:c r="A668" s="13" t="n">
        <x:v>43577</x:v>
      </x:c>
      <x:c r="B668" s="12" t="n">
        <x:v>4025.6109</x:v>
      </x:c>
      <x:c r="C668" s="12" t="n">
        <x:v>4120.6078</x:v>
      </x:c>
      <x:c r="D668" s="12" t="n">
        <x:v>-2.3054</x:v>
      </x:c>
      <x:c r="E668" s="12" t="n">
        <x:v>-0.023324001001474155</x:v>
      </x:c>
      <x:c r="F668" s="13" t="n">
        <x:v>43573</x:v>
      </x:c>
      <x:c r="G668" s="12" t="n">
        <x:v>3.73</x:v>
      </x:c>
      <x:c r="H668" s="12" t="n">
        <x:v>373</x:v>
      </x:c>
      <x:c r="I668" s="12" t="n">
        <x:v>6</x:v>
      </x:c>
      <x:c r="J668" s="12" t="n">
        <x:v>4</x:v>
      </x:c>
    </x:row>
    <x:row r="669" ht="18" customHeight="1">
      <x:c r="A669" s="13" t="n">
        <x:v>43578</x:v>
      </x:c>
      <x:c r="B669" s="12" t="n">
        <x:v>4019.0053</x:v>
      </x:c>
      <x:c r="C669" s="12" t="n">
        <x:v>4025.6109</x:v>
      </x:c>
      <x:c r="D669" s="12" t="n">
        <x:v>-0.1641</x:v>
      </x:c>
      <x:c r="E669" s="12" t="n">
        <x:v>-0.0016422415489716503</x:v>
      </x:c>
      <x:c r="F669" s="13" t="n">
        <x:v>43577</x:v>
      </x:c>
      <x:c r="G669" s="12" t="n">
        <x:v>3.73</x:v>
      </x:c>
      <x:c r="H669" s="12" t="n">
        <x:v>373</x:v>
      </x:c>
      <x:c r="I669" s="12" t="n">
        <x:v>0</x:v>
      </x:c>
      <x:c r="J669" s="12" t="n">
        <x:v>1</x:v>
      </x:c>
    </x:row>
    <x:row r="670" ht="18" customHeight="1">
      <x:c r="A670" s="13" t="n">
        <x:v>43579</x:v>
      </x:c>
      <x:c r="B670" s="12" t="n">
        <x:v>4030.0887</x:v>
      </x:c>
      <x:c r="C670" s="12" t="n">
        <x:v>4019.0053</x:v>
      </x:c>
      <x:c r="D670" s="12" t="n">
        <x:v>0.2758</x:v>
      </x:c>
      <x:c r="E670" s="12" t="n">
        <x:v>0.0027539514397365993</x:v>
      </x:c>
      <x:c r="F670" s="13" t="n">
        <x:v>43578</x:v>
      </x:c>
      <x:c r="G670" s="12" t="n">
        <x:v>3.72</x:v>
      </x:c>
      <x:c r="H670" s="12" t="n">
        <x:v>372</x:v>
      </x:c>
      <x:c r="I670" s="12" t="n">
        <x:v>-1</x:v>
      </x:c>
      <x:c r="J670" s="12" t="n">
        <x:v>1</x:v>
      </x:c>
    </x:row>
    <x:row r="671" ht="18" customHeight="1">
      <x:c r="A671" s="13" t="n">
        <x:v>43580</x:v>
      </x:c>
      <x:c r="B671" s="12" t="n">
        <x:v>3941.816</x:v>
      </x:c>
      <x:c r="C671" s="12" t="n">
        <x:v>4030.0887</x:v>
      </x:c>
      <x:c r="D671" s="12" t="n">
        <x:v>-2.1903</x:v>
      </x:c>
      <x:c r="E671" s="12" t="n">
        <x:v>-0.022146854814603094</x:v>
      </x:c>
      <x:c r="F671" s="13" t="n">
        <x:v>43579</x:v>
      </x:c>
      <x:c r="G671" s="12" t="n">
        <x:v>3.73</x:v>
      </x:c>
      <x:c r="H671" s="12" t="n">
        <x:v>373</x:v>
      </x:c>
      <x:c r="I671" s="12" t="n">
        <x:v>1</x:v>
      </x:c>
      <x:c r="J671" s="12" t="n">
        <x:v>1</x:v>
      </x:c>
    </x:row>
    <x:row r="672" ht="18" customHeight="1">
      <x:c r="A672" s="13" t="n">
        <x:v>43581</x:v>
      </x:c>
      <x:c r="B672" s="12" t="n">
        <x:v>3889.2748</x:v>
      </x:c>
      <x:c r="C672" s="12" t="n">
        <x:v>3941.816</x:v>
      </x:c>
      <x:c r="D672" s="12" t="n">
        <x:v>-1.3329</x:v>
      </x:c>
      <x:c r="E672" s="12" t="n">
        <x:v>-0.013418817311819368</x:v>
      </x:c>
      <x:c r="F672" s="13" t="n">
        <x:v>43580</x:v>
      </x:c>
      <x:c r="G672" s="12" t="n">
        <x:v>3.75</x:v>
      </x:c>
      <x:c r="H672" s="12" t="n">
        <x:v>375</x:v>
      </x:c>
      <x:c r="I672" s="12" t="n">
        <x:v>2</x:v>
      </x:c>
      <x:c r="J672" s="12" t="n">
        <x:v>1</x:v>
      </x:c>
    </x:row>
    <x:row r="673" ht="18" customHeight="1">
      <x:c r="A673" s="13" t="n">
        <x:v>43584</x:v>
      </x:c>
      <x:c r="B673" s="12" t="n">
        <x:v>3900.3339</x:v>
      </x:c>
      <x:c r="C673" s="12" t="n">
        <x:v>3889.2748</x:v>
      </x:c>
      <x:c r="D673" s="12" t="n">
        <x:v>0.2843</x:v>
      </x:c>
      <x:c r="E673" s="12" t="n">
        <x:v>0.0028394513399157798</x:v>
      </x:c>
      <x:c r="F673" s="13" t="n">
        <x:v>43581</x:v>
      </x:c>
      <x:c r="G673" s="12" t="n">
        <x:v>3.76</x:v>
      </x:c>
      <x:c r="H673" s="12" t="n">
        <x:v>376</x:v>
      </x:c>
      <x:c r="I673" s="12" t="n">
        <x:v>1</x:v>
      </x:c>
      <x:c r="J673" s="12" t="n">
        <x:v>3</x:v>
      </x:c>
    </x:row>
    <x:row r="674" ht="18" customHeight="1">
      <x:c r="A674" s="13" t="n">
        <x:v>43585</x:v>
      </x:c>
      <x:c r="B674" s="12" t="n">
        <x:v>3913.211</x:v>
      </x:c>
      <x:c r="C674" s="12" t="n">
        <x:v>3900.3339</x:v>
      </x:c>
      <x:c r="D674" s="12" t="n">
        <x:v>0.3302</x:v>
      </x:c>
      <x:c r="E674" s="12" t="n">
        <x:v>0.0032960997404286934</x:v>
      </x:c>
      <x:c r="F674" s="13" t="n">
        <x:v>43584</x:v>
      </x:c>
      <x:c r="G674" s="12" t="n">
        <x:v>3.73</x:v>
      </x:c>
      <x:c r="H674" s="12" t="n">
        <x:v>373</x:v>
      </x:c>
      <x:c r="I674" s="12" t="n">
        <x:v>-3</x:v>
      </x:c>
      <x:c r="J674" s="12" t="n">
        <x:v>1</x:v>
      </x:c>
    </x:row>
    <x:row r="675" ht="18" customHeight="1">
      <x:c r="A675" s="13" t="n">
        <x:v>43591</x:v>
      </x:c>
      <x:c r="B675" s="12" t="n">
        <x:v>3684.6168</x:v>
      </x:c>
      <x:c r="C675" s="12" t="n">
        <x:v>3913.211</x:v>
      </x:c>
      <x:c r="D675" s="12" t="n">
        <x:v>-5.8416</x:v>
      </x:c>
      <x:c r="E675" s="12" t="n">
        <x:v>-0.06019173350698634</x:v>
      </x:c>
      <x:c r="F675" s="13" t="n">
        <x:v>43588</x:v>
      </x:c>
      <x:c r="G675" s="12" t="n">
        <x:v>3.72</x:v>
      </x:c>
      <x:c r="H675" s="12" t="n">
        <x:v>372</x:v>
      </x:c>
      <x:c r="I675" s="12" t="n">
        <x:v>-2</x:v>
      </x:c>
      <x:c r="J675" s="12" t="n">
        <x:v>3</x:v>
      </x:c>
    </x:row>
    <x:row r="676" ht="18" customHeight="1">
      <x:c r="A676" s="13" t="n">
        <x:v>43592</x:v>
      </x:c>
      <x:c r="B676" s="12" t="n">
        <x:v>3720.6684</x:v>
      </x:c>
      <x:c r="C676" s="12" t="n">
        <x:v>3684.6168</x:v>
      </x:c>
      <x:c r="D676" s="12" t="n">
        <x:v>0.9784</x:v>
      </x:c>
      <x:c r="E676" s="12" t="n">
        <x:v>0.009736798475485208</x:v>
      </x:c>
      <x:c r="F676" s="13" t="n">
        <x:v>43591</x:v>
      </x:c>
      <x:c r="G676" s="12" t="n">
        <x:v>3.82</x:v>
      </x:c>
      <x:c r="H676" s="12" t="n">
        <x:v>382</x:v>
      </x:c>
      <x:c r="I676" s="12" t="n">
        <x:v>10</x:v>
      </x:c>
      <x:c r="J676" s="12" t="n">
        <x:v>1</x:v>
      </x:c>
    </x:row>
    <x:row r="677" ht="18" customHeight="1">
      <x:c r="A677" s="13" t="n">
        <x:v>43593</x:v>
      </x:c>
      <x:c r="B677" s="12" t="n">
        <x:v>3667.4574</x:v>
      </x:c>
      <x:c r="C677" s="12" t="n">
        <x:v>3720.6684</x:v>
      </x:c>
      <x:c r="D677" s="12" t="n">
        <x:v>-1.4301</x:v>
      </x:c>
      <x:c r="E677" s="12" t="n">
        <x:v>-0.014404714138739342</x:v>
      </x:c>
      <x:c r="F677" s="13" t="n">
        <x:v>43592</x:v>
      </x:c>
      <x:c r="G677" s="12" t="n">
        <x:v>3.89</x:v>
      </x:c>
      <x:c r="H677" s="12" t="n">
        <x:v>389</x:v>
      </x:c>
      <x:c r="I677" s="12" t="n">
        <x:v>7</x:v>
      </x:c>
      <x:c r="J677" s="12" t="n">
        <x:v>1</x:v>
      </x:c>
    </x:row>
    <x:row r="678" ht="18" customHeight="1">
      <x:c r="A678" s="13" t="n">
        <x:v>43594</x:v>
      </x:c>
      <x:c r="B678" s="12" t="n">
        <x:v>3599.7001</x:v>
      </x:c>
      <x:c r="C678" s="12" t="n">
        <x:v>3667.4574</x:v>
      </x:c>
      <x:c r="D678" s="12" t="n">
        <x:v>-1.8475</x:v>
      </x:c>
      <x:c r="E678" s="12" t="n">
        <x:v>-0.018648078989208245</x:v>
      </x:c>
      <x:c r="F678" s="13" t="n">
        <x:v>43593</x:v>
      </x:c>
      <x:c r="G678" s="12" t="n">
        <x:v>3.87</x:v>
      </x:c>
      <x:c r="H678" s="12" t="n">
        <x:v>387</x:v>
      </x:c>
      <x:c r="I678" s="12" t="n">
        <x:v>-2</x:v>
      </x:c>
      <x:c r="J678" s="12" t="n">
        <x:v>1</x:v>
      </x:c>
    </x:row>
    <x:row r="679" ht="18" customHeight="1">
      <x:c r="A679" s="13" t="n">
        <x:v>43595</x:v>
      </x:c>
      <x:c r="B679" s="12" t="n">
        <x:v>3730.4513</x:v>
      </x:c>
      <x:c r="C679" s="12" t="n">
        <x:v>3599.7001</x:v>
      </x:c>
      <x:c r="D679" s="12" t="n">
        <x:v>3.6323</x:v>
      </x:c>
      <x:c r="E679" s="12" t="n">
        <x:v>0.035678681857484</x:v>
      </x:c>
      <x:c r="F679" s="13" t="n">
        <x:v>43594</x:v>
      </x:c>
      <x:c r="G679" s="12" t="n">
        <x:v>3.99</x:v>
      </x:c>
      <x:c r="H679" s="12" t="n">
        <x:v>399</x:v>
      </x:c>
      <x:c r="I679" s="12" t="n">
        <x:v>12</x:v>
      </x:c>
      <x:c r="J679" s="12" t="n">
        <x:v>1</x:v>
      </x:c>
    </x:row>
    <x:row r="680" ht="18" customHeight="1">
      <x:c r="A680" s="13" t="n">
        <x:v>43598</x:v>
      </x:c>
      <x:c r="B680" s="12" t="n">
        <x:v>3668.7255</x:v>
      </x:c>
      <x:c r="C680" s="12" t="n">
        <x:v>3730.4513</x:v>
      </x:c>
      <x:c r="D680" s="12" t="n">
        <x:v>-1.6546</x:v>
      </x:c>
      <x:c r="E680" s="12" t="n">
        <x:v>-0.01668489174577094</x:v>
      </x:c>
      <x:c r="F680" s="13" t="n">
        <x:v>43595</x:v>
      </x:c>
      <x:c r="G680" s="12" t="n">
        <x:v>4.01</x:v>
      </x:c>
      <x:c r="H680" s="12" t="n">
        <x:v>401</x:v>
      </x:c>
      <x:c r="I680" s="12" t="n">
        <x:v>2</x:v>
      </x:c>
      <x:c r="J680" s="12" t="n">
        <x:v>3</x:v>
      </x:c>
    </x:row>
    <x:row r="681" ht="18" customHeight="1">
      <x:c r="A681" s="13" t="n">
        <x:v>43599</x:v>
      </x:c>
      <x:c r="B681" s="12" t="n">
        <x:v>3645.1503</x:v>
      </x:c>
      <x:c r="C681" s="12" t="n">
        <x:v>3668.7255</x:v>
      </x:c>
      <x:c r="D681" s="12" t="n">
        <x:v>-0.6426</x:v>
      </x:c>
      <x:c r="E681" s="12" t="n">
        <x:v>-0.006446727369720123</x:v>
      </x:c>
      <x:c r="F681" s="13" t="n">
        <x:v>43598</x:v>
      </x:c>
      <x:c r="G681" s="12" t="n">
        <x:v>4.2</x:v>
      </x:c>
      <x:c r="H681" s="12" t="n">
        <x:v>420</x:v>
      </x:c>
      <x:c r="I681" s="12" t="n">
        <x:v>19</x:v>
      </x:c>
      <x:c r="J681" s="12" t="n">
        <x:v>1</x:v>
      </x:c>
    </x:row>
    <x:row r="682" ht="18" customHeight="1">
      <x:c r="A682" s="13" t="n">
        <x:v>43600</x:v>
      </x:c>
      <x:c r="B682" s="12" t="n">
        <x:v>3727.0923</x:v>
      </x:c>
      <x:c r="C682" s="12" t="n">
        <x:v>3645.1503</x:v>
      </x:c>
      <x:c r="D682" s="12" t="n">
        <x:v>2.248</x:v>
      </x:c>
      <x:c r="E682" s="12" t="n">
        <x:v>0.022230786238790882</x:v>
      </x:c>
      <x:c r="F682" s="13" t="n">
        <x:v>43599</x:v>
      </x:c>
      <x:c r="G682" s="12" t="n">
        <x:v>4.13</x:v>
      </x:c>
      <x:c r="H682" s="12" t="n">
        <x:v>413</x:v>
      </x:c>
      <x:c r="I682" s="12" t="n">
        <x:v>-7</x:v>
      </x:c>
      <x:c r="J682" s="12" t="n">
        <x:v>1</x:v>
      </x:c>
    </x:row>
    <x:row r="683" ht="18" customHeight="1">
      <x:c r="A683" s="13" t="n">
        <x:v>43601</x:v>
      </x:c>
      <x:c r="B683" s="12" t="n">
        <x:v>3743.9635</x:v>
      </x:c>
      <x:c r="C683" s="12" t="n">
        <x:v>3727.0923</x:v>
      </x:c>
      <x:c r="D683" s="12" t="n">
        <x:v>0.4527</x:v>
      </x:c>
      <x:c r="E683" s="12" t="n">
        <x:v>0.004516424219008419</x:v>
      </x:c>
      <x:c r="F683" s="13" t="n">
        <x:v>43600</x:v>
      </x:c>
      <x:c r="G683" s="12" t="n">
        <x:v>4.17</x:v>
      </x:c>
      <x:c r="H683" s="12" t="n">
        <x:v>417</x:v>
      </x:c>
      <x:c r="I683" s="12" t="n">
        <x:v>4</x:v>
      </x:c>
      <x:c r="J683" s="12" t="n">
        <x:v>1</x:v>
      </x:c>
    </x:row>
    <x:row r="684" ht="18" customHeight="1">
      <x:c r="A684" s="13" t="n">
        <x:v>43602</x:v>
      </x:c>
      <x:c r="B684" s="12" t="n">
        <x:v>3648.7609</x:v>
      </x:c>
      <x:c r="C684" s="12" t="n">
        <x:v>3743.9635</x:v>
      </x:c>
      <x:c r="D684" s="12" t="n">
        <x:v>-2.5428</x:v>
      </x:c>
      <x:c r="E684" s="12" t="n">
        <x:v>-0.025757179130048855</x:v>
      </x:c>
      <x:c r="F684" s="13" t="n">
        <x:v>43601</x:v>
      </x:c>
      <x:c r="G684" s="12" t="n">
        <x:v>4.06</x:v>
      </x:c>
      <x:c r="H684" s="12" t="n">
        <x:v>405.99999999999994</x:v>
      </x:c>
      <x:c r="I684" s="12" t="n">
        <x:v>-11.000000000000057</x:v>
      </x:c>
      <x:c r="J684" s="12" t="n">
        <x:v>1</x:v>
      </x:c>
    </x:row>
    <x:row r="685" ht="18" customHeight="1">
      <x:c r="A685" s="13" t="n">
        <x:v>43605</x:v>
      </x:c>
      <x:c r="B685" s="12" t="n">
        <x:v>3617.7924</x:v>
      </x:c>
      <x:c r="C685" s="12" t="n">
        <x:v>3648.7609</x:v>
      </x:c>
      <x:c r="D685" s="12" t="n">
        <x:v>-0.8487</x:v>
      </x:c>
      <x:c r="E685" s="12" t="n">
        <x:v>-0.008523624947157728</x:v>
      </x:c>
      <x:c r="F685" s="13" t="n">
        <x:v>43602</x:v>
      </x:c>
      <x:c r="G685" s="12" t="n">
        <x:v>4.07</x:v>
      </x:c>
      <x:c r="H685" s="12" t="n">
        <x:v>407</x:v>
      </x:c>
      <x:c r="I685" s="12" t="n">
        <x:v>1.0000000000000568</x:v>
      </x:c>
      <x:c r="J685" s="12" t="n">
        <x:v>3</x:v>
      </x:c>
    </x:row>
    <x:row r="686" ht="18" customHeight="1">
      <x:c r="A686" s="13" t="n">
        <x:v>43606</x:v>
      </x:c>
      <x:c r="B686" s="12" t="n">
        <x:v>3666.7762</x:v>
      </x:c>
      <x:c r="C686" s="12" t="n">
        <x:v>3617.7924</x:v>
      </x:c>
      <x:c r="D686" s="12" t="n">
        <x:v>1.354</x:v>
      </x:c>
      <x:c r="E686" s="12" t="n">
        <x:v>0.01344885085235851</x:v>
      </x:c>
      <x:c r="F686" s="13" t="n">
        <x:v>43605</x:v>
      </x:c>
      <x:c r="G686" s="12" t="n">
        <x:v>4.06</x:v>
      </x:c>
      <x:c r="H686" s="12" t="n">
        <x:v>405.99999999999994</x:v>
      </x:c>
      <x:c r="I686" s="12" t="n">
        <x:v>-1.0000000000000568</x:v>
      </x:c>
      <x:c r="J686" s="12" t="n">
        <x:v>1</x:v>
      </x:c>
    </x:row>
    <x:row r="687" ht="18" customHeight="1">
      <x:c r="A687" s="13" t="n">
        <x:v>43607</x:v>
      </x:c>
      <x:c r="B687" s="12" t="n">
        <x:v>3649.3796</x:v>
      </x:c>
      <x:c r="C687" s="12" t="n">
        <x:v>3666.7762</x:v>
      </x:c>
      <x:c r="D687" s="12" t="n">
        <x:v>-0.4744</x:v>
      </x:c>
      <x:c r="E687" s="12" t="n">
        <x:v>-0.004755675866671933</x:v>
      </x:c>
      <x:c r="F687" s="13" t="n">
        <x:v>43606</x:v>
      </x:c>
      <x:c r="G687" s="12" t="n">
        <x:v>3.99</x:v>
      </x:c>
      <x:c r="H687" s="12" t="n">
        <x:v>399</x:v>
      </x:c>
      <x:c r="I687" s="12" t="n">
        <x:v>-6.999999999999943</x:v>
      </x:c>
      <x:c r="J687" s="12" t="n">
        <x:v>1</x:v>
      </x:c>
    </x:row>
    <x:row r="688" ht="18" customHeight="1">
      <x:c r="A688" s="13" t="n">
        <x:v>43608</x:v>
      </x:c>
      <x:c r="B688" s="12" t="n">
        <x:v>3583.9646</x:v>
      </x:c>
      <x:c r="C688" s="12" t="n">
        <x:v>3649.3796</x:v>
      </x:c>
      <x:c r="D688" s="12" t="n">
        <x:v>-1.7925</x:v>
      </x:c>
      <x:c r="E688" s="12" t="n">
        <x:v>-0.018087562712919548</x:v>
      </x:c>
      <x:c r="F688" s="13" t="n">
        <x:v>43607</x:v>
      </x:c>
      <x:c r="G688" s="12" t="n">
        <x:v>4.03</x:v>
      </x:c>
      <x:c r="H688" s="12" t="n">
        <x:v>403</x:v>
      </x:c>
      <x:c r="I688" s="12" t="n">
        <x:v>4</x:v>
      </x:c>
      <x:c r="J688" s="12" t="n">
        <x:v>1</x:v>
      </x:c>
    </x:row>
    <x:row r="689" ht="18" customHeight="1">
      <x:c r="A689" s="13" t="n">
        <x:v>43609</x:v>
      </x:c>
      <x:c r="B689" s="12" t="n">
        <x:v>3593.9139</x:v>
      </x:c>
      <x:c r="C689" s="12" t="n">
        <x:v>3583.9646</x:v>
      </x:c>
      <x:c r="D689" s="12" t="n">
        <x:v>0.2776</x:v>
      </x:c>
      <x:c r="E689" s="12" t="n">
        <x:v>0.002772213648318633</x:v>
      </x:c>
      <x:c r="F689" s="13" t="n">
        <x:v>43608</x:v>
      </x:c>
      <x:c r="G689" s="12" t="n">
        <x:v>4.22</x:v>
      </x:c>
      <x:c r="H689" s="12" t="n">
        <x:v>422</x:v>
      </x:c>
      <x:c r="I689" s="12" t="n">
        <x:v>19</x:v>
      </x:c>
      <x:c r="J689" s="12" t="n">
        <x:v>1</x:v>
      </x:c>
    </x:row>
    <x:row r="690" ht="18" customHeight="1">
      <x:c r="A690" s="13" t="n">
        <x:v>43612</x:v>
      </x:c>
      <x:c r="B690" s="12" t="n">
        <x:v>3637.1971</x:v>
      </x:c>
      <x:c r="C690" s="12" t="n">
        <x:v>3593.9139</x:v>
      </x:c>
      <x:c r="D690" s="12" t="n">
        <x:v>1.2043</x:v>
      </x:c>
      <x:c r="E690" s="12" t="n">
        <x:v>0.011971526072606034</x:v>
      </x:c>
      <x:c r="F690" s="13" t="n">
        <x:v>43609</x:v>
      </x:c>
      <x:c r="G690" s="12" t="n">
        <x:v>4.16</x:v>
      </x:c>
      <x:c r="H690" s="12" t="n">
        <x:v>416</x:v>
      </x:c>
      <x:c r="I690" s="12" t="n">
        <x:v>-6</x:v>
      </x:c>
      <x:c r="J690" s="12" t="n">
        <x:v>3</x:v>
      </x:c>
    </x:row>
    <x:row r="691" ht="18" customHeight="1">
      <x:c r="A691" s="13" t="n">
        <x:v>43613</x:v>
      </x:c>
      <x:c r="B691" s="12" t="n">
        <x:v>3672.2605</x:v>
      </x:c>
      <x:c r="C691" s="12" t="n">
        <x:v>3637.1971</x:v>
      </x:c>
      <x:c r="D691" s="12" t="n">
        <x:v>0.964</x:v>
      </x:c>
      <x:c r="E691" s="12" t="n">
        <x:v>0.009594054955070116</x:v>
      </x:c>
      <x:c r="F691" s="13" t="n">
        <x:v>43612</x:v>
      </x:c>
      <x:c r="G691" s="12" t="n">
        <x:v>4.16</x:v>
      </x:c>
      <x:c r="H691" s="12" t="n">
        <x:v>416</x:v>
      </x:c>
      <x:c r="I691" s="12" t="n">
        <x:v>0</x:v>
      </x:c>
      <x:c r="J691" s="12" t="n">
        <x:v>1</x:v>
      </x:c>
    </x:row>
    <x:row r="692" ht="18" customHeight="1">
      <x:c r="A692" s="13" t="n">
        <x:v>43614</x:v>
      </x:c>
      <x:c r="B692" s="12" t="n">
        <x:v>3663.909</x:v>
      </x:c>
      <x:c r="C692" s="12" t="n">
        <x:v>3672.2605</x:v>
      </x:c>
      <x:c r="D692" s="12" t="n">
        <x:v>-0.2274</x:v>
      </x:c>
      <x:c r="E692" s="12" t="n">
        <x:v>-0.0022768022488379373</x:v>
      </x:c>
      <x:c r="F692" s="13" t="n">
        <x:v>43613</x:v>
      </x:c>
      <x:c r="G692" s="12" t="n">
        <x:v>4.19</x:v>
      </x:c>
      <x:c r="H692" s="12" t="n">
        <x:v>419.00000000000006</x:v>
      </x:c>
      <x:c r="I692" s="12" t="n">
        <x:v>3.000000000000057</x:v>
      </x:c>
      <x:c r="J692" s="12" t="n">
        <x:v>1</x:v>
      </x:c>
    </x:row>
    <x:row r="693" ht="18" customHeight="1">
      <x:c r="A693" s="13" t="n">
        <x:v>43615</x:v>
      </x:c>
      <x:c r="B693" s="12" t="n">
        <x:v>3641.1833</x:v>
      </x:c>
      <x:c r="C693" s="12" t="n">
        <x:v>3663.909</x:v>
      </x:c>
      <x:c r="D693" s="12" t="n">
        <x:v>-0.6203</x:v>
      </x:c>
      <x:c r="E693" s="12" t="n">
        <x:v>-0.006221899020526497</x:v>
      </x:c>
      <x:c r="F693" s="13" t="n">
        <x:v>43614</x:v>
      </x:c>
      <x:c r="G693" s="12" t="n">
        <x:v>4.36</x:v>
      </x:c>
      <x:c r="H693" s="12" t="n">
        <x:v>436.00000000000006</x:v>
      </x:c>
      <x:c r="I693" s="12" t="n">
        <x:v>17</x:v>
      </x:c>
      <x:c r="J693" s="12" t="n">
        <x:v>1</x:v>
      </x:c>
    </x:row>
    <x:row r="694" ht="18" customHeight="1">
      <x:c r="A694" s="13" t="n">
        <x:v>43616</x:v>
      </x:c>
      <x:c r="B694" s="12" t="n">
        <x:v>3629.7893</x:v>
      </x:c>
      <x:c r="C694" s="12" t="n">
        <x:v>3641.1833</x:v>
      </x:c>
      <x:c r="D694" s="12" t="n">
        <x:v>-0.3129</x:v>
      </x:c>
      <x:c r="E694" s="12" t="n">
        <x:v>-0.0031341087233895406</x:v>
      </x:c>
      <x:c r="F694" s="13" t="n">
        <x:v>43615</x:v>
      </x:c>
      <x:c r="G694" s="12" t="n">
        <x:v>4.33</x:v>
      </x:c>
      <x:c r="H694" s="12" t="n">
        <x:v>433</x:v>
      </x:c>
      <x:c r="I694" s="12" t="n">
        <x:v>-3.000000000000057</x:v>
      </x:c>
      <x:c r="J694" s="12" t="n">
        <x:v>1</x:v>
      </x:c>
    </x:row>
    <x:row r="695" ht="18" customHeight="1">
      <x:c r="A695" s="13" t="n">
        <x:v>43619</x:v>
      </x:c>
      <x:c r="B695" s="12" t="n">
        <x:v>3632.0127</x:v>
      </x:c>
      <x:c r="C695" s="12" t="n">
        <x:v>3629.7893</x:v>
      </x:c>
      <x:c r="D695" s="12" t="n">
        <x:v>0.0613</x:v>
      </x:c>
      <x:c r="E695" s="12" t="n">
        <x:v>0.0006123549139669164</x:v>
      </x:c>
      <x:c r="F695" s="13" t="n">
        <x:v>43616</x:v>
      </x:c>
      <x:c r="G695" s="12" t="n">
        <x:v>4.59</x:v>
      </x:c>
      <x:c r="H695" s="12" t="n">
        <x:v>459</x:v>
      </x:c>
      <x:c r="I695" s="12" t="n">
        <x:v>26</x:v>
      </x:c>
      <x:c r="J695" s="12" t="n">
        <x:v>3</x:v>
      </x:c>
    </x:row>
    <x:row r="696" ht="18" customHeight="1">
      <x:c r="A696" s="13" t="n">
        <x:v>43620</x:v>
      </x:c>
      <x:c r="B696" s="12" t="n">
        <x:v>3598.4666</x:v>
      </x:c>
      <x:c r="C696" s="12" t="n">
        <x:v>3632.0127</x:v>
      </x:c>
      <x:c r="D696" s="12" t="n">
        <x:v>-0.9236</x:v>
      </x:c>
      <x:c r="E696" s="12" t="n">
        <x:v>-0.009279147151451426</x:v>
      </x:c>
      <x:c r="F696" s="13" t="n">
        <x:v>43619</x:v>
      </x:c>
      <x:c r="G696" s="12" t="n">
        <x:v>4.7</x:v>
      </x:c>
      <x:c r="H696" s="12" t="n">
        <x:v>470</x:v>
      </x:c>
      <x:c r="I696" s="12" t="n">
        <x:v>11</x:v>
      </x:c>
      <x:c r="J696" s="12" t="n">
        <x:v>1</x:v>
      </x:c>
    </x:row>
    <x:row r="697" ht="18" customHeight="1">
      <x:c r="A697" s="13" t="n">
        <x:v>43621</x:v>
      </x:c>
      <x:c r="B697" s="12" t="n">
        <x:v>3597.105</x:v>
      </x:c>
      <x:c r="C697" s="12" t="n">
        <x:v>3598.4666</x:v>
      </x:c>
      <x:c r="D697" s="12" t="n">
        <x:v>-0.0378</x:v>
      </x:c>
      <x:c r="E697" s="12" t="n">
        <x:v>-0.0003784549975853767</x:v>
      </x:c>
      <x:c r="F697" s="13" t="n">
        <x:v>43620</x:v>
      </x:c>
      <x:c r="G697" s="12" t="n">
        <x:v>4.53</x:v>
      </x:c>
      <x:c r="H697" s="12" t="n">
        <x:v>453</x:v>
      </x:c>
      <x:c r="I697" s="12" t="n">
        <x:v>-17</x:v>
      </x:c>
      <x:c r="J697" s="12" t="n">
        <x:v>1</x:v>
      </x:c>
    </x:row>
    <x:row r="698" ht="18" customHeight="1">
      <x:c r="A698" s="13" t="n">
        <x:v>43622</x:v>
      </x:c>
      <x:c r="B698" s="12" t="n">
        <x:v>3564.6778</x:v>
      </x:c>
      <x:c r="C698" s="12" t="n">
        <x:v>3597.105</x:v>
      </x:c>
      <x:c r="D698" s="12" t="n">
        <x:v>-0.9015</x:v>
      </x:c>
      <x:c r="E698" s="12" t="n">
        <x:v>-0.009055684179698723</x:v>
      </x:c>
      <x:c r="F698" s="13" t="n">
        <x:v>43621</x:v>
      </x:c>
      <x:c r="G698" s="12" t="n">
        <x:v>4.48</x:v>
      </x:c>
      <x:c r="H698" s="12" t="n">
        <x:v>448.00000000000006</x:v>
      </x:c>
      <x:c r="I698" s="12" t="n">
        <x:v>-4.999999999999943</x:v>
      </x:c>
      <x:c r="J698" s="12" t="n">
        <x:v>1</x:v>
      </x:c>
    </x:row>
    <x:row r="699" ht="18" customHeight="1">
      <x:c r="A699" s="13" t="n">
        <x:v>43626</x:v>
      </x:c>
      <x:c r="B699" s="12" t="n">
        <x:v>3610.7435</x:v>
      </x:c>
      <x:c r="C699" s="12" t="n">
        <x:v>3564.6778</x:v>
      </x:c>
      <x:c r="D699" s="12" t="n">
        <x:v>1.2923</x:v>
      </x:c>
      <x:c r="E699" s="12" t="n">
        <x:v>0.01284003571726754</x:v>
      </x:c>
      <x:c r="F699" s="13" t="n">
        <x:v>43623</x:v>
      </x:c>
      <x:c r="G699" s="12" t="n">
        <x:v>4.37</x:v>
      </x:c>
      <x:c r="H699" s="12" t="n">
        <x:v>437</x:v>
      </x:c>
      <x:c r="I699" s="12" t="n">
        <x:v>-5</x:v>
      </x:c>
      <x:c r="J699" s="12" t="n">
        <x:v>3</x:v>
      </x:c>
    </x:row>
    <x:row r="700" ht="18" customHeight="1">
      <x:c r="A700" s="13" t="n">
        <x:v>43627</x:v>
      </x:c>
      <x:c r="B700" s="12" t="n">
        <x:v>3719.2759</x:v>
      </x:c>
      <x:c r="C700" s="12" t="n">
        <x:v>3610.7435</x:v>
      </x:c>
      <x:c r="D700" s="12" t="n">
        <x:v>3.0058</x:v>
      </x:c>
      <x:c r="E700" s="12" t="n">
        <x:v>0.029615291983045522</x:v>
      </x:c>
      <x:c r="F700" s="13" t="n">
        <x:v>43626</x:v>
      </x:c>
      <x:c r="G700" s="12" t="n">
        <x:v>4.23</x:v>
      </x:c>
      <x:c r="H700" s="12" t="n">
        <x:v>423.00000000000006</x:v>
      </x:c>
      <x:c r="I700" s="12" t="n">
        <x:v>-13.999999999999943</x:v>
      </x:c>
      <x:c r="J700" s="12" t="n">
        <x:v>1</x:v>
      </x:c>
    </x:row>
    <x:row r="701" ht="18" customHeight="1">
      <x:c r="A701" s="13" t="n">
        <x:v>43628</x:v>
      </x:c>
      <x:c r="B701" s="12" t="n">
        <x:v>3691.0957</x:v>
      </x:c>
      <x:c r="C701" s="12" t="n">
        <x:v>3719.2759</x:v>
      </x:c>
      <x:c r="D701" s="12" t="n">
        <x:v>-0.7577</x:v>
      </x:c>
      <x:c r="E701" s="12" t="n">
        <x:v>-0.007605647155998182</x:v>
      </x:c>
      <x:c r="F701" s="13" t="n">
        <x:v>43627</x:v>
      </x:c>
      <x:c r="G701" s="12" t="n">
        <x:v>4.2</x:v>
      </x:c>
      <x:c r="H701" s="12" t="n">
        <x:v>420</x:v>
      </x:c>
      <x:c r="I701" s="12" t="n">
        <x:v>-3.000000000000057</x:v>
      </x:c>
      <x:c r="J701" s="12" t="n">
        <x:v>1</x:v>
      </x:c>
    </x:row>
    <x:row r="702" ht="18" customHeight="1">
      <x:c r="A702" s="13" t="n">
        <x:v>43629</x:v>
      </x:c>
      <x:c r="B702" s="12" t="n">
        <x:v>3685.3933</x:v>
      </x:c>
      <x:c r="C702" s="12" t="n">
        <x:v>3691.0957</x:v>
      </x:c>
      <x:c r="D702" s="12" t="n">
        <x:v>-0.1545</x:v>
      </x:c>
      <x:c r="E702" s="12" t="n">
        <x:v>-0.0015461017120563174</x:v>
      </x:c>
      <x:c r="F702" s="13" t="n">
        <x:v>43628</x:v>
      </x:c>
      <x:c r="G702" s="12" t="n">
        <x:v>4.22</x:v>
      </x:c>
      <x:c r="H702" s="12" t="n">
        <x:v>422</x:v>
      </x:c>
      <x:c r="I702" s="12" t="n">
        <x:v>2</x:v>
      </x:c>
      <x:c r="J702" s="12" t="n">
        <x:v>1</x:v>
      </x:c>
    </x:row>
    <x:row r="703" ht="18" customHeight="1">
      <x:c r="A703" s="13" t="n">
        <x:v>43630</x:v>
      </x:c>
      <x:c r="B703" s="12" t="n">
        <x:v>3654.8799</x:v>
      </x:c>
      <x:c r="C703" s="12" t="n">
        <x:v>3685.3933</x:v>
      </x:c>
      <x:c r="D703" s="12" t="n">
        <x:v>-0.828</x:v>
      </x:c>
      <x:c r="E703" s="12" t="n">
        <x:v>-0.00831401636774902</x:v>
      </x:c>
      <x:c r="F703" s="13" t="n">
        <x:v>43629</x:v>
      </x:c>
      <x:c r="G703" s="12" t="n">
        <x:v>4.24</x:v>
      </x:c>
      <x:c r="H703" s="12" t="n">
        <x:v>424</x:v>
      </x:c>
      <x:c r="I703" s="12" t="n">
        <x:v>2</x:v>
      </x:c>
      <x:c r="J703" s="12" t="n">
        <x:v>1</x:v>
      </x:c>
    </x:row>
    <x:row r="704" ht="18" customHeight="1">
      <x:c r="A704" s="13" t="n">
        <x:v>43633</x:v>
      </x:c>
      <x:c r="B704" s="12" t="n">
        <x:v>3654.8248</x:v>
      </x:c>
      <x:c r="C704" s="12" t="n">
        <x:v>3654.8799</x:v>
      </x:c>
      <x:c r="D704" s="12" t="n">
        <x:v>-0.0015</x:v>
      </x:c>
      <x:c r="E704" s="12" t="n">
        <x:v>-0.000015075848413138367</x:v>
      </x:c>
      <x:c r="F704" s="13" t="n">
        <x:v>43630</x:v>
      </x:c>
      <x:c r="G704" s="12" t="n">
        <x:v>4.23</x:v>
      </x:c>
      <x:c r="H704" s="12" t="n">
        <x:v>423.00000000000006</x:v>
      </x:c>
      <x:c r="I704" s="12" t="n">
        <x:v>-0.9999999999999432</x:v>
      </x:c>
      <x:c r="J704" s="12" t="n">
        <x:v>3</x:v>
      </x:c>
    </x:row>
    <x:row r="705" ht="18" customHeight="1">
      <x:c r="A705" s="13" t="n">
        <x:v>43634</x:v>
      </x:c>
      <x:c r="B705" s="12" t="n">
        <x:v>3667.6185</x:v>
      </x:c>
      <x:c r="C705" s="12" t="n">
        <x:v>3654.8248</x:v>
      </x:c>
      <x:c r="D705" s="12" t="n">
        <x:v>0.35</x:v>
      </x:c>
      <x:c r="E705" s="12" t="n">
        <x:v>0.003494383635132153</x:v>
      </x:c>
      <x:c r="F705" s="13" t="n">
        <x:v>43633</x:v>
      </x:c>
      <x:c r="G705" s="12" t="n">
        <x:v>4.23</x:v>
      </x:c>
      <x:c r="H705" s="12" t="n">
        <x:v>423.00000000000006</x:v>
      </x:c>
      <x:c r="I705" s="12" t="n">
        <x:v>0</x:v>
      </x:c>
      <x:c r="J705" s="12" t="n">
        <x:v>1</x:v>
      </x:c>
    </x:row>
    <x:row r="706" ht="18" customHeight="1">
      <x:c r="A706" s="13" t="n">
        <x:v>43635</x:v>
      </x:c>
      <x:c r="B706" s="12" t="n">
        <x:v>3715.9381</x:v>
      </x:c>
      <x:c r="C706" s="12" t="n">
        <x:v>3667.6185</x:v>
      </x:c>
      <x:c r="D706" s="12" t="n">
        <x:v>1.3175</x:v>
      </x:c>
      <x:c r="E706" s="12" t="n">
        <x:v>0.013088621764941596</x:v>
      </x:c>
      <x:c r="F706" s="13" t="n">
        <x:v>43634</x:v>
      </x:c>
      <x:c r="G706" s="12" t="n">
        <x:v>4.14</x:v>
      </x:c>
      <x:c r="H706" s="12" t="n">
        <x:v>413.99999999999994</x:v>
      </x:c>
      <x:c r="I706" s="12" t="n">
        <x:v>-9.000000000000114</x:v>
      </x:c>
      <x:c r="J706" s="12" t="n">
        <x:v>1</x:v>
      </x:c>
    </x:row>
    <x:row r="707" ht="18" customHeight="1">
      <x:c r="A707" s="13" t="n">
        <x:v>43636</x:v>
      </x:c>
      <x:c r="B707" s="12" t="n">
        <x:v>3828.5183</x:v>
      </x:c>
      <x:c r="C707" s="12" t="n">
        <x:v>3715.9381</x:v>
      </x:c>
      <x:c r="D707" s="12" t="n">
        <x:v>3.0297</x:v>
      </x:c>
      <x:c r="E707" s="12" t="n">
        <x:v>0.029846698383138293</x:v>
      </x:c>
      <x:c r="F707" s="13" t="n">
        <x:v>43635</x:v>
      </x:c>
      <x:c r="G707" s="12" t="n">
        <x:v>4.16</x:v>
      </x:c>
      <x:c r="H707" s="12" t="n">
        <x:v>416</x:v>
      </x:c>
      <x:c r="I707" s="12" t="n">
        <x:v>2.000000000000057</x:v>
      </x:c>
      <x:c r="J707" s="12" t="n">
        <x:v>1</x:v>
      </x:c>
    </x:row>
    <x:row r="708" ht="18" customHeight="1">
      <x:c r="A708" s="13" t="n">
        <x:v>43637</x:v>
      </x:c>
      <x:c r="B708" s="12" t="n">
        <x:v>3833.9383</x:v>
      </x:c>
      <x:c r="C708" s="12" t="n">
        <x:v>3828.5183</x:v>
      </x:c>
      <x:c r="D708" s="12" t="n">
        <x:v>0.1416</x:v>
      </x:c>
      <x:c r="E708" s="12" t="n">
        <x:v>0.001414690141003077</x:v>
      </x:c>
      <x:c r="F708" s="13" t="n">
        <x:v>43636</x:v>
      </x:c>
      <x:c r="G708" s="12" t="n">
        <x:v>4.03</x:v>
      </x:c>
      <x:c r="H708" s="12" t="n">
        <x:v>403</x:v>
      </x:c>
      <x:c r="I708" s="12" t="n">
        <x:v>-13</x:v>
      </x:c>
      <x:c r="J708" s="12" t="n">
        <x:v>1</x:v>
      </x:c>
    </x:row>
    <x:row r="709" ht="18" customHeight="1">
      <x:c r="A709" s="13" t="n">
        <x:v>43640</x:v>
      </x:c>
      <x:c r="B709" s="12" t="n">
        <x:v>3841.2659</x:v>
      </x:c>
      <x:c r="C709" s="12" t="n">
        <x:v>3833.9383</x:v>
      </x:c>
      <x:c r="D709" s="12" t="n">
        <x:v>0.1911</x:v>
      </x:c>
      <x:c r="E709" s="12" t="n">
        <x:v>0.0019094220910248932</x:v>
      </x:c>
      <x:c r="F709" s="13" t="n">
        <x:v>43637</x:v>
      </x:c>
      <x:c r="G709" s="12" t="n">
        <x:v>3.95</x:v>
      </x:c>
      <x:c r="H709" s="12" t="n">
        <x:v>395</x:v>
      </x:c>
      <x:c r="I709" s="12" t="n">
        <x:v>-8</x:v>
      </x:c>
      <x:c r="J709" s="12" t="n">
        <x:v>3</x:v>
      </x:c>
    </x:row>
    <x:row r="710" ht="18" customHeight="1">
      <x:c r="A710" s="13" t="n">
        <x:v>43641</x:v>
      </x:c>
      <x:c r="B710" s="12" t="n">
        <x:v>3801.3098</x:v>
      </x:c>
      <x:c r="C710" s="12" t="n">
        <x:v>3841.2659</x:v>
      </x:c>
      <x:c r="D710" s="12" t="n">
        <x:v>-1.0402</x:v>
      </x:c>
      <x:c r="E710" s="12" t="n">
        <x:v>-0.010456282178658741</x:v>
      </x:c>
      <x:c r="F710" s="13" t="n">
        <x:v>43640</x:v>
      </x:c>
      <x:c r="G710" s="12" t="n">
        <x:v>4</x:v>
      </x:c>
      <x:c r="H710" s="12" t="n">
        <x:v>400</x:v>
      </x:c>
      <x:c r="I710" s="12" t="n">
        <x:v>5</x:v>
      </x:c>
      <x:c r="J710" s="12" t="n">
        <x:v>1</x:v>
      </x:c>
    </x:row>
    <x:row r="711" ht="18" customHeight="1">
      <x:c r="A711" s="13" t="n">
        <x:v>43642</x:v>
      </x:c>
      <x:c r="B711" s="12" t="n">
        <x:v>3794.331</x:v>
      </x:c>
      <x:c r="C711" s="12" t="n">
        <x:v>3801.3098</x:v>
      </x:c>
      <x:c r="D711" s="12" t="n">
        <x:v>-0.1836</x:v>
      </x:c>
      <x:c r="E711" s="12" t="n">
        <x:v>-0.0018375808302514161</x:v>
      </x:c>
      <x:c r="F711" s="13" t="n">
        <x:v>43641</x:v>
      </x:c>
      <x:c r="G711" s="12" t="n">
        <x:v>4.09</x:v>
      </x:c>
      <x:c r="H711" s="12" t="n">
        <x:v>409</x:v>
      </x:c>
      <x:c r="I711" s="12" t="n">
        <x:v>9</x:v>
      </x:c>
      <x:c r="J711" s="12" t="n">
        <x:v>1</x:v>
      </x:c>
    </x:row>
    <x:row r="712" ht="18" customHeight="1">
      <x:c r="A712" s="13" t="n">
        <x:v>43643</x:v>
      </x:c>
      <x:c r="B712" s="12" t="n">
        <x:v>3834.8172</x:v>
      </x:c>
      <x:c r="C712" s="12" t="n">
        <x:v>3794.331</x:v>
      </x:c>
      <x:c r="D712" s="12" t="n">
        <x:v>1.067</x:v>
      </x:c>
      <x:c r="E712" s="12" t="n">
        <x:v>0.010613656728416262</x:v>
      </x:c>
      <x:c r="F712" s="13" t="n">
        <x:v>43642</x:v>
      </x:c>
      <x:c r="G712" s="12" t="n">
        <x:v>4.05</x:v>
      </x:c>
      <x:c r="H712" s="12" t="n">
        <x:v>405</x:v>
      </x:c>
      <x:c r="I712" s="12" t="n">
        <x:v>-4</x:v>
      </x:c>
      <x:c r="J712" s="12" t="n">
        <x:v>1</x:v>
      </x:c>
    </x:row>
    <x:row r="713" ht="18" customHeight="1">
      <x:c r="A713" s="13" t="n">
        <x:v>43644</x:v>
      </x:c>
      <x:c r="B713" s="12" t="n">
        <x:v>3825.5873</x:v>
      </x:c>
      <x:c r="C713" s="12" t="n">
        <x:v>3834.8172</x:v>
      </x:c>
      <x:c r="D713" s="12" t="n">
        <x:v>-0.2407</x:v>
      </x:c>
      <x:c r="E713" s="12" t="n">
        <x:v>-0.002409769475356859</x:v>
      </x:c>
      <x:c r="F713" s="13" t="n">
        <x:v>43643</x:v>
      </x:c>
      <x:c r="G713" s="12" t="n">
        <x:v>4.09</x:v>
      </x:c>
      <x:c r="H713" s="12" t="n">
        <x:v>409</x:v>
      </x:c>
      <x:c r="I713" s="12" t="n">
        <x:v>4</x:v>
      </x:c>
      <x:c r="J713" s="12" t="n">
        <x:v>1</x:v>
      </x:c>
    </x:row>
    <x:row r="714" ht="18" customHeight="1">
      <x:c r="A714" s="13" t="n">
        <x:v>43647</x:v>
      </x:c>
      <x:c r="B714" s="12" t="n">
        <x:v>3935.8116</x:v>
      </x:c>
      <x:c r="C714" s="12" t="n">
        <x:v>3825.5873</x:v>
      </x:c>
      <x:c r="D714" s="12" t="n">
        <x:v>2.8812</x:v>
      </x:c>
      <x:c r="E714" s="12" t="n">
        <x:v>0.028405114215023213</x:v>
      </x:c>
      <x:c r="F714" s="13" t="n">
        <x:v>43646</x:v>
      </x:c>
      <x:c r="G714" s="12" t="n">
        <x:v>4.07</x:v>
      </x:c>
      <x:c r="H714" s="12" t="n">
        <x:v>407</x:v>
      </x:c>
      <x:c r="I714" s="12" t="n">
        <x:v>0</x:v>
      </x:c>
      <x:c r="J714" s="12" t="n">
        <x:v>1</x:v>
      </x:c>
    </x:row>
    <x:row r="715" ht="18" customHeight="1">
      <x:c r="A715" s="13" t="n">
        <x:v>43648</x:v>
      </x:c>
      <x:c r="B715" s="12" t="n">
        <x:v>3937.1691</x:v>
      </x:c>
      <x:c r="C715" s="12" t="n">
        <x:v>3935.8116</x:v>
      </x:c>
      <x:c r="D715" s="12" t="n">
        <x:v>0.0345</x:v>
      </x:c>
      <x:c r="E715" s="12" t="n">
        <x:v>0.00034485033437294264</x:v>
      </x:c>
      <x:c r="F715" s="13" t="n">
        <x:v>43647</x:v>
      </x:c>
      <x:c r="G715" s="12" t="n">
        <x:v>3.99</x:v>
      </x:c>
      <x:c r="H715" s="12" t="n">
        <x:v>399</x:v>
      </x:c>
      <x:c r="I715" s="12" t="n">
        <x:v>-8</x:v>
      </x:c>
      <x:c r="J715" s="12" t="n">
        <x:v>1</x:v>
      </x:c>
    </x:row>
    <x:row r="716" ht="18" customHeight="1">
      <x:c r="A716" s="13" t="n">
        <x:v>43649</x:v>
      </x:c>
      <x:c r="B716" s="12" t="n">
        <x:v>3893.5341</x:v>
      </x:c>
      <x:c r="C716" s="12" t="n">
        <x:v>3937.1691</x:v>
      </x:c>
      <x:c r="D716" s="12" t="n">
        <x:v>-1.1083</x:v>
      </x:c>
      <x:c r="E716" s="12" t="n">
        <x:v>-0.011144708341842358</x:v>
      </x:c>
      <x:c r="F716" s="13" t="n">
        <x:v>43648</x:v>
      </x:c>
      <x:c r="G716" s="12" t="n">
        <x:v>4.04</x:v>
      </x:c>
      <x:c r="H716" s="12" t="n">
        <x:v>404</x:v>
      </x:c>
      <x:c r="I716" s="12" t="n">
        <x:v>5</x:v>
      </x:c>
      <x:c r="J716" s="12" t="n">
        <x:v>1</x:v>
      </x:c>
    </x:row>
    <x:row r="717" ht="18" customHeight="1">
      <x:c r="A717" s="13" t="n">
        <x:v>43650</x:v>
      </x:c>
      <x:c r="B717" s="12" t="n">
        <x:v>3873.1019</x:v>
      </x:c>
      <x:c r="C717" s="12" t="n">
        <x:v>3893.5341</x:v>
      </x:c>
      <x:c r="D717" s="12" t="n">
        <x:v>-0.5248</x:v>
      </x:c>
      <x:c r="E717" s="12" t="n">
        <x:v>-0.005261543643037587</x:v>
      </x:c>
      <x:c r="F717" s="13" t="n">
        <x:v>43649</x:v>
      </x:c>
      <x:c r="G717" s="12" t="n">
        <x:v>4.02</x:v>
      </x:c>
      <x:c r="H717" s="12" t="n">
        <x:v>401.99999999999994</x:v>
      </x:c>
      <x:c r="I717" s="12" t="n">
        <x:v>-2.000000000000057</x:v>
      </x:c>
      <x:c r="J717" s="12" t="n">
        <x:v>1</x:v>
      </x:c>
    </x:row>
    <x:row r="718" ht="18" customHeight="1">
      <x:c r="A718" s="13" t="n">
        <x:v>43651</x:v>
      </x:c>
      <x:c r="B718" s="12" t="n">
        <x:v>3893.2025</x:v>
      </x:c>
      <x:c r="C718" s="12" t="n">
        <x:v>3873.1019</x:v>
      </x:c>
      <x:c r="D718" s="12" t="n">
        <x:v>0.519</x:v>
      </x:c>
      <x:c r="E718" s="12" t="n">
        <x:v>0.005176373175039403</x:v>
      </x:c>
      <x:c r="F718" s="13" t="n">
        <x:v>43650</x:v>
      </x:c>
      <x:c r="G718" s="12" t="n">
        <x:v>4.02</x:v>
      </x:c>
      <x:c r="H718" s="12" t="n">
        <x:v>401.99999999999994</x:v>
      </x:c>
      <x:c r="I718" s="12" t="n">
        <x:v>0</x:v>
      </x:c>
      <x:c r="J718" s="12" t="n">
        <x:v>1</x:v>
      </x:c>
    </x:row>
    <x:row r="719" ht="18" customHeight="1">
      <x:c r="A719" s="13" t="n">
        <x:v>43654</x:v>
      </x:c>
      <x:c r="B719" s="12" t="n">
        <x:v>3802.7897</x:v>
      </x:c>
      <x:c r="C719" s="12" t="n">
        <x:v>3893.2025</x:v>
      </x:c>
      <x:c r="D719" s="12" t="n">
        <x:v>-2.3223</x:v>
      </x:c>
      <x:c r="E719" s="12" t="n">
        <x:v>-0.02349715474676046</x:v>
      </x:c>
      <x:c r="F719" s="13" t="n">
        <x:v>43651</x:v>
      </x:c>
      <x:c r="G719" s="12" t="n">
        <x:v>3.98</x:v>
      </x:c>
      <x:c r="H719" s="12" t="n">
        <x:v>398</x:v>
      </x:c>
      <x:c r="I719" s="12" t="n">
        <x:v>-3.999999999999943</x:v>
      </x:c>
      <x:c r="J719" s="12" t="n">
        <x:v>3</x:v>
      </x:c>
    </x:row>
    <x:row r="720" ht="18" customHeight="1">
      <x:c r="A720" s="13" t="n">
        <x:v>43655</x:v>
      </x:c>
      <x:c r="B720" s="12" t="n">
        <x:v>3793.1297</x:v>
      </x:c>
      <x:c r="C720" s="12" t="n">
        <x:v>3802.7897</x:v>
      </x:c>
      <x:c r="D720" s="12" t="n">
        <x:v>-0.254</x:v>
      </x:c>
      <x:c r="E720" s="12" t="n">
        <x:v>-0.002543472277430002</x:v>
      </x:c>
      <x:c r="F720" s="13" t="n">
        <x:v>43654</x:v>
      </x:c>
      <x:c r="G720" s="12" t="n">
        <x:v>4</x:v>
      </x:c>
      <x:c r="H720" s="12" t="n">
        <x:v>400</x:v>
      </x:c>
      <x:c r="I720" s="12" t="n">
        <x:v>2</x:v>
      </x:c>
      <x:c r="J720" s="12" t="n">
        <x:v>1</x:v>
      </x:c>
    </x:row>
    <x:row r="721" ht="18" customHeight="1">
      <x:c r="A721" s="13" t="n">
        <x:v>43656</x:v>
      </x:c>
      <x:c r="B721" s="12" t="n">
        <x:v>3786.739</x:v>
      </x:c>
      <x:c r="C721" s="12" t="n">
        <x:v>3793.1297</x:v>
      </x:c>
      <x:c r="D721" s="12" t="n">
        <x:v>-0.1685</x:v>
      </x:c>
      <x:c r="E721" s="12" t="n">
        <x:v>-0.0016862301359550384</x:v>
      </x:c>
      <x:c r="F721" s="13" t="n">
        <x:v>43655</x:v>
      </x:c>
      <x:c r="G721" s="12" t="n">
        <x:v>4.03</x:v>
      </x:c>
      <x:c r="H721" s="12" t="n">
        <x:v>403</x:v>
      </x:c>
      <x:c r="I721" s="12" t="n">
        <x:v>3</x:v>
      </x:c>
      <x:c r="J721" s="12" t="n">
        <x:v>1</x:v>
      </x:c>
    </x:row>
    <x:row r="722" ht="18" customHeight="1">
      <x:c r="A722" s="13" t="n">
        <x:v>43657</x:v>
      </x:c>
      <x:c r="B722" s="12" t="n">
        <x:v>3785.221</x:v>
      </x:c>
      <x:c r="C722" s="12" t="n">
        <x:v>3786.739</x:v>
      </x:c>
      <x:c r="D722" s="12" t="n">
        <x:v>-0.0401</x:v>
      </x:c>
      <x:c r="E722" s="12" t="n">
        <x:v>-0.0004009529950862193</x:v>
      </x:c>
      <x:c r="F722" s="13" t="n">
        <x:v>43656</x:v>
      </x:c>
      <x:c r="G722" s="12" t="n">
        <x:v>4.01</x:v>
      </x:c>
      <x:c r="H722" s="12" t="n">
        <x:v>401</x:v>
      </x:c>
      <x:c r="I722" s="12" t="n">
        <x:v>-2</x:v>
      </x:c>
      <x:c r="J722" s="12" t="n">
        <x:v>1</x:v>
      </x:c>
    </x:row>
    <x:row r="723" ht="18" customHeight="1">
      <x:c r="A723" s="13" t="n">
        <x:v>43658</x:v>
      </x:c>
      <x:c r="B723" s="12" t="n">
        <x:v>3808.7311</x:v>
      </x:c>
      <x:c r="C723" s="12" t="n">
        <x:v>3785.221</x:v>
      </x:c>
      <x:c r="D723" s="12" t="n">
        <x:v>0.6211</x:v>
      </x:c>
      <x:c r="E723" s="12" t="n">
        <x:v>0.006191815487468652</x:v>
      </x:c>
      <x:c r="F723" s="13" t="n">
        <x:v>43657</x:v>
      </x:c>
      <x:c r="G723" s="12" t="n">
        <x:v>4</x:v>
      </x:c>
      <x:c r="H723" s="12" t="n">
        <x:v>400</x:v>
      </x:c>
      <x:c r="I723" s="12" t="n">
        <x:v>-1</x:v>
      </x:c>
      <x:c r="J723" s="12" t="n">
        <x:v>1</x:v>
      </x:c>
    </x:row>
    <x:row r="724" ht="18" customHeight="1">
      <x:c r="A724" s="13" t="n">
        <x:v>43661</x:v>
      </x:c>
      <x:c r="B724" s="12" t="n">
        <x:v>3824.1878</x:v>
      </x:c>
      <x:c r="C724" s="12" t="n">
        <x:v>3808.7311</x:v>
      </x:c>
      <x:c r="D724" s="12" t="n">
        <x:v>0.4058</x:v>
      </x:c>
      <x:c r="E724" s="12" t="n">
        <x:v>0.004050015814405257</x:v>
      </x:c>
      <x:c r="F724" s="13" t="n">
        <x:v>43658</x:v>
      </x:c>
      <x:c r="G724" s="12" t="n">
        <x:v>4.02</x:v>
      </x:c>
      <x:c r="H724" s="12" t="n">
        <x:v>401.99999999999994</x:v>
      </x:c>
      <x:c r="I724" s="12" t="n">
        <x:v>1.9999999999999432</x:v>
      </x:c>
      <x:c r="J724" s="12" t="n">
        <x:v>3</x:v>
      </x:c>
    </x:row>
    <x:row r="725" ht="18" customHeight="1">
      <x:c r="A725" s="13" t="n">
        <x:v>43662</x:v>
      </x:c>
      <x:c r="B725" s="12" t="n">
        <x:v>3806.8449</x:v>
      </x:c>
      <x:c r="C725" s="12" t="n">
        <x:v>3824.1878</x:v>
      </x:c>
      <x:c r="D725" s="12" t="n">
        <x:v>-0.4535</x:v>
      </x:c>
      <x:c r="E725" s="12" t="n">
        <x:v>-0.004545369032223224</x:v>
      </x:c>
      <x:c r="F725" s="13" t="n">
        <x:v>43661</x:v>
      </x:c>
      <x:c r="G725" s="12" t="n">
        <x:v>4</x:v>
      </x:c>
      <x:c r="H725" s="12" t="n">
        <x:v>400</x:v>
      </x:c>
      <x:c r="I725" s="12" t="n">
        <x:v>-1.9999999999999432</x:v>
      </x:c>
      <x:c r="J725" s="12" t="n">
        <x:v>1</x:v>
      </x:c>
    </x:row>
    <x:row r="726" ht="18" customHeight="1">
      <x:c r="A726" s="13" t="n">
        <x:v>43663</x:v>
      </x:c>
      <x:c r="B726" s="12" t="n">
        <x:v>3804.6384</x:v>
      </x:c>
      <x:c r="C726" s="12" t="n">
        <x:v>3806.8449</x:v>
      </x:c>
      <x:c r="D726" s="12" t="n">
        <x:v>-0.058</x:v>
      </x:c>
      <x:c r="E726" s="12" t="n">
        <x:v>-0.0005797818834626863</x:v>
      </x:c>
      <x:c r="F726" s="13" t="n">
        <x:v>43662</x:v>
      </x:c>
      <x:c r="G726" s="12" t="n">
        <x:v>3.96</x:v>
      </x:c>
      <x:c r="H726" s="12" t="n">
        <x:v>396</x:v>
      </x:c>
      <x:c r="I726" s="12" t="n">
        <x:v>-4</x:v>
      </x:c>
      <x:c r="J726" s="12" t="n">
        <x:v>1</x:v>
      </x:c>
    </x:row>
    <x:row r="727" ht="18" customHeight="1">
      <x:c r="A727" s="13" t="n">
        <x:v>43664</x:v>
      </x:c>
      <x:c r="B727" s="12" t="n">
        <x:v>3768.4019</x:v>
      </x:c>
      <x:c r="C727" s="12" t="n">
        <x:v>3804.6384</x:v>
      </x:c>
      <x:c r="D727" s="12" t="n">
        <x:v>-0.9524</x:v>
      </x:c>
      <x:c r="E727" s="12" t="n">
        <x:v>-0.009569941561221082</x:v>
      </x:c>
      <x:c r="F727" s="13" t="n">
        <x:v>43663</x:v>
      </x:c>
      <x:c r="G727" s="12" t="n">
        <x:v>4.01</x:v>
      </x:c>
      <x:c r="H727" s="12" t="n">
        <x:v>401</x:v>
      </x:c>
      <x:c r="I727" s="12" t="n">
        <x:v>5</x:v>
      </x:c>
      <x:c r="J727" s="12" t="n">
        <x:v>1</x:v>
      </x:c>
    </x:row>
    <x:row r="728" ht="18" customHeight="1">
      <x:c r="A728" s="13" t="n">
        <x:v>43665</x:v>
      </x:c>
      <x:c r="B728" s="12" t="n">
        <x:v>3807.9551</x:v>
      </x:c>
      <x:c r="C728" s="12" t="n">
        <x:v>3768.4019</x:v>
      </x:c>
      <x:c r="D728" s="12" t="n">
        <x:v>1.0496</x:v>
      </x:c>
      <x:c r="E728" s="12" t="n">
        <x:v>0.010441313508209052</x:v>
      </x:c>
      <x:c r="F728" s="13" t="n">
        <x:v>43664</x:v>
      </x:c>
      <x:c r="G728" s="12" t="n">
        <x:v>4.11</x:v>
      </x:c>
      <x:c r="H728" s="12" t="n">
        <x:v>411.00000000000006</x:v>
      </x:c>
      <x:c r="I728" s="12" t="n">
        <x:v>10.000000000000057</x:v>
      </x:c>
      <x:c r="J728" s="12" t="n">
        <x:v>1</x:v>
      </x:c>
    </x:row>
    <x:row r="729" ht="18" customHeight="1">
      <x:c r="A729" s="13" t="n">
        <x:v>43668</x:v>
      </x:c>
      <x:c r="B729" s="12" t="n">
        <x:v>3781.6832</x:v>
      </x:c>
      <x:c r="C729" s="12" t="n">
        <x:v>3807.9551</x:v>
      </x:c>
      <x:c r="D729" s="12" t="n">
        <x:v>-0.6899</x:v>
      </x:c>
      <x:c r="E729" s="12" t="n">
        <x:v>-0.00692312436904916</x:v>
      </x:c>
      <x:c r="F729" s="13" t="n">
        <x:v>43665</x:v>
      </x:c>
      <x:c r="G729" s="12" t="n">
        <x:v>4.07</x:v>
      </x:c>
      <x:c r="H729" s="12" t="n">
        <x:v>407</x:v>
      </x:c>
      <x:c r="I729" s="12" t="n">
        <x:v>-4.000000000000057</x:v>
      </x:c>
      <x:c r="J729" s="12" t="n">
        <x:v>3</x:v>
      </x:c>
    </x:row>
    <x:row r="730" ht="18" customHeight="1">
      <x:c r="A730" s="13" t="n">
        <x:v>43669</x:v>
      </x:c>
      <x:c r="B730" s="12" t="n">
        <x:v>3789.9135</x:v>
      </x:c>
      <x:c r="C730" s="12" t="n">
        <x:v>3781.6832</x:v>
      </x:c>
      <x:c r="D730" s="12" t="n">
        <x:v>0.2176</x:v>
      </x:c>
      <x:c r="E730" s="12" t="n">
        <x:v>0.0021739940907149675</x:v>
      </x:c>
      <x:c r="F730" s="13" t="n">
        <x:v>43668</x:v>
      </x:c>
      <x:c r="G730" s="12" t="n">
        <x:v>4.06</x:v>
      </x:c>
      <x:c r="H730" s="12" t="n">
        <x:v>405.99999999999994</x:v>
      </x:c>
      <x:c r="I730" s="12" t="n">
        <x:v>-1.0000000000000568</x:v>
      </x:c>
      <x:c r="J730" s="12" t="n">
        <x:v>1</x:v>
      </x:c>
    </x:row>
    <x:row r="731" ht="18" customHeight="1">
      <x:c r="A731" s="13" t="n">
        <x:v>43670</x:v>
      </x:c>
      <x:c r="B731" s="12" t="n">
        <x:v>3819.8325</x:v>
      </x:c>
      <x:c r="C731" s="12" t="n">
        <x:v>3789.9135</x:v>
      </x:c>
      <x:c r="D731" s="12" t="n">
        <x:v>0.7894</x:v>
      </x:c>
      <x:c r="E731" s="12" t="n">
        <x:v>0.007863377874701536</x:v>
      </x:c>
      <x:c r="F731" s="13" t="n">
        <x:v>43669</x:v>
      </x:c>
      <x:c r="G731" s="12" t="n">
        <x:v>3.99</x:v>
      </x:c>
      <x:c r="H731" s="12" t="n">
        <x:v>399</x:v>
      </x:c>
      <x:c r="I731" s="12" t="n">
        <x:v>-6.999999999999943</x:v>
      </x:c>
      <x:c r="J731" s="12" t="n">
        <x:v>1</x:v>
      </x:c>
    </x:row>
    <x:row r="732" ht="18" customHeight="1">
      <x:c r="A732" s="13" t="n">
        <x:v>43671</x:v>
      </x:c>
      <x:c r="B732" s="12" t="n">
        <x:v>3851.0665</x:v>
      </x:c>
      <x:c r="C732" s="12" t="n">
        <x:v>3819.8325</x:v>
      </x:c>
      <x:c r="D732" s="12" t="n">
        <x:v>0.8177</x:v>
      </x:c>
      <x:c r="E732" s="12" t="n">
        <x:v>0.008143549436106876</x:v>
      </x:c>
      <x:c r="F732" s="13" t="n">
        <x:v>43670</x:v>
      </x:c>
      <x:c r="G732" s="12" t="n">
        <x:v>3.98</x:v>
      </x:c>
      <x:c r="H732" s="12" t="n">
        <x:v>398</x:v>
      </x:c>
      <x:c r="I732" s="12" t="n">
        <x:v>-1</x:v>
      </x:c>
      <x:c r="J732" s="12" t="n">
        <x:v>1</x:v>
      </x:c>
    </x:row>
    <x:row r="733" ht="18" customHeight="1">
      <x:c r="A733" s="13" t="n">
        <x:v>43672</x:v>
      </x:c>
      <x:c r="B733" s="12" t="n">
        <x:v>3858.5688</x:v>
      </x:c>
      <x:c r="C733" s="12" t="n">
        <x:v>3851.0665</x:v>
      </x:c>
      <x:c r="D733" s="12" t="n">
        <x:v>0.1948</x:v>
      </x:c>
      <x:c r="E733" s="12" t="n">
        <x:v>0.001946214594111988</x:v>
      </x:c>
      <x:c r="F733" s="13" t="n">
        <x:v>43671</x:v>
      </x:c>
      <x:c r="G733" s="12" t="n">
        <x:v>3.93</x:v>
      </x:c>
      <x:c r="H733" s="12" t="n">
        <x:v>393</x:v>
      </x:c>
      <x:c r="I733" s="12" t="n">
        <x:v>-5</x:v>
      </x:c>
      <x:c r="J733" s="12" t="n">
        <x:v>1</x:v>
      </x:c>
    </x:row>
    <x:row r="734" ht="18" customHeight="1">
      <x:c r="A734" s="13" t="n">
        <x:v>43675</x:v>
      </x:c>
      <x:c r="B734" s="12" t="n">
        <x:v>3854.2704</x:v>
      </x:c>
      <x:c r="C734" s="12" t="n">
        <x:v>3858.5688</x:v>
      </x:c>
      <x:c r="D734" s="12" t="n">
        <x:v>-0.1114</x:v>
      </x:c>
      <x:c r="E734" s="12" t="n">
        <x:v>-0.0011146091169672305</x:v>
      </x:c>
      <x:c r="F734" s="13" t="n">
        <x:v>43672</x:v>
      </x:c>
      <x:c r="G734" s="12" t="n">
        <x:v>3.89</x:v>
      </x:c>
      <x:c r="H734" s="12" t="n">
        <x:v>389</x:v>
      </x:c>
      <x:c r="I734" s="12" t="n">
        <x:v>-4</x:v>
      </x:c>
      <x:c r="J734" s="12" t="n">
        <x:v>3</x:v>
      </x:c>
    </x:row>
    <x:row r="735" ht="18" customHeight="1">
      <x:c r="A735" s="13" t="n">
        <x:v>43676</x:v>
      </x:c>
      <x:c r="B735" s="12" t="n">
        <x:v>3870.3176</x:v>
      </x:c>
      <x:c r="C735" s="12" t="n">
        <x:v>3854.2704</x:v>
      </x:c>
      <x:c r="D735" s="12" t="n">
        <x:v>0.4163</x:v>
      </x:c>
      <x:c r="E735" s="12" t="n">
        <x:v>0.004154842454988661</x:v>
      </x:c>
      <x:c r="F735" s="13" t="n">
        <x:v>43675</x:v>
      </x:c>
      <x:c r="G735" s="12" t="n">
        <x:v>3.93</x:v>
      </x:c>
      <x:c r="H735" s="12" t="n">
        <x:v>393</x:v>
      </x:c>
      <x:c r="I735" s="12" t="n">
        <x:v>4</x:v>
      </x:c>
      <x:c r="J735" s="12" t="n">
        <x:v>1</x:v>
      </x:c>
    </x:row>
    <x:row r="736" ht="18" customHeight="1">
      <x:c r="A736" s="13" t="n">
        <x:v>43677</x:v>
      </x:c>
      <x:c r="B736" s="12" t="n">
        <x:v>3835.3589</x:v>
      </x:c>
      <x:c r="C736" s="12" t="n">
        <x:v>3870.3176</x:v>
      </x:c>
      <x:c r="D736" s="12" t="n">
        <x:v>-0.9033</x:v>
      </x:c>
      <x:c r="E736" s="12" t="n">
        <x:v>-0.00907355501979326</x:v>
      </x:c>
      <x:c r="F736" s="13" t="n">
        <x:v>43676</x:v>
      </x:c>
      <x:c r="G736" s="12" t="n">
        <x:v>3.97</x:v>
      </x:c>
      <x:c r="H736" s="12" t="n">
        <x:v>397</x:v>
      </x:c>
      <x:c r="I736" s="12" t="n">
        <x:v>4</x:v>
      </x:c>
      <x:c r="J736" s="12" t="n">
        <x:v>1</x:v>
      </x:c>
    </x:row>
    <x:row r="737" ht="18" customHeight="1">
      <x:c r="A737" s="13" t="n">
        <x:v>43678</x:v>
      </x:c>
      <x:c r="B737" s="12" t="n">
        <x:v>3803.4694</x:v>
      </x:c>
      <x:c r="C737" s="12" t="n">
        <x:v>3835.3589</x:v>
      </x:c>
      <x:c r="D737" s="12" t="n">
        <x:v>-0.8315</x:v>
      </x:c>
      <x:c r="E737" s="12" t="n">
        <x:v>-0.008349365636683289</x:v>
      </x:c>
      <x:c r="F737" s="13" t="n">
        <x:v>43677</x:v>
      </x:c>
      <x:c r="G737" s="12" t="n">
        <x:v>3.93</x:v>
      </x:c>
      <x:c r="H737" s="12" t="n">
        <x:v>393</x:v>
      </x:c>
      <x:c r="I737" s="12" t="n">
        <x:v>-4</x:v>
      </x:c>
      <x:c r="J737" s="12" t="n">
        <x:v>1</x:v>
      </x:c>
    </x:row>
    <x:row r="738" ht="18" customHeight="1">
      <x:c r="A738" s="13" t="n">
        <x:v>43679</x:v>
      </x:c>
      <x:c r="B738" s="12" t="n">
        <x:v>3747.4379</x:v>
      </x:c>
      <x:c r="C738" s="12" t="n">
        <x:v>3803.4694</x:v>
      </x:c>
      <x:c r="D738" s="12" t="n">
        <x:v>-1.4732</x:v>
      </x:c>
      <x:c r="E738" s="12" t="n">
        <x:v>-0.01484127039139987</x:v>
      </x:c>
      <x:c r="F738" s="13" t="n">
        <x:v>43678</x:v>
      </x:c>
      <x:c r="G738" s="12" t="n">
        <x:v>4.1</x:v>
      </x:c>
      <x:c r="H738" s="12" t="n">
        <x:v>409.99999999999994</x:v>
      </x:c>
      <x:c r="I738" s="12" t="n">
        <x:v>16.999999999999943</x:v>
      </x:c>
      <x:c r="J738" s="12" t="n">
        <x:v>1</x:v>
      </x:c>
    </x:row>
    <x:row r="739" ht="18" customHeight="1">
      <x:c r="A739" s="13" t="n">
        <x:v>43682</x:v>
      </x:c>
      <x:c r="B739" s="12" t="n">
        <x:v>3675.6884</x:v>
      </x:c>
      <x:c r="C739" s="12" t="n">
        <x:v>3747.4379</x:v>
      </x:c>
      <x:c r="D739" s="12" t="n">
        <x:v>-1.9146</x:v>
      </x:c>
      <x:c r="E739" s="12" t="n">
        <x:v>-0.019331944959407953</x:v>
      </x:c>
      <x:c r="F739" s="13" t="n">
        <x:v>43679</x:v>
      </x:c>
      <x:c r="G739" s="12" t="n">
        <x:v>4.19</x:v>
      </x:c>
      <x:c r="H739" s="12" t="n">
        <x:v>419.00000000000006</x:v>
      </x:c>
      <x:c r="I739" s="12" t="n">
        <x:v>9.000000000000114</x:v>
      </x:c>
      <x:c r="J739" s="12" t="n">
        <x:v>3</x:v>
      </x:c>
    </x:row>
    <x:row r="740" ht="18" customHeight="1">
      <x:c r="A740" s="13" t="n">
        <x:v>43683</x:v>
      </x:c>
      <x:c r="B740" s="12" t="n">
        <x:v>3636.3289</x:v>
      </x:c>
      <x:c r="C740" s="12" t="n">
        <x:v>3675.6884</x:v>
      </x:c>
      <x:c r="D740" s="12" t="n">
        <x:v>-1.0708</x:v>
      </x:c>
      <x:c r="E740" s="12" t="n">
        <x:v>-0.010765806080601245</x:v>
      </x:c>
      <x:c r="F740" s="13" t="n">
        <x:v>43682</x:v>
      </x:c>
      <x:c r="G740" s="12" t="n">
        <x:v>4.53</x:v>
      </x:c>
      <x:c r="H740" s="12" t="n">
        <x:v>453</x:v>
      </x:c>
      <x:c r="I740" s="12" t="n">
        <x:v>33.99999999999994</x:v>
      </x:c>
      <x:c r="J740" s="12" t="n">
        <x:v>1</x:v>
      </x:c>
    </x:row>
    <x:row r="741" ht="18" customHeight="1">
      <x:c r="A741" s="13" t="n">
        <x:v>43684</x:v>
      </x:c>
      <x:c r="B741" s="12" t="n">
        <x:v>3621.431</x:v>
      </x:c>
      <x:c r="C741" s="12" t="n">
        <x:v>3636.3289</x:v>
      </x:c>
      <x:c r="D741" s="12" t="n">
        <x:v>-0.4097</x:v>
      </x:c>
      <x:c r="E741" s="12" t="n">
        <x:v>-0.004105377176846434</x:v>
      </x:c>
      <x:c r="F741" s="13" t="n">
        <x:v>43683</x:v>
      </x:c>
      <x:c r="G741" s="12" t="n">
        <x:v>4.46</x:v>
      </x:c>
      <x:c r="H741" s="12" t="n">
        <x:v>446</x:v>
      </x:c>
      <x:c r="I741" s="12" t="n">
        <x:v>-7</x:v>
      </x:c>
      <x:c r="J741" s="12" t="n">
        <x:v>1</x:v>
      </x:c>
    </x:row>
    <x:row r="742" ht="18" customHeight="1">
      <x:c r="A742" s="13" t="n">
        <x:v>43685</x:v>
      </x:c>
      <x:c r="B742" s="12" t="n">
        <x:v>3669.2936</x:v>
      </x:c>
      <x:c r="C742" s="12" t="n">
        <x:v>3621.431</x:v>
      </x:c>
      <x:c r="D742" s="12" t="n">
        <x:v>1.3216</x:v>
      </x:c>
      <x:c r="E742" s="12" t="n">
        <x:v>0.013129912382783668</x:v>
      </x:c>
      <x:c r="F742" s="13" t="n">
        <x:v>43684</x:v>
      </x:c>
      <x:c r="G742" s="12" t="n">
        <x:v>4.52</x:v>
      </x:c>
      <x:c r="H742" s="12" t="n">
        <x:v>451.99999999999994</x:v>
      </x:c>
      <x:c r="I742" s="12" t="n">
        <x:v>5.999999999999943</x:v>
      </x:c>
      <x:c r="J742" s="12" t="n">
        <x:v>1</x:v>
      </x:c>
    </x:row>
    <x:row r="743" ht="18" customHeight="1">
      <x:c r="A743" s="13" t="n">
        <x:v>43686</x:v>
      </x:c>
      <x:c r="B743" s="12" t="n">
        <x:v>3633.5296</x:v>
      </x:c>
      <x:c r="C743" s="12" t="n">
        <x:v>3669.2936</x:v>
      </x:c>
      <x:c r="D743" s="12" t="n">
        <x:v>-0.9747</x:v>
      </x:c>
      <x:c r="E743" s="12" t="n">
        <x:v>-0.009794646519203832</x:v>
      </x:c>
      <x:c r="F743" s="13" t="n">
        <x:v>43685</x:v>
      </x:c>
      <x:c r="G743" s="12" t="n">
        <x:v>4.31</x:v>
      </x:c>
      <x:c r="H743" s="12" t="n">
        <x:v>430.99999999999994</x:v>
      </x:c>
      <x:c r="I743" s="12" t="n">
        <x:v>-21</x:v>
      </x:c>
      <x:c r="J743" s="12" t="n">
        <x:v>1</x:v>
      </x:c>
    </x:row>
    <x:row r="744" ht="18" customHeight="1">
      <x:c r="A744" s="13" t="n">
        <x:v>43689</x:v>
      </x:c>
      <x:c r="B744" s="12" t="n">
        <x:v>3699.1047</x:v>
      </x:c>
      <x:c r="C744" s="12" t="n">
        <x:v>3633.5296</x:v>
      </x:c>
      <x:c r="D744" s="12" t="n">
        <x:v>1.8047</x:v>
      </x:c>
      <x:c r="E744" s="12" t="n">
        <x:v>0.017886299940348738</x:v>
      </x:c>
      <x:c r="F744" s="13" t="n">
        <x:v>43686</x:v>
      </x:c>
      <x:c r="G744" s="12" t="n">
        <x:v>4.31</x:v>
      </x:c>
      <x:c r="H744" s="12" t="n">
        <x:v>430.99999999999994</x:v>
      </x:c>
      <x:c r="I744" s="12" t="n">
        <x:v>0</x:v>
      </x:c>
      <x:c r="J744" s="12" t="n">
        <x:v>3</x:v>
      </x:c>
    </x:row>
    <x:row r="745" ht="18" customHeight="1">
      <x:c r="A745" s="13" t="n">
        <x:v>43690</x:v>
      </x:c>
      <x:c r="B745" s="12" t="n">
        <x:v>3665.7515</x:v>
      </x:c>
      <x:c r="C745" s="12" t="n">
        <x:v>3699.1047</x:v>
      </x:c>
      <x:c r="D745" s="12" t="n">
        <x:v>-0.9017</x:v>
      </x:c>
      <x:c r="E745" s="12" t="n">
        <x:v>-0.00905745532884727</x:v>
      </x:c>
      <x:c r="F745" s="13" t="n">
        <x:v>43689</x:v>
      </x:c>
      <x:c r="G745" s="12" t="n">
        <x:v>4.4</x:v>
      </x:c>
      <x:c r="H745" s="12" t="n">
        <x:v>440.00000000000006</x:v>
      </x:c>
      <x:c r="I745" s="12" t="n">
        <x:v>9.000000000000114</x:v>
      </x:c>
      <x:c r="J745" s="12" t="n">
        <x:v>1</x:v>
      </x:c>
    </x:row>
    <x:row r="746" ht="18" customHeight="1">
      <x:c r="A746" s="13" t="n">
        <x:v>43691</x:v>
      </x:c>
      <x:c r="B746" s="12" t="n">
        <x:v>3682.4015</x:v>
      </x:c>
      <x:c r="C746" s="12" t="n">
        <x:v>3665.7515</x:v>
      </x:c>
      <x:c r="D746" s="12" t="n">
        <x:v>0.4542</x:v>
      </x:c>
      <x:c r="E746" s="12" t="n">
        <x:v>0.004531758795673605</x:v>
      </x:c>
      <x:c r="F746" s="13" t="n">
        <x:v>43690</x:v>
      </x:c>
      <x:c r="G746" s="12" t="n">
        <x:v>4.25</x:v>
      </x:c>
      <x:c r="H746" s="12" t="n">
        <x:v>425</x:v>
      </x:c>
      <x:c r="I746" s="12" t="n">
        <x:v>-15.000000000000057</x:v>
      </x:c>
      <x:c r="J746" s="12" t="n">
        <x:v>1</x:v>
      </x:c>
    </x:row>
    <x:row r="747" ht="18" customHeight="1">
      <x:c r="A747" s="13" t="n">
        <x:v>43692</x:v>
      </x:c>
      <x:c r="B747" s="12" t="n">
        <x:v>3694.0006</x:v>
      </x:c>
      <x:c r="C747" s="12" t="n">
        <x:v>3682.4015</x:v>
      </x:c>
      <x:c r="D747" s="12" t="n">
        <x:v>0.315</x:v>
      </x:c>
      <x:c r="E747" s="12" t="n">
        <x:v>0.0031449233387412104</x:v>
      </x:c>
      <x:c r="F747" s="13" t="n">
        <x:v>43691</x:v>
      </x:c>
      <x:c r="G747" s="12" t="n">
        <x:v>4.49</x:v>
      </x:c>
      <x:c r="H747" s="12" t="n">
        <x:v>449</x:v>
      </x:c>
      <x:c r="I747" s="12" t="n">
        <x:v>24</x:v>
      </x:c>
      <x:c r="J747" s="12" t="n">
        <x:v>1</x:v>
      </x:c>
    </x:row>
    <x:row r="748" ht="18" customHeight="1">
      <x:c r="A748" s="13" t="n">
        <x:v>43693</x:v>
      </x:c>
      <x:c r="B748" s="12" t="n">
        <x:v>3710.5386</x:v>
      </x:c>
      <x:c r="C748" s="12" t="n">
        <x:v>3694.0006</x:v>
      </x:c>
      <x:c r="D748" s="12" t="n">
        <x:v>0.4477</x:v>
      </x:c>
      <x:c r="E748" s="12" t="n">
        <x:v>0.004466997082010161</x:v>
      </x:c>
      <x:c r="F748" s="13" t="n">
        <x:v>43692</x:v>
      </x:c>
      <x:c r="G748" s="12" t="n">
        <x:v>4.52</x:v>
      </x:c>
      <x:c r="H748" s="12" t="n">
        <x:v>451.99999999999994</x:v>
      </x:c>
      <x:c r="I748" s="12" t="n">
        <x:v>2.999999999999943</x:v>
      </x:c>
      <x:c r="J748" s="12" t="n">
        <x:v>1</x:v>
      </x:c>
    </x:row>
    <x:row r="749" ht="18" customHeight="1">
      <x:c r="A749" s="13" t="n">
        <x:v>43696</x:v>
      </x:c>
      <x:c r="B749" s="12" t="n">
        <x:v>3791.0946</x:v>
      </x:c>
      <x:c r="C749" s="12" t="n">
        <x:v>3710.5386</x:v>
      </x:c>
      <x:c r="D749" s="12" t="n">
        <x:v>2.171</x:v>
      </x:c>
      <x:c r="E749" s="12" t="n">
        <x:v>0.021477748776293232</x:v>
      </x:c>
      <x:c r="F749" s="13" t="n">
        <x:v>43693</x:v>
      </x:c>
      <x:c r="G749" s="12" t="n">
        <x:v>4.47</x:v>
      </x:c>
      <x:c r="H749" s="12" t="n">
        <x:v>447</x:v>
      </x:c>
      <x:c r="I749" s="12" t="n">
        <x:v>-4.999999999999943</x:v>
      </x:c>
      <x:c r="J749" s="12" t="n">
        <x:v>3</x:v>
      </x:c>
    </x:row>
    <x:row r="750" ht="18" customHeight="1">
      <x:c r="A750" s="13" t="n">
        <x:v>43697</x:v>
      </x:c>
      <x:c r="B750" s="12" t="n">
        <x:v>3787.7324</x:v>
      </x:c>
      <x:c r="C750" s="12" t="n">
        <x:v>3791.0946</x:v>
      </x:c>
      <x:c r="D750" s="12" t="n">
        <x:v>-0.0887</x:v>
      </x:c>
      <x:c r="E750" s="12" t="n">
        <x:v>-0.0008872613718639216</x:v>
      </x:c>
      <x:c r="F750" s="13" t="n">
        <x:v>43696</x:v>
      </x:c>
      <x:c r="G750" s="12" t="n">
        <x:v>4.36</x:v>
      </x:c>
      <x:c r="H750" s="12" t="n">
        <x:v>436.00000000000006</x:v>
      </x:c>
      <x:c r="I750" s="12" t="n">
        <x:v>-10.999999999999943</x:v>
      </x:c>
      <x:c r="J750" s="12" t="n">
        <x:v>1</x:v>
      </x:c>
    </x:row>
    <x:row r="751" ht="18" customHeight="1">
      <x:c r="A751" s="13" t="n">
        <x:v>43698</x:v>
      </x:c>
      <x:c r="B751" s="12" t="n">
        <x:v>3781.7579</x:v>
      </x:c>
      <x:c r="C751" s="12" t="n">
        <x:v>3787.7324</x:v>
      </x:c>
      <x:c r="D751" s="12" t="n">
        <x:v>-0.1577</x:v>
      </x:c>
      <x:c r="E751" s="12" t="n">
        <x:v>-0.0015785742510702235</x:v>
      </x:c>
      <x:c r="F751" s="13" t="n">
        <x:v>43697</x:v>
      </x:c>
      <x:c r="G751" s="12" t="n">
        <x:v>4.35</x:v>
      </x:c>
      <x:c r="H751" s="12" t="n">
        <x:v>434.99999999999994</x:v>
      </x:c>
      <x:c r="I751" s="12" t="n">
        <x:v>-1.0000000000001137</x:v>
      </x:c>
      <x:c r="J751" s="12" t="n">
        <x:v>1</x:v>
      </x:c>
    </x:row>
    <x:row r="752" ht="18" customHeight="1">
      <x:c r="A752" s="13" t="n">
        <x:v>43699</x:v>
      </x:c>
      <x:c r="B752" s="12" t="n">
        <x:v>3793.5061</x:v>
      </x:c>
      <x:c r="C752" s="12" t="n">
        <x:v>3781.7579</x:v>
      </x:c>
      <x:c r="D752" s="12" t="n">
        <x:v>0.3107</x:v>
      </x:c>
      <x:c r="E752" s="12" t="n">
        <x:v>0.003101729370447891</x:v>
      </x:c>
      <x:c r="F752" s="13" t="n">
        <x:v>43698</x:v>
      </x:c>
      <x:c r="G752" s="12" t="n">
        <x:v>4.21</x:v>
      </x:c>
      <x:c r="H752" s="12" t="n">
        <x:v>421</x:v>
      </x:c>
      <x:c r="I752" s="12" t="n">
        <x:v>-13.999999999999943</x:v>
      </x:c>
      <x:c r="J752" s="12" t="n">
        <x:v>1</x:v>
      </x:c>
    </x:row>
    <x:row r="753" ht="18" customHeight="1">
      <x:c r="A753" s="13" t="n">
        <x:v>43700</x:v>
      </x:c>
      <x:c r="B753" s="12" t="n">
        <x:v>3820.8638</x:v>
      </x:c>
      <x:c r="C753" s="12" t="n">
        <x:v>3793.5061</x:v>
      </x:c>
      <x:c r="D753" s="12" t="n">
        <x:v>0.7212</x:v>
      </x:c>
      <x:c r="E753" s="12" t="n">
        <x:v>0.007185838901974463</x:v>
      </x:c>
      <x:c r="F753" s="13" t="n">
        <x:v>43699</x:v>
      </x:c>
      <x:c r="G753" s="12" t="n">
        <x:v>4.16</x:v>
      </x:c>
      <x:c r="H753" s="12" t="n">
        <x:v>416</x:v>
      </x:c>
      <x:c r="I753" s="12" t="n">
        <x:v>-5</x:v>
      </x:c>
      <x:c r="J753" s="12" t="n">
        <x:v>1</x:v>
      </x:c>
    </x:row>
    <x:row r="754" ht="18" customHeight="1">
      <x:c r="A754" s="13" t="n">
        <x:v>43703</x:v>
      </x:c>
      <x:c r="B754" s="12" t="n">
        <x:v>3765.9105</x:v>
      </x:c>
      <x:c r="C754" s="12" t="n">
        <x:v>3820.8638</x:v>
      </x:c>
      <x:c r="D754" s="12" t="n">
        <x:v>-1.4382</x:v>
      </x:c>
      <x:c r="E754" s="12" t="n">
        <x:v>-0.014486858026008614</x:v>
      </x:c>
      <x:c r="F754" s="13" t="n">
        <x:v>43700</x:v>
      </x:c>
      <x:c r="G754" s="12" t="n">
        <x:v>4.25</x:v>
      </x:c>
      <x:c r="H754" s="12" t="n">
        <x:v>425</x:v>
      </x:c>
      <x:c r="I754" s="12" t="n">
        <x:v>9</x:v>
      </x:c>
      <x:c r="J754" s="12" t="n">
        <x:v>3</x:v>
      </x:c>
    </x:row>
    <x:row r="755" ht="18" customHeight="1">
      <x:c r="A755" s="13" t="n">
        <x:v>43704</x:v>
      </x:c>
      <x:c r="B755" s="12" t="n">
        <x:v>3816.9459</x:v>
      </x:c>
      <x:c r="C755" s="12" t="n">
        <x:v>3765.9105</x:v>
      </x:c>
      <x:c r="D755" s="12" t="n">
        <x:v>1.3552</x:v>
      </x:c>
      <x:c r="E755" s="12" t="n">
        <x:v>0.013460935543640957</x:v>
      </x:c>
      <x:c r="F755" s="13" t="n">
        <x:v>43703</x:v>
      </x:c>
      <x:c r="G755" s="12" t="n">
        <x:v>4.22</x:v>
      </x:c>
      <x:c r="H755" s="12" t="n">
        <x:v>422</x:v>
      </x:c>
      <x:c r="I755" s="12" t="n">
        <x:v>-3</x:v>
      </x:c>
      <x:c r="J755" s="12" t="n">
        <x:v>1</x:v>
      </x:c>
    </x:row>
    <x:row r="756" ht="18" customHeight="1">
      <x:c r="A756" s="13" t="n">
        <x:v>43705</x:v>
      </x:c>
      <x:c r="B756" s="12" t="n">
        <x:v>3802.5844</x:v>
      </x:c>
      <x:c r="C756" s="12" t="n">
        <x:v>3816.9459</x:v>
      </x:c>
      <x:c r="D756" s="12" t="n">
        <x:v>-0.3763</x:v>
      </x:c>
      <x:c r="E756" s="12" t="n">
        <x:v>-0.003769659399294659</x:v>
      </x:c>
      <x:c r="F756" s="13" t="n">
        <x:v>43704</x:v>
      </x:c>
      <x:c r="G756" s="12" t="n">
        <x:v>4.19</x:v>
      </x:c>
      <x:c r="H756" s="12" t="n">
        <x:v>419.00000000000006</x:v>
      </x:c>
      <x:c r="I756" s="12" t="n">
        <x:v>-2.999999999999943</x:v>
      </x:c>
      <x:c r="J756" s="12" t="n">
        <x:v>1</x:v>
      </x:c>
    </x:row>
    <x:row r="757" ht="18" customHeight="1">
      <x:c r="A757" s="13" t="n">
        <x:v>43706</x:v>
      </x:c>
      <x:c r="B757" s="12" t="n">
        <x:v>3790.1867</x:v>
      </x:c>
      <x:c r="C757" s="12" t="n">
        <x:v>3802.5844</x:v>
      </x:c>
      <x:c r="D757" s="12" t="n">
        <x:v>-0.326</x:v>
      </x:c>
      <x:c r="E757" s="12" t="n">
        <x:v>-0.0032656617339578433</x:v>
      </x:c>
      <x:c r="F757" s="13" t="n">
        <x:v>43705</x:v>
      </x:c>
      <x:c r="G757" s="12" t="n">
        <x:v>4.17</x:v>
      </x:c>
      <x:c r="H757" s="12" t="n">
        <x:v>417</x:v>
      </x:c>
      <x:c r="I757" s="12" t="n">
        <x:v>-2.000000000000057</x:v>
      </x:c>
      <x:c r="J757" s="12" t="n">
        <x:v>1</x:v>
      </x:c>
    </x:row>
    <x:row r="758" ht="18" customHeight="1">
      <x:c r="A758" s="13" t="n">
        <x:v>43707</x:v>
      </x:c>
      <x:c r="B758" s="12" t="n">
        <x:v>3799.5863</x:v>
      </x:c>
      <x:c r="C758" s="12" t="n">
        <x:v>3790.1867</x:v>
      </x:c>
      <x:c r="D758" s="12" t="n">
        <x:v>0.248</x:v>
      </x:c>
      <x:c r="E758" s="12" t="n">
        <x:v>0.0024769132899290875</x:v>
      </x:c>
      <x:c r="F758" s="13" t="n">
        <x:v>43706</x:v>
      </x:c>
      <x:c r="G758" s="12" t="n">
        <x:v>4.08</x:v>
      </x:c>
      <x:c r="H758" s="12" t="n">
        <x:v>408</x:v>
      </x:c>
      <x:c r="I758" s="12" t="n">
        <x:v>-9</x:v>
      </x:c>
      <x:c r="J758" s="12" t="n">
        <x:v>1</x:v>
      </x:c>
    </x:row>
    <x:row r="759" ht="18" customHeight="1">
      <x:c r="A759" s="13" t="n">
        <x:v>43710</x:v>
      </x:c>
      <x:c r="B759" s="12" t="n">
        <x:v>3848.3198</x:v>
      </x:c>
      <x:c r="C759" s="12" t="n">
        <x:v>3799.5863</x:v>
      </x:c>
      <x:c r="D759" s="12" t="n">
        <x:v>1.2826</x:v>
      </x:c>
      <x:c r="E759" s="12" t="n">
        <x:v>0.012744445073590072</x:v>
      </x:c>
      <x:c r="F759" s="13" t="n">
        <x:v>43708</x:v>
      </x:c>
      <x:c r="G759" s="12" t="n">
        <x:v>4.13</x:v>
      </x:c>
      <x:c r="H759" s="12" t="n">
        <x:v>413</x:v>
      </x:c>
      <x:c r="I759" s="12" t="n">
        <x:v>4</x:v>
      </x:c>
      <x:c r="J759" s="12" t="n">
        <x:v>2</x:v>
      </x:c>
    </x:row>
    <x:row r="760" ht="18" customHeight="1">
      <x:c r="A760" s="13" t="n">
        <x:v>43711</x:v>
      </x:c>
      <x:c r="B760" s="12" t="n">
        <x:v>3853.6106</x:v>
      </x:c>
      <x:c r="C760" s="12" t="n">
        <x:v>3848.3198</x:v>
      </x:c>
      <x:c r="D760" s="12" t="n">
        <x:v>0.1375</x:v>
      </x:c>
      <x:c r="E760" s="12" t="n">
        <x:v>0.0013738895465038698</x:v>
      </x:c>
      <x:c r="F760" s="13" t="n">
        <x:v>43710</x:v>
      </x:c>
      <x:c r="G760" s="12" t="n">
        <x:v>4.13</x:v>
      </x:c>
      <x:c r="H760" s="12" t="n">
        <x:v>413</x:v>
      </x:c>
      <x:c r="I760" s="12" t="n">
        <x:v>0</x:v>
      </x:c>
      <x:c r="J760" s="12" t="n">
        <x:v>1</x:v>
      </x:c>
    </x:row>
    <x:row r="761" ht="18" customHeight="1">
      <x:c r="A761" s="13" t="n">
        <x:v>43712</x:v>
      </x:c>
      <x:c r="B761" s="12" t="n">
        <x:v>3886.0012</x:v>
      </x:c>
      <x:c r="C761" s="12" t="n">
        <x:v>3853.6106</x:v>
      </x:c>
      <x:c r="D761" s="12" t="n">
        <x:v>0.8405</x:v>
      </x:c>
      <x:c r="E761" s="12" t="n">
        <x:v>0.00837013275123946</x:v>
      </x:c>
      <x:c r="F761" s="13" t="n">
        <x:v>43711</x:v>
      </x:c>
      <x:c r="G761" s="12" t="n">
        <x:v>4.23</x:v>
      </x:c>
      <x:c r="H761" s="12" t="n">
        <x:v>423.00000000000006</x:v>
      </x:c>
      <x:c r="I761" s="12" t="n">
        <x:v>10.000000000000057</x:v>
      </x:c>
      <x:c r="J761" s="12" t="n">
        <x:v>1</x:v>
      </x:c>
    </x:row>
    <x:row r="762" ht="18" customHeight="1">
      <x:c r="A762" s="13" t="n">
        <x:v>43713</x:v>
      </x:c>
      <x:c r="B762" s="12" t="n">
        <x:v>3925.323</x:v>
      </x:c>
      <x:c r="C762" s="12" t="n">
        <x:v>3886.0012</x:v>
      </x:c>
      <x:c r="D762" s="12" t="n">
        <x:v>1.0119</x:v>
      </x:c>
      <x:c r="E762" s="12" t="n">
        <x:v>0.01006798108609549</x:v>
      </x:c>
      <x:c r="F762" s="13" t="n">
        <x:v>43712</x:v>
      </x:c>
      <x:c r="G762" s="12" t="n">
        <x:v>4.23</x:v>
      </x:c>
      <x:c r="H762" s="12" t="n">
        <x:v>423.00000000000006</x:v>
      </x:c>
      <x:c r="I762" s="12" t="n">
        <x:v>0</x:v>
      </x:c>
      <x:c r="J762" s="12" t="n">
        <x:v>1</x:v>
      </x:c>
    </x:row>
    <x:row r="763" ht="18" customHeight="1">
      <x:c r="A763" s="13" t="n">
        <x:v>43714</x:v>
      </x:c>
      <x:c r="B763" s="12" t="n">
        <x:v>3948.5075</x:v>
      </x:c>
      <x:c r="C763" s="12" t="n">
        <x:v>3925.323</x:v>
      </x:c>
      <x:c r="D763" s="12" t="n">
        <x:v>0.5906</x:v>
      </x:c>
      <x:c r="E763" s="12" t="n">
        <x:v>0.005889018567064386</x:v>
      </x:c>
      <x:c r="F763" s="13" t="n">
        <x:v>43713</x:v>
      </x:c>
      <x:c r="G763" s="12" t="n">
        <x:v>4.07</x:v>
      </x:c>
      <x:c r="H763" s="12" t="n">
        <x:v>407</x:v>
      </x:c>
      <x:c r="I763" s="12" t="n">
        <x:v>-16.000000000000057</x:v>
      </x:c>
      <x:c r="J763" s="12" t="n">
        <x:v>1</x:v>
      </x:c>
    </x:row>
    <x:row r="764" ht="18" customHeight="1">
      <x:c r="A764" s="13" t="n">
        <x:v>43717</x:v>
      </x:c>
      <x:c r="B764" s="12" t="n">
        <x:v>3972.9484</x:v>
      </x:c>
      <x:c r="C764" s="12" t="n">
        <x:v>3948.5075</x:v>
      </x:c>
      <x:c r="D764" s="12" t="n">
        <x:v>0.619</x:v>
      </x:c>
      <x:c r="E764" s="12" t="n">
        <x:v>0.006170829672186728</x:v>
      </x:c>
      <x:c r="F764" s="13" t="n">
        <x:v>43714</x:v>
      </x:c>
      <x:c r="G764" s="12" t="n">
        <x:v>4.05</x:v>
      </x:c>
      <x:c r="H764" s="12" t="n">
        <x:v>405</x:v>
      </x:c>
      <x:c r="I764" s="12" t="n">
        <x:v>-2</x:v>
      </x:c>
      <x:c r="J764" s="12" t="n">
        <x:v>3</x:v>
      </x:c>
    </x:row>
    <x:row r="765" ht="18" customHeight="1">
      <x:c r="A765" s="13" t="n">
        <x:v>43718</x:v>
      </x:c>
      <x:c r="B765" s="12" t="n">
        <x:v>3959.265</x:v>
      </x:c>
      <x:c r="C765" s="12" t="n">
        <x:v>3972.9484</x:v>
      </x:c>
      <x:c r="D765" s="12" t="n">
        <x:v>-0.3444</x:v>
      </x:c>
      <x:c r="E765" s="12" t="n">
        <x:v>-0.0034500871025243763</x:v>
      </x:c>
      <x:c r="F765" s="13" t="n">
        <x:v>43717</x:v>
      </x:c>
      <x:c r="G765" s="12" t="n">
        <x:v>3.99</x:v>
      </x:c>
      <x:c r="H765" s="12" t="n">
        <x:v>399</x:v>
      </x:c>
      <x:c r="I765" s="12" t="n">
        <x:v>-6</x:v>
      </x:c>
      <x:c r="J765" s="12" t="n">
        <x:v>1</x:v>
      </x:c>
    </x:row>
    <x:row r="766" ht="18" customHeight="1">
      <x:c r="A766" s="13" t="n">
        <x:v>43719</x:v>
      </x:c>
      <x:c r="B766" s="12" t="n">
        <x:v>3930.0999</x:v>
      </x:c>
      <x:c r="C766" s="12" t="n">
        <x:v>3959.265</x:v>
      </x:c>
      <x:c r="D766" s="12" t="n">
        <x:v>-0.7366</x:v>
      </x:c>
      <x:c r="E766" s="12" t="n">
        <x:v>-0.00739355657342721</x:v>
      </x:c>
      <x:c r="F766" s="13" t="n">
        <x:v>43718</x:v>
      </x:c>
      <x:c r="G766" s="12" t="n">
        <x:v>3.9</x:v>
      </x:c>
      <x:c r="H766" s="12" t="n">
        <x:v>390</x:v>
      </x:c>
      <x:c r="I766" s="12" t="n">
        <x:v>-9</x:v>
      </x:c>
      <x:c r="J766" s="12" t="n">
        <x:v>1</x:v>
      </x:c>
    </x:row>
    <x:row r="767" ht="18" customHeight="1">
      <x:c r="A767" s="13" t="n">
        <x:v>43720</x:v>
      </x:c>
      <x:c r="B767" s="12" t="n">
        <x:v>3972.3799</x:v>
      </x:c>
      <x:c r="C767" s="12" t="n">
        <x:v>3930.0999</x:v>
      </x:c>
      <x:c r="D767" s="12" t="n">
        <x:v>1.0758</x:v>
      </x:c>
      <x:c r="E767" s="12" t="n">
        <x:v>0.010700540715443225</x:v>
      </x:c>
      <x:c r="F767" s="13" t="n">
        <x:v>43719</x:v>
      </x:c>
      <x:c r="G767" s="12" t="n">
        <x:v>3.92</x:v>
      </x:c>
      <x:c r="H767" s="12" t="n">
        <x:v>392</x:v>
      </x:c>
      <x:c r="I767" s="12" t="n">
        <x:v>2</x:v>
      </x:c>
      <x:c r="J767" s="12" t="n">
        <x:v>1</x:v>
      </x:c>
    </x:row>
    <x:row r="768" ht="18" customHeight="1">
      <x:c r="A768" s="13" t="n">
        <x:v>43724</x:v>
      </x:c>
      <x:c r="B768" s="12" t="n">
        <x:v>3957.7154</x:v>
      </x:c>
      <x:c r="C768" s="12" t="n">
        <x:v>3972.3799</x:v>
      </x:c>
      <x:c r="D768" s="12" t="n">
        <x:v>-0.3692</x:v>
      </x:c>
      <x:c r="E768" s="12" t="n">
        <x:v>-0.0036984465283036883</x:v>
      </x:c>
      <x:c r="F768" s="13" t="n">
        <x:v>43721</x:v>
      </x:c>
      <x:c r="G768" s="12" t="n">
        <x:v>3.83</x:v>
      </x:c>
      <x:c r="H768" s="12" t="n">
        <x:v>383</x:v>
      </x:c>
      <x:c r="I768" s="12" t="n">
        <x:v>-2</x:v>
      </x:c>
      <x:c r="J768" s="12" t="n">
        <x:v>3</x:v>
      </x:c>
    </x:row>
    <x:row r="769" ht="18" customHeight="1">
      <x:c r="A769" s="13" t="n">
        <x:v>43725</x:v>
      </x:c>
      <x:c r="B769" s="12" t="n">
        <x:v>3891.2208</x:v>
      </x:c>
      <x:c r="C769" s="12" t="n">
        <x:v>3957.7154</x:v>
      </x:c>
      <x:c r="D769" s="12" t="n">
        <x:v>-1.6801</x:v>
      </x:c>
      <x:c r="E769" s="12" t="n">
        <x:v>-0.016944000862452385</x:v>
      </x:c>
      <x:c r="F769" s="13" t="n">
        <x:v>43724</x:v>
      </x:c>
      <x:c r="G769" s="12" t="n">
        <x:v>3.8</x:v>
      </x:c>
      <x:c r="H769" s="12" t="n">
        <x:v>380</x:v>
      </x:c>
      <x:c r="I769" s="12" t="n">
        <x:v>-3</x:v>
      </x:c>
      <x:c r="J769" s="12" t="n">
        <x:v>1</x:v>
      </x:c>
    </x:row>
    <x:row r="770" ht="18" customHeight="1">
      <x:c r="A770" s="13" t="n">
        <x:v>43726</x:v>
      </x:c>
      <x:c r="B770" s="12" t="n">
        <x:v>3910.0837</x:v>
      </x:c>
      <x:c r="C770" s="12" t="n">
        <x:v>3891.2208</x:v>
      </x:c>
      <x:c r="D770" s="12" t="n">
        <x:v>0.4848</x:v>
      </x:c>
      <x:c r="E770" s="12" t="n">
        <x:v>0.004835841687665309</x:v>
      </x:c>
      <x:c r="F770" s="13" t="n">
        <x:v>43725</x:v>
      </x:c>
      <x:c r="G770" s="12" t="n">
        <x:v>3.81</x:v>
      </x:c>
      <x:c r="H770" s="12" t="n">
        <x:v>381</x:v>
      </x:c>
      <x:c r="I770" s="12" t="n">
        <x:v>1</x:v>
      </x:c>
      <x:c r="J770" s="12" t="n">
        <x:v>1</x:v>
      </x:c>
    </x:row>
    <x:row r="771" ht="18" customHeight="1">
      <x:c r="A771" s="13" t="n">
        <x:v>43727</x:v>
      </x:c>
      <x:c r="B771" s="12" t="n">
        <x:v>3924.3823</x:v>
      </x:c>
      <x:c r="C771" s="12" t="n">
        <x:v>3910.0837</x:v>
      </x:c>
      <x:c r="D771" s="12" t="n">
        <x:v>0.3657</x:v>
      </x:c>
      <x:c r="E771" s="12" t="n">
        <x:v>0.0036501826355516058</x:v>
      </x:c>
      <x:c r="F771" s="13" t="n">
        <x:v>43726</x:v>
      </x:c>
      <x:c r="G771" s="12" t="n">
        <x:v>3.82</x:v>
      </x:c>
      <x:c r="H771" s="12" t="n">
        <x:v>382</x:v>
      </x:c>
      <x:c r="I771" s="12" t="n">
        <x:v>1</x:v>
      </x:c>
      <x:c r="J771" s="12" t="n">
        <x:v>1</x:v>
      </x:c>
    </x:row>
    <x:row r="772" ht="18" customHeight="1">
      <x:c r="A772" s="13" t="n">
        <x:v>43728</x:v>
      </x:c>
      <x:c r="B772" s="12" t="n">
        <x:v>3935.6511</x:v>
      </x:c>
      <x:c r="C772" s="12" t="n">
        <x:v>3924.3823</x:v>
      </x:c>
      <x:c r="D772" s="12" t="n">
        <x:v>0.2871</x:v>
      </x:c>
      <x:c r="E772" s="12" t="n">
        <x:v>0.0028673689149518178</x:v>
      </x:c>
      <x:c r="F772" s="13" t="n">
        <x:v>43727</x:v>
      </x:c>
      <x:c r="G772" s="12" t="n">
        <x:v>3.77</x:v>
      </x:c>
      <x:c r="H772" s="12" t="n">
        <x:v>377</x:v>
      </x:c>
      <x:c r="I772" s="12" t="n">
        <x:v>-5</x:v>
      </x:c>
      <x:c r="J772" s="12" t="n">
        <x:v>1</x:v>
      </x:c>
    </x:row>
    <x:row r="773" ht="18" customHeight="1">
      <x:c r="A773" s="13" t="n">
        <x:v>43731</x:v>
      </x:c>
      <x:c r="B773" s="12" t="n">
        <x:v>3890.6616</x:v>
      </x:c>
      <x:c r="C773" s="12" t="n">
        <x:v>3935.6511</x:v>
      </x:c>
      <x:c r="D773" s="12" t="n">
        <x:v>-1.1431</x:v>
      </x:c>
      <x:c r="E773" s="12" t="n">
        <x:v>-0.011497111678571497</x:v>
      </x:c>
      <x:c r="F773" s="13" t="n">
        <x:v>43728</x:v>
      </x:c>
      <x:c r="G773" s="12" t="n">
        <x:v>3.81</x:v>
      </x:c>
      <x:c r="H773" s="12" t="n">
        <x:v>381</x:v>
      </x:c>
      <x:c r="I773" s="12" t="n">
        <x:v>4</x:v>
      </x:c>
      <x:c r="J773" s="12" t="n">
        <x:v>3</x:v>
      </x:c>
    </x:row>
    <x:row r="774" ht="18" customHeight="1">
      <x:c r="A774" s="13" t="n">
        <x:v>43732</x:v>
      </x:c>
      <x:c r="B774" s="12" t="n">
        <x:v>3901.0758</x:v>
      </x:c>
      <x:c r="C774" s="12" t="n">
        <x:v>3890.6616</x:v>
      </x:c>
      <x:c r="D774" s="12" t="n">
        <x:v>0.2677</x:v>
      </x:c>
      <x:c r="E774" s="12" t="n">
        <x:v>0.002673140961188054</x:v>
      </x:c>
      <x:c r="F774" s="13" t="n">
        <x:v>43731</x:v>
      </x:c>
      <x:c r="G774" s="12" t="n">
        <x:v>3.84</x:v>
      </x:c>
      <x:c r="H774" s="12" t="n">
        <x:v>384</x:v>
      </x:c>
      <x:c r="I774" s="12" t="n">
        <x:v>3</x:v>
      </x:c>
      <x:c r="J774" s="12" t="n">
        <x:v>1</x:v>
      </x:c>
    </x:row>
    <x:row r="775" ht="18" customHeight="1">
      <x:c r="A775" s="13" t="n">
        <x:v>43733</x:v>
      </x:c>
      <x:c r="B775" s="12" t="n">
        <x:v>3870.9837</x:v>
      </x:c>
      <x:c r="C775" s="12" t="n">
        <x:v>3901.0758</x:v>
      </x:c>
      <x:c r="D775" s="12" t="n">
        <x:v>-0.7714</x:v>
      </x:c>
      <x:c r="E775" s="12" t="n">
        <x:v>-0.007743700462489368</x:v>
      </x:c>
      <x:c r="F775" s="13" t="n">
        <x:v>43732</x:v>
      </x:c>
      <x:c r="G775" s="12" t="n">
        <x:v>3.9</x:v>
      </x:c>
      <x:c r="H775" s="12" t="n">
        <x:v>390</x:v>
      </x:c>
      <x:c r="I775" s="12" t="n">
        <x:v>6</x:v>
      </x:c>
      <x:c r="J775" s="12" t="n">
        <x:v>1</x:v>
      </x:c>
    </x:row>
    <x:row r="776" ht="18" customHeight="1">
      <x:c r="A776" s="13" t="n">
        <x:v>43734</x:v>
      </x:c>
      <x:c r="B776" s="12" t="n">
        <x:v>3841.1388</x:v>
      </x:c>
      <x:c r="C776" s="12" t="n">
        <x:v>3870.9837</x:v>
      </x:c>
      <x:c r="D776" s="12" t="n">
        <x:v>-0.771</x:v>
      </x:c>
      <x:c r="E776" s="12" t="n">
        <x:v>-0.00773977565473282</x:v>
      </x:c>
      <x:c r="F776" s="13" t="n">
        <x:v>43733</x:v>
      </x:c>
      <x:c r="G776" s="12" t="n">
        <x:v>3.91</x:v>
      </x:c>
      <x:c r="H776" s="12" t="n">
        <x:v>391</x:v>
      </x:c>
      <x:c r="I776" s="12" t="n">
        <x:v>1</x:v>
      </x:c>
      <x:c r="J776" s="12" t="n">
        <x:v>1</x:v>
      </x:c>
    </x:row>
    <x:row r="777" ht="18" customHeight="1">
      <x:c r="A777" s="13" t="n">
        <x:v>43735</x:v>
      </x:c>
      <x:c r="B777" s="12" t="n">
        <x:v>3852.6534</x:v>
      </x:c>
      <x:c r="C777" s="12" t="n">
        <x:v>3841.1388</x:v>
      </x:c>
      <x:c r="D777" s="12" t="n">
        <x:v>0.2998</x:v>
      </x:c>
      <x:c r="E777" s="12" t="n">
        <x:v>0.002993220585542078</x:v>
      </x:c>
      <x:c r="F777" s="13" t="n">
        <x:v>43734</x:v>
      </x:c>
      <x:c r="G777" s="12" t="n">
        <x:v>3.95</x:v>
      </x:c>
      <x:c r="H777" s="12" t="n">
        <x:v>395</x:v>
      </x:c>
      <x:c r="I777" s="12" t="n">
        <x:v>4</x:v>
      </x:c>
      <x:c r="J777" s="12" t="n">
        <x:v>1</x:v>
      </x:c>
    </x:row>
    <x:row r="778" ht="18" customHeight="1">
      <x:c r="A778" s="13" t="n">
        <x:v>43738</x:v>
      </x:c>
      <x:c r="B778" s="12" t="n">
        <x:v>3814.5282</x:v>
      </x:c>
      <x:c r="C778" s="12" t="n">
        <x:v>3852.6534</x:v>
      </x:c>
      <x:c r="D778" s="12" t="n">
        <x:v>-0.9896</x:v>
      </x:c>
      <x:c r="E778" s="12" t="n">
        <x:v>-0.009945118355292859</x:v>
      </x:c>
      <x:c r="F778" s="13" t="n">
        <x:v>43735</x:v>
      </x:c>
      <x:c r="G778" s="12" t="n">
        <x:v>3.99</x:v>
      </x:c>
      <x:c r="H778" s="12" t="n">
        <x:v>399</x:v>
      </x:c>
      <x:c r="I778" s="12" t="n">
        <x:v>4</x:v>
      </x:c>
      <x:c r="J778" s="12" t="n">
        <x:v>3</x:v>
      </x:c>
    </x:row>
    <x:row r="779" ht="18" customHeight="1">
      <x:c r="A779" s="13" t="n">
        <x:v>43746</x:v>
      </x:c>
      <x:c r="B779" s="12" t="n">
        <x:v>3837.6791</x:v>
      </x:c>
      <x:c r="C779" s="12" t="n">
        <x:v>3814.5282</x:v>
      </x:c>
      <x:c r="D779" s="12" t="n">
        <x:v>0.6069</x:v>
      </x:c>
      <x:c r="E779" s="12" t="n">
        <x:v>0.006050795470111036</x:v>
      </x:c>
      <x:c r="F779" s="13" t="n">
        <x:v>43745</x:v>
      </x:c>
      <x:c r="G779" s="12" t="n">
        <x:v>4.31</x:v>
      </x:c>
      <x:c r="H779" s="12" t="n">
        <x:v>430.99999999999994</x:v>
      </x:c>
      <x:c r="I779" s="12" t="n">
        <x:v>-7.000000000000057</x:v>
      </x:c>
      <x:c r="J779" s="12" t="n">
        <x:v>1</x:v>
      </x:c>
    </x:row>
    <x:row r="780" ht="18" customHeight="1">
      <x:c r="A780" s="13" t="n">
        <x:v>43747</x:v>
      </x:c>
      <x:c r="B780" s="12" t="n">
        <x:v>3843.2392</x:v>
      </x:c>
      <x:c r="C780" s="12" t="n">
        <x:v>3837.6791</x:v>
      </x:c>
      <x:c r="D780" s="12" t="n">
        <x:v>0.1449</x:v>
      </x:c>
      <x:c r="E780" s="12" t="n">
        <x:v>0.001447769850951804</x:v>
      </x:c>
      <x:c r="F780" s="13" t="n">
        <x:v>43746</x:v>
      </x:c>
      <x:c r="G780" s="12" t="n">
        <x:v>4.39</x:v>
      </x:c>
      <x:c r="H780" s="12" t="n">
        <x:v>438.99999999999994</x:v>
      </x:c>
      <x:c r="I780" s="12" t="n">
        <x:v>8</x:v>
      </x:c>
      <x:c r="J780" s="12" t="n">
        <x:v>1</x:v>
      </x:c>
    </x:row>
    <x:row r="781" ht="18" customHeight="1">
      <x:c r="A781" s="13" t="n">
        <x:v>43748</x:v>
      </x:c>
      <x:c r="B781" s="12" t="n">
        <x:v>3874.6391</x:v>
      </x:c>
      <x:c r="C781" s="12" t="n">
        <x:v>3843.2392</x:v>
      </x:c>
      <x:c r="D781" s="12" t="n">
        <x:v>0.817</x:v>
      </x:c>
      <x:c r="E781" s="12" t="n">
        <x:v>0.008136970299079355</x:v>
      </x:c>
      <x:c r="F781" s="13" t="n">
        <x:v>43747</x:v>
      </x:c>
      <x:c r="G781" s="12" t="n">
        <x:v>4.32</x:v>
      </x:c>
      <x:c r="H781" s="12" t="n">
        <x:v>432</x:v>
      </x:c>
      <x:c r="I781" s="12" t="n">
        <x:v>-6.999999999999943</x:v>
      </x:c>
      <x:c r="J781" s="12" t="n">
        <x:v>1</x:v>
      </x:c>
    </x:row>
    <x:row r="782" ht="18" customHeight="1">
      <x:c r="A782" s="13" t="n">
        <x:v>43749</x:v>
      </x:c>
      <x:c r="B782" s="12" t="n">
        <x:v>3911.7253</x:v>
      </x:c>
      <x:c r="C782" s="12" t="n">
        <x:v>3874.6391</x:v>
      </x:c>
      <x:c r="D782" s="12" t="n">
        <x:v>0.9572</x:v>
      </x:c>
      <x:c r="E782" s="12" t="n">
        <x:v>0.009526006886581121</x:v>
      </x:c>
      <x:c r="F782" s="13" t="n">
        <x:v>43748</x:v>
      </x:c>
      <x:c r="G782" s="12" t="n">
        <x:v>4.26</x:v>
      </x:c>
      <x:c r="H782" s="12" t="n">
        <x:v>426</x:v>
      </x:c>
      <x:c r="I782" s="12" t="n">
        <x:v>-6</x:v>
      </x:c>
      <x:c r="J782" s="12" t="n">
        <x:v>1</x:v>
      </x:c>
    </x:row>
    <x:row r="783" ht="18" customHeight="1">
      <x:c r="A783" s="13" t="n">
        <x:v>43752</x:v>
      </x:c>
      <x:c r="B783" s="12" t="n">
        <x:v>3953.2411</x:v>
      </x:c>
      <x:c r="C783" s="12" t="n">
        <x:v>3911.7253</x:v>
      </x:c>
      <x:c r="D783" s="12" t="n">
        <x:v>1.0613</x:v>
      </x:c>
      <x:c r="E783" s="12" t="n">
        <x:v>0.010557244235901198</x:v>
      </x:c>
      <x:c r="F783" s="13" t="n">
        <x:v>43749</x:v>
      </x:c>
      <x:c r="G783" s="12" t="n">
        <x:v>4.1</x:v>
      </x:c>
      <x:c r="H783" s="12" t="n">
        <x:v>409.99999999999994</x:v>
      </x:c>
      <x:c r="I783" s="12" t="n">
        <x:v>-16.000000000000057</x:v>
      </x:c>
      <x:c r="J783" s="12" t="n">
        <x:v>3</x:v>
      </x:c>
    </x:row>
    <x:row r="784" ht="18" customHeight="1">
      <x:c r="A784" s="13" t="n">
        <x:v>43753</x:v>
      </x:c>
      <x:c r="B784" s="12" t="n">
        <x:v>3936.2498</x:v>
      </x:c>
      <x:c r="C784" s="12" t="n">
        <x:v>3953.2411</x:v>
      </x:c>
      <x:c r="D784" s="12" t="n">
        <x:v>-0.4298</x:v>
      </x:c>
      <x:c r="E784" s="12" t="n">
        <x:v>-0.004307331483228067</x:v>
      </x:c>
      <x:c r="F784" s="13" t="n">
        <x:v>43752</x:v>
      </x:c>
      <x:c r="G784" s="12" t="n">
        <x:v>4.08</x:v>
      </x:c>
      <x:c r="H784" s="12" t="n">
        <x:v>408</x:v>
      </x:c>
      <x:c r="I784" s="12" t="n">
        <x:v>-1.9999999999999432</x:v>
      </x:c>
      <x:c r="J784" s="12" t="n">
        <x:v>1</x:v>
      </x:c>
    </x:row>
    <x:row r="785" ht="18" customHeight="1">
      <x:c r="A785" s="13" t="n">
        <x:v>43754</x:v>
      </x:c>
      <x:c r="B785" s="12" t="n">
        <x:v>3922.6854</x:v>
      </x:c>
      <x:c r="C785" s="12" t="n">
        <x:v>3936.2498</x:v>
      </x:c>
      <x:c r="D785" s="12" t="n">
        <x:v>-0.3446</x:v>
      </x:c>
      <x:c r="E785" s="12" t="n">
        <x:v>-0.0034519723408775976</x:v>
      </x:c>
      <x:c r="F785" s="13" t="n">
        <x:v>43753</x:v>
      </x:c>
      <x:c r="G785" s="12" t="n">
        <x:v>4.01</x:v>
      </x:c>
      <x:c r="H785" s="12" t="n">
        <x:v>401</x:v>
      </x:c>
      <x:c r="I785" s="12" t="n">
        <x:v>-7</x:v>
      </x:c>
      <x:c r="J785" s="12" t="n">
        <x:v>1</x:v>
      </x:c>
    </x:row>
    <x:row r="786" ht="18" customHeight="1">
      <x:c r="A786" s="13" t="n">
        <x:v>43755</x:v>
      </x:c>
      <x:c r="B786" s="12" t="n">
        <x:v>3925.2216</x:v>
      </x:c>
      <x:c r="C786" s="12" t="n">
        <x:v>3922.6854</x:v>
      </x:c>
      <x:c r="D786" s="12" t="n">
        <x:v>0.0647</x:v>
      </x:c>
      <x:c r="E786" s="12" t="n">
        <x:v>0.0006463379569335288</x:v>
      </x:c>
      <x:c r="F786" s="13" t="n">
        <x:v>43754</x:v>
      </x:c>
      <x:c r="G786" s="12" t="n">
        <x:v>4.01</x:v>
      </x:c>
      <x:c r="H786" s="12" t="n">
        <x:v>401</x:v>
      </x:c>
      <x:c r="I786" s="12" t="n">
        <x:v>0</x:v>
      </x:c>
      <x:c r="J786" s="12" t="n">
        <x:v>1</x:v>
      </x:c>
    </x:row>
    <x:row r="787" ht="18" customHeight="1">
      <x:c r="A787" s="13" t="n">
        <x:v>43756</x:v>
      </x:c>
      <x:c r="B787" s="12" t="n">
        <x:v>3869.3777</x:v>
      </x:c>
      <x:c r="C787" s="12" t="n">
        <x:v>3925.2216</x:v>
      </x:c>
      <x:c r="D787" s="12" t="n">
        <x:v>-1.4227</x:v>
      </x:c>
      <x:c r="E787" s="12" t="n">
        <x:v>-0.0143291151611447</x:v>
      </x:c>
      <x:c r="F787" s="13" t="n">
        <x:v>43755</x:v>
      </x:c>
      <x:c r="G787" s="12" t="n">
        <x:v>4</x:v>
      </x:c>
      <x:c r="H787" s="12" t="n">
        <x:v>400</x:v>
      </x:c>
      <x:c r="I787" s="12" t="n">
        <x:v>-1</x:v>
      </x:c>
      <x:c r="J787" s="12" t="n">
        <x:v>1</x:v>
      </x:c>
    </x:row>
    <x:row r="788" ht="18" customHeight="1">
      <x:c r="A788" s="13" t="n">
        <x:v>43759</x:v>
      </x:c>
      <x:c r="B788" s="12" t="n">
        <x:v>3880.8398</x:v>
      </x:c>
      <x:c r="C788" s="12" t="n">
        <x:v>3869.3777</x:v>
      </x:c>
      <x:c r="D788" s="12" t="n">
        <x:v>0.2962</x:v>
      </x:c>
      <x:c r="E788" s="12" t="n">
        <x:v>0.0029578804354533027</x:v>
      </x:c>
      <x:c r="F788" s="13" t="n">
        <x:v>43756</x:v>
      </x:c>
      <x:c r="G788" s="12" t="n">
        <x:v>4.02</x:v>
      </x:c>
      <x:c r="H788" s="12" t="n">
        <x:v>401.99999999999994</x:v>
      </x:c>
      <x:c r="I788" s="12" t="n">
        <x:v>1.9999999999999432</x:v>
      </x:c>
      <x:c r="J788" s="12" t="n">
        <x:v>3</x:v>
      </x:c>
    </x:row>
    <x:row r="789" ht="18" customHeight="1">
      <x:c r="A789" s="13" t="n">
        <x:v>43760</x:v>
      </x:c>
      <x:c r="B789" s="12" t="n">
        <x:v>3895.8809</x:v>
      </x:c>
      <x:c r="C789" s="12" t="n">
        <x:v>3880.8398</x:v>
      </x:c>
      <x:c r="D789" s="12" t="n">
        <x:v>0.3876</x:v>
      </x:c>
      <x:c r="E789" s="12" t="n">
        <x:v>0.003868241984147565</x:v>
      </x:c>
      <x:c r="F789" s="13" t="n">
        <x:v>43759</x:v>
      </x:c>
      <x:c r="G789" s="12" t="n">
        <x:v>3.98</x:v>
      </x:c>
      <x:c r="H789" s="12" t="n">
        <x:v>398</x:v>
      </x:c>
      <x:c r="I789" s="12" t="n">
        <x:v>-3.999999999999943</x:v>
      </x:c>
      <x:c r="J789" s="12" t="n">
        <x:v>1</x:v>
      </x:c>
    </x:row>
    <x:row r="790" ht="18" customHeight="1">
      <x:c r="A790" s="13" t="n">
        <x:v>43761</x:v>
      </x:c>
      <x:c r="B790" s="12" t="n">
        <x:v>3871.0848</x:v>
      </x:c>
      <x:c r="C790" s="12" t="n">
        <x:v>3895.8809</x:v>
      </x:c>
      <x:c r="D790" s="12" t="n">
        <x:v>-0.6365</x:v>
      </x:c>
      <x:c r="E790" s="12" t="n">
        <x:v>-0.006385037658147137</x:v>
      </x:c>
      <x:c r="F790" s="13" t="n">
        <x:v>43760</x:v>
      </x:c>
      <x:c r="G790" s="12" t="n">
        <x:v>3.99</x:v>
      </x:c>
      <x:c r="H790" s="12" t="n">
        <x:v>399</x:v>
      </x:c>
      <x:c r="I790" s="12" t="n">
        <x:v>1</x:v>
      </x:c>
      <x:c r="J790" s="12" t="n">
        <x:v>1</x:v>
      </x:c>
    </x:row>
    <x:row r="791" ht="18" customHeight="1">
      <x:c r="A791" s="13" t="n">
        <x:v>43762</x:v>
      </x:c>
      <x:c r="B791" s="12" t="n">
        <x:v>3870.6678</x:v>
      </x:c>
      <x:c r="C791" s="12" t="n">
        <x:v>3871.0848</x:v>
      </x:c>
      <x:c r="D791" s="12" t="n">
        <x:v>-0.0108</x:v>
      </x:c>
      <x:c r="E791" s="12" t="n">
        <x:v>-0.00010772754489811883</x:v>
      </x:c>
      <x:c r="F791" s="13" t="n">
        <x:v>43761</x:v>
      </x:c>
      <x:c r="G791" s="12" t="n">
        <x:v>3.98</x:v>
      </x:c>
      <x:c r="H791" s="12" t="n">
        <x:v>398</x:v>
      </x:c>
      <x:c r="I791" s="12" t="n">
        <x:v>-1</x:v>
      </x:c>
      <x:c r="J791" s="12" t="n">
        <x:v>1</x:v>
      </x:c>
    </x:row>
    <x:row r="792" ht="18" customHeight="1">
      <x:c r="A792" s="13" t="n">
        <x:v>43763</x:v>
      </x:c>
      <x:c r="B792" s="12" t="n">
        <x:v>3896.7923</x:v>
      </x:c>
      <x:c r="C792" s="12" t="n">
        <x:v>3870.6678</x:v>
      </x:c>
      <x:c r="D792" s="12" t="n">
        <x:v>0.6749</x:v>
      </x:c>
      <x:c r="E792" s="12" t="n">
        <x:v>0.006726677233170096</x:v>
      </x:c>
      <x:c r="F792" s="13" t="n">
        <x:v>43762</x:v>
      </x:c>
      <x:c r="G792" s="12" t="n">
        <x:v>3.96</x:v>
      </x:c>
      <x:c r="H792" s="12" t="n">
        <x:v>396</x:v>
      </x:c>
      <x:c r="I792" s="12" t="n">
        <x:v>-2</x:v>
      </x:c>
      <x:c r="J792" s="12" t="n">
        <x:v>1</x:v>
      </x:c>
    </x:row>
    <x:row r="793" ht="18" customHeight="1">
      <x:c r="A793" s="13" t="n">
        <x:v>43766</x:v>
      </x:c>
      <x:c r="B793" s="12" t="n">
        <x:v>3926.585</x:v>
      </x:c>
      <x:c r="C793" s="12" t="n">
        <x:v>3896.7923</x:v>
      </x:c>
      <x:c r="D793" s="12" t="n">
        <x:v>0.7645</x:v>
      </x:c>
      <x:c r="E793" s="12" t="n">
        <x:v>0.007616363848449757</x:v>
      </x:c>
      <x:c r="F793" s="13" t="n">
        <x:v>43763</x:v>
      </x:c>
      <x:c r="G793" s="12" t="n">
        <x:v>3.89</x:v>
      </x:c>
      <x:c r="H793" s="12" t="n">
        <x:v>389</x:v>
      </x:c>
      <x:c r="I793" s="12" t="n">
        <x:v>-7</x:v>
      </x:c>
      <x:c r="J793" s="12" t="n">
        <x:v>3</x:v>
      </x:c>
    </x:row>
    <x:row r="794" ht="18" customHeight="1">
      <x:c r="A794" s="13" t="n">
        <x:v>43767</x:v>
      </x:c>
      <x:c r="B794" s="12" t="n">
        <x:v>3910.226</x:v>
      </x:c>
      <x:c r="C794" s="12" t="n">
        <x:v>3926.585</x:v>
      </x:c>
      <x:c r="D794" s="12" t="n">
        <x:v>-0.4166</x:v>
      </x:c>
      <x:c r="E794" s="12" t="n">
        <x:v>-0.004174918538003564</x:v>
      </x:c>
      <x:c r="F794" s="13" t="n">
        <x:v>43766</x:v>
      </x:c>
      <x:c r="G794" s="12" t="n">
        <x:v>3.85</x:v>
      </x:c>
      <x:c r="H794" s="12" t="n">
        <x:v>385</x:v>
      </x:c>
      <x:c r="I794" s="12" t="n">
        <x:v>-4</x:v>
      </x:c>
      <x:c r="J794" s="12" t="n">
        <x:v>1</x:v>
      </x:c>
    </x:row>
    <x:row r="795" ht="18" customHeight="1">
      <x:c r="A795" s="13" t="n">
        <x:v>43768</x:v>
      </x:c>
      <x:c r="B795" s="12" t="n">
        <x:v>3891.2255</x:v>
      </x:c>
      <x:c r="C795" s="12" t="n">
        <x:v>3910.226</x:v>
      </x:c>
      <x:c r="D795" s="12" t="n">
        <x:v>-0.4859</x:v>
      </x:c>
      <x:c r="E795" s="12" t="n">
        <x:v>-0.0048710262618592085</x:v>
      </x:c>
      <x:c r="F795" s="13" t="n">
        <x:v>43767</x:v>
      </x:c>
      <x:c r="G795" s="12" t="n">
        <x:v>3.86</x:v>
      </x:c>
      <x:c r="H795" s="12" t="n">
        <x:v>386</x:v>
      </x:c>
      <x:c r="I795" s="12" t="n">
        <x:v>1</x:v>
      </x:c>
      <x:c r="J795" s="12" t="n">
        <x:v>1</x:v>
      </x:c>
    </x:row>
    <x:row r="796" ht="18" customHeight="1">
      <x:c r="A796" s="13" t="n">
        <x:v>43769</x:v>
      </x:c>
      <x:c r="B796" s="12" t="n">
        <x:v>3886.7519</x:v>
      </x:c>
      <x:c r="C796" s="12" t="n">
        <x:v>3891.2255</x:v>
      </x:c>
      <x:c r="D796" s="12" t="n">
        <x:v>-0.115</x:v>
      </x:c>
      <x:c r="E796" s="12" t="n">
        <x:v>-0.0011503248886546285</x:v>
      </x:c>
      <x:c r="F796" s="13" t="n">
        <x:v>43768</x:v>
      </x:c>
      <x:c r="G796" s="12" t="n">
        <x:v>3.96</x:v>
      </x:c>
      <x:c r="H796" s="12" t="n">
        <x:v>396</x:v>
      </x:c>
      <x:c r="I796" s="12" t="n">
        <x:v>10</x:v>
      </x:c>
      <x:c r="J796" s="12" t="n">
        <x:v>1</x:v>
      </x:c>
    </x:row>
    <x:row r="797" ht="18" customHeight="1">
      <x:c r="A797" s="13" t="n">
        <x:v>43770</x:v>
      </x:c>
      <x:c r="B797" s="12" t="n">
        <x:v>3952.3872</x:v>
      </x:c>
      <x:c r="C797" s="12" t="n">
        <x:v>3886.7519</x:v>
      </x:c>
      <x:c r="D797" s="12" t="n">
        <x:v>1.6887</x:v>
      </x:c>
      <x:c r="E797" s="12" t="n">
        <x:v>0.016745929106932903</x:v>
      </x:c>
      <x:c r="F797" s="13" t="n">
        <x:v>43769</x:v>
      </x:c>
      <x:c r="G797" s="12" t="n">
        <x:v>4.15</x:v>
      </x:c>
      <x:c r="H797" s="12" t="n">
        <x:v>415.00000000000006</x:v>
      </x:c>
      <x:c r="I797" s="12" t="n">
        <x:v>19.000000000000057</x:v>
      </x:c>
      <x:c r="J797" s="12" t="n">
        <x:v>1</x:v>
      </x:c>
    </x:row>
    <x:row r="798" ht="18" customHeight="1">
      <x:c r="A798" s="13" t="n">
        <x:v>43773</x:v>
      </x:c>
      <x:c r="B798" s="12" t="n">
        <x:v>3978.1216</x:v>
      </x:c>
      <x:c r="C798" s="12" t="n">
        <x:v>3952.3872</x:v>
      </x:c>
      <x:c r="D798" s="12" t="n">
        <x:v>0.6511</x:v>
      </x:c>
      <x:c r="E798" s="12" t="n">
        <x:v>0.006489997294453441</x:v>
      </x:c>
      <x:c r="F798" s="13" t="n">
        <x:v>43770</x:v>
      </x:c>
      <x:c r="G798" s="12" t="n">
        <x:v>4.09</x:v>
      </x:c>
      <x:c r="H798" s="12" t="n">
        <x:v>409</x:v>
      </x:c>
      <x:c r="I798" s="12" t="n">
        <x:v>-6.000000000000057</x:v>
      </x:c>
      <x:c r="J798" s="12" t="n">
        <x:v>3</x:v>
      </x:c>
    </x:row>
    <x:row r="799" ht="18" customHeight="1">
      <x:c r="A799" s="13" t="n">
        <x:v>43774</x:v>
      </x:c>
      <x:c r="B799" s="12" t="n">
        <x:v>4002.8128</x:v>
      </x:c>
      <x:c r="C799" s="12" t="n">
        <x:v>3978.1216</x:v>
      </x:c>
      <x:c r="D799" s="12" t="n">
        <x:v>0.6207</x:v>
      </x:c>
      <x:c r="E799" s="12" t="n">
        <x:v>0.00618756590134739</x:v>
      </x:c>
      <x:c r="F799" s="13" t="n">
        <x:v>43773</x:v>
      </x:c>
      <x:c r="G799" s="12" t="n">
        <x:v>3.99</x:v>
      </x:c>
      <x:c r="H799" s="12" t="n">
        <x:v>399</x:v>
      </x:c>
      <x:c r="I799" s="12" t="n">
        <x:v>-10</x:v>
      </x:c>
      <x:c r="J799" s="12" t="n">
        <x:v>1</x:v>
      </x:c>
    </x:row>
    <x:row r="800" ht="18" customHeight="1">
      <x:c r="A800" s="13" t="n">
        <x:v>43775</x:v>
      </x:c>
      <x:c r="B800" s="12" t="n">
        <x:v>3984.8816</x:v>
      </x:c>
      <x:c r="C800" s="12" t="n">
        <x:v>4002.8128</x:v>
      </x:c>
      <x:c r="D800" s="12" t="n">
        <x:v>-0.448</x:v>
      </x:c>
      <x:c r="E800" s="12" t="n">
        <x:v>-0.00448971360764937</x:v>
      </x:c>
      <x:c r="F800" s="13" t="n">
        <x:v>43774</x:v>
      </x:c>
      <x:c r="G800" s="12" t="n">
        <x:v>3.97</x:v>
      </x:c>
      <x:c r="H800" s="12" t="n">
        <x:v>397</x:v>
      </x:c>
      <x:c r="I800" s="12" t="n">
        <x:v>-2</x:v>
      </x:c>
      <x:c r="J800" s="12" t="n">
        <x:v>1</x:v>
      </x:c>
    </x:row>
    <x:row r="801" ht="18" customHeight="1">
      <x:c r="A801" s="13" t="n">
        <x:v>43776</x:v>
      </x:c>
      <x:c r="B801" s="12" t="n">
        <x:v>3991.8749</x:v>
      </x:c>
      <x:c r="C801" s="12" t="n">
        <x:v>3984.8816</x:v>
      </x:c>
      <x:c r="D801" s="12" t="n">
        <x:v>0.1755</x:v>
      </x:c>
      <x:c r="E801" s="12" t="n">
        <x:v>0.0017534198998628825</x:v>
      </x:c>
      <x:c r="F801" s="13" t="n">
        <x:v>43775</x:v>
      </x:c>
      <x:c r="G801" s="12" t="n">
        <x:v>4.02</x:v>
      </x:c>
      <x:c r="H801" s="12" t="n">
        <x:v>401.99999999999994</x:v>
      </x:c>
      <x:c r="I801" s="12" t="n">
        <x:v>4.999999999999943</x:v>
      </x:c>
      <x:c r="J801" s="12" t="n">
        <x:v>1</x:v>
      </x:c>
    </x:row>
    <x:row r="802" ht="18" customHeight="1">
      <x:c r="A802" s="13" t="n">
        <x:v>43777</x:v>
      </x:c>
      <x:c r="B802" s="12" t="n">
        <x:v>3973.0107</x:v>
      </x:c>
      <x:c r="C802" s="12" t="n">
        <x:v>3991.8749</x:v>
      </x:c>
      <x:c r="D802" s="12" t="n">
        <x:v>-0.4726</x:v>
      </x:c>
      <x:c r="E802" s="12" t="n">
        <x:v>-0.004736850275038381</x:v>
      </x:c>
      <x:c r="F802" s="13" t="n">
        <x:v>43776</x:v>
      </x:c>
      <x:c r="G802" s="12" t="n">
        <x:v>3.96</x:v>
      </x:c>
      <x:c r="H802" s="12" t="n">
        <x:v>396</x:v>
      </x:c>
      <x:c r="I802" s="12" t="n">
        <x:v>-5.999999999999943</x:v>
      </x:c>
      <x:c r="J802" s="12" t="n">
        <x:v>1</x:v>
      </x:c>
    </x:row>
    <x:row r="803" ht="18" customHeight="1">
      <x:c r="A803" s="13" t="n">
        <x:v>43780</x:v>
      </x:c>
      <x:c r="B803" s="12" t="n">
        <x:v>3902.9783</x:v>
      </x:c>
      <x:c r="C803" s="12" t="n">
        <x:v>3973.0107</x:v>
      </x:c>
      <x:c r="D803" s="12" t="n">
        <x:v>-1.7627</x:v>
      </x:c>
      <x:c r="E803" s="12" t="n">
        <x:v>-0.01778424165054614</x:v>
      </x:c>
      <x:c r="F803" s="13" t="n">
        <x:v>43777</x:v>
      </x:c>
      <x:c r="G803" s="12" t="n">
        <x:v>4</x:v>
      </x:c>
      <x:c r="H803" s="12" t="n">
        <x:v>400</x:v>
      </x:c>
      <x:c r="I803" s="12" t="n">
        <x:v>4</x:v>
      </x:c>
      <x:c r="J803" s="12" t="n">
        <x:v>3</x:v>
      </x:c>
    </x:row>
    <x:row r="804" ht="18" customHeight="1">
      <x:c r="A804" s="13" t="n">
        <x:v>43781</x:v>
      </x:c>
      <x:c r="B804" s="12" t="n">
        <x:v>3903.6888</x:v>
      </x:c>
      <x:c r="C804" s="12" t="n">
        <x:v>3902.9783</x:v>
      </x:c>
      <x:c r="D804" s="12" t="n">
        <x:v>0.0182</x:v>
      </x:c>
      <x:c r="E804" s="12" t="n">
        <x:v>0.0001820239015856364</x:v>
      </x:c>
      <x:c r="F804" s="13" t="n">
        <x:v>43780</x:v>
      </x:c>
      <x:c r="G804" s="12" t="n">
        <x:v>3.99</x:v>
      </x:c>
      <x:c r="H804" s="12" t="n">
        <x:v>399</x:v>
      </x:c>
      <x:c r="I804" s="12" t="n">
        <x:v>-1</x:v>
      </x:c>
      <x:c r="J804" s="12" t="n">
        <x:v>1</x:v>
      </x:c>
    </x:row>
    <x:row r="805" ht="18" customHeight="1">
      <x:c r="A805" s="13" t="n">
        <x:v>43782</x:v>
      </x:c>
      <x:c r="B805" s="12" t="n">
        <x:v>3899.9815</x:v>
      </x:c>
      <x:c r="C805" s="12" t="n">
        <x:v>3903.6888</x:v>
      </x:c>
      <x:c r="D805" s="12" t="n">
        <x:v>-0.095</x:v>
      </x:c>
      <x:c r="E805" s="12" t="n">
        <x:v>-0.0009501427242264534</x:v>
      </x:c>
      <x:c r="F805" s="13" t="n">
        <x:v>43781</x:v>
      </x:c>
      <x:c r="G805" s="12" t="n">
        <x:v>4</x:v>
      </x:c>
      <x:c r="H805" s="12" t="n">
        <x:v>400</x:v>
      </x:c>
      <x:c r="I805" s="12" t="n">
        <x:v>1</x:v>
      </x:c>
      <x:c r="J805" s="12" t="n">
        <x:v>1</x:v>
      </x:c>
    </x:row>
    <x:row r="806" ht="18" customHeight="1">
      <x:c r="A806" s="13" t="n">
        <x:v>43783</x:v>
      </x:c>
      <x:c r="B806" s="12" t="n">
        <x:v>3905.857</x:v>
      </x:c>
      <x:c r="C806" s="12" t="n">
        <x:v>3899.9815</x:v>
      </x:c>
      <x:c r="D806" s="12" t="n">
        <x:v>0.1507</x:v>
      </x:c>
      <x:c r="E806" s="12" t="n">
        <x:v>0.0015054119066440256</x:v>
      </x:c>
      <x:c r="F806" s="13" t="n">
        <x:v>43782</x:v>
      </x:c>
      <x:c r="G806" s="12" t="n">
        <x:v>4.05</x:v>
      </x:c>
      <x:c r="H806" s="12" t="n">
        <x:v>405</x:v>
      </x:c>
      <x:c r="I806" s="12" t="n">
        <x:v>5</x:v>
      </x:c>
      <x:c r="J806" s="12" t="n">
        <x:v>1</x:v>
      </x:c>
    </x:row>
    <x:row r="807" ht="18" customHeight="1">
      <x:c r="A807" s="13" t="n">
        <x:v>43784</x:v>
      </x:c>
      <x:c r="B807" s="12" t="n">
        <x:v>3877.0892</x:v>
      </x:c>
      <x:c r="C807" s="12" t="n">
        <x:v>3905.857</x:v>
      </x:c>
      <x:c r="D807" s="12" t="n">
        <x:v>-0.7365</x:v>
      </x:c>
      <x:c r="E807" s="12" t="n">
        <x:v>-0.0073925555371158955</x:v>
      </x:c>
      <x:c r="F807" s="13" t="n">
        <x:v>43783</x:v>
      </x:c>
      <x:c r="G807" s="12" t="n">
        <x:v>4.08</x:v>
      </x:c>
      <x:c r="H807" s="12" t="n">
        <x:v>408</x:v>
      </x:c>
      <x:c r="I807" s="12" t="n">
        <x:v>3</x:v>
      </x:c>
      <x:c r="J807" s="12" t="n">
        <x:v>1</x:v>
      </x:c>
    </x:row>
    <x:row r="808" ht="18" customHeight="1">
      <x:c r="A808" s="13" t="n">
        <x:v>43787</x:v>
      </x:c>
      <x:c r="B808" s="12" t="n">
        <x:v>3907.9291</x:v>
      </x:c>
      <x:c r="C808" s="12" t="n">
        <x:v>3877.0892</x:v>
      </x:c>
      <x:c r="D808" s="12" t="n">
        <x:v>0.7954</x:v>
      </x:c>
      <x:c r="E808" s="12" t="n">
        <x:v>0.00792292583956696</x:v>
      </x:c>
      <x:c r="F808" s="13" t="n">
        <x:v>43784</x:v>
      </x:c>
      <x:c r="G808" s="12" t="n">
        <x:v>4.06</x:v>
      </x:c>
      <x:c r="H808" s="12" t="n">
        <x:v>405.99999999999994</x:v>
      </x:c>
      <x:c r="I808" s="12" t="n">
        <x:v>-2.000000000000057</x:v>
      </x:c>
      <x:c r="J808" s="12" t="n">
        <x:v>3</x:v>
      </x:c>
    </x:row>
    <x:row r="809" ht="18" customHeight="1">
      <x:c r="A809" s="13" t="n">
        <x:v>43788</x:v>
      </x:c>
      <x:c r="B809" s="12" t="n">
        <x:v>3947.0392</x:v>
      </x:c>
      <x:c r="C809" s="12" t="n">
        <x:v>3907.9291</x:v>
      </x:c>
      <x:c r="D809" s="12" t="n">
        <x:v>1.0008</x:v>
      </x:c>
      <x:c r="E809" s="12" t="n">
        <x:v>0.009958136481306303</x:v>
      </x:c>
      <x:c r="F809" s="13" t="n">
        <x:v>43787</x:v>
      </x:c>
      <x:c r="G809" s="12" t="n">
        <x:v>4.09</x:v>
      </x:c>
      <x:c r="H809" s="12" t="n">
        <x:v>409</x:v>
      </x:c>
      <x:c r="I809" s="12" t="n">
        <x:v>3.000000000000057</x:v>
      </x:c>
      <x:c r="J809" s="12" t="n">
        <x:v>1</x:v>
      </x:c>
    </x:row>
    <x:row r="810" ht="18" customHeight="1">
      <x:c r="A810" s="13" t="n">
        <x:v>43789</x:v>
      </x:c>
      <x:c r="B810" s="12" t="n">
        <x:v>3907.8641</x:v>
      </x:c>
      <x:c r="C810" s="12" t="n">
        <x:v>3947.0392</x:v>
      </x:c>
      <x:c r="D810" s="12" t="n">
        <x:v>-0.9925</x:v>
      </x:c>
      <x:c r="E810" s="12" t="n">
        <x:v>-0.009974769470009609</x:v>
      </x:c>
      <x:c r="F810" s="13" t="n">
        <x:v>43788</x:v>
      </x:c>
      <x:c r="G810" s="12" t="n">
        <x:v>4.12</x:v>
      </x:c>
      <x:c r="H810" s="12" t="n">
        <x:v>412</x:v>
      </x:c>
      <x:c r="I810" s="12" t="n">
        <x:v>3</x:v>
      </x:c>
      <x:c r="J810" s="12" t="n">
        <x:v>1</x:v>
      </x:c>
    </x:row>
    <x:row r="811" ht="18" customHeight="1">
      <x:c r="A811" s="13" t="n">
        <x:v>43790</x:v>
      </x:c>
      <x:c r="B811" s="12" t="n">
        <x:v>3889.598</x:v>
      </x:c>
      <x:c r="C811" s="12" t="n">
        <x:v>3907.8641</x:v>
      </x:c>
      <x:c r="D811" s="12" t="n">
        <x:v>-0.4674</x:v>
      </x:c>
      <x:c r="E811" s="12" t="n">
        <x:v>-0.0046851483670989165</x:v>
      </x:c>
      <x:c r="F811" s="13" t="n">
        <x:v>43789</x:v>
      </x:c>
      <x:c r="G811" s="12" t="n">
        <x:v>4.18</x:v>
      </x:c>
      <x:c r="H811" s="12" t="n">
        <x:v>418</x:v>
      </x:c>
      <x:c r="I811" s="12" t="n">
        <x:v>6</x:v>
      </x:c>
      <x:c r="J811" s="12" t="n">
        <x:v>1</x:v>
      </x:c>
    </x:row>
    <x:row r="812" ht="18" customHeight="1">
      <x:c r="A812" s="13" t="n">
        <x:v>43791</x:v>
      </x:c>
      <x:c r="B812" s="12" t="n">
        <x:v>3849.9948</x:v>
      </x:c>
      <x:c r="C812" s="12" t="n">
        <x:v>3889.598</x:v>
      </x:c>
      <x:c r="D812" s="12" t="n">
        <x:v>-1.0182</x:v>
      </x:c>
      <x:c r="E812" s="12" t="n">
        <x:v>-0.010234012738468922</x:v>
      </x:c>
      <x:c r="F812" s="13" t="n">
        <x:v>43790</x:v>
      </x:c>
      <x:c r="G812" s="12" t="n">
        <x:v>4.17</x:v>
      </x:c>
      <x:c r="H812" s="12" t="n">
        <x:v>417</x:v>
      </x:c>
      <x:c r="I812" s="12" t="n">
        <x:v>-1</x:v>
      </x:c>
      <x:c r="J812" s="12" t="n">
        <x:v>1</x:v>
      </x:c>
    </x:row>
    <x:row r="813" ht="18" customHeight="1">
      <x:c r="A813" s="13" t="n">
        <x:v>43794</x:v>
      </x:c>
      <x:c r="B813" s="12" t="n">
        <x:v>3878.2061</x:v>
      </x:c>
      <x:c r="C813" s="12" t="n">
        <x:v>3849.9948</x:v>
      </x:c>
      <x:c r="D813" s="12" t="n">
        <x:v>0.7328</x:v>
      </x:c>
      <x:c r="E813" s="12" t="n">
        <x:v>0.007300903710355269</x:v>
      </x:c>
      <x:c r="F813" s="13" t="n">
        <x:v>43791</x:v>
      </x:c>
      <x:c r="G813" s="12" t="n">
        <x:v>4.13</x:v>
      </x:c>
      <x:c r="H813" s="12" t="n">
        <x:v>413</x:v>
      </x:c>
      <x:c r="I813" s="12" t="n">
        <x:v>-4</x:v>
      </x:c>
      <x:c r="J813" s="12" t="n">
        <x:v>3</x:v>
      </x:c>
    </x:row>
    <x:row r="814" ht="18" customHeight="1">
      <x:c r="A814" s="13" t="n">
        <x:v>43795</x:v>
      </x:c>
      <x:c r="B814" s="12" t="n">
        <x:v>3891.6533</x:v>
      </x:c>
      <x:c r="C814" s="12" t="n">
        <x:v>3878.2061</x:v>
      </x:c>
      <x:c r="D814" s="12" t="n">
        <x:v>0.3467</x:v>
      </x:c>
      <x:c r="E814" s="12" t="n">
        <x:v>0.0034613788316599295</x:v>
      </x:c>
      <x:c r="F814" s="13" t="n">
        <x:v>43794</x:v>
      </x:c>
      <x:c r="G814" s="12" t="n">
        <x:v>4.08</x:v>
      </x:c>
      <x:c r="H814" s="12" t="n">
        <x:v>408</x:v>
      </x:c>
      <x:c r="I814" s="12" t="n">
        <x:v>-5</x:v>
      </x:c>
      <x:c r="J814" s="12" t="n">
        <x:v>1</x:v>
      </x:c>
    </x:row>
    <x:row r="815" ht="18" customHeight="1">
      <x:c r="A815" s="13" t="n">
        <x:v>43796</x:v>
      </x:c>
      <x:c r="B815" s="12" t="n">
        <x:v>3875.6186</x:v>
      </x:c>
      <x:c r="C815" s="12" t="n">
        <x:v>3891.6533</x:v>
      </x:c>
      <x:c r="D815" s="12" t="n">
        <x:v>-0.412</x:v>
      </x:c>
      <x:c r="E815" s="12" t="n">
        <x:v>-0.004128791417360389</x:v>
      </x:c>
      <x:c r="F815" s="13" t="n">
        <x:v>43795</x:v>
      </x:c>
      <x:c r="G815" s="12" t="n">
        <x:v>4.05</x:v>
      </x:c>
      <x:c r="H815" s="12" t="n">
        <x:v>405</x:v>
      </x:c>
      <x:c r="I815" s="12" t="n">
        <x:v>-3</x:v>
      </x:c>
      <x:c r="J815" s="12" t="n">
        <x:v>1</x:v>
      </x:c>
    </x:row>
    <x:row r="816" ht="18" customHeight="1">
      <x:c r="A816" s="13" t="n">
        <x:v>43797</x:v>
      </x:c>
      <x:c r="B816" s="12" t="n">
        <x:v>3862.3029</x:v>
      </x:c>
      <x:c r="C816" s="12" t="n">
        <x:v>3875.6186</x:v>
      </x:c>
      <x:c r="D816" s="12" t="n">
        <x:v>-0.3436</x:v>
      </x:c>
      <x:c r="E816" s="12" t="n">
        <x:v>-0.003441676978464653</x:v>
      </x:c>
      <x:c r="F816" s="13" t="n">
        <x:v>43796</x:v>
      </x:c>
      <x:c r="G816" s="12" t="n">
        <x:v>3.99</x:v>
      </x:c>
      <x:c r="H816" s="12" t="n">
        <x:v>399</x:v>
      </x:c>
      <x:c r="I816" s="12" t="n">
        <x:v>-6</x:v>
      </x:c>
      <x:c r="J816" s="12" t="n">
        <x:v>1</x:v>
      </x:c>
    </x:row>
    <x:row r="817" ht="18" customHeight="1">
      <x:c r="A817" s="13" t="n">
        <x:v>43798</x:v>
      </x:c>
      <x:c r="B817" s="12" t="n">
        <x:v>3828.6706</x:v>
      </x:c>
      <x:c r="C817" s="12" t="n">
        <x:v>3862.3029</x:v>
      </x:c>
      <x:c r="D817" s="12" t="n">
        <x:v>-0.8708</x:v>
      </x:c>
      <x:c r="E817" s="12" t="n">
        <x:v>-0.008745970684524417</x:v>
      </x:c>
      <x:c r="F817" s="13" t="n">
        <x:v>43796</x:v>
      </x:c>
      <x:c r="G817" s="12" t="n">
        <x:v>3.99</x:v>
      </x:c>
      <x:c r="H817" s="12" t="n">
        <x:v>399</x:v>
      </x:c>
      <x:c r="I817" s="12" t="n">
        <x:v>-6</x:v>
      </x:c>
      <x:c r="J817" s="12" t="n">
        <x:v>2</x:v>
      </x:c>
    </x:row>
    <x:row r="818" ht="18" customHeight="1">
      <x:c r="A818" s="13" t="n">
        <x:v>43801</x:v>
      </x:c>
      <x:c r="B818" s="12" t="n">
        <x:v>3836.0589</x:v>
      </x:c>
      <x:c r="C818" s="12" t="n">
        <x:v>3828.6706</x:v>
      </x:c>
      <x:c r="D818" s="12" t="n">
        <x:v>0.193</x:v>
      </x:c>
      <x:c r="E818" s="12" t="n">
        <x:v>0.00192787032819121</x:v>
      </x:c>
      <x:c r="F818" s="13" t="n">
        <x:v>43799</x:v>
      </x:c>
      <x:c r="G818" s="12" t="n">
        <x:v>4.02</x:v>
      </x:c>
      <x:c r="H818" s="12" t="n">
        <x:v>401.99999999999994</x:v>
      </x:c>
      <x:c r="I818" s="12" t="n">
        <x:v>0.9999999999999432</x:v>
      </x:c>
      <x:c r="J818" s="12" t="n">
        <x:v>2</x:v>
      </x:c>
    </x:row>
    <x:row r="819" ht="18" customHeight="1">
      <x:c r="A819" s="13" t="n">
        <x:v>43802</x:v>
      </x:c>
      <x:c r="B819" s="12" t="n">
        <x:v>3851.0873</x:v>
      </x:c>
      <x:c r="C819" s="12" t="n">
        <x:v>3836.0589</x:v>
      </x:c>
      <x:c r="D819" s="12" t="n">
        <x:v>0.3918</x:v>
      </x:c>
      <x:c r="E819" s="12" t="n">
        <x:v>0.003910012573047016</x:v>
      </x:c>
      <x:c r="F819" s="13" t="n">
        <x:v>43801</x:v>
      </x:c>
      <x:c r="G819" s="12" t="n">
        <x:v>4.03</x:v>
      </x:c>
      <x:c r="H819" s="12" t="n">
        <x:v>403</x:v>
      </x:c>
      <x:c r="I819" s="12" t="n">
        <x:v>1.0000000000000568</x:v>
      </x:c>
      <x:c r="J819" s="12" t="n">
        <x:v>1</x:v>
      </x:c>
    </x:row>
    <x:row r="820" ht="18" customHeight="1">
      <x:c r="A820" s="13" t="n">
        <x:v>43803</x:v>
      </x:c>
      <x:c r="B820" s="12" t="n">
        <x:v>3849.819</x:v>
      </x:c>
      <x:c r="C820" s="12" t="n">
        <x:v>3851.0873</x:v>
      </x:c>
      <x:c r="D820" s="12" t="n">
        <x:v>-0.0329</x:v>
      </x:c>
      <x:c r="E820" s="12" t="n">
        <x:v>-0.00032938980479928193</x:v>
      </x:c>
      <x:c r="F820" s="13" t="n">
        <x:v>43802</x:v>
      </x:c>
      <x:c r="G820" s="12" t="n">
        <x:v>4.14</x:v>
      </x:c>
      <x:c r="H820" s="12" t="n">
        <x:v>413.99999999999994</x:v>
      </x:c>
      <x:c r="I820" s="12" t="n">
        <x:v>10.999999999999943</x:v>
      </x:c>
      <x:c r="J820" s="12" t="n">
        <x:v>1</x:v>
      </x:c>
    </x:row>
    <x:row r="821" ht="18" customHeight="1">
      <x:c r="A821" s="13" t="n">
        <x:v>43804</x:v>
      </x:c>
      <x:c r="B821" s="12" t="n">
        <x:v>3879.3638</x:v>
      </x:c>
      <x:c r="C821" s="12" t="n">
        <x:v>3849.819</x:v>
      </x:c>
      <x:c r="D821" s="12" t="n">
        <x:v>0.7674</x:v>
      </x:c>
      <x:c r="E821" s="12" t="n">
        <x:v>0.0076450369110844605</x:v>
      </x:c>
      <x:c r="F821" s="13" t="n">
        <x:v>43803</x:v>
      </x:c>
      <x:c r="G821" s="12" t="n">
        <x:v>4.02</x:v>
      </x:c>
      <x:c r="H821" s="12" t="n">
        <x:v>401.99999999999994</x:v>
      </x:c>
      <x:c r="I821" s="12" t="n">
        <x:v>-12</x:v>
      </x:c>
      <x:c r="J821" s="12" t="n">
        <x:v>1</x:v>
      </x:c>
    </x:row>
    <x:row r="822" ht="18" customHeight="1">
      <x:c r="A822" s="13" t="n">
        <x:v>43805</x:v>
      </x:c>
      <x:c r="B822" s="12" t="n">
        <x:v>3902.3853</x:v>
      </x:c>
      <x:c r="C822" s="12" t="n">
        <x:v>3879.3638</x:v>
      </x:c>
      <x:c r="D822" s="12" t="n">
        <x:v>0.5934</x:v>
      </x:c>
      <x:c r="E822" s="12" t="n">
        <x:v>0.005916810441135707</x:v>
      </x:c>
      <x:c r="F822" s="13" t="n">
        <x:v>43804</x:v>
      </x:c>
      <x:c r="G822" s="12" t="n">
        <x:v>4</x:v>
      </x:c>
      <x:c r="H822" s="12" t="n">
        <x:v>400</x:v>
      </x:c>
      <x:c r="I822" s="12" t="n">
        <x:v>-1.9999999999999432</x:v>
      </x:c>
      <x:c r="J822" s="12" t="n">
        <x:v>1</x:v>
      </x:c>
    </x:row>
    <x:row r="823" ht="18" customHeight="1">
      <x:c r="A823" s="13" t="n">
        <x:v>43808</x:v>
      </x:c>
      <x:c r="B823" s="12" t="n">
        <x:v>3895.4468</x:v>
      </x:c>
      <x:c r="C823" s="12" t="n">
        <x:v>3902.3853</x:v>
      </x:c>
      <x:c r="D823" s="12" t="n">
        <x:v>-0.1778</x:v>
      </x:c>
      <x:c r="E823" s="12" t="n">
        <x:v>-0.0017795976477017867</x:v>
      </x:c>
      <x:c r="F823" s="13" t="n">
        <x:v>43805</x:v>
      </x:c>
      <x:c r="G823" s="12" t="n">
        <x:v>3.89</x:v>
      </x:c>
      <x:c r="H823" s="12" t="n">
        <x:v>389</x:v>
      </x:c>
      <x:c r="I823" s="12" t="n">
        <x:v>-11</x:v>
      </x:c>
      <x:c r="J823" s="12" t="n">
        <x:v>3</x:v>
      </x:c>
    </x:row>
    <x:row r="824" ht="18" customHeight="1">
      <x:c r="A824" s="13" t="n">
        <x:v>43809</x:v>
      </x:c>
      <x:c r="B824" s="12" t="n">
        <x:v>3900.3843</x:v>
      </x:c>
      <x:c r="C824" s="12" t="n">
        <x:v>3895.4468</x:v>
      </x:c>
      <x:c r="D824" s="12" t="n">
        <x:v>0.1268</x:v>
      </x:c>
      <x:c r="E824" s="12" t="n">
        <x:v>0.0012667028304908915</x:v>
      </x:c>
      <x:c r="F824" s="13" t="n">
        <x:v>43808</x:v>
      </x:c>
      <x:c r="G824" s="12" t="n">
        <x:v>3.88</x:v>
      </x:c>
      <x:c r="H824" s="12" t="n">
        <x:v>388</x:v>
      </x:c>
      <x:c r="I824" s="12" t="n">
        <x:v>-1</x:v>
      </x:c>
      <x:c r="J824" s="12" t="n">
        <x:v>1</x:v>
      </x:c>
    </x:row>
    <x:row r="825" ht="18" customHeight="1">
      <x:c r="A825" s="13" t="n">
        <x:v>43810</x:v>
      </x:c>
      <x:c r="B825" s="12" t="n">
        <x:v>3902.7492</x:v>
      </x:c>
      <x:c r="C825" s="12" t="n">
        <x:v>3900.3843</x:v>
      </x:c>
      <x:c r="D825" s="12" t="n">
        <x:v>0.0606</x:v>
      </x:c>
      <x:c r="E825" s="12" t="n">
        <x:v>0.0006061411284087119</x:v>
      </x:c>
      <x:c r="F825" s="13" t="n">
        <x:v>43809</x:v>
      </x:c>
      <x:c r="G825" s="12" t="n">
        <x:v>3.84</x:v>
      </x:c>
      <x:c r="H825" s="12" t="n">
        <x:v>384</x:v>
      </x:c>
      <x:c r="I825" s="12" t="n">
        <x:v>-4</x:v>
      </x:c>
      <x:c r="J825" s="12" t="n">
        <x:v>1</x:v>
      </x:c>
    </x:row>
    <x:row r="826" ht="18" customHeight="1">
      <x:c r="A826" s="13" t="n">
        <x:v>43811</x:v>
      </x:c>
      <x:c r="B826" s="12" t="n">
        <x:v>3891.0242</x:v>
      </x:c>
      <x:c r="C826" s="12" t="n">
        <x:v>3902.7492</x:v>
      </x:c>
      <x:c r="D826" s="12" t="n">
        <x:v>-0.3004</x:v>
      </x:c>
      <x:c r="E826" s="12" t="n">
        <x:v>-0.003008814407023755</x:v>
      </x:c>
      <x:c r="F826" s="13" t="n">
        <x:v>43810</x:v>
      </x:c>
      <x:c r="G826" s="12" t="n">
        <x:v>3.83</x:v>
      </x:c>
      <x:c r="H826" s="12" t="n">
        <x:v>383</x:v>
      </x:c>
      <x:c r="I826" s="12" t="n">
        <x:v>-1</x:v>
      </x:c>
      <x:c r="J826" s="12" t="n">
        <x:v>1</x:v>
      </x:c>
    </x:row>
    <x:row r="827" ht="18" customHeight="1">
      <x:c r="A827" s="13" t="n">
        <x:v>43812</x:v>
      </x:c>
      <x:c r="B827" s="12" t="n">
        <x:v>3968.2211</x:v>
      </x:c>
      <x:c r="C827" s="12" t="n">
        <x:v>3891.0242</x:v>
      </x:c>
      <x:c r="D827" s="12" t="n">
        <x:v>1.984</x:v>
      </x:c>
      <x:c r="E827" s="12" t="n">
        <x:v>0.01964549517248232</x:v>
      </x:c>
      <x:c r="F827" s="13" t="n">
        <x:v>43811</x:v>
      </x:c>
      <x:c r="G827" s="12" t="n">
        <x:v>3.7</x:v>
      </x:c>
      <x:c r="H827" s="12" t="n">
        <x:v>370</x:v>
      </x:c>
      <x:c r="I827" s="12" t="n">
        <x:v>-13</x:v>
      </x:c>
      <x:c r="J827" s="12" t="n">
        <x:v>1</x:v>
      </x:c>
    </x:row>
    <x:row r="828" ht="18" customHeight="1">
      <x:c r="A828" s="13" t="n">
        <x:v>43815</x:v>
      </x:c>
      <x:c r="B828" s="12" t="n">
        <x:v>3987.5464</x:v>
      </x:c>
      <x:c r="C828" s="12" t="n">
        <x:v>3968.2211</x:v>
      </x:c>
      <x:c r="D828" s="12" t="n">
        <x:v>0.487</x:v>
      </x:c>
      <x:c r="E828" s="12" t="n">
        <x:v>0.0048581957704862165</x:v>
      </x:c>
      <x:c r="F828" s="13" t="n">
        <x:v>43812</x:v>
      </x:c>
      <x:c r="G828" s="12" t="n">
        <x:v>3.71</x:v>
      </x:c>
      <x:c r="H828" s="12" t="n">
        <x:v>371</x:v>
      </x:c>
      <x:c r="I828" s="12" t="n">
        <x:v>1</x:v>
      </x:c>
      <x:c r="J828" s="12" t="n">
        <x:v>3</x:v>
      </x:c>
    </x:row>
    <x:row r="829" ht="18" customHeight="1">
      <x:c r="A829" s="13" t="n">
        <x:v>43816</x:v>
      </x:c>
      <x:c r="B829" s="12" t="n">
        <x:v>4041.7996</x:v>
      </x:c>
      <x:c r="C829" s="12" t="n">
        <x:v>3987.5464</x:v>
      </x:c>
      <x:c r="D829" s="12" t="n">
        <x:v>1.3606</x:v>
      </x:c>
      <x:c r="E829" s="12" t="n">
        <x:v>0.01351393392930136</x:v>
      </x:c>
      <x:c r="F829" s="13" t="n">
        <x:v>43815</x:v>
      </x:c>
      <x:c r="G829" s="12" t="n">
        <x:v>3.62</x:v>
      </x:c>
      <x:c r="H829" s="12" t="n">
        <x:v>362</x:v>
      </x:c>
      <x:c r="I829" s="12" t="n">
        <x:v>-9</x:v>
      </x:c>
      <x:c r="J829" s="12" t="n">
        <x:v>1</x:v>
      </x:c>
    </x:row>
    <x:row r="830" ht="18" customHeight="1">
      <x:c r="A830" s="13" t="n">
        <x:v>43817</x:v>
      </x:c>
      <x:c r="B830" s="12" t="n">
        <x:v>4032.7826</x:v>
      </x:c>
      <x:c r="C830" s="12" t="n">
        <x:v>4041.7996</x:v>
      </x:c>
      <x:c r="D830" s="12" t="n">
        <x:v>-0.2231</x:v>
      </x:c>
      <x:c r="E830" s="12" t="n">
        <x:v>-0.002233429179337791</x:v>
      </x:c>
      <x:c r="F830" s="13" t="n">
        <x:v>43816</x:v>
      </x:c>
      <x:c r="G830" s="12" t="n">
        <x:v>3.58</x:v>
      </x:c>
      <x:c r="H830" s="12" t="n">
        <x:v>358</x:v>
      </x:c>
      <x:c r="I830" s="12" t="n">
        <x:v>-4</x:v>
      </x:c>
      <x:c r="J830" s="12" t="n">
        <x:v>1</x:v>
      </x:c>
    </x:row>
    <x:row r="831" ht="18" customHeight="1">
      <x:c r="A831" s="13" t="n">
        <x:v>43818</x:v>
      </x:c>
      <x:c r="B831" s="12" t="n">
        <x:v>4027.1495</x:v>
      </x:c>
      <x:c r="C831" s="12" t="n">
        <x:v>4032.7826</x:v>
      </x:c>
      <x:c r="D831" s="12" t="n">
        <x:v>-0.1397</x:v>
      </x:c>
      <x:c r="E831" s="12" t="n">
        <x:v>-0.001397803566406833</x:v>
      </x:c>
      <x:c r="F831" s="13" t="n">
        <x:v>43817</x:v>
      </x:c>
      <x:c r="G831" s="12" t="n">
        <x:v>3.51</x:v>
      </x:c>
      <x:c r="H831" s="12" t="n">
        <x:v>351</x:v>
      </x:c>
      <x:c r="I831" s="12" t="n">
        <x:v>-7</x:v>
      </x:c>
      <x:c r="J831" s="12" t="n">
        <x:v>1</x:v>
      </x:c>
    </x:row>
    <x:row r="832" ht="18" customHeight="1">
      <x:c r="A832" s="13" t="n">
        <x:v>43819</x:v>
      </x:c>
      <x:c r="B832" s="12" t="n">
        <x:v>4017.2527</x:v>
      </x:c>
      <x:c r="C832" s="12" t="n">
        <x:v>4027.1495</x:v>
      </x:c>
      <x:c r="D832" s="12" t="n">
        <x:v>-0.2458</x:v>
      </x:c>
      <x:c r="E832" s="12" t="n">
        <x:v>-0.0024605445493925703</x:v>
      </x:c>
      <x:c r="F832" s="13" t="n">
        <x:v>43818</x:v>
      </x:c>
      <x:c r="G832" s="12" t="n">
        <x:v>3.54</x:v>
      </x:c>
      <x:c r="H832" s="12" t="n">
        <x:v>354</x:v>
      </x:c>
      <x:c r="I832" s="12" t="n">
        <x:v>3</x:v>
      </x:c>
      <x:c r="J832" s="12" t="n">
        <x:v>1</x:v>
      </x:c>
    </x:row>
    <x:row r="833" ht="18" customHeight="1">
      <x:c r="A833" s="13" t="n">
        <x:v>43822</x:v>
      </x:c>
      <x:c r="B833" s="12" t="n">
        <x:v>3967.0962</x:v>
      </x:c>
      <x:c r="C833" s="12" t="n">
        <x:v>4017.2527</x:v>
      </x:c>
      <x:c r="D833" s="12" t="n">
        <x:v>-1.2485</x:v>
      </x:c>
      <x:c r="E833" s="12" t="n">
        <x:v>-0.012563869739876722</x:v>
      </x:c>
      <x:c r="F833" s="13" t="n">
        <x:v>43819</x:v>
      </x:c>
      <x:c r="G833" s="12" t="n">
        <x:v>3.53</x:v>
      </x:c>
      <x:c r="H833" s="12" t="n">
        <x:v>353</x:v>
      </x:c>
      <x:c r="I833" s="12" t="n">
        <x:v>-1</x:v>
      </x:c>
      <x:c r="J833" s="12" t="n">
        <x:v>3</x:v>
      </x:c>
    </x:row>
    <x:row r="834" ht="18" customHeight="1">
      <x:c r="A834" s="13" t="n">
        <x:v>43823</x:v>
      </x:c>
      <x:c r="B834" s="12" t="n">
        <x:v>3992.9581</x:v>
      </x:c>
      <x:c r="C834" s="12" t="n">
        <x:v>3967.0962</x:v>
      </x:c>
      <x:c r="D834" s="12" t="n">
        <x:v>0.6519</x:v>
      </x:c>
      <x:c r="E834" s="12" t="n">
        <x:v>0.006497943361457646</x:v>
      </x:c>
      <x:c r="F834" s="13" t="n">
        <x:v>43822</x:v>
      </x:c>
      <x:c r="G834" s="12" t="n">
        <x:v>3.52</x:v>
      </x:c>
      <x:c r="H834" s="12" t="n">
        <x:v>352</x:v>
      </x:c>
      <x:c r="I834" s="12" t="n">
        <x:v>-1</x:v>
      </x:c>
      <x:c r="J834" s="12" t="n">
        <x:v>1</x:v>
      </x:c>
    </x:row>
    <x:row r="835" ht="18" customHeight="1">
      <x:c r="A835" s="13" t="n">
        <x:v>43824</x:v>
      </x:c>
      <x:c r="B835" s="12" t="n">
        <x:v>3990.8671</x:v>
      </x:c>
      <x:c r="C835" s="12" t="n">
        <x:v>3992.9581</x:v>
      </x:c>
      <x:c r="D835" s="12" t="n">
        <x:v>-0.0524</x:v>
      </x:c>
      <x:c r="E835" s="12" t="n">
        <x:v>-0.000523809075331489</x:v>
      </x:c>
      <x:c r="F835" s="13" t="n">
        <x:v>43823</x:v>
      </x:c>
      <x:c r="G835" s="12" t="n">
        <x:v>3.53</x:v>
      </x:c>
      <x:c r="H835" s="12" t="n">
        <x:v>353</x:v>
      </x:c>
      <x:c r="I835" s="12" t="n">
        <x:v>1</x:v>
      </x:c>
      <x:c r="J835" s="12" t="n">
        <x:v>1</x:v>
      </x:c>
    </x:row>
    <x:row r="836" ht="18" customHeight="1">
      <x:c r="A836" s="13" t="n">
        <x:v>43825</x:v>
      </x:c>
      <x:c r="B836" s="12" t="n">
        <x:v>4025.9879</x:v>
      </x:c>
      <x:c r="C836" s="12" t="n">
        <x:v>3990.8671</x:v>
      </x:c>
      <x:c r="D836" s="12" t="n">
        <x:v>0.88</x:v>
      </x:c>
      <x:c r="E836" s="12" t="n">
        <x:v>0.008761796161291392</x:v>
      </x:c>
      <x:c r="F836" s="13" t="n">
        <x:v>43823</x:v>
      </x:c>
      <x:c r="G836" s="12" t="n">
        <x:v>3.53</x:v>
      </x:c>
      <x:c r="H836" s="12" t="n">
        <x:v>353</x:v>
      </x:c>
      <x:c r="I836" s="12" t="n">
        <x:v>1</x:v>
      </x:c>
      <x:c r="J836" s="12" t="n">
        <x:v>2</x:v>
      </x:c>
    </x:row>
    <x:row r="837" ht="18" customHeight="1">
      <x:c r="A837" s="13" t="n">
        <x:v>43826</x:v>
      </x:c>
      <x:c r="B837" s="12" t="n">
        <x:v>4022.0278</x:v>
      </x:c>
      <x:c r="C837" s="12" t="n">
        <x:v>4025.9879</x:v>
      </x:c>
      <x:c r="D837" s="12" t="n">
        <x:v>-0.0984</x:v>
      </x:c>
      <x:c r="E837" s="12" t="n">
        <x:v>-0.0009841184379423033</x:v>
      </x:c>
      <x:c r="F837" s="13" t="n">
        <x:v>43825</x:v>
      </x:c>
      <x:c r="G837" s="12" t="n">
        <x:v>3.53</x:v>
      </x:c>
      <x:c r="H837" s="12" t="n">
        <x:v>353</x:v>
      </x:c>
      <x:c r="I837" s="12" t="n">
        <x:v>0</x:v>
      </x:c>
      <x:c r="J837" s="12" t="n">
        <x:v>1</x:v>
      </x:c>
    </x:row>
    <x:row r="838" ht="18" customHeight="1">
      <x:c r="A838" s="13" t="n">
        <x:v>43829</x:v>
      </x:c>
      <x:c r="B838" s="12" t="n">
        <x:v>4081.6334</x:v>
      </x:c>
      <x:c r="C838" s="12" t="n">
        <x:v>4022.0278</x:v>
      </x:c>
      <x:c r="D838" s="12" t="n">
        <x:v>1.482</x:v>
      </x:c>
      <x:c r="E838" s="12" t="n">
        <x:v>0.014711048126733142</x:v>
      </x:c>
      <x:c r="F838" s="13" t="n">
        <x:v>43826</x:v>
      </x:c>
      <x:c r="G838" s="12" t="n">
        <x:v>3.56</x:v>
      </x:c>
      <x:c r="H838" s="12" t="n">
        <x:v>356</x:v>
      </x:c>
      <x:c r="I838" s="12" t="n">
        <x:v>3</x:v>
      </x:c>
      <x:c r="J838" s="12" t="n">
        <x:v>3</x:v>
      </x:c>
    </x:row>
    <x:row r="839" ht="18" customHeight="1">
      <x:c r="A839" s="13" t="n">
        <x:v>43830</x:v>
      </x:c>
      <x:c r="B839" s="12" t="n">
        <x:v>4096.5821</x:v>
      </x:c>
      <x:c r="C839" s="12" t="n">
        <x:v>4081.6334</x:v>
      </x:c>
      <x:c r="D839" s="12" t="n">
        <x:v>0.3662</x:v>
      </x:c>
      <x:c r="E839" s="12" t="n">
        <x:v>0.0036557404603511975</x:v>
      </x:c>
      <x:c r="F839" s="13" t="n">
        <x:v>43829</x:v>
      </x:c>
      <x:c r="G839" s="12" t="n">
        <x:v>3.6</x:v>
      </x:c>
      <x:c r="H839" s="12" t="n">
        <x:v>360</x:v>
      </x:c>
      <x:c r="I839" s="12" t="n">
        <x:v>4</x:v>
      </x:c>
      <x:c r="J839" s="12" t="n">
        <x:v>1</x:v>
      </x:c>
    </x:row>
    <x:row r="840" ht="18" customHeight="1">
      <x:c r="A840" s="13" t="n">
        <x:v>43832</x:v>
      </x:c>
      <x:c r="B840" s="12" t="n">
        <x:v>4152.2408</x:v>
      </x:c>
      <x:c r="C840" s="12" t="n">
        <x:v>4096.5821</x:v>
      </x:c>
      <x:c r="D840" s="12" t="n">
        <x:v>1.3587</x:v>
      </x:c>
      <x:c r="E840" s="12" t="n">
        <x:v>0.013495148430566905</x:v>
      </x:c>
      <x:c r="F840" s="13" t="n">
        <x:v>43830</x:v>
      </x:c>
      <x:c r="G840" s="12" t="n">
        <x:v>3.6</x:v>
      </x:c>
      <x:c r="H840" s="12" t="n">
        <x:v>360</x:v>
      </x:c>
      <x:c r="I840" s="12" t="n">
        <x:v>0</x:v>
      </x:c>
      <x:c r="J840" s="12" t="n">
        <x:v>2</x:v>
      </x:c>
    </x:row>
    <x:row r="841" ht="18" customHeight="1">
      <x:c r="A841" s="13" t="n">
        <x:v>43833</x:v>
      </x:c>
      <x:c r="B841" s="12" t="n">
        <x:v>4144.9649</x:v>
      </x:c>
      <x:c r="C841" s="12" t="n">
        <x:v>4152.2408</x:v>
      </x:c>
      <x:c r="D841" s="12" t="n">
        <x:v>-0.1752</x:v>
      </x:c>
      <x:c r="E841" s="12" t="n">
        <x:v>-0.0017538198106827857</x:v>
      </x:c>
      <x:c r="F841" s="13" t="n">
        <x:v>43832</x:v>
      </x:c>
      <x:c r="G841" s="12" t="n">
        <x:v>3.56</x:v>
      </x:c>
      <x:c r="H841" s="12" t="n">
        <x:v>356</x:v>
      </x:c>
      <x:c r="I841" s="12" t="n">
        <x:v>-4</x:v>
      </x:c>
      <x:c r="J841" s="12" t="n">
        <x:v>1</x:v>
      </x:c>
    </x:row>
    <x:row r="842" ht="18" customHeight="1">
      <x:c r="A842" s="13" t="n">
        <x:v>43836</x:v>
      </x:c>
      <x:c r="B842" s="12" t="n">
        <x:v>4129.2954</x:v>
      </x:c>
      <x:c r="C842" s="12" t="n">
        <x:v>4144.9649</x:v>
      </x:c>
      <x:c r="D842" s="12" t="n">
        <x:v>-0.378</x:v>
      </x:c>
      <x:c r="E842" s="12" t="n">
        <x:v>-0.003787533426308017</x:v>
      </x:c>
      <x:c r="F842" s="13" t="n">
        <x:v>43833</x:v>
      </x:c>
      <x:c r="G842" s="12" t="n">
        <x:v>3.61</x:v>
      </x:c>
      <x:c r="H842" s="12" t="n">
        <x:v>361</x:v>
      </x:c>
      <x:c r="I842" s="12" t="n">
        <x:v>5</x:v>
      </x:c>
      <x:c r="J842" s="12" t="n">
        <x:v>3</x:v>
      </x:c>
    </x:row>
    <x:row r="843" ht="18" customHeight="1">
      <x:c r="A843" s="13" t="n">
        <x:v>43837</x:v>
      </x:c>
      <x:c r="B843" s="12" t="n">
        <x:v>4160.2274</x:v>
      </x:c>
      <x:c r="C843" s="12" t="n">
        <x:v>4129.2954</x:v>
      </x:c>
      <x:c r="D843" s="12" t="n">
        <x:v>0.7491</x:v>
      </x:c>
      <x:c r="E843" s="12" t="n">
        <x:v>0.007462949149397088</x:v>
      </x:c>
      <x:c r="F843" s="13" t="n">
        <x:v>43836</x:v>
      </x:c>
      <x:c r="G843" s="12" t="n">
        <x:v>3.57</x:v>
      </x:c>
      <x:c r="H843" s="12" t="n">
        <x:v>357</x:v>
      </x:c>
      <x:c r="I843" s="12" t="n">
        <x:v>-4</x:v>
      </x:c>
      <x:c r="J843" s="12" t="n">
        <x:v>1</x:v>
      </x:c>
    </x:row>
    <x:row r="844" ht="18" customHeight="1">
      <x:c r="A844" s="13" t="n">
        <x:v>43838</x:v>
      </x:c>
      <x:c r="B844" s="12" t="n">
        <x:v>4112.3172</x:v>
      </x:c>
      <x:c r="C844" s="12" t="n">
        <x:v>4160.2274</x:v>
      </x:c>
      <x:c r="D844" s="12" t="n">
        <x:v>-1.1516</x:v>
      </x:c>
      <x:c r="E844" s="12" t="n">
        <x:v>-0.0115830709851755</x:v>
      </x:c>
      <x:c r="F844" s="13" t="n">
        <x:v>43837</x:v>
      </x:c>
      <x:c r="G844" s="12" t="n">
        <x:v>3.54</x:v>
      </x:c>
      <x:c r="H844" s="12" t="n">
        <x:v>354</x:v>
      </x:c>
      <x:c r="I844" s="12" t="n">
        <x:v>-3</x:v>
      </x:c>
      <x:c r="J844" s="12" t="n">
        <x:v>1</x:v>
      </x:c>
    </x:row>
    <x:row r="845" ht="18" customHeight="1">
      <x:c r="A845" s="13" t="n">
        <x:v>43839</x:v>
      </x:c>
      <x:c r="B845" s="12" t="n">
        <x:v>4164.3697</x:v>
      </x:c>
      <x:c r="C845" s="12" t="n">
        <x:v>4112.3172</x:v>
      </x:c>
      <x:c r="D845" s="12" t="n">
        <x:v>1.2658</x:v>
      </x:c>
      <x:c r="E845" s="12" t="n">
        <x:v>0.012578266378327381</x:v>
      </x:c>
      <x:c r="F845" s="13" t="n">
        <x:v>43838</x:v>
      </x:c>
      <x:c r="G845" s="12" t="n">
        <x:v>3.5</x:v>
      </x:c>
      <x:c r="H845" s="12" t="n">
        <x:v>350</x:v>
      </x:c>
      <x:c r="I845" s="12" t="n">
        <x:v>-4</x:v>
      </x:c>
      <x:c r="J845" s="12" t="n">
        <x:v>1</x:v>
      </x:c>
    </x:row>
    <x:row r="846" ht="18" customHeight="1">
      <x:c r="A846" s="13" t="n">
        <x:v>43840</x:v>
      </x:c>
      <x:c r="B846" s="12" t="n">
        <x:v>4163.1849</x:v>
      </x:c>
      <x:c r="C846" s="12" t="n">
        <x:v>4164.3697</x:v>
      </x:c>
      <x:c r="D846" s="12" t="n">
        <x:v>-0.0285</x:v>
      </x:c>
      <x:c r="E846" s="12" t="n">
        <x:v>-0.0002845493220769424</x:v>
      </x:c>
      <x:c r="F846" s="13" t="n">
        <x:v>43839</x:v>
      </x:c>
      <x:c r="G846" s="12" t="n">
        <x:v>3.49</x:v>
      </x:c>
      <x:c r="H846" s="12" t="n">
        <x:v>349</x:v>
      </x:c>
      <x:c r="I846" s="12" t="n">
        <x:v>-1</x:v>
      </x:c>
      <x:c r="J846" s="12" t="n">
        <x:v>1</x:v>
      </x:c>
    </x:row>
    <x:row r="847" ht="18" customHeight="1">
      <x:c r="A847" s="13" t="n">
        <x:v>43843</x:v>
      </x:c>
      <x:c r="B847" s="12" t="n">
        <x:v>4203.9883</x:v>
      </x:c>
      <x:c r="C847" s="12" t="n">
        <x:v>4163.1849</x:v>
      </x:c>
      <x:c r="D847" s="12" t="n">
        <x:v>0.9801</x:v>
      </x:c>
      <x:c r="E847" s="12" t="n">
        <x:v>0.0097532876352903</x:v>
      </x:c>
      <x:c r="F847" s="13" t="n">
        <x:v>43840</x:v>
      </x:c>
      <x:c r="G847" s="12" t="n">
        <x:v>3.48</x:v>
      </x:c>
      <x:c r="H847" s="12" t="n">
        <x:v>348</x:v>
      </x:c>
      <x:c r="I847" s="12" t="n">
        <x:v>-1</x:v>
      </x:c>
      <x:c r="J847" s="12" t="n">
        <x:v>3</x:v>
      </x:c>
    </x:row>
    <x:row r="848" ht="18" customHeight="1">
      <x:c r="A848" s="13" t="n">
        <x:v>43844</x:v>
      </x:c>
      <x:c r="B848" s="12" t="n">
        <x:v>4189.8862</x:v>
      </x:c>
      <x:c r="C848" s="12" t="n">
        <x:v>4203.9883</x:v>
      </x:c>
      <x:c r="D848" s="12" t="n">
        <x:v>-0.3354</x:v>
      </x:c>
      <x:c r="E848" s="12" t="n">
        <x:v>-0.003360096286408275</x:v>
      </x:c>
      <x:c r="F848" s="13" t="n">
        <x:v>43843</x:v>
      </x:c>
      <x:c r="G848" s="12" t="n">
        <x:v>3.48</x:v>
      </x:c>
      <x:c r="H848" s="12" t="n">
        <x:v>348</x:v>
      </x:c>
      <x:c r="I848" s="12" t="n">
        <x:v>0</x:v>
      </x:c>
      <x:c r="J848" s="12" t="n">
        <x:v>1</x:v>
      </x:c>
    </x:row>
    <x:row r="849" ht="18" customHeight="1">
      <x:c r="A849" s="13" t="n">
        <x:v>43845</x:v>
      </x:c>
      <x:c r="B849" s="12" t="n">
        <x:v>4166.7344</x:v>
      </x:c>
      <x:c r="C849" s="12" t="n">
        <x:v>4189.8862</x:v>
      </x:c>
      <x:c r="D849" s="12" t="n">
        <x:v>-0.5526</x:v>
      </x:c>
      <x:c r="E849" s="12" t="n">
        <x:v>-0.00554096215265634</x:v>
      </x:c>
      <x:c r="F849" s="13" t="n">
        <x:v>43844</x:v>
      </x:c>
      <x:c r="G849" s="12" t="n">
        <x:v>3.45</x:v>
      </x:c>
      <x:c r="H849" s="12" t="n">
        <x:v>345</x:v>
      </x:c>
      <x:c r="I849" s="12" t="n">
        <x:v>-3</x:v>
      </x:c>
      <x:c r="J849" s="12" t="n">
        <x:v>1</x:v>
      </x:c>
    </x:row>
    <x:row r="850" ht="18" customHeight="1">
      <x:c r="A850" s="13" t="n">
        <x:v>43846</x:v>
      </x:c>
      <x:c r="B850" s="12" t="n">
        <x:v>4149.0434</x:v>
      </x:c>
      <x:c r="C850" s="12" t="n">
        <x:v>4166.7344</x:v>
      </x:c>
      <x:c r="D850" s="12" t="n">
        <x:v>-0.4246</x:v>
      </x:c>
      <x:c r="E850" s="12" t="n">
        <x:v>-0.004254809860104781</x:v>
      </x:c>
      <x:c r="F850" s="13" t="n">
        <x:v>43845</x:v>
      </x:c>
      <x:c r="G850" s="12" t="n">
        <x:v>3.44</x:v>
      </x:c>
      <x:c r="H850" s="12" t="n">
        <x:v>344</x:v>
      </x:c>
      <x:c r="I850" s="12" t="n">
        <x:v>-1</x:v>
      </x:c>
      <x:c r="J850" s="12" t="n">
        <x:v>1</x:v>
      </x:c>
    </x:row>
    <x:row r="851" ht="18" customHeight="1">
      <x:c r="A851" s="13" t="n">
        <x:v>43847</x:v>
      </x:c>
      <x:c r="B851" s="12" t="n">
        <x:v>4154.853</x:v>
      </x:c>
      <x:c r="C851" s="12" t="n">
        <x:v>4149.0434</x:v>
      </x:c>
      <x:c r="D851" s="12" t="n">
        <x:v>0.14</x:v>
      </x:c>
      <x:c r="E851" s="12" t="n">
        <x:v>0.0013992469722722961</x:v>
      </x:c>
      <x:c r="F851" s="13" t="n">
        <x:v>43846</x:v>
      </x:c>
      <x:c r="G851" s="12" t="n">
        <x:v>3.42</x:v>
      </x:c>
      <x:c r="H851" s="12" t="n">
        <x:v>342</x:v>
      </x:c>
      <x:c r="I851" s="12" t="n">
        <x:v>-2</x:v>
      </x:c>
      <x:c r="J851" s="12" t="n">
        <x:v>1</x:v>
      </x:c>
    </x:row>
    <x:row r="852" ht="18" customHeight="1">
      <x:c r="A852" s="13" t="n">
        <x:v>43850</x:v>
      </x:c>
      <x:c r="B852" s="12" t="n">
        <x:v>4185.8304</x:v>
      </x:c>
      <x:c r="C852" s="12" t="n">
        <x:v>4154.853</x:v>
      </x:c>
      <x:c r="D852" s="12" t="n">
        <x:v>0.7456</x:v>
      </x:c>
      <x:c r="E852" s="12" t="n">
        <x:v>0.007428058577093128</x:v>
      </x:c>
      <x:c r="F852" s="13" t="n">
        <x:v>43847</x:v>
      </x:c>
      <x:c r="G852" s="12" t="n">
        <x:v>3.39</x:v>
      </x:c>
      <x:c r="H852" s="12" t="n">
        <x:v>339</x:v>
      </x:c>
      <x:c r="I852" s="12" t="n">
        <x:v>-3</x:v>
      </x:c>
      <x:c r="J852" s="12" t="n">
        <x:v>3</x:v>
      </x:c>
    </x:row>
    <x:row r="853" ht="18" customHeight="1">
      <x:c r="A853" s="13" t="n">
        <x:v>43851</x:v>
      </x:c>
      <x:c r="B853" s="12" t="n">
        <x:v>4114.3085</x:v>
      </x:c>
      <x:c r="C853" s="12" t="n">
        <x:v>4185.8304</x:v>
      </x:c>
      <x:c r="D853" s="12" t="n">
        <x:v>-1.7087</x:v>
      </x:c>
      <x:c r="E853" s="12" t="n">
        <x:v>-0.017234330931583355</x:v>
      </x:c>
      <x:c r="F853" s="13" t="n">
        <x:v>43850</x:v>
      </x:c>
      <x:c r="G853" s="12" t="n">
        <x:v>3.38</x:v>
      </x:c>
      <x:c r="H853" s="12" t="n">
        <x:v>338</x:v>
      </x:c>
      <x:c r="I853" s="12" t="n">
        <x:v>-1</x:v>
      </x:c>
      <x:c r="J853" s="12" t="n">
        <x:v>1</x:v>
      </x:c>
    </x:row>
    <x:row r="854" ht="18" customHeight="1">
      <x:c r="A854" s="13" t="n">
        <x:v>43852</x:v>
      </x:c>
      <x:c r="B854" s="12" t="n">
        <x:v>4131.9311</x:v>
      </x:c>
      <x:c r="C854" s="12" t="n">
        <x:v>4114.3085</x:v>
      </x:c>
      <x:c r="D854" s="12" t="n">
        <x:v>0.4283</x:v>
      </x:c>
      <x:c r="E854" s="12" t="n">
        <x:v>0.0042741001188863715</x:v>
      </x:c>
      <x:c r="F854" s="13" t="n">
        <x:v>43851</x:v>
      </x:c>
      <x:c r="G854" s="12" t="n">
        <x:v>3.47</x:v>
      </x:c>
      <x:c r="H854" s="12" t="n">
        <x:v>347</x:v>
      </x:c>
      <x:c r="I854" s="12" t="n">
        <x:v>9</x:v>
      </x:c>
      <x:c r="J854" s="12" t="n">
        <x:v>1</x:v>
      </x:c>
    </x:row>
    <x:row r="855" ht="18" customHeight="1">
      <x:c r="A855" s="13" t="n">
        <x:v>43853</x:v>
      </x:c>
      <x:c r="B855" s="12" t="n">
        <x:v>4003.9013</x:v>
      </x:c>
      <x:c r="C855" s="12" t="n">
        <x:v>4131.9311</x:v>
      </x:c>
      <x:c r="D855" s="12" t="n">
        <x:v>-3.0985</x:v>
      </x:c>
      <x:c r="E855" s="12" t="n">
        <x:v>-0.03147566558508316</x:v>
      </x:c>
      <x:c r="F855" s="13" t="n">
        <x:v>43852</x:v>
      </x:c>
      <x:c r="G855" s="12" t="n">
        <x:v>3.49</x:v>
      </x:c>
      <x:c r="H855" s="12" t="n">
        <x:v>349</x:v>
      </x:c>
      <x:c r="I855" s="12" t="n">
        <x:v>2</x:v>
      </x:c>
      <x:c r="J855" s="12" t="n">
        <x:v>1</x:v>
      </x:c>
    </x:row>
    <x:row r="856" ht="18" customHeight="1">
      <x:c r="A856" s="13" t="n">
        <x:v>43864</x:v>
      </x:c>
      <x:c r="B856" s="12" t="n">
        <x:v>3688.3578</x:v>
      </x:c>
      <x:c r="C856" s="12" t="n">
        <x:v>4003.9013</x:v>
      </x:c>
      <x:c r="D856" s="12" t="n">
        <x:v>-7.8809</x:v>
      </x:c>
      <x:c r="E856" s="12" t="n">
        <x:v>-0.08208789245745143</x:v>
      </x:c>
      <x:c r="F856" s="13" t="n">
        <x:v>43861</x:v>
      </x:c>
      <x:c r="G856" s="12" t="n">
        <x:v>4.03</x:v>
      </x:c>
      <x:c r="H856" s="12" t="n">
        <x:v>403</x:v>
      </x:c>
      <x:c r="I856" s="12" t="n">
        <x:v>8</x:v>
      </x:c>
      <x:c r="J856" s="12" t="n">
        <x:v>3</x:v>
      </x:c>
    </x:row>
    <x:row r="857" ht="18" customHeight="1">
      <x:c r="A857" s="13" t="n">
        <x:v>43865</x:v>
      </x:c>
      <x:c r="B857" s="12" t="n">
        <x:v>3785.6376</x:v>
      </x:c>
      <x:c r="C857" s="12" t="n">
        <x:v>3688.3578</x:v>
      </x:c>
      <x:c r="D857" s="12" t="n">
        <x:v>2.6375</x:v>
      </x:c>
      <x:c r="E857" s="12" t="n">
        <x:v>0.026033008785874372</x:v>
      </x:c>
      <x:c r="F857" s="13" t="n">
        <x:v>43864</x:v>
      </x:c>
      <x:c r="G857" s="12" t="n">
        <x:v>3.97</x:v>
      </x:c>
      <x:c r="H857" s="12" t="n">
        <x:v>397</x:v>
      </x:c>
      <x:c r="I857" s="12" t="n">
        <x:v>-6</x:v>
      </x:c>
      <x:c r="J857" s="12" t="n">
        <x:v>1</x:v>
      </x:c>
    </x:row>
    <x:row r="858" ht="18" customHeight="1">
      <x:c r="A858" s="13" t="n">
        <x:v>43866</x:v>
      </x:c>
      <x:c r="B858" s="12" t="n">
        <x:v>3828.5272</x:v>
      </x:c>
      <x:c r="C858" s="12" t="n">
        <x:v>3785.6376</x:v>
      </x:c>
      <x:c r="D858" s="12" t="n">
        <x:v>1.133</x:v>
      </x:c>
      <x:c r="E858" s="12" t="n">
        <x:v>0.01126585902804228</x:v>
      </x:c>
      <x:c r="F858" s="13" t="n">
        <x:v>43865</x:v>
      </x:c>
      <x:c r="G858" s="12" t="n">
        <x:v>3.85</x:v>
      </x:c>
      <x:c r="H858" s="12" t="n">
        <x:v>385</x:v>
      </x:c>
      <x:c r="I858" s="12" t="n">
        <x:v>-12</x:v>
      </x:c>
      <x:c r="J858" s="12" t="n">
        <x:v>1</x:v>
      </x:c>
    </x:row>
    <x:row r="859" ht="18" customHeight="1">
      <x:c r="A859" s="13" t="n">
        <x:v>43867</x:v>
      </x:c>
      <x:c r="B859" s="12" t="n">
        <x:v>3899.7751</x:v>
      </x:c>
      <x:c r="C859" s="12" t="n">
        <x:v>3828.5272</x:v>
      </x:c>
      <x:c r="D859" s="12" t="n">
        <x:v>1.861</x:v>
      </x:c>
      <x:c r="E859" s="12" t="n">
        <x:v>0.018438698650183886</x:v>
      </x:c>
      <x:c r="F859" s="13" t="n">
        <x:v>43866</x:v>
      </x:c>
      <x:c r="G859" s="12" t="n">
        <x:v>3.75</x:v>
      </x:c>
      <x:c r="H859" s="12" t="n">
        <x:v>375</x:v>
      </x:c>
      <x:c r="I859" s="12" t="n">
        <x:v>-10</x:v>
      </x:c>
      <x:c r="J859" s="12" t="n">
        <x:v>1</x:v>
      </x:c>
    </x:row>
    <x:row r="860" ht="18" customHeight="1">
      <x:c r="A860" s="13" t="n">
        <x:v>43868</x:v>
      </x:c>
      <x:c r="B860" s="12" t="n">
        <x:v>3899.8693</x:v>
      </x:c>
      <x:c r="C860" s="12" t="n">
        <x:v>3899.7751</x:v>
      </x:c>
      <x:c r="D860" s="12" t="n">
        <x:v>0.0024</x:v>
      </x:c>
      <x:c r="E860" s="12" t="n">
        <x:v>0.000024154947372948227</x:v>
      </x:c>
      <x:c r="F860" s="13" t="n">
        <x:v>43867</x:v>
      </x:c>
      <x:c r="G860" s="12" t="n">
        <x:v>3.7</x:v>
      </x:c>
      <x:c r="H860" s="12" t="n">
        <x:v>370</x:v>
      </x:c>
      <x:c r="I860" s="12" t="n">
        <x:v>-5</x:v>
      </x:c>
      <x:c r="J860" s="12" t="n">
        <x:v>1</x:v>
      </x:c>
    </x:row>
    <x:row r="861" ht="18" customHeight="1">
      <x:c r="A861" s="13" t="n">
        <x:v>43871</x:v>
      </x:c>
      <x:c r="B861" s="12" t="n">
        <x:v>3916.0052</x:v>
      </x:c>
      <x:c r="C861" s="12" t="n">
        <x:v>3899.8693</x:v>
      </x:c>
      <x:c r="D861" s="12" t="n">
        <x:v>0.4138</x:v>
      </x:c>
      <x:c r="E861" s="12" t="n">
        <x:v>0.00412901279945909</x:v>
      </x:c>
      <x:c r="F861" s="13" t="n">
        <x:v>43868</x:v>
      </x:c>
      <x:c r="G861" s="12" t="n">
        <x:v>3.75</x:v>
      </x:c>
      <x:c r="H861" s="12" t="n">
        <x:v>375</x:v>
      </x:c>
      <x:c r="I861" s="12" t="n">
        <x:v>5</x:v>
      </x:c>
      <x:c r="J861" s="12" t="n">
        <x:v>3</x:v>
      </x:c>
    </x:row>
    <x:row r="862" ht="18" customHeight="1">
      <x:c r="A862" s="13" t="n">
        <x:v>43872</x:v>
      </x:c>
      <x:c r="B862" s="12" t="n">
        <x:v>3952.4643</x:v>
      </x:c>
      <x:c r="C862" s="12" t="n">
        <x:v>3916.0052</x:v>
      </x:c>
      <x:c r="D862" s="12" t="n">
        <x:v>0.931</x:v>
      </x:c>
      <x:c r="E862" s="12" t="n">
        <x:v>0.009267205249654655</x:v>
      </x:c>
      <x:c r="F862" s="13" t="n">
        <x:v>43871</x:v>
      </x:c>
      <x:c r="G862" s="12" t="n">
        <x:v>3.75</x:v>
      </x:c>
      <x:c r="H862" s="12" t="n">
        <x:v>375</x:v>
      </x:c>
      <x:c r="I862" s="12" t="n">
        <x:v>0</x:v>
      </x:c>
      <x:c r="J862" s="12" t="n">
        <x:v>1</x:v>
      </x:c>
    </x:row>
    <x:row r="863" ht="18" customHeight="1">
      <x:c r="A863" s="13" t="n">
        <x:v>43873</x:v>
      </x:c>
      <x:c r="B863" s="12" t="n">
        <x:v>3984.4325</x:v>
      </x:c>
      <x:c r="C863" s="12" t="n">
        <x:v>3952.4643</x:v>
      </x:c>
      <x:c r="D863" s="12" t="n">
        <x:v>0.8088</x:v>
      </x:c>
      <x:c r="E863" s="12" t="n">
        <x:v>0.008055635264537581</x:v>
      </x:c>
      <x:c r="F863" s="13" t="n">
        <x:v>43872</x:v>
      </x:c>
      <x:c r="G863" s="12" t="n">
        <x:v>3.65</x:v>
      </x:c>
      <x:c r="H863" s="12" t="n">
        <x:v>365</x:v>
      </x:c>
      <x:c r="I863" s="12" t="n">
        <x:v>-10</x:v>
      </x:c>
      <x:c r="J863" s="12" t="n">
        <x:v>1</x:v>
      </x:c>
    </x:row>
    <x:row r="864" ht="18" customHeight="1">
      <x:c r="A864" s="13" t="n">
        <x:v>43874</x:v>
      </x:c>
      <x:c r="B864" s="12" t="n">
        <x:v>3959.9188</x:v>
      </x:c>
      <x:c r="C864" s="12" t="n">
        <x:v>3984.4325</x:v>
      </x:c>
      <x:c r="D864" s="12" t="n">
        <x:v>-0.6152</x:v>
      </x:c>
      <x:c r="E864" s="12" t="n">
        <x:v>-0.0061713730615193555</x:v>
      </x:c>
      <x:c r="F864" s="13" t="n">
        <x:v>43873</x:v>
      </x:c>
      <x:c r="G864" s="12" t="n">
        <x:v>3.59</x:v>
      </x:c>
      <x:c r="H864" s="12" t="n">
        <x:v>359</x:v>
      </x:c>
      <x:c r="I864" s="12" t="n">
        <x:v>-6</x:v>
      </x:c>
      <x:c r="J864" s="12" t="n">
        <x:v>1</x:v>
      </x:c>
    </x:row>
    <x:row r="865" ht="18" customHeight="1">
      <x:c r="A865" s="13" t="n">
        <x:v>43875</x:v>
      </x:c>
      <x:c r="B865" s="12" t="n">
        <x:v>3987.7342</x:v>
      </x:c>
      <x:c r="C865" s="12" t="n">
        <x:v>3959.9188</x:v>
      </x:c>
      <x:c r="D865" s="12" t="n">
        <x:v>0.7024</x:v>
      </x:c>
      <x:c r="E865" s="12" t="n">
        <x:v>0.006999679922883055</x:v>
      </x:c>
      <x:c r="F865" s="13" t="n">
        <x:v>43874</x:v>
      </x:c>
      <x:c r="G865" s="12" t="n">
        <x:v>3.57</x:v>
      </x:c>
      <x:c r="H865" s="12" t="n">
        <x:v>357</x:v>
      </x:c>
      <x:c r="I865" s="12" t="n">
        <x:v>-2</x:v>
      </x:c>
      <x:c r="J865" s="12" t="n">
        <x:v>1</x:v>
      </x:c>
    </x:row>
    <x:row r="866" ht="18" customHeight="1">
      <x:c r="A866" s="13" t="n">
        <x:v>43878</x:v>
      </x:c>
      <x:c r="B866" s="12" t="n">
        <x:v>4077.4241</x:v>
      </x:c>
      <x:c r="C866" s="12" t="n">
        <x:v>3987.7342</x:v>
      </x:c>
      <x:c r="D866" s="12" t="n">
        <x:v>2.2491</x:v>
      </x:c>
      <x:c r="E866" s="12" t="n">
        <x:v>0.022242241064220722</x:v>
      </x:c>
      <x:c r="F866" s="13" t="n">
        <x:v>43875</x:v>
      </x:c>
      <x:c r="G866" s="12" t="n">
        <x:v>3.56</x:v>
      </x:c>
      <x:c r="H866" s="12" t="n">
        <x:v>356</x:v>
      </x:c>
      <x:c r="I866" s="12" t="n">
        <x:v>-1</x:v>
      </x:c>
      <x:c r="J866" s="12" t="n">
        <x:v>3</x:v>
      </x:c>
    </x:row>
    <x:row r="867" ht="18" customHeight="1">
      <x:c r="A867" s="13" t="n">
        <x:v>43879</x:v>
      </x:c>
      <x:c r="B867" s="12" t="n">
        <x:v>4057.5108</x:v>
      </x:c>
      <x:c r="C867" s="12" t="n">
        <x:v>4077.4241</x:v>
      </x:c>
      <x:c r="D867" s="12" t="n">
        <x:v>-0.4884</x:v>
      </x:c>
      <x:c r="E867" s="12" t="n">
        <x:v>-0.004895758852166483</x:v>
      </x:c>
      <x:c r="F867" s="13" t="n">
        <x:v>43878</x:v>
      </x:c>
      <x:c r="G867" s="12" t="n">
        <x:v>3.56</x:v>
      </x:c>
      <x:c r="H867" s="12" t="n">
        <x:v>356</x:v>
      </x:c>
      <x:c r="I867" s="12" t="n">
        <x:v>0</x:v>
      </x:c>
      <x:c r="J867" s="12" t="n">
        <x:v>1</x:v>
      </x:c>
    </x:row>
    <x:row r="868" ht="18" customHeight="1">
      <x:c r="A868" s="13" t="n">
        <x:v>43880</x:v>
      </x:c>
      <x:c r="B868" s="12" t="n">
        <x:v>4051.3107</x:v>
      </x:c>
      <x:c r="C868" s="12" t="n">
        <x:v>4057.5108</x:v>
      </x:c>
      <x:c r="D868" s="12" t="n">
        <x:v>-0.1528</x:v>
      </x:c>
      <x:c r="E868" s="12" t="n">
        <x:v>-0.0015292237492852212</x:v>
      </x:c>
      <x:c r="F868" s="13" t="n">
        <x:v>43879</x:v>
      </x:c>
      <x:c r="G868" s="12" t="n">
        <x:v>3.61</x:v>
      </x:c>
      <x:c r="H868" s="12" t="n">
        <x:v>361</x:v>
      </x:c>
      <x:c r="I868" s="12" t="n">
        <x:v>5</x:v>
      </x:c>
      <x:c r="J868" s="12" t="n">
        <x:v>1</x:v>
      </x:c>
    </x:row>
    <x:row r="869" ht="18" customHeight="1">
      <x:c r="A869" s="13" t="n">
        <x:v>43881</x:v>
      </x:c>
      <x:c r="B869" s="12" t="n">
        <x:v>4144.6561</x:v>
      </x:c>
      <x:c r="C869" s="12" t="n">
        <x:v>4051.3107</x:v>
      </x:c>
      <x:c r="D869" s="12" t="n">
        <x:v>2.3041</x:v>
      </x:c>
      <x:c r="E869" s="12" t="n">
        <x:v>0.02277935932332665</x:v>
      </x:c>
      <x:c r="F869" s="13" t="n">
        <x:v>43880</x:v>
      </x:c>
      <x:c r="G869" s="12" t="n">
        <x:v>3.57</x:v>
      </x:c>
      <x:c r="H869" s="12" t="n">
        <x:v>357</x:v>
      </x:c>
      <x:c r="I869" s="12" t="n">
        <x:v>-4</x:v>
      </x:c>
      <x:c r="J869" s="12" t="n">
        <x:v>1</x:v>
      </x:c>
    </x:row>
    <x:row r="870" ht="18" customHeight="1">
      <x:c r="A870" s="13" t="n">
        <x:v>43882</x:v>
      </x:c>
      <x:c r="B870" s="12" t="n">
        <x:v>4149.4903</x:v>
      </x:c>
      <x:c r="C870" s="12" t="n">
        <x:v>4144.6561</x:v>
      </x:c>
      <x:c r="D870" s="12" t="n">
        <x:v>0.1166</x:v>
      </x:c>
      <x:c r="E870" s="12" t="n">
        <x:v>0.0011656897079620984</x:v>
      </x:c>
      <x:c r="F870" s="13" t="n">
        <x:v>43881</x:v>
      </x:c>
      <x:c r="G870" s="12" t="n">
        <x:v>3.62</x:v>
      </x:c>
      <x:c r="H870" s="12" t="n">
        <x:v>362</x:v>
      </x:c>
      <x:c r="I870" s="12" t="n">
        <x:v>5</x:v>
      </x:c>
      <x:c r="J870" s="12" t="n">
        <x:v>1</x:v>
      </x:c>
    </x:row>
    <x:row r="871" ht="18" customHeight="1">
      <x:c r="A871" s="13" t="n">
        <x:v>43885</x:v>
      </x:c>
      <x:c r="B871" s="12" t="n">
        <x:v>4132.8388</x:v>
      </x:c>
      <x:c r="C871" s="12" t="n">
        <x:v>4149.4903</x:v>
      </x:c>
      <x:c r="D871" s="12" t="n">
        <x:v>-0.4013</x:v>
      </x:c>
      <x:c r="E871" s="12" t="n">
        <x:v>-0.0040209757990555175</x:v>
      </x:c>
      <x:c r="F871" s="13" t="n">
        <x:v>43882</x:v>
      </x:c>
      <x:c r="G871" s="12" t="n">
        <x:v>3.66</x:v>
      </x:c>
      <x:c r="H871" s="12" t="n">
        <x:v>366</x:v>
      </x:c>
      <x:c r="I871" s="12" t="n">
        <x:v>4</x:v>
      </x:c>
      <x:c r="J871" s="12" t="n">
        <x:v>3</x:v>
      </x:c>
    </x:row>
    <x:row r="872" ht="18" customHeight="1">
      <x:c r="A872" s="13" t="n">
        <x:v>43886</x:v>
      </x:c>
      <x:c r="B872" s="12" t="n">
        <x:v>4123.8543</x:v>
      </x:c>
      <x:c r="C872" s="12" t="n">
        <x:v>4132.8388</x:v>
      </x:c>
      <x:c r="D872" s="12" t="n">
        <x:v>-0.2174</x:v>
      </x:c>
      <x:c r="E872" s="12" t="n">
        <x:v>-0.0021762958698513814</x:v>
      </x:c>
      <x:c r="F872" s="13" t="n">
        <x:v>43885</x:v>
      </x:c>
      <x:c r="G872" s="12" t="n">
        <x:v>4.03</x:v>
      </x:c>
      <x:c r="H872" s="12" t="n">
        <x:v>403</x:v>
      </x:c>
      <x:c r="I872" s="12" t="n">
        <x:v>37</x:v>
      </x:c>
      <x:c r="J872" s="12" t="n">
        <x:v>1</x:v>
      </x:c>
    </x:row>
    <x:row r="873" ht="18" customHeight="1">
      <x:c r="A873" s="13" t="n">
        <x:v>43887</x:v>
      </x:c>
      <x:c r="B873" s="12" t="n">
        <x:v>4073.0152</x:v>
      </x:c>
      <x:c r="C873" s="12" t="n">
        <x:v>4123.8543</x:v>
      </x:c>
      <x:c r="D873" s="12" t="n">
        <x:v>-1.2328</x:v>
      </x:c>
      <x:c r="E873" s="12" t="n">
        <x:v>-0.012404675201421004</x:v>
      </x:c>
      <x:c r="F873" s="13" t="n">
        <x:v>43886</x:v>
      </x:c>
      <x:c r="G873" s="12" t="n">
        <x:v>4.18</x:v>
      </x:c>
      <x:c r="H873" s="12" t="n">
        <x:v>418</x:v>
      </x:c>
      <x:c r="I873" s="12" t="n">
        <x:v>15</x:v>
      </x:c>
      <x:c r="J873" s="12" t="n">
        <x:v>1</x:v>
      </x:c>
    </x:row>
    <x:row r="874" ht="18" customHeight="1">
      <x:c r="A874" s="13" t="n">
        <x:v>43888</x:v>
      </x:c>
      <x:c r="B874" s="12" t="n">
        <x:v>4084.8759</x:v>
      </x:c>
      <x:c r="C874" s="12" t="n">
        <x:v>4073.0152</x:v>
      </x:c>
      <x:c r="D874" s="12" t="n">
        <x:v>0.2912</x:v>
      </x:c>
      <x:c r="E874" s="12" t="n">
        <x:v>0.002907787861271764</x:v>
      </x:c>
      <x:c r="F874" s="13" t="n">
        <x:v>43887</x:v>
      </x:c>
      <x:c r="G874" s="12" t="n">
        <x:v>4.27</x:v>
      </x:c>
      <x:c r="H874" s="12" t="n">
        <x:v>426.99999999999994</x:v>
      </x:c>
      <x:c r="I874" s="12" t="n">
        <x:v>8.999999999999943</x:v>
      </x:c>
      <x:c r="J874" s="12" t="n">
        <x:v>1</x:v>
      </x:c>
    </x:row>
    <x:row r="875" ht="18" customHeight="1">
      <x:c r="A875" s="13" t="n">
        <x:v>43889</x:v>
      </x:c>
      <x:c r="B875" s="12" t="n">
        <x:v>3940.0488</x:v>
      </x:c>
      <x:c r="C875" s="12" t="n">
        <x:v>4084.8759</x:v>
      </x:c>
      <x:c r="D875" s="12" t="n">
        <x:v>-3.5454</x:v>
      </x:c>
      <x:c r="E875" s="12" t="n">
        <x:v>-0.036098239393596</x:v>
      </x:c>
      <x:c r="F875" s="13" t="n">
        <x:v>43888</x:v>
      </x:c>
      <x:c r="G875" s="12" t="n">
        <x:v>4.62</x:v>
      </x:c>
      <x:c r="H875" s="12" t="n">
        <x:v>462</x:v>
      </x:c>
      <x:c r="I875" s="12" t="n">
        <x:v>35.00000000000006</x:v>
      </x:c>
      <x:c r="J875" s="12" t="n">
        <x:v>1</x:v>
      </x:c>
    </x:row>
    <x:row r="876" ht="18" customHeight="1">
      <x:c r="A876" s="13" t="n">
        <x:v>43892</x:v>
      </x:c>
      <x:c r="B876" s="12" t="n">
        <x:v>4069.6662</x:v>
      </x:c>
      <x:c r="C876" s="12" t="n">
        <x:v>3940.0488</x:v>
      </x:c>
      <x:c r="D876" s="12" t="n">
        <x:v>3.2897</x:v>
      </x:c>
      <x:c r="E876" s="12" t="n">
        <x:v>0.03236787232915487</x:v>
      </x:c>
      <x:c r="F876" s="13" t="n">
        <x:v>43890</x:v>
      </x:c>
      <x:c r="G876" s="12" t="n">
        <x:v>5.06</x:v>
      </x:c>
      <x:c r="H876" s="12" t="n">
        <x:v>505.99999999999994</x:v>
      </x:c>
      <x:c r="I876" s="12" t="n">
        <x:v>1.9999999999999432</x:v>
      </x:c>
      <x:c r="J876" s="12" t="n">
        <x:v>2</x:v>
      </x:c>
    </x:row>
    <x:row r="877" ht="18" customHeight="1">
      <x:c r="A877" s="13" t="n">
        <x:v>43893</x:v>
      </x:c>
      <x:c r="B877" s="12" t="n">
        <x:v>4091.3615</x:v>
      </x:c>
      <x:c r="C877" s="12" t="n">
        <x:v>4069.6662</x:v>
      </x:c>
      <x:c r="D877" s="12" t="n">
        <x:v>0.5331</x:v>
      </x:c>
      <x:c r="E877" s="12" t="n">
        <x:v>0.0053168183972415635</x:v>
      </x:c>
      <x:c r="F877" s="13" t="n">
        <x:v>43892</x:v>
      </x:c>
      <x:c r="G877" s="12" t="n">
        <x:v>4.97</x:v>
      </x:c>
      <x:c r="H877" s="12" t="n">
        <x:v>497</x:v>
      </x:c>
      <x:c r="I877" s="12" t="n">
        <x:v>-8.999999999999943</x:v>
      </x:c>
      <x:c r="J877" s="12" t="n">
        <x:v>1</x:v>
      </x:c>
    </x:row>
    <x:row r="878" ht="18" customHeight="1">
      <x:c r="A878" s="13" t="n">
        <x:v>43894</x:v>
      </x:c>
      <x:c r="B878" s="12" t="n">
        <x:v>4115.0524</x:v>
      </x:c>
      <x:c r="C878" s="12" t="n">
        <x:v>4091.3615</x:v>
      </x:c>
      <x:c r="D878" s="12" t="n">
        <x:v>0.579</x:v>
      </x:c>
      <x:c r="E878" s="12" t="n">
        <x:v>0.005773768201984381</x:v>
      </x:c>
      <x:c r="F878" s="13" t="n">
        <x:v>43893</x:v>
      </x:c>
      <x:c r="G878" s="12" t="n">
        <x:v>4.84</x:v>
      </x:c>
      <x:c r="H878" s="12" t="n">
        <x:v>484</x:v>
      </x:c>
      <x:c r="I878" s="12" t="n">
        <x:v>-13</x:v>
      </x:c>
      <x:c r="J878" s="12" t="n">
        <x:v>1</x:v>
      </x:c>
    </x:row>
    <x:row r="879" ht="18" customHeight="1">
      <x:c r="A879" s="13" t="n">
        <x:v>43895</x:v>
      </x:c>
      <x:c r="B879" s="12" t="n">
        <x:v>4206.7251</x:v>
      </x:c>
      <x:c r="C879" s="12" t="n">
        <x:v>4115.0524</x:v>
      </x:c>
      <x:c r="D879" s="12" t="n">
        <x:v>2.2277</x:v>
      </x:c>
      <x:c r="E879" s="12" t="n">
        <x:v>0.02203289104992335</x:v>
      </x:c>
      <x:c r="F879" s="13" t="n">
        <x:v>43894</x:v>
      </x:c>
      <x:c r="G879" s="12" t="n">
        <x:v>4.75</x:v>
      </x:c>
      <x:c r="H879" s="12" t="n">
        <x:v>475</x:v>
      </x:c>
      <x:c r="I879" s="12" t="n">
        <x:v>-9</x:v>
      </x:c>
      <x:c r="J879" s="12" t="n">
        <x:v>1</x:v>
      </x:c>
    </x:row>
    <x:row r="880" ht="18" customHeight="1">
      <x:c r="A880" s="13" t="n">
        <x:v>43896</x:v>
      </x:c>
      <x:c r="B880" s="12" t="n">
        <x:v>4138.5072</x:v>
      </x:c>
      <x:c r="C880" s="12" t="n">
        <x:v>4206.7251</x:v>
      </x:c>
      <x:c r="D880" s="12" t="n">
        <x:v>-1.6216</x:v>
      </x:c>
      <x:c r="E880" s="12" t="n">
        <x:v>-0.016349315895662495</x:v>
      </x:c>
      <x:c r="F880" s="13" t="n">
        <x:v>43895</x:v>
      </x:c>
      <x:c r="G880" s="12" t="n">
        <x:v>5.05</x:v>
      </x:c>
      <x:c r="H880" s="12" t="n">
        <x:v>505</x:v>
      </x:c>
      <x:c r="I880" s="12" t="n">
        <x:v>30</x:v>
      </x:c>
      <x:c r="J880" s="12" t="n">
        <x:v>1</x:v>
      </x:c>
    </x:row>
    <x:row r="881" ht="18" customHeight="1">
      <x:c r="A881" s="13" t="n">
        <x:v>43899</x:v>
      </x:c>
      <x:c r="B881" s="12" t="n">
        <x:v>3997.1325</x:v>
      </x:c>
      <x:c r="C881" s="12" t="n">
        <x:v>4138.5072</x:v>
      </x:c>
      <x:c r="D881" s="12" t="n">
        <x:v>-3.4161</x:v>
      </x:c>
      <x:c r="E881" s="12" t="n">
        <x:v>-0.034757914060444206</x:v>
      </x:c>
      <x:c r="F881" s="13" t="n">
        <x:v>43896</x:v>
      </x:c>
      <x:c r="G881" s="12" t="n">
        <x:v>5.64</x:v>
      </x:c>
      <x:c r="H881" s="12" t="n">
        <x:v>564</x:v>
      </x:c>
      <x:c r="I881" s="12" t="n">
        <x:v>59</x:v>
      </x:c>
      <x:c r="J881" s="12" t="n">
        <x:v>3</x:v>
      </x:c>
    </x:row>
    <x:row r="882" ht="18" customHeight="1">
      <x:c r="A882" s="13" t="n">
        <x:v>43900</x:v>
      </x:c>
      <x:c r="B882" s="12" t="n">
        <x:v>4082.7315</x:v>
      </x:c>
      <x:c r="C882" s="12" t="n">
        <x:v>3997.1325</x:v>
      </x:c>
      <x:c r="D882" s="12" t="n">
        <x:v>2.1415</x:v>
      </x:c>
      <x:c r="E882" s="12" t="n">
        <x:v>0.02118902066274294</x:v>
      </x:c>
      <x:c r="F882" s="13" t="n">
        <x:v>43899</x:v>
      </x:c>
      <x:c r="G882" s="12" t="n">
        <x:v>6.68</x:v>
      </x:c>
      <x:c r="H882" s="12" t="n">
        <x:v>668</x:v>
      </x:c>
      <x:c r="I882" s="12" t="n">
        <x:v>104</x:v>
      </x:c>
      <x:c r="J882" s="12" t="n">
        <x:v>1</x:v>
      </x:c>
    </x:row>
    <x:row r="883" ht="18" customHeight="1">
      <x:c r="A883" s="13" t="n">
        <x:v>43901</x:v>
      </x:c>
      <x:c r="B883" s="12" t="n">
        <x:v>4028.4289</x:v>
      </x:c>
      <x:c r="C883" s="12" t="n">
        <x:v>4082.7315</x:v>
      </x:c>
      <x:c r="D883" s="12" t="n">
        <x:v>-1.3301</x:v>
      </x:c>
      <x:c r="E883" s="12" t="n">
        <x:v>-0.013389800874618088</x:v>
      </x:c>
      <x:c r="F883" s="13" t="n">
        <x:v>43900</x:v>
      </x:c>
      <x:c r="G883" s="12" t="n">
        <x:v>6.38</x:v>
      </x:c>
      <x:c r="H883" s="12" t="n">
        <x:v>638</x:v>
      </x:c>
      <x:c r="I883" s="12" t="n">
        <x:v>-30</x:v>
      </x:c>
      <x:c r="J883" s="12" t="n">
        <x:v>1</x:v>
      </x:c>
    </x:row>
    <x:row r="884" ht="18" customHeight="1">
      <x:c r="A884" s="13" t="n">
        <x:v>43902</x:v>
      </x:c>
      <x:c r="B884" s="12" t="n">
        <x:v>3950.9111</x:v>
      </x:c>
      <x:c r="C884" s="12" t="n">
        <x:v>4028.4289</x:v>
      </x:c>
      <x:c r="D884" s="12" t="n">
        <x:v>-1.9243</x:v>
      </x:c>
      <x:c r="E884" s="12" t="n">
        <x:v>-0.01943023828690416</x:v>
      </x:c>
      <x:c r="F884" s="13" t="n">
        <x:v>43901</x:v>
      </x:c>
      <x:c r="G884" s="12" t="n">
        <x:v>6.61</x:v>
      </x:c>
      <x:c r="H884" s="12" t="n">
        <x:v>661</x:v>
      </x:c>
      <x:c r="I884" s="12" t="n">
        <x:v>23</x:v>
      </x:c>
      <x:c r="J884" s="12" t="n">
        <x:v>1</x:v>
      </x:c>
    </x:row>
    <x:row r="885" ht="18" customHeight="1">
      <x:c r="A885" s="13" t="n">
        <x:v>43903</x:v>
      </x:c>
      <x:c r="B885" s="12" t="n">
        <x:v>3895.3128</x:v>
      </x:c>
      <x:c r="C885" s="12" t="n">
        <x:v>3950.9111</x:v>
      </x:c>
      <x:c r="D885" s="12" t="n">
        <x:v>-1.4072</x:v>
      </x:c>
      <x:c r="E885" s="12" t="n">
        <x:v>-0.014172226357878227</x:v>
      </x:c>
      <x:c r="F885" s="13" t="n">
        <x:v>43902</x:v>
      </x:c>
      <x:c r="G885" s="12" t="n">
        <x:v>7.42</x:v>
      </x:c>
      <x:c r="H885" s="12" t="n">
        <x:v>742</x:v>
      </x:c>
      <x:c r="I885" s="12" t="n">
        <x:v>81</x:v>
      </x:c>
      <x:c r="J885" s="12" t="n">
        <x:v>1</x:v>
      </x:c>
    </x:row>
    <x:row r="886" ht="18" customHeight="1">
      <x:c r="A886" s="13" t="n">
        <x:v>43906</x:v>
      </x:c>
      <x:c r="B886" s="12" t="n">
        <x:v>3727.8398</x:v>
      </x:c>
      <x:c r="C886" s="12" t="n">
        <x:v>3895.3128</x:v>
      </x:c>
      <x:c r="D886" s="12" t="n">
        <x:v>-4.2993</x:v>
      </x:c>
      <x:c r="E886" s="12" t="n">
        <x:v>-0.043945060388467926</x:v>
      </x:c>
      <x:c r="F886" s="13" t="n">
        <x:v>43903</x:v>
      </x:c>
      <x:c r="G886" s="12" t="n">
        <x:v>7.31</x:v>
      </x:c>
      <x:c r="H886" s="12" t="n">
        <x:v>731</x:v>
      </x:c>
      <x:c r="I886" s="12" t="n">
        <x:v>-11</x:v>
      </x:c>
      <x:c r="J886" s="12" t="n">
        <x:v>3</x:v>
      </x:c>
    </x:row>
    <x:row r="887" ht="18" customHeight="1">
      <x:c r="A887" s="13" t="n">
        <x:v>43907</x:v>
      </x:c>
      <x:c r="B887" s="12" t="n">
        <x:v>3709.6822</x:v>
      </x:c>
      <x:c r="C887" s="12" t="n">
        <x:v>3727.8398</x:v>
      </x:c>
      <x:c r="D887" s="12" t="n">
        <x:v>-0.4871</x:v>
      </x:c>
      <x:c r="E887" s="12" t="n">
        <x:v>-0.004882711224087619</x:v>
      </x:c>
      <x:c r="F887" s="13" t="n">
        <x:v>43906</x:v>
      </x:c>
      <x:c r="G887" s="12" t="n">
        <x:v>8.38</x:v>
      </x:c>
      <x:c r="H887" s="12" t="n">
        <x:v>838.0000000000001</x:v>
      </x:c>
      <x:c r="I887" s="12" t="n">
        <x:v>107.00000000000011</x:v>
      </x:c>
      <x:c r="J887" s="12" t="n">
        <x:v>1</x:v>
      </x:c>
    </x:row>
    <x:row r="888" ht="18" customHeight="1">
      <x:c r="A888" s="13" t="n">
        <x:v>43908</x:v>
      </x:c>
      <x:c r="B888" s="12" t="n">
        <x:v>3636.2565</x:v>
      </x:c>
      <x:c r="C888" s="12" t="n">
        <x:v>3709.6822</x:v>
      </x:c>
      <x:c r="D888" s="12" t="n">
        <x:v>-1.9793</x:v>
      </x:c>
      <x:c r="E888" s="12" t="n">
        <x:v>-0.01999149419138795</x:v>
      </x:c>
      <x:c r="F888" s="13" t="n">
        <x:v>43907</x:v>
      </x:c>
      <x:c r="G888" s="12" t="n">
        <x:v>8.41</x:v>
      </x:c>
      <x:c r="H888" s="12" t="n">
        <x:v>841</x:v>
      </x:c>
      <x:c r="I888" s="12" t="n">
        <x:v>2.9999999999998863</x:v>
      </x:c>
      <x:c r="J888" s="12" t="n">
        <x:v>1</x:v>
      </x:c>
    </x:row>
    <x:row r="889" ht="18" customHeight="1">
      <x:c r="A889" s="13" t="n">
        <x:v>43909</x:v>
      </x:c>
      <x:c r="B889" s="12" t="n">
        <x:v>3589.0926</x:v>
      </x:c>
      <x:c r="C889" s="12" t="n">
        <x:v>3636.2565</x:v>
      </x:c>
      <x:c r="D889" s="12" t="n">
        <x:v>-1.297</x:v>
      </x:c>
      <x:c r="E889" s="12" t="n">
        <x:v>-0.013055305490118364</x:v>
      </x:c>
      <x:c r="F889" s="13" t="n">
        <x:v>43908</x:v>
      </x:c>
      <x:c r="G889" s="12" t="n">
        <x:v>9.04</x:v>
      </x:c>
      <x:c r="H889" s="12" t="n">
        <x:v>903.9999999999999</x:v>
      </x:c>
      <x:c r="I889" s="12" t="n">
        <x:v>62.999999999999886</x:v>
      </x:c>
      <x:c r="J889" s="12" t="n">
        <x:v>1</x:v>
      </x:c>
    </x:row>
    <x:row r="890" ht="18" customHeight="1">
      <x:c r="A890" s="13" t="n">
        <x:v>43910</x:v>
      </x:c>
      <x:c r="B890" s="12" t="n">
        <x:v>3653.2239</x:v>
      </x:c>
      <x:c r="C890" s="12" t="n">
        <x:v>3589.0926</x:v>
      </x:c>
      <x:c r="D890" s="12" t="n">
        <x:v>1.7868</x:v>
      </x:c>
      <x:c r="E890" s="12" t="n">
        <x:v>0.01771062513213693</x:v>
      </x:c>
      <x:c r="F890" s="13" t="n">
        <x:v>43909</x:v>
      </x:c>
      <x:c r="G890" s="12" t="n">
        <x:v>9.82</x:v>
      </x:c>
      <x:c r="H890" s="12" t="n">
        <x:v>982</x:v>
      </x:c>
      <x:c r="I890" s="12" t="n">
        <x:v>78.00000000000011</x:v>
      </x:c>
      <x:c r="J890" s="12" t="n">
        <x:v>1</x:v>
      </x:c>
    </x:row>
    <x:row r="891" ht="18" customHeight="1">
      <x:c r="A891" s="13" t="n">
        <x:v>43913</x:v>
      </x:c>
      <x:c r="B891" s="12" t="n">
        <x:v>3530.3058</x:v>
      </x:c>
      <x:c r="C891" s="12" t="n">
        <x:v>3653.2239</x:v>
      </x:c>
      <x:c r="D891" s="12" t="n">
        <x:v>-3.3646</x:v>
      </x:c>
      <x:c r="E891" s="12" t="n">
        <x:v>-0.03422554193523279</x:v>
      </x:c>
      <x:c r="F891" s="13" t="n">
        <x:v>43910</x:v>
      </x:c>
      <x:c r="G891" s="12" t="n">
        <x:v>10.09</x:v>
      </x:c>
      <x:c r="H891" s="12" t="n">
        <x:v>1009</x:v>
      </x:c>
      <x:c r="I891" s="12" t="n">
        <x:v>27</x:v>
      </x:c>
      <x:c r="J891" s="12" t="n">
        <x:v>3</x:v>
      </x:c>
    </x:row>
    <x:row r="892" ht="18" customHeight="1">
      <x:c r="A892" s="13" t="n">
        <x:v>43914</x:v>
      </x:c>
      <x:c r="B892" s="12" t="n">
        <x:v>3625.1146</x:v>
      </x:c>
      <x:c r="C892" s="12" t="n">
        <x:v>3530.3058</x:v>
      </x:c>
      <x:c r="D892" s="12" t="n">
        <x:v>2.6856</x:v>
      </x:c>
      <x:c r="E892" s="12" t="n">
        <x:v>0.026501405511712626</x:v>
      </x:c>
      <x:c r="F892" s="13" t="n">
        <x:v>43913</x:v>
      </x:c>
      <x:c r="G892" s="12" t="n">
        <x:v>10.87</x:v>
      </x:c>
      <x:c r="H892" s="12" t="n">
        <x:v>1087</x:v>
      </x:c>
      <x:c r="I892" s="12" t="n">
        <x:v>78</x:v>
      </x:c>
      <x:c r="J892" s="12" t="n">
        <x:v>1</x:v>
      </x:c>
    </x:row>
    <x:row r="893" ht="18" customHeight="1">
      <x:c r="A893" s="13" t="n">
        <x:v>43915</x:v>
      </x:c>
      <x:c r="B893" s="12" t="n">
        <x:v>3722.5181</x:v>
      </x:c>
      <x:c r="C893" s="12" t="n">
        <x:v>3625.1146</x:v>
      </x:c>
      <x:c r="D893" s="12" t="n">
        <x:v>2.6869</x:v>
      </x:c>
      <x:c r="E893" s="12" t="n">
        <x:v>0.02651444628787693</x:v>
      </x:c>
      <x:c r="F893" s="13" t="n">
        <x:v>43914</x:v>
      </x:c>
      <x:c r="G893" s="12" t="n">
        <x:v>10.55</x:v>
      </x:c>
      <x:c r="H893" s="12" t="n">
        <x:v>1055</x:v>
      </x:c>
      <x:c r="I893" s="12" t="n">
        <x:v>-32</x:v>
      </x:c>
      <x:c r="J893" s="12" t="n">
        <x:v>1</x:v>
      </x:c>
    </x:row>
    <x:row r="894" ht="18" customHeight="1">
      <x:c r="A894" s="13" t="n">
        <x:v>43916</x:v>
      </x:c>
      <x:c r="B894" s="12" t="n">
        <x:v>3698.0472</x:v>
      </x:c>
      <x:c r="C894" s="12" t="n">
        <x:v>3722.5181</x:v>
      </x:c>
      <x:c r="D894" s="12" t="n">
        <x:v>-0.6574</x:v>
      </x:c>
      <x:c r="E894" s="12" t="n">
        <x:v>-0.006595451348404441</x:v>
      </x:c>
      <x:c r="F894" s="13" t="n">
        <x:v>43915</x:v>
      </x:c>
      <x:c r="G894" s="12" t="n">
        <x:v>10.11</x:v>
      </x:c>
      <x:c r="H894" s="12" t="n">
        <x:v>1011</x:v>
      </x:c>
      <x:c r="I894" s="12" t="n">
        <x:v>-44</x:v>
      </x:c>
      <x:c r="J894" s="12" t="n">
        <x:v>1</x:v>
      </x:c>
    </x:row>
    <x:row r="895" ht="18" customHeight="1">
      <x:c r="A895" s="13" t="n">
        <x:v>43917</x:v>
      </x:c>
      <x:c r="B895" s="12" t="n">
        <x:v>3710.0605</x:v>
      </x:c>
      <x:c r="C895" s="12" t="n">
        <x:v>3698.0472</x:v>
      </x:c>
      <x:c r="D895" s="12" t="n">
        <x:v>0.3249</x:v>
      </x:c>
      <x:c r="E895" s="12" t="n">
        <x:v>0.0032432872245010047</x:v>
      </x:c>
      <x:c r="F895" s="13" t="n">
        <x:v>43916</x:v>
      </x:c>
      <x:c r="G895" s="12" t="n">
        <x:v>9.29</x:v>
      </x:c>
      <x:c r="H895" s="12" t="n">
        <x:v>928.9999999999999</x:v>
      </x:c>
      <x:c r="I895" s="12" t="n">
        <x:v>-82.00000000000011</x:v>
      </x:c>
      <x:c r="J895" s="12" t="n">
        <x:v>1</x:v>
      </x:c>
    </x:row>
    <x:row r="896" ht="18" customHeight="1">
      <x:c r="A896" s="13" t="n">
        <x:v>43920</x:v>
      </x:c>
      <x:c r="B896" s="12" t="n">
        <x:v>3674.1108</x:v>
      </x:c>
      <x:c r="C896" s="12" t="n">
        <x:v>3710.0605</x:v>
      </x:c>
      <x:c r="D896" s="12" t="n">
        <x:v>-0.969</x:v>
      </x:c>
      <x:c r="E896" s="12" t="n">
        <x:v>-0.009737039559729033</x:v>
      </x:c>
      <x:c r="F896" s="13" t="n">
        <x:v>43917</x:v>
      </x:c>
      <x:c r="G896" s="12" t="n">
        <x:v>8.99</x:v>
      </x:c>
      <x:c r="H896" s="12" t="n">
        <x:v>899</x:v>
      </x:c>
      <x:c r="I896" s="12" t="n">
        <x:v>-29.999999999999886</x:v>
      </x:c>
      <x:c r="J896" s="12" t="n">
        <x:v>3</x:v>
      </x:c>
    </x:row>
    <x:row r="897" ht="18" customHeight="1">
      <x:c r="A897" s="13" t="n">
        <x:v>43921</x:v>
      </x:c>
      <x:c r="B897" s="12" t="n">
        <x:v>3686.1551</x:v>
      </x:c>
      <x:c r="C897" s="12" t="n">
        <x:v>3674.1108</x:v>
      </x:c>
      <x:c r="D897" s="12" t="n">
        <x:v>0.3278</x:v>
      </x:c>
      <x:c r="E897" s="12" t="n">
        <x:v>0.003272792291569129</x:v>
      </x:c>
      <x:c r="F897" s="13" t="n">
        <x:v>43920</x:v>
      </x:c>
      <x:c r="G897" s="12" t="n">
        <x:v>8.82</x:v>
      </x:c>
      <x:c r="H897" s="12" t="n">
        <x:v>882</x:v>
      </x:c>
      <x:c r="I897" s="12" t="n">
        <x:v>-17</x:v>
      </x:c>
      <x:c r="J897" s="12" t="n">
        <x:v>1</x:v>
      </x:c>
    </x:row>
    <x:row r="898" ht="18" customHeight="1">
      <x:c r="A898" s="13" t="n">
        <x:v>43922</x:v>
      </x:c>
      <x:c r="B898" s="12" t="n">
        <x:v>3675.0758</x:v>
      </x:c>
      <x:c r="C898" s="12" t="n">
        <x:v>3686.1551</x:v>
      </x:c>
      <x:c r="D898" s="12" t="n">
        <x:v>-0.3006</x:v>
      </x:c>
      <x:c r="E898" s="12" t="n">
        <x:v>-0.003010178193419536</x:v>
      </x:c>
      <x:c r="F898" s="13" t="n">
        <x:v>43921</x:v>
      </x:c>
      <x:c r="G898" s="12" t="n">
        <x:v>8.77</x:v>
      </x:c>
      <x:c r="H898" s="12" t="n">
        <x:v>877</x:v>
      </x:c>
      <x:c r="I898" s="12" t="n">
        <x:v>-5</x:v>
      </x:c>
      <x:c r="J898" s="12" t="n">
        <x:v>1</x:v>
      </x:c>
    </x:row>
    <x:row r="899" ht="18" customHeight="1">
      <x:c r="A899" s="13" t="n">
        <x:v>43923</x:v>
      </x:c>
      <x:c r="B899" s="12" t="n">
        <x:v>3734.5306</x:v>
      </x:c>
      <x:c r="C899" s="12" t="n">
        <x:v>3675.0758</x:v>
      </x:c>
      <x:c r="D899" s="12" t="n">
        <x:v>1.6178</x:v>
      </x:c>
      <x:c r="E899" s="12" t="n">
        <x:v>0.016048376346972232</x:v>
      </x:c>
      <x:c r="F899" s="13" t="n">
        <x:v>43922</x:v>
      </x:c>
      <x:c r="G899" s="12" t="n">
        <x:v>9.11</x:v>
      </x:c>
      <x:c r="H899" s="12" t="n">
        <x:v>911</x:v>
      </x:c>
      <x:c r="I899" s="12" t="n">
        <x:v>34</x:v>
      </x:c>
      <x:c r="J899" s="12" t="n">
        <x:v>1</x:v>
      </x:c>
    </x:row>
    <x:row r="900" ht="18" customHeight="1">
      <x:c r="A900" s="13" t="n">
        <x:v>43924</x:v>
      </x:c>
      <x:c r="B900" s="12" t="n">
        <x:v>3713.2183</x:v>
      </x:c>
      <x:c r="C900" s="12" t="n">
        <x:v>3734.5306</x:v>
      </x:c>
      <x:c r="D900" s="12" t="n">
        <x:v>-0.5707</x:v>
      </x:c>
      <x:c r="E900" s="12" t="n">
        <x:v>-0.005723167754230772</x:v>
      </x:c>
      <x:c r="F900" s="13" t="n">
        <x:v>43923</x:v>
      </x:c>
      <x:c r="G900" s="12" t="n">
        <x:v>9.17</x:v>
      </x:c>
      <x:c r="H900" s="12" t="n">
        <x:v>917</x:v>
      </x:c>
      <x:c r="I900" s="12" t="n">
        <x:v>6</x:v>
      </x:c>
      <x:c r="J900" s="12" t="n">
        <x:v>1</x:v>
      </x:c>
    </x:row>
    <x:row r="901" ht="18" customHeight="1">
      <x:c r="A901" s="13" t="n">
        <x:v>43928</x:v>
      </x:c>
      <x:c r="B901" s="12" t="n">
        <x:v>3798.0214</x:v>
      </x:c>
      <x:c r="C901" s="12" t="n">
        <x:v>3713.2183</x:v>
      </x:c>
      <x:c r="D901" s="12" t="n">
        <x:v>2.2838</x:v>
      </x:c>
      <x:c r="E901" s="12" t="n">
        <x:v>0.02258128002354555</x:v>
      </x:c>
      <x:c r="F901" s="13" t="n">
        <x:v>43927</x:v>
      </x:c>
      <x:c r="G901" s="12" t="n">
        <x:v>9.26</x:v>
      </x:c>
      <x:c r="H901" s="12" t="n">
        <x:v>926</x:v>
      </x:c>
      <x:c r="I901" s="12" t="n">
        <x:v>-17</x:v>
      </x:c>
      <x:c r="J901" s="12" t="n">
        <x:v>1</x:v>
      </x:c>
    </x:row>
    <x:row r="902" ht="18" customHeight="1">
      <x:c r="A902" s="13" t="n">
        <x:v>43929</x:v>
      </x:c>
      <x:c r="B902" s="12" t="n">
        <x:v>3780.3445</x:v>
      </x:c>
      <x:c r="C902" s="12" t="n">
        <x:v>3798.0214</x:v>
      </x:c>
      <x:c r="D902" s="12" t="n">
        <x:v>-0.4654</x:v>
      </x:c>
      <x:c r="E902" s="12" t="n">
        <x:v>-0.00466510387385904</x:v>
      </x:c>
      <x:c r="F902" s="13" t="n">
        <x:v>43928</x:v>
      </x:c>
      <x:c r="G902" s="12" t="n">
        <x:v>8.88</x:v>
      </x:c>
      <x:c r="H902" s="12" t="n">
        <x:v>888.0000000000001</x:v>
      </x:c>
      <x:c r="I902" s="12" t="n">
        <x:v>-37.999999999999886</x:v>
      </x:c>
      <x:c r="J902" s="12" t="n">
        <x:v>1</x:v>
      </x:c>
    </x:row>
    <x:row r="903" ht="18" customHeight="1">
      <x:c r="A903" s="13" t="n">
        <x:v>43930</x:v>
      </x:c>
      <x:c r="B903" s="12" t="n">
        <x:v>3792.8105</x:v>
      </x:c>
      <x:c r="C903" s="12" t="n">
        <x:v>3780.3445</x:v>
      </x:c>
      <x:c r="D903" s="12" t="n">
        <x:v>0.3298</x:v>
      </x:c>
      <x:c r="E903" s="12" t="n">
        <x:v>0.003292157960371772</x:v>
      </x:c>
      <x:c r="F903" s="13" t="n">
        <x:v>43929</x:v>
      </x:c>
      <x:c r="G903" s="12" t="n">
        <x:v>8.81</x:v>
      </x:c>
      <x:c r="H903" s="12" t="n">
        <x:v>881</x:v>
      </x:c>
      <x:c r="I903" s="12" t="n">
        <x:v>-7.000000000000114</x:v>
      </x:c>
      <x:c r="J903" s="12" t="n">
        <x:v>1</x:v>
      </x:c>
    </x:row>
    <x:row r="904" ht="18" customHeight="1">
      <x:c r="A904" s="13" t="n">
        <x:v>43931</x:v>
      </x:c>
      <x:c r="B904" s="12" t="n">
        <x:v>3769.1782</x:v>
      </x:c>
      <x:c r="C904" s="12" t="n">
        <x:v>3792.8105</x:v>
      </x:c>
      <x:c r="D904" s="12" t="n">
        <x:v>-0.6231</x:v>
      </x:c>
      <x:c r="E904" s="12" t="n">
        <x:v>-0.006250307392175125</x:v>
      </x:c>
      <x:c r="F904" s="13" t="n">
        <x:v>43930</x:v>
      </x:c>
      <x:c r="G904" s="12" t="n">
        <x:v>7.96</x:v>
      </x:c>
      <x:c r="H904" s="12" t="n">
        <x:v>796</x:v>
      </x:c>
      <x:c r="I904" s="12" t="n">
        <x:v>-85</x:v>
      </x:c>
      <x:c r="J904" s="12" t="n">
        <x:v>1</x:v>
      </x:c>
    </x:row>
    <x:row r="905" ht="18" customHeight="1">
      <x:c r="A905" s="13" t="n">
        <x:v>43934</x:v>
      </x:c>
      <x:c r="B905" s="12" t="n">
        <x:v>3753.2566</x:v>
      </x:c>
      <x:c r="C905" s="12" t="n">
        <x:v>3769.1782</x:v>
      </x:c>
      <x:c r="D905" s="12" t="n">
        <x:v>-0.4224</x:v>
      </x:c>
      <x:c r="E905" s="12" t="n">
        <x:v>-0.004233103828336165</x:v>
      </x:c>
      <x:c r="F905" s="13" t="n">
        <x:v>43930</x:v>
      </x:c>
      <x:c r="G905" s="12" t="n">
        <x:v>7.96</x:v>
      </x:c>
      <x:c r="H905" s="12" t="n">
        <x:v>796</x:v>
      </x:c>
      <x:c r="I905" s="12" t="n">
        <x:v>-85</x:v>
      </x:c>
      <x:c r="J905" s="12" t="n">
        <x:v>4</x:v>
      </x:c>
    </x:row>
    <x:row r="906" ht="18" customHeight="1">
      <x:c r="A906" s="13" t="n">
        <x:v>43935</x:v>
      </x:c>
      <x:c r="B906" s="12" t="n">
        <x:v>3825.6991</x:v>
      </x:c>
      <x:c r="C906" s="12" t="n">
        <x:v>3753.2566</x:v>
      </x:c>
      <x:c r="D906" s="12" t="n">
        <x:v>1.9301</x:v>
      </x:c>
      <x:c r="E906" s="12" t="n">
        <x:v>0.01911733203498188</x:v>
      </x:c>
      <x:c r="F906" s="13" t="n">
        <x:v>43934</x:v>
      </x:c>
      <x:c r="G906" s="12" t="n">
        <x:v>7.7</x:v>
      </x:c>
      <x:c r="H906" s="12" t="n">
        <x:v>770</x:v>
      </x:c>
      <x:c r="I906" s="12" t="n">
        <x:v>-26</x:v>
      </x:c>
      <x:c r="J906" s="12" t="n">
        <x:v>1</x:v>
      </x:c>
    </x:row>
    <x:row r="907" ht="18" customHeight="1">
      <x:c r="A907" s="13" t="n">
        <x:v>43936</x:v>
      </x:c>
      <x:c r="B907" s="12" t="n">
        <x:v>3797.3623</x:v>
      </x:c>
      <x:c r="C907" s="12" t="n">
        <x:v>3825.6991</x:v>
      </x:c>
      <x:c r="D907" s="12" t="n">
        <x:v>-0.7407</x:v>
      </x:c>
      <x:c r="E907" s="12" t="n">
        <x:v>-0.007434527687172356</x:v>
      </x:c>
      <x:c r="F907" s="13" t="n">
        <x:v>43935</x:v>
      </x:c>
      <x:c r="G907" s="12" t="n">
        <x:v>7.35</x:v>
      </x:c>
      <x:c r="H907" s="12" t="n">
        <x:v>735</x:v>
      </x:c>
      <x:c r="I907" s="12" t="n">
        <x:v>-35</x:v>
      </x:c>
      <x:c r="J907" s="12" t="n">
        <x:v>1</x:v>
      </x:c>
    </x:row>
    <x:row r="908" ht="18" customHeight="1">
      <x:c r="A908" s="13" t="n">
        <x:v>43937</x:v>
      </x:c>
      <x:c r="B908" s="12" t="n">
        <x:v>3802.3806</x:v>
      </x:c>
      <x:c r="C908" s="12" t="n">
        <x:v>3797.3623</x:v>
      </x:c>
      <x:c r="D908" s="12" t="n">
        <x:v>0.1322</x:v>
      </x:c>
      <x:c r="E908" s="12" t="n">
        <x:v>0.0013206501313025463</x:v>
      </x:c>
      <x:c r="F908" s="13" t="n">
        <x:v>43936</x:v>
      </x:c>
      <x:c r="G908" s="12" t="n">
        <x:v>7.64</x:v>
      </x:c>
      <x:c r="H908" s="12" t="n">
        <x:v>764</x:v>
      </x:c>
      <x:c r="I908" s="12" t="n">
        <x:v>29</x:v>
      </x:c>
      <x:c r="J908" s="12" t="n">
        <x:v>1</x:v>
      </x:c>
    </x:row>
    <x:row r="909" ht="18" customHeight="1">
      <x:c r="A909" s="13" t="n">
        <x:v>43938</x:v>
      </x:c>
      <x:c r="B909" s="12" t="n">
        <x:v>3839.4871</x:v>
      </x:c>
      <x:c r="C909" s="12" t="n">
        <x:v>3802.3806</x:v>
      </x:c>
      <x:c r="D909" s="12" t="n">
        <x:v>0.9759</x:v>
      </x:c>
      <x:c r="E909" s="12" t="n">
        <x:v>0.009711445706510577</x:v>
      </x:c>
      <x:c r="F909" s="13" t="n">
        <x:v>43937</x:v>
      </x:c>
      <x:c r="G909" s="12" t="n">
        <x:v>7.58</x:v>
      </x:c>
      <x:c r="H909" s="12" t="n">
        <x:v>758</x:v>
      </x:c>
      <x:c r="I909" s="12" t="n">
        <x:v>-6</x:v>
      </x:c>
      <x:c r="J909" s="12" t="n">
        <x:v>1</x:v>
      </x:c>
    </x:row>
    <x:row r="910" ht="18" customHeight="1">
      <x:c r="A910" s="13" t="n">
        <x:v>43941</x:v>
      </x:c>
      <x:c r="B910" s="12" t="n">
        <x:v>3853.4551</x:v>
      </x:c>
      <x:c r="C910" s="12" t="n">
        <x:v>3839.4871</x:v>
      </x:c>
      <x:c r="D910" s="12" t="n">
        <x:v>0.3638</x:v>
      </x:c>
      <x:c r="E910" s="12" t="n">
        <x:v>0.0036313844525207206</x:v>
      </x:c>
      <x:c r="F910" s="13" t="n">
        <x:v>43938</x:v>
      </x:c>
      <x:c r="G910" s="12" t="n">
        <x:v>7.31</x:v>
      </x:c>
      <x:c r="H910" s="12" t="n">
        <x:v>731</x:v>
      </x:c>
      <x:c r="I910" s="12" t="n">
        <x:v>-27</x:v>
      </x:c>
      <x:c r="J910" s="12" t="n">
        <x:v>3</x:v>
      </x:c>
    </x:row>
    <x:row r="911" ht="18" customHeight="1">
      <x:c r="A911" s="13" t="n">
        <x:v>43942</x:v>
      </x:c>
      <x:c r="B911" s="12" t="n">
        <x:v>3808.0474</x:v>
      </x:c>
      <x:c r="C911" s="12" t="n">
        <x:v>3853.4551</x:v>
      </x:c>
      <x:c r="D911" s="12" t="n">
        <x:v>-1.1784</x:v>
      </x:c>
      <x:c r="E911" s="12" t="n">
        <x:v>-0.011853610092220858</x:v>
      </x:c>
      <x:c r="F911" s="13" t="n">
        <x:v>43941</x:v>
      </x:c>
      <x:c r="G911" s="12" t="n">
        <x:v>7.52</x:v>
      </x:c>
      <x:c r="H911" s="12" t="n">
        <x:v>752</x:v>
      </x:c>
      <x:c r="I911" s="12" t="n">
        <x:v>21</x:v>
      </x:c>
      <x:c r="J911" s="12" t="n">
        <x:v>1</x:v>
      </x:c>
    </x:row>
    <x:row r="912" ht="18" customHeight="1">
      <x:c r="A912" s="13" t="n">
        <x:v>43943</x:v>
      </x:c>
      <x:c r="B912" s="12" t="n">
        <x:v>3839.3834</x:v>
      </x:c>
      <x:c r="C912" s="12" t="n">
        <x:v>3808.0474</x:v>
      </x:c>
      <x:c r="D912" s="12" t="n">
        <x:v>0.8229</x:v>
      </x:c>
      <x:c r="E912" s="12" t="n">
        <x:v>0.008195216459116533</x:v>
      </x:c>
      <x:c r="F912" s="13" t="n">
        <x:v>43942</x:v>
      </x:c>
      <x:c r="G912" s="12" t="n">
        <x:v>7.9</x:v>
      </x:c>
      <x:c r="H912" s="12" t="n">
        <x:v>790</x:v>
      </x:c>
      <x:c r="I912" s="12" t="n">
        <x:v>38</x:v>
      </x:c>
      <x:c r="J912" s="12" t="n">
        <x:v>1</x:v>
      </x:c>
    </x:row>
    <x:row r="913" ht="18" customHeight="1">
      <x:c r="A913" s="13" t="n">
        <x:v>43944</x:v>
      </x:c>
      <x:c r="B913" s="12" t="n">
        <x:v>3829.7525</x:v>
      </x:c>
      <x:c r="C913" s="12" t="n">
        <x:v>3839.3834</x:v>
      </x:c>
      <x:c r="D913" s="12" t="n">
        <x:v>-0.2508</x:v>
      </x:c>
      <x:c r="E913" s="12" t="n">
        <x:v>-0.0025116010951781896</x:v>
      </x:c>
      <x:c r="F913" s="13" t="n">
        <x:v>43943</x:v>
      </x:c>
      <x:c r="G913" s="12" t="n">
        <x:v>7.85</x:v>
      </x:c>
      <x:c r="H913" s="12" t="n">
        <x:v>785</x:v>
      </x:c>
      <x:c r="I913" s="12" t="n">
        <x:v>-5</x:v>
      </x:c>
      <x:c r="J913" s="12" t="n">
        <x:v>1</x:v>
      </x:c>
    </x:row>
    <x:row r="914" ht="18" customHeight="1">
      <x:c r="A914" s="13" t="n">
        <x:v>43945</x:v>
      </x:c>
      <x:c r="B914" s="12" t="n">
        <x:v>3796.9721</x:v>
      </x:c>
      <x:c r="C914" s="12" t="n">
        <x:v>3829.7525</x:v>
      </x:c>
      <x:c r="D914" s="12" t="n">
        <x:v>-0.8559</x:v>
      </x:c>
      <x:c r="E914" s="12" t="n">
        <x:v>-0.008596246378152223</x:v>
      </x:c>
      <x:c r="F914" s="13" t="n">
        <x:v>43944</x:v>
      </x:c>
      <x:c r="G914" s="12" t="n">
        <x:v>7.87</x:v>
      </x:c>
      <x:c r="H914" s="12" t="n">
        <x:v>787</x:v>
      </x:c>
      <x:c r="I914" s="12" t="n">
        <x:v>2</x:v>
      </x:c>
      <x:c r="J914" s="12" t="n">
        <x:v>1</x:v>
      </x:c>
    </x:row>
    <x:row r="915" ht="18" customHeight="1">
      <x:c r="A915" s="13" t="n">
        <x:v>43948</x:v>
      </x:c>
      <x:c r="B915" s="12" t="n">
        <x:v>3822.769</x:v>
      </x:c>
      <x:c r="C915" s="12" t="n">
        <x:v>3796.9721</x:v>
      </x:c>
      <x:c r="D915" s="12" t="n">
        <x:v>0.6794</x:v>
      </x:c>
      <x:c r="E915" s="12" t="n">
        <x:v>0.006771095821278923</x:v>
      </x:c>
      <x:c r="F915" s="13" t="n">
        <x:v>43945</x:v>
      </x:c>
      <x:c r="G915" s="12" t="n">
        <x:v>8.03</x:v>
      </x:c>
      <x:c r="H915" s="12" t="n">
        <x:v>802.9999999999999</x:v>
      </x:c>
      <x:c r="I915" s="12" t="n">
        <x:v>15.999999999999886</x:v>
      </x:c>
      <x:c r="J915" s="12" t="n">
        <x:v>3</x:v>
      </x:c>
    </x:row>
    <x:row r="916" ht="18" customHeight="1">
      <x:c r="A916" s="13" t="n">
        <x:v>43949</x:v>
      </x:c>
      <x:c r="B916" s="12" t="n">
        <x:v>3849.1465</x:v>
      </x:c>
      <x:c r="C916" s="12" t="n">
        <x:v>3822.769</x:v>
      </x:c>
      <x:c r="D916" s="12" t="n">
        <x:v>0.69</x:v>
      </x:c>
      <x:c r="E916" s="12" t="n">
        <x:v>0.006876406273812152</x:v>
      </x:c>
      <x:c r="F916" s="13" t="n">
        <x:v>43948</x:v>
      </x:c>
      <x:c r="G916" s="12" t="n">
        <x:v>8.01</x:v>
      </x:c>
      <x:c r="H916" s="12" t="n">
        <x:v>801</x:v>
      </x:c>
      <x:c r="I916" s="12" t="n">
        <x:v>-1.9999999999998863</x:v>
      </x:c>
      <x:c r="J916" s="12" t="n">
        <x:v>1</x:v>
      </x:c>
    </x:row>
    <x:row r="917" ht="18" customHeight="1">
      <x:c r="A917" s="13" t="n">
        <x:v>43950</x:v>
      </x:c>
      <x:c r="B917" s="12" t="n">
        <x:v>3867.032</x:v>
      </x:c>
      <x:c r="C917" s="12" t="n">
        <x:v>3849.1465</x:v>
      </x:c>
      <x:c r="D917" s="12" t="n">
        <x:v>0.4647</x:v>
      </x:c>
      <x:c r="E917" s="12" t="n">
        <x:v>0.004635852328096864</x:v>
      </x:c>
      <x:c r="F917" s="13" t="n">
        <x:v>43949</x:v>
      </x:c>
      <x:c r="G917" s="12" t="n">
        <x:v>8.02</x:v>
      </x:c>
      <x:c r="H917" s="12" t="n">
        <x:v>802</x:v>
      </x:c>
      <x:c r="I917" s="12" t="n">
        <x:v>1</x:v>
      </x:c>
      <x:c r="J917" s="12" t="n">
        <x:v>1</x:v>
      </x:c>
    </x:row>
    <x:row r="918" ht="18" customHeight="1">
      <x:c r="A918" s="13" t="n">
        <x:v>43951</x:v>
      </x:c>
      <x:c r="B918" s="12" t="n">
        <x:v>3912.5772</x:v>
      </x:c>
      <x:c r="C918" s="12" t="n">
        <x:v>3867.032</x:v>
      </x:c>
      <x:c r="D918" s="12" t="n">
        <x:v>1.1778</x:v>
      </x:c>
      <x:c r="E918" s="12" t="n">
        <x:v>0.011708999561383372</x:v>
      </x:c>
      <x:c r="F918" s="13" t="n">
        <x:v>43950</x:v>
      </x:c>
      <x:c r="G918" s="12" t="n">
        <x:v>7.87</x:v>
      </x:c>
      <x:c r="H918" s="12" t="n">
        <x:v>787</x:v>
      </x:c>
      <x:c r="I918" s="12" t="n">
        <x:v>-15</x:v>
      </x:c>
      <x:c r="J918" s="12" t="n">
        <x:v>1</x:v>
      </x:c>
    </x:row>
    <x:row r="919" ht="18" customHeight="1">
      <x:c r="A919" s="13" t="n">
        <x:v>43957</x:v>
      </x:c>
      <x:c r="B919" s="12" t="n">
        <x:v>3936.2539</x:v>
      </x:c>
      <x:c r="C919" s="12" t="n">
        <x:v>3912.5772</x:v>
      </x:c>
      <x:c r="D919" s="12" t="n">
        <x:v>0.6051</x:v>
      </x:c>
      <x:c r="E919" s="12" t="n">
        <x:v>0.006033196922335174</x:v>
      </x:c>
      <x:c r="F919" s="13" t="n">
        <x:v>43956</x:v>
      </x:c>
      <x:c r="G919" s="12" t="n">
        <x:v>7.6</x:v>
      </x:c>
      <x:c r="H919" s="12" t="n">
        <x:v>760</x:v>
      </x:c>
      <x:c r="I919" s="12" t="n">
        <x:v>-19</x:v>
      </x:c>
      <x:c r="J919" s="12" t="n">
        <x:v>1</x:v>
      </x:c>
    </x:row>
    <x:row r="920" ht="18" customHeight="1">
      <x:c r="A920" s="13" t="n">
        <x:v>43958</x:v>
      </x:c>
      <x:c r="B920" s="12" t="n">
        <x:v>3924.8946</x:v>
      </x:c>
      <x:c r="C920" s="12" t="n">
        <x:v>3936.2539</x:v>
      </x:c>
      <x:c r="D920" s="12" t="n">
        <x:v>-0.2886</x:v>
      </x:c>
      <x:c r="E920" s="12" t="n">
        <x:v>-0.0028899868527085043</x:v>
      </x:c>
      <x:c r="F920" s="13" t="n">
        <x:v>43957</x:v>
      </x:c>
      <x:c r="G920" s="12" t="n">
        <x:v>7.6</x:v>
      </x:c>
      <x:c r="H920" s="12" t="n">
        <x:v>760</x:v>
      </x:c>
      <x:c r="I920" s="12" t="n">
        <x:v>0</x:v>
      </x:c>
      <x:c r="J920" s="12" t="n">
        <x:v>1</x:v>
      </x:c>
    </x:row>
    <x:row r="921" ht="18" customHeight="1">
      <x:c r="A921" s="13" t="n">
        <x:v>43959</x:v>
      </x:c>
      <x:c r="B921" s="12" t="n">
        <x:v>3963.6217</x:v>
      </x:c>
      <x:c r="C921" s="12" t="n">
        <x:v>3924.8946</x:v>
      </x:c>
      <x:c r="D921" s="12" t="n">
        <x:v>0.9867</x:v>
      </x:c>
      <x:c r="E921" s="12" t="n">
        <x:v>0.009818680637865151</x:v>
      </x:c>
      <x:c r="F921" s="13" t="n">
        <x:v>43958</x:v>
      </x:c>
      <x:c r="G921" s="12" t="n">
        <x:v>7.6</x:v>
      </x:c>
      <x:c r="H921" s="12" t="n">
        <x:v>760</x:v>
      </x:c>
      <x:c r="I921" s="12" t="n">
        <x:v>0</x:v>
      </x:c>
      <x:c r="J921" s="12" t="n">
        <x:v>1</x:v>
      </x:c>
    </x:row>
    <x:row r="922" ht="18" customHeight="1">
      <x:c r="A922" s="13" t="n">
        <x:v>43962</x:v>
      </x:c>
      <x:c r="B922" s="12" t="n">
        <x:v>3960.1803</x:v>
      </x:c>
      <x:c r="C922" s="12" t="n">
        <x:v>3963.6217</x:v>
      </x:c>
      <x:c r="D922" s="12" t="n">
        <x:v>-0.0868</x:v>
      </x:c>
      <x:c r="E922" s="12" t="n">
        <x:v>-0.0008686234755437449</x:v>
      </x:c>
      <x:c r="F922" s="13" t="n">
        <x:v>43959</x:v>
      </x:c>
      <x:c r="G922" s="12" t="n">
        <x:v>7.52</x:v>
      </x:c>
      <x:c r="H922" s="12" t="n">
        <x:v>752</x:v>
      </x:c>
      <x:c r="I922" s="12" t="n">
        <x:v>-8</x:v>
      </x:c>
      <x:c r="J922" s="12" t="n">
        <x:v>3</x:v>
      </x:c>
    </x:row>
    <x:row r="923" ht="18" customHeight="1">
      <x:c r="A923" s="13" t="n">
        <x:v>43963</x:v>
      </x:c>
      <x:c r="B923" s="12" t="n">
        <x:v>3960.2378</x:v>
      </x:c>
      <x:c r="C923" s="12" t="n">
        <x:v>3960.1803</x:v>
      </x:c>
      <x:c r="D923" s="12" t="n">
        <x:v>0.0015</x:v>
      </x:c>
      <x:c r="E923" s="12" t="n">
        <x:v>0.000014519435533601591</x:v>
      </x:c>
      <x:c r="F923" s="13" t="n">
        <x:v>43962</x:v>
      </x:c>
      <x:c r="G923" s="12" t="n">
        <x:v>7.51</x:v>
      </x:c>
      <x:c r="H923" s="12" t="n">
        <x:v>751</x:v>
      </x:c>
      <x:c r="I923" s="12" t="n">
        <x:v>-1</x:v>
      </x:c>
      <x:c r="J923" s="12" t="n">
        <x:v>1</x:v>
      </x:c>
    </x:row>
    <x:row r="924" ht="18" customHeight="1">
      <x:c r="A924" s="13" t="n">
        <x:v>43964</x:v>
      </x:c>
      <x:c r="B924" s="12" t="n">
        <x:v>3968.2529</x:v>
      </x:c>
      <x:c r="C924" s="12" t="n">
        <x:v>3960.2378</x:v>
      </x:c>
      <x:c r="D924" s="12" t="n">
        <x:v>0.2024</x:v>
      </x:c>
      <x:c r="E924" s="12" t="n">
        <x:v>0.002021848302197205</x:v>
      </x:c>
      <x:c r="F924" s="13" t="n">
        <x:v>43963</x:v>
      </x:c>
      <x:c r="G924" s="12" t="n">
        <x:v>7.42</x:v>
      </x:c>
      <x:c r="H924" s="12" t="n">
        <x:v>742</x:v>
      </x:c>
      <x:c r="I924" s="12" t="n">
        <x:v>-9</x:v>
      </x:c>
      <x:c r="J924" s="12" t="n">
        <x:v>1</x:v>
      </x:c>
    </x:row>
    <x:row r="925" ht="18" customHeight="1">
      <x:c r="A925" s="13" t="n">
        <x:v>43965</x:v>
      </x:c>
      <x:c r="B925" s="12" t="n">
        <x:v>3925.2177</x:v>
      </x:c>
      <x:c r="C925" s="12" t="n">
        <x:v>3968.2529</x:v>
      </x:c>
      <x:c r="D925" s="12" t="n">
        <x:v>-1.0845</x:v>
      </x:c>
      <x:c r="E925" s="12" t="n">
        <x:v>-0.010904107606277304</x:v>
      </x:c>
      <x:c r="F925" s="13" t="n">
        <x:v>43964</x:v>
      </x:c>
      <x:c r="G925" s="12" t="n">
        <x:v>7.61</x:v>
      </x:c>
      <x:c r="H925" s="12" t="n">
        <x:v>761</x:v>
      </x:c>
      <x:c r="I925" s="12" t="n">
        <x:v>19</x:v>
      </x:c>
      <x:c r="J925" s="12" t="n">
        <x:v>1</x:v>
      </x:c>
    </x:row>
    <x:row r="926" ht="18" customHeight="1">
      <x:c r="A926" s="13" t="n">
        <x:v>43966</x:v>
      </x:c>
      <x:c r="B926" s="12" t="n">
        <x:v>3912.8159</x:v>
      </x:c>
      <x:c r="C926" s="12" t="n">
        <x:v>3925.2177</x:v>
      </x:c>
      <x:c r="D926" s="12" t="n">
        <x:v>-0.316</x:v>
      </x:c>
      <x:c r="E926" s="12" t="n">
        <x:v>-0.0031645208434674514</x:v>
      </x:c>
      <x:c r="F926" s="13" t="n">
        <x:v>43965</x:v>
      </x:c>
      <x:c r="G926" s="12" t="n">
        <x:v>7.77</x:v>
      </x:c>
      <x:c r="H926" s="12" t="n">
        <x:v>777</x:v>
      </x:c>
      <x:c r="I926" s="12" t="n">
        <x:v>16</x:v>
      </x:c>
      <x:c r="J926" s="12" t="n">
        <x:v>1</x:v>
      </x:c>
    </x:row>
    <x:row r="927" ht="18" customHeight="1">
      <x:c r="A927" s="13" t="n">
        <x:v>43969</x:v>
      </x:c>
      <x:c r="B927" s="12" t="n">
        <x:v>3922.9117</x:v>
      </x:c>
      <x:c r="C927" s="12" t="n">
        <x:v>3912.8159</x:v>
      </x:c>
      <x:c r="D927" s="12" t="n">
        <x:v>0.258</x:v>
      </x:c>
      <x:c r="E927" s="12" t="n">
        <x:v>0.0025768648686913405</x:v>
      </x:c>
      <x:c r="F927" s="13" t="n">
        <x:v>43966</x:v>
      </x:c>
      <x:c r="G927" s="12" t="n">
        <x:v>7.78</x:v>
      </x:c>
      <x:c r="H927" s="12" t="n">
        <x:v>778</x:v>
      </x:c>
      <x:c r="I927" s="12" t="n">
        <x:v>1</x:v>
      </x:c>
      <x:c r="J927" s="12" t="n">
        <x:v>3</x:v>
      </x:c>
    </x:row>
    <x:row r="928" ht="18" customHeight="1">
      <x:c r="A928" s="13" t="n">
        <x:v>43970</x:v>
      </x:c>
      <x:c r="B928" s="12" t="n">
        <x:v>3956.2495</x:v>
      </x:c>
      <x:c r="C928" s="12" t="n">
        <x:v>3922.9117</x:v>
      </x:c>
      <x:c r="D928" s="12" t="n">
        <x:v>0.8498</x:v>
      </x:c>
      <x:c r="E928" s="12" t="n">
        <x:v>0.008462321838410712</x:v>
      </x:c>
      <x:c r="F928" s="13" t="n">
        <x:v>43969</x:v>
      </x:c>
      <x:c r="G928" s="12" t="n">
        <x:v>7.41</x:v>
      </x:c>
      <x:c r="H928" s="12" t="n">
        <x:v>741</x:v>
      </x:c>
      <x:c r="I928" s="12" t="n">
        <x:v>-37</x:v>
      </x:c>
      <x:c r="J928" s="12" t="n">
        <x:v>1</x:v>
      </x:c>
    </x:row>
    <x:row r="929" ht="18" customHeight="1">
      <x:c r="A929" s="13" t="n">
        <x:v>43971</x:v>
      </x:c>
      <x:c r="B929" s="12" t="n">
        <x:v>3935.222</x:v>
      </x:c>
      <x:c r="C929" s="12" t="n">
        <x:v>3956.2495</x:v>
      </x:c>
      <x:c r="D929" s="12" t="n">
        <x:v>-0.5315</x:v>
      </x:c>
      <x:c r="E929" s="12" t="n">
        <x:v>-0.005329183477480376</x:v>
      </x:c>
      <x:c r="F929" s="13" t="n">
        <x:v>43970</x:v>
      </x:c>
      <x:c r="G929" s="12" t="n">
        <x:v>7.35</x:v>
      </x:c>
      <x:c r="H929" s="12" t="n">
        <x:v>735</x:v>
      </x:c>
      <x:c r="I929" s="12" t="n">
        <x:v>-6</x:v>
      </x:c>
      <x:c r="J929" s="12" t="n">
        <x:v>1</x:v>
      </x:c>
    </x:row>
    <x:row r="930" ht="18" customHeight="1">
      <x:c r="A930" s="13" t="n">
        <x:v>43972</x:v>
      </x:c>
      <x:c r="B930" s="12" t="n">
        <x:v>3913.7949</x:v>
      </x:c>
      <x:c r="C930" s="12" t="n">
        <x:v>3935.222</x:v>
      </x:c>
      <x:c r="D930" s="12" t="n">
        <x:v>-0.5445</x:v>
      </x:c>
      <x:c r="E930" s="12" t="n">
        <x:v>-0.005459831084839416</x:v>
      </x:c>
      <x:c r="F930" s="13" t="n">
        <x:v>43971</x:v>
      </x:c>
      <x:c r="G930" s="12" t="n">
        <x:v>7.16</x:v>
      </x:c>
      <x:c r="H930" s="12" t="n">
        <x:v>716</x:v>
      </x:c>
      <x:c r="I930" s="12" t="n">
        <x:v>-19</x:v>
      </x:c>
      <x:c r="J930" s="12" t="n">
        <x:v>1</x:v>
      </x:c>
    </x:row>
    <x:row r="931" ht="18" customHeight="1">
      <x:c r="A931" s="13" t="n">
        <x:v>43973</x:v>
      </x:c>
      <x:c r="B931" s="12" t="n">
        <x:v>3824.064</x:v>
      </x:c>
      <x:c r="C931" s="12" t="n">
        <x:v>3913.7949</x:v>
      </x:c>
      <x:c r="D931" s="12" t="n">
        <x:v>-2.2927</x:v>
      </x:c>
      <x:c r="E931" s="12" t="n">
        <x:v>-0.023193734514938474</x:v>
      </x:c>
      <x:c r="F931" s="13" t="n">
        <x:v>43972</x:v>
      </x:c>
      <x:c r="G931" s="12" t="n">
        <x:v>7.08</x:v>
      </x:c>
      <x:c r="H931" s="12" t="n">
        <x:v>708</x:v>
      </x:c>
      <x:c r="I931" s="12" t="n">
        <x:v>-8</x:v>
      </x:c>
      <x:c r="J931" s="12" t="n">
        <x:v>1</x:v>
      </x:c>
    </x:row>
    <x:row r="932" ht="18" customHeight="1">
      <x:c r="A932" s="13" t="n">
        <x:v>43976</x:v>
      </x:c>
      <x:c r="B932" s="12" t="n">
        <x:v>3829.3245</x:v>
      </x:c>
      <x:c r="C932" s="12" t="n">
        <x:v>3824.064</x:v>
      </x:c>
      <x:c r="D932" s="12" t="n">
        <x:v>0.1376</x:v>
      </x:c>
      <x:c r="E932" s="12" t="n">
        <x:v>0.0013746854294471086</x:v>
      </x:c>
      <x:c r="F932" s="13" t="n">
        <x:v>43973</x:v>
      </x:c>
      <x:c r="G932" s="12" t="n">
        <x:v>7.06</x:v>
      </x:c>
      <x:c r="H932" s="12" t="n">
        <x:v>706</x:v>
      </x:c>
      <x:c r="I932" s="12" t="n">
        <x:v>-2</x:v>
      </x:c>
      <x:c r="J932" s="12" t="n">
        <x:v>3</x:v>
      </x:c>
    </x:row>
    <x:row r="933" ht="18" customHeight="1">
      <x:c r="A933" s="13" t="n">
        <x:v>43977</x:v>
      </x:c>
      <x:c r="B933" s="12" t="n">
        <x:v>3872.7701</x:v>
      </x:c>
      <x:c r="C933" s="12" t="n">
        <x:v>3829.3245</x:v>
      </x:c>
      <x:c r="D933" s="12" t="n">
        <x:v>1.1345</x:v>
      </x:c>
      <x:c r="E933" s="12" t="n">
        <x:v>0.01128162222103003</x:v>
      </x:c>
      <x:c r="F933" s="13" t="n">
        <x:v>43976</x:v>
      </x:c>
      <x:c r="G933" s="12" t="n">
        <x:v>7.06</x:v>
      </x:c>
      <x:c r="H933" s="12" t="n">
        <x:v>706</x:v>
      </x:c>
      <x:c r="I933" s="12" t="n">
        <x:v>0</x:v>
      </x:c>
      <x:c r="J933" s="12" t="n">
        <x:v>1</x:v>
      </x:c>
    </x:row>
    <x:row r="934" ht="18" customHeight="1">
      <x:c r="A934" s="13" t="n">
        <x:v>43978</x:v>
      </x:c>
      <x:c r="B934" s="12" t="n">
        <x:v>3845.6135</x:v>
      </x:c>
      <x:c r="C934" s="12" t="n">
        <x:v>3872.7701</x:v>
      </x:c>
      <x:c r="D934" s="12" t="n">
        <x:v>-0.7012</x:v>
      </x:c>
      <x:c r="E934" s="12" t="n">
        <x:v>-0.007036891004288614</x:v>
      </x:c>
      <x:c r="F934" s="13" t="n">
        <x:v>43977</x:v>
      </x:c>
      <x:c r="G934" s="12" t="n">
        <x:v>6.75</x:v>
      </x:c>
      <x:c r="H934" s="12" t="n">
        <x:v>675</x:v>
      </x:c>
      <x:c r="I934" s="12" t="n">
        <x:v>-31</x:v>
      </x:c>
      <x:c r="J934" s="12" t="n">
        <x:v>1</x:v>
      </x:c>
    </x:row>
    <x:row r="935" ht="18" customHeight="1">
      <x:c r="A935" s="13" t="n">
        <x:v>43979</x:v>
      </x:c>
      <x:c r="B935" s="12" t="n">
        <x:v>3856.6324</x:v>
      </x:c>
      <x:c r="C935" s="12" t="n">
        <x:v>3845.6135</x:v>
      </x:c>
      <x:c r="D935" s="12" t="n">
        <x:v>0.2865</x:v>
      </x:c>
      <x:c r="E935" s="12" t="n">
        <x:v>0.002861219353501663</x:v>
      </x:c>
      <x:c r="F935" s="13" t="n">
        <x:v>43978</x:v>
      </x:c>
      <x:c r="G935" s="12" t="n">
        <x:v>6.7</x:v>
      </x:c>
      <x:c r="H935" s="12" t="n">
        <x:v>670</x:v>
      </x:c>
      <x:c r="I935" s="12" t="n">
        <x:v>-5</x:v>
      </x:c>
      <x:c r="J935" s="12" t="n">
        <x:v>1</x:v>
      </x:c>
    </x:row>
    <x:row r="936" ht="18" customHeight="1">
      <x:c r="A936" s="13" t="n">
        <x:v>43980</x:v>
      </x:c>
      <x:c r="B936" s="12" t="n">
        <x:v>3867.0232</x:v>
      </x:c>
      <x:c r="C936" s="12" t="n">
        <x:v>3856.6324</x:v>
      </x:c>
      <x:c r="D936" s="12" t="n">
        <x:v>0.2694</x:v>
      </x:c>
      <x:c r="E936" s="12" t="n">
        <x:v>0.0026906446394998444</x:v>
      </x:c>
      <x:c r="F936" s="13" t="n">
        <x:v>43979</x:v>
      </x:c>
      <x:c r="G936" s="12" t="n">
        <x:v>6.6</x:v>
      </x:c>
      <x:c r="H936" s="12" t="n">
        <x:v>660</x:v>
      </x:c>
      <x:c r="I936" s="12" t="n">
        <x:v>-10</x:v>
      </x:c>
      <x:c r="J936" s="12" t="n">
        <x:v>1</x:v>
      </x:c>
    </x:row>
    <x:row r="937" ht="18" customHeight="1">
      <x:c r="A937" s="13" t="n">
        <x:v>43983</x:v>
      </x:c>
      <x:c r="B937" s="12" t="n">
        <x:v>3971.3402</x:v>
      </x:c>
      <x:c r="C937" s="12" t="n">
        <x:v>3867.0232</x:v>
      </x:c>
      <x:c r="D937" s="12" t="n">
        <x:v>2.6976</x:v>
      </x:c>
      <x:c r="E937" s="12" t="n">
        <x:v>0.026618607505175626</x:v>
      </x:c>
      <x:c r="F937" s="13" t="n">
        <x:v>43982</x:v>
      </x:c>
      <x:c r="G937" s="12" t="n">
        <x:v>6.54</x:v>
      </x:c>
      <x:c r="H937" s="12" t="n">
        <x:v>654</x:v>
      </x:c>
      <x:c r="I937" s="12" t="n">
        <x:v>-17</x:v>
      </x:c>
      <x:c r="J937" s="12" t="n">
        <x:v>1</x:v>
      </x:c>
    </x:row>
    <x:row r="938" ht="18" customHeight="1">
      <x:c r="A938" s="13" t="n">
        <x:v>43984</x:v>
      </x:c>
      <x:c r="B938" s="12" t="n">
        <x:v>3983.5677</x:v>
      </x:c>
      <x:c r="C938" s="12" t="n">
        <x:v>3971.3402</x:v>
      </x:c>
      <x:c r="D938" s="12" t="n">
        <x:v>0.3079</x:v>
      </x:c>
      <x:c r="E938" s="12" t="n">
        <x:v>0.003074205203533941</x:v>
      </x:c>
      <x:c r="F938" s="13" t="n">
        <x:v>43983</x:v>
      </x:c>
      <x:c r="G938" s="12" t="n">
        <x:v>6.43</x:v>
      </x:c>
      <x:c r="H938" s="12" t="n">
        <x:v>643</x:v>
      </x:c>
      <x:c r="I938" s="12" t="n">
        <x:v>-11</x:v>
      </x:c>
      <x:c r="J938" s="12" t="n">
        <x:v>1</x:v>
      </x:c>
    </x:row>
    <x:row r="939" ht="18" customHeight="1">
      <x:c r="A939" s="13" t="n">
        <x:v>43985</x:v>
      </x:c>
      <x:c r="B939" s="12" t="n">
        <x:v>3983.6477</x:v>
      </x:c>
      <x:c r="C939" s="12" t="n">
        <x:v>3983.5677</x:v>
      </x:c>
      <x:c r="D939" s="12" t="n">
        <x:v>0.002</x:v>
      </x:c>
      <x:c r="E939" s="12" t="n">
        <x:v>0.00002008229876724991</x:v>
      </x:c>
      <x:c r="F939" s="13" t="n">
        <x:v>43984</x:v>
      </x:c>
      <x:c r="G939" s="12" t="n">
        <x:v>6.18</x:v>
      </x:c>
      <x:c r="H939" s="12" t="n">
        <x:v>618</x:v>
      </x:c>
      <x:c r="I939" s="12" t="n">
        <x:v>-25</x:v>
      </x:c>
      <x:c r="J939" s="12" t="n">
        <x:v>1</x:v>
      </x:c>
    </x:row>
    <x:row r="940" ht="18" customHeight="1">
      <x:c r="A940" s="13" t="n">
        <x:v>43986</x:v>
      </x:c>
      <x:c r="B940" s="12" t="n">
        <x:v>3982.1851</x:v>
      </x:c>
      <x:c r="C940" s="12" t="n">
        <x:v>3983.6477</x:v>
      </x:c>
      <x:c r="D940" s="12" t="n">
        <x:v>-0.0367</x:v>
      </x:c>
      <x:c r="E940" s="12" t="n">
        <x:v>-0.00036721835698979503</x:v>
      </x:c>
      <x:c r="F940" s="13" t="n">
        <x:v>43985</x:v>
      </x:c>
      <x:c r="G940" s="12" t="n">
        <x:v>5.8</x:v>
      </x:c>
      <x:c r="H940" s="12" t="n">
        <x:v>580</x:v>
      </x:c>
      <x:c r="I940" s="12" t="n">
        <x:v>-38</x:v>
      </x:c>
      <x:c r="J940" s="12" t="n">
        <x:v>1</x:v>
      </x:c>
    </x:row>
    <x:row r="941" ht="18" customHeight="1">
      <x:c r="A941" s="13" t="n">
        <x:v>43987</x:v>
      </x:c>
      <x:c r="B941" s="12" t="n">
        <x:v>4001.2509</x:v>
      </x:c>
      <x:c r="C941" s="12" t="n">
        <x:v>3982.1851</x:v>
      </x:c>
      <x:c r="D941" s="12" t="n">
        <x:v>0.4788</x:v>
      </x:c>
      <x:c r="E941" s="12" t="n">
        <x:v>0.004776348491166621</x:v>
      </x:c>
      <x:c r="F941" s="13" t="n">
        <x:v>43986</x:v>
      </x:c>
      <x:c r="G941" s="12" t="n">
        <x:v>5.83</x:v>
      </x:c>
      <x:c r="H941" s="12" t="n">
        <x:v>583</x:v>
      </x:c>
      <x:c r="I941" s="12" t="n">
        <x:v>3</x:v>
      </x:c>
      <x:c r="J941" s="12" t="n">
        <x:v>1</x:v>
      </x:c>
    </x:row>
    <x:row r="942" ht="18" customHeight="1">
      <x:c r="A942" s="13" t="n">
        <x:v>43990</x:v>
      </x:c>
      <x:c r="B942" s="12" t="n">
        <x:v>4021.9549</x:v>
      </x:c>
      <x:c r="C942" s="12" t="n">
        <x:v>4001.2509</x:v>
      </x:c>
      <x:c r="D942" s="12" t="n">
        <x:v>0.5174</x:v>
      </x:c>
      <x:c r="E942" s="12" t="n">
        <x:v>0.005161040729267489</x:v>
      </x:c>
      <x:c r="F942" s="13" t="n">
        <x:v>43987</x:v>
      </x:c>
      <x:c r="G942" s="12" t="n">
        <x:v>5.5</x:v>
      </x:c>
      <x:c r="H942" s="12" t="n">
        <x:v>550</x:v>
      </x:c>
      <x:c r="I942" s="12" t="n">
        <x:v>-33</x:v>
      </x:c>
      <x:c r="J942" s="12" t="n">
        <x:v>3</x:v>
      </x:c>
    </x:row>
    <x:row r="943" ht="18" customHeight="1">
      <x:c r="A943" s="13" t="n">
        <x:v>43991</x:v>
      </x:c>
      <x:c r="B943" s="12" t="n">
        <x:v>4047.0293</x:v>
      </x:c>
      <x:c r="C943" s="12" t="n">
        <x:v>4021.9549</x:v>
      </x:c>
      <x:c r="D943" s="12" t="n">
        <x:v>0.6234</x:v>
      </x:c>
      <x:c r="E943" s="12" t="n">
        <x:v>0.006215027837446011</x:v>
      </x:c>
      <x:c r="F943" s="13" t="n">
        <x:v>43990</x:v>
      </x:c>
      <x:c r="G943" s="12" t="n">
        <x:v>5.51</x:v>
      </x:c>
      <x:c r="H943" s="12" t="n">
        <x:v>551</x:v>
      </x:c>
      <x:c r="I943" s="12" t="n">
        <x:v>1</x:v>
      </x:c>
      <x:c r="J943" s="12" t="n">
        <x:v>1</x:v>
      </x:c>
    </x:row>
    <x:row r="944" ht="18" customHeight="1">
      <x:c r="A944" s="13" t="n">
        <x:v>43992</x:v>
      </x:c>
      <x:c r="B944" s="12" t="n">
        <x:v>4039.7051</x:v>
      </x:c>
      <x:c r="C944" s="12" t="n">
        <x:v>4047.0293</x:v>
      </x:c>
      <x:c r="D944" s="12" t="n">
        <x:v>-0.181</x:v>
      </x:c>
      <x:c r="E944" s="12" t="n">
        <x:v>-0.0018114115390478484</x:v>
      </x:c>
      <x:c r="F944" s="13" t="n">
        <x:v>43991</x:v>
      </x:c>
      <x:c r="G944" s="12" t="n">
        <x:v>5.75</x:v>
      </x:c>
      <x:c r="H944" s="12" t="n">
        <x:v>575</x:v>
      </x:c>
      <x:c r="I944" s="12" t="n">
        <x:v>24</x:v>
      </x:c>
      <x:c r="J944" s="12" t="n">
        <x:v>1</x:v>
      </x:c>
    </x:row>
    <x:row r="945" ht="18" customHeight="1">
      <x:c r="A945" s="13" t="n">
        <x:v>43993</x:v>
      </x:c>
      <x:c r="B945" s="12" t="n">
        <x:v>3995.8846</x:v>
      </x:c>
      <x:c r="C945" s="12" t="n">
        <x:v>4039.7051</x:v>
      </x:c>
      <x:c r="D945" s="12" t="n">
        <x:v>-1.0847</x:v>
      </x:c>
      <x:c r="E945" s="12" t="n">
        <x:v>-0.010906712768860143</x:v>
      </x:c>
      <x:c r="F945" s="13" t="n">
        <x:v>43992</x:v>
      </x:c>
      <x:c r="G945" s="12" t="n">
        <x:v>5.92</x:v>
      </x:c>
      <x:c r="H945" s="12" t="n">
        <x:v>592</x:v>
      </x:c>
      <x:c r="I945" s="12" t="n">
        <x:v>17</x:v>
      </x:c>
      <x:c r="J945" s="12" t="n">
        <x:v>1</x:v>
      </x:c>
    </x:row>
    <x:row r="946" ht="18" customHeight="1">
      <x:c r="A946" s="13" t="n">
        <x:v>43994</x:v>
      </x:c>
      <x:c r="B946" s="12" t="n">
        <x:v>4003.0829</x:v>
      </x:c>
      <x:c r="C946" s="12" t="n">
        <x:v>3995.8846</x:v>
      </x:c>
      <x:c r="D946" s="12" t="n">
        <x:v>0.1801</x:v>
      </x:c>
      <x:c r="E946" s="12" t="n">
        <x:v>0.0017998077734721176</x:v>
      </x:c>
      <x:c r="F946" s="13" t="n">
        <x:v>43993</x:v>
      </x:c>
      <x:c r="G946" s="12" t="n">
        <x:v>6.4</x:v>
      </x:c>
      <x:c r="H946" s="12" t="n">
        <x:v>640</x:v>
      </x:c>
      <x:c r="I946" s="12" t="n">
        <x:v>48</x:v>
      </x:c>
      <x:c r="J946" s="12" t="n">
        <x:v>1</x:v>
      </x:c>
    </x:row>
    <x:row r="947" ht="18" customHeight="1">
      <x:c r="A947" s="13" t="n">
        <x:v>43997</x:v>
      </x:c>
      <x:c r="B947" s="12" t="n">
        <x:v>3954.9883</x:v>
      </x:c>
      <x:c r="C947" s="12" t="n">
        <x:v>4003.0829</x:v>
      </x:c>
      <x:c r="D947" s="12" t="n">
        <x:v>-1.2014</x:v>
      </x:c>
      <x:c r="E947" s="12" t="n">
        <x:v>-0.012087146329313512</x:v>
      </x:c>
      <x:c r="F947" s="13" t="n">
        <x:v>43994</x:v>
      </x:c>
      <x:c r="G947" s="12" t="n">
        <x:v>6.28</x:v>
      </x:c>
      <x:c r="H947" s="12" t="n">
        <x:v>628</x:v>
      </x:c>
      <x:c r="I947" s="12" t="n">
        <x:v>-12</x:v>
      </x:c>
      <x:c r="J947" s="12" t="n">
        <x:v>3</x:v>
      </x:c>
    </x:row>
    <x:row r="948" ht="18" customHeight="1">
      <x:c r="A948" s="13" t="n">
        <x:v>43998</x:v>
      </x:c>
      <x:c r="B948" s="12" t="n">
        <x:v>4014.5702</x:v>
      </x:c>
      <x:c r="C948" s="12" t="n">
        <x:v>3954.9883</x:v>
      </x:c>
      <x:c r="D948" s="12" t="n">
        <x:v>1.5065</x:v>
      </x:c>
      <x:c r="E948" s="12" t="n">
        <x:v>0.014952650166163503</x:v>
      </x:c>
      <x:c r="F948" s="13" t="n">
        <x:v>43997</x:v>
      </x:c>
      <x:c r="G948" s="12" t="n">
        <x:v>6.25</x:v>
      </x:c>
      <x:c r="H948" s="12" t="n">
        <x:v>625</x:v>
      </x:c>
      <x:c r="I948" s="12" t="n">
        <x:v>-3</x:v>
      </x:c>
      <x:c r="J948" s="12" t="n">
        <x:v>1</x:v>
      </x:c>
    </x:row>
    <x:row r="949" ht="18" customHeight="1">
      <x:c r="A949" s="13" t="n">
        <x:v>43999</x:v>
      </x:c>
      <x:c r="B949" s="12" t="n">
        <x:v>4017.5941</x:v>
      </x:c>
      <x:c r="C949" s="12" t="n">
        <x:v>4014.5702</x:v>
      </x:c>
      <x:c r="D949" s="12" t="n">
        <x:v>0.0753</x:v>
      </x:c>
      <x:c r="E949" s="12" t="n">
        <x:v>0.0007529477809265026</x:v>
      </x:c>
      <x:c r="F949" s="13" t="n">
        <x:v>43998</x:v>
      </x:c>
      <x:c r="G949" s="12" t="n">
        <x:v>5.78</x:v>
      </x:c>
      <x:c r="H949" s="12" t="n">
        <x:v>578</x:v>
      </x:c>
      <x:c r="I949" s="12" t="n">
        <x:v>-47</x:v>
      </x:c>
      <x:c r="J949" s="12" t="n">
        <x:v>1</x:v>
      </x:c>
    </x:row>
    <x:row r="950" ht="18" customHeight="1">
      <x:c r="A950" s="13" t="n">
        <x:v>44000</x:v>
      </x:c>
      <x:c r="B950" s="12" t="n">
        <x:v>4044.3842</x:v>
      </x:c>
      <x:c r="C950" s="12" t="n">
        <x:v>4017.5941</x:v>
      </x:c>
      <x:c r="D950" s="12" t="n">
        <x:v>0.6668</x:v>
      </x:c>
      <x:c r="E950" s="12" t="n">
        <x:v>0.006646060709465059</x:v>
      </x:c>
      <x:c r="F950" s="13" t="n">
        <x:v>43999</x:v>
      </x:c>
      <x:c r="G950" s="12" t="n">
        <x:v>5.85</x:v>
      </x:c>
      <x:c r="H950" s="12" t="n">
        <x:v>585</x:v>
      </x:c>
      <x:c r="I950" s="12" t="n">
        <x:v>7</x:v>
      </x:c>
      <x:c r="J950" s="12" t="n">
        <x:v>1</x:v>
      </x:c>
    </x:row>
    <x:row r="951" ht="18" customHeight="1">
      <x:c r="A951" s="13" t="n">
        <x:v>44001</x:v>
      </x:c>
      <x:c r="B951" s="12" t="n">
        <x:v>4098.7095</x:v>
      </x:c>
      <x:c r="C951" s="12" t="n">
        <x:v>4044.3842</x:v>
      </x:c>
      <x:c r="D951" s="12" t="n">
        <x:v>1.3432</x:v>
      </x:c>
      <x:c r="E951" s="12" t="n">
        <x:v>0.013342866475464435</x:v>
      </x:c>
      <x:c r="F951" s="13" t="n">
        <x:v>44000</x:v>
      </x:c>
      <x:c r="G951" s="12" t="n">
        <x:v>6.01</x:v>
      </x:c>
      <x:c r="H951" s="12" t="n">
        <x:v>601</x:v>
      </x:c>
      <x:c r="I951" s="12" t="n">
        <x:v>16</x:v>
      </x:c>
      <x:c r="J951" s="12" t="n">
        <x:v>1</x:v>
      </x:c>
    </x:row>
    <x:row r="952" ht="18" customHeight="1">
      <x:c r="A952" s="13" t="n">
        <x:v>44004</x:v>
      </x:c>
      <x:c r="B952" s="12" t="n">
        <x:v>4102.0459</x:v>
      </x:c>
      <x:c r="C952" s="12" t="n">
        <x:v>4098.7095</x:v>
      </x:c>
      <x:c r="D952" s="12" t="n">
        <x:v>0.0814</x:v>
      </x:c>
      <x:c r="E952" s="12" t="n">
        <x:v>0.0008136811845599733</x:v>
      </x:c>
      <x:c r="F952" s="13" t="n">
        <x:v>44001</x:v>
      </x:c>
      <x:c r="G952" s="12" t="n">
        <x:v>6.02</x:v>
      </x:c>
      <x:c r="H952" s="12" t="n">
        <x:v>602</x:v>
      </x:c>
      <x:c r="I952" s="12" t="n">
        <x:v>1</x:v>
      </x:c>
      <x:c r="J952" s="12" t="n">
        <x:v>3</x:v>
      </x:c>
    </x:row>
    <x:row r="953" ht="18" customHeight="1">
      <x:c r="A953" s="13" t="n">
        <x:v>44005</x:v>
      </x:c>
      <x:c r="B953" s="12" t="n">
        <x:v>4121.7944</x:v>
      </x:c>
      <x:c r="C953" s="12" t="n">
        <x:v>4102.0459</x:v>
      </x:c>
      <x:c r="D953" s="12" t="n">
        <x:v>0.4814</x:v>
      </x:c>
      <x:c r="E953" s="12" t="n">
        <x:v>0.00480275327345941</x:v>
      </x:c>
      <x:c r="F953" s="13" t="n">
        <x:v>44004</x:v>
      </x:c>
      <x:c r="G953" s="12" t="n">
        <x:v>6.03</x:v>
      </x:c>
      <x:c r="H953" s="12" t="n">
        <x:v>603</x:v>
      </x:c>
      <x:c r="I953" s="12" t="n">
        <x:v>1</x:v>
      </x:c>
      <x:c r="J953" s="12" t="n">
        <x:v>1</x:v>
      </x:c>
    </x:row>
    <x:row r="954" ht="18" customHeight="1">
      <x:c r="A954" s="13" t="n">
        <x:v>44006</x:v>
      </x:c>
      <x:c r="B954" s="12" t="n">
        <x:v>4138.9895</x:v>
      </x:c>
      <x:c r="C954" s="12" t="n">
        <x:v>4121.7944</x:v>
      </x:c>
      <x:c r="D954" s="12" t="n">
        <x:v>0.4172</x:v>
      </x:c>
      <x:c r="E954" s="12" t="n">
        <x:v>0.004163073394105781</x:v>
      </x:c>
      <x:c r="F954" s="13" t="n">
        <x:v>44005</x:v>
      </x:c>
      <x:c r="G954" s="12" t="n">
        <x:v>6.02</x:v>
      </x:c>
      <x:c r="H954" s="12" t="n">
        <x:v>602</x:v>
      </x:c>
      <x:c r="I954" s="12" t="n">
        <x:v>-1</x:v>
      </x:c>
      <x:c r="J954" s="12" t="n">
        <x:v>1</x:v>
      </x:c>
    </x:row>
    <x:row r="955" ht="18" customHeight="1">
      <x:c r="A955" s="13" t="n">
        <x:v>44011</x:v>
      </x:c>
      <x:c r="B955" s="12" t="n">
        <x:v>4109.7164</x:v>
      </x:c>
      <x:c r="C955" s="12" t="n">
        <x:v>4138.9895</x:v>
      </x:c>
      <x:c r="D955" s="12" t="n">
        <x:v>-0.7073</x:v>
      </x:c>
      <x:c r="E955" s="12" t="n">
        <x:v>-0.007097652224453106</x:v>
      </x:c>
      <x:c r="F955" s="13" t="n">
        <x:v>44008</x:v>
      </x:c>
      <x:c r="G955" s="12" t="n">
        <x:v>6.41</x:v>
      </x:c>
      <x:c r="H955" s="12" t="n">
        <x:v>641</x:v>
      </x:c>
      <x:c r="I955" s="12" t="n">
        <x:v>11</x:v>
      </x:c>
      <x:c r="J955" s="12" t="n">
        <x:v>3</x:v>
      </x:c>
    </x:row>
    <x:row r="956" ht="18" customHeight="1">
      <x:c r="A956" s="13" t="n">
        <x:v>44012</x:v>
      </x:c>
      <x:c r="B956" s="12" t="n">
        <x:v>4163.9637</x:v>
      </x:c>
      <x:c r="C956" s="12" t="n">
        <x:v>4109.7164</x:v>
      </x:c>
      <x:c r="D956" s="12" t="n">
        <x:v>1.32</x:v>
      </x:c>
      <x:c r="E956" s="12" t="n">
        <x:v>0.013113409441197675</x:v>
      </x:c>
      <x:c r="F956" s="13" t="n">
        <x:v>44011</x:v>
      </x:c>
      <x:c r="G956" s="12" t="n">
        <x:v>6.52</x:v>
      </x:c>
      <x:c r="H956" s="12" t="n">
        <x:v>652</x:v>
      </x:c>
      <x:c r="I956" s="12" t="n">
        <x:v>11</x:v>
      </x:c>
      <x:c r="J956" s="12" t="n">
        <x:v>1</x:v>
      </x:c>
    </x:row>
    <x:row r="957" ht="18" customHeight="1">
      <x:c r="A957" s="13" t="n">
        <x:v>44013</x:v>
      </x:c>
      <x:c r="B957" s="12" t="n">
        <x:v>4247.7835</x:v>
      </x:c>
      <x:c r="C957" s="12" t="n">
        <x:v>4163.9637</x:v>
      </x:c>
      <x:c r="D957" s="12" t="n">
        <x:v>2.013</x:v>
      </x:c>
      <x:c r="E957" s="12" t="n">
        <x:v>0.019929884345320857</x:v>
      </x:c>
      <x:c r="F957" s="13" t="n">
        <x:v>44012</x:v>
      </x:c>
      <x:c r="G957" s="12" t="n">
        <x:v>6.44</x:v>
      </x:c>
      <x:c r="H957" s="12" t="n">
        <x:v>644</x:v>
      </x:c>
      <x:c r="I957" s="12" t="n">
        <x:v>-8</x:v>
      </x:c>
      <x:c r="J957" s="12" t="n">
        <x:v>1</x:v>
      </x:c>
    </x:row>
    <x:row r="958" ht="18" customHeight="1">
      <x:c r="A958" s="13" t="n">
        <x:v>44014</x:v>
      </x:c>
      <x:c r="B958" s="12" t="n">
        <x:v>4335.8445</x:v>
      </x:c>
      <x:c r="C958" s="12" t="n">
        <x:v>4247.7835</x:v>
      </x:c>
      <x:c r="D958" s="12" t="n">
        <x:v>2.0731</x:v>
      </x:c>
      <x:c r="E958" s="12" t="n">
        <x:v>0.0205190834673487</x:v>
      </x:c>
      <x:c r="F958" s="13" t="n">
        <x:v>44013</x:v>
      </x:c>
      <x:c r="G958" s="12" t="n">
        <x:v>6.33</x:v>
      </x:c>
      <x:c r="H958" s="12" t="n">
        <x:v>633</x:v>
      </x:c>
      <x:c r="I958" s="12" t="n">
        <x:v>-11</x:v>
      </x:c>
      <x:c r="J958" s="12" t="n">
        <x:v>1</x:v>
      </x:c>
    </x:row>
    <x:row r="959" ht="18" customHeight="1">
      <x:c r="A959" s="13" t="n">
        <x:v>44015</x:v>
      </x:c>
      <x:c r="B959" s="12" t="n">
        <x:v>4419.5955</x:v>
      </x:c>
      <x:c r="C959" s="12" t="n">
        <x:v>4335.8445</x:v>
      </x:c>
      <x:c r="D959" s="12" t="n">
        <x:v>1.9316</x:v>
      </x:c>
      <x:c r="E959" s="12" t="n">
        <x:v>0.01913177511652984</x:v>
      </x:c>
      <x:c r="F959" s="13" t="n">
        <x:v>44014</x:v>
      </x:c>
      <x:c r="G959" s="12" t="n">
        <x:v>6.17</x:v>
      </x:c>
      <x:c r="H959" s="12" t="n">
        <x:v>617</x:v>
      </x:c>
      <x:c r="I959" s="12" t="n">
        <x:v>-16</x:v>
      </x:c>
      <x:c r="J959" s="12" t="n">
        <x:v>1</x:v>
      </x:c>
    </x:row>
    <x:row r="960" ht="18" customHeight="1">
      <x:c r="A960" s="13" t="n">
        <x:v>44018</x:v>
      </x:c>
      <x:c r="B960" s="12" t="n">
        <x:v>4670.0949</x:v>
      </x:c>
      <x:c r="C960" s="12" t="n">
        <x:v>4419.5955</x:v>
      </x:c>
      <x:c r="D960" s="12" t="n">
        <x:v>5.6679</x:v>
      </x:c>
      <x:c r="E960" s="12" t="n">
        <x:v>0.055131216608803546</x:v>
      </x:c>
      <x:c r="F960" s="13" t="n">
        <x:v>44015</x:v>
      </x:c>
      <x:c r="G960" s="12" t="n">
        <x:v>6.17</x:v>
      </x:c>
      <x:c r="H960" s="12" t="n">
        <x:v>617</x:v>
      </x:c>
      <x:c r="I960" s="12" t="n">
        <x:v>0</x:v>
      </x:c>
      <x:c r="J960" s="12" t="n">
        <x:v>3</x:v>
      </x:c>
    </x:row>
    <x:row r="961" ht="18" customHeight="1">
      <x:c r="A961" s="13" t="n">
        <x:v>44019</x:v>
      </x:c>
      <x:c r="B961" s="12" t="n">
        <x:v>4698.1264</x:v>
      </x:c>
      <x:c r="C961" s="12" t="n">
        <x:v>4670.0949</x:v>
      </x:c>
      <x:c r="D961" s="12" t="n">
        <x:v>0.6002</x:v>
      </x:c>
      <x:c r="E961" s="12" t="n">
        <x:v>0.005984398267295105</x:v>
      </x:c>
      <x:c r="F961" s="13" t="n">
        <x:v>44018</x:v>
      </x:c>
      <x:c r="G961" s="12" t="n">
        <x:v>6.03</x:v>
      </x:c>
      <x:c r="H961" s="12" t="n">
        <x:v>603</x:v>
      </x:c>
      <x:c r="I961" s="12" t="n">
        <x:v>-14</x:v>
      </x:c>
      <x:c r="J961" s="12" t="n">
        <x:v>1</x:v>
      </x:c>
    </x:row>
    <x:row r="962" ht="18" customHeight="1">
      <x:c r="A962" s="13" t="n">
        <x:v>44020</x:v>
      </x:c>
      <x:c r="B962" s="12" t="n">
        <x:v>4774.0042</x:v>
      </x:c>
      <x:c r="C962" s="12" t="n">
        <x:v>4698.1264</x:v>
      </x:c>
      <x:c r="D962" s="12" t="n">
        <x:v>1.6151</x:v>
      </x:c>
      <x:c r="E962" s="12" t="n">
        <x:v>0.01602161674087557</x:v>
      </x:c>
      <x:c r="F962" s="13" t="n">
        <x:v>44019</x:v>
      </x:c>
      <x:c r="G962" s="12" t="n">
        <x:v>6.04</x:v>
      </x:c>
      <x:c r="H962" s="12" t="n">
        <x:v>604</x:v>
      </x:c>
      <x:c r="I962" s="12" t="n">
        <x:v>1</x:v>
      </x:c>
      <x:c r="J962" s="12" t="n">
        <x:v>1</x:v>
      </x:c>
    </x:row>
    <x:row r="963" ht="18" customHeight="1">
      <x:c r="A963" s="13" t="n">
        <x:v>44021</x:v>
      </x:c>
      <x:c r="B963" s="12" t="n">
        <x:v>4840.7712</x:v>
      </x:c>
      <x:c r="C963" s="12" t="n">
        <x:v>4774.0042</x:v>
      </x:c>
      <x:c r="D963" s="12" t="n">
        <x:v>1.3986</x:v>
      </x:c>
      <x:c r="E963" s="12" t="n">
        <x:v>0.013888639196783053</x:v>
      </x:c>
      <x:c r="F963" s="13" t="n">
        <x:v>44020</x:v>
      </x:c>
      <x:c r="G963" s="12" t="n">
        <x:v>6.06</x:v>
      </x:c>
      <x:c r="H963" s="12" t="n">
        <x:v>606</x:v>
      </x:c>
      <x:c r="I963" s="12" t="n">
        <x:v>2</x:v>
      </x:c>
      <x:c r="J963" s="12" t="n">
        <x:v>1</x:v>
      </x:c>
    </x:row>
    <x:row r="964" ht="18" customHeight="1">
      <x:c r="A964" s="13" t="n">
        <x:v>44022</x:v>
      </x:c>
      <x:c r="B964" s="12" t="n">
        <x:v>4753.1333</x:v>
      </x:c>
      <x:c r="C964" s="12" t="n">
        <x:v>4840.7712</x:v>
      </x:c>
      <x:c r="D964" s="12" t="n">
        <x:v>-1.8104</x:v>
      </x:c>
      <x:c r="E964" s="12" t="n">
        <x:v>-0.018270004194841982</x:v>
      </x:c>
      <x:c r="F964" s="13" t="n">
        <x:v>44021</x:v>
      </x:c>
      <x:c r="G964" s="12" t="n">
        <x:v>6.14</x:v>
      </x:c>
      <x:c r="H964" s="12" t="n">
        <x:v>614</x:v>
      </x:c>
      <x:c r="I964" s="12" t="n">
        <x:v>8</x:v>
      </x:c>
      <x:c r="J964" s="12" t="n">
        <x:v>1</x:v>
      </x:c>
    </x:row>
    <x:row r="965" ht="18" customHeight="1">
      <x:c r="A965" s="13" t="n">
        <x:v>44025</x:v>
      </x:c>
      <x:c r="B965" s="12" t="n">
        <x:v>4852.9612</x:v>
      </x:c>
      <x:c r="C965" s="12" t="n">
        <x:v>4753.1333</x:v>
      </x:c>
      <x:c r="D965" s="12" t="n">
        <x:v>2.1003</x:v>
      </x:c>
      <x:c r="E965" s="12" t="n">
        <x:v>0.02078503265292465</x:v>
      </x:c>
      <x:c r="F965" s="13" t="n">
        <x:v>44022</x:v>
      </x:c>
      <x:c r="G965" s="12" t="n">
        <x:v>6.14</x:v>
      </x:c>
      <x:c r="H965" s="12" t="n">
        <x:v>614</x:v>
      </x:c>
      <x:c r="I965" s="12" t="n">
        <x:v>0</x:v>
      </x:c>
      <x:c r="J965" s="12" t="n">
        <x:v>3</x:v>
      </x:c>
    </x:row>
    <x:row r="966" ht="18" customHeight="1">
      <x:c r="A966" s="13" t="n">
        <x:v>44026</x:v>
      </x:c>
      <x:c r="B966" s="12" t="n">
        <x:v>4806.6902</x:v>
      </x:c>
      <x:c r="C966" s="12" t="n">
        <x:v>4852.9612</x:v>
      </x:c>
      <x:c r="D966" s="12" t="n">
        <x:v>-0.9535</x:v>
      </x:c>
      <x:c r="E966" s="12" t="n">
        <x:v>-0.009580336181996442</x:v>
      </x:c>
      <x:c r="F966" s="13" t="n">
        <x:v>44025</x:v>
      </x:c>
      <x:c r="G966" s="12" t="n">
        <x:v>6.01</x:v>
      </x:c>
      <x:c r="H966" s="12" t="n">
        <x:v>601</x:v>
      </x:c>
      <x:c r="I966" s="12" t="n">
        <x:v>-13</x:v>
      </x:c>
      <x:c r="J966" s="12" t="n">
        <x:v>1</x:v>
      </x:c>
    </x:row>
    <x:row r="967" ht="18" customHeight="1">
      <x:c r="A967" s="13" t="n">
        <x:v>44027</x:v>
      </x:c>
      <x:c r="B967" s="12" t="n">
        <x:v>4744.4687</x:v>
      </x:c>
      <x:c r="C967" s="12" t="n">
        <x:v>4806.6902</x:v>
      </x:c>
      <x:c r="D967" s="12" t="n">
        <x:v>-1.2945</x:v>
      </x:c>
      <x:c r="E967" s="12" t="n">
        <x:v>-0.013029283857047434</x:v>
      </x:c>
      <x:c r="F967" s="13" t="n">
        <x:v>44026</x:v>
      </x:c>
      <x:c r="G967" s="12" t="n">
        <x:v>6.03</x:v>
      </x:c>
      <x:c r="H967" s="12" t="n">
        <x:v>603</x:v>
      </x:c>
      <x:c r="I967" s="12" t="n">
        <x:v>2</x:v>
      </x:c>
      <x:c r="J967" s="12" t="n">
        <x:v>1</x:v>
      </x:c>
    </x:row>
    <x:row r="968" ht="18" customHeight="1">
      <x:c r="A968" s="13" t="n">
        <x:v>44028</x:v>
      </x:c>
      <x:c r="B968" s="12" t="n">
        <x:v>4516.2532</x:v>
      </x:c>
      <x:c r="C968" s="12" t="n">
        <x:v>4744.4687</x:v>
      </x:c>
      <x:c r="D968" s="12" t="n">
        <x:v>-4.8101</x:v>
      </x:c>
      <x:c r="E968" s="12" t="n">
        <x:v>-0.04929674326555778</x:v>
      </x:c>
      <x:c r="F968" s="13" t="n">
        <x:v>44027</x:v>
      </x:c>
      <x:c r="G968" s="12" t="n">
        <x:v>5.81</x:v>
      </x:c>
      <x:c r="H968" s="12" t="n">
        <x:v>581</x:v>
      </x:c>
      <x:c r="I968" s="12" t="n">
        <x:v>-22</x:v>
      </x:c>
      <x:c r="J968" s="12" t="n">
        <x:v>1</x:v>
      </x:c>
    </x:row>
    <x:row r="969" ht="18" customHeight="1">
      <x:c r="A969" s="13" t="n">
        <x:v>44029</x:v>
      </x:c>
      <x:c r="B969" s="12" t="n">
        <x:v>4544.7007</x:v>
      </x:c>
      <x:c r="C969" s="12" t="n">
        <x:v>4516.2532</x:v>
      </x:c>
      <x:c r="D969" s="12" t="n">
        <x:v>0.6299</x:v>
      </x:c>
      <x:c r="E969" s="12" t="n">
        <x:v>0.006279160843895698</x:v>
      </x:c>
      <x:c r="F969" s="13" t="n">
        <x:v>44028</x:v>
      </x:c>
      <x:c r="G969" s="12" t="n">
        <x:v>5.76</x:v>
      </x:c>
      <x:c r="H969" s="12" t="n">
        <x:v>576</x:v>
      </x:c>
      <x:c r="I969" s="12" t="n">
        <x:v>-5</x:v>
      </x:c>
      <x:c r="J969" s="12" t="n">
        <x:v>1</x:v>
      </x:c>
    </x:row>
    <x:row r="970" ht="18" customHeight="1">
      <x:c r="A970" s="13" t="n">
        <x:v>44032</x:v>
      </x:c>
      <x:c r="B970" s="12" t="n">
        <x:v>4680.3046</x:v>
      </x:c>
      <x:c r="C970" s="12" t="n">
        <x:v>4544.7007</x:v>
      </x:c>
      <x:c r="D970" s="12" t="n">
        <x:v>2.9838</x:v>
      </x:c>
      <x:c r="E970" s="12" t="n">
        <x:v>0.029401320405866512</x:v>
      </x:c>
      <x:c r="F970" s="13" t="n">
        <x:v>44029</x:v>
      </x:c>
      <x:c r="G970" s="12" t="n">
        <x:v>5.74</x:v>
      </x:c>
      <x:c r="H970" s="12" t="n">
        <x:v>574</x:v>
      </x:c>
      <x:c r="I970" s="12" t="n">
        <x:v>-2</x:v>
      </x:c>
      <x:c r="J970" s="12" t="n">
        <x:v>3</x:v>
      </x:c>
    </x:row>
    <x:row r="971" ht="18" customHeight="1">
      <x:c r="A971" s="13" t="n">
        <x:v>44033</x:v>
      </x:c>
      <x:c r="B971" s="12" t="n">
        <x:v>4691.0425</x:v>
      </x:c>
      <x:c r="C971" s="12" t="n">
        <x:v>4680.3046</x:v>
      </x:c>
      <x:c r="D971" s="12" t="n">
        <x:v>0.2294</x:v>
      </x:c>
      <x:c r="E971" s="12" t="n">
        <x:v>0.002291645925546458</x:v>
      </x:c>
      <x:c r="F971" s="13" t="n">
        <x:v>44032</x:v>
      </x:c>
      <x:c r="G971" s="12" t="n">
        <x:v>5.54</x:v>
      </x:c>
      <x:c r="H971" s="12" t="n">
        <x:v>554</x:v>
      </x:c>
      <x:c r="I971" s="12" t="n">
        <x:v>-20</x:v>
      </x:c>
      <x:c r="J971" s="12" t="n">
        <x:v>1</x:v>
      </x:c>
    </x:row>
    <x:row r="972" ht="18" customHeight="1">
      <x:c r="A972" s="13" t="n">
        <x:v>44034</x:v>
      </x:c>
      <x:c r="B972" s="12" t="n">
        <x:v>4714.4454</x:v>
      </x:c>
      <x:c r="C972" s="12" t="n">
        <x:v>4691.0425</x:v>
      </x:c>
      <x:c r="D972" s="12" t="n">
        <x:v>0.4989</x:v>
      </x:c>
      <x:c r="E972" s="12" t="n">
        <x:v>0.004976445357551661</x:v>
      </x:c>
      <x:c r="F972" s="13" t="n">
        <x:v>44033</x:v>
      </x:c>
      <x:c r="G972" s="12" t="n">
        <x:v>5.33</x:v>
      </x:c>
      <x:c r="H972" s="12" t="n">
        <x:v>533</x:v>
      </x:c>
      <x:c r="I972" s="12" t="n">
        <x:v>-21</x:v>
      </x:c>
      <x:c r="J972" s="12" t="n">
        <x:v>1</x:v>
      </x:c>
    </x:row>
    <x:row r="973" ht="18" customHeight="1">
      <x:c r="A973" s="13" t="n">
        <x:v>44035</x:v>
      </x:c>
      <x:c r="B973" s="12" t="n">
        <x:v>4712.4357</x:v>
      </x:c>
      <x:c r="C973" s="12" t="n">
        <x:v>4714.4454</x:v>
      </x:c>
      <x:c r="D973" s="12" t="n">
        <x:v>-0.0426</x:v>
      </x:c>
      <x:c r="E973" s="12" t="n">
        <x:v>-0.0004263764460646308</x:v>
      </x:c>
      <x:c r="F973" s="13" t="n">
        <x:v>44034</x:v>
      </x:c>
      <x:c r="G973" s="12" t="n">
        <x:v>5.28</x:v>
      </x:c>
      <x:c r="H973" s="12" t="n">
        <x:v>528</x:v>
      </x:c>
      <x:c r="I973" s="12" t="n">
        <x:v>-5</x:v>
      </x:c>
      <x:c r="J973" s="12" t="n">
        <x:v>1</x:v>
      </x:c>
    </x:row>
    <x:row r="974" ht="18" customHeight="1">
      <x:c r="A974" s="13" t="n">
        <x:v>44036</x:v>
      </x:c>
      <x:c r="B974" s="12" t="n">
        <x:v>4505.5906</x:v>
      </x:c>
      <x:c r="C974" s="12" t="n">
        <x:v>4712.4357</x:v>
      </x:c>
      <x:c r="D974" s="12" t="n">
        <x:v>-4.3893</x:v>
      </x:c>
      <x:c r="E974" s="12" t="n">
        <x:v>-0.044885926871965375</x:v>
      </x:c>
      <x:c r="F974" s="13" t="n">
        <x:v>44035</x:v>
      </x:c>
      <x:c r="G974" s="12" t="n">
        <x:v>5.26</x:v>
      </x:c>
      <x:c r="H974" s="12" t="n">
        <x:v>526</x:v>
      </x:c>
      <x:c r="I974" s="12" t="n">
        <x:v>-2</x:v>
      </x:c>
      <x:c r="J974" s="12" t="n">
        <x:v>1</x:v>
      </x:c>
    </x:row>
    <x:row r="975" ht="18" customHeight="1">
      <x:c r="A975" s="13" t="n">
        <x:v>44039</x:v>
      </x:c>
      <x:c r="B975" s="12" t="n">
        <x:v>4528.45</x:v>
      </x:c>
      <x:c r="C975" s="12" t="n">
        <x:v>4505.5906</x:v>
      </x:c>
      <x:c r="D975" s="12" t="n">
        <x:v>0.5074</x:v>
      </x:c>
      <x:c r="E975" s="12" t="n">
        <x:v>0.005060736341555208</x:v>
      </x:c>
      <x:c r="F975" s="13" t="n">
        <x:v>44036</x:v>
      </x:c>
      <x:c r="G975" s="12" t="n">
        <x:v>5.29</x:v>
      </x:c>
      <x:c r="H975" s="12" t="n">
        <x:v>529</x:v>
      </x:c>
      <x:c r="I975" s="12" t="n">
        <x:v>3</x:v>
      </x:c>
      <x:c r="J975" s="12" t="n">
        <x:v>3</x:v>
      </x:c>
    </x:row>
    <x:row r="976" ht="18" customHeight="1">
      <x:c r="A976" s="13" t="n">
        <x:v>44040</x:v>
      </x:c>
      <x:c r="B976" s="12" t="n">
        <x:v>4568.2576</x:v>
      </x:c>
      <x:c r="C976" s="12" t="n">
        <x:v>4528.45</x:v>
      </x:c>
      <x:c r="D976" s="12" t="n">
        <x:v>0.8791</x:v>
      </x:c>
      <x:c r="E976" s="12" t="n">
        <x:v>0.008752145469647098</x:v>
      </x:c>
      <x:c r="F976" s="13" t="n">
        <x:v>44039</x:v>
      </x:c>
      <x:c r="G976" s="12" t="n">
        <x:v>5.24</x:v>
      </x:c>
      <x:c r="H976" s="12" t="n">
        <x:v>524</x:v>
      </x:c>
      <x:c r="I976" s="12" t="n">
        <x:v>-5</x:v>
      </x:c>
      <x:c r="J976" s="12" t="n">
        <x:v>1</x:v>
      </x:c>
    </x:row>
    <x:row r="977" ht="18" customHeight="1">
      <x:c r="A977" s="13" t="n">
        <x:v>44041</x:v>
      </x:c>
      <x:c r="B977" s="12" t="n">
        <x:v>4679.008</x:v>
      </x:c>
      <x:c r="C977" s="12" t="n">
        <x:v>4568.2576</x:v>
      </x:c>
      <x:c r="D977" s="12" t="n">
        <x:v>2.4243</x:v>
      </x:c>
      <x:c r="E977" s="12" t="n">
        <x:v>0.023954258591717723</x:v>
      </x:c>
      <x:c r="F977" s="13" t="n">
        <x:v>44040</x:v>
      </x:c>
      <x:c r="G977" s="12" t="n">
        <x:v>5.27</x:v>
      </x:c>
      <x:c r="H977" s="12" t="n">
        <x:v>527</x:v>
      </x:c>
      <x:c r="I977" s="12" t="n">
        <x:v>3</x:v>
      </x:c>
      <x:c r="J977" s="12" t="n">
        <x:v>1</x:v>
      </x:c>
    </x:row>
    <x:row r="978" ht="18" customHeight="1">
      <x:c r="A978" s="13" t="n">
        <x:v>44042</x:v>
      </x:c>
      <x:c r="B978" s="12" t="n">
        <x:v>4656.1506</x:v>
      </x:c>
      <x:c r="C978" s="12" t="n">
        <x:v>4679.008</x:v>
      </x:c>
      <x:c r="D978" s="12" t="n">
        <x:v>-0.4885</x:v>
      </x:c>
      <x:c r="E978" s="12" t="n">
        <x:v>-0.004897066382800305</x:v>
      </x:c>
      <x:c r="F978" s="13" t="n">
        <x:v>44041</x:v>
      </x:c>
      <x:c r="G978" s="12" t="n">
        <x:v>5.15</x:v>
      </x:c>
      <x:c r="H978" s="12" t="n">
        <x:v>515</x:v>
      </x:c>
      <x:c r="I978" s="12" t="n">
        <x:v>-12</x:v>
      </x:c>
      <x:c r="J978" s="12" t="n">
        <x:v>1</x:v>
      </x:c>
    </x:row>
    <x:row r="979" ht="18" customHeight="1">
      <x:c r="A979" s="13" t="n">
        <x:v>44043</x:v>
      </x:c>
      <x:c r="B979" s="12" t="n">
        <x:v>4695.0462</x:v>
      </x:c>
      <x:c r="C979" s="12" t="n">
        <x:v>4656.1506</x:v>
      </x:c>
      <x:c r="D979" s="12" t="n">
        <x:v>0.8354</x:v>
      </x:c>
      <x:c r="E979" s="12" t="n">
        <x:v>0.00831889760054069</x:v>
      </x:c>
      <x:c r="F979" s="13" t="n">
        <x:v>44042</x:v>
      </x:c>
      <x:c r="G979" s="12" t="n">
        <x:v>5.14</x:v>
      </x:c>
      <x:c r="H979" s="12" t="n">
        <x:v>514</x:v>
      </x:c>
      <x:c r="I979" s="12" t="n">
        <x:v>-1</x:v>
      </x:c>
      <x:c r="J979" s="12" t="n">
        <x:v>1</x:v>
      </x:c>
    </x:row>
    <x:row r="980" ht="18" customHeight="1">
      <x:c r="A980" s="13" t="n">
        <x:v>44046</x:v>
      </x:c>
      <x:c r="B980" s="12" t="n">
        <x:v>4771.3108</x:v>
      </x:c>
      <x:c r="C980" s="12" t="n">
        <x:v>4695.0462</x:v>
      </x:c>
      <x:c r="D980" s="12" t="n">
        <x:v>1.6244</x:v>
      </x:c>
      <x:c r="E980" s="12" t="n">
        <x:v>0.01611311512058742</x:v>
      </x:c>
      <x:c r="F980" s="13" t="n">
        <x:v>44043</x:v>
      </x:c>
      <x:c r="G980" s="12" t="n">
        <x:v>5.16</x:v>
      </x:c>
      <x:c r="H980" s="12" t="n">
        <x:v>516</x:v>
      </x:c>
      <x:c r="I980" s="12" t="n">
        <x:v>2</x:v>
      </x:c>
      <x:c r="J980" s="12" t="n">
        <x:v>3</x:v>
      </x:c>
    </x:row>
    <x:row r="981" ht="18" customHeight="1">
      <x:c r="A981" s="13" t="n">
        <x:v>44047</x:v>
      </x:c>
      <x:c r="B981" s="12" t="n">
        <x:v>4775.8024</x:v>
      </x:c>
      <x:c r="C981" s="12" t="n">
        <x:v>4771.3108</x:v>
      </x:c>
      <x:c r="D981" s="12" t="n">
        <x:v>0.0941</x:v>
      </x:c>
      <x:c r="E981" s="12" t="n">
        <x:v>0.0009409337120644999</x:v>
      </x:c>
      <x:c r="F981" s="13" t="n">
        <x:v>44046</x:v>
      </x:c>
      <x:c r="G981" s="12" t="n">
        <x:v>5.08</x:v>
      </x:c>
      <x:c r="H981" s="12" t="n">
        <x:v>508</x:v>
      </x:c>
      <x:c r="I981" s="12" t="n">
        <x:v>-8</x:v>
      </x:c>
      <x:c r="J981" s="12" t="n">
        <x:v>1</x:v>
      </x:c>
    </x:row>
    <x:row r="982" ht="18" customHeight="1">
      <x:c r="A982" s="13" t="n">
        <x:v>44048</x:v>
      </x:c>
      <x:c r="B982" s="12" t="n">
        <x:v>4777.1089</x:v>
      </x:c>
      <x:c r="C982" s="12" t="n">
        <x:v>4775.8024</x:v>
      </x:c>
      <x:c r="D982" s="12" t="n">
        <x:v>0.0274</x:v>
      </x:c>
      <x:c r="E982" s="12" t="n">
        <x:v>0.0002735291822812058</x:v>
      </x:c>
      <x:c r="F982" s="13" t="n">
        <x:v>44047</x:v>
      </x:c>
      <x:c r="G982" s="12" t="n">
        <x:v>5.13</x:v>
      </x:c>
      <x:c r="H982" s="12" t="n">
        <x:v>513</x:v>
      </x:c>
      <x:c r="I982" s="12" t="n">
        <x:v>5</x:v>
      </x:c>
      <x:c r="J982" s="12" t="n">
        <x:v>1</x:v>
      </x:c>
    </x:row>
    <x:row r="983" ht="18" customHeight="1">
      <x:c r="A983" s="13" t="n">
        <x:v>44049</x:v>
      </x:c>
      <x:c r="B983" s="12" t="n">
        <x:v>4762.7642</x:v>
      </x:c>
      <x:c r="C983" s="12" t="n">
        <x:v>4777.1089</x:v>
      </x:c>
      <x:c r="D983" s="12" t="n">
        <x:v>-0.3003</x:v>
      </x:c>
      <x:c r="E983" s="12" t="n">
        <x:v>-0.0030073169025837867</x:v>
      </x:c>
      <x:c r="F983" s="13" t="n">
        <x:v>44048</x:v>
      </x:c>
      <x:c r="G983" s="12" t="n">
        <x:v>5.04</x:v>
      </x:c>
      <x:c r="H983" s="12" t="n">
        <x:v>504</x:v>
      </x:c>
      <x:c r="I983" s="12" t="n">
        <x:v>-9</x:v>
      </x:c>
      <x:c r="J983" s="12" t="n">
        <x:v>1</x:v>
      </x:c>
    </x:row>
    <x:row r="984" ht="18" customHeight="1">
      <x:c r="A984" s="13" t="n">
        <x:v>44050</x:v>
      </x:c>
      <x:c r="B984" s="12" t="n">
        <x:v>4707.9262</x:v>
      </x:c>
      <x:c r="C984" s="12" t="n">
        <x:v>4762.7642</x:v>
      </x:c>
      <x:c r="D984" s="12" t="n">
        <x:v>-1.1514</x:v>
      </x:c>
      <x:c r="E984" s="12" t="n">
        <x:v>-0.0115807001506316</x:v>
      </x:c>
      <x:c r="F984" s="13" t="n">
        <x:v>44049</x:v>
      </x:c>
      <x:c r="G984" s="12" t="n">
        <x:v>5.06</x:v>
      </x:c>
      <x:c r="H984" s="12" t="n">
        <x:v>505.99999999999994</x:v>
      </x:c>
      <x:c r="I984" s="12" t="n">
        <x:v>1.9999999999999432</x:v>
      </x:c>
      <x:c r="J984" s="12" t="n">
        <x:v>1</x:v>
      </x:c>
    </x:row>
    <x:row r="985" ht="18" customHeight="1">
      <x:c r="A985" s="13" t="n">
        <x:v>44053</x:v>
      </x:c>
      <x:c r="B985" s="12" t="n">
        <x:v>4724.8697</x:v>
      </x:c>
      <x:c r="C985" s="12" t="n">
        <x:v>4707.9262</x:v>
      </x:c>
      <x:c r="D985" s="12" t="n">
        <x:v>0.3599</x:v>
      </x:c>
      <x:c r="E985" s="12" t="n">
        <x:v>0.00359247001676474</x:v>
      </x:c>
      <x:c r="F985" s="13" t="n">
        <x:v>44050</x:v>
      </x:c>
      <x:c r="G985" s="12" t="n">
        <x:v>5.06</x:v>
      </x:c>
      <x:c r="H985" s="12" t="n">
        <x:v>505.99999999999994</x:v>
      </x:c>
      <x:c r="I985" s="12" t="n">
        <x:v>0</x:v>
      </x:c>
      <x:c r="J985" s="12" t="n">
        <x:v>3</x:v>
      </x:c>
    </x:row>
    <x:row r="986" ht="18" customHeight="1">
      <x:c r="A986" s="13" t="n">
        <x:v>44054</x:v>
      </x:c>
      <x:c r="B986" s="12" t="n">
        <x:v>4681.7837</x:v>
      </x:c>
      <x:c r="C986" s="12" t="n">
        <x:v>4724.8697</x:v>
      </x:c>
      <x:c r="D986" s="12" t="n">
        <x:v>-0.9119</x:v>
      </x:c>
      <x:c r="E986" s="12" t="n">
        <x:v>-0.009160814050230533</x:v>
      </x:c>
      <x:c r="F986" s="13" t="n">
        <x:v>44053</x:v>
      </x:c>
      <x:c r="G986" s="12" t="n">
        <x:v>5.09</x:v>
      </x:c>
      <x:c r="H986" s="12" t="n">
        <x:v>509</x:v>
      </x:c>
      <x:c r="I986" s="12" t="n">
        <x:v>3.000000000000057</x:v>
      </x:c>
      <x:c r="J986" s="12" t="n">
        <x:v>1</x:v>
      </x:c>
    </x:row>
    <x:row r="987" ht="18" customHeight="1">
      <x:c r="A987" s="13" t="n">
        <x:v>44055</x:v>
      </x:c>
      <x:c r="B987" s="12" t="n">
        <x:v>4647.6446</x:v>
      </x:c>
      <x:c r="C987" s="12" t="n">
        <x:v>4681.7837</x:v>
      </x:c>
      <x:c r="D987" s="12" t="n">
        <x:v>-0.7292</x:v>
      </x:c>
      <x:c r="E987" s="12" t="n">
        <x:v>-0.00731861616432439</x:v>
      </x:c>
      <x:c r="F987" s="13" t="n">
        <x:v>44054</x:v>
      </x:c>
      <x:c r="G987" s="12" t="n">
        <x:v>5.03</x:v>
      </x:c>
      <x:c r="H987" s="12" t="n">
        <x:v>503</x:v>
      </x:c>
      <x:c r="I987" s="12" t="n">
        <x:v>-6</x:v>
      </x:c>
      <x:c r="J987" s="12" t="n">
        <x:v>1</x:v>
      </x:c>
    </x:row>
    <x:row r="988" ht="18" customHeight="1">
      <x:c r="A988" s="13" t="n">
        <x:v>44056</x:v>
      </x:c>
      <x:c r="B988" s="12" t="n">
        <x:v>4635.7126</x:v>
      </x:c>
      <x:c r="C988" s="12" t="n">
        <x:v>4647.6446</x:v>
      </x:c>
      <x:c r="D988" s="12" t="n">
        <x:v>-0.2567</x:v>
      </x:c>
      <x:c r="E988" s="12" t="n">
        <x:v>-0.0025706231729737705</x:v>
      </x:c>
      <x:c r="F988" s="13" t="n">
        <x:v>44055</x:v>
      </x:c>
      <x:c r="G988" s="12" t="n">
        <x:v>5.1</x:v>
      </x:c>
      <x:c r="H988" s="12" t="n">
        <x:v>509.99999999999994</x:v>
      </x:c>
      <x:c r="I988" s="12" t="n">
        <x:v>6.999999999999943</x:v>
      </x:c>
      <x:c r="J988" s="12" t="n">
        <x:v>1</x:v>
      </x:c>
    </x:row>
    <x:row r="989" ht="18" customHeight="1">
      <x:c r="A989" s="13" t="n">
        <x:v>44057</x:v>
      </x:c>
      <x:c r="B989" s="12" t="n">
        <x:v>4704.6288</x:v>
      </x:c>
      <x:c r="C989" s="12" t="n">
        <x:v>4635.7126</x:v>
      </x:c>
      <x:c r="D989" s="12" t="n">
        <x:v>1.4866</x:v>
      </x:c>
      <x:c r="E989" s="12" t="n">
        <x:v>0.014756944673855646</x:v>
      </x:c>
      <x:c r="F989" s="13" t="n">
        <x:v>44056</x:v>
      </x:c>
      <x:c r="G989" s="12" t="n">
        <x:v>5.16</x:v>
      </x:c>
      <x:c r="H989" s="12" t="n">
        <x:v>516</x:v>
      </x:c>
      <x:c r="I989" s="12" t="n">
        <x:v>6.000000000000057</x:v>
      </x:c>
      <x:c r="J989" s="12" t="n">
        <x:v>1</x:v>
      </x:c>
    </x:row>
    <x:row r="990" ht="18" customHeight="1">
      <x:c r="A990" s="13" t="n">
        <x:v>44060</x:v>
      </x:c>
      <x:c r="B990" s="12" t="n">
        <x:v>4815.2261</x:v>
      </x:c>
      <x:c r="C990" s="12" t="n">
        <x:v>4704.6288</x:v>
      </x:c>
      <x:c r="D990" s="12" t="n">
        <x:v>2.3508</x:v>
      </x:c>
      <x:c r="E990" s="12" t="n">
        <x:v>0.02323612644012645</x:v>
      </x:c>
      <x:c r="F990" s="13" t="n">
        <x:v>44057</x:v>
      </x:c>
      <x:c r="G990" s="12" t="n">
        <x:v>5.26</x:v>
      </x:c>
      <x:c r="H990" s="12" t="n">
        <x:v>526</x:v>
      </x:c>
      <x:c r="I990" s="12" t="n">
        <x:v>10</x:v>
      </x:c>
      <x:c r="J990" s="12" t="n">
        <x:v>3</x:v>
      </x:c>
    </x:row>
    <x:row r="991" ht="18" customHeight="1">
      <x:c r="A991" s="13" t="n">
        <x:v>44061</x:v>
      </x:c>
      <x:c r="B991" s="12" t="n">
        <x:v>4812.7564</x:v>
      </x:c>
      <x:c r="C991" s="12" t="n">
        <x:v>4815.2261</x:v>
      </x:c>
      <x:c r="D991" s="12" t="n">
        <x:v>-0.0513</x:v>
      </x:c>
      <x:c r="E991" s="12" t="n">
        <x:v>-0.000513025455575405</x:v>
      </x:c>
      <x:c r="F991" s="13" t="n">
        <x:v>44060</x:v>
      </x:c>
      <x:c r="G991" s="12" t="n">
        <x:v>5.29</x:v>
      </x:c>
      <x:c r="H991" s="12" t="n">
        <x:v>529</x:v>
      </x:c>
      <x:c r="I991" s="12" t="n">
        <x:v>3</x:v>
      </x:c>
      <x:c r="J991" s="12" t="n">
        <x:v>1</x:v>
      </x:c>
    </x:row>
    <x:row r="992" ht="18" customHeight="1">
      <x:c r="A992" s="13" t="n">
        <x:v>44062</x:v>
      </x:c>
      <x:c r="B992" s="12" t="n">
        <x:v>4740.6784</x:v>
      </x:c>
      <x:c r="C992" s="12" t="n">
        <x:v>4812.7564</x:v>
      </x:c>
      <x:c r="D992" s="12" t="n">
        <x:v>-1.4976</x:v>
      </x:c>
      <x:c r="E992" s="12" t="n">
        <x:v>-0.01508972828793647</x:v>
      </x:c>
      <x:c r="F992" s="13" t="n">
        <x:v>44061</x:v>
      </x:c>
      <x:c r="G992" s="12" t="n">
        <x:v>5.26</x:v>
      </x:c>
      <x:c r="H992" s="12" t="n">
        <x:v>526</x:v>
      </x:c>
      <x:c r="I992" s="12" t="n">
        <x:v>-3</x:v>
      </x:c>
      <x:c r="J992" s="12" t="n">
        <x:v>1</x:v>
      </x:c>
    </x:row>
    <x:row r="993" ht="18" customHeight="1">
      <x:c r="A993" s="13" t="n">
        <x:v>44063</x:v>
      </x:c>
      <x:c r="B993" s="12" t="n">
        <x:v>4679.1544</x:v>
      </x:c>
      <x:c r="C993" s="12" t="n">
        <x:v>4740.6784</x:v>
      </x:c>
      <x:c r="D993" s="12" t="n">
        <x:v>-1.2978</x:v>
      </x:c>
      <x:c r="E993" s="12" t="n">
        <x:v>-0.013062837985231536</x:v>
      </x:c>
      <x:c r="F993" s="13" t="n">
        <x:v>44062</x:v>
      </x:c>
      <x:c r="G993" s="12" t="n">
        <x:v>5.25</x:v>
      </x:c>
      <x:c r="H993" s="12" t="n">
        <x:v>525</x:v>
      </x:c>
      <x:c r="I993" s="12" t="n">
        <x:v>-1</x:v>
      </x:c>
      <x:c r="J993" s="12" t="n">
        <x:v>1</x:v>
      </x:c>
    </x:row>
    <x:row r="994" ht="18" customHeight="1">
      <x:c r="A994" s="13" t="n">
        <x:v>44064</x:v>
      </x:c>
      <x:c r="B994" s="12" t="n">
        <x:v>4718.8431</x:v>
      </x:c>
      <x:c r="C994" s="12" t="n">
        <x:v>4679.1544</x:v>
      </x:c>
      <x:c r="D994" s="12" t="n">
        <x:v>0.8482</x:v>
      </x:c>
      <x:c r="E994" s="12" t="n">
        <x:v>0.00844625377829779</x:v>
      </x:c>
      <x:c r="F994" s="13" t="n">
        <x:v>44063</x:v>
      </x:c>
      <x:c r="G994" s="12" t="n">
        <x:v>5.28</x:v>
      </x:c>
      <x:c r="H994" s="12" t="n">
        <x:v>528</x:v>
      </x:c>
      <x:c r="I994" s="12" t="n">
        <x:v>3</x:v>
      </x:c>
      <x:c r="J994" s="12" t="n">
        <x:v>1</x:v>
      </x:c>
    </x:row>
    <x:row r="995" ht="18" customHeight="1">
      <x:c r="A995" s="13" t="n">
        <x:v>44067</x:v>
      </x:c>
      <x:c r="B995" s="12" t="n">
        <x:v>4755.8491</x:v>
      </x:c>
      <x:c r="C995" s="12" t="n">
        <x:v>4718.8431</x:v>
      </x:c>
      <x:c r="D995" s="12" t="n">
        <x:v>0.7842</x:v>
      </x:c>
      <x:c r="E995" s="12" t="n">
        <x:v>0.007811586360143104</x:v>
      </x:c>
      <x:c r="F995" s="13" t="n">
        <x:v>44064</x:v>
      </x:c>
      <x:c r="G995" s="12" t="n">
        <x:v>5.25</x:v>
      </x:c>
      <x:c r="H995" s="12" t="n">
        <x:v>525</x:v>
      </x:c>
      <x:c r="I995" s="12" t="n">
        <x:v>-3</x:v>
      </x:c>
      <x:c r="J995" s="12" t="n">
        <x:v>3</x:v>
      </x:c>
    </x:row>
    <x:row r="996" ht="18" customHeight="1">
      <x:c r="A996" s="13" t="n">
        <x:v>44068</x:v>
      </x:c>
      <x:c r="B996" s="12" t="n">
        <x:v>4761.9507</x:v>
      </x:c>
      <x:c r="C996" s="12" t="n">
        <x:v>4755.8491</x:v>
      </x:c>
      <x:c r="D996" s="12" t="n">
        <x:v>0.1283</x:v>
      </x:c>
      <x:c r="E996" s="12" t="n">
        <x:v>0.001282145236100936</x:v>
      </x:c>
      <x:c r="F996" s="13" t="n">
        <x:v>44067</x:v>
      </x:c>
      <x:c r="G996" s="12" t="n">
        <x:v>5.17</x:v>
      </x:c>
      <x:c r="H996" s="12" t="n">
        <x:v>517</x:v>
      </x:c>
      <x:c r="I996" s="12" t="n">
        <x:v>-8</x:v>
      </x:c>
      <x:c r="J996" s="12" t="n">
        <x:v>1</x:v>
      </x:c>
    </x:row>
    <x:row r="997" ht="18" customHeight="1">
      <x:c r="A997" s="13" t="n">
        <x:v>44069</x:v>
      </x:c>
      <x:c r="B997" s="12" t="n">
        <x:v>4706.1302</x:v>
      </x:c>
      <x:c r="C997" s="12" t="n">
        <x:v>4761.9507</x:v>
      </x:c>
      <x:c r="D997" s="12" t="n">
        <x:v>-1.1722</x:v>
      </x:c>
      <x:c r="E997" s="12" t="n">
        <x:v>-0.01179143848735509</x:v>
      </x:c>
      <x:c r="F997" s="13" t="n">
        <x:v>44068</x:v>
      </x:c>
      <x:c r="G997" s="12" t="n">
        <x:v>5.07</x:v>
      </x:c>
      <x:c r="H997" s="12" t="n">
        <x:v>507</x:v>
      </x:c>
      <x:c r="I997" s="12" t="n">
        <x:v>-10</x:v>
      </x:c>
      <x:c r="J997" s="12" t="n">
        <x:v>1</x:v>
      </x:c>
    </x:row>
    <x:row r="998" ht="18" customHeight="1">
      <x:c r="A998" s="13" t="n">
        <x:v>44070</x:v>
      </x:c>
      <x:c r="B998" s="12" t="n">
        <x:v>4731.3451</x:v>
      </x:c>
      <x:c r="C998" s="12" t="n">
        <x:v>4706.1302</x:v>
      </x:c>
      <x:c r="D998" s="12" t="n">
        <x:v>0.5358</x:v>
      </x:c>
      <x:c r="E998" s="12" t="n">
        <x:v>0.005343581667131274</x:v>
      </x:c>
      <x:c r="F998" s="13" t="n">
        <x:v>44069</x:v>
      </x:c>
      <x:c r="G998" s="12" t="n">
        <x:v>5.02</x:v>
      </x:c>
      <x:c r="H998" s="12" t="n">
        <x:v>501.99999999999994</x:v>
      </x:c>
      <x:c r="I998" s="12" t="n">
        <x:v>-5.000000000000057</x:v>
      </x:c>
      <x:c r="J998" s="12" t="n">
        <x:v>1</x:v>
      </x:c>
    </x:row>
    <x:row r="999" ht="18" customHeight="1">
      <x:c r="A999" s="13" t="n">
        <x:v>44071</x:v>
      </x:c>
      <x:c r="B999" s="12" t="n">
        <x:v>4844.2652</x:v>
      </x:c>
      <x:c r="C999" s="12" t="n">
        <x:v>4731.3451</x:v>
      </x:c>
      <x:c r="D999" s="12" t="n">
        <x:v>2.3866</x:v>
      </x:c>
      <x:c r="E999" s="12" t="n">
        <x:v>0.02358603393633957</x:v>
      </x:c>
      <x:c r="F999" s="13" t="n">
        <x:v>44070</x:v>
      </x:c>
      <x:c r="G999" s="12" t="n">
        <x:v>4.98</x:v>
      </x:c>
      <x:c r="H999" s="12" t="n">
        <x:v>498.00000000000006</x:v>
      </x:c>
      <x:c r="I999" s="12" t="n">
        <x:v>-3.9999999999998863</x:v>
      </x:c>
      <x:c r="J999" s="12" t="n">
        <x:v>1</x:v>
      </x:c>
    </x:row>
    <x:row r="1000" ht="18" customHeight="1">
      <x:c r="A1000" s="13" t="n">
        <x:v>44074</x:v>
      </x:c>
      <x:c r="B1000" s="12" t="n">
        <x:v>4816.2153</x:v>
      </x:c>
      <x:c r="C1000" s="12" t="n">
        <x:v>4844.2652</x:v>
      </x:c>
      <x:c r="D1000" s="12" t="n">
        <x:v>-0.579</x:v>
      </x:c>
      <x:c r="E1000" s="12" t="n">
        <x:v>-0.005807160177476246</x:v>
      </x:c>
      <x:c r="F1000" s="13" t="n">
        <x:v>44071</x:v>
      </x:c>
      <x:c r="G1000" s="12" t="n">
        <x:v>5</x:v>
      </x:c>
      <x:c r="H1000" s="12" t="n">
        <x:v>500</x:v>
      </x:c>
      <x:c r="I1000" s="12" t="n">
        <x:v>1.9999999999999432</x:v>
      </x:c>
      <x:c r="J1000" s="12" t="n">
        <x:v>3</x:v>
      </x:c>
    </x:row>
    <x:row r="1001" ht="18" customHeight="1">
      <x:c r="A1001" s="13" t="n">
        <x:v>44075</x:v>
      </x:c>
      <x:c r="B1001" s="12" t="n">
        <x:v>4842.1223</x:v>
      </x:c>
      <x:c r="C1001" s="12" t="n">
        <x:v>4816.2153</x:v>
      </x:c>
      <x:c r="D1001" s="12" t="n">
        <x:v>0.5379</x:v>
      </x:c>
      <x:c r="E1001" s="12" t="n">
        <x:v>0.005364704197894736</x:v>
      </x:c>
      <x:c r="F1001" s="13" t="n">
        <x:v>44074</x:v>
      </x:c>
      <x:c r="G1001" s="12" t="n">
        <x:v>5.02</x:v>
      </x:c>
      <x:c r="H1001" s="12" t="n">
        <x:v>501.99999999999994</x:v>
      </x:c>
      <x:c r="I1001" s="12" t="n">
        <x:v>1.9999999999999432</x:v>
      </x:c>
      <x:c r="J1001" s="12" t="n">
        <x:v>1</x:v>
      </x:c>
    </x:row>
    <x:row r="1002" ht="18" customHeight="1">
      <x:c r="A1002" s="13" t="n">
        <x:v>44076</x:v>
      </x:c>
      <x:c r="B1002" s="12" t="n">
        <x:v>4843.887</x:v>
      </x:c>
      <x:c r="C1002" s="12" t="n">
        <x:v>4842.1223</x:v>
      </x:c>
      <x:c r="D1002" s="12" t="n">
        <x:v>0.0364</x:v>
      </x:c>
      <x:c r="E1002" s="12" t="n">
        <x:v>0.0003643812358356593</x:v>
      </x:c>
      <x:c r="F1002" s="13" t="n">
        <x:v>44075</x:v>
      </x:c>
      <x:c r="G1002" s="12" t="n">
        <x:v>4.97</x:v>
      </x:c>
      <x:c r="H1002" s="12" t="n">
        <x:v>497</x:v>
      </x:c>
      <x:c r="I1002" s="12" t="n">
        <x:v>-4.999999999999943</x:v>
      </x:c>
      <x:c r="J1002" s="12" t="n">
        <x:v>1</x:v>
      </x:c>
    </x:row>
    <x:row r="1003" ht="18" customHeight="1">
      <x:c r="A1003" s="13" t="n">
        <x:v>44077</x:v>
      </x:c>
      <x:c r="B1003" s="12" t="n">
        <x:v>4817.0952</x:v>
      </x:c>
      <x:c r="C1003" s="12" t="n">
        <x:v>4843.887</x:v>
      </x:c>
      <x:c r="D1003" s="12" t="n">
        <x:v>-0.5531</x:v>
      </x:c>
      <x:c r="E1003" s="12" t="n">
        <x:v>-0.005546406799537806</x:v>
      </x:c>
      <x:c r="F1003" s="13" t="n">
        <x:v>44076</x:v>
      </x:c>
      <x:c r="G1003" s="12" t="n">
        <x:v>4.93</x:v>
      </x:c>
      <x:c r="H1003" s="12" t="n">
        <x:v>493</x:v>
      </x:c>
      <x:c r="I1003" s="12" t="n">
        <x:v>-4</x:v>
      </x:c>
      <x:c r="J1003" s="12" t="n">
        <x:v>1</x:v>
      </x:c>
    </x:row>
    <x:row r="1004" ht="18" customHeight="1">
      <x:c r="A1004" s="13" t="n">
        <x:v>44078</x:v>
      </x:c>
      <x:c r="B1004" s="12" t="n">
        <x:v>4770.219</x:v>
      </x:c>
      <x:c r="C1004" s="12" t="n">
        <x:v>4817.0952</x:v>
      </x:c>
      <x:c r="D1004" s="12" t="n">
        <x:v>-0.9731</x:v>
      </x:c>
      <x:c r="E1004" s="12" t="n">
        <x:v>-0.009778874994954716</x:v>
      </x:c>
      <x:c r="F1004" s="13" t="n">
        <x:v>44077</x:v>
      </x:c>
      <x:c r="G1004" s="12" t="n">
        <x:v>5.04</x:v>
      </x:c>
      <x:c r="H1004" s="12" t="n">
        <x:v>504</x:v>
      </x:c>
      <x:c r="I1004" s="12" t="n">
        <x:v>11</x:v>
      </x:c>
      <x:c r="J1004" s="12" t="n">
        <x:v>1</x:v>
      </x:c>
    </x:row>
    <x:row r="1005" ht="18" customHeight="1">
      <x:c r="A1005" s="13" t="n">
        <x:v>44081</x:v>
      </x:c>
      <x:c r="B1005" s="12" t="n">
        <x:v>4669.3677</x:v>
      </x:c>
      <x:c r="C1005" s="12" t="n">
        <x:v>4770.219</x:v>
      </x:c>
      <x:c r="D1005" s="12" t="n">
        <x:v>-2.1142</x:v>
      </x:c>
      <x:c r="E1005" s="12" t="n">
        <x:v>-0.021368549427703998</x:v>
      </x:c>
      <x:c r="F1005" s="13" t="n">
        <x:v>44078</x:v>
      </x:c>
      <x:c r="G1005" s="12" t="n">
        <x:v>5.13</x:v>
      </x:c>
      <x:c r="H1005" s="12" t="n">
        <x:v>513</x:v>
      </x:c>
      <x:c r="I1005" s="12" t="n">
        <x:v>9</x:v>
      </x:c>
      <x:c r="J1005" s="12" t="n">
        <x:v>3</x:v>
      </x:c>
    </x:row>
    <x:row r="1006" ht="18" customHeight="1">
      <x:c r="A1006" s="13" t="n">
        <x:v>44082</x:v>
      </x:c>
      <x:c r="B1006" s="12" t="n">
        <x:v>4694.3894</x:v>
      </x:c>
      <x:c r="C1006" s="12" t="n">
        <x:v>4669.3677</x:v>
      </x:c>
      <x:c r="D1006" s="12" t="n">
        <x:v>0.5359</x:v>
      </x:c>
      <x:c r="E1006" s="12" t="n">
        <x:v>0.0053443845861228375</x:v>
      </x:c>
      <x:c r="F1006" s="13" t="n">
        <x:v>44081</x:v>
      </x:c>
      <x:c r="G1006" s="12" t="n">
        <x:v>5.13</x:v>
      </x:c>
      <x:c r="H1006" s="12" t="n">
        <x:v>513</x:v>
      </x:c>
      <x:c r="I1006" s="12" t="n">
        <x:v>0</x:v>
      </x:c>
      <x:c r="J1006" s="12" t="n">
        <x:v>1</x:v>
      </x:c>
    </x:row>
    <x:row r="1007" ht="18" customHeight="1">
      <x:c r="A1007" s="13" t="n">
        <x:v>44083</x:v>
      </x:c>
      <x:c r="B1007" s="12" t="n">
        <x:v>4584.5887</x:v>
      </x:c>
      <x:c r="C1007" s="12" t="n">
        <x:v>4694.3894</x:v>
      </x:c>
      <x:c r="D1007" s="12" t="n">
        <x:v>-2.339</x:v>
      </x:c>
      <x:c r="E1007" s="12" t="n">
        <x:v>-0.02366765483140326</x:v>
      </x:c>
      <x:c r="F1007" s="13" t="n">
        <x:v>44082</x:v>
      </x:c>
      <x:c r="G1007" s="12" t="n">
        <x:v>5.25</x:v>
      </x:c>
      <x:c r="H1007" s="12" t="n">
        <x:v>525</x:v>
      </x:c>
      <x:c r="I1007" s="12" t="n">
        <x:v>12</x:v>
      </x:c>
      <x:c r="J1007" s="12" t="n">
        <x:v>1</x:v>
      </x:c>
    </x:row>
    <x:row r="1008" ht="18" customHeight="1">
      <x:c r="A1008" s="13" t="n">
        <x:v>44084</x:v>
      </x:c>
      <x:c r="B1008" s="12" t="n">
        <x:v>4581.9775</x:v>
      </x:c>
      <x:c r="C1008" s="12" t="n">
        <x:v>4584.5887</x:v>
      </x:c>
      <x:c r="D1008" s="12" t="n">
        <x:v>-0.057</x:v>
      </x:c>
      <x:c r="E1008" s="12" t="n">
        <x:v>-0.0005697226232063961</x:v>
      </x:c>
      <x:c r="F1008" s="13" t="n">
        <x:v>44083</x:v>
      </x:c>
      <x:c r="G1008" s="12" t="n">
        <x:v>5.16</x:v>
      </x:c>
      <x:c r="H1008" s="12" t="n">
        <x:v>516</x:v>
      </x:c>
      <x:c r="I1008" s="12" t="n">
        <x:v>-9</x:v>
      </x:c>
      <x:c r="J1008" s="12" t="n">
        <x:v>1</x:v>
      </x:c>
    </x:row>
    <x:row r="1009" ht="18" customHeight="1">
      <x:c r="A1009" s="13" t="n">
        <x:v>44085</x:v>
      </x:c>
      <x:c r="B1009" s="12" t="n">
        <x:v>4627.2826</x:v>
      </x:c>
      <x:c r="C1009" s="12" t="n">
        <x:v>4581.9775</x:v>
      </x:c>
      <x:c r="D1009" s="12" t="n">
        <x:v>0.9888</x:v>
      </x:c>
      <x:c r="E1009" s="12" t="n">
        <x:v>0.009839110851291967</x:v>
      </x:c>
      <x:c r="F1009" s="13" t="n">
        <x:v>44084</x:v>
      </x:c>
      <x:c r="G1009" s="12" t="n">
        <x:v>5.16</x:v>
      </x:c>
      <x:c r="H1009" s="12" t="n">
        <x:v>516</x:v>
      </x:c>
      <x:c r="I1009" s="12" t="n">
        <x:v>0</x:v>
      </x:c>
      <x:c r="J1009" s="12" t="n">
        <x:v>1</x:v>
      </x:c>
    </x:row>
    <x:row r="1010" ht="18" customHeight="1">
      <x:c r="A1010" s="13" t="n">
        <x:v>44088</x:v>
      </x:c>
      <x:c r="B1010" s="12" t="n">
        <x:v>4651.0507</x:v>
      </x:c>
      <x:c r="C1010" s="12" t="n">
        <x:v>4627.2826</x:v>
      </x:c>
      <x:c r="D1010" s="12" t="n">
        <x:v>0.5137</x:v>
      </x:c>
      <x:c r="E1010" s="12" t="n">
        <x:v>0.005123366712961365</x:v>
      </x:c>
      <x:c r="F1010" s="13" t="n">
        <x:v>44085</x:v>
      </x:c>
      <x:c r="G1010" s="12" t="n">
        <x:v>5.21</x:v>
      </x:c>
      <x:c r="H1010" s="12" t="n">
        <x:v>521</x:v>
      </x:c>
      <x:c r="I1010" s="12" t="n">
        <x:v>5</x:v>
      </x:c>
      <x:c r="J1010" s="12" t="n">
        <x:v>3</x:v>
      </x:c>
    </x:row>
    <x:row r="1011" ht="18" customHeight="1">
      <x:c r="A1011" s="13" t="n">
        <x:v>44089</x:v>
      </x:c>
      <x:c r="B1011" s="12" t="n">
        <x:v>4688.4826</x:v>
      </x:c>
      <x:c r="C1011" s="12" t="n">
        <x:v>4651.0507</x:v>
      </x:c>
      <x:c r="D1011" s="12" t="n">
        <x:v>0.8048</x:v>
      </x:c>
      <x:c r="E1011" s="12" t="n">
        <x:v>0.008015839598304212</x:v>
      </x:c>
      <x:c r="F1011" s="13" t="n">
        <x:v>44088</x:v>
      </x:c>
      <x:c r="G1011" s="12" t="n">
        <x:v>5.18</x:v>
      </x:c>
      <x:c r="H1011" s="12" t="n">
        <x:v>518</x:v>
      </x:c>
      <x:c r="I1011" s="12" t="n">
        <x:v>-3</x:v>
      </x:c>
      <x:c r="J1011" s="12" t="n">
        <x:v>1</x:v>
      </x:c>
    </x:row>
    <x:row r="1012" ht="18" customHeight="1">
      <x:c r="A1012" s="13" t="n">
        <x:v>44090</x:v>
      </x:c>
      <x:c r="B1012" s="12" t="n">
        <x:v>4657.3584</x:v>
      </x:c>
      <x:c r="C1012" s="12" t="n">
        <x:v>4688.4826</x:v>
      </x:c>
      <x:c r="D1012" s="12" t="n">
        <x:v>-0.6638</x:v>
      </x:c>
      <x:c r="E1012" s="12" t="n">
        <x:v>-0.00666057020743151</x:v>
      </x:c>
      <x:c r="F1012" s="13" t="n">
        <x:v>44089</x:v>
      </x:c>
      <x:c r="G1012" s="12" t="n">
        <x:v>5.14</x:v>
      </x:c>
      <x:c r="H1012" s="12" t="n">
        <x:v>514</x:v>
      </x:c>
      <x:c r="I1012" s="12" t="n">
        <x:v>-4</x:v>
      </x:c>
      <x:c r="J1012" s="12" t="n">
        <x:v>1</x:v>
      </x:c>
    </x:row>
    <x:row r="1013" ht="18" customHeight="1">
      <x:c r="A1013" s="13" t="n">
        <x:v>44091</x:v>
      </x:c>
      <x:c r="B1013" s="12" t="n">
        <x:v>4632.7142</x:v>
      </x:c>
      <x:c r="C1013" s="12" t="n">
        <x:v>4657.3584</x:v>
      </x:c>
      <x:c r="D1013" s="12" t="n">
        <x:v>-0.5291</x:v>
      </x:c>
      <x:c r="E1013" s="12" t="n">
        <x:v>-0.005305503814429285</x:v>
      </x:c>
      <x:c r="F1013" s="13" t="n">
        <x:v>44090</x:v>
      </x:c>
      <x:c r="G1013" s="12" t="n">
        <x:v>5.07</x:v>
      </x:c>
      <x:c r="H1013" s="12" t="n">
        <x:v>507</x:v>
      </x:c>
      <x:c r="I1013" s="12" t="n">
        <x:v>-7</x:v>
      </x:c>
      <x:c r="J1013" s="12" t="n">
        <x:v>1</x:v>
      </x:c>
    </x:row>
    <x:row r="1014" ht="18" customHeight="1">
      <x:c r="A1014" s="13" t="n">
        <x:v>44092</x:v>
      </x:c>
      <x:c r="B1014" s="12" t="n">
        <x:v>4737.0887</x:v>
      </x:c>
      <x:c r="C1014" s="12" t="n">
        <x:v>4632.7142</x:v>
      </x:c>
      <x:c r="D1014" s="12" t="n">
        <x:v>2.253</x:v>
      </x:c>
      <x:c r="E1014" s="12" t="n">
        <x:v>0.02227983205717658</x:v>
      </x:c>
      <x:c r="F1014" s="13" t="n">
        <x:v>44091</x:v>
      </x:c>
      <x:c r="G1014" s="12" t="n">
        <x:v>5.14</x:v>
      </x:c>
      <x:c r="H1014" s="12" t="n">
        <x:v>514</x:v>
      </x:c>
      <x:c r="I1014" s="12" t="n">
        <x:v>7</x:v>
      </x:c>
      <x:c r="J1014" s="12" t="n">
        <x:v>1</x:v>
      </x:c>
    </x:row>
    <x:row r="1015" ht="18" customHeight="1">
      <x:c r="A1015" s="13" t="n">
        <x:v>44095</x:v>
      </x:c>
      <x:c r="B1015" s="12" t="n">
        <x:v>4691.4281</x:v>
      </x:c>
      <x:c r="C1015" s="12" t="n">
        <x:v>4737.0887</x:v>
      </x:c>
      <x:c r="D1015" s="12" t="n">
        <x:v>-0.9639</x:v>
      </x:c>
      <x:c r="E1015" s="12" t="n">
        <x:v>-0.009685713655998145</x:v>
      </x:c>
      <x:c r="F1015" s="13" t="n">
        <x:v>44092</x:v>
      </x:c>
      <x:c r="G1015" s="12" t="n">
        <x:v>5.16</x:v>
      </x:c>
      <x:c r="H1015" s="12" t="n">
        <x:v>516</x:v>
      </x:c>
      <x:c r="I1015" s="12" t="n">
        <x:v>2</x:v>
      </x:c>
      <x:c r="J1015" s="12" t="n">
        <x:v>3</x:v>
      </x:c>
    </x:row>
    <x:row r="1016" ht="18" customHeight="1">
      <x:c r="A1016" s="13" t="n">
        <x:v>44096</x:v>
      </x:c>
      <x:c r="B1016" s="12" t="n">
        <x:v>4635.7608</x:v>
      </x:c>
      <x:c r="C1016" s="12" t="n">
        <x:v>4691.4281</x:v>
      </x:c>
      <x:c r="D1016" s="12" t="n">
        <x:v>-1.1866</x:v>
      </x:c>
      <x:c r="E1016" s="12" t="n">
        <x:v>-0.01193670709894685</x:v>
      </x:c>
      <x:c r="F1016" s="13" t="n">
        <x:v>44095</x:v>
      </x:c>
      <x:c r="G1016" s="12" t="n">
        <x:v>5.42</x:v>
      </x:c>
      <x:c r="H1016" s="12" t="n">
        <x:v>542</x:v>
      </x:c>
      <x:c r="I1016" s="12" t="n">
        <x:v>26</x:v>
      </x:c>
      <x:c r="J1016" s="12" t="n">
        <x:v>1</x:v>
      </x:c>
    </x:row>
    <x:row r="1017" ht="18" customHeight="1">
      <x:c r="A1017" s="13" t="n">
        <x:v>44097</x:v>
      </x:c>
      <x:c r="B1017" s="12" t="n">
        <x:v>4652.3273</x:v>
      </x:c>
      <x:c r="C1017" s="12" t="n">
        <x:v>4635.7608</x:v>
      </x:c>
      <x:c r="D1017" s="12" t="n">
        <x:v>0.3574</x:v>
      </x:c>
      <x:c r="E1017" s="12" t="n">
        <x:v>0.003567261074509898</x:v>
      </x:c>
      <x:c r="F1017" s="13" t="n">
        <x:v>44096</x:v>
      </x:c>
      <x:c r="G1017" s="12" t="n">
        <x:v>5.45</x:v>
      </x:c>
      <x:c r="H1017" s="12" t="n">
        <x:v>545</x:v>
      </x:c>
      <x:c r="I1017" s="12" t="n">
        <x:v>3</x:v>
      </x:c>
      <x:c r="J1017" s="12" t="n">
        <x:v>1</x:v>
      </x:c>
    </x:row>
    <x:row r="1018" ht="18" customHeight="1">
      <x:c r="A1018" s="13" t="n">
        <x:v>44098</x:v>
      </x:c>
      <x:c r="B1018" s="12" t="n">
        <x:v>4563.0657</x:v>
      </x:c>
      <x:c r="C1018" s="12" t="n">
        <x:v>4652.3273</x:v>
      </x:c>
      <x:c r="D1018" s="12" t="n">
        <x:v>-1.9186</x:v>
      </x:c>
      <x:c r="E1018" s="12" t="n">
        <x:v>-0.019372888753561534</x:v>
      </x:c>
      <x:c r="F1018" s="13" t="n">
        <x:v>44097</x:v>
      </x:c>
      <x:c r="G1018" s="12" t="n">
        <x:v>5.47</x:v>
      </x:c>
      <x:c r="H1018" s="12" t="n">
        <x:v>547</x:v>
      </x:c>
      <x:c r="I1018" s="12" t="n">
        <x:v>2</x:v>
      </x:c>
      <x:c r="J1018" s="12" t="n">
        <x:v>1</x:v>
      </x:c>
    </x:row>
    <x:row r="1019" ht="18" customHeight="1">
      <x:c r="A1019" s="13" t="n">
        <x:v>44099</x:v>
      </x:c>
      <x:c r="B1019" s="12" t="n">
        <x:v>4570.0216</x:v>
      </x:c>
      <x:c r="C1019" s="12" t="n">
        <x:v>4563.0657</x:v>
      </x:c>
      <x:c r="D1019" s="12" t="n">
        <x:v>0.1524</x:v>
      </x:c>
      <x:c r="E1019" s="12" t="n">
        <x:v>0.0015232311082675793</x:v>
      </x:c>
      <x:c r="F1019" s="13" t="n">
        <x:v>44098</x:v>
      </x:c>
      <x:c r="G1019" s="12" t="n">
        <x:v>5.64</x:v>
      </x:c>
      <x:c r="H1019" s="12" t="n">
        <x:v>564</x:v>
      </x:c>
      <x:c r="I1019" s="12" t="n">
        <x:v>17</x:v>
      </x:c>
      <x:c r="J1019" s="12" t="n">
        <x:v>1</x:v>
      </x:c>
    </x:row>
    <x:row r="1020" ht="18" customHeight="1">
      <x:c r="A1020" s="13" t="n">
        <x:v>44102</x:v>
      </x:c>
      <x:c r="B1020" s="12" t="n">
        <x:v>4581.9085</x:v>
      </x:c>
      <x:c r="C1020" s="12" t="n">
        <x:v>4570.0216</x:v>
      </x:c>
      <x:c r="D1020" s="12" t="n">
        <x:v>0.2601</x:v>
      </x:c>
      <x:c r="E1020" s="12" t="n">
        <x:v>0.0025976830142870892</x:v>
      </x:c>
      <x:c r="F1020" s="13" t="n">
        <x:v>44099</x:v>
      </x:c>
      <x:c r="G1020" s="12" t="n">
        <x:v>5.64</x:v>
      </x:c>
      <x:c r="H1020" s="12" t="n">
        <x:v>564</x:v>
      </x:c>
      <x:c r="I1020" s="12" t="n">
        <x:v>0</x:v>
      </x:c>
      <x:c r="J1020" s="12" t="n">
        <x:v>3</x:v>
      </x:c>
    </x:row>
    <x:row r="1021" ht="18" customHeight="1">
      <x:c r="A1021" s="13" t="n">
        <x:v>44103</x:v>
      </x:c>
      <x:c r="B1021" s="12" t="n">
        <x:v>4591.7993</x:v>
      </x:c>
      <x:c r="C1021" s="12" t="n">
        <x:v>4581.9085</x:v>
      </x:c>
      <x:c r="D1021" s="12" t="n">
        <x:v>0.2159</x:v>
      </x:c>
      <x:c r="E1021" s="12" t="n">
        <x:v>0.0021563372298629402</x:v>
      </x:c>
      <x:c r="F1021" s="13" t="n">
        <x:v>44102</x:v>
      </x:c>
      <x:c r="G1021" s="12" t="n">
        <x:v>5.52</x:v>
      </x:c>
      <x:c r="H1021" s="12" t="n">
        <x:v>552</x:v>
      </x:c>
      <x:c r="I1021" s="12" t="n">
        <x:v>-12</x:v>
      </x:c>
      <x:c r="J1021" s="12" t="n">
        <x:v>1</x:v>
      </x:c>
    </x:row>
    <x:row r="1022" ht="18" customHeight="1">
      <x:c r="A1022" s="13" t="n">
        <x:v>44104</x:v>
      </x:c>
      <x:c r="B1022" s="12" t="n">
        <x:v>4587.3953</x:v>
      </x:c>
      <x:c r="C1022" s="12" t="n">
        <x:v>4591.7993</x:v>
      </x:c>
      <x:c r="D1022" s="12" t="n">
        <x:v>-0.0959</x:v>
      </x:c>
      <x:c r="E1022" s="12" t="n">
        <x:v>-0.000959561384158417</x:v>
      </x:c>
      <x:c r="F1022" s="13" t="n">
        <x:v>44103</x:v>
      </x:c>
      <x:c r="G1022" s="12" t="n">
        <x:v>5.5</x:v>
      </x:c>
      <x:c r="H1022" s="12" t="n">
        <x:v>550</x:v>
      </x:c>
      <x:c r="I1022" s="12" t="n">
        <x:v>-2</x:v>
      </x:c>
      <x:c r="J1022" s="12" t="n">
        <x:v>1</x:v>
      </x:c>
    </x:row>
    <x:row r="1023" ht="18" customHeight="1">
      <x:c r="A1023" s="13" t="n">
        <x:v>44113</x:v>
      </x:c>
      <x:c r="B1023" s="12" t="n">
        <x:v>4681.1412</x:v>
      </x:c>
      <x:c r="C1023" s="12" t="n">
        <x:v>4587.3953</x:v>
      </x:c>
      <x:c r="D1023" s="12" t="n">
        <x:v>2.0436</x:v>
      </x:c>
      <x:c r="E1023" s="12" t="n">
        <x:v>0.0202295361258012</x:v>
      </x:c>
      <x:c r="F1023" s="13" t="n">
        <x:v>44112</x:v>
      </x:c>
      <x:c r="G1023" s="12" t="n">
        <x:v>4.97</x:v>
      </x:c>
      <x:c r="H1023" s="12" t="n">
        <x:v>497</x:v>
      </x:c>
      <x:c r="I1023" s="12" t="n">
        <x:v>-4.999999999999943</x:v>
      </x:c>
      <x:c r="J1023" s="12" t="n">
        <x:v>1</x:v>
      </x:c>
    </x:row>
    <x:row r="1024" ht="18" customHeight="1">
      <x:c r="A1024" s="13" t="n">
        <x:v>44116</x:v>
      </x:c>
      <x:c r="B1024" s="12" t="n">
        <x:v>4823.1578</x:v>
      </x:c>
      <x:c r="C1024" s="12" t="n">
        <x:v>4681.1412</x:v>
      </x:c>
      <x:c r="D1024" s="12" t="n">
        <x:v>3.0338</x:v>
      </x:c>
      <x:c r="E1024" s="12" t="n">
        <x:v>0.02988693241901605</x:v>
      </x:c>
      <x:c r="F1024" s="13" t="n">
        <x:v>44113</x:v>
      </x:c>
      <x:c r="G1024" s="12" t="n">
        <x:v>4.92</x:v>
      </x:c>
      <x:c r="H1024" s="12" t="n">
        <x:v>492</x:v>
      </x:c>
      <x:c r="I1024" s="12" t="n">
        <x:v>-5</x:v>
      </x:c>
      <x:c r="J1024" s="12" t="n">
        <x:v>3</x:v>
      </x:c>
    </x:row>
    <x:row r="1025" ht="18" customHeight="1">
      <x:c r="A1025" s="13" t="n">
        <x:v>44117</x:v>
      </x:c>
      <x:c r="B1025" s="12" t="n">
        <x:v>4839.201</x:v>
      </x:c>
      <x:c r="C1025" s="12" t="n">
        <x:v>4823.1578</x:v>
      </x:c>
      <x:c r="D1025" s="12" t="n">
        <x:v>0.3326</x:v>
      </x:c>
      <x:c r="E1025" s="12" t="n">
        <x:v>0.003320765679496209</x:v>
      </x:c>
      <x:c r="F1025" s="13" t="n">
        <x:v>44116</x:v>
      </x:c>
      <x:c r="G1025" s="12" t="n">
        <x:v>4.92</x:v>
      </x:c>
      <x:c r="H1025" s="12" t="n">
        <x:v>492</x:v>
      </x:c>
      <x:c r="I1025" s="12" t="n">
        <x:v>0</x:v>
      </x:c>
      <x:c r="J1025" s="12" t="n">
        <x:v>1</x:v>
      </x:c>
    </x:row>
    <x:row r="1026" ht="18" customHeight="1">
      <x:c r="A1026" s="13" t="n">
        <x:v>44118</x:v>
      </x:c>
      <x:c r="B1026" s="12" t="n">
        <x:v>4807.1021</x:v>
      </x:c>
      <x:c r="C1026" s="12" t="n">
        <x:v>4839.201</x:v>
      </x:c>
      <x:c r="D1026" s="12" t="n">
        <x:v>-0.6633</x:v>
      </x:c>
      <x:c r="E1026" s="12" t="n">
        <x:v>-0.0066551959114719535</x:v>
      </x:c>
      <x:c r="F1026" s="13" t="n">
        <x:v>44117</x:v>
      </x:c>
      <x:c r="G1026" s="12" t="n">
        <x:v>4.88</x:v>
      </x:c>
      <x:c r="H1026" s="12" t="n">
        <x:v>488</x:v>
      </x:c>
      <x:c r="I1026" s="12" t="n">
        <x:v>-4</x:v>
      </x:c>
      <x:c r="J1026" s="12" t="n">
        <x:v>1</x:v>
      </x:c>
    </x:row>
    <x:row r="1027" ht="18" customHeight="1">
      <x:c r="A1027" s="13" t="n">
        <x:v>44119</x:v>
      </x:c>
      <x:c r="B1027" s="12" t="n">
        <x:v>4798.7361</x:v>
      </x:c>
      <x:c r="C1027" s="12" t="n">
        <x:v>4807.1021</x:v>
      </x:c>
      <x:c r="D1027" s="12" t="n">
        <x:v>-0.174</x:v>
      </x:c>
      <x:c r="E1027" s="12" t="n">
        <x:v>-0.00174185780377837</x:v>
      </x:c>
      <x:c r="F1027" s="13" t="n">
        <x:v>44118</x:v>
      </x:c>
      <x:c r="G1027" s="12" t="n">
        <x:v>4.89</x:v>
      </x:c>
      <x:c r="H1027" s="12" t="n">
        <x:v>488.99999999999994</x:v>
      </x:c>
      <x:c r="I1027" s="12" t="n">
        <x:v>0.9999999999999432</x:v>
      </x:c>
      <x:c r="J1027" s="12" t="n">
        <x:v>1</x:v>
      </x:c>
    </x:row>
    <x:row r="1028" ht="18" customHeight="1">
      <x:c r="A1028" s="13" t="n">
        <x:v>44120</x:v>
      </x:c>
      <x:c r="B1028" s="12" t="n">
        <x:v>4791.676</x:v>
      </x:c>
      <x:c r="C1028" s="12" t="n">
        <x:v>4798.7361</x:v>
      </x:c>
      <x:c r="D1028" s="12" t="n">
        <x:v>-0.1471</x:v>
      </x:c>
      <x:c r="E1028" s="12" t="n">
        <x:v>-0.0014723249015277874</x:v>
      </x:c>
      <x:c r="F1028" s="13" t="n">
        <x:v>44119</x:v>
      </x:c>
      <x:c r="G1028" s="12" t="n">
        <x:v>5.01</x:v>
      </x:c>
      <x:c r="H1028" s="12" t="n">
        <x:v>501</x:v>
      </x:c>
      <x:c r="I1028" s="12" t="n">
        <x:v>12.000000000000057</x:v>
      </x:c>
      <x:c r="J1028" s="12" t="n">
        <x:v>1</x:v>
      </x:c>
    </x:row>
    <x:row r="1029" ht="18" customHeight="1">
      <x:c r="A1029" s="13" t="n">
        <x:v>44123</x:v>
      </x:c>
      <x:c r="B1029" s="12" t="n">
        <x:v>4755.4879</x:v>
      </x:c>
      <x:c r="C1029" s="12" t="n">
        <x:v>4791.676</x:v>
      </x:c>
      <x:c r="D1029" s="12" t="n">
        <x:v>-0.7552</x:v>
      </x:c>
      <x:c r="E1029" s="12" t="n">
        <x:v>-0.007580947324676243</x:v>
      </x:c>
      <x:c r="F1029" s="13" t="n">
        <x:v>44120</x:v>
      </x:c>
      <x:c r="G1029" s="12" t="n">
        <x:v>4.94</x:v>
      </x:c>
      <x:c r="H1029" s="12" t="n">
        <x:v>494.00000000000006</x:v>
      </x:c>
      <x:c r="I1029" s="12" t="n">
        <x:v>-6.999999999999943</x:v>
      </x:c>
      <x:c r="J1029" s="12" t="n">
        <x:v>3</x:v>
      </x:c>
    </x:row>
    <x:row r="1030" ht="18" customHeight="1">
      <x:c r="A1030" s="13" t="n">
        <x:v>44124</x:v>
      </x:c>
      <x:c r="B1030" s="12" t="n">
        <x:v>4793.4672</x:v>
      </x:c>
      <x:c r="C1030" s="12" t="n">
        <x:v>4755.4879</x:v>
      </x:c>
      <x:c r="D1030" s="12" t="n">
        <x:v>0.7986</x:v>
      </x:c>
      <x:c r="E1030" s="12" t="n">
        <x:v>0.007954692397331964</x:v>
      </x:c>
      <x:c r="F1030" s="13" t="n">
        <x:v>44123</x:v>
      </x:c>
      <x:c r="G1030" s="12" t="n">
        <x:v>4.91</x:v>
      </x:c>
      <x:c r="H1030" s="12" t="n">
        <x:v>491</x:v>
      </x:c>
      <x:c r="I1030" s="12" t="n">
        <x:v>-3.000000000000057</x:v>
      </x:c>
      <x:c r="J1030" s="12" t="n">
        <x:v>1</x:v>
      </x:c>
    </x:row>
    <x:row r="1031" ht="18" customHeight="1">
      <x:c r="A1031" s="13" t="n">
        <x:v>44125</x:v>
      </x:c>
      <x:c r="B1031" s="12" t="n">
        <x:v>4792.8284</x:v>
      </x:c>
      <x:c r="C1031" s="12" t="n">
        <x:v>4793.4672</x:v>
      </x:c>
      <x:c r="D1031" s="12" t="n">
        <x:v>-0.0133</x:v>
      </x:c>
      <x:c r="E1031" s="12" t="n">
        <x:v>-0.0001332735871289077</x:v>
      </x:c>
      <x:c r="F1031" s="13" t="n">
        <x:v>44124</x:v>
      </x:c>
      <x:c r="G1031" s="12" t="n">
        <x:v>4.9</x:v>
      </x:c>
      <x:c r="H1031" s="12" t="n">
        <x:v>490.00000000000006</x:v>
      </x:c>
      <x:c r="I1031" s="12" t="n">
        <x:v>-0.9999999999999432</x:v>
      </x:c>
      <x:c r="J1031" s="12" t="n">
        <x:v>1</x:v>
      </x:c>
    </x:row>
    <x:row r="1032" ht="18" customHeight="1">
      <x:c r="A1032" s="13" t="n">
        <x:v>44126</x:v>
      </x:c>
      <x:c r="B1032" s="12" t="n">
        <x:v>4777.9845</x:v>
      </x:c>
      <x:c r="C1032" s="12" t="n">
        <x:v>4792.8284</x:v>
      </x:c>
      <x:c r="D1032" s="12" t="n">
        <x:v>-0.3097</x:v>
      </x:c>
      <x:c r="E1032" s="12" t="n">
        <x:v>-0.0031019124618266</x:v>
      </x:c>
      <x:c r="F1032" s="13" t="n">
        <x:v>44125</x:v>
      </x:c>
      <x:c r="G1032" s="12" t="n">
        <x:v>4.91</x:v>
      </x:c>
      <x:c r="H1032" s="12" t="n">
        <x:v>491</x:v>
      </x:c>
      <x:c r="I1032" s="12" t="n">
        <x:v>0.9999999999999432</x:v>
      </x:c>
      <x:c r="J1032" s="12" t="n">
        <x:v>1</x:v>
      </x:c>
    </x:row>
    <x:row r="1033" ht="18" customHeight="1">
      <x:c r="A1033" s="13" t="n">
        <x:v>44127</x:v>
      </x:c>
      <x:c r="B1033" s="12" t="n">
        <x:v>4718.4881</x:v>
      </x:c>
      <x:c r="C1033" s="12" t="n">
        <x:v>4777.9845</x:v>
      </x:c>
      <x:c r="D1033" s="12" t="n">
        <x:v>-1.2452</x:v>
      </x:c>
      <x:c r="E1033" s="12" t="n">
        <x:v>-0.012530374375044237</x:v>
      </x:c>
      <x:c r="F1033" s="13" t="n">
        <x:v>44126</x:v>
      </x:c>
      <x:c r="G1033" s="12" t="n">
        <x:v>4.88</x:v>
      </x:c>
      <x:c r="H1033" s="12" t="n">
        <x:v>488</x:v>
      </x:c>
      <x:c r="I1033" s="12" t="n">
        <x:v>-3</x:v>
      </x:c>
      <x:c r="J1033" s="12" t="n">
        <x:v>1</x:v>
      </x:c>
    </x:row>
    <x:row r="1034" ht="18" customHeight="1">
      <x:c r="A1034" s="13" t="n">
        <x:v>44130</x:v>
      </x:c>
      <x:c r="B1034" s="12" t="n">
        <x:v>4691.2359</x:v>
      </x:c>
      <x:c r="C1034" s="12" t="n">
        <x:v>4718.4881</x:v>
      </x:c>
      <x:c r="D1034" s="12" t="n">
        <x:v>-0.5776</x:v>
      </x:c>
      <x:c r="E1034" s="12" t="n">
        <x:v>-0.005792364621097337</x:v>
      </x:c>
      <x:c r="F1034" s="13" t="n">
        <x:v>44127</x:v>
      </x:c>
      <x:c r="G1034" s="12" t="n">
        <x:v>4.87</x:v>
      </x:c>
      <x:c r="H1034" s="12" t="n">
        <x:v>487</x:v>
      </x:c>
      <x:c r="I1034" s="12" t="n">
        <x:v>-1</x:v>
      </x:c>
      <x:c r="J1034" s="12" t="n">
        <x:v>3</x:v>
      </x:c>
    </x:row>
    <x:row r="1035" ht="18" customHeight="1">
      <x:c r="A1035" s="13" t="n">
        <x:v>44131</x:v>
      </x:c>
      <x:c r="B1035" s="12" t="n">
        <x:v>4699.2792</x:v>
      </x:c>
      <x:c r="C1035" s="12" t="n">
        <x:v>4691.2359</x:v>
      </x:c>
      <x:c r="D1035" s="12" t="n">
        <x:v>0.1715</x:v>
      </x:c>
      <x:c r="E1035" s="12" t="n">
        <x:v>0.0017130693857238426</x:v>
      </x:c>
      <x:c r="F1035" s="13" t="n">
        <x:v>44130</x:v>
      </x:c>
      <x:c r="G1035" s="12" t="n">
        <x:v>5.03</x:v>
      </x:c>
      <x:c r="H1035" s="12" t="n">
        <x:v>503</x:v>
      </x:c>
      <x:c r="I1035" s="12" t="n">
        <x:v>16</x:v>
      </x:c>
      <x:c r="J1035" s="12" t="n">
        <x:v>1</x:v>
      </x:c>
    </x:row>
    <x:row r="1036" ht="18" customHeight="1">
      <x:c r="A1036" s="13" t="n">
        <x:v>44132</x:v>
      </x:c>
      <x:c r="B1036" s="12" t="n">
        <x:v>4737.2718</x:v>
      </x:c>
      <x:c r="C1036" s="12" t="n">
        <x:v>4699.2792</x:v>
      </x:c>
      <x:c r="D1036" s="12" t="n">
        <x:v>0.8085</x:v>
      </x:c>
      <x:c r="E1036" s="12" t="n">
        <x:v>0.008052265130175401</x:v>
      </x:c>
      <x:c r="F1036" s="13" t="n">
        <x:v>44131</x:v>
      </x:c>
      <x:c r="G1036" s="12" t="n">
        <x:v>5.06</x:v>
      </x:c>
      <x:c r="H1036" s="12" t="n">
        <x:v>505.99999999999994</x:v>
      </x:c>
      <x:c r="I1036" s="12" t="n">
        <x:v>2.999999999999943</x:v>
      </x:c>
      <x:c r="J1036" s="12" t="n">
        <x:v>1</x:v>
      </x:c>
    </x:row>
    <x:row r="1037" ht="18" customHeight="1">
      <x:c r="A1037" s="13" t="n">
        <x:v>44133</x:v>
      </x:c>
      <x:c r="B1037" s="12" t="n">
        <x:v>4772.9198</x:v>
      </x:c>
      <x:c r="C1037" s="12" t="n">
        <x:v>4737.2718</x:v>
      </x:c>
      <x:c r="D1037" s="12" t="n">
        <x:v>0.7525</x:v>
      </x:c>
      <x:c r="E1037" s="12" t="n">
        <x:v>0.007496834650276579</x:v>
      </x:c>
      <x:c r="F1037" s="13" t="n">
        <x:v>44132</x:v>
      </x:c>
      <x:c r="G1037" s="12" t="n">
        <x:v>5.29</x:v>
      </x:c>
      <x:c r="H1037" s="12" t="n">
        <x:v>529</x:v>
      </x:c>
      <x:c r="I1037" s="12" t="n">
        <x:v>23.000000000000057</x:v>
      </x:c>
      <x:c r="J1037" s="12" t="n">
        <x:v>1</x:v>
      </x:c>
    </x:row>
    <x:row r="1038" ht="18" customHeight="1">
      <x:c r="A1038" s="13" t="n">
        <x:v>44134</x:v>
      </x:c>
      <x:c r="B1038" s="12" t="n">
        <x:v>4695.3338</x:v>
      </x:c>
      <x:c r="C1038" s="12" t="n">
        <x:v>4772.9198</x:v>
      </x:c>
      <x:c r="D1038" s="12" t="n">
        <x:v>-1.6255</x:v>
      </x:c>
      <x:c r="E1038" s="12" t="n">
        <x:v>-0.016389027988660262</x:v>
      </x:c>
      <x:c r="F1038" s="13" t="n">
        <x:v>44133</x:v>
      </x:c>
      <x:c r="G1038" s="12" t="n">
        <x:v>5.25</x:v>
      </x:c>
      <x:c r="H1038" s="12" t="n">
        <x:v>525</x:v>
      </x:c>
      <x:c r="I1038" s="12" t="n">
        <x:v>-4</x:v>
      </x:c>
      <x:c r="J1038" s="12" t="n">
        <x:v>1</x:v>
      </x:c>
    </x:row>
    <x:row r="1039" ht="18" customHeight="1">
      <x:c r="A1039" s="13" t="n">
        <x:v>44137</x:v>
      </x:c>
      <x:c r="B1039" s="12" t="n">
        <x:v>4720.8313</x:v>
      </x:c>
      <x:c r="C1039" s="12" t="n">
        <x:v>4695.3338</x:v>
      </x:c>
      <x:c r="D1039" s="12" t="n">
        <x:v>0.543</x:v>
      </x:c>
      <x:c r="E1039" s="12" t="n">
        <x:v>0.005415699926437235</x:v>
      </x:c>
      <x:c r="F1039" s="13" t="n">
        <x:v>44135</x:v>
      </x:c>
      <x:c r="G1039" s="12" t="n">
        <x:v>5.32</x:v>
      </x:c>
      <x:c r="H1039" s="12" t="n">
        <x:v>532</x:v>
      </x:c>
      <x:c r="I1039" s="12" t="n">
        <x:v>7</x:v>
      </x:c>
      <x:c r="J1039" s="12" t="n">
        <x:v>2</x:v>
      </x:c>
    </x:row>
    <x:row r="1040" ht="18" customHeight="1">
      <x:c r="A1040" s="13" t="n">
        <x:v>44138</x:v>
      </x:c>
      <x:c r="B1040" s="12" t="n">
        <x:v>4777.5608</x:v>
      </x:c>
      <x:c r="C1040" s="12" t="n">
        <x:v>4720.8313</x:v>
      </x:c>
      <x:c r="D1040" s="12" t="n">
        <x:v>1.2017</x:v>
      </x:c>
      <x:c r="E1040" s="12" t="n">
        <x:v>0.011945216401603785</x:v>
      </x:c>
      <x:c r="F1040" s="13" t="n">
        <x:v>44137</x:v>
      </x:c>
      <x:c r="G1040" s="12" t="n">
        <x:v>5.25</x:v>
      </x:c>
      <x:c r="H1040" s="12" t="n">
        <x:v>525</x:v>
      </x:c>
      <x:c r="I1040" s="12" t="n">
        <x:v>-7</x:v>
      </x:c>
      <x:c r="J1040" s="12" t="n">
        <x:v>1</x:v>
      </x:c>
    </x:row>
    <x:row r="1041" ht="18" customHeight="1">
      <x:c r="A1041" s="13" t="n">
        <x:v>44139</x:v>
      </x:c>
      <x:c r="B1041" s="12" t="n">
        <x:v>4813.6564</x:v>
      </x:c>
      <x:c r="C1041" s="12" t="n">
        <x:v>4777.5608</x:v>
      </x:c>
      <x:c r="D1041" s="12" t="n">
        <x:v>0.7555</x:v>
      </x:c>
      <x:c r="E1041" s="12" t="n">
        <x:v>0.007526838285146994</x:v>
      </x:c>
      <x:c r="F1041" s="13" t="n">
        <x:v>44138</x:v>
      </x:c>
      <x:c r="G1041" s="12" t="n">
        <x:v>5.07</x:v>
      </x:c>
      <x:c r="H1041" s="12" t="n">
        <x:v>507</x:v>
      </x:c>
      <x:c r="I1041" s="12" t="n">
        <x:v>-18</x:v>
      </x:c>
      <x:c r="J1041" s="12" t="n">
        <x:v>1</x:v>
      </x:c>
    </x:row>
    <x:row r="1042" ht="18" customHeight="1">
      <x:c r="A1042" s="13" t="n">
        <x:v>44140</x:v>
      </x:c>
      <x:c r="B1042" s="12" t="n">
        <x:v>4885.1118</x:v>
      </x:c>
      <x:c r="C1042" s="12" t="n">
        <x:v>4813.6564</x:v>
      </x:c>
      <x:c r="D1042" s="12" t="n">
        <x:v>1.4844</x:v>
      </x:c>
      <x:c r="E1042" s="12" t="n">
        <x:v>0.01473520996199845</x:v>
      </x:c>
      <x:c r="F1042" s="13" t="n">
        <x:v>44139</x:v>
      </x:c>
      <x:c r="G1042" s="12" t="n">
        <x:v>4.79</x:v>
      </x:c>
      <x:c r="H1042" s="12" t="n">
        <x:v>479</x:v>
      </x:c>
      <x:c r="I1042" s="12" t="n">
        <x:v>-28</x:v>
      </x:c>
      <x:c r="J1042" s="12" t="n">
        <x:v>1</x:v>
      </x:c>
    </x:row>
    <x:row r="1043" ht="18" customHeight="1">
      <x:c r="A1043" s="13" t="n">
        <x:v>44141</x:v>
      </x:c>
      <x:c r="B1043" s="12" t="n">
        <x:v>4885.7178</x:v>
      </x:c>
      <x:c r="C1043" s="12" t="n">
        <x:v>4885.1118</x:v>
      </x:c>
      <x:c r="D1043" s="12" t="n">
        <x:v>0.0124</x:v>
      </x:c>
      <x:c r="E1043" s="12" t="n">
        <x:v>0.00012404269147779382</x:v>
      </x:c>
      <x:c r="F1043" s="13" t="n">
        <x:v>44140</x:v>
      </x:c>
      <x:c r="G1043" s="12" t="n">
        <x:v>4.59</x:v>
      </x:c>
      <x:c r="H1043" s="12" t="n">
        <x:v>459</x:v>
      </x:c>
      <x:c r="I1043" s="12" t="n">
        <x:v>-20</x:v>
      </x:c>
      <x:c r="J1043" s="12" t="n">
        <x:v>1</x:v>
      </x:c>
    </x:row>
    <x:row r="1044" ht="18" customHeight="1">
      <x:c r="A1044" s="13" t="n">
        <x:v>44144</x:v>
      </x:c>
      <x:c r="B1044" s="12" t="n">
        <x:v>4981.3497</x:v>
      </x:c>
      <x:c r="C1044" s="12" t="n">
        <x:v>4885.7178</x:v>
      </x:c>
      <x:c r="D1044" s="12" t="n">
        <x:v>1.9574</x:v>
      </x:c>
      <x:c r="E1044" s="12" t="n">
        <x:v>0.019384664101318113</x:v>
      </x:c>
      <x:c r="F1044" s="13" t="n">
        <x:v>44141</x:v>
      </x:c>
      <x:c r="G1044" s="12" t="n">
        <x:v>4.67</x:v>
      </x:c>
      <x:c r="H1044" s="12" t="n">
        <x:v>467</x:v>
      </x:c>
      <x:c r="I1044" s="12" t="n">
        <x:v>8</x:v>
      </x:c>
      <x:c r="J1044" s="12" t="n">
        <x:v>3</x:v>
      </x:c>
    </x:row>
    <x:row r="1045" ht="18" customHeight="1">
      <x:c r="A1045" s="13" t="n">
        <x:v>44145</x:v>
      </x:c>
      <x:c r="B1045" s="12" t="n">
        <x:v>4953.8756</x:v>
      </x:c>
      <x:c r="C1045" s="12" t="n">
        <x:v>4981.3497</x:v>
      </x:c>
      <x:c r="D1045" s="12" t="n">
        <x:v>-0.5515</x:v>
      </x:c>
      <x:c r="E1045" s="12" t="n">
        <x:v>-0.005530658682067191</x:v>
      </x:c>
      <x:c r="F1045" s="13" t="n">
        <x:v>44144</x:v>
      </x:c>
      <x:c r="G1045" s="12" t="n">
        <x:v>4.22</x:v>
      </x:c>
      <x:c r="H1045" s="12" t="n">
        <x:v>422</x:v>
      </x:c>
      <x:c r="I1045" s="12" t="n">
        <x:v>-45</x:v>
      </x:c>
      <x:c r="J1045" s="12" t="n">
        <x:v>1</x:v>
      </x:c>
    </x:row>
    <x:row r="1046" ht="18" customHeight="1">
      <x:c r="A1046" s="13" t="n">
        <x:v>44146</x:v>
      </x:c>
      <x:c r="B1046" s="12" t="n">
        <x:v>4904.8981</x:v>
      </x:c>
      <x:c r="C1046" s="12" t="n">
        <x:v>4953.8756</x:v>
      </x:c>
      <x:c r="D1046" s="12" t="n">
        <x:v>-0.9887</x:v>
      </x:c>
      <x:c r="E1046" s="12" t="n">
        <x:v>-0.009935901648628813</x:v>
      </x:c>
      <x:c r="F1046" s="13" t="n">
        <x:v>44145</x:v>
      </x:c>
      <x:c r="G1046" s="12" t="n">
        <x:v>4.37</x:v>
      </x:c>
      <x:c r="H1046" s="12" t="n">
        <x:v>437</x:v>
      </x:c>
      <x:c r="I1046" s="12" t="n">
        <x:v>15</x:v>
      </x:c>
      <x:c r="J1046" s="12" t="n">
        <x:v>1</x:v>
      </x:c>
    </x:row>
    <x:row r="1047" ht="18" customHeight="1">
      <x:c r="A1047" s="13" t="n">
        <x:v>44147</x:v>
      </x:c>
      <x:c r="B1047" s="12" t="n">
        <x:v>4908.463</x:v>
      </x:c>
      <x:c r="C1047" s="12" t="n">
        <x:v>4904.8981</x:v>
      </x:c>
      <x:c r="D1047" s="12" t="n">
        <x:v>0.0727</x:v>
      </x:c>
      <x:c r="E1047" s="12" t="n">
        <x:v>0.0007265400957911837</x:v>
      </x:c>
      <x:c r="F1047" s="13" t="n">
        <x:v>44146</x:v>
      </x:c>
      <x:c r="G1047" s="12" t="n">
        <x:v>4.37</x:v>
      </x:c>
      <x:c r="H1047" s="12" t="n">
        <x:v>437</x:v>
      </x:c>
      <x:c r="I1047" s="12" t="n">
        <x:v>0</x:v>
      </x:c>
      <x:c r="J1047" s="12" t="n">
        <x:v>1</x:v>
      </x:c>
    </x:row>
    <x:row r="1048" ht="18" customHeight="1">
      <x:c r="A1048" s="13" t="n">
        <x:v>44148</x:v>
      </x:c>
      <x:c r="B1048" s="12" t="n">
        <x:v>4856.8513</x:v>
      </x:c>
      <x:c r="C1048" s="12" t="n">
        <x:v>4908.463</x:v>
      </x:c>
      <x:c r="D1048" s="12" t="n">
        <x:v>-1.0515</x:v>
      </x:c>
      <x:c r="E1048" s="12" t="n">
        <x:v>-0.010570510889047147</x:v>
      </x:c>
      <x:c r="F1048" s="13" t="n">
        <x:v>44147</x:v>
      </x:c>
      <x:c r="G1048" s="12" t="n">
        <x:v>4.62</x:v>
      </x:c>
      <x:c r="H1048" s="12" t="n">
        <x:v>462</x:v>
      </x:c>
      <x:c r="I1048" s="12" t="n">
        <x:v>25</x:v>
      </x:c>
      <x:c r="J1048" s="12" t="n">
        <x:v>1</x:v>
      </x:c>
    </x:row>
    <x:row r="1049" ht="18" customHeight="1">
      <x:c r="A1049" s="13" t="n">
        <x:v>44151</x:v>
      </x:c>
      <x:c r="B1049" s="12" t="n">
        <x:v>4904.1716</x:v>
      </x:c>
      <x:c r="C1049" s="12" t="n">
        <x:v>4856.8513</x:v>
      </x:c>
      <x:c r="D1049" s="12" t="n">
        <x:v>0.9743</x:v>
      </x:c>
      <x:c r="E1049" s="12" t="n">
        <x:v>0.009695842576503763</x:v>
      </x:c>
      <x:c r="F1049" s="13" t="n">
        <x:v>44148</x:v>
      </x:c>
      <x:c r="G1049" s="12" t="n">
        <x:v>4.63</x:v>
      </x:c>
      <x:c r="H1049" s="12" t="n">
        <x:v>463</x:v>
      </x:c>
      <x:c r="I1049" s="12" t="n">
        <x:v>1</x:v>
      </x:c>
      <x:c r="J1049" s="12" t="n">
        <x:v>3</x:v>
      </x:c>
    </x:row>
    <x:row r="1050" ht="18" customHeight="1">
      <x:c r="A1050" s="13" t="n">
        <x:v>44152</x:v>
      </x:c>
      <x:c r="B1050" s="12" t="n">
        <x:v>4894.786</x:v>
      </x:c>
      <x:c r="C1050" s="12" t="n">
        <x:v>4904.1716</x:v>
      </x:c>
      <x:c r="D1050" s="12" t="n">
        <x:v>-0.1914</x:v>
      </x:c>
      <x:c r="E1050" s="12" t="n">
        <x:v>-0.0019156329179655564</x:v>
      </x:c>
      <x:c r="F1050" s="13" t="n">
        <x:v>44151</x:v>
      </x:c>
      <x:c r="G1050" s="12" t="n">
        <x:v>4.5</x:v>
      </x:c>
      <x:c r="H1050" s="12" t="n">
        <x:v>450</x:v>
      </x:c>
      <x:c r="I1050" s="12" t="n">
        <x:v>-13</x:v>
      </x:c>
      <x:c r="J1050" s="12" t="n">
        <x:v>1</x:v>
      </x:c>
    </x:row>
    <x:row r="1051" ht="18" customHeight="1">
      <x:c r="A1051" s="13" t="n">
        <x:v>44153</x:v>
      </x:c>
      <x:c r="B1051" s="12" t="n">
        <x:v>4891.6716</x:v>
      </x:c>
      <x:c r="C1051" s="12" t="n">
        <x:v>4894.786</x:v>
      </x:c>
      <x:c r="D1051" s="12" t="n">
        <x:v>-0.0636</x:v>
      </x:c>
      <x:c r="E1051" s="12" t="n">
        <x:v>-0.0006364713837081073</x:v>
      </x:c>
      <x:c r="F1051" s="13" t="n">
        <x:v>44152</x:v>
      </x:c>
      <x:c r="G1051" s="12" t="n">
        <x:v>4.48</x:v>
      </x:c>
      <x:c r="H1051" s="12" t="n">
        <x:v>448.00000000000006</x:v>
      </x:c>
      <x:c r="I1051" s="12" t="n">
        <x:v>-1.9999999999999432</x:v>
      </x:c>
      <x:c r="J1051" s="12" t="n">
        <x:v>1</x:v>
      </x:c>
    </x:row>
    <x:row r="1052" ht="18" customHeight="1">
      <x:c r="A1052" s="13" t="n">
        <x:v>44154</x:v>
      </x:c>
      <x:c r="B1052" s="12" t="n">
        <x:v>4927.9891</x:v>
      </x:c>
      <x:c r="C1052" s="12" t="n">
        <x:v>4891.6716</x:v>
      </x:c>
      <x:c r="D1052" s="12" t="n">
        <x:v>0.7424</x:v>
      </x:c>
      <x:c r="E1052" s="12" t="n">
        <x:v>0.007396928814693623</x:v>
      </x:c>
      <x:c r="F1052" s="13" t="n">
        <x:v>44153</x:v>
      </x:c>
      <x:c r="G1052" s="12" t="n">
        <x:v>4.42</x:v>
      </x:c>
      <x:c r="H1052" s="12" t="n">
        <x:v>442</x:v>
      </x:c>
      <x:c r="I1052" s="12" t="n">
        <x:v>-6.000000000000057</x:v>
      </x:c>
      <x:c r="J1052" s="12" t="n">
        <x:v>1</x:v>
      </x:c>
    </x:row>
    <x:row r="1053" ht="18" customHeight="1">
      <x:c r="A1053" s="13" t="n">
        <x:v>44155</x:v>
      </x:c>
      <x:c r="B1053" s="12" t="n">
        <x:v>4943.2882</x:v>
      </x:c>
      <x:c r="C1053" s="12" t="n">
        <x:v>4927.9891</x:v>
      </x:c>
      <x:c r="D1053" s="12" t="n">
        <x:v>0.3105</x:v>
      </x:c>
      <x:c r="E1053" s="12" t="n">
        <x:v>0.003099722920323173</x:v>
      </x:c>
      <x:c r="F1053" s="13" t="n">
        <x:v>44154</x:v>
      </x:c>
      <x:c r="G1053" s="12" t="n">
        <x:v>4.48</x:v>
      </x:c>
      <x:c r="H1053" s="12" t="n">
        <x:v>448.00000000000006</x:v>
      </x:c>
      <x:c r="I1053" s="12" t="n">
        <x:v>6.000000000000057</x:v>
      </x:c>
      <x:c r="J1053" s="12" t="n">
        <x:v>1</x:v>
      </x:c>
    </x:row>
    <x:row r="1054" ht="18" customHeight="1">
      <x:c r="A1054" s="13" t="n">
        <x:v>44158</x:v>
      </x:c>
      <x:c r="B1054" s="12" t="n">
        <x:v>5005.0273</x:v>
      </x:c>
      <x:c r="C1054" s="12" t="n">
        <x:v>4943.2882</x:v>
      </x:c>
      <x:c r="D1054" s="12" t="n">
        <x:v>1.2489</x:v>
      </x:c>
      <x:c r="E1054" s="12" t="n">
        <x:v>0.012412129999316287</x:v>
      </x:c>
      <x:c r="F1054" s="13" t="n">
        <x:v>44155</x:v>
      </x:c>
      <x:c r="G1054" s="12" t="n">
        <x:v>4.49</x:v>
      </x:c>
      <x:c r="H1054" s="12" t="n">
        <x:v>449</x:v>
      </x:c>
      <x:c r="I1054" s="12" t="n">
        <x:v>0.9999999999999432</x:v>
      </x:c>
      <x:c r="J1054" s="12" t="n">
        <x:v>3</x:v>
      </x:c>
    </x:row>
    <x:row r="1055" ht="18" customHeight="1">
      <x:c r="A1055" s="13" t="n">
        <x:v>44159</x:v>
      </x:c>
      <x:c r="B1055" s="12" t="n">
        <x:v>4974.2855</x:v>
      </x:c>
      <x:c r="C1055" s="12" t="n">
        <x:v>5005.0273</x:v>
      </x:c>
      <x:c r="D1055" s="12" t="n">
        <x:v>-0.6142</x:v>
      </x:c>
      <x:c r="E1055" s="12" t="n">
        <x:v>-0.006161125091724083</x:v>
      </x:c>
      <x:c r="F1055" s="13" t="n">
        <x:v>44158</x:v>
      </x:c>
      <x:c r="G1055" s="12" t="n">
        <x:v>4.43</x:v>
      </x:c>
      <x:c r="H1055" s="12" t="n">
        <x:v>443</x:v>
      </x:c>
      <x:c r="I1055" s="12" t="n">
        <x:v>-6</x:v>
      </x:c>
      <x:c r="J1055" s="12" t="n">
        <x:v>1</x:v>
      </x:c>
    </x:row>
    <x:row r="1056" ht="18" customHeight="1">
      <x:c r="A1056" s="13" t="n">
        <x:v>44160</x:v>
      </x:c>
      <x:c r="B1056" s="12" t="n">
        <x:v>4910.7</x:v>
      </x:c>
      <x:c r="C1056" s="12" t="n">
        <x:v>4974.2855</x:v>
      </x:c>
      <x:c r="D1056" s="12" t="n">
        <x:v>-1.2783</x:v>
      </x:c>
      <x:c r="E1056" s="12" t="n">
        <x:v>-0.012865244369756808</x:v>
      </x:c>
      <x:c r="F1056" s="13" t="n">
        <x:v>44159</x:v>
      </x:c>
      <x:c r="G1056" s="12" t="n">
        <x:v>4.31</x:v>
      </x:c>
      <x:c r="H1056" s="12" t="n">
        <x:v>430.99999999999994</x:v>
      </x:c>
      <x:c r="I1056" s="12" t="n">
        <x:v>-12.000000000000057</x:v>
      </x:c>
      <x:c r="J1056" s="12" t="n">
        <x:v>1</x:v>
      </x:c>
    </x:row>
    <x:row r="1057" ht="18" customHeight="1">
      <x:c r="A1057" s="13" t="n">
        <x:v>44161</x:v>
      </x:c>
      <x:c r="B1057" s="12" t="n">
        <x:v>4919.5912</x:v>
      </x:c>
      <x:c r="C1057" s="12" t="n">
        <x:v>4910.7</x:v>
      </x:c>
      <x:c r="D1057" s="12" t="n">
        <x:v>0.1811</x:v>
      </x:c>
      <x:c r="E1057" s="12" t="n">
        <x:v>0.0018089397849228442</x:v>
      </x:c>
      <x:c r="F1057" s="13" t="n">
        <x:v>44160</x:v>
      </x:c>
      <x:c r="G1057" s="12" t="n">
        <x:v>4.33</x:v>
      </x:c>
      <x:c r="H1057" s="12" t="n">
        <x:v>433</x:v>
      </x:c>
      <x:c r="I1057" s="12" t="n">
        <x:v>2.000000000000057</x:v>
      </x:c>
      <x:c r="J1057" s="12" t="n">
        <x:v>1</x:v>
      </x:c>
    </x:row>
    <x:row r="1058" ht="18" customHeight="1">
      <x:c r="A1058" s="13" t="n">
        <x:v>44162</x:v>
      </x:c>
      <x:c r="B1058" s="12" t="n">
        <x:v>4980.765</x:v>
      </x:c>
      <x:c r="C1058" s="12" t="n">
        <x:v>4919.5912</x:v>
      </x:c>
      <x:c r="D1058" s="12" t="n">
        <x:v>1.2435</x:v>
      </x:c>
      <x:c r="E1058" s="12" t="n">
        <x:v>0.012358056075695761</x:v>
      </x:c>
      <x:c r="F1058" s="13" t="n">
        <x:v>44161</x:v>
      </x:c>
      <x:c r="G1058" s="12" t="n">
        <x:v>4.33</x:v>
      </x:c>
      <x:c r="H1058" s="12" t="n">
        <x:v>433</x:v>
      </x:c>
      <x:c r="I1058" s="12" t="n">
        <x:v>0</x:v>
      </x:c>
      <x:c r="J1058" s="12" t="n">
        <x:v>1</x:v>
      </x:c>
    </x:row>
    <x:row r="1059" ht="18" customHeight="1">
      <x:c r="A1059" s="13" t="n">
        <x:v>44165</x:v>
      </x:c>
      <x:c r="B1059" s="12" t="n">
        <x:v>4960.2519</x:v>
      </x:c>
      <x:c r="C1059" s="12" t="n">
        <x:v>4980.765</x:v>
      </x:c>
      <x:c r="D1059" s="12" t="n">
        <x:v>-0.4118</x:v>
      </x:c>
      <x:c r="E1059" s="12" t="n">
        <x:v>-0.0041269679593215775</x:v>
      </x:c>
      <x:c r="F1059" s="13" t="n">
        <x:v>44162</x:v>
      </x:c>
      <x:c r="G1059" s="12" t="n">
        <x:v>4.35</x:v>
      </x:c>
      <x:c r="H1059" s="12" t="n">
        <x:v>434.99999999999994</x:v>
      </x:c>
      <x:c r="I1059" s="12" t="n">
        <x:v>1.9999999999999432</x:v>
      </x:c>
      <x:c r="J1059" s="12" t="n">
        <x:v>3</x:v>
      </x:c>
    </x:row>
    <x:row r="1060" ht="18" customHeight="1">
      <x:c r="A1060" s="13" t="n">
        <x:v>44166</x:v>
      </x:c>
      <x:c r="B1060" s="12" t="n">
        <x:v>5067.0983</x:v>
      </x:c>
      <x:c r="C1060" s="12" t="n">
        <x:v>4960.2519</x:v>
      </x:c>
      <x:c r="D1060" s="12" t="n">
        <x:v>2.1541</x:v>
      </x:c>
      <x:c r="E1060" s="12" t="n">
        <x:v>0.02131180060748671</x:v>
      </x:c>
      <x:c r="F1060" s="13" t="n">
        <x:v>44165</x:v>
      </x:c>
      <x:c r="G1060" s="12" t="n">
        <x:v>4.33</x:v>
      </x:c>
      <x:c r="H1060" s="12" t="n">
        <x:v>433</x:v>
      </x:c>
      <x:c r="I1060" s="12" t="n">
        <x:v>-1.9999999999999432</x:v>
      </x:c>
      <x:c r="J1060" s="12" t="n">
        <x:v>1</x:v>
      </x:c>
    </x:row>
    <x:row r="1061" ht="18" customHeight="1">
      <x:c r="A1061" s="13" t="n">
        <x:v>44167</x:v>
      </x:c>
      <x:c r="B1061" s="12" t="n">
        <x:v>5067.1447</x:v>
      </x:c>
      <x:c r="C1061" s="12" t="n">
        <x:v>5067.0983</x:v>
      </x:c>
      <x:c r="D1061" s="12" t="n">
        <x:v>0.0009</x:v>
      </x:c>
      <x:c r="E1061" s="12" t="n">
        <x:v>0.000009157072708887299</x:v>
      </x:c>
      <x:c r="F1061" s="13" t="n">
        <x:v>44166</x:v>
      </x:c>
      <x:c r="G1061" s="12" t="n">
        <x:v>4.21</x:v>
      </x:c>
      <x:c r="H1061" s="12" t="n">
        <x:v>421</x:v>
      </x:c>
      <x:c r="I1061" s="12" t="n">
        <x:v>-12</x:v>
      </x:c>
      <x:c r="J1061" s="12" t="n">
        <x:v>1</x:v>
      </x:c>
    </x:row>
    <x:row r="1062" ht="18" customHeight="1">
      <x:c r="A1062" s="13" t="n">
        <x:v>44168</x:v>
      </x:c>
      <x:c r="B1062" s="12" t="n">
        <x:v>5057.0603</x:v>
      </x:c>
      <x:c r="C1062" s="12" t="n">
        <x:v>5067.1447</x:v>
      </x:c>
      <x:c r="D1062" s="12" t="n">
        <x:v>-0.199</x:v>
      </x:c>
      <x:c r="E1062" s="12" t="n">
        <x:v>-0.0019921373253678587</x:v>
      </x:c>
      <x:c r="F1062" s="13" t="n">
        <x:v>44167</x:v>
      </x:c>
      <x:c r="G1062" s="12" t="n">
        <x:v>4.17</x:v>
      </x:c>
      <x:c r="H1062" s="12" t="n">
        <x:v>417</x:v>
      </x:c>
      <x:c r="I1062" s="12" t="n">
        <x:v>-4</x:v>
      </x:c>
      <x:c r="J1062" s="12" t="n">
        <x:v>1</x:v>
      </x:c>
    </x:row>
    <x:row r="1063" ht="18" customHeight="1">
      <x:c r="A1063" s="13" t="n">
        <x:v>44169</x:v>
      </x:c>
      <x:c r="B1063" s="12" t="n">
        <x:v>5065.9163</x:v>
      </x:c>
      <x:c r="C1063" s="12" t="n">
        <x:v>5057.0603</x:v>
      </x:c>
      <x:c r="D1063" s="12" t="n">
        <x:v>0.1751</x:v>
      </x:c>
      <x:c r="E1063" s="12" t="n">
        <x:v>0.0017496834398110467</x:v>
      </x:c>
      <x:c r="F1063" s="13" t="n">
        <x:v>44168</x:v>
      </x:c>
      <x:c r="G1063" s="12" t="n">
        <x:v>4.1</x:v>
      </x:c>
      <x:c r="H1063" s="12" t="n">
        <x:v>409.99999999999994</x:v>
      </x:c>
      <x:c r="I1063" s="12" t="n">
        <x:v>-7.000000000000057</x:v>
      </x:c>
      <x:c r="J1063" s="12" t="n">
        <x:v>1</x:v>
      </x:c>
    </x:row>
    <x:row r="1064" ht="18" customHeight="1">
      <x:c r="A1064" s="13" t="n">
        <x:v>44172</x:v>
      </x:c>
      <x:c r="B1064" s="12" t="n">
        <x:v>5022.2351</x:v>
      </x:c>
      <x:c r="C1064" s="12" t="n">
        <x:v>5065.9163</x:v>
      </x:c>
      <x:c r="D1064" s="12" t="n">
        <x:v>-0.8623</x:v>
      </x:c>
      <x:c r="E1064" s="12" t="n">
        <x:v>-0.008659955874246816</x:v>
      </x:c>
      <x:c r="F1064" s="13" t="n">
        <x:v>44169</x:v>
      </x:c>
      <x:c r="G1064" s="12" t="n">
        <x:v>4.03</x:v>
      </x:c>
      <x:c r="H1064" s="12" t="n">
        <x:v>403</x:v>
      </x:c>
      <x:c r="I1064" s="12" t="n">
        <x:v>-6.999999999999943</x:v>
      </x:c>
      <x:c r="J1064" s="12" t="n">
        <x:v>3</x:v>
      </x:c>
    </x:row>
    <x:row r="1065" ht="18" customHeight="1">
      <x:c r="A1065" s="13" t="n">
        <x:v>44173</x:v>
      </x:c>
      <x:c r="B1065" s="12" t="n">
        <x:v>5009.8786</x:v>
      </x:c>
      <x:c r="C1065" s="12" t="n">
        <x:v>5022.2351</x:v>
      </x:c>
      <x:c r="D1065" s="12" t="n">
        <x:v>-0.246</x:v>
      </x:c>
      <x:c r="E1065" s="12" t="n">
        <x:v>-0.0024633903917117748</x:v>
      </x:c>
      <x:c r="F1065" s="13" t="n">
        <x:v>44172</x:v>
      </x:c>
      <x:c r="G1065" s="12" t="n">
        <x:v>4.03</x:v>
      </x:c>
      <x:c r="H1065" s="12" t="n">
        <x:v>403</x:v>
      </x:c>
      <x:c r="I1065" s="12" t="n">
        <x:v>0</x:v>
      </x:c>
      <x:c r="J1065" s="12" t="n">
        <x:v>1</x:v>
      </x:c>
    </x:row>
    <x:row r="1066" ht="18" customHeight="1">
      <x:c r="A1066" s="13" t="n">
        <x:v>44174</x:v>
      </x:c>
      <x:c r="B1066" s="12" t="n">
        <x:v>4942.6986</x:v>
      </x:c>
      <x:c r="C1066" s="12" t="n">
        <x:v>5009.8786</x:v>
      </x:c>
      <x:c r="D1066" s="12" t="n">
        <x:v>-1.341</x:v>
      </x:c>
      <x:c r="E1066" s="12" t="n">
        <x:v>-0.013500225916820758</x:v>
      </x:c>
      <x:c r="F1066" s="13" t="n">
        <x:v>44173</x:v>
      </x:c>
      <x:c r="G1066" s="12" t="n">
        <x:v>4.03</x:v>
      </x:c>
      <x:c r="H1066" s="12" t="n">
        <x:v>403</x:v>
      </x:c>
      <x:c r="I1066" s="12" t="n">
        <x:v>0</x:v>
      </x:c>
      <x:c r="J1066" s="12" t="n">
        <x:v>1</x:v>
      </x:c>
    </x:row>
    <x:row r="1067" ht="18" customHeight="1">
      <x:c r="A1067" s="13" t="n">
        <x:v>44175</x:v>
      </x:c>
      <x:c r="B1067" s="12" t="n">
        <x:v>4940.5249</x:v>
      </x:c>
      <x:c r="C1067" s="12" t="n">
        <x:v>4942.6986</x:v>
      </x:c>
      <x:c r="D1067" s="12" t="n">
        <x:v>-0.044</x:v>
      </x:c>
      <x:c r="E1067" s="12" t="n">
        <x:v>-0.00043987673354727903</x:v>
      </x:c>
      <x:c r="F1067" s="13" t="n">
        <x:v>44174</x:v>
      </x:c>
      <x:c r="G1067" s="12" t="n">
        <x:v>4.04</x:v>
      </x:c>
      <x:c r="H1067" s="12" t="n">
        <x:v>404</x:v>
      </x:c>
      <x:c r="I1067" s="12" t="n">
        <x:v>1</x:v>
      </x:c>
      <x:c r="J1067" s="12" t="n">
        <x:v>1</x:v>
      </x:c>
    </x:row>
    <x:row r="1068" ht="18" customHeight="1">
      <x:c r="A1068" s="13" t="n">
        <x:v>44176</x:v>
      </x:c>
      <x:c r="B1068" s="12" t="n">
        <x:v>4889.6292</x:v>
      </x:c>
      <x:c r="C1068" s="12" t="n">
        <x:v>4940.5249</x:v>
      </x:c>
      <x:c r="D1068" s="12" t="n">
        <x:v>-1.0302</x:v>
      </x:c>
      <x:c r="E1068" s="12" t="n">
        <x:v>-0.010355108225073873</x:v>
      </x:c>
      <x:c r="F1068" s="13" t="n">
        <x:v>44175</x:v>
      </x:c>
      <x:c r="G1068" s="12" t="n">
        <x:v>4.08</x:v>
      </x:c>
      <x:c r="H1068" s="12" t="n">
        <x:v>408</x:v>
      </x:c>
      <x:c r="I1068" s="12" t="n">
        <x:v>4</x:v>
      </x:c>
      <x:c r="J1068" s="12" t="n">
        <x:v>1</x:v>
      </x:c>
    </x:row>
    <x:row r="1069" ht="18" customHeight="1">
      <x:c r="A1069" s="13" t="n">
        <x:v>44179</x:v>
      </x:c>
      <x:c r="B1069" s="12" t="n">
        <x:v>4934.8352</x:v>
      </x:c>
      <x:c r="C1069" s="12" t="n">
        <x:v>4889.6292</x:v>
      </x:c>
      <x:c r="D1069" s="12" t="n">
        <x:v>0.9245</x:v>
      </x:c>
      <x:c r="E1069" s="12" t="n">
        <x:v>0.009202805813425094</x:v>
      </x:c>
      <x:c r="F1069" s="13" t="n">
        <x:v>44176</x:v>
      </x:c>
      <x:c r="G1069" s="12" t="n">
        <x:v>4.13</x:v>
      </x:c>
      <x:c r="H1069" s="12" t="n">
        <x:v>413</x:v>
      </x:c>
      <x:c r="I1069" s="12" t="n">
        <x:v>5</x:v>
      </x:c>
      <x:c r="J1069" s="12" t="n">
        <x:v>3</x:v>
      </x:c>
    </x:row>
    <x:row r="1070" ht="18" customHeight="1">
      <x:c r="A1070" s="13" t="n">
        <x:v>44180</x:v>
      </x:c>
      <x:c r="B1070" s="12" t="n">
        <x:v>4945.1</x:v>
      </x:c>
      <x:c r="C1070" s="12" t="n">
        <x:v>4934.8352</x:v>
      </x:c>
      <x:c r="D1070" s="12" t="n">
        <x:v>0.208</x:v>
      </x:c>
      <x:c r="E1070" s="12" t="n">
        <x:v>0.0020779091128788284</x:v>
      </x:c>
      <x:c r="F1070" s="13" t="n">
        <x:v>44179</x:v>
      </x:c>
      <x:c r="G1070" s="12" t="n">
        <x:v>4.07</x:v>
      </x:c>
      <x:c r="H1070" s="12" t="n">
        <x:v>407</x:v>
      </x:c>
      <x:c r="I1070" s="12" t="n">
        <x:v>-6</x:v>
      </x:c>
      <x:c r="J1070" s="12" t="n">
        <x:v>1</x:v>
      </x:c>
    </x:row>
    <x:row r="1071" ht="18" customHeight="1">
      <x:c r="A1071" s="13" t="n">
        <x:v>44181</x:v>
      </x:c>
      <x:c r="B1071" s="12" t="n">
        <x:v>4953.867</x:v>
      </x:c>
      <x:c r="C1071" s="12" t="n">
        <x:v>4945.1</x:v>
      </x:c>
      <x:c r="D1071" s="12" t="n">
        <x:v>0.1773</x:v>
      </x:c>
      <x:c r="E1071" s="12" t="n">
        <x:v>0.0017712963973308576</x:v>
      </x:c>
      <x:c r="F1071" s="13" t="n">
        <x:v>44180</x:v>
      </x:c>
      <x:c r="G1071" s="12" t="n">
        <x:v>4.06</x:v>
      </x:c>
      <x:c r="H1071" s="12" t="n">
        <x:v>405.99999999999994</x:v>
      </x:c>
      <x:c r="I1071" s="12" t="n">
        <x:v>-1.0000000000000568</x:v>
      </x:c>
      <x:c r="J1071" s="12" t="n">
        <x:v>1</x:v>
      </x:c>
    </x:row>
    <x:row r="1072" ht="18" customHeight="1">
      <x:c r="A1072" s="13" t="n">
        <x:v>44182</x:v>
      </x:c>
      <x:c r="B1072" s="12" t="n">
        <x:v>5017.4784</x:v>
      </x:c>
      <x:c r="C1072" s="12" t="n">
        <x:v>4953.867</x:v>
      </x:c>
      <x:c r="D1072" s="12" t="n">
        <x:v>1.2841</x:v>
      </x:c>
      <x:c r="E1072" s="12" t="n">
        <x:v>0.012759013031903096</x:v>
      </x:c>
      <x:c r="F1072" s="13" t="n">
        <x:v>44181</x:v>
      </x:c>
      <x:c r="G1072" s="12" t="n">
        <x:v>4.06</x:v>
      </x:c>
      <x:c r="H1072" s="12" t="n">
        <x:v>405.99999999999994</x:v>
      </x:c>
      <x:c r="I1072" s="12" t="n">
        <x:v>0</x:v>
      </x:c>
      <x:c r="J1072" s="12" t="n">
        <x:v>1</x:v>
      </x:c>
    </x:row>
    <x:row r="1073" ht="18" customHeight="1">
      <x:c r="A1073" s="13" t="n">
        <x:v>44183</x:v>
      </x:c>
      <x:c r="B1073" s="12" t="n">
        <x:v>4999.9678</x:v>
      </x:c>
      <x:c r="C1073" s="12" t="n">
        <x:v>5017.4784</x:v>
      </x:c>
      <x:c r="D1073" s="12" t="n">
        <x:v>-0.349</x:v>
      </x:c>
      <x:c r="E1073" s="12" t="n">
        <x:v>-0.003496024332990864</x:v>
      </x:c>
      <x:c r="F1073" s="13" t="n">
        <x:v>44182</x:v>
      </x:c>
      <x:c r="G1073" s="12" t="n">
        <x:v>4.05</x:v>
      </x:c>
      <x:c r="H1073" s="12" t="n">
        <x:v>405</x:v>
      </x:c>
      <x:c r="I1073" s="12" t="n">
        <x:v>-0.9999999999999432</x:v>
      </x:c>
      <x:c r="J1073" s="12" t="n">
        <x:v>1</x:v>
      </x:c>
    </x:row>
    <x:row r="1074" ht="18" customHeight="1">
      <x:c r="A1074" s="13" t="n">
        <x:v>44186</x:v>
      </x:c>
      <x:c r="B1074" s="12" t="n">
        <x:v>5046.8396</x:v>
      </x:c>
      <x:c r="C1074" s="12" t="n">
        <x:v>4999.9678</x:v>
      </x:c>
      <x:c r="D1074" s="12" t="n">
        <x:v>0.9374</x:v>
      </x:c>
      <x:c r="E1074" s="12" t="n">
        <x:v>0.009330753183535155</x:v>
      </x:c>
      <x:c r="F1074" s="13" t="n">
        <x:v>44183</x:v>
      </x:c>
      <x:c r="G1074" s="12" t="n">
        <x:v>4.03</x:v>
      </x:c>
      <x:c r="H1074" s="12" t="n">
        <x:v>403</x:v>
      </x:c>
      <x:c r="I1074" s="12" t="n">
        <x:v>-2</x:v>
      </x:c>
      <x:c r="J1074" s="12" t="n">
        <x:v>3</x:v>
      </x:c>
    </x:row>
    <x:row r="1075" ht="18" customHeight="1">
      <x:c r="A1075" s="13" t="n">
        <x:v>44187</x:v>
      </x:c>
      <x:c r="B1075" s="12" t="n">
        <x:v>4964.7727</x:v>
      </x:c>
      <x:c r="C1075" s="12" t="n">
        <x:v>5046.8396</x:v>
      </x:c>
      <x:c r="D1075" s="12" t="n">
        <x:v>-1.6261</x:v>
      </x:c>
      <x:c r="E1075" s="12" t="n">
        <x:v>-0.016394709610962847</x:v>
      </x:c>
      <x:c r="F1075" s="13" t="n">
        <x:v>44186</x:v>
      </x:c>
      <x:c r="G1075" s="12" t="n">
        <x:v>4.18</x:v>
      </x:c>
      <x:c r="H1075" s="12" t="n">
        <x:v>418</x:v>
      </x:c>
      <x:c r="I1075" s="12" t="n">
        <x:v>15</x:v>
      </x:c>
      <x:c r="J1075" s="12" t="n">
        <x:v>1</x:v>
      </x:c>
    </x:row>
    <x:row r="1076" ht="18" customHeight="1">
      <x:c r="A1076" s="13" t="n">
        <x:v>44188</x:v>
      </x:c>
      <x:c r="B1076" s="12" t="n">
        <x:v>5007.1235</x:v>
      </x:c>
      <x:c r="C1076" s="12" t="n">
        <x:v>4964.7727</x:v>
      </x:c>
      <x:c r="D1076" s="12" t="n">
        <x:v>0.853</x:v>
      </x:c>
      <x:c r="E1076" s="12" t="n">
        <x:v>0.00849408252602842</x:v>
      </x:c>
      <x:c r="F1076" s="13" t="n">
        <x:v>44187</x:v>
      </x:c>
      <x:c r="G1076" s="12" t="n">
        <x:v>4.12</x:v>
      </x:c>
      <x:c r="H1076" s="12" t="n">
        <x:v>412</x:v>
      </x:c>
      <x:c r="I1076" s="12" t="n">
        <x:v>-6</x:v>
      </x:c>
      <x:c r="J1076" s="12" t="n">
        <x:v>1</x:v>
      </x:c>
    </x:row>
    <x:row r="1077" ht="18" customHeight="1">
      <x:c r="A1077" s="13" t="n">
        <x:v>44189</x:v>
      </x:c>
      <x:c r="B1077" s="12" t="n">
        <x:v>5000.0154</x:v>
      </x:c>
      <x:c r="C1077" s="12" t="n">
        <x:v>5007.1235</x:v>
      </x:c>
      <x:c r="D1077" s="12" t="n">
        <x:v>-0.142</x:v>
      </x:c>
      <x:c r="E1077" s="12" t="n">
        <x:v>-0.001420606082607069</x:v>
      </x:c>
      <x:c r="F1077" s="13" t="n">
        <x:v>44188</x:v>
      </x:c>
      <x:c r="G1077" s="12" t="n">
        <x:v>4.07</x:v>
      </x:c>
      <x:c r="H1077" s="12" t="n">
        <x:v>407</x:v>
      </x:c>
      <x:c r="I1077" s="12" t="n">
        <x:v>-5</x:v>
      </x:c>
      <x:c r="J1077" s="12" t="n">
        <x:v>1</x:v>
      </x:c>
    </x:row>
    <x:row r="1078" ht="18" customHeight="1">
      <x:c r="A1078" s="13" t="n">
        <x:v>44190</x:v>
      </x:c>
      <x:c r="B1078" s="12" t="n">
        <x:v>5042.0137</x:v>
      </x:c>
      <x:c r="C1078" s="12" t="n">
        <x:v>5000.0154</x:v>
      </x:c>
      <x:c r="D1078" s="12" t="n">
        <x:v>0.84</x:v>
      </x:c>
      <x:c r="E1078" s="12" t="n">
        <x:v>0.00836455350840345</x:v>
      </x:c>
      <x:c r="F1078" s="13" t="n">
        <x:v>44189</x:v>
      </x:c>
      <x:c r="G1078" s="12" t="n">
        <x:v>4.05</x:v>
      </x:c>
      <x:c r="H1078" s="12" t="n">
        <x:v>405</x:v>
      </x:c>
      <x:c r="I1078" s="12" t="n">
        <x:v>-2</x:v>
      </x:c>
      <x:c r="J1078" s="12" t="n">
        <x:v>1</x:v>
      </x:c>
    </x:row>
    <x:row r="1079" ht="18" customHeight="1">
      <x:c r="A1079" s="13" t="n">
        <x:v>44193</x:v>
      </x:c>
      <x:c r="B1079" s="12" t="n">
        <x:v>5064.4147</x:v>
      </x:c>
      <x:c r="C1079" s="12" t="n">
        <x:v>5042.0137</x:v>
      </x:c>
      <x:c r="D1079" s="12" t="n">
        <x:v>0.4443</x:v>
      </x:c>
      <x:c r="E1079" s="12" t="n">
        <x:v>0.004433027336315451</x:v>
      </x:c>
      <x:c r="F1079" s="13" t="n">
        <x:v>44189</x:v>
      </x:c>
      <x:c r="G1079" s="12" t="n">
        <x:v>4.05</x:v>
      </x:c>
      <x:c r="H1079" s="12" t="n">
        <x:v>405</x:v>
      </x:c>
      <x:c r="I1079" s="12" t="n">
        <x:v>-2</x:v>
      </x:c>
      <x:c r="J1079" s="12" t="n">
        <x:v>4</x:v>
      </x:c>
    </x:row>
    <x:row r="1080" ht="18" customHeight="1">
      <x:c r="A1080" s="13" t="n">
        <x:v>44194</x:v>
      </x:c>
      <x:c r="B1080" s="12" t="n">
        <x:v>5042.9361</x:v>
      </x:c>
      <x:c r="C1080" s="12" t="n">
        <x:v>5064.4147</x:v>
      </x:c>
      <x:c r="D1080" s="12" t="n">
        <x:v>-0.4241</x:v>
      </x:c>
      <x:c r="E1080" s="12" t="n">
        <x:v>-0.004250101288915238</x:v>
      </x:c>
      <x:c r="F1080" s="13" t="n">
        <x:v>44193</x:v>
      </x:c>
      <x:c r="G1080" s="12" t="n">
        <x:v>3.89</x:v>
      </x:c>
      <x:c r="H1080" s="12" t="n">
        <x:v>389</x:v>
      </x:c>
      <x:c r="I1080" s="12" t="n">
        <x:v>-16</x:v>
      </x:c>
      <x:c r="J1080" s="12" t="n">
        <x:v>1</x:v>
      </x:c>
    </x:row>
    <x:row r="1081" ht="18" customHeight="1">
      <x:c r="A1081" s="13" t="n">
        <x:v>44195</x:v>
      </x:c>
      <x:c r="B1081" s="12" t="n">
        <x:v>5113.7105</x:v>
      </x:c>
      <x:c r="C1081" s="12" t="n">
        <x:v>5042.9361</x:v>
      </x:c>
      <x:c r="D1081" s="12" t="n">
        <x:v>1.4034</x:v>
      </x:c>
      <x:c r="E1081" s="12" t="n">
        <x:v>0.013936793973684268</x:v>
      </x:c>
      <x:c r="F1081" s="13" t="n">
        <x:v>44194</x:v>
      </x:c>
      <x:c r="G1081" s="12" t="n">
        <x:v>3.85</x:v>
      </x:c>
      <x:c r="H1081" s="12" t="n">
        <x:v>385</x:v>
      </x:c>
      <x:c r="I1081" s="12" t="n">
        <x:v>-4</x:v>
      </x:c>
      <x:c r="J1081" s="12" t="n">
        <x:v>1</x:v>
      </x:c>
    </x:row>
    <x:row r="1082" ht="18" customHeight="1">
      <x:c r="A1082" s="13" t="n">
        <x:v>44196</x:v>
      </x:c>
      <x:c r="B1082" s="12" t="n">
        <x:v>5211.2885</x:v>
      </x:c>
      <x:c r="C1082" s="12" t="n">
        <x:v>5113.7105</x:v>
      </x:c>
      <x:c r="D1082" s="12" t="n">
        <x:v>1.9082</x:v>
      </x:c>
      <x:c r="E1082" s="12" t="n">
        <x:v>0.018901872089531136</x:v>
      </x:c>
      <x:c r="F1082" s="13" t="n">
        <x:v>44195</x:v>
      </x:c>
      <x:c r="G1082" s="12" t="n">
        <x:v>3.87</x:v>
      </x:c>
      <x:c r="H1082" s="12" t="n">
        <x:v>387</x:v>
      </x:c>
      <x:c r="I1082" s="12" t="n">
        <x:v>2</x:v>
      </x:c>
      <x:c r="J1082" s="12" t="n">
        <x:v>1</x:v>
      </x:c>
    </x:row>
    <x:row r="1083" ht="18" customHeight="1">
      <x:c r="A1083" s="13" t="n">
        <x:v>44200</x:v>
      </x:c>
      <x:c r="B1083" s="12" t="n">
        <x:v>5267.7181</x:v>
      </x:c>
      <x:c r="C1083" s="12" t="n">
        <x:v>5211.2885</x:v>
      </x:c>
      <x:c r="D1083" s="12" t="n">
        <x:v>1.0828</x:v>
      </x:c>
      <x:c r="E1083" s="12" t="n">
        <x:v>0.010770132631680113</x:v>
      </x:c>
      <x:c r="F1083" s="13" t="n">
        <x:v>44196</x:v>
      </x:c>
      <x:c r="G1083" s="12" t="n">
        <x:v>3.86</x:v>
      </x:c>
      <x:c r="H1083" s="12" t="n">
        <x:v>386</x:v>
      </x:c>
      <x:c r="I1083" s="12" t="n">
        <x:v>-1</x:v>
      </x:c>
      <x:c r="J1083" s="12" t="n">
        <x:v>4</x:v>
      </x:c>
    </x:row>
    <x:row r="1084" ht="18" customHeight="1">
      <x:c r="A1084" s="13" t="n">
        <x:v>44201</x:v>
      </x:c>
      <x:c r="B1084" s="12" t="n">
        <x:v>5368.5049</x:v>
      </x:c>
      <x:c r="C1084" s="12" t="n">
        <x:v>5267.7181</x:v>
      </x:c>
      <x:c r="D1084" s="12" t="n">
        <x:v>1.9133</x:v>
      </x:c>
      <x:c r="E1084" s="12" t="n">
        <x:v>0.018952181943255562</x:v>
      </x:c>
      <x:c r="F1084" s="13" t="n">
        <x:v>44200</x:v>
      </x:c>
      <x:c r="G1084" s="12" t="n">
        <x:v>3.93</x:v>
      </x:c>
      <x:c r="H1084" s="12" t="n">
        <x:v>393</x:v>
      </x:c>
      <x:c r="I1084" s="12" t="n">
        <x:v>7</x:v>
      </x:c>
      <x:c r="J1084" s="12" t="n">
        <x:v>1</x:v>
      </x:c>
    </x:row>
    <x:row r="1085" ht="18" customHeight="1">
      <x:c r="A1085" s="13" t="n">
        <x:v>44202</x:v>
      </x:c>
      <x:c r="B1085" s="12" t="n">
        <x:v>5417.6677</x:v>
      </x:c>
      <x:c r="C1085" s="12" t="n">
        <x:v>5368.5049</x:v>
      </x:c>
      <x:c r="D1085" s="12" t="n">
        <x:v>0.9158</x:v>
      </x:c>
      <x:c r="E1085" s="12" t="n">
        <x:v>0.00911595656361716</x:v>
      </x:c>
      <x:c r="F1085" s="13" t="n">
        <x:v>44201</x:v>
      </x:c>
      <x:c r="G1085" s="12" t="n">
        <x:v>3.92</x:v>
      </x:c>
      <x:c r="H1085" s="12" t="n">
        <x:v>392</x:v>
      </x:c>
      <x:c r="I1085" s="12" t="n">
        <x:v>-1</x:v>
      </x:c>
      <x:c r="J1085" s="12" t="n">
        <x:v>1</x:v>
      </x:c>
    </x:row>
    <x:row r="1086" ht="18" customHeight="1">
      <x:c r="A1086" s="13" t="n">
        <x:v>44203</x:v>
      </x:c>
      <x:c r="B1086" s="12" t="n">
        <x:v>5513.6568</x:v>
      </x:c>
      <x:c r="C1086" s="12" t="n">
        <x:v>5417.6677</x:v>
      </x:c>
      <x:c r="D1086" s="12" t="n">
        <x:v>1.7718</x:v>
      </x:c>
      <x:c r="E1086" s="12" t="n">
        <x:v>0.01756265991066838</x:v>
      </x:c>
      <x:c r="F1086" s="13" t="n">
        <x:v>44202</x:v>
      </x:c>
      <x:c r="G1086" s="12" t="n">
        <x:v>3.8</x:v>
      </x:c>
      <x:c r="H1086" s="12" t="n">
        <x:v>380</x:v>
      </x:c>
      <x:c r="I1086" s="12" t="n">
        <x:v>-12</x:v>
      </x:c>
      <x:c r="J1086" s="12" t="n">
        <x:v>1</x:v>
      </x:c>
    </x:row>
    <x:row r="1087" ht="18" customHeight="1">
      <x:c r="A1087" s="13" t="n">
        <x:v>44204</x:v>
      </x:c>
      <x:c r="B1087" s="12" t="n">
        <x:v>5495.4306</x:v>
      </x:c>
      <x:c r="C1087" s="12" t="n">
        <x:v>5513.6568</x:v>
      </x:c>
      <x:c r="D1087" s="12" t="n">
        <x:v>-0.3306</x:v>
      </x:c>
      <x:c r="E1087" s="12" t="n">
        <x:v>-0.0033111221647590546</x:v>
      </x:c>
      <x:c r="F1087" s="13" t="n">
        <x:v>44203</x:v>
      </x:c>
      <x:c r="G1087" s="12" t="n">
        <x:v>3.78</x:v>
      </x:c>
      <x:c r="H1087" s="12" t="n">
        <x:v>378</x:v>
      </x:c>
      <x:c r="I1087" s="12" t="n">
        <x:v>-2</x:v>
      </x:c>
      <x:c r="J1087" s="12" t="n">
        <x:v>1</x:v>
      </x:c>
    </x:row>
    <x:row r="1088" ht="18" customHeight="1">
      <x:c r="A1088" s="13" t="n">
        <x:v>44207</x:v>
      </x:c>
      <x:c r="B1088" s="12" t="n">
        <x:v>5441.1583</x:v>
      </x:c>
      <x:c r="C1088" s="12" t="n">
        <x:v>5495.4306</x:v>
      </x:c>
      <x:c r="D1088" s="12" t="n">
        <x:v>-0.9876</x:v>
      </x:c>
      <x:c r="E1088" s="12" t="n">
        <x:v>-0.009924985935710723</x:v>
      </x:c>
      <x:c r="F1088" s="13" t="n">
        <x:v>44204</x:v>
      </x:c>
      <x:c r="G1088" s="12" t="n">
        <x:v>3.76</x:v>
      </x:c>
      <x:c r="H1088" s="12" t="n">
        <x:v>376</x:v>
      </x:c>
      <x:c r="I1088" s="12" t="n">
        <x:v>-2</x:v>
      </x:c>
      <x:c r="J1088" s="12" t="n">
        <x:v>3</x:v>
      </x:c>
    </x:row>
    <x:row r="1089" ht="18" customHeight="1">
      <x:c r="A1089" s="13" t="n">
        <x:v>44208</x:v>
      </x:c>
      <x:c r="B1089" s="12" t="n">
        <x:v>5596.3525</x:v>
      </x:c>
      <x:c r="C1089" s="12" t="n">
        <x:v>5441.1583</x:v>
      </x:c>
      <x:c r="D1089" s="12" t="n">
        <x:v>2.8522</x:v>
      </x:c>
      <x:c r="E1089" s="12" t="n">
        <x:v>0.02812308524467504</x:v>
      </x:c>
      <x:c r="F1089" s="13" t="n">
        <x:v>44207</x:v>
      </x:c>
      <x:c r="G1089" s="12" t="n">
        <x:v>3.82</x:v>
      </x:c>
      <x:c r="H1089" s="12" t="n">
        <x:v>382</x:v>
      </x:c>
      <x:c r="I1089" s="12" t="n">
        <x:v>6</x:v>
      </x:c>
      <x:c r="J1089" s="12" t="n">
        <x:v>1</x:v>
      </x:c>
    </x:row>
    <x:row r="1090" ht="18" customHeight="1">
      <x:c r="A1090" s="13" t="n">
        <x:v>44209</x:v>
      </x:c>
      <x:c r="B1090" s="12" t="n">
        <x:v>5577.9711</x:v>
      </x:c>
      <x:c r="C1090" s="12" t="n">
        <x:v>5596.3525</x:v>
      </x:c>
      <x:c r="D1090" s="12" t="n">
        <x:v>-0.3285</x:v>
      </x:c>
      <x:c r="E1090" s="12" t="n">
        <x:v>-0.00328993811841089</x:v>
      </x:c>
      <x:c r="F1090" s="13" t="n">
        <x:v>44208</x:v>
      </x:c>
      <x:c r="G1090" s="12" t="n">
        <x:v>3.85</x:v>
      </x:c>
      <x:c r="H1090" s="12" t="n">
        <x:v>385</x:v>
      </x:c>
      <x:c r="I1090" s="12" t="n">
        <x:v>3</x:v>
      </x:c>
      <x:c r="J1090" s="12" t="n">
        <x:v>1</x:v>
      </x:c>
    </x:row>
    <x:row r="1091" ht="18" customHeight="1">
      <x:c r="A1091" s="13" t="n">
        <x:v>44210</x:v>
      </x:c>
      <x:c r="B1091" s="12" t="n">
        <x:v>5470.4563</x:v>
      </x:c>
      <x:c r="C1091" s="12" t="n">
        <x:v>5577.9711</x:v>
      </x:c>
      <x:c r="D1091" s="12" t="n">
        <x:v>-1.9275</x:v>
      </x:c>
      <x:c r="E1091" s="12" t="n">
        <x:v>-0.01946307652147776</x:v>
      </x:c>
      <x:c r="F1091" s="13" t="n">
        <x:v>44209</x:v>
      </x:c>
      <x:c r="G1091" s="12" t="n">
        <x:v>3.82</x:v>
      </x:c>
      <x:c r="H1091" s="12" t="n">
        <x:v>382</x:v>
      </x:c>
      <x:c r="I1091" s="12" t="n">
        <x:v>-3</x:v>
      </x:c>
      <x:c r="J1091" s="12" t="n">
        <x:v>1</x:v>
      </x:c>
    </x:row>
    <x:row r="1092" ht="18" customHeight="1">
      <x:c r="A1092" s="13" t="n">
        <x:v>44211</x:v>
      </x:c>
      <x:c r="B1092" s="12" t="n">
        <x:v>5458.0812</x:v>
      </x:c>
      <x:c r="C1092" s="12" t="n">
        <x:v>5470.4563</x:v>
      </x:c>
      <x:c r="D1092" s="12" t="n">
        <x:v>-0.2262</x:v>
      </x:c>
      <x:c r="E1092" s="12" t="n">
        <x:v>-0.0022647321820208678</x:v>
      </x:c>
      <x:c r="F1092" s="13" t="n">
        <x:v>44210</x:v>
      </x:c>
      <x:c r="G1092" s="12" t="n">
        <x:v>3.73</x:v>
      </x:c>
      <x:c r="H1092" s="12" t="n">
        <x:v>373</x:v>
      </x:c>
      <x:c r="I1092" s="12" t="n">
        <x:v>-9</x:v>
      </x:c>
      <x:c r="J1092" s="12" t="n">
        <x:v>1</x:v>
      </x:c>
    </x:row>
    <x:row r="1093" ht="18" customHeight="1">
      <x:c r="A1093" s="13" t="n">
        <x:v>44214</x:v>
      </x:c>
      <x:c r="B1093" s="12" t="n">
        <x:v>5518.5205</x:v>
      </x:c>
      <x:c r="C1093" s="12" t="n">
        <x:v>5458.0812</x:v>
      </x:c>
      <x:c r="D1093" s="12" t="n">
        <x:v>1.1073</x:v>
      </x:c>
      <x:c r="E1093" s="12" t="n">
        <x:v>0.011012499581574684</x:v>
      </x:c>
      <x:c r="F1093" s="13" t="n">
        <x:v>44211</x:v>
      </x:c>
      <x:c r="G1093" s="12" t="n">
        <x:v>3.74</x:v>
      </x:c>
      <x:c r="H1093" s="12" t="n">
        <x:v>374</x:v>
      </x:c>
      <x:c r="I1093" s="12" t="n">
        <x:v>1</x:v>
      </x:c>
      <x:c r="J1093" s="12" t="n">
        <x:v>3</x:v>
      </x:c>
    </x:row>
    <x:row r="1094" ht="18" customHeight="1">
      <x:c r="A1094" s="13" t="n">
        <x:v>44215</x:v>
      </x:c>
      <x:c r="B1094" s="12" t="n">
        <x:v>5437.5234</x:v>
      </x:c>
      <x:c r="C1094" s="12" t="n">
        <x:v>5518.5205</x:v>
      </x:c>
      <x:c r="D1094" s="12" t="n">
        <x:v>-1.4677</x:v>
      </x:c>
      <x:c r="E1094" s="12" t="n">
        <x:v>-0.014786099147649704</x:v>
      </x:c>
      <x:c r="F1094" s="13" t="n">
        <x:v>44214</x:v>
      </x:c>
      <x:c r="G1094" s="12" t="n">
        <x:v>3.73</x:v>
      </x:c>
      <x:c r="H1094" s="12" t="n">
        <x:v>373</x:v>
      </x:c>
      <x:c r="I1094" s="12" t="n">
        <x:v>-1</x:v>
      </x:c>
      <x:c r="J1094" s="12" t="n">
        <x:v>1</x:v>
      </x:c>
    </x:row>
    <x:row r="1095" ht="18" customHeight="1">
      <x:c r="A1095" s="13" t="n">
        <x:v>44216</x:v>
      </x:c>
      <x:c r="B1095" s="12" t="n">
        <x:v>5476.4336</x:v>
      </x:c>
      <x:c r="C1095" s="12" t="n">
        <x:v>5437.5234</x:v>
      </x:c>
      <x:c r="D1095" s="12" t="n">
        <x:v>0.7156</x:v>
      </x:c>
      <x:c r="E1095" s="12" t="n">
        <x:v>0.007130386322251297</x:v>
      </x:c>
      <x:c r="F1095" s="13" t="n">
        <x:v>44215</x:v>
      </x:c>
      <x:c r="G1095" s="12" t="n">
        <x:v>3.71</x:v>
      </x:c>
      <x:c r="H1095" s="12" t="n">
        <x:v>371</x:v>
      </x:c>
      <x:c r="I1095" s="12" t="n">
        <x:v>-2</x:v>
      </x:c>
      <x:c r="J1095" s="12" t="n">
        <x:v>1</x:v>
      </x:c>
    </x:row>
    <x:row r="1096" ht="18" customHeight="1">
      <x:c r="A1096" s="13" t="n">
        <x:v>44217</x:v>
      </x:c>
      <x:c r="B1096" s="12" t="n">
        <x:v>5564.9693</x:v>
      </x:c>
      <x:c r="C1096" s="12" t="n">
        <x:v>5476.4336</x:v>
      </x:c>
      <x:c r="D1096" s="12" t="n">
        <x:v>1.6167</x:v>
      </x:c>
      <x:c r="E1096" s="12" t="n">
        <x:v>0.016037381914478555</x:v>
      </x:c>
      <x:c r="F1096" s="13" t="n">
        <x:v>44216</x:v>
      </x:c>
      <x:c r="G1096" s="12" t="n">
        <x:v>3.67</x:v>
      </x:c>
      <x:c r="H1096" s="12" t="n">
        <x:v>367</x:v>
      </x:c>
      <x:c r="I1096" s="12" t="n">
        <x:v>-4</x:v>
      </x:c>
      <x:c r="J1096" s="12" t="n">
        <x:v>1</x:v>
      </x:c>
    </x:row>
    <x:row r="1097" ht="18" customHeight="1">
      <x:c r="A1097" s="13" t="n">
        <x:v>44218</x:v>
      </x:c>
      <x:c r="B1097" s="12" t="n">
        <x:v>5569.776</x:v>
      </x:c>
      <x:c r="C1097" s="12" t="n">
        <x:v>5564.9693</x:v>
      </x:c>
      <x:c r="D1097" s="12" t="n">
        <x:v>0.0864</x:v>
      </x:c>
      <x:c r="E1097" s="12" t="n">
        <x:v>0.0008633696001252266</x:v>
      </x:c>
      <x:c r="F1097" s="13" t="n">
        <x:v>44217</x:v>
      </x:c>
      <x:c r="G1097" s="12" t="n">
        <x:v>3.65</x:v>
      </x:c>
      <x:c r="H1097" s="12" t="n">
        <x:v>365</x:v>
      </x:c>
      <x:c r="I1097" s="12" t="n">
        <x:v>-2</x:v>
      </x:c>
      <x:c r="J1097" s="12" t="n">
        <x:v>1</x:v>
      </x:c>
    </x:row>
    <x:row r="1098" ht="18" customHeight="1">
      <x:c r="A1098" s="13" t="n">
        <x:v>44221</x:v>
      </x:c>
      <x:c r="B1098" s="12" t="n">
        <x:v>5625.9232</x:v>
      </x:c>
      <x:c r="C1098" s="12" t="n">
        <x:v>5569.776</x:v>
      </x:c>
      <x:c r="D1098" s="12" t="n">
        <x:v>1.0081</x:v>
      </x:c>
      <x:c r="E1098" s="12" t="n">
        <x:v>0.010030221377311308</x:v>
      </x:c>
      <x:c r="F1098" s="13" t="n">
        <x:v>44218</x:v>
      </x:c>
      <x:c r="G1098" s="12" t="n">
        <x:v>3.75</x:v>
      </x:c>
      <x:c r="H1098" s="12" t="n">
        <x:v>375</x:v>
      </x:c>
      <x:c r="I1098" s="12" t="n">
        <x:v>10</x:v>
      </x:c>
      <x:c r="J1098" s="12" t="n">
        <x:v>3</x:v>
      </x:c>
    </x:row>
    <x:row r="1099" ht="18" customHeight="1">
      <x:c r="A1099" s="13" t="n">
        <x:v>44222</x:v>
      </x:c>
      <x:c r="B1099" s="12" t="n">
        <x:v>5512.9678</x:v>
      </x:c>
      <x:c r="C1099" s="12" t="n">
        <x:v>5625.9232</x:v>
      </x:c>
      <x:c r="D1099" s="12" t="n">
        <x:v>-2.0078</x:v>
      </x:c>
      <x:c r="E1099" s="12" t="n">
        <x:v>-0.020281960217564652</x:v>
      </x:c>
      <x:c r="F1099" s="13" t="n">
        <x:v>44221</x:v>
      </x:c>
      <x:c r="G1099" s="12" t="n">
        <x:v>3.75</x:v>
      </x:c>
      <x:c r="H1099" s="12" t="n">
        <x:v>375</x:v>
      </x:c>
      <x:c r="I1099" s="12" t="n">
        <x:v>0</x:v>
      </x:c>
      <x:c r="J1099" s="12" t="n">
        <x:v>1</x:v>
      </x:c>
    </x:row>
    <x:row r="1100" ht="18" customHeight="1">
      <x:c r="A1100" s="13" t="n">
        <x:v>44223</x:v>
      </x:c>
      <x:c r="B1100" s="12" t="n">
        <x:v>5528.0034</x:v>
      </x:c>
      <x:c r="C1100" s="12" t="n">
        <x:v>5512.9678</x:v>
      </x:c>
      <x:c r="D1100" s="12" t="n">
        <x:v>0.2727</x:v>
      </x:c>
      <x:c r="E1100" s="12" t="n">
        <x:v>0.0027236026654103474</x:v>
      </x:c>
      <x:c r="F1100" s="13" t="n">
        <x:v>44222</x:v>
      </x:c>
      <x:c r="G1100" s="12" t="n">
        <x:v>3.74</x:v>
      </x:c>
      <x:c r="H1100" s="12" t="n">
        <x:v>374</x:v>
      </x:c>
      <x:c r="I1100" s="12" t="n">
        <x:v>-1</x:v>
      </x:c>
      <x:c r="J1100" s="12" t="n">
        <x:v>1</x:v>
      </x:c>
    </x:row>
    <x:row r="1101" ht="18" customHeight="1">
      <x:c r="A1101" s="13" t="n">
        <x:v>44224</x:v>
      </x:c>
      <x:c r="B1101" s="12" t="n">
        <x:v>5377.1427</x:v>
      </x:c>
      <x:c r="C1101" s="12" t="n">
        <x:v>5528.0034</x:v>
      </x:c>
      <x:c r="D1101" s="12" t="n">
        <x:v>-2.729</x:v>
      </x:c>
      <x:c r="E1101" s="12" t="n">
        <x:v>-0.027669565078195076</x:v>
      </x:c>
      <x:c r="F1101" s="13" t="n">
        <x:v>44223</x:v>
      </x:c>
      <x:c r="G1101" s="12" t="n">
        <x:v>3.85</x:v>
      </x:c>
      <x:c r="H1101" s="12" t="n">
        <x:v>385</x:v>
      </x:c>
      <x:c r="I1101" s="12" t="n">
        <x:v>11</x:v>
      </x:c>
      <x:c r="J1101" s="12" t="n">
        <x:v>1</x:v>
      </x:c>
    </x:row>
    <x:row r="1102" ht="18" customHeight="1">
      <x:c r="A1102" s="13" t="n">
        <x:v>44225</x:v>
      </x:c>
      <x:c r="B1102" s="12" t="n">
        <x:v>5351.9646</x:v>
      </x:c>
      <x:c r="C1102" s="12" t="n">
        <x:v>5377.1427</x:v>
      </x:c>
      <x:c r="D1102" s="12" t="n">
        <x:v>-0.4682</x:v>
      </x:c>
      <x:c r="E1102" s="12" t="n">
        <x:v>-0.004693427983358953</x:v>
      </x:c>
      <x:c r="F1102" s="13" t="n">
        <x:v>44224</x:v>
      </x:c>
      <x:c r="G1102" s="12" t="n">
        <x:v>3.76</x:v>
      </x:c>
      <x:c r="H1102" s="12" t="n">
        <x:v>376</x:v>
      </x:c>
      <x:c r="I1102" s="12" t="n">
        <x:v>-9</x:v>
      </x:c>
      <x:c r="J1102" s="12" t="n">
        <x:v>1</x:v>
      </x:c>
    </x:row>
    <x:row r="1103" ht="18" customHeight="1">
      <x:c r="A1103" s="13" t="n">
        <x:v>44228</x:v>
      </x:c>
      <x:c r="B1103" s="12" t="n">
        <x:v>5417.6484</x:v>
      </x:c>
      <x:c r="C1103" s="12" t="n">
        <x:v>5351.9646</x:v>
      </x:c>
      <x:c r="D1103" s="12" t="n">
        <x:v>1.2273</x:v>
      </x:c>
      <x:c r="E1103" s="12" t="n">
        <x:v>0.012198138307740969</x:v>
      </x:c>
      <x:c r="F1103" s="13" t="n">
        <x:v>44227</x:v>
      </x:c>
      <x:c r="G1103" s="12" t="n">
        <x:v>3.84</x:v>
      </x:c>
      <x:c r="H1103" s="12" t="n">
        <x:v>384</x:v>
      </x:c>
      <x:c r="I1103" s="12" t="n">
        <x:v>5</x:v>
      </x:c>
      <x:c r="J1103" s="12" t="n">
        <x:v>1</x:v>
      </x:c>
    </x:row>
    <x:row r="1104" ht="18" customHeight="1">
      <x:c r="A1104" s="13" t="n">
        <x:v>44229</x:v>
      </x:c>
      <x:c r="B1104" s="12" t="n">
        <x:v>5501.0915</x:v>
      </x:c>
      <x:c r="C1104" s="12" t="n">
        <x:v>5417.6484</x:v>
      </x:c>
      <x:c r="D1104" s="12" t="n">
        <x:v>1.5402</x:v>
      </x:c>
      <x:c r="E1104" s="12" t="n">
        <x:v>0.015284680332363739</x:v>
      </x:c>
      <x:c r="F1104" s="13" t="n">
        <x:v>44228</x:v>
      </x:c>
      <x:c r="G1104" s="12" t="n">
        <x:v>3.83</x:v>
      </x:c>
      <x:c r="H1104" s="12" t="n">
        <x:v>383</x:v>
      </x:c>
      <x:c r="I1104" s="12" t="n">
        <x:v>-1</x:v>
      </x:c>
      <x:c r="J1104" s="12" t="n">
        <x:v>1</x:v>
      </x:c>
    </x:row>
    <x:row r="1105" ht="18" customHeight="1">
      <x:c r="A1105" s="13" t="n">
        <x:v>44230</x:v>
      </x:c>
      <x:c r="B1105" s="12" t="n">
        <x:v>5485.2008</x:v>
      </x:c>
      <x:c r="C1105" s="12" t="n">
        <x:v>5501.0915</x:v>
      </x:c>
      <x:c r="D1105" s="12" t="n">
        <x:v>-0.2889</x:v>
      </x:c>
      <x:c r="E1105" s="12" t="n">
        <x:v>-0.0028928251038237156</x:v>
      </x:c>
      <x:c r="F1105" s="13" t="n">
        <x:v>44229</x:v>
      </x:c>
      <x:c r="G1105" s="12" t="n">
        <x:v>3.75</x:v>
      </x:c>
      <x:c r="H1105" s="12" t="n">
        <x:v>375</x:v>
      </x:c>
      <x:c r="I1105" s="12" t="n">
        <x:v>-8</x:v>
      </x:c>
      <x:c r="J1105" s="12" t="n">
        <x:v>1</x:v>
      </x:c>
    </x:row>
    <x:row r="1106" ht="18" customHeight="1">
      <x:c r="A1106" s="13" t="n">
        <x:v>44231</x:v>
      </x:c>
      <x:c r="B1106" s="12" t="n">
        <x:v>5473.9475</x:v>
      </x:c>
      <x:c r="C1106" s="12" t="n">
        <x:v>5485.2008</x:v>
      </x:c>
      <x:c r="D1106" s="12" t="n">
        <x:v>-0.2052</x:v>
      </x:c>
      <x:c r="E1106" s="12" t="n">
        <x:v>-0.0020536822109012143</x:v>
      </x:c>
      <x:c r="F1106" s="13" t="n">
        <x:v>44230</x:v>
      </x:c>
      <x:c r="G1106" s="12" t="n">
        <x:v>3.68</x:v>
      </x:c>
      <x:c r="H1106" s="12" t="n">
        <x:v>368</x:v>
      </x:c>
      <x:c r="I1106" s="12" t="n">
        <x:v>-7</x:v>
      </x:c>
      <x:c r="J1106" s="12" t="n">
        <x:v>1</x:v>
      </x:c>
    </x:row>
    <x:row r="1107" ht="18" customHeight="1">
      <x:c r="A1107" s="13" t="n">
        <x:v>44232</x:v>
      </x:c>
      <x:c r="B1107" s="12" t="n">
        <x:v>5483.414</x:v>
      </x:c>
      <x:c r="C1107" s="12" t="n">
        <x:v>5473.9475</x:v>
      </x:c>
      <x:c r="D1107" s="12" t="n">
        <x:v>0.1729</x:v>
      </x:c>
      <x:c r="E1107" s="12" t="n">
        <x:v>0.0017278799016058849</x:v>
      </x:c>
      <x:c r="F1107" s="13" t="n">
        <x:v>44231</x:v>
      </x:c>
      <x:c r="G1107" s="12" t="n">
        <x:v>3.64</x:v>
      </x:c>
      <x:c r="H1107" s="12" t="n">
        <x:v>364</x:v>
      </x:c>
      <x:c r="I1107" s="12" t="n">
        <x:v>-4</x:v>
      </x:c>
      <x:c r="J1107" s="12" t="n">
        <x:v>1</x:v>
      </x:c>
    </x:row>
    <x:row r="1108" ht="18" customHeight="1">
      <x:c r="A1108" s="13" t="n">
        <x:v>44235</x:v>
      </x:c>
      <x:c r="B1108" s="12" t="n">
        <x:v>5564.5618</x:v>
      </x:c>
      <x:c r="C1108" s="12" t="n">
        <x:v>5483.414</x:v>
      </x:c>
      <x:c r="D1108" s="12" t="n">
        <x:v>1.4799</x:v>
      </x:c>
      <x:c r="E1108" s="12" t="n">
        <x:v>0.014690339807556038</x:v>
      </x:c>
      <x:c r="F1108" s="13" t="n">
        <x:v>44232</x:v>
      </x:c>
      <x:c r="G1108" s="12" t="n">
        <x:v>3.58</x:v>
      </x:c>
      <x:c r="H1108" s="12" t="n">
        <x:v>358</x:v>
      </x:c>
      <x:c r="I1108" s="12" t="n">
        <x:v>-6</x:v>
      </x:c>
      <x:c r="J1108" s="12" t="n">
        <x:v>3</x:v>
      </x:c>
    </x:row>
    <x:row r="1109" ht="18" customHeight="1">
      <x:c r="A1109" s="13" t="n">
        <x:v>44236</x:v>
      </x:c>
      <x:c r="B1109" s="12" t="n">
        <x:v>5686.2502</x:v>
      </x:c>
      <x:c r="C1109" s="12" t="n">
        <x:v>5564.5618</x:v>
      </x:c>
      <x:c r="D1109" s="12" t="n">
        <x:v>2.1868</x:v>
      </x:c>
      <x:c r="E1109" s="12" t="n">
        <x:v>0.021632775585823095</x:v>
      </x:c>
      <x:c r="F1109" s="13" t="n">
        <x:v>44235</x:v>
      </x:c>
      <x:c r="G1109" s="12" t="n">
        <x:v>3.54</x:v>
      </x:c>
      <x:c r="H1109" s="12" t="n">
        <x:v>354</x:v>
      </x:c>
      <x:c r="I1109" s="12" t="n">
        <x:v>-4</x:v>
      </x:c>
      <x:c r="J1109" s="12" t="n">
        <x:v>1</x:v>
      </x:c>
    </x:row>
    <x:row r="1110" ht="18" customHeight="1">
      <x:c r="A1110" s="13" t="n">
        <x:v>44237</x:v>
      </x:c>
      <x:c r="B1110" s="12" t="n">
        <x:v>5807.7191</x:v>
      </x:c>
      <x:c r="C1110" s="12" t="n">
        <x:v>5686.2502</x:v>
      </x:c>
      <x:c r="D1110" s="12" t="n">
        <x:v>2.1362</x:v>
      </x:c>
      <x:c r="E1110" s="12" t="n">
        <x:v>0.021136896953192888</x:v>
      </x:c>
      <x:c r="F1110" s="13" t="n">
        <x:v>44236</x:v>
      </x:c>
      <x:c r="G1110" s="12" t="n">
        <x:v>3.51</x:v>
      </x:c>
      <x:c r="H1110" s="12" t="n">
        <x:v>351</x:v>
      </x:c>
      <x:c r="I1110" s="12" t="n">
        <x:v>-3</x:v>
      </x:c>
      <x:c r="J1110" s="12" t="n">
        <x:v>1</x:v>
      </x:c>
    </x:row>
    <x:row r="1111" ht="18" customHeight="1">
      <x:c r="A1111" s="13" t="n">
        <x:v>44245</x:v>
      </x:c>
      <x:c r="B1111" s="12" t="n">
        <x:v>5768.3814</x:v>
      </x:c>
      <x:c r="C1111" s="12" t="n">
        <x:v>5807.7191</x:v>
      </x:c>
      <x:c r="D1111" s="12" t="n">
        <x:v>-0.6773</x:v>
      </x:c>
      <x:c r="E1111" s="12" t="n">
        <x:v>-0.006796390791577607</x:v>
      </x:c>
      <x:c r="F1111" s="13" t="n">
        <x:v>44244</x:v>
      </x:c>
      <x:c r="G1111" s="12" t="n">
        <x:v>3.44</x:v>
      </x:c>
      <x:c r="H1111" s="12" t="n">
        <x:v>344</x:v>
      </x:c>
      <x:c r="I1111" s="12" t="n">
        <x:v>3</x:v>
      </x:c>
      <x:c r="J1111" s="12" t="n">
        <x:v>1</x:v>
      </x:c>
    </x:row>
    <x:row r="1112" ht="18" customHeight="1">
      <x:c r="A1112" s="13" t="n">
        <x:v>44246</x:v>
      </x:c>
      <x:c r="B1112" s="12" t="n">
        <x:v>5778.842</x:v>
      </x:c>
      <x:c r="C1112" s="12" t="n">
        <x:v>5768.3814</x:v>
      </x:c>
      <x:c r="D1112" s="12" t="n">
        <x:v>0.1813</x:v>
      </x:c>
      <x:c r="E1112" s="12" t="n">
        <x:v>0.0018117953553229548</x:v>
      </x:c>
      <x:c r="F1112" s="13" t="n">
        <x:v>44245</x:v>
      </x:c>
      <x:c r="G1112" s="12" t="n">
        <x:v>3.46</x:v>
      </x:c>
      <x:c r="H1112" s="12" t="n">
        <x:v>346</x:v>
      </x:c>
      <x:c r="I1112" s="12" t="n">
        <x:v>2</x:v>
      </x:c>
      <x:c r="J1112" s="12" t="n">
        <x:v>1</x:v>
      </x:c>
    </x:row>
    <x:row r="1113" ht="18" customHeight="1">
      <x:c r="A1113" s="13" t="n">
        <x:v>44249</x:v>
      </x:c>
      <x:c r="B1113" s="12" t="n">
        <x:v>5597.3327</x:v>
      </x:c>
      <x:c r="C1113" s="12" t="n">
        <x:v>5778.842</x:v>
      </x:c>
      <x:c r="D1113" s="12" t="n">
        <x:v>-3.1409</x:v>
      </x:c>
      <x:c r="E1113" s="12" t="n">
        <x:v>-0.031913135890482676</x:v>
      </x:c>
      <x:c r="F1113" s="13" t="n">
        <x:v>44246</x:v>
      </x:c>
      <x:c r="G1113" s="12" t="n">
        <x:v>3.41</x:v>
      </x:c>
      <x:c r="H1113" s="12" t="n">
        <x:v>341</x:v>
      </x:c>
      <x:c r="I1113" s="12" t="n">
        <x:v>-5</x:v>
      </x:c>
      <x:c r="J1113" s="12" t="n">
        <x:v>3</x:v>
      </x:c>
    </x:row>
    <x:row r="1114" ht="18" customHeight="1">
      <x:c r="A1114" s="13" t="n">
        <x:v>44250</x:v>
      </x:c>
      <x:c r="B1114" s="12" t="n">
        <x:v>5579.6681</x:v>
      </x:c>
      <x:c r="C1114" s="12" t="n">
        <x:v>5597.3327</x:v>
      </x:c>
      <x:c r="D1114" s="12" t="n">
        <x:v>-0.3156</x:v>
      </x:c>
      <x:c r="E1114" s="12" t="n">
        <x:v>-0.00316088636363837</x:v>
      </x:c>
      <x:c r="F1114" s="13" t="n">
        <x:v>44249</x:v>
      </x:c>
      <x:c r="G1114" s="12" t="n">
        <x:v>3.44</x:v>
      </x:c>
      <x:c r="H1114" s="12" t="n">
        <x:v>344</x:v>
      </x:c>
      <x:c r="I1114" s="12" t="n">
        <x:v>3</x:v>
      </x:c>
      <x:c r="J1114" s="12" t="n">
        <x:v>1</x:v>
      </x:c>
    </x:row>
    <x:row r="1115" ht="18" customHeight="1">
      <x:c r="A1115" s="13" t="n">
        <x:v>44251</x:v>
      </x:c>
      <x:c r="B1115" s="12" t="n">
        <x:v>5437.5683</x:v>
      </x:c>
      <x:c r="C1115" s="12" t="n">
        <x:v>5579.6681</x:v>
      </x:c>
      <x:c r="D1115" s="12" t="n">
        <x:v>-2.5467</x:v>
      </x:c>
      <x:c r="E1115" s="12" t="n">
        <x:v>-0.025797337082003765</x:v>
      </x:c>
      <x:c r="F1115" s="13" t="n">
        <x:v>44250</x:v>
      </x:c>
      <x:c r="G1115" s="12" t="n">
        <x:v>3.47</x:v>
      </x:c>
      <x:c r="H1115" s="12" t="n">
        <x:v>347</x:v>
      </x:c>
      <x:c r="I1115" s="12" t="n">
        <x:v>3</x:v>
      </x:c>
      <x:c r="J1115" s="12" t="n">
        <x:v>1</x:v>
      </x:c>
    </x:row>
    <x:row r="1116" ht="18" customHeight="1">
      <x:c r="A1116" s="13" t="n">
        <x:v>44252</x:v>
      </x:c>
      <x:c r="B1116" s="12" t="n">
        <x:v>5469.5584</x:v>
      </x:c>
      <x:c r="C1116" s="12" t="n">
        <x:v>5437.5683</x:v>
      </x:c>
      <x:c r="D1116" s="12" t="n">
        <x:v>0.5883</x:v>
      </x:c>
      <x:c r="E1116" s="12" t="n">
        <x:v>0.0058659246580651195</x:v>
      </x:c>
      <x:c r="F1116" s="13" t="n">
        <x:v>44251</x:v>
      </x:c>
      <x:c r="G1116" s="12" t="n">
        <x:v>3.42</x:v>
      </x:c>
      <x:c r="H1116" s="12" t="n">
        <x:v>342</x:v>
      </x:c>
      <x:c r="I1116" s="12" t="n">
        <x:v>-5</x:v>
      </x:c>
      <x:c r="J1116" s="12" t="n">
        <x:v>1</x:v>
      </x:c>
    </x:row>
    <x:row r="1117" ht="18" customHeight="1">
      <x:c r="A1117" s="13" t="n">
        <x:v>44253</x:v>
      </x:c>
      <x:c r="B1117" s="12" t="n">
        <x:v>5336.7609</x:v>
      </x:c>
      <x:c r="C1117" s="12" t="n">
        <x:v>5469.5584</x:v>
      </x:c>
      <x:c r="D1117" s="12" t="n">
        <x:v>-2.4279</x:v>
      </x:c>
      <x:c r="E1117" s="12" t="n">
        <x:v>-0.024578986014973294</x:v>
      </x:c>
      <x:c r="F1117" s="13" t="n">
        <x:v>44252</x:v>
      </x:c>
      <x:c r="G1117" s="12" t="n">
        <x:v>3.42</x:v>
      </x:c>
      <x:c r="H1117" s="12" t="n">
        <x:v>342</x:v>
      </x:c>
      <x:c r="I1117" s="12" t="n">
        <x:v>0</x:v>
      </x:c>
      <x:c r="J1117" s="12" t="n">
        <x:v>1</x:v>
      </x:c>
    </x:row>
    <x:row r="1118" ht="18" customHeight="1">
      <x:c r="A1118" s="13" t="n">
        <x:v>44256</x:v>
      </x:c>
      <x:c r="B1118" s="12" t="n">
        <x:v>5418.7837</x:v>
      </x:c>
      <x:c r="C1118" s="12" t="n">
        <x:v>5336.7609</x:v>
      </x:c>
      <x:c r="D1118" s="12" t="n">
        <x:v>1.5369</x:v>
      </x:c>
      <x:c r="E1118" s="12" t="n">
        <x:v>0.015252484775311331</x:v>
      </x:c>
      <x:c r="F1118" s="13" t="n">
        <x:v>44255</x:v>
      </x:c>
      <x:c r="G1118" s="12" t="n">
        <x:v>3.57</x:v>
      </x:c>
      <x:c r="H1118" s="12" t="n">
        <x:v>357</x:v>
      </x:c>
      <x:c r="I1118" s="12" t="n">
        <x:v>5</x:v>
      </x:c>
      <x:c r="J1118" s="12" t="n">
        <x:v>1</x:v>
      </x:c>
    </x:row>
    <x:row r="1119" ht="18" customHeight="1">
      <x:c r="A1119" s="13" t="n">
        <x:v>44257</x:v>
      </x:c>
      <x:c r="B1119" s="12" t="n">
        <x:v>5349.6301</x:v>
      </x:c>
      <x:c r="C1119" s="12" t="n">
        <x:v>5418.7837</x:v>
      </x:c>
      <x:c r="D1119" s="12" t="n">
        <x:v>-1.2762</x:v>
      </x:c>
      <x:c r="E1119" s="12" t="n">
        <x:v>-0.012843962343151796</x:v>
      </x:c>
      <x:c r="F1119" s="13" t="n">
        <x:v>44256</x:v>
      </x:c>
      <x:c r="G1119" s="12" t="n">
        <x:v>3.54</x:v>
      </x:c>
      <x:c r="H1119" s="12" t="n">
        <x:v>354</x:v>
      </x:c>
      <x:c r="I1119" s="12" t="n">
        <x:v>-3</x:v>
      </x:c>
      <x:c r="J1119" s="12" t="n">
        <x:v>1</x:v>
      </x:c>
    </x:row>
    <x:row r="1120" ht="18" customHeight="1">
      <x:c r="A1120" s="13" t="n">
        <x:v>44258</x:v>
      </x:c>
      <x:c r="B1120" s="12" t="n">
        <x:v>5452.2125</x:v>
      </x:c>
      <x:c r="C1120" s="12" t="n">
        <x:v>5349.6301</x:v>
      </x:c>
      <x:c r="D1120" s="12" t="n">
        <x:v>1.9176</x:v>
      </x:c>
      <x:c r="E1120" s="12" t="n">
        <x:v>0.01899407126639186</x:v>
      </x:c>
      <x:c r="F1120" s="13" t="n">
        <x:v>44257</x:v>
      </x:c>
      <x:c r="G1120" s="12" t="n">
        <x:v>3.53</x:v>
      </x:c>
      <x:c r="H1120" s="12" t="n">
        <x:v>353</x:v>
      </x:c>
      <x:c r="I1120" s="12" t="n">
        <x:v>-1</x:v>
      </x:c>
      <x:c r="J1120" s="12" t="n">
        <x:v>1</x:v>
      </x:c>
    </x:row>
    <x:row r="1121" ht="18" customHeight="1">
      <x:c r="A1121" s="13" t="n">
        <x:v>44259</x:v>
      </x:c>
      <x:c r="B1121" s="12" t="n">
        <x:v>5280.7058</x:v>
      </x:c>
      <x:c r="C1121" s="12" t="n">
        <x:v>5452.2125</x:v>
      </x:c>
      <x:c r="D1121" s="12" t="n">
        <x:v>-3.1456</x:v>
      </x:c>
      <x:c r="E1121" s="12" t="n">
        <x:v>-0.03196172657010949</x:v>
      </x:c>
      <x:c r="F1121" s="13" t="n">
        <x:v>44258</x:v>
      </x:c>
      <x:c r="G1121" s="12" t="n">
        <x:v>3.51</x:v>
      </x:c>
      <x:c r="H1121" s="12" t="n">
        <x:v>351</x:v>
      </x:c>
      <x:c r="I1121" s="12" t="n">
        <x:v>-2</x:v>
      </x:c>
      <x:c r="J1121" s="12" t="n">
        <x:v>1</x:v>
      </x:c>
    </x:row>
    <x:row r="1122" ht="18" customHeight="1">
      <x:c r="A1122" s="13" t="n">
        <x:v>44260</x:v>
      </x:c>
      <x:c r="B1122" s="12" t="n">
        <x:v>5262.7958</x:v>
      </x:c>
      <x:c r="C1122" s="12" t="n">
        <x:v>5280.7058</x:v>
      </x:c>
      <x:c r="D1122" s="12" t="n">
        <x:v>-0.3392</x:v>
      </x:c>
      <x:c r="E1122" s="12" t="n">
        <x:v>-0.003397356572028898</x:v>
      </x:c>
      <x:c r="F1122" s="13" t="n">
        <x:v>44259</x:v>
      </x:c>
      <x:c r="G1122" s="12" t="n">
        <x:v>3.54</x:v>
      </x:c>
      <x:c r="H1122" s="12" t="n">
        <x:v>354</x:v>
      </x:c>
      <x:c r="I1122" s="12" t="n">
        <x:v>3</x:v>
      </x:c>
      <x:c r="J1122" s="12" t="n">
        <x:v>1</x:v>
      </x:c>
    </x:row>
    <x:row r="1123" ht="18" customHeight="1">
      <x:c r="A1123" s="13" t="n">
        <x:v>44263</x:v>
      </x:c>
      <x:c r="B1123" s="12" t="n">
        <x:v>5080.0246</x:v>
      </x:c>
      <x:c r="C1123" s="12" t="n">
        <x:v>5262.7958</x:v>
      </x:c>
      <x:c r="D1123" s="12" t="n">
        <x:v>-3.4729</x:v>
      </x:c>
      <x:c r="E1123" s="12" t="n">
        <x:v>-0.03534630235660933</x:v>
      </x:c>
      <x:c r="F1123" s="13" t="n">
        <x:v>44260</x:v>
      </x:c>
      <x:c r="G1123" s="12" t="n">
        <x:v>3.6</x:v>
      </x:c>
      <x:c r="H1123" s="12" t="n">
        <x:v>360</x:v>
      </x:c>
      <x:c r="I1123" s="12" t="n">
        <x:v>6</x:v>
      </x:c>
      <x:c r="J1123" s="12" t="n">
        <x:v>3</x:v>
      </x:c>
    </x:row>
    <x:row r="1124" ht="18" customHeight="1">
      <x:c r="A1124" s="13" t="n">
        <x:v>44264</x:v>
      </x:c>
      <x:c r="B1124" s="12" t="n">
        <x:v>4970.9994</x:v>
      </x:c>
      <x:c r="C1124" s="12" t="n">
        <x:v>5080.0246</x:v>
      </x:c>
      <x:c r="D1124" s="12" t="n">
        <x:v>-2.1462</x:v>
      </x:c>
      <x:c r="E1124" s="12" t="n">
        <x:v>-0.02169519768588273</x:v>
      </x:c>
      <x:c r="F1124" s="13" t="n">
        <x:v>44263</x:v>
      </x:c>
      <x:c r="G1124" s="12" t="n">
        <x:v>3.57</x:v>
      </x:c>
      <x:c r="H1124" s="12" t="n">
        <x:v>357</x:v>
      </x:c>
      <x:c r="I1124" s="12" t="n">
        <x:v>-3</x:v>
      </x:c>
      <x:c r="J1124" s="12" t="n">
        <x:v>1</x:v>
      </x:c>
    </x:row>
    <x:row r="1125" ht="18" customHeight="1">
      <x:c r="A1125" s="13" t="n">
        <x:v>44265</x:v>
      </x:c>
      <x:c r="B1125" s="12" t="n">
        <x:v>5003.6121</x:v>
      </x:c>
      <x:c r="C1125" s="12" t="n">
        <x:v>4970.9994</x:v>
      </x:c>
      <x:c r="D1125" s="12" t="n">
        <x:v>0.6561</x:v>
      </x:c>
      <x:c r="E1125" s="12" t="n">
        <x:v>0.006539165201911017</x:v>
      </x:c>
      <x:c r="F1125" s="13" t="n">
        <x:v>44264</x:v>
      </x:c>
      <x:c r="G1125" s="12" t="n">
        <x:v>3.62</x:v>
      </x:c>
      <x:c r="H1125" s="12" t="n">
        <x:v>362</x:v>
      </x:c>
      <x:c r="I1125" s="12" t="n">
        <x:v>5</x:v>
      </x:c>
      <x:c r="J1125" s="12" t="n">
        <x:v>1</x:v>
      </x:c>
    </x:row>
    <x:row r="1126" ht="18" customHeight="1">
      <x:c r="A1126" s="13" t="n">
        <x:v>44266</x:v>
      </x:c>
      <x:c r="B1126" s="12" t="n">
        <x:v>5128.2156</x:v>
      </x:c>
      <x:c r="C1126" s="12" t="n">
        <x:v>5003.6121</x:v>
      </x:c>
      <x:c r="D1126" s="12" t="n">
        <x:v>2.4903</x:v>
      </x:c>
      <x:c r="E1126" s="12" t="n">
        <x:v>0.02459769080192662</x:v>
      </x:c>
      <x:c r="F1126" s="13" t="n">
        <x:v>44265</x:v>
      </x:c>
      <x:c r="G1126" s="12" t="n">
        <x:v>3.63</x:v>
      </x:c>
      <x:c r="H1126" s="12" t="n">
        <x:v>363</x:v>
      </x:c>
      <x:c r="I1126" s="12" t="n">
        <x:v>1</x:v>
      </x:c>
      <x:c r="J1126" s="12" t="n">
        <x:v>1</x:v>
      </x:c>
    </x:row>
    <x:row r="1127" ht="18" customHeight="1">
      <x:c r="A1127" s="13" t="n">
        <x:v>44267</x:v>
      </x:c>
      <x:c r="B1127" s="12" t="n">
        <x:v>5146.3786</x:v>
      </x:c>
      <x:c r="C1127" s="12" t="n">
        <x:v>5128.2156</x:v>
      </x:c>
      <x:c r="D1127" s="12" t="n">
        <x:v>0.3542</x:v>
      </x:c>
      <x:c r="E1127" s="12" t="n">
        <x:v>0.003535520443161178</x:v>
      </x:c>
      <x:c r="F1127" s="13" t="n">
        <x:v>44266</x:v>
      </x:c>
      <x:c r="G1127" s="12" t="n">
        <x:v>3.52</x:v>
      </x:c>
      <x:c r="H1127" s="12" t="n">
        <x:v>352</x:v>
      </x:c>
      <x:c r="I1127" s="12" t="n">
        <x:v>-11</x:v>
      </x:c>
      <x:c r="J1127" s="12" t="n">
        <x:v>1</x:v>
      </x:c>
    </x:row>
    <x:row r="1128" ht="18" customHeight="1">
      <x:c r="A1128" s="13" t="n">
        <x:v>44270</x:v>
      </x:c>
      <x:c r="B1128" s="12" t="n">
        <x:v>5035.5441</x:v>
      </x:c>
      <x:c r="C1128" s="12" t="n">
        <x:v>5146.3786</x:v>
      </x:c>
      <x:c r="D1128" s="12" t="n">
        <x:v>-2.1536</x:v>
      </x:c>
      <x:c r="E1128" s="12" t="n">
        <x:v>-0.021771698972272314</x:v>
      </x:c>
      <x:c r="F1128" s="13" t="n">
        <x:v>44267</x:v>
      </x:c>
      <x:c r="G1128" s="12" t="n">
        <x:v>3.55</x:v>
      </x:c>
      <x:c r="H1128" s="12" t="n">
        <x:v>355</x:v>
      </x:c>
      <x:c r="I1128" s="12" t="n">
        <x:v>3</x:v>
      </x:c>
      <x:c r="J1128" s="12" t="n">
        <x:v>3</x:v>
      </x:c>
    </x:row>
    <x:row r="1129" ht="18" customHeight="1">
      <x:c r="A1129" s="13" t="n">
        <x:v>44271</x:v>
      </x:c>
      <x:c r="B1129" s="12" t="n">
        <x:v>5079.3624</x:v>
      </x:c>
      <x:c r="C1129" s="12" t="n">
        <x:v>5035.5441</x:v>
      </x:c>
      <x:c r="D1129" s="12" t="n">
        <x:v>0.8702</x:v>
      </x:c>
      <x:c r="E1129" s="12" t="n">
        <x:v>0.00866415801490597</x:v>
      </x:c>
      <x:c r="F1129" s="13" t="n">
        <x:v>44270</x:v>
      </x:c>
      <x:c r="G1129" s="12" t="n">
        <x:v>3.55</x:v>
      </x:c>
      <x:c r="H1129" s="12" t="n">
        <x:v>355</x:v>
      </x:c>
      <x:c r="I1129" s="12" t="n">
        <x:v>0</x:v>
      </x:c>
      <x:c r="J1129" s="12" t="n">
        <x:v>1</x:v>
      </x:c>
    </x:row>
    <x:row r="1130" ht="18" customHeight="1">
      <x:c r="A1130" s="13" t="n">
        <x:v>44272</x:v>
      </x:c>
      <x:c r="B1130" s="12" t="n">
        <x:v>5100.8581</x:v>
      </x:c>
      <x:c r="C1130" s="12" t="n">
        <x:v>5079.3624</x:v>
      </x:c>
      <x:c r="D1130" s="12" t="n">
        <x:v>0.4232</x:v>
      </x:c>
      <x:c r="E1130" s="12" t="n">
        <x:v>0.004223038576872044</x:v>
      </x:c>
      <x:c r="F1130" s="13" t="n">
        <x:v>44271</x:v>
      </x:c>
      <x:c r="G1130" s="12" t="n">
        <x:v>3.55</x:v>
      </x:c>
      <x:c r="H1130" s="12" t="n">
        <x:v>355</x:v>
      </x:c>
      <x:c r="I1130" s="12" t="n">
        <x:v>0</x:v>
      </x:c>
      <x:c r="J1130" s="12" t="n">
        <x:v>1</x:v>
      </x:c>
    </x:row>
    <x:row r="1131" ht="18" customHeight="1">
      <x:c r="A1131" s="13" t="n">
        <x:v>44273</x:v>
      </x:c>
      <x:c r="B1131" s="12" t="n">
        <x:v>5141.7681</x:v>
      </x:c>
      <x:c r="C1131" s="12" t="n">
        <x:v>5100.8581</x:v>
      </x:c>
      <x:c r="D1131" s="12" t="n">
        <x:v>0.802</x:v>
      </x:c>
      <x:c r="E1131" s="12" t="n">
        <x:v>0.007988228164529472</x:v>
      </x:c>
      <x:c r="F1131" s="13" t="n">
        <x:v>44272</x:v>
      </x:c>
      <x:c r="G1131" s="12" t="n">
        <x:v>3.65</x:v>
      </x:c>
      <x:c r="H1131" s="12" t="n">
        <x:v>365</x:v>
      </x:c>
      <x:c r="I1131" s="12" t="n">
        <x:v>10</x:v>
      </x:c>
      <x:c r="J1131" s="12" t="n">
        <x:v>1</x:v>
      </x:c>
    </x:row>
    <x:row r="1132" ht="18" customHeight="1">
      <x:c r="A1132" s="13" t="n">
        <x:v>44274</x:v>
      </x:c>
      <x:c r="B1132" s="12" t="n">
        <x:v>5007.0907</x:v>
      </x:c>
      <x:c r="C1132" s="12" t="n">
        <x:v>5141.7681</x:v>
      </x:c>
      <x:c r="D1132" s="12" t="n">
        <x:v>-2.6193</x:v>
      </x:c>
      <x:c r="E1132" s="12" t="n">
        <x:v>-0.0265419608202576</x:v>
      </x:c>
      <x:c r="F1132" s="13" t="n">
        <x:v>44273</x:v>
      </x:c>
      <x:c r="G1132" s="12" t="n">
        <x:v>3.66</x:v>
      </x:c>
      <x:c r="H1132" s="12" t="n">
        <x:v>366</x:v>
      </x:c>
      <x:c r="I1132" s="12" t="n">
        <x:v>1</x:v>
      </x:c>
      <x:c r="J1132" s="12" t="n">
        <x:v>1</x:v>
      </x:c>
    </x:row>
    <x:row r="1133" ht="18" customHeight="1">
      <x:c r="A1133" s="13" t="n">
        <x:v>44277</x:v>
      </x:c>
      <x:c r="B1133" s="12" t="n">
        <x:v>5057.152</x:v>
      </x:c>
      <x:c r="C1133" s="12" t="n">
        <x:v>5007.0907</x:v>
      </x:c>
      <x:c r="D1133" s="12" t="n">
        <x:v>0.9998</x:v>
      </x:c>
      <x:c r="E1133" s="12" t="n">
        <x:v>0.009948431169141384</x:v>
      </x:c>
      <x:c r="F1133" s="13" t="n">
        <x:v>44274</x:v>
      </x:c>
      <x:c r="G1133" s="12" t="n">
        <x:v>3.67</x:v>
      </x:c>
      <x:c r="H1133" s="12" t="n">
        <x:v>367</x:v>
      </x:c>
      <x:c r="I1133" s="12" t="n">
        <x:v>1</x:v>
      </x:c>
      <x:c r="J1133" s="12" t="n">
        <x:v>3</x:v>
      </x:c>
    </x:row>
    <x:row r="1134" ht="18" customHeight="1">
      <x:c r="A1134" s="13" t="n">
        <x:v>44278</x:v>
      </x:c>
      <x:c r="B1134" s="12" t="n">
        <x:v>5009.2459</x:v>
      </x:c>
      <x:c r="C1134" s="12" t="n">
        <x:v>5057.152</x:v>
      </x:c>
      <x:c r="D1134" s="12" t="n">
        <x:v>-0.9473</x:v>
      </x:c>
      <x:c r="E1134" s="12" t="n">
        <x:v>-0.009518094186803952</x:v>
      </x:c>
      <x:c r="F1134" s="13" t="n">
        <x:v>44277</x:v>
      </x:c>
      <x:c r="G1134" s="12" t="n">
        <x:v>3.58</x:v>
      </x:c>
      <x:c r="H1134" s="12" t="n">
        <x:v>358</x:v>
      </x:c>
      <x:c r="I1134" s="12" t="n">
        <x:v>-9</x:v>
      </x:c>
      <x:c r="J1134" s="12" t="n">
        <x:v>1</x:v>
      </x:c>
    </x:row>
    <x:row r="1135" ht="18" customHeight="1">
      <x:c r="A1135" s="13" t="n">
        <x:v>44279</x:v>
      </x:c>
      <x:c r="B1135" s="12" t="n">
        <x:v>4928.6853</x:v>
      </x:c>
      <x:c r="C1135" s="12" t="n">
        <x:v>5009.2459</x:v>
      </x:c>
      <x:c r="D1135" s="12" t="n">
        <x:v>-1.6082</x:v>
      </x:c>
      <x:c r="E1135" s="12" t="n">
        <x:v>-0.016213105742656164</x:v>
      </x:c>
      <x:c r="F1135" s="13" t="n">
        <x:v>44278</x:v>
      </x:c>
      <x:c r="G1135" s="12" t="n">
        <x:v>3.57</x:v>
      </x:c>
      <x:c r="H1135" s="12" t="n">
        <x:v>357</x:v>
      </x:c>
      <x:c r="I1135" s="12" t="n">
        <x:v>-1</x:v>
      </x:c>
      <x:c r="J1135" s="12" t="n">
        <x:v>1</x:v>
      </x:c>
    </x:row>
    <x:row r="1136" ht="18" customHeight="1">
      <x:c r="A1136" s="13" t="n">
        <x:v>44280</x:v>
      </x:c>
      <x:c r="B1136" s="12" t="n">
        <x:v>4926.3469</x:v>
      </x:c>
      <x:c r="C1136" s="12" t="n">
        <x:v>4928.6853</x:v>
      </x:c>
      <x:c r="D1136" s="12" t="n">
        <x:v>-0.0474</x:v>
      </x:c>
      <x:c r="E1136" s="12" t="n">
        <x:v>-0.00047455959482012024</x:v>
      </x:c>
      <x:c r="F1136" s="13" t="n">
        <x:v>44279</x:v>
      </x:c>
      <x:c r="G1136" s="12" t="n">
        <x:v>3.51</x:v>
      </x:c>
      <x:c r="H1136" s="12" t="n">
        <x:v>351</x:v>
      </x:c>
      <x:c r="I1136" s="12" t="n">
        <x:v>-6</x:v>
      </x:c>
      <x:c r="J1136" s="12" t="n">
        <x:v>1</x:v>
      </x:c>
    </x:row>
    <x:row r="1137" ht="18" customHeight="1">
      <x:c r="A1137" s="13" t="n">
        <x:v>44281</x:v>
      </x:c>
      <x:c r="B1137" s="12" t="n">
        <x:v>5037.9899</x:v>
      </x:c>
      <x:c r="C1137" s="12" t="n">
        <x:v>4926.3469</x:v>
      </x:c>
      <x:c r="D1137" s="12" t="n">
        <x:v>2.2662</x:v>
      </x:c>
      <x:c r="E1137" s="12" t="n">
        <x:v>0.022409453696508205</x:v>
      </x:c>
      <x:c r="F1137" s="13" t="n">
        <x:v>44280</x:v>
      </x:c>
      <x:c r="G1137" s="12" t="n">
        <x:v>3.53</x:v>
      </x:c>
      <x:c r="H1137" s="12" t="n">
        <x:v>353</x:v>
      </x:c>
      <x:c r="I1137" s="12" t="n">
        <x:v>2</x:v>
      </x:c>
      <x:c r="J1137" s="12" t="n">
        <x:v>1</x:v>
      </x:c>
    </x:row>
    <x:row r="1138" ht="18" customHeight="1">
      <x:c r="A1138" s="13" t="n">
        <x:v>44284</x:v>
      </x:c>
      <x:c r="B1138" s="12" t="n">
        <x:v>5046.8773</x:v>
      </x:c>
      <x:c r="C1138" s="12" t="n">
        <x:v>5037.9899</x:v>
      </x:c>
      <x:c r="D1138" s="12" t="n">
        <x:v>0.1764</x:v>
      </x:c>
      <x:c r="E1138" s="12" t="n">
        <x:v>0.0017625224258213089</x:v>
      </x:c>
      <x:c r="F1138" s="13" t="n">
        <x:v>44281</x:v>
      </x:c>
      <x:c r="G1138" s="12" t="n">
        <x:v>3.48</x:v>
      </x:c>
      <x:c r="H1138" s="12" t="n">
        <x:v>348</x:v>
      </x:c>
      <x:c r="I1138" s="12" t="n">
        <x:v>-5</x:v>
      </x:c>
      <x:c r="J1138" s="12" t="n">
        <x:v>3</x:v>
      </x:c>
    </x:row>
    <x:row r="1139" ht="18" customHeight="1">
      <x:c r="A1139" s="13" t="n">
        <x:v>44285</x:v>
      </x:c>
      <x:c r="B1139" s="12" t="n">
        <x:v>5094.7291</x:v>
      </x:c>
      <x:c r="C1139" s="12" t="n">
        <x:v>5046.8773</x:v>
      </x:c>
      <x:c r="D1139" s="12" t="n">
        <x:v>0.9481</x:v>
      </x:c>
      <x:c r="E1139" s="12" t="n">
        <x:v>0.00943679989640187</x:v>
      </x:c>
      <x:c r="F1139" s="13" t="n">
        <x:v>44284</x:v>
      </x:c>
      <x:c r="G1139" s="12" t="n">
        <x:v>3.43</x:v>
      </x:c>
      <x:c r="H1139" s="12" t="n">
        <x:v>343</x:v>
      </x:c>
      <x:c r="I1139" s="12" t="n">
        <x:v>-5</x:v>
      </x:c>
      <x:c r="J1139" s="12" t="n">
        <x:v>1</x:v>
      </x:c>
    </x:row>
    <x:row r="1140" ht="18" customHeight="1">
      <x:c r="A1140" s="13" t="n">
        <x:v>44286</x:v>
      </x:c>
      <x:c r="B1140" s="12" t="n">
        <x:v>5048.3607</x:v>
      </x:c>
      <x:c r="C1140" s="12" t="n">
        <x:v>5094.7291</x:v>
      </x:c>
      <x:c r="D1140" s="12" t="n">
        <x:v>-0.9101</x:v>
      </x:c>
      <x:c r="E1140" s="12" t="n">
        <x:v>-0.009142918759438923</x:v>
      </x:c>
      <x:c r="F1140" s="13" t="n">
        <x:v>44285</x:v>
      </x:c>
      <x:c r="G1140" s="12" t="n">
        <x:v>3.44</x:v>
      </x:c>
      <x:c r="H1140" s="12" t="n">
        <x:v>344</x:v>
      </x:c>
      <x:c r="I1140" s="12" t="n">
        <x:v>1</x:v>
      </x:c>
      <x:c r="J1140" s="12" t="n">
        <x:v>1</x:v>
      </x:c>
    </x:row>
    <x:row r="1141" ht="18" customHeight="1">
      <x:c r="A1141" s="13" t="n">
        <x:v>44287</x:v>
      </x:c>
      <x:c r="B1141" s="12" t="n">
        <x:v>5110.7768</x:v>
      </x:c>
      <x:c r="C1141" s="12" t="n">
        <x:v>5048.3607</x:v>
      </x:c>
      <x:c r="D1141" s="12" t="n">
        <x:v>1.2364</x:v>
      </x:c>
      <x:c r="E1141" s="12" t="n">
        <x:v>0.012287831590583272</x:v>
      </x:c>
      <x:c r="F1141" s="13" t="n">
        <x:v>44286</x:v>
      </x:c>
      <x:c r="G1141" s="12" t="n">
        <x:v>3.36</x:v>
      </x:c>
      <x:c r="H1141" s="12" t="n">
        <x:v>336</x:v>
      </x:c>
      <x:c r="I1141" s="12" t="n">
        <x:v>-8</x:v>
      </x:c>
      <x:c r="J1141" s="12" t="n">
        <x:v>1</x:v>
      </x:c>
    </x:row>
    <x:row r="1142" ht="18" customHeight="1">
      <x:c r="A1142" s="13" t="n">
        <x:v>44288</x:v>
      </x:c>
      <x:c r="B1142" s="12" t="n">
        <x:v>5161.5569</x:v>
      </x:c>
      <x:c r="C1142" s="12" t="n">
        <x:v>5110.7768</x:v>
      </x:c>
      <x:c r="D1142" s="12" t="n">
        <x:v>0.9936</x:v>
      </x:c>
      <x:c r="E1142" s="12" t="n">
        <x:v>0.009886850471916106</x:v>
      </x:c>
      <x:c r="F1142" s="13" t="n">
        <x:v>44287</x:v>
      </x:c>
      <x:c r="G1142" s="12" t="n">
        <x:v>3.33</x:v>
      </x:c>
      <x:c r="H1142" s="12" t="n">
        <x:v>333</x:v>
      </x:c>
      <x:c r="I1142" s="12" t="n">
        <x:v>-3</x:v>
      </x:c>
      <x:c r="J1142" s="12" t="n">
        <x:v>1</x:v>
      </x:c>
    </x:row>
    <x:row r="1143" ht="18" customHeight="1">
      <x:c r="A1143" s="13" t="n">
        <x:v>44292</x:v>
      </x:c>
      <x:c r="B1143" s="12" t="n">
        <x:v>5140.3418</x:v>
      </x:c>
      <x:c r="C1143" s="12" t="n">
        <x:v>5161.5569</x:v>
      </x:c>
      <x:c r="D1143" s="12" t="n">
        <x:v>-0.411</x:v>
      </x:c>
      <x:c r="E1143" s="12" t="n">
        <x:v>-0.004118683479246685</x:v>
      </x:c>
      <x:c r="F1143" s="13" t="n">
        <x:v>44291</x:v>
      </x:c>
      <x:c r="G1143" s="12" t="n">
        <x:v>3.25</x:v>
      </x:c>
      <x:c r="H1143" s="12" t="n">
        <x:v>325</x:v>
      </x:c>
      <x:c r="I1143" s="12" t="n">
        <x:v>-8</x:v>
      </x:c>
      <x:c r="J1143" s="12" t="n">
        <x:v>1</x:v>
      </x:c>
    </x:row>
    <x:row r="1144" ht="18" customHeight="1">
      <x:c r="A1144" s="13" t="n">
        <x:v>44293</x:v>
      </x:c>
      <x:c r="B1144" s="12" t="n">
        <x:v>5103.7428</x:v>
      </x:c>
      <x:c r="C1144" s="12" t="n">
        <x:v>5140.3418</x:v>
      </x:c>
      <x:c r="D1144" s="12" t="n">
        <x:v>-0.712</x:v>
      </x:c>
      <x:c r="E1144" s="12" t="n">
        <x:v>-0.007145422387403772</x:v>
      </x:c>
      <x:c r="F1144" s="13" t="n">
        <x:v>44292</x:v>
      </x:c>
      <x:c r="G1144" s="12" t="n">
        <x:v>3.25</x:v>
      </x:c>
      <x:c r="H1144" s="12" t="n">
        <x:v>325</x:v>
      </x:c>
      <x:c r="I1144" s="12" t="n">
        <x:v>0</x:v>
      </x:c>
      <x:c r="J1144" s="12" t="n">
        <x:v>1</x:v>
      </x:c>
    </x:row>
    <x:row r="1145" ht="18" customHeight="1">
      <x:c r="A1145" s="13" t="n">
        <x:v>44294</x:v>
      </x:c>
      <x:c r="B1145" s="12" t="n">
        <x:v>5112.2086</x:v>
      </x:c>
      <x:c r="C1145" s="12" t="n">
        <x:v>5103.7428</x:v>
      </x:c>
      <x:c r="D1145" s="12" t="n">
        <x:v>0.1659</x:v>
      </x:c>
      <x:c r="E1145" s="12" t="n">
        <x:v>0.0016573692662383715</x:v>
      </x:c>
      <x:c r="F1145" s="13" t="n">
        <x:v>44293</x:v>
      </x:c>
      <x:c r="G1145" s="12" t="n">
        <x:v>3.22</x:v>
      </x:c>
      <x:c r="H1145" s="12" t="n">
        <x:v>322</x:v>
      </x:c>
      <x:c r="I1145" s="12" t="n">
        <x:v>-3</x:v>
      </x:c>
      <x:c r="J1145" s="12" t="n">
        <x:v>1</x:v>
      </x:c>
    </x:row>
    <x:row r="1146" ht="18" customHeight="1">
      <x:c r="A1146" s="13" t="n">
        <x:v>44295</x:v>
      </x:c>
      <x:c r="B1146" s="12" t="n">
        <x:v>5035.3374</x:v>
      </x:c>
      <x:c r="C1146" s="12" t="n">
        <x:v>5112.2086</x:v>
      </x:c>
      <x:c r="D1146" s="12" t="n">
        <x:v>-1.5037</x:v>
      </x:c>
      <x:c r="E1146" s="12" t="n">
        <x:v>-0.015150987340556255</x:v>
      </x:c>
      <x:c r="F1146" s="13" t="n">
        <x:v>44294</x:v>
      </x:c>
      <x:c r="G1146" s="12" t="n">
        <x:v>3.21</x:v>
      </x:c>
      <x:c r="H1146" s="12" t="n">
        <x:v>321</x:v>
      </x:c>
      <x:c r="I1146" s="12" t="n">
        <x:v>-1</x:v>
      </x:c>
      <x:c r="J1146" s="12" t="n">
        <x:v>1</x:v>
      </x:c>
    </x:row>
    <x:row r="1147" ht="18" customHeight="1">
      <x:c r="A1147" s="13" t="n">
        <x:v>44298</x:v>
      </x:c>
      <x:c r="B1147" s="12" t="n">
        <x:v>4947.7459</x:v>
      </x:c>
      <x:c r="C1147" s="12" t="n">
        <x:v>5035.3374</x:v>
      </x:c>
      <x:c r="D1147" s="12" t="n">
        <x:v>-1.7395</x:v>
      </x:c>
      <x:c r="E1147" s="12" t="n">
        <x:v>-0.017548435719811403</x:v>
      </x:c>
      <x:c r="F1147" s="13" t="n">
        <x:v>44295</x:v>
      </x:c>
      <x:c r="G1147" s="12" t="n">
        <x:v>3.24</x:v>
      </x:c>
      <x:c r="H1147" s="12" t="n">
        <x:v>324</x:v>
      </x:c>
      <x:c r="I1147" s="12" t="n">
        <x:v>3</x:v>
      </x:c>
      <x:c r="J1147" s="12" t="n">
        <x:v>3</x:v>
      </x:c>
    </x:row>
    <x:row r="1148" ht="18" customHeight="1">
      <x:c r="A1148" s="13" t="n">
        <x:v>44299</x:v>
      </x:c>
      <x:c r="B1148" s="12" t="n">
        <x:v>4939.6438</x:v>
      </x:c>
      <x:c r="C1148" s="12" t="n">
        <x:v>4947.7459</x:v>
      </x:c>
      <x:c r="D1148" s="12" t="n">
        <x:v>-0.1638</x:v>
      </x:c>
      <x:c r="E1148" s="12" t="n">
        <x:v>-0.001638875792154115</x:v>
      </x:c>
      <x:c r="F1148" s="13" t="n">
        <x:v>44298</x:v>
      </x:c>
      <x:c r="G1148" s="12" t="n">
        <x:v>3.24</x:v>
      </x:c>
      <x:c r="H1148" s="12" t="n">
        <x:v>324</x:v>
      </x:c>
      <x:c r="I1148" s="12" t="n">
        <x:v>0</x:v>
      </x:c>
      <x:c r="J1148" s="12" t="n">
        <x:v>1</x:v>
      </x:c>
    </x:row>
    <x:row r="1149" ht="18" customHeight="1">
      <x:c r="A1149" s="13" t="n">
        <x:v>44300</x:v>
      </x:c>
      <x:c r="B1149" s="12" t="n">
        <x:v>4980.6279</x:v>
      </x:c>
      <x:c r="C1149" s="12" t="n">
        <x:v>4939.6438</x:v>
      </x:c>
      <x:c r="D1149" s="12" t="n">
        <x:v>0.8297</x:v>
      </x:c>
      <x:c r="E1149" s="12" t="n">
        <x:v>0.0082627440889853</x:v>
      </x:c>
      <x:c r="F1149" s="13" t="n">
        <x:v>44299</x:v>
      </x:c>
      <x:c r="G1149" s="12" t="n">
        <x:v>3.32</x:v>
      </x:c>
      <x:c r="H1149" s="12" t="n">
        <x:v>332</x:v>
      </x:c>
      <x:c r="I1149" s="12" t="n">
        <x:v>8</x:v>
      </x:c>
      <x:c r="J1149" s="12" t="n">
        <x:v>1</x:v>
      </x:c>
    </x:row>
    <x:row r="1150" ht="18" customHeight="1">
      <x:c r="A1150" s="13" t="n">
        <x:v>44301</x:v>
      </x:c>
      <x:c r="B1150" s="12" t="n">
        <x:v>4948.9741</x:v>
      </x:c>
      <x:c r="C1150" s="12" t="n">
        <x:v>4980.6279</x:v>
      </x:c>
      <x:c r="D1150" s="12" t="n">
        <x:v>-0.6355</x:v>
      </x:c>
      <x:c r="E1150" s="12" t="n">
        <x:v>-0.0063756648503750565</x:v>
      </x:c>
      <x:c r="F1150" s="13" t="n">
        <x:v>44300</x:v>
      </x:c>
      <x:c r="G1150" s="12" t="n">
        <x:v>3.25</x:v>
      </x:c>
      <x:c r="H1150" s="12" t="n">
        <x:v>325</x:v>
      </x:c>
      <x:c r="I1150" s="12" t="n">
        <x:v>-7</x:v>
      </x:c>
      <x:c r="J1150" s="12" t="n">
        <x:v>1</x:v>
      </x:c>
    </x:row>
    <x:row r="1151" ht="18" customHeight="1">
      <x:c r="A1151" s="13" t="n">
        <x:v>44302</x:v>
      </x:c>
      <x:c r="B1151" s="12" t="n">
        <x:v>4966.1811</x:v>
      </x:c>
      <x:c r="C1151" s="12" t="n">
        <x:v>4948.9741</x:v>
      </x:c>
      <x:c r="D1151" s="12" t="n">
        <x:v>0.3477</x:v>
      </x:c>
      <x:c r="E1151" s="12" t="n">
        <x:v>0.003470851827739531</x:v>
      </x:c>
      <x:c r="F1151" s="13" t="n">
        <x:v>44301</x:v>
      </x:c>
      <x:c r="G1151" s="12" t="n">
        <x:v>3.25</x:v>
      </x:c>
      <x:c r="H1151" s="12" t="n">
        <x:v>325</x:v>
      </x:c>
      <x:c r="I1151" s="12" t="n">
        <x:v>0</x:v>
      </x:c>
      <x:c r="J1151" s="12" t="n">
        <x:v>1</x:v>
      </x:c>
    </x:row>
    <x:row r="1152" ht="18" customHeight="1">
      <x:c r="A1152" s="13" t="n">
        <x:v>44305</x:v>
      </x:c>
      <x:c r="B1152" s="12" t="n">
        <x:v>5087.0165</x:v>
      </x:c>
      <x:c r="C1152" s="12" t="n">
        <x:v>4966.1811</x:v>
      </x:c>
      <x:c r="D1152" s="12" t="n">
        <x:v>2.4332</x:v>
      </x:c>
      <x:c r="E1152" s="12" t="n">
        <x:v>0.024040354994074857</x:v>
      </x:c>
      <x:c r="F1152" s="13" t="n">
        <x:v>44302</x:v>
      </x:c>
      <x:c r="G1152" s="12" t="n">
        <x:v>3.22</x:v>
      </x:c>
      <x:c r="H1152" s="12" t="n">
        <x:v>322</x:v>
      </x:c>
      <x:c r="I1152" s="12" t="n">
        <x:v>-3</x:v>
      </x:c>
      <x:c r="J1152" s="12" t="n">
        <x:v>3</x:v>
      </x:c>
    </x:row>
    <x:row r="1153" ht="18" customHeight="1">
      <x:c r="A1153" s="13" t="n">
        <x:v>44306</x:v>
      </x:c>
      <x:c r="B1153" s="12" t="n">
        <x:v>5083.3654</x:v>
      </x:c>
      <x:c r="C1153" s="12" t="n">
        <x:v>5087.0165</x:v>
      </x:c>
      <x:c r="D1153" s="12" t="n">
        <x:v>-0.0718</x:v>
      </x:c>
      <x:c r="E1153" s="12" t="n">
        <x:v>-0.000717986835252842</x:v>
      </x:c>
      <x:c r="F1153" s="13" t="n">
        <x:v>44305</x:v>
      </x:c>
      <x:c r="G1153" s="12" t="n">
        <x:v>3.25</x:v>
      </x:c>
      <x:c r="H1153" s="12" t="n">
        <x:v>325</x:v>
      </x:c>
      <x:c r="I1153" s="12" t="n">
        <x:v>3</x:v>
      </x:c>
      <x:c r="J1153" s="12" t="n">
        <x:v>1</x:v>
      </x:c>
    </x:row>
    <x:row r="1154" ht="18" customHeight="1">
      <x:c r="A1154" s="13" t="n">
        <x:v>44307</x:v>
      </x:c>
      <x:c r="B1154" s="12" t="n">
        <x:v>5098.7449</x:v>
      </x:c>
      <x:c r="C1154" s="12" t="n">
        <x:v>5083.3654</x:v>
      </x:c>
      <x:c r="D1154" s="12" t="n">
        <x:v>0.3025</x:v>
      </x:c>
      <x:c r="E1154" s="12" t="n">
        <x:v>0.00302088884183706</x:v>
      </x:c>
      <x:c r="F1154" s="13" t="n">
        <x:v>44306</x:v>
      </x:c>
      <x:c r="G1154" s="12" t="n">
        <x:v>3.35</x:v>
      </x:c>
      <x:c r="H1154" s="12" t="n">
        <x:v>335</x:v>
      </x:c>
      <x:c r="I1154" s="12" t="n">
        <x:v>10</x:v>
      </x:c>
      <x:c r="J1154" s="12" t="n">
        <x:v>1</x:v>
      </x:c>
    </x:row>
    <x:row r="1155" ht="18" customHeight="1">
      <x:c r="A1155" s="13" t="n">
        <x:v>44308</x:v>
      </x:c>
      <x:c r="B1155" s="12" t="n">
        <x:v>5089.2435</x:v>
      </x:c>
      <x:c r="C1155" s="12" t="n">
        <x:v>5098.7449</x:v>
      </x:c>
      <x:c r="D1155" s="12" t="n">
        <x:v>-0.1863</x:v>
      </x:c>
      <x:c r="E1155" s="12" t="n">
        <x:v>-0.0018652166417151464</x:v>
      </x:c>
      <x:c r="F1155" s="13" t="n">
        <x:v>44307</x:v>
      </x:c>
      <x:c r="G1155" s="12" t="n">
        <x:v>3.34</x:v>
      </x:c>
      <x:c r="H1155" s="12" t="n">
        <x:v>334</x:v>
      </x:c>
      <x:c r="I1155" s="12" t="n">
        <x:v>-1</x:v>
      </x:c>
      <x:c r="J1155" s="12" t="n">
        <x:v>1</x:v>
      </x:c>
    </x:row>
    <x:row r="1156" ht="18" customHeight="1">
      <x:c r="A1156" s="13" t="n">
        <x:v>44309</x:v>
      </x:c>
      <x:c r="B1156" s="12" t="n">
        <x:v>5135.4534</x:v>
      </x:c>
      <x:c r="C1156" s="12" t="n">
        <x:v>5089.2435</x:v>
      </x:c>
      <x:c r="D1156" s="12" t="n">
        <x:v>0.908</x:v>
      </x:c>
      <x:c r="E1156" s="12" t="n">
        <x:v>0.009038940728190753</x:v>
      </x:c>
      <x:c r="F1156" s="13" t="n">
        <x:v>44308</x:v>
      </x:c>
      <x:c r="G1156" s="12" t="n">
        <x:v>3.34</x:v>
      </x:c>
      <x:c r="H1156" s="12" t="n">
        <x:v>334</x:v>
      </x:c>
      <x:c r="I1156" s="12" t="n">
        <x:v>0</x:v>
      </x:c>
      <x:c r="J1156" s="12" t="n">
        <x:v>1</x:v>
      </x:c>
    </x:row>
    <x:row r="1157" ht="18" customHeight="1">
      <x:c r="A1157" s="13" t="n">
        <x:v>44312</x:v>
      </x:c>
      <x:c r="B1157" s="12" t="n">
        <x:v>5077.2372</x:v>
      </x:c>
      <x:c r="C1157" s="12" t="n">
        <x:v>5135.4534</x:v>
      </x:c>
      <x:c r="D1157" s="12" t="n">
        <x:v>-1.1336</x:v>
      </x:c>
      <x:c r="E1157" s="12" t="n">
        <x:v>-0.011400880112324985</x:v>
      </x:c>
      <x:c r="F1157" s="13" t="n">
        <x:v>44309</x:v>
      </x:c>
      <x:c r="G1157" s="12" t="n">
        <x:v>3.29</x:v>
      </x:c>
      <x:c r="H1157" s="12" t="n">
        <x:v>329</x:v>
      </x:c>
      <x:c r="I1157" s="12" t="n">
        <x:v>-5</x:v>
      </x:c>
      <x:c r="J1157" s="12" t="n">
        <x:v>3</x:v>
      </x:c>
    </x:row>
    <x:row r="1158" ht="18" customHeight="1">
      <x:c r="A1158" s="13" t="n">
        <x:v>44313</x:v>
      </x:c>
      <x:c r="B1158" s="12" t="n">
        <x:v>5090.5195</x:v>
      </x:c>
      <x:c r="C1158" s="12" t="n">
        <x:v>5077.2372</x:v>
      </x:c>
      <x:c r="D1158" s="12" t="n">
        <x:v>0.2616</x:v>
      </x:c>
      <x:c r="E1158" s="12" t="n">
        <x:v>0.002612632844617457</x:v>
      </x:c>
      <x:c r="F1158" s="13" t="n">
        <x:v>44312</x:v>
      </x:c>
      <x:c r="G1158" s="12" t="n">
        <x:v>3.26</x:v>
      </x:c>
      <x:c r="H1158" s="12" t="n">
        <x:v>326</x:v>
      </x:c>
      <x:c r="I1158" s="12" t="n">
        <x:v>-3</x:v>
      </x:c>
      <x:c r="J1158" s="12" t="n">
        <x:v>1</x:v>
      </x:c>
    </x:row>
    <x:row r="1159" ht="18" customHeight="1">
      <x:c r="A1159" s="13" t="n">
        <x:v>44314</x:v>
      </x:c>
      <x:c r="B1159" s="12" t="n">
        <x:v>5119.2421</x:v>
      </x:c>
      <x:c r="C1159" s="12" t="n">
        <x:v>5090.5195</x:v>
      </x:c>
      <x:c r="D1159" s="12" t="n">
        <x:v>0.5642</x:v>
      </x:c>
      <x:c r="E1159" s="12" t="n">
        <x:v>0.005626512527797331</x:v>
      </x:c>
      <x:c r="F1159" s="13" t="n">
        <x:v>44313</x:v>
      </x:c>
      <x:c r="G1159" s="12" t="n">
        <x:v>3.24</x:v>
      </x:c>
      <x:c r="H1159" s="12" t="n">
        <x:v>324</x:v>
      </x:c>
      <x:c r="I1159" s="12" t="n">
        <x:v>-2</x:v>
      </x:c>
      <x:c r="J1159" s="12" t="n">
        <x:v>1</x:v>
      </x:c>
    </x:row>
    <x:row r="1160" ht="18" customHeight="1">
      <x:c r="A1160" s="13" t="n">
        <x:v>44315</x:v>
      </x:c>
      <x:c r="B1160" s="12" t="n">
        <x:v>5164.1692</x:v>
      </x:c>
      <x:c r="C1160" s="12" t="n">
        <x:v>5119.2421</x:v>
      </x:c>
      <x:c r="D1160" s="12" t="n">
        <x:v>0.8776</x:v>
      </x:c>
      <x:c r="E1160" s="12" t="n">
        <x:v>0.008737836995305902</x:v>
      </x:c>
      <x:c r="F1160" s="13" t="n">
        <x:v>44314</x:v>
      </x:c>
      <x:c r="G1160" s="12" t="n">
        <x:v>3.26</x:v>
      </x:c>
      <x:c r="H1160" s="12" t="n">
        <x:v>326</x:v>
      </x:c>
      <x:c r="I1160" s="12" t="n">
        <x:v>2</x:v>
      </x:c>
      <x:c r="J1160" s="12" t="n">
        <x:v>1</x:v>
      </x:c>
    </x:row>
    <x:row r="1161" ht="18" customHeight="1">
      <x:c r="A1161" s="13" t="n">
        <x:v>44316</x:v>
      </x:c>
      <x:c r="B1161" s="12" t="n">
        <x:v>5123.489</x:v>
      </x:c>
      <x:c r="C1161" s="12" t="n">
        <x:v>5164.1692</x:v>
      </x:c>
      <x:c r="D1161" s="12" t="n">
        <x:v>-0.7877</x:v>
      </x:c>
      <x:c r="E1161" s="12" t="n">
        <x:v>-0.007908585460357973</x:v>
      </x:c>
      <x:c r="F1161" s="13" t="n">
        <x:v>44315</x:v>
      </x:c>
      <x:c r="G1161" s="12" t="n">
        <x:v>3.24</x:v>
      </x:c>
      <x:c r="H1161" s="12" t="n">
        <x:v>324</x:v>
      </x:c>
      <x:c r="I1161" s="12" t="n">
        <x:v>-2</x:v>
      </x:c>
      <x:c r="J1161" s="12" t="n">
        <x:v>1</x:v>
      </x:c>
    </x:row>
    <x:row r="1162" ht="18" customHeight="1">
      <x:c r="A1162" s="13" t="n">
        <x:v>44322</x:v>
      </x:c>
      <x:c r="B1162" s="12" t="n">
        <x:v>5061.1244</x:v>
      </x:c>
      <x:c r="C1162" s="12" t="n">
        <x:v>5123.489</x:v>
      </x:c>
      <x:c r="D1162" s="12" t="n">
        <x:v>-1.2172</x:v>
      </x:c>
      <x:c r="E1162" s="12" t="n">
        <x:v>-0.012246980233125798</x:v>
      </x:c>
      <x:c r="F1162" s="13" t="n">
        <x:v>44321</x:v>
      </x:c>
      <x:c r="G1162" s="12" t="n">
        <x:v>3.29</x:v>
      </x:c>
      <x:c r="H1162" s="12" t="n">
        <x:v>329</x:v>
      </x:c>
      <x:c r="I1162" s="12" t="n">
        <x:v>-3</x:v>
      </x:c>
      <x:c r="J1162" s="12" t="n">
        <x:v>1</x:v>
      </x:c>
    </x:row>
    <x:row r="1163" ht="18" customHeight="1">
      <x:c r="A1163" s="13" t="n">
        <x:v>44323</x:v>
      </x:c>
      <x:c r="B1163" s="12" t="n">
        <x:v>4996.0527</x:v>
      </x:c>
      <x:c r="C1163" s="12" t="n">
        <x:v>5061.1244</x:v>
      </x:c>
      <x:c r="D1163" s="12" t="n">
        <x:v>-1.2857</x:v>
      </x:c>
      <x:c r="E1163" s="12" t="n">
        <x:v>-0.012940531405912142</x:v>
      </x:c>
      <x:c r="F1163" s="13" t="n">
        <x:v>44322</x:v>
      </x:c>
      <x:c r="G1163" s="12" t="n">
        <x:v>3.3</x:v>
      </x:c>
      <x:c r="H1163" s="12" t="n">
        <x:v>330</x:v>
      </x:c>
      <x:c r="I1163" s="12" t="n">
        <x:v>1</x:v>
      </x:c>
      <x:c r="J1163" s="12" t="n">
        <x:v>1</x:v>
      </x:c>
    </x:row>
    <x:row r="1164" ht="18" customHeight="1">
      <x:c r="A1164" s="13" t="n">
        <x:v>44326</x:v>
      </x:c>
      <x:c r="B1164" s="12" t="n">
        <x:v>4992.422</x:v>
      </x:c>
      <x:c r="C1164" s="12" t="n">
        <x:v>4996.0527</x:v>
      </x:c>
      <x:c r="D1164" s="12" t="n">
        <x:v>-0.0727</x:v>
      </x:c>
      <x:c r="E1164" s="12" t="n">
        <x:v>-0.0007269778958146385</x:v>
      </x:c>
      <x:c r="F1164" s="13" t="n">
        <x:v>44323</x:v>
      </x:c>
      <x:c r="G1164" s="12" t="n">
        <x:v>3.27</x:v>
      </x:c>
      <x:c r="H1164" s="12" t="n">
        <x:v>327</x:v>
      </x:c>
      <x:c r="I1164" s="12" t="n">
        <x:v>-3</x:v>
      </x:c>
      <x:c r="J1164" s="12" t="n">
        <x:v>3</x:v>
      </x:c>
    </x:row>
    <x:row r="1165" ht="18" customHeight="1">
      <x:c r="A1165" s="13" t="n">
        <x:v>44327</x:v>
      </x:c>
      <x:c r="B1165" s="12" t="n">
        <x:v>5023.0595</x:v>
      </x:c>
      <x:c r="C1165" s="12" t="n">
        <x:v>4992.422</x:v>
      </x:c>
      <x:c r="D1165" s="12" t="n">
        <x:v>0.6137</x:v>
      </x:c>
      <x:c r="E1165" s="12" t="n">
        <x:v>0.006118047457768018</x:v>
      </x:c>
      <x:c r="F1165" s="13" t="n">
        <x:v>44326</x:v>
      </x:c>
      <x:c r="G1165" s="12" t="n">
        <x:v>3.26</x:v>
      </x:c>
      <x:c r="H1165" s="12" t="n">
        <x:v>326</x:v>
      </x:c>
      <x:c r="I1165" s="12" t="n">
        <x:v>-1</x:v>
      </x:c>
      <x:c r="J1165" s="12" t="n">
        <x:v>1</x:v>
      </x:c>
    </x:row>
    <x:row r="1166" ht="18" customHeight="1">
      <x:c r="A1166" s="13" t="n">
        <x:v>44328</x:v>
      </x:c>
      <x:c r="B1166" s="12" t="n">
        <x:v>5044.5481</x:v>
      </x:c>
      <x:c r="C1166" s="12" t="n">
        <x:v>5023.0595</x:v>
      </x:c>
      <x:c r="D1166" s="12" t="n">
        <x:v>0.4278</x:v>
      </x:c>
      <x:c r="E1166" s="12" t="n">
        <x:v>0.004268865749714823</x:v>
      </x:c>
      <x:c r="F1166" s="13" t="n">
        <x:v>44327</x:v>
      </x:c>
      <x:c r="G1166" s="12" t="n">
        <x:v>3.36</x:v>
      </x:c>
      <x:c r="H1166" s="12" t="n">
        <x:v>336</x:v>
      </x:c>
      <x:c r="I1166" s="12" t="n">
        <x:v>10</x:v>
      </x:c>
      <x:c r="J1166" s="12" t="n">
        <x:v>1</x:v>
      </x:c>
    </x:row>
    <x:row r="1167" ht="18" customHeight="1">
      <x:c r="A1167" s="13" t="n">
        <x:v>44329</x:v>
      </x:c>
      <x:c r="B1167" s="12" t="n">
        <x:v>4992.9738</x:v>
      </x:c>
      <x:c r="C1167" s="12" t="n">
        <x:v>5044.5481</x:v>
      </x:c>
      <x:c r="D1167" s="12" t="n">
        <x:v>-1.0224</x:v>
      </x:c>
      <x:c r="E1167" s="12" t="n">
        <x:v>-0.010276391799696024</x:v>
      </x:c>
      <x:c r="F1167" s="13" t="n">
        <x:v>44328</x:v>
      </x:c>
      <x:c r="G1167" s="12" t="n">
        <x:v>3.34</x:v>
      </x:c>
      <x:c r="H1167" s="12" t="n">
        <x:v>334</x:v>
      </x:c>
      <x:c r="I1167" s="12" t="n">
        <x:v>-2</x:v>
      </x:c>
      <x:c r="J1167" s="12" t="n">
        <x:v>1</x:v>
      </x:c>
    </x:row>
    <x:row r="1168" ht="18" customHeight="1">
      <x:c r="A1168" s="13" t="n">
        <x:v>44330</x:v>
      </x:c>
      <x:c r="B1168" s="12" t="n">
        <x:v>5110.5901</x:v>
      </x:c>
      <x:c r="C1168" s="12" t="n">
        <x:v>4992.9738</x:v>
      </x:c>
      <x:c r="D1168" s="12" t="n">
        <x:v>2.3556</x:v>
      </x:c>
      <x:c r="E1168" s="12" t="n">
        <x:v>0.023283192842009297</x:v>
      </x:c>
      <x:c r="F1168" s="13" t="n">
        <x:v>44329</x:v>
      </x:c>
      <x:c r="G1168" s="12" t="n">
        <x:v>3.37</x:v>
      </x:c>
      <x:c r="H1168" s="12" t="n">
        <x:v>337</x:v>
      </x:c>
      <x:c r="I1168" s="12" t="n">
        <x:v>3</x:v>
      </x:c>
      <x:c r="J1168" s="12" t="n">
        <x:v>1</x:v>
      </x:c>
    </x:row>
    <x:row r="1169" ht="18" customHeight="1">
      <x:c r="A1169" s="13" t="n">
        <x:v>44333</x:v>
      </x:c>
      <x:c r="B1169" s="12" t="n">
        <x:v>5184.9853</x:v>
      </x:c>
      <x:c r="C1169" s="12" t="n">
        <x:v>5110.5901</x:v>
      </x:c>
      <x:c r="D1169" s="12" t="n">
        <x:v>1.4557</x:v>
      </x:c>
      <x:c r="E1169" s="12" t="n">
        <x:v>0.014452129575788978</x:v>
      </x:c>
      <x:c r="F1169" s="13" t="n">
        <x:v>44330</x:v>
      </x:c>
      <x:c r="G1169" s="12" t="n">
        <x:v>3.35</x:v>
      </x:c>
      <x:c r="H1169" s="12" t="n">
        <x:v>335</x:v>
      </x:c>
      <x:c r="I1169" s="12" t="n">
        <x:v>-2</x:v>
      </x:c>
      <x:c r="J1169" s="12" t="n">
        <x:v>3</x:v>
      </x:c>
    </x:row>
    <x:row r="1170" ht="18" customHeight="1">
      <x:c r="A1170" s="13" t="n">
        <x:v>44334</x:v>
      </x:c>
      <x:c r="B1170" s="12" t="n">
        <x:v>5187.6013</x:v>
      </x:c>
      <x:c r="C1170" s="12" t="n">
        <x:v>5184.9853</x:v>
      </x:c>
      <x:c r="D1170" s="12" t="n">
        <x:v>0.0505</x:v>
      </x:c>
      <x:c r="E1170" s="12" t="n">
        <x:v>0.0005044065007787606</x:v>
      </x:c>
      <x:c r="F1170" s="13" t="n">
        <x:v>44333</x:v>
      </x:c>
      <x:c r="G1170" s="12" t="n">
        <x:v>3.35</x:v>
      </x:c>
      <x:c r="H1170" s="12" t="n">
        <x:v>335</x:v>
      </x:c>
      <x:c r="I1170" s="12" t="n">
        <x:v>0</x:v>
      </x:c>
      <x:c r="J1170" s="12" t="n">
        <x:v>1</x:v>
      </x:c>
    </x:row>
    <x:row r="1171" ht="18" customHeight="1">
      <x:c r="A1171" s="13" t="n">
        <x:v>44335</x:v>
      </x:c>
      <x:c r="B1171" s="12" t="n">
        <x:v>5172.272</x:v>
      </x:c>
      <x:c r="C1171" s="12" t="n">
        <x:v>5187.6013</x:v>
      </x:c>
      <x:c r="D1171" s="12" t="n">
        <x:v>-0.2955</x:v>
      </x:c>
      <x:c r="E1171" s="12" t="n">
        <x:v>-0.002959362676300788</x:v>
      </x:c>
      <x:c r="F1171" s="13" t="n">
        <x:v>44334</x:v>
      </x:c>
      <x:c r="G1171" s="12" t="n">
        <x:v>3.35</x:v>
      </x:c>
      <x:c r="H1171" s="12" t="n">
        <x:v>335</x:v>
      </x:c>
      <x:c r="I1171" s="12" t="n">
        <x:v>0</x:v>
      </x:c>
      <x:c r="J1171" s="12" t="n">
        <x:v>1</x:v>
      </x:c>
    </x:row>
    <x:row r="1172" ht="18" customHeight="1">
      <x:c r="A1172" s="13" t="n">
        <x:v>44336</x:v>
      </x:c>
      <x:c r="B1172" s="12" t="n">
        <x:v>5186.412</x:v>
      </x:c>
      <x:c r="C1172" s="12" t="n">
        <x:v>5172.272</x:v>
      </x:c>
      <x:c r="D1172" s="12" t="n">
        <x:v>0.2734</x:v>
      </x:c>
      <x:c r="E1172" s="12" t="n">
        <x:v>0.002730078218913397</x:v>
      </x:c>
      <x:c r="F1172" s="13" t="n">
        <x:v>44335</x:v>
      </x:c>
      <x:c r="G1172" s="12" t="n">
        <x:v>3.4</x:v>
      </x:c>
      <x:c r="H1172" s="12" t="n">
        <x:v>340</x:v>
      </x:c>
      <x:c r="I1172" s="12" t="n">
        <x:v>5</x:v>
      </x:c>
      <x:c r="J1172" s="12" t="n">
        <x:v>1</x:v>
      </x:c>
    </x:row>
    <x:row r="1173" ht="18" customHeight="1">
      <x:c r="A1173" s="13" t="n">
        <x:v>44337</x:v>
      </x:c>
      <x:c r="B1173" s="12" t="n">
        <x:v>5134.1483</x:v>
      </x:c>
      <x:c r="C1173" s="12" t="n">
        <x:v>5186.412</x:v>
      </x:c>
      <x:c r="D1173" s="12" t="n">
        <x:v>-1.0077</x:v>
      </x:c>
      <x:c r="E1173" s="12" t="n">
        <x:v>-0.010128160728869793</x:v>
      </x:c>
      <x:c r="F1173" s="13" t="n">
        <x:v>44336</x:v>
      </x:c>
      <x:c r="G1173" s="12" t="n">
        <x:v>3.42</x:v>
      </x:c>
      <x:c r="H1173" s="12" t="n">
        <x:v>342</x:v>
      </x:c>
      <x:c r="I1173" s="12" t="n">
        <x:v>2</x:v>
      </x:c>
      <x:c r="J1173" s="12" t="n">
        <x:v>1</x:v>
      </x:c>
    </x:row>
    <x:row r="1174" ht="18" customHeight="1">
      <x:c r="A1174" s="13" t="n">
        <x:v>44340</x:v>
      </x:c>
      <x:c r="B1174" s="12" t="n">
        <x:v>5155.5875</x:v>
      </x:c>
      <x:c r="C1174" s="12" t="n">
        <x:v>5134.1483</x:v>
      </x:c>
      <x:c r="D1174" s="12" t="n">
        <x:v>0.4176</x:v>
      </x:c>
      <x:c r="E1174" s="12" t="n">
        <x:v>0.004167110106744392</x:v>
      </x:c>
      <x:c r="F1174" s="13" t="n">
        <x:v>44337</x:v>
      </x:c>
      <x:c r="G1174" s="12" t="n">
        <x:v>3.37</x:v>
      </x:c>
      <x:c r="H1174" s="12" t="n">
        <x:v>337</x:v>
      </x:c>
      <x:c r="I1174" s="12" t="n">
        <x:v>-5</x:v>
      </x:c>
      <x:c r="J1174" s="12" t="n">
        <x:v>3</x:v>
      </x:c>
    </x:row>
    <x:row r="1175" ht="18" customHeight="1">
      <x:c r="A1175" s="13" t="n">
        <x:v>44341</x:v>
      </x:c>
      <x:c r="B1175" s="12" t="n">
        <x:v>5318.478</x:v>
      </x:c>
      <x:c r="C1175" s="12" t="n">
        <x:v>5155.5875</x:v>
      </x:c>
      <x:c r="D1175" s="12" t="n">
        <x:v>3.1595</x:v>
      </x:c>
      <x:c r="E1175" s="12" t="n">
        <x:v>0.031106094198889784</x:v>
      </x:c>
      <x:c r="F1175" s="13" t="n">
        <x:v>44340</x:v>
      </x:c>
      <x:c r="G1175" s="12" t="n">
        <x:v>3.37</x:v>
      </x:c>
      <x:c r="H1175" s="12" t="n">
        <x:v>337</x:v>
      </x:c>
      <x:c r="I1175" s="12" t="n">
        <x:v>0</x:v>
      </x:c>
      <x:c r="J1175" s="12" t="n">
        <x:v>1</x:v>
      </x:c>
    </x:row>
    <x:row r="1176" ht="18" customHeight="1">
      <x:c r="A1176" s="13" t="n">
        <x:v>44342</x:v>
      </x:c>
      <x:c r="B1176" s="12" t="n">
        <x:v>5320.5927</x:v>
      </x:c>
      <x:c r="C1176" s="12" t="n">
        <x:v>5318.478</x:v>
      </x:c>
      <x:c r="D1176" s="12" t="n">
        <x:v>0.0398</x:v>
      </x:c>
      <x:c r="E1176" s="12" t="n">
        <x:v>0.0003975347260076317</x:v>
      </x:c>
      <x:c r="F1176" s="13" t="n">
        <x:v>44341</x:v>
      </x:c>
      <x:c r="G1176" s="12" t="n">
        <x:v>3.34</x:v>
      </x:c>
      <x:c r="H1176" s="12" t="n">
        <x:v>334</x:v>
      </x:c>
      <x:c r="I1176" s="12" t="n">
        <x:v>-3</x:v>
      </x:c>
      <x:c r="J1176" s="12" t="n">
        <x:v>1</x:v>
      </x:c>
    </x:row>
    <x:row r="1177" ht="18" customHeight="1">
      <x:c r="A1177" s="13" t="n">
        <x:v>44343</x:v>
      </x:c>
      <x:c r="B1177" s="12" t="n">
        <x:v>5338.2329</x:v>
      </x:c>
      <x:c r="C1177" s="12" t="n">
        <x:v>5320.5927</x:v>
      </x:c>
      <x:c r="D1177" s="12" t="n">
        <x:v>0.3315</x:v>
      </x:c>
      <x:c r="E1177" s="12" t="n">
        <x:v>0.00330997368141398</x:v>
      </x:c>
      <x:c r="F1177" s="13" t="n">
        <x:v>44342</x:v>
      </x:c>
      <x:c r="G1177" s="12" t="n">
        <x:v>3.35</x:v>
      </x:c>
      <x:c r="H1177" s="12" t="n">
        <x:v>335</x:v>
      </x:c>
      <x:c r="I1177" s="12" t="n">
        <x:v>1</x:v>
      </x:c>
      <x:c r="J1177" s="12" t="n">
        <x:v>1</x:v>
      </x:c>
    </x:row>
    <x:row r="1178" ht="18" customHeight="1">
      <x:c r="A1178" s="13" t="n">
        <x:v>44344</x:v>
      </x:c>
      <x:c r="B1178" s="12" t="n">
        <x:v>5321.0886</x:v>
      </x:c>
      <x:c r="C1178" s="12" t="n">
        <x:v>5338.2329</x:v>
      </x:c>
      <x:c r="D1178" s="12" t="n">
        <x:v>-0.3212</x:v>
      </x:c>
      <x:c r="E1178" s="12" t="n">
        <x:v>-0.003216774122739079</x:v>
      </x:c>
      <x:c r="F1178" s="13" t="n">
        <x:v>44343</x:v>
      </x:c>
      <x:c r="G1178" s="12" t="n">
        <x:v>3.3</x:v>
      </x:c>
      <x:c r="H1178" s="12" t="n">
        <x:v>330</x:v>
      </x:c>
      <x:c r="I1178" s="12" t="n">
        <x:v>-5</x:v>
      </x:c>
      <x:c r="J1178" s="12" t="n">
        <x:v>1</x:v>
      </x:c>
    </x:row>
    <x:row r="1179" ht="18" customHeight="1">
      <x:c r="A1179" s="13" t="n">
        <x:v>44347</x:v>
      </x:c>
      <x:c r="B1179" s="12" t="n">
        <x:v>5331.5696</x:v>
      </x:c>
      <x:c r="C1179" s="12" t="n">
        <x:v>5321.0886</x:v>
      </x:c>
      <x:c r="D1179" s="12" t="n">
        <x:v>0.197</x:v>
      </x:c>
      <x:c r="E1179" s="12" t="n">
        <x:v>0.0019677723973122578</x:v>
      </x:c>
      <x:c r="F1179" s="13" t="n">
        <x:v>44344</x:v>
      </x:c>
      <x:c r="G1179" s="12" t="n">
        <x:v>3.29</x:v>
      </x:c>
      <x:c r="H1179" s="12" t="n">
        <x:v>329</x:v>
      </x:c>
      <x:c r="I1179" s="12" t="n">
        <x:v>-1</x:v>
      </x:c>
      <x:c r="J1179" s="12" t="n">
        <x:v>3</x:v>
      </x:c>
    </x:row>
    <x:row r="1180" ht="18" customHeight="1">
      <x:c r="A1180" s="13" t="n">
        <x:v>44348</x:v>
      </x:c>
      <x:c r="B1180" s="12" t="n">
        <x:v>5341.6798</x:v>
      </x:c>
      <x:c r="C1180" s="12" t="n">
        <x:v>5331.5696</x:v>
      </x:c>
      <x:c r="D1180" s="12" t="n">
        <x:v>0.1896</x:v>
      </x:c>
      <x:c r="E1180" s="12" t="n">
        <x:v>0.001894493915579741</x:v>
      </x:c>
      <x:c r="F1180" s="13" t="n">
        <x:v>44347</x:v>
      </x:c>
      <x:c r="G1180" s="12" t="n">
        <x:v>3.34</x:v>
      </x:c>
      <x:c r="H1180" s="12" t="n">
        <x:v>334</x:v>
      </x:c>
      <x:c r="I1180" s="12" t="n">
        <x:v>5</x:v>
      </x:c>
      <x:c r="J1180" s="12" t="n">
        <x:v>1</x:v>
      </x:c>
    </x:row>
    <x:row r="1181" ht="18" customHeight="1">
      <x:c r="A1181" s="13" t="n">
        <x:v>44349</x:v>
      </x:c>
      <x:c r="B1181" s="12" t="n">
        <x:v>5289.9736</x:v>
      </x:c>
      <x:c r="C1181" s="12" t="n">
        <x:v>5341.6798</x:v>
      </x:c>
      <x:c r="D1181" s="12" t="n">
        <x:v>-0.968</x:v>
      </x:c>
      <x:c r="E1181" s="12" t="n">
        <x:v>-0.00972691748439677</x:v>
      </x:c>
      <x:c r="F1181" s="13" t="n">
        <x:v>44348</x:v>
      </x:c>
      <x:c r="G1181" s="12" t="n">
        <x:v>3.33</x:v>
      </x:c>
      <x:c r="H1181" s="12" t="n">
        <x:v>333</x:v>
      </x:c>
      <x:c r="I1181" s="12" t="n">
        <x:v>-1</x:v>
      </x:c>
      <x:c r="J1181" s="12" t="n">
        <x:v>1</x:v>
      </x:c>
    </x:row>
    <x:row r="1182" ht="18" customHeight="1">
      <x:c r="A1182" s="13" t="n">
        <x:v>44350</x:v>
      </x:c>
      <x:c r="B1182" s="12" t="n">
        <x:v>5255.2855</x:v>
      </x:c>
      <x:c r="C1182" s="12" t="n">
        <x:v>5289.9736</x:v>
      </x:c>
      <x:c r="D1182" s="12" t="n">
        <x:v>-0.6557</x:v>
      </x:c>
      <x:c r="E1182" s="12" t="n">
        <x:v>-0.0065789232461387894</x:v>
      </x:c>
      <x:c r="F1182" s="13" t="n">
        <x:v>44349</x:v>
      </x:c>
      <x:c r="G1182" s="12" t="n">
        <x:v>3.31</x:v>
      </x:c>
      <x:c r="H1182" s="12" t="n">
        <x:v>331</x:v>
      </x:c>
      <x:c r="I1182" s="12" t="n">
        <x:v>-2</x:v>
      </x:c>
      <x:c r="J1182" s="12" t="n">
        <x:v>1</x:v>
      </x:c>
    </x:row>
    <x:row r="1183" ht="18" customHeight="1">
      <x:c r="A1183" s="13" t="n">
        <x:v>44351</x:v>
      </x:c>
      <x:c r="B1183" s="12" t="n">
        <x:v>5282.2772</x:v>
      </x:c>
      <x:c r="C1183" s="12" t="n">
        <x:v>5255.2855</x:v>
      </x:c>
      <x:c r="D1183" s="12" t="n">
        <x:v>0.5136</x:v>
      </x:c>
      <x:c r="E1183" s="12" t="n">
        <x:v>0.005122960555661023</x:v>
      </x:c>
      <x:c r="F1183" s="13" t="n">
        <x:v>44350</x:v>
      </x:c>
      <x:c r="G1183" s="12" t="n">
        <x:v>3.28</x:v>
      </x:c>
      <x:c r="H1183" s="12" t="n">
        <x:v>328</x:v>
      </x:c>
      <x:c r="I1183" s="12" t="n">
        <x:v>-3</x:v>
      </x:c>
      <x:c r="J1183" s="12" t="n">
        <x:v>1</x:v>
      </x:c>
    </x:row>
    <x:row r="1184" ht="18" customHeight="1">
      <x:c r="A1184" s="13" t="n">
        <x:v>44354</x:v>
      </x:c>
      <x:c r="B1184" s="12" t="n">
        <x:v>5277.6271</x:v>
      </x:c>
      <x:c r="C1184" s="12" t="n">
        <x:v>5282.2772</x:v>
      </x:c>
      <x:c r="D1184" s="12" t="n">
        <x:v>-0.088</x:v>
      </x:c>
      <x:c r="E1184" s="12" t="n">
        <x:v>-0.0008807087959255326</x:v>
      </x:c>
      <x:c r="F1184" s="13" t="n">
        <x:v>44351</x:v>
      </x:c>
      <x:c r="G1184" s="12" t="n">
        <x:v>3.28</x:v>
      </x:c>
      <x:c r="H1184" s="12" t="n">
        <x:v>328</x:v>
      </x:c>
      <x:c r="I1184" s="12" t="n">
        <x:v>0</x:v>
      </x:c>
      <x:c r="J1184" s="12" t="n">
        <x:v>3</x:v>
      </x:c>
    </x:row>
    <x:row r="1185" ht="18" customHeight="1">
      <x:c r="A1185" s="13" t="n">
        <x:v>44355</x:v>
      </x:c>
      <x:c r="B1185" s="12" t="n">
        <x:v>5232.1165</x:v>
      </x:c>
      <x:c r="C1185" s="12" t="n">
        <x:v>5277.6271</x:v>
      </x:c>
      <x:c r="D1185" s="12" t="n">
        <x:v>-0.8623</x:v>
      </x:c>
      <x:c r="E1185" s="12" t="n">
        <x:v>-0.008660703096580333</x:v>
      </x:c>
      <x:c r="F1185" s="13" t="n">
        <x:v>44354</x:v>
      </x:c>
      <x:c r="G1185" s="12" t="n">
        <x:v>3.27</x:v>
      </x:c>
      <x:c r="H1185" s="12" t="n">
        <x:v>327</x:v>
      </x:c>
      <x:c r="I1185" s="12" t="n">
        <x:v>-1</x:v>
      </x:c>
      <x:c r="J1185" s="12" t="n">
        <x:v>1</x:v>
      </x:c>
    </x:row>
    <x:row r="1186" ht="18" customHeight="1">
      <x:c r="A1186" s="13" t="n">
        <x:v>44356</x:v>
      </x:c>
      <x:c r="B1186" s="12" t="n">
        <x:v>5236.4493</x:v>
      </x:c>
      <x:c r="C1186" s="12" t="n">
        <x:v>5232.1165</x:v>
      </x:c>
      <x:c r="D1186" s="12" t="n">
        <x:v>0.0828</x:v>
      </x:c>
      <x:c r="E1186" s="12" t="n">
        <x:v>0.0008277734180943219</x:v>
      </x:c>
      <x:c r="F1186" s="13" t="n">
        <x:v>44355</x:v>
      </x:c>
      <x:c r="G1186" s="12" t="n">
        <x:v>3.26</x:v>
      </x:c>
      <x:c r="H1186" s="12" t="n">
        <x:v>326</x:v>
      </x:c>
      <x:c r="I1186" s="12" t="n">
        <x:v>-1</x:v>
      </x:c>
      <x:c r="J1186" s="12" t="n">
        <x:v>1</x:v>
      </x:c>
    </x:row>
    <x:row r="1187" ht="18" customHeight="1">
      <x:c r="A1187" s="13" t="n">
        <x:v>44357</x:v>
      </x:c>
      <x:c r="B1187" s="12" t="n">
        <x:v>5271.4661</x:v>
      </x:c>
      <x:c r="C1187" s="12" t="n">
        <x:v>5236.4493</x:v>
      </x:c>
      <x:c r="D1187" s="12" t="n">
        <x:v>0.6687</x:v>
      </x:c>
      <x:c r="E1187" s="12" t="n">
        <x:v>0.006664867062356995</x:v>
      </x:c>
      <x:c r="F1187" s="13" t="n">
        <x:v>44356</x:v>
      </x:c>
      <x:c r="G1187" s="12" t="n">
        <x:v>3.22</x:v>
      </x:c>
      <x:c r="H1187" s="12" t="n">
        <x:v>322</x:v>
      </x:c>
      <x:c r="I1187" s="12" t="n">
        <x:v>-4</x:v>
      </x:c>
      <x:c r="J1187" s="12" t="n">
        <x:v>1</x:v>
      </x:c>
    </x:row>
    <x:row r="1188" ht="18" customHeight="1">
      <x:c r="A1188" s="13" t="n">
        <x:v>44358</x:v>
      </x:c>
      <x:c r="B1188" s="12" t="n">
        <x:v>5224.703</x:v>
      </x:c>
      <x:c r="C1188" s="12" t="n">
        <x:v>5271.4661</x:v>
      </x:c>
      <x:c r="D1188" s="12" t="n">
        <x:v>-0.8871</x:v>
      </x:c>
      <x:c r="E1188" s="12" t="n">
        <x:v>-0.008910567076980907</x:v>
      </x:c>
      <x:c r="F1188" s="13" t="n">
        <x:v>44357</x:v>
      </x:c>
      <x:c r="G1188" s="12" t="n">
        <x:v>3.23</x:v>
      </x:c>
      <x:c r="H1188" s="12" t="n">
        <x:v>323</x:v>
      </x:c>
      <x:c r="I1188" s="12" t="n">
        <x:v>1</x:v>
      </x:c>
      <x:c r="J1188" s="12" t="n">
        <x:v>1</x:v>
      </x:c>
    </x:row>
    <x:row r="1189" ht="18" customHeight="1">
      <x:c r="A1189" s="13" t="n">
        <x:v>44362</x:v>
      </x:c>
      <x:c r="B1189" s="12" t="n">
        <x:v>5166.5597</x:v>
      </x:c>
      <x:c r="C1189" s="12" t="n">
        <x:v>5224.703</x:v>
      </x:c>
      <x:c r="D1189" s="12" t="n">
        <x:v>-1.1129</x:v>
      </x:c>
      <x:c r="E1189" s="12" t="n">
        <x:v>-0.011190922313067906</x:v>
      </x:c>
      <x:c r="F1189" s="13" t="n">
        <x:v>44361</x:v>
      </x:c>
      <x:c r="G1189" s="12" t="n">
        <x:v>3.17</x:v>
      </x:c>
      <x:c r="H1189" s="12" t="n">
        <x:v>317</x:v>
      </x:c>
      <x:c r="I1189" s="12" t="n">
        <x:v>-4</x:v>
      </x:c>
      <x:c r="J1189" s="12" t="n">
        <x:v>1</x:v>
      </x:c>
    </x:row>
    <x:row r="1190" ht="18" customHeight="1">
      <x:c r="A1190" s="13" t="n">
        <x:v>44363</x:v>
      </x:c>
      <x:c r="B1190" s="12" t="n">
        <x:v>5080.4909</x:v>
      </x:c>
      <x:c r="C1190" s="12" t="n">
        <x:v>5166.5597</x:v>
      </x:c>
      <x:c r="D1190" s="12" t="n">
        <x:v>-1.6659</x:v>
      </x:c>
      <x:c r="E1190" s="12" t="n">
        <x:v>-0.016799141037062326</x:v>
      </x:c>
      <x:c r="F1190" s="13" t="n">
        <x:v>44362</x:v>
      </x:c>
      <x:c r="G1190" s="12" t="n">
        <x:v>3.17</x:v>
      </x:c>
      <x:c r="H1190" s="12" t="n">
        <x:v>317</x:v>
      </x:c>
      <x:c r="I1190" s="12" t="n">
        <x:v>0</x:v>
      </x:c>
      <x:c r="J1190" s="12" t="n">
        <x:v>1</x:v>
      </x:c>
    </x:row>
    <x:row r="1191" ht="18" customHeight="1">
      <x:c r="A1191" s="13" t="n">
        <x:v>44364</x:v>
      </x:c>
      <x:c r="B1191" s="12" t="n">
        <x:v>5101.8924</x:v>
      </x:c>
      <x:c r="C1191" s="12" t="n">
        <x:v>5080.4909</x:v>
      </x:c>
      <x:c r="D1191" s="12" t="n">
        <x:v>0.4212</x:v>
      </x:c>
      <x:c r="E1191" s="12" t="n">
        <x:v>0.004203638948601504</x:v>
      </x:c>
      <x:c r="F1191" s="13" t="n">
        <x:v>44363</x:v>
      </x:c>
      <x:c r="G1191" s="12" t="n">
        <x:v>3.12</x:v>
      </x:c>
      <x:c r="H1191" s="12" t="n">
        <x:v>312</x:v>
      </x:c>
      <x:c r="I1191" s="12" t="n">
        <x:v>-5</x:v>
      </x:c>
      <x:c r="J1191" s="12" t="n">
        <x:v>1</x:v>
      </x:c>
    </x:row>
    <x:row r="1192" ht="18" customHeight="1">
      <x:c r="A1192" s="13" t="n">
        <x:v>44365</x:v>
      </x:c>
      <x:c r="B1192" s="12" t="n">
        <x:v>5102.4657</x:v>
      </x:c>
      <x:c r="C1192" s="12" t="n">
        <x:v>5101.8924</x:v>
      </x:c>
      <x:c r="D1192" s="12" t="n">
        <x:v>0.0112</x:v>
      </x:c>
      <x:c r="E1192" s="12" t="n">
        <x:v>0.00011236375575712845</x:v>
      </x:c>
      <x:c r="F1192" s="13" t="n">
        <x:v>44364</x:v>
      </x:c>
      <x:c r="G1192" s="12" t="n">
        <x:v>3.15</x:v>
      </x:c>
      <x:c r="H1192" s="12" t="n">
        <x:v>315</x:v>
      </x:c>
      <x:c r="I1192" s="12" t="n">
        <x:v>3</x:v>
      </x:c>
      <x:c r="J1192" s="12" t="n">
        <x:v>1</x:v>
      </x:c>
    </x:row>
    <x:row r="1193" ht="18" customHeight="1">
      <x:c r="A1193" s="13" t="n">
        <x:v>44368</x:v>
      </x:c>
      <x:c r="B1193" s="12" t="n">
        <x:v>5090.3854</x:v>
      </x:c>
      <x:c r="C1193" s="12" t="n">
        <x:v>5102.4657</x:v>
      </x:c>
      <x:c r="D1193" s="12" t="n">
        <x:v>-0.2368</x:v>
      </x:c>
      <x:c r="E1193" s="12" t="n">
        <x:v>-0.0023703486958912613</x:v>
      </x:c>
      <x:c r="F1193" s="13" t="n">
        <x:v>44365</x:v>
      </x:c>
      <x:c r="G1193" s="12" t="n">
        <x:v>3.18</x:v>
      </x:c>
      <x:c r="H1193" s="12" t="n">
        <x:v>318</x:v>
      </x:c>
      <x:c r="I1193" s="12" t="n">
        <x:v>3</x:v>
      </x:c>
      <x:c r="J1193" s="12" t="n">
        <x:v>3</x:v>
      </x:c>
    </x:row>
    <x:row r="1194" ht="18" customHeight="1">
      <x:c r="A1194" s="13" t="n">
        <x:v>44369</x:v>
      </x:c>
      <x:c r="B1194" s="12" t="n">
        <x:v>5122.1583</x:v>
      </x:c>
      <x:c r="C1194" s="12" t="n">
        <x:v>5090.3854</x:v>
      </x:c>
      <x:c r="D1194" s="12" t="n">
        <x:v>0.6242</x:v>
      </x:c>
      <x:c r="E1194" s="12" t="n">
        <x:v>0.0062223484075154345</x:v>
      </x:c>
      <x:c r="F1194" s="13" t="n">
        <x:v>44368</x:v>
      </x:c>
      <x:c r="G1194" s="12" t="n">
        <x:v>3.14</x:v>
      </x:c>
      <x:c r="H1194" s="12" t="n">
        <x:v>314</x:v>
      </x:c>
      <x:c r="I1194" s="12" t="n">
        <x:v>-4</x:v>
      </x:c>
      <x:c r="J1194" s="12" t="n">
        <x:v>1</x:v>
      </x:c>
    </x:row>
    <x:row r="1195" ht="18" customHeight="1">
      <x:c r="A1195" s="13" t="n">
        <x:v>44370</x:v>
      </x:c>
      <x:c r="B1195" s="12" t="n">
        <x:v>5147.3938</x:v>
      </x:c>
      <x:c r="C1195" s="12" t="n">
        <x:v>5122.1583</x:v>
      </x:c>
      <x:c r="D1195" s="12" t="n">
        <x:v>0.4927</x:v>
      </x:c>
      <x:c r="E1195" s="12" t="n">
        <x:v>0.004914635136633502</x:v>
      </x:c>
      <x:c r="F1195" s="13" t="n">
        <x:v>44369</x:v>
      </x:c>
      <x:c r="G1195" s="12" t="n">
        <x:v>3.15</x:v>
      </x:c>
      <x:c r="H1195" s="12" t="n">
        <x:v>315</x:v>
      </x:c>
      <x:c r="I1195" s="12" t="n">
        <x:v>1</x:v>
      </x:c>
      <x:c r="J1195" s="12" t="n">
        <x:v>1</x:v>
      </x:c>
    </x:row>
    <x:row r="1196" ht="18" customHeight="1">
      <x:c r="A1196" s="13" t="n">
        <x:v>44371</x:v>
      </x:c>
      <x:c r="B1196" s="12" t="n">
        <x:v>5155.9738</x:v>
      </x:c>
      <x:c r="C1196" s="12" t="n">
        <x:v>5147.3938</x:v>
      </x:c>
      <x:c r="D1196" s="12" t="n">
        <x:v>0.1667</x:v>
      </x:c>
      <x:c r="E1196" s="12" t="n">
        <x:v>0.0016654752730112406</x:v>
      </x:c>
      <x:c r="F1196" s="13" t="n">
        <x:v>44370</x:v>
      </x:c>
      <x:c r="G1196" s="12" t="n">
        <x:v>3.13</x:v>
      </x:c>
      <x:c r="H1196" s="12" t="n">
        <x:v>313</x:v>
      </x:c>
      <x:c r="I1196" s="12" t="n">
        <x:v>-2</x:v>
      </x:c>
      <x:c r="J1196" s="12" t="n">
        <x:v>1</x:v>
      </x:c>
    </x:row>
    <x:row r="1197" ht="18" customHeight="1">
      <x:c r="A1197" s="13" t="n">
        <x:v>44372</x:v>
      </x:c>
      <x:c r="B1197" s="12" t="n">
        <x:v>5239.9684</x:v>
      </x:c>
      <x:c r="C1197" s="12" t="n">
        <x:v>5155.9738</x:v>
      </x:c>
      <x:c r="D1197" s="12" t="n">
        <x:v>1.6291</x:v>
      </x:c>
      <x:c r="E1197" s="12" t="n">
        <x:v>0.01615946417488065</x:v>
      </x:c>
      <x:c r="F1197" s="13" t="n">
        <x:v>44371</x:v>
      </x:c>
      <x:c r="G1197" s="12" t="n">
        <x:v>3.08</x:v>
      </x:c>
      <x:c r="H1197" s="12" t="n">
        <x:v>308</x:v>
      </x:c>
      <x:c r="I1197" s="12" t="n">
        <x:v>-5</x:v>
      </x:c>
      <x:c r="J1197" s="12" t="n">
        <x:v>1</x:v>
      </x:c>
    </x:row>
    <x:row r="1198" ht="18" customHeight="1">
      <x:c r="A1198" s="13" t="n">
        <x:v>44375</x:v>
      </x:c>
      <x:c r="B1198" s="12" t="n">
        <x:v>5251.7604</x:v>
      </x:c>
      <x:c r="C1198" s="12" t="n">
        <x:v>5239.9684</x:v>
      </x:c>
      <x:c r="D1198" s="12" t="n">
        <x:v>0.225</x:v>
      </x:c>
      <x:c r="E1198" s="12" t="n">
        <x:v>0.002247866903559741</x:v>
      </x:c>
      <x:c r="F1198" s="13" t="n">
        <x:v>44372</x:v>
      </x:c>
      <x:c r="G1198" s="12" t="n">
        <x:v>3.04</x:v>
      </x:c>
      <x:c r="H1198" s="12" t="n">
        <x:v>304</x:v>
      </x:c>
      <x:c r="I1198" s="12" t="n">
        <x:v>-4</x:v>
      </x:c>
      <x:c r="J1198" s="12" t="n">
        <x:v>3</x:v>
      </x:c>
    </x:row>
    <x:row r="1199" ht="18" customHeight="1">
      <x:c r="A1199" s="13" t="n">
        <x:v>44376</x:v>
      </x:c>
      <x:c r="B1199" s="12" t="n">
        <x:v>5190.5445</x:v>
      </x:c>
      <x:c r="C1199" s="12" t="n">
        <x:v>5251.7604</x:v>
      </x:c>
      <x:c r="D1199" s="12" t="n">
        <x:v>-1.1656</x:v>
      </x:c>
      <x:c r="E1199" s="12" t="n">
        <x:v>-0.011724729714395393</x:v>
      </x:c>
      <x:c r="F1199" s="13" t="n">
        <x:v>44375</x:v>
      </x:c>
      <x:c r="G1199" s="12" t="n">
        <x:v>3.05</x:v>
      </x:c>
      <x:c r="H1199" s="12" t="n">
        <x:v>305</x:v>
      </x:c>
      <x:c r="I1199" s="12" t="n">
        <x:v>1</x:v>
      </x:c>
      <x:c r="J1199" s="12" t="n">
        <x:v>1</x:v>
      </x:c>
    </x:row>
    <x:row r="1200" ht="18" customHeight="1">
      <x:c r="A1200" s="13" t="n">
        <x:v>44377</x:v>
      </x:c>
      <x:c r="B1200" s="12" t="n">
        <x:v>5224.041</x:v>
      </x:c>
      <x:c r="C1200" s="12" t="n">
        <x:v>5190.5445</x:v>
      </x:c>
      <x:c r="D1200" s="12" t="n">
        <x:v>0.6453</x:v>
      </x:c>
      <x:c r="E1200" s="12" t="n">
        <x:v>0.006432635365788018</x:v>
      </x:c>
      <x:c r="F1200" s="13" t="n">
        <x:v>44376</x:v>
      </x:c>
      <x:c r="G1200" s="12" t="n">
        <x:v>3.03</x:v>
      </x:c>
      <x:c r="H1200" s="12" t="n">
        <x:v>303</x:v>
      </x:c>
      <x:c r="I1200" s="12" t="n">
        <x:v>-2</x:v>
      </x:c>
      <x:c r="J1200" s="12" t="n">
        <x:v>1</x:v>
      </x:c>
    </x:row>
    <x:row r="1201" ht="18" customHeight="1">
      <x:c r="A1201" s="13" t="n">
        <x:v>44378</x:v>
      </x:c>
      <x:c r="B1201" s="12" t="n">
        <x:v>5229.6642</x:v>
      </x:c>
      <x:c r="C1201" s="12" t="n">
        <x:v>5224.041</x:v>
      </x:c>
      <x:c r="D1201" s="12" t="n">
        <x:v>0.1076</x:v>
      </x:c>
      <x:c r="E1201" s="12" t="n">
        <x:v>0.0010758291791815775</x:v>
      </x:c>
      <x:c r="F1201" s="13" t="n">
        <x:v>44377</x:v>
      </x:c>
      <x:c r="G1201" s="12" t="n">
        <x:v>3.04</x:v>
      </x:c>
      <x:c r="H1201" s="12" t="n">
        <x:v>304</x:v>
      </x:c>
      <x:c r="I1201" s="12" t="n">
        <x:v>1</x:v>
      </x:c>
      <x:c r="J1201" s="12" t="n">
        <x:v>1</x:v>
      </x:c>
    </x:row>
    <x:row r="1202" ht="18" customHeight="1">
      <x:c r="A1202" s="13" t="n">
        <x:v>44379</x:v>
      </x:c>
      <x:c r="B1202" s="12" t="n">
        <x:v>5081.1172</x:v>
      </x:c>
      <x:c r="C1202" s="12" t="n">
        <x:v>5229.6642</x:v>
      </x:c>
      <x:c r="D1202" s="12" t="n">
        <x:v>-2.8405</x:v>
      </x:c>
      <x:c r="E1202" s="12" t="n">
        <x:v>-0.02881591084345226</x:v>
      </x:c>
      <x:c r="F1202" s="13" t="n">
        <x:v>44378</x:v>
      </x:c>
      <x:c r="G1202" s="12" t="n">
        <x:v>3.02</x:v>
      </x:c>
      <x:c r="H1202" s="12" t="n">
        <x:v>302</x:v>
      </x:c>
      <x:c r="I1202" s="12" t="n">
        <x:v>-2</x:v>
      </x:c>
      <x:c r="J1202" s="12" t="n">
        <x:v>1</x:v>
      </x:c>
    </x:row>
    <x:row r="1203" ht="18" customHeight="1">
      <x:c r="A1203" s="13" t="n">
        <x:v>44382</x:v>
      </x:c>
      <x:c r="B1203" s="12" t="n">
        <x:v>5085.7924</x:v>
      </x:c>
      <x:c r="C1203" s="12" t="n">
        <x:v>5081.1172</x:v>
      </x:c>
      <x:c r="D1203" s="12" t="n">
        <x:v>0.092</x:v>
      </x:c>
      <x:c r="E1203" s="12" t="n">
        <x:v>0.0009196895641789991</x:v>
      </x:c>
      <x:c r="F1203" s="13" t="n">
        <x:v>44379</x:v>
      </x:c>
      <x:c r="G1203" s="12" t="n">
        <x:v>3.04</x:v>
      </x:c>
      <x:c r="H1203" s="12" t="n">
        <x:v>304</x:v>
      </x:c>
      <x:c r="I1203" s="12" t="n">
        <x:v>2</x:v>
      </x:c>
      <x:c r="J1203" s="12" t="n">
        <x:v>3</x:v>
      </x:c>
    </x:row>
    <x:row r="1204" ht="18" customHeight="1">
      <x:c r="A1204" s="13" t="n">
        <x:v>44383</x:v>
      </x:c>
      <x:c r="B1204" s="12" t="n">
        <x:v>5083.1043</x:v>
      </x:c>
      <x:c r="C1204" s="12" t="n">
        <x:v>5085.7924</x:v>
      </x:c>
      <x:c r="D1204" s="12" t="n">
        <x:v>-0.0529</x:v>
      </x:c>
      <x:c r="E1204" s="12" t="n">
        <x:v>-0.0005286906027109014</x:v>
      </x:c>
      <x:c r="F1204" s="13" t="n">
        <x:v>44382</x:v>
      </x:c>
      <x:c r="G1204" s="12" t="n">
        <x:v>3.03</x:v>
      </x:c>
      <x:c r="H1204" s="12" t="n">
        <x:v>303</x:v>
      </x:c>
      <x:c r="I1204" s="12" t="n">
        <x:v>-1</x:v>
      </x:c>
      <x:c r="J1204" s="12" t="n">
        <x:v>1</x:v>
      </x:c>
    </x:row>
    <x:row r="1205" ht="18" customHeight="1">
      <x:c r="A1205" s="13" t="n">
        <x:v>44384</x:v>
      </x:c>
      <x:c r="B1205" s="12" t="n">
        <x:v>5140.4899</x:v>
      </x:c>
      <x:c r="C1205" s="12" t="n">
        <x:v>5083.1043</x:v>
      </x:c>
      <x:c r="D1205" s="12" t="n">
        <x:v>1.1289</x:v>
      </x:c>
      <x:c r="E1205" s="12" t="n">
        <x:v>0.011226228576722806</x:v>
      </x:c>
      <x:c r="F1205" s="13" t="n">
        <x:v>44383</x:v>
      </x:c>
      <x:c r="G1205" s="12" t="n">
        <x:v>3.05</x:v>
      </x:c>
      <x:c r="H1205" s="12" t="n">
        <x:v>305</x:v>
      </x:c>
      <x:c r="I1205" s="12" t="n">
        <x:v>2</x:v>
      </x:c>
      <x:c r="J1205" s="12" t="n">
        <x:v>1</x:v>
      </x:c>
    </x:row>
    <x:row r="1206" ht="18" customHeight="1">
      <x:c r="A1206" s="13" t="n">
        <x:v>44385</x:v>
      </x:c>
      <x:c r="B1206" s="12" t="n">
        <x:v>5088.2566</x:v>
      </x:c>
      <x:c r="C1206" s="12" t="n">
        <x:v>5140.4899</x:v>
      </x:c>
      <x:c r="D1206" s="12" t="n">
        <x:v>-1.0161</x:v>
      </x:c>
      <x:c r="E1206" s="12" t="n">
        <x:v>-0.010213129053200676</x:v>
      </x:c>
      <x:c r="F1206" s="13" t="n">
        <x:v>44384</x:v>
      </x:c>
      <x:c r="G1206" s="12" t="n">
        <x:v>3.05</x:v>
      </x:c>
      <x:c r="H1206" s="12" t="n">
        <x:v>305</x:v>
      </x:c>
      <x:c r="I1206" s="12" t="n">
        <x:v>0</x:v>
      </x:c>
      <x:c r="J1206" s="12" t="n">
        <x:v>1</x:v>
      </x:c>
    </x:row>
    <x:row r="1207" ht="18" customHeight="1">
      <x:c r="A1207" s="13" t="n">
        <x:v>44386</x:v>
      </x:c>
      <x:c r="B1207" s="12" t="n">
        <x:v>5069.4361</x:v>
      </x:c>
      <x:c r="C1207" s="12" t="n">
        <x:v>5088.2566</x:v>
      </x:c>
      <x:c r="D1207" s="12" t="n">
        <x:v>-0.3699</x:v>
      </x:c>
      <x:c r="E1207" s="12" t="n">
        <x:v>-0.003705668618403645</x:v>
      </x:c>
      <x:c r="F1207" s="13" t="n">
        <x:v>44385</x:v>
      </x:c>
      <x:c r="G1207" s="12" t="n">
        <x:v>3.14</x:v>
      </x:c>
      <x:c r="H1207" s="12" t="n">
        <x:v>314</x:v>
      </x:c>
      <x:c r="I1207" s="12" t="n">
        <x:v>9</x:v>
      </x:c>
      <x:c r="J1207" s="12" t="n">
        <x:v>1</x:v>
      </x:c>
    </x:row>
    <x:row r="1208" ht="18" customHeight="1">
      <x:c r="A1208" s="13" t="n">
        <x:v>44389</x:v>
      </x:c>
      <x:c r="B1208" s="12" t="n">
        <x:v>5132.7088</x:v>
      </x:c>
      <x:c r="C1208" s="12" t="n">
        <x:v>5069.4361</x:v>
      </x:c>
      <x:c r="D1208" s="12" t="n">
        <x:v>1.2481</x:v>
      </x:c>
      <x:c r="E1208" s="12" t="n">
        <x:v>0.012403962474664831</x:v>
      </x:c>
      <x:c r="F1208" s="13" t="n">
        <x:v>44386</x:v>
      </x:c>
      <x:c r="G1208" s="12" t="n">
        <x:v>3.07</x:v>
      </x:c>
      <x:c r="H1208" s="12" t="n">
        <x:v>307</x:v>
      </x:c>
      <x:c r="I1208" s="12" t="n">
        <x:v>-7</x:v>
      </x:c>
      <x:c r="J1208" s="12" t="n">
        <x:v>3</x:v>
      </x:c>
    </x:row>
    <x:row r="1209" ht="18" customHeight="1">
      <x:c r="A1209" s="13" t="n">
        <x:v>44390</x:v>
      </x:c>
      <x:c r="B1209" s="12" t="n">
        <x:v>5142.0991</x:v>
      </x:c>
      <x:c r="C1209" s="12" t="n">
        <x:v>5132.7088</x:v>
      </x:c>
      <x:c r="D1209" s="12" t="n">
        <x:v>0.183</x:v>
      </x:c>
      <x:c r="E1209" s="12" t="n">
        <x:v>0.001827830302187363</x:v>
      </x:c>
      <x:c r="F1209" s="13" t="n">
        <x:v>44389</x:v>
      </x:c>
      <x:c r="G1209" s="12" t="n">
        <x:v>3.05</x:v>
      </x:c>
      <x:c r="H1209" s="12" t="n">
        <x:v>305</x:v>
      </x:c>
      <x:c r="I1209" s="12" t="n">
        <x:v>-2</x:v>
      </x:c>
      <x:c r="J1209" s="12" t="n">
        <x:v>1</x:v>
      </x:c>
    </x:row>
    <x:row r="1210" ht="18" customHeight="1">
      <x:c r="A1210" s="13" t="n">
        <x:v>44391</x:v>
      </x:c>
      <x:c r="B1210" s="12" t="n">
        <x:v>5083.0849</x:v>
      </x:c>
      <x:c r="C1210" s="12" t="n">
        <x:v>5142.0991</x:v>
      </x:c>
      <x:c r="D1210" s="12" t="n">
        <x:v>-1.1477</x:v>
      </x:c>
      <x:c r="E1210" s="12" t="n">
        <x:v>-0.011543040254654557</x:v>
      </x:c>
      <x:c r="F1210" s="13" t="n">
        <x:v>44390</x:v>
      </x:c>
      <x:c r="G1210" s="12" t="n">
        <x:v>3.04</x:v>
      </x:c>
      <x:c r="H1210" s="12" t="n">
        <x:v>304</x:v>
      </x:c>
      <x:c r="I1210" s="12" t="n">
        <x:v>-1</x:v>
      </x:c>
      <x:c r="J1210" s="12" t="n">
        <x:v>1</x:v>
      </x:c>
    </x:row>
    <x:row r="1211" ht="18" customHeight="1">
      <x:c r="A1211" s="13" t="n">
        <x:v>44392</x:v>
      </x:c>
      <x:c r="B1211" s="12" t="n">
        <x:v>5151.4626</x:v>
      </x:c>
      <x:c r="C1211" s="12" t="n">
        <x:v>5083.0849</x:v>
      </x:c>
      <x:c r="D1211" s="12" t="n">
        <x:v>1.3452</x:v>
      </x:c>
      <x:c r="E1211" s="12" t="n">
        <x:v>0.013362333295396704</x:v>
      </x:c>
      <x:c r="F1211" s="13" t="n">
        <x:v>44391</x:v>
      </x:c>
      <x:c r="G1211" s="12" t="n">
        <x:v>3.1</x:v>
      </x:c>
      <x:c r="H1211" s="12" t="n">
        <x:v>310</x:v>
      </x:c>
      <x:c r="I1211" s="12" t="n">
        <x:v>6</x:v>
      </x:c>
      <x:c r="J1211" s="12" t="n">
        <x:v>1</x:v>
      </x:c>
    </x:row>
    <x:row r="1212" ht="18" customHeight="1">
      <x:c r="A1212" s="13" t="n">
        <x:v>44393</x:v>
      </x:c>
      <x:c r="B1212" s="12" t="n">
        <x:v>5094.7727</x:v>
      </x:c>
      <x:c r="C1212" s="12" t="n">
        <x:v>5151.4626</x:v>
      </x:c>
      <x:c r="D1212" s="12" t="n">
        <x:v>-1.1005</x:v>
      </x:c>
      <x:c r="E1212" s="12" t="n">
        <x:v>-0.011065621040815304</x:v>
      </x:c>
      <x:c r="F1212" s="13" t="n">
        <x:v>44392</x:v>
      </x:c>
      <x:c r="G1212" s="12" t="n">
        <x:v>3.14</x:v>
      </x:c>
      <x:c r="H1212" s="12" t="n">
        <x:v>314</x:v>
      </x:c>
      <x:c r="I1212" s="12" t="n">
        <x:v>4</x:v>
      </x:c>
      <x:c r="J1212" s="12" t="n">
        <x:v>1</x:v>
      </x:c>
    </x:row>
    <x:row r="1213" ht="18" customHeight="1">
      <x:c r="A1213" s="13" t="n">
        <x:v>44396</x:v>
      </x:c>
      <x:c r="B1213" s="12" t="n">
        <x:v>5113.4945</x:v>
      </x:c>
      <x:c r="C1213" s="12" t="n">
        <x:v>5094.7727</x:v>
      </x:c>
      <x:c r="D1213" s="12" t="n">
        <x:v>0.3675</x:v>
      </x:c>
      <x:c r="E1213" s="12" t="n">
        <x:v>0.0036679723646509273</x:v>
      </x:c>
      <x:c r="F1213" s="13" t="n">
        <x:v>44393</x:v>
      </x:c>
      <x:c r="G1213" s="12" t="n">
        <x:v>3.18</x:v>
      </x:c>
      <x:c r="H1213" s="12" t="n">
        <x:v>318</x:v>
      </x:c>
      <x:c r="I1213" s="12" t="n">
        <x:v>4</x:v>
      </x:c>
      <x:c r="J1213" s="12" t="n">
        <x:v>3</x:v>
      </x:c>
    </x:row>
    <x:row r="1214" ht="18" customHeight="1">
      <x:c r="A1214" s="13" t="n">
        <x:v>44397</x:v>
      </x:c>
      <x:c r="B1214" s="12" t="n">
        <x:v>5108.9941</x:v>
      </x:c>
      <x:c r="C1214" s="12" t="n">
        <x:v>5113.4945</x:v>
      </x:c>
      <x:c r="D1214" s="12" t="n">
        <x:v>-0.088</x:v>
      </x:c>
      <x:c r="E1214" s="12" t="n">
        <x:v>-0.0008804901559389637</x:v>
      </x:c>
      <x:c r="F1214" s="13" t="n">
        <x:v>44396</x:v>
      </x:c>
      <x:c r="G1214" s="12" t="n">
        <x:v>3.44</x:v>
      </x:c>
      <x:c r="H1214" s="12" t="n">
        <x:v>344</x:v>
      </x:c>
      <x:c r="I1214" s="12" t="n">
        <x:v>26</x:v>
      </x:c>
      <x:c r="J1214" s="12" t="n">
        <x:v>1</x:v>
      </x:c>
    </x:row>
    <x:row r="1215" ht="18" customHeight="1">
      <x:c r="A1215" s="13" t="n">
        <x:v>44398</x:v>
      </x:c>
      <x:c r="B1215" s="12" t="n">
        <x:v>5144.0428</x:v>
      </x:c>
      <x:c r="C1215" s="12" t="n">
        <x:v>5108.9941</x:v>
      </x:c>
      <x:c r="D1215" s="12" t="n">
        <x:v>0.686</x:v>
      </x:c>
      <x:c r="E1215" s="12" t="n">
        <x:v>0.006836771750779328</x:v>
      </x:c>
      <x:c r="F1215" s="13" t="n">
        <x:v>44397</x:v>
      </x:c>
      <x:c r="G1215" s="12" t="n">
        <x:v>3.38</x:v>
      </x:c>
      <x:c r="H1215" s="12" t="n">
        <x:v>338</x:v>
      </x:c>
      <x:c r="I1215" s="12" t="n">
        <x:v>-6</x:v>
      </x:c>
      <x:c r="J1215" s="12" t="n">
        <x:v>1</x:v>
      </x:c>
    </x:row>
    <x:row r="1216" ht="18" customHeight="1">
      <x:c r="A1216" s="13" t="n">
        <x:v>44399</x:v>
      </x:c>
      <x:c r="B1216" s="12" t="n">
        <x:v>5151.7517</x:v>
      </x:c>
      <x:c r="C1216" s="12" t="n">
        <x:v>5144.0428</x:v>
      </x:c>
      <x:c r="D1216" s="12" t="n">
        <x:v>0.1499</x:v>
      </x:c>
      <x:c r="E1216" s="12" t="n">
        <x:v>0.001497485490911058</x:v>
      </x:c>
      <x:c r="F1216" s="13" t="n">
        <x:v>44398</x:v>
      </x:c>
      <x:c r="G1216" s="12" t="n">
        <x:v>3.24</x:v>
      </x:c>
      <x:c r="H1216" s="12" t="n">
        <x:v>324</x:v>
      </x:c>
      <x:c r="I1216" s="12" t="n">
        <x:v>-14</x:v>
      </x:c>
      <x:c r="J1216" s="12" t="n">
        <x:v>1</x:v>
      </x:c>
    </x:row>
    <x:row r="1217" ht="18" customHeight="1">
      <x:c r="A1217" s="13" t="n">
        <x:v>44400</x:v>
      </x:c>
      <x:c r="B1217" s="12" t="n">
        <x:v>5089.2282</x:v>
      </x:c>
      <x:c r="C1217" s="12" t="n">
        <x:v>5151.7517</x:v>
      </x:c>
      <x:c r="D1217" s="12" t="n">
        <x:v>-1.2136</x:v>
      </x:c>
      <x:c r="E1217" s="12" t="n">
        <x:v>-0.012210604347853416</x:v>
      </x:c>
      <x:c r="F1217" s="13" t="n">
        <x:v>44399</x:v>
      </x:c>
      <x:c r="G1217" s="12" t="n">
        <x:v>3.24</x:v>
      </x:c>
      <x:c r="H1217" s="12" t="n">
        <x:v>324</x:v>
      </x:c>
      <x:c r="I1217" s="12" t="n">
        <x:v>0</x:v>
      </x:c>
      <x:c r="J1217" s="12" t="n">
        <x:v>1</x:v>
      </x:c>
    </x:row>
    <x:row r="1218" ht="18" customHeight="1">
      <x:c r="A1218" s="13" t="n">
        <x:v>44403</x:v>
      </x:c>
      <x:c r="B1218" s="12" t="n">
        <x:v>4925.299</x:v>
      </x:c>
      <x:c r="C1218" s="12" t="n">
        <x:v>5089.2282</x:v>
      </x:c>
      <x:c r="D1218" s="12" t="n">
        <x:v>-3.2211</x:v>
      </x:c>
      <x:c r="E1218" s="12" t="n">
        <x:v>-0.03274120497587915</x:v>
      </x:c>
      <x:c r="F1218" s="13" t="n">
        <x:v>44400</x:v>
      </x:c>
      <x:c r="G1218" s="12" t="n">
        <x:v>3.22</x:v>
      </x:c>
      <x:c r="H1218" s="12" t="n">
        <x:v>322</x:v>
      </x:c>
      <x:c r="I1218" s="12" t="n">
        <x:v>-2</x:v>
      </x:c>
      <x:c r="J1218" s="12" t="n">
        <x:v>3</x:v>
      </x:c>
    </x:row>
    <x:row r="1219" ht="18" customHeight="1">
      <x:c r="A1219" s="13" t="n">
        <x:v>44404</x:v>
      </x:c>
      <x:c r="B1219" s="12" t="n">
        <x:v>4751.313</x:v>
      </x:c>
      <x:c r="C1219" s="12" t="n">
        <x:v>4925.299</x:v>
      </x:c>
      <x:c r="D1219" s="12" t="n">
        <x:v>-3.5325</x:v>
      </x:c>
      <x:c r="E1219" s="12" t="n">
        <x:v>-0.03596398253921202</x:v>
      </x:c>
      <x:c r="F1219" s="13" t="n">
        <x:v>44403</x:v>
      </x:c>
      <x:c r="G1219" s="12" t="n">
        <x:v>3.21</x:v>
      </x:c>
      <x:c r="H1219" s="12" t="n">
        <x:v>321</x:v>
      </x:c>
      <x:c r="I1219" s="12" t="n">
        <x:v>-1</x:v>
      </x:c>
      <x:c r="J1219" s="12" t="n">
        <x:v>1</x:v>
      </x:c>
    </x:row>
    <x:row r="1220" ht="18" customHeight="1">
      <x:c r="A1220" s="13" t="n">
        <x:v>44405</x:v>
      </x:c>
      <x:c r="B1220" s="12" t="n">
        <x:v>4760.4826</x:v>
      </x:c>
      <x:c r="C1220" s="12" t="n">
        <x:v>4751.313</x:v>
      </x:c>
      <x:c r="D1220" s="12" t="n">
        <x:v>0.193</x:v>
      </x:c>
      <x:c r="E1220" s="12" t="n">
        <x:v>0.0019280487567601367</x:v>
      </x:c>
      <x:c r="F1220" s="13" t="n">
        <x:v>44404</x:v>
      </x:c>
      <x:c r="G1220" s="12" t="n">
        <x:v>3.27</x:v>
      </x:c>
      <x:c r="H1220" s="12" t="n">
        <x:v>327</x:v>
      </x:c>
      <x:c r="I1220" s="12" t="n">
        <x:v>6</x:v>
      </x:c>
      <x:c r="J1220" s="12" t="n">
        <x:v>1</x:v>
      </x:c>
    </x:row>
    <x:row r="1221" ht="18" customHeight="1">
      <x:c r="A1221" s="13" t="n">
        <x:v>44406</x:v>
      </x:c>
      <x:c r="B1221" s="12" t="n">
        <x:v>4850.2746</x:v>
      </x:c>
      <x:c r="C1221" s="12" t="n">
        <x:v>4760.4826</x:v>
      </x:c>
      <x:c r="D1221" s="12" t="n">
        <x:v>1.8862</x:v>
      </x:c>
      <x:c r="E1221" s="12" t="n">
        <x:v>0.018686272244641713</x:v>
      </x:c>
      <x:c r="F1221" s="13" t="n">
        <x:v>44405</x:v>
      </x:c>
      <x:c r="G1221" s="12" t="n">
        <x:v>3.26</x:v>
      </x:c>
      <x:c r="H1221" s="12" t="n">
        <x:v>326</x:v>
      </x:c>
      <x:c r="I1221" s="12" t="n">
        <x:v>-1</x:v>
      </x:c>
      <x:c r="J1221" s="12" t="n">
        <x:v>1</x:v>
      </x:c>
    </x:row>
    <x:row r="1222" ht="18" customHeight="1">
      <x:c r="A1222" s="13" t="n">
        <x:v>44407</x:v>
      </x:c>
      <x:c r="B1222" s="12" t="n">
        <x:v>4811.1695</x:v>
      </x:c>
      <x:c r="C1222" s="12" t="n">
        <x:v>4850.2746</x:v>
      </x:c>
      <x:c r="D1222" s="12" t="n">
        <x:v>-0.8062</x:v>
      </x:c>
      <x:c r="E1222" s="12" t="n">
        <x:v>-0.008095128046081285</x:v>
      </x:c>
      <x:c r="F1222" s="13" t="n">
        <x:v>44406</x:v>
      </x:c>
      <x:c r="G1222" s="12" t="n">
        <x:v>3.23</x:v>
      </x:c>
      <x:c r="H1222" s="12" t="n">
        <x:v>323</x:v>
      </x:c>
      <x:c r="I1222" s="12" t="n">
        <x:v>-3</x:v>
      </x:c>
      <x:c r="J1222" s="12" t="n">
        <x:v>1</x:v>
      </x:c>
    </x:row>
    <x:row r="1223" ht="18" customHeight="1">
      <x:c r="A1223" s="13" t="n">
        <x:v>44410</x:v>
      </x:c>
      <x:c r="B1223" s="12" t="n">
        <x:v>4933.736</x:v>
      </x:c>
      <x:c r="C1223" s="12" t="n">
        <x:v>4811.1695</x:v>
      </x:c>
      <x:c r="D1223" s="12" t="n">
        <x:v>2.5475</x:v>
      </x:c>
      <x:c r="E1223" s="12" t="n">
        <x:v>0.025156316535476436</x:v>
      </x:c>
      <x:c r="F1223" s="13" t="n">
        <x:v>44408</x:v>
      </x:c>
      <x:c r="G1223" s="12" t="n">
        <x:v>3.32</x:v>
      </x:c>
      <x:c r="H1223" s="12" t="n">
        <x:v>332</x:v>
      </x:c>
      <x:c r="I1223" s="12" t="n">
        <x:v>6</x:v>
      </x:c>
      <x:c r="J1223" s="12" t="n">
        <x:v>2</x:v>
      </x:c>
    </x:row>
    <x:row r="1224" ht="18" customHeight="1">
      <x:c r="A1224" s="13" t="n">
        <x:v>44411</x:v>
      </x:c>
      <x:c r="B1224" s="12" t="n">
        <x:v>4934.4583</x:v>
      </x:c>
      <x:c r="C1224" s="12" t="n">
        <x:v>4933.736</x:v>
      </x:c>
      <x:c r="D1224" s="12" t="n">
        <x:v>0.0146</x:v>
      </x:c>
      <x:c r="E1224" s="12" t="n">
        <x:v>0.00014638949727404575</x:v>
      </x:c>
      <x:c r="F1224" s="13" t="n">
        <x:v>44410</x:v>
      </x:c>
      <x:c r="G1224" s="12" t="n">
        <x:v>3.36</x:v>
      </x:c>
      <x:c r="H1224" s="12" t="n">
        <x:v>336</x:v>
      </x:c>
      <x:c r="I1224" s="12" t="n">
        <x:v>4</x:v>
      </x:c>
      <x:c r="J1224" s="12" t="n">
        <x:v>1</x:v>
      </x:c>
    </x:row>
    <x:row r="1225" ht="18" customHeight="1">
      <x:c r="A1225" s="13" t="n">
        <x:v>44412</x:v>
      </x:c>
      <x:c r="B1225" s="12" t="n">
        <x:v>4978.8479</x:v>
      </x:c>
      <x:c r="C1225" s="12" t="n">
        <x:v>4934.4583</x:v>
      </x:c>
      <x:c r="D1225" s="12" t="n">
        <x:v>0.8996</x:v>
      </x:c>
      <x:c r="E1225" s="12" t="n">
        <x:v>0.00895561900057252</x:v>
      </x:c>
      <x:c r="F1225" s="13" t="n">
        <x:v>44411</x:v>
      </x:c>
      <x:c r="G1225" s="12" t="n">
        <x:v>3.42</x:v>
      </x:c>
      <x:c r="H1225" s="12" t="n">
        <x:v>342</x:v>
      </x:c>
      <x:c r="I1225" s="12" t="n">
        <x:v>6</x:v>
      </x:c>
      <x:c r="J1225" s="12" t="n">
        <x:v>1</x:v>
      </x:c>
    </x:row>
    <x:row r="1226" ht="18" customHeight="1">
      <x:c r="A1226" s="13" t="n">
        <x:v>44413</x:v>
      </x:c>
      <x:c r="B1226" s="12" t="n">
        <x:v>4948.6703</x:v>
      </x:c>
      <x:c r="C1226" s="12" t="n">
        <x:v>4978.8479</x:v>
      </x:c>
      <x:c r="D1226" s="12" t="n">
        <x:v>-0.6061</x:v>
      </x:c>
      <x:c r="E1226" s="12" t="n">
        <x:v>-0.0060796046590891285</x:v>
      </x:c>
      <x:c r="F1226" s="13" t="n">
        <x:v>44412</x:v>
      </x:c>
      <x:c r="G1226" s="12" t="n">
        <x:v>3.42</x:v>
      </x:c>
      <x:c r="H1226" s="12" t="n">
        <x:v>342</x:v>
      </x:c>
      <x:c r="I1226" s="12" t="n">
        <x:v>0</x:v>
      </x:c>
      <x:c r="J1226" s="12" t="n">
        <x:v>1</x:v>
      </x:c>
    </x:row>
    <x:row r="1227" ht="18" customHeight="1">
      <x:c r="A1227" s="13" t="n">
        <x:v>44414</x:v>
      </x:c>
      <x:c r="B1227" s="12" t="n">
        <x:v>4921.5647</x:v>
      </x:c>
      <x:c r="C1227" s="12" t="n">
        <x:v>4948.6703</x:v>
      </x:c>
      <x:c r="D1227" s="12" t="n">
        <x:v>-0.5477</x:v>
      </x:c>
      <x:c r="E1227" s="12" t="n">
        <x:v>-0.005492405832303928</x:v>
      </x:c>
      <x:c r="F1227" s="13" t="n">
        <x:v>44413</x:v>
      </x:c>
      <x:c r="G1227" s="12" t="n">
        <x:v>3.37</x:v>
      </x:c>
      <x:c r="H1227" s="12" t="n">
        <x:v>337</x:v>
      </x:c>
      <x:c r="I1227" s="12" t="n">
        <x:v>-5</x:v>
      </x:c>
      <x:c r="J1227" s="12" t="n">
        <x:v>1</x:v>
      </x:c>
    </x:row>
    <x:row r="1228" ht="18" customHeight="1">
      <x:c r="A1228" s="13" t="n">
        <x:v>44417</x:v>
      </x:c>
      <x:c r="B1228" s="12" t="n">
        <x:v>4985.5627</x:v>
      </x:c>
      <x:c r="C1228" s="12" t="n">
        <x:v>4921.5647</x:v>
      </x:c>
      <x:c r="D1228" s="12" t="n">
        <x:v>1.3004</x:v>
      </x:c>
      <x:c r="E1228" s="12" t="n">
        <x:v>0.012919767280224079</x:v>
      </x:c>
      <x:c r="F1228" s="13" t="n">
        <x:v>44414</x:v>
      </x:c>
      <x:c r="G1228" s="12" t="n">
        <x:v>3.32</x:v>
      </x:c>
      <x:c r="H1228" s="12" t="n">
        <x:v>332</x:v>
      </x:c>
      <x:c r="I1228" s="12" t="n">
        <x:v>-5</x:v>
      </x:c>
      <x:c r="J1228" s="12" t="n">
        <x:v>3</x:v>
      </x:c>
    </x:row>
    <x:row r="1229" ht="18" customHeight="1">
      <x:c r="A1229" s="13" t="n">
        <x:v>44418</x:v>
      </x:c>
      <x:c r="B1229" s="12" t="n">
        <x:v>5043.148</x:v>
      </x:c>
      <x:c r="C1229" s="12" t="n">
        <x:v>4985.5627</x:v>
      </x:c>
      <x:c r="D1229" s="12" t="n">
        <x:v>1.155</x:v>
      </x:c>
      <x:c r="E1229" s="12" t="n">
        <x:v>0.011484214595109173</x:v>
      </x:c>
      <x:c r="F1229" s="13" t="n">
        <x:v>44417</x:v>
      </x:c>
      <x:c r="G1229" s="12" t="n">
        <x:v>3.34</x:v>
      </x:c>
      <x:c r="H1229" s="12" t="n">
        <x:v>334</x:v>
      </x:c>
      <x:c r="I1229" s="12" t="n">
        <x:v>2</x:v>
      </x:c>
      <x:c r="J1229" s="12" t="n">
        <x:v>1</x:v>
      </x:c>
    </x:row>
    <x:row r="1230" ht="18" customHeight="1">
      <x:c r="A1230" s="13" t="n">
        <x:v>44419</x:v>
      </x:c>
      <x:c r="B1230" s="12" t="n">
        <x:v>5015.3406</x:v>
      </x:c>
      <x:c r="C1230" s="12" t="n">
        <x:v>5043.148</x:v>
      </x:c>
      <x:c r="D1230" s="12" t="n">
        <x:v>-0.5514</x:v>
      </x:c>
      <x:c r="E1230" s="12" t="n">
        <x:v>-0.005529154915563814</x:v>
      </x:c>
      <x:c r="F1230" s="13" t="n">
        <x:v>44418</x:v>
      </x:c>
      <x:c r="G1230" s="12" t="n">
        <x:v>3.32</x:v>
      </x:c>
      <x:c r="H1230" s="12" t="n">
        <x:v>332</x:v>
      </x:c>
      <x:c r="I1230" s="12" t="n">
        <x:v>-2</x:v>
      </x:c>
      <x:c r="J1230" s="12" t="n">
        <x:v>1</x:v>
      </x:c>
    </x:row>
    <x:row r="1231" ht="18" customHeight="1">
      <x:c r="A1231" s="13" t="n">
        <x:v>44420</x:v>
      </x:c>
      <x:c r="B1231" s="12" t="n">
        <x:v>4973.3509</x:v>
      </x:c>
      <x:c r="C1231" s="12" t="n">
        <x:v>5015.3406</x:v>
      </x:c>
      <x:c r="D1231" s="12" t="n">
        <x:v>-0.8372</x:v>
      </x:c>
      <x:c r="E1231" s="12" t="n">
        <x:v>-0.008407497086092142</x:v>
      </x:c>
      <x:c r="F1231" s="13" t="n">
        <x:v>44419</x:v>
      </x:c>
      <x:c r="G1231" s="12" t="n">
        <x:v>3.37</x:v>
      </x:c>
      <x:c r="H1231" s="12" t="n">
        <x:v>337</x:v>
      </x:c>
      <x:c r="I1231" s="12" t="n">
        <x:v>5</x:v>
      </x:c>
      <x:c r="J1231" s="12" t="n">
        <x:v>1</x:v>
      </x:c>
    </x:row>
    <x:row r="1232" ht="18" customHeight="1">
      <x:c r="A1232" s="13" t="n">
        <x:v>44421</x:v>
      </x:c>
      <x:c r="B1232" s="12" t="n">
        <x:v>4945.9829</x:v>
      </x:c>
      <x:c r="C1232" s="12" t="n">
        <x:v>4973.3509</x:v>
      </x:c>
      <x:c r="D1232" s="12" t="n">
        <x:v>-0.5503</x:v>
      </x:c>
      <x:c r="E1232" s="12" t="n">
        <x:v>-0.005518126518865006</x:v>
      </x:c>
      <x:c r="F1232" s="13" t="n">
        <x:v>44420</x:v>
      </x:c>
      <x:c r="G1232" s="12" t="n">
        <x:v>3.34</x:v>
      </x:c>
      <x:c r="H1232" s="12" t="n">
        <x:v>334</x:v>
      </x:c>
      <x:c r="I1232" s="12" t="n">
        <x:v>-3</x:v>
      </x:c>
      <x:c r="J1232" s="12" t="n">
        <x:v>1</x:v>
      </x:c>
    </x:row>
    <x:row r="1233" ht="18" customHeight="1">
      <x:c r="A1233" s="13" t="n">
        <x:v>44424</x:v>
      </x:c>
      <x:c r="B1233" s="12" t="n">
        <x:v>4941.0676</x:v>
      </x:c>
      <x:c r="C1233" s="12" t="n">
        <x:v>4945.9829</x:v>
      </x:c>
      <x:c r="D1233" s="12" t="n">
        <x:v>-0.0994</x:v>
      </x:c>
      <x:c r="E1233" s="12" t="n">
        <x:v>-0.0009942905429570182</x:v>
      </x:c>
      <x:c r="F1233" s="13" t="n">
        <x:v>44421</x:v>
      </x:c>
      <x:c r="G1233" s="12" t="n">
        <x:v>3.36</x:v>
      </x:c>
      <x:c r="H1233" s="12" t="n">
        <x:v>336</x:v>
      </x:c>
      <x:c r="I1233" s="12" t="n">
        <x:v>2</x:v>
      </x:c>
      <x:c r="J1233" s="12" t="n">
        <x:v>3</x:v>
      </x:c>
    </x:row>
    <x:row r="1234" ht="18" customHeight="1">
      <x:c r="A1234" s="13" t="n">
        <x:v>44425</x:v>
      </x:c>
      <x:c r="B1234" s="12" t="n">
        <x:v>4837.4034</x:v>
      </x:c>
      <x:c r="C1234" s="12" t="n">
        <x:v>4941.0676</x:v>
      </x:c>
      <x:c r="D1234" s="12" t="n">
        <x:v>-2.098</x:v>
      </x:c>
      <x:c r="E1234" s="12" t="n">
        <x:v>-0.02120333204675759</x:v>
      </x:c>
      <x:c r="F1234" s="13" t="n">
        <x:v>44424</x:v>
      </x:c>
      <x:c r="G1234" s="12" t="n">
        <x:v>3.38</x:v>
      </x:c>
      <x:c r="H1234" s="12" t="n">
        <x:v>338</x:v>
      </x:c>
      <x:c r="I1234" s="12" t="n">
        <x:v>2</x:v>
      </x:c>
      <x:c r="J1234" s="12" t="n">
        <x:v>1</x:v>
      </x:c>
    </x:row>
    <x:row r="1235" ht="18" customHeight="1">
      <x:c r="A1235" s="13" t="n">
        <x:v>44426</x:v>
      </x:c>
      <x:c r="B1235" s="12" t="n">
        <x:v>4894.2384</x:v>
      </x:c>
      <x:c r="C1235" s="12" t="n">
        <x:v>4837.4034</x:v>
      </x:c>
      <x:c r="D1235" s="12" t="n">
        <x:v>1.1749</x:v>
      </x:c>
      <x:c r="E1235" s="12" t="n">
        <x:v>0.011680587379225442</x:v>
      </x:c>
      <x:c r="F1235" s="13" t="n">
        <x:v>44425</x:v>
      </x:c>
      <x:c r="G1235" s="12" t="n">
        <x:v>3.37</x:v>
      </x:c>
      <x:c r="H1235" s="12" t="n">
        <x:v>337</x:v>
      </x:c>
      <x:c r="I1235" s="12" t="n">
        <x:v>-1</x:v>
      </x:c>
      <x:c r="J1235" s="12" t="n">
        <x:v>1</x:v>
      </x:c>
    </x:row>
    <x:row r="1236" ht="18" customHeight="1">
      <x:c r="A1236" s="13" t="n">
        <x:v>44427</x:v>
      </x:c>
      <x:c r="B1236" s="12" t="n">
        <x:v>4862.1394</x:v>
      </x:c>
      <x:c r="C1236" s="12" t="n">
        <x:v>4894.2384</x:v>
      </x:c>
      <x:c r="D1236" s="12" t="n">
        <x:v>-0.6559</x:v>
      </x:c>
      <x:c r="E1236" s="12" t="n">
        <x:v>-0.006580129731906379</x:v>
      </x:c>
      <x:c r="F1236" s="13" t="n">
        <x:v>44426</x:v>
      </x:c>
      <x:c r="G1236" s="12" t="n">
        <x:v>3.35</x:v>
      </x:c>
      <x:c r="H1236" s="12" t="n">
        <x:v>335</x:v>
      </x:c>
      <x:c r="I1236" s="12" t="n">
        <x:v>-2</x:v>
      </x:c>
      <x:c r="J1236" s="12" t="n">
        <x:v>1</x:v>
      </x:c>
    </x:row>
    <x:row r="1237" ht="18" customHeight="1">
      <x:c r="A1237" s="13" t="n">
        <x:v>44428</x:v>
      </x:c>
      <x:c r="B1237" s="12" t="n">
        <x:v>4769.2678</x:v>
      </x:c>
      <x:c r="C1237" s="12" t="n">
        <x:v>4862.1394</x:v>
      </x:c>
      <x:c r="D1237" s="12" t="n">
        <x:v>-1.9101</x:v>
      </x:c>
      <x:c r="E1237" s="12" t="n">
        <x:v>-0.019285754742048165</x:v>
      </x:c>
      <x:c r="F1237" s="13" t="n">
        <x:v>44427</x:v>
      </x:c>
      <x:c r="G1237" s="12" t="n">
        <x:v>3.42</x:v>
      </x:c>
      <x:c r="H1237" s="12" t="n">
        <x:v>342</x:v>
      </x:c>
      <x:c r="I1237" s="12" t="n">
        <x:v>7</x:v>
      </x:c>
      <x:c r="J1237" s="12" t="n">
        <x:v>1</x:v>
      </x:c>
    </x:row>
    <x:row r="1238" ht="18" customHeight="1">
      <x:c r="A1238" s="13" t="n">
        <x:v>44431</x:v>
      </x:c>
      <x:c r="B1238" s="12" t="n">
        <x:v>4835.8782</x:v>
      </x:c>
      <x:c r="C1238" s="12" t="n">
        <x:v>4769.2678</x:v>
      </x:c>
      <x:c r="D1238" s="12" t="n">
        <x:v>1.3967</x:v>
      </x:c>
      <x:c r="E1238" s="12" t="n">
        <x:v>0.013869954261612503</x:v>
      </x:c>
      <x:c r="F1238" s="13" t="n">
        <x:v>44428</x:v>
      </x:c>
      <x:c r="G1238" s="12" t="n">
        <x:v>3.37</x:v>
      </x:c>
      <x:c r="H1238" s="12" t="n">
        <x:v>337</x:v>
      </x:c>
      <x:c r="I1238" s="12" t="n">
        <x:v>-5</x:v>
      </x:c>
      <x:c r="J1238" s="12" t="n">
        <x:v>3</x:v>
      </x:c>
    </x:row>
    <x:row r="1239" ht="18" customHeight="1">
      <x:c r="A1239" s="13" t="n">
        <x:v>44432</x:v>
      </x:c>
      <x:c r="B1239" s="12" t="n">
        <x:v>4888.3902</x:v>
      </x:c>
      <x:c r="C1239" s="12" t="n">
        <x:v>4835.8782</x:v>
      </x:c>
      <x:c r="D1239" s="12" t="n">
        <x:v>1.0859</x:v>
      </x:c>
      <x:c r="E1239" s="12" t="n">
        <x:v>0.010800300502617191</x:v>
      </x:c>
      <x:c r="F1239" s="13" t="n">
        <x:v>44431</x:v>
      </x:c>
      <x:c r="G1239" s="12" t="n">
        <x:v>3.34</x:v>
      </x:c>
      <x:c r="H1239" s="12" t="n">
        <x:v>334</x:v>
      </x:c>
      <x:c r="I1239" s="12" t="n">
        <x:v>-3</x:v>
      </x:c>
      <x:c r="J1239" s="12" t="n">
        <x:v>1</x:v>
      </x:c>
    </x:row>
    <x:row r="1240" ht="18" customHeight="1">
      <x:c r="A1240" s="13" t="n">
        <x:v>44433</x:v>
      </x:c>
      <x:c r="B1240" s="12" t="n">
        <x:v>4898.1572</x:v>
      </x:c>
      <x:c r="C1240" s="12" t="n">
        <x:v>4888.3902</x:v>
      </x:c>
      <x:c r="D1240" s="12" t="n">
        <x:v>0.1998</x:v>
      </x:c>
      <x:c r="E1240" s="12" t="n">
        <x:v>0.00199600591372526</x:v>
      </x:c>
      <x:c r="F1240" s="13" t="n">
        <x:v>44432</x:v>
      </x:c>
      <x:c r="G1240" s="12" t="n">
        <x:v>3.26</x:v>
      </x:c>
      <x:c r="H1240" s="12" t="n">
        <x:v>326</x:v>
      </x:c>
      <x:c r="I1240" s="12" t="n">
        <x:v>-8</x:v>
      </x:c>
      <x:c r="J1240" s="12" t="n">
        <x:v>1</x:v>
      </x:c>
    </x:row>
    <x:row r="1241" ht="18" customHeight="1">
      <x:c r="A1241" s="13" t="n">
        <x:v>44434</x:v>
      </x:c>
      <x:c r="B1241" s="12" t="n">
        <x:v>4801.6094</x:v>
      </x:c>
      <x:c r="C1241" s="12" t="n">
        <x:v>4898.1572</x:v>
      </x:c>
      <x:c r="D1241" s="12" t="n">
        <x:v>-1.9711</x:v>
      </x:c>
      <x:c r="E1241" s="12" t="n">
        <x:v>-0.019907899364672393</x:v>
      </x:c>
      <x:c r="F1241" s="13" t="n">
        <x:v>44433</x:v>
      </x:c>
      <x:c r="G1241" s="12" t="n">
        <x:v>3.22</x:v>
      </x:c>
      <x:c r="H1241" s="12" t="n">
        <x:v>322</x:v>
      </x:c>
      <x:c r="I1241" s="12" t="n">
        <x:v>-4</x:v>
      </x:c>
      <x:c r="J1241" s="12" t="n">
        <x:v>1</x:v>
      </x:c>
    </x:row>
    <x:row r="1242" ht="18" customHeight="1">
      <x:c r="A1242" s="13" t="n">
        <x:v>44435</x:v>
      </x:c>
      <x:c r="B1242" s="12" t="n">
        <x:v>4827.0433</x:v>
      </x:c>
      <x:c r="C1242" s="12" t="n">
        <x:v>4801.6094</x:v>
      </x:c>
      <x:c r="D1242" s="12" t="n">
        <x:v>0.5297</x:v>
      </x:c>
      <x:c r="E1242" s="12" t="n">
        <x:v>0.005282973630273834</x:v>
      </x:c>
      <x:c r="F1242" s="13" t="n">
        <x:v>44434</x:v>
      </x:c>
      <x:c r="G1242" s="12" t="n">
        <x:v>3.2</x:v>
      </x:c>
      <x:c r="H1242" s="12" t="n">
        <x:v>320</x:v>
      </x:c>
      <x:c r="I1242" s="12" t="n">
        <x:v>-2</x:v>
      </x:c>
      <x:c r="J1242" s="12" t="n">
        <x:v>1</x:v>
      </x:c>
    </x:row>
    <x:row r="1243" ht="18" customHeight="1">
      <x:c r="A1243" s="13" t="n">
        <x:v>44438</x:v>
      </x:c>
      <x:c r="B1243" s="12" t="n">
        <x:v>4813.2703</x:v>
      </x:c>
      <x:c r="C1243" s="12" t="n">
        <x:v>4827.0433</x:v>
      </x:c>
      <x:c r="D1243" s="12" t="n">
        <x:v>-0.2853</x:v>
      </x:c>
      <x:c r="E1243" s="12" t="n">
        <x:v>-0.0028573778701406795</x:v>
      </x:c>
      <x:c r="F1243" s="13" t="n">
        <x:v>44435</x:v>
      </x:c>
      <x:c r="G1243" s="12" t="n">
        <x:v>3.17</x:v>
      </x:c>
      <x:c r="H1243" s="12" t="n">
        <x:v>317</x:v>
      </x:c>
      <x:c r="I1243" s="12" t="n">
        <x:v>-3</x:v>
      </x:c>
      <x:c r="J1243" s="12" t="n">
        <x:v>3</x:v>
      </x:c>
    </x:row>
    <x:row r="1244" ht="18" customHeight="1">
      <x:c r="A1244" s="13" t="n">
        <x:v>44439</x:v>
      </x:c>
      <x:c r="B1244" s="12" t="n">
        <x:v>4805.6099</x:v>
      </x:c>
      <x:c r="C1244" s="12" t="n">
        <x:v>4813.2703</x:v>
      </x:c>
      <x:c r="D1244" s="12" t="n">
        <x:v>-0.1592</x:v>
      </x:c>
      <x:c r="E1244" s="12" t="n">
        <x:v>-0.0015927844947090822</x:v>
      </x:c>
      <x:c r="F1244" s="13" t="n">
        <x:v>44438</x:v>
      </x:c>
      <x:c r="G1244" s="12" t="n">
        <x:v>3.16</x:v>
      </x:c>
      <x:c r="H1244" s="12" t="n">
        <x:v>316</x:v>
      </x:c>
      <x:c r="I1244" s="12" t="n">
        <x:v>-1</x:v>
      </x:c>
      <x:c r="J1244" s="12" t="n">
        <x:v>1</x:v>
      </x:c>
    </x:row>
    <x:row r="1245" ht="18" customHeight="1">
      <x:c r="A1245" s="13" t="n">
        <x:v>44440</x:v>
      </x:c>
      <x:c r="B1245" s="12" t="n">
        <x:v>4869.4587</x:v>
      </x:c>
      <x:c r="C1245" s="12" t="n">
        <x:v>4805.6099</x:v>
      </x:c>
      <x:c r="D1245" s="12" t="n">
        <x:v>1.3286</x:v>
      </x:c>
      <x:c r="E1245" s="12" t="n">
        <x:v>0.013198816371313428</x:v>
      </x:c>
      <x:c r="F1245" s="13" t="n">
        <x:v>44439</x:v>
      </x:c>
      <x:c r="G1245" s="12" t="n">
        <x:v>3.21</x:v>
      </x:c>
      <x:c r="H1245" s="12" t="n">
        <x:v>321</x:v>
      </x:c>
      <x:c r="I1245" s="12" t="n">
        <x:v>5</x:v>
      </x:c>
      <x:c r="J1245" s="12" t="n">
        <x:v>1</x:v>
      </x:c>
    </x:row>
    <x:row r="1246" ht="18" customHeight="1">
      <x:c r="A1246" s="13" t="n">
        <x:v>44441</x:v>
      </x:c>
      <x:c r="B1246" s="12" t="n">
        <x:v>4869.4113</x:v>
      </x:c>
      <x:c r="C1246" s="12" t="n">
        <x:v>4869.4587</x:v>
      </x:c>
      <x:c r="D1246" s="12" t="n">
        <x:v>-0.001</x:v>
      </x:c>
      <x:c r="E1246" s="12" t="n">
        <x:v>-0.000009734188874249115</x:v>
      </x:c>
      <x:c r="F1246" s="13" t="n">
        <x:v>44440</x:v>
      </x:c>
      <x:c r="G1246" s="12" t="n">
        <x:v>3.19</x:v>
      </x:c>
      <x:c r="H1246" s="12" t="n">
        <x:v>319</x:v>
      </x:c>
      <x:c r="I1246" s="12" t="n">
        <x:v>-2</x:v>
      </x:c>
      <x:c r="J1246" s="12" t="n">
        <x:v>1</x:v>
      </x:c>
    </x:row>
    <x:row r="1247" ht="18" customHeight="1">
      <x:c r="A1247" s="13" t="n">
        <x:v>44442</x:v>
      </x:c>
      <x:c r="B1247" s="12" t="n">
        <x:v>4843.0624</x:v>
      </x:c>
      <x:c r="C1247" s="12" t="n">
        <x:v>4869.4113</x:v>
      </x:c>
      <x:c r="D1247" s="12" t="n">
        <x:v>-0.5411</x:v>
      </x:c>
      <x:c r="E1247" s="12" t="n">
        <x:v>-0.005425798916923169</x:v>
      </x:c>
      <x:c r="F1247" s="13" t="n">
        <x:v>44441</x:v>
      </x:c>
      <x:c r="G1247" s="12" t="n">
        <x:v>3.16</x:v>
      </x:c>
      <x:c r="H1247" s="12" t="n">
        <x:v>316</x:v>
      </x:c>
      <x:c r="I1247" s="12" t="n">
        <x:v>-3</x:v>
      </x:c>
      <x:c r="J1247" s="12" t="n">
        <x:v>1</x:v>
      </x:c>
    </x:row>
    <x:row r="1248" ht="18" customHeight="1">
      <x:c r="A1248" s="13" t="n">
        <x:v>44445</x:v>
      </x:c>
      <x:c r="B1248" s="12" t="n">
        <x:v>4933.7262</x:v>
      </x:c>
      <x:c r="C1248" s="12" t="n">
        <x:v>4843.0624</x:v>
      </x:c>
      <x:c r="D1248" s="12" t="n">
        <x:v>1.872</x:v>
      </x:c>
      <x:c r="E1248" s="12" t="n">
        <x:v>0.01854727615262288</x:v>
      </x:c>
      <x:c r="F1248" s="13" t="n">
        <x:v>44442</x:v>
      </x:c>
      <x:c r="G1248" s="12" t="n">
        <x:v>3.14</x:v>
      </x:c>
      <x:c r="H1248" s="12" t="n">
        <x:v>314</x:v>
      </x:c>
      <x:c r="I1248" s="12" t="n">
        <x:v>-2</x:v>
      </x:c>
      <x:c r="J1248" s="12" t="n">
        <x:v>3</x:v>
      </x:c>
    </x:row>
    <x:row r="1249" ht="18" customHeight="1">
      <x:c r="A1249" s="13" t="n">
        <x:v>44446</x:v>
      </x:c>
      <x:c r="B1249" s="12" t="n">
        <x:v>4992.8294</x:v>
      </x:c>
      <x:c r="C1249" s="12" t="n">
        <x:v>4933.7262</x:v>
      </x:c>
      <x:c r="D1249" s="12" t="n">
        <x:v>1.1979</x:v>
      </x:c>
      <x:c r="E1249" s="12" t="n">
        <x:v>0.011908239033383661</x:v>
      </x:c>
      <x:c r="F1249" s="13" t="n">
        <x:v>44445</x:v>
      </x:c>
      <x:c r="G1249" s="12" t="n">
        <x:v>3.13</x:v>
      </x:c>
      <x:c r="H1249" s="12" t="n">
        <x:v>313</x:v>
      </x:c>
      <x:c r="I1249" s="12" t="n">
        <x:v>-1</x:v>
      </x:c>
      <x:c r="J1249" s="12" t="n">
        <x:v>1</x:v>
      </x:c>
    </x:row>
    <x:row r="1250" ht="18" customHeight="1">
      <x:c r="A1250" s="13" t="n">
        <x:v>44447</x:v>
      </x:c>
      <x:c r="B1250" s="12" t="n">
        <x:v>4972.1324</x:v>
      </x:c>
      <x:c r="C1250" s="12" t="n">
        <x:v>4992.8294</x:v>
      </x:c>
      <x:c r="D1250" s="12" t="n">
        <x:v>-0.4145</x:v>
      </x:c>
      <x:c r="E1250" s="12" t="n">
        <x:v>-0.004153960682764128</x:v>
      </x:c>
      <x:c r="F1250" s="13" t="n">
        <x:v>44446</x:v>
      </x:c>
      <x:c r="G1250" s="12" t="n">
        <x:v>3.16</x:v>
      </x:c>
      <x:c r="H1250" s="12" t="n">
        <x:v>316</x:v>
      </x:c>
      <x:c r="I1250" s="12" t="n">
        <x:v>3</x:v>
      </x:c>
      <x:c r="J1250" s="12" t="n">
        <x:v>1</x:v>
      </x:c>
    </x:row>
    <x:row r="1251" ht="18" customHeight="1">
      <x:c r="A1251" s="13" t="n">
        <x:v>44448</x:v>
      </x:c>
      <x:c r="B1251" s="12" t="n">
        <x:v>4970.0133</x:v>
      </x:c>
      <x:c r="C1251" s="12" t="n">
        <x:v>4972.1324</x:v>
      </x:c>
      <x:c r="D1251" s="12" t="n">
        <x:v>-0.0426</x:v>
      </x:c>
      <x:c r="E1251" s="12" t="n">
        <x:v>-0.0004262862557105811</x:v>
      </x:c>
      <x:c r="F1251" s="13" t="n">
        <x:v>44447</x:v>
      </x:c>
      <x:c r="G1251" s="12" t="n">
        <x:v>3.16</x:v>
      </x:c>
      <x:c r="H1251" s="12" t="n">
        <x:v>316</x:v>
      </x:c>
      <x:c r="I1251" s="12" t="n">
        <x:v>0</x:v>
      </x:c>
      <x:c r="J1251" s="12" t="n">
        <x:v>1</x:v>
      </x:c>
    </x:row>
    <x:row r="1252" ht="18" customHeight="1">
      <x:c r="A1252" s="13" t="n">
        <x:v>44449</x:v>
      </x:c>
      <x:c r="B1252" s="12" t="n">
        <x:v>5013.5219</x:v>
      </x:c>
      <x:c r="C1252" s="12" t="n">
        <x:v>4970.0133</x:v>
      </x:c>
      <x:c r="D1252" s="12" t="n">
        <x:v>0.8754</x:v>
      </x:c>
      <x:c r="E1252" s="12" t="n">
        <x:v>0.008716126016851936</x:v>
      </x:c>
      <x:c r="F1252" s="13" t="n">
        <x:v>44448</x:v>
      </x:c>
      <x:c r="G1252" s="12" t="n">
        <x:v>3.15</x:v>
      </x:c>
      <x:c r="H1252" s="12" t="n">
        <x:v>315</x:v>
      </x:c>
      <x:c r="I1252" s="12" t="n">
        <x:v>-1</x:v>
      </x:c>
      <x:c r="J1252" s="12" t="n">
        <x:v>1</x:v>
      </x:c>
    </x:row>
    <x:row r="1253" ht="18" customHeight="1">
      <x:c r="A1253" s="13" t="n">
        <x:v>44452</x:v>
      </x:c>
      <x:c r="B1253" s="12" t="n">
        <x:v>4991.6598</x:v>
      </x:c>
      <x:c r="C1253" s="12" t="n">
        <x:v>5013.5219</x:v>
      </x:c>
      <x:c r="D1253" s="12" t="n">
        <x:v>-0.4361</x:v>
      </x:c>
      <x:c r="E1253" s="12" t="n">
        <x:v>-0.004370162471732712</x:v>
      </x:c>
      <x:c r="F1253" s="13" t="n">
        <x:v>44449</x:v>
      </x:c>
      <x:c r="G1253" s="12" t="n">
        <x:v>3.11</x:v>
      </x:c>
      <x:c r="H1253" s="12" t="n">
        <x:v>311</x:v>
      </x:c>
      <x:c r="I1253" s="12" t="n">
        <x:v>-4</x:v>
      </x:c>
      <x:c r="J1253" s="12" t="n">
        <x:v>3</x:v>
      </x:c>
    </x:row>
    <x:row r="1254" ht="18" customHeight="1">
      <x:c r="A1254" s="13" t="n">
        <x:v>44453</x:v>
      </x:c>
      <x:c r="B1254" s="12" t="n">
        <x:v>4917.1617</x:v>
      </x:c>
      <x:c r="C1254" s="12" t="n">
        <x:v>4991.6598</x:v>
      </x:c>
      <x:c r="D1254" s="12" t="n">
        <x:v>-1.4925</x:v>
      </x:c>
      <x:c r="E1254" s="12" t="n">
        <x:v>-0.015037005911300897</x:v>
      </x:c>
      <x:c r="F1254" s="13" t="n">
        <x:v>44452</x:v>
      </x:c>
      <x:c r="G1254" s="12" t="n">
        <x:v>3.09</x:v>
      </x:c>
      <x:c r="H1254" s="12" t="n">
        <x:v>309</x:v>
      </x:c>
      <x:c r="I1254" s="12" t="n">
        <x:v>-2</x:v>
      </x:c>
      <x:c r="J1254" s="12" t="n">
        <x:v>1</x:v>
      </x:c>
    </x:row>
    <x:row r="1255" ht="18" customHeight="1">
      <x:c r="A1255" s="13" t="n">
        <x:v>44454</x:v>
      </x:c>
      <x:c r="B1255" s="12" t="n">
        <x:v>4867.3187</x:v>
      </x:c>
      <x:c r="C1255" s="12" t="n">
        <x:v>4917.1617</x:v>
      </x:c>
      <x:c r="D1255" s="12" t="n">
        <x:v>-1.0137</x:v>
      </x:c>
      <x:c r="E1255" s="12" t="n">
        <x:v>-0.010188263271322358</x:v>
      </x:c>
      <x:c r="F1255" s="13" t="n">
        <x:v>44453</x:v>
      </x:c>
      <x:c r="G1255" s="12" t="n">
        <x:v>3.11</x:v>
      </x:c>
      <x:c r="H1255" s="12" t="n">
        <x:v>311</x:v>
      </x:c>
      <x:c r="I1255" s="12" t="n">
        <x:v>2</x:v>
      </x:c>
      <x:c r="J1255" s="12" t="n">
        <x:v>1</x:v>
      </x:c>
    </x:row>
    <x:row r="1256" ht="18" customHeight="1">
      <x:c r="A1256" s="13" t="n">
        <x:v>44455</x:v>
      </x:c>
      <x:c r="B1256" s="12" t="n">
        <x:v>4807.6978</x:v>
      </x:c>
      <x:c r="C1256" s="12" t="n">
        <x:v>4867.3187</x:v>
      </x:c>
      <x:c r="D1256" s="12" t="n">
        <x:v>-1.2249</x:v>
      </x:c>
      <x:c r="E1256" s="12" t="n">
        <x:v>-0.012324868843624045</x:v>
      </x:c>
      <x:c r="F1256" s="13" t="n">
        <x:v>44454</x:v>
      </x:c>
      <x:c r="G1256" s="12" t="n">
        <x:v>3.08</x:v>
      </x:c>
      <x:c r="H1256" s="12" t="n">
        <x:v>308</x:v>
      </x:c>
      <x:c r="I1256" s="12" t="n">
        <x:v>-3</x:v>
      </x:c>
      <x:c r="J1256" s="12" t="n">
        <x:v>1</x:v>
      </x:c>
    </x:row>
    <x:row r="1257" ht="18" customHeight="1">
      <x:c r="A1257" s="13" t="n">
        <x:v>44456</x:v>
      </x:c>
      <x:c r="B1257" s="12" t="n">
        <x:v>4855.9402</x:v>
      </x:c>
      <x:c r="C1257" s="12" t="n">
        <x:v>4807.6978</x:v>
      </x:c>
      <x:c r="D1257" s="12" t="n">
        <x:v>1.0034</x:v>
      </x:c>
      <x:c r="E1257" s="12" t="n">
        <x:v>0.009984397338931174</x:v>
      </x:c>
      <x:c r="F1257" s="13" t="n">
        <x:v>44455</x:v>
      </x:c>
      <x:c r="G1257" s="12" t="n">
        <x:v>3.06</x:v>
      </x:c>
      <x:c r="H1257" s="12" t="n">
        <x:v>306</x:v>
      </x:c>
      <x:c r="I1257" s="12" t="n">
        <x:v>-2</x:v>
      </x:c>
      <x:c r="J1257" s="12" t="n">
        <x:v>1</x:v>
      </x:c>
    </x:row>
    <x:row r="1258" ht="18" customHeight="1">
      <x:c r="A1258" s="13" t="n">
        <x:v>44461</x:v>
      </x:c>
      <x:c r="B1258" s="12" t="n">
        <x:v>4821.7675</x:v>
      </x:c>
      <x:c r="C1258" s="12" t="n">
        <x:v>4855.9402</x:v>
      </x:c>
      <x:c r="D1258" s="12" t="n">
        <x:v>-0.7037</x:v>
      </x:c>
      <x:c r="E1258" s="12" t="n">
        <x:v>-0.0070621769302446555</x:v>
      </x:c>
      <x:c r="F1258" s="13" t="n">
        <x:v>44460</x:v>
      </x:c>
      <x:c r="G1258" s="12" t="n">
        <x:v>3.17</x:v>
      </x:c>
      <x:c r="H1258" s="12" t="n">
        <x:v>317</x:v>
      </x:c>
      <x:c r="I1258" s="12" t="n">
        <x:v>-6</x:v>
      </x:c>
      <x:c r="J1258" s="12" t="n">
        <x:v>1</x:v>
      </x:c>
    </x:row>
    <x:row r="1259" ht="18" customHeight="1">
      <x:c r="A1259" s="13" t="n">
        <x:v>44462</x:v>
      </x:c>
      <x:c r="B1259" s="12" t="n">
        <x:v>4853.1957</x:v>
      </x:c>
      <x:c r="C1259" s="12" t="n">
        <x:v>4821.7675</x:v>
      </x:c>
      <x:c r="D1259" s="12" t="n">
        <x:v>0.6518</x:v>
      </x:c>
      <x:c r="E1259" s="12" t="n">
        <x:v>0.0064968330929834825</x:v>
      </x:c>
      <x:c r="F1259" s="13" t="n">
        <x:v>44461</x:v>
      </x:c>
      <x:c r="G1259" s="12" t="n">
        <x:v>3.09</x:v>
      </x:c>
      <x:c r="H1259" s="12" t="n">
        <x:v>309</x:v>
      </x:c>
      <x:c r="I1259" s="12" t="n">
        <x:v>-8</x:v>
      </x:c>
      <x:c r="J1259" s="12" t="n">
        <x:v>1</x:v>
      </x:c>
    </x:row>
    <x:row r="1260" ht="18" customHeight="1">
      <x:c r="A1260" s="13" t="n">
        <x:v>44463</x:v>
      </x:c>
      <x:c r="B1260" s="12" t="n">
        <x:v>4849.4277</x:v>
      </x:c>
      <x:c r="C1260" s="12" t="n">
        <x:v>4853.1957</x:v>
      </x:c>
      <x:c r="D1260" s="12" t="n">
        <x:v>-0.0776</x:v>
      </x:c>
      <x:c r="E1260" s="12" t="n">
        <x:v>-0.0007766971949922549</x:v>
      </x:c>
      <x:c r="F1260" s="13" t="n">
        <x:v>44462</x:v>
      </x:c>
      <x:c r="G1260" s="12" t="n">
        <x:v>3.03</x:v>
      </x:c>
      <x:c r="H1260" s="12" t="n">
        <x:v>303</x:v>
      </x:c>
      <x:c r="I1260" s="12" t="n">
        <x:v>-6</x:v>
      </x:c>
      <x:c r="J1260" s="12" t="n">
        <x:v>1</x:v>
      </x:c>
    </x:row>
    <x:row r="1261" ht="18" customHeight="1">
      <x:c r="A1261" s="13" t="n">
        <x:v>44466</x:v>
      </x:c>
      <x:c r="B1261" s="12" t="n">
        <x:v>4877.3698</x:v>
      </x:c>
      <x:c r="C1261" s="12" t="n">
        <x:v>4849.4277</x:v>
      </x:c>
      <x:c r="D1261" s="12" t="n">
        <x:v>0.5762</x:v>
      </x:c>
      <x:c r="E1261" s="12" t="n">
        <x:v>0.005745401168918581</x:v>
      </x:c>
      <x:c r="F1261" s="13" t="n">
        <x:v>44463</x:v>
      </x:c>
      <x:c r="G1261" s="12" t="n">
        <x:v>3.05</x:v>
      </x:c>
      <x:c r="H1261" s="12" t="n">
        <x:v>305</x:v>
      </x:c>
      <x:c r="I1261" s="12" t="n">
        <x:v>2</x:v>
      </x:c>
      <x:c r="J1261" s="12" t="n">
        <x:v>3</x:v>
      </x:c>
    </x:row>
    <x:row r="1262" ht="18" customHeight="1">
      <x:c r="A1262" s="13" t="n">
        <x:v>44467</x:v>
      </x:c>
      <x:c r="B1262" s="12" t="n">
        <x:v>4883.828</x:v>
      </x:c>
      <x:c r="C1262" s="12" t="n">
        <x:v>4877.3698</x:v>
      </x:c>
      <x:c r="D1262" s="12" t="n">
        <x:v>0.1324</x:v>
      </x:c>
      <x:c r="E1262" s="12" t="n">
        <x:v>0.0013232394373443024</x:v>
      </x:c>
      <x:c r="F1262" s="13" t="n">
        <x:v>44466</x:v>
      </x:c>
      <x:c r="G1262" s="12" t="n">
        <x:v>3.06</x:v>
      </x:c>
      <x:c r="H1262" s="12" t="n">
        <x:v>306</x:v>
      </x:c>
      <x:c r="I1262" s="12" t="n">
        <x:v>1</x:v>
      </x:c>
      <x:c r="J1262" s="12" t="n">
        <x:v>1</x:v>
      </x:c>
    </x:row>
    <x:row r="1263" ht="18" customHeight="1">
      <x:c r="A1263" s="13" t="n">
        <x:v>44468</x:v>
      </x:c>
      <x:c r="B1263" s="12" t="n">
        <x:v>4833.9281</x:v>
      </x:c>
      <x:c r="C1263" s="12" t="n">
        <x:v>4883.828</x:v>
      </x:c>
      <x:c r="D1263" s="12" t="n">
        <x:v>-1.0217</x:v>
      </x:c>
      <x:c r="E1263" s="12" t="n">
        <x:v>-0.010269930232940807</x:v>
      </x:c>
      <x:c r="F1263" s="13" t="n">
        <x:v>44467</x:v>
      </x:c>
      <x:c r="G1263" s="12" t="n">
        <x:v>3.13</x:v>
      </x:c>
      <x:c r="H1263" s="12" t="n">
        <x:v>313</x:v>
      </x:c>
      <x:c r="I1263" s="12" t="n">
        <x:v>7</x:v>
      </x:c>
      <x:c r="J1263" s="12" t="n">
        <x:v>1</x:v>
      </x:c>
    </x:row>
    <x:row r="1264" ht="18" customHeight="1">
      <x:c r="A1264" s="13" t="n">
        <x:v>44469</x:v>
      </x:c>
      <x:c r="B1264" s="12" t="n">
        <x:v>4866.3826</x:v>
      </x:c>
      <x:c r="C1264" s="12" t="n">
        <x:v>4833.9281</x:v>
      </x:c>
      <x:c r="D1264" s="12" t="n">
        <x:v>0.6714</x:v>
      </x:c>
      <x:c r="E1264" s="12" t="n">
        <x:v>0.0066914601194143246</x:v>
      </x:c>
      <x:c r="F1264" s="13" t="n">
        <x:v>44468</x:v>
      </x:c>
      <x:c r="G1264" s="12" t="n">
        <x:v>3.09</x:v>
      </x:c>
      <x:c r="H1264" s="12" t="n">
        <x:v>309</x:v>
      </x:c>
      <x:c r="I1264" s="12" t="n">
        <x:v>-4</x:v>
      </x:c>
      <x:c r="J1264" s="12" t="n">
        <x:v>1</x:v>
      </x:c>
    </x:row>
    <x:row r="1265" ht="18" customHeight="1">
      <x:c r="A1265" s="13" t="n">
        <x:v>44477</x:v>
      </x:c>
      <x:c r="B1265" s="12" t="n">
        <x:v>4929.9409</x:v>
      </x:c>
      <x:c r="C1265" s="12" t="n">
        <x:v>4866.3826</x:v>
      </x:c>
      <x:c r="D1265" s="12" t="n">
        <x:v>1.3061</x:v>
      </x:c>
      <x:c r="E1265" s="12" t="n">
        <x:v>0.01297613167354878</x:v>
      </x:c>
      <x:c r="F1265" s="13" t="n">
        <x:v>44476</x:v>
      </x:c>
      <x:c r="G1265" s="12" t="n">
        <x:v>3.19</x:v>
      </x:c>
      <x:c r="H1265" s="12" t="n">
        <x:v>319</x:v>
      </x:c>
      <x:c r="I1265" s="12" t="n">
        <x:v>-10</x:v>
      </x:c>
      <x:c r="J1265" s="12" t="n">
        <x:v>1</x:v>
      </x:c>
    </x:row>
    <x:row r="1266" ht="18" customHeight="1">
      <x:c r="A1266" s="13" t="n">
        <x:v>44480</x:v>
      </x:c>
      <x:c r="B1266" s="12" t="n">
        <x:v>4936.1918</x:v>
      </x:c>
      <x:c r="C1266" s="12" t="n">
        <x:v>4929.9409</x:v>
      </x:c>
      <x:c r="D1266" s="12" t="n">
        <x:v>0.1268</x:v>
      </x:c>
      <x:c r="E1266" s="12" t="n">
        <x:v>0.0012671430694210562</x:v>
      </x:c>
      <x:c r="F1266" s="13" t="n">
        <x:v>44477</x:v>
      </x:c>
      <x:c r="G1266" s="12" t="n">
        <x:v>3.2</x:v>
      </x:c>
      <x:c r="H1266" s="12" t="n">
        <x:v>320</x:v>
      </x:c>
      <x:c r="I1266" s="12" t="n">
        <x:v>1</x:v>
      </x:c>
      <x:c r="J1266" s="12" t="n">
        <x:v>3</x:v>
      </x:c>
    </x:row>
    <x:row r="1267" ht="18" customHeight="1">
      <x:c r="A1267" s="13" t="n">
        <x:v>44481</x:v>
      </x:c>
      <x:c r="B1267" s="12" t="n">
        <x:v>4883.8369</x:v>
      </x:c>
      <x:c r="C1267" s="12" t="n">
        <x:v>4936.1918</x:v>
      </x:c>
      <x:c r="D1267" s="12" t="n">
        <x:v>-1.0606</x:v>
      </x:c>
      <x:c r="E1267" s="12" t="n">
        <x:v>-0.010662982290104397</x:v>
      </x:c>
      <x:c r="F1267" s="13" t="n">
        <x:v>44480</x:v>
      </x:c>
      <x:c r="G1267" s="12" t="n">
        <x:v>3.2</x:v>
      </x:c>
      <x:c r="H1267" s="12" t="n">
        <x:v>320</x:v>
      </x:c>
      <x:c r="I1267" s="12" t="n">
        <x:v>0</x:v>
      </x:c>
      <x:c r="J1267" s="12" t="n">
        <x:v>1</x:v>
      </x:c>
    </x:row>
    <x:row r="1268" ht="18" customHeight="1">
      <x:c r="A1268" s="13" t="n">
        <x:v>44482</x:v>
      </x:c>
      <x:c r="B1268" s="12" t="n">
        <x:v>4940.1089</x:v>
      </x:c>
      <x:c r="C1268" s="12" t="n">
        <x:v>4883.8369</x:v>
      </x:c>
      <x:c r="D1268" s="12" t="n">
        <x:v>1.1522</x:v>
      </x:c>
      <x:c r="E1268" s="12" t="n">
        <x:v>0.011456214558820853</x:v>
      </x:c>
      <x:c r="F1268" s="13" t="n">
        <x:v>44481</x:v>
      </x:c>
      <x:c r="G1268" s="12" t="n">
        <x:v>3.28</x:v>
      </x:c>
      <x:c r="H1268" s="12" t="n">
        <x:v>328</x:v>
      </x:c>
      <x:c r="I1268" s="12" t="n">
        <x:v>8</x:v>
      </x:c>
      <x:c r="J1268" s="12" t="n">
        <x:v>1</x:v>
      </x:c>
    </x:row>
    <x:row r="1269" ht="18" customHeight="1">
      <x:c r="A1269" s="13" t="n">
        <x:v>44483</x:v>
      </x:c>
      <x:c r="B1269" s="12" t="n">
        <x:v>4913.6123</x:v>
      </x:c>
      <x:c r="C1269" s="12" t="n">
        <x:v>4940.1089</x:v>
      </x:c>
      <x:c r="D1269" s="12" t="n">
        <x:v>-0.5364</x:v>
      </x:c>
      <x:c r="E1269" s="12" t="n">
        <x:v>-0.005378001533710975</x:v>
      </x:c>
      <x:c r="F1269" s="13" t="n">
        <x:v>44482</x:v>
      </x:c>
      <x:c r="G1269" s="12" t="n">
        <x:v>3.25</x:v>
      </x:c>
      <x:c r="H1269" s="12" t="n">
        <x:v>325</x:v>
      </x:c>
      <x:c r="I1269" s="12" t="n">
        <x:v>-3</x:v>
      </x:c>
      <x:c r="J1269" s="12" t="n">
        <x:v>1</x:v>
      </x:c>
    </x:row>
    <x:row r="1270" ht="18" customHeight="1">
      <x:c r="A1270" s="13" t="n">
        <x:v>44484</x:v>
      </x:c>
      <x:c r="B1270" s="12" t="n">
        <x:v>4932.1084</x:v>
      </x:c>
      <x:c r="C1270" s="12" t="n">
        <x:v>4913.6123</x:v>
      </x:c>
      <x:c r="D1270" s="12" t="n">
        <x:v>0.3764</x:v>
      </x:c>
      <x:c r="E1270" s="12" t="n">
        <x:v>0.0037571900162288</x:v>
      </x:c>
      <x:c r="F1270" s="13" t="n">
        <x:v>44483</x:v>
      </x:c>
      <x:c r="G1270" s="12" t="n">
        <x:v>3.18</x:v>
      </x:c>
      <x:c r="H1270" s="12" t="n">
        <x:v>318</x:v>
      </x:c>
      <x:c r="I1270" s="12" t="n">
        <x:v>-7</x:v>
      </x:c>
      <x:c r="J1270" s="12" t="n">
        <x:v>1</x:v>
      </x:c>
    </x:row>
    <x:row r="1271" ht="18" customHeight="1">
      <x:c r="A1271" s="13" t="n">
        <x:v>44487</x:v>
      </x:c>
      <x:c r="B1271" s="12" t="n">
        <x:v>4874.7753</x:v>
      </x:c>
      <x:c r="C1271" s="12" t="n">
        <x:v>4932.1084</x:v>
      </x:c>
      <x:c r="D1271" s="12" t="n">
        <x:v>-1.1624</x:v>
      </x:c>
      <x:c r="E1271" s="12" t="n">
        <x:v>-0.011692552893949727</x:v>
      </x:c>
      <x:c r="F1271" s="13" t="n">
        <x:v>44484</x:v>
      </x:c>
      <x:c r="G1271" s="12" t="n">
        <x:v>3.12</x:v>
      </x:c>
      <x:c r="H1271" s="12" t="n">
        <x:v>312</x:v>
      </x:c>
      <x:c r="I1271" s="12" t="n">
        <x:v>-6</x:v>
      </x:c>
      <x:c r="J1271" s="12" t="n">
        <x:v>3</x:v>
      </x:c>
    </x:row>
    <x:row r="1272" ht="18" customHeight="1">
      <x:c r="A1272" s="13" t="n">
        <x:v>44488</x:v>
      </x:c>
      <x:c r="B1272" s="12" t="n">
        <x:v>4922.7232</x:v>
      </x:c>
      <x:c r="C1272" s="12" t="n">
        <x:v>4874.7753</x:v>
      </x:c>
      <x:c r="D1272" s="12" t="n">
        <x:v>0.9836</x:v>
      </x:c>
      <x:c r="E1272" s="12" t="n">
        <x:v>0.009787862236965015</x:v>
      </x:c>
      <x:c r="F1272" s="13" t="n">
        <x:v>44487</x:v>
      </x:c>
      <x:c r="G1272" s="12" t="n">
        <x:v>3.11</x:v>
      </x:c>
      <x:c r="H1272" s="12" t="n">
        <x:v>311</x:v>
      </x:c>
      <x:c r="I1272" s="12" t="n">
        <x:v>-1</x:v>
      </x:c>
      <x:c r="J1272" s="12" t="n">
        <x:v>1</x:v>
      </x:c>
    </x:row>
    <x:row r="1273" ht="18" customHeight="1">
      <x:c r="A1273" s="13" t="n">
        <x:v>44489</x:v>
      </x:c>
      <x:c r="B1273" s="12" t="n">
        <x:v>4910.1846</x:v>
      </x:c>
      <x:c r="C1273" s="12" t="n">
        <x:v>4922.7232</x:v>
      </x:c>
      <x:c r="D1273" s="12" t="n">
        <x:v>-0.2547</x:v>
      </x:c>
      <x:c r="E1273" s="12" t="n">
        <x:v>-0.002550335475766727</x:v>
      </x:c>
      <x:c r="F1273" s="13" t="n">
        <x:v>44488</x:v>
      </x:c>
      <x:c r="G1273" s="12" t="n">
        <x:v>3.09</x:v>
      </x:c>
      <x:c r="H1273" s="12" t="n">
        <x:v>309</x:v>
      </x:c>
      <x:c r="I1273" s="12" t="n">
        <x:v>-2</x:v>
      </x:c>
      <x:c r="J1273" s="12" t="n">
        <x:v>1</x:v>
      </x:c>
    </x:row>
    <x:row r="1274" ht="18" customHeight="1">
      <x:c r="A1274" s="13" t="n">
        <x:v>44490</x:v>
      </x:c>
      <x:c r="B1274" s="12" t="n">
        <x:v>4928.0156</x:v>
      </x:c>
      <x:c r="C1274" s="12" t="n">
        <x:v>4910.1846</x:v>
      </x:c>
      <x:c r="D1274" s="12" t="n">
        <x:v>0.3631</x:v>
      </x:c>
      <x:c r="E1274" s="12" t="n">
        <x:v>0.003624853969590148</x:v>
      </x:c>
      <x:c r="F1274" s="13" t="n">
        <x:v>44489</x:v>
      </x:c>
      <x:c r="G1274" s="12" t="n">
        <x:v>3.07</x:v>
      </x:c>
      <x:c r="H1274" s="12" t="n">
        <x:v>307</x:v>
      </x:c>
      <x:c r="I1274" s="12" t="n">
        <x:v>-2</x:v>
      </x:c>
      <x:c r="J1274" s="12" t="n">
        <x:v>1</x:v>
      </x:c>
    </x:row>
    <x:row r="1275" ht="18" customHeight="1">
      <x:c r="A1275" s="13" t="n">
        <x:v>44491</x:v>
      </x:c>
      <x:c r="B1275" s="12" t="n">
        <x:v>4959.7254</x:v>
      </x:c>
      <x:c r="C1275" s="12" t="n">
        <x:v>4928.0156</x:v>
      </x:c>
      <x:c r="D1275" s="12" t="n">
        <x:v>0.6435</x:v>
      </x:c>
      <x:c r="E1275" s="12" t="n">
        <x:v>0.006413984490404525</x:v>
      </x:c>
      <x:c r="F1275" s="13" t="n">
        <x:v>44490</x:v>
      </x:c>
      <x:c r="G1275" s="12" t="n">
        <x:v>3.03</x:v>
      </x:c>
      <x:c r="H1275" s="12" t="n">
        <x:v>303</x:v>
      </x:c>
      <x:c r="I1275" s="12" t="n">
        <x:v>-4</x:v>
      </x:c>
      <x:c r="J1275" s="12" t="n">
        <x:v>1</x:v>
      </x:c>
    </x:row>
    <x:row r="1276" ht="18" customHeight="1">
      <x:c r="A1276" s="13" t="n">
        <x:v>44494</x:v>
      </x:c>
      <x:c r="B1276" s="12" t="n">
        <x:v>4979.5235</x:v>
      </x:c>
      <x:c r="C1276" s="12" t="n">
        <x:v>4959.7254</x:v>
      </x:c>
      <x:c r="D1276" s="12" t="n">
        <x:v>0.3992</x:v>
      </x:c>
      <x:c r="E1276" s="12" t="n">
        <x:v>0.003983827426725137</x:v>
      </x:c>
      <x:c r="F1276" s="13" t="n">
        <x:v>44491</x:v>
      </x:c>
      <x:c r="G1276" s="12" t="n">
        <x:v>3.07</x:v>
      </x:c>
      <x:c r="H1276" s="12" t="n">
        <x:v>307</x:v>
      </x:c>
      <x:c r="I1276" s="12" t="n">
        <x:v>4</x:v>
      </x:c>
      <x:c r="J1276" s="12" t="n">
        <x:v>3</x:v>
      </x:c>
    </x:row>
    <x:row r="1277" ht="18" customHeight="1">
      <x:c r="A1277" s="13" t="n">
        <x:v>44495</x:v>
      </x:c>
      <x:c r="B1277" s="12" t="n">
        <x:v>4963.0984</x:v>
      </x:c>
      <x:c r="C1277" s="12" t="n">
        <x:v>4979.5235</x:v>
      </x:c>
      <x:c r="D1277" s="12" t="n">
        <x:v>-0.3299</x:v>
      </x:c>
      <x:c r="E1277" s="12" t="n">
        <x:v>-0.003303980601285361</x:v>
      </x:c>
      <x:c r="F1277" s="13" t="n">
        <x:v>44494</x:v>
      </x:c>
      <x:c r="G1277" s="12" t="n">
        <x:v>3.11</x:v>
      </x:c>
      <x:c r="H1277" s="12" t="n">
        <x:v>311</x:v>
      </x:c>
      <x:c r="I1277" s="12" t="n">
        <x:v>4</x:v>
      </x:c>
      <x:c r="J1277" s="12" t="n">
        <x:v>1</x:v>
      </x:c>
    </x:row>
    <x:row r="1278" ht="18" customHeight="1">
      <x:c r="A1278" s="13" t="n">
        <x:v>44496</x:v>
      </x:c>
      <x:c r="B1278" s="12" t="n">
        <x:v>4898.1644</x:v>
      </x:c>
      <x:c r="C1278" s="12" t="n">
        <x:v>4963.0984</x:v>
      </x:c>
      <x:c r="D1278" s="12" t="n">
        <x:v>-1.3083</x:v>
      </x:c>
      <x:c r="E1278" s="12" t="n">
        <x:v>-0.01316970043948072</x:v>
      </x:c>
      <x:c r="F1278" s="13" t="n">
        <x:v>44495</x:v>
      </x:c>
      <x:c r="G1278" s="12" t="n">
        <x:v>3.09</x:v>
      </x:c>
      <x:c r="H1278" s="12" t="n">
        <x:v>309</x:v>
      </x:c>
      <x:c r="I1278" s="12" t="n">
        <x:v>-2</x:v>
      </x:c>
      <x:c r="J1278" s="12" t="n">
        <x:v>1</x:v>
      </x:c>
    </x:row>
    <x:row r="1279" ht="18" customHeight="1">
      <x:c r="A1279" s="13" t="n">
        <x:v>44497</x:v>
      </x:c>
      <x:c r="B1279" s="12" t="n">
        <x:v>4864.138</x:v>
      </x:c>
      <x:c r="C1279" s="12" t="n">
        <x:v>4898.1644</x:v>
      </x:c>
      <x:c r="D1279" s="12" t="n">
        <x:v>-0.6947</x:v>
      </x:c>
      <x:c r="E1279" s="12" t="n">
        <x:v>-0.0069710067150644435</x:v>
      </x:c>
      <x:c r="F1279" s="13" t="n">
        <x:v>44496</x:v>
      </x:c>
      <x:c r="G1279" s="12" t="n">
        <x:v>3.11</x:v>
      </x:c>
      <x:c r="H1279" s="12" t="n">
        <x:v>311</x:v>
      </x:c>
      <x:c r="I1279" s="12" t="n">
        <x:v>2</x:v>
      </x:c>
      <x:c r="J1279" s="12" t="n">
        <x:v>1</x:v>
      </x:c>
    </x:row>
    <x:row r="1280" ht="18" customHeight="1">
      <x:c r="A1280" s="13" t="n">
        <x:v>44498</x:v>
      </x:c>
      <x:c r="B1280" s="12" t="n">
        <x:v>4908.7701</x:v>
      </x:c>
      <x:c r="C1280" s="12" t="n">
        <x:v>4864.138</x:v>
      </x:c>
      <x:c r="D1280" s="12" t="n">
        <x:v>0.9176</x:v>
      </x:c>
      <x:c r="E1280" s="12" t="n">
        <x:v>0.009133905658576713</x:v>
      </x:c>
      <x:c r="F1280" s="13" t="n">
        <x:v>44497</x:v>
      </x:c>
      <x:c r="G1280" s="12" t="n">
        <x:v>3.08</x:v>
      </x:c>
      <x:c r="H1280" s="12" t="n">
        <x:v>308</x:v>
      </x:c>
      <x:c r="I1280" s="12" t="n">
        <x:v>-3</x:v>
      </x:c>
      <x:c r="J1280" s="12" t="n">
        <x:v>1</x:v>
      </x:c>
    </x:row>
    <x:row r="1281" ht="18" customHeight="1">
      <x:c r="A1281" s="13" t="n">
        <x:v>44501</x:v>
      </x:c>
      <x:c r="B1281" s="12" t="n">
        <x:v>4890.6851</x:v>
      </x:c>
      <x:c r="C1281" s="12" t="n">
        <x:v>4908.7701</x:v>
      </x:c>
      <x:c r="D1281" s="12" t="n">
        <x:v>-0.3684</x:v>
      </x:c>
      <x:c r="E1281" s="12" t="n">
        <x:v>-0.0036910257076337187</x:v>
      </x:c>
      <x:c r="F1281" s="13" t="n">
        <x:v>44500</x:v>
      </x:c>
      <x:c r="G1281" s="12" t="n">
        <x:v>3.15</x:v>
      </x:c>
      <x:c r="H1281" s="12" t="n">
        <x:v>315</x:v>
      </x:c>
      <x:c r="I1281" s="12" t="n">
        <x:v>7</x:v>
      </x:c>
      <x:c r="J1281" s="12" t="n">
        <x:v>1</x:v>
      </x:c>
    </x:row>
    <x:row r="1282" ht="18" customHeight="1">
      <x:c r="A1282" s="13" t="n">
        <x:v>44502</x:v>
      </x:c>
      <x:c r="B1282" s="12" t="n">
        <x:v>4839.8457</x:v>
      </x:c>
      <x:c r="C1282" s="12" t="n">
        <x:v>4890.6851</x:v>
      </x:c>
      <x:c r="D1282" s="12" t="n">
        <x:v>-1.0395</x:v>
      </x:c>
      <x:c r="E1282" s="12" t="n">
        <x:v>-0.010449555867797935</x:v>
      </x:c>
      <x:c r="F1282" s="13" t="n">
        <x:v>44501</x:v>
      </x:c>
      <x:c r="G1282" s="12" t="n">
        <x:v>3.16</x:v>
      </x:c>
      <x:c r="H1282" s="12" t="n">
        <x:v>316</x:v>
      </x:c>
      <x:c r="I1282" s="12" t="n">
        <x:v>1</x:v>
      </x:c>
      <x:c r="J1282" s="12" t="n">
        <x:v>1</x:v>
      </x:c>
    </x:row>
    <x:row r="1283" ht="18" customHeight="1">
      <x:c r="A1283" s="13" t="n">
        <x:v>44503</x:v>
      </x:c>
      <x:c r="B1283" s="12" t="n">
        <x:v>4821.1119</x:v>
      </x:c>
      <x:c r="C1283" s="12" t="n">
        <x:v>4839.8457</x:v>
      </x:c>
      <x:c r="D1283" s="12" t="n">
        <x:v>-0.3871</x:v>
      </x:c>
      <x:c r="E1283" s="12" t="n">
        <x:v>-0.00387825394886795</x:v>
      </x:c>
      <x:c r="F1283" s="13" t="n">
        <x:v>44502</x:v>
      </x:c>
      <x:c r="G1283" s="12" t="n">
        <x:v>3.21</x:v>
      </x:c>
      <x:c r="H1283" s="12" t="n">
        <x:v>321</x:v>
      </x:c>
      <x:c r="I1283" s="12" t="n">
        <x:v>5</x:v>
      </x:c>
      <x:c r="J1283" s="12" t="n">
        <x:v>1</x:v>
      </x:c>
    </x:row>
    <x:row r="1284" ht="18" customHeight="1">
      <x:c r="A1284" s="13" t="n">
        <x:v>44504</x:v>
      </x:c>
      <x:c r="B1284" s="12" t="n">
        <x:v>4868.7419</x:v>
      </x:c>
      <x:c r="C1284" s="12" t="n">
        <x:v>4821.1119</x:v>
      </x:c>
      <x:c r="D1284" s="12" t="n">
        <x:v>0.9879</x:v>
      </x:c>
      <x:c r="E1284" s="12" t="n">
        <x:v>0.00983098085796393</x:v>
      </x:c>
      <x:c r="F1284" s="13" t="n">
        <x:v>44503</x:v>
      </x:c>
      <x:c r="G1284" s="12" t="n">
        <x:v>3.18</x:v>
      </x:c>
      <x:c r="H1284" s="12" t="n">
        <x:v>318</x:v>
      </x:c>
      <x:c r="I1284" s="12" t="n">
        <x:v>-3</x:v>
      </x:c>
      <x:c r="J1284" s="12" t="n">
        <x:v>1</x:v>
      </x:c>
    </x:row>
    <x:row r="1285" ht="18" customHeight="1">
      <x:c r="A1285" s="13" t="n">
        <x:v>44505</x:v>
      </x:c>
      <x:c r="B1285" s="12" t="n">
        <x:v>4842.3458</x:v>
      </x:c>
      <x:c r="C1285" s="12" t="n">
        <x:v>4868.7419</x:v>
      </x:c>
      <x:c r="D1285" s="12" t="n">
        <x:v>-0.5422</x:v>
      </x:c>
      <x:c r="E1285" s="12" t="n">
        <x:v>-0.005436294228423467</x:v>
      </x:c>
      <x:c r="F1285" s="13" t="n">
        <x:v>44504</x:v>
      </x:c>
      <x:c r="G1285" s="12" t="n">
        <x:v>3.19</x:v>
      </x:c>
      <x:c r="H1285" s="12" t="n">
        <x:v>319</x:v>
      </x:c>
      <x:c r="I1285" s="12" t="n">
        <x:v>1</x:v>
      </x:c>
      <x:c r="J1285" s="12" t="n">
        <x:v>1</x:v>
      </x:c>
    </x:row>
    <x:row r="1286" ht="18" customHeight="1">
      <x:c r="A1286" s="13" t="n">
        <x:v>44508</x:v>
      </x:c>
      <x:c r="B1286" s="12" t="n">
        <x:v>4848.1795</x:v>
      </x:c>
      <x:c r="C1286" s="12" t="n">
        <x:v>4842.3458</x:v>
      </x:c>
      <x:c r="D1286" s="12" t="n">
        <x:v>0.1205</x:v>
      </x:c>
      <x:c r="E1286" s="12" t="n">
        <x:v>0.0012040009234010089</x:v>
      </x:c>
      <x:c r="F1286" s="13" t="n">
        <x:v>44505</x:v>
      </x:c>
      <x:c r="G1286" s="12" t="n">
        <x:v>3.12</x:v>
      </x:c>
      <x:c r="H1286" s="12" t="n">
        <x:v>312</x:v>
      </x:c>
      <x:c r="I1286" s="12" t="n">
        <x:v>-7</x:v>
      </x:c>
      <x:c r="J1286" s="12" t="n">
        <x:v>3</x:v>
      </x:c>
    </x:row>
    <x:row r="1287" ht="18" customHeight="1">
      <x:c r="A1287" s="13" t="n">
        <x:v>44509</x:v>
      </x:c>
      <x:c r="B1287" s="12" t="n">
        <x:v>4846.7444</x:v>
      </x:c>
      <x:c r="C1287" s="12" t="n">
        <x:v>4848.1795</x:v>
      </x:c>
      <x:c r="D1287" s="12" t="n">
        <x:v>-0.0296</x:v>
      </x:c>
      <x:c r="E1287" s="12" t="n">
        <x:v>-0.0002960518360504767</x:v>
      </x:c>
      <x:c r="F1287" s="13" t="n">
        <x:v>44508</x:v>
      </x:c>
      <x:c r="G1287" s="12" t="n">
        <x:v>3.03</x:v>
      </x:c>
      <x:c r="H1287" s="12" t="n">
        <x:v>303</x:v>
      </x:c>
      <x:c r="I1287" s="12" t="n">
        <x:v>-9</x:v>
      </x:c>
      <x:c r="J1287" s="12" t="n">
        <x:v>1</x:v>
      </x:c>
    </x:row>
    <x:row r="1288" ht="18" customHeight="1">
      <x:c r="A1288" s="13" t="n">
        <x:v>44510</x:v>
      </x:c>
      <x:c r="B1288" s="12" t="n">
        <x:v>4821.1925</x:v>
      </x:c>
      <x:c r="C1288" s="12" t="n">
        <x:v>4846.7444</x:v>
      </x:c>
      <x:c r="D1288" s="12" t="n">
        <x:v>-0.5272</x:v>
      </x:c>
      <x:c r="E1288" s="12" t="n">
        <x:v>-0.005285917721553265</x:v>
      </x:c>
      <x:c r="F1288" s="13" t="n">
        <x:v>44509</x:v>
      </x:c>
      <x:c r="G1288" s="12" t="n">
        <x:v>3.08</x:v>
      </x:c>
      <x:c r="H1288" s="12" t="n">
        <x:v>308</x:v>
      </x:c>
      <x:c r="I1288" s="12" t="n">
        <x:v>5</x:v>
      </x:c>
      <x:c r="J1288" s="12" t="n">
        <x:v>1</x:v>
      </x:c>
    </x:row>
    <x:row r="1289" ht="18" customHeight="1">
      <x:c r="A1289" s="13" t="n">
        <x:v>44511</x:v>
      </x:c>
      <x:c r="B1289" s="12" t="n">
        <x:v>4898.6529</x:v>
      </x:c>
      <x:c r="C1289" s="12" t="n">
        <x:v>4821.1925</x:v>
      </x:c>
      <x:c r="D1289" s="12" t="n">
        <x:v>1.6067</x:v>
      </x:c>
      <x:c r="E1289" s="12" t="n">
        <x:v>0.01593894485071449</x:v>
      </x:c>
      <x:c r="F1289" s="13" t="n">
        <x:v>44510</x:v>
      </x:c>
      <x:c r="G1289" s="12" t="n">
        <x:v>3.06</x:v>
      </x:c>
      <x:c r="H1289" s="12" t="n">
        <x:v>306</x:v>
      </x:c>
      <x:c r="I1289" s="12" t="n">
        <x:v>-2</x:v>
      </x:c>
      <x:c r="J1289" s="12" t="n">
        <x:v>1</x:v>
      </x:c>
    </x:row>
    <x:row r="1290" ht="18" customHeight="1">
      <x:c r="A1290" s="13" t="n">
        <x:v>44512</x:v>
      </x:c>
      <x:c r="B1290" s="12" t="n">
        <x:v>4888.3749</x:v>
      </x:c>
      <x:c r="C1290" s="12" t="n">
        <x:v>4898.6529</x:v>
      </x:c>
      <x:c r="D1290" s="12" t="n">
        <x:v>-0.2098</x:v>
      </x:c>
      <x:c r="E1290" s="12" t="n">
        <x:v>-0.002100331988095335</x:v>
      </x:c>
      <x:c r="F1290" s="13" t="n">
        <x:v>44511</x:v>
      </x:c>
      <x:c r="G1290" s="12" t="n">
        <x:v>3.06</x:v>
      </x:c>
      <x:c r="H1290" s="12" t="n">
        <x:v>306</x:v>
      </x:c>
      <x:c r="I1290" s="12" t="n">
        <x:v>0</x:v>
      </x:c>
      <x:c r="J1290" s="12" t="n">
        <x:v>1</x:v>
      </x:c>
    </x:row>
    <x:row r="1291" ht="18" customHeight="1">
      <x:c r="A1291" s="13" t="n">
        <x:v>44515</x:v>
      </x:c>
      <x:c r="B1291" s="12" t="n">
        <x:v>4882.3777</x:v>
      </x:c>
      <x:c r="C1291" s="12" t="n">
        <x:v>4888.3749</x:v>
      </x:c>
      <x:c r="D1291" s="12" t="n">
        <x:v>-0.1227</x:v>
      </x:c>
      <x:c r="E1291" s="12" t="n">
        <x:v>-0.0012275821522954918</x:v>
      </x:c>
      <x:c r="F1291" s="13" t="n">
        <x:v>44512</x:v>
      </x:c>
      <x:c r="G1291" s="12" t="n">
        <x:v>3.09</x:v>
      </x:c>
      <x:c r="H1291" s="12" t="n">
        <x:v>309</x:v>
      </x:c>
      <x:c r="I1291" s="12" t="n">
        <x:v>3</x:v>
      </x:c>
      <x:c r="J1291" s="12" t="n">
        <x:v>3</x:v>
      </x:c>
    </x:row>
    <x:row r="1292" ht="18" customHeight="1">
      <x:c r="A1292" s="13" t="n">
        <x:v>44516</x:v>
      </x:c>
      <x:c r="B1292" s="12" t="n">
        <x:v>4883.3206</x:v>
      </x:c>
      <x:c r="C1292" s="12" t="n">
        <x:v>4882.3777</x:v>
      </x:c>
      <x:c r="D1292" s="12" t="n">
        <x:v>0.0193</x:v>
      </x:c>
      <x:c r="E1292" s="12" t="n">
        <x:v>0.00019310447117343</x:v>
      </x:c>
      <x:c r="F1292" s="13" t="n">
        <x:v>44515</x:v>
      </x:c>
      <x:c r="G1292" s="12" t="n">
        <x:v>3.1</x:v>
      </x:c>
      <x:c r="H1292" s="12" t="n">
        <x:v>310</x:v>
      </x:c>
      <x:c r="I1292" s="12" t="n">
        <x:v>1</x:v>
      </x:c>
      <x:c r="J1292" s="12" t="n">
        <x:v>1</x:v>
      </x:c>
    </x:row>
    <x:row r="1293" ht="18" customHeight="1">
      <x:c r="A1293" s="13" t="n">
        <x:v>44517</x:v>
      </x:c>
      <x:c r="B1293" s="12" t="n">
        <x:v>4885.7544</x:v>
      </x:c>
      <x:c r="C1293" s="12" t="n">
        <x:v>4883.3206</x:v>
      </x:c>
      <x:c r="D1293" s="12" t="n">
        <x:v>0.0498</x:v>
      </x:c>
      <x:c r="E1293" s="12" t="n">
        <x:v>0.000498266222820992</x:v>
      </x:c>
      <x:c r="F1293" s="13" t="n">
        <x:v>44516</x:v>
      </x:c>
      <x:c r="G1293" s="12" t="n">
        <x:v>3.12</x:v>
      </x:c>
      <x:c r="H1293" s="12" t="n">
        <x:v>312</x:v>
      </x:c>
      <x:c r="I1293" s="12" t="n">
        <x:v>2</x:v>
      </x:c>
      <x:c r="J1293" s="12" t="n">
        <x:v>1</x:v>
      </x:c>
    </x:row>
    <x:row r="1294" ht="18" customHeight="1">
      <x:c r="A1294" s="13" t="n">
        <x:v>44518</x:v>
      </x:c>
      <x:c r="B1294" s="12" t="n">
        <x:v>4837.6185</x:v>
      </x:c>
      <x:c r="C1294" s="12" t="n">
        <x:v>4885.7544</x:v>
      </x:c>
      <x:c r="D1294" s="12" t="n">
        <x:v>-0.9852</x:v>
      </x:c>
      <x:c r="E1294" s="12" t="n">
        <x:v>-0.009901151325949787</x:v>
      </x:c>
      <x:c r="F1294" s="13" t="n">
        <x:v>44517</x:v>
      </x:c>
      <x:c r="G1294" s="12" t="n">
        <x:v>3.17</x:v>
      </x:c>
      <x:c r="H1294" s="12" t="n">
        <x:v>317</x:v>
      </x:c>
      <x:c r="I1294" s="12" t="n">
        <x:v>5</x:v>
      </x:c>
      <x:c r="J1294" s="12" t="n">
        <x:v>1</x:v>
      </x:c>
    </x:row>
    <x:row r="1295" ht="18" customHeight="1">
      <x:c r="A1295" s="13" t="n">
        <x:v>44519</x:v>
      </x:c>
      <x:c r="B1295" s="12" t="n">
        <x:v>4890.0575</x:v>
      </x:c>
      <x:c r="C1295" s="12" t="n">
        <x:v>4837.6185</x:v>
      </x:c>
      <x:c r="D1295" s="12" t="n">
        <x:v>1.084</x:v>
      </x:c>
      <x:c r="E1295" s="12" t="n">
        <x:v>0.010781507928948286</x:v>
      </x:c>
      <x:c r="F1295" s="13" t="n">
        <x:v>44518</x:v>
      </x:c>
      <x:c r="G1295" s="12" t="n">
        <x:v>3.19</x:v>
      </x:c>
      <x:c r="H1295" s="12" t="n">
        <x:v>319</x:v>
      </x:c>
      <x:c r="I1295" s="12" t="n">
        <x:v>2</x:v>
      </x:c>
      <x:c r="J1295" s="12" t="n">
        <x:v>1</x:v>
      </x:c>
    </x:row>
    <x:row r="1296" ht="18" customHeight="1">
      <x:c r="A1296" s="13" t="n">
        <x:v>44522</x:v>
      </x:c>
      <x:c r="B1296" s="12" t="n">
        <x:v>4912.399</x:v>
      </x:c>
      <x:c r="C1296" s="12" t="n">
        <x:v>4890.0575</x:v>
      </x:c>
      <x:c r="D1296" s="12" t="n">
        <x:v>0.4569</x:v>
      </x:c>
      <x:c r="E1296" s="12" t="n">
        <x:v>0.004558355078732283</x:v>
      </x:c>
      <x:c r="F1296" s="13" t="n">
        <x:v>44519</x:v>
      </x:c>
      <x:c r="G1296" s="12" t="n">
        <x:v>3.24</x:v>
      </x:c>
      <x:c r="H1296" s="12" t="n">
        <x:v>324</x:v>
      </x:c>
      <x:c r="I1296" s="12" t="n">
        <x:v>5</x:v>
      </x:c>
      <x:c r="J1296" s="12" t="n">
        <x:v>3</x:v>
      </x:c>
    </x:row>
    <x:row r="1297" ht="18" customHeight="1">
      <x:c r="A1297" s="13" t="n">
        <x:v>44523</x:v>
      </x:c>
      <x:c r="B1297" s="12" t="n">
        <x:v>4913.3457</x:v>
      </x:c>
      <x:c r="C1297" s="12" t="n">
        <x:v>4912.399</x:v>
      </x:c>
      <x:c r="D1297" s="12" t="n">
        <x:v>0.0193</x:v>
      </x:c>
      <x:c r="E1297" s="12" t="n">
        <x:v>0.00019269786297804745</x:v>
      </x:c>
      <x:c r="F1297" s="13" t="n">
        <x:v>44522</x:v>
      </x:c>
      <x:c r="G1297" s="12" t="n">
        <x:v>3.18</x:v>
      </x:c>
      <x:c r="H1297" s="12" t="n">
        <x:v>318</x:v>
      </x:c>
      <x:c r="I1297" s="12" t="n">
        <x:v>-6</x:v>
      </x:c>
      <x:c r="J1297" s="12" t="n">
        <x:v>1</x:v>
      </x:c>
    </x:row>
    <x:row r="1298" ht="18" customHeight="1">
      <x:c r="A1298" s="13" t="n">
        <x:v>44524</x:v>
      </x:c>
      <x:c r="B1298" s="12" t="n">
        <x:v>4916.6579</x:v>
      </x:c>
      <x:c r="C1298" s="12" t="n">
        <x:v>4913.3457</x:v>
      </x:c>
      <x:c r="D1298" s="12" t="n">
        <x:v>0.0674</x:v>
      </x:c>
      <x:c r="E1298" s="12" t="n">
        <x:v>0.0006738960147175844</x:v>
      </x:c>
      <x:c r="F1298" s="13" t="n">
        <x:v>44523</x:v>
      </x:c>
      <x:c r="G1298" s="12" t="n">
        <x:v>3.3</x:v>
      </x:c>
      <x:c r="H1298" s="12" t="n">
        <x:v>330</x:v>
      </x:c>
      <x:c r="I1298" s="12" t="n">
        <x:v>12</x:v>
      </x:c>
      <x:c r="J1298" s="12" t="n">
        <x:v>1</x:v>
      </x:c>
    </x:row>
    <x:row r="1299" ht="18" customHeight="1">
      <x:c r="A1299" s="13" t="n">
        <x:v>44525</x:v>
      </x:c>
      <x:c r="B1299" s="12" t="n">
        <x:v>4896.4416</x:v>
      </x:c>
      <x:c r="C1299" s="12" t="n">
        <x:v>4916.6579</x:v>
      </x:c>
      <x:c r="D1299" s="12" t="n">
        <x:v>-0.4112</x:v>
      </x:c>
      <x:c r="E1299" s="12" t="n">
        <x:v>-0.004120273844247433</x:v>
      </x:c>
      <x:c r="F1299" s="13" t="n">
        <x:v>44524</x:v>
      </x:c>
      <x:c r="G1299" s="12" t="n">
        <x:v>3.32</x:v>
      </x:c>
      <x:c r="H1299" s="12" t="n">
        <x:v>332</x:v>
      </x:c>
      <x:c r="I1299" s="12" t="n">
        <x:v>2</x:v>
      </x:c>
      <x:c r="J1299" s="12" t="n">
        <x:v>1</x:v>
      </x:c>
    </x:row>
    <x:row r="1300" ht="18" customHeight="1">
      <x:c r="A1300" s="13" t="n">
        <x:v>44526</x:v>
      </x:c>
      <x:c r="B1300" s="12" t="n">
        <x:v>4860.1265</x:v>
      </x:c>
      <x:c r="C1300" s="12" t="n">
        <x:v>4896.4416</x:v>
      </x:c>
      <x:c r="D1300" s="12" t="n">
        <x:v>-0.7417</x:v>
      </x:c>
      <x:c r="E1300" s="12" t="n">
        <x:v>-0.007444270840791316</x:v>
      </x:c>
      <x:c r="F1300" s="13" t="n">
        <x:v>44525</x:v>
      </x:c>
      <x:c r="G1300" s="12" t="n">
        <x:v>3.32</x:v>
      </x:c>
      <x:c r="H1300" s="12" t="n">
        <x:v>332</x:v>
      </x:c>
      <x:c r="I1300" s="12" t="n">
        <x:v>0</x:v>
      </x:c>
      <x:c r="J1300" s="12" t="n">
        <x:v>1</x:v>
      </x:c>
    </x:row>
    <x:row r="1301" ht="18" customHeight="1">
      <x:c r="A1301" s="13" t="n">
        <x:v>44529</x:v>
      </x:c>
      <x:c r="B1301" s="12" t="n">
        <x:v>4851.423</x:v>
      </x:c>
      <x:c r="C1301" s="12" t="n">
        <x:v>4860.1265</x:v>
      </x:c>
      <x:c r="D1301" s="12" t="n">
        <x:v>-0.1791</x:v>
      </x:c>
      <x:c r="E1301" s="12" t="n">
        <x:v>-0.0017924024029635618</x:v>
      </x:c>
      <x:c r="F1301" s="13" t="n">
        <x:v>44526</x:v>
      </x:c>
      <x:c r="G1301" s="12" t="n">
        <x:v>3.62</x:v>
      </x:c>
      <x:c r="H1301" s="12" t="n">
        <x:v>362</x:v>
      </x:c>
      <x:c r="I1301" s="12" t="n">
        <x:v>30</x:v>
      </x:c>
      <x:c r="J1301" s="12" t="n">
        <x:v>3</x:v>
      </x:c>
    </x:row>
    <x:row r="1302" ht="18" customHeight="1">
      <x:c r="A1302" s="13" t="n">
        <x:v>44530</x:v>
      </x:c>
      <x:c r="B1302" s="12" t="n">
        <x:v>4832.026</x:v>
      </x:c>
      <x:c r="C1302" s="12" t="n">
        <x:v>4851.423</x:v>
      </x:c>
      <x:c r="D1302" s="12" t="n">
        <x:v>-0.3998</x:v>
      </x:c>
      <x:c r="E1302" s="12" t="n">
        <x:v>-0.004006222564540432</x:v>
      </x:c>
      <x:c r="F1302" s="13" t="n">
        <x:v>44529</x:v>
      </x:c>
      <x:c r="G1302" s="12" t="n">
        <x:v>3.53</x:v>
      </x:c>
      <x:c r="H1302" s="12" t="n">
        <x:v>353</x:v>
      </x:c>
      <x:c r="I1302" s="12" t="n">
        <x:v>-9</x:v>
      </x:c>
      <x:c r="J1302" s="12" t="n">
        <x:v>1</x:v>
      </x:c>
    </x:row>
    <x:row r="1303" ht="18" customHeight="1">
      <x:c r="A1303" s="13" t="n">
        <x:v>44531</x:v>
      </x:c>
      <x:c r="B1303" s="12" t="n">
        <x:v>4843.851</x:v>
      </x:c>
      <x:c r="C1303" s="12" t="n">
        <x:v>4832.026</x:v>
      </x:c>
      <x:c r="D1303" s="12" t="n">
        <x:v>0.2447</x:v>
      </x:c>
      <x:c r="E1303" s="12" t="n">
        <x:v>0.0024442241022921175</x:v>
      </x:c>
      <x:c r="F1303" s="13" t="n">
        <x:v>44530</x:v>
      </x:c>
      <x:c r="G1303" s="12" t="n">
        <x:v>3.67</x:v>
      </x:c>
      <x:c r="H1303" s="12" t="n">
        <x:v>367</x:v>
      </x:c>
      <x:c r="I1303" s="12" t="n">
        <x:v>14</x:v>
      </x:c>
      <x:c r="J1303" s="12" t="n">
        <x:v>1</x:v>
      </x:c>
    </x:row>
    <x:row r="1304" ht="18" customHeight="1">
      <x:c r="A1304" s="13" t="n">
        <x:v>44532</x:v>
      </x:c>
      <x:c r="B1304" s="12" t="n">
        <x:v>4856.163</x:v>
      </x:c>
      <x:c r="C1304" s="12" t="n">
        <x:v>4843.851</x:v>
      </x:c>
      <x:c r="D1304" s="12" t="n">
        <x:v>0.2542</x:v>
      </x:c>
      <x:c r="E1304" s="12" t="n">
        <x:v>0.002538554400397358</x:v>
      </x:c>
      <x:c r="F1304" s="13" t="n">
        <x:v>44531</x:v>
      </x:c>
      <x:c r="G1304" s="12" t="n">
        <x:v>3.58</x:v>
      </x:c>
      <x:c r="H1304" s="12" t="n">
        <x:v>358</x:v>
      </x:c>
      <x:c r="I1304" s="12" t="n">
        <x:v>-9</x:v>
      </x:c>
      <x:c r="J1304" s="12" t="n">
        <x:v>1</x:v>
      </x:c>
    </x:row>
    <x:row r="1305" ht="18" customHeight="1">
      <x:c r="A1305" s="13" t="n">
        <x:v>44533</x:v>
      </x:c>
      <x:c r="B1305" s="12" t="n">
        <x:v>4901.0175</x:v>
      </x:c>
      <x:c r="C1305" s="12" t="n">
        <x:v>4856.163</x:v>
      </x:c>
      <x:c r="D1305" s="12" t="n">
        <x:v>0.9237</x:v>
      </x:c>
      <x:c r="E1305" s="12" t="n">
        <x:v>0.009194216705463765</x:v>
      </x:c>
      <x:c r="F1305" s="13" t="n">
        <x:v>44532</x:v>
      </x:c>
      <x:c r="G1305" s="12" t="n">
        <x:v>3.54</x:v>
      </x:c>
      <x:c r="H1305" s="12" t="n">
        <x:v>354</x:v>
      </x:c>
      <x:c r="I1305" s="12" t="n">
        <x:v>-4</x:v>
      </x:c>
      <x:c r="J1305" s="12" t="n">
        <x:v>1</x:v>
      </x:c>
    </x:row>
    <x:row r="1306" ht="18" customHeight="1">
      <x:c r="A1306" s="13" t="n">
        <x:v>44536</x:v>
      </x:c>
      <x:c r="B1306" s="12" t="n">
        <x:v>4892.6209</x:v>
      </x:c>
      <x:c r="C1306" s="12" t="n">
        <x:v>4901.0175</x:v>
      </x:c>
      <x:c r="D1306" s="12" t="n">
        <x:v>-0.1713</x:v>
      </x:c>
      <x:c r="E1306" s="12" t="n">
        <x:v>-0.0017147053453223631</x:v>
      </x:c>
      <x:c r="F1306" s="13" t="n">
        <x:v>44533</x:v>
      </x:c>
      <x:c r="G1306" s="12" t="n">
        <x:v>3.56</x:v>
      </x:c>
      <x:c r="H1306" s="12" t="n">
        <x:v>356</x:v>
      </x:c>
      <x:c r="I1306" s="12" t="n">
        <x:v>2</x:v>
      </x:c>
      <x:c r="J1306" s="12" t="n">
        <x:v>3</x:v>
      </x:c>
    </x:row>
    <x:row r="1307" ht="18" customHeight="1">
      <x:c r="A1307" s="13" t="n">
        <x:v>44537</x:v>
      </x:c>
      <x:c r="B1307" s="12" t="n">
        <x:v>4922.1015</x:v>
      </x:c>
      <x:c r="C1307" s="12" t="n">
        <x:v>4892.6209</x:v>
      </x:c>
      <x:c r="D1307" s="12" t="n">
        <x:v>0.6026</x:v>
      </x:c>
      <x:c r="E1307" s="12" t="n">
        <x:v>0.006007442179166062</x:v>
      </x:c>
      <x:c r="F1307" s="13" t="n">
        <x:v>44536</x:v>
      </x:c>
      <x:c r="G1307" s="12" t="n">
        <x:v>3.41</x:v>
      </x:c>
      <x:c r="H1307" s="12" t="n">
        <x:v>341</x:v>
      </x:c>
      <x:c r="I1307" s="12" t="n">
        <x:v>-15</x:v>
      </x:c>
      <x:c r="J1307" s="12" t="n">
        <x:v>1</x:v>
      </x:c>
    </x:row>
    <x:row r="1308" ht="18" customHeight="1">
      <x:c r="A1308" s="13" t="n">
        <x:v>44538</x:v>
      </x:c>
      <x:c r="B1308" s="12" t="n">
        <x:v>4995.9298</x:v>
      </x:c>
      <x:c r="C1308" s="12" t="n">
        <x:v>4922.1015</x:v>
      </x:c>
      <x:c r="D1308" s="12" t="n">
        <x:v>1.4999</x:v>
      </x:c>
      <x:c r="E1308" s="12" t="n">
        <x:v>0.014887967468882464</x:v>
      </x:c>
      <x:c r="F1308" s="13" t="n">
        <x:v>44537</x:v>
      </x:c>
      <x:c r="G1308" s="12" t="n">
        <x:v>3.16</x:v>
      </x:c>
      <x:c r="H1308" s="12" t="n">
        <x:v>316</x:v>
      </x:c>
      <x:c r="I1308" s="12" t="n">
        <x:v>-25</x:v>
      </x:c>
      <x:c r="J1308" s="12" t="n">
        <x:v>1</x:v>
      </x:c>
    </x:row>
    <x:row r="1309" ht="18" customHeight="1">
      <x:c r="A1309" s="13" t="n">
        <x:v>44539</x:v>
      </x:c>
      <x:c r="B1309" s="12" t="n">
        <x:v>5078.6901</x:v>
      </x:c>
      <x:c r="C1309" s="12" t="n">
        <x:v>4995.9298</x:v>
      </x:c>
      <x:c r="D1309" s="12" t="n">
        <x:v>1.6566</x:v>
      </x:c>
      <x:c r="E1309" s="12" t="n">
        <x:v>0.016429833085919086</x:v>
      </x:c>
      <x:c r="F1309" s="13" t="n">
        <x:v>44538</x:v>
      </x:c>
      <x:c r="G1309" s="12" t="n">
        <x:v>3.21</x:v>
      </x:c>
      <x:c r="H1309" s="12" t="n">
        <x:v>321</x:v>
      </x:c>
      <x:c r="I1309" s="12" t="n">
        <x:v>5</x:v>
      </x:c>
      <x:c r="J1309" s="12" t="n">
        <x:v>1</x:v>
      </x:c>
    </x:row>
    <x:row r="1310" ht="18" customHeight="1">
      <x:c r="A1310" s="13" t="n">
        <x:v>44540</x:v>
      </x:c>
      <x:c r="B1310" s="12" t="n">
        <x:v>5055.1172</x:v>
      </x:c>
      <x:c r="C1310" s="12" t="n">
        <x:v>5078.6901</x:v>
      </x:c>
      <x:c r="D1310" s="12" t="n">
        <x:v>-0.4642</x:v>
      </x:c>
      <x:c r="E1310" s="12" t="n">
        <x:v>-0.004652336840489615</x:v>
      </x:c>
      <x:c r="F1310" s="13" t="n">
        <x:v>44539</x:v>
      </x:c>
      <x:c r="G1310" s="12" t="n">
        <x:v>3.25</x:v>
      </x:c>
      <x:c r="H1310" s="12" t="n">
        <x:v>325</x:v>
      </x:c>
      <x:c r="I1310" s="12" t="n">
        <x:v>4</x:v>
      </x:c>
      <x:c r="J1310" s="12" t="n">
        <x:v>1</x:v>
      </x:c>
    </x:row>
    <x:row r="1311" ht="18" customHeight="1">
      <x:c r="A1311" s="13" t="n">
        <x:v>44543</x:v>
      </x:c>
      <x:c r="B1311" s="12" t="n">
        <x:v>5083.8007</x:v>
      </x:c>
      <x:c r="C1311" s="12" t="n">
        <x:v>5055.1172</x:v>
      </x:c>
      <x:c r="D1311" s="12" t="n">
        <x:v>0.5674</x:v>
      </x:c>
      <x:c r="E1311" s="12" t="n">
        <x:v>0.0056581139735559045</x:v>
      </x:c>
      <x:c r="F1311" s="13" t="n">
        <x:v>44540</x:v>
      </x:c>
      <x:c r="G1311" s="12" t="n">
        <x:v>3.29</x:v>
      </x:c>
      <x:c r="H1311" s="12" t="n">
        <x:v>329</x:v>
      </x:c>
      <x:c r="I1311" s="12" t="n">
        <x:v>4</x:v>
      </x:c>
      <x:c r="J1311" s="12" t="n">
        <x:v>3</x:v>
      </x:c>
    </x:row>
    <x:row r="1312" ht="18" customHeight="1">
      <x:c r="A1312" s="13" t="n">
        <x:v>44544</x:v>
      </x:c>
      <x:c r="B1312" s="12" t="n">
        <x:v>5049.6953</x:v>
      </x:c>
      <x:c r="C1312" s="12" t="n">
        <x:v>5083.8007</x:v>
      </x:c>
      <x:c r="D1312" s="12" t="n">
        <x:v>-0.6709</x:v>
      </x:c>
      <x:c r="E1312" s="12" t="n">
        <x:v>-0.006731246309327015</x:v>
      </x:c>
      <x:c r="F1312" s="13" t="n">
        <x:v>44543</x:v>
      </x:c>
      <x:c r="G1312" s="12" t="n">
        <x:v>3.33</x:v>
      </x:c>
      <x:c r="H1312" s="12" t="n">
        <x:v>333</x:v>
      </x:c>
      <x:c r="I1312" s="12" t="n">
        <x:v>4</x:v>
      </x:c>
      <x:c r="J1312" s="12" t="n">
        <x:v>1</x:v>
      </x:c>
    </x:row>
    <x:row r="1313" ht="18" customHeight="1">
      <x:c r="A1313" s="13" t="n">
        <x:v>44545</x:v>
      </x:c>
      <x:c r="B1313" s="12" t="n">
        <x:v>5005.8991</x:v>
      </x:c>
      <x:c r="C1313" s="12" t="n">
        <x:v>5049.6953</x:v>
      </x:c>
      <x:c r="D1313" s="12" t="n">
        <x:v>-0.8673</x:v>
      </x:c>
      <x:c r="E1313" s="12" t="n">
        <x:v>-0.008710867839850396</x:v>
      </x:c>
      <x:c r="F1313" s="13" t="n">
        <x:v>44544</x:v>
      </x:c>
      <x:c r="G1313" s="12" t="n">
        <x:v>3.35</x:v>
      </x:c>
      <x:c r="H1313" s="12" t="n">
        <x:v>335</x:v>
      </x:c>
      <x:c r="I1313" s="12" t="n">
        <x:v>2</x:v>
      </x:c>
      <x:c r="J1313" s="12" t="n">
        <x:v>1</x:v>
      </x:c>
    </x:row>
    <x:row r="1314" ht="18" customHeight="1">
      <x:c r="A1314" s="13" t="n">
        <x:v>44546</x:v>
      </x:c>
      <x:c r="B1314" s="12" t="n">
        <x:v>5034.7321</x:v>
      </x:c>
      <x:c r="C1314" s="12" t="n">
        <x:v>5005.8991</x:v>
      </x:c>
      <x:c r="D1314" s="12" t="n">
        <x:v>0.576</x:v>
      </x:c>
      <x:c r="E1314" s="12" t="n">
        <x:v>0.005743280214357276</x:v>
      </x:c>
      <x:c r="F1314" s="13" t="n">
        <x:v>44545</x:v>
      </x:c>
      <x:c r="G1314" s="12" t="n">
        <x:v>3.33</x:v>
      </x:c>
      <x:c r="H1314" s="12" t="n">
        <x:v>333</x:v>
      </x:c>
      <x:c r="I1314" s="12" t="n">
        <x:v>-2</x:v>
      </x:c>
      <x:c r="J1314" s="12" t="n">
        <x:v>1</x:v>
      </x:c>
    </x:row>
    <x:row r="1315" ht="18" customHeight="1">
      <x:c r="A1315" s="13" t="n">
        <x:v>44547</x:v>
      </x:c>
      <x:c r="B1315" s="12" t="n">
        <x:v>4954.7599</x:v>
      </x:c>
      <x:c r="C1315" s="12" t="n">
        <x:v>5034.7321</x:v>
      </x:c>
      <x:c r="D1315" s="12" t="n">
        <x:v>-1.5884</x:v>
      </x:c>
      <x:c r="E1315" s="12" t="n">
        <x:v>-0.016011606704812265</x:v>
      </x:c>
      <x:c r="F1315" s="13" t="n">
        <x:v>44546</x:v>
      </x:c>
      <x:c r="G1315" s="12" t="n">
        <x:v>3.32</x:v>
      </x:c>
      <x:c r="H1315" s="12" t="n">
        <x:v>332</x:v>
      </x:c>
      <x:c r="I1315" s="12" t="n">
        <x:v>-1</x:v>
      </x:c>
      <x:c r="J1315" s="12" t="n">
        <x:v>1</x:v>
      </x:c>
    </x:row>
    <x:row r="1316" ht="18" customHeight="1">
      <x:c r="A1316" s="13" t="n">
        <x:v>44550</x:v>
      </x:c>
      <x:c r="B1316" s="12" t="n">
        <x:v>4880.4178</x:v>
      </x:c>
      <x:c r="C1316" s="12" t="n">
        <x:v>4954.7599</x:v>
      </x:c>
      <x:c r="D1316" s="12" t="n">
        <x:v>-1.5004</x:v>
      </x:c>
      <x:c r="E1316" s="12" t="n">
        <x:v>-0.01511787954855152</x:v>
      </x:c>
      <x:c r="F1316" s="13" t="n">
        <x:v>44547</x:v>
      </x:c>
      <x:c r="G1316" s="12" t="n">
        <x:v>3.36</x:v>
      </x:c>
      <x:c r="H1316" s="12" t="n">
        <x:v>336</x:v>
      </x:c>
      <x:c r="I1316" s="12" t="n">
        <x:v>4</x:v>
      </x:c>
      <x:c r="J1316" s="12" t="n">
        <x:v>3</x:v>
      </x:c>
    </x:row>
    <x:row r="1317" ht="18" customHeight="1">
      <x:c r="A1317" s="13" t="n">
        <x:v>44551</x:v>
      </x:c>
      <x:c r="B1317" s="12" t="n">
        <x:v>4913.4853</x:v>
      </x:c>
      <x:c r="C1317" s="12" t="n">
        <x:v>4880.4178</x:v>
      </x:c>
      <x:c r="D1317" s="12" t="n">
        <x:v>0.6776</x:v>
      </x:c>
      <x:c r="E1317" s="12" t="n">
        <x:v>0.006752696104045924</x:v>
      </x:c>
      <x:c r="F1317" s="13" t="n">
        <x:v>44550</x:v>
      </x:c>
      <x:c r="G1317" s="12" t="n">
        <x:v>3.41</x:v>
      </x:c>
      <x:c r="H1317" s="12" t="n">
        <x:v>341</x:v>
      </x:c>
      <x:c r="I1317" s="12" t="n">
        <x:v>5</x:v>
      </x:c>
      <x:c r="J1317" s="12" t="n">
        <x:v>1</x:v>
      </x:c>
    </x:row>
    <x:row r="1318" ht="18" customHeight="1">
      <x:c r="A1318" s="13" t="n">
        <x:v>44552</x:v>
      </x:c>
      <x:c r="B1318" s="12" t="n">
        <x:v>4914.4544</x:v>
      </x:c>
      <x:c r="C1318" s="12" t="n">
        <x:v>4913.4853</x:v>
      </x:c>
      <x:c r="D1318" s="12" t="n">
        <x:v>0.0197</x:v>
      </x:c>
      <x:c r="E1318" s="12" t="n">
        <x:v>0.00019721325785909577</x:v>
      </x:c>
      <x:c r="F1318" s="13" t="n">
        <x:v>44551</x:v>
      </x:c>
      <x:c r="G1318" s="12" t="n">
        <x:v>3.25</x:v>
      </x:c>
      <x:c r="H1318" s="12" t="n">
        <x:v>325</x:v>
      </x:c>
      <x:c r="I1318" s="12" t="n">
        <x:v>-16</x:v>
      </x:c>
      <x:c r="J1318" s="12" t="n">
        <x:v>1</x:v>
      </x:c>
    </x:row>
    <x:row r="1319" ht="18" customHeight="1">
      <x:c r="A1319" s="13" t="n">
        <x:v>44553</x:v>
      </x:c>
      <x:c r="B1319" s="12" t="n">
        <x:v>4948.7389</x:v>
      </x:c>
      <x:c r="C1319" s="12" t="n">
        <x:v>4914.4544</x:v>
      </x:c>
      <x:c r="D1319" s="12" t="n">
        <x:v>0.6976</x:v>
      </x:c>
      <x:c r="E1319" s="12" t="n">
        <x:v>0.006952036128708292</x:v>
      </x:c>
      <x:c r="F1319" s="13" t="n">
        <x:v>44552</x:v>
      </x:c>
      <x:c r="G1319" s="12" t="n">
        <x:v>3.21</x:v>
      </x:c>
      <x:c r="H1319" s="12" t="n">
        <x:v>321</x:v>
      </x:c>
      <x:c r="I1319" s="12" t="n">
        <x:v>-4</x:v>
      </x:c>
      <x:c r="J1319" s="12" t="n">
        <x:v>1</x:v>
      </x:c>
    </x:row>
    <x:row r="1320" ht="18" customHeight="1">
      <x:c r="A1320" s="13" t="n">
        <x:v>44554</x:v>
      </x:c>
      <x:c r="B1320" s="12" t="n">
        <x:v>4921.3449</x:v>
      </x:c>
      <x:c r="C1320" s="12" t="n">
        <x:v>4948.7389</x:v>
      </x:c>
      <x:c r="D1320" s="12" t="n">
        <x:v>-0.5536</x:v>
      </x:c>
      <x:c r="E1320" s="12" t="n">
        <x:v>-0.00555092963658456</x:v>
      </x:c>
      <x:c r="F1320" s="13" t="n">
        <x:v>44553</x:v>
      </x:c>
      <x:c r="G1320" s="12" t="n">
        <x:v>3.12</x:v>
      </x:c>
      <x:c r="H1320" s="12" t="n">
        <x:v>312</x:v>
      </x:c>
      <x:c r="I1320" s="12" t="n">
        <x:v>-9</x:v>
      </x:c>
      <x:c r="J1320" s="12" t="n">
        <x:v>1</x:v>
      </x:c>
    </x:row>
    <x:row r="1321" ht="18" customHeight="1">
      <x:c r="A1321" s="13" t="n">
        <x:v>44557</x:v>
      </x:c>
      <x:c r="B1321" s="12" t="n">
        <x:v>4919.3238</x:v>
      </x:c>
      <x:c r="C1321" s="12" t="n">
        <x:v>4921.3449</x:v>
      </x:c>
      <x:c r="D1321" s="12" t="n">
        <x:v>-0.0411</x:v>
      </x:c>
      <x:c r="E1321" s="12" t="n">
        <x:v>-0.00041076477423087026</x:v>
      </x:c>
      <x:c r="F1321" s="13" t="n">
        <x:v>44553</x:v>
      </x:c>
      <x:c r="G1321" s="12" t="n">
        <x:v>3.12</x:v>
      </x:c>
      <x:c r="H1321" s="12" t="n">
        <x:v>312</x:v>
      </x:c>
      <x:c r="I1321" s="12" t="n">
        <x:v>-9</x:v>
      </x:c>
      <x:c r="J1321" s="12" t="n">
        <x:v>4</x:v>
      </x:c>
    </x:row>
    <x:row r="1322" ht="18" customHeight="1">
      <x:c r="A1322" s="13" t="n">
        <x:v>44558</x:v>
      </x:c>
      <x:c r="B1322" s="12" t="n">
        <x:v>4955.9644</x:v>
      </x:c>
      <x:c r="C1322" s="12" t="n">
        <x:v>4919.3238</x:v>
      </x:c>
      <x:c r="D1322" s="12" t="n">
        <x:v>0.7448</x:v>
      </x:c>
      <x:c r="E1322" s="12" t="n">
        <x:v>0.00742069849461029</x:v>
      </x:c>
      <x:c r="F1322" s="13" t="n">
        <x:v>44557</x:v>
      </x:c>
      <x:c r="G1322" s="12" t="n">
        <x:v>3.02</x:v>
      </x:c>
      <x:c r="H1322" s="12" t="n">
        <x:v>302</x:v>
      </x:c>
      <x:c r="I1322" s="12" t="n">
        <x:v>-10</x:v>
      </x:c>
      <x:c r="J1322" s="12" t="n">
        <x:v>1</x:v>
      </x:c>
    </x:row>
    <x:row r="1323" ht="18" customHeight="1">
      <x:c r="A1323" s="13" t="n">
        <x:v>44559</x:v>
      </x:c>
      <x:c r="B1323" s="12" t="n">
        <x:v>4883.4804</x:v>
      </x:c>
      <x:c r="C1323" s="12" t="n">
        <x:v>4955.9644</x:v>
      </x:c>
      <x:c r="D1323" s="12" t="n">
        <x:v>-1.4626</x:v>
      </x:c>
      <x:c r="E1323" s="12" t="n">
        <x:v>-0.014733618146385177</x:v>
      </x:c>
      <x:c r="F1323" s="13" t="n">
        <x:v>44558</x:v>
      </x:c>
      <x:c r="G1323" s="12" t="n">
        <x:v>3.01</x:v>
      </x:c>
      <x:c r="H1323" s="12" t="n">
        <x:v>301</x:v>
      </x:c>
      <x:c r="I1323" s="12" t="n">
        <x:v>-1</x:v>
      </x:c>
      <x:c r="J1323" s="12" t="n">
        <x:v>1</x:v>
      </x:c>
    </x:row>
    <x:row r="1324" ht="18" customHeight="1">
      <x:c r="A1324" s="13" t="n">
        <x:v>44560</x:v>
      </x:c>
      <x:c r="B1324" s="12" t="n">
        <x:v>4921.5109</x:v>
      </x:c>
      <x:c r="C1324" s="12" t="n">
        <x:v>4883.4804</x:v>
      </x:c>
      <x:c r="D1324" s="12" t="n">
        <x:v>0.7788</x:v>
      </x:c>
      <x:c r="E1324" s="12" t="n">
        <x:v>0.007757414474152084</x:v>
      </x:c>
      <x:c r="F1324" s="13" t="n">
        <x:v>44559</x:v>
      </x:c>
      <x:c r="G1324" s="12" t="n">
        <x:v>3.03</x:v>
      </x:c>
      <x:c r="H1324" s="12" t="n">
        <x:v>303</x:v>
      </x:c>
      <x:c r="I1324" s="12" t="n">
        <x:v>2</x:v>
      </x:c>
      <x:c r="J1324" s="12" t="n">
        <x:v>1</x:v>
      </x:c>
    </x:row>
    <x:row r="1325" ht="18" customHeight="1">
      <x:c r="A1325" s="13" t="n">
        <x:v>44561</x:v>
      </x:c>
      <x:c r="B1325" s="12" t="n">
        <x:v>4940.3733</x:v>
      </x:c>
      <x:c r="C1325" s="12" t="n">
        <x:v>4921.5109</x:v>
      </x:c>
      <x:c r="D1325" s="12" t="n">
        <x:v>0.3833</x:v>
      </x:c>
      <x:c r="E1325" s="12" t="n">
        <x:v>0.0038253182898282034</x:v>
      </x:c>
      <x:c r="F1325" s="13" t="n">
        <x:v>44560</x:v>
      </x:c>
      <x:c r="G1325" s="12" t="n">
        <x:v>3.09</x:v>
      </x:c>
      <x:c r="H1325" s="12" t="n">
        <x:v>309</x:v>
      </x:c>
      <x:c r="I1325" s="12" t="n">
        <x:v>6</x:v>
      </x:c>
      <x:c r="J1325" s="12" t="n">
        <x:v>1</x:v>
      </x:c>
    </x:row>
    <x:row r="1326" ht="18" customHeight="1">
      <x:c r="A1326" s="13" t="n">
        <x:v>44565</x:v>
      </x:c>
      <x:c r="B1326" s="12" t="n">
        <x:v>4917.7653</x:v>
      </x:c>
      <x:c r="C1326" s="12" t="n">
        <x:v>4940.3733</x:v>
      </x:c>
      <x:c r="D1326" s="12" t="n">
        <x:v>-0.4576</x:v>
      </x:c>
      <x:c r="E1326" s="12" t="n">
        <x:v>-0.004586675142669136</x:v>
      </x:c>
      <x:c r="F1326" s="13" t="n">
        <x:v>44564</x:v>
      </x:c>
      <x:c r="G1326" s="12" t="n">
        <x:v>3.05</x:v>
      </x:c>
      <x:c r="H1326" s="12" t="n">
        <x:v>305</x:v>
      </x:c>
      <x:c r="I1326" s="12" t="n">
        <x:v>-5</x:v>
      </x:c>
      <x:c r="J1326" s="12" t="n">
        <x:v>1</x:v>
      </x:c>
    </x:row>
    <x:row r="1327" ht="18" customHeight="1">
      <x:c r="A1327" s="13" t="n">
        <x:v>44566</x:v>
      </x:c>
      <x:c r="B1327" s="12" t="n">
        <x:v>4868.1202</x:v>
      </x:c>
      <x:c r="C1327" s="12" t="n">
        <x:v>4917.7653</x:v>
      </x:c>
      <x:c r="D1327" s="12" t="n">
        <x:v>-1.0095</x:v>
      </x:c>
      <x:c r="E1327" s="12" t="n">
        <x:v>-0.01014635331807042</x:v>
      </x:c>
      <x:c r="F1327" s="13" t="n">
        <x:v>44565</x:v>
      </x:c>
      <x:c r="G1327" s="12" t="n">
        <x:v>3.09</x:v>
      </x:c>
      <x:c r="H1327" s="12" t="n">
        <x:v>309</x:v>
      </x:c>
      <x:c r="I1327" s="12" t="n">
        <x:v>4</x:v>
      </x:c>
      <x:c r="J1327" s="12" t="n">
        <x:v>1</x:v>
      </x:c>
    </x:row>
    <x:row r="1328" ht="18" customHeight="1">
      <x:c r="A1328" s="13" t="n">
        <x:v>44567</x:v>
      </x:c>
      <x:c r="B1328" s="12" t="n">
        <x:v>4818.2318</x:v>
      </x:c>
      <x:c r="C1328" s="12" t="n">
        <x:v>4868.1202</x:v>
      </x:c>
      <x:c r="D1328" s="12" t="n">
        <x:v>-1.0248</x:v>
      </x:c>
      <x:c r="E1328" s="12" t="n">
        <x:v>-0.010300852400832543</x:v>
      </x:c>
      <x:c r="F1328" s="13" t="n">
        <x:v>44566</x:v>
      </x:c>
      <x:c r="G1328" s="12" t="n">
        <x:v>3.07</x:v>
      </x:c>
      <x:c r="H1328" s="12" t="n">
        <x:v>307</x:v>
      </x:c>
      <x:c r="I1328" s="12" t="n">
        <x:v>-2</x:v>
      </x:c>
      <x:c r="J1328" s="12" t="n">
        <x:v>1</x:v>
      </x:c>
    </x:row>
    <x:row r="1329" ht="18" customHeight="1">
      <x:c r="A1329" s="13" t="n">
        <x:v>44568</x:v>
      </x:c>
      <x:c r="B1329" s="12" t="n">
        <x:v>4822.3689</x:v>
      </x:c>
      <x:c r="C1329" s="12" t="n">
        <x:v>4818.2318</x:v>
      </x:c>
      <x:c r="D1329" s="12" t="n">
        <x:v>0.0859</x:v>
      </x:c>
      <x:c r="E1329" s="12" t="n">
        <x:v>0.0008582660733904354</x:v>
      </x:c>
      <x:c r="F1329" s="13" t="n">
        <x:v>44567</x:v>
      </x:c>
      <x:c r="G1329" s="12" t="n">
        <x:v>3.15</x:v>
      </x:c>
      <x:c r="H1329" s="12" t="n">
        <x:v>315</x:v>
      </x:c>
      <x:c r="I1329" s="12" t="n">
        <x:v>8</x:v>
      </x:c>
      <x:c r="J1329" s="12" t="n">
        <x:v>1</x:v>
      </x:c>
    </x:row>
    <x:row r="1330" ht="18" customHeight="1">
      <x:c r="A1330" s="13" t="n">
        <x:v>44571</x:v>
      </x:c>
      <x:c r="B1330" s="12" t="n">
        <x:v>4844.0451</x:v>
      </x:c>
      <x:c r="C1330" s="12" t="n">
        <x:v>4822.3689</x:v>
      </x:c>
      <x:c r="D1330" s="12" t="n">
        <x:v>0.4495</x:v>
      </x:c>
      <x:c r="E1330" s="12" t="n">
        <x:v>0.004484855776462298</x:v>
      </x:c>
      <x:c r="F1330" s="13" t="n">
        <x:v>44568</x:v>
      </x:c>
      <x:c r="G1330" s="12" t="n">
        <x:v>3.2</x:v>
      </x:c>
      <x:c r="H1330" s="12" t="n">
        <x:v>320</x:v>
      </x:c>
      <x:c r="I1330" s="12" t="n">
        <x:v>5</x:v>
      </x:c>
      <x:c r="J1330" s="12" t="n">
        <x:v>3</x:v>
      </x:c>
    </x:row>
    <x:row r="1331" ht="18" customHeight="1">
      <x:c r="A1331" s="13" t="n">
        <x:v>44572</x:v>
      </x:c>
      <x:c r="B1331" s="12" t="n">
        <x:v>4797.7735</x:v>
      </x:c>
      <x:c r="C1331" s="12" t="n">
        <x:v>4844.0451</x:v>
      </x:c>
      <x:c r="D1331" s="12" t="n">
        <x:v>-0.9552</x:v>
      </x:c>
      <x:c r="E1331" s="12" t="n">
        <x:v>-0.009598180001148815</x:v>
      </x:c>
      <x:c r="F1331" s="13" t="n">
        <x:v>44571</x:v>
      </x:c>
      <x:c r="G1331" s="12" t="n">
        <x:v>3.24</x:v>
      </x:c>
      <x:c r="H1331" s="12" t="n">
        <x:v>324</x:v>
      </x:c>
      <x:c r="I1331" s="12" t="n">
        <x:v>4</x:v>
      </x:c>
      <x:c r="J1331" s="12" t="n">
        <x:v>1</x:v>
      </x:c>
    </x:row>
    <x:row r="1332" ht="18" customHeight="1">
      <x:c r="A1332" s="13" t="n">
        <x:v>44573</x:v>
      </x:c>
      <x:c r="B1332" s="12" t="n">
        <x:v>4845.5787</x:v>
      </x:c>
      <x:c r="C1332" s="12" t="n">
        <x:v>4797.7735</x:v>
      </x:c>
      <x:c r="D1332" s="12" t="n">
        <x:v>0.9964</x:v>
      </x:c>
      <x:c r="E1332" s="12" t="n">
        <x:v>0.00991472480091817</x:v>
      </x:c>
      <x:c r="F1332" s="13" t="n">
        <x:v>44572</x:v>
      </x:c>
      <x:c r="G1332" s="12" t="n">
        <x:v>3.18</x:v>
      </x:c>
      <x:c r="H1332" s="12" t="n">
        <x:v>318</x:v>
      </x:c>
      <x:c r="I1332" s="12" t="n">
        <x:v>-6</x:v>
      </x:c>
      <x:c r="J1332" s="12" t="n">
        <x:v>1</x:v>
      </x:c>
    </x:row>
    <x:row r="1333" ht="18" customHeight="1">
      <x:c r="A1333" s="13" t="n">
        <x:v>44574</x:v>
      </x:c>
      <x:c r="B1333" s="12" t="n">
        <x:v>4765.9191</x:v>
      </x:c>
      <x:c r="C1333" s="12" t="n">
        <x:v>4845.5787</x:v>
      </x:c>
      <x:c r="D1333" s="12" t="n">
        <x:v>-1.644</x:v>
      </x:c>
      <x:c r="E1333" s="12" t="n">
        <x:v>-0.016576276804004232</x:v>
      </x:c>
      <x:c r="F1333" s="13" t="n">
        <x:v>44573</x:v>
      </x:c>
      <x:c r="G1333" s="12" t="n">
        <x:v>3.06</x:v>
      </x:c>
      <x:c r="H1333" s="12" t="n">
        <x:v>306</x:v>
      </x:c>
      <x:c r="I1333" s="12" t="n">
        <x:v>-12</x:v>
      </x:c>
      <x:c r="J1333" s="12" t="n">
        <x:v>1</x:v>
      </x:c>
    </x:row>
    <x:row r="1334" ht="18" customHeight="1">
      <x:c r="A1334" s="13" t="n">
        <x:v>44575</x:v>
      </x:c>
      <x:c r="B1334" s="12" t="n">
        <x:v>4726.7317</x:v>
      </x:c>
      <x:c r="C1334" s="12" t="n">
        <x:v>4765.9191</x:v>
      </x:c>
      <x:c r="D1334" s="12" t="n">
        <x:v>-0.8222</x:v>
      </x:c>
      <x:c r="E1334" s="12" t="n">
        <x:v>-0.008256412974016464</x:v>
      </x:c>
      <x:c r="F1334" s="13" t="n">
        <x:v>44574</x:v>
      </x:c>
      <x:c r="G1334" s="12" t="n">
        <x:v>3.1</x:v>
      </x:c>
      <x:c r="H1334" s="12" t="n">
        <x:v>310</x:v>
      </x:c>
      <x:c r="I1334" s="12" t="n">
        <x:v>4</x:v>
      </x:c>
      <x:c r="J1334" s="12" t="n">
        <x:v>1</x:v>
      </x:c>
    </x:row>
    <x:row r="1335" ht="18" customHeight="1">
      <x:c r="A1335" s="13" t="n">
        <x:v>44578</x:v>
      </x:c>
      <x:c r="B1335" s="12" t="n">
        <x:v>4767.2762</x:v>
      </x:c>
      <x:c r="C1335" s="12" t="n">
        <x:v>4726.7317</x:v>
      </x:c>
      <x:c r="D1335" s="12" t="n">
        <x:v>0.8578</x:v>
      </x:c>
      <x:c r="E1335" s="12" t="n">
        <x:v>0.008541123391974052</x:v>
      </x:c>
      <x:c r="F1335" s="13" t="n">
        <x:v>44575</x:v>
      </x:c>
      <x:c r="G1335" s="12" t="n">
        <x:v>3.09</x:v>
      </x:c>
      <x:c r="H1335" s="12" t="n">
        <x:v>309</x:v>
      </x:c>
      <x:c r="I1335" s="12" t="n">
        <x:v>-1</x:v>
      </x:c>
      <x:c r="J1335" s="12" t="n">
        <x:v>3</x:v>
      </x:c>
    </x:row>
    <x:row r="1336" ht="18" customHeight="1">
      <x:c r="A1336" s="13" t="n">
        <x:v>44579</x:v>
      </x:c>
      <x:c r="B1336" s="12" t="n">
        <x:v>4813.3472</x:v>
      </x:c>
      <x:c r="C1336" s="12" t="n">
        <x:v>4767.2762</x:v>
      </x:c>
      <x:c r="D1336" s="12" t="n">
        <x:v>0.9664</x:v>
      </x:c>
      <x:c r="E1336" s="12" t="n">
        <x:v>0.00961761113042047</x:v>
      </x:c>
      <x:c r="F1336" s="13" t="n">
        <x:v>44578</x:v>
      </x:c>
      <x:c r="G1336" s="12" t="n">
        <x:v>3.09</x:v>
      </x:c>
      <x:c r="H1336" s="12" t="n">
        <x:v>309</x:v>
      </x:c>
      <x:c r="I1336" s="12" t="n">
        <x:v>0</x:v>
      </x:c>
      <x:c r="J1336" s="12" t="n">
        <x:v>1</x:v>
      </x:c>
    </x:row>
    <x:row r="1337" ht="18" customHeight="1">
      <x:c r="A1337" s="13" t="n">
        <x:v>44580</x:v>
      </x:c>
      <x:c r="B1337" s="12" t="n">
        <x:v>4780.3784</x:v>
      </x:c>
      <x:c r="C1337" s="12" t="n">
        <x:v>4813.3472</x:v>
      </x:c>
      <x:c r="D1337" s="12" t="n">
        <x:v>-0.6849</x:v>
      </x:c>
      <x:c r="E1337" s="12" t="n">
        <x:v>-0.0068730191288057345</x:v>
      </x:c>
      <x:c r="F1337" s="13" t="n">
        <x:v>44579</x:v>
      </x:c>
      <x:c r="G1337" s="12" t="n">
        <x:v>3.12</x:v>
      </x:c>
      <x:c r="H1337" s="12" t="n">
        <x:v>312</x:v>
      </x:c>
      <x:c r="I1337" s="12" t="n">
        <x:v>3</x:v>
      </x:c>
      <x:c r="J1337" s="12" t="n">
        <x:v>1</x:v>
      </x:c>
    </x:row>
    <x:row r="1338" ht="18" customHeight="1">
      <x:c r="A1338" s="13" t="n">
        <x:v>44581</x:v>
      </x:c>
      <x:c r="B1338" s="12" t="n">
        <x:v>4823.5091</x:v>
      </x:c>
      <x:c r="C1338" s="12" t="n">
        <x:v>4780.3784</x:v>
      </x:c>
      <x:c r="D1338" s="12" t="n">
        <x:v>0.9022</x:v>
      </x:c>
      <x:c r="E1338" s="12" t="n">
        <x:v>0.008981985673519537</x:v>
      </x:c>
      <x:c r="F1338" s="13" t="n">
        <x:v>44580</x:v>
      </x:c>
      <x:c r="G1338" s="12" t="n">
        <x:v>3.11</x:v>
      </x:c>
      <x:c r="H1338" s="12" t="n">
        <x:v>311</x:v>
      </x:c>
      <x:c r="I1338" s="12" t="n">
        <x:v>-1</x:v>
      </x:c>
      <x:c r="J1338" s="12" t="n">
        <x:v>1</x:v>
      </x:c>
    </x:row>
    <x:row r="1339" ht="18" customHeight="1">
      <x:c r="A1339" s="13" t="n">
        <x:v>44582</x:v>
      </x:c>
      <x:c r="B1339" s="12" t="n">
        <x:v>4779.3142</x:v>
      </x:c>
      <x:c r="C1339" s="12" t="n">
        <x:v>4823.5091</x:v>
      </x:c>
      <x:c r="D1339" s="12" t="n">
        <x:v>-0.9162</x:v>
      </x:c>
      <x:c r="E1339" s="12" t="n">
        <x:v>-0.009204628816751045</x:v>
      </x:c>
      <x:c r="F1339" s="13" t="n">
        <x:v>44581</x:v>
      </x:c>
      <x:c r="G1339" s="12" t="n">
        <x:v>3.1</x:v>
      </x:c>
      <x:c r="H1339" s="12" t="n">
        <x:v>310</x:v>
      </x:c>
      <x:c r="I1339" s="12" t="n">
        <x:v>-1</x:v>
      </x:c>
      <x:c r="J1339" s="12" t="n">
        <x:v>1</x:v>
      </x:c>
    </x:row>
    <x:row r="1340" ht="18" customHeight="1">
      <x:c r="A1340" s="13" t="n">
        <x:v>44585</x:v>
      </x:c>
      <x:c r="B1340" s="12" t="n">
        <x:v>4786.7377</x:v>
      </x:c>
      <x:c r="C1340" s="12" t="n">
        <x:v>4779.3142</x:v>
      </x:c>
      <x:c r="D1340" s="12" t="n">
        <x:v>0.1553</x:v>
      </x:c>
      <x:c r="E1340" s="12" t="n">
        <x:v>0.001552051267918045</x:v>
      </x:c>
      <x:c r="F1340" s="13" t="n">
        <x:v>44582</x:v>
      </x:c>
      <x:c r="G1340" s="12" t="n">
        <x:v>3.29</x:v>
      </x:c>
      <x:c r="H1340" s="12" t="n">
        <x:v>329</x:v>
      </x:c>
      <x:c r="I1340" s="12" t="n">
        <x:v>19</x:v>
      </x:c>
      <x:c r="J1340" s="12" t="n">
        <x:v>3</x:v>
      </x:c>
    </x:row>
    <x:row r="1341" ht="18" customHeight="1">
      <x:c r="A1341" s="13" t="n">
        <x:v>44586</x:v>
      </x:c>
      <x:c r="B1341" s="12" t="n">
        <x:v>4678.4511</x:v>
      </x:c>
      <x:c r="C1341" s="12" t="n">
        <x:v>4786.7377</x:v>
      </x:c>
      <x:c r="D1341" s="12" t="n">
        <x:v>-2.2622</x:v>
      </x:c>
      <x:c r="E1341" s="12" t="n">
        <x:v>-0.022882021063491267</x:v>
      </x:c>
      <x:c r="F1341" s="13" t="n">
        <x:v>44585</x:v>
      </x:c>
      <x:c r="G1341" s="12" t="n">
        <x:v>3.44</x:v>
      </x:c>
      <x:c r="H1341" s="12" t="n">
        <x:v>344</x:v>
      </x:c>
      <x:c r="I1341" s="12" t="n">
        <x:v>15</x:v>
      </x:c>
      <x:c r="J1341" s="12" t="n">
        <x:v>1</x:v>
      </x:c>
    </x:row>
    <x:row r="1342" ht="18" customHeight="1">
      <x:c r="A1342" s="13" t="n">
        <x:v>44587</x:v>
      </x:c>
      <x:c r="B1342" s="12" t="n">
        <x:v>4712.3109</x:v>
      </x:c>
      <x:c r="C1342" s="12" t="n">
        <x:v>4678.4511</x:v>
      </x:c>
      <x:c r="D1342" s="12" t="n">
        <x:v>0.7237</x:v>
      </x:c>
      <x:c r="E1342" s="12" t="n">
        <x:v>0.007211331036815009</x:v>
      </x:c>
      <x:c r="F1342" s="13" t="n">
        <x:v>44586</x:v>
      </x:c>
      <x:c r="G1342" s="12" t="n">
        <x:v>3.39</x:v>
      </x:c>
      <x:c r="H1342" s="12" t="n">
        <x:v>339</x:v>
      </x:c>
      <x:c r="I1342" s="12" t="n">
        <x:v>-5</x:v>
      </x:c>
      <x:c r="J1342" s="12" t="n">
        <x:v>1</x:v>
      </x:c>
    </x:row>
    <x:row r="1343" ht="18" customHeight="1">
      <x:c r="A1343" s="13" t="n">
        <x:v>44588</x:v>
      </x:c>
      <x:c r="B1343" s="12" t="n">
        <x:v>4619.8765</x:v>
      </x:c>
      <x:c r="C1343" s="12" t="n">
        <x:v>4712.3109</x:v>
      </x:c>
      <x:c r="D1343" s="12" t="n">
        <x:v>-1.9616</x:v>
      </x:c>
      <x:c r="E1343" s="12" t="n">
        <x:v>-0.019810451513431557</x:v>
      </x:c>
      <x:c r="F1343" s="13" t="n">
        <x:v>44587</x:v>
      </x:c>
      <x:c r="G1343" s="12" t="n">
        <x:v>3.25</x:v>
      </x:c>
      <x:c r="H1343" s="12" t="n">
        <x:v>325</x:v>
      </x:c>
      <x:c r="I1343" s="12" t="n">
        <x:v>-14</x:v>
      </x:c>
      <x:c r="J1343" s="12" t="n">
        <x:v>1</x:v>
      </x:c>
    </x:row>
    <x:row r="1344" ht="18" customHeight="1">
      <x:c r="A1344" s="13" t="n">
        <x:v>44589</x:v>
      </x:c>
      <x:c r="B1344" s="12" t="n">
        <x:v>4563.772</x:v>
      </x:c>
      <x:c r="C1344" s="12" t="n">
        <x:v>4619.8765</x:v>
      </x:c>
      <x:c r="D1344" s="12" t="n">
        <x:v>-1.2144</x:v>
      </x:c>
      <x:c r="E1344" s="12" t="n">
        <x:v>-0.01221849856143308</x:v>
      </x:c>
      <x:c r="F1344" s="13" t="n">
        <x:v>44588</x:v>
      </x:c>
      <x:c r="G1344" s="12" t="n">
        <x:v>3.46</x:v>
      </x:c>
      <x:c r="H1344" s="12" t="n">
        <x:v>346</x:v>
      </x:c>
      <x:c r="I1344" s="12" t="n">
        <x:v>21</x:v>
      </x:c>
      <x:c r="J1344" s="12" t="n">
        <x:v>1</x:v>
      </x:c>
    </x:row>
    <x:row r="1345" ht="18" customHeight="1">
      <x:c r="A1345" s="13" t="n">
        <x:v>44599</x:v>
      </x:c>
      <x:c r="B1345" s="12" t="n">
        <x:v>4634.0899</x:v>
      </x:c>
      <x:c r="C1345" s="12" t="n">
        <x:v>4563.772</x:v>
      </x:c>
      <x:c r="D1345" s="12" t="n">
        <x:v>1.5408</x:v>
      </x:c>
      <x:c r="E1345" s="12" t="n">
        <x:v>0.015290351335136535</x:v>
      </x:c>
      <x:c r="F1345" s="13" t="n">
        <x:v>44596</x:v>
      </x:c>
      <x:c r="G1345" s="12" t="n">
        <x:v>3.56</x:v>
      </x:c>
      <x:c r="H1345" s="12" t="n">
        <x:v>356</x:v>
      </x:c>
      <x:c r="I1345" s="12" t="n">
        <x:v>5</x:v>
      </x:c>
      <x:c r="J1345" s="12" t="n">
        <x:v>3</x:v>
      </x:c>
    </x:row>
    <x:row r="1346" ht="18" customHeight="1">
      <x:c r="A1346" s="13" t="n">
        <x:v>44600</x:v>
      </x:c>
      <x:c r="B1346" s="12" t="n">
        <x:v>4608.7729</x:v>
      </x:c>
      <x:c r="C1346" s="12" t="n">
        <x:v>4634.0899</x:v>
      </x:c>
      <x:c r="D1346" s="12" t="n">
        <x:v>-0.5463</x:v>
      </x:c>
      <x:c r="E1346" s="12" t="n">
        <x:v>-0.005478186545120943</x:v>
      </x:c>
      <x:c r="F1346" s="13" t="n">
        <x:v>44599</x:v>
      </x:c>
      <x:c r="G1346" s="12" t="n">
        <x:v>3.6</x:v>
      </x:c>
      <x:c r="H1346" s="12" t="n">
        <x:v>360</x:v>
      </x:c>
      <x:c r="I1346" s="12" t="n">
        <x:v>4</x:v>
      </x:c>
      <x:c r="J1346" s="12" t="n">
        <x:v>1</x:v>
      </x:c>
    </x:row>
    <x:row r="1347" ht="18" customHeight="1">
      <x:c r="A1347" s="13" t="n">
        <x:v>44601</x:v>
      </x:c>
      <x:c r="B1347" s="12" t="n">
        <x:v>4652.0609</x:v>
      </x:c>
      <x:c r="C1347" s="12" t="n">
        <x:v>4608.7729</x:v>
      </x:c>
      <x:c r="D1347" s="12" t="n">
        <x:v>0.9393</x:v>
      </x:c>
      <x:c r="E1347" s="12" t="n">
        <x:v>0.009348686351121224</x:v>
      </x:c>
      <x:c r="F1347" s="13" t="n">
        <x:v>44600</x:v>
      </x:c>
      <x:c r="G1347" s="12" t="n">
        <x:v>3.55</x:v>
      </x:c>
      <x:c r="H1347" s="12" t="n">
        <x:v>355</x:v>
      </x:c>
      <x:c r="I1347" s="12" t="n">
        <x:v>-5</x:v>
      </x:c>
      <x:c r="J1347" s="12" t="n">
        <x:v>1</x:v>
      </x:c>
    </x:row>
    <x:row r="1348" ht="18" customHeight="1">
      <x:c r="A1348" s="13" t="n">
        <x:v>44602</x:v>
      </x:c>
      <x:c r="B1348" s="12" t="n">
        <x:v>4639.8625</x:v>
      </x:c>
      <x:c r="C1348" s="12" t="n">
        <x:v>4652.0609</x:v>
      </x:c>
      <x:c r="D1348" s="12" t="n">
        <x:v>-0.2622</x:v>
      </x:c>
      <x:c r="E1348" s="12" t="n">
        <x:v>-0.002625593535934055</x:v>
      </x:c>
      <x:c r="F1348" s="13" t="n">
        <x:v>44601</x:v>
      </x:c>
      <x:c r="G1348" s="12" t="n">
        <x:v>3.46</x:v>
      </x:c>
      <x:c r="H1348" s="12" t="n">
        <x:v>346</x:v>
      </x:c>
      <x:c r="I1348" s="12" t="n">
        <x:v>-9</x:v>
      </x:c>
      <x:c r="J1348" s="12" t="n">
        <x:v>1</x:v>
      </x:c>
    </x:row>
    <x:row r="1349" ht="18" customHeight="1">
      <x:c r="A1349" s="13" t="n">
        <x:v>44603</x:v>
      </x:c>
      <x:c r="B1349" s="12" t="n">
        <x:v>4601.3953</x:v>
      </x:c>
      <x:c r="C1349" s="12" t="n">
        <x:v>4639.8625</x:v>
      </x:c>
      <x:c r="D1349" s="12" t="n">
        <x:v>-0.8291</x:v>
      </x:c>
      <x:c r="E1349" s="12" t="n">
        <x:v>-0.0083251485904409</x:v>
      </x:c>
      <x:c r="F1349" s="13" t="n">
        <x:v>44602</x:v>
      </x:c>
      <x:c r="G1349" s="12" t="n">
        <x:v>3.44</x:v>
      </x:c>
      <x:c r="H1349" s="12" t="n">
        <x:v>344</x:v>
      </x:c>
      <x:c r="I1349" s="12" t="n">
        <x:v>-2</x:v>
      </x:c>
      <x:c r="J1349" s="12" t="n">
        <x:v>1</x:v>
      </x:c>
    </x:row>
    <x:row r="1350" ht="18" customHeight="1">
      <x:c r="A1350" s="13" t="n">
        <x:v>44606</x:v>
      </x:c>
      <x:c r="B1350" s="12" t="n">
        <x:v>4551.6878</x:v>
      </x:c>
      <x:c r="C1350" s="12" t="n">
        <x:v>4601.3953</x:v>
      </x:c>
      <x:c r="D1350" s="12" t="n">
        <x:v>-1.0803</x:v>
      </x:c>
      <x:c r="E1350" s="12" t="n">
        <x:v>-0.010861474353252425</x:v>
      </x:c>
      <x:c r="F1350" s="13" t="n">
        <x:v>44603</x:v>
      </x:c>
      <x:c r="G1350" s="12" t="n">
        <x:v>3.66</x:v>
      </x:c>
      <x:c r="H1350" s="12" t="n">
        <x:v>366</x:v>
      </x:c>
      <x:c r="I1350" s="12" t="n">
        <x:v>22</x:v>
      </x:c>
      <x:c r="J1350" s="12" t="n">
        <x:v>3</x:v>
      </x:c>
    </x:row>
    <x:row r="1351" ht="18" customHeight="1">
      <x:c r="A1351" s="13" t="n">
        <x:v>44607</x:v>
      </x:c>
      <x:c r="B1351" s="12" t="n">
        <x:v>4600.1025</x:v>
      </x:c>
      <x:c r="C1351" s="12" t="n">
        <x:v>4551.6878</x:v>
      </x:c>
      <x:c r="D1351" s="12" t="n">
        <x:v>1.0637</x:v>
      </x:c>
      <x:c r="E1351" s="12" t="n">
        <x:v>0.010580476620794905</x:v>
      </x:c>
      <x:c r="F1351" s="13" t="n">
        <x:v>44606</x:v>
      </x:c>
      <x:c r="G1351" s="12" t="n">
        <x:v>3.74</x:v>
      </x:c>
      <x:c r="H1351" s="12" t="n">
        <x:v>374</x:v>
      </x:c>
      <x:c r="I1351" s="12" t="n">
        <x:v>8</x:v>
      </x:c>
      <x:c r="J1351" s="12" t="n">
        <x:v>1</x:v>
      </x:c>
    </x:row>
    <x:row r="1352" ht="18" customHeight="1">
      <x:c r="A1352" s="13" t="n">
        <x:v>44608</x:v>
      </x:c>
      <x:c r="B1352" s="12" t="n">
        <x:v>4617.9893</x:v>
      </x:c>
      <x:c r="C1352" s="12" t="n">
        <x:v>4600.1025</x:v>
      </x:c>
      <x:c r="D1352" s="12" t="n">
        <x:v>0.3888</x:v>
      </x:c>
      <x:c r="E1352" s="12" t="n">
        <x:v>0.0038808080537729023</x:v>
      </x:c>
      <x:c r="F1352" s="13" t="n">
        <x:v>44607</x:v>
      </x:c>
      <x:c r="G1352" s="12" t="n">
        <x:v>3.67</x:v>
      </x:c>
      <x:c r="H1352" s="12" t="n">
        <x:v>367</x:v>
      </x:c>
      <x:c r="I1352" s="12" t="n">
        <x:v>-7</x:v>
      </x:c>
      <x:c r="J1352" s="12" t="n">
        <x:v>1</x:v>
      </x:c>
    </x:row>
    <x:row r="1353" ht="18" customHeight="1">
      <x:c r="A1353" s="13" t="n">
        <x:v>44609</x:v>
      </x:c>
      <x:c r="B1353" s="12" t="n">
        <x:v>4629.1649</x:v>
      </x:c>
      <x:c r="C1353" s="12" t="n">
        <x:v>4617.9893</x:v>
      </x:c>
      <x:c r="D1353" s="12" t="n">
        <x:v>0.242</x:v>
      </x:c>
      <x:c r="E1353" s="12" t="n">
        <x:v>0.0024170907501377373</x:v>
      </x:c>
      <x:c r="F1353" s="13" t="n">
        <x:v>44608</x:v>
      </x:c>
      <x:c r="G1353" s="12" t="n">
        <x:v>3.68</x:v>
      </x:c>
      <x:c r="H1353" s="12" t="n">
        <x:v>368</x:v>
      </x:c>
      <x:c r="I1353" s="12" t="n">
        <x:v>1</x:v>
      </x:c>
      <x:c r="J1353" s="12" t="n">
        <x:v>1</x:v>
      </x:c>
    </x:row>
    <x:row r="1354" ht="18" customHeight="1">
      <x:c r="A1354" s="13" t="n">
        <x:v>44610</x:v>
      </x:c>
      <x:c r="B1354" s="12" t="n">
        <x:v>4651.2358</x:v>
      </x:c>
      <x:c r="C1354" s="12" t="n">
        <x:v>4629.1649</x:v>
      </x:c>
      <x:c r="D1354" s="12" t="n">
        <x:v>0.4768</x:v>
      </x:c>
      <x:c r="E1354" s="12" t="n">
        <x:v>0.0047564630718757005</x:v>
      </x:c>
      <x:c r="F1354" s="13" t="n">
        <x:v>44609</x:v>
      </x:c>
      <x:c r="G1354" s="12" t="n">
        <x:v>3.74</x:v>
      </x:c>
      <x:c r="H1354" s="12" t="n">
        <x:v>374</x:v>
      </x:c>
      <x:c r="I1354" s="12" t="n">
        <x:v>6</x:v>
      </x:c>
      <x:c r="J1354" s="12" t="n">
        <x:v>1</x:v>
      </x:c>
    </x:row>
    <x:row r="1355" ht="18" customHeight="1">
      <x:c r="A1355" s="13" t="n">
        <x:v>44613</x:v>
      </x:c>
      <x:c r="B1355" s="12" t="n">
        <x:v>4634.3141</x:v>
      </x:c>
      <x:c r="C1355" s="12" t="n">
        <x:v>4651.2358</x:v>
      </x:c>
      <x:c r="D1355" s="12" t="n">
        <x:v>-0.3638</x:v>
      </x:c>
      <x:c r="E1355" s="12" t="n">
        <x:v>-0.0036447424040068816</x:v>
      </x:c>
      <x:c r="F1355" s="13" t="n">
        <x:v>44610</x:v>
      </x:c>
      <x:c r="G1355" s="12" t="n">
        <x:v>3.78</x:v>
      </x:c>
      <x:c r="H1355" s="12" t="n">
        <x:v>378</x:v>
      </x:c>
      <x:c r="I1355" s="12" t="n">
        <x:v>4</x:v>
      </x:c>
      <x:c r="J1355" s="12" t="n">
        <x:v>3</x:v>
      </x:c>
    </x:row>
    <x:row r="1356" ht="18" customHeight="1">
      <x:c r="A1356" s="13" t="n">
        <x:v>44614</x:v>
      </x:c>
      <x:c r="B1356" s="12" t="n">
        <x:v>4574.1527</x:v>
      </x:c>
      <x:c r="C1356" s="12" t="n">
        <x:v>4634.3141</x:v>
      </x:c>
      <x:c r="D1356" s="12" t="n">
        <x:v>-1.2982</x:v>
      </x:c>
      <x:c r="E1356" s="12" t="n">
        <x:v>-0.013066725937621202</x:v>
      </x:c>
      <x:c r="F1356" s="13" t="n">
        <x:v>44613</x:v>
      </x:c>
      <x:c r="G1356" s="12" t="n">
        <x:v>3.78</x:v>
      </x:c>
      <x:c r="H1356" s="12" t="n">
        <x:v>378</x:v>
      </x:c>
      <x:c r="I1356" s="12" t="n">
        <x:v>0</x:v>
      </x:c>
      <x:c r="J1356" s="12" t="n">
        <x:v>1</x:v>
      </x:c>
    </x:row>
    <x:row r="1357" ht="18" customHeight="1">
      <x:c r="A1357" s="13" t="n">
        <x:v>44615</x:v>
      </x:c>
      <x:c r="B1357" s="12" t="n">
        <x:v>4623.0465</x:v>
      </x:c>
      <x:c r="C1357" s="12" t="n">
        <x:v>4574.1527</x:v>
      </x:c>
      <x:c r="D1357" s="12" t="n">
        <x:v>1.0689</x:v>
      </x:c>
      <x:c r="E1357" s="12" t="n">
        <x:v>0.010632423969487506</x:v>
      </x:c>
      <x:c r="F1357" s="13" t="n">
        <x:v>44614</x:v>
      </x:c>
      <x:c r="G1357" s="12" t="n">
        <x:v>3.75</x:v>
      </x:c>
      <x:c r="H1357" s="12" t="n">
        <x:v>375</x:v>
      </x:c>
      <x:c r="I1357" s="12" t="n">
        <x:v>-3</x:v>
      </x:c>
      <x:c r="J1357" s="12" t="n">
        <x:v>1</x:v>
      </x:c>
    </x:row>
    <x:row r="1358" ht="18" customHeight="1">
      <x:c r="A1358" s="13" t="n">
        <x:v>44616</x:v>
      </x:c>
      <x:c r="B1358" s="12" t="n">
        <x:v>4529.3189</x:v>
      </x:c>
      <x:c r="C1358" s="12" t="n">
        <x:v>4623.0465</x:v>
      </x:c>
      <x:c r="D1358" s="12" t="n">
        <x:v>-2.0274</x:v>
      </x:c>
      <x:c r="E1358" s="12" t="n">
        <x:v>-0.020482328369252952</x:v>
      </x:c>
      <x:c r="F1358" s="13" t="n">
        <x:v>44615</x:v>
      </x:c>
      <x:c r="G1358" s="12" t="n">
        <x:v>3.72</x:v>
      </x:c>
      <x:c r="H1358" s="12" t="n">
        <x:v>372</x:v>
      </x:c>
      <x:c r="I1358" s="12" t="n">
        <x:v>-3</x:v>
      </x:c>
      <x:c r="J1358" s="12" t="n">
        <x:v>1</x:v>
      </x:c>
    </x:row>
    <x:row r="1359" ht="18" customHeight="1">
      <x:c r="A1359" s="13" t="n">
        <x:v>44617</x:v>
      </x:c>
      <x:c r="B1359" s="12" t="n">
        <x:v>4573.4247</x:v>
      </x:c>
      <x:c r="C1359" s="12" t="n">
        <x:v>4529.3189</x:v>
      </x:c>
      <x:c r="D1359" s="12" t="n">
        <x:v>0.9738</x:v>
      </x:c>
      <x:c r="E1359" s="12" t="n">
        <x:v>0.009690736574295752</x:v>
      </x:c>
      <x:c r="F1359" s="13" t="n">
        <x:v>44616</x:v>
      </x:c>
      <x:c r="G1359" s="12" t="n">
        <x:v>3.93</x:v>
      </x:c>
      <x:c r="H1359" s="12" t="n">
        <x:v>393</x:v>
      </x:c>
      <x:c r="I1359" s="12" t="n">
        <x:v>21</x:v>
      </x:c>
      <x:c r="J1359" s="12" t="n">
        <x:v>1</x:v>
      </x:c>
    </x:row>
    <x:row r="1360" ht="18" customHeight="1">
      <x:c r="A1360" s="13" t="n">
        <x:v>44620</x:v>
      </x:c>
      <x:c r="B1360" s="12" t="n">
        <x:v>4581.6459</x:v>
      </x:c>
      <x:c r="C1360" s="12" t="n">
        <x:v>4573.4247</x:v>
      </x:c>
      <x:c r="D1360" s="12" t="n">
        <x:v>0.1798</x:v>
      </x:c>
      <x:c r="E1360" s="12" t="n">
        <x:v>0.0017959888173538045</x:v>
      </x:c>
      <x:c r="F1360" s="13" t="n">
        <x:v>44617</x:v>
      </x:c>
      <x:c r="G1360" s="12" t="n">
        <x:v>3.62</x:v>
      </x:c>
      <x:c r="H1360" s="12" t="n">
        <x:v>362</x:v>
      </x:c>
      <x:c r="I1360" s="12" t="n">
        <x:v>-31</x:v>
      </x:c>
      <x:c r="J1360" s="12" t="n">
        <x:v>3</x:v>
      </x:c>
    </x:row>
    <x:row r="1361" ht="18" customHeight="1">
      <x:c r="A1361" s="13" t="n">
        <x:v>44621</x:v>
      </x:c>
      <x:c r="B1361" s="12" t="n">
        <x:v>4619.6862</x:v>
      </x:c>
      <x:c r="C1361" s="12" t="n">
        <x:v>4581.6459</x:v>
      </x:c>
      <x:c r="D1361" s="12" t="n">
        <x:v>0.8303</x:v>
      </x:c>
      <x:c r="E1361" s="12" t="n">
        <x:v>0.008268480327382815</x:v>
      </x:c>
      <x:c r="F1361" s="13" t="n">
        <x:v>44620</x:v>
      </x:c>
      <x:c r="G1361" s="12" t="n">
        <x:v>3.77</x:v>
      </x:c>
      <x:c r="H1361" s="12" t="n">
        <x:v>377</x:v>
      </x:c>
      <x:c r="I1361" s="12" t="n">
        <x:v>15</x:v>
      </x:c>
      <x:c r="J1361" s="12" t="n">
        <x:v>1</x:v>
      </x:c>
    </x:row>
    <x:row r="1362" ht="18" customHeight="1">
      <x:c r="A1362" s="13" t="n">
        <x:v>44622</x:v>
      </x:c>
      <x:c r="B1362" s="12" t="n">
        <x:v>4578.6007</x:v>
      </x:c>
      <x:c r="C1362" s="12" t="n">
        <x:v>4619.6862</x:v>
      </x:c>
      <x:c r="D1362" s="12" t="n">
        <x:v>-0.8894</x:v>
      </x:c>
      <x:c r="E1362" s="12" t="n">
        <x:v>-0.008933353282261443</x:v>
      </x:c>
      <x:c r="F1362" s="13" t="n">
        <x:v>44621</x:v>
      </x:c>
      <x:c r="G1362" s="12" t="n">
        <x:v>3.89</x:v>
      </x:c>
      <x:c r="H1362" s="12" t="n">
        <x:v>389</x:v>
      </x:c>
      <x:c r="I1362" s="12" t="n">
        <x:v>12</x:v>
      </x:c>
      <x:c r="J1362" s="12" t="n">
        <x:v>1</x:v>
      </x:c>
    </x:row>
    <x:row r="1363" ht="18" customHeight="1">
      <x:c r="A1363" s="13" t="n">
        <x:v>44623</x:v>
      </x:c>
      <x:c r="B1363" s="12" t="n">
        <x:v>4551.6283</x:v>
      </x:c>
      <x:c r="C1363" s="12" t="n">
        <x:v>4578.6007</x:v>
      </x:c>
      <x:c r="D1363" s="12" t="n">
        <x:v>-0.5891</x:v>
      </x:c>
      <x:c r="E1363" s="12" t="n">
        <x:v>-0.005908390351454624</x:v>
      </x:c>
      <x:c r="F1363" s="13" t="n">
        <x:v>44622</x:v>
      </x:c>
      <x:c r="G1363" s="12" t="n">
        <x:v>3.71</x:v>
      </x:c>
      <x:c r="H1363" s="12" t="n">
        <x:v>371</x:v>
      </x:c>
      <x:c r="I1363" s="12" t="n">
        <x:v>-18</x:v>
      </x:c>
      <x:c r="J1363" s="12" t="n">
        <x:v>1</x:v>
      </x:c>
    </x:row>
    <x:row r="1364" ht="18" customHeight="1">
      <x:c r="A1364" s="13" t="n">
        <x:v>44624</x:v>
      </x:c>
      <x:c r="B1364" s="12" t="n">
        <x:v>4496.4301</x:v>
      </x:c>
      <x:c r="C1364" s="12" t="n">
        <x:v>4551.6283</x:v>
      </x:c>
      <x:c r="D1364" s="12" t="n">
        <x:v>-1.2127</x:v>
      </x:c>
      <x:c r="E1364" s="12" t="n">
        <x:v>-0.012201266247817722</x:v>
      </x:c>
      <x:c r="F1364" s="13" t="n">
        <x:v>44623</x:v>
      </x:c>
      <x:c r="G1364" s="12" t="n">
        <x:v>3.71</x:v>
      </x:c>
      <x:c r="H1364" s="12" t="n">
        <x:v>371</x:v>
      </x:c>
      <x:c r="I1364" s="12" t="n">
        <x:v>0</x:v>
      </x:c>
      <x:c r="J1364" s="12" t="n">
        <x:v>1</x:v>
      </x:c>
    </x:row>
    <x:row r="1365" ht="18" customHeight="1">
      <x:c r="A1365" s="13" t="n">
        <x:v>44627</x:v>
      </x:c>
      <x:c r="B1365" s="12" t="n">
        <x:v>4352.7775</x:v>
      </x:c>
      <x:c r="C1365" s="12" t="n">
        <x:v>4496.4301</x:v>
      </x:c>
      <x:c r="D1365" s="12" t="n">
        <x:v>-3.1948</x:v>
      </x:c>
      <x:c r="E1365" s="12" t="n">
        <x:v>-0.03246962373772898</x:v>
      </x:c>
      <x:c r="F1365" s="13" t="n">
        <x:v>44624</x:v>
      </x:c>
      <x:c r="G1365" s="12" t="n">
        <x:v>3.9</x:v>
      </x:c>
      <x:c r="H1365" s="12" t="n">
        <x:v>390</x:v>
      </x:c>
      <x:c r="I1365" s="12" t="n">
        <x:v>19</x:v>
      </x:c>
      <x:c r="J1365" s="12" t="n">
        <x:v>3</x:v>
      </x:c>
    </x:row>
    <x:row r="1366" ht="18" customHeight="1">
      <x:c r="A1366" s="13" t="n">
        <x:v>44628</x:v>
      </x:c>
      <x:c r="B1366" s="12" t="n">
        <x:v>4265.391</x:v>
      </x:c>
      <x:c r="C1366" s="12" t="n">
        <x:v>4352.7775</x:v>
      </x:c>
      <x:c r="D1366" s="12" t="n">
        <x:v>-2.0076</x:v>
      </x:c>
      <x:c r="E1366" s="12" t="n">
        <x:v>-0.020280293911931237</x:v>
      </x:c>
      <x:c r="F1366" s="13" t="n">
        <x:v>44627</x:v>
      </x:c>
      <x:c r="G1366" s="12" t="n">
        <x:v>4.01</x:v>
      </x:c>
      <x:c r="H1366" s="12" t="n">
        <x:v>401</x:v>
      </x:c>
      <x:c r="I1366" s="12" t="n">
        <x:v>11</x:v>
      </x:c>
      <x:c r="J1366" s="12" t="n">
        <x:v>1</x:v>
      </x:c>
    </x:row>
    <x:row r="1367" ht="18" customHeight="1">
      <x:c r="A1367" s="13" t="n">
        <x:v>44629</x:v>
      </x:c>
      <x:c r="B1367" s="12" t="n">
        <x:v>4226.3463</x:v>
      </x:c>
      <x:c r="C1367" s="12" t="n">
        <x:v>4265.391</x:v>
      </x:c>
      <x:c r="D1367" s="12" t="n">
        <x:v>-0.9154</x:v>
      </x:c>
      <x:c r="E1367" s="12" t="n">
        <x:v>-0.009195992239422945</x:v>
      </x:c>
      <x:c r="F1367" s="13" t="n">
        <x:v>44628</x:v>
      </x:c>
      <x:c r="G1367" s="12" t="n">
        <x:v>4.03</x:v>
      </x:c>
      <x:c r="H1367" s="12" t="n">
        <x:v>403</x:v>
      </x:c>
      <x:c r="I1367" s="12" t="n">
        <x:v>2</x:v>
      </x:c>
      <x:c r="J1367" s="12" t="n">
        <x:v>1</x:v>
      </x:c>
    </x:row>
    <x:row r="1368" ht="18" customHeight="1">
      <x:c r="A1368" s="13" t="n">
        <x:v>44630</x:v>
      </x:c>
      <x:c r="B1368" s="12" t="n">
        <x:v>4292.8374</x:v>
      </x:c>
      <x:c r="C1368" s="12" t="n">
        <x:v>4226.3463</x:v>
      </x:c>
      <x:c r="D1368" s="12" t="n">
        <x:v>1.5733</x:v>
      </x:c>
      <x:c r="E1368" s="12" t="n">
        <x:v>0.015610051975364502</x:v>
      </x:c>
      <x:c r="F1368" s="13" t="n">
        <x:v>44629</x:v>
      </x:c>
      <x:c r="G1368" s="12" t="n">
        <x:v>3.94</x:v>
      </x:c>
      <x:c r="H1368" s="12" t="n">
        <x:v>394</x:v>
      </x:c>
      <x:c r="I1368" s="12" t="n">
        <x:v>-9</x:v>
      </x:c>
      <x:c r="J1368" s="12" t="n">
        <x:v>1</x:v>
      </x:c>
    </x:row>
    <x:row r="1369" ht="18" customHeight="1">
      <x:c r="A1369" s="13" t="n">
        <x:v>44631</x:v>
      </x:c>
      <x:c r="B1369" s="12" t="n">
        <x:v>4306.5217</x:v>
      </x:c>
      <x:c r="C1369" s="12" t="n">
        <x:v>4292.8374</x:v>
      </x:c>
      <x:c r="D1369" s="12" t="n">
        <x:v>0.3188</x:v>
      </x:c>
      <x:c r="E1369" s="12" t="n">
        <x:v>0.003182635215426298</x:v>
      </x:c>
      <x:c r="F1369" s="13" t="n">
        <x:v>44630</x:v>
      </x:c>
      <x:c r="G1369" s="12" t="n">
        <x:v>4</x:v>
      </x:c>
      <x:c r="H1369" s="12" t="n">
        <x:v>400</x:v>
      </x:c>
      <x:c r="I1369" s="12" t="n">
        <x:v>6</x:v>
      </x:c>
      <x:c r="J1369" s="12" t="n">
        <x:v>1</x:v>
      </x:c>
    </x:row>
    <x:row r="1370" ht="18" customHeight="1">
      <x:c r="A1370" s="13" t="n">
        <x:v>44634</x:v>
      </x:c>
      <x:c r="B1370" s="12" t="n">
        <x:v>4174.7577</x:v>
      </x:c>
      <x:c r="C1370" s="12" t="n">
        <x:v>4306.5217</x:v>
      </x:c>
      <x:c r="D1370" s="12" t="n">
        <x:v>-3.0596</x:v>
      </x:c>
      <x:c r="E1370" s="12" t="n">
        <x:v>-0.031074227438564684</x:v>
      </x:c>
      <x:c r="F1370" s="13" t="n">
        <x:v>44631</x:v>
      </x:c>
      <x:c r="G1370" s="12" t="n">
        <x:v>4.05</x:v>
      </x:c>
      <x:c r="H1370" s="12" t="n">
        <x:v>405</x:v>
      </x:c>
      <x:c r="I1370" s="12" t="n">
        <x:v>5</x:v>
      </x:c>
      <x:c r="J1370" s="12" t="n">
        <x:v>3</x:v>
      </x:c>
    </x:row>
    <x:row r="1371" ht="18" customHeight="1">
      <x:c r="A1371" s="13" t="n">
        <x:v>44635</x:v>
      </x:c>
      <x:c r="B1371" s="12" t="n">
        <x:v>3983.812</x:v>
      </x:c>
      <x:c r="C1371" s="12" t="n">
        <x:v>4174.7577</x:v>
      </x:c>
      <x:c r="D1371" s="12" t="n">
        <x:v>-4.5738</x:v>
      </x:c>
      <x:c r="E1371" s="12" t="n">
        <x:v>-0.046817170836618086</x:v>
      </x:c>
      <x:c r="F1371" s="13" t="n">
        <x:v>44634</x:v>
      </x:c>
      <x:c r="G1371" s="12" t="n">
        <x:v>4.16</x:v>
      </x:c>
      <x:c r="H1371" s="12" t="n">
        <x:v>416</x:v>
      </x:c>
      <x:c r="I1371" s="12" t="n">
        <x:v>11</x:v>
      </x:c>
      <x:c r="J1371" s="12" t="n">
        <x:v>1</x:v>
      </x:c>
    </x:row>
    <x:row r="1372" ht="18" customHeight="1">
      <x:c r="A1372" s="13" t="n">
        <x:v>44636</x:v>
      </x:c>
      <x:c r="B1372" s="12" t="n">
        <x:v>4156.081</x:v>
      </x:c>
      <x:c r="C1372" s="12" t="n">
        <x:v>3983.812</x:v>
      </x:c>
      <x:c r="D1372" s="12" t="n">
        <x:v>4.3242</x:v>
      </x:c>
      <x:c r="E1372" s="12" t="n">
        <x:v>0.042333413087277144</x:v>
      </x:c>
      <x:c r="F1372" s="13" t="n">
        <x:v>44635</x:v>
      </x:c>
      <x:c r="G1372" s="12" t="n">
        <x:v>4.21</x:v>
      </x:c>
      <x:c r="H1372" s="12" t="n">
        <x:v>421</x:v>
      </x:c>
      <x:c r="I1372" s="12" t="n">
        <x:v>5</x:v>
      </x:c>
      <x:c r="J1372" s="12" t="n">
        <x:v>1</x:v>
      </x:c>
    </x:row>
    <x:row r="1373" ht="18" customHeight="1">
      <x:c r="A1373" s="13" t="n">
        <x:v>44637</x:v>
      </x:c>
      <x:c r="B1373" s="12" t="n">
        <x:v>4237.6956</x:v>
      </x:c>
      <x:c r="C1373" s="12" t="n">
        <x:v>4156.081</x:v>
      </x:c>
      <x:c r="D1373" s="12" t="n">
        <x:v>1.9637</x:v>
      </x:c>
      <x:c r="E1373" s="12" t="n">
        <x:v>0.019447067992112203</x:v>
      </x:c>
      <x:c r="F1373" s="13" t="n">
        <x:v>44636</x:v>
      </x:c>
      <x:c r="G1373" s="12" t="n">
        <x:v>3.96</x:v>
      </x:c>
      <x:c r="H1373" s="12" t="n">
        <x:v>396</x:v>
      </x:c>
      <x:c r="I1373" s="12" t="n">
        <x:v>-25</x:v>
      </x:c>
      <x:c r="J1373" s="12" t="n">
        <x:v>1</x:v>
      </x:c>
    </x:row>
    <x:row r="1374" ht="18" customHeight="1">
      <x:c r="A1374" s="13" t="n">
        <x:v>44638</x:v>
      </x:c>
      <x:c r="B1374" s="12" t="n">
        <x:v>4265.9017</x:v>
      </x:c>
      <x:c r="C1374" s="12" t="n">
        <x:v>4237.6956</x:v>
      </x:c>
      <x:c r="D1374" s="12" t="n">
        <x:v>0.6656</x:v>
      </x:c>
      <x:c r="E1374" s="12" t="n">
        <x:v>0.006633946187459856</x:v>
      </x:c>
      <x:c r="F1374" s="13" t="n">
        <x:v>44637</x:v>
      </x:c>
      <x:c r="G1374" s="12" t="n">
        <x:v>3.81</x:v>
      </x:c>
      <x:c r="H1374" s="12" t="n">
        <x:v>381</x:v>
      </x:c>
      <x:c r="I1374" s="12" t="n">
        <x:v>-15</x:v>
      </x:c>
      <x:c r="J1374" s="12" t="n">
        <x:v>1</x:v>
      </x:c>
    </x:row>
    <x:row r="1375" ht="18" customHeight="1">
      <x:c r="A1375" s="13" t="n">
        <x:v>44641</x:v>
      </x:c>
      <x:c r="B1375" s="12" t="n">
        <x:v>4258.7459</x:v>
      </x:c>
      <x:c r="C1375" s="12" t="n">
        <x:v>4265.9017</x:v>
      </x:c>
      <x:c r="D1375" s="12" t="n">
        <x:v>-0.1677</x:v>
      </x:c>
      <x:c r="E1375" s="12" t="n">
        <x:v>-0.001678849851984703</x:v>
      </x:c>
      <x:c r="F1375" s="13" t="n">
        <x:v>44638</x:v>
      </x:c>
      <x:c r="G1375" s="12" t="n">
        <x:v>3.81</x:v>
      </x:c>
      <x:c r="H1375" s="12" t="n">
        <x:v>381</x:v>
      </x:c>
      <x:c r="I1375" s="12" t="n">
        <x:v>0</x:v>
      </x:c>
      <x:c r="J1375" s="12" t="n">
        <x:v>3</x:v>
      </x:c>
    </x:row>
    <x:row r="1376" ht="18" customHeight="1">
      <x:c r="A1376" s="13" t="n">
        <x:v>44642</x:v>
      </x:c>
      <x:c r="B1376" s="12" t="n">
        <x:v>4255.295</x:v>
      </x:c>
      <x:c r="C1376" s="12" t="n">
        <x:v>4258.7459</x:v>
      </x:c>
      <x:c r="D1376" s="12" t="n">
        <x:v>-0.081</x:v>
      </x:c>
      <x:c r="E1376" s="12" t="n">
        <x:v>-0.0008106374468966272</x:v>
      </x:c>
      <x:c r="F1376" s="13" t="n">
        <x:v>44641</x:v>
      </x:c>
      <x:c r="G1376" s="12" t="n">
        <x:v>3.67</x:v>
      </x:c>
      <x:c r="H1376" s="12" t="n">
        <x:v>367</x:v>
      </x:c>
      <x:c r="I1376" s="12" t="n">
        <x:v>-14</x:v>
      </x:c>
      <x:c r="J1376" s="12" t="n">
        <x:v>1</x:v>
      </x:c>
    </x:row>
    <x:row r="1377" ht="18" customHeight="1">
      <x:c r="A1377" s="13" t="n">
        <x:v>44643</x:v>
      </x:c>
      <x:c r="B1377" s="12" t="n">
        <x:v>4276.5174</x:v>
      </x:c>
      <x:c r="C1377" s="12" t="n">
        <x:v>4255.295</x:v>
      </x:c>
      <x:c r="D1377" s="12" t="n">
        <x:v>0.4987</x:v>
      </x:c>
      <x:c r="E1377" s="12" t="n">
        <x:v>0.004974896956354492</x:v>
      </x:c>
      <x:c r="F1377" s="13" t="n">
        <x:v>44642</x:v>
      </x:c>
      <x:c r="G1377" s="12" t="n">
        <x:v>3.7</x:v>
      </x:c>
      <x:c r="H1377" s="12" t="n">
        <x:v>370</x:v>
      </x:c>
      <x:c r="I1377" s="12" t="n">
        <x:v>3</x:v>
      </x:c>
      <x:c r="J1377" s="12" t="n">
        <x:v>1</x:v>
      </x:c>
    </x:row>
    <x:row r="1378" ht="18" customHeight="1">
      <x:c r="A1378" s="13" t="n">
        <x:v>44644</x:v>
      </x:c>
      <x:c r="B1378" s="12" t="n">
        <x:v>4251.3061</x:v>
      </x:c>
      <x:c r="C1378" s="12" t="n">
        <x:v>4276.5174</x:v>
      </x:c>
      <x:c r="D1378" s="12" t="n">
        <x:v>-0.5895</x:v>
      </x:c>
      <x:c r="E1378" s="12" t="n">
        <x:v>-0.005912733407240968</x:v>
      </x:c>
      <x:c r="F1378" s="13" t="n">
        <x:v>44643</x:v>
      </x:c>
      <x:c r="G1378" s="12" t="n">
        <x:v>3.72</x:v>
      </x:c>
      <x:c r="H1378" s="12" t="n">
        <x:v>372</x:v>
      </x:c>
      <x:c r="I1378" s="12" t="n">
        <x:v>2</x:v>
      </x:c>
      <x:c r="J1378" s="12" t="n">
        <x:v>1</x:v>
      </x:c>
    </x:row>
    <x:row r="1379" ht="18" customHeight="1">
      <x:c r="A1379" s="13" t="n">
        <x:v>44645</x:v>
      </x:c>
      <x:c r="B1379" s="12" t="n">
        <x:v>4174.5742</x:v>
      </x:c>
      <x:c r="C1379" s="12" t="n">
        <x:v>4251.3061</x:v>
      </x:c>
      <x:c r="D1379" s="12" t="n">
        <x:v>-1.8049</x:v>
      </x:c>
      <x:c r="E1379" s="12" t="n">
        <x:v>-0.018213888293254144</x:v>
      </x:c>
      <x:c r="F1379" s="13" t="n">
        <x:v>44644</x:v>
      </x:c>
      <x:c r="G1379" s="12" t="n">
        <x:v>3.67</x:v>
      </x:c>
      <x:c r="H1379" s="12" t="n">
        <x:v>367</x:v>
      </x:c>
      <x:c r="I1379" s="12" t="n">
        <x:v>-5</x:v>
      </x:c>
      <x:c r="J1379" s="12" t="n">
        <x:v>1</x:v>
      </x:c>
    </x:row>
    <x:row r="1380" ht="18" customHeight="1">
      <x:c r="A1380" s="13" t="n">
        <x:v>44648</x:v>
      </x:c>
      <x:c r="B1380" s="12" t="n">
        <x:v>4148.4663</x:v>
      </x:c>
      <x:c r="C1380" s="12" t="n">
        <x:v>4174.5742</x:v>
      </x:c>
      <x:c r="D1380" s="12" t="n">
        <x:v>-0.6254</x:v>
      </x:c>
      <x:c r="E1380" s="12" t="n">
        <x:v>-0.006273665406629652</x:v>
      </x:c>
      <x:c r="F1380" s="13" t="n">
        <x:v>44645</x:v>
      </x:c>
      <x:c r="G1380" s="12" t="n">
        <x:v>3.51</x:v>
      </x:c>
      <x:c r="H1380" s="12" t="n">
        <x:v>351</x:v>
      </x:c>
      <x:c r="I1380" s="12" t="n">
        <x:v>-16</x:v>
      </x:c>
      <x:c r="J1380" s="12" t="n">
        <x:v>3</x:v>
      </x:c>
    </x:row>
    <x:row r="1381" ht="18" customHeight="1">
      <x:c r="A1381" s="13" t="n">
        <x:v>44649</x:v>
      </x:c>
      <x:c r="B1381" s="12" t="n">
        <x:v>4134.1441</x:v>
      </x:c>
      <x:c r="C1381" s="12" t="n">
        <x:v>4148.4663</x:v>
      </x:c>
      <x:c r="D1381" s="12" t="n">
        <x:v>-0.3452</x:v>
      </x:c>
      <x:c r="E1381" s="12" t="n">
        <x:v>-0.0034583817379454304</x:v>
      </x:c>
      <x:c r="F1381" s="13" t="n">
        <x:v>44648</x:v>
      </x:c>
      <x:c r="G1381" s="12" t="n">
        <x:v>3.54</x:v>
      </x:c>
      <x:c r="H1381" s="12" t="n">
        <x:v>354</x:v>
      </x:c>
      <x:c r="I1381" s="12" t="n">
        <x:v>3</x:v>
      </x:c>
      <x:c r="J1381" s="12" t="n">
        <x:v>1</x:v>
      </x:c>
    </x:row>
    <x:row r="1382" ht="18" customHeight="1">
      <x:c r="A1382" s="13" t="n">
        <x:v>44650</x:v>
      </x:c>
      <x:c r="B1382" s="12" t="n">
        <x:v>4254.0989</x:v>
      </x:c>
      <x:c r="C1382" s="12" t="n">
        <x:v>4134.1441</x:v>
      </x:c>
      <x:c r="D1382" s="12" t="n">
        <x:v>2.9016</x:v>
      </x:c>
      <x:c r="E1382" s="12" t="n">
        <x:v>0.02860264728173825</x:v>
      </x:c>
      <x:c r="F1382" s="13" t="n">
        <x:v>44649</x:v>
      </x:c>
      <x:c r="G1382" s="12" t="n">
        <x:v>3.38</x:v>
      </x:c>
      <x:c r="H1382" s="12" t="n">
        <x:v>338</x:v>
      </x:c>
      <x:c r="I1382" s="12" t="n">
        <x:v>-16</x:v>
      </x:c>
      <x:c r="J1382" s="12" t="n">
        <x:v>1</x:v>
      </x:c>
    </x:row>
    <x:row r="1383" ht="18" customHeight="1">
      <x:c r="A1383" s="13" t="n">
        <x:v>44651</x:v>
      </x:c>
      <x:c r="B1383" s="12" t="n">
        <x:v>4222.5968</x:v>
      </x:c>
      <x:c r="C1383" s="12" t="n">
        <x:v>4254.0989</x:v>
      </x:c>
      <x:c r="D1383" s="12" t="n">
        <x:v>-0.7405</x:v>
      </x:c>
      <x:c r="E1383" s="12" t="n">
        <x:v>-0.00743267097027041</x:v>
      </x:c>
      <x:c r="F1383" s="13" t="n">
        <x:v>44650</x:v>
      </x:c>
      <x:c r="G1383" s="12" t="n">
        <x:v>3.33</x:v>
      </x:c>
      <x:c r="H1383" s="12" t="n">
        <x:v>333</x:v>
      </x:c>
      <x:c r="I1383" s="12" t="n">
        <x:v>-5</x:v>
      </x:c>
      <x:c r="J1383" s="12" t="n">
        <x:v>1</x:v>
      </x:c>
    </x:row>
    <x:row r="1384" ht="18" customHeight="1">
      <x:c r="A1384" s="13" t="n">
        <x:v>44652</x:v>
      </x:c>
      <x:c r="B1384" s="12" t="n">
        <x:v>4276.158</x:v>
      </x:c>
      <x:c r="C1384" s="12" t="n">
        <x:v>4222.5968</x:v>
      </x:c>
      <x:c r="D1384" s="12" t="n">
        <x:v>1.2684</x:v>
      </x:c>
      <x:c r="E1384" s="12" t="n">
        <x:v>0.01260464865647588</x:v>
      </x:c>
      <x:c r="F1384" s="13" t="n">
        <x:v>44651</x:v>
      </x:c>
      <x:c r="G1384" s="12" t="n">
        <x:v>3.43</x:v>
      </x:c>
      <x:c r="H1384" s="12" t="n">
        <x:v>343</x:v>
      </x:c>
      <x:c r="I1384" s="12" t="n">
        <x:v>10</x:v>
      </x:c>
      <x:c r="J1384" s="12" t="n">
        <x:v>1</x:v>
      </x:c>
    </x:row>
    <x:row r="1385" ht="18" customHeight="1">
      <x:c r="A1385" s="13" t="n">
        <x:v>44657</x:v>
      </x:c>
      <x:c r="B1385" s="12" t="n">
        <x:v>4263.8411</x:v>
      </x:c>
      <x:c r="C1385" s="12" t="n">
        <x:v>4276.158</x:v>
      </x:c>
      <x:c r="D1385" s="12" t="n">
        <x:v>-0.288</x:v>
      </x:c>
      <x:c r="E1385" s="12" t="n">
        <x:v>-0.0028845222103589074</x:v>
      </x:c>
      <x:c r="F1385" s="13" t="n">
        <x:v>44656</x:v>
      </x:c>
      <x:c r="G1385" s="12" t="n">
        <x:v>3.27</x:v>
      </x:c>
      <x:c r="H1385" s="12" t="n">
        <x:v>327</x:v>
      </x:c>
      <x:c r="I1385" s="12" t="n">
        <x:v>-6</x:v>
      </x:c>
      <x:c r="J1385" s="12" t="n">
        <x:v>1</x:v>
      </x:c>
    </x:row>
    <x:row r="1386" ht="18" customHeight="1">
      <x:c r="A1386" s="13" t="n">
        <x:v>44658</x:v>
      </x:c>
      <x:c r="B1386" s="12" t="n">
        <x:v>4209.0998</x:v>
      </x:c>
      <x:c r="C1386" s="12" t="n">
        <x:v>4263.8411</x:v>
      </x:c>
      <x:c r="D1386" s="12" t="n">
        <x:v>-1.2838</x:v>
      </x:c>
      <x:c r="E1386" s="12" t="n">
        <x:v>-0.012921620088142112</x:v>
      </x:c>
      <x:c r="F1386" s="13" t="n">
        <x:v>44657</x:v>
      </x:c>
      <x:c r="G1386" s="12" t="n">
        <x:v>3.48</x:v>
      </x:c>
      <x:c r="H1386" s="12" t="n">
        <x:v>348</x:v>
      </x:c>
      <x:c r="I1386" s="12" t="n">
        <x:v>21</x:v>
      </x:c>
      <x:c r="J1386" s="12" t="n">
        <x:v>1</x:v>
      </x:c>
    </x:row>
    <x:row r="1387" ht="18" customHeight="1">
      <x:c r="A1387" s="13" t="n">
        <x:v>44659</x:v>
      </x:c>
      <x:c r="B1387" s="12" t="n">
        <x:v>4230.7669</x:v>
      </x:c>
      <x:c r="C1387" s="12" t="n">
        <x:v>4209.0998</x:v>
      </x:c>
      <x:c r="D1387" s="12" t="n">
        <x:v>0.5148</x:v>
      </x:c>
      <x:c r="E1387" s="12" t="n">
        <x:v>0.005134476259089511</x:v>
      </x:c>
      <x:c r="F1387" s="13" t="n">
        <x:v>44658</x:v>
      </x:c>
      <x:c r="G1387" s="12" t="n">
        <x:v>3.54</x:v>
      </x:c>
      <x:c r="H1387" s="12" t="n">
        <x:v>354</x:v>
      </x:c>
      <x:c r="I1387" s="12" t="n">
        <x:v>6</x:v>
      </x:c>
      <x:c r="J1387" s="12" t="n">
        <x:v>1</x:v>
      </x:c>
    </x:row>
    <x:row r="1388" ht="18" customHeight="1">
      <x:c r="A1388" s="13" t="n">
        <x:v>44662</x:v>
      </x:c>
      <x:c r="B1388" s="12" t="n">
        <x:v>4100.0703</x:v>
      </x:c>
      <x:c r="C1388" s="12" t="n">
        <x:v>4230.7669</x:v>
      </x:c>
      <x:c r="D1388" s="12" t="n">
        <x:v>-3.0892</x:v>
      </x:c>
      <x:c r="E1388" s="12" t="n">
        <x:v>-0.031379156956962674</x:v>
      </x:c>
      <x:c r="F1388" s="13" t="n">
        <x:v>44659</x:v>
      </x:c>
      <x:c r="G1388" s="12" t="n">
        <x:v>3.57</x:v>
      </x:c>
      <x:c r="H1388" s="12" t="n">
        <x:v>357</x:v>
      </x:c>
      <x:c r="I1388" s="12" t="n">
        <x:v>3</x:v>
      </x:c>
      <x:c r="J1388" s="12" t="n">
        <x:v>3</x:v>
      </x:c>
    </x:row>
    <x:row r="1389" ht="18" customHeight="1">
      <x:c r="A1389" s="13" t="n">
        <x:v>44663</x:v>
      </x:c>
      <x:c r="B1389" s="12" t="n">
        <x:v>4179.9727</x:v>
      </x:c>
      <x:c r="C1389" s="12" t="n">
        <x:v>4100.0703</x:v>
      </x:c>
      <x:c r="D1389" s="12" t="n">
        <x:v>1.9488</x:v>
      </x:c>
      <x:c r="E1389" s="12" t="n">
        <x:v>0.01930059551012999</x:v>
      </x:c>
      <x:c r="F1389" s="13" t="n">
        <x:v>44662</x:v>
      </x:c>
      <x:c r="G1389" s="12" t="n">
        <x:v>3.73</x:v>
      </x:c>
      <x:c r="H1389" s="12" t="n">
        <x:v>373</x:v>
      </x:c>
      <x:c r="I1389" s="12" t="n">
        <x:v>16</x:v>
      </x:c>
      <x:c r="J1389" s="12" t="n">
        <x:v>1</x:v>
      </x:c>
    </x:row>
    <x:row r="1390" ht="18" customHeight="1">
      <x:c r="A1390" s="13" t="n">
        <x:v>44664</x:v>
      </x:c>
      <x:c r="B1390" s="12" t="n">
        <x:v>4139.737</x:v>
      </x:c>
      <x:c r="C1390" s="12" t="n">
        <x:v>4179.9727</x:v>
      </x:c>
      <x:c r="D1390" s="12" t="n">
        <x:v>-0.9626</x:v>
      </x:c>
      <x:c r="E1390" s="12" t="n">
        <x:v>-0.009672456165582058</x:v>
      </x:c>
      <x:c r="F1390" s="13" t="n">
        <x:v>44663</x:v>
      </x:c>
      <x:c r="G1390" s="12" t="n">
        <x:v>3.75</x:v>
      </x:c>
      <x:c r="H1390" s="12" t="n">
        <x:v>375</x:v>
      </x:c>
      <x:c r="I1390" s="12" t="n">
        <x:v>2</x:v>
      </x:c>
      <x:c r="J1390" s="12" t="n">
        <x:v>1</x:v>
      </x:c>
    </x:row>
    <x:row r="1391" ht="18" customHeight="1">
      <x:c r="A1391" s="13" t="n">
        <x:v>44665</x:v>
      </x:c>
      <x:c r="B1391" s="12" t="n">
        <x:v>4191.5684</x:v>
      </x:c>
      <x:c r="C1391" s="12" t="n">
        <x:v>4139.737</x:v>
      </x:c>
      <x:c r="D1391" s="12" t="n">
        <x:v>1.252</x:v>
      </x:c>
      <x:c r="E1391" s="12" t="n">
        <x:v>0.012442724453656956</x:v>
      </x:c>
      <x:c r="F1391" s="13" t="n">
        <x:v>44664</x:v>
      </x:c>
      <x:c r="G1391" s="12" t="n">
        <x:v>3.77</x:v>
      </x:c>
      <x:c r="H1391" s="12" t="n">
        <x:v>377</x:v>
      </x:c>
      <x:c r="I1391" s="12" t="n">
        <x:v>2</x:v>
      </x:c>
      <x:c r="J1391" s="12" t="n">
        <x:v>1</x:v>
      </x:c>
    </x:row>
    <x:row r="1392" ht="18" customHeight="1">
      <x:c r="A1392" s="13" t="n">
        <x:v>44666</x:v>
      </x:c>
      <x:c r="B1392" s="12" t="n">
        <x:v>4188.7472</x:v>
      </x:c>
      <x:c r="C1392" s="12" t="n">
        <x:v>4191.5684</x:v>
      </x:c>
      <x:c r="D1392" s="12" t="n">
        <x:v>-0.0673</x:v>
      </x:c>
      <x:c r="E1392" s="12" t="n">
        <x:v>-0.0006732920909509533</x:v>
      </x:c>
      <x:c r="F1392" s="13" t="n">
        <x:v>44665</x:v>
      </x:c>
      <x:c r="G1392" s="12" t="n">
        <x:v>3.68</x:v>
      </x:c>
      <x:c r="H1392" s="12" t="n">
        <x:v>368</x:v>
      </x:c>
      <x:c r="I1392" s="12" t="n">
        <x:v>-9</x:v>
      </x:c>
      <x:c r="J1392" s="12" t="n">
        <x:v>1</x:v>
      </x:c>
    </x:row>
    <x:row r="1393" ht="18" customHeight="1">
      <x:c r="A1393" s="13" t="n">
        <x:v>44669</x:v>
      </x:c>
      <x:c r="B1393" s="12" t="n">
        <x:v>4166.3844</x:v>
      </x:c>
      <x:c r="C1393" s="12" t="n">
        <x:v>4188.7472</x:v>
      </x:c>
      <x:c r="D1393" s="12" t="n">
        <x:v>-0.5339</x:v>
      </x:c>
      <x:c r="E1393" s="12" t="n">
        <x:v>-0.005353082266565374</x:v>
      </x:c>
      <x:c r="F1393" s="13" t="n">
        <x:v>44665</x:v>
      </x:c>
      <x:c r="G1393" s="12" t="n">
        <x:v>3.68</x:v>
      </x:c>
      <x:c r="H1393" s="12" t="n">
        <x:v>368</x:v>
      </x:c>
      <x:c r="I1393" s="12" t="n">
        <x:v>-9</x:v>
      </x:c>
      <x:c r="J1393" s="12" t="n">
        <x:v>4</x:v>
      </x:c>
    </x:row>
    <x:row r="1394" ht="18" customHeight="1">
      <x:c r="A1394" s="13" t="n">
        <x:v>44670</x:v>
      </x:c>
      <x:c r="B1394" s="12" t="n">
        <x:v>4134.9017</x:v>
      </x:c>
      <x:c r="C1394" s="12" t="n">
        <x:v>4166.3844</x:v>
      </x:c>
      <x:c r="D1394" s="12" t="n">
        <x:v>-0.7556</x:v>
      </x:c>
      <x:c r="E1394" s="12" t="n">
        <x:v>-0.007585053824646595</x:v>
      </x:c>
      <x:c r="F1394" s="13" t="n">
        <x:v>44669</x:v>
      </x:c>
      <x:c r="G1394" s="12" t="n">
        <x:v>3.64</x:v>
      </x:c>
      <x:c r="H1394" s="12" t="n">
        <x:v>364</x:v>
      </x:c>
      <x:c r="I1394" s="12" t="n">
        <x:v>-4</x:v>
      </x:c>
      <x:c r="J1394" s="12" t="n">
        <x:v>1</x:v>
      </x:c>
    </x:row>
    <x:row r="1395" ht="18" customHeight="1">
      <x:c r="A1395" s="13" t="n">
        <x:v>44671</x:v>
      </x:c>
      <x:c r="B1395" s="12" t="n">
        <x:v>4070.7889</x:v>
      </x:c>
      <x:c r="C1395" s="12" t="n">
        <x:v>4134.9017</x:v>
      </x:c>
      <x:c r="D1395" s="12" t="n">
        <x:v>-1.5505</x:v>
      </x:c>
      <x:c r="E1395" s="12" t="n">
        <x:v>-0.015626741925608204</x:v>
      </x:c>
      <x:c r="F1395" s="13" t="n">
        <x:v>44670</x:v>
      </x:c>
      <x:c r="G1395" s="12" t="n">
        <x:v>3.58</x:v>
      </x:c>
      <x:c r="H1395" s="12" t="n">
        <x:v>358</x:v>
      </x:c>
      <x:c r="I1395" s="12" t="n">
        <x:v>-6</x:v>
      </x:c>
      <x:c r="J1395" s="12" t="n">
        <x:v>1</x:v>
      </x:c>
    </x:row>
    <x:row r="1396" ht="18" customHeight="1">
      <x:c r="A1396" s="13" t="n">
        <x:v>44672</x:v>
      </x:c>
      <x:c r="B1396" s="12" t="n">
        <x:v>3995.83</x:v>
      </x:c>
      <x:c r="C1396" s="12" t="n">
        <x:v>4070.7889</x:v>
      </x:c>
      <x:c r="D1396" s="12" t="n">
        <x:v>-1.8414</x:v>
      </x:c>
      <x:c r="E1396" s="12" t="n">
        <x:v>-0.01858549625635768</x:v>
      </x:c>
      <x:c r="F1396" s="13" t="n">
        <x:v>44671</x:v>
      </x:c>
      <x:c r="G1396" s="12" t="n">
        <x:v>3.56</x:v>
      </x:c>
      <x:c r="H1396" s="12" t="n">
        <x:v>356</x:v>
      </x:c>
      <x:c r="I1396" s="12" t="n">
        <x:v>-2</x:v>
      </x:c>
      <x:c r="J1396" s="12" t="n">
        <x:v>1</x:v>
      </x:c>
    </x:row>
    <x:row r="1397" ht="18" customHeight="1">
      <x:c r="A1397" s="13" t="n">
        <x:v>44673</x:v>
      </x:c>
      <x:c r="B1397" s="12" t="n">
        <x:v>4013.2498</x:v>
      </x:c>
      <x:c r="C1397" s="12" t="n">
        <x:v>3995.83</x:v>
      </x:c>
      <x:c r="D1397" s="12" t="n">
        <x:v>0.4359</x:v>
      </x:c>
      <x:c r="E1397" s="12" t="n">
        <x:v>0.00435001970365872</x:v>
      </x:c>
      <x:c r="F1397" s="13" t="n">
        <x:v>44672</x:v>
      </x:c>
      <x:c r="G1397" s="12" t="n">
        <x:v>3.5</x:v>
      </x:c>
      <x:c r="H1397" s="12" t="n">
        <x:v>350</x:v>
      </x:c>
      <x:c r="I1397" s="12" t="n">
        <x:v>-6</x:v>
      </x:c>
      <x:c r="J1397" s="12" t="n">
        <x:v>1</x:v>
      </x:c>
    </x:row>
    <x:row r="1398" ht="18" customHeight="1">
      <x:c r="A1398" s="13" t="n">
        <x:v>44676</x:v>
      </x:c>
      <x:c r="B1398" s="12" t="n">
        <x:v>3814.9127</x:v>
      </x:c>
      <x:c r="C1398" s="12" t="n">
        <x:v>4013.2498</x:v>
      </x:c>
      <x:c r="D1398" s="12" t="n">
        <x:v>-4.9421</x:v>
      </x:c>
      <x:c r="E1398" s="12" t="n">
        <x:v>-0.05068355592304823</x:v>
      </x:c>
      <x:c r="F1398" s="13" t="n">
        <x:v>44673</x:v>
      </x:c>
      <x:c r="G1398" s="12" t="n">
        <x:v>3.65</x:v>
      </x:c>
      <x:c r="H1398" s="12" t="n">
        <x:v>365</x:v>
      </x:c>
      <x:c r="I1398" s="12" t="n">
        <x:v>15</x:v>
      </x:c>
      <x:c r="J1398" s="12" t="n">
        <x:v>3</x:v>
      </x:c>
    </x:row>
    <x:row r="1399" ht="18" customHeight="1">
      <x:c r="A1399" s="13" t="n">
        <x:v>44677</x:v>
      </x:c>
      <x:c r="B1399" s="12" t="n">
        <x:v>3784.1198</x:v>
      </x:c>
      <x:c r="C1399" s="12" t="n">
        <x:v>3814.9127</x:v>
      </x:c>
      <x:c r="D1399" s="12" t="n">
        <x:v>-0.8072</x:v>
      </x:c>
      <x:c r="E1399" s="12" t="n">
        <x:v>-0.008104470811488438</x:v>
      </x:c>
      <x:c r="F1399" s="13" t="n">
        <x:v>44676</x:v>
      </x:c>
      <x:c r="G1399" s="12" t="n">
        <x:v>3.8</x:v>
      </x:c>
      <x:c r="H1399" s="12" t="n">
        <x:v>380</x:v>
      </x:c>
      <x:c r="I1399" s="12" t="n">
        <x:v>15</x:v>
      </x:c>
      <x:c r="J1399" s="12" t="n">
        <x:v>1</x:v>
      </x:c>
    </x:row>
    <x:row r="1400" ht="18" customHeight="1">
      <x:c r="A1400" s="13" t="n">
        <x:v>44678</x:v>
      </x:c>
      <x:c r="B1400" s="12" t="n">
        <x:v>3895.5361</x:v>
      </x:c>
      <x:c r="C1400" s="12" t="n">
        <x:v>3784.1198</x:v>
      </x:c>
      <x:c r="D1400" s="12" t="n">
        <x:v>2.9443</x:v>
      </x:c>
      <x:c r="E1400" s="12" t="n">
        <x:v>0.02901799754097714</x:v>
      </x:c>
      <x:c r="F1400" s="13" t="n">
        <x:v>44677</x:v>
      </x:c>
      <x:c r="G1400" s="12" t="n">
        <x:v>3.83</x:v>
      </x:c>
      <x:c r="H1400" s="12" t="n">
        <x:v>383</x:v>
      </x:c>
      <x:c r="I1400" s="12" t="n">
        <x:v>3</x:v>
      </x:c>
      <x:c r="J1400" s="12" t="n">
        <x:v>1</x:v>
      </x:c>
    </x:row>
    <x:row r="1401" ht="18" customHeight="1">
      <x:c r="A1401" s="13" t="n">
        <x:v>44679</x:v>
      </x:c>
      <x:c r="B1401" s="12" t="n">
        <x:v>3921.1073</x:v>
      </x:c>
      <x:c r="C1401" s="12" t="n">
        <x:v>3895.5361</x:v>
      </x:c>
      <x:c r="D1401" s="12" t="n">
        <x:v>0.6564</x:v>
      </x:c>
      <x:c r="E1401" s="12" t="n">
        <x:v>0.006542780554855859</x:v>
      </x:c>
      <x:c r="F1401" s="13" t="n">
        <x:v>44678</x:v>
      </x:c>
      <x:c r="G1401" s="12" t="n">
        <x:v>3.89</x:v>
      </x:c>
      <x:c r="H1401" s="12" t="n">
        <x:v>389</x:v>
      </x:c>
      <x:c r="I1401" s="12" t="n">
        <x:v>6</x:v>
      </x:c>
      <x:c r="J1401" s="12" t="n">
        <x:v>1</x:v>
      </x:c>
    </x:row>
    <x:row r="1402" ht="18" customHeight="1">
      <x:c r="A1402" s="13" t="n">
        <x:v>44680</x:v>
      </x:c>
      <x:c r="B1402" s="12" t="n">
        <x:v>4016.241</x:v>
      </x:c>
      <x:c r="C1402" s="12" t="n">
        <x:v>3921.1073</x:v>
      </x:c>
      <x:c r="D1402" s="12" t="n">
        <x:v>2.4262</x:v>
      </x:c>
      <x:c r="E1402" s="12" t="n">
        <x:v>0.023972302145301865</x:v>
      </x:c>
      <x:c r="F1402" s="13" t="n">
        <x:v>44679</x:v>
      </x:c>
      <x:c r="G1402" s="12" t="n">
        <x:v>3.83</x:v>
      </x:c>
      <x:c r="H1402" s="12" t="n">
        <x:v>383</x:v>
      </x:c>
      <x:c r="I1402" s="12" t="n">
        <x:v>-6</x:v>
      </x:c>
      <x:c r="J1402" s="12" t="n">
        <x:v>1</x:v>
      </x:c>
    </x:row>
    <x:row r="1403" ht="18" customHeight="1">
      <x:c r="A1403" s="13" t="n">
        <x:v>44686</x:v>
      </x:c>
      <x:c r="B1403" s="12" t="n">
        <x:v>4010.2102</x:v>
      </x:c>
      <x:c r="C1403" s="12" t="n">
        <x:v>4016.241</x:v>
      </x:c>
      <x:c r="D1403" s="12" t="n">
        <x:v>-0.1502</x:v>
      </x:c>
      <x:c r="E1403" s="12" t="n">
        <x:v>-0.0015027316517908444</x:v>
      </x:c>
      <x:c r="F1403" s="13" t="n">
        <x:v>44685</x:v>
      </x:c>
      <x:c r="G1403" s="12" t="n">
        <x:v>4.1</x:v>
      </x:c>
      <x:c r="H1403" s="12" t="n">
        <x:v>409.99999999999994</x:v>
      </x:c>
      <x:c r="I1403" s="12" t="n">
        <x:v>12.999999999999943</x:v>
      </x:c>
      <x:c r="J1403" s="12" t="n">
        <x:v>1</x:v>
      </x:c>
    </x:row>
    <x:row r="1404" ht="18" customHeight="1">
      <x:c r="A1404" s="13" t="n">
        <x:v>44687</x:v>
      </x:c>
      <x:c r="B1404" s="12" t="n">
        <x:v>3908.815</x:v>
      </x:c>
      <x:c r="C1404" s="12" t="n">
        <x:v>4010.2102</x:v>
      </x:c>
      <x:c r="D1404" s="12" t="n">
        <x:v>-2.5284</x:v>
      </x:c>
      <x:c r="E1404" s="12" t="n">
        <x:v>-0.02560939988841187</x:v>
      </x:c>
      <x:c r="F1404" s="13" t="n">
        <x:v>44686</x:v>
      </x:c>
      <x:c r="G1404" s="12" t="n">
        <x:v>4.03</x:v>
      </x:c>
      <x:c r="H1404" s="12" t="n">
        <x:v>403</x:v>
      </x:c>
      <x:c r="I1404" s="12" t="n">
        <x:v>-6.999999999999943</x:v>
      </x:c>
      <x:c r="J1404" s="12" t="n">
        <x:v>1</x:v>
      </x:c>
    </x:row>
    <x:row r="1405" ht="18" customHeight="1">
      <x:c r="A1405" s="13" t="n">
        <x:v>44690</x:v>
      </x:c>
      <x:c r="B1405" s="12" t="n">
        <x:v>3877.4364</x:v>
      </x:c>
      <x:c r="C1405" s="12" t="n">
        <x:v>3908.815</x:v>
      </x:c>
      <x:c r="D1405" s="12" t="n">
        <x:v>-0.8028</x:v>
      </x:c>
      <x:c r="E1405" s="12" t="n">
        <x:v>-0.008060045395905031</x:v>
      </x:c>
      <x:c r="F1405" s="13" t="n">
        <x:v>44687</x:v>
      </x:c>
      <x:c r="G1405" s="12" t="n">
        <x:v>4.18</x:v>
      </x:c>
      <x:c r="H1405" s="12" t="n">
        <x:v>418</x:v>
      </x:c>
      <x:c r="I1405" s="12" t="n">
        <x:v>15</x:v>
      </x:c>
      <x:c r="J1405" s="12" t="n">
        <x:v>3</x:v>
      </x:c>
    </x:row>
    <x:row r="1406" ht="18" customHeight="1">
      <x:c r="A1406" s="13" t="n">
        <x:v>44691</x:v>
      </x:c>
      <x:c r="B1406" s="12" t="n">
        <x:v>3919.8684</x:v>
      </x:c>
      <x:c r="C1406" s="12" t="n">
        <x:v>3877.4364</x:v>
      </x:c>
      <x:c r="D1406" s="12" t="n">
        <x:v>1.0943</x:v>
      </x:c>
      <x:c r="E1406" s="12" t="n">
        <x:v>0.010883868197312553</x:v>
      </x:c>
      <x:c r="F1406" s="13" t="n">
        <x:v>44690</x:v>
      </x:c>
      <x:c r="G1406" s="12" t="n">
        <x:v>4.47</x:v>
      </x:c>
      <x:c r="H1406" s="12" t="n">
        <x:v>447</x:v>
      </x:c>
      <x:c r="I1406" s="12" t="n">
        <x:v>29</x:v>
      </x:c>
      <x:c r="J1406" s="12" t="n">
        <x:v>1</x:v>
      </x:c>
    </x:row>
    <x:row r="1407" ht="18" customHeight="1">
      <x:c r="A1407" s="13" t="n">
        <x:v>44692</x:v>
      </x:c>
      <x:c r="B1407" s="12" t="n">
        <x:v>3976.4231</x:v>
      </x:c>
      <x:c r="C1407" s="12" t="n">
        <x:v>3919.8684</x:v>
      </x:c>
      <x:c r="D1407" s="12" t="n">
        <x:v>1.4428</x:v>
      </x:c>
      <x:c r="E1407" s="12" t="n">
        <x:v>0.014324614803433415</x:v>
      </x:c>
      <x:c r="F1407" s="13" t="n">
        <x:v>44691</x:v>
      </x:c>
      <x:c r="G1407" s="12" t="n">
        <x:v>4.52</x:v>
      </x:c>
      <x:c r="H1407" s="12" t="n">
        <x:v>451.99999999999994</x:v>
      </x:c>
      <x:c r="I1407" s="12" t="n">
        <x:v>4.999999999999943</x:v>
      </x:c>
      <x:c r="J1407" s="12" t="n">
        <x:v>1</x:v>
      </x:c>
    </x:row>
    <x:row r="1408" ht="18" customHeight="1">
      <x:c r="A1408" s="13" t="n">
        <x:v>44693</x:v>
      </x:c>
      <x:c r="B1408" s="12" t="n">
        <x:v>3958.74</x:v>
      </x:c>
      <x:c r="C1408" s="12" t="n">
        <x:v>3976.4231</x:v>
      </x:c>
      <x:c r="D1408" s="12" t="n">
        <x:v>-0.4447</x:v>
      </x:c>
      <x:c r="E1408" s="12" t="n">
        <x:v>-0.004456903796067587</x:v>
      </x:c>
      <x:c r="F1408" s="13" t="n">
        <x:v>44692</x:v>
      </x:c>
      <x:c r="G1408" s="12" t="n">
        <x:v>4.55</x:v>
      </x:c>
      <x:c r="H1408" s="12" t="n">
        <x:v>455</x:v>
      </x:c>
      <x:c r="I1408" s="12" t="n">
        <x:v>3.000000000000057</x:v>
      </x:c>
      <x:c r="J1408" s="12" t="n">
        <x:v>1</x:v>
      </x:c>
    </x:row>
    <x:row r="1409" ht="18" customHeight="1">
      <x:c r="A1409" s="13" t="n">
        <x:v>44694</x:v>
      </x:c>
      <x:c r="B1409" s="12" t="n">
        <x:v>3988.6002</x:v>
      </x:c>
      <x:c r="C1409" s="12" t="n">
        <x:v>3958.74</x:v>
      </x:c>
      <x:c r="D1409" s="12" t="n">
        <x:v>0.7543</x:v>
      </x:c>
      <x:c r="E1409" s="12" t="n">
        <x:v>0.007514549462257705</x:v>
      </x:c>
      <x:c r="F1409" s="13" t="n">
        <x:v>44693</x:v>
      </x:c>
      <x:c r="G1409" s="12" t="n">
        <x:v>4.77</x:v>
      </x:c>
      <x:c r="H1409" s="12" t="n">
        <x:v>476.99999999999994</x:v>
      </x:c>
      <x:c r="I1409" s="12" t="n">
        <x:v>21.999999999999943</x:v>
      </x:c>
      <x:c r="J1409" s="12" t="n">
        <x:v>1</x:v>
      </x:c>
    </x:row>
    <x:row r="1410" ht="18" customHeight="1">
      <x:c r="A1410" s="13" t="n">
        <x:v>44697</x:v>
      </x:c>
      <x:c r="B1410" s="12" t="n">
        <x:v>3956.5378</x:v>
      </x:c>
      <x:c r="C1410" s="12" t="n">
        <x:v>3988.6002</x:v>
      </x:c>
      <x:c r="D1410" s="12" t="n">
        <x:v>-0.8039</x:v>
      </x:c>
      <x:c r="E1410" s="12" t="n">
        <x:v>-0.00807099235976954</x:v>
      </x:c>
      <x:c r="F1410" s="13" t="n">
        <x:v>44694</x:v>
      </x:c>
      <x:c r="G1410" s="12" t="n">
        <x:v>4.63</x:v>
      </x:c>
      <x:c r="H1410" s="12" t="n">
        <x:v>463</x:v>
      </x:c>
      <x:c r="I1410" s="12" t="n">
        <x:v>-13.999999999999943</x:v>
      </x:c>
      <x:c r="J1410" s="12" t="n">
        <x:v>3</x:v>
      </x:c>
    </x:row>
    <x:row r="1411" ht="18" customHeight="1">
      <x:c r="A1411" s="13" t="n">
        <x:v>44698</x:v>
      </x:c>
      <x:c r="B1411" s="12" t="n">
        <x:v>4005.8934</x:v>
      </x:c>
      <x:c r="C1411" s="12" t="n">
        <x:v>3956.5378</x:v>
      </x:c>
      <x:c r="D1411" s="12" t="n">
        <x:v>1.2474</x:v>
      </x:c>
      <x:c r="E1411" s="12" t="n">
        <x:v>0.012397276884578638</x:v>
      </x:c>
      <x:c r="F1411" s="13" t="n">
        <x:v>44697</x:v>
      </x:c>
      <x:c r="G1411" s="12" t="n">
        <x:v>4.71</x:v>
      </x:c>
      <x:c r="H1411" s="12" t="n">
        <x:v>471</x:v>
      </x:c>
      <x:c r="I1411" s="12" t="n">
        <x:v>8</x:v>
      </x:c>
      <x:c r="J1411" s="12" t="n">
        <x:v>1</x:v>
      </x:c>
    </x:row>
    <x:row r="1412" ht="18" customHeight="1">
      <x:c r="A1412" s="13" t="n">
        <x:v>44699</x:v>
      </x:c>
      <x:c r="B1412" s="12" t="n">
        <x:v>3991.9069</x:v>
      </x:c>
      <x:c r="C1412" s="12" t="n">
        <x:v>4005.8934</x:v>
      </x:c>
      <x:c r="D1412" s="12" t="n">
        <x:v>-0.3491</x:v>
      </x:c>
      <x:c r="E1412" s="12" t="n">
        <x:v>-0.0034975902707219692</x:v>
      </x:c>
      <x:c r="F1412" s="13" t="n">
        <x:v>44698</x:v>
      </x:c>
      <x:c r="G1412" s="12" t="n">
        <x:v>4.6</x:v>
      </x:c>
      <x:c r="H1412" s="12" t="n">
        <x:v>459.99999999999994</x:v>
      </x:c>
      <x:c r="I1412" s="12" t="n">
        <x:v>-11.000000000000057</x:v>
      </x:c>
      <x:c r="J1412" s="12" t="n">
        <x:v>1</x:v>
      </x:c>
    </x:row>
    <x:row r="1413" ht="18" customHeight="1">
      <x:c r="A1413" s="13" t="n">
        <x:v>44700</x:v>
      </x:c>
      <x:c r="B1413" s="12" t="n">
        <x:v>3999.5984</x:v>
      </x:c>
      <x:c r="C1413" s="12" t="n">
        <x:v>3991.9069</x:v>
      </x:c>
      <x:c r="D1413" s="12" t="n">
        <x:v>0.1927</x:v>
      </x:c>
      <x:c r="E1413" s="12" t="n">
        <x:v>0.001924919545495968</x:v>
      </x:c>
      <x:c r="F1413" s="13" t="n">
        <x:v>44699</x:v>
      </x:c>
      <x:c r="G1413" s="12" t="n">
        <x:v>4.84</x:v>
      </x:c>
      <x:c r="H1413" s="12" t="n">
        <x:v>484</x:v>
      </x:c>
      <x:c r="I1413" s="12" t="n">
        <x:v>24.000000000000057</x:v>
      </x:c>
      <x:c r="J1413" s="12" t="n">
        <x:v>1</x:v>
      </x:c>
    </x:row>
    <x:row r="1414" ht="18" customHeight="1">
      <x:c r="A1414" s="13" t="n">
        <x:v>44701</x:v>
      </x:c>
      <x:c r="B1414" s="12" t="n">
        <x:v>4077.5998</x:v>
      </x:c>
      <x:c r="C1414" s="12" t="n">
        <x:v>3999.5984</x:v>
      </x:c>
      <x:c r="D1414" s="12" t="n">
        <x:v>1.9502</x:v>
      </x:c>
      <x:c r="E1414" s="12" t="n">
        <x:v>0.019314574915760673</x:v>
      </x:c>
      <x:c r="F1414" s="13" t="n">
        <x:v>44700</x:v>
      </x:c>
      <x:c r="G1414" s="12" t="n">
        <x:v>4.92</x:v>
      </x:c>
      <x:c r="H1414" s="12" t="n">
        <x:v>492</x:v>
      </x:c>
      <x:c r="I1414" s="12" t="n">
        <x:v>8</x:v>
      </x:c>
      <x:c r="J1414" s="12" t="n">
        <x:v>1</x:v>
      </x:c>
    </x:row>
    <x:row r="1415" ht="18" customHeight="1">
      <x:c r="A1415" s="13" t="n">
        <x:v>44704</x:v>
      </x:c>
      <x:c r="B1415" s="12" t="n">
        <x:v>4053.9823</x:v>
      </x:c>
      <x:c r="C1415" s="12" t="n">
        <x:v>4077.5998</x:v>
      </x:c>
      <x:c r="D1415" s="12" t="n">
        <x:v>-0.5792</x:v>
      </x:c>
      <x:c r="E1415" s="12" t="n">
        <x:v>-0.005808849033170905</x:v>
      </x:c>
      <x:c r="F1415" s="13" t="n">
        <x:v>44701</x:v>
      </x:c>
      <x:c r="G1415" s="12" t="n">
        <x:v>4.91</x:v>
      </x:c>
      <x:c r="H1415" s="12" t="n">
        <x:v>491</x:v>
      </x:c>
      <x:c r="I1415" s="12" t="n">
        <x:v>-1</x:v>
      </x:c>
      <x:c r="J1415" s="12" t="n">
        <x:v>3</x:v>
      </x:c>
    </x:row>
    <x:row r="1416" ht="18" customHeight="1">
      <x:c r="A1416" s="13" t="n">
        <x:v>44705</x:v>
      </x:c>
      <x:c r="B1416" s="12" t="n">
        <x:v>3959.1541</x:v>
      </x:c>
      <x:c r="C1416" s="12" t="n">
        <x:v>4053.9823</x:v>
      </x:c>
      <x:c r="D1416" s="12" t="n">
        <x:v>-2.3391</x:v>
      </x:c>
      <x:c r="E1416" s="12" t="n">
        <x:v>-0.023669290624887738</x:v>
      </x:c>
      <x:c r="F1416" s="13" t="n">
        <x:v>44704</x:v>
      </x:c>
      <x:c r="G1416" s="12" t="n">
        <x:v>4.82</x:v>
      </x:c>
      <x:c r="H1416" s="12" t="n">
        <x:v>482</x:v>
      </x:c>
      <x:c r="I1416" s="12" t="n">
        <x:v>-9</x:v>
      </x:c>
      <x:c r="J1416" s="12" t="n">
        <x:v>1</x:v>
      </x:c>
    </x:row>
    <x:row r="1417" ht="18" customHeight="1">
      <x:c r="A1417" s="13" t="n">
        <x:v>44706</x:v>
      </x:c>
      <x:c r="B1417" s="12" t="n">
        <x:v>3983.1784</x:v>
      </x:c>
      <x:c r="C1417" s="12" t="n">
        <x:v>3959.1541</x:v>
      </x:c>
      <x:c r="D1417" s="12" t="n">
        <x:v>0.6068</x:v>
      </x:c>
      <x:c r="E1417" s="12" t="n">
        <x:v>0.00604970221829956</x:v>
      </x:c>
      <x:c r="F1417" s="13" t="n">
        <x:v>44705</x:v>
      </x:c>
      <x:c r="G1417" s="12" t="n">
        <x:v>4.94</x:v>
      </x:c>
      <x:c r="H1417" s="12" t="n">
        <x:v>494.00000000000006</x:v>
      </x:c>
      <x:c r="I1417" s="12" t="n">
        <x:v>12.000000000000057</x:v>
      </x:c>
      <x:c r="J1417" s="12" t="n">
        <x:v>1</x:v>
      </x:c>
    </x:row>
    <x:row r="1418" ht="18" customHeight="1">
      <x:c r="A1418" s="13" t="n">
        <x:v>44707</x:v>
      </x:c>
      <x:c r="B1418" s="12" t="n">
        <x:v>3993.0446</x:v>
      </x:c>
      <x:c r="C1418" s="12" t="n">
        <x:v>3983.1784</x:v>
      </x:c>
      <x:c r="D1418" s="12" t="n">
        <x:v>0.2477</x:v>
      </x:c>
      <x:c r="E1418" s="12" t="n">
        <x:v>0.002473904009937255</x:v>
      </x:c>
      <x:c r="F1418" s="13" t="n">
        <x:v>44706</x:v>
      </x:c>
      <x:c r="G1418" s="12" t="n">
        <x:v>4.74</x:v>
      </x:c>
      <x:c r="H1418" s="12" t="n">
        <x:v>474</x:v>
      </x:c>
      <x:c r="I1418" s="12" t="n">
        <x:v>-20.000000000000057</x:v>
      </x:c>
      <x:c r="J1418" s="12" t="n">
        <x:v>1</x:v>
      </x:c>
    </x:row>
    <x:row r="1419" ht="18" customHeight="1">
      <x:c r="A1419" s="13" t="n">
        <x:v>44708</x:v>
      </x:c>
      <x:c r="B1419" s="12" t="n">
        <x:v>4001.2988</x:v>
      </x:c>
      <x:c r="C1419" s="12" t="n">
        <x:v>3993.0446</x:v>
      </x:c>
      <x:c r="D1419" s="12" t="n">
        <x:v>0.2067</x:v>
      </x:c>
      <x:c r="E1419" s="12" t="n">
        <x:v>0.002065010850841763</x:v>
      </x:c>
      <x:c r="F1419" s="13" t="n">
        <x:v>44707</x:v>
      </x:c>
      <x:c r="G1419" s="12" t="n">
        <x:v>4.38</x:v>
      </x:c>
      <x:c r="H1419" s="12" t="n">
        <x:v>438</x:v>
      </x:c>
      <x:c r="I1419" s="12" t="n">
        <x:v>-36</x:v>
      </x:c>
      <x:c r="J1419" s="12" t="n">
        <x:v>1</x:v>
      </x:c>
    </x:row>
    <x:row r="1420" ht="18" customHeight="1">
      <x:c r="A1420" s="13" t="n">
        <x:v>44711</x:v>
      </x:c>
      <x:c r="B1420" s="12" t="n">
        <x:v>4029.0179</x:v>
      </x:c>
      <x:c r="C1420" s="12" t="n">
        <x:v>4001.2988</x:v>
      </x:c>
      <x:c r="D1420" s="12" t="n">
        <x:v>0.6928</x:v>
      </x:c>
      <x:c r="E1420" s="12" t="n">
        <x:v>0.006903640572861194</x:v>
      </x:c>
      <x:c r="F1420" s="13" t="n">
        <x:v>44708</x:v>
      </x:c>
      <x:c r="G1420" s="12" t="n">
        <x:v>4.19</x:v>
      </x:c>
      <x:c r="H1420" s="12" t="n">
        <x:v>419.00000000000006</x:v>
      </x:c>
      <x:c r="I1420" s="12" t="n">
        <x:v>-18.999999999999943</x:v>
      </x:c>
      <x:c r="J1420" s="12" t="n">
        <x:v>3</x:v>
      </x:c>
    </x:row>
    <x:row r="1421" ht="18" customHeight="1">
      <x:c r="A1421" s="13" t="n">
        <x:v>44712</x:v>
      </x:c>
      <x:c r="B1421" s="12" t="n">
        <x:v>4091.5176</x:v>
      </x:c>
      <x:c r="C1421" s="12" t="n">
        <x:v>4029.0179</x:v>
      </x:c>
      <x:c r="D1421" s="12" t="n">
        <x:v>1.5512</x:v>
      </x:c>
      <x:c r="E1421" s="12" t="n">
        <x:v>0.015393303587812266</x:v>
      </x:c>
      <x:c r="F1421" s="13" t="n">
        <x:v>44711</x:v>
      </x:c>
      <x:c r="G1421" s="12" t="n">
        <x:v>4.19</x:v>
      </x:c>
      <x:c r="H1421" s="12" t="n">
        <x:v>419.00000000000006</x:v>
      </x:c>
      <x:c r="I1421" s="12" t="n">
        <x:v>0</x:v>
      </x:c>
      <x:c r="J1421" s="12" t="n">
        <x:v>1</x:v>
      </x:c>
    </x:row>
    <x:row r="1422" ht="18" customHeight="1">
      <x:c r="A1422" s="13" t="n">
        <x:v>44713</x:v>
      </x:c>
      <x:c r="B1422" s="12" t="n">
        <x:v>4083.1772</x:v>
      </x:c>
      <x:c r="C1422" s="12" t="n">
        <x:v>4091.5176</x:v>
      </x:c>
      <x:c r="D1422" s="12" t="n">
        <x:v>-0.2038</x:v>
      </x:c>
      <x:c r="E1422" s="12" t="n">
        <x:v>-0.0020405417200374844</x:v>
      </x:c>
      <x:c r="F1422" s="13" t="n">
        <x:v>44712</x:v>
      </x:c>
      <x:c r="G1422" s="12" t="n">
        <x:v>4.22</x:v>
      </x:c>
      <x:c r="H1422" s="12" t="n">
        <x:v>422</x:v>
      </x:c>
      <x:c r="I1422" s="12" t="n">
        <x:v>2.999999999999943</x:v>
      </x:c>
      <x:c r="J1422" s="12" t="n">
        <x:v>1</x:v>
      </x:c>
    </x:row>
    <x:row r="1423" ht="18" customHeight="1">
      <x:c r="A1423" s="13" t="n">
        <x:v>44714</x:v>
      </x:c>
      <x:c r="B1423" s="12" t="n">
        <x:v>4089.5682</x:v>
      </x:c>
      <x:c r="C1423" s="12" t="n">
        <x:v>4083.1772</x:v>
      </x:c>
      <x:c r="D1423" s="12" t="n">
        <x:v>0.1565</x:v>
      </x:c>
      <x:c r="E1423" s="12" t="n">
        <x:v>0.0015639790523059368</x:v>
      </x:c>
      <x:c r="F1423" s="13" t="n">
        <x:v>44713</x:v>
      </x:c>
      <x:c r="G1423" s="12" t="n">
        <x:v>4.13</x:v>
      </x:c>
      <x:c r="H1423" s="12" t="n">
        <x:v>413</x:v>
      </x:c>
      <x:c r="I1423" s="12" t="n">
        <x:v>-9</x:v>
      </x:c>
      <x:c r="J1423" s="12" t="n">
        <x:v>1</x:v>
      </x:c>
    </x:row>
    <x:row r="1424" ht="18" customHeight="1">
      <x:c r="A1424" s="13" t="n">
        <x:v>44718</x:v>
      </x:c>
      <x:c r="B1424" s="12" t="n">
        <x:v>4166.085</x:v>
      </x:c>
      <x:c r="C1424" s="12" t="n">
        <x:v>4089.5682</x:v>
      </x:c>
      <x:c r="D1424" s="12" t="n">
        <x:v>1.871</x:v>
      </x:c>
      <x:c r="E1424" s="12" t="n">
        <x:v>0.01853735598596303</x:v>
      </x:c>
      <x:c r="F1424" s="13" t="n">
        <x:v>44715</x:v>
      </x:c>
      <x:c r="G1424" s="12" t="n">
        <x:v>4.21</x:v>
      </x:c>
      <x:c r="H1424" s="12" t="n">
        <x:v>421</x:v>
      </x:c>
      <x:c r="I1424" s="12" t="n">
        <x:v>5.999999999999943</x:v>
      </x:c>
      <x:c r="J1424" s="12" t="n">
        <x:v>3</x:v>
      </x:c>
    </x:row>
    <x:row r="1425" ht="18" customHeight="1">
      <x:c r="A1425" s="13" t="n">
        <x:v>44719</x:v>
      </x:c>
      <x:c r="B1425" s="12" t="n">
        <x:v>4179.1285</x:v>
      </x:c>
      <x:c r="C1425" s="12" t="n">
        <x:v>4166.085</x:v>
      </x:c>
      <x:c r="D1425" s="12" t="n">
        <x:v>0.3131</x:v>
      </x:c>
      <x:c r="E1425" s="12" t="n">
        <x:v>0.0031259860808895245</x:v>
      </x:c>
      <x:c r="F1425" s="13" t="n">
        <x:v>44718</x:v>
      </x:c>
      <x:c r="G1425" s="12" t="n">
        <x:v>4.19</x:v>
      </x:c>
      <x:c r="H1425" s="12" t="n">
        <x:v>419.00000000000006</x:v>
      </x:c>
      <x:c r="I1425" s="12" t="n">
        <x:v>-1.9999999999999432</x:v>
      </x:c>
      <x:c r="J1425" s="12" t="n">
        <x:v>1</x:v>
      </x:c>
    </x:row>
    <x:row r="1426" ht="18" customHeight="1">
      <x:c r="A1426" s="13" t="n">
        <x:v>44720</x:v>
      </x:c>
      <x:c r="B1426" s="12" t="n">
        <x:v>4219.8122</x:v>
      </x:c>
      <x:c r="C1426" s="12" t="n">
        <x:v>4179.1285</x:v>
      </x:c>
      <x:c r="D1426" s="12" t="n">
        <x:v>0.9735</x:v>
      </x:c>
      <x:c r="E1426" s="12" t="n">
        <x:v>0.009687892711944179</x:v>
      </x:c>
      <x:c r="F1426" s="13" t="n">
        <x:v>44719</x:v>
      </x:c>
      <x:c r="G1426" s="12" t="n">
        <x:v>4.34</x:v>
      </x:c>
      <x:c r="H1426" s="12" t="n">
        <x:v>434</x:v>
      </x:c>
      <x:c r="I1426" s="12" t="n">
        <x:v>14.999999999999943</x:v>
      </x:c>
      <x:c r="J1426" s="12" t="n">
        <x:v>1</x:v>
      </x:c>
    </x:row>
    <x:row r="1427" ht="18" customHeight="1">
      <x:c r="A1427" s="13" t="n">
        <x:v>44721</x:v>
      </x:c>
      <x:c r="B1427" s="12" t="n">
        <x:v>4175.6747</x:v>
      </x:c>
      <x:c r="C1427" s="12" t="n">
        <x:v>4219.8122</x:v>
      </x:c>
      <x:c r="D1427" s="12" t="n">
        <x:v>-1.046</x:v>
      </x:c>
      <x:c r="E1427" s="12" t="n">
        <x:v>-0.010514674651401995</x:v>
      </x:c>
      <x:c r="F1427" s="13" t="n">
        <x:v>44720</x:v>
      </x:c>
      <x:c r="G1427" s="12" t="n">
        <x:v>4.34</x:v>
      </x:c>
      <x:c r="H1427" s="12" t="n">
        <x:v>434</x:v>
      </x:c>
      <x:c r="I1427" s="12" t="n">
        <x:v>0</x:v>
      </x:c>
      <x:c r="J1427" s="12" t="n">
        <x:v>1</x:v>
      </x:c>
    </x:row>
    <x:row r="1428" ht="18" customHeight="1">
      <x:c r="A1428" s="13" t="n">
        <x:v>44722</x:v>
      </x:c>
      <x:c r="B1428" s="12" t="n">
        <x:v>4238.9936</x:v>
      </x:c>
      <x:c r="C1428" s="12" t="n">
        <x:v>4175.6747</x:v>
      </x:c>
      <x:c r="D1428" s="12" t="n">
        <x:v>1.5164</x:v>
      </x:c>
      <x:c r="E1428" s="12" t="n">
        <x:v>0.01504993254272511</x:v>
      </x:c>
      <x:c r="F1428" s="13" t="n">
        <x:v>44721</x:v>
      </x:c>
      <x:c r="G1428" s="12" t="n">
        <x:v>4.42</x:v>
      </x:c>
      <x:c r="H1428" s="12" t="n">
        <x:v>442</x:v>
      </x:c>
      <x:c r="I1428" s="12" t="n">
        <x:v>8</x:v>
      </x:c>
      <x:c r="J1428" s="12" t="n">
        <x:v>1</x:v>
      </x:c>
    </x:row>
    <x:row r="1429" ht="18" customHeight="1">
      <x:c r="A1429" s="13" t="n">
        <x:v>44725</x:v>
      </x:c>
      <x:c r="B1429" s="12" t="n">
        <x:v>4189.3527</x:v>
      </x:c>
      <x:c r="C1429" s="12" t="n">
        <x:v>4238.9936</x:v>
      </x:c>
      <x:c r="D1429" s="12" t="n">
        <x:v>-1.1711</x:v>
      </x:c>
      <x:c r="E1429" s="12" t="n">
        <x:v>-0.011779647453103595</x:v>
      </x:c>
      <x:c r="F1429" s="13" t="n">
        <x:v>44722</x:v>
      </x:c>
      <x:c r="G1429" s="12" t="n">
        <x:v>4.51</x:v>
      </x:c>
      <x:c r="H1429" s="12" t="n">
        <x:v>451</x:v>
      </x:c>
      <x:c r="I1429" s="12" t="n">
        <x:v>9</x:v>
      </x:c>
      <x:c r="J1429" s="12" t="n">
        <x:v>3</x:v>
      </x:c>
    </x:row>
    <x:row r="1430" ht="18" customHeight="1">
      <x:c r="A1430" s="13" t="n">
        <x:v>44726</x:v>
      </x:c>
      <x:c r="B1430" s="12" t="n">
        <x:v>4222.3114</x:v>
      </x:c>
      <x:c r="C1430" s="12" t="n">
        <x:v>4189.3527</x:v>
      </x:c>
      <x:c r="D1430" s="12" t="n">
        <x:v>0.7867</x:v>
      </x:c>
      <x:c r="E1430" s="12" t="n">
        <x:v>0.007836468093539762</x:v>
      </x:c>
      <x:c r="F1430" s="13" t="n">
        <x:v>44725</x:v>
      </x:c>
      <x:c r="G1430" s="12" t="n">
        <x:v>4.87</x:v>
      </x:c>
      <x:c r="H1430" s="12" t="n">
        <x:v>487</x:v>
      </x:c>
      <x:c r="I1430" s="12" t="n">
        <x:v>36</x:v>
      </x:c>
      <x:c r="J1430" s="12" t="n">
        <x:v>1</x:v>
      </x:c>
    </x:row>
    <x:row r="1431" ht="18" customHeight="1">
      <x:c r="A1431" s="13" t="n">
        <x:v>44727</x:v>
      </x:c>
      <x:c r="B1431" s="12" t="n">
        <x:v>4278.2178</x:v>
      </x:c>
      <x:c r="C1431" s="12" t="n">
        <x:v>4222.3114</x:v>
      </x:c>
      <x:c r="D1431" s="12" t="n">
        <x:v>1.3241</x:v>
      </x:c>
      <x:c r="E1431" s="12" t="n">
        <x:v>0.013153817785462499</x:v>
      </x:c>
      <x:c r="F1431" s="13" t="n">
        <x:v>44726</x:v>
      </x:c>
      <x:c r="G1431" s="12" t="n">
        <x:v>4.9</x:v>
      </x:c>
      <x:c r="H1431" s="12" t="n">
        <x:v>490.00000000000006</x:v>
      </x:c>
      <x:c r="I1431" s="12" t="n">
        <x:v>3.000000000000057</x:v>
      </x:c>
      <x:c r="J1431" s="12" t="n">
        <x:v>1</x:v>
      </x:c>
    </x:row>
    <x:row r="1432" ht="18" customHeight="1">
      <x:c r="A1432" s="13" t="n">
        <x:v>44728</x:v>
      </x:c>
      <x:c r="B1432" s="12" t="n">
        <x:v>4250.0614</x:v>
      </x:c>
      <x:c r="C1432" s="12" t="n">
        <x:v>4278.2178</x:v>
      </x:c>
      <x:c r="D1432" s="12" t="n">
        <x:v>-0.6581</x:v>
      </x:c>
      <x:c r="E1432" s="12" t="n">
        <x:v>-0.006603091114422981</x:v>
      </x:c>
      <x:c r="F1432" s="13" t="n">
        <x:v>44727</x:v>
      </x:c>
      <x:c r="G1432" s="12" t="n">
        <x:v>4.82</x:v>
      </x:c>
      <x:c r="H1432" s="12" t="n">
        <x:v>482</x:v>
      </x:c>
      <x:c r="I1432" s="12" t="n">
        <x:v>-8.000000000000057</x:v>
      </x:c>
      <x:c r="J1432" s="12" t="n">
        <x:v>1</x:v>
      </x:c>
    </x:row>
    <x:row r="1433" ht="18" customHeight="1">
      <x:c r="A1433" s="13" t="n">
        <x:v>44729</x:v>
      </x:c>
      <x:c r="B1433" s="12" t="n">
        <x:v>4309.0444</x:v>
      </x:c>
      <x:c r="C1433" s="12" t="n">
        <x:v>4250.0614</x:v>
      </x:c>
      <x:c r="D1433" s="12" t="n">
        <x:v>1.3878</x:v>
      </x:c>
      <x:c r="E1433" s="12" t="n">
        <x:v>0.013782732704676438</x:v>
      </x:c>
      <x:c r="F1433" s="13" t="n">
        <x:v>44728</x:v>
      </x:c>
      <x:c r="G1433" s="12" t="n">
        <x:v>5.17</x:v>
      </x:c>
      <x:c r="H1433" s="12" t="n">
        <x:v>517</x:v>
      </x:c>
      <x:c r="I1433" s="12" t="n">
        <x:v>35</x:v>
      </x:c>
      <x:c r="J1433" s="12" t="n">
        <x:v>1</x:v>
      </x:c>
    </x:row>
    <x:row r="1434" ht="18" customHeight="1">
      <x:c r="A1434" s="13" t="n">
        <x:v>44732</x:v>
      </x:c>
      <x:c r="B1434" s="12" t="n">
        <x:v>4330.4328</x:v>
      </x:c>
      <x:c r="C1434" s="12" t="n">
        <x:v>4309.0444</x:v>
      </x:c>
      <x:c r="D1434" s="12" t="n">
        <x:v>0.4964</x:v>
      </x:c>
      <x:c r="E1434" s="12" t="n">
        <x:v>0.004951328234505022</x:v>
      </x:c>
      <x:c r="F1434" s="13" t="n">
        <x:v>44729</x:v>
      </x:c>
      <x:c r="G1434" s="12" t="n">
        <x:v>5.15</x:v>
      </x:c>
      <x:c r="H1434" s="12" t="n">
        <x:v>515</x:v>
      </x:c>
      <x:c r="I1434" s="12" t="n">
        <x:v>-2</x:v>
      </x:c>
      <x:c r="J1434" s="12" t="n">
        <x:v>3</x:v>
      </x:c>
    </x:row>
    <x:row r="1435" ht="18" customHeight="1">
      <x:c r="A1435" s="13" t="n">
        <x:v>44733</x:v>
      </x:c>
      <x:c r="B1435" s="12" t="n">
        <x:v>4325.5657</x:v>
      </x:c>
      <x:c r="C1435" s="12" t="n">
        <x:v>4330.4328</x:v>
      </x:c>
      <x:c r="D1435" s="12" t="n">
        <x:v>-0.1124</x:v>
      </x:c>
      <x:c r="E1435" s="12" t="n">
        <x:v>-0.0011245613115404183</x:v>
      </x:c>
      <x:c r="F1435" s="13" t="n">
        <x:v>44732</x:v>
      </x:c>
      <x:c r="G1435" s="12" t="n">
        <x:v>5.15</x:v>
      </x:c>
      <x:c r="H1435" s="12" t="n">
        <x:v>515</x:v>
      </x:c>
      <x:c r="I1435" s="12" t="n">
        <x:v>0</x:v>
      </x:c>
      <x:c r="J1435" s="12" t="n">
        <x:v>1</x:v>
      </x:c>
    </x:row>
    <x:row r="1436" ht="18" customHeight="1">
      <x:c r="A1436" s="13" t="n">
        <x:v>44734</x:v>
      </x:c>
      <x:c r="B1436" s="12" t="n">
        <x:v>4270.6227</x:v>
      </x:c>
      <x:c r="C1436" s="12" t="n">
        <x:v>4325.5657</x:v>
      </x:c>
      <x:c r="D1436" s="12" t="n">
        <x:v>-1.2702</x:v>
      </x:c>
      <x:c r="E1436" s="12" t="n">
        <x:v>-0.012783281528528277</x:v>
      </x:c>
      <x:c r="F1436" s="13" t="n">
        <x:v>44733</x:v>
      </x:c>
      <x:c r="G1436" s="12" t="n">
        <x:v>5.05</x:v>
      </x:c>
      <x:c r="H1436" s="12" t="n">
        <x:v>505</x:v>
      </x:c>
      <x:c r="I1436" s="12" t="n">
        <x:v>-10</x:v>
      </x:c>
      <x:c r="J1436" s="12" t="n">
        <x:v>1</x:v>
      </x:c>
    </x:row>
    <x:row r="1437" ht="18" customHeight="1">
      <x:c r="A1437" s="13" t="n">
        <x:v>44735</x:v>
      </x:c>
      <x:c r="B1437" s="12" t="n">
        <x:v>4343.8781</x:v>
      </x:c>
      <x:c r="C1437" s="12" t="n">
        <x:v>4270.6227</x:v>
      </x:c>
      <x:c r="D1437" s="12" t="n">
        <x:v>1.7153</x:v>
      </x:c>
      <x:c r="E1437" s="12" t="n">
        <x:v>0.017007872553702612</x:v>
      </x:c>
      <x:c r="F1437" s="13" t="n">
        <x:v>44734</x:v>
      </x:c>
      <x:c r="G1437" s="12" t="n">
        <x:v>5.32</x:v>
      </x:c>
      <x:c r="H1437" s="12" t="n">
        <x:v>532</x:v>
      </x:c>
      <x:c r="I1437" s="12" t="n">
        <x:v>27</x:v>
      </x:c>
      <x:c r="J1437" s="12" t="n">
        <x:v>1</x:v>
      </x:c>
    </x:row>
    <x:row r="1438" ht="18" customHeight="1">
      <x:c r="A1438" s="13" t="n">
        <x:v>44736</x:v>
      </x:c>
      <x:c r="B1438" s="12" t="n">
        <x:v>4394.7723</x:v>
      </x:c>
      <x:c r="C1438" s="12" t="n">
        <x:v>4343.8781</x:v>
      </x:c>
      <x:c r="D1438" s="12" t="n">
        <x:v>1.1716</x:v>
      </x:c>
      <x:c r="E1438" s="12" t="n">
        <x:v>0.011648200377687492</x:v>
      </x:c>
      <x:c r="F1438" s="13" t="n">
        <x:v>44735</x:v>
      </x:c>
      <x:c r="G1438" s="12" t="n">
        <x:v>5.38</x:v>
      </x:c>
      <x:c r="H1438" s="12" t="n">
        <x:v>538</x:v>
      </x:c>
      <x:c r="I1438" s="12" t="n">
        <x:v>6</x:v>
      </x:c>
      <x:c r="J1438" s="12" t="n">
        <x:v>1</x:v>
      </x:c>
    </x:row>
    <x:row r="1439" ht="18" customHeight="1">
      <x:c r="A1439" s="13" t="n">
        <x:v>44739</x:v>
      </x:c>
      <x:c r="B1439" s="12" t="n">
        <x:v>4444.2639</x:v>
      </x:c>
      <x:c r="C1439" s="12" t="n">
        <x:v>4394.7723</x:v>
      </x:c>
      <x:c r="D1439" s="12" t="n">
        <x:v>1.1261</x:v>
      </x:c>
      <x:c r="E1439" s="12" t="n">
        <x:v>0.01119853253130678</x:v>
      </x:c>
      <x:c r="F1439" s="13" t="n">
        <x:v>44736</x:v>
      </x:c>
      <x:c r="G1439" s="12" t="n">
        <x:v>5.18</x:v>
      </x:c>
      <x:c r="H1439" s="12" t="n">
        <x:v>518</x:v>
      </x:c>
      <x:c r="I1439" s="12" t="n">
        <x:v>-20</x:v>
      </x:c>
      <x:c r="J1439" s="12" t="n">
        <x:v>3</x:v>
      </x:c>
    </x:row>
    <x:row r="1440" ht="18" customHeight="1">
      <x:c r="A1440" s="13" t="n">
        <x:v>44740</x:v>
      </x:c>
      <x:c r="B1440" s="12" t="n">
        <x:v>4490.5166</x:v>
      </x:c>
      <x:c r="C1440" s="12" t="n">
        <x:v>4444.2639</x:v>
      </x:c>
      <x:c r="D1440" s="12" t="n">
        <x:v>1.0407</x:v>
      </x:c>
      <x:c r="E1440" s="12" t="n">
        <x:v>0.010353497362452436</x:v>
      </x:c>
      <x:c r="F1440" s="13" t="n">
        <x:v>44739</x:v>
      </x:c>
      <x:c r="G1440" s="12" t="n">
        <x:v>5.11</x:v>
      </x:c>
      <x:c r="H1440" s="12" t="n">
        <x:v>511.00000000000006</x:v>
      </x:c>
      <x:c r="I1440" s="12" t="n">
        <x:v>-6.999999999999943</x:v>
      </x:c>
      <x:c r="J1440" s="12" t="n">
        <x:v>1</x:v>
      </x:c>
    </x:row>
    <x:row r="1441" ht="18" customHeight="1">
      <x:c r="A1441" s="13" t="n">
        <x:v>44741</x:v>
      </x:c>
      <x:c r="B1441" s="12" t="n">
        <x:v>4421.357</x:v>
      </x:c>
      <x:c r="C1441" s="12" t="n">
        <x:v>4490.5166</x:v>
      </x:c>
      <x:c r="D1441" s="12" t="n">
        <x:v>-1.5401</x:v>
      </x:c>
      <x:c r="E1441" s="12" t="n">
        <x:v>-0.01552108826980948</x:v>
      </x:c>
      <x:c r="F1441" s="13" t="n">
        <x:v>44740</x:v>
      </x:c>
      <x:c r="G1441" s="12" t="n">
        <x:v>5.26</x:v>
      </x:c>
      <x:c r="H1441" s="12" t="n">
        <x:v>526</x:v>
      </x:c>
      <x:c r="I1441" s="12" t="n">
        <x:v>14.999999999999943</x:v>
      </x:c>
      <x:c r="J1441" s="12" t="n">
        <x:v>1</x:v>
      </x:c>
    </x:row>
    <x:row r="1442" ht="18" customHeight="1">
      <x:c r="A1442" s="13" t="n">
        <x:v>44742</x:v>
      </x:c>
      <x:c r="B1442" s="12" t="n">
        <x:v>4485.0108</x:v>
      </x:c>
      <x:c r="C1442" s="12" t="n">
        <x:v>4421.357</x:v>
      </x:c>
      <x:c r="D1442" s="12" t="n">
        <x:v>1.4397</x:v>
      </x:c>
      <x:c r="E1442" s="12" t="n">
        <x:v>0.014294240989372303</x:v>
      </x:c>
      <x:c r="F1442" s="13" t="n">
        <x:v>44741</x:v>
      </x:c>
      <x:c r="G1442" s="12" t="n">
        <x:v>5.62</x:v>
      </x:c>
      <x:c r="H1442" s="12" t="n">
        <x:v>562</x:v>
      </x:c>
      <x:c r="I1442" s="12" t="n">
        <x:v>36</x:v>
      </x:c>
      <x:c r="J1442" s="12" t="n">
        <x:v>1</x:v>
      </x:c>
    </x:row>
    <x:row r="1443" ht="18" customHeight="1">
      <x:c r="A1443" s="13" t="n">
        <x:v>44743</x:v>
      </x:c>
      <x:c r="B1443" s="12" t="n">
        <x:v>4466.7179</x:v>
      </x:c>
      <x:c r="C1443" s="12" t="n">
        <x:v>4485.0108</x:v>
      </x:c>
      <x:c r="D1443" s="12" t="n">
        <x:v>-0.4079</x:v>
      </x:c>
      <x:c r="E1443" s="12" t="n">
        <x:v>-0.004087015162388046</x:v>
      </x:c>
      <x:c r="F1443" s="13" t="n">
        <x:v>44742</x:v>
      </x:c>
      <x:c r="G1443" s="12" t="n">
        <x:v>5.87</x:v>
      </x:c>
      <x:c r="H1443" s="12" t="n">
        <x:v>587</x:v>
      </x:c>
      <x:c r="I1443" s="12" t="n">
        <x:v>25</x:v>
      </x:c>
      <x:c r="J1443" s="12" t="n">
        <x:v>1</x:v>
      </x:c>
    </x:row>
    <x:row r="1444" ht="18" customHeight="1">
      <x:c r="A1444" s="13" t="n">
        <x:v>44746</x:v>
      </x:c>
      <x:c r="B1444" s="12" t="n">
        <x:v>4496.0303</x:v>
      </x:c>
      <x:c r="C1444" s="12" t="n">
        <x:v>4466.7179</x:v>
      </x:c>
      <x:c r="D1444" s="12" t="n">
        <x:v>0.6562</x:v>
      </x:c>
      <x:c r="E1444" s="12" t="n">
        <x:v>0.0065409635202963844</x:v>
      </x:c>
      <x:c r="F1444" s="13" t="n">
        <x:v>44743</x:v>
      </x:c>
      <x:c r="G1444" s="12" t="n">
        <x:v>5.92</x:v>
      </x:c>
      <x:c r="H1444" s="12" t="n">
        <x:v>592</x:v>
      </x:c>
      <x:c r="I1444" s="12" t="n">
        <x:v>5</x:v>
      </x:c>
      <x:c r="J1444" s="12" t="n">
        <x:v>3</x:v>
      </x:c>
    </x:row>
    <x:row r="1445" ht="18" customHeight="1">
      <x:c r="A1445" s="13" t="n">
        <x:v>44747</x:v>
      </x:c>
      <x:c r="B1445" s="12" t="n">
        <x:v>4489.5383</x:v>
      </x:c>
      <x:c r="C1445" s="12" t="n">
        <x:v>4496.0303</x:v>
      </x:c>
      <x:c r="D1445" s="12" t="n">
        <x:v>-0.1444</x:v>
      </x:c>
      <x:c r="E1445" s="12" t="n">
        <x:v>-0.0014449839333698677</x:v>
      </x:c>
      <x:c r="F1445" s="13" t="n">
        <x:v>44746</x:v>
      </x:c>
      <x:c r="G1445" s="12" t="n">
        <x:v>5.93</x:v>
      </x:c>
      <x:c r="H1445" s="12" t="n">
        <x:v>593</x:v>
      </x:c>
      <x:c r="I1445" s="12" t="n">
        <x:v>1</x:v>
      </x:c>
      <x:c r="J1445" s="12" t="n">
        <x:v>1</x:v>
      </x:c>
    </x:row>
    <x:row r="1446" ht="18" customHeight="1">
      <x:c r="A1446" s="13" t="n">
        <x:v>44748</x:v>
      </x:c>
      <x:c r="B1446" s="12" t="n">
        <x:v>4423.9698</x:v>
      </x:c>
      <x:c r="C1446" s="12" t="n">
        <x:v>4489.5383</x:v>
      </x:c>
      <x:c r="D1446" s="12" t="n">
        <x:v>-1.4605</x:v>
      </x:c>
      <x:c r="E1446" s="12" t="n">
        <x:v>-0.014712430163867453</x:v>
      </x:c>
      <x:c r="F1446" s="13" t="n">
        <x:v>44747</x:v>
      </x:c>
      <x:c r="G1446" s="12" t="n">
        <x:v>5.99</x:v>
      </x:c>
      <x:c r="H1446" s="12" t="n">
        <x:v>599</x:v>
      </x:c>
      <x:c r="I1446" s="12" t="n">
        <x:v>6</x:v>
      </x:c>
      <x:c r="J1446" s="12" t="n">
        <x:v>1</x:v>
      </x:c>
    </x:row>
    <x:row r="1447" ht="18" customHeight="1">
      <x:c r="A1447" s="13" t="n">
        <x:v>44749</x:v>
      </x:c>
      <x:c r="B1447" s="12" t="n">
        <x:v>4443.4736</x:v>
      </x:c>
      <x:c r="C1447" s="12" t="n">
        <x:v>4423.9698</x:v>
      </x:c>
      <x:c r="D1447" s="12" t="n">
        <x:v>0.4409</x:v>
      </x:c>
      <x:c r="E1447" s="12" t="n">
        <x:v>0.004398975120938163</x:v>
      </x:c>
      <x:c r="F1447" s="13" t="n">
        <x:v>44748</x:v>
      </x:c>
      <x:c r="G1447" s="12" t="n">
        <x:v>5.8</x:v>
      </x:c>
      <x:c r="H1447" s="12" t="n">
        <x:v>580</x:v>
      </x:c>
      <x:c r="I1447" s="12" t="n">
        <x:v>-19</x:v>
      </x:c>
      <x:c r="J1447" s="12" t="n">
        <x:v>1</x:v>
      </x:c>
    </x:row>
    <x:row r="1448" ht="18" customHeight="1">
      <x:c r="A1448" s="13" t="n">
        <x:v>44750</x:v>
      </x:c>
      <x:c r="B1448" s="12" t="n">
        <x:v>4428.781</x:v>
      </x:c>
      <x:c r="C1448" s="12" t="n">
        <x:v>4443.4736</x:v>
      </x:c>
      <x:c r="D1448" s="12" t="n">
        <x:v>-0.3307</x:v>
      </x:c>
      <x:c r="E1448" s="12" t="n">
        <x:v>-0.0033120360254251173</x:v>
      </x:c>
      <x:c r="F1448" s="13" t="n">
        <x:v>44749</x:v>
      </x:c>
      <x:c r="G1448" s="12" t="n">
        <x:v>5.5</x:v>
      </x:c>
      <x:c r="H1448" s="12" t="n">
        <x:v>550</x:v>
      </x:c>
      <x:c r="I1448" s="12" t="n">
        <x:v>-30</x:v>
      </x:c>
      <x:c r="J1448" s="12" t="n">
        <x:v>1</x:v>
      </x:c>
    </x:row>
    <x:row r="1449" ht="18" customHeight="1">
      <x:c r="A1449" s="13" t="n">
        <x:v>44753</x:v>
      </x:c>
      <x:c r="B1449" s="12" t="n">
        <x:v>4354.6167</x:v>
      </x:c>
      <x:c r="C1449" s="12" t="n">
        <x:v>4428.781</x:v>
      </x:c>
      <x:c r="D1449" s="12" t="n">
        <x:v>-1.6746</x:v>
      </x:c>
      <x:c r="E1449" s="12" t="n">
        <x:v>-0.016887784237041334</x:v>
      </x:c>
      <x:c r="F1449" s="13" t="n">
        <x:v>44750</x:v>
      </x:c>
      <x:c r="G1449" s="12" t="n">
        <x:v>5.36</x:v>
      </x:c>
      <x:c r="H1449" s="12" t="n">
        <x:v>536</x:v>
      </x:c>
      <x:c r="I1449" s="12" t="n">
        <x:v>-14</x:v>
      </x:c>
      <x:c r="J1449" s="12" t="n">
        <x:v>3</x:v>
      </x:c>
    </x:row>
    <x:row r="1450" ht="18" customHeight="1">
      <x:c r="A1450" s="13" t="n">
        <x:v>44754</x:v>
      </x:c>
      <x:c r="B1450" s="12" t="n">
        <x:v>4313.6184</x:v>
      </x:c>
      <x:c r="C1450" s="12" t="n">
        <x:v>4354.6167</x:v>
      </x:c>
      <x:c r="D1450" s="12" t="n">
        <x:v>-0.9415</x:v>
      </x:c>
      <x:c r="E1450" s="12" t="n">
        <x:v>-0.009459504788425098</x:v>
      </x:c>
      <x:c r="F1450" s="13" t="n">
        <x:v>44753</x:v>
      </x:c>
      <x:c r="G1450" s="12" t="n">
        <x:v>5.44</x:v>
      </x:c>
      <x:c r="H1450" s="12" t="n">
        <x:v>544</x:v>
      </x:c>
      <x:c r="I1450" s="12" t="n">
        <x:v>8</x:v>
      </x:c>
      <x:c r="J1450" s="12" t="n">
        <x:v>1</x:v>
      </x:c>
    </x:row>
    <x:row r="1451" ht="18" customHeight="1">
      <x:c r="A1451" s="13" t="n">
        <x:v>44755</x:v>
      </x:c>
      <x:c r="B1451" s="12" t="n">
        <x:v>4321.4617</x:v>
      </x:c>
      <x:c r="C1451" s="12" t="n">
        <x:v>4313.6184</x:v>
      </x:c>
      <x:c r="D1451" s="12" t="n">
        <x:v>0.1818</x:v>
      </x:c>
      <x:c r="E1451" s="12" t="n">
        <x:v>0.0018166136425214962</x:v>
      </x:c>
      <x:c r="F1451" s="13" t="n">
        <x:v>44754</x:v>
      </x:c>
      <x:c r="G1451" s="12" t="n">
        <x:v>5.43</x:v>
      </x:c>
      <x:c r="H1451" s="12" t="n">
        <x:v>543</x:v>
      </x:c>
      <x:c r="I1451" s="12" t="n">
        <x:v>-1</x:v>
      </x:c>
      <x:c r="J1451" s="12" t="n">
        <x:v>1</x:v>
      </x:c>
    </x:row>
    <x:row r="1452" ht="18" customHeight="1">
      <x:c r="A1452" s="13" t="n">
        <x:v>44756</x:v>
      </x:c>
      <x:c r="B1452" s="12" t="n">
        <x:v>4322.0742</x:v>
      </x:c>
      <x:c r="C1452" s="12" t="n">
        <x:v>4321.4617</x:v>
      </x:c>
      <x:c r="D1452" s="12" t="n">
        <x:v>0.0142</x:v>
      </x:c>
      <x:c r="E1452" s="12" t="n">
        <x:v>0.0001417244072591004</x:v>
      </x:c>
      <x:c r="F1452" s="13" t="n">
        <x:v>44755</x:v>
      </x:c>
      <x:c r="G1452" s="12" t="n">
        <x:v>5.47</x:v>
      </x:c>
      <x:c r="H1452" s="12" t="n">
        <x:v>547</x:v>
      </x:c>
      <x:c r="I1452" s="12" t="n">
        <x:v>4</x:v>
      </x:c>
      <x:c r="J1452" s="12" t="n">
        <x:v>1</x:v>
      </x:c>
    </x:row>
    <x:row r="1453" ht="18" customHeight="1">
      <x:c r="A1453" s="13" t="n">
        <x:v>44757</x:v>
      </x:c>
      <x:c r="B1453" s="12" t="n">
        <x:v>4248.5273</x:v>
      </x:c>
      <x:c r="C1453" s="12" t="n">
        <x:v>4322.0742</x:v>
      </x:c>
      <x:c r="D1453" s="12" t="n">
        <x:v>-1.7017</x:v>
      </x:c>
      <x:c r="E1453" s="12" t="n">
        <x:v>-0.017163020676960457</x:v>
      </x:c>
      <x:c r="F1453" s="13" t="n">
        <x:v>44756</x:v>
      </x:c>
      <x:c r="G1453" s="12" t="n">
        <x:v>5.53</x:v>
      </x:c>
      <x:c r="H1453" s="12" t="n">
        <x:v>553</x:v>
      </x:c>
      <x:c r="I1453" s="12" t="n">
        <x:v>6</x:v>
      </x:c>
      <x:c r="J1453" s="12" t="n">
        <x:v>1</x:v>
      </x:c>
    </x:row>
    <x:row r="1454" ht="18" customHeight="1">
      <x:c r="A1454" s="13" t="n">
        <x:v>44760</x:v>
      </x:c>
      <x:c r="B1454" s="12" t="n">
        <x:v>4292.5858</x:v>
      </x:c>
      <x:c r="C1454" s="12" t="n">
        <x:v>4248.5273</x:v>
      </x:c>
      <x:c r="D1454" s="12" t="n">
        <x:v>1.037</x:v>
      </x:c>
      <x:c r="E1454" s="12" t="n">
        <x:v>0.010316896703351534</x:v>
      </x:c>
      <x:c r="F1454" s="13" t="n">
        <x:v>44757</x:v>
      </x:c>
      <x:c r="G1454" s="12" t="n">
        <x:v>5.39</x:v>
      </x:c>
      <x:c r="H1454" s="12" t="n">
        <x:v>539</x:v>
      </x:c>
      <x:c r="I1454" s="12" t="n">
        <x:v>-14</x:v>
      </x:c>
      <x:c r="J1454" s="12" t="n">
        <x:v>3</x:v>
      </x:c>
    </x:row>
    <x:row r="1455" ht="18" customHeight="1">
      <x:c r="A1455" s="13" t="n">
        <x:v>44761</x:v>
      </x:c>
      <x:c r="B1455" s="12" t="n">
        <x:v>4269.3401</x:v>
      </x:c>
      <x:c r="C1455" s="12" t="n">
        <x:v>4292.5858</x:v>
      </x:c>
      <x:c r="D1455" s="12" t="n">
        <x:v>-0.5415</x:v>
      </x:c>
      <x:c r="E1455" s="12" t="n">
        <x:v>-0.005430029969549267</x:v>
      </x:c>
      <x:c r="F1455" s="13" t="n">
        <x:v>44760</x:v>
      </x:c>
      <x:c r="G1455" s="12" t="n">
        <x:v>5.25</x:v>
      </x:c>
      <x:c r="H1455" s="12" t="n">
        <x:v>525</x:v>
      </x:c>
      <x:c r="I1455" s="12" t="n">
        <x:v>-14</x:v>
      </x:c>
      <x:c r="J1455" s="12" t="n">
        <x:v>1</x:v>
      </x:c>
    </x:row>
    <x:row r="1456" ht="18" customHeight="1">
      <x:c r="A1456" s="13" t="n">
        <x:v>44762</x:v>
      </x:c>
      <x:c r="B1456" s="12" t="n">
        <x:v>4283.8027</x:v>
      </x:c>
      <x:c r="C1456" s="12" t="n">
        <x:v>4269.3401</x:v>
      </x:c>
      <x:c r="D1456" s="12" t="n">
        <x:v>0.3388</x:v>
      </x:c>
      <x:c r="E1456" s="12" t="n">
        <x:v>0.0033818244642759895</x:v>
      </x:c>
      <x:c r="F1456" s="13" t="n">
        <x:v>44761</x:v>
      </x:c>
      <x:c r="G1456" s="12" t="n">
        <x:v>5.1</x:v>
      </x:c>
      <x:c r="H1456" s="12" t="n">
        <x:v>509.99999999999994</x:v>
      </x:c>
      <x:c r="I1456" s="12" t="n">
        <x:v>-15.000000000000057</x:v>
      </x:c>
      <x:c r="J1456" s="12" t="n">
        <x:v>1</x:v>
      </x:c>
    </x:row>
    <x:row r="1457" ht="18" customHeight="1">
      <x:c r="A1457" s="13" t="n">
        <x:v>44763</x:v>
      </x:c>
      <x:c r="B1457" s="12" t="n">
        <x:v>4236.0578</x:v>
      </x:c>
      <x:c r="C1457" s="12" t="n">
        <x:v>4283.8027</x:v>
      </x:c>
      <x:c r="D1457" s="12" t="n">
        <x:v>-1.1145</x:v>
      </x:c>
      <x:c r="E1457" s="12" t="n">
        <x:v>-0.011208023842099372</x:v>
      </x:c>
      <x:c r="F1457" s="13" t="n">
        <x:v>44762</x:v>
      </x:c>
      <x:c r="G1457" s="12" t="n">
        <x:v>4.9</x:v>
      </x:c>
      <x:c r="H1457" s="12" t="n">
        <x:v>490.00000000000006</x:v>
      </x:c>
      <x:c r="I1457" s="12" t="n">
        <x:v>-19.999999999999886</x:v>
      </x:c>
      <x:c r="J1457" s="12" t="n">
        <x:v>1</x:v>
      </x:c>
    </x:row>
    <x:row r="1458" ht="18" customHeight="1">
      <x:c r="A1458" s="13" t="n">
        <x:v>44764</x:v>
      </x:c>
      <x:c r="B1458" s="12" t="n">
        <x:v>4238.2341</x:v>
      </x:c>
      <x:c r="C1458" s="12" t="n">
        <x:v>4236.0578</x:v>
      </x:c>
      <x:c r="D1458" s="12" t="n">
        <x:v>0.0514</x:v>
      </x:c>
      <x:c r="E1458" s="12" t="n">
        <x:v>0.0005136240463570039</x:v>
      </x:c>
      <x:c r="F1458" s="13" t="n">
        <x:v>44763</x:v>
      </x:c>
      <x:c r="G1458" s="12" t="n">
        <x:v>4.99</x:v>
      </x:c>
      <x:c r="H1458" s="12" t="n">
        <x:v>499</x:v>
      </x:c>
      <x:c r="I1458" s="12" t="n">
        <x:v>8.999999999999943</x:v>
      </x:c>
      <x:c r="J1458" s="12" t="n">
        <x:v>1</x:v>
      </x:c>
    </x:row>
    <x:row r="1459" ht="18" customHeight="1">
      <x:c r="A1459" s="13" t="n">
        <x:v>44767</x:v>
      </x:c>
      <x:c r="B1459" s="12" t="n">
        <x:v>4212.6441</x:v>
      </x:c>
      <x:c r="C1459" s="12" t="n">
        <x:v>4238.2341</x:v>
      </x:c>
      <x:c r="D1459" s="12" t="n">
        <x:v>-0.6038</x:v>
      </x:c>
      <x:c r="E1459" s="12" t="n">
        <x:v>-0.006056193831946438</x:v>
      </x:c>
      <x:c r="F1459" s="13" t="n">
        <x:v>44764</x:v>
      </x:c>
      <x:c r="G1459" s="12" t="n">
        <x:v>4.96</x:v>
      </x:c>
      <x:c r="H1459" s="12" t="n">
        <x:v>496</x:v>
      </x:c>
      <x:c r="I1459" s="12" t="n">
        <x:v>-3</x:v>
      </x:c>
      <x:c r="J1459" s="12" t="n">
        <x:v>3</x:v>
      </x:c>
    </x:row>
    <x:row r="1460" ht="18" customHeight="1">
      <x:c r="A1460" s="13" t="n">
        <x:v>44768</x:v>
      </x:c>
      <x:c r="B1460" s="12" t="n">
        <x:v>4245.9758</x:v>
      </x:c>
      <x:c r="C1460" s="12" t="n">
        <x:v>4212.6441</x:v>
      </x:c>
      <x:c r="D1460" s="12" t="n">
        <x:v>0.7912</x:v>
      </x:c>
      <x:c r="E1460" s="12" t="n">
        <x:v>0.007881160974413862</x:v>
      </x:c>
      <x:c r="F1460" s="13" t="n">
        <x:v>44767</x:v>
      </x:c>
      <x:c r="G1460" s="12" t="n">
        <x:v>4.95</x:v>
      </x:c>
      <x:c r="H1460" s="12" t="n">
        <x:v>495</x:v>
      </x:c>
      <x:c r="I1460" s="12" t="n">
        <x:v>-1</x:v>
      </x:c>
      <x:c r="J1460" s="12" t="n">
        <x:v>1</x:v>
      </x:c>
    </x:row>
    <x:row r="1461" ht="18" customHeight="1">
      <x:c r="A1461" s="13" t="n">
        <x:v>44769</x:v>
      </x:c>
      <x:c r="B1461" s="12" t="n">
        <x:v>4225.0357</x:v>
      </x:c>
      <x:c r="C1461" s="12" t="n">
        <x:v>4245.9758</x:v>
      </x:c>
      <x:c r="D1461" s="12" t="n">
        <x:v>-0.4932</x:v>
      </x:c>
      <x:c r="E1461" s="12" t="n">
        <x:v>-0.004943953305376326</x:v>
      </x:c>
      <x:c r="F1461" s="13" t="n">
        <x:v>44768</x:v>
      </x:c>
      <x:c r="G1461" s="12" t="n">
        <x:v>5.06</x:v>
      </x:c>
      <x:c r="H1461" s="12" t="n">
        <x:v>505.99999999999994</x:v>
      </x:c>
      <x:c r="I1461" s="12" t="n">
        <x:v>10.999999999999943</x:v>
      </x:c>
      <x:c r="J1461" s="12" t="n">
        <x:v>1</x:v>
      </x:c>
    </x:row>
    <x:row r="1462" ht="18" customHeight="1">
      <x:c r="A1462" s="13" t="n">
        <x:v>44770</x:v>
      </x:c>
      <x:c r="B1462" s="12" t="n">
        <x:v>4225.6733</x:v>
      </x:c>
      <x:c r="C1462" s="12" t="n">
        <x:v>4225.0357</x:v>
      </x:c>
      <x:c r="D1462" s="12" t="n">
        <x:v>0.0151</x:v>
      </x:c>
      <x:c r="E1462" s="12" t="n">
        <x:v>0.000150898581695364</x:v>
      </x:c>
      <x:c r="F1462" s="13" t="n">
        <x:v>44769</x:v>
      </x:c>
      <x:c r="G1462" s="12" t="n">
        <x:v>5.07</x:v>
      </x:c>
      <x:c r="H1462" s="12" t="n">
        <x:v>507</x:v>
      </x:c>
      <x:c r="I1462" s="12" t="n">
        <x:v>1.0000000000000568</x:v>
      </x:c>
      <x:c r="J1462" s="12" t="n">
        <x:v>1</x:v>
      </x:c>
    </x:row>
    <x:row r="1463" ht="18" customHeight="1">
      <x:c r="A1463" s="13" t="n">
        <x:v>44771</x:v>
      </x:c>
      <x:c r="B1463" s="12" t="n">
        <x:v>4170.1019</x:v>
      </x:c>
      <x:c r="C1463" s="12" t="n">
        <x:v>4225.6733</x:v>
      </x:c>
      <x:c r="D1463" s="12" t="n">
        <x:v>-1.3151</x:v>
      </x:c>
      <x:c r="E1463" s="12" t="n">
        <x:v>-0.013238137096291935</x:v>
      </x:c>
      <x:c r="F1463" s="13" t="n">
        <x:v>44770</x:v>
      </x:c>
      <x:c r="G1463" s="12" t="n">
        <x:v>4.98</x:v>
      </x:c>
      <x:c r="H1463" s="12" t="n">
        <x:v>498.00000000000006</x:v>
      </x:c>
      <x:c r="I1463" s="12" t="n">
        <x:v>-8.999999999999943</x:v>
      </x:c>
      <x:c r="J1463" s="12" t="n">
        <x:v>1</x:v>
      </x:c>
    </x:row>
    <x:row r="1464" ht="18" customHeight="1">
      <x:c r="A1464" s="13" t="n">
        <x:v>44774</x:v>
      </x:c>
      <x:c r="B1464" s="12" t="n">
        <x:v>4188.6784</x:v>
      </x:c>
      <x:c r="C1464" s="12" t="n">
        <x:v>4170.1019</x:v>
      </x:c>
      <x:c r="D1464" s="12" t="n">
        <x:v>0.4455</x:v>
      </x:c>
      <x:c r="E1464" s="12" t="n">
        <x:v>0.004444794555351318</x:v>
      </x:c>
      <x:c r="F1464" s="13" t="n">
        <x:v>44773</x:v>
      </x:c>
      <x:c r="G1464" s="12" t="n">
        <x:v>4.83</x:v>
      </x:c>
      <x:c r="H1464" s="12" t="n">
        <x:v>483</x:v>
      </x:c>
      <x:c r="I1464" s="12" t="n">
        <x:v>6.000000000000057</x:v>
      </x:c>
      <x:c r="J1464" s="12" t="n">
        <x:v>1</x:v>
      </x:c>
    </x:row>
    <x:row r="1465" ht="18" customHeight="1">
      <x:c r="A1465" s="13" t="n">
        <x:v>44775</x:v>
      </x:c>
      <x:c r="B1465" s="12" t="n">
        <x:v>4107.024</x:v>
      </x:c>
      <x:c r="C1465" s="12" t="n">
        <x:v>4188.6784</x:v>
      </x:c>
      <x:c r="D1465" s="12" t="n">
        <x:v>-1.9494</x:v>
      </x:c>
      <x:c r="E1465" s="12" t="n">
        <x:v>-0.0196865878794687</x:v>
      </x:c>
      <x:c r="F1465" s="13" t="n">
        <x:v>44774</x:v>
      </x:c>
      <x:c r="G1465" s="12" t="n">
        <x:v>4.8</x:v>
      </x:c>
      <x:c r="H1465" s="12" t="n">
        <x:v>480</x:v>
      </x:c>
      <x:c r="I1465" s="12" t="n">
        <x:v>-3</x:v>
      </x:c>
      <x:c r="J1465" s="12" t="n">
        <x:v>1</x:v>
      </x:c>
    </x:row>
    <x:row r="1466" ht="18" customHeight="1">
      <x:c r="A1466" s="13" t="n">
        <x:v>44776</x:v>
      </x:c>
      <x:c r="B1466" s="12" t="n">
        <x:v>4066.9754</x:v>
      </x:c>
      <x:c r="C1466" s="12" t="n">
        <x:v>4107.024</x:v>
      </x:c>
      <x:c r="D1466" s="12" t="n">
        <x:v>-0.9751</x:v>
      </x:c>
      <x:c r="E1466" s="12" t="n">
        <x:v>-0.009799100416606756</x:v>
      </x:c>
      <x:c r="F1466" s="13" t="n">
        <x:v>44775</x:v>
      </x:c>
      <x:c r="G1466" s="12" t="n">
        <x:v>4.61</x:v>
      </x:c>
      <x:c r="H1466" s="12" t="n">
        <x:v>461.00000000000006</x:v>
      </x:c>
      <x:c r="I1466" s="12" t="n">
        <x:v>-18.999999999999943</x:v>
      </x:c>
      <x:c r="J1466" s="12" t="n">
        <x:v>1</x:v>
      </x:c>
    </x:row>
    <x:row r="1467" ht="18" customHeight="1">
      <x:c r="A1467" s="13" t="n">
        <x:v>44777</x:v>
      </x:c>
      <x:c r="B1467" s="12" t="n">
        <x:v>4101.5367</x:v>
      </x:c>
      <x:c r="C1467" s="12" t="n">
        <x:v>4066.9754</x:v>
      </x:c>
      <x:c r="D1467" s="12" t="n">
        <x:v>0.8498</x:v>
      </x:c>
      <x:c r="E1467" s="12" t="n">
        <x:v>0.008462130144248198</x:v>
      </x:c>
      <x:c r="F1467" s="13" t="n">
        <x:v>44776</x:v>
      </x:c>
      <x:c r="G1467" s="12" t="n">
        <x:v>4.54</x:v>
      </x:c>
      <x:c r="H1467" s="12" t="n">
        <x:v>454</x:v>
      </x:c>
      <x:c r="I1467" s="12" t="n">
        <x:v>-7.000000000000057</x:v>
      </x:c>
      <x:c r="J1467" s="12" t="n">
        <x:v>1</x:v>
      </x:c>
    </x:row>
    <x:row r="1468" ht="18" customHeight="1">
      <x:c r="A1468" s="13" t="n">
        <x:v>44778</x:v>
      </x:c>
      <x:c r="B1468" s="12" t="n">
        <x:v>4156.9111</x:v>
      </x:c>
      <x:c r="C1468" s="12" t="n">
        <x:v>4101.5367</x:v>
      </x:c>
      <x:c r="D1468" s="12" t="n">
        <x:v>1.3501</x:v>
      </x:c>
      <x:c r="E1468" s="12" t="n">
        <x:v>0.013410566060690658</x:v>
      </x:c>
      <x:c r="F1468" s="13" t="n">
        <x:v>44777</x:v>
      </x:c>
      <x:c r="G1468" s="12" t="n">
        <x:v>4.55</x:v>
      </x:c>
      <x:c r="H1468" s="12" t="n">
        <x:v>455</x:v>
      </x:c>
      <x:c r="I1468" s="12" t="n">
        <x:v>1</x:v>
      </x:c>
      <x:c r="J1468" s="12" t="n">
        <x:v>1</x:v>
      </x:c>
    </x:row>
    <x:row r="1469" ht="18" customHeight="1">
      <x:c r="A1469" s="13" t="n">
        <x:v>44781</x:v>
      </x:c>
      <x:c r="B1469" s="12" t="n">
        <x:v>4148.0746</x:v>
      </x:c>
      <x:c r="C1469" s="12" t="n">
        <x:v>4156.9111</x:v>
      </x:c>
      <x:c r="D1469" s="12" t="n">
        <x:v>-0.2126</x:v>
      </x:c>
      <x:c r="E1469" s="12" t="n">
        <x:v>-0.0021279996507610082</x:v>
      </x:c>
      <x:c r="F1469" s="13" t="n">
        <x:v>44778</x:v>
      </x:c>
      <x:c r="G1469" s="12" t="n">
        <x:v>4.44</x:v>
      </x:c>
      <x:c r="H1469" s="12" t="n">
        <x:v>444.00000000000006</x:v>
      </x:c>
      <x:c r="I1469" s="12" t="n">
        <x:v>-10.999999999999943</x:v>
      </x:c>
      <x:c r="J1469" s="12" t="n">
        <x:v>3</x:v>
      </x:c>
    </x:row>
    <x:row r="1470" ht="18" customHeight="1">
      <x:c r="A1470" s="13" t="n">
        <x:v>44782</x:v>
      </x:c>
      <x:c r="B1470" s="12" t="n">
        <x:v>4156.2907</x:v>
      </x:c>
      <x:c r="C1470" s="12" t="n">
        <x:v>4148.0746</x:v>
      </x:c>
      <x:c r="D1470" s="12" t="n">
        <x:v>0.1981</x:v>
      </x:c>
      <x:c r="E1470" s="12" t="n">
        <x:v>0.0019787430788460333</x:v>
      </x:c>
      <x:c r="F1470" s="13" t="n">
        <x:v>44781</x:v>
      </x:c>
      <x:c r="G1470" s="12" t="n">
        <x:v>4.41</x:v>
      </x:c>
      <x:c r="H1470" s="12" t="n">
        <x:v>441</x:v>
      </x:c>
      <x:c r="I1470" s="12" t="n">
        <x:v>-3.000000000000057</x:v>
      </x:c>
      <x:c r="J1470" s="12" t="n">
        <x:v>1</x:v>
      </x:c>
    </x:row>
    <x:row r="1471" ht="18" customHeight="1">
      <x:c r="A1471" s="13" t="n">
        <x:v>44783</x:v>
      </x:c>
      <x:c r="B1471" s="12" t="n">
        <x:v>4109.7373</x:v>
      </x:c>
      <x:c r="C1471" s="12" t="n">
        <x:v>4156.2907</x:v>
      </x:c>
      <x:c r="D1471" s="12" t="n">
        <x:v>-1.1201</x:v>
      </x:c>
      <x:c r="E1471" s="12" t="n">
        <x:v>-0.011263908664876135</x:v>
      </x:c>
      <x:c r="F1471" s="13" t="n">
        <x:v>44782</x:v>
      </x:c>
      <x:c r="G1471" s="12" t="n">
        <x:v>4.46</x:v>
      </x:c>
      <x:c r="H1471" s="12" t="n">
        <x:v>446</x:v>
      </x:c>
      <x:c r="I1471" s="12" t="n">
        <x:v>5</x:v>
      </x:c>
      <x:c r="J1471" s="12" t="n">
        <x:v>1</x:v>
      </x:c>
    </x:row>
    <x:row r="1472" ht="18" customHeight="1">
      <x:c r="A1472" s="13" t="n">
        <x:v>44784</x:v>
      </x:c>
      <x:c r="B1472" s="12" t="n">
        <x:v>4193.5428</x:v>
      </x:c>
      <x:c r="C1472" s="12" t="n">
        <x:v>4109.7373</x:v>
      </x:c>
      <x:c r="D1472" s="12" t="n">
        <x:v>2.0392</x:v>
      </x:c>
      <x:c r="E1472" s="12" t="n">
        <x:v>0.02018680447144849</x:v>
      </x:c>
      <x:c r="F1472" s="13" t="n">
        <x:v>44783</x:v>
      </x:c>
      <x:c r="G1472" s="12" t="n">
        <x:v>4.33</x:v>
      </x:c>
      <x:c r="H1472" s="12" t="n">
        <x:v>433</x:v>
      </x:c>
      <x:c r="I1472" s="12" t="n">
        <x:v>-13</x:v>
      </x:c>
      <x:c r="J1472" s="12" t="n">
        <x:v>1</x:v>
      </x:c>
    </x:row>
    <x:row r="1473" ht="18" customHeight="1">
      <x:c r="A1473" s="13" t="n">
        <x:v>44785</x:v>
      </x:c>
      <x:c r="B1473" s="12" t="n">
        <x:v>4191.152</x:v>
      </x:c>
      <x:c r="C1473" s="12" t="n">
        <x:v>4193.5428</x:v>
      </x:c>
      <x:c r="D1473" s="12" t="n">
        <x:v>-0.057</x:v>
      </x:c>
      <x:c r="E1473" s="12" t="n">
        <x:v>-0.000570277182848478</x:v>
      </x:c>
      <x:c r="F1473" s="13" t="n">
        <x:v>44784</x:v>
      </x:c>
      <x:c r="G1473" s="12" t="n">
        <x:v>4.21</x:v>
      </x:c>
      <x:c r="H1473" s="12" t="n">
        <x:v>421</x:v>
      </x:c>
      <x:c r="I1473" s="12" t="n">
        <x:v>-12</x:v>
      </x:c>
      <x:c r="J1473" s="12" t="n">
        <x:v>1</x:v>
      </x:c>
    </x:row>
    <x:row r="1474" ht="18" customHeight="1">
      <x:c r="A1474" s="13" t="n">
        <x:v>44788</x:v>
      </x:c>
      <x:c r="B1474" s="12" t="n">
        <x:v>4185.6794</x:v>
      </x:c>
      <x:c r="C1474" s="12" t="n">
        <x:v>4191.152</x:v>
      </x:c>
      <x:c r="D1474" s="12" t="n">
        <x:v>-0.1306</x:v>
      </x:c>
      <x:c r="E1474" s="12" t="n">
        <x:v>-0.0013066040170212304</x:v>
      </x:c>
      <x:c r="F1474" s="13" t="n">
        <x:v>44785</x:v>
      </x:c>
      <x:c r="G1474" s="12" t="n">
        <x:v>4.25</x:v>
      </x:c>
      <x:c r="H1474" s="12" t="n">
        <x:v>425</x:v>
      </x:c>
      <x:c r="I1474" s="12" t="n">
        <x:v>4</x:v>
      </x:c>
      <x:c r="J1474" s="12" t="n">
        <x:v>3</x:v>
      </x:c>
    </x:row>
    <x:row r="1475" ht="18" customHeight="1">
      <x:c r="A1475" s="13" t="n">
        <x:v>44789</x:v>
      </x:c>
      <x:c r="B1475" s="12" t="n">
        <x:v>4177.837</x:v>
      </x:c>
      <x:c r="C1475" s="12" t="n">
        <x:v>4185.6794</x:v>
      </x:c>
      <x:c r="D1475" s="12" t="n">
        <x:v>-0.1874</x:v>
      </x:c>
      <x:c r="E1475" s="12" t="n">
        <x:v>-0.0018753839709140833</x:v>
      </x:c>
      <x:c r="F1475" s="13" t="n">
        <x:v>44788</x:v>
      </x:c>
      <x:c r="G1475" s="12" t="n">
        <x:v>4.24</x:v>
      </x:c>
      <x:c r="H1475" s="12" t="n">
        <x:v>424</x:v>
      </x:c>
      <x:c r="I1475" s="12" t="n">
        <x:v>-1</x:v>
      </x:c>
      <x:c r="J1475" s="12" t="n">
        <x:v>1</x:v>
      </x:c>
    </x:row>
    <x:row r="1476" ht="18" customHeight="1">
      <x:c r="A1476" s="13" t="n">
        <x:v>44790</x:v>
      </x:c>
      <x:c r="B1476" s="12" t="n">
        <x:v>4216.9586</x:v>
      </x:c>
      <x:c r="C1476" s="12" t="n">
        <x:v>4177.837</x:v>
      </x:c>
      <x:c r="D1476" s="12" t="n">
        <x:v>0.9364</x:v>
      </x:c>
      <x:c r="E1476" s="12" t="n">
        <x:v>0.009320508819420452</x:v>
      </x:c>
      <x:c r="F1476" s="13" t="n">
        <x:v>44789</x:v>
      </x:c>
      <x:c r="G1476" s="12" t="n">
        <x:v>4.25</x:v>
      </x:c>
      <x:c r="H1476" s="12" t="n">
        <x:v>425</x:v>
      </x:c>
      <x:c r="I1476" s="12" t="n">
        <x:v>1</x:v>
      </x:c>
      <x:c r="J1476" s="12" t="n">
        <x:v>1</x:v>
      </x:c>
    </x:row>
    <x:row r="1477" ht="18" customHeight="1">
      <x:c r="A1477" s="13" t="n">
        <x:v>44791</x:v>
      </x:c>
      <x:c r="B1477" s="12" t="n">
        <x:v>4180.0996</x:v>
      </x:c>
      <x:c r="C1477" s="12" t="n">
        <x:v>4216.9586</x:v>
      </x:c>
      <x:c r="D1477" s="12" t="n">
        <x:v>-0.8741</x:v>
      </x:c>
      <x:c r="E1477" s="12" t="n">
        <x:v>-0.008779083306508366</x:v>
      </x:c>
      <x:c r="F1477" s="13" t="n">
        <x:v>44790</x:v>
      </x:c>
      <x:c r="G1477" s="12" t="n">
        <x:v>4.33</x:v>
      </x:c>
      <x:c r="H1477" s="12" t="n">
        <x:v>433</x:v>
      </x:c>
      <x:c r="I1477" s="12" t="n">
        <x:v>8</x:v>
      </x:c>
      <x:c r="J1477" s="12" t="n">
        <x:v>1</x:v>
      </x:c>
    </x:row>
    <x:row r="1478" ht="18" customHeight="1">
      <x:c r="A1478" s="13" t="n">
        <x:v>44792</x:v>
      </x:c>
      <x:c r="B1478" s="12" t="n">
        <x:v>4151.0738</x:v>
      </x:c>
      <x:c r="C1478" s="12" t="n">
        <x:v>4180.0996</x:v>
      </x:c>
      <x:c r="D1478" s="12" t="n">
        <x:v>-0.6944</x:v>
      </x:c>
      <x:c r="E1478" s="12" t="n">
        <x:v>-0.006968026242654508</x:v>
      </x:c>
      <x:c r="F1478" s="13" t="n">
        <x:v>44791</x:v>
      </x:c>
      <x:c r="G1478" s="12" t="n">
        <x:v>4.37</x:v>
      </x:c>
      <x:c r="H1478" s="12" t="n">
        <x:v>437</x:v>
      </x:c>
      <x:c r="I1478" s="12" t="n">
        <x:v>4</x:v>
      </x:c>
      <x:c r="J1478" s="12" t="n">
        <x:v>1</x:v>
      </x:c>
    </x:row>
    <x:row r="1479" ht="18" customHeight="1">
      <x:c r="A1479" s="13" t="n">
        <x:v>44795</x:v>
      </x:c>
      <x:c r="B1479" s="12" t="n">
        <x:v>4181.3965</x:v>
      </x:c>
      <x:c r="C1479" s="12" t="n">
        <x:v>4151.0738</x:v>
      </x:c>
      <x:c r="D1479" s="12" t="n">
        <x:v>0.7305</x:v>
      </x:c>
      <x:c r="E1479" s="12" t="n">
        <x:v>0.007278233888484915</x:v>
      </x:c>
      <x:c r="F1479" s="13" t="n">
        <x:v>44792</x:v>
      </x:c>
      <x:c r="G1479" s="12" t="n">
        <x:v>4.45</x:v>
      </x:c>
      <x:c r="H1479" s="12" t="n">
        <x:v>445</x:v>
      </x:c>
      <x:c r="I1479" s="12" t="n">
        <x:v>8</x:v>
      </x:c>
      <x:c r="J1479" s="12" t="n">
        <x:v>3</x:v>
      </x:c>
    </x:row>
    <x:row r="1480" ht="18" customHeight="1">
      <x:c r="A1480" s="13" t="n">
        <x:v>44796</x:v>
      </x:c>
      <x:c r="B1480" s="12" t="n">
        <x:v>4161.0823</x:v>
      </x:c>
      <x:c r="C1480" s="12" t="n">
        <x:v>4181.3965</x:v>
      </x:c>
      <x:c r="D1480" s="12" t="n">
        <x:v>-0.4858</x:v>
      </x:c>
      <x:c r="E1480" s="12" t="n">
        <x:v>-0.00487007294530757</x:v>
      </x:c>
      <x:c r="F1480" s="13" t="n">
        <x:v>44795</x:v>
      </x:c>
      <x:c r="G1480" s="12" t="n">
        <x:v>4.62</x:v>
      </x:c>
      <x:c r="H1480" s="12" t="n">
        <x:v>462</x:v>
      </x:c>
      <x:c r="I1480" s="12" t="n">
        <x:v>17</x:v>
      </x:c>
      <x:c r="J1480" s="12" t="n">
        <x:v>1</x:v>
      </x:c>
    </x:row>
    <x:row r="1481" ht="18" customHeight="1">
      <x:c r="A1481" s="13" t="n">
        <x:v>44797</x:v>
      </x:c>
      <x:c r="B1481" s="12" t="n">
        <x:v>4082.4195</x:v>
      </x:c>
      <x:c r="C1481" s="12" t="n">
        <x:v>4161.0823</x:v>
      </x:c>
      <x:c r="D1481" s="12" t="n">
        <x:v>-1.8904</x:v>
      </x:c>
      <x:c r="E1481" s="12" t="n">
        <x:v>-0.01908538134629194</x:v>
      </x:c>
      <x:c r="F1481" s="13" t="n">
        <x:v>44796</x:v>
      </x:c>
      <x:c r="G1481" s="12" t="n">
        <x:v>4.68</x:v>
      </x:c>
      <x:c r="H1481" s="12" t="n">
        <x:v>468</x:v>
      </x:c>
      <x:c r="I1481" s="12" t="n">
        <x:v>6</x:v>
      </x:c>
      <x:c r="J1481" s="12" t="n">
        <x:v>1</x:v>
      </x:c>
    </x:row>
    <x:row r="1482" ht="18" customHeight="1">
      <x:c r="A1482" s="13" t="n">
        <x:v>44798</x:v>
      </x:c>
      <x:c r="B1482" s="12" t="n">
        <x:v>4116.2396</x:v>
      </x:c>
      <x:c r="C1482" s="12" t="n">
        <x:v>4082.4195</x:v>
      </x:c>
      <x:c r="D1482" s="12" t="n">
        <x:v>0.8284</x:v>
      </x:c>
      <x:c r="E1482" s="12" t="n">
        <x:v>0.00825020077551431</x:v>
      </x:c>
      <x:c r="F1482" s="13" t="n">
        <x:v>44797</x:v>
      </x:c>
      <x:c r="G1482" s="12" t="n">
        <x:v>4.61</x:v>
      </x:c>
      <x:c r="H1482" s="12" t="n">
        <x:v>461.00000000000006</x:v>
      </x:c>
      <x:c r="I1482" s="12" t="n">
        <x:v>-6.999999999999943</x:v>
      </x:c>
      <x:c r="J1482" s="12" t="n">
        <x:v>1</x:v>
      </x:c>
    </x:row>
    <x:row r="1483" ht="18" customHeight="1">
      <x:c r="A1483" s="13" t="n">
        <x:v>44799</x:v>
      </x:c>
      <x:c r="B1483" s="12" t="n">
        <x:v>4107.5455</x:v>
      </x:c>
      <x:c r="C1483" s="12" t="n">
        <x:v>4116.2396</x:v>
      </x:c>
      <x:c r="D1483" s="12" t="n">
        <x:v>-0.2112</x:v>
      </x:c>
      <x:c r="E1483" s="12" t="n">
        <x:v>-0.002114379968170268</x:v>
      </x:c>
      <x:c r="F1483" s="13" t="n">
        <x:v>44798</x:v>
      </x:c>
      <x:c r="G1483" s="12" t="n">
        <x:v>4.6</x:v>
      </x:c>
      <x:c r="H1483" s="12" t="n">
        <x:v>459.99999999999994</x:v>
      </x:c>
      <x:c r="I1483" s="12" t="n">
        <x:v>-1.0000000000001137</x:v>
      </x:c>
      <x:c r="J1483" s="12" t="n">
        <x:v>1</x:v>
      </x:c>
    </x:row>
    <x:row r="1484" ht="18" customHeight="1">
      <x:c r="A1484" s="13" t="n">
        <x:v>44802</x:v>
      </x:c>
      <x:c r="B1484" s="12" t="n">
        <x:v>4089.5205</x:v>
      </x:c>
      <x:c r="C1484" s="12" t="n">
        <x:v>4107.5455</x:v>
      </x:c>
      <x:c r="D1484" s="12" t="n">
        <x:v>-0.4388</x:v>
      </x:c>
      <x:c r="E1484" s="12" t="n">
        <x:v>-0.004397922147476834</x:v>
      </x:c>
      <x:c r="F1484" s="13" t="n">
        <x:v>44799</x:v>
      </x:c>
      <x:c r="G1484" s="12" t="n">
        <x:v>4.65</x:v>
      </x:c>
      <x:c r="H1484" s="12" t="n">
        <x:v>465.00000000000006</x:v>
      </x:c>
      <x:c r="I1484" s="12" t="n">
        <x:v>5.000000000000114</x:v>
      </x:c>
      <x:c r="J1484" s="12" t="n">
        <x:v>3</x:v>
      </x:c>
    </x:row>
    <x:row r="1485" ht="18" customHeight="1">
      <x:c r="A1485" s="13" t="n">
        <x:v>44803</x:v>
      </x:c>
      <x:c r="B1485" s="12" t="n">
        <x:v>4075.7937</x:v>
      </x:c>
      <x:c r="C1485" s="12" t="n">
        <x:v>4089.5205</x:v>
      </x:c>
      <x:c r="D1485" s="12" t="n">
        <x:v>-0.3357</x:v>
      </x:c>
      <x:c r="E1485" s="12" t="n">
        <x:v>-0.0033622252849209834</x:v>
      </x:c>
      <x:c r="F1485" s="13" t="n">
        <x:v>44802</x:v>
      </x:c>
      <x:c r="G1485" s="12" t="n">
        <x:v>4.78</x:v>
      </x:c>
      <x:c r="H1485" s="12" t="n">
        <x:v>478</x:v>
      </x:c>
      <x:c r="I1485" s="12" t="n">
        <x:v>12.999999999999943</x:v>
      </x:c>
      <x:c r="J1485" s="12" t="n">
        <x:v>1</x:v>
      </x:c>
    </x:row>
    <x:row r="1486" ht="18" customHeight="1">
      <x:c r="A1486" s="13" t="n">
        <x:v>44804</x:v>
      </x:c>
      <x:c r="B1486" s="12" t="n">
        <x:v>4078.8402</x:v>
      </x:c>
      <x:c r="C1486" s="12" t="n">
        <x:v>4075.7937</x:v>
      </x:c>
      <x:c r="D1486" s="12" t="n">
        <x:v>0.0747</x:v>
      </x:c>
      <x:c r="E1486" s="12" t="n">
        <x:v>0.0007471825661562693</x:v>
      </x:c>
      <x:c r="F1486" s="13" t="n">
        <x:v>44803</x:v>
      </x:c>
      <x:c r="G1486" s="12" t="n">
        <x:v>4.9</x:v>
      </x:c>
      <x:c r="H1486" s="12" t="n">
        <x:v>490.00000000000006</x:v>
      </x:c>
      <x:c r="I1486" s="12" t="n">
        <x:v>12.000000000000057</x:v>
      </x:c>
      <x:c r="J1486" s="12" t="n">
        <x:v>1</x:v>
      </x:c>
    </x:row>
    <x:row r="1487" ht="18" customHeight="1">
      <x:c r="A1487" s="13" t="n">
        <x:v>44805</x:v>
      </x:c>
      <x:c r="B1487" s="12" t="n">
        <x:v>4043.7395</x:v>
      </x:c>
      <x:c r="C1487" s="12" t="n">
        <x:v>4078.8402</x:v>
      </x:c>
      <x:c r="D1487" s="12" t="n">
        <x:v>-0.8606</x:v>
      </x:c>
      <x:c r="E1487" s="12" t="n">
        <x:v>-0.00864280063530641</x:v>
      </x:c>
      <x:c r="F1487" s="13" t="n">
        <x:v>44804</x:v>
      </x:c>
      <x:c r="G1487" s="12" t="n">
        <x:v>5.03</x:v>
      </x:c>
      <x:c r="H1487" s="12" t="n">
        <x:v>503</x:v>
      </x:c>
      <x:c r="I1487" s="12" t="n">
        <x:v>12.999999999999943</x:v>
      </x:c>
      <x:c r="J1487" s="12" t="n">
        <x:v>1</x:v>
      </x:c>
    </x:row>
    <x:row r="1488" ht="18" customHeight="1">
      <x:c r="A1488" s="13" t="n">
        <x:v>44806</x:v>
      </x:c>
      <x:c r="B1488" s="12" t="n">
        <x:v>4023.6131</x:v>
      </x:c>
      <x:c r="C1488" s="12" t="n">
        <x:v>4043.7395</x:v>
      </x:c>
      <x:c r="D1488" s="12" t="n">
        <x:v>-0.4977</x:v>
      </x:c>
      <x:c r="E1488" s="12" t="n">
        <x:v>-0.004989602600431504</x:v>
      </x:c>
      <x:c r="F1488" s="13" t="n">
        <x:v>44805</x:v>
      </x:c>
      <x:c r="G1488" s="12" t="n">
        <x:v>5.08</x:v>
      </x:c>
      <x:c r="H1488" s="12" t="n">
        <x:v>508</x:v>
      </x:c>
      <x:c r="I1488" s="12" t="n">
        <x:v>5</x:v>
      </x:c>
      <x:c r="J1488" s="12" t="n">
        <x:v>1</x:v>
      </x:c>
    </x:row>
    <x:row r="1489" ht="18" customHeight="1">
      <x:c r="A1489" s="13" t="n">
        <x:v>44809</x:v>
      </x:c>
      <x:c r="B1489" s="12" t="n">
        <x:v>4015.4264</x:v>
      </x:c>
      <x:c r="C1489" s="12" t="n">
        <x:v>4023.6131</x:v>
      </x:c>
      <x:c r="D1489" s="12" t="n">
        <x:v>-0.2035</x:v>
      </x:c>
      <x:c r="E1489" s="12" t="n">
        <x:v>-0.0020367365603991064</x:v>
      </x:c>
      <x:c r="F1489" s="13" t="n">
        <x:v>44806</x:v>
      </x:c>
      <x:c r="G1489" s="12" t="n">
        <x:v>5.06</x:v>
      </x:c>
      <x:c r="H1489" s="12" t="n">
        <x:v>505.99999999999994</x:v>
      </x:c>
      <x:c r="I1489" s="12" t="n">
        <x:v>-2.000000000000057</x:v>
      </x:c>
      <x:c r="J1489" s="12" t="n">
        <x:v>3</x:v>
      </x:c>
    </x:row>
    <x:row r="1490" ht="18" customHeight="1">
      <x:c r="A1490" s="13" t="n">
        <x:v>44810</x:v>
      </x:c>
      <x:c r="B1490" s="12" t="n">
        <x:v>4052.2802</x:v>
      </x:c>
      <x:c r="C1490" s="12" t="n">
        <x:v>4015.4264</x:v>
      </x:c>
      <x:c r="D1490" s="12" t="n">
        <x:v>0.9178</x:v>
      </x:c>
      <x:c r="E1490" s="12" t="n">
        <x:v>0.00913619152895841</x:v>
      </x:c>
      <x:c r="F1490" s="13" t="n">
        <x:v>44809</x:v>
      </x:c>
      <x:c r="G1490" s="12" t="n">
        <x:v>5.07</x:v>
      </x:c>
      <x:c r="H1490" s="12" t="n">
        <x:v>507</x:v>
      </x:c>
      <x:c r="I1490" s="12" t="n">
        <x:v>1.0000000000000568</x:v>
      </x:c>
      <x:c r="J1490" s="12" t="n">
        <x:v>1</x:v>
      </x:c>
    </x:row>
    <x:row r="1491" ht="18" customHeight="1">
      <x:c r="A1491" s="13" t="n">
        <x:v>44811</x:v>
      </x:c>
      <x:c r="B1491" s="12" t="n">
        <x:v>4054.983</x:v>
      </x:c>
      <x:c r="C1491" s="12" t="n">
        <x:v>4052.2802</x:v>
      </x:c>
      <x:c r="D1491" s="12" t="n">
        <x:v>0.0667</x:v>
      </x:c>
      <x:c r="E1491" s="12" t="n">
        <x:v>0.0006667601713317303</x:v>
      </x:c>
      <x:c r="F1491" s="13" t="n">
        <x:v>44810</x:v>
      </x:c>
      <x:c r="G1491" s="12" t="n">
        <x:v>4.98</x:v>
      </x:c>
      <x:c r="H1491" s="12" t="n">
        <x:v>498.00000000000006</x:v>
      </x:c>
      <x:c r="I1491" s="12" t="n">
        <x:v>-8.999999999999943</x:v>
      </x:c>
      <x:c r="J1491" s="12" t="n">
        <x:v>1</x:v>
      </x:c>
    </x:row>
    <x:row r="1492" ht="18" customHeight="1">
      <x:c r="A1492" s="13" t="n">
        <x:v>44812</x:v>
      </x:c>
      <x:c r="B1492" s="12" t="n">
        <x:v>4037.6839</x:v>
      </x:c>
      <x:c r="C1492" s="12" t="n">
        <x:v>4054.983</x:v>
      </x:c>
      <x:c r="D1492" s="12" t="n">
        <x:v>-0.4266</x:v>
      </x:c>
      <x:c r="E1492" s="12" t="n">
        <x:v>-0.004275259704358225</x:v>
      </x:c>
      <x:c r="F1492" s="13" t="n">
        <x:v>44811</x:v>
      </x:c>
      <x:c r="G1492" s="12" t="n">
        <x:v>4.97</x:v>
      </x:c>
      <x:c r="H1492" s="12" t="n">
        <x:v>497</x:v>
      </x:c>
      <x:c r="I1492" s="12" t="n">
        <x:v>-1.0000000000000568</x:v>
      </x:c>
      <x:c r="J1492" s="12" t="n">
        <x:v>1</x:v>
      </x:c>
    </x:row>
    <x:row r="1493" ht="18" customHeight="1">
      <x:c r="A1493" s="13" t="n">
        <x:v>44813</x:v>
      </x:c>
      <x:c r="B1493" s="12" t="n">
        <x:v>4093.7874</x:v>
      </x:c>
      <x:c r="C1493" s="12" t="n">
        <x:v>4037.6839</x:v>
      </x:c>
      <x:c r="D1493" s="12" t="n">
        <x:v>1.3895</x:v>
      </x:c>
      <x:c r="E1493" s="12" t="n">
        <x:v>0.013799320738442802</x:v>
      </x:c>
      <x:c r="F1493" s="13" t="n">
        <x:v>44812</x:v>
      </x:c>
      <x:c r="G1493" s="12" t="n">
        <x:v>4.8</x:v>
      </x:c>
      <x:c r="H1493" s="12" t="n">
        <x:v>480</x:v>
      </x:c>
      <x:c r="I1493" s="12" t="n">
        <x:v>-17</x:v>
      </x:c>
      <x:c r="J1493" s="12" t="n">
        <x:v>1</x:v>
      </x:c>
    </x:row>
    <x:row r="1494" ht="18" customHeight="1">
      <x:c r="A1494" s="13" t="n">
        <x:v>44817</x:v>
      </x:c>
      <x:c r="B1494" s="12" t="n">
        <x:v>4111.1145</x:v>
      </x:c>
      <x:c r="C1494" s="12" t="n">
        <x:v>4093.7874</x:v>
      </x:c>
      <x:c r="D1494" s="12" t="n">
        <x:v>0.4233</x:v>
      </x:c>
      <x:c r="E1494" s="12" t="n">
        <x:v>0.004223603394433809</x:v>
      </x:c>
      <x:c r="F1494" s="13" t="n">
        <x:v>44816</x:v>
      </x:c>
      <x:c r="G1494" s="12" t="n">
        <x:v>4.5</x:v>
      </x:c>
      <x:c r="H1494" s="12" t="n">
        <x:v>450</x:v>
      </x:c>
      <x:c r="I1494" s="12" t="n">
        <x:v>-7</x:v>
      </x:c>
      <x:c r="J1494" s="12" t="n">
        <x:v>1</x:v>
      </x:c>
    </x:row>
    <x:row r="1495" ht="18" customHeight="1">
      <x:c r="A1495" s="13" t="n">
        <x:v>44818</x:v>
      </x:c>
      <x:c r="B1495" s="12" t="n">
        <x:v>4065.359</x:v>
      </x:c>
      <x:c r="C1495" s="12" t="n">
        <x:v>4111.1145</x:v>
      </x:c>
      <x:c r="D1495" s="12" t="n">
        <x:v>-1.113</x:v>
      </x:c>
      <x:c r="E1495" s="12" t="n">
        <x:v>-0.011192105648596497</x:v>
      </x:c>
      <x:c r="F1495" s="13" t="n">
        <x:v>44817</x:v>
      </x:c>
      <x:c r="G1495" s="12" t="n">
        <x:v>4.68</x:v>
      </x:c>
      <x:c r="H1495" s="12" t="n">
        <x:v>468</x:v>
      </x:c>
      <x:c r="I1495" s="12" t="n">
        <x:v>18</x:v>
      </x:c>
      <x:c r="J1495" s="12" t="n">
        <x:v>1</x:v>
      </x:c>
    </x:row>
    <x:row r="1496" ht="18" customHeight="1">
      <x:c r="A1496" s="13" t="n">
        <x:v>44819</x:v>
      </x:c>
      <x:c r="B1496" s="12" t="n">
        <x:v>4027.1186</x:v>
      </x:c>
      <x:c r="C1496" s="12" t="n">
        <x:v>4065.359</x:v>
      </x:c>
      <x:c r="D1496" s="12" t="n">
        <x:v>-0.9406</x:v>
      </x:c>
      <x:c r="E1496" s="12" t="n">
        <x:v>-0.009450921343383703</x:v>
      </x:c>
      <x:c r="F1496" s="13" t="n">
        <x:v>44818</x:v>
      </x:c>
      <x:c r="G1496" s="12" t="n">
        <x:v>4.74</x:v>
      </x:c>
      <x:c r="H1496" s="12" t="n">
        <x:v>474</x:v>
      </x:c>
      <x:c r="I1496" s="12" t="n">
        <x:v>6</x:v>
      </x:c>
      <x:c r="J1496" s="12" t="n">
        <x:v>1</x:v>
      </x:c>
    </x:row>
    <x:row r="1497" ht="18" customHeight="1">
      <x:c r="A1497" s="13" t="n">
        <x:v>44820</x:v>
      </x:c>
      <x:c r="B1497" s="12" t="n">
        <x:v>3932.6826</x:v>
      </x:c>
      <x:c r="C1497" s="12" t="n">
        <x:v>4027.1186</x:v>
      </x:c>
      <x:c r="D1497" s="12" t="n">
        <x:v>-2.345</x:v>
      </x:c>
      <x:c r="E1497" s="12" t="n">
        <x:v>-0.023729344201284554</x:v>
      </x:c>
      <x:c r="F1497" s="13" t="n">
        <x:v>44819</x:v>
      </x:c>
      <x:c r="G1497" s="12" t="n">
        <x:v>4.77</x:v>
      </x:c>
      <x:c r="H1497" s="12" t="n">
        <x:v>476.99999999999994</x:v>
      </x:c>
      <x:c r="I1497" s="12" t="n">
        <x:v>2.999999999999943</x:v>
      </x:c>
      <x:c r="J1497" s="12" t="n">
        <x:v>1</x:v>
      </x:c>
    </x:row>
    <x:row r="1498" ht="18" customHeight="1">
      <x:c r="A1498" s="13" t="n">
        <x:v>44823</x:v>
      </x:c>
      <x:c r="B1498" s="12" t="n">
        <x:v>3928.0001</x:v>
      </x:c>
      <x:c r="C1498" s="12" t="n">
        <x:v>3932.6826</x:v>
      </x:c>
      <x:c r="D1498" s="12" t="n">
        <x:v>-0.1191</x:v>
      </x:c>
      <x:c r="E1498" s="12" t="n">
        <x:v>-0.0011913724882571326</x:v>
      </x:c>
      <x:c r="F1498" s="13" t="n">
        <x:v>44820</x:v>
      </x:c>
      <x:c r="G1498" s="12" t="n">
        <x:v>5</x:v>
      </x:c>
      <x:c r="H1498" s="12" t="n">
        <x:v>500</x:v>
      </x:c>
      <x:c r="I1498" s="12" t="n">
        <x:v>23.000000000000057</x:v>
      </x:c>
      <x:c r="J1498" s="12" t="n">
        <x:v>3</x:v>
      </x:c>
    </x:row>
    <x:row r="1499" ht="18" customHeight="1">
      <x:c r="A1499" s="13" t="n">
        <x:v>44824</x:v>
      </x:c>
      <x:c r="B1499" s="12" t="n">
        <x:v>3932.8361</x:v>
      </x:c>
      <x:c r="C1499" s="12" t="n">
        <x:v>3928.0001</x:v>
      </x:c>
      <x:c r="D1499" s="12" t="n">
        <x:v>0.1231</x:v>
      </x:c>
      <x:c r="E1499" s="12" t="n">
        <x:v>0.0012304036077226527</x:v>
      </x:c>
      <x:c r="F1499" s="13" t="n">
        <x:v>44823</x:v>
      </x:c>
      <x:c r="G1499" s="12" t="n">
        <x:v>4.88</x:v>
      </x:c>
      <x:c r="H1499" s="12" t="n">
        <x:v>488</x:v>
      </x:c>
      <x:c r="I1499" s="12" t="n">
        <x:v>-12</x:v>
      </x:c>
      <x:c r="J1499" s="12" t="n">
        <x:v>1</x:v>
      </x:c>
    </x:row>
    <x:row r="1500" ht="18" customHeight="1">
      <x:c r="A1500" s="13" t="n">
        <x:v>44825</x:v>
      </x:c>
      <x:c r="B1500" s="12" t="n">
        <x:v>3903.7348</x:v>
      </x:c>
      <x:c r="C1500" s="12" t="n">
        <x:v>3932.8361</x:v>
      </x:c>
      <x:c r="D1500" s="12" t="n">
        <x:v>-0.74</x:v>
      </x:c>
      <x:c r="E1500" s="12" t="n">
        <x:v>-0.007427083642582392</x:v>
      </x:c>
      <x:c r="F1500" s="13" t="n">
        <x:v>44824</x:v>
      </x:c>
      <x:c r="G1500" s="12" t="n">
        <x:v>4.88</x:v>
      </x:c>
      <x:c r="H1500" s="12" t="n">
        <x:v>488</x:v>
      </x:c>
      <x:c r="I1500" s="12" t="n">
        <x:v>0</x:v>
      </x:c>
      <x:c r="J1500" s="12" t="n">
        <x:v>1</x:v>
      </x:c>
    </x:row>
    <x:row r="1501" ht="18" customHeight="1">
      <x:c r="A1501" s="13" t="n">
        <x:v>44826</x:v>
      </x:c>
      <x:c r="B1501" s="12" t="n">
        <x:v>3869.344</x:v>
      </x:c>
      <x:c r="C1501" s="12" t="n">
        <x:v>3903.7348</x:v>
      </x:c>
      <x:c r="D1501" s="12" t="n">
        <x:v>-0.881</x:v>
      </x:c>
      <x:c r="E1501" s="12" t="n">
        <x:v>-0.008848752286126995</x:v>
      </x:c>
      <x:c r="F1501" s="13" t="n">
        <x:v>44825</x:v>
      </x:c>
      <x:c r="G1501" s="12" t="n">
        <x:v>4.87</x:v>
      </x:c>
      <x:c r="H1501" s="12" t="n">
        <x:v>487</x:v>
      </x:c>
      <x:c r="I1501" s="12" t="n">
        <x:v>-1</x:v>
      </x:c>
      <x:c r="J1501" s="12" t="n">
        <x:v>1</x:v>
      </x:c>
    </x:row>
    <x:row r="1502" ht="18" customHeight="1">
      <x:c r="A1502" s="13" t="n">
        <x:v>44827</x:v>
      </x:c>
      <x:c r="B1502" s="12" t="n">
        <x:v>3856.0212</x:v>
      </x:c>
      <x:c r="C1502" s="12" t="n">
        <x:v>3869.344</x:v>
      </x:c>
      <x:c r="D1502" s="12" t="n">
        <x:v>-0.3443</x:v>
      </x:c>
      <x:c r="E1502" s="12" t="n">
        <x:v>-0.0034491089709841913</x:v>
      </x:c>
      <x:c r="F1502" s="13" t="n">
        <x:v>44826</x:v>
      </x:c>
      <x:c r="G1502" s="12" t="n">
        <x:v>4.91</x:v>
      </x:c>
      <x:c r="H1502" s="12" t="n">
        <x:v>491</x:v>
      </x:c>
      <x:c r="I1502" s="12" t="n">
        <x:v>4</x:v>
      </x:c>
      <x:c r="J1502" s="12" t="n">
        <x:v>1</x:v>
      </x:c>
    </x:row>
    <x:row r="1503" ht="18" customHeight="1">
      <x:c r="A1503" s="13" t="n">
        <x:v>44830</x:v>
      </x:c>
      <x:c r="B1503" s="12" t="n">
        <x:v>3836.6773</x:v>
      </x:c>
      <x:c r="C1503" s="12" t="n">
        <x:v>3856.0212</x:v>
      </x:c>
      <x:c r="D1503" s="12" t="n">
        <x:v>-0.5017</x:v>
      </x:c>
      <x:c r="E1503" s="12" t="n">
        <x:v>-0.00502916909361511</x:v>
      </x:c>
      <x:c r="F1503" s="13" t="n">
        <x:v>44827</x:v>
      </x:c>
      <x:c r="G1503" s="12" t="n">
        <x:v>5.12</x:v>
      </x:c>
      <x:c r="H1503" s="12" t="n">
        <x:v>512</x:v>
      </x:c>
      <x:c r="I1503" s="12" t="n">
        <x:v>21</x:v>
      </x:c>
      <x:c r="J1503" s="12" t="n">
        <x:v>3</x:v>
      </x:c>
    </x:row>
    <x:row r="1504" ht="18" customHeight="1">
      <x:c r="A1504" s="13" t="n">
        <x:v>44831</x:v>
      </x:c>
      <x:c r="B1504" s="12" t="n">
        <x:v>3892.295</x:v>
      </x:c>
      <x:c r="C1504" s="12" t="n">
        <x:v>3836.6773</x:v>
      </x:c>
      <x:c r="D1504" s="12" t="n">
        <x:v>1.4496</x:v>
      </x:c>
      <x:c r="E1504" s="12" t="n">
        <x:v>0.01439225239211946</x:v>
      </x:c>
      <x:c r="F1504" s="13" t="n">
        <x:v>44830</x:v>
      </x:c>
      <x:c r="G1504" s="12" t="n">
        <x:v>5.18</x:v>
      </x:c>
      <x:c r="H1504" s="12" t="n">
        <x:v>518</x:v>
      </x:c>
      <x:c r="I1504" s="12" t="n">
        <x:v>6</x:v>
      </x:c>
      <x:c r="J1504" s="12" t="n">
        <x:v>1</x:v>
      </x:c>
    </x:row>
    <x:row r="1505" ht="18" customHeight="1">
      <x:c r="A1505" s="13" t="n">
        <x:v>44832</x:v>
      </x:c>
      <x:c r="B1505" s="12" t="n">
        <x:v>3828.7098</x:v>
      </x:c>
      <x:c r="C1505" s="12" t="n">
        <x:v>3892.295</x:v>
      </x:c>
      <x:c r="D1505" s="12" t="n">
        <x:v>-1.6336</x:v>
      </x:c>
      <x:c r="E1505" s="12" t="n">
        <x:v>-0.01647107835755761</x:v>
      </x:c>
      <x:c r="F1505" s="13" t="n">
        <x:v>44831</x:v>
      </x:c>
      <x:c r="G1505" s="12" t="n">
        <x:v>5.22</x:v>
      </x:c>
      <x:c r="H1505" s="12" t="n">
        <x:v>522</x:v>
      </x:c>
      <x:c r="I1505" s="12" t="n">
        <x:v>4</x:v>
      </x:c>
      <x:c r="J1505" s="12" t="n">
        <x:v>1</x:v>
      </x:c>
    </x:row>
    <x:row r="1506" ht="18" customHeight="1">
      <x:c r="A1506" s="13" t="n">
        <x:v>44833</x:v>
      </x:c>
      <x:c r="B1506" s="12" t="n">
        <x:v>3827.1434</x:v>
      </x:c>
      <x:c r="C1506" s="12" t="n">
        <x:v>3828.7098</x:v>
      </x:c>
      <x:c r="D1506" s="12" t="n">
        <x:v>-0.0409</x:v>
      </x:c>
      <x:c r="E1506" s="12" t="n">
        <x:v>-0.0004092032542780825</x:v>
      </x:c>
      <x:c r="F1506" s="13" t="n">
        <x:v>44832</x:v>
      </x:c>
      <x:c r="G1506" s="12" t="n">
        <x:v>5.47</x:v>
      </x:c>
      <x:c r="H1506" s="12" t="n">
        <x:v>547</x:v>
      </x:c>
      <x:c r="I1506" s="12" t="n">
        <x:v>25</x:v>
      </x:c>
      <x:c r="J1506" s="12" t="n">
        <x:v>1</x:v>
      </x:c>
    </x:row>
    <x:row r="1507" ht="18" customHeight="1">
      <x:c r="A1507" s="13" t="n">
        <x:v>44834</x:v>
      </x:c>
      <x:c r="B1507" s="12" t="n">
        <x:v>3804.8853</x:v>
      </x:c>
      <x:c r="C1507" s="12" t="n">
        <x:v>3827.1434</x:v>
      </x:c>
      <x:c r="D1507" s="12" t="n">
        <x:v>-0.5816</x:v>
      </x:c>
      <x:c r="E1507" s="12" t="n">
        <x:v>-0.005832830032521587</x:v>
      </x:c>
      <x:c r="F1507" s="13" t="n">
        <x:v>44833</x:v>
      </x:c>
      <x:c r="G1507" s="12" t="n">
        <x:v>5.5</x:v>
      </x:c>
      <x:c r="H1507" s="12" t="n">
        <x:v>550</x:v>
      </x:c>
      <x:c r="I1507" s="12" t="n">
        <x:v>3</x:v>
      </x:c>
      <x:c r="J1507" s="12" t="n">
        <x:v>1</x:v>
      </x:c>
    </x:row>
    <x:row r="1508" ht="18" customHeight="1">
      <x:c r="A1508" s="13" t="n">
        <x:v>44844</x:v>
      </x:c>
      <x:c r="B1508" s="12" t="n">
        <x:v>3720.9365</x:v>
      </x:c>
      <x:c r="C1508" s="12" t="n">
        <x:v>3804.8853</x:v>
      </x:c>
      <x:c r="D1508" s="12" t="n">
        <x:v>-2.2063</x:v>
      </x:c>
      <x:c r="E1508" s="12" t="n">
        <x:v>-0.02231046239879809</x:v>
      </x:c>
      <x:c r="F1508" s="13" t="n">
        <x:v>44841</x:v>
      </x:c>
      <x:c r="G1508" s="12" t="n">
        <x:v>5.02</x:v>
      </x:c>
      <x:c r="H1508" s="12" t="n">
        <x:v>501.99999999999994</x:v>
      </x:c>
      <x:c r="I1508" s="12" t="n">
        <x:v>6.999999999999943</x:v>
      </x:c>
      <x:c r="J1508" s="12" t="n">
        <x:v>3</x:v>
      </x:c>
    </x:row>
    <x:row r="1509" ht="18" customHeight="1">
      <x:c r="A1509" s="13" t="n">
        <x:v>44845</x:v>
      </x:c>
      <x:c r="B1509" s="12" t="n">
        <x:v>3727.6867</x:v>
      </x:c>
      <x:c r="C1509" s="12" t="n">
        <x:v>3720.9365</x:v>
      </x:c>
      <x:c r="D1509" s="12" t="n">
        <x:v>0.1814</x:v>
      </x:c>
      <x:c r="E1509" s="12" t="n">
        <x:v>0.0018124696783947004</x:v>
      </x:c>
      <x:c r="F1509" s="13" t="n">
        <x:v>44844</x:v>
      </x:c>
      <x:c r="G1509" s="12" t="n">
        <x:v>5.03</x:v>
      </x:c>
      <x:c r="H1509" s="12" t="n">
        <x:v>503</x:v>
      </x:c>
      <x:c r="I1509" s="12" t="n">
        <x:v>1.0000000000000568</x:v>
      </x:c>
      <x:c r="J1509" s="12" t="n">
        <x:v>1</x:v>
      </x:c>
    </x:row>
    <x:row r="1510" ht="18" customHeight="1">
      <x:c r="A1510" s="13" t="n">
        <x:v>44846</x:v>
      </x:c>
      <x:c r="B1510" s="12" t="n">
        <x:v>3784.3064</x:v>
      </x:c>
      <x:c r="C1510" s="12" t="n">
        <x:v>3727.6867</x:v>
      </x:c>
      <x:c r="D1510" s="12" t="n">
        <x:v>1.5189</x:v>
      </x:c>
      <x:c r="E1510" s="12" t="n">
        <x:v>0.015074766835150348</x:v>
      </x:c>
      <x:c r="F1510" s="13" t="n">
        <x:v>44845</x:v>
      </x:c>
      <x:c r="G1510" s="12" t="n">
        <x:v>5.25</x:v>
      </x:c>
      <x:c r="H1510" s="12" t="n">
        <x:v>525</x:v>
      </x:c>
      <x:c r="I1510" s="12" t="n">
        <x:v>22</x:v>
      </x:c>
      <x:c r="J1510" s="12" t="n">
        <x:v>1</x:v>
      </x:c>
    </x:row>
    <x:row r="1511" ht="18" customHeight="1">
      <x:c r="A1511" s="13" t="n">
        <x:v>44847</x:v>
      </x:c>
      <x:c r="B1511" s="12" t="n">
        <x:v>3752.6729</x:v>
      </x:c>
      <x:c r="C1511" s="12" t="n">
        <x:v>3784.3064</x:v>
      </x:c>
      <x:c r="D1511" s="12" t="n">
        <x:v>-0.8359</x:v>
      </x:c>
      <x:c r="E1511" s="12" t="n">
        <x:v>-0.008394261014007776</x:v>
      </x:c>
      <x:c r="F1511" s="13" t="n">
        <x:v>44846</x:v>
      </x:c>
      <x:c r="G1511" s="12" t="n">
        <x:v>5.31</x:v>
      </x:c>
      <x:c r="H1511" s="12" t="n">
        <x:v>531</x:v>
      </x:c>
      <x:c r="I1511" s="12" t="n">
        <x:v>6</x:v>
      </x:c>
      <x:c r="J1511" s="12" t="n">
        <x:v>1</x:v>
      </x:c>
    </x:row>
    <x:row r="1512" ht="18" customHeight="1">
      <x:c r="A1512" s="13" t="n">
        <x:v>44848</x:v>
      </x:c>
      <x:c r="B1512" s="12" t="n">
        <x:v>3842.4698</x:v>
      </x:c>
      <x:c r="C1512" s="12" t="n">
        <x:v>3752.6729</x:v>
      </x:c>
      <x:c r="D1512" s="12" t="n">
        <x:v>2.3929</x:v>
      </x:c>
      <x:c r="E1512" s="12" t="n">
        <x:v>0.023646977519851727</x:v>
      </x:c>
      <x:c r="F1512" s="13" t="n">
        <x:v>44847</x:v>
      </x:c>
      <x:c r="G1512" s="12" t="n">
        <x:v>5.25</x:v>
      </x:c>
      <x:c r="H1512" s="12" t="n">
        <x:v>525</x:v>
      </x:c>
      <x:c r="I1512" s="12" t="n">
        <x:v>-6</x:v>
      </x:c>
      <x:c r="J1512" s="12" t="n">
        <x:v>1</x:v>
      </x:c>
    </x:row>
    <x:row r="1513" ht="18" customHeight="1">
      <x:c r="A1513" s="13" t="n">
        <x:v>44851</x:v>
      </x:c>
      <x:c r="B1513" s="12" t="n">
        <x:v>3846.4119</x:v>
      </x:c>
      <x:c r="C1513" s="12" t="n">
        <x:v>3842.4698</x:v>
      </x:c>
      <x:c r="D1513" s="12" t="n">
        <x:v>0.1026</x:v>
      </x:c>
      <x:c r="E1513" s="12" t="n">
        <x:v>0.0010254027826726963</x:v>
      </x:c>
      <x:c r="F1513" s="13" t="n">
        <x:v>44848</x:v>
      </x:c>
      <x:c r="G1513" s="12" t="n">
        <x:v>5.15</x:v>
      </x:c>
      <x:c r="H1513" s="12" t="n">
        <x:v>515</x:v>
      </x:c>
      <x:c r="I1513" s="12" t="n">
        <x:v>-10</x:v>
      </x:c>
      <x:c r="J1513" s="12" t="n">
        <x:v>3</x:v>
      </x:c>
    </x:row>
    <x:row r="1514" ht="18" customHeight="1">
      <x:c r="A1514" s="13" t="n">
        <x:v>44852</x:v>
      </x:c>
      <x:c r="B1514" s="12" t="n">
        <x:v>3838.2667</x:v>
      </x:c>
      <x:c r="C1514" s="12" t="n">
        <x:v>3846.4119</x:v>
      </x:c>
      <x:c r="D1514" s="12" t="n">
        <x:v>-0.2118</x:v>
      </x:c>
      <x:c r="E1514" s="12" t="n">
        <x:v>-0.002119855227317334</x:v>
      </x:c>
      <x:c r="F1514" s="13" t="n">
        <x:v>44851</x:v>
      </x:c>
      <x:c r="G1514" s="12" t="n">
        <x:v>5.04</x:v>
      </x:c>
      <x:c r="H1514" s="12" t="n">
        <x:v>504</x:v>
      </x:c>
      <x:c r="I1514" s="12" t="n">
        <x:v>-11</x:v>
      </x:c>
      <x:c r="J1514" s="12" t="n">
        <x:v>1</x:v>
      </x:c>
    </x:row>
    <x:row r="1515" ht="18" customHeight="1">
      <x:c r="A1515" s="13" t="n">
        <x:v>44853</x:v>
      </x:c>
      <x:c r="B1515" s="12" t="n">
        <x:v>3776.5335</x:v>
      </x:c>
      <x:c r="C1515" s="12" t="n">
        <x:v>3838.2667</x:v>
      </x:c>
      <x:c r="D1515" s="12" t="n">
        <x:v>-1.6084</x:v>
      </x:c>
      <x:c r="E1515" s="12" t="n">
        <x:v>-0.01621435910914368</x:v>
      </x:c>
      <x:c r="F1515" s="13" t="n">
        <x:v>44852</x:v>
      </x:c>
      <x:c r="G1515" s="12" t="n">
        <x:v>4.95</x:v>
      </x:c>
      <x:c r="H1515" s="12" t="n">
        <x:v>495</x:v>
      </x:c>
      <x:c r="I1515" s="12" t="n">
        <x:v>-9</x:v>
      </x:c>
      <x:c r="J1515" s="12" t="n">
        <x:v>1</x:v>
      </x:c>
    </x:row>
    <x:row r="1516" ht="18" customHeight="1">
      <x:c r="A1516" s="13" t="n">
        <x:v>44854</x:v>
      </x:c>
      <x:c r="B1516" s="12" t="n">
        <x:v>3754.9269</x:v>
      </x:c>
      <x:c r="C1516" s="12" t="n">
        <x:v>3776.5335</x:v>
      </x:c>
      <x:c r="D1516" s="12" t="n">
        <x:v>-0.5721</x:v>
      </x:c>
      <x:c r="E1516" s="12" t="n">
        <x:v>-0.005737707729671164</x:v>
      </x:c>
      <x:c r="F1516" s="13" t="n">
        <x:v>44853</x:v>
      </x:c>
      <x:c r="G1516" s="12" t="n">
        <x:v>4.97</x:v>
      </x:c>
      <x:c r="H1516" s="12" t="n">
        <x:v>497</x:v>
      </x:c>
      <x:c r="I1516" s="12" t="n">
        <x:v>2</x:v>
      </x:c>
      <x:c r="J1516" s="12" t="n">
        <x:v>1</x:v>
      </x:c>
    </x:row>
    <x:row r="1517" ht="18" customHeight="1">
      <x:c r="A1517" s="13" t="n">
        <x:v>44855</x:v>
      </x:c>
      <x:c r="B1517" s="12" t="n">
        <x:v>3742.8929</x:v>
      </x:c>
      <x:c r="C1517" s="12" t="n">
        <x:v>3754.9269</x:v>
      </x:c>
      <x:c r="D1517" s="12" t="n">
        <x:v>-0.3205</x:v>
      </x:c>
      <x:c r="E1517" s="12" t="n">
        <x:v>-0.0032100025485567343</x:v>
      </x:c>
      <x:c r="F1517" s="13" t="n">
        <x:v>44854</x:v>
      </x:c>
      <x:c r="G1517" s="12" t="n">
        <x:v>4.89</x:v>
      </x:c>
      <x:c r="H1517" s="12" t="n">
        <x:v>488.99999999999994</x:v>
      </x:c>
      <x:c r="I1517" s="12" t="n">
        <x:v>-8.000000000000057</x:v>
      </x:c>
      <x:c r="J1517" s="12" t="n">
        <x:v>1</x:v>
      </x:c>
    </x:row>
    <x:row r="1518" ht="18" customHeight="1">
      <x:c r="A1518" s="13" t="n">
        <x:v>44858</x:v>
      </x:c>
      <x:c r="B1518" s="12" t="n">
        <x:v>3633.3733</x:v>
      </x:c>
      <x:c r="C1518" s="12" t="n">
        <x:v>3742.8929</x:v>
      </x:c>
      <x:c r="D1518" s="12" t="n">
        <x:v>-2.9261</x:v>
      </x:c>
      <x:c r="E1518" s="12" t="n">
        <x:v>-0.02969731459472971</x:v>
      </x:c>
      <x:c r="F1518" s="13" t="n">
        <x:v>44855</x:v>
      </x:c>
      <x:c r="G1518" s="12" t="n">
        <x:v>4.99</x:v>
      </x:c>
      <x:c r="H1518" s="12" t="n">
        <x:v>499</x:v>
      </x:c>
      <x:c r="I1518" s="12" t="n">
        <x:v>10.000000000000057</x:v>
      </x:c>
      <x:c r="J1518" s="12" t="n">
        <x:v>3</x:v>
      </x:c>
    </x:row>
    <x:row r="1519" ht="18" customHeight="1">
      <x:c r="A1519" s="13" t="n">
        <x:v>44859</x:v>
      </x:c>
      <x:c r="B1519" s="12" t="n">
        <x:v>3627.4542</x:v>
      </x:c>
      <x:c r="C1519" s="12" t="n">
        <x:v>3633.3733</x:v>
      </x:c>
      <x:c r="D1519" s="12" t="n">
        <x:v>-0.1629</x:v>
      </x:c>
      <x:c r="E1519" s="12" t="n">
        <x:v>-0.001630420585316052</x:v>
      </x:c>
      <x:c r="F1519" s="13" t="n">
        <x:v>44858</x:v>
      </x:c>
      <x:c r="G1519" s="12" t="n">
        <x:v>4.91</x:v>
      </x:c>
      <x:c r="H1519" s="12" t="n">
        <x:v>491</x:v>
      </x:c>
      <x:c r="I1519" s="12" t="n">
        <x:v>-8</x:v>
      </x:c>
      <x:c r="J1519" s="12" t="n">
        <x:v>1</x:v>
      </x:c>
    </x:row>
    <x:row r="1520" ht="18" customHeight="1">
      <x:c r="A1520" s="13" t="n">
        <x:v>44860</x:v>
      </x:c>
      <x:c r="B1520" s="12" t="n">
        <x:v>3656.9027</x:v>
      </x:c>
      <x:c r="C1520" s="12" t="n">
        <x:v>3627.4542</x:v>
      </x:c>
      <x:c r="D1520" s="12" t="n">
        <x:v>0.8118</x:v>
      </x:c>
      <x:c r="E1520" s="12" t="n">
        <x:v>0.0080854523840452</x:v>
      </x:c>
      <x:c r="F1520" s="13" t="n">
        <x:v>44859</x:v>
      </x:c>
      <x:c r="G1520" s="12" t="n">
        <x:v>4.88</x:v>
      </x:c>
      <x:c r="H1520" s="12" t="n">
        <x:v>488</x:v>
      </x:c>
      <x:c r="I1520" s="12" t="n">
        <x:v>-3</x:v>
      </x:c>
      <x:c r="J1520" s="12" t="n">
        <x:v>1</x:v>
      </x:c>
    </x:row>
    <x:row r="1521" ht="18" customHeight="1">
      <x:c r="A1521" s="13" t="n">
        <x:v>44861</x:v>
      </x:c>
      <x:c r="B1521" s="12" t="n">
        <x:v>3631.1448</x:v>
      </x:c>
      <x:c r="C1521" s="12" t="n">
        <x:v>3656.9027</x:v>
      </x:c>
      <x:c r="D1521" s="12" t="n">
        <x:v>-0.7044</x:v>
      </x:c>
      <x:c r="E1521" s="12" t="n">
        <x:v>-0.007068561846897027</x:v>
      </x:c>
      <x:c r="F1521" s="13" t="n">
        <x:v>44860</x:v>
      </x:c>
      <x:c r="G1521" s="12" t="n">
        <x:v>4.8</x:v>
      </x:c>
      <x:c r="H1521" s="12" t="n">
        <x:v>480</x:v>
      </x:c>
      <x:c r="I1521" s="12" t="n">
        <x:v>-8</x:v>
      </x:c>
      <x:c r="J1521" s="12" t="n">
        <x:v>1</x:v>
      </x:c>
    </x:row>
    <x:row r="1522" ht="18" customHeight="1">
      <x:c r="A1522" s="13" t="n">
        <x:v>44862</x:v>
      </x:c>
      <x:c r="B1522" s="12" t="n">
        <x:v>3541.3295</x:v>
      </x:c>
      <x:c r="C1522" s="12" t="n">
        <x:v>3631.1448</x:v>
      </x:c>
      <x:c r="D1522" s="12" t="n">
        <x:v>-2.4735</x:v>
      </x:c>
      <x:c r="E1522" s="12" t="n">
        <x:v>-0.025045748847757898</x:v>
      </x:c>
      <x:c r="F1522" s="13" t="n">
        <x:v>44861</x:v>
      </x:c>
      <x:c r="G1522" s="12" t="n">
        <x:v>4.76</x:v>
      </x:c>
      <x:c r="H1522" s="12" t="n">
        <x:v>476</x:v>
      </x:c>
      <x:c r="I1522" s="12" t="n">
        <x:v>-4</x:v>
      </x:c>
      <x:c r="J1522" s="12" t="n">
        <x:v>1</x:v>
      </x:c>
    </x:row>
    <x:row r="1523" ht="18" customHeight="1">
      <x:c r="A1523" s="13" t="n">
        <x:v>44865</x:v>
      </x:c>
      <x:c r="B1523" s="12" t="n">
        <x:v>3508.7034</x:v>
      </x:c>
      <x:c r="C1523" s="12" t="n">
        <x:v>3541.3295</x:v>
      </x:c>
      <x:c r="D1523" s="12" t="n">
        <x:v>-0.9213</x:v>
      </x:c>
      <x:c r="E1523" s="12" t="n">
        <x:v>-0.009255654087809153</x:v>
      </x:c>
      <x:c r="F1523" s="13" t="n">
        <x:v>44862</x:v>
      </x:c>
      <x:c r="G1523" s="12" t="n">
        <x:v>4.54</x:v>
      </x:c>
      <x:c r="H1523" s="12" t="n">
        <x:v>454</x:v>
      </x:c>
      <x:c r="I1523" s="12" t="n">
        <x:v>-22</x:v>
      </x:c>
      <x:c r="J1523" s="12" t="n">
        <x:v>3</x:v>
      </x:c>
    </x:row>
    <x:row r="1524" ht="18" customHeight="1">
      <x:c r="A1524" s="13" t="n">
        <x:v>44866</x:v>
      </x:c>
      <x:c r="B1524" s="12" t="n">
        <x:v>3634.1732</x:v>
      </x:c>
      <x:c r="C1524" s="12" t="n">
        <x:v>3508.7034</x:v>
      </x:c>
      <x:c r="D1524" s="12" t="n">
        <x:v>3.576</x:v>
      </x:c>
      <x:c r="E1524" s="12" t="n">
        <x:v>0.035135062295113866</x:v>
      </x:c>
      <x:c r="F1524" s="13" t="n">
        <x:v>44865</x:v>
      </x:c>
      <x:c r="G1524" s="12" t="n">
        <x:v>4.63</x:v>
      </x:c>
      <x:c r="H1524" s="12" t="n">
        <x:v>463</x:v>
      </x:c>
      <x:c r="I1524" s="12" t="n">
        <x:v>9</x:v>
      </x:c>
      <x:c r="J1524" s="12" t="n">
        <x:v>1</x:v>
      </x:c>
    </x:row>
    <x:row r="1525" ht="18" customHeight="1">
      <x:c r="A1525" s="13" t="n">
        <x:v>44867</x:v>
      </x:c>
      <x:c r="B1525" s="12" t="n">
        <x:v>3677.8051</x:v>
      </x:c>
      <x:c r="C1525" s="12" t="n">
        <x:v>3634.1732</x:v>
      </x:c>
      <x:c r="D1525" s="12" t="n">
        <x:v>1.2006</x:v>
      </x:c>
      <x:c r="E1525" s="12" t="n">
        <x:v>0.011934504204356282</x:v>
      </x:c>
      <x:c r="F1525" s="13" t="n">
        <x:v>44866</x:v>
      </x:c>
      <x:c r="G1525" s="12" t="n">
        <x:v>4.61</x:v>
      </x:c>
      <x:c r="H1525" s="12" t="n">
        <x:v>461.00000000000006</x:v>
      </x:c>
      <x:c r="I1525" s="12" t="n">
        <x:v>-1.9999999999999432</x:v>
      </x:c>
      <x:c r="J1525" s="12" t="n">
        <x:v>1</x:v>
      </x:c>
    </x:row>
    <x:row r="1526" ht="18" customHeight="1">
      <x:c r="A1526" s="13" t="n">
        <x:v>44868</x:v>
      </x:c>
      <x:c r="B1526" s="12" t="n">
        <x:v>3647.8966</x:v>
      </x:c>
      <x:c r="C1526" s="12" t="n">
        <x:v>3677.8051</x:v>
      </x:c>
      <x:c r="D1526" s="12" t="n">
        <x:v>-0.8132</x:v>
      </x:c>
      <x:c r="E1526" s="12" t="n">
        <x:v>-0.008165406510091901</x:v>
      </x:c>
      <x:c r="F1526" s="13" t="n">
        <x:v>44867</x:v>
      </x:c>
      <x:c r="G1526" s="12" t="n">
        <x:v>4.62</x:v>
      </x:c>
      <x:c r="H1526" s="12" t="n">
        <x:v>462</x:v>
      </x:c>
      <x:c r="I1526" s="12" t="n">
        <x:v>0.9999999999999432</x:v>
      </x:c>
      <x:c r="J1526" s="12" t="n">
        <x:v>1</x:v>
      </x:c>
    </x:row>
    <x:row r="1527" ht="18" customHeight="1">
      <x:c r="A1527" s="13" t="n">
        <x:v>44869</x:v>
      </x:c>
      <x:c r="B1527" s="12" t="n">
        <x:v>3767.1746</x:v>
      </x:c>
      <x:c r="C1527" s="12" t="n">
        <x:v>3647.8966</x:v>
      </x:c>
      <x:c r="D1527" s="12" t="n">
        <x:v>3.2698</x:v>
      </x:c>
      <x:c r="E1527" s="12" t="n">
        <x:v>0.032174550004190845</x:v>
      </x:c>
      <x:c r="F1527" s="13" t="n">
        <x:v>44868</x:v>
      </x:c>
      <x:c r="G1527" s="12" t="n">
        <x:v>4.81</x:v>
      </x:c>
      <x:c r="H1527" s="12" t="n">
        <x:v>480.99999999999994</x:v>
      </x:c>
      <x:c r="I1527" s="12" t="n">
        <x:v>18.999999999999943</x:v>
      </x:c>
      <x:c r="J1527" s="12" t="n">
        <x:v>1</x:v>
      </x:c>
    </x:row>
    <x:row r="1528" ht="18" customHeight="1">
      <x:c r="A1528" s="13" t="n">
        <x:v>44872</x:v>
      </x:c>
      <x:c r="B1528" s="12" t="n">
        <x:v>3775.2971</x:v>
      </x:c>
      <x:c r="C1528" s="12" t="n">
        <x:v>3767.1746</x:v>
      </x:c>
      <x:c r="D1528" s="12" t="n">
        <x:v>0.2156</x:v>
      </x:c>
      <x:c r="E1528" s="12" t="n">
        <x:v>0.0021538040745810905</x:v>
      </x:c>
      <x:c r="F1528" s="13" t="n">
        <x:v>44869</x:v>
      </x:c>
      <x:c r="G1528" s="12" t="n">
        <x:v>4.77</x:v>
      </x:c>
      <x:c r="H1528" s="12" t="n">
        <x:v>476.99999999999994</x:v>
      </x:c>
      <x:c r="I1528" s="12" t="n">
        <x:v>-4</x:v>
      </x:c>
      <x:c r="J1528" s="12" t="n">
        <x:v>3</x:v>
      </x:c>
    </x:row>
    <x:row r="1529" ht="18" customHeight="1">
      <x:c r="A1529" s="13" t="n">
        <x:v>44873</x:v>
      </x:c>
      <x:c r="B1529" s="12" t="n">
        <x:v>3749.3251</x:v>
      </x:c>
      <x:c r="C1529" s="12" t="n">
        <x:v>3775.2971</x:v>
      </x:c>
      <x:c r="D1529" s="12" t="n">
        <x:v>-0.6879</x:v>
      </x:c>
      <x:c r="E1529" s="12" t="n">
        <x:v>-0.006903231139061722</x:v>
      </x:c>
      <x:c r="F1529" s="13" t="n">
        <x:v>44872</x:v>
      </x:c>
      <x:c r="G1529" s="12" t="n">
        <x:v>4.71</x:v>
      </x:c>
      <x:c r="H1529" s="12" t="n">
        <x:v>471</x:v>
      </x:c>
      <x:c r="I1529" s="12" t="n">
        <x:v>-5.999999999999943</x:v>
      </x:c>
      <x:c r="J1529" s="12" t="n">
        <x:v>1</x:v>
      </x:c>
    </x:row>
    <x:row r="1530" ht="18" customHeight="1">
      <x:c r="A1530" s="13" t="n">
        <x:v>44874</x:v>
      </x:c>
      <x:c r="B1530" s="12" t="n">
        <x:v>3714.2704</x:v>
      </x:c>
      <x:c r="C1530" s="12" t="n">
        <x:v>3749.3251</x:v>
      </x:c>
      <x:c r="D1530" s="12" t="n">
        <x:v>-0.935</x:v>
      </x:c>
      <x:c r="E1530" s="12" t="n">
        <x:v>-0.00939358457109661</x:v>
      </x:c>
      <x:c r="F1530" s="13" t="n">
        <x:v>44873</x:v>
      </x:c>
      <x:c r="G1530" s="12" t="n">
        <x:v>4.79</x:v>
      </x:c>
      <x:c r="H1530" s="12" t="n">
        <x:v>479</x:v>
      </x:c>
      <x:c r="I1530" s="12" t="n">
        <x:v>8</x:v>
      </x:c>
      <x:c r="J1530" s="12" t="n">
        <x:v>1</x:v>
      </x:c>
    </x:row>
    <x:row r="1531" ht="18" customHeight="1">
      <x:c r="A1531" s="13" t="n">
        <x:v>44875</x:v>
      </x:c>
      <x:c r="B1531" s="12" t="n">
        <x:v>3685.6885</x:v>
      </x:c>
      <x:c r="C1531" s="12" t="n">
        <x:v>3714.2704</x:v>
      </x:c>
      <x:c r="D1531" s="12" t="n">
        <x:v>-0.7695</x:v>
      </x:c>
      <x:c r="E1531" s="12" t="n">
        <x:v>-0.007724919156991287</x:v>
      </x:c>
      <x:c r="F1531" s="13" t="n">
        <x:v>44874</x:v>
      </x:c>
      <x:c r="G1531" s="12" t="n">
        <x:v>4.99</x:v>
      </x:c>
      <x:c r="H1531" s="12" t="n">
        <x:v>499</x:v>
      </x:c>
      <x:c r="I1531" s="12" t="n">
        <x:v>20</x:v>
      </x:c>
      <x:c r="J1531" s="12" t="n">
        <x:v>1</x:v>
      </x:c>
    </x:row>
    <x:row r="1532" ht="18" customHeight="1">
      <x:c r="A1532" s="13" t="n">
        <x:v>44876</x:v>
      </x:c>
      <x:c r="B1532" s="12" t="n">
        <x:v>3788.4387</x:v>
      </x:c>
      <x:c r="C1532" s="12" t="n">
        <x:v>3685.6885</x:v>
      </x:c>
      <x:c r="D1532" s="12" t="n">
        <x:v>2.7878</x:v>
      </x:c>
      <x:c r="E1532" s="12" t="n">
        <x:v>0.027496634988239666</x:v>
      </x:c>
      <x:c r="F1532" s="13" t="n">
        <x:v>44875</x:v>
      </x:c>
      <x:c r="G1532" s="12" t="n">
        <x:v>4.8</x:v>
      </x:c>
      <x:c r="H1532" s="12" t="n">
        <x:v>480</x:v>
      </x:c>
      <x:c r="I1532" s="12" t="n">
        <x:v>-19</x:v>
      </x:c>
      <x:c r="J1532" s="12" t="n">
        <x:v>1</x:v>
      </x:c>
    </x:row>
    <x:row r="1533" ht="18" customHeight="1">
      <x:c r="A1533" s="13" t="n">
        <x:v>44879</x:v>
      </x:c>
      <x:c r="B1533" s="12" t="n">
        <x:v>3794.0171</x:v>
      </x:c>
      <x:c r="C1533" s="12" t="n">
        <x:v>3788.4387</x:v>
      </x:c>
      <x:c r="D1533" s="12" t="n">
        <x:v>0.1472</x:v>
      </x:c>
      <x:c r="E1533" s="12" t="n">
        <x:v>0.0014713969071710126</x:v>
      </x:c>
      <x:c r="F1533" s="13" t="n">
        <x:v>44876</x:v>
      </x:c>
      <x:c r="G1533" s="12" t="n">
        <x:v>4.81</x:v>
      </x:c>
      <x:c r="H1533" s="12" t="n">
        <x:v>480.99999999999994</x:v>
      </x:c>
      <x:c r="I1533" s="12" t="n">
        <x:v>0.9999999999999432</x:v>
      </x:c>
      <x:c r="J1533" s="12" t="n">
        <x:v>3</x:v>
      </x:c>
    </x:row>
    <x:row r="1534" ht="18" customHeight="1">
      <x:c r="A1534" s="13" t="n">
        <x:v>44880</x:v>
      </x:c>
      <x:c r="B1534" s="12" t="n">
        <x:v>3865.9726</x:v>
      </x:c>
      <x:c r="C1534" s="12" t="n">
        <x:v>3794.0171</x:v>
      </x:c>
      <x:c r="D1534" s="12" t="n">
        <x:v>1.8966</x:v>
      </x:c>
      <x:c r="E1534" s="12" t="n">
        <x:v>0.018787914712990912</x:v>
      </x:c>
      <x:c r="F1534" s="13" t="n">
        <x:v>44879</x:v>
      </x:c>
      <x:c r="G1534" s="12" t="n">
        <x:v>4.67</x:v>
      </x:c>
      <x:c r="H1534" s="12" t="n">
        <x:v>467</x:v>
      </x:c>
      <x:c r="I1534" s="12" t="n">
        <x:v>-13.999999999999943</x:v>
      </x:c>
      <x:c r="J1534" s="12" t="n">
        <x:v>1</x:v>
      </x:c>
    </x:row>
    <x:row r="1535" ht="18" customHeight="1">
      <x:c r="A1535" s="13" t="n">
        <x:v>44881</x:v>
      </x:c>
      <x:c r="B1535" s="12" t="n">
        <x:v>3834.3899</x:v>
      </x:c>
      <x:c r="C1535" s="12" t="n">
        <x:v>3865.9726</x:v>
      </x:c>
      <x:c r="D1535" s="12" t="n">
        <x:v>-0.8169</x:v>
      </x:c>
      <x:c r="E1535" s="12" t="n">
        <x:v>-0.00820295852199649</x:v>
      </x:c>
      <x:c r="F1535" s="13" t="n">
        <x:v>44880</x:v>
      </x:c>
      <x:c r="G1535" s="12" t="n">
        <x:v>4.64</x:v>
      </x:c>
      <x:c r="H1535" s="12" t="n">
        <x:v>463.99999999999994</x:v>
      </x:c>
      <x:c r="I1535" s="12" t="n">
        <x:v>-3.000000000000057</x:v>
      </x:c>
      <x:c r="J1535" s="12" t="n">
        <x:v>1</x:v>
      </x:c>
    </x:row>
    <x:row r="1536" ht="18" customHeight="1">
      <x:c r="A1536" s="13" t="n">
        <x:v>44882</x:v>
      </x:c>
      <x:c r="B1536" s="12" t="n">
        <x:v>3818.664</x:v>
      </x:c>
      <x:c r="C1536" s="12" t="n">
        <x:v>3834.3899</x:v>
      </x:c>
      <x:c r="D1536" s="12" t="n">
        <x:v>-0.4101</x:v>
      </x:c>
      <x:c r="E1536" s="12" t="n">
        <x:v>-0.00410971158424564</x:v>
      </x:c>
      <x:c r="F1536" s="13" t="n">
        <x:v>44881</x:v>
      </x:c>
      <x:c r="G1536" s="12" t="n">
        <x:v>4.71</x:v>
      </x:c>
      <x:c r="H1536" s="12" t="n">
        <x:v>471</x:v>
      </x:c>
      <x:c r="I1536" s="12" t="n">
        <x:v>7.000000000000057</x:v>
      </x:c>
      <x:c r="J1536" s="12" t="n">
        <x:v>1</x:v>
      </x:c>
    </x:row>
    <x:row r="1537" ht="18" customHeight="1">
      <x:c r="A1537" s="13" t="n">
        <x:v>44883</x:v>
      </x:c>
      <x:c r="B1537" s="12" t="n">
        <x:v>3801.5686</x:v>
      </x:c>
      <x:c r="C1537" s="12" t="n">
        <x:v>3818.664</x:v>
      </x:c>
      <x:c r="D1537" s="12" t="n">
        <x:v>-0.4477</x:v>
      </x:c>
      <x:c r="E1537" s="12" t="n">
        <x:v>-0.004486852194025924</x:v>
      </x:c>
      <x:c r="F1537" s="13" t="n">
        <x:v>44882</x:v>
      </x:c>
      <x:c r="G1537" s="12" t="n">
        <x:v>4.75</x:v>
      </x:c>
      <x:c r="H1537" s="12" t="n">
        <x:v>475</x:v>
      </x:c>
      <x:c r="I1537" s="12" t="n">
        <x:v>4</x:v>
      </x:c>
      <x:c r="J1537" s="12" t="n">
        <x:v>1</x:v>
      </x:c>
    </x:row>
    <x:row r="1538" ht="18" customHeight="1">
      <x:c r="A1538" s="13" t="n">
        <x:v>44886</x:v>
      </x:c>
      <x:c r="B1538" s="12" t="n">
        <x:v>3769.1269</x:v>
      </x:c>
      <x:c r="C1538" s="12" t="n">
        <x:v>3801.5686</x:v>
      </x:c>
      <x:c r="D1538" s="12" t="n">
        <x:v>-0.8534</x:v>
      </x:c>
      <x:c r="E1538" s="12" t="n">
        <x:v>-0.008570387905360253</x:v>
      </x:c>
      <x:c r="F1538" s="13" t="n">
        <x:v>44883</x:v>
      </x:c>
      <x:c r="G1538" s="12" t="n">
        <x:v>4.65</x:v>
      </x:c>
      <x:c r="H1538" s="12" t="n">
        <x:v>465.00000000000006</x:v>
      </x:c>
      <x:c r="I1538" s="12" t="n">
        <x:v>-9.999999999999943</x:v>
      </x:c>
      <x:c r="J1538" s="12" t="n">
        <x:v>3</x:v>
      </x:c>
    </x:row>
    <x:row r="1539" ht="18" customHeight="1">
      <x:c r="A1539" s="13" t="n">
        <x:v>44887</x:v>
      </x:c>
      <x:c r="B1539" s="12" t="n">
        <x:v>3769.5727</x:v>
      </x:c>
      <x:c r="C1539" s="12" t="n">
        <x:v>3769.1269</x:v>
      </x:c>
      <x:c r="D1539" s="12" t="n">
        <x:v>0.0118</x:v>
      </x:c>
      <x:c r="E1539" s="12" t="n">
        <x:v>0.00011826973461562479</x:v>
      </x:c>
      <x:c r="F1539" s="13" t="n">
        <x:v>44886</x:v>
      </x:c>
      <x:c r="G1539" s="12" t="n">
        <x:v>4.64</x:v>
      </x:c>
      <x:c r="H1539" s="12" t="n">
        <x:v>463.99999999999994</x:v>
      </x:c>
      <x:c r="I1539" s="12" t="n">
        <x:v>-1.0000000000001137</x:v>
      </x:c>
      <x:c r="J1539" s="12" t="n">
        <x:v>1</x:v>
      </x:c>
    </x:row>
    <x:row r="1540" ht="18" customHeight="1">
      <x:c r="A1540" s="13" t="n">
        <x:v>44888</x:v>
      </x:c>
      <x:c r="B1540" s="12" t="n">
        <x:v>3773.5287</x:v>
      </x:c>
      <x:c r="C1540" s="12" t="n">
        <x:v>3769.5727</x:v>
      </x:c>
      <x:c r="D1540" s="12" t="n">
        <x:v>0.1049</x:v>
      </x:c>
      <x:c r="E1540" s="12" t="n">
        <x:v>0.0010489055238472717</x:v>
      </x:c>
      <x:c r="F1540" s="13" t="n">
        <x:v>44887</x:v>
      </x:c>
      <x:c r="G1540" s="12" t="n">
        <x:v>4.57</x:v>
      </x:c>
      <x:c r="H1540" s="12" t="n">
        <x:v>457</x:v>
      </x:c>
      <x:c r="I1540" s="12" t="n">
        <x:v>-6.999999999999943</x:v>
      </x:c>
      <x:c r="J1540" s="12" t="n">
        <x:v>1</x:v>
      </x:c>
    </x:row>
    <x:row r="1541" ht="18" customHeight="1">
      <x:c r="A1541" s="13" t="n">
        <x:v>44889</x:v>
      </x:c>
      <x:c r="B1541" s="12" t="n">
        <x:v>3756.8082</x:v>
      </x:c>
      <x:c r="C1541" s="12" t="n">
        <x:v>3773.5287</x:v>
      </x:c>
      <x:c r="D1541" s="12" t="n">
        <x:v>-0.4431</x:v>
      </x:c>
      <x:c r="E1541" s="12" t="n">
        <x:v>-0.0044408444670989014</x:v>
      </x:c>
      <x:c r="F1541" s="13" t="n">
        <x:v>44888</x:v>
      </x:c>
      <x:c r="G1541" s="12" t="n">
        <x:v>4.51</x:v>
      </x:c>
      <x:c r="H1541" s="12" t="n">
        <x:v>451</x:v>
      </x:c>
      <x:c r="I1541" s="12" t="n">
        <x:v>-6</x:v>
      </x:c>
      <x:c r="J1541" s="12" t="n">
        <x:v>1</x:v>
      </x:c>
    </x:row>
    <x:row r="1542" ht="18" customHeight="1">
      <x:c r="A1542" s="13" t="n">
        <x:v>44890</x:v>
      </x:c>
      <x:c r="B1542" s="12" t="n">
        <x:v>3775.7764</x:v>
      </x:c>
      <x:c r="C1542" s="12" t="n">
        <x:v>3756.8082</x:v>
      </x:c>
      <x:c r="D1542" s="12" t="n">
        <x:v>0.5049</x:v>
      </x:c>
      <x:c r="E1542" s="12" t="n">
        <x:v>0.005036316510325149</x:v>
      </x:c>
      <x:c r="F1542" s="13" t="n">
        <x:v>44889</x:v>
      </x:c>
      <x:c r="G1542" s="12" t="n">
        <x:v>4.51</x:v>
      </x:c>
      <x:c r="H1542" s="12" t="n">
        <x:v>451</x:v>
      </x:c>
      <x:c r="I1542" s="12" t="n">
        <x:v>0</x:v>
      </x:c>
      <x:c r="J1542" s="12" t="n">
        <x:v>1</x:v>
      </x:c>
    </x:row>
    <x:row r="1543" ht="18" customHeight="1">
      <x:c r="A1543" s="13" t="n">
        <x:v>44893</x:v>
      </x:c>
      <x:c r="B1543" s="12" t="n">
        <x:v>3733.2424</x:v>
      </x:c>
      <x:c r="C1543" s="12" t="n">
        <x:v>3775.7764</x:v>
      </x:c>
      <x:c r="D1543" s="12" t="n">
        <x:v>-1.1265</x:v>
      </x:c>
      <x:c r="E1543" s="12" t="n">
        <x:v>-0.011328898234774747</x:v>
      </x:c>
      <x:c r="F1543" s="13" t="n">
        <x:v>44890</x:v>
      </x:c>
      <x:c r="G1543" s="12" t="n">
        <x:v>4.52</x:v>
      </x:c>
      <x:c r="H1543" s="12" t="n">
        <x:v>451.99999999999994</x:v>
      </x:c>
      <x:c r="I1543" s="12" t="n">
        <x:v>0.9999999999999432</x:v>
      </x:c>
      <x:c r="J1543" s="12" t="n">
        <x:v>3</x:v>
      </x:c>
    </x:row>
    <x:row r="1544" ht="18" customHeight="1">
      <x:c r="A1544" s="13" t="n">
        <x:v>44894</x:v>
      </x:c>
      <x:c r="B1544" s="12" t="n">
        <x:v>3848.4224</x:v>
      </x:c>
      <x:c r="C1544" s="12" t="n">
        <x:v>3733.2424</x:v>
      </x:c>
      <x:c r="D1544" s="12" t="n">
        <x:v>3.0853</x:v>
      </x:c>
      <x:c r="E1544" s="12" t="n">
        <x:v>0.030386165895360008</x:v>
      </x:c>
      <x:c r="F1544" s="13" t="n">
        <x:v>44893</x:v>
      </x:c>
      <x:c r="G1544" s="12" t="n">
        <x:v>4.63</x:v>
      </x:c>
      <x:c r="H1544" s="12" t="n">
        <x:v>463</x:v>
      </x:c>
      <x:c r="I1544" s="12" t="n">
        <x:v>11.000000000000057</x:v>
      </x:c>
      <x:c r="J1544" s="12" t="n">
        <x:v>1</x:v>
      </x:c>
    </x:row>
    <x:row r="1545" ht="18" customHeight="1">
      <x:c r="A1545" s="13" t="n">
        <x:v>44895</x:v>
      </x:c>
      <x:c r="B1545" s="12" t="n">
        <x:v>3853.0365</x:v>
      </x:c>
      <x:c r="C1545" s="12" t="n">
        <x:v>3848.4224</x:v>
      </x:c>
      <x:c r="D1545" s="12" t="n">
        <x:v>0.1199</x:v>
      </x:c>
      <x:c r="E1545" s="12" t="n">
        <x:v>0.0011982406481633547</x:v>
      </x:c>
      <x:c r="F1545" s="13" t="n">
        <x:v>44894</x:v>
      </x:c>
      <x:c r="G1545" s="12" t="n">
        <x:v>4.63</x:v>
      </x:c>
      <x:c r="H1545" s="12" t="n">
        <x:v>463</x:v>
      </x:c>
      <x:c r="I1545" s="12" t="n">
        <x:v>0</x:v>
      </x:c>
      <x:c r="J1545" s="12" t="n">
        <x:v>1</x:v>
      </x:c>
    </x:row>
    <x:row r="1546" ht="18" customHeight="1">
      <x:c r="A1546" s="13" t="n">
        <x:v>44896</x:v>
      </x:c>
      <x:c r="B1546" s="12" t="n">
        <x:v>3894.7687</x:v>
      </x:c>
      <x:c r="C1546" s="12" t="n">
        <x:v>3853.0365</x:v>
      </x:c>
      <x:c r="D1546" s="12" t="n">
        <x:v>1.0831</x:v>
      </x:c>
      <x:c r="E1546" s="12" t="n">
        <x:v>0.010772754997039927</x:v>
      </x:c>
      <x:c r="F1546" s="13" t="n">
        <x:v>44895</x:v>
      </x:c>
      <x:c r="G1546" s="12" t="n">
        <x:v>4.55</x:v>
      </x:c>
      <x:c r="H1546" s="12" t="n">
        <x:v>455</x:v>
      </x:c>
      <x:c r="I1546" s="12" t="n">
        <x:v>-8</x:v>
      </x:c>
      <x:c r="J1546" s="12" t="n">
        <x:v>1</x:v>
      </x:c>
    </x:row>
    <x:row r="1547" ht="18" customHeight="1">
      <x:c r="A1547" s="13" t="n">
        <x:v>44897</x:v>
      </x:c>
      <x:c r="B1547" s="12" t="n">
        <x:v>3870.9478</x:v>
      </x:c>
      <x:c r="C1547" s="12" t="n">
        <x:v>3894.7687</x:v>
      </x:c>
      <x:c r="D1547" s="12" t="n">
        <x:v>-0.6116</x:v>
      </x:c>
      <x:c r="E1547" s="12" t="n">
        <x:v>-0.006134907117042015</x:v>
      </x:c>
      <x:c r="F1547" s="13" t="n">
        <x:v>44896</x:v>
      </x:c>
      <x:c r="G1547" s="12" t="n">
        <x:v>4.48</x:v>
      </x:c>
      <x:c r="H1547" s="12" t="n">
        <x:v>448.00000000000006</x:v>
      </x:c>
      <x:c r="I1547" s="12" t="n">
        <x:v>-6.999999999999943</x:v>
      </x:c>
      <x:c r="J1547" s="12" t="n">
        <x:v>1</x:v>
      </x:c>
    </x:row>
    <x:row r="1548" ht="18" customHeight="1">
      <x:c r="A1548" s="13" t="n">
        <x:v>44900</x:v>
      </x:c>
      <x:c r="B1548" s="12" t="n">
        <x:v>3946.8759</x:v>
      </x:c>
      <x:c r="C1548" s="12" t="n">
        <x:v>3870.9478</x:v>
      </x:c>
      <x:c r="D1548" s="12" t="n">
        <x:v>1.9615</x:v>
      </x:c>
      <x:c r="E1548" s="12" t="n">
        <x:v>0.019424967968233346</x:v>
      </x:c>
      <x:c r="F1548" s="13" t="n">
        <x:v>44897</x:v>
      </x:c>
      <x:c r="G1548" s="12" t="n">
        <x:v>4.5</x:v>
      </x:c>
      <x:c r="H1548" s="12" t="n">
        <x:v>450</x:v>
      </x:c>
      <x:c r="I1548" s="12" t="n">
        <x:v>1.9999999999999432</x:v>
      </x:c>
      <x:c r="J1548" s="12" t="n">
        <x:v>3</x:v>
      </x:c>
    </x:row>
    <x:row r="1549" ht="18" customHeight="1">
      <x:c r="A1549" s="13" t="n">
        <x:v>44901</x:v>
      </x:c>
      <x:c r="B1549" s="12" t="n">
        <x:v>3968.1979</x:v>
      </x:c>
      <x:c r="C1549" s="12" t="n">
        <x:v>3946.8759</x:v>
      </x:c>
      <x:c r="D1549" s="12" t="n">
        <x:v>0.5402</x:v>
      </x:c>
      <x:c r="E1549" s="12" t="n">
        <x:v>0.005387707585699159</x:v>
      </x:c>
      <x:c r="F1549" s="13" t="n">
        <x:v>44900</x:v>
      </x:c>
      <x:c r="G1549" s="12" t="n">
        <x:v>4.43</x:v>
      </x:c>
      <x:c r="H1549" s="12" t="n">
        <x:v>443</x:v>
      </x:c>
      <x:c r="I1549" s="12" t="n">
        <x:v>-7</x:v>
      </x:c>
      <x:c r="J1549" s="12" t="n">
        <x:v>1</x:v>
      </x:c>
    </x:row>
    <x:row r="1550" ht="18" customHeight="1">
      <x:c r="A1550" s="13" t="n">
        <x:v>44902</x:v>
      </x:c>
      <x:c r="B1550" s="12" t="n">
        <x:v>3958.4409</x:v>
      </x:c>
      <x:c r="C1550" s="12" t="n">
        <x:v>3968.1979</x:v>
      </x:c>
      <x:c r="D1550" s="12" t="n">
        <x:v>-0.2459</x:v>
      </x:c>
      <x:c r="E1550" s="12" t="n">
        <x:v>-0.002461826550684833</x:v>
      </x:c>
      <x:c r="F1550" s="13" t="n">
        <x:v>44901</x:v>
      </x:c>
      <x:c r="G1550" s="12" t="n">
        <x:v>4.57</x:v>
      </x:c>
      <x:c r="H1550" s="12" t="n">
        <x:v>457</x:v>
      </x:c>
      <x:c r="I1550" s="12" t="n">
        <x:v>14</x:v>
      </x:c>
      <x:c r="J1550" s="12" t="n">
        <x:v>1</x:v>
      </x:c>
    </x:row>
    <x:row r="1551" ht="18" customHeight="1">
      <x:c r="A1551" s="13" t="n">
        <x:v>44903</x:v>
      </x:c>
      <x:c r="B1551" s="12" t="n">
        <x:v>3959.1798</x:v>
      </x:c>
      <x:c r="C1551" s="12" t="n">
        <x:v>3958.4409</x:v>
      </x:c>
      <x:c r="D1551" s="12" t="n">
        <x:v>0.0187</x:v>
      </x:c>
      <x:c r="E1551" s="12" t="n">
        <x:v>0.00018664698149652585</x:v>
      </x:c>
      <x:c r="F1551" s="13" t="n">
        <x:v>44902</x:v>
      </x:c>
      <x:c r="G1551" s="12" t="n">
        <x:v>4.68</x:v>
      </x:c>
      <x:c r="H1551" s="12" t="n">
        <x:v>468</x:v>
      </x:c>
      <x:c r="I1551" s="12" t="n">
        <x:v>11</x:v>
      </x:c>
      <x:c r="J1551" s="12" t="n">
        <x:v>1</x:v>
      </x:c>
    </x:row>
    <x:row r="1552" ht="18" customHeight="1">
      <x:c r="A1552" s="13" t="n">
        <x:v>44904</x:v>
      </x:c>
      <x:c r="B1552" s="12" t="n">
        <x:v>3998.2442</x:v>
      </x:c>
      <x:c r="C1552" s="12" t="n">
        <x:v>3959.1798</x:v>
      </x:c>
      <x:c r="D1552" s="12" t="n">
        <x:v>0.9867</x:v>
      </x:c>
      <x:c r="E1552" s="12" t="n">
        <x:v>0.00981843215143076</x:v>
      </x:c>
      <x:c r="F1552" s="13" t="n">
        <x:v>44903</x:v>
      </x:c>
      <x:c r="G1552" s="12" t="n">
        <x:v>4.55</x:v>
      </x:c>
      <x:c r="H1552" s="12" t="n">
        <x:v>455</x:v>
      </x:c>
      <x:c r="I1552" s="12" t="n">
        <x:v>-13</x:v>
      </x:c>
      <x:c r="J1552" s="12" t="n">
        <x:v>1</x:v>
      </x:c>
    </x:row>
    <x:row r="1553" ht="18" customHeight="1">
      <x:c r="A1553" s="13" t="n">
        <x:v>44907</x:v>
      </x:c>
      <x:c r="B1553" s="12" t="n">
        <x:v>3953.4433</x:v>
      </x:c>
      <x:c r="C1553" s="12" t="n">
        <x:v>3998.2442</x:v>
      </x:c>
      <x:c r="D1553" s="12" t="n">
        <x:v>-1.1205</x:v>
      </x:c>
      <x:c r="E1553" s="12" t="n">
        <x:v>-0.011268394049661413</x:v>
      </x:c>
      <x:c r="F1553" s="13" t="n">
        <x:v>44904</x:v>
      </x:c>
      <x:c r="G1553" s="12" t="n">
        <x:v>4.46</x:v>
      </x:c>
      <x:c r="H1553" s="12" t="n">
        <x:v>446</x:v>
      </x:c>
      <x:c r="I1553" s="12" t="n">
        <x:v>-9</x:v>
      </x:c>
      <x:c r="J1553" s="12" t="n">
        <x:v>3</x:v>
      </x:c>
    </x:row>
    <x:row r="1554" ht="18" customHeight="1">
      <x:c r="A1554" s="13" t="n">
        <x:v>44908</x:v>
      </x:c>
      <x:c r="B1554" s="12" t="n">
        <x:v>3945.6813</x:v>
      </x:c>
      <x:c r="C1554" s="12" t="n">
        <x:v>3953.4433</x:v>
      </x:c>
      <x:c r="D1554" s="12" t="n">
        <x:v>-0.1963</x:v>
      </x:c>
      <x:c r="E1554" s="12" t="n">
        <x:v>-0.0019652816967299248</x:v>
      </x:c>
      <x:c r="F1554" s="13" t="n">
        <x:v>44907</x:v>
      </x:c>
      <x:c r="G1554" s="12" t="n">
        <x:v>4.4</x:v>
      </x:c>
      <x:c r="H1554" s="12" t="n">
        <x:v>440.00000000000006</x:v>
      </x:c>
      <x:c r="I1554" s="12" t="n">
        <x:v>-5.999999999999943</x:v>
      </x:c>
      <x:c r="J1554" s="12" t="n">
        <x:v>1</x:v>
      </x:c>
    </x:row>
    <x:row r="1555" ht="18" customHeight="1">
      <x:c r="A1555" s="13" t="n">
        <x:v>44909</x:v>
      </x:c>
      <x:c r="B1555" s="12" t="n">
        <x:v>3954.8857</x:v>
      </x:c>
      <x:c r="C1555" s="12" t="n">
        <x:v>3945.6813</x:v>
      </x:c>
      <x:c r="D1555" s="12" t="n">
        <x:v>0.2333</x:v>
      </x:c>
      <x:c r="E1555" s="12" t="n">
        <x:v>0.002330061668831265</x:v>
      </x:c>
      <x:c r="F1555" s="13" t="n">
        <x:v>44908</x:v>
      </x:c>
      <x:c r="G1555" s="12" t="n">
        <x:v>4.34</x:v>
      </x:c>
      <x:c r="H1555" s="12" t="n">
        <x:v>434</x:v>
      </x:c>
      <x:c r="I1555" s="12" t="n">
        <x:v>-6.000000000000057</x:v>
      </x:c>
      <x:c r="J1555" s="12" t="n">
        <x:v>1</x:v>
      </x:c>
    </x:row>
    <x:row r="1556" ht="18" customHeight="1">
      <x:c r="A1556" s="13" t="n">
        <x:v>44910</x:v>
      </x:c>
      <x:c r="B1556" s="12" t="n">
        <x:v>3951.9885</x:v>
      </x:c>
      <x:c r="C1556" s="12" t="n">
        <x:v>3954.8857</x:v>
      </x:c>
      <x:c r="D1556" s="12" t="n">
        <x:v>-0.0733</x:v>
      </x:c>
      <x:c r="E1556" s="12" t="n">
        <x:v>-0.0007328307132189436</x:v>
      </x:c>
      <x:c r="F1556" s="13" t="n">
        <x:v>44909</x:v>
      </x:c>
      <x:c r="G1556" s="12" t="n">
        <x:v>4.37</x:v>
      </x:c>
      <x:c r="H1556" s="12" t="n">
        <x:v>437</x:v>
      </x:c>
      <x:c r="I1556" s="12" t="n">
        <x:v>3</x:v>
      </x:c>
      <x:c r="J1556" s="12" t="n">
        <x:v>1</x:v>
      </x:c>
    </x:row>
    <x:row r="1557" ht="18" customHeight="1">
      <x:c r="A1557" s="13" t="n">
        <x:v>44911</x:v>
      </x:c>
      <x:c r="B1557" s="12" t="n">
        <x:v>3954.227</x:v>
      </x:c>
      <x:c r="C1557" s="12" t="n">
        <x:v>3951.9885</x:v>
      </x:c>
      <x:c r="D1557" s="12" t="n">
        <x:v>0.0566</x:v>
      </x:c>
      <x:c r="E1557" s="12" t="n">
        <x:v>0.0005662633556637898</x:v>
      </x:c>
      <x:c r="F1557" s="13" t="n">
        <x:v>44910</x:v>
      </x:c>
      <x:c r="G1557" s="12" t="n">
        <x:v>4.54</x:v>
      </x:c>
      <x:c r="H1557" s="12" t="n">
        <x:v>454</x:v>
      </x:c>
      <x:c r="I1557" s="12" t="n">
        <x:v>17</x:v>
      </x:c>
      <x:c r="J1557" s="12" t="n">
        <x:v>1</x:v>
      </x:c>
    </x:row>
    <x:row r="1558" ht="18" customHeight="1">
      <x:c r="A1558" s="13" t="n">
        <x:v>44914</x:v>
      </x:c>
      <x:c r="B1558" s="12" t="n">
        <x:v>3893.2207</x:v>
      </x:c>
      <x:c r="C1558" s="12" t="n">
        <x:v>3954.227</x:v>
      </x:c>
      <x:c r="D1558" s="12" t="n">
        <x:v>-1.5428</x:v>
      </x:c>
      <x:c r="E1558" s="12" t="n">
        <x:v>-0.015548374799046806</x:v>
      </x:c>
      <x:c r="F1558" s="13" t="n">
        <x:v>44911</x:v>
      </x:c>
      <x:c r="G1558" s="12" t="n">
        <x:v>4.67</x:v>
      </x:c>
      <x:c r="H1558" s="12" t="n">
        <x:v>467</x:v>
      </x:c>
      <x:c r="I1558" s="12" t="n">
        <x:v>13</x:v>
      </x:c>
      <x:c r="J1558" s="12" t="n">
        <x:v>3</x:v>
      </x:c>
    </x:row>
    <x:row r="1559" ht="18" customHeight="1">
      <x:c r="A1559" s="13" t="n">
        <x:v>44915</x:v>
      </x:c>
      <x:c r="B1559" s="12" t="n">
        <x:v>3829.0173</x:v>
      </x:c>
      <x:c r="C1559" s="12" t="n">
        <x:v>3893.2207</x:v>
      </x:c>
      <x:c r="D1559" s="12" t="n">
        <x:v>-1.6491</x:v>
      </x:c>
      <x:c r="E1559" s="12" t="n">
        <x:v>-0.01662856788307226</x:v>
      </x:c>
      <x:c r="F1559" s="13" t="n">
        <x:v>44914</x:v>
      </x:c>
      <x:c r="G1559" s="12" t="n">
        <x:v>4.67</x:v>
      </x:c>
      <x:c r="H1559" s="12" t="n">
        <x:v>467</x:v>
      </x:c>
      <x:c r="I1559" s="12" t="n">
        <x:v>0</x:v>
      </x:c>
      <x:c r="J1559" s="12" t="n">
        <x:v>1</x:v>
      </x:c>
    </x:row>
    <x:row r="1560" ht="18" customHeight="1">
      <x:c r="A1560" s="13" t="n">
        <x:v>44916</x:v>
      </x:c>
      <x:c r="B1560" s="12" t="n">
        <x:v>3830.5384</x:v>
      </x:c>
      <x:c r="C1560" s="12" t="n">
        <x:v>3829.0173</x:v>
      </x:c>
      <x:c r="D1560" s="12" t="n">
        <x:v>0.0397</x:v>
      </x:c>
      <x:c r="E1560" s="12" t="n">
        <x:v>0.0003971770895265506</x:v>
      </x:c>
      <x:c r="F1560" s="13" t="n">
        <x:v>44915</x:v>
      </x:c>
      <x:c r="G1560" s="12" t="n">
        <x:v>4.68</x:v>
      </x:c>
      <x:c r="H1560" s="12" t="n">
        <x:v>468</x:v>
      </x:c>
      <x:c r="I1560" s="12" t="n">
        <x:v>1</x:v>
      </x:c>
      <x:c r="J1560" s="12" t="n">
        <x:v>1</x:v>
      </x:c>
    </x:row>
    <x:row r="1561" ht="18" customHeight="1">
      <x:c r="A1561" s="13" t="n">
        <x:v>44917</x:v>
      </x:c>
      <x:c r="B1561" s="12" t="n">
        <x:v>3836.028</x:v>
      </x:c>
      <x:c r="C1561" s="12" t="n">
        <x:v>3830.5384</x:v>
      </x:c>
      <x:c r="D1561" s="12" t="n">
        <x:v>0.1433</x:v>
      </x:c>
      <x:c r="E1561" s="12" t="n">
        <x:v>0.0014320885391947411</x:v>
      </x:c>
      <x:c r="F1561" s="13" t="n">
        <x:v>44916</x:v>
      </x:c>
      <x:c r="G1561" s="12" t="n">
        <x:v>4.56</x:v>
      </x:c>
      <x:c r="H1561" s="12" t="n">
        <x:v>455.99999999999994</x:v>
      </x:c>
      <x:c r="I1561" s="12" t="n">
        <x:v>-12.000000000000057</x:v>
      </x:c>
      <x:c r="J1561" s="12" t="n">
        <x:v>1</x:v>
      </x:c>
    </x:row>
    <x:row r="1562" ht="18" customHeight="1">
      <x:c r="A1562" s="13" t="n">
        <x:v>44918</x:v>
      </x:c>
      <x:c r="B1562" s="12" t="n">
        <x:v>3828.2188</x:v>
      </x:c>
      <x:c r="C1562" s="12" t="n">
        <x:v>3836.028</x:v>
      </x:c>
      <x:c r="D1562" s="12" t="n">
        <x:v>-0.2036</x:v>
      </x:c>
      <x:c r="E1562" s="12" t="n">
        <x:v>-0.0020378265226173122</x:v>
      </x:c>
      <x:c r="F1562" s="13" t="n">
        <x:v>44917</x:v>
      </x:c>
      <x:c r="G1562" s="12" t="n">
        <x:v>4.61</x:v>
      </x:c>
      <x:c r="H1562" s="12" t="n">
        <x:v>461.00000000000006</x:v>
      </x:c>
      <x:c r="I1562" s="12" t="n">
        <x:v>5.000000000000114</x:v>
      </x:c>
      <x:c r="J1562" s="12" t="n">
        <x:v>1</x:v>
      </x:c>
    </x:row>
    <x:row r="1563" ht="18" customHeight="1">
      <x:c r="A1563" s="13" t="n">
        <x:v>44921</x:v>
      </x:c>
      <x:c r="B1563" s="12" t="n">
        <x:v>3843.4887</x:v>
      </x:c>
      <x:c r="C1563" s="12" t="n">
        <x:v>3828.2188</x:v>
      </x:c>
      <x:c r="D1563" s="12" t="n">
        <x:v>0.3989</x:v>
      </x:c>
      <x:c r="E1563" s="12" t="n">
        <x:v>0.003980840032099933</x:v>
      </x:c>
      <x:c r="F1563" s="13" t="n">
        <x:v>44918</x:v>
      </x:c>
      <x:c r="G1563" s="12" t="n">
        <x:v>4.59</x:v>
      </x:c>
      <x:c r="H1563" s="12" t="n">
        <x:v>459</x:v>
      </x:c>
      <x:c r="I1563" s="12" t="n">
        <x:v>-2.000000000000057</x:v>
      </x:c>
      <x:c r="J1563" s="12" t="n">
        <x:v>3</x:v>
      </x:c>
    </x:row>
    <x:row r="1564" ht="18" customHeight="1">
      <x:c r="A1564" s="13" t="n">
        <x:v>44922</x:v>
      </x:c>
      <x:c r="B1564" s="12" t="n">
        <x:v>3887.854</x:v>
      </x:c>
      <x:c r="C1564" s="12" t="n">
        <x:v>3843.4887</x:v>
      </x:c>
      <x:c r="D1564" s="12" t="n">
        <x:v>1.1543</x:v>
      </x:c>
      <x:c r="E1564" s="12" t="n">
        <x:v>0.011476864678682468</x:v>
      </x:c>
      <x:c r="F1564" s="13" t="n">
        <x:v>44918</x:v>
      </x:c>
      <x:c r="G1564" s="12" t="n">
        <x:v>4.59</x:v>
      </x:c>
      <x:c r="H1564" s="12" t="n">
        <x:v>459</x:v>
      </x:c>
      <x:c r="I1564" s="12" t="n">
        <x:v>-2.000000000000057</x:v>
      </x:c>
      <x:c r="J1564" s="12" t="n">
        <x:v>4</x:v>
      </x:c>
    </x:row>
    <x:row r="1565" ht="18" customHeight="1">
      <x:c r="A1565" s="13" t="n">
        <x:v>44923</x:v>
      </x:c>
      <x:c r="B1565" s="12" t="n">
        <x:v>3871.2644</x:v>
      </x:c>
      <x:c r="C1565" s="12" t="n">
        <x:v>3887.854</x:v>
      </x:c>
      <x:c r="D1565" s="12" t="n">
        <x:v>-0.4267</x:v>
      </x:c>
      <x:c r="E1565" s="12" t="n">
        <x:v>-0.004276162425663309</x:v>
      </x:c>
      <x:c r="F1565" s="13" t="n">
        <x:v>44922</x:v>
      </x:c>
      <x:c r="G1565" s="12" t="n">
        <x:v>4.55</x:v>
      </x:c>
      <x:c r="H1565" s="12" t="n">
        <x:v>455</x:v>
      </x:c>
      <x:c r="I1565" s="12" t="n">
        <x:v>-4</x:v>
      </x:c>
      <x:c r="J1565" s="12" t="n">
        <x:v>1</x:v>
      </x:c>
    </x:row>
    <x:row r="1566" ht="18" customHeight="1">
      <x:c r="A1566" s="13" t="n">
        <x:v>44924</x:v>
      </x:c>
      <x:c r="B1566" s="12" t="n">
        <x:v>3856.7007</x:v>
      </x:c>
      <x:c r="C1566" s="12" t="n">
        <x:v>3871.2644</x:v>
      </x:c>
      <x:c r="D1566" s="12" t="n">
        <x:v>-0.3762</x:v>
      </x:c>
      <x:c r="E1566" s="12" t="n">
        <x:v>-0.0037690949823474674</x:v>
      </x:c>
      <x:c r="F1566" s="13" t="n">
        <x:v>44923</x:v>
      </x:c>
      <x:c r="G1566" s="12" t="n">
        <x:v>4.77</x:v>
      </x:c>
      <x:c r="H1566" s="12" t="n">
        <x:v>476.99999999999994</x:v>
      </x:c>
      <x:c r="I1566" s="12" t="n">
        <x:v>21.999999999999943</x:v>
      </x:c>
      <x:c r="J1566" s="12" t="n">
        <x:v>1</x:v>
      </x:c>
    </x:row>
    <x:row r="1567" ht="18" customHeight="1">
      <x:c r="A1567" s="13" t="n">
        <x:v>44925</x:v>
      </x:c>
      <x:c r="B1567" s="12" t="n">
        <x:v>3871.6338</x:v>
      </x:c>
      <x:c r="C1567" s="12" t="n">
        <x:v>3856.7007</x:v>
      </x:c>
      <x:c r="D1567" s="12" t="n">
        <x:v>0.3872</x:v>
      </x:c>
      <x:c r="E1567" s="12" t="n">
        <x:v>0.003864511450635922</x:v>
      </x:c>
      <x:c r="F1567" s="13" t="n">
        <x:v>44924</x:v>
      </x:c>
      <x:c r="G1567" s="12" t="n">
        <x:v>4.81</x:v>
      </x:c>
      <x:c r="H1567" s="12" t="n">
        <x:v>480.99999999999994</x:v>
      </x:c>
      <x:c r="I1567" s="12" t="n">
        <x:v>4</x:v>
      </x:c>
      <x:c r="J1567" s="12" t="n">
        <x:v>1</x:v>
      </x:c>
    </x:row>
    <x:row r="1568" ht="18" customHeight="1">
      <x:c r="A1568" s="13" t="n">
        <x:v>44929</x:v>
      </x:c>
      <x:c r="B1568" s="12" t="n">
        <x:v>3887.8992</x:v>
      </x:c>
      <x:c r="C1568" s="12" t="n">
        <x:v>3871.6338</x:v>
      </x:c>
      <x:c r="D1568" s="12" t="n">
        <x:v>0.4201</x:v>
      </x:c>
      <x:c r="E1568" s="12" t="n">
        <x:v>0.004192371840768464</x:v>
      </x:c>
      <x:c r="F1568" s="13" t="n">
        <x:v>44926</x:v>
      </x:c>
      <x:c r="G1568" s="12" t="n">
        <x:v>4.81</x:v>
      </x:c>
      <x:c r="H1568" s="12" t="n">
        <x:v>480.99999999999994</x:v>
      </x:c>
      <x:c r="I1568" s="12" t="n">
        <x:v>1.9999999999999432</x:v>
      </x:c>
      <x:c r="J1568" s="12" t="n">
        <x:v>3</x:v>
      </x:c>
    </x:row>
    <x:row r="1569" ht="18" customHeight="1">
      <x:c r="A1569" s="13" t="n">
        <x:v>44930</x:v>
      </x:c>
      <x:c r="B1569" s="12" t="n">
        <x:v>3892.9477</x:v>
      </x:c>
      <x:c r="C1569" s="12" t="n">
        <x:v>3887.8992</x:v>
      </x:c>
      <x:c r="D1569" s="12" t="n">
        <x:v>0.1299</x:v>
      </x:c>
      <x:c r="E1569" s="12" t="n">
        <x:v>0.0012976738325117976</x:v>
      </x:c>
      <x:c r="F1569" s="13" t="n">
        <x:v>44929</x:v>
      </x:c>
      <x:c r="G1569" s="12" t="n">
        <x:v>4.7</x:v>
      </x:c>
      <x:c r="H1569" s="12" t="n">
        <x:v>470</x:v>
      </x:c>
      <x:c r="I1569" s="12" t="n">
        <x:v>-10.999999999999943</x:v>
      </x:c>
      <x:c r="J1569" s="12" t="n">
        <x:v>1</x:v>
      </x:c>
    </x:row>
    <x:row r="1570" ht="18" customHeight="1">
      <x:c r="A1570" s="13" t="n">
        <x:v>44931</x:v>
      </x:c>
      <x:c r="B1570" s="12" t="n">
        <x:v>3968.5782</x:v>
      </x:c>
      <x:c r="C1570" s="12" t="n">
        <x:v>3892.9477</x:v>
      </x:c>
      <x:c r="D1570" s="12" t="n">
        <x:v>1.9428</x:v>
      </x:c>
      <x:c r="E1570" s="12" t="n">
        <x:v>0.019241260364231842</x:v>
      </x:c>
      <x:c r="F1570" s="13" t="n">
        <x:v>44930</x:v>
      </x:c>
      <x:c r="G1570" s="12" t="n">
        <x:v>4.62</x:v>
      </x:c>
      <x:c r="H1570" s="12" t="n">
        <x:v>462</x:v>
      </x:c>
      <x:c r="I1570" s="12" t="n">
        <x:v>-8</x:v>
      </x:c>
      <x:c r="J1570" s="12" t="n">
        <x:v>1</x:v>
      </x:c>
    </x:row>
    <x:row r="1571" ht="18" customHeight="1">
      <x:c r="A1571" s="13" t="n">
        <x:v>44932</x:v>
      </x:c>
      <x:c r="B1571" s="12" t="n">
        <x:v>3980.8888</x:v>
      </x:c>
      <x:c r="C1571" s="12" t="n">
        <x:v>3968.5782</x:v>
      </x:c>
      <x:c r="D1571" s="12" t="n">
        <x:v>0.3102</x:v>
      </x:c>
      <x:c r="E1571" s="12" t="n">
        <x:v>0.0030972164148969136</x:v>
      </x:c>
      <x:c r="F1571" s="13" t="n">
        <x:v>44931</x:v>
      </x:c>
      <x:c r="G1571" s="12" t="n">
        <x:v>4.58</x:v>
      </x:c>
      <x:c r="H1571" s="12" t="n">
        <x:v>458</x:v>
      </x:c>
      <x:c r="I1571" s="12" t="n">
        <x:v>-4</x:v>
      </x:c>
      <x:c r="J1571" s="12" t="n">
        <x:v>1</x:v>
      </x:c>
    </x:row>
    <x:row r="1572" ht="18" customHeight="1">
      <x:c r="A1572" s="13" t="n">
        <x:v>44935</x:v>
      </x:c>
      <x:c r="B1572" s="12" t="n">
        <x:v>4013.1196</x:v>
      </x:c>
      <x:c r="C1572" s="12" t="n">
        <x:v>3980.8888</x:v>
      </x:c>
      <x:c r="D1572" s="12" t="n">
        <x:v>0.8096</x:v>
      </x:c>
      <x:c r="E1572" s="12" t="n">
        <x:v>0.008063783032646063</x:v>
      </x:c>
      <x:c r="F1572" s="13" t="n">
        <x:v>44932</x:v>
      </x:c>
      <x:c r="G1572" s="12" t="n">
        <x:v>4.47</x:v>
      </x:c>
      <x:c r="H1572" s="12" t="n">
        <x:v>447</x:v>
      </x:c>
      <x:c r="I1572" s="12" t="n">
        <x:v>-11</x:v>
      </x:c>
      <x:c r="J1572" s="12" t="n">
        <x:v>3</x:v>
      </x:c>
    </x:row>
    <x:row r="1573" ht="18" customHeight="1">
      <x:c r="A1573" s="13" t="n">
        <x:v>44936</x:v>
      </x:c>
      <x:c r="B1573" s="12" t="n">
        <x:v>4017.4737</x:v>
      </x:c>
      <x:c r="C1573" s="12" t="n">
        <x:v>4013.1196</x:v>
      </x:c>
      <x:c r="D1573" s="12" t="n">
        <x:v>0.1085</x:v>
      </x:c>
      <x:c r="E1573" s="12" t="n">
        <x:v>0.001084378267956015</x:v>
      </x:c>
      <x:c r="F1573" s="13" t="n">
        <x:v>44935</x:v>
      </x:c>
      <x:c r="G1573" s="12" t="n">
        <x:v>4.37</x:v>
      </x:c>
      <x:c r="H1573" s="12" t="n">
        <x:v>437</x:v>
      </x:c>
      <x:c r="I1573" s="12" t="n">
        <x:v>-10</x:v>
      </x:c>
      <x:c r="J1573" s="12" t="n">
        <x:v>1</x:v>
      </x:c>
    </x:row>
    <x:row r="1574" ht="18" customHeight="1">
      <x:c r="A1574" s="13" t="n">
        <x:v>44937</x:v>
      </x:c>
      <x:c r="B1574" s="12" t="n">
        <x:v>4010.0309</x:v>
      </x:c>
      <x:c r="C1574" s="12" t="n">
        <x:v>4017.4737</x:v>
      </x:c>
      <x:c r="D1574" s="12" t="n">
        <x:v>-0.1853</x:v>
      </x:c>
      <x:c r="E1574" s="12" t="n">
        <x:v>-0.0018543252239770138</x:v>
      </x:c>
      <x:c r="F1574" s="13" t="n">
        <x:v>44936</x:v>
      </x:c>
      <x:c r="G1574" s="12" t="n">
        <x:v>4.33</x:v>
      </x:c>
      <x:c r="H1574" s="12" t="n">
        <x:v>433</x:v>
      </x:c>
      <x:c r="I1574" s="12" t="n">
        <x:v>-4</x:v>
      </x:c>
      <x:c r="J1574" s="12" t="n">
        <x:v>1</x:v>
      </x:c>
    </x:row>
    <x:row r="1575" ht="18" customHeight="1">
      <x:c r="A1575" s="13" t="n">
        <x:v>44938</x:v>
      </x:c>
      <x:c r="B1575" s="12" t="n">
        <x:v>4017.8692</x:v>
      </x:c>
      <x:c r="C1575" s="12" t="n">
        <x:v>4010.0309</x:v>
      </x:c>
      <x:c r="D1575" s="12" t="n">
        <x:v>0.1955</x:v>
      </x:c>
      <x:c r="E1575" s="12" t="n">
        <x:v>0.0019527653292073786</x:v>
      </x:c>
      <x:c r="F1575" s="13" t="n">
        <x:v>44937</x:v>
      </x:c>
      <x:c r="G1575" s="12" t="n">
        <x:v>4.3</x:v>
      </x:c>
      <x:c r="H1575" s="12" t="n">
        <x:v>430</x:v>
      </x:c>
      <x:c r="I1575" s="12" t="n">
        <x:v>-3</x:v>
      </x:c>
      <x:c r="J1575" s="12" t="n">
        <x:v>1</x:v>
      </x:c>
    </x:row>
    <x:row r="1576" ht="18" customHeight="1">
      <x:c r="A1576" s="13" t="n">
        <x:v>44939</x:v>
      </x:c>
      <x:c r="B1576" s="12" t="n">
        <x:v>4074.3772</x:v>
      </x:c>
      <x:c r="C1576" s="12" t="n">
        <x:v>4017.8692</x:v>
      </x:c>
      <x:c r="D1576" s="12" t="n">
        <x:v>1.4064</x:v>
      </x:c>
      <x:c r="E1576" s="12" t="n">
        <x:v>0.013966188302980416</x:v>
      </x:c>
      <x:c r="F1576" s="13" t="n">
        <x:v>44938</x:v>
      </x:c>
      <x:c r="G1576" s="12" t="n">
        <x:v>4.29</x:v>
      </x:c>
      <x:c r="H1576" s="12" t="n">
        <x:v>429</x:v>
      </x:c>
      <x:c r="I1576" s="12" t="n">
        <x:v>-1</x:v>
      </x:c>
      <x:c r="J1576" s="12" t="n">
        <x:v>1</x:v>
      </x:c>
    </x:row>
    <x:row r="1577" ht="18" customHeight="1">
      <x:c r="A1577" s="13" t="n">
        <x:v>44942</x:v>
      </x:c>
      <x:c r="B1577" s="12" t="n">
        <x:v>4137.9643</x:v>
      </x:c>
      <x:c r="C1577" s="12" t="n">
        <x:v>4074.3772</x:v>
      </x:c>
      <x:c r="D1577" s="12" t="n">
        <x:v>1.5607</x:v>
      </x:c>
      <x:c r="E1577" s="12" t="n">
        <x:v>0.015486051273287112</x:v>
      </x:c>
      <x:c r="F1577" s="13" t="n">
        <x:v>44939</x:v>
      </x:c>
      <x:c r="G1577" s="12" t="n">
        <x:v>4.21</x:v>
      </x:c>
      <x:c r="H1577" s="12" t="n">
        <x:v>421</x:v>
      </x:c>
      <x:c r="I1577" s="12" t="n">
        <x:v>-8</x:v>
      </x:c>
      <x:c r="J1577" s="12" t="n">
        <x:v>3</x:v>
      </x:c>
    </x:row>
    <x:row r="1578" ht="18" customHeight="1">
      <x:c r="A1578" s="13" t="n">
        <x:v>44943</x:v>
      </x:c>
      <x:c r="B1578" s="12" t="n">
        <x:v>4137.2422</x:v>
      </x:c>
      <x:c r="C1578" s="12" t="n">
        <x:v>4137.9643</x:v>
      </x:c>
      <x:c r="D1578" s="12" t="n">
        <x:v>-0.0175</x:v>
      </x:c>
      <x:c r="E1578" s="12" t="n">
        <x:v>-0.0001745213250770172</x:v>
      </x:c>
      <x:c r="F1578" s="13" t="n">
        <x:v>44942</x:v>
      </x:c>
      <x:c r="G1578" s="12" t="n">
        <x:v>4.19</x:v>
      </x:c>
      <x:c r="H1578" s="12" t="n">
        <x:v>419.00000000000006</x:v>
      </x:c>
      <x:c r="I1578" s="12" t="n">
        <x:v>-1.9999999999999432</x:v>
      </x:c>
      <x:c r="J1578" s="12" t="n">
        <x:v>1</x:v>
      </x:c>
    </x:row>
    <x:row r="1579" ht="18" customHeight="1">
      <x:c r="A1579" s="13" t="n">
        <x:v>44944</x:v>
      </x:c>
      <x:c r="B1579" s="12" t="n">
        <x:v>4130.3143</x:v>
      </x:c>
      <x:c r="C1579" s="12" t="n">
        <x:v>4137.2422</x:v>
      </x:c>
      <x:c r="D1579" s="12" t="n">
        <x:v>-0.1675</x:v>
      </x:c>
      <x:c r="E1579" s="12" t="n">
        <x:v>-0.0016759248325780656</x:v>
      </x:c>
      <x:c r="F1579" s="13" t="n">
        <x:v>44943</x:v>
      </x:c>
      <x:c r="G1579" s="12" t="n">
        <x:v>4.19</x:v>
      </x:c>
      <x:c r="H1579" s="12" t="n">
        <x:v>419.00000000000006</x:v>
      </x:c>
      <x:c r="I1579" s="12" t="n">
        <x:v>0</x:v>
      </x:c>
      <x:c r="J1579" s="12" t="n">
        <x:v>1</x:v>
      </x:c>
    </x:row>
    <x:row r="1580" ht="18" customHeight="1">
      <x:c r="A1580" s="13" t="n">
        <x:v>44945</x:v>
      </x:c>
      <x:c r="B1580" s="12" t="n">
        <x:v>4156.0077</x:v>
      </x:c>
      <x:c r="C1580" s="12" t="n">
        <x:v>4130.3143</x:v>
      </x:c>
      <x:c r="D1580" s="12" t="n">
        <x:v>0.6221</x:v>
      </x:c>
      <x:c r="E1580" s="12" t="n">
        <x:v>0.0062014202060171756</x:v>
      </x:c>
      <x:c r="F1580" s="13" t="n">
        <x:v>44944</x:v>
      </x:c>
      <x:c r="G1580" s="12" t="n">
        <x:v>4.25</x:v>
      </x:c>
      <x:c r="H1580" s="12" t="n">
        <x:v>425</x:v>
      </x:c>
      <x:c r="I1580" s="12" t="n">
        <x:v>5.999999999999943</x:v>
      </x:c>
      <x:c r="J1580" s="12" t="n">
        <x:v>1</x:v>
      </x:c>
    </x:row>
    <x:row r="1581" ht="18" customHeight="1">
      <x:c r="A1581" s="13" t="n">
        <x:v>44946</x:v>
      </x:c>
      <x:c r="B1581" s="12" t="n">
        <x:v>4181.5267</x:v>
      </x:c>
      <x:c r="C1581" s="12" t="n">
        <x:v>4156.0077</x:v>
      </x:c>
      <x:c r="D1581" s="12" t="n">
        <x:v>0.614</x:v>
      </x:c>
      <x:c r="E1581" s="12" t="n">
        <x:v>0.006121493109215215</x:v>
      </x:c>
      <x:c r="F1581" s="13" t="n">
        <x:v>44945</x:v>
      </x:c>
      <x:c r="G1581" s="12" t="n">
        <x:v>4.39</x:v>
      </x:c>
      <x:c r="H1581" s="12" t="n">
        <x:v>438.99999999999994</x:v>
      </x:c>
      <x:c r="I1581" s="12" t="n">
        <x:v>13.999999999999943</x:v>
      </x:c>
      <x:c r="J1581" s="12" t="n">
        <x:v>1</x:v>
      </x:c>
    </x:row>
    <x:row r="1582" ht="18" customHeight="1">
      <x:c r="A1582" s="13" t="n">
        <x:v>44956</x:v>
      </x:c>
      <x:c r="B1582" s="12" t="n">
        <x:v>4201.345</x:v>
      </x:c>
      <x:c r="C1582" s="12" t="n">
        <x:v>4181.5267</x:v>
      </x:c>
      <x:c r="D1582" s="12" t="n">
        <x:v>0.4739</x:v>
      </x:c>
      <x:c r="E1582" s="12" t="n">
        <x:v>0.004728293031784344</x:v>
      </x:c>
      <x:c r="F1582" s="13" t="n">
        <x:v>44953</x:v>
      </x:c>
      <x:c r="G1582" s="12" t="n">
        <x:v>4.23</x:v>
      </x:c>
      <x:c r="H1582" s="12" t="n">
        <x:v>423.00000000000006</x:v>
      </x:c>
      <x:c r="I1582" s="12" t="n">
        <x:v>-0.9999999999999432</x:v>
      </x:c>
      <x:c r="J1582" s="12" t="n">
        <x:v>3</x:v>
      </x:c>
    </x:row>
    <x:row r="1583" ht="18" customHeight="1">
      <x:c r="A1583" s="13" t="n">
        <x:v>44957</x:v>
      </x:c>
      <x:c r="B1583" s="12" t="n">
        <x:v>4156.8578</x:v>
      </x:c>
      <x:c r="C1583" s="12" t="n">
        <x:v>4201.345</x:v>
      </x:c>
      <x:c r="D1583" s="12" t="n">
        <x:v>-1.0589</x:v>
      </x:c>
      <x:c r="E1583" s="12" t="n">
        <x:v>-0.010645259794948916</x:v>
      </x:c>
      <x:c r="F1583" s="13" t="n">
        <x:v>44956</x:v>
      </x:c>
      <x:c r="G1583" s="12" t="n">
        <x:v>4.26</x:v>
      </x:c>
      <x:c r="H1583" s="12" t="n">
        <x:v>426</x:v>
      </x:c>
      <x:c r="I1583" s="12" t="n">
        <x:v>2.999999999999943</x:v>
      </x:c>
      <x:c r="J1583" s="12" t="n">
        <x:v>1</x:v>
      </x:c>
    </x:row>
    <x:row r="1584" ht="18" customHeight="1">
      <x:c r="A1584" s="13" t="n">
        <x:v>44958</x:v>
      </x:c>
      <x:c r="B1584" s="12" t="n">
        <x:v>4195.9332</x:v>
      </x:c>
      <x:c r="C1584" s="12" t="n">
        <x:v>4156.8578</x:v>
      </x:c>
      <x:c r="D1584" s="12" t="n">
        <x:v>0.94</x:v>
      </x:c>
      <x:c r="E1584" s="12" t="n">
        <x:v>0.009356318159253127</x:v>
      </x:c>
      <x:c r="F1584" s="13" t="n">
        <x:v>44957</x:v>
      </x:c>
      <x:c r="G1584" s="12" t="n">
        <x:v>4.3</x:v>
      </x:c>
      <x:c r="H1584" s="12" t="n">
        <x:v>430</x:v>
      </x:c>
      <x:c r="I1584" s="12" t="n">
        <x:v>4</x:v>
      </x:c>
      <x:c r="J1584" s="12" t="n">
        <x:v>1</x:v>
      </x:c>
    </x:row>
    <x:row r="1585" ht="18" customHeight="1">
      <x:c r="A1585" s="13" t="n">
        <x:v>44959</x:v>
      </x:c>
      <x:c r="B1585" s="12" t="n">
        <x:v>4181.1493</x:v>
      </x:c>
      <x:c r="C1585" s="12" t="n">
        <x:v>4195.9332</x:v>
      </x:c>
      <x:c r="D1585" s="12" t="n">
        <x:v>-0.3523</x:v>
      </x:c>
      <x:c r="E1585" s="12" t="n">
        <x:v>-0.0035296095862316335</x:v>
      </x:c>
      <x:c r="F1585" s="13" t="n">
        <x:v>44958</x:v>
      </x:c>
      <x:c r="G1585" s="12" t="n">
        <x:v>4.31</x:v>
      </x:c>
      <x:c r="H1585" s="12" t="n">
        <x:v>430.99999999999994</x:v>
      </x:c>
      <x:c r="I1585" s="12" t="n">
        <x:v>0.9999999999999432</x:v>
      </x:c>
      <x:c r="J1585" s="12" t="n">
        <x:v>1</x:v>
      </x:c>
    </x:row>
    <x:row r="1586" ht="18" customHeight="1">
      <x:c r="A1586" s="13" t="n">
        <x:v>44960</x:v>
      </x:c>
      <x:c r="B1586" s="12" t="n">
        <x:v>4141.6319</x:v>
      </x:c>
      <x:c r="C1586" s="12" t="n">
        <x:v>4181.1493</x:v>
      </x:c>
      <x:c r="D1586" s="12" t="n">
        <x:v>-0.9451</x:v>
      </x:c>
      <x:c r="E1586" s="12" t="n">
        <x:v>-0.009496271984206292</x:v>
      </x:c>
      <x:c r="F1586" s="13" t="n">
        <x:v>44959</x:v>
      </x:c>
      <x:c r="G1586" s="12" t="n">
        <x:v>3.94</x:v>
      </x:c>
      <x:c r="H1586" s="12" t="n">
        <x:v>394</x:v>
      </x:c>
      <x:c r="I1586" s="12" t="n">
        <x:v>-36.99999999999994</x:v>
      </x:c>
      <x:c r="J1586" s="12" t="n">
        <x:v>1</x:v>
      </x:c>
    </x:row>
    <x:row r="1587" ht="18" customHeight="1">
      <x:c r="A1587" s="13" t="n">
        <x:v>44963</x:v>
      </x:c>
      <x:c r="B1587" s="12" t="n">
        <x:v>4086.8779</x:v>
      </x:c>
      <x:c r="C1587" s="12" t="n">
        <x:v>4141.6319</x:v>
      </x:c>
      <x:c r="D1587" s="12" t="n">
        <x:v>-1.322</x:v>
      </x:c>
      <x:c r="E1587" s="12" t="n">
        <x:v>-0.0133085599913791</x:v>
      </x:c>
      <x:c r="F1587" s="13" t="n">
        <x:v>44960</x:v>
      </x:c>
      <x:c r="G1587" s="12" t="n">
        <x:v>3.95</x:v>
      </x:c>
      <x:c r="H1587" s="12" t="n">
        <x:v>395</x:v>
      </x:c>
      <x:c r="I1587" s="12" t="n">
        <x:v>1</x:v>
      </x:c>
      <x:c r="J1587" s="12" t="n">
        <x:v>3</x:v>
      </x:c>
    </x:row>
    <x:row r="1588" ht="18" customHeight="1">
      <x:c r="A1588" s="13" t="n">
        <x:v>44964</x:v>
      </x:c>
      <x:c r="B1588" s="12" t="n">
        <x:v>4094.2335</x:v>
      </x:c>
      <x:c r="C1588" s="12" t="n">
        <x:v>4086.8779</x:v>
      </x:c>
      <x:c r="D1588" s="12" t="n">
        <x:v>0.18</x:v>
      </x:c>
      <x:c r="E1588" s="12" t="n">
        <x:v>0.0017981913758129378</x:v>
      </x:c>
      <x:c r="F1588" s="13" t="n">
        <x:v>44963</x:v>
      </x:c>
      <x:c r="G1588" s="12" t="n">
        <x:v>3.99</x:v>
      </x:c>
      <x:c r="H1588" s="12" t="n">
        <x:v>399</x:v>
      </x:c>
      <x:c r="I1588" s="12" t="n">
        <x:v>4</x:v>
      </x:c>
      <x:c r="J1588" s="12" t="n">
        <x:v>1</x:v>
      </x:c>
    </x:row>
    <x:row r="1589" ht="18" customHeight="1">
      <x:c r="A1589" s="13" t="n">
        <x:v>44965</x:v>
      </x:c>
      <x:c r="B1589" s="12" t="n">
        <x:v>4076.1411</x:v>
      </x:c>
      <x:c r="C1589" s="12" t="n">
        <x:v>4094.2335</x:v>
      </x:c>
      <x:c r="D1589" s="12" t="n">
        <x:v>-0.4419</x:v>
      </x:c>
      <x:c r="E1589" s="12" t="n">
        <x:v>-0.004428788264437137</x:v>
      </x:c>
      <x:c r="F1589" s="13" t="n">
        <x:v>44964</x:v>
      </x:c>
      <x:c r="G1589" s="12" t="n">
        <x:v>3.99</x:v>
      </x:c>
      <x:c r="H1589" s="12" t="n">
        <x:v>399</x:v>
      </x:c>
      <x:c r="I1589" s="12" t="n">
        <x:v>0</x:v>
      </x:c>
      <x:c r="J1589" s="12" t="n">
        <x:v>1</x:v>
      </x:c>
    </x:row>
    <x:row r="1590" ht="18" customHeight="1">
      <x:c r="A1590" s="13" t="n">
        <x:v>44966</x:v>
      </x:c>
      <x:c r="B1590" s="12" t="n">
        <x:v>4130.8565</x:v>
      </x:c>
      <x:c r="C1590" s="12" t="n">
        <x:v>4076.1411</x:v>
      </x:c>
      <x:c r="D1590" s="12" t="n">
        <x:v>1.3423</x:v>
      </x:c>
      <x:c r="E1590" s="12" t="n">
        <x:v>0.013334038426391324</x:v>
      </x:c>
      <x:c r="F1590" s="13" t="n">
        <x:v>44965</x:v>
      </x:c>
      <x:c r="G1590" s="12" t="n">
        <x:v>4.07</x:v>
      </x:c>
      <x:c r="H1590" s="12" t="n">
        <x:v>407</x:v>
      </x:c>
      <x:c r="I1590" s="12" t="n">
        <x:v>8</x:v>
      </x:c>
      <x:c r="J1590" s="12" t="n">
        <x:v>1</x:v>
      </x:c>
    </x:row>
    <x:row r="1591" ht="18" customHeight="1">
      <x:c r="A1591" s="13" t="n">
        <x:v>44967</x:v>
      </x:c>
      <x:c r="B1591" s="12" t="n">
        <x:v>4106.3097</x:v>
      </x:c>
      <x:c r="C1591" s="12" t="n">
        <x:v>4130.8565</x:v>
      </x:c>
      <x:c r="D1591" s="12" t="n">
        <x:v>-0.5942</x:v>
      </x:c>
      <x:c r="E1591" s="12" t="n">
        <x:v>-0.0059600285016594545</x:v>
      </x:c>
      <x:c r="F1591" s="13" t="n">
        <x:v>44966</x:v>
      </x:c>
      <x:c r="G1591" s="12" t="n">
        <x:v>4.05</x:v>
      </x:c>
      <x:c r="H1591" s="12" t="n">
        <x:v>405</x:v>
      </x:c>
      <x:c r="I1591" s="12" t="n">
        <x:v>-2</x:v>
      </x:c>
      <x:c r="J1591" s="12" t="n">
        <x:v>1</x:v>
      </x:c>
    </x:row>
    <x:row r="1592" ht="18" customHeight="1">
      <x:c r="A1592" s="13" t="n">
        <x:v>44970</x:v>
      </x:c>
      <x:c r="B1592" s="12" t="n">
        <x:v>4143.574</x:v>
      </x:c>
      <x:c r="C1592" s="12" t="n">
        <x:v>4106.3097</x:v>
      </x:c>
      <x:c r="D1592" s="12" t="n">
        <x:v>0.9075</x:v>
      </x:c>
      <x:c r="E1592" s="12" t="n">
        <x:v>0.009033958487298481</x:v>
      </x:c>
      <x:c r="F1592" s="13" t="n">
        <x:v>44967</x:v>
      </x:c>
      <x:c r="G1592" s="12" t="n">
        <x:v>4.24</x:v>
      </x:c>
      <x:c r="H1592" s="12" t="n">
        <x:v>424</x:v>
      </x:c>
      <x:c r="I1592" s="12" t="n">
        <x:v>19</x:v>
      </x:c>
      <x:c r="J1592" s="12" t="n">
        <x:v>3</x:v>
      </x:c>
    </x:row>
    <x:row r="1593" ht="18" customHeight="1">
      <x:c r="A1593" s="13" t="n">
        <x:v>44971</x:v>
      </x:c>
      <x:c r="B1593" s="12" t="n">
        <x:v>4145.2902</x:v>
      </x:c>
      <x:c r="C1593" s="12" t="n">
        <x:v>4143.574</x:v>
      </x:c>
      <x:c r="D1593" s="12" t="n">
        <x:v>0.0414</x:v>
      </x:c>
      <x:c r="E1593" s="12" t="n">
        <x:v>0.00041409775407470783</x:v>
      </x:c>
      <x:c r="F1593" s="13" t="n">
        <x:v>44970</x:v>
      </x:c>
      <x:c r="G1593" s="12" t="n">
        <x:v>4.23</x:v>
      </x:c>
      <x:c r="H1593" s="12" t="n">
        <x:v>423.00000000000006</x:v>
      </x:c>
      <x:c r="I1593" s="12" t="n">
        <x:v>-0.9999999999999432</x:v>
      </x:c>
      <x:c r="J1593" s="12" t="n">
        <x:v>1</x:v>
      </x:c>
    </x:row>
    <x:row r="1594" ht="18" customHeight="1">
      <x:c r="A1594" s="13" t="n">
        <x:v>44972</x:v>
      </x:c>
      <x:c r="B1594" s="12" t="n">
        <x:v>4123.6893</x:v>
      </x:c>
      <x:c r="C1594" s="12" t="n">
        <x:v>4145.2902</x:v>
      </x:c>
      <x:c r="D1594" s="12" t="n">
        <x:v>-0.5211</x:v>
      </x:c>
      <x:c r="E1594" s="12" t="n">
        <x:v>-0.00522457435893855</x:v>
      </x:c>
      <x:c r="F1594" s="13" t="n">
        <x:v>44971</x:v>
      </x:c>
      <x:c r="G1594" s="12" t="n">
        <x:v>4.15</x:v>
      </x:c>
      <x:c r="H1594" s="12" t="n">
        <x:v>415.00000000000006</x:v>
      </x:c>
      <x:c r="I1594" s="12" t="n">
        <x:v>-8</x:v>
      </x:c>
      <x:c r="J1594" s="12" t="n">
        <x:v>1</x:v>
      </x:c>
    </x:row>
    <x:row r="1595" ht="18" customHeight="1">
      <x:c r="A1595" s="13" t="n">
        <x:v>44973</x:v>
      </x:c>
      <x:c r="B1595" s="12" t="n">
        <x:v>4093.4876</x:v>
      </x:c>
      <x:c r="C1595" s="12" t="n">
        <x:v>4123.6893</x:v>
      </x:c>
      <x:c r="D1595" s="12" t="n">
        <x:v>-0.7324</x:v>
      </x:c>
      <x:c r="E1595" s="12" t="n">
        <x:v>-0.007350903203160604</x:v>
      </x:c>
      <x:c r="F1595" s="13" t="n">
        <x:v>44972</x:v>
      </x:c>
      <x:c r="G1595" s="12" t="n">
        <x:v>4.18</x:v>
      </x:c>
      <x:c r="H1595" s="12" t="n">
        <x:v>418</x:v>
      </x:c>
      <x:c r="I1595" s="12" t="n">
        <x:v>2.999999999999943</x:v>
      </x:c>
      <x:c r="J1595" s="12" t="n">
        <x:v>1</x:v>
      </x:c>
    </x:row>
    <x:row r="1596" ht="18" customHeight="1">
      <x:c r="A1596" s="13" t="n">
        <x:v>44974</x:v>
      </x:c>
      <x:c r="B1596" s="12" t="n">
        <x:v>4034.507</x:v>
      </x:c>
      <x:c r="C1596" s="12" t="n">
        <x:v>4093.4876</x:v>
      </x:c>
      <x:c r="D1596" s="12" t="n">
        <x:v>-1.4408</x:v>
      </x:c>
      <x:c r="E1596" s="12" t="n">
        <x:v>-0.014513207296915924</x:v>
      </x:c>
      <x:c r="F1596" s="13" t="n">
        <x:v>44973</x:v>
      </x:c>
      <x:c r="G1596" s="12" t="n">
        <x:v>4.24</x:v>
      </x:c>
      <x:c r="H1596" s="12" t="n">
        <x:v>424</x:v>
      </x:c>
      <x:c r="I1596" s="12" t="n">
        <x:v>6</x:v>
      </x:c>
      <x:c r="J1596" s="12" t="n">
        <x:v>1</x:v>
      </x:c>
    </x:row>
    <x:row r="1597" ht="18" customHeight="1">
      <x:c r="A1597" s="13" t="n">
        <x:v>44977</x:v>
      </x:c>
      <x:c r="B1597" s="12" t="n">
        <x:v>4133.4896</x:v>
      </x:c>
      <x:c r="C1597" s="12" t="n">
        <x:v>4034.507</x:v>
      </x:c>
      <x:c r="D1597" s="12" t="n">
        <x:v>2.4534</x:v>
      </x:c>
      <x:c r="E1597" s="12" t="n">
        <x:v>0.02423787633960909</x:v>
      </x:c>
      <x:c r="F1597" s="13" t="n">
        <x:v>44974</x:v>
      </x:c>
      <x:c r="G1597" s="12" t="n">
        <x:v>4.38</x:v>
      </x:c>
      <x:c r="H1597" s="12" t="n">
        <x:v>438</x:v>
      </x:c>
      <x:c r="I1597" s="12" t="n">
        <x:v>14</x:v>
      </x:c>
      <x:c r="J1597" s="12" t="n">
        <x:v>3</x:v>
      </x:c>
    </x:row>
    <x:row r="1598" ht="18" customHeight="1">
      <x:c r="A1598" s="13" t="n">
        <x:v>44978</x:v>
      </x:c>
      <x:c r="B1598" s="12" t="n">
        <x:v>4144.3536</x:v>
      </x:c>
      <x:c r="C1598" s="12" t="n">
        <x:v>4133.4896</x:v>
      </x:c>
      <x:c r="D1598" s="12" t="n">
        <x:v>0.2628</x:v>
      </x:c>
      <x:c r="E1598" s="12" t="n">
        <x:v>0.00262483982241926</x:v>
      </x:c>
      <x:c r="F1598" s="13" t="n">
        <x:v>44977</x:v>
      </x:c>
      <x:c r="G1598" s="12" t="n">
        <x:v>4.38</x:v>
      </x:c>
      <x:c r="H1598" s="12" t="n">
        <x:v>438</x:v>
      </x:c>
      <x:c r="I1598" s="12" t="n">
        <x:v>0</x:v>
      </x:c>
      <x:c r="J1598" s="12" t="n">
        <x:v>1</x:v>
      </x:c>
    </x:row>
    <x:row r="1599" ht="18" customHeight="1">
      <x:c r="A1599" s="13" t="n">
        <x:v>44979</x:v>
      </x:c>
      <x:c r="B1599" s="12" t="n">
        <x:v>4106.9506</x:v>
      </x:c>
      <x:c r="C1599" s="12" t="n">
        <x:v>4144.3536</x:v>
      </x:c>
      <x:c r="D1599" s="12" t="n">
        <x:v>-0.9025</x:v>
      </x:c>
      <x:c r="E1599" s="12" t="n">
        <x:v>-0.009066022844646674</x:v>
      </x:c>
      <x:c r="F1599" s="13" t="n">
        <x:v>44978</x:v>
      </x:c>
      <x:c r="G1599" s="12" t="n">
        <x:v>4.49</x:v>
      </x:c>
      <x:c r="H1599" s="12" t="n">
        <x:v>449</x:v>
      </x:c>
      <x:c r="I1599" s="12" t="n">
        <x:v>11</x:v>
      </x:c>
      <x:c r="J1599" s="12" t="n">
        <x:v>1</x:v>
      </x:c>
    </x:row>
    <x:row r="1600" ht="18" customHeight="1">
      <x:c r="A1600" s="13" t="n">
        <x:v>44980</x:v>
      </x:c>
      <x:c r="B1600" s="12" t="n">
        <x:v>4103.6463</x:v>
      </x:c>
      <x:c r="C1600" s="12" t="n">
        <x:v>4106.9506</x:v>
      </x:c>
      <x:c r="D1600" s="12" t="n">
        <x:v>-0.0805</x:v>
      </x:c>
      <x:c r="E1600" s="12" t="n">
        <x:v>-0.0008048867137512138</x:v>
      </x:c>
      <x:c r="F1600" s="13" t="n">
        <x:v>44979</x:v>
      </x:c>
      <x:c r="G1600" s="12" t="n">
        <x:v>4.41</x:v>
      </x:c>
      <x:c r="H1600" s="12" t="n">
        <x:v>441</x:v>
      </x:c>
      <x:c r="I1600" s="12" t="n">
        <x:v>-8</x:v>
      </x:c>
      <x:c r="J1600" s="12" t="n">
        <x:v>1</x:v>
      </x:c>
    </x:row>
    <x:row r="1601" ht="18" customHeight="1">
      <x:c r="A1601" s="13" t="n">
        <x:v>44981</x:v>
      </x:c>
      <x:c r="B1601" s="12" t="n">
        <x:v>4061.0457</x:v>
      </x:c>
      <x:c r="C1601" s="12" t="n">
        <x:v>4103.6463</x:v>
      </x:c>
      <x:c r="D1601" s="12" t="n">
        <x:v>-1.0381</x:v>
      </x:c>
      <x:c r="E1601" s="12" t="n">
        <x:v>-0.010435417917162276</x:v>
      </x:c>
      <x:c r="F1601" s="13" t="n">
        <x:v>44980</x:v>
      </x:c>
      <x:c r="G1601" s="12" t="n">
        <x:v>4.3</x:v>
      </x:c>
      <x:c r="H1601" s="12" t="n">
        <x:v>430</x:v>
      </x:c>
      <x:c r="I1601" s="12" t="n">
        <x:v>-11</x:v>
      </x:c>
      <x:c r="J1601" s="12" t="n">
        <x:v>1</x:v>
      </x:c>
    </x:row>
    <x:row r="1602" ht="18" customHeight="1">
      <x:c r="A1602" s="13" t="n">
        <x:v>44984</x:v>
      </x:c>
      <x:c r="B1602" s="12" t="n">
        <x:v>4043.8444</x:v>
      </x:c>
      <x:c r="C1602" s="12" t="n">
        <x:v>4061.0457</x:v>
      </x:c>
      <x:c r="D1602" s="12" t="n">
        <x:v>-0.4236</x:v>
      </x:c>
      <x:c r="E1602" s="12" t="n">
        <x:v>-0.00424467836441928</x:v>
      </x:c>
      <x:c r="F1602" s="13" t="n">
        <x:v>44981</x:v>
      </x:c>
      <x:c r="G1602" s="12" t="n">
        <x:v>4.28</x:v>
      </x:c>
      <x:c r="H1602" s="12" t="n">
        <x:v>428</x:v>
      </x:c>
      <x:c r="I1602" s="12" t="n">
        <x:v>-2</x:v>
      </x:c>
      <x:c r="J1602" s="12" t="n">
        <x:v>3</x:v>
      </x:c>
    </x:row>
    <x:row r="1603" ht="18" customHeight="1">
      <x:c r="A1603" s="13" t="n">
        <x:v>44985</x:v>
      </x:c>
      <x:c r="B1603" s="12" t="n">
        <x:v>4069.4587</x:v>
      </x:c>
      <x:c r="C1603" s="12" t="n">
        <x:v>4043.8444</x:v>
      </x:c>
      <x:c r="D1603" s="12" t="n">
        <x:v>0.6334</x:v>
      </x:c>
      <x:c r="E1603" s="12" t="n">
        <x:v>0.006314169404260476</x:v>
      </x:c>
      <x:c r="F1603" s="13" t="n">
        <x:v>44984</x:v>
      </x:c>
      <x:c r="G1603" s="12" t="n">
        <x:v>4.21</x:v>
      </x:c>
      <x:c r="H1603" s="12" t="n">
        <x:v>421</x:v>
      </x:c>
      <x:c r="I1603" s="12" t="n">
        <x:v>-7</x:v>
      </x:c>
      <x:c r="J1603" s="12" t="n">
        <x:v>1</x:v>
      </x:c>
    </x:row>
    <x:row r="1604" ht="18" customHeight="1">
      <x:c r="A1604" s="13" t="n">
        <x:v>44986</x:v>
      </x:c>
      <x:c r="B1604" s="12" t="n">
        <x:v>4126.9415</x:v>
      </x:c>
      <x:c r="C1604" s="12" t="n">
        <x:v>4069.4587</x:v>
      </x:c>
      <x:c r="D1604" s="12" t="n">
        <x:v>1.4125</x:v>
      </x:c>
      <x:c r="E1604" s="12" t="n">
        <x:v>0.014026582657949621</x:v>
      </x:c>
      <x:c r="F1604" s="13" t="n">
        <x:v>44985</x:v>
      </x:c>
      <x:c r="G1604" s="12" t="n">
        <x:v>4.22</x:v>
      </x:c>
      <x:c r="H1604" s="12" t="n">
        <x:v>422</x:v>
      </x:c>
      <x:c r="I1604" s="12" t="n">
        <x:v>1</x:v>
      </x:c>
      <x:c r="J1604" s="12" t="n">
        <x:v>1</x:v>
      </x:c>
    </x:row>
    <x:row r="1605" ht="18" customHeight="1">
      <x:c r="A1605" s="13" t="n">
        <x:v>44987</x:v>
      </x:c>
      <x:c r="B1605" s="12" t="n">
        <x:v>4117.7377</x:v>
      </x:c>
      <x:c r="C1605" s="12" t="n">
        <x:v>4126.9415</x:v>
      </x:c>
      <x:c r="D1605" s="12" t="n">
        <x:v>-0.223</x:v>
      </x:c>
      <x:c r="E1605" s="12" t="n">
        <x:v>-0.0022326651164919576</x:v>
      </x:c>
      <x:c r="F1605" s="13" t="n">
        <x:v>44986</x:v>
      </x:c>
      <x:c r="G1605" s="12" t="n">
        <x:v>4.17</x:v>
      </x:c>
      <x:c r="H1605" s="12" t="n">
        <x:v>417</x:v>
      </x:c>
      <x:c r="I1605" s="12" t="n">
        <x:v>-5</x:v>
      </x:c>
      <x:c r="J1605" s="12" t="n">
        <x:v>1</x:v>
      </x:c>
    </x:row>
    <x:row r="1606" ht="18" customHeight="1">
      <x:c r="A1606" s="13" t="n">
        <x:v>44988</x:v>
      </x:c>
      <x:c r="B1606" s="12" t="n">
        <x:v>4130.5513</x:v>
      </x:c>
      <x:c r="C1606" s="12" t="n">
        <x:v>4117.7377</x:v>
      </x:c>
      <x:c r="D1606" s="12" t="n">
        <x:v>0.3112</x:v>
      </x:c>
      <x:c r="E1606" s="12" t="n">
        <x:v>0.0031069741391894392</x:v>
      </x:c>
      <x:c r="F1606" s="13" t="n">
        <x:v>44987</x:v>
      </x:c>
      <x:c r="G1606" s="12" t="n">
        <x:v>4.18</x:v>
      </x:c>
      <x:c r="H1606" s="12" t="n">
        <x:v>418</x:v>
      </x:c>
      <x:c r="I1606" s="12" t="n">
        <x:v>1</x:v>
      </x:c>
      <x:c r="J1606" s="12" t="n">
        <x:v>1</x:v>
      </x:c>
    </x:row>
    <x:row r="1607" ht="18" customHeight="1">
      <x:c r="A1607" s="13" t="n">
        <x:v>44991</x:v>
      </x:c>
      <x:c r="B1607" s="12" t="n">
        <x:v>4109.0102</x:v>
      </x:c>
      <x:c r="C1607" s="12" t="n">
        <x:v>4130.5513</x:v>
      </x:c>
      <x:c r="D1607" s="12" t="n">
        <x:v>-0.5215</x:v>
      </x:c>
      <x:c r="E1607" s="12" t="n">
        <x:v>-0.00522871249319971</x:v>
      </x:c>
      <x:c r="F1607" s="13" t="n">
        <x:v>44988</x:v>
      </x:c>
      <x:c r="G1607" s="12" t="n">
        <x:v>4.05</x:v>
      </x:c>
      <x:c r="H1607" s="12" t="n">
        <x:v>405</x:v>
      </x:c>
      <x:c r="I1607" s="12" t="n">
        <x:v>-13</x:v>
      </x:c>
      <x:c r="J1607" s="12" t="n">
        <x:v>3</x:v>
      </x:c>
    </x:row>
    <x:row r="1608" ht="18" customHeight="1">
      <x:c r="A1608" s="13" t="n">
        <x:v>44992</x:v>
      </x:c>
      <x:c r="B1608" s="12" t="n">
        <x:v>4048.8519</x:v>
      </x:c>
      <x:c r="C1608" s="12" t="n">
        <x:v>4109.0102</x:v>
      </x:c>
      <x:c r="D1608" s="12" t="n">
        <x:v>-1.4641</x:v>
      </x:c>
      <x:c r="E1608" s="12" t="n">
        <x:v>-0.014748812805500063</x:v>
      </x:c>
      <x:c r="F1608" s="13" t="n">
        <x:v>44991</x:v>
      </x:c>
      <x:c r="G1608" s="12" t="n">
        <x:v>3.97</x:v>
      </x:c>
      <x:c r="H1608" s="12" t="n">
        <x:v>397</x:v>
      </x:c>
      <x:c r="I1608" s="12" t="n">
        <x:v>-8</x:v>
      </x:c>
      <x:c r="J1608" s="12" t="n">
        <x:v>1</x:v>
      </x:c>
    </x:row>
    <x:row r="1609" ht="18" customHeight="1">
      <x:c r="A1609" s="13" t="n">
        <x:v>44993</x:v>
      </x:c>
      <x:c r="B1609" s="12" t="n">
        <x:v>4034.1077</x:v>
      </x:c>
      <x:c r="C1609" s="12" t="n">
        <x:v>4048.8519</x:v>
      </x:c>
      <x:c r="D1609" s="12" t="n">
        <x:v>-0.3642</x:v>
      </x:c>
      <x:c r="E1609" s="12" t="n">
        <x:v>-0.00364822220642755</x:v>
      </x:c>
      <x:c r="F1609" s="13" t="n">
        <x:v>44992</x:v>
      </x:c>
      <x:c r="G1609" s="12" t="n">
        <x:v>3.98</x:v>
      </x:c>
      <x:c r="H1609" s="12" t="n">
        <x:v>398</x:v>
      </x:c>
      <x:c r="I1609" s="12" t="n">
        <x:v>1</x:v>
      </x:c>
      <x:c r="J1609" s="12" t="n">
        <x:v>1</x:v>
      </x:c>
    </x:row>
    <x:row r="1610" ht="18" customHeight="1">
      <x:c r="A1610" s="13" t="n">
        <x:v>44994</x:v>
      </x:c>
      <x:c r="B1610" s="12" t="n">
        <x:v>4019.8505</x:v>
      </x:c>
      <x:c r="C1610" s="12" t="n">
        <x:v>4034.1077</x:v>
      </x:c>
      <x:c r="D1610" s="12" t="n">
        <x:v>-0.3534</x:v>
      </x:c>
      <x:c r="E1610" s="12" t="n">
        <x:v>-0.003540424357395067</x:v>
      </x:c>
      <x:c r="F1610" s="13" t="n">
        <x:v>44993</x:v>
      </x:c>
      <x:c r="G1610" s="12" t="n">
        <x:v>4.09</x:v>
      </x:c>
      <x:c r="H1610" s="12" t="n">
        <x:v>409</x:v>
      </x:c>
      <x:c r="I1610" s="12" t="n">
        <x:v>11</x:v>
      </x:c>
      <x:c r="J1610" s="12" t="n">
        <x:v>1</x:v>
      </x:c>
    </x:row>
    <x:row r="1611" ht="18" customHeight="1">
      <x:c r="A1611" s="13" t="n">
        <x:v>44995</x:v>
      </x:c>
      <x:c r="B1611" s="12" t="n">
        <x:v>3967.1352</x:v>
      </x:c>
      <x:c r="C1611" s="12" t="n">
        <x:v>4019.8505</x:v>
      </x:c>
      <x:c r="D1611" s="12" t="n">
        <x:v>-1.3114</x:v>
      </x:c>
      <x:c r="E1611" s="12" t="n">
        <x:v>-0.01320049076358043</x:v>
      </x:c>
      <x:c r="F1611" s="13" t="n">
        <x:v>44994</x:v>
      </x:c>
      <x:c r="G1611" s="12" t="n">
        <x:v>4.27</x:v>
      </x:c>
      <x:c r="H1611" s="12" t="n">
        <x:v>426.99999999999994</x:v>
      </x:c>
      <x:c r="I1611" s="12" t="n">
        <x:v>17.999999999999943</x:v>
      </x:c>
      <x:c r="J1611" s="12" t="n">
        <x:v>1</x:v>
      </x:c>
    </x:row>
    <x:row r="1612" ht="18" customHeight="1">
      <x:c r="A1612" s="13" t="n">
        <x:v>44998</x:v>
      </x:c>
      <x:c r="B1612" s="12" t="n">
        <x:v>4008.686</x:v>
      </x:c>
      <x:c r="C1612" s="12" t="n">
        <x:v>3967.1352</x:v>
      </x:c>
      <x:c r="D1612" s="12" t="n">
        <x:v>1.0474</x:v>
      </x:c>
      <x:c r="E1612" s="12" t="n">
        <x:v>0.010419284700296166</x:v>
      </x:c>
      <x:c r="F1612" s="13" t="n">
        <x:v>44995</x:v>
      </x:c>
      <x:c r="G1612" s="12" t="n">
        <x:v>4.61</x:v>
      </x:c>
      <x:c r="H1612" s="12" t="n">
        <x:v>461.00000000000006</x:v>
      </x:c>
      <x:c r="I1612" s="12" t="n">
        <x:v>34.000000000000114</x:v>
      </x:c>
      <x:c r="J1612" s="12" t="n">
        <x:v>3</x:v>
      </x:c>
    </x:row>
    <x:row r="1613" ht="18" customHeight="1">
      <x:c r="A1613" s="13" t="n">
        <x:v>44999</x:v>
      </x:c>
      <x:c r="B1613" s="12" t="n">
        <x:v>3984.6956</x:v>
      </x:c>
      <x:c r="C1613" s="12" t="n">
        <x:v>4008.686</x:v>
      </x:c>
      <x:c r="D1613" s="12" t="n">
        <x:v>-0.5985</x:v>
      </x:c>
      <x:c r="E1613" s="12" t="n">
        <x:v>-0.006002583945988547</x:v>
      </x:c>
      <x:c r="F1613" s="13" t="n">
        <x:v>44998</x:v>
      </x:c>
      <x:c r="G1613" s="12" t="n">
        <x:v>5.03</x:v>
      </x:c>
      <x:c r="H1613" s="12" t="n">
        <x:v>503</x:v>
      </x:c>
      <x:c r="I1613" s="12" t="n">
        <x:v>41.99999999999994</x:v>
      </x:c>
      <x:c r="J1613" s="12" t="n">
        <x:v>1</x:v>
      </x:c>
    </x:row>
    <x:row r="1614" ht="18" customHeight="1">
      <x:c r="A1614" s="13" t="n">
        <x:v>45000</x:v>
      </x:c>
      <x:c r="B1614" s="12" t="n">
        <x:v>3986.902</x:v>
      </x:c>
      <x:c r="C1614" s="12" t="n">
        <x:v>3984.6956</x:v>
      </x:c>
      <x:c r="D1614" s="12" t="n">
        <x:v>0.0554</x:v>
      </x:c>
      <x:c r="E1614" s="12" t="n">
        <x:v>0.0005535653371021109</x:v>
      </x:c>
      <x:c r="F1614" s="13" t="n">
        <x:v>44999</x:v>
      </x:c>
      <x:c r="G1614" s="12" t="n">
        <x:v>4.74</x:v>
      </x:c>
      <x:c r="H1614" s="12" t="n">
        <x:v>474</x:v>
      </x:c>
      <x:c r="I1614" s="12" t="n">
        <x:v>-29</x:v>
      </x:c>
      <x:c r="J1614" s="12" t="n">
        <x:v>1</x:v>
      </x:c>
    </x:row>
    <x:row r="1615" ht="18" customHeight="1">
      <x:c r="A1615" s="13" t="n">
        <x:v>45001</x:v>
      </x:c>
      <x:c r="B1615" s="12" t="n">
        <x:v>3939.1505</x:v>
      </x:c>
      <x:c r="C1615" s="12" t="n">
        <x:v>3986.902</x:v>
      </x:c>
      <x:c r="D1615" s="12" t="n">
        <x:v>-1.1977</x:v>
      </x:c>
      <x:c r="E1615" s="12" t="n">
        <x:v>-0.012049397286707548</x:v>
      </x:c>
      <x:c r="F1615" s="13" t="n">
        <x:v>45000</x:v>
      </x:c>
      <x:c r="G1615" s="12" t="n">
        <x:v>5.2</x:v>
      </x:c>
      <x:c r="H1615" s="12" t="n">
        <x:v>520</x:v>
      </x:c>
      <x:c r="I1615" s="12" t="n">
        <x:v>46</x:v>
      </x:c>
      <x:c r="J1615" s="12" t="n">
        <x:v>1</x:v>
      </x:c>
    </x:row>
    <x:row r="1616" ht="18" customHeight="1">
      <x:c r="A1616" s="13" t="n">
        <x:v>45002</x:v>
      </x:c>
      <x:c r="B1616" s="12" t="n">
        <x:v>3958.8194</x:v>
      </x:c>
      <x:c r="C1616" s="12" t="n">
        <x:v>3939.1505</x:v>
      </x:c>
      <x:c r="D1616" s="12" t="n">
        <x:v>0.4993</x:v>
      </x:c>
      <x:c r="E1616" s="12" t="n">
        <x:v>0.004980758577487929</x:v>
      </x:c>
      <x:c r="F1616" s="13" t="n">
        <x:v>45001</x:v>
      </x:c>
      <x:c r="G1616" s="12" t="n">
        <x:v>4.93</x:v>
      </x:c>
      <x:c r="H1616" s="12" t="n">
        <x:v>493</x:v>
      </x:c>
      <x:c r="I1616" s="12" t="n">
        <x:v>-27</x:v>
      </x:c>
      <x:c r="J1616" s="12" t="n">
        <x:v>1</x:v>
      </x:c>
    </x:row>
    <x:row r="1617" ht="18" customHeight="1">
      <x:c r="A1617" s="13" t="n">
        <x:v>45005</x:v>
      </x:c>
      <x:c r="B1617" s="12" t="n">
        <x:v>3939.077</x:v>
      </x:c>
      <x:c r="C1617" s="12" t="n">
        <x:v>3958.8194</x:v>
      </x:c>
      <x:c r="D1617" s="12" t="n">
        <x:v>-0.4987</x:v>
      </x:c>
      <x:c r="E1617" s="12" t="n">
        <x:v>-0.004999417596918964</x:v>
      </x:c>
      <x:c r="F1617" s="13" t="n">
        <x:v>45002</x:v>
      </x:c>
      <x:c r="G1617" s="12" t="n">
        <x:v>5.17</x:v>
      </x:c>
      <x:c r="H1617" s="12" t="n">
        <x:v>517</x:v>
      </x:c>
      <x:c r="I1617" s="12" t="n">
        <x:v>24</x:v>
      </x:c>
      <x:c r="J1617" s="12" t="n">
        <x:v>3</x:v>
      </x:c>
    </x:row>
    <x:row r="1618" ht="18" customHeight="1">
      <x:c r="A1618" s="13" t="n">
        <x:v>45006</x:v>
      </x:c>
      <x:c r="B1618" s="12" t="n">
        <x:v>3982.3782</x:v>
      </x:c>
      <x:c r="C1618" s="12" t="n">
        <x:v>3939.077</x:v>
      </x:c>
      <x:c r="D1618" s="12" t="n">
        <x:v>1.0993</x:v>
      </x:c>
      <x:c r="E1618" s="12" t="n">
        <x:v>0.010932746623865211</x:v>
      </x:c>
      <x:c r="F1618" s="13" t="n">
        <x:v>45005</x:v>
      </x:c>
      <x:c r="G1618" s="12" t="n">
        <x:v>5.15</x:v>
      </x:c>
      <x:c r="H1618" s="12" t="n">
        <x:v>515</x:v>
      </x:c>
      <x:c r="I1618" s="12" t="n">
        <x:v>-2</x:v>
      </x:c>
      <x:c r="J1618" s="12" t="n">
        <x:v>1</x:v>
      </x:c>
    </x:row>
    <x:row r="1619" ht="18" customHeight="1">
      <x:c r="A1619" s="13" t="n">
        <x:v>45007</x:v>
      </x:c>
      <x:c r="B1619" s="12" t="n">
        <x:v>3999.4427</x:v>
      </x:c>
      <x:c r="C1619" s="12" t="n">
        <x:v>3982.3782</x:v>
      </x:c>
      <x:c r="D1619" s="12" t="n">
        <x:v>0.4285</x:v>
      </x:c>
      <x:c r="E1619" s="12" t="n">
        <x:v>0.00427584788303179</x:v>
      </x:c>
      <x:c r="F1619" s="13" t="n">
        <x:v>45006</x:v>
      </x:c>
      <x:c r="G1619" s="12" t="n">
        <x:v>4.85</x:v>
      </x:c>
      <x:c r="H1619" s="12" t="n">
        <x:v>484.99999999999994</x:v>
      </x:c>
      <x:c r="I1619" s="12" t="n">
        <x:v>-30.000000000000057</x:v>
      </x:c>
      <x:c r="J1619" s="12" t="n">
        <x:v>1</x:v>
      </x:c>
    </x:row>
    <x:row r="1620" ht="18" customHeight="1">
      <x:c r="A1620" s="13" t="n">
        <x:v>45008</x:v>
      </x:c>
      <x:c r="B1620" s="12" t="n">
        <x:v>4039.0895</x:v>
      </x:c>
      <x:c r="C1620" s="12" t="n">
        <x:v>3999.4427</x:v>
      </x:c>
      <x:c r="D1620" s="12" t="n">
        <x:v>0.9913</x:v>
      </x:c>
      <x:c r="E1620" s="12" t="n">
        <x:v>0.00986426887274393</x:v>
      </x:c>
      <x:c r="F1620" s="13" t="n">
        <x:v>45007</x:v>
      </x:c>
      <x:c r="G1620" s="12" t="n">
        <x:v>5</x:v>
      </x:c>
      <x:c r="H1620" s="12" t="n">
        <x:v>500</x:v>
      </x:c>
      <x:c r="I1620" s="12" t="n">
        <x:v>15.000000000000057</x:v>
      </x:c>
      <x:c r="J1620" s="12" t="n">
        <x:v>1</x:v>
      </x:c>
    </x:row>
    <x:row r="1621" ht="18" customHeight="1">
      <x:c r="A1621" s="13" t="n">
        <x:v>45009</x:v>
      </x:c>
      <x:c r="B1621" s="12" t="n">
        <x:v>4027.0457</x:v>
      </x:c>
      <x:c r="C1621" s="12" t="n">
        <x:v>4039.0895</x:v>
      </x:c>
      <x:c r="D1621" s="12" t="n">
        <x:v>-0.2982</x:v>
      </x:c>
      <x:c r="E1621" s="12" t="n">
        <x:v>-0.002986265082769179</x:v>
      </x:c>
      <x:c r="F1621" s="13" t="n">
        <x:v>45008</x:v>
      </x:c>
      <x:c r="G1621" s="12" t="n">
        <x:v>5.1</x:v>
      </x:c>
      <x:c r="H1621" s="12" t="n">
        <x:v>509.99999999999994</x:v>
      </x:c>
      <x:c r="I1621" s="12" t="n">
        <x:v>9.999999999999943</x:v>
      </x:c>
      <x:c r="J1621" s="12" t="n">
        <x:v>1</x:v>
      </x:c>
    </x:row>
    <x:row r="1622" ht="18" customHeight="1">
      <x:c r="A1622" s="13" t="n">
        <x:v>45012</x:v>
      </x:c>
      <x:c r="B1622" s="12" t="n">
        <x:v>4012.4771</x:v>
      </x:c>
      <x:c r="C1622" s="12" t="n">
        <x:v>4027.0457</x:v>
      </x:c>
      <x:c r="D1622" s="12" t="n">
        <x:v>-0.3618</x:v>
      </x:c>
      <x:c r="E1622" s="12" t="n">
        <x:v>-0.0036242489284966603</x:v>
      </x:c>
      <x:c r="F1622" s="13" t="n">
        <x:v>45009</x:v>
      </x:c>
      <x:c r="G1622" s="12" t="n">
        <x:v>5.22</x:v>
      </x:c>
      <x:c r="H1622" s="12" t="n">
        <x:v>522</x:v>
      </x:c>
      <x:c r="I1622" s="12" t="n">
        <x:v>12.000000000000057</x:v>
      </x:c>
      <x:c r="J1622" s="12" t="n">
        <x:v>3</x:v>
      </x:c>
    </x:row>
    <x:row r="1623" ht="18" customHeight="1">
      <x:c r="A1623" s="13" t="n">
        <x:v>45013</x:v>
      </x:c>
      <x:c r="B1623" s="12" t="n">
        <x:v>3999.5147</x:v>
      </x:c>
      <x:c r="C1623" s="12" t="n">
        <x:v>4012.4771</x:v>
      </x:c>
      <x:c r="D1623" s="12" t="n">
        <x:v>-0.3231</x:v>
      </x:c>
      <x:c r="E1623" s="12" t="n">
        <x:v>-0.003235752515321773</x:v>
      </x:c>
      <x:c r="F1623" s="13" t="n">
        <x:v>45012</x:v>
      </x:c>
      <x:c r="G1623" s="12" t="n">
        <x:v>5.03</x:v>
      </x:c>
      <x:c r="H1623" s="12" t="n">
        <x:v>503</x:v>
      </x:c>
      <x:c r="I1623" s="12" t="n">
        <x:v>-19</x:v>
      </x:c>
      <x:c r="J1623" s="12" t="n">
        <x:v>1</x:v>
      </x:c>
    </x:row>
    <x:row r="1624" ht="18" customHeight="1">
      <x:c r="A1624" s="13" t="n">
        <x:v>45014</x:v>
      </x:c>
      <x:c r="B1624" s="12" t="n">
        <x:v>4006.144</x:v>
      </x:c>
      <x:c r="C1624" s="12" t="n">
        <x:v>3999.5147</x:v>
      </x:c>
      <x:c r="D1624" s="12" t="n">
        <x:v>0.1658</x:v>
      </x:c>
      <x:c r="E1624" s="12" t="n">
        <x:v>0.0016561539190427233</x:v>
      </x:c>
      <x:c r="F1624" s="13" t="n">
        <x:v>45013</x:v>
      </x:c>
      <x:c r="G1624" s="12" t="n">
        <x:v>5.01</x:v>
      </x:c>
      <x:c r="H1624" s="12" t="n">
        <x:v>501</x:v>
      </x:c>
      <x:c r="I1624" s="12" t="n">
        <x:v>-2</x:v>
      </x:c>
      <x:c r="J1624" s="12" t="n">
        <x:v>1</x:v>
      </x:c>
    </x:row>
    <x:row r="1625" ht="18" customHeight="1">
      <x:c r="A1625" s="13" t="n">
        <x:v>45015</x:v>
      </x:c>
      <x:c r="B1625" s="12" t="n">
        <x:v>4038.5257</x:v>
      </x:c>
      <x:c r="C1625" s="12" t="n">
        <x:v>4006.144</x:v>
      </x:c>
      <x:c r="D1625" s="12" t="n">
        <x:v>0.8083</x:v>
      </x:c>
      <x:c r="E1625" s="12" t="n">
        <x:v>0.008050516950421808</x:v>
      </x:c>
      <x:c r="F1625" s="13" t="n">
        <x:v>45014</x:v>
      </x:c>
      <x:c r="G1625" s="12" t="n">
        <x:v>4.83</x:v>
      </x:c>
      <x:c r="H1625" s="12" t="n">
        <x:v>483</x:v>
      </x:c>
      <x:c r="I1625" s="12" t="n">
        <x:v>-18</x:v>
      </x:c>
      <x:c r="J1625" s="12" t="n">
        <x:v>1</x:v>
      </x:c>
    </x:row>
    <x:row r="1626" ht="18" customHeight="1">
      <x:c r="A1626" s="13" t="n">
        <x:v>45016</x:v>
      </x:c>
      <x:c r="B1626" s="12" t="n">
        <x:v>4050.9257</x:v>
      </x:c>
      <x:c r="C1626" s="12" t="n">
        <x:v>4038.5257</x:v>
      </x:c>
      <x:c r="D1626" s="12" t="n">
        <x:v>0.307</x:v>
      </x:c>
      <x:c r="E1626" s="12" t="n">
        <x:v>0.0030657232731370397</x:v>
      </x:c>
      <x:c r="F1626" s="13" t="n">
        <x:v>45015</x:v>
      </x:c>
      <x:c r="G1626" s="12" t="n">
        <x:v>4.74</x:v>
      </x:c>
      <x:c r="H1626" s="12" t="n">
        <x:v>474</x:v>
      </x:c>
      <x:c r="I1626" s="12" t="n">
        <x:v>-9</x:v>
      </x:c>
      <x:c r="J1626" s="12" t="n">
        <x:v>1</x:v>
      </x:c>
    </x:row>
    <x:row r="1627" ht="18" customHeight="1">
      <x:c r="A1627" s="13" t="n">
        <x:v>45019</x:v>
      </x:c>
      <x:c r="B1627" s="12" t="n">
        <x:v>4090.5676</x:v>
      </x:c>
      <x:c r="C1627" s="12" t="n">
        <x:v>4050.9257</x:v>
      </x:c>
      <x:c r="D1627" s="12" t="n">
        <x:v>0.9786</x:v>
      </x:c>
      <x:c r="E1627" s="12" t="n">
        <x:v>0.00973831503009619</x:v>
      </x:c>
      <x:c r="F1627" s="13" t="n">
        <x:v>45016</x:v>
      </x:c>
      <x:c r="G1627" s="12" t="n">
        <x:v>4.58</x:v>
      </x:c>
      <x:c r="H1627" s="12" t="n">
        <x:v>458</x:v>
      </x:c>
      <x:c r="I1627" s="12" t="n">
        <x:v>-16</x:v>
      </x:c>
      <x:c r="J1627" s="12" t="n">
        <x:v>3</x:v>
      </x:c>
    </x:row>
    <x:row r="1628" ht="18" customHeight="1">
      <x:c r="A1628" s="13" t="n">
        <x:v>45020</x:v>
      </x:c>
      <x:c r="B1628" s="12" t="n">
        <x:v>4103.1052</x:v>
      </x:c>
      <x:c r="C1628" s="12" t="n">
        <x:v>4090.5676</x:v>
      </x:c>
      <x:c r="D1628" s="12" t="n">
        <x:v>0.3065</x:v>
      </x:c>
      <x:c r="E1628" s="12" t="n">
        <x:v>0.0030603149750138407</x:v>
      </x:c>
      <x:c r="F1628" s="13" t="n">
        <x:v>45019</x:v>
      </x:c>
      <x:c r="G1628" s="12" t="n">
        <x:v>4.58</x:v>
      </x:c>
      <x:c r="H1628" s="12" t="n">
        <x:v>458</x:v>
      </x:c>
      <x:c r="I1628" s="12" t="n">
        <x:v>0</x:v>
      </x:c>
      <x:c r="J1628" s="12" t="n">
        <x:v>1</x:v>
      </x:c>
    </x:row>
    <x:row r="1629" ht="18" customHeight="1">
      <x:c r="A1629" s="13" t="n">
        <x:v>45022</x:v>
      </x:c>
      <x:c r="B1629" s="12" t="n">
        <x:v>4096.64</x:v>
      </x:c>
      <x:c r="C1629" s="12" t="n">
        <x:v>4103.1052</x:v>
      </x:c>
      <x:c r="D1629" s="12" t="n">
        <x:v>-0.1576</x:v>
      </x:c>
      <x:c r="E1629" s="12" t="n">
        <x:v>-0.0015769273756824943</x:v>
      </x:c>
      <x:c r="F1629" s="13" t="n">
        <x:v>45021</x:v>
      </x:c>
      <x:c r="G1629" s="12" t="n">
        <x:v>4.84</x:v>
      </x:c>
      <x:c r="H1629" s="12" t="n">
        <x:v>484</x:v>
      </x:c>
      <x:c r="I1629" s="12" t="n">
        <x:v>10.999999999999943</x:v>
      </x:c>
      <x:c r="J1629" s="12" t="n">
        <x:v>1</x:v>
      </x:c>
    </x:row>
    <x:row r="1630" ht="18" customHeight="1">
      <x:c r="A1630" s="13" t="n">
        <x:v>45023</x:v>
      </x:c>
      <x:c r="B1630" s="12" t="n">
        <x:v>4123.2799</x:v>
      </x:c>
      <x:c r="C1630" s="12" t="n">
        <x:v>4096.64</x:v>
      </x:c>
      <x:c r="D1630" s="12" t="n">
        <x:v>0.6503</x:v>
      </x:c>
      <x:c r="E1630" s="12" t="n">
        <x:v>0.006481813349653767</x:v>
      </x:c>
      <x:c r="F1630" s="13" t="n">
        <x:v>45022</x:v>
      </x:c>
      <x:c r="G1630" s="12" t="n">
        <x:v>4.84</x:v>
      </x:c>
      <x:c r="H1630" s="12" t="n">
        <x:v>484</x:v>
      </x:c>
      <x:c r="I1630" s="12" t="n">
        <x:v>0</x:v>
      </x:c>
      <x:c r="J1630" s="12" t="n">
        <x:v>1</x:v>
      </x:c>
    </x:row>
    <x:row r="1631" ht="18" customHeight="1">
      <x:c r="A1631" s="13" t="n">
        <x:v>45026</x:v>
      </x:c>
      <x:c r="B1631" s="12" t="n">
        <x:v>4104.8118</x:v>
      </x:c>
      <x:c r="C1631" s="12" t="n">
        <x:v>4123.2799</x:v>
      </x:c>
      <x:c r="D1631" s="12" t="n">
        <x:v>-0.4479</x:v>
      </x:c>
      <x:c r="E1631" s="12" t="n">
        <x:v>-0.004489043556316856</x:v>
      </x:c>
      <x:c r="F1631" s="13" t="n">
        <x:v>45022</x:v>
      </x:c>
      <x:c r="G1631" s="12" t="n">
        <x:v>4.84</x:v>
      </x:c>
      <x:c r="H1631" s="12" t="n">
        <x:v>484</x:v>
      </x:c>
      <x:c r="I1631" s="12" t="n">
        <x:v>0</x:v>
      </x:c>
      <x:c r="J1631" s="12" t="n">
        <x:v>4</x:v>
      </x:c>
    </x:row>
    <x:row r="1632" ht="18" customHeight="1">
      <x:c r="A1632" s="13" t="n">
        <x:v>45027</x:v>
      </x:c>
      <x:c r="B1632" s="12" t="n">
        <x:v>4100.1479</x:v>
      </x:c>
      <x:c r="C1632" s="12" t="n">
        <x:v>4104.8118</x:v>
      </x:c>
      <x:c r="D1632" s="12" t="n">
        <x:v>-0.1136</x:v>
      </x:c>
      <x:c r="E1632" s="12" t="n">
        <x:v>-0.0011368490944111537</x:v>
      </x:c>
      <x:c r="F1632" s="13" t="n">
        <x:v>45026</x:v>
      </x:c>
      <x:c r="G1632" s="12" t="n">
        <x:v>4.7</x:v>
      </x:c>
      <x:c r="H1632" s="12" t="n">
        <x:v>470</x:v>
      </x:c>
      <x:c r="I1632" s="12" t="n">
        <x:v>-14</x:v>
      </x:c>
      <x:c r="J1632" s="12" t="n">
        <x:v>1</x:v>
      </x:c>
    </x:row>
    <x:row r="1633" ht="18" customHeight="1">
      <x:c r="A1633" s="13" t="n">
        <x:v>45028</x:v>
      </x:c>
      <x:c r="B1633" s="12" t="n">
        <x:v>4097.2876</x:v>
      </x:c>
      <x:c r="C1633" s="12" t="n">
        <x:v>4100.1479</x:v>
      </x:c>
      <x:c r="D1633" s="12" t="n">
        <x:v>-0.0698</x:v>
      </x:c>
      <x:c r="E1633" s="12" t="n">
        <x:v>-0.00069785242374403</x:v>
      </x:c>
      <x:c r="F1633" s="13" t="n">
        <x:v>45027</x:v>
      </x:c>
      <x:c r="G1633" s="12" t="n">
        <x:v>4.63</x:v>
      </x:c>
      <x:c r="H1633" s="12" t="n">
        <x:v>463</x:v>
      </x:c>
      <x:c r="I1633" s="12" t="n">
        <x:v>-7</x:v>
      </x:c>
      <x:c r="J1633" s="12" t="n">
        <x:v>1</x:v>
      </x:c>
    </x:row>
    <x:row r="1634" ht="18" customHeight="1">
      <x:c r="A1634" s="13" t="n">
        <x:v>45029</x:v>
      </x:c>
      <x:c r="B1634" s="12" t="n">
        <x:v>4068.9786</x:v>
      </x:c>
      <x:c r="C1634" s="12" t="n">
        <x:v>4097.2876</x:v>
      </x:c>
      <x:c r="D1634" s="12" t="n">
        <x:v>-0.6909</x:v>
      </x:c>
      <x:c r="E1634" s="12" t="n">
        <x:v>-0.006933184078369438</x:v>
      </x:c>
      <x:c r="F1634" s="13" t="n">
        <x:v>45028</x:v>
      </x:c>
      <x:c r="G1634" s="12" t="n">
        <x:v>4.62</x:v>
      </x:c>
      <x:c r="H1634" s="12" t="n">
        <x:v>462</x:v>
      </x:c>
      <x:c r="I1634" s="12" t="n">
        <x:v>-1</x:v>
      </x:c>
      <x:c r="J1634" s="12" t="n">
        <x:v>1</x:v>
      </x:c>
    </x:row>
    <x:row r="1635" ht="18" customHeight="1">
      <x:c r="A1635" s="13" t="n">
        <x:v>45030</x:v>
      </x:c>
      <x:c r="B1635" s="12" t="n">
        <x:v>4091.9988</x:v>
      </x:c>
      <x:c r="C1635" s="12" t="n">
        <x:v>4068.9786</x:v>
      </x:c>
      <x:c r="D1635" s="12" t="n">
        <x:v>0.5657</x:v>
      </x:c>
      <x:c r="E1635" s="12" t="n">
        <x:v>0.005641545105945867</x:v>
      </x:c>
      <x:c r="F1635" s="13" t="n">
        <x:v>45029</x:v>
      </x:c>
      <x:c r="G1635" s="12" t="n">
        <x:v>4.49</x:v>
      </x:c>
      <x:c r="H1635" s="12" t="n">
        <x:v>449</x:v>
      </x:c>
      <x:c r="I1635" s="12" t="n">
        <x:v>-13</x:v>
      </x:c>
      <x:c r="J1635" s="12" t="n">
        <x:v>1</x:v>
      </x:c>
    </x:row>
    <x:row r="1636" ht="18" customHeight="1">
      <x:c r="A1636" s="13" t="n">
        <x:v>45033</x:v>
      </x:c>
      <x:c r="B1636" s="12" t="n">
        <x:v>4149.3836</x:v>
      </x:c>
      <x:c r="C1636" s="12" t="n">
        <x:v>4091.9988</x:v>
      </x:c>
      <x:c r="D1636" s="12" t="n">
        <x:v>1.4024</x:v>
      </x:c>
      <x:c r="E1636" s="12" t="n">
        <x:v>0.013926238256229347</x:v>
      </x:c>
      <x:c r="F1636" s="13" t="n">
        <x:v>45030</x:v>
      </x:c>
      <x:c r="G1636" s="12" t="n">
        <x:v>4.43</x:v>
      </x:c>
      <x:c r="H1636" s="12" t="n">
        <x:v>443</x:v>
      </x:c>
      <x:c r="I1636" s="12" t="n">
        <x:v>-6</x:v>
      </x:c>
      <x:c r="J1636" s="12" t="n">
        <x:v>3</x:v>
      </x:c>
    </x:row>
    <x:row r="1637" ht="18" customHeight="1">
      <x:c r="A1637" s="13" t="n">
        <x:v>45034</x:v>
      </x:c>
      <x:c r="B1637" s="12" t="n">
        <x:v>4162.032</x:v>
      </x:c>
      <x:c r="C1637" s="12" t="n">
        <x:v>4149.3836</x:v>
      </x:c>
      <x:c r="D1637" s="12" t="n">
        <x:v>0.3048</x:v>
      </x:c>
      <x:c r="E1637" s="12" t="n">
        <x:v>0.0030436234626958596</x:v>
      </x:c>
      <x:c r="F1637" s="13" t="n">
        <x:v>45033</x:v>
      </x:c>
      <x:c r="G1637" s="12" t="n">
        <x:v>4.41</x:v>
      </x:c>
      <x:c r="H1637" s="12" t="n">
        <x:v>441</x:v>
      </x:c>
      <x:c r="I1637" s="12" t="n">
        <x:v>-2</x:v>
      </x:c>
      <x:c r="J1637" s="12" t="n">
        <x:v>1</x:v>
      </x:c>
    </x:row>
    <x:row r="1638" ht="18" customHeight="1">
      <x:c r="A1638" s="13" t="n">
        <x:v>45035</x:v>
      </x:c>
      <x:c r="B1638" s="12" t="n">
        <x:v>4124.5589</x:v>
      </x:c>
      <x:c r="C1638" s="12" t="n">
        <x:v>4162.032</x:v>
      </x:c>
      <x:c r="D1638" s="12" t="n">
        <x:v>-0.9004</x:v>
      </x:c>
      <x:c r="E1638" s="12" t="n">
        <x:v>-0.00904433581759568</x:v>
      </x:c>
      <x:c r="F1638" s="13" t="n">
        <x:v>45034</x:v>
      </x:c>
      <x:c r="G1638" s="12" t="n">
        <x:v>4.37</x:v>
      </x:c>
      <x:c r="H1638" s="12" t="n">
        <x:v>437</x:v>
      </x:c>
      <x:c r="I1638" s="12" t="n">
        <x:v>-4</x:v>
      </x:c>
      <x:c r="J1638" s="12" t="n">
        <x:v>1</x:v>
      </x:c>
    </x:row>
    <x:row r="1639" ht="18" customHeight="1">
      <x:c r="A1639" s="13" t="n">
        <x:v>45036</x:v>
      </x:c>
      <x:c r="B1639" s="12" t="n">
        <x:v>4113.0192</x:v>
      </x:c>
      <x:c r="C1639" s="12" t="n">
        <x:v>4124.5589</x:v>
      </x:c>
      <x:c r="D1639" s="12" t="n">
        <x:v>-0.2798</x:v>
      </x:c>
      <x:c r="E1639" s="12" t="n">
        <x:v>-0.0028017233726872733</x:v>
      </x:c>
      <x:c r="F1639" s="13" t="n">
        <x:v>45035</x:v>
      </x:c>
      <x:c r="G1639" s="12" t="n">
        <x:v>4.41</x:v>
      </x:c>
      <x:c r="H1639" s="12" t="n">
        <x:v>441</x:v>
      </x:c>
      <x:c r="I1639" s="12" t="n">
        <x:v>4</x:v>
      </x:c>
      <x:c r="J1639" s="12" t="n">
        <x:v>1</x:v>
      </x:c>
    </x:row>
    <x:row r="1640" ht="18" customHeight="1">
      <x:c r="A1640" s="13" t="n">
        <x:v>45037</x:v>
      </x:c>
      <x:c r="B1640" s="12" t="n">
        <x:v>4032.5672</x:v>
      </x:c>
      <x:c r="C1640" s="12" t="n">
        <x:v>4113.0192</x:v>
      </x:c>
      <x:c r="D1640" s="12" t="n">
        <x:v>-1.956</x:v>
      </x:c>
      <x:c r="E1640" s="12" t="n">
        <x:v>-0.01975416188434926</x:v>
      </x:c>
      <x:c r="F1640" s="13" t="n">
        <x:v>45036</x:v>
      </x:c>
      <x:c r="G1640" s="12" t="n">
        <x:v>4.54</x:v>
      </x:c>
      <x:c r="H1640" s="12" t="n">
        <x:v>454</x:v>
      </x:c>
      <x:c r="I1640" s="12" t="n">
        <x:v>13</x:v>
      </x:c>
      <x:c r="J1640" s="12" t="n">
        <x:v>1</x:v>
      </x:c>
    </x:row>
    <x:row r="1641" ht="18" customHeight="1">
      <x:c r="A1641" s="13" t="n">
        <x:v>45040</x:v>
      </x:c>
      <x:c r="B1641" s="12" t="n">
        <x:v>3982.6429</x:v>
      </x:c>
      <x:c r="C1641" s="12" t="n">
        <x:v>4032.5672</x:v>
      </x:c>
      <x:c r="D1641" s="12" t="n">
        <x:v>-1.238</x:v>
      </x:c>
      <x:c r="E1641" s="12" t="n">
        <x:v>-0.012457551336495796</x:v>
      </x:c>
      <x:c r="F1641" s="13" t="n">
        <x:v>45037</x:v>
      </x:c>
      <x:c r="G1641" s="12" t="n">
        <x:v>4.46</x:v>
      </x:c>
      <x:c r="H1641" s="12" t="n">
        <x:v>446</x:v>
      </x:c>
      <x:c r="I1641" s="12" t="n">
        <x:v>-8</x:v>
      </x:c>
      <x:c r="J1641" s="12" t="n">
        <x:v>3</x:v>
      </x:c>
    </x:row>
    <x:row r="1642" ht="18" customHeight="1">
      <x:c r="A1642" s="13" t="n">
        <x:v>45041</x:v>
      </x:c>
      <x:c r="B1642" s="12" t="n">
        <x:v>3962.6658</x:v>
      </x:c>
      <x:c r="C1642" s="12" t="n">
        <x:v>3982.6429</x:v>
      </x:c>
      <x:c r="D1642" s="12" t="n">
        <x:v>-0.5016</x:v>
      </x:c>
      <x:c r="E1642" s="12" t="n">
        <x:v>-0.005028663542673135</x:v>
      </x:c>
      <x:c r="F1642" s="13" t="n">
        <x:v>45040</x:v>
      </x:c>
      <x:c r="G1642" s="12" t="n">
        <x:v>4.48</x:v>
      </x:c>
      <x:c r="H1642" s="12" t="n">
        <x:v>448.00000000000006</x:v>
      </x:c>
      <x:c r="I1642" s="12" t="n">
        <x:v>2.000000000000057</x:v>
      </x:c>
      <x:c r="J1642" s="12" t="n">
        <x:v>1</x:v>
      </x:c>
    </x:row>
    <x:row r="1643" ht="18" customHeight="1">
      <x:c r="A1643" s="13" t="n">
        <x:v>45042</x:v>
      </x:c>
      <x:c r="B1643" s="12" t="n">
        <x:v>3959.2323</x:v>
      </x:c>
      <x:c r="C1643" s="12" t="n">
        <x:v>3962.6658</x:v>
      </x:c>
      <x:c r="D1643" s="12" t="n">
        <x:v>-0.0866</x:v>
      </x:c>
      <x:c r="E1643" s="12" t="n">
        <x:v>-0.0008668377632871743</x:v>
      </x:c>
      <x:c r="F1643" s="13" t="n">
        <x:v>45041</x:v>
      </x:c>
      <x:c r="G1643" s="12" t="n">
        <x:v>4.64</x:v>
      </x:c>
      <x:c r="H1643" s="12" t="n">
        <x:v>463.99999999999994</x:v>
      </x:c>
      <x:c r="I1643" s="12" t="n">
        <x:v>15.999999999999886</x:v>
      </x:c>
      <x:c r="J1643" s="12" t="n">
        <x:v>1</x:v>
      </x:c>
    </x:row>
    <x:row r="1644" ht="18" customHeight="1">
      <x:c r="A1644" s="13" t="n">
        <x:v>45043</x:v>
      </x:c>
      <x:c r="B1644" s="12" t="n">
        <x:v>3988.4185</x:v>
      </x:c>
      <x:c r="C1644" s="12" t="n">
        <x:v>3959.2323</x:v>
      </x:c>
      <x:c r="D1644" s="12" t="n">
        <x:v>0.7372</x:v>
      </x:c>
      <x:c r="E1644" s="12" t="n">
        <x:v>0.007344643577210908</x:v>
      </x:c>
      <x:c r="F1644" s="13" t="n">
        <x:v>45042</x:v>
      </x:c>
      <x:c r="G1644" s="12" t="n">
        <x:v>4.63</x:v>
      </x:c>
      <x:c r="H1644" s="12" t="n">
        <x:v>463</x:v>
      </x:c>
      <x:c r="I1644" s="12" t="n">
        <x:v>-0.9999999999999432</x:v>
      </x:c>
      <x:c r="J1644" s="12" t="n">
        <x:v>1</x:v>
      </x:c>
    </x:row>
    <x:row r="1645" ht="18" customHeight="1">
      <x:c r="A1645" s="13" t="n">
        <x:v>45044</x:v>
      </x:c>
      <x:c r="B1645" s="12" t="n">
        <x:v>4029.0858</x:v>
      </x:c>
      <x:c r="C1645" s="12" t="n">
        <x:v>3988.4185</x:v>
      </x:c>
      <x:c r="D1645" s="12" t="n">
        <x:v>1.0196</x:v>
      </x:c>
      <x:c r="E1645" s="12" t="n">
        <x:v>0.01014471517605962</x:v>
      </x:c>
      <x:c r="F1645" s="13" t="n">
        <x:v>45043</x:v>
      </x:c>
      <x:c r="G1645" s="12" t="n">
        <x:v>4.48</x:v>
      </x:c>
      <x:c r="H1645" s="12" t="n">
        <x:v>448.00000000000006</x:v>
      </x:c>
      <x:c r="I1645" s="12" t="n">
        <x:v>-14.999999999999943</x:v>
      </x:c>
      <x:c r="J1645" s="12" t="n">
        <x:v>1</x:v>
      </x:c>
    </x:row>
    <x:row r="1646" ht="18" customHeight="1">
      <x:c r="A1646" s="13" t="n">
        <x:v>45050</x:v>
      </x:c>
      <x:c r="B1646" s="12" t="n">
        <x:v>4030.2471</x:v>
      </x:c>
      <x:c r="C1646" s="12" t="n">
        <x:v>4029.0858</x:v>
      </x:c>
      <x:c r="D1646" s="12" t="n">
        <x:v>0.0288</x:v>
      </x:c>
      <x:c r="E1646" s="12" t="n">
        <x:v>0.00028818762605953345</x:v>
      </x:c>
      <x:c r="F1646" s="13" t="n">
        <x:v>45049</x:v>
      </x:c>
      <x:c r="G1646" s="12" t="n">
        <x:v>4.79</x:v>
      </x:c>
      <x:c r="H1646" s="12" t="n">
        <x:v>479</x:v>
      </x:c>
      <x:c r="I1646" s="12" t="n">
        <x:v>9</x:v>
      </x:c>
      <x:c r="J1646" s="12" t="n">
        <x:v>1</x:v>
      </x:c>
    </x:row>
    <x:row r="1647" ht="18" customHeight="1">
      <x:c r="A1647" s="13" t="n">
        <x:v>45051</x:v>
      </x:c>
      <x:c r="B1647" s="12" t="n">
        <x:v>4016.8774</x:v>
      </x:c>
      <x:c r="C1647" s="12" t="n">
        <x:v>4030.2471</x:v>
      </x:c>
      <x:c r="D1647" s="12" t="n">
        <x:v>-0.3317</x:v>
      </x:c>
      <x:c r="E1647" s="12" t="n">
        <x:v>-0.0033228545927530486</x:v>
      </x:c>
      <x:c r="F1647" s="13" t="n">
        <x:v>45050</x:v>
      </x:c>
      <x:c r="G1647" s="12" t="n">
        <x:v>4.95</x:v>
      </x:c>
      <x:c r="H1647" s="12" t="n">
        <x:v>495</x:v>
      </x:c>
      <x:c r="I1647" s="12" t="n">
        <x:v>16</x:v>
      </x:c>
      <x:c r="J1647" s="12" t="n">
        <x:v>1</x:v>
      </x:c>
    </x:row>
    <x:row r="1648" ht="18" customHeight="1">
      <x:c r="A1648" s="13" t="n">
        <x:v>45054</x:v>
      </x:c>
      <x:c r="B1648" s="12" t="n">
        <x:v>4062.6624</x:v>
      </x:c>
      <x:c r="C1648" s="12" t="n">
        <x:v>4016.8774</x:v>
      </x:c>
      <x:c r="D1648" s="12" t="n">
        <x:v>1.1398</x:v>
      </x:c>
      <x:c r="E1648" s="12" t="n">
        <x:v>0.011333687618858015</x:v>
      </x:c>
      <x:c r="F1648" s="13" t="n">
        <x:v>45051</x:v>
      </x:c>
      <x:c r="G1648" s="12" t="n">
        <x:v>4.77</x:v>
      </x:c>
      <x:c r="H1648" s="12" t="n">
        <x:v>476.99999999999994</x:v>
      </x:c>
      <x:c r="I1648" s="12" t="n">
        <x:v>-18.000000000000057</x:v>
      </x:c>
      <x:c r="J1648" s="12" t="n">
        <x:v>3</x:v>
      </x:c>
    </x:row>
    <x:row r="1649" ht="18" customHeight="1">
      <x:c r="A1649" s="13" t="n">
        <x:v>45055</x:v>
      </x:c>
      <x:c r="B1649" s="12" t="n">
        <x:v>4027.8754</x:v>
      </x:c>
      <x:c r="C1649" s="12" t="n">
        <x:v>4062.6624</x:v>
      </x:c>
      <x:c r="D1649" s="12" t="n">
        <x:v>-0.8563</x:v>
      </x:c>
      <x:c r="E1649" s="12" t="n">
        <x:v>-0.008599481329350357</x:v>
      </x:c>
      <x:c r="F1649" s="13" t="n">
        <x:v>45054</x:v>
      </x:c>
      <x:c r="G1649" s="12" t="n">
        <x:v>4.72</x:v>
      </x:c>
      <x:c r="H1649" s="12" t="n">
        <x:v>472</x:v>
      </x:c>
      <x:c r="I1649" s="12" t="n">
        <x:v>-4.999999999999943</x:v>
      </x:c>
      <x:c r="J1649" s="12" t="n">
        <x:v>1</x:v>
      </x:c>
    </x:row>
    <x:row r="1650" ht="18" customHeight="1">
      <x:c r="A1650" s="13" t="n">
        <x:v>45056</x:v>
      </x:c>
      <x:c r="B1650" s="12" t="n">
        <x:v>3996.8695</x:v>
      </x:c>
      <x:c r="C1650" s="12" t="n">
        <x:v>4027.8754</x:v>
      </x:c>
      <x:c r="D1650" s="12" t="n">
        <x:v>-0.7698</x:v>
      </x:c>
      <x:c r="E1650" s="12" t="n">
        <x:v>-0.0077276112030614744</x:v>
      </x:c>
      <x:c r="F1650" s="13" t="n">
        <x:v>45055</x:v>
      </x:c>
      <x:c r="G1650" s="12" t="n">
        <x:v>4.74</x:v>
      </x:c>
      <x:c r="H1650" s="12" t="n">
        <x:v>474</x:v>
      </x:c>
      <x:c r="I1650" s="12" t="n">
        <x:v>2</x:v>
      </x:c>
      <x:c r="J1650" s="12" t="n">
        <x:v>1</x:v>
      </x:c>
    </x:row>
    <x:row r="1651" ht="18" customHeight="1">
      <x:c r="A1651" s="13" t="n">
        <x:v>45057</x:v>
      </x:c>
      <x:c r="B1651" s="12" t="n">
        <x:v>3990.6637</x:v>
      </x:c>
      <x:c r="C1651" s="12" t="n">
        <x:v>3996.8695</x:v>
      </x:c>
      <x:c r="D1651" s="12" t="n">
        <x:v>-0.1553</x:v>
      </x:c>
      <x:c r="E1651" s="12" t="n">
        <x:v>-0.001553871788268113</x:v>
      </x:c>
      <x:c r="F1651" s="13" t="n">
        <x:v>45056</x:v>
      </x:c>
      <x:c r="G1651" s="12" t="n">
        <x:v>4.78</x:v>
      </x:c>
      <x:c r="H1651" s="12" t="n">
        <x:v>478</x:v>
      </x:c>
      <x:c r="I1651" s="12" t="n">
        <x:v>4</x:v>
      </x:c>
      <x:c r="J1651" s="12" t="n">
        <x:v>1</x:v>
      </x:c>
    </x:row>
    <x:row r="1652" ht="18" customHeight="1">
      <x:c r="A1652" s="13" t="n">
        <x:v>45058</x:v>
      </x:c>
      <x:c r="B1652" s="12" t="n">
        <x:v>3937.7622</x:v>
      </x:c>
      <x:c r="C1652" s="12" t="n">
        <x:v>3990.6637</x:v>
      </x:c>
      <x:c r="D1652" s="12" t="n">
        <x:v>-1.3256</x:v>
      </x:c>
      <x:c r="E1652" s="12" t="n">
        <x:v>-0.013344965509902268</x:v>
      </x:c>
      <x:c r="F1652" s="13" t="n">
        <x:v>45057</x:v>
      </x:c>
      <x:c r="G1652" s="12" t="n">
        <x:v>4.81</x:v>
      </x:c>
      <x:c r="H1652" s="12" t="n">
        <x:v>480.99999999999994</x:v>
      </x:c>
      <x:c r="I1652" s="12" t="n">
        <x:v>2.999999999999943</x:v>
      </x:c>
      <x:c r="J1652" s="12" t="n">
        <x:v>1</x:v>
      </x:c>
    </x:row>
    <x:row r="1653" ht="18" customHeight="1">
      <x:c r="A1653" s="13" t="n">
        <x:v>45061</x:v>
      </x:c>
      <x:c r="B1653" s="12" t="n">
        <x:v>3998.8872</x:v>
      </x:c>
      <x:c r="C1653" s="12" t="n">
        <x:v>3937.7622</x:v>
      </x:c>
      <x:c r="D1653" s="12" t="n">
        <x:v>1.5523</x:v>
      </x:c>
      <x:c r="E1653" s="12" t="n">
        <x:v>0.015403530004197431</x:v>
      </x:c>
      <x:c r="F1653" s="13" t="n">
        <x:v>45058</x:v>
      </x:c>
      <x:c r="G1653" s="12" t="n">
        <x:v>4.76</x:v>
      </x:c>
      <x:c r="H1653" s="12" t="n">
        <x:v>476</x:v>
      </x:c>
      <x:c r="I1653" s="12" t="n">
        <x:v>-4.999999999999943</x:v>
      </x:c>
      <x:c r="J1653" s="12" t="n">
        <x:v>3</x:v>
      </x:c>
    </x:row>
    <x:row r="1654" ht="18" customHeight="1">
      <x:c r="A1654" s="13" t="n">
        <x:v>45062</x:v>
      </x:c>
      <x:c r="B1654" s="12" t="n">
        <x:v>3978.2054</x:v>
      </x:c>
      <x:c r="C1654" s="12" t="n">
        <x:v>3998.8872</x:v>
      </x:c>
      <x:c r="D1654" s="12" t="n">
        <x:v>-0.5172</x:v>
      </x:c>
      <x:c r="E1654" s="12" t="n">
        <x:v>-0.0051853093293719</x:v>
      </x:c>
      <x:c r="F1654" s="13" t="n">
        <x:v>45061</x:v>
      </x:c>
      <x:c r="G1654" s="12" t="n">
        <x:v>4.77</x:v>
      </x:c>
      <x:c r="H1654" s="12" t="n">
        <x:v>476.99999999999994</x:v>
      </x:c>
      <x:c r="I1654" s="12" t="n">
        <x:v>0.9999999999999432</x:v>
      </x:c>
      <x:c r="J1654" s="12" t="n">
        <x:v>1</x:v>
      </x:c>
    </x:row>
    <x:row r="1655" ht="18" customHeight="1">
      <x:c r="A1655" s="13" t="n">
        <x:v>45063</x:v>
      </x:c>
      <x:c r="B1655" s="12" t="n">
        <x:v>3960.165</x:v>
      </x:c>
      <x:c r="C1655" s="12" t="n">
        <x:v>3978.2054</x:v>
      </x:c>
      <x:c r="D1655" s="12" t="n">
        <x:v>-0.4535</x:v>
      </x:c>
      <x:c r="E1655" s="12" t="n">
        <x:v>-0.004545122020695687</x:v>
      </x:c>
      <x:c r="F1655" s="13" t="n">
        <x:v>45062</x:v>
      </x:c>
      <x:c r="G1655" s="12" t="n">
        <x:v>4.79</x:v>
      </x:c>
      <x:c r="H1655" s="12" t="n">
        <x:v>479</x:v>
      </x:c>
      <x:c r="I1655" s="12" t="n">
        <x:v>2.000000000000057</x:v>
      </x:c>
      <x:c r="J1655" s="12" t="n">
        <x:v>1</x:v>
      </x:c>
    </x:row>
    <x:row r="1656" ht="18" customHeight="1">
      <x:c r="A1656" s="13" t="n">
        <x:v>45064</x:v>
      </x:c>
      <x:c r="B1656" s="12" t="n">
        <x:v>3956.0701</x:v>
      </x:c>
      <x:c r="C1656" s="12" t="n">
        <x:v>3960.165</x:v>
      </x:c>
      <x:c r="D1656" s="12" t="n">
        <x:v>-0.1034</x:v>
      </x:c>
      <x:c r="E1656" s="12" t="n">
        <x:v>-0.001034557542444401</x:v>
      </x:c>
      <x:c r="F1656" s="13" t="n">
        <x:v>45063</x:v>
      </x:c>
      <x:c r="G1656" s="12" t="n">
        <x:v>4.75</x:v>
      </x:c>
      <x:c r="H1656" s="12" t="n">
        <x:v>475</x:v>
      </x:c>
      <x:c r="I1656" s="12" t="n">
        <x:v>-4</x:v>
      </x:c>
      <x:c r="J1656" s="12" t="n">
        <x:v>1</x:v>
      </x:c>
    </x:row>
    <x:row r="1657" ht="18" customHeight="1">
      <x:c r="A1657" s="13" t="n">
        <x:v>45065</x:v>
      </x:c>
      <x:c r="B1657" s="12" t="n">
        <x:v>3944.5403</x:v>
      </x:c>
      <x:c r="C1657" s="12" t="n">
        <x:v>3956.0701</x:v>
      </x:c>
      <x:c r="D1657" s="12" t="n">
        <x:v>-0.2914</x:v>
      </x:c>
      <x:c r="E1657" s="12" t="n">
        <x:v>-0.002918713264252902</x:v>
      </x:c>
      <x:c r="F1657" s="13" t="n">
        <x:v>45064</x:v>
      </x:c>
      <x:c r="G1657" s="12" t="n">
        <x:v>4.69</x:v>
      </x:c>
      <x:c r="H1657" s="12" t="n">
        <x:v>469.00000000000006</x:v>
      </x:c>
      <x:c r="I1657" s="12" t="n">
        <x:v>-5.999999999999943</x:v>
      </x:c>
      <x:c r="J1657" s="12" t="n">
        <x:v>1</x:v>
      </x:c>
    </x:row>
    <x:row r="1658" ht="18" customHeight="1">
      <x:c r="A1658" s="13" t="n">
        <x:v>45068</x:v>
      </x:c>
      <x:c r="B1658" s="12" t="n">
        <x:v>3969.3277</x:v>
      </x:c>
      <x:c r="C1658" s="12" t="n">
        <x:v>3944.5403</x:v>
      </x:c>
      <x:c r="D1658" s="12" t="n">
        <x:v>0.6284</x:v>
      </x:c>
      <x:c r="E1658" s="12" t="n">
        <x:v>0.006264315012112265</x:v>
      </x:c>
      <x:c r="F1658" s="13" t="n">
        <x:v>45065</x:v>
      </x:c>
      <x:c r="G1658" s="12" t="n">
        <x:v>4.62</x:v>
      </x:c>
      <x:c r="H1658" s="12" t="n">
        <x:v>462</x:v>
      </x:c>
      <x:c r="I1658" s="12" t="n">
        <x:v>-7.000000000000057</x:v>
      </x:c>
      <x:c r="J1658" s="12" t="n">
        <x:v>3</x:v>
      </x:c>
    </x:row>
    <x:row r="1659" ht="18" customHeight="1">
      <x:c r="A1659" s="13" t="n">
        <x:v>45069</x:v>
      </x:c>
      <x:c r="B1659" s="12" t="n">
        <x:v>3913.1882</x:v>
      </x:c>
      <x:c r="C1659" s="12" t="n">
        <x:v>3969.3277</x:v>
      </x:c>
      <x:c r="D1659" s="12" t="n">
        <x:v>-1.4143</x:v>
      </x:c>
      <x:c r="E1659" s="12" t="n">
        <x:v>-0.014244297108787168</x:v>
      </x:c>
      <x:c r="F1659" s="13" t="n">
        <x:v>45068</x:v>
      </x:c>
      <x:c r="G1659" s="12" t="n">
        <x:v>4.54</x:v>
      </x:c>
      <x:c r="H1659" s="12" t="n">
        <x:v>454</x:v>
      </x:c>
      <x:c r="I1659" s="12" t="n">
        <x:v>-8</x:v>
      </x:c>
      <x:c r="J1659" s="12" t="n">
        <x:v>1</x:v>
      </x:c>
    </x:row>
    <x:row r="1660" ht="18" customHeight="1">
      <x:c r="A1660" s="13" t="n">
        <x:v>45070</x:v>
      </x:c>
      <x:c r="B1660" s="12" t="n">
        <x:v>3859.0935</x:v>
      </x:c>
      <x:c r="C1660" s="12" t="n">
        <x:v>3913.1882</x:v>
      </x:c>
      <x:c r="D1660" s="12" t="n">
        <x:v>-1.3824</x:v>
      </x:c>
      <x:c r="E1660" s="12" t="n">
        <x:v>-0.013920126824799891</x:v>
      </x:c>
      <x:c r="F1660" s="13" t="n">
        <x:v>45069</x:v>
      </x:c>
      <x:c r="G1660" s="12" t="n">
        <x:v>4.6</x:v>
      </x:c>
      <x:c r="H1660" s="12" t="n">
        <x:v>459.99999999999994</x:v>
      </x:c>
      <x:c r="I1660" s="12" t="n">
        <x:v>5.999999999999943</x:v>
      </x:c>
      <x:c r="J1660" s="12" t="n">
        <x:v>1</x:v>
      </x:c>
    </x:row>
    <x:row r="1661" ht="18" customHeight="1">
      <x:c r="A1661" s="13" t="n">
        <x:v>45071</x:v>
      </x:c>
      <x:c r="B1661" s="12" t="n">
        <x:v>3850.4996</x:v>
      </x:c>
      <x:c r="C1661" s="12" t="n">
        <x:v>3859.0935</x:v>
      </x:c>
      <x:c r="D1661" s="12" t="n">
        <x:v>-0.2227</x:v>
      </x:c>
      <x:c r="E1661" s="12" t="n">
        <x:v>-0.002229405222302582</x:v>
      </x:c>
      <x:c r="F1661" s="13" t="n">
        <x:v>45070</x:v>
      </x:c>
      <x:c r="G1661" s="12" t="n">
        <x:v>4.68</x:v>
      </x:c>
      <x:c r="H1661" s="12" t="n">
        <x:v>468</x:v>
      </x:c>
      <x:c r="I1661" s="12" t="n">
        <x:v>8.000000000000057</x:v>
      </x:c>
      <x:c r="J1661" s="12" t="n">
        <x:v>1</x:v>
      </x:c>
    </x:row>
    <x:row r="1662" ht="18" customHeight="1">
      <x:c r="A1662" s="13" t="n">
        <x:v>45072</x:v>
      </x:c>
      <x:c r="B1662" s="12" t="n">
        <x:v>3850.9511</x:v>
      </x:c>
      <x:c r="C1662" s="12" t="n">
        <x:v>3850.4996</x:v>
      </x:c>
      <x:c r="D1662" s="12" t="n">
        <x:v>0.0117</x:v>
      </x:c>
      <x:c r="E1662" s="12" t="n">
        <x:v>0.00011725063708255876</x:v>
      </x:c>
      <x:c r="F1662" s="13" t="n">
        <x:v>45071</x:v>
      </x:c>
      <x:c r="G1662" s="12" t="n">
        <x:v>4.58</x:v>
      </x:c>
      <x:c r="H1662" s="12" t="n">
        <x:v>458</x:v>
      </x:c>
      <x:c r="I1662" s="12" t="n">
        <x:v>-10</x:v>
      </x:c>
      <x:c r="J1662" s="12" t="n">
        <x:v>1</x:v>
      </x:c>
    </x:row>
    <x:row r="1663" ht="18" customHeight="1">
      <x:c r="A1663" s="13" t="n">
        <x:v>45075</x:v>
      </x:c>
      <x:c r="B1663" s="12" t="n">
        <x:v>3833.9416</x:v>
      </x:c>
      <x:c r="C1663" s="12" t="n">
        <x:v>3850.9511</x:v>
      </x:c>
      <x:c r="D1663" s="12" t="n">
        <x:v>-0.4417</x:v>
      </x:c>
      <x:c r="E1663" s="12" t="n">
        <x:v>-0.004426744377731629</x:v>
      </x:c>
      <x:c r="F1663" s="13" t="n">
        <x:v>45072</x:v>
      </x:c>
      <x:c r="G1663" s="12" t="n">
        <x:v>4.53</x:v>
      </x:c>
      <x:c r="H1663" s="12" t="n">
        <x:v>453</x:v>
      </x:c>
      <x:c r="I1663" s="12" t="n">
        <x:v>-5</x:v>
      </x:c>
      <x:c r="J1663" s="12" t="n">
        <x:v>3</x:v>
      </x:c>
    </x:row>
    <x:row r="1664" ht="18" customHeight="1">
      <x:c r="A1664" s="13" t="n">
        <x:v>45076</x:v>
      </x:c>
      <x:c r="B1664" s="12" t="n">
        <x:v>3837.7531</x:v>
      </x:c>
      <x:c r="C1664" s="12" t="n">
        <x:v>3833.9416</x:v>
      </x:c>
      <x:c r="D1664" s="12" t="n">
        <x:v>0.0994</x:v>
      </x:c>
      <x:c r="E1664" s="12" t="n">
        <x:v>0.0009936527619133092</x:v>
      </x:c>
      <x:c r="F1664" s="13" t="n">
        <x:v>45075</x:v>
      </x:c>
      <x:c r="G1664" s="12" t="n">
        <x:v>4.54</x:v>
      </x:c>
      <x:c r="H1664" s="12" t="n">
        <x:v>454</x:v>
      </x:c>
      <x:c r="I1664" s="12" t="n">
        <x:v>1</x:v>
      </x:c>
      <x:c r="J1664" s="12" t="n">
        <x:v>1</x:v>
      </x:c>
    </x:row>
    <x:row r="1665" ht="18" customHeight="1">
      <x:c r="A1665" s="13" t="n">
        <x:v>45077</x:v>
      </x:c>
      <x:c r="B1665" s="12" t="n">
        <x:v>3798.5434</x:v>
      </x:c>
      <x:c r="C1665" s="12" t="n">
        <x:v>3837.7531</x:v>
      </x:c>
      <x:c r="D1665" s="12" t="n">
        <x:v>-1.0217</x:v>
      </x:c>
      <x:c r="E1665" s="12" t="n">
        <x:v>-0.01026938767722393</x:v>
      </x:c>
      <x:c r="F1665" s="13" t="n">
        <x:v>45076</x:v>
      </x:c>
      <x:c r="G1665" s="12" t="n">
        <x:v>4.58</x:v>
      </x:c>
      <x:c r="H1665" s="12" t="n">
        <x:v>458</x:v>
      </x:c>
      <x:c r="I1665" s="12" t="n">
        <x:v>4</x:v>
      </x:c>
      <x:c r="J1665" s="12" t="n">
        <x:v>1</x:v>
      </x:c>
    </x:row>
    <x:row r="1666" ht="18" customHeight="1">
      <x:c r="A1666" s="13" t="n">
        <x:v>45078</x:v>
      </x:c>
      <x:c r="B1666" s="12" t="n">
        <x:v>3806.8679</x:v>
      </x:c>
      <x:c r="C1666" s="12" t="n">
        <x:v>3798.5434</x:v>
      </x:c>
      <x:c r="D1666" s="12" t="n">
        <x:v>0.2191</x:v>
      </x:c>
      <x:c r="E1666" s="12" t="n">
        <x:v>0.002189100101492375</x:v>
      </x:c>
      <x:c r="F1666" s="13" t="n">
        <x:v>45077</x:v>
      </x:c>
      <x:c r="G1666" s="12" t="n">
        <x:v>4.69</x:v>
      </x:c>
      <x:c r="H1666" s="12" t="n">
        <x:v>469.00000000000006</x:v>
      </x:c>
      <x:c r="I1666" s="12" t="n">
        <x:v>11.000000000000057</x:v>
      </x:c>
      <x:c r="J1666" s="12" t="n">
        <x:v>1</x:v>
      </x:c>
    </x:row>
    <x:row r="1667" ht="18" customHeight="1">
      <x:c r="A1667" s="13" t="n">
        <x:v>45079</x:v>
      </x:c>
      <x:c r="B1667" s="12" t="n">
        <x:v>3861.8337</x:v>
      </x:c>
      <x:c r="C1667" s="12" t="n">
        <x:v>3806.8679</x:v>
      </x:c>
      <x:c r="D1667" s="12" t="n">
        <x:v>1.4439</x:v>
      </x:c>
      <x:c r="E1667" s="12" t="n">
        <x:v>0.01433534492873864</x:v>
      </x:c>
      <x:c r="F1667" s="13" t="n">
        <x:v>45078</x:v>
      </x:c>
      <x:c r="G1667" s="12" t="n">
        <x:v>4.65</x:v>
      </x:c>
      <x:c r="H1667" s="12" t="n">
        <x:v>465.00000000000006</x:v>
      </x:c>
      <x:c r="I1667" s="12" t="n">
        <x:v>-4</x:v>
      </x:c>
      <x:c r="J1667" s="12" t="n">
        <x:v>1</x:v>
      </x:c>
    </x:row>
    <x:row r="1668" ht="18" customHeight="1">
      <x:c r="A1668" s="13" t="n">
        <x:v>45082</x:v>
      </x:c>
      <x:c r="B1668" s="12" t="n">
        <x:v>3844.2492</x:v>
      </x:c>
      <x:c r="C1668" s="12" t="n">
        <x:v>3861.8337</x:v>
      </x:c>
      <x:c r="D1668" s="12" t="n">
        <x:v>-0.4553</x:v>
      </x:c>
      <x:c r="E1668" s="12" t="n">
        <x:v>-0.004563805178188675</x:v>
      </x:c>
      <x:c r="F1668" s="13" t="n">
        <x:v>45079</x:v>
      </x:c>
      <x:c r="G1668" s="12" t="n">
        <x:v>4.37</x:v>
      </x:c>
      <x:c r="H1668" s="12" t="n">
        <x:v>437</x:v>
      </x:c>
      <x:c r="I1668" s="12" t="n">
        <x:v>-28.000000000000057</x:v>
      </x:c>
      <x:c r="J1668" s="12" t="n">
        <x:v>3</x:v>
      </x:c>
    </x:row>
    <x:row r="1669" ht="18" customHeight="1">
      <x:c r="A1669" s="13" t="n">
        <x:v>45083</x:v>
      </x:c>
      <x:c r="B1669" s="12" t="n">
        <x:v>3808.1629</x:v>
      </x:c>
      <x:c r="C1669" s="12" t="n">
        <x:v>3844.2492</x:v>
      </x:c>
      <x:c r="D1669" s="12" t="n">
        <x:v>-0.9387</x:v>
      </x:c>
      <x:c r="E1669" s="12" t="n">
        <x:v>-0.009431422935137213</x:v>
      </x:c>
      <x:c r="F1669" s="13" t="n">
        <x:v>45082</x:v>
      </x:c>
      <x:c r="G1669" s="12" t="n">
        <x:v>4.39</x:v>
      </x:c>
      <x:c r="H1669" s="12" t="n">
        <x:v>438.99999999999994</x:v>
      </x:c>
      <x:c r="I1669" s="12" t="n">
        <x:v>1.9999999999999432</x:v>
      </x:c>
      <x:c r="J1669" s="12" t="n">
        <x:v>1</x:v>
      </x:c>
    </x:row>
    <x:row r="1670" ht="18" customHeight="1">
      <x:c r="A1670" s="13" t="n">
        <x:v>45084</x:v>
      </x:c>
      <x:c r="B1670" s="12" t="n">
        <x:v>3789.3418</x:v>
      </x:c>
      <x:c r="C1670" s="12" t="n">
        <x:v>3808.1629</x:v>
      </x:c>
      <x:c r="D1670" s="12" t="n">
        <x:v>-0.4942</x:v>
      </x:c>
      <x:c r="E1670" s="12" t="n">
        <x:v>-0.004954557909288927</x:v>
      </x:c>
      <x:c r="F1670" s="13" t="n">
        <x:v>45083</x:v>
      </x:c>
      <x:c r="G1670" s="12" t="n">
        <x:v>4.39</x:v>
      </x:c>
      <x:c r="H1670" s="12" t="n">
        <x:v>438.99999999999994</x:v>
      </x:c>
      <x:c r="I1670" s="12" t="n">
        <x:v>0</x:v>
      </x:c>
      <x:c r="J1670" s="12" t="n">
        <x:v>1</x:v>
      </x:c>
    </x:row>
    <x:row r="1671" ht="18" customHeight="1">
      <x:c r="A1671" s="13" t="n">
        <x:v>45085</x:v>
      </x:c>
      <x:c r="B1671" s="12" t="n">
        <x:v>3820.1867</x:v>
      </x:c>
      <x:c r="C1671" s="12" t="n">
        <x:v>3789.3418</x:v>
      </x:c>
      <x:c r="D1671" s="12" t="n">
        <x:v>0.814</x:v>
      </x:c>
      <x:c r="E1671" s="12" t="n">
        <x:v>0.008106959303515378</x:v>
      </x:c>
      <x:c r="F1671" s="13" t="n">
        <x:v>45084</x:v>
      </x:c>
      <x:c r="G1671" s="12" t="n">
        <x:v>4.33</x:v>
      </x:c>
      <x:c r="H1671" s="12" t="n">
        <x:v>433</x:v>
      </x:c>
      <x:c r="I1671" s="12" t="n">
        <x:v>-5.999999999999943</x:v>
      </x:c>
      <x:c r="J1671" s="12" t="n">
        <x:v>1</x:v>
      </x:c>
    </x:row>
    <x:row r="1672" ht="18" customHeight="1">
      <x:c r="A1672" s="13" t="n">
        <x:v>45086</x:v>
      </x:c>
      <x:c r="B1672" s="12" t="n">
        <x:v>3836.7026</x:v>
      </x:c>
      <x:c r="C1672" s="12" t="n">
        <x:v>3820.1867</x:v>
      </x:c>
      <x:c r="D1672" s="12" t="n">
        <x:v>0.4323</x:v>
      </x:c>
      <x:c r="E1672" s="12" t="n">
        <x:v>0.00431400402099796</x:v>
      </x:c>
      <x:c r="F1672" s="13" t="n">
        <x:v>45085</x:v>
      </x:c>
      <x:c r="G1672" s="12" t="n">
        <x:v>4.39</x:v>
      </x:c>
      <x:c r="H1672" s="12" t="n">
        <x:v>438.99999999999994</x:v>
      </x:c>
      <x:c r="I1672" s="12" t="n">
        <x:v>5.999999999999943</x:v>
      </x:c>
      <x:c r="J1672" s="12" t="n">
        <x:v>1</x:v>
      </x:c>
    </x:row>
    <x:row r="1673" ht="18" customHeight="1">
      <x:c r="A1673" s="13" t="n">
        <x:v>45089</x:v>
      </x:c>
      <x:c r="B1673" s="12" t="n">
        <x:v>3844.4324</x:v>
      </x:c>
      <x:c r="C1673" s="12" t="n">
        <x:v>3836.7026</x:v>
      </x:c>
      <x:c r="D1673" s="12" t="n">
        <x:v>0.2015</x:v>
      </x:c>
      <x:c r="E1673" s="12" t="n">
        <x:v>0.002012671983855088</x:v>
      </x:c>
      <x:c r="F1673" s="13" t="n">
        <x:v>45086</x:v>
      </x:c>
      <x:c r="G1673" s="12" t="n">
        <x:v>4.29</x:v>
      </x:c>
      <x:c r="H1673" s="12" t="n">
        <x:v>429</x:v>
      </x:c>
      <x:c r="I1673" s="12" t="n">
        <x:v>-9.999999999999943</x:v>
      </x:c>
      <x:c r="J1673" s="12" t="n">
        <x:v>3</x:v>
      </x:c>
    </x:row>
    <x:row r="1674" ht="18" customHeight="1">
      <x:c r="A1674" s="13" t="n">
        <x:v>45090</x:v>
      </x:c>
      <x:c r="B1674" s="12" t="n">
        <x:v>3864.9074</x:v>
      </x:c>
      <x:c r="C1674" s="12" t="n">
        <x:v>3844.4324</x:v>
      </x:c>
      <x:c r="D1674" s="12" t="n">
        <x:v>0.5326</x:v>
      </x:c>
      <x:c r="E1674" s="12" t="n">
        <x:v>0.005311751374952578</x:v>
      </x:c>
      <x:c r="F1674" s="13" t="n">
        <x:v>45089</x:v>
      </x:c>
      <x:c r="G1674" s="12" t="n">
        <x:v>4.34</x:v>
      </x:c>
      <x:c r="H1674" s="12" t="n">
        <x:v>434</x:v>
      </x:c>
      <x:c r="I1674" s="12" t="n">
        <x:v>5</x:v>
      </x:c>
      <x:c r="J1674" s="12" t="n">
        <x:v>1</x:v>
      </x:c>
    </x:row>
    <x:row r="1675" ht="18" customHeight="1">
      <x:c r="A1675" s="13" t="n">
        <x:v>45091</x:v>
      </x:c>
      <x:c r="B1675" s="12" t="n">
        <x:v>3864.0247</x:v>
      </x:c>
      <x:c r="C1675" s="12" t="n">
        <x:v>3864.9074</x:v>
      </x:c>
      <x:c r="D1675" s="12" t="n">
        <x:v>-0.0228</x:v>
      </x:c>
      <x:c r="E1675" s="12" t="n">
        <x:v>-0.00022841448014214406</x:v>
      </x:c>
      <x:c r="F1675" s="13" t="n">
        <x:v>45090</x:v>
      </x:c>
      <x:c r="G1675" s="12" t="n">
        <x:v>4.18</x:v>
      </x:c>
      <x:c r="H1675" s="12" t="n">
        <x:v>418</x:v>
      </x:c>
      <x:c r="I1675" s="12" t="n">
        <x:v>-16</x:v>
      </x:c>
      <x:c r="J1675" s="12" t="n">
        <x:v>1</x:v>
      </x:c>
    </x:row>
    <x:row r="1676" ht="18" customHeight="1">
      <x:c r="A1676" s="13" t="n">
        <x:v>45092</x:v>
      </x:c>
      <x:c r="B1676" s="12" t="n">
        <x:v>3925.4994</x:v>
      </x:c>
      <x:c r="C1676" s="12" t="n">
        <x:v>3864.0247</x:v>
      </x:c>
      <x:c r="D1676" s="12" t="n">
        <x:v>1.5909</x:v>
      </x:c>
      <x:c r="E1676" s="12" t="n">
        <x:v>0.01578427014000531</x:v>
      </x:c>
      <x:c r="F1676" s="13" t="n">
        <x:v>45091</x:v>
      </x:c>
      <x:c r="G1676" s="12" t="n">
        <x:v>4.18</x:v>
      </x:c>
      <x:c r="H1676" s="12" t="n">
        <x:v>418</x:v>
      </x:c>
      <x:c r="I1676" s="12" t="n">
        <x:v>0</x:v>
      </x:c>
      <x:c r="J1676" s="12" t="n">
        <x:v>1</x:v>
      </x:c>
    </x:row>
    <x:row r="1677" ht="18" customHeight="1">
      <x:c r="A1677" s="13" t="n">
        <x:v>45093</x:v>
      </x:c>
      <x:c r="B1677" s="12" t="n">
        <x:v>3963.3509</x:v>
      </x:c>
      <x:c r="C1677" s="12" t="n">
        <x:v>3925.4994</x:v>
      </x:c>
      <x:c r="D1677" s="12" t="n">
        <x:v>0.9642</x:v>
      </x:c>
      <x:c r="E1677" s="12" t="n">
        <x:v>0.009596275511414851</x:v>
      </x:c>
      <x:c r="F1677" s="13" t="n">
        <x:v>45092</x:v>
      </x:c>
      <x:c r="G1677" s="12" t="n">
        <x:v>4.21</x:v>
      </x:c>
      <x:c r="H1677" s="12" t="n">
        <x:v>421</x:v>
      </x:c>
      <x:c r="I1677" s="12" t="n">
        <x:v>3</x:v>
      </x:c>
      <x:c r="J1677" s="12" t="n">
        <x:v>1</x:v>
      </x:c>
    </x:row>
    <x:row r="1678" ht="18" customHeight="1">
      <x:c r="A1678" s="13" t="n">
        <x:v>45096</x:v>
      </x:c>
      <x:c r="B1678" s="12" t="n">
        <x:v>3930.9079</x:v>
      </x:c>
      <x:c r="C1678" s="12" t="n">
        <x:v>3963.3509</x:v>
      </x:c>
      <x:c r="D1678" s="12" t="n">
        <x:v>-0.8186</x:v>
      </x:c>
      <x:c r="E1678" s="12" t="n">
        <x:v>-0.0082194373084361</x:v>
      </x:c>
      <x:c r="F1678" s="13" t="n">
        <x:v>45093</x:v>
      </x:c>
      <x:c r="G1678" s="12" t="n">
        <x:v>4.15</x:v>
      </x:c>
      <x:c r="H1678" s="12" t="n">
        <x:v>415.00000000000006</x:v>
      </x:c>
      <x:c r="I1678" s="12" t="n">
        <x:v>-5.999999999999943</x:v>
      </x:c>
      <x:c r="J1678" s="12" t="n">
        <x:v>3</x:v>
      </x:c>
    </x:row>
    <x:row r="1679" ht="18" customHeight="1">
      <x:c r="A1679" s="13" t="n">
        <x:v>45097</x:v>
      </x:c>
      <x:c r="B1679" s="12" t="n">
        <x:v>3924.2377</x:v>
      </x:c>
      <x:c r="C1679" s="12" t="n">
        <x:v>3930.9079</x:v>
      </x:c>
      <x:c r="D1679" s="12" t="n">
        <x:v>-0.1697</x:v>
      </x:c>
      <x:c r="E1679" s="12" t="n">
        <x:v>-0.001698301200985408</x:v>
      </x:c>
      <x:c r="F1679" s="13" t="n">
        <x:v>45096</x:v>
      </x:c>
      <x:c r="G1679" s="12" t="n">
        <x:v>4.15</x:v>
      </x:c>
      <x:c r="H1679" s="12" t="n">
        <x:v>415.00000000000006</x:v>
      </x:c>
      <x:c r="I1679" s="12" t="n">
        <x:v>0</x:v>
      </x:c>
      <x:c r="J1679" s="12" t="n">
        <x:v>1</x:v>
      </x:c>
    </x:row>
    <x:row r="1680" ht="18" customHeight="1">
      <x:c r="A1680" s="13" t="n">
        <x:v>45098</x:v>
      </x:c>
      <x:c r="B1680" s="12" t="n">
        <x:v>3864.0323</x:v>
      </x:c>
      <x:c r="C1680" s="12" t="n">
        <x:v>3924.2377</x:v>
      </x:c>
      <x:c r="D1680" s="12" t="n">
        <x:v>-1.5342</x:v>
      </x:c>
      <x:c r="E1680" s="12" t="n">
        <x:v>-0.01546084028279967</x:v>
      </x:c>
      <x:c r="F1680" s="13" t="n">
        <x:v>45097</x:v>
      </x:c>
      <x:c r="G1680" s="12" t="n">
        <x:v>4.22</x:v>
      </x:c>
      <x:c r="H1680" s="12" t="n">
        <x:v>422</x:v>
      </x:c>
      <x:c r="I1680" s="12" t="n">
        <x:v>6.999999999999943</x:v>
      </x:c>
      <x:c r="J1680" s="12" t="n">
        <x:v>1</x:v>
      </x:c>
    </x:row>
    <x:row r="1681" ht="18" customHeight="1">
      <x:c r="A1681" s="13" t="n">
        <x:v>45103</x:v>
      </x:c>
      <x:c r="B1681" s="12" t="n">
        <x:v>3809.6962</x:v>
      </x:c>
      <x:c r="C1681" s="12" t="n">
        <x:v>3864.0323</x:v>
      </x:c>
      <x:c r="D1681" s="12" t="n">
        <x:v>-1.4062</x:v>
      </x:c>
      <x:c r="E1681" s="12" t="n">
        <x:v>-0.014161827101988902</x:v>
      </x:c>
      <x:c r="F1681" s="13" t="n">
        <x:v>45100</x:v>
      </x:c>
      <x:c r="G1681" s="12" t="n">
        <x:v>4.4</x:v>
      </x:c>
      <x:c r="H1681" s="12" t="n">
        <x:v>440.00000000000006</x:v>
      </x:c>
      <x:c r="I1681" s="12" t="n">
        <x:v>10.000000000000057</x:v>
      </x:c>
      <x:c r="J1681" s="12" t="n">
        <x:v>3</x:v>
      </x:c>
    </x:row>
    <x:row r="1682" ht="18" customHeight="1">
      <x:c r="A1682" s="13" t="n">
        <x:v>45104</x:v>
      </x:c>
      <x:c r="B1682" s="12" t="n">
        <x:v>3845.4334</x:v>
      </x:c>
      <x:c r="C1682" s="12" t="n">
        <x:v>3809.6962</x:v>
      </x:c>
      <x:c r="D1682" s="12" t="n">
        <x:v>0.9381</x:v>
      </x:c>
      <x:c r="E1682" s="12" t="n">
        <x:v>0.009336865994181069</x:v>
      </x:c>
      <x:c r="F1682" s="13" t="n">
        <x:v>45103</x:v>
      </x:c>
      <x:c r="G1682" s="12" t="n">
        <x:v>4.45</x:v>
      </x:c>
      <x:c r="H1682" s="12" t="n">
        <x:v>445</x:v>
      </x:c>
      <x:c r="I1682" s="12" t="n">
        <x:v>4.999999999999943</x:v>
      </x:c>
      <x:c r="J1682" s="12" t="n">
        <x:v>1</x:v>
      </x:c>
    </x:row>
    <x:row r="1683" ht="18" customHeight="1">
      <x:c r="A1683" s="13" t="n">
        <x:v>45105</x:v>
      </x:c>
      <x:c r="B1683" s="12" t="n">
        <x:v>3840.7986</x:v>
      </x:c>
      <x:c r="C1683" s="12" t="n">
        <x:v>3845.4334</x:v>
      </x:c>
      <x:c r="D1683" s="12" t="n">
        <x:v>-0.1205</x:v>
      </x:c>
      <x:c r="E1683" s="12" t="n">
        <x:v>-0.0012060006936434353</x:v>
      </x:c>
      <x:c r="F1683" s="13" t="n">
        <x:v>45104</x:v>
      </x:c>
      <x:c r="G1683" s="12" t="n">
        <x:v>4.3</x:v>
      </x:c>
      <x:c r="H1683" s="12" t="n">
        <x:v>430</x:v>
      </x:c>
      <x:c r="I1683" s="12" t="n">
        <x:v>-15</x:v>
      </x:c>
      <x:c r="J1683" s="12" t="n">
        <x:v>1</x:v>
      </x:c>
    </x:row>
    <x:row r="1684" ht="18" customHeight="1">
      <x:c r="A1684" s="13" t="n">
        <x:v>45106</x:v>
      </x:c>
      <x:c r="B1684" s="12" t="n">
        <x:v>3821.8435</x:v>
      </x:c>
      <x:c r="C1684" s="12" t="n">
        <x:v>3840.7986</x:v>
      </x:c>
      <x:c r="D1684" s="12" t="n">
        <x:v>-0.4935</x:v>
      </x:c>
      <x:c r="E1684" s="12" t="n">
        <x:v>-0.004947415895498865</x:v>
      </x:c>
      <x:c r="F1684" s="13" t="n">
        <x:v>45105</x:v>
      </x:c>
      <x:c r="G1684" s="12" t="n">
        <x:v>4.27</x:v>
      </x:c>
      <x:c r="H1684" s="12" t="n">
        <x:v>426.99999999999994</x:v>
      </x:c>
      <x:c r="I1684" s="12" t="n">
        <x:v>-3.000000000000057</x:v>
      </x:c>
      <x:c r="J1684" s="12" t="n">
        <x:v>1</x:v>
      </x:c>
    </x:row>
    <x:row r="1685" ht="18" customHeight="1">
      <x:c r="A1685" s="13" t="n">
        <x:v>45107</x:v>
      </x:c>
      <x:c r="B1685" s="12" t="n">
        <x:v>3842.4516</x:v>
      </x:c>
      <x:c r="C1685" s="12" t="n">
        <x:v>3821.8435</x:v>
      </x:c>
      <x:c r="D1685" s="12" t="n">
        <x:v>0.5392</x:v>
      </x:c>
      <x:c r="E1685" s="12" t="n">
        <x:v>0.005377702553482227</x:v>
      </x:c>
      <x:c r="F1685" s="13" t="n">
        <x:v>45106</x:v>
      </x:c>
      <x:c r="G1685" s="12" t="n">
        <x:v>4.14</x:v>
      </x:c>
      <x:c r="H1685" s="12" t="n">
        <x:v>413.99999999999994</x:v>
      </x:c>
      <x:c r="I1685" s="12" t="n">
        <x:v>-13</x:v>
      </x:c>
      <x:c r="J1685" s="12" t="n">
        <x:v>1</x:v>
      </x:c>
    </x:row>
    <x:row r="1686" ht="18" customHeight="1">
      <x:c r="A1686" s="13" t="n">
        <x:v>45110</x:v>
      </x:c>
      <x:c r="B1686" s="12" t="n">
        <x:v>3892.8821</x:v>
      </x:c>
      <x:c r="C1686" s="12" t="n">
        <x:v>3842.4516</x:v>
      </x:c>
      <x:c r="D1686" s="12" t="n">
        <x:v>1.3125</x:v>
      </x:c>
      <x:c r="E1686" s="12" t="n">
        <x:v>0.013039182657447542</x:v>
      </x:c>
      <x:c r="F1686" s="13" t="n">
        <x:v>45107</x:v>
      </x:c>
      <x:c r="G1686" s="12" t="n">
        <x:v>4.05</x:v>
      </x:c>
      <x:c r="H1686" s="12" t="n">
        <x:v>405</x:v>
      </x:c>
      <x:c r="I1686" s="12" t="n">
        <x:v>-8.999999999999943</x:v>
      </x:c>
      <x:c r="J1686" s="12" t="n">
        <x:v>3</x:v>
      </x:c>
    </x:row>
    <x:row r="1687" ht="18" customHeight="1">
      <x:c r="A1687" s="13" t="n">
        <x:v>45111</x:v>
      </x:c>
      <x:c r="B1687" s="12" t="n">
        <x:v>3899.0133</x:v>
      </x:c>
      <x:c r="C1687" s="12" t="n">
        <x:v>3892.8821</x:v>
      </x:c>
      <x:c r="D1687" s="12" t="n">
        <x:v>0.1575</x:v>
      </x:c>
      <x:c r="E1687" s="12" t="n">
        <x:v>0.0015737380831380055</x:v>
      </x:c>
      <x:c r="F1687" s="13" t="n">
        <x:v>45110</x:v>
      </x:c>
      <x:c r="G1687" s="12" t="n">
        <x:v>3.99</x:v>
      </x:c>
      <x:c r="H1687" s="12" t="n">
        <x:v>399</x:v>
      </x:c>
      <x:c r="I1687" s="12" t="n">
        <x:v>-6</x:v>
      </x:c>
      <x:c r="J1687" s="12" t="n">
        <x:v>1</x:v>
      </x:c>
    </x:row>
    <x:row r="1688" ht="18" customHeight="1">
      <x:c r="A1688" s="13" t="n">
        <x:v>45112</x:v>
      </x:c>
      <x:c r="B1688" s="12" t="n">
        <x:v>3868.8054</x:v>
      </x:c>
      <x:c r="C1688" s="12" t="n">
        <x:v>3899.0133</x:v>
      </x:c>
      <x:c r="D1688" s="12" t="n">
        <x:v>-0.7748</x:v>
      </x:c>
      <x:c r="E1688" s="12" t="n">
        <x:v>-0.007777743906701456</x:v>
      </x:c>
      <x:c r="F1688" s="13" t="n">
        <x:v>45111</x:v>
      </x:c>
      <x:c r="G1688" s="12" t="n">
        <x:v>3.99</x:v>
      </x:c>
      <x:c r="H1688" s="12" t="n">
        <x:v>399</x:v>
      </x:c>
      <x:c r="I1688" s="12" t="n">
        <x:v>0</x:v>
      </x:c>
      <x:c r="J1688" s="12" t="n">
        <x:v>1</x:v>
      </x:c>
    </x:row>
    <x:row r="1689" ht="18" customHeight="1">
      <x:c r="A1689" s="13" t="n">
        <x:v>45113</x:v>
      </x:c>
      <x:c r="B1689" s="12" t="n">
        <x:v>3842.7547</x:v>
      </x:c>
      <x:c r="C1689" s="12" t="n">
        <x:v>3868.8054</x:v>
      </x:c>
      <x:c r="D1689" s="12" t="n">
        <x:v>-0.6734</x:v>
      </x:c>
      <x:c r="E1689" s="12" t="n">
        <x:v>-0.0067562980144157386</x:v>
      </x:c>
      <x:c r="F1689" s="13" t="n">
        <x:v>45112</x:v>
      </x:c>
      <x:c r="G1689" s="12" t="n">
        <x:v>4.01</x:v>
      </x:c>
      <x:c r="H1689" s="12" t="n">
        <x:v>401</x:v>
      </x:c>
      <x:c r="I1689" s="12" t="n">
        <x:v>2</x:v>
      </x:c>
      <x:c r="J1689" s="12" t="n">
        <x:v>1</x:v>
      </x:c>
    </x:row>
    <x:row r="1690" ht="18" customHeight="1">
      <x:c r="A1690" s="13" t="n">
        <x:v>45114</x:v>
      </x:c>
      <x:c r="B1690" s="12" t="n">
        <x:v>3825.6988</x:v>
      </x:c>
      <x:c r="C1690" s="12" t="n">
        <x:v>3842.7547</x:v>
      </x:c>
      <x:c r="D1690" s="12" t="n">
        <x:v>-0.4438</x:v>
      </x:c>
      <x:c r="E1690" s="12" t="n">
        <x:v>-0.004448335801926922</x:v>
      </x:c>
      <x:c r="F1690" s="13" t="n">
        <x:v>45113</x:v>
      </x:c>
      <x:c r="G1690" s="12" t="n">
        <x:v>4.1</x:v>
      </x:c>
      <x:c r="H1690" s="12" t="n">
        <x:v>409.99999999999994</x:v>
      </x:c>
      <x:c r="I1690" s="12" t="n">
        <x:v>8.999999999999943</x:v>
      </x:c>
      <x:c r="J1690" s="12" t="n">
        <x:v>1</x:v>
      </x:c>
    </x:row>
    <x:row r="1691" ht="18" customHeight="1">
      <x:c r="A1691" s="13" t="n">
        <x:v>45117</x:v>
      </x:c>
      <x:c r="B1691" s="12" t="n">
        <x:v>3844.3269</x:v>
      </x:c>
      <x:c r="C1691" s="12" t="n">
        <x:v>3825.6988</x:v>
      </x:c>
      <x:c r="D1691" s="12" t="n">
        <x:v>0.4869</x:v>
      </x:c>
      <x:c r="E1691" s="12" t="n">
        <x:v>0.004857385712863811</x:v>
      </x:c>
      <x:c r="F1691" s="13" t="n">
        <x:v>45114</x:v>
      </x:c>
      <x:c r="G1691" s="12" t="n">
        <x:v>4.08</x:v>
      </x:c>
      <x:c r="H1691" s="12" t="n">
        <x:v>408</x:v>
      </x:c>
      <x:c r="I1691" s="12" t="n">
        <x:v>-1.9999999999999432</x:v>
      </x:c>
      <x:c r="J1691" s="12" t="n">
        <x:v>3</x:v>
      </x:c>
    </x:row>
    <x:row r="1692" ht="18" customHeight="1">
      <x:c r="A1692" s="13" t="n">
        <x:v>45118</x:v>
      </x:c>
      <x:c r="B1692" s="12" t="n">
        <x:v>3869.4861</x:v>
      </x:c>
      <x:c r="C1692" s="12" t="n">
        <x:v>3844.3269</x:v>
      </x:c>
      <x:c r="D1692" s="12" t="n">
        <x:v>0.6545</x:v>
      </x:c>
      <x:c r="E1692" s="12" t="n">
        <x:v>0.006523178411029411</x:v>
      </x:c>
      <x:c r="F1692" s="13" t="n">
        <x:v>45117</x:v>
      </x:c>
      <x:c r="G1692" s="12" t="n">
        <x:v>4.13</x:v>
      </x:c>
      <x:c r="H1692" s="12" t="n">
        <x:v>413</x:v>
      </x:c>
      <x:c r="I1692" s="12" t="n">
        <x:v>5</x:v>
      </x:c>
      <x:c r="J1692" s="12" t="n">
        <x:v>1</x:v>
      </x:c>
    </x:row>
    <x:row r="1693" ht="18" customHeight="1">
      <x:c r="A1693" s="13" t="n">
        <x:v>45119</x:v>
      </x:c>
      <x:c r="B1693" s="12" t="n">
        <x:v>3843.4369</x:v>
      </x:c>
      <x:c r="C1693" s="12" t="n">
        <x:v>3869.4861</x:v>
      </x:c>
      <x:c r="D1693" s="12" t="n">
        <x:v>-0.6732</x:v>
      </x:c>
      <x:c r="E1693" s="12" t="n">
        <x:v>-0.006754715182223218</x:v>
      </x:c>
      <x:c r="F1693" s="13" t="n">
        <x:v>45118</x:v>
      </x:c>
      <x:c r="G1693" s="12" t="n">
        <x:v>4.05</x:v>
      </x:c>
      <x:c r="H1693" s="12" t="n">
        <x:v>405</x:v>
      </x:c>
      <x:c r="I1693" s="12" t="n">
        <x:v>-8</x:v>
      </x:c>
      <x:c r="J1693" s="12" t="n">
        <x:v>1</x:v>
      </x:c>
    </x:row>
    <x:row r="1694" ht="18" customHeight="1">
      <x:c r="A1694" s="13" t="n">
        <x:v>45120</x:v>
      </x:c>
      <x:c r="B1694" s="12" t="n">
        <x:v>3898.4229</x:v>
      </x:c>
      <x:c r="C1694" s="12" t="n">
        <x:v>3843.4369</x:v>
      </x:c>
      <x:c r="D1694" s="12" t="n">
        <x:v>1.4306</x:v>
      </x:c>
      <x:c r="E1694" s="12" t="n">
        <x:v>0.014205094390380651</x:v>
      </x:c>
      <x:c r="F1694" s="13" t="n">
        <x:v>45119</x:v>
      </x:c>
      <x:c r="G1694" s="12" t="n">
        <x:v>3.95</x:v>
      </x:c>
      <x:c r="H1694" s="12" t="n">
        <x:v>395</x:v>
      </x:c>
      <x:c r="I1694" s="12" t="n">
        <x:v>-10</x:v>
      </x:c>
      <x:c r="J1694" s="12" t="n">
        <x:v>1</x:v>
      </x:c>
    </x:row>
    <x:row r="1695" ht="18" customHeight="1">
      <x:c r="A1695" s="13" t="n">
        <x:v>45121</x:v>
      </x:c>
      <x:c r="B1695" s="12" t="n">
        <x:v>3899.1027</x:v>
      </x:c>
      <x:c r="C1695" s="12" t="n">
        <x:v>3898.4229</x:v>
      </x:c>
      <x:c r="D1695" s="12" t="n">
        <x:v>0.0174</x:v>
      </x:c>
      <x:c r="E1695" s="12" t="n">
        <x:v>0.000174363006059742</x:v>
      </x:c>
      <x:c r="F1695" s="13" t="n">
        <x:v>45120</x:v>
      </x:c>
      <x:c r="G1695" s="12" t="n">
        <x:v>3.97</x:v>
      </x:c>
      <x:c r="H1695" s="12" t="n">
        <x:v>397</x:v>
      </x:c>
      <x:c r="I1695" s="12" t="n">
        <x:v>2</x:v>
      </x:c>
      <x:c r="J1695" s="12" t="n">
        <x:v>1</x:v>
      </x:c>
    </x:row>
    <x:row r="1696" ht="18" customHeight="1">
      <x:c r="A1696" s="13" t="n">
        <x:v>45124</x:v>
      </x:c>
      <x:c r="B1696" s="12" t="n">
        <x:v>3867.1749</x:v>
      </x:c>
      <x:c r="C1696" s="12" t="n">
        <x:v>3899.1027</x:v>
      </x:c>
      <x:c r="D1696" s="12" t="n">
        <x:v>-0.8188</x:v>
      </x:c>
      <x:c r="E1696" s="12" t="n">
        <x:v>-0.008222209278820985</x:v>
      </x:c>
      <x:c r="F1696" s="13" t="n">
        <x:v>45121</x:v>
      </x:c>
      <x:c r="G1696" s="12" t="n">
        <x:v>3.9</x:v>
      </x:c>
      <x:c r="H1696" s="12" t="n">
        <x:v>390</x:v>
      </x:c>
      <x:c r="I1696" s="12" t="n">
        <x:v>-7</x:v>
      </x:c>
      <x:c r="J1696" s="12" t="n">
        <x:v>3</x:v>
      </x:c>
    </x:row>
    <x:row r="1697" ht="18" customHeight="1">
      <x:c r="A1697" s="13" t="n">
        <x:v>45125</x:v>
      </x:c>
      <x:c r="B1697" s="12" t="n">
        <x:v>3854.9393</x:v>
      </x:c>
      <x:c r="C1697" s="12" t="n">
        <x:v>3867.1749</x:v>
      </x:c>
      <x:c r="D1697" s="12" t="n">
        <x:v>-0.3164</x:v>
      </x:c>
      <x:c r="E1697" s="12" t="n">
        <x:v>-0.0031689793553156373</x:v>
      </x:c>
      <x:c r="F1697" s="13" t="n">
        <x:v>45124</x:v>
      </x:c>
      <x:c r="G1697" s="12" t="n">
        <x:v>3.97</x:v>
      </x:c>
      <x:c r="H1697" s="12" t="n">
        <x:v>397</x:v>
      </x:c>
      <x:c r="I1697" s="12" t="n">
        <x:v>7</x:v>
      </x:c>
      <x:c r="J1697" s="12" t="n">
        <x:v>1</x:v>
      </x:c>
    </x:row>
    <x:row r="1698" ht="18" customHeight="1">
      <x:c r="A1698" s="13" t="n">
        <x:v>45126</x:v>
      </x:c>
      <x:c r="B1698" s="12" t="n">
        <x:v>3850.8663</x:v>
      </x:c>
      <x:c r="C1698" s="12" t="n">
        <x:v>3854.9393</x:v>
      </x:c>
      <x:c r="D1698" s="12" t="n">
        <x:v>-0.1057</x:v>
      </x:c>
      <x:c r="E1698" s="12" t="n">
        <x:v>-0.00105712513155086</x:v>
      </x:c>
      <x:c r="F1698" s="13" t="n">
        <x:v>45125</x:v>
      </x:c>
      <x:c r="G1698" s="12" t="n">
        <x:v>3.9</x:v>
      </x:c>
      <x:c r="H1698" s="12" t="n">
        <x:v>390</x:v>
      </x:c>
      <x:c r="I1698" s="12" t="n">
        <x:v>-7</x:v>
      </x:c>
      <x:c r="J1698" s="12" t="n">
        <x:v>1</x:v>
      </x:c>
    </x:row>
    <x:row r="1699" ht="18" customHeight="1">
      <x:c r="A1699" s="13" t="n">
        <x:v>45127</x:v>
      </x:c>
      <x:c r="B1699" s="12" t="n">
        <x:v>3823.6946</x:v>
      </x:c>
      <x:c r="C1699" s="12" t="n">
        <x:v>3850.8663</x:v>
      </x:c>
      <x:c r="D1699" s="12" t="n">
        <x:v>-0.7056</x:v>
      </x:c>
      <x:c r="E1699" s="12" t="n">
        <x:v>-0.007081007991962629</x:v>
      </x:c>
      <x:c r="F1699" s="13" t="n">
        <x:v>45126</x:v>
      </x:c>
      <x:c r="G1699" s="12" t="n">
        <x:v>3.89</x:v>
      </x:c>
      <x:c r="H1699" s="12" t="n">
        <x:v>389</x:v>
      </x:c>
      <x:c r="I1699" s="12" t="n">
        <x:v>-1</x:v>
      </x:c>
      <x:c r="J1699" s="12" t="n">
        <x:v>1</x:v>
      </x:c>
    </x:row>
    <x:row r="1700" ht="18" customHeight="1">
      <x:c r="A1700" s="13" t="n">
        <x:v>45128</x:v>
      </x:c>
      <x:c r="B1700" s="12" t="n">
        <x:v>3821.91</x:v>
      </x:c>
      <x:c r="C1700" s="12" t="n">
        <x:v>3823.6946</x:v>
      </x:c>
      <x:c r="D1700" s="12" t="n">
        <x:v>-0.0467</x:v>
      </x:c>
      <x:c r="E1700" s="12" t="n">
        <x:v>-0.0004668303229831912</x:v>
      </x:c>
      <x:c r="F1700" s="13" t="n">
        <x:v>45127</x:v>
      </x:c>
      <x:c r="G1700" s="12" t="n">
        <x:v>3.9</x:v>
      </x:c>
      <x:c r="H1700" s="12" t="n">
        <x:v>390</x:v>
      </x:c>
      <x:c r="I1700" s="12" t="n">
        <x:v>1</x:v>
      </x:c>
      <x:c r="J1700" s="12" t="n">
        <x:v>1</x:v>
      </x:c>
    </x:row>
    <x:row r="1701" ht="18" customHeight="1">
      <x:c r="A1701" s="13" t="n">
        <x:v>45131</x:v>
      </x:c>
      <x:c r="B1701" s="12" t="n">
        <x:v>3805.221</x:v>
      </x:c>
      <x:c r="C1701" s="12" t="n">
        <x:v>3821.91</x:v>
      </x:c>
      <x:c r="D1701" s="12" t="n">
        <x:v>-0.4367</x:v>
      </x:c>
      <x:c r="E1701" s="12" t="n">
        <x:v>-0.004376226561401382</x:v>
      </x:c>
      <x:c r="F1701" s="13" t="n">
        <x:v>45128</x:v>
      </x:c>
      <x:c r="G1701" s="12" t="n">
        <x:v>3.89</x:v>
      </x:c>
      <x:c r="H1701" s="12" t="n">
        <x:v>389</x:v>
      </x:c>
      <x:c r="I1701" s="12" t="n">
        <x:v>-1</x:v>
      </x:c>
      <x:c r="J1701" s="12" t="n">
        <x:v>3</x:v>
      </x:c>
    </x:row>
    <x:row r="1702" ht="18" customHeight="1">
      <x:c r="A1702" s="13" t="n">
        <x:v>45132</x:v>
      </x:c>
      <x:c r="B1702" s="12" t="n">
        <x:v>3915.1153</x:v>
      </x:c>
      <x:c r="C1702" s="12" t="n">
        <x:v>3805.221</x:v>
      </x:c>
      <x:c r="D1702" s="12" t="n">
        <x:v>2.888</x:v>
      </x:c>
      <x:c r="E1702" s="12" t="n">
        <x:v>0.028470708740506268</x:v>
      </x:c>
      <x:c r="F1702" s="13" t="n">
        <x:v>45131</x:v>
      </x:c>
      <x:c r="G1702" s="12" t="n">
        <x:v>3.82</x:v>
      </x:c>
      <x:c r="H1702" s="12" t="n">
        <x:v>382</x:v>
      </x:c>
      <x:c r="I1702" s="12" t="n">
        <x:v>-7</x:v>
      </x:c>
      <x:c r="J1702" s="12" t="n">
        <x:v>1</x:v>
      </x:c>
    </x:row>
    <x:row r="1703" ht="18" customHeight="1">
      <x:c r="A1703" s="13" t="n">
        <x:v>45133</x:v>
      </x:c>
      <x:c r="B1703" s="12" t="n">
        <x:v>3907.0128</x:v>
      </x:c>
      <x:c r="C1703" s="12" t="n">
        <x:v>3915.1153</x:v>
      </x:c>
      <x:c r="D1703" s="12" t="n">
        <x:v>-0.207</x:v>
      </x:c>
      <x:c r="E1703" s="12" t="n">
        <x:v>-0.002071687600697664</x:v>
      </x:c>
      <x:c r="F1703" s="13" t="n">
        <x:v>45132</x:v>
      </x:c>
      <x:c r="G1703" s="12" t="n">
        <x:v>3.84</x:v>
      </x:c>
      <x:c r="H1703" s="12" t="n">
        <x:v>384</x:v>
      </x:c>
      <x:c r="I1703" s="12" t="n">
        <x:v>2</x:v>
      </x:c>
      <x:c r="J1703" s="12" t="n">
        <x:v>1</x:v>
      </x:c>
    </x:row>
    <x:row r="1704" ht="18" customHeight="1">
      <x:c r="A1704" s="13" t="n">
        <x:v>45134</x:v>
      </x:c>
      <x:c r="B1704" s="12" t="n">
        <x:v>3902.3458</x:v>
      </x:c>
      <x:c r="C1704" s="12" t="n">
        <x:v>3907.0128</x:v>
      </x:c>
      <x:c r="D1704" s="12" t="n">
        <x:v>-0.1195</x:v>
      </x:c>
      <x:c r="E1704" s="12" t="n">
        <x:v>-0.001195232744363619</x:v>
      </x:c>
      <x:c r="F1704" s="13" t="n">
        <x:v>45133</x:v>
      </x:c>
      <x:c r="G1704" s="12" t="n">
        <x:v>3.91</x:v>
      </x:c>
      <x:c r="H1704" s="12" t="n">
        <x:v>391</x:v>
      </x:c>
      <x:c r="I1704" s="12" t="n">
        <x:v>7</x:v>
      </x:c>
      <x:c r="J1704" s="12" t="n">
        <x:v>1</x:v>
      </x:c>
    </x:row>
    <x:row r="1705" ht="18" customHeight="1">
      <x:c r="A1705" s="13" t="n">
        <x:v>45135</x:v>
      </x:c>
      <x:c r="B1705" s="12" t="n">
        <x:v>3992.7376</x:v>
      </x:c>
      <x:c r="C1705" s="12" t="n">
        <x:v>3902.3458</x:v>
      </x:c>
      <x:c r="D1705" s="12" t="n">
        <x:v>2.3163</x:v>
      </x:c>
      <x:c r="E1705" s="12" t="n">
        <x:v>0.022899251426328447</x:v>
      </x:c>
      <x:c r="F1705" s="13" t="n">
        <x:v>45134</x:v>
      </x:c>
      <x:c r="G1705" s="12" t="n">
        <x:v>3.78</x:v>
      </x:c>
      <x:c r="H1705" s="12" t="n">
        <x:v>378</x:v>
      </x:c>
      <x:c r="I1705" s="12" t="n">
        <x:v>-13</x:v>
      </x:c>
      <x:c r="J1705" s="12" t="n">
        <x:v>1</x:v>
      </x:c>
    </x:row>
    <x:row r="1706" ht="18" customHeight="1">
      <x:c r="A1706" s="13" t="n">
        <x:v>45138</x:v>
      </x:c>
      <x:c r="B1706" s="12" t="n">
        <x:v>4014.6301</x:v>
      </x:c>
      <x:c r="C1706" s="12" t="n">
        <x:v>3992.7376</x:v>
      </x:c>
      <x:c r="D1706" s="12" t="n">
        <x:v>0.5483</x:v>
      </x:c>
      <x:c r="E1706" s="12" t="n">
        <x:v>0.005468102719712426</x:v>
      </x:c>
      <x:c r="F1706" s="13" t="n">
        <x:v>45135</x:v>
      </x:c>
      <x:c r="G1706" s="12" t="n">
        <x:v>3.82</x:v>
      </x:c>
      <x:c r="H1706" s="12" t="n">
        <x:v>382</x:v>
      </x:c>
      <x:c r="I1706" s="12" t="n">
        <x:v>4</x:v>
      </x:c>
      <x:c r="J1706" s="12" t="n">
        <x:v>3</x:v>
      </x:c>
    </x:row>
    <x:row r="1707" ht="18" customHeight="1">
      <x:c r="A1707" s="13" t="n">
        <x:v>45139</x:v>
      </x:c>
      <x:c r="B1707" s="12" t="n">
        <x:v>3998.001</x:v>
      </x:c>
      <x:c r="C1707" s="12" t="n">
        <x:v>4014.6301</x:v>
      </x:c>
      <x:c r="D1707" s="12" t="n">
        <x:v>-0.4142</x:v>
      </x:c>
      <x:c r="E1707" s="12" t="n">
        <x:v>-0.004150727436979688</x:v>
      </x:c>
      <x:c r="F1707" s="13" t="n">
        <x:v>45138</x:v>
      </x:c>
      <x:c r="G1707" s="12" t="n">
        <x:v>3.79</x:v>
      </x:c>
      <x:c r="H1707" s="12" t="n">
        <x:v>379</x:v>
      </x:c>
      <x:c r="I1707" s="12" t="n">
        <x:v>-3</x:v>
      </x:c>
      <x:c r="J1707" s="12" t="n">
        <x:v>1</x:v>
      </x:c>
    </x:row>
    <x:row r="1708" ht="18" customHeight="1">
      <x:c r="A1708" s="13" t="n">
        <x:v>45140</x:v>
      </x:c>
      <x:c r="B1708" s="12" t="n">
        <x:v>3969.895</x:v>
      </x:c>
      <x:c r="C1708" s="12" t="n">
        <x:v>3998.001</x:v>
      </x:c>
      <x:c r="D1708" s="12" t="n">
        <x:v>-0.703</x:v>
      </x:c>
      <x:c r="E1708" s="12" t="n">
        <x:v>-0.00705484021662513</x:v>
      </x:c>
      <x:c r="F1708" s="13" t="n">
        <x:v>45139</x:v>
      </x:c>
      <x:c r="G1708" s="12" t="n">
        <x:v>3.82</x:v>
      </x:c>
      <x:c r="H1708" s="12" t="n">
        <x:v>382</x:v>
      </x:c>
      <x:c r="I1708" s="12" t="n">
        <x:v>3</x:v>
      </x:c>
      <x:c r="J1708" s="12" t="n">
        <x:v>1</x:v>
      </x:c>
    </x:row>
    <x:row r="1709" ht="18" customHeight="1">
      <x:c r="A1709" s="13" t="n">
        <x:v>45141</x:v>
      </x:c>
      <x:c r="B1709" s="12" t="n">
        <x:v>4004.9839</x:v>
      </x:c>
      <x:c r="C1709" s="12" t="n">
        <x:v>3969.895</x:v>
      </x:c>
      <x:c r="D1709" s="12" t="n">
        <x:v>0.8839</x:v>
      </x:c>
      <x:c r="E1709" s="12" t="n">
        <x:v>0.008799914550596713</x:v>
      </x:c>
      <x:c r="F1709" s="13" t="n">
        <x:v>45140</x:v>
      </x:c>
      <x:c r="G1709" s="12" t="n">
        <x:v>3.96</x:v>
      </x:c>
      <x:c r="H1709" s="12" t="n">
        <x:v>396</x:v>
      </x:c>
      <x:c r="I1709" s="12" t="n">
        <x:v>14</x:v>
      </x:c>
      <x:c r="J1709" s="12" t="n">
        <x:v>1</x:v>
      </x:c>
    </x:row>
    <x:row r="1710" ht="18" customHeight="1">
      <x:c r="A1710" s="13" t="n">
        <x:v>45142</x:v>
      </x:c>
      <x:c r="B1710" s="12" t="n">
        <x:v>4020.5792</x:v>
      </x:c>
      <x:c r="C1710" s="12" t="n">
        <x:v>4004.9839</x:v>
      </x:c>
      <x:c r="D1710" s="12" t="n">
        <x:v>0.3894</x:v>
      </x:c>
      <x:c r="E1710" s="12" t="n">
        <x:v>0.0038864113172395994</x:v>
      </x:c>
      <x:c r="F1710" s="13" t="n">
        <x:v>45141</x:v>
      </x:c>
      <x:c r="G1710" s="12" t="n">
        <x:v>3.98</x:v>
      </x:c>
      <x:c r="H1710" s="12" t="n">
        <x:v>398</x:v>
      </x:c>
      <x:c r="I1710" s="12" t="n">
        <x:v>2</x:v>
      </x:c>
      <x:c r="J1710" s="12" t="n">
        <x:v>1</x:v>
      </x:c>
    </x:row>
    <x:row r="1711" ht="18" customHeight="1">
      <x:c r="A1711" s="13" t="n">
        <x:v>45145</x:v>
      </x:c>
      <x:c r="B1711" s="12" t="n">
        <x:v>3990.1531</x:v>
      </x:c>
      <x:c r="C1711" s="12" t="n">
        <x:v>4020.5792</x:v>
      </x:c>
      <x:c r="D1711" s="12" t="n">
        <x:v>-0.7568</x:v>
      </x:c>
      <x:c r="E1711" s="12" t="n">
        <x:v>-0.00759637076150556</x:v>
      </x:c>
      <x:c r="F1711" s="13" t="n">
        <x:v>45142</x:v>
      </x:c>
      <x:c r="G1711" s="12" t="n">
        <x:v>4.01</x:v>
      </x:c>
      <x:c r="H1711" s="12" t="n">
        <x:v>401</x:v>
      </x:c>
      <x:c r="I1711" s="12" t="n">
        <x:v>3</x:v>
      </x:c>
      <x:c r="J1711" s="12" t="n">
        <x:v>3</x:v>
      </x:c>
    </x:row>
    <x:row r="1712" ht="18" customHeight="1">
      <x:c r="A1712" s="13" t="n">
        <x:v>45146</x:v>
      </x:c>
      <x:c r="B1712" s="12" t="n">
        <x:v>3979.7322</x:v>
      </x:c>
      <x:c r="C1712" s="12" t="n">
        <x:v>3990.1531</x:v>
      </x:c>
      <x:c r="D1712" s="12" t="n">
        <x:v>-0.2612</x:v>
      </x:c>
      <x:c r="E1712" s="12" t="n">
        <x:v>-0.002615070492593251</x:v>
      </x:c>
      <x:c r="F1712" s="13" t="n">
        <x:v>45145</x:v>
      </x:c>
      <x:c r="G1712" s="12" t="n">
        <x:v>3.97</x:v>
      </x:c>
      <x:c r="H1712" s="12" t="n">
        <x:v>397</x:v>
      </x:c>
      <x:c r="I1712" s="12" t="n">
        <x:v>-4</x:v>
      </x:c>
      <x:c r="J1712" s="12" t="n">
        <x:v>1</x:v>
      </x:c>
    </x:row>
    <x:row r="1713" ht="18" customHeight="1">
      <x:c r="A1713" s="13" t="n">
        <x:v>45147</x:v>
      </x:c>
      <x:c r="B1713" s="12" t="n">
        <x:v>3967.5652</x:v>
      </x:c>
      <x:c r="C1713" s="12" t="n">
        <x:v>3979.7322</x:v>
      </x:c>
      <x:c r="D1713" s="12" t="n">
        <x:v>-0.3057</x:v>
      </x:c>
      <x:c r="E1713" s="12" t="n">
        <x:v>-0.0030619237945844866</x:v>
      </x:c>
      <x:c r="F1713" s="13" t="n">
        <x:v>45146</x:v>
      </x:c>
      <x:c r="G1713" s="12" t="n">
        <x:v>4</x:v>
      </x:c>
      <x:c r="H1713" s="12" t="n">
        <x:v>400</x:v>
      </x:c>
      <x:c r="I1713" s="12" t="n">
        <x:v>3</x:v>
      </x:c>
      <x:c r="J1713" s="12" t="n">
        <x:v>1</x:v>
      </x:c>
    </x:row>
    <x:row r="1714" ht="18" customHeight="1">
      <x:c r="A1714" s="13" t="n">
        <x:v>45148</x:v>
      </x:c>
      <x:c r="B1714" s="12" t="n">
        <x:v>3975.7166</x:v>
      </x:c>
      <x:c r="C1714" s="12" t="n">
        <x:v>3967.5652</x:v>
      </x:c>
      <x:c r="D1714" s="12" t="n">
        <x:v>0.2055</x:v>
      </x:c>
      <x:c r="E1714" s="12" t="n">
        <x:v>0.0020524017821905416</x:v>
      </x:c>
      <x:c r="F1714" s="13" t="n">
        <x:v>45147</x:v>
      </x:c>
      <x:c r="G1714" s="12" t="n">
        <x:v>3.94</x:v>
      </x:c>
      <x:c r="H1714" s="12" t="n">
        <x:v>394</x:v>
      </x:c>
      <x:c r="I1714" s="12" t="n">
        <x:v>-6</x:v>
      </x:c>
      <x:c r="J1714" s="12" t="n">
        <x:v>1</x:v>
      </x:c>
    </x:row>
    <x:row r="1715" ht="18" customHeight="1">
      <x:c r="A1715" s="13" t="n">
        <x:v>45149</x:v>
      </x:c>
      <x:c r="B1715" s="12" t="n">
        <x:v>3884.2538</x:v>
      </x:c>
      <x:c r="C1715" s="12" t="n">
        <x:v>3975.7166</x:v>
      </x:c>
      <x:c r="D1715" s="12" t="n">
        <x:v>-2.3005</x:v>
      </x:c>
      <x:c r="E1715" s="12" t="n">
        <x:v>-0.023274115288622166</x:v>
      </x:c>
      <x:c r="F1715" s="13" t="n">
        <x:v>45148</x:v>
      </x:c>
      <x:c r="G1715" s="12" t="n">
        <x:v>3.83</x:v>
      </x:c>
      <x:c r="H1715" s="12" t="n">
        <x:v>383</x:v>
      </x:c>
      <x:c r="I1715" s="12" t="n">
        <x:v>-11</x:v>
      </x:c>
      <x:c r="J1715" s="12" t="n">
        <x:v>1</x:v>
      </x:c>
    </x:row>
    <x:row r="1716" ht="18" customHeight="1">
      <x:c r="A1716" s="13" t="n">
        <x:v>45152</x:v>
      </x:c>
      <x:c r="B1716" s="12" t="n">
        <x:v>3855.9061</x:v>
      </x:c>
      <x:c r="C1716" s="12" t="n">
        <x:v>3884.2538</x:v>
      </x:c>
      <x:c r="D1716" s="12" t="n">
        <x:v>-0.7298</x:v>
      </x:c>
      <x:c r="E1716" s="12" t="n">
        <x:v>-0.007324868507294283</x:v>
      </x:c>
      <x:c r="F1716" s="13" t="n">
        <x:v>45149</x:v>
      </x:c>
      <x:c r="G1716" s="12" t="n">
        <x:v>3.83</x:v>
      </x:c>
      <x:c r="H1716" s="12" t="n">
        <x:v>383</x:v>
      </x:c>
      <x:c r="I1716" s="12" t="n">
        <x:v>0</x:v>
      </x:c>
      <x:c r="J1716" s="12" t="n">
        <x:v>3</x:v>
      </x:c>
    </x:row>
    <x:row r="1717" ht="18" customHeight="1">
      <x:c r="A1717" s="13" t="n">
        <x:v>45153</x:v>
      </x:c>
      <x:c r="B1717" s="12" t="n">
        <x:v>3846.5357</x:v>
      </x:c>
      <x:c r="C1717" s="12" t="n">
        <x:v>3855.9061</x:v>
      </x:c>
      <x:c r="D1717" s="12" t="n">
        <x:v>-0.243</x:v>
      </x:c>
      <x:c r="E1717" s="12" t="n">
        <x:v>-0.002433099753563938</x:v>
      </x:c>
      <x:c r="F1717" s="13" t="n">
        <x:v>45152</x:v>
      </x:c>
      <x:c r="G1717" s="12" t="n">
        <x:v>3.79</x:v>
      </x:c>
      <x:c r="H1717" s="12" t="n">
        <x:v>379</x:v>
      </x:c>
      <x:c r="I1717" s="12" t="n">
        <x:v>-4</x:v>
      </x:c>
      <x:c r="J1717" s="12" t="n">
        <x:v>1</x:v>
      </x:c>
    </x:row>
    <x:row r="1718" ht="18" customHeight="1">
      <x:c r="A1718" s="13" t="n">
        <x:v>45154</x:v>
      </x:c>
      <x:c r="B1718" s="12" t="n">
        <x:v>3818.3338</x:v>
      </x:c>
      <x:c r="C1718" s="12" t="n">
        <x:v>3846.5357</x:v>
      </x:c>
      <x:c r="D1718" s="12" t="n">
        <x:v>-0.7332</x:v>
      </x:c>
      <x:c r="E1718" s="12" t="n">
        <x:v>-0.007358775583763774</x:v>
      </x:c>
      <x:c r="F1718" s="13" t="n">
        <x:v>45153</x:v>
      </x:c>
      <x:c r="G1718" s="12" t="n">
        <x:v>3.85</x:v>
      </x:c>
      <x:c r="H1718" s="12" t="n">
        <x:v>385</x:v>
      </x:c>
      <x:c r="I1718" s="12" t="n">
        <x:v>6</x:v>
      </x:c>
      <x:c r="J1718" s="12" t="n">
        <x:v>1</x:v>
      </x:c>
    </x:row>
    <x:row r="1719" ht="18" customHeight="1">
      <x:c r="A1719" s="13" t="n">
        <x:v>45155</x:v>
      </x:c>
      <x:c r="B1719" s="12" t="n">
        <x:v>3831.1008</x:v>
      </x:c>
      <x:c r="C1719" s="12" t="n">
        <x:v>3818.3338</x:v>
      </x:c>
      <x:c r="D1719" s="12" t="n">
        <x:v>0.3344</x:v>
      </x:c>
      <x:c r="E1719" s="12" t="n">
        <x:v>0.003338027585623975</x:v>
      </x:c>
      <x:c r="F1719" s="13" t="n">
        <x:v>45154</x:v>
      </x:c>
      <x:c r="G1719" s="12" t="n">
        <x:v>3.81</x:v>
      </x:c>
      <x:c r="H1719" s="12" t="n">
        <x:v>381</x:v>
      </x:c>
      <x:c r="I1719" s="12" t="n">
        <x:v>-4</x:v>
      </x:c>
      <x:c r="J1719" s="12" t="n">
        <x:v>1</x:v>
      </x:c>
    </x:row>
    <x:row r="1720" ht="18" customHeight="1">
      <x:c r="A1720" s="13" t="n">
        <x:v>45156</x:v>
      </x:c>
      <x:c r="B1720" s="12" t="n">
        <x:v>3784.0038</x:v>
      </x:c>
      <x:c r="C1720" s="12" t="n">
        <x:v>3831.1008</x:v>
      </x:c>
      <x:c r="D1720" s="12" t="n">
        <x:v>-1.2293</x:v>
      </x:c>
      <x:c r="E1720" s="12" t="n">
        <x:v>-0.012369521622880495</x:v>
      </x:c>
      <x:c r="F1720" s="13" t="n">
        <x:v>45155</x:v>
      </x:c>
      <x:c r="G1720" s="12" t="n">
        <x:v>3.95</x:v>
      </x:c>
      <x:c r="H1720" s="12" t="n">
        <x:v>395</x:v>
      </x:c>
      <x:c r="I1720" s="12" t="n">
        <x:v>14</x:v>
      </x:c>
      <x:c r="J1720" s="12" t="n">
        <x:v>1</x:v>
      </x:c>
    </x:row>
    <x:row r="1721" ht="18" customHeight="1">
      <x:c r="A1721" s="13" t="n">
        <x:v>45159</x:v>
      </x:c>
      <x:c r="B1721" s="12" t="n">
        <x:v>3729.555</x:v>
      </x:c>
      <x:c r="C1721" s="12" t="n">
        <x:v>3784.0038</x:v>
      </x:c>
      <x:c r="D1721" s="12" t="n">
        <x:v>-1.4389</x:v>
      </x:c>
      <x:c r="E1721" s="12" t="n">
        <x:v>-0.014493731827957879</x:v>
      </x:c>
      <x:c r="F1721" s="13" t="n">
        <x:v>45156</x:v>
      </x:c>
      <x:c r="G1721" s="12" t="n">
        <x:v>4.02</x:v>
      </x:c>
      <x:c r="H1721" s="12" t="n">
        <x:v>401.99999999999994</x:v>
      </x:c>
      <x:c r="I1721" s="12" t="n">
        <x:v>6.999999999999943</x:v>
      </x:c>
      <x:c r="J1721" s="12" t="n">
        <x:v>3</x:v>
      </x:c>
    </x:row>
    <x:row r="1722" ht="18" customHeight="1">
      <x:c r="A1722" s="13" t="n">
        <x:v>45160</x:v>
      </x:c>
      <x:c r="B1722" s="12" t="n">
        <x:v>3758.2271</x:v>
      </x:c>
      <x:c r="C1722" s="12" t="n">
        <x:v>3729.555</x:v>
      </x:c>
      <x:c r="D1722" s="12" t="n">
        <x:v>0.7688</x:v>
      </x:c>
      <x:c r="E1722" s="12" t="n">
        <x:v>0.007658406656251673</x:v>
      </x:c>
      <x:c r="F1722" s="13" t="n">
        <x:v>45159</x:v>
      </x:c>
      <x:c r="G1722" s="12" t="n">
        <x:v>3.97</x:v>
      </x:c>
      <x:c r="H1722" s="12" t="n">
        <x:v>397</x:v>
      </x:c>
      <x:c r="I1722" s="12" t="n">
        <x:v>-4.999999999999943</x:v>
      </x:c>
      <x:c r="J1722" s="12" t="n">
        <x:v>1</x:v>
      </x:c>
    </x:row>
    <x:row r="1723" ht="18" customHeight="1">
      <x:c r="A1723" s="13" t="n">
        <x:v>45161</x:v>
      </x:c>
      <x:c r="B1723" s="12" t="n">
        <x:v>3696.6339</x:v>
      </x:c>
      <x:c r="C1723" s="12" t="n">
        <x:v>3758.2271</x:v>
      </x:c>
      <x:c r="D1723" s="12" t="n">
        <x:v>-1.6389</x:v>
      </x:c>
      <x:c r="E1723" s="12" t="n">
        <x:v>-0.016524681432167936</x:v>
      </x:c>
      <x:c r="F1723" s="13" t="n">
        <x:v>45160</x:v>
      </x:c>
      <x:c r="G1723" s="12" t="n">
        <x:v>3.93</x:v>
      </x:c>
      <x:c r="H1723" s="12" t="n">
        <x:v>393</x:v>
      </x:c>
      <x:c r="I1723" s="12" t="n">
        <x:v>-4</x:v>
      </x:c>
      <x:c r="J1723" s="12" t="n">
        <x:v>1</x:v>
      </x:c>
    </x:row>
    <x:row r="1724" ht="18" customHeight="1">
      <x:c r="A1724" s="13" t="n">
        <x:v>45162</x:v>
      </x:c>
      <x:c r="B1724" s="12" t="n">
        <x:v>3723.4293</x:v>
      </x:c>
      <x:c r="C1724" s="12" t="n">
        <x:v>3696.6339</x:v>
      </x:c>
      <x:c r="D1724" s="12" t="n">
        <x:v>0.7249</x:v>
      </x:c>
      <x:c r="E1724" s="12" t="n">
        <x:v>0.007222449662964919</x:v>
      </x:c>
      <x:c r="F1724" s="13" t="n">
        <x:v>45161</x:v>
      </x:c>
      <x:c r="G1724" s="12" t="n">
        <x:v>3.92</x:v>
      </x:c>
      <x:c r="H1724" s="12" t="n">
        <x:v>392</x:v>
      </x:c>
      <x:c r="I1724" s="12" t="n">
        <x:v>-1</x:v>
      </x:c>
      <x:c r="J1724" s="12" t="n">
        <x:v>1</x:v>
      </x:c>
    </x:row>
    <x:row r="1725" ht="18" customHeight="1">
      <x:c r="A1725" s="13" t="n">
        <x:v>45163</x:v>
      </x:c>
      <x:c r="B1725" s="12" t="n">
        <x:v>3709.1517</x:v>
      </x:c>
      <x:c r="C1725" s="12" t="n">
        <x:v>3723.4293</x:v>
      </x:c>
      <x:c r="D1725" s="12" t="n">
        <x:v>-0.3835</x:v>
      </x:c>
      <x:c r="E1725" s="12" t="n">
        <x:v>-0.0038419002932303134</x:v>
      </x:c>
      <x:c r="F1725" s="13" t="n">
        <x:v>45162</x:v>
      </x:c>
      <x:c r="G1725" s="12" t="n">
        <x:v>3.91</x:v>
      </x:c>
      <x:c r="H1725" s="12" t="n">
        <x:v>391</x:v>
      </x:c>
      <x:c r="I1725" s="12" t="n">
        <x:v>-1</x:v>
      </x:c>
      <x:c r="J1725" s="12" t="n">
        <x:v>1</x:v>
      </x:c>
    </x:row>
    <x:row r="1726" ht="18" customHeight="1">
      <x:c r="A1726" s="13" t="n">
        <x:v>45166</x:v>
      </x:c>
      <x:c r="B1726" s="12" t="n">
        <x:v>3752.6194</x:v>
      </x:c>
      <x:c r="C1726" s="12" t="n">
        <x:v>3709.1517</x:v>
      </x:c>
      <x:c r="D1726" s="12" t="n">
        <x:v>1.1719</x:v>
      </x:c>
      <x:c r="E1726" s="12" t="n">
        <x:v>0.011650904623430016</x:v>
      </x:c>
      <x:c r="F1726" s="13" t="n">
        <x:v>45163</x:v>
      </x:c>
      <x:c r="G1726" s="12" t="n">
        <x:v>3.9</x:v>
      </x:c>
      <x:c r="H1726" s="12" t="n">
        <x:v>390</x:v>
      </x:c>
      <x:c r="I1726" s="12" t="n">
        <x:v>-1</x:v>
      </x:c>
      <x:c r="J1726" s="12" t="n">
        <x:v>3</x:v>
      </x:c>
    </x:row>
    <x:row r="1727" ht="18" customHeight="1">
      <x:c r="A1727" s="13" t="n">
        <x:v>45167</x:v>
      </x:c>
      <x:c r="B1727" s="12" t="n">
        <x:v>3790.1067</x:v>
      </x:c>
      <x:c r="C1727" s="12" t="n">
        <x:v>3752.6194</x:v>
      </x:c>
      <x:c r="D1727" s="12" t="n">
        <x:v>0.999</x:v>
      </x:c>
      <x:c r="E1727" s="12" t="n">
        <x:v>0.009940068925598318</x:v>
      </x:c>
      <x:c r="F1727" s="13" t="n">
        <x:v>45166</x:v>
      </x:c>
      <x:c r="G1727" s="12" t="n">
        <x:v>3.86</x:v>
      </x:c>
      <x:c r="H1727" s="12" t="n">
        <x:v>386</x:v>
      </x:c>
      <x:c r="I1727" s="12" t="n">
        <x:v>-4</x:v>
      </x:c>
      <x:c r="J1727" s="12" t="n">
        <x:v>1</x:v>
      </x:c>
    </x:row>
    <x:row r="1728" ht="18" customHeight="1">
      <x:c r="A1728" s="13" t="n">
        <x:v>45168</x:v>
      </x:c>
      <x:c r="B1728" s="12" t="n">
        <x:v>3788.5097</x:v>
      </x:c>
      <x:c r="C1728" s="12" t="n">
        <x:v>3790.1067</x:v>
      </x:c>
      <x:c r="D1728" s="12" t="n">
        <x:v>-0.0421</x:v>
      </x:c>
      <x:c r="E1728" s="12" t="n">
        <x:v>-0.0004214489662355312</x:v>
      </x:c>
      <x:c r="F1728" s="13" t="n">
        <x:v>45167</x:v>
      </x:c>
      <x:c r="G1728" s="12" t="n">
        <x:v>3.87</x:v>
      </x:c>
      <x:c r="H1728" s="12" t="n">
        <x:v>387</x:v>
      </x:c>
      <x:c r="I1728" s="12" t="n">
        <x:v>1</x:v>
      </x:c>
      <x:c r="J1728" s="12" t="n">
        <x:v>1</x:v>
      </x:c>
    </x:row>
    <x:row r="1729" ht="18" customHeight="1">
      <x:c r="A1729" s="13" t="n">
        <x:v>45169</x:v>
      </x:c>
      <x:c r="B1729" s="12" t="n">
        <x:v>3765.2678</x:v>
      </x:c>
      <x:c r="C1729" s="12" t="n">
        <x:v>3788.5097</x:v>
      </x:c>
      <x:c r="D1729" s="12" t="n">
        <x:v>-0.6135</x:v>
      </x:c>
      <x:c r="E1729" s="12" t="n">
        <x:v>-0.006153735225727366</x:v>
      </x:c>
      <x:c r="F1729" s="13" t="n">
        <x:v>45168</x:v>
      </x:c>
      <x:c r="G1729" s="12" t="n">
        <x:v>3.8</x:v>
      </x:c>
      <x:c r="H1729" s="12" t="n">
        <x:v>380</x:v>
      </x:c>
      <x:c r="I1729" s="12" t="n">
        <x:v>-7</x:v>
      </x:c>
      <x:c r="J1729" s="12" t="n">
        <x:v>1</x:v>
      </x:c>
    </x:row>
    <x:row r="1730" ht="18" customHeight="1">
      <x:c r="A1730" s="13" t="n">
        <x:v>45170</x:v>
      </x:c>
      <x:c r="B1730" s="12" t="n">
        <x:v>3791.4912</x:v>
      </x:c>
      <x:c r="C1730" s="12" t="n">
        <x:v>3765.2678</x:v>
      </x:c>
      <x:c r="D1730" s="12" t="n">
        <x:v>0.6965</x:v>
      </x:c>
      <x:c r="E1730" s="12" t="n">
        <x:v>0.006940410634633973</x:v>
      </x:c>
      <x:c r="F1730" s="13" t="n">
        <x:v>45169</x:v>
      </x:c>
      <x:c r="G1730" s="12" t="n">
        <x:v>3.85</x:v>
      </x:c>
      <x:c r="H1730" s="12" t="n">
        <x:v>385</x:v>
      </x:c>
      <x:c r="I1730" s="12" t="n">
        <x:v>5</x:v>
      </x:c>
      <x:c r="J1730" s="12" t="n">
        <x:v>1</x:v>
      </x:c>
    </x:row>
    <x:row r="1731" ht="18" customHeight="1">
      <x:c r="A1731" s="13" t="n">
        <x:v>45173</x:v>
      </x:c>
      <x:c r="B1731" s="12" t="n">
        <x:v>3848.9517</x:v>
      </x:c>
      <x:c r="C1731" s="12" t="n">
        <x:v>3791.4912</x:v>
      </x:c>
      <x:c r="D1731" s="12" t="n">
        <x:v>1.5155</x:v>
      </x:c>
      <x:c r="E1731" s="12" t="n">
        <x:v>0.015041427333904046</x:v>
      </x:c>
      <x:c r="F1731" s="13" t="n">
        <x:v>45170</x:v>
      </x:c>
      <x:c r="G1731" s="12" t="n">
        <x:v>3.81</x:v>
      </x:c>
      <x:c r="H1731" s="12" t="n">
        <x:v>381</x:v>
      </x:c>
      <x:c r="I1731" s="12" t="n">
        <x:v>-4</x:v>
      </x:c>
      <x:c r="J1731" s="12" t="n">
        <x:v>3</x:v>
      </x:c>
    </x:row>
    <x:row r="1732" ht="18" customHeight="1">
      <x:c r="A1732" s="13" t="n">
        <x:v>45174</x:v>
      </x:c>
      <x:c r="B1732" s="12" t="n">
        <x:v>3820.3174</x:v>
      </x:c>
      <x:c r="C1732" s="12" t="n">
        <x:v>3848.9517</x:v>
      </x:c>
      <x:c r="D1732" s="12" t="n">
        <x:v>-0.744</x:v>
      </x:c>
      <x:c r="E1732" s="12" t="n">
        <x:v>-0.0074673173369024385</x:v>
      </x:c>
      <x:c r="F1732" s="13" t="n">
        <x:v>45173</x:v>
      </x:c>
      <x:c r="G1732" s="12" t="n">
        <x:v>3.81</x:v>
      </x:c>
      <x:c r="H1732" s="12" t="n">
        <x:v>381</x:v>
      </x:c>
      <x:c r="I1732" s="12" t="n">
        <x:v>0</x:v>
      </x:c>
      <x:c r="J1732" s="12" t="n">
        <x:v>1</x:v>
      </x:c>
    </x:row>
    <x:row r="1733" ht="18" customHeight="1">
      <x:c r="A1733" s="13" t="n">
        <x:v>45175</x:v>
      </x:c>
      <x:c r="B1733" s="12" t="n">
        <x:v>3812.0283</x:v>
      </x:c>
      <x:c r="C1733" s="12" t="n">
        <x:v>3820.3174</x:v>
      </x:c>
      <x:c r="D1733" s="12" t="n">
        <x:v>-0.217</x:v>
      </x:c>
      <x:c r="E1733" s="12" t="n">
        <x:v>-0.0021720984831716575</x:v>
      </x:c>
      <x:c r="F1733" s="13" t="n">
        <x:v>45174</x:v>
      </x:c>
      <x:c r="G1733" s="12" t="n">
        <x:v>3.83</x:v>
      </x:c>
      <x:c r="H1733" s="12" t="n">
        <x:v>383</x:v>
      </x:c>
      <x:c r="I1733" s="12" t="n">
        <x:v>2</x:v>
      </x:c>
      <x:c r="J1733" s="12" t="n">
        <x:v>1</x:v>
      </x:c>
    </x:row>
    <x:row r="1734" ht="18" customHeight="1">
      <x:c r="A1734" s="13" t="n">
        <x:v>45176</x:v>
      </x:c>
      <x:c r="B1734" s="12" t="n">
        <x:v>3758.4748</x:v>
      </x:c>
      <x:c r="C1734" s="12" t="n">
        <x:v>3812.0283</x:v>
      </x:c>
      <x:c r="D1734" s="12" t="n">
        <x:v>-1.4049</x:v>
      </x:c>
      <x:c r="E1734" s="12" t="n">
        <x:v>-0.014148172878386153</x:v>
      </x:c>
      <x:c r="F1734" s="13" t="n">
        <x:v>45175</x:v>
      </x:c>
      <x:c r="G1734" s="12" t="n">
        <x:v>3.86</x:v>
      </x:c>
      <x:c r="H1734" s="12" t="n">
        <x:v>386</x:v>
      </x:c>
      <x:c r="I1734" s="12" t="n">
        <x:v>3</x:v>
      </x:c>
      <x:c r="J1734" s="12" t="n">
        <x:v>1</x:v>
      </x:c>
    </x:row>
    <x:row r="1735" ht="18" customHeight="1">
      <x:c r="A1735" s="13" t="n">
        <x:v>45177</x:v>
      </x:c>
      <x:c r="B1735" s="12" t="n">
        <x:v>3739.9927</x:v>
      </x:c>
      <x:c r="C1735" s="12" t="n">
        <x:v>3758.4748</x:v>
      </x:c>
      <x:c r="D1735" s="12" t="n">
        <x:v>-0.4917</x:v>
      </x:c>
      <x:c r="E1735" s="12" t="n">
        <x:v>-0.004929577257583552</x:v>
      </x:c>
      <x:c r="F1735" s="13" t="n">
        <x:v>45176</x:v>
      </x:c>
      <x:c r="G1735" s="12" t="n">
        <x:v>3.9</x:v>
      </x:c>
      <x:c r="H1735" s="12" t="n">
        <x:v>390</x:v>
      </x:c>
      <x:c r="I1735" s="12" t="n">
        <x:v>4</x:v>
      </x:c>
      <x:c r="J1735" s="12" t="n">
        <x:v>1</x:v>
      </x:c>
    </x:row>
    <x:row r="1736" ht="18" customHeight="1">
      <x:c r="A1736" s="13" t="n">
        <x:v>45180</x:v>
      </x:c>
      <x:c r="B1736" s="12" t="n">
        <x:v>3767.537</x:v>
      </x:c>
      <x:c r="C1736" s="12" t="n">
        <x:v>3739.9927</x:v>
      </x:c>
      <x:c r="D1736" s="12" t="n">
        <x:v>0.7365</x:v>
      </x:c>
      <x:c r="E1736" s="12" t="n">
        <x:v>0.007337812753509666</x:v>
      </x:c>
      <x:c r="F1736" s="13" t="n">
        <x:v>45177</x:v>
      </x:c>
      <x:c r="G1736" s="12" t="n">
        <x:v>3.85</x:v>
      </x:c>
      <x:c r="H1736" s="12" t="n">
        <x:v>385</x:v>
      </x:c>
      <x:c r="I1736" s="12" t="n">
        <x:v>-5</x:v>
      </x:c>
      <x:c r="J1736" s="12" t="n">
        <x:v>3</x:v>
      </x:c>
    </x:row>
    <x:row r="1737" ht="18" customHeight="1">
      <x:c r="A1737" s="13" t="n">
        <x:v>45181</x:v>
      </x:c>
      <x:c r="B1737" s="12" t="n">
        <x:v>3760.6048</x:v>
      </x:c>
      <x:c r="C1737" s="12" t="n">
        <x:v>3767.537</x:v>
      </x:c>
      <x:c r="D1737" s="12" t="n">
        <x:v>-0.184</x:v>
      </x:c>
      <x:c r="E1737" s="12" t="n">
        <x:v>-0.001841676775899936</x:v>
      </x:c>
      <x:c r="F1737" s="13" t="n">
        <x:v>45180</x:v>
      </x:c>
      <x:c r="G1737" s="12" t="n">
        <x:v>3.82</x:v>
      </x:c>
      <x:c r="H1737" s="12" t="n">
        <x:v>382</x:v>
      </x:c>
      <x:c r="I1737" s="12" t="n">
        <x:v>-3</x:v>
      </x:c>
      <x:c r="J1737" s="12" t="n">
        <x:v>1</x:v>
      </x:c>
    </x:row>
    <x:row r="1738" ht="18" customHeight="1">
      <x:c r="A1738" s="13" t="n">
        <x:v>45182</x:v>
      </x:c>
      <x:c r="B1738" s="12" t="n">
        <x:v>3736.6513</x:v>
      </x:c>
      <x:c r="C1738" s="12" t="n">
        <x:v>3760.6048</x:v>
      </x:c>
      <x:c r="D1738" s="12" t="n">
        <x:v>-0.637</x:v>
      </x:c>
      <x:c r="E1738" s="12" t="n">
        <x:v>-0.006389959522627915</x:v>
      </x:c>
      <x:c r="F1738" s="13" t="n">
        <x:v>45181</x:v>
      </x:c>
      <x:c r="G1738" s="12" t="n">
        <x:v>3.84</x:v>
      </x:c>
      <x:c r="H1738" s="12" t="n">
        <x:v>384</x:v>
      </x:c>
      <x:c r="I1738" s="12" t="n">
        <x:v>2</x:v>
      </x:c>
      <x:c r="J1738" s="12" t="n">
        <x:v>1</x:v>
      </x:c>
    </x:row>
    <x:row r="1739" ht="18" customHeight="1">
      <x:c r="A1739" s="13" t="n">
        <x:v>45183</x:v>
      </x:c>
      <x:c r="B1739" s="12" t="n">
        <x:v>3733.5077</x:v>
      </x:c>
      <x:c r="C1739" s="12" t="n">
        <x:v>3736.6513</x:v>
      </x:c>
      <x:c r="D1739" s="12" t="n">
        <x:v>-0.0841</x:v>
      </x:c>
      <x:c r="E1739" s="12" t="n">
        <x:v>-0.0008416421084389641</x:v>
      </x:c>
      <x:c r="F1739" s="13" t="n">
        <x:v>45182</x:v>
      </x:c>
      <x:c r="G1739" s="12" t="n">
        <x:v>3.85</x:v>
      </x:c>
      <x:c r="H1739" s="12" t="n">
        <x:v>385</x:v>
      </x:c>
      <x:c r="I1739" s="12" t="n">
        <x:v>1</x:v>
      </x:c>
      <x:c r="J1739" s="12" t="n">
        <x:v>1</x:v>
      </x:c>
    </x:row>
    <x:row r="1740" ht="18" customHeight="1">
      <x:c r="A1740" s="13" t="n">
        <x:v>45184</x:v>
      </x:c>
      <x:c r="B1740" s="12" t="n">
        <x:v>3708.7766</x:v>
      </x:c>
      <x:c r="C1740" s="12" t="n">
        <x:v>3733.5077</x:v>
      </x:c>
      <x:c r="D1740" s="12" t="n">
        <x:v>-0.6624</x:v>
      </x:c>
      <x:c r="E1740" s="12" t="n">
        <x:v>-0.0066461290744070055</x:v>
      </x:c>
      <x:c r="F1740" s="13" t="n">
        <x:v>45183</x:v>
      </x:c>
      <x:c r="G1740" s="12" t="n">
        <x:v>3.78</x:v>
      </x:c>
      <x:c r="H1740" s="12" t="n">
        <x:v>378</x:v>
      </x:c>
      <x:c r="I1740" s="12" t="n">
        <x:v>-7</x:v>
      </x:c>
      <x:c r="J1740" s="12" t="n">
        <x:v>1</x:v>
      </x:c>
    </x:row>
    <x:row r="1741" ht="18" customHeight="1">
      <x:c r="A1741" s="13" t="n">
        <x:v>45187</x:v>
      </x:c>
      <x:c r="B1741" s="12" t="n">
        <x:v>3727.711</x:v>
      </x:c>
      <x:c r="C1741" s="12" t="n">
        <x:v>3708.7766</x:v>
      </x:c>
      <x:c r="D1741" s="12" t="n">
        <x:v>0.5105</x:v>
      </x:c>
      <x:c r="E1741" s="12" t="n">
        <x:v>0.0050923075341599</x:v>
      </x:c>
      <x:c r="F1741" s="13" t="n">
        <x:v>45184</x:v>
      </x:c>
      <x:c r="G1741" s="12" t="n">
        <x:v>3.79</x:v>
      </x:c>
      <x:c r="H1741" s="12" t="n">
        <x:v>379</x:v>
      </x:c>
      <x:c r="I1741" s="12" t="n">
        <x:v>1</x:v>
      </x:c>
      <x:c r="J1741" s="12" t="n">
        <x:v>3</x:v>
      </x:c>
    </x:row>
    <x:row r="1742" ht="18" customHeight="1">
      <x:c r="A1742" s="13" t="n">
        <x:v>45188</x:v>
      </x:c>
      <x:c r="B1742" s="12" t="n">
        <x:v>3720.5021</x:v>
      </x:c>
      <x:c r="C1742" s="12" t="n">
        <x:v>3727.711</x:v>
      </x:c>
      <x:c r="D1742" s="12" t="n">
        <x:v>-0.1934</x:v>
      </x:c>
      <x:c r="E1742" s="12" t="n">
        <x:v>-0.0019357400638905927</x:v>
      </x:c>
      <x:c r="F1742" s="13" t="n">
        <x:v>45187</x:v>
      </x:c>
      <x:c r="G1742" s="12" t="n">
        <x:v>3.82</x:v>
      </x:c>
      <x:c r="H1742" s="12" t="n">
        <x:v>382</x:v>
      </x:c>
      <x:c r="I1742" s="12" t="n">
        <x:v>3</x:v>
      </x:c>
      <x:c r="J1742" s="12" t="n">
        <x:v>1</x:v>
      </x:c>
    </x:row>
    <x:row r="1743" ht="18" customHeight="1">
      <x:c r="A1743" s="13" t="n">
        <x:v>45189</x:v>
      </x:c>
      <x:c r="B1743" s="12" t="n">
        <x:v>3705.6898</x:v>
      </x:c>
      <x:c r="C1743" s="12" t="n">
        <x:v>3720.5021</x:v>
      </x:c>
      <x:c r="D1743" s="12" t="n">
        <x:v>-0.3981</x:v>
      </x:c>
      <x:c r="E1743" s="12" t="n">
        <x:v>-0.003989210040026667</x:v>
      </x:c>
      <x:c r="F1743" s="13" t="n">
        <x:v>45188</x:v>
      </x:c>
      <x:c r="G1743" s="12" t="n">
        <x:v>3.82</x:v>
      </x:c>
      <x:c r="H1743" s="12" t="n">
        <x:v>382</x:v>
      </x:c>
      <x:c r="I1743" s="12" t="n">
        <x:v>0</x:v>
      </x:c>
      <x:c r="J1743" s="12" t="n">
        <x:v>1</x:v>
      </x:c>
    </x:row>
    <x:row r="1744" ht="18" customHeight="1">
      <x:c r="A1744" s="13" t="n">
        <x:v>45190</x:v>
      </x:c>
      <x:c r="B1744" s="12" t="n">
        <x:v>3672.4448</x:v>
      </x:c>
      <x:c r="C1744" s="12" t="n">
        <x:v>3705.6898</x:v>
      </x:c>
      <x:c r="D1744" s="12" t="n">
        <x:v>-0.8971</x:v>
      </x:c>
      <x:c r="E1744" s="12" t="n">
        <x:v>-0.00901182393540573</x:v>
      </x:c>
      <x:c r="F1744" s="13" t="n">
        <x:v>45189</x:v>
      </x:c>
      <x:c r="G1744" s="12" t="n">
        <x:v>3.77</x:v>
      </x:c>
      <x:c r="H1744" s="12" t="n">
        <x:v>377</x:v>
      </x:c>
      <x:c r="I1744" s="12" t="n">
        <x:v>-5</x:v>
      </x:c>
      <x:c r="J1744" s="12" t="n">
        <x:v>1</x:v>
      </x:c>
    </x:row>
    <x:row r="1745" ht="18" customHeight="1">
      <x:c r="A1745" s="13" t="n">
        <x:v>45191</x:v>
      </x:c>
      <x:c r="B1745" s="12" t="n">
        <x:v>3738.9327</x:v>
      </x:c>
      <x:c r="C1745" s="12" t="n">
        <x:v>3672.4448</x:v>
      </x:c>
      <x:c r="D1745" s="12" t="n">
        <x:v>1.8105</x:v>
      </x:c>
      <x:c r="E1745" s="12" t="n">
        <x:v>0.01794259804803621</x:v>
      </x:c>
      <x:c r="F1745" s="13" t="n">
        <x:v>45190</x:v>
      </x:c>
      <x:c r="G1745" s="12" t="n">
        <x:v>3.89</x:v>
      </x:c>
      <x:c r="H1745" s="12" t="n">
        <x:v>389</x:v>
      </x:c>
      <x:c r="I1745" s="12" t="n">
        <x:v>12</x:v>
      </x:c>
      <x:c r="J1745" s="12" t="n">
        <x:v>1</x:v>
      </x:c>
    </x:row>
    <x:row r="1746" ht="18" customHeight="1">
      <x:c r="A1746" s="13" t="n">
        <x:v>45194</x:v>
      </x:c>
      <x:c r="B1746" s="12" t="n">
        <x:v>3714.6037</x:v>
      </x:c>
      <x:c r="C1746" s="12" t="n">
        <x:v>3738.9327</x:v>
      </x:c>
      <x:c r="D1746" s="12" t="n">
        <x:v>-0.6507</x:v>
      </x:c>
      <x:c r="E1746" s="12" t="n">
        <x:v>-0.006528199527715004</x:v>
      </x:c>
      <x:c r="F1746" s="13" t="n">
        <x:v>45191</x:v>
      </x:c>
      <x:c r="G1746" s="12" t="n">
        <x:v>3.93</x:v>
      </x:c>
      <x:c r="H1746" s="12" t="n">
        <x:v>393</x:v>
      </x:c>
      <x:c r="I1746" s="12" t="n">
        <x:v>4</x:v>
      </x:c>
      <x:c r="J1746" s="12" t="n">
        <x:v>3</x:v>
      </x:c>
    </x:row>
    <x:row r="1747" ht="18" customHeight="1">
      <x:c r="A1747" s="13" t="n">
        <x:v>45195</x:v>
      </x:c>
      <x:c r="B1747" s="12" t="n">
        <x:v>3692.8928</x:v>
      </x:c>
      <x:c r="C1747" s="12" t="n">
        <x:v>3714.6037</x:v>
      </x:c>
      <x:c r="D1747" s="12" t="n">
        <x:v>-0.5845</x:v>
      </x:c>
      <x:c r="E1747" s="12" t="n">
        <x:v>-0.005861889281666779</x:v>
      </x:c>
      <x:c r="F1747" s="13" t="n">
        <x:v>45194</x:v>
      </x:c>
      <x:c r="G1747" s="12" t="n">
        <x:v>3.97</x:v>
      </x:c>
      <x:c r="H1747" s="12" t="n">
        <x:v>397</x:v>
      </x:c>
      <x:c r="I1747" s="12" t="n">
        <x:v>4</x:v>
      </x:c>
      <x:c r="J1747" s="12" t="n">
        <x:v>1</x:v>
      </x:c>
    </x:row>
    <x:row r="1748" ht="18" customHeight="1">
      <x:c r="A1748" s="13" t="n">
        <x:v>45196</x:v>
      </x:c>
      <x:c r="B1748" s="12" t="n">
        <x:v>3700.495</x:v>
      </x:c>
      <x:c r="C1748" s="12" t="n">
        <x:v>3692.8928</x:v>
      </x:c>
      <x:c r="D1748" s="12" t="n">
        <x:v>0.2059</x:v>
      </x:c>
      <x:c r="E1748" s="12" t="n">
        <x:v>0.002056486927205133</x:v>
      </x:c>
      <x:c r="F1748" s="13" t="n">
        <x:v>45195</x:v>
      </x:c>
      <x:c r="G1748" s="12" t="n">
        <x:v>4.04</x:v>
      </x:c>
      <x:c r="H1748" s="12" t="n">
        <x:v>404</x:v>
      </x:c>
      <x:c r="I1748" s="12" t="n">
        <x:v>7</x:v>
      </x:c>
      <x:c r="J1748" s="12" t="n">
        <x:v>1</x:v>
      </x:c>
    </x:row>
    <x:row r="1749" ht="18" customHeight="1">
      <x:c r="A1749" s="13" t="n">
        <x:v>45197</x:v>
      </x:c>
      <x:c r="B1749" s="12" t="n">
        <x:v>3689.5172</x:v>
      </x:c>
      <x:c r="C1749" s="12" t="n">
        <x:v>3700.495</x:v>
      </x:c>
      <x:c r="D1749" s="12" t="n">
        <x:v>-0.2967</x:v>
      </x:c>
      <x:c r="E1749" s="12" t="n">
        <x:v>-0.0029709851019892155</x:v>
      </x:c>
      <x:c r="F1749" s="13" t="n">
        <x:v>45196</x:v>
      </x:c>
      <x:c r="G1749" s="12" t="n">
        <x:v>4.03</x:v>
      </x:c>
      <x:c r="H1749" s="12" t="n">
        <x:v>403</x:v>
      </x:c>
      <x:c r="I1749" s="12" t="n">
        <x:v>-1</x:v>
      </x:c>
      <x:c r="J1749" s="12" t="n">
        <x:v>1</x:v>
      </x:c>
    </x:row>
    <x:row r="1750" ht="18" customHeight="1">
      <x:c r="A1750" s="13" t="n">
        <x:v>45208</x:v>
      </x:c>
      <x:c r="B1750" s="12" t="n">
        <x:v>3684.7272</x:v>
      </x:c>
      <x:c r="C1750" s="12" t="n">
        <x:v>3689.5172</x:v>
      </x:c>
      <x:c r="D1750" s="12" t="n">
        <x:v>-0.1298</x:v>
      </x:c>
      <x:c r="E1750" s="12" t="n">
        <x:v>-0.001299116333512036</x:v>
      </x:c>
      <x:c r="F1750" s="13" t="n">
        <x:v>45205</x:v>
      </x:c>
      <x:c r="G1750" s="12" t="n">
        <x:v>4.33</x:v>
      </x:c>
      <x:c r="H1750" s="12" t="n">
        <x:v>433</x:v>
      </x:c>
      <x:c r="I1750" s="12" t="n">
        <x:v>-5</x:v>
      </x:c>
      <x:c r="J1750" s="12" t="n">
        <x:v>3</x:v>
      </x:c>
    </x:row>
    <x:row r="1751" ht="18" customHeight="1">
      <x:c r="A1751" s="13" t="n">
        <x:v>45209</x:v>
      </x:c>
      <x:c r="B1751" s="12" t="n">
        <x:v>3657.1259</x:v>
      </x:c>
      <x:c r="C1751" s="12" t="n">
        <x:v>3684.7272</x:v>
      </x:c>
      <x:c r="D1751" s="12" t="n">
        <x:v>-0.7491</x:v>
      </x:c>
      <x:c r="E1751" s="12" t="n">
        <x:v>-0.00751892734950509</x:v>
      </x:c>
      <x:c r="F1751" s="13" t="n">
        <x:v>45208</x:v>
      </x:c>
      <x:c r="G1751" s="12" t="n">
        <x:v>4.34</x:v>
      </x:c>
      <x:c r="H1751" s="12" t="n">
        <x:v>434</x:v>
      </x:c>
      <x:c r="I1751" s="12" t="n">
        <x:v>1</x:v>
      </x:c>
      <x:c r="J1751" s="12" t="n">
        <x:v>1</x:v>
      </x:c>
    </x:row>
    <x:row r="1752" ht="18" customHeight="1">
      <x:c r="A1752" s="13" t="n">
        <x:v>45210</x:v>
      </x:c>
      <x:c r="B1752" s="12" t="n">
        <x:v>3667.5483</x:v>
      </x:c>
      <x:c r="C1752" s="12" t="n">
        <x:v>3657.1259</x:v>
      </x:c>
      <x:c r="D1752" s="12" t="n">
        <x:v>0.285</x:v>
      </x:c>
      <x:c r="E1752" s="12" t="n">
        <x:v>0.0028458349817270063</x:v>
      </x:c>
      <x:c r="F1752" s="13" t="n">
        <x:v>45209</x:v>
      </x:c>
      <x:c r="G1752" s="12" t="n">
        <x:v>4.26</x:v>
      </x:c>
      <x:c r="H1752" s="12" t="n">
        <x:v>426</x:v>
      </x:c>
      <x:c r="I1752" s="12" t="n">
        <x:v>-8</x:v>
      </x:c>
      <x:c r="J1752" s="12" t="n">
        <x:v>1</x:v>
      </x:c>
    </x:row>
    <x:row r="1753" ht="18" customHeight="1">
      <x:c r="A1753" s="13" t="n">
        <x:v>45211</x:v>
      </x:c>
      <x:c r="B1753" s="12" t="n">
        <x:v>3702.3824</x:v>
      </x:c>
      <x:c r="C1753" s="12" t="n">
        <x:v>3667.5483</x:v>
      </x:c>
      <x:c r="D1753" s="12" t="n">
        <x:v>0.9498</x:v>
      </x:c>
      <x:c r="E1753" s="12" t="n">
        <x:v>0.009453103650197869</x:v>
      </x:c>
      <x:c r="F1753" s="13" t="n">
        <x:v>45210</x:v>
      </x:c>
      <x:c r="G1753" s="12" t="n">
        <x:v>4.25</x:v>
      </x:c>
      <x:c r="H1753" s="12" t="n">
        <x:v>425</x:v>
      </x:c>
      <x:c r="I1753" s="12" t="n">
        <x:v>-1</x:v>
      </x:c>
      <x:c r="J1753" s="12" t="n">
        <x:v>1</x:v>
      </x:c>
    </x:row>
    <x:row r="1754" ht="18" customHeight="1">
      <x:c r="A1754" s="13" t="n">
        <x:v>45212</x:v>
      </x:c>
      <x:c r="B1754" s="12" t="n">
        <x:v>3663.4104</x:v>
      </x:c>
      <x:c r="C1754" s="12" t="n">
        <x:v>3702.3824</x:v>
      </x:c>
      <x:c r="D1754" s="12" t="n">
        <x:v>-1.0526</x:v>
      </x:c>
      <x:c r="E1754" s="12" t="n">
        <x:v>-0.010581987499846852</x:v>
      </x:c>
      <x:c r="F1754" s="13" t="n">
        <x:v>45211</x:v>
      </x:c>
      <x:c r="G1754" s="12" t="n">
        <x:v>4.25</x:v>
      </x:c>
      <x:c r="H1754" s="12" t="n">
        <x:v>425</x:v>
      </x:c>
      <x:c r="I1754" s="12" t="n">
        <x:v>0</x:v>
      </x:c>
      <x:c r="J1754" s="12" t="n">
        <x:v>1</x:v>
      </x:c>
    </x:row>
    <x:row r="1755" ht="18" customHeight="1">
      <x:c r="A1755" s="13" t="n">
        <x:v>45215</x:v>
      </x:c>
      <x:c r="B1755" s="12" t="n">
        <x:v>3626.5972</x:v>
      </x:c>
      <x:c r="C1755" s="12" t="n">
        <x:v>3663.4104</x:v>
      </x:c>
      <x:c r="D1755" s="12" t="n">
        <x:v>-1.0049</x:v>
      </x:c>
      <x:c r="E1755" s="12" t="n">
        <x:v>-0.01009971866830757</x:v>
      </x:c>
      <x:c r="F1755" s="13" t="n">
        <x:v>45212</x:v>
      </x:c>
      <x:c r="G1755" s="12" t="n">
        <x:v>4.3</x:v>
      </x:c>
      <x:c r="H1755" s="12" t="n">
        <x:v>430</x:v>
      </x:c>
      <x:c r="I1755" s="12" t="n">
        <x:v>5</x:v>
      </x:c>
      <x:c r="J1755" s="12" t="n">
        <x:v>3</x:v>
      </x:c>
    </x:row>
    <x:row r="1756" ht="18" customHeight="1">
      <x:c r="A1756" s="13" t="n">
        <x:v>45216</x:v>
      </x:c>
      <x:c r="B1756" s="12" t="n">
        <x:v>3639.4018</x:v>
      </x:c>
      <x:c r="C1756" s="12" t="n">
        <x:v>3626.5972</x:v>
      </x:c>
      <x:c r="D1756" s="12" t="n">
        <x:v>0.3531</x:v>
      </x:c>
      <x:c r="E1756" s="12" t="n">
        <x:v>0.0035245293194285997</x:v>
      </x:c>
      <x:c r="F1756" s="13" t="n">
        <x:v>45215</x:v>
      </x:c>
      <x:c r="G1756" s="12" t="n">
        <x:v>4.27</x:v>
      </x:c>
      <x:c r="H1756" s="12" t="n">
        <x:v>426.99999999999994</x:v>
      </x:c>
      <x:c r="I1756" s="12" t="n">
        <x:v>-3.000000000000057</x:v>
      </x:c>
      <x:c r="J1756" s="12" t="n">
        <x:v>1</x:v>
      </x:c>
    </x:row>
    <x:row r="1757" ht="18" customHeight="1">
      <x:c r="A1757" s="13" t="n">
        <x:v>45217</x:v>
      </x:c>
      <x:c r="B1757" s="12" t="n">
        <x:v>3610.5767</x:v>
      </x:c>
      <x:c r="C1757" s="12" t="n">
        <x:v>3639.4018</x:v>
      </x:c>
      <x:c r="D1757" s="12" t="n">
        <x:v>-0.792</x:v>
      </x:c>
      <x:c r="E1757" s="12" t="n">
        <x:v>-0.007951817205375517</x:v>
      </x:c>
      <x:c r="F1757" s="13" t="n">
        <x:v>45216</x:v>
      </x:c>
      <x:c r="G1757" s="12" t="n">
        <x:v>4.25</x:v>
      </x:c>
      <x:c r="H1757" s="12" t="n">
        <x:v>425</x:v>
      </x:c>
      <x:c r="I1757" s="12" t="n">
        <x:v>-1.9999999999999432</x:v>
      </x:c>
      <x:c r="J1757" s="12" t="n">
        <x:v>1</x:v>
      </x:c>
    </x:row>
    <x:row r="1758" ht="18" customHeight="1">
      <x:c r="A1758" s="13" t="n">
        <x:v>45218</x:v>
      </x:c>
      <x:c r="B1758" s="12" t="n">
        <x:v>3533.5445</x:v>
      </x:c>
      <x:c r="C1758" s="12" t="n">
        <x:v>3610.5767</x:v>
      </x:c>
      <x:c r="D1758" s="12" t="n">
        <x:v>-2.1335</x:v>
      </x:c>
      <x:c r="E1758" s="12" t="n">
        <x:v>-0.021566035463477812</x:v>
      </x:c>
      <x:c r="F1758" s="13" t="n">
        <x:v>45217</x:v>
      </x:c>
      <x:c r="G1758" s="12" t="n">
        <x:v>4.32</x:v>
      </x:c>
      <x:c r="H1758" s="12" t="n">
        <x:v>432</x:v>
      </x:c>
      <x:c r="I1758" s="12" t="n">
        <x:v>7</x:v>
      </x:c>
      <x:c r="J1758" s="12" t="n">
        <x:v>1</x:v>
      </x:c>
    </x:row>
    <x:row r="1759" ht="18" customHeight="1">
      <x:c r="A1759" s="13" t="n">
        <x:v>45219</x:v>
      </x:c>
      <x:c r="B1759" s="12" t="n">
        <x:v>3510.5889</x:v>
      </x:c>
      <x:c r="C1759" s="12" t="n">
        <x:v>3533.5445</x:v>
      </x:c>
      <x:c r="D1759" s="12" t="n">
        <x:v>-0.6496</x:v>
      </x:c>
      <x:c r="E1759" s="12" t="n">
        <x:v>-0.006517673632614436</x:v>
      </x:c>
      <x:c r="F1759" s="13" t="n">
        <x:v>45218</x:v>
      </x:c>
      <x:c r="G1759" s="12" t="n">
        <x:v>4.37</x:v>
      </x:c>
      <x:c r="H1759" s="12" t="n">
        <x:v>437</x:v>
      </x:c>
      <x:c r="I1759" s="12" t="n">
        <x:v>5</x:v>
      </x:c>
      <x:c r="J1759" s="12" t="n">
        <x:v>1</x:v>
      </x:c>
    </x:row>
    <x:row r="1760" ht="18" customHeight="1">
      <x:c r="A1760" s="13" t="n">
        <x:v>45222</x:v>
      </x:c>
      <x:c r="B1760" s="12" t="n">
        <x:v>3474.2438</x:v>
      </x:c>
      <x:c r="C1760" s="12" t="n">
        <x:v>3510.5889</x:v>
      </x:c>
      <x:c r="D1760" s="12" t="n">
        <x:v>-1.0353</x:v>
      </x:c>
      <x:c r="E1760" s="12" t="n">
        <x:v>-0.010406957357291196</x:v>
      </x:c>
      <x:c r="F1760" s="13" t="n">
        <x:v>45219</x:v>
      </x:c>
      <x:c r="G1760" s="12" t="n">
        <x:v>4.52</x:v>
      </x:c>
      <x:c r="H1760" s="12" t="n">
        <x:v>451.99999999999994</x:v>
      </x:c>
      <x:c r="I1760" s="12" t="n">
        <x:v>14.999999999999943</x:v>
      </x:c>
      <x:c r="J1760" s="12" t="n">
        <x:v>3</x:v>
      </x:c>
    </x:row>
    <x:row r="1761" ht="18" customHeight="1">
      <x:c r="A1761" s="13" t="n">
        <x:v>45223</x:v>
      </x:c>
      <x:c r="B1761" s="12" t="n">
        <x:v>3487.1302</x:v>
      </x:c>
      <x:c r="C1761" s="12" t="n">
        <x:v>3474.2438</x:v>
      </x:c>
      <x:c r="D1761" s="12" t="n">
        <x:v>0.3709</x:v>
      </x:c>
      <x:c r="E1761" s="12" t="n">
        <x:v>0.003702261857848989</x:v>
      </x:c>
      <x:c r="F1761" s="13" t="n">
        <x:v>45222</x:v>
      </x:c>
      <x:c r="G1761" s="12" t="n">
        <x:v>4.51</x:v>
      </x:c>
      <x:c r="H1761" s="12" t="n">
        <x:v>451</x:v>
      </x:c>
      <x:c r="I1761" s="12" t="n">
        <x:v>-0.9999999999999432</x:v>
      </x:c>
      <x:c r="J1761" s="12" t="n">
        <x:v>1</x:v>
      </x:c>
    </x:row>
    <x:row r="1762" ht="18" customHeight="1">
      <x:c r="A1762" s="13" t="n">
        <x:v>45224</x:v>
      </x:c>
      <x:c r="B1762" s="12" t="n">
        <x:v>3504.4576</x:v>
      </x:c>
      <x:c r="C1762" s="12" t="n">
        <x:v>3487.1302</x:v>
      </x:c>
      <x:c r="D1762" s="12" t="n">
        <x:v>0.4969</x:v>
      </x:c>
      <x:c r="E1762" s="12" t="n">
        <x:v>0.004956652471855501</x:v>
      </x:c>
      <x:c r="F1762" s="13" t="n">
        <x:v>45223</x:v>
      </x:c>
      <x:c r="G1762" s="12" t="n">
        <x:v>4.41</x:v>
      </x:c>
      <x:c r="H1762" s="12" t="n">
        <x:v>441</x:v>
      </x:c>
      <x:c r="I1762" s="12" t="n">
        <x:v>-10</x:v>
      </x:c>
      <x:c r="J1762" s="12" t="n">
        <x:v>1</x:v>
      </x:c>
    </x:row>
    <x:row r="1763" ht="18" customHeight="1">
      <x:c r="A1763" s="13" t="n">
        <x:v>45225</x:v>
      </x:c>
      <x:c r="B1763" s="12" t="n">
        <x:v>3514.1448</x:v>
      </x:c>
      <x:c r="C1763" s="12" t="n">
        <x:v>3504.4576</x:v>
      </x:c>
      <x:c r="D1763" s="12" t="n">
        <x:v>0.2764</x:v>
      </x:c>
      <x:c r="E1763" s="12" t="n">
        <x:v>0.0027604373632512803</x:v>
      </x:c>
      <x:c r="F1763" s="13" t="n">
        <x:v>45224</x:v>
      </x:c>
      <x:c r="G1763" s="12" t="n">
        <x:v>4.37</x:v>
      </x:c>
      <x:c r="H1763" s="12" t="n">
        <x:v>437</x:v>
      </x:c>
      <x:c r="I1763" s="12" t="n">
        <x:v>-4</x:v>
      </x:c>
      <x:c r="J1763" s="12" t="n">
        <x:v>1</x:v>
      </x:c>
    </x:row>
    <x:row r="1764" ht="18" customHeight="1">
      <x:c r="A1764" s="13" t="n">
        <x:v>45226</x:v>
      </x:c>
      <x:c r="B1764" s="12" t="n">
        <x:v>3562.3851</x:v>
      </x:c>
      <x:c r="C1764" s="12" t="n">
        <x:v>3514.1448</x:v>
      </x:c>
      <x:c r="D1764" s="12" t="n">
        <x:v>1.3727</x:v>
      </x:c>
      <x:c r="E1764" s="12" t="n">
        <x:v>0.013634096924963092</x:v>
      </x:c>
      <x:c r="F1764" s="13" t="n">
        <x:v>45225</x:v>
      </x:c>
      <x:c r="G1764" s="12" t="n">
        <x:v>4.5</x:v>
      </x:c>
      <x:c r="H1764" s="12" t="n">
        <x:v>450</x:v>
      </x:c>
      <x:c r="I1764" s="12" t="n">
        <x:v>13</x:v>
      </x:c>
      <x:c r="J1764" s="12" t="n">
        <x:v>1</x:v>
      </x:c>
    </x:row>
    <x:row r="1765" ht="18" customHeight="1">
      <x:c r="A1765" s="13" t="n">
        <x:v>45229</x:v>
      </x:c>
      <x:c r="B1765" s="12" t="n">
        <x:v>3583.7718</x:v>
      </x:c>
      <x:c r="C1765" s="12" t="n">
        <x:v>3562.3851</x:v>
      </x:c>
      <x:c r="D1765" s="12" t="n">
        <x:v>0.6003</x:v>
      </x:c>
      <x:c r="E1765" s="12" t="n">
        <x:v>0.005985528767481468</x:v>
      </x:c>
      <x:c r="F1765" s="13" t="n">
        <x:v>45226</x:v>
      </x:c>
      <x:c r="G1765" s="12" t="n">
        <x:v>4.53</x:v>
      </x:c>
      <x:c r="H1765" s="12" t="n">
        <x:v>453</x:v>
      </x:c>
      <x:c r="I1765" s="12" t="n">
        <x:v>3</x:v>
      </x:c>
      <x:c r="J1765" s="12" t="n">
        <x:v>3</x:v>
      </x:c>
    </x:row>
    <x:row r="1766" ht="18" customHeight="1">
      <x:c r="A1766" s="13" t="n">
        <x:v>45230</x:v>
      </x:c>
      <x:c r="B1766" s="12" t="n">
        <x:v>3572.5056</x:v>
      </x:c>
      <x:c r="C1766" s="12" t="n">
        <x:v>3583.7718</x:v>
      </x:c>
      <x:c r="D1766" s="12" t="n">
        <x:v>-0.3144</x:v>
      </x:c>
      <x:c r="E1766" s="12" t="n">
        <x:v>-0.003148622860146272</x:v>
      </x:c>
      <x:c r="F1766" s="13" t="n">
        <x:v>45229</x:v>
      </x:c>
      <x:c r="G1766" s="12" t="n">
        <x:v>4.5</x:v>
      </x:c>
      <x:c r="H1766" s="12" t="n">
        <x:v>450</x:v>
      </x:c>
      <x:c r="I1766" s="12" t="n">
        <x:v>-3</x:v>
      </x:c>
      <x:c r="J1766" s="12" t="n">
        <x:v>1</x:v>
      </x:c>
    </x:row>
    <x:row r="1767" ht="18" customHeight="1">
      <x:c r="A1767" s="13" t="n">
        <x:v>45231</x:v>
      </x:c>
      <x:c r="B1767" s="12" t="n">
        <x:v>3571.0268</x:v>
      </x:c>
      <x:c r="C1767" s="12" t="n">
        <x:v>3572.5056</x:v>
      </x:c>
      <x:c r="D1767" s="12" t="n">
        <x:v>-0.0414</x:v>
      </x:c>
      <x:c r="E1767" s="12" t="n">
        <x:v>-0.0004140248656600958</x:v>
      </x:c>
      <x:c r="F1767" s="13" t="n">
        <x:v>45230</x:v>
      </x:c>
      <x:c r="G1767" s="12" t="n">
        <x:v>4.42</x:v>
      </x:c>
      <x:c r="H1767" s="12" t="n">
        <x:v>442</x:v>
      </x:c>
      <x:c r="I1767" s="12" t="n">
        <x:v>-8</x:v>
      </x:c>
      <x:c r="J1767" s="12" t="n">
        <x:v>1</x:v>
      </x:c>
    </x:row>
    <x:row r="1768" ht="18" customHeight="1">
      <x:c r="A1768" s="13" t="n">
        <x:v>45232</x:v>
      </x:c>
      <x:c r="B1768" s="12" t="n">
        <x:v>3554.1889</x:v>
      </x:c>
      <x:c r="C1768" s="12" t="n">
        <x:v>3571.0268</x:v>
      </x:c>
      <x:c r="D1768" s="12" t="n">
        <x:v>-0.4715</x:v>
      </x:c>
      <x:c r="E1768" s="12" t="n">
        <x:v>-0.004726293786034514</x:v>
      </x:c>
      <x:c r="F1768" s="13" t="n">
        <x:v>45231</x:v>
      </x:c>
      <x:c r="G1768" s="12" t="n">
        <x:v>4.47</x:v>
      </x:c>
      <x:c r="H1768" s="12" t="n">
        <x:v>447</x:v>
      </x:c>
      <x:c r="I1768" s="12" t="n">
        <x:v>5</x:v>
      </x:c>
      <x:c r="J1768" s="12" t="n">
        <x:v>1</x:v>
      </x:c>
    </x:row>
    <x:row r="1769" ht="18" customHeight="1">
      <x:c r="A1769" s="13" t="n">
        <x:v>45233</x:v>
      </x:c>
      <x:c r="B1769" s="12" t="n">
        <x:v>3584.1364</x:v>
      </x:c>
      <x:c r="C1769" s="12" t="n">
        <x:v>3554.1889</x:v>
      </x:c>
      <x:c r="D1769" s="12" t="n">
        <x:v>0.8426</x:v>
      </x:c>
      <x:c r="E1769" s="12" t="n">
        <x:v>0.008390672725506256</x:v>
      </x:c>
      <x:c r="F1769" s="13" t="n">
        <x:v>45232</x:v>
      </x:c>
      <x:c r="G1769" s="12" t="n">
        <x:v>4.15</x:v>
      </x:c>
      <x:c r="H1769" s="12" t="n">
        <x:v>415.00000000000006</x:v>
      </x:c>
      <x:c r="I1769" s="12" t="n">
        <x:v>-31.999999999999943</x:v>
      </x:c>
      <x:c r="J1769" s="12" t="n">
        <x:v>1</x:v>
      </x:c>
    </x:row>
    <x:row r="1770" ht="18" customHeight="1">
      <x:c r="A1770" s="13" t="n">
        <x:v>45236</x:v>
      </x:c>
      <x:c r="B1770" s="12" t="n">
        <x:v>3632.6084</x:v>
      </x:c>
      <x:c r="C1770" s="12" t="n">
        <x:v>3584.1364</x:v>
      </x:c>
      <x:c r="D1770" s="12" t="n">
        <x:v>1.3524</x:v>
      </x:c>
      <x:c r="E1770" s="12" t="n">
        <x:v>0.01343340529964992</x:v>
      </x:c>
      <x:c r="F1770" s="13" t="n">
        <x:v>45233</x:v>
      </x:c>
      <x:c r="G1770" s="12" t="n">
        <x:v>4.04</x:v>
      </x:c>
      <x:c r="H1770" s="12" t="n">
        <x:v>404</x:v>
      </x:c>
      <x:c r="I1770" s="12" t="n">
        <x:v>-11.000000000000057</x:v>
      </x:c>
      <x:c r="J1770" s="12" t="n">
        <x:v>3</x:v>
      </x:c>
    </x:row>
    <x:row r="1771" ht="18" customHeight="1">
      <x:c r="A1771" s="13" t="n">
        <x:v>45237</x:v>
      </x:c>
      <x:c r="B1771" s="12" t="n">
        <x:v>3619.7593</x:v>
      </x:c>
      <x:c r="C1771" s="12" t="n">
        <x:v>3632.6084</x:v>
      </x:c>
      <x:c r="D1771" s="12" t="n">
        <x:v>-0.3537</x:v>
      </x:c>
      <x:c r="E1771" s="12" t="n">
        <x:v>-0.003543425809558976</x:v>
      </x:c>
      <x:c r="F1771" s="13" t="n">
        <x:v>45236</x:v>
      </x:c>
      <x:c r="G1771" s="12" t="n">
        <x:v>4</x:v>
      </x:c>
      <x:c r="H1771" s="12" t="n">
        <x:v>400</x:v>
      </x:c>
      <x:c r="I1771" s="12" t="n">
        <x:v>-4</x:v>
      </x:c>
      <x:c r="J1771" s="12" t="n">
        <x:v>1</x:v>
      </x:c>
    </x:row>
    <x:row r="1772" ht="18" customHeight="1">
      <x:c r="A1772" s="13" t="n">
        <x:v>45238</x:v>
      </x:c>
      <x:c r="B1772" s="12" t="n">
        <x:v>3611.0723</x:v>
      </x:c>
      <x:c r="C1772" s="12" t="n">
        <x:v>3619.7593</x:v>
      </x:c>
      <x:c r="D1772" s="12" t="n">
        <x:v>-0.24</x:v>
      </x:c>
      <x:c r="E1772" s="12" t="n">
        <x:v>-0.002402767664892778</x:v>
      </x:c>
      <x:c r="F1772" s="13" t="n">
        <x:v>45237</x:v>
      </x:c>
      <x:c r="G1772" s="12" t="n">
        <x:v>4.08</x:v>
      </x:c>
      <x:c r="H1772" s="12" t="n">
        <x:v>408</x:v>
      </x:c>
      <x:c r="I1772" s="12" t="n">
        <x:v>8</x:v>
      </x:c>
      <x:c r="J1772" s="12" t="n">
        <x:v>1</x:v>
      </x:c>
    </x:row>
    <x:row r="1773" ht="18" customHeight="1">
      <x:c r="A1773" s="13" t="n">
        <x:v>45239</x:v>
      </x:c>
      <x:c r="B1773" s="12" t="n">
        <x:v>3612.8263</x:v>
      </x:c>
      <x:c r="C1773" s="12" t="n">
        <x:v>3611.0723</x:v>
      </x:c>
      <x:c r="D1773" s="12" t="n">
        <x:v>0.0486</x:v>
      </x:c>
      <x:c r="E1773" s="12" t="n">
        <x:v>0.00048561036957762407</x:v>
      </x:c>
      <x:c r="F1773" s="13" t="n">
        <x:v>45238</x:v>
      </x:c>
      <x:c r="G1773" s="12" t="n">
        <x:v>4.08</x:v>
      </x:c>
      <x:c r="H1773" s="12" t="n">
        <x:v>408</x:v>
      </x:c>
      <x:c r="I1773" s="12" t="n">
        <x:v>0</x:v>
      </x:c>
      <x:c r="J1773" s="12" t="n">
        <x:v>1</x:v>
      </x:c>
    </x:row>
    <x:row r="1774" ht="18" customHeight="1">
      <x:c r="A1774" s="13" t="n">
        <x:v>45240</x:v>
      </x:c>
      <x:c r="B1774" s="12" t="n">
        <x:v>3586.4893</x:v>
      </x:c>
      <x:c r="C1774" s="12" t="n">
        <x:v>3612.8263</x:v>
      </x:c>
      <x:c r="D1774" s="12" t="n">
        <x:v>-0.729</x:v>
      </x:c>
      <x:c r="E1774" s="12" t="n">
        <x:v>-0.007316561449093594</x:v>
      </x:c>
      <x:c r="F1774" s="13" t="n">
        <x:v>45239</x:v>
      </x:c>
      <x:c r="G1774" s="12" t="n">
        <x:v>4.04</x:v>
      </x:c>
      <x:c r="H1774" s="12" t="n">
        <x:v>404</x:v>
      </x:c>
      <x:c r="I1774" s="12" t="n">
        <x:v>-4</x:v>
      </x:c>
      <x:c r="J1774" s="12" t="n">
        <x:v>1</x:v>
      </x:c>
    </x:row>
    <x:row r="1775" ht="18" customHeight="1">
      <x:c r="A1775" s="13" t="n">
        <x:v>45243</x:v>
      </x:c>
      <x:c r="B1775" s="12" t="n">
        <x:v>3579.4141</x:v>
      </x:c>
      <x:c r="C1775" s="12" t="n">
        <x:v>3586.4893</x:v>
      </x:c>
      <x:c r="D1775" s="12" t="n">
        <x:v>-0.1973</x:v>
      </x:c>
      <x:c r="E1775" s="12" t="n">
        <x:v>-0.001974685368791237</x:v>
      </x:c>
      <x:c r="F1775" s="13" t="n">
        <x:v>45240</x:v>
      </x:c>
      <x:c r="G1775" s="12" t="n">
        <x:v>4.03</x:v>
      </x:c>
      <x:c r="H1775" s="12" t="n">
        <x:v>403</x:v>
      </x:c>
      <x:c r="I1775" s="12" t="n">
        <x:v>-1</x:v>
      </x:c>
      <x:c r="J1775" s="12" t="n">
        <x:v>3</x:v>
      </x:c>
    </x:row>
    <x:row r="1776" ht="18" customHeight="1">
      <x:c r="A1776" s="13" t="n">
        <x:v>45244</x:v>
      </x:c>
      <x:c r="B1776" s="12" t="n">
        <x:v>3582.0584</x:v>
      </x:c>
      <x:c r="C1776" s="12" t="n">
        <x:v>3579.4141</x:v>
      </x:c>
      <x:c r="D1776" s="12" t="n">
        <x:v>0.0739</x:v>
      </x:c>
      <x:c r="E1776" s="12" t="n">
        <x:v>0.0007384794454416723</x:v>
      </x:c>
      <x:c r="F1776" s="13" t="n">
        <x:v>45243</x:v>
      </x:c>
      <x:c r="G1776" s="12" t="n">
        <x:v>4.03</x:v>
      </x:c>
      <x:c r="H1776" s="12" t="n">
        <x:v>403</x:v>
      </x:c>
      <x:c r="I1776" s="12" t="n">
        <x:v>0</x:v>
      </x:c>
      <x:c r="J1776" s="12" t="n">
        <x:v>1</x:v>
      </x:c>
    </x:row>
    <x:row r="1777" ht="18" customHeight="1">
      <x:c r="A1777" s="13" t="n">
        <x:v>45245</x:v>
      </x:c>
      <x:c r="B1777" s="12" t="n">
        <x:v>3607.2454</x:v>
      </x:c>
      <x:c r="C1777" s="12" t="n">
        <x:v>3582.0584</x:v>
      </x:c>
      <x:c r="D1777" s="12" t="n">
        <x:v>0.7031</x:v>
      </x:c>
      <x:c r="E1777" s="12" t="n">
        <x:v>0.007006826738225458</x:v>
      </x:c>
      <x:c r="F1777" s="13" t="n">
        <x:v>45244</x:v>
      </x:c>
      <x:c r="G1777" s="12" t="n">
        <x:v>3.92</x:v>
      </x:c>
      <x:c r="H1777" s="12" t="n">
        <x:v>392</x:v>
      </x:c>
      <x:c r="I1777" s="12" t="n">
        <x:v>-11</x:v>
      </x:c>
      <x:c r="J1777" s="12" t="n">
        <x:v>1</x:v>
      </x:c>
    </x:row>
    <x:row r="1778" ht="18" customHeight="1">
      <x:c r="A1778" s="13" t="n">
        <x:v>45246</x:v>
      </x:c>
      <x:c r="B1778" s="12" t="n">
        <x:v>3572.3641</x:v>
      </x:c>
      <x:c r="C1778" s="12" t="n">
        <x:v>3607.2454</x:v>
      </x:c>
      <x:c r="D1778" s="12" t="n">
        <x:v>-0.967</x:v>
      </x:c>
      <x:c r="E1778" s="12" t="n">
        <x:v>-0.009716844474267466</x:v>
      </x:c>
      <x:c r="F1778" s="13" t="n">
        <x:v>45245</x:v>
      </x:c>
      <x:c r="G1778" s="12" t="n">
        <x:v>3.89</x:v>
      </x:c>
      <x:c r="H1778" s="12" t="n">
        <x:v>389</x:v>
      </x:c>
      <x:c r="I1778" s="12" t="n">
        <x:v>-3</x:v>
      </x:c>
      <x:c r="J1778" s="12" t="n">
        <x:v>1</x:v>
      </x:c>
    </x:row>
    <x:row r="1779" ht="18" customHeight="1">
      <x:c r="A1779" s="13" t="n">
        <x:v>45247</x:v>
      </x:c>
      <x:c r="B1779" s="12" t="n">
        <x:v>3568.0685</x:v>
      </x:c>
      <x:c r="C1779" s="12" t="n">
        <x:v>3572.3641</x:v>
      </x:c>
      <x:c r="D1779" s="12" t="n">
        <x:v>-0.1202</x:v>
      </x:c>
      <x:c r="E1779" s="12" t="n">
        <x:v>-0.0012031765465315332</x:v>
      </x:c>
      <x:c r="F1779" s="13" t="n">
        <x:v>45246</x:v>
      </x:c>
      <x:c r="G1779" s="12" t="n">
        <x:v>4.02</x:v>
      </x:c>
      <x:c r="H1779" s="12" t="n">
        <x:v>401.99999999999994</x:v>
      </x:c>
      <x:c r="I1779" s="12" t="n">
        <x:v>12.999999999999943</x:v>
      </x:c>
      <x:c r="J1779" s="12" t="n">
        <x:v>1</x:v>
      </x:c>
    </x:row>
    <x:row r="1780" ht="18" customHeight="1">
      <x:c r="A1780" s="13" t="n">
        <x:v>45250</x:v>
      </x:c>
      <x:c r="B1780" s="12" t="n">
        <x:v>3576.3233</x:v>
      </x:c>
      <x:c r="C1780" s="12" t="n">
        <x:v>3568.0685</x:v>
      </x:c>
      <x:c r="D1780" s="12" t="n">
        <x:v>0.2314</x:v>
      </x:c>
      <x:c r="E1780" s="12" t="n">
        <x:v>0.0023108485381220117</x:v>
      </x:c>
      <x:c r="F1780" s="13" t="n">
        <x:v>45247</x:v>
      </x:c>
      <x:c r="G1780" s="12" t="n">
        <x:v>3.99</x:v>
      </x:c>
      <x:c r="H1780" s="12" t="n">
        <x:v>399</x:v>
      </x:c>
      <x:c r="I1780" s="12" t="n">
        <x:v>-2.999999999999943</x:v>
      </x:c>
      <x:c r="J1780" s="12" t="n">
        <x:v>3</x:v>
      </x:c>
    </x:row>
    <x:row r="1781" ht="18" customHeight="1">
      <x:c r="A1781" s="13" t="n">
        <x:v>45251</x:v>
      </x:c>
      <x:c r="B1781" s="12" t="n">
        <x:v>3581.0674</x:v>
      </x:c>
      <x:c r="C1781" s="12" t="n">
        <x:v>3576.3233</x:v>
      </x:c>
      <x:c r="D1781" s="12" t="n">
        <x:v>0.1327</x:v>
      </x:c>
      <x:c r="E1781" s="12" t="n">
        <x:v>0.001325650895305748</x:v>
      </x:c>
      <x:c r="F1781" s="13" t="n">
        <x:v>45250</x:v>
      </x:c>
      <x:c r="G1781" s="12" t="n">
        <x:v>3.92</x:v>
      </x:c>
      <x:c r="H1781" s="12" t="n">
        <x:v>392</x:v>
      </x:c>
      <x:c r="I1781" s="12" t="n">
        <x:v>-7</x:v>
      </x:c>
      <x:c r="J1781" s="12" t="n">
        <x:v>1</x:v>
      </x:c>
    </x:row>
    <x:row r="1782" ht="18" customHeight="1">
      <x:c r="A1782" s="13" t="n">
        <x:v>45252</x:v>
      </x:c>
      <x:c r="B1782" s="12" t="n">
        <x:v>3544.4162</x:v>
      </x:c>
      <x:c r="C1782" s="12" t="n">
        <x:v>3581.0674</x:v>
      </x:c>
      <x:c r="D1782" s="12" t="n">
        <x:v>-1.0235</x:v>
      </x:c>
      <x:c r="E1782" s="12" t="n">
        <x:v>-0.010287448626604224</x:v>
      </x:c>
      <x:c r="F1782" s="13" t="n">
        <x:v>45251</x:v>
      </x:c>
      <x:c r="G1782" s="12" t="n">
        <x:v>3.95</x:v>
      </x:c>
      <x:c r="H1782" s="12" t="n">
        <x:v>395</x:v>
      </x:c>
      <x:c r="I1782" s="12" t="n">
        <x:v>3</x:v>
      </x:c>
      <x:c r="J1782" s="12" t="n">
        <x:v>1</x:v>
      </x:c>
    </x:row>
    <x:row r="1783" ht="18" customHeight="1">
      <x:c r="A1783" s="13" t="n">
        <x:v>45253</x:v>
      </x:c>
      <x:c r="B1783" s="12" t="n">
        <x:v>3561.5204</x:v>
      </x:c>
      <x:c r="C1783" s="12" t="n">
        <x:v>3544.4162</x:v>
      </x:c>
      <x:c r="D1783" s="12" t="n">
        <x:v>0.4826</x:v>
      </x:c>
      <x:c r="E1783" s="12" t="n">
        <x:v>0.004814068572702551</x:v>
      </x:c>
      <x:c r="F1783" s="13" t="n">
        <x:v>45252</x:v>
      </x:c>
      <x:c r="G1783" s="12" t="n">
        <x:v>3.9</x:v>
      </x:c>
      <x:c r="H1783" s="12" t="n">
        <x:v>390</x:v>
      </x:c>
      <x:c r="I1783" s="12" t="n">
        <x:v>-5</x:v>
      </x:c>
      <x:c r="J1783" s="12" t="n">
        <x:v>1</x:v>
      </x:c>
    </x:row>
    <x:row r="1784" ht="18" customHeight="1">
      <x:c r="A1784" s="13" t="n">
        <x:v>45254</x:v>
      </x:c>
      <x:c r="B1784" s="12" t="n">
        <x:v>3538.0087</x:v>
      </x:c>
      <x:c r="C1784" s="12" t="n">
        <x:v>3561.5204</x:v>
      </x:c>
      <x:c r="D1784" s="12" t="n">
        <x:v>-0.6602</x:v>
      </x:c>
      <x:c r="E1784" s="12" t="n">
        <x:v>-0.006623477592530993</x:v>
      </x:c>
      <x:c r="F1784" s="13" t="n">
        <x:v>45253</x:v>
      </x:c>
      <x:c r="G1784" s="12" t="n">
        <x:v>3.9</x:v>
      </x:c>
      <x:c r="H1784" s="12" t="n">
        <x:v>390</x:v>
      </x:c>
      <x:c r="I1784" s="12" t="n">
        <x:v>0</x:v>
      </x:c>
      <x:c r="J1784" s="12" t="n">
        <x:v>1</x:v>
      </x:c>
    </x:row>
    <x:row r="1785" ht="18" customHeight="1">
      <x:c r="A1785" s="13" t="n">
        <x:v>45257</x:v>
      </x:c>
      <x:c r="B1785" s="12" t="n">
        <x:v>3511.9424</x:v>
      </x:c>
      <x:c r="C1785" s="12" t="n">
        <x:v>3538.0087</x:v>
      </x:c>
      <x:c r="D1785" s="12" t="n">
        <x:v>-0.7368</x:v>
      </x:c>
      <x:c r="E1785" s="12" t="n">
        <x:v>-0.007394780023751533</x:v>
      </x:c>
      <x:c r="F1785" s="13" t="n">
        <x:v>45254</x:v>
      </x:c>
      <x:c r="G1785" s="12" t="n">
        <x:v>3.85</x:v>
      </x:c>
      <x:c r="H1785" s="12" t="n">
        <x:v>385</x:v>
      </x:c>
      <x:c r="I1785" s="12" t="n">
        <x:v>-5</x:v>
      </x:c>
      <x:c r="J1785" s="12" t="n">
        <x:v>3</x:v>
      </x:c>
    </x:row>
    <x:row r="1786" ht="18" customHeight="1">
      <x:c r="A1786" s="13" t="n">
        <x:v>45258</x:v>
      </x:c>
      <x:c r="B1786" s="12" t="n">
        <x:v>3518.5232</x:v>
      </x:c>
      <x:c r="C1786" s="12" t="n">
        <x:v>3511.9424</x:v>
      </x:c>
      <x:c r="D1786" s="12" t="n">
        <x:v>0.1874</x:v>
      </x:c>
      <x:c r="E1786" s="12" t="n">
        <x:v>0.0018720813944303417</x:v>
      </x:c>
      <x:c r="F1786" s="13" t="n">
        <x:v>45257</x:v>
      </x:c>
      <x:c r="G1786" s="12" t="n">
        <x:v>3.89</x:v>
      </x:c>
      <x:c r="H1786" s="12" t="n">
        <x:v>389</x:v>
      </x:c>
      <x:c r="I1786" s="12" t="n">
        <x:v>4</x:v>
      </x:c>
      <x:c r="J1786" s="12" t="n">
        <x:v>1</x:v>
      </x:c>
    </x:row>
    <x:row r="1787" ht="18" customHeight="1">
      <x:c r="A1787" s="13" t="n">
        <x:v>45259</x:v>
      </x:c>
      <x:c r="B1787" s="12" t="n">
        <x:v>3488.3073</x:v>
      </x:c>
      <x:c r="C1787" s="12" t="n">
        <x:v>3518.5232</x:v>
      </x:c>
      <x:c r="D1787" s="12" t="n">
        <x:v>-0.8588</x:v>
      </x:c>
      <x:c r="E1787" s="12" t="n">
        <x:v>-0.008624751891447943</x:v>
      </x:c>
      <x:c r="F1787" s="13" t="n">
        <x:v>45258</x:v>
      </x:c>
      <x:c r="G1787" s="12" t="n">
        <x:v>3.9</x:v>
      </x:c>
      <x:c r="H1787" s="12" t="n">
        <x:v>390</x:v>
      </x:c>
      <x:c r="I1787" s="12" t="n">
        <x:v>1</x:v>
      </x:c>
      <x:c r="J1787" s="12" t="n">
        <x:v>1</x:v>
      </x:c>
    </x:row>
    <x:row r="1788" ht="18" customHeight="1">
      <x:c r="A1788" s="13" t="n">
        <x:v>45260</x:v>
      </x:c>
      <x:c r="B1788" s="12" t="n">
        <x:v>3496.2028</x:v>
      </x:c>
      <x:c r="C1788" s="12" t="n">
        <x:v>3488.3073</x:v>
      </x:c>
      <x:c r="D1788" s="12" t="n">
        <x:v>0.2263</x:v>
      </x:c>
      <x:c r="E1788" s="12" t="n">
        <x:v>0.0022608610339468075</x:v>
      </x:c>
      <x:c r="F1788" s="13" t="n">
        <x:v>45259</x:v>
      </x:c>
      <x:c r="G1788" s="12" t="n">
        <x:v>3.8</x:v>
      </x:c>
      <x:c r="H1788" s="12" t="n">
        <x:v>380</x:v>
      </x:c>
      <x:c r="I1788" s="12" t="n">
        <x:v>-10</x:v>
      </x:c>
      <x:c r="J1788" s="12" t="n">
        <x:v>1</x:v>
      </x:c>
    </x:row>
    <x:row r="1789" ht="18" customHeight="1">
      <x:c r="A1789" s="13" t="n">
        <x:v>45261</x:v>
      </x:c>
      <x:c r="B1789" s="12" t="n">
        <x:v>3482.8813</x:v>
      </x:c>
      <x:c r="C1789" s="12" t="n">
        <x:v>3496.2028</x:v>
      </x:c>
      <x:c r="D1789" s="12" t="n">
        <x:v>-0.381</x:v>
      </x:c>
      <x:c r="E1789" s="12" t="n">
        <x:v>-0.0038175542772575606</x:v>
      </x:c>
      <x:c r="F1789" s="13" t="n">
        <x:v>45260</x:v>
      </x:c>
      <x:c r="G1789" s="12" t="n">
        <x:v>3.84</x:v>
      </x:c>
      <x:c r="H1789" s="12" t="n">
        <x:v>384</x:v>
      </x:c>
      <x:c r="I1789" s="12" t="n">
        <x:v>4</x:v>
      </x:c>
      <x:c r="J1789" s="12" t="n">
        <x:v>1</x:v>
      </x:c>
    </x:row>
    <x:row r="1790" ht="18" customHeight="1">
      <x:c r="A1790" s="13" t="n">
        <x:v>45264</x:v>
      </x:c>
      <x:c r="B1790" s="12" t="n">
        <x:v>3460.138</x:v>
      </x:c>
      <x:c r="C1790" s="12" t="n">
        <x:v>3482.8813</x:v>
      </x:c>
      <x:c r="D1790" s="12" t="n">
        <x:v>-0.653</x:v>
      </x:c>
      <x:c r="E1790" s="12" t="n">
        <x:v>-0.006551438319548501</x:v>
      </x:c>
      <x:c r="F1790" s="13" t="n">
        <x:v>45261</x:v>
      </x:c>
      <x:c r="G1790" s="12" t="n">
        <x:v>3.87</x:v>
      </x:c>
      <x:c r="H1790" s="12" t="n">
        <x:v>387</x:v>
      </x:c>
      <x:c r="I1790" s="12" t="n">
        <x:v>3</x:v>
      </x:c>
      <x:c r="J1790" s="12" t="n">
        <x:v>3</x:v>
      </x:c>
    </x:row>
    <x:row r="1791" ht="18" customHeight="1">
      <x:c r="A1791" s="13" t="n">
        <x:v>45265</x:v>
      </x:c>
      <x:c r="B1791" s="12" t="n">
        <x:v>3394.2571</x:v>
      </x:c>
      <x:c r="C1791" s="12" t="n">
        <x:v>3460.138</x:v>
      </x:c>
      <x:c r="D1791" s="12" t="n">
        <x:v>-1.904</x:v>
      </x:c>
      <x:c r="E1791" s="12" t="n">
        <x:v>-0.019223557398418245</x:v>
      </x:c>
      <x:c r="F1791" s="13" t="n">
        <x:v>45264</x:v>
      </x:c>
      <x:c r="G1791" s="12" t="n">
        <x:v>3.8</x:v>
      </x:c>
      <x:c r="H1791" s="12" t="n">
        <x:v>380</x:v>
      </x:c>
      <x:c r="I1791" s="12" t="n">
        <x:v>-7</x:v>
      </x:c>
      <x:c r="J1791" s="12" t="n">
        <x:v>1</x:v>
      </x:c>
    </x:row>
    <x:row r="1792" ht="18" customHeight="1">
      <x:c r="A1792" s="13" t="n">
        <x:v>45266</x:v>
      </x:c>
      <x:c r="B1792" s="12" t="n">
        <x:v>3399.598</x:v>
      </x:c>
      <x:c r="C1792" s="12" t="n">
        <x:v>3394.2571</x:v>
      </x:c>
      <x:c r="D1792" s="12" t="n">
        <x:v>0.1574</x:v>
      </x:c>
      <x:c r="E1792" s="12" t="n">
        <x:v>0.0015722740687378373</x:v>
      </x:c>
      <x:c r="F1792" s="13" t="n">
        <x:v>45265</x:v>
      </x:c>
      <x:c r="G1792" s="12" t="n">
        <x:v>3.8</x:v>
      </x:c>
      <x:c r="H1792" s="12" t="n">
        <x:v>380</x:v>
      </x:c>
      <x:c r="I1792" s="12" t="n">
        <x:v>0</x:v>
      </x:c>
      <x:c r="J1792" s="12" t="n">
        <x:v>1</x:v>
      </x:c>
    </x:row>
    <x:row r="1793" ht="18" customHeight="1">
      <x:c r="A1793" s="13" t="n">
        <x:v>45267</x:v>
      </x:c>
      <x:c r="B1793" s="12" t="n">
        <x:v>3391.2823</x:v>
      </x:c>
      <x:c r="C1793" s="12" t="n">
        <x:v>3399.598</x:v>
      </x:c>
      <x:c r="D1793" s="12" t="n">
        <x:v>-0.2446</x:v>
      </x:c>
      <x:c r="E1793" s="12" t="n">
        <x:v>-0.002449079880397321</x:v>
      </x:c>
      <x:c r="F1793" s="13" t="n">
        <x:v>45266</x:v>
      </x:c>
      <x:c r="G1793" s="12" t="n">
        <x:v>3.79</x:v>
      </x:c>
      <x:c r="H1793" s="12" t="n">
        <x:v>379</x:v>
      </x:c>
      <x:c r="I1793" s="12" t="n">
        <x:v>-1</x:v>
      </x:c>
      <x:c r="J1793" s="12" t="n">
        <x:v>1</x:v>
      </x:c>
    </x:row>
    <x:row r="1794" ht="18" customHeight="1">
      <x:c r="A1794" s="13" t="n">
        <x:v>45268</x:v>
      </x:c>
      <x:c r="B1794" s="12" t="n">
        <x:v>3399.4618</x:v>
      </x:c>
      <x:c r="C1794" s="12" t="n">
        <x:v>3391.2823</x:v>
      </x:c>
      <x:c r="D1794" s="12" t="n">
        <x:v>0.2412</x:v>
      </x:c>
      <x:c r="E1794" s="12" t="n">
        <x:v>0.0024090155173751376</x:v>
      </x:c>
      <x:c r="F1794" s="13" t="n">
        <x:v>45267</x:v>
      </x:c>
      <x:c r="G1794" s="12" t="n">
        <x:v>3.77</x:v>
      </x:c>
      <x:c r="H1794" s="12" t="n">
        <x:v>377</x:v>
      </x:c>
      <x:c r="I1794" s="12" t="n">
        <x:v>-2</x:v>
      </x:c>
      <x:c r="J1794" s="12" t="n">
        <x:v>1</x:v>
      </x:c>
    </x:row>
    <x:row r="1795" ht="18" customHeight="1">
      <x:c r="A1795" s="13" t="n">
        <x:v>45271</x:v>
      </x:c>
      <x:c r="B1795" s="12" t="n">
        <x:v>3419.4548</x:v>
      </x:c>
      <x:c r="C1795" s="12" t="n">
        <x:v>3399.4618</x:v>
      </x:c>
      <x:c r="D1795" s="12" t="n">
        <x:v>0.5881</x:v>
      </x:c>
      <x:c r="E1795" s="12" t="n">
        <x:v>0.005863998187248521</x:v>
      </x:c>
      <x:c r="F1795" s="13" t="n">
        <x:v>45268</x:v>
      </x:c>
      <x:c r="G1795" s="12" t="n">
        <x:v>3.75</x:v>
      </x:c>
      <x:c r="H1795" s="12" t="n">
        <x:v>375</x:v>
      </x:c>
      <x:c r="I1795" s="12" t="n">
        <x:v>-2</x:v>
      </x:c>
      <x:c r="J1795" s="12" t="n">
        <x:v>3</x:v>
      </x:c>
    </x:row>
    <x:row r="1796" ht="18" customHeight="1">
      <x:c r="A1796" s="13" t="n">
        <x:v>45272</x:v>
      </x:c>
      <x:c r="B1796" s="12" t="n">
        <x:v>3426.803</x:v>
      </x:c>
      <x:c r="C1796" s="12" t="n">
        <x:v>3419.4548</x:v>
      </x:c>
      <x:c r="D1796" s="12" t="n">
        <x:v>0.2149</x:v>
      </x:c>
      <x:c r="E1796" s="12" t="n">
        <x:v>0.0021466333978044914</x:v>
      </x:c>
      <x:c r="F1796" s="13" t="n">
        <x:v>45271</x:v>
      </x:c>
      <x:c r="G1796" s="12" t="n">
        <x:v>3.79</x:v>
      </x:c>
      <x:c r="H1796" s="12" t="n">
        <x:v>379</x:v>
      </x:c>
      <x:c r="I1796" s="12" t="n">
        <x:v>4</x:v>
      </x:c>
      <x:c r="J1796" s="12" t="n">
        <x:v>1</x:v>
      </x:c>
    </x:row>
    <x:row r="1797" ht="18" customHeight="1">
      <x:c r="A1797" s="13" t="n">
        <x:v>45273</x:v>
      </x:c>
      <x:c r="B1797" s="12" t="n">
        <x:v>3369.605</x:v>
      </x:c>
      <x:c r="C1797" s="12" t="n">
        <x:v>3426.803</x:v>
      </x:c>
      <x:c r="D1797" s="12" t="n">
        <x:v>-1.6691</x:v>
      </x:c>
      <x:c r="E1797" s="12" t="n">
        <x:v>-0.01683222974761668</x:v>
      </x:c>
      <x:c r="F1797" s="13" t="n">
        <x:v>45272</x:v>
      </x:c>
      <x:c r="G1797" s="12" t="n">
        <x:v>3.76</x:v>
      </x:c>
      <x:c r="H1797" s="12" t="n">
        <x:v>376</x:v>
      </x:c>
      <x:c r="I1797" s="12" t="n">
        <x:v>-3</x:v>
      </x:c>
      <x:c r="J1797" s="12" t="n">
        <x:v>1</x:v>
      </x:c>
    </x:row>
    <x:row r="1798" ht="18" customHeight="1">
      <x:c r="A1798" s="13" t="n">
        <x:v>45274</x:v>
      </x:c>
      <x:c r="B1798" s="12" t="n">
        <x:v>3351.9639</x:v>
      </x:c>
      <x:c r="C1798" s="12" t="n">
        <x:v>3369.605</x:v>
      </x:c>
      <x:c r="D1798" s="12" t="n">
        <x:v>-0.5235</x:v>
      </x:c>
      <x:c r="E1798" s="12" t="n">
        <x:v>-0.005249113939963294</x:v>
      </x:c>
      <x:c r="F1798" s="13" t="n">
        <x:v>45273</x:v>
      </x:c>
      <x:c r="G1798" s="12" t="n">
        <x:v>3.79</x:v>
      </x:c>
      <x:c r="H1798" s="12" t="n">
        <x:v>379</x:v>
      </x:c>
      <x:c r="I1798" s="12" t="n">
        <x:v>3</x:v>
      </x:c>
      <x:c r="J1798" s="12" t="n">
        <x:v>1</x:v>
      </x:c>
    </x:row>
    <x:row r="1799" ht="18" customHeight="1">
      <x:c r="A1799" s="13" t="n">
        <x:v>45275</x:v>
      </x:c>
      <x:c r="B1799" s="12" t="n">
        <x:v>3341.5517</x:v>
      </x:c>
      <x:c r="C1799" s="12" t="n">
        <x:v>3351.9639</x:v>
      </x:c>
      <x:c r="D1799" s="12" t="n">
        <x:v>-0.3106</x:v>
      </x:c>
      <x:c r="E1799" s="12" t="n">
        <x:v>-0.003111132929438227</x:v>
      </x:c>
      <x:c r="F1799" s="13" t="n">
        <x:v>45274</x:v>
      </x:c>
      <x:c r="G1799" s="12" t="n">
        <x:v>3.47</x:v>
      </x:c>
      <x:c r="H1799" s="12" t="n">
        <x:v>347</x:v>
      </x:c>
      <x:c r="I1799" s="12" t="n">
        <x:v>-32</x:v>
      </x:c>
      <x:c r="J1799" s="12" t="n">
        <x:v>1</x:v>
      </x:c>
    </x:row>
    <x:row r="1800" ht="18" customHeight="1">
      <x:c r="A1800" s="13" t="n">
        <x:v>45278</x:v>
      </x:c>
      <x:c r="B1800" s="12" t="n">
        <x:v>3329.3657</x:v>
      </x:c>
      <x:c r="C1800" s="12" t="n">
        <x:v>3341.5517</x:v>
      </x:c>
      <x:c r="D1800" s="12" t="n">
        <x:v>-0.3647</x:v>
      </x:c>
      <x:c r="E1800" s="12" t="n">
        <x:v>-0.0036534745745062168</x:v>
      </x:c>
      <x:c r="F1800" s="13" t="n">
        <x:v>45275</x:v>
      </x:c>
      <x:c r="G1800" s="12" t="n">
        <x:v>3.51</x:v>
      </x:c>
      <x:c r="H1800" s="12" t="n">
        <x:v>351</x:v>
      </x:c>
      <x:c r="I1800" s="12" t="n">
        <x:v>4</x:v>
      </x:c>
      <x:c r="J1800" s="12" t="n">
        <x:v>3</x:v>
      </x:c>
    </x:row>
    <x:row r="1801" ht="18" customHeight="1">
      <x:c r="A1801" s="13" t="n">
        <x:v>45279</x:v>
      </x:c>
      <x:c r="B1801" s="12" t="n">
        <x:v>3334.0412</x:v>
      </x:c>
      <x:c r="C1801" s="12" t="n">
        <x:v>3329.3657</x:v>
      </x:c>
      <x:c r="D1801" s="12" t="n">
        <x:v>0.1404</x:v>
      </x:c>
      <x:c r="E1801" s="12" t="n">
        <x:v>0.0014033364125818817</x:v>
      </x:c>
      <x:c r="F1801" s="13" t="n">
        <x:v>45278</x:v>
      </x:c>
      <x:c r="G1801" s="12" t="n">
        <x:v>3.51</x:v>
      </x:c>
      <x:c r="H1801" s="12" t="n">
        <x:v>351</x:v>
      </x:c>
      <x:c r="I1801" s="12" t="n">
        <x:v>0</x:v>
      </x:c>
      <x:c r="J1801" s="12" t="n">
        <x:v>1</x:v>
      </x:c>
    </x:row>
    <x:row r="1802" ht="18" customHeight="1">
      <x:c r="A1802" s="13" t="n">
        <x:v>45280</x:v>
      </x:c>
      <x:c r="B1802" s="12" t="n">
        <x:v>3297.5022</x:v>
      </x:c>
      <x:c r="C1802" s="12" t="n">
        <x:v>3334.0412</x:v>
      </x:c>
      <x:c r="D1802" s="12" t="n">
        <x:v>-1.0959</x:v>
      </x:c>
      <x:c r="E1802" s="12" t="n">
        <x:v>-0.011019868999532874</x:v>
      </x:c>
      <x:c r="F1802" s="13" t="n">
        <x:v>45279</x:v>
      </x:c>
      <x:c r="G1802" s="12" t="n">
        <x:v>3.46</x:v>
      </x:c>
      <x:c r="H1802" s="12" t="n">
        <x:v>346</x:v>
      </x:c>
      <x:c r="I1802" s="12" t="n">
        <x:v>-5</x:v>
      </x:c>
      <x:c r="J1802" s="12" t="n">
        <x:v>1</x:v>
      </x:c>
    </x:row>
    <x:row r="1803" ht="18" customHeight="1">
      <x:c r="A1803" s="13" t="n">
        <x:v>45281</x:v>
      </x:c>
      <x:c r="B1803" s="12" t="n">
        <x:v>3330.8698</x:v>
      </x:c>
      <x:c r="C1803" s="12" t="n">
        <x:v>3297.5022</x:v>
      </x:c>
      <x:c r="D1803" s="12" t="n">
        <x:v>1.0119</x:v>
      </x:c>
      <x:c r="E1803" s="12" t="n">
        <x:v>0.01006819830524892</x:v>
      </x:c>
      <x:c r="F1803" s="13" t="n">
        <x:v>45280</x:v>
      </x:c>
      <x:c r="G1803" s="12" t="n">
        <x:v>3.43</x:v>
      </x:c>
      <x:c r="H1803" s="12" t="n">
        <x:v>343</x:v>
      </x:c>
      <x:c r="I1803" s="12" t="n">
        <x:v>-3</x:v>
      </x:c>
      <x:c r="J1803" s="12" t="n">
        <x:v>1</x:v>
      </x:c>
    </x:row>
    <x:row r="1804" ht="18" customHeight="1">
      <x:c r="A1804" s="13" t="n">
        <x:v>45282</x:v>
      </x:c>
      <x:c r="B1804" s="12" t="n">
        <x:v>3337.2281</x:v>
      </x:c>
      <x:c r="C1804" s="12" t="n">
        <x:v>3330.8698</x:v>
      </x:c>
      <x:c r="D1804" s="12" t="n">
        <x:v>0.1909</x:v>
      </x:c>
      <x:c r="E1804" s="12" t="n">
        <x:v>0.0019070811564037447</x:v>
      </x:c>
      <x:c r="F1804" s="13" t="n">
        <x:v>45281</x:v>
      </x:c>
      <x:c r="G1804" s="12" t="n">
        <x:v>3.41</x:v>
      </x:c>
      <x:c r="H1804" s="12" t="n">
        <x:v>341</x:v>
      </x:c>
      <x:c r="I1804" s="12" t="n">
        <x:v>-2</x:v>
      </x:c>
      <x:c r="J1804" s="12" t="n">
        <x:v>1</x:v>
      </x:c>
    </x:row>
    <x:row r="1805" ht="18" customHeight="1">
      <x:c r="A1805" s="13" t="n">
        <x:v>45285</x:v>
      </x:c>
      <x:c r="B1805" s="12" t="n">
        <x:v>3347.4508</x:v>
      </x:c>
      <x:c r="C1805" s="12" t="n">
        <x:v>3337.2281</x:v>
      </x:c>
      <x:c r="D1805" s="12" t="n">
        <x:v>0.3063</x:v>
      </x:c>
      <x:c r="E1805" s="12" t="n">
        <x:v>0.003058548696843727</x:v>
      </x:c>
      <x:c r="F1805" s="13" t="n">
        <x:v>45282</x:v>
      </x:c>
      <x:c r="G1805" s="12" t="n">
        <x:v>3.39</x:v>
      </x:c>
      <x:c r="H1805" s="12" t="n">
        <x:v>339</x:v>
      </x:c>
      <x:c r="I1805" s="12" t="n">
        <x:v>-2</x:v>
      </x:c>
      <x:c r="J1805" s="12" t="n">
        <x:v>3</x:v>
      </x:c>
    </x:row>
    <x:row r="1806" ht="18" customHeight="1">
      <x:c r="A1806" s="13" t="n">
        <x:v>45286</x:v>
      </x:c>
      <x:c r="B1806" s="12" t="n">
        <x:v>3324.7902</x:v>
      </x:c>
      <x:c r="C1806" s="12" t="n">
        <x:v>3347.4508</x:v>
      </x:c>
      <x:c r="D1806" s="12" t="n">
        <x:v>-0.677</x:v>
      </x:c>
      <x:c r="E1806" s="12" t="n">
        <x:v>-0.006792526566996367</x:v>
      </x:c>
      <x:c r="F1806" s="13" t="n">
        <x:v>45282</x:v>
      </x:c>
      <x:c r="G1806" s="12" t="n">
        <x:v>3.39</x:v>
      </x:c>
      <x:c r="H1806" s="12" t="n">
        <x:v>339</x:v>
      </x:c>
      <x:c r="I1806" s="12" t="n">
        <x:v>-2</x:v>
      </x:c>
      <x:c r="J1806" s="12" t="n">
        <x:v>4</x:v>
      </x:c>
    </x:row>
    <x:row r="1807" ht="18" customHeight="1">
      <x:c r="A1807" s="13" t="n">
        <x:v>45287</x:v>
      </x:c>
      <x:c r="B1807" s="12" t="n">
        <x:v>3336.3572</x:v>
      </x:c>
      <x:c r="C1807" s="12" t="n">
        <x:v>3324.7902</x:v>
      </x:c>
      <x:c r="D1807" s="12" t="n">
        <x:v>0.3479</x:v>
      </x:c>
      <x:c r="E1807" s="12" t="n">
        <x:v>0.0034729787322696913</x:v>
      </x:c>
      <x:c r="F1807" s="13" t="n">
        <x:v>45286</x:v>
      </x:c>
      <x:c r="G1807" s="12" t="n">
        <x:v>3.37</x:v>
      </x:c>
      <x:c r="H1807" s="12" t="n">
        <x:v>337</x:v>
      </x:c>
      <x:c r="I1807" s="12" t="n">
        <x:v>-2</x:v>
      </x:c>
      <x:c r="J1807" s="12" t="n">
        <x:v>1</x:v>
      </x:c>
    </x:row>
    <x:row r="1808" ht="18" customHeight="1">
      <x:c r="A1808" s="13" t="n">
        <x:v>45288</x:v>
      </x:c>
      <x:c r="B1808" s="12" t="n">
        <x:v>3414.5403</x:v>
      </x:c>
      <x:c r="C1808" s="12" t="n">
        <x:v>3336.3572</x:v>
      </x:c>
      <x:c r="D1808" s="12" t="n">
        <x:v>2.3434</x:v>
      </x:c>
      <x:c r="E1808" s="12" t="n">
        <x:v>0.0231633188509078</x:v>
      </x:c>
      <x:c r="F1808" s="13" t="n">
        <x:v>45287</x:v>
      </x:c>
      <x:c r="G1808" s="12" t="n">
        <x:v>3.34</x:v>
      </x:c>
      <x:c r="H1808" s="12" t="n">
        <x:v>334</x:v>
      </x:c>
      <x:c r="I1808" s="12" t="n">
        <x:v>-3</x:v>
      </x:c>
      <x:c r="J1808" s="12" t="n">
        <x:v>1</x:v>
      </x:c>
    </x:row>
    <x:row r="1809" ht="18" customHeight="1">
      <x:c r="A1809" s="13" t="n">
        <x:v>45289</x:v>
      </x:c>
      <x:c r="B1809" s="12" t="n">
        <x:v>3431.1099</x:v>
      </x:c>
      <x:c r="C1809" s="12" t="n">
        <x:v>3414.5403</x:v>
      </x:c>
      <x:c r="D1809" s="12" t="n">
        <x:v>0.4853</x:v>
      </x:c>
      <x:c r="E1809" s="12" t="n">
        <x:v>0.004840922885131526</x:v>
      </x:c>
      <x:c r="F1809" s="13" t="n">
        <x:v>45288</x:v>
      </x:c>
      <x:c r="G1809" s="12" t="n">
        <x:v>3.32</x:v>
      </x:c>
      <x:c r="H1809" s="12" t="n">
        <x:v>332</x:v>
      </x:c>
      <x:c r="I1809" s="12" t="n">
        <x:v>-2</x:v>
      </x:c>
      <x:c r="J1809" s="12" t="n">
        <x:v>1</x:v>
      </x:c>
    </x:row>
    <x:row r="1810" ht="18" customHeight="1">
      <x:c r="A1810" s="13" t="n">
        <x:v>45293</x:v>
      </x:c>
      <x:c r="B1810" s="12" t="n">
        <x:v>3386.3522</x:v>
      </x:c>
      <x:c r="C1810" s="12" t="n">
        <x:v>3431.1099</x:v>
      </x:c>
      <x:c r="D1810" s="12" t="n">
        <x:v>-1.3045</x:v>
      </x:c>
      <x:c r="E1810" s="12" t="n">
        <x:v>-0.013130500000731902</x:v>
      </x:c>
      <x:c r="F1810" s="13" t="n">
        <x:v>45291</x:v>
      </x:c>
      <x:c r="G1810" s="12" t="n">
        <x:v>3.39</x:v>
      </x:c>
      <x:c r="H1810" s="12" t="n">
        <x:v>339</x:v>
      </x:c>
      <x:c r="I1810" s="12" t="n">
        <x:v>5</x:v>
      </x:c>
      <x:c r="J1810" s="12" t="n">
        <x:v>2</x:v>
      </x:c>
    </x:row>
    <x:row r="1811" ht="18" customHeight="1">
      <x:c r="A1811" s="13" t="n">
        <x:v>45294</x:v>
      </x:c>
      <x:c r="B1811" s="12" t="n">
        <x:v>3378.2971</x:v>
      </x:c>
      <x:c r="C1811" s="12" t="n">
        <x:v>3386.3522</x:v>
      </x:c>
      <x:c r="D1811" s="12" t="n">
        <x:v>-0.2379</x:v>
      </x:c>
      <x:c r="E1811" s="12" t="n">
        <x:v>-0.0023815288716185186</x:v>
      </x:c>
      <x:c r="F1811" s="13" t="n">
        <x:v>45293</x:v>
      </x:c>
      <x:c r="G1811" s="12" t="n">
        <x:v>3.54</x:v>
      </x:c>
      <x:c r="H1811" s="12" t="n">
        <x:v>354</x:v>
      </x:c>
      <x:c r="I1811" s="12" t="n">
        <x:v>15</x:v>
      </x:c>
      <x:c r="J1811" s="12" t="n">
        <x:v>1</x:v>
      </x:c>
    </x:row>
    <x:row r="1812" ht="18" customHeight="1">
      <x:c r="A1812" s="13" t="n">
        <x:v>45295</x:v>
      </x:c>
      <x:c r="B1812" s="12" t="n">
        <x:v>3347.0519</x:v>
      </x:c>
      <x:c r="C1812" s="12" t="n">
        <x:v>3378.2971</x:v>
      </x:c>
      <x:c r="D1812" s="12" t="n">
        <x:v>-0.9249</x:v>
      </x:c>
      <x:c r="E1812" s="12" t="n">
        <x:v>-0.009291837436039434</x:v>
      </x:c>
      <x:c r="F1812" s="13" t="n">
        <x:v>45294</x:v>
      </x:c>
      <x:c r="G1812" s="12" t="n">
        <x:v>3.71</x:v>
      </x:c>
      <x:c r="H1812" s="12" t="n">
        <x:v>371</x:v>
      </x:c>
      <x:c r="I1812" s="12" t="n">
        <x:v>17</x:v>
      </x:c>
      <x:c r="J1812" s="12" t="n">
        <x:v>1</x:v>
      </x:c>
    </x:row>
    <x:row r="1813" ht="18" customHeight="1">
      <x:c r="A1813" s="13" t="n">
        <x:v>45296</x:v>
      </x:c>
      <x:c r="B1813" s="12" t="n">
        <x:v>3329.1114</x:v>
      </x:c>
      <x:c r="C1813" s="12" t="n">
        <x:v>3347.0519</x:v>
      </x:c>
      <x:c r="D1813" s="12" t="n">
        <x:v>-0.536</x:v>
      </x:c>
      <x:c r="E1813" s="12" t="n">
        <x:v>-0.005374506997078489</x:v>
      </x:c>
      <x:c r="F1813" s="13" t="n">
        <x:v>45295</x:v>
      </x:c>
      <x:c r="G1813" s="12" t="n">
        <x:v>3.69</x:v>
      </x:c>
      <x:c r="H1813" s="12" t="n">
        <x:v>369</x:v>
      </x:c>
      <x:c r="I1813" s="12" t="n">
        <x:v>-2</x:v>
      </x:c>
      <x:c r="J1813" s="12" t="n">
        <x:v>1</x:v>
      </x:c>
    </x:row>
    <x:row r="1814" ht="18" customHeight="1">
      <x:c r="A1814" s="13" t="n">
        <x:v>45299</x:v>
      </x:c>
      <x:c r="B1814" s="12" t="n">
        <x:v>3286.0564</x:v>
      </x:c>
      <x:c r="C1814" s="12" t="n">
        <x:v>3329.1114</x:v>
      </x:c>
      <x:c r="D1814" s="12" t="n">
        <x:v>-1.2933</x:v>
      </x:c>
      <x:c r="E1814" s="12" t="n">
        <x:v>-0.013017238342875813</x:v>
      </x:c>
      <x:c r="F1814" s="13" t="n">
        <x:v>45296</x:v>
      </x:c>
      <x:c r="G1814" s="12" t="n">
        <x:v>3.68</x:v>
      </x:c>
      <x:c r="H1814" s="12" t="n">
        <x:v>368</x:v>
      </x:c>
      <x:c r="I1814" s="12" t="n">
        <x:v>-1</x:v>
      </x:c>
      <x:c r="J1814" s="12" t="n">
        <x:v>3</x:v>
      </x:c>
    </x:row>
    <x:row r="1815" ht="18" customHeight="1">
      <x:c r="A1815" s="13" t="n">
        <x:v>45300</x:v>
      </x:c>
      <x:c r="B1815" s="12" t="n">
        <x:v>3292.4994</x:v>
      </x:c>
      <x:c r="C1815" s="12" t="n">
        <x:v>3286.0564</x:v>
      </x:c>
      <x:c r="D1815" s="12" t="n">
        <x:v>0.1961</x:v>
      </x:c>
      <x:c r="E1815" s="12" t="n">
        <x:v>0.0019587892102615333</x:v>
      </x:c>
      <x:c r="F1815" s="13" t="n">
        <x:v>45299</x:v>
      </x:c>
      <x:c r="G1815" s="12" t="n">
        <x:v>3.63</x:v>
      </x:c>
      <x:c r="H1815" s="12" t="n">
        <x:v>363</x:v>
      </x:c>
      <x:c r="I1815" s="12" t="n">
        <x:v>-5</x:v>
      </x:c>
      <x:c r="J1815" s="12" t="n">
        <x:v>1</x:v>
      </x:c>
    </x:row>
    <x:row r="1816" ht="18" customHeight="1">
      <x:c r="A1816" s="13" t="n">
        <x:v>45301</x:v>
      </x:c>
      <x:c r="B1816" s="12" t="n">
        <x:v>3277.129</x:v>
      </x:c>
      <x:c r="C1816" s="12" t="n">
        <x:v>3292.4994</x:v>
      </x:c>
      <x:c r="D1816" s="12" t="n">
        <x:v>-0.4668</x:v>
      </x:c>
      <x:c r="E1816" s="12" t="n">
        <x:v>-0.00467923818793512</x:v>
      </x:c>
      <x:c r="F1816" s="13" t="n">
        <x:v>45300</x:v>
      </x:c>
      <x:c r="G1816" s="12" t="n">
        <x:v>3.59</x:v>
      </x:c>
      <x:c r="H1816" s="12" t="n">
        <x:v>359</x:v>
      </x:c>
      <x:c r="I1816" s="12" t="n">
        <x:v>-4</x:v>
      </x:c>
      <x:c r="J1816" s="12" t="n">
        <x:v>1</x:v>
      </x:c>
    </x:row>
    <x:row r="1817" ht="18" customHeight="1">
      <x:c r="A1817" s="13" t="n">
        <x:v>45302</x:v>
      </x:c>
      <x:c r="B1817" s="12" t="n">
        <x:v>3295.6717</x:v>
      </x:c>
      <x:c r="C1817" s="12" t="n">
        <x:v>3277.129</x:v>
      </x:c>
      <x:c r="D1817" s="12" t="n">
        <x:v>0.5658</x:v>
      </x:c>
      <x:c r="E1817" s="12" t="n">
        <x:v>0.005642267288734283</x:v>
      </x:c>
      <x:c r="F1817" s="13" t="n">
        <x:v>45301</x:v>
      </x:c>
      <x:c r="G1817" s="12" t="n">
        <x:v>3.5</x:v>
      </x:c>
      <x:c r="H1817" s="12" t="n">
        <x:v>350</x:v>
      </x:c>
      <x:c r="I1817" s="12" t="n">
        <x:v>-9</x:v>
      </x:c>
      <x:c r="J1817" s="12" t="n">
        <x:v>1</x:v>
      </x:c>
    </x:row>
    <x:row r="1818" ht="18" customHeight="1">
      <x:c r="A1818" s="13" t="n">
        <x:v>45303</x:v>
      </x:c>
      <x:c r="B1818" s="12" t="n">
        <x:v>3284.1667</x:v>
      </x:c>
      <x:c r="C1818" s="12" t="n">
        <x:v>3295.6717</x:v>
      </x:c>
      <x:c r="D1818" s="12" t="n">
        <x:v>-0.3491</x:v>
      </x:c>
      <x:c r="E1818" s="12" t="n">
        <x:v>-0.003497049935115232</x:v>
      </x:c>
      <x:c r="F1818" s="13" t="n">
        <x:v>45302</x:v>
      </x:c>
      <x:c r="G1818" s="12" t="n">
        <x:v>3.55</x:v>
      </x:c>
      <x:c r="H1818" s="12" t="n">
        <x:v>355</x:v>
      </x:c>
      <x:c r="I1818" s="12" t="n">
        <x:v>5</x:v>
      </x:c>
      <x:c r="J1818" s="12" t="n">
        <x:v>1</x:v>
      </x:c>
    </x:row>
    <x:row r="1819" ht="18" customHeight="1">
      <x:c r="A1819" s="13" t="n">
        <x:v>45306</x:v>
      </x:c>
      <x:c r="B1819" s="12" t="n">
        <x:v>3280.9195</x:v>
      </x:c>
      <x:c r="C1819" s="12" t="n">
        <x:v>3284.1667</x:v>
      </x:c>
      <x:c r="D1819" s="12" t="n">
        <x:v>-0.0989</x:v>
      </x:c>
      <x:c r="E1819" s="12" t="n">
        <x:v>-0.0009892330933307953</x:v>
      </x:c>
      <x:c r="F1819" s="13" t="n">
        <x:v>45303</x:v>
      </x:c>
      <x:c r="G1819" s="12" t="n">
        <x:v>3.56</x:v>
      </x:c>
      <x:c r="H1819" s="12" t="n">
        <x:v>356</x:v>
      </x:c>
      <x:c r="I1819" s="12" t="n">
        <x:v>1</x:v>
      </x:c>
      <x:c r="J1819" s="12" t="n">
        <x:v>3</x:v>
      </x:c>
    </x:row>
    <x:row r="1820" ht="18" customHeight="1">
      <x:c r="A1820" s="13" t="n">
        <x:v>45307</x:v>
      </x:c>
      <x:c r="B1820" s="12" t="n">
        <x:v>3300.8762</x:v>
      </x:c>
      <x:c r="C1820" s="12" t="n">
        <x:v>3280.9195</x:v>
      </x:c>
      <x:c r="D1820" s="12" t="n">
        <x:v>0.6083</x:v>
      </x:c>
      <x:c r="E1820" s="12" t="n">
        <x:v>0.006064229905750575</x:v>
      </x:c>
      <x:c r="F1820" s="13" t="n">
        <x:v>45306</x:v>
      </x:c>
      <x:c r="G1820" s="12" t="n">
        <x:v>3.54</x:v>
      </x:c>
      <x:c r="H1820" s="12" t="n">
        <x:v>354</x:v>
      </x:c>
      <x:c r="I1820" s="12" t="n">
        <x:v>-2</x:v>
      </x:c>
      <x:c r="J1820" s="12" t="n">
        <x:v>1</x:v>
      </x:c>
    </x:row>
    <x:row r="1821" ht="18" customHeight="1">
      <x:c r="A1821" s="13" t="n">
        <x:v>45308</x:v>
      </x:c>
      <x:c r="B1821" s="12" t="n">
        <x:v>3229.082</x:v>
      </x:c>
      <x:c r="C1821" s="12" t="n">
        <x:v>3300.8762</x:v>
      </x:c>
      <x:c r="D1821" s="12" t="n">
        <x:v>-2.175</x:v>
      </x:c>
      <x:c r="E1821" s="12" t="n">
        <x:v>-0.021990062068256426</x:v>
      </x:c>
      <x:c r="F1821" s="13" t="n">
        <x:v>45307</x:v>
      </x:c>
      <x:c r="G1821" s="12" t="n">
        <x:v>3.58</x:v>
      </x:c>
      <x:c r="H1821" s="12" t="n">
        <x:v>358</x:v>
      </x:c>
      <x:c r="I1821" s="12" t="n">
        <x:v>4</x:v>
      </x:c>
      <x:c r="J1821" s="12" t="n">
        <x:v>1</x:v>
      </x:c>
    </x:row>
    <x:row r="1822" ht="18" customHeight="1">
      <x:c r="A1822" s="13" t="n">
        <x:v>45309</x:v>
      </x:c>
      <x:c r="B1822" s="12" t="n">
        <x:v>3274.7286</x:v>
      </x:c>
      <x:c r="C1822" s="12" t="n">
        <x:v>3229.082</x:v>
      </x:c>
      <x:c r="D1822" s="12" t="n">
        <x:v>1.4136</x:v>
      </x:c>
      <x:c r="E1822" s="12" t="n">
        <x:v>0.014037109111496884</x:v>
      </x:c>
      <x:c r="F1822" s="13" t="n">
        <x:v>45308</x:v>
      </x:c>
      <x:c r="G1822" s="12" t="n">
        <x:v>3.62</x:v>
      </x:c>
      <x:c r="H1822" s="12" t="n">
        <x:v>362</x:v>
      </x:c>
      <x:c r="I1822" s="12" t="n">
        <x:v>4</x:v>
      </x:c>
      <x:c r="J1822" s="12" t="n">
        <x:v>1</x:v>
      </x:c>
    </x:row>
    <x:row r="1823" ht="18" customHeight="1">
      <x:c r="A1823" s="13" t="n">
        <x:v>45310</x:v>
      </x:c>
      <x:c r="B1823" s="12" t="n">
        <x:v>3269.7763</x:v>
      </x:c>
      <x:c r="C1823" s="12" t="n">
        <x:v>3274.7286</x:v>
      </x:c>
      <x:c r="D1823" s="12" t="n">
        <x:v>-0.1512</x:v>
      </x:c>
      <x:c r="E1823" s="12" t="n">
        <x:v>-0.0015134226411072569</x:v>
      </x:c>
      <x:c r="F1823" s="13" t="n">
        <x:v>45309</x:v>
      </x:c>
      <x:c r="G1823" s="12" t="n">
        <x:v>3.58</x:v>
      </x:c>
      <x:c r="H1823" s="12" t="n">
        <x:v>358</x:v>
      </x:c>
      <x:c r="I1823" s="12" t="n">
        <x:v>-4</x:v>
      </x:c>
      <x:c r="J1823" s="12" t="n">
        <x:v>1</x:v>
      </x:c>
    </x:row>
    <x:row r="1824" ht="18" customHeight="1">
      <x:c r="A1824" s="13" t="n">
        <x:v>45313</x:v>
      </x:c>
      <x:c r="B1824" s="12" t="n">
        <x:v>3218.9016</x:v>
      </x:c>
      <x:c r="C1824" s="12" t="n">
        <x:v>3269.7763</x:v>
      </x:c>
      <x:c r="D1824" s="12" t="n">
        <x:v>-1.5559</x:v>
      </x:c>
      <x:c r="E1824" s="12" t="n">
        <x:v>-0.015681389433262163</x:v>
      </x:c>
      <x:c r="F1824" s="13" t="n">
        <x:v>45310</x:v>
      </x:c>
      <x:c r="G1824" s="12" t="n">
        <x:v>3.54</x:v>
      </x:c>
      <x:c r="H1824" s="12" t="n">
        <x:v>354</x:v>
      </x:c>
      <x:c r="I1824" s="12" t="n">
        <x:v>-4</x:v>
      </x:c>
      <x:c r="J1824" s="12" t="n">
        <x:v>3</x:v>
      </x:c>
    </x:row>
    <x:row r="1825" ht="18" customHeight="1">
      <x:c r="A1825" s="13" t="n">
        <x:v>45314</x:v>
      </x:c>
      <x:c r="B1825" s="12" t="n">
        <x:v>3231.9329</x:v>
      </x:c>
      <x:c r="C1825" s="12" t="n">
        <x:v>3218.9016</x:v>
      </x:c>
      <x:c r="D1825" s="12" t="n">
        <x:v>0.4048</x:v>
      </x:c>
      <x:c r="E1825" s="12" t="n">
        <x:v>0.004040195954808554</x:v>
      </x:c>
      <x:c r="F1825" s="13" t="n">
        <x:v>45313</x:v>
      </x:c>
      <x:c r="G1825" s="12" t="n">
        <x:v>3.49</x:v>
      </x:c>
      <x:c r="H1825" s="12" t="n">
        <x:v>349</x:v>
      </x:c>
      <x:c r="I1825" s="12" t="n">
        <x:v>-5</x:v>
      </x:c>
      <x:c r="J1825" s="12" t="n">
        <x:v>1</x:v>
      </x:c>
    </x:row>
    <x:row r="1826" ht="18" customHeight="1">
      <x:c r="A1826" s="13" t="n">
        <x:v>45315</x:v>
      </x:c>
      <x:c r="B1826" s="12" t="n">
        <x:v>3277.1089</x:v>
      </x:c>
      <x:c r="C1826" s="12" t="n">
        <x:v>3231.9329</x:v>
      </x:c>
      <x:c r="D1826" s="12" t="n">
        <x:v>1.3978</x:v>
      </x:c>
      <x:c r="E1826" s="12" t="n">
        <x:v>0.013881221474081462</x:v>
      </x:c>
      <x:c r="F1826" s="13" t="n">
        <x:v>45314</x:v>
      </x:c>
      <x:c r="G1826" s="12" t="n">
        <x:v>3.51</x:v>
      </x:c>
      <x:c r="H1826" s="12" t="n">
        <x:v>351</x:v>
      </x:c>
      <x:c r="I1826" s="12" t="n">
        <x:v>2</x:v>
      </x:c>
      <x:c r="J1826" s="12" t="n">
        <x:v>1</x:v>
      </x:c>
    </x:row>
    <x:row r="1827" ht="18" customHeight="1">
      <x:c r="A1827" s="13" t="n">
        <x:v>45316</x:v>
      </x:c>
      <x:c r="B1827" s="12" t="n">
        <x:v>3342.9189</x:v>
      </x:c>
      <x:c r="C1827" s="12" t="n">
        <x:v>3277.1089</x:v>
      </x:c>
      <x:c r="D1827" s="12" t="n">
        <x:v>2.0082</x:v>
      </x:c>
      <x:c r="E1827" s="12" t="n">
        <x:v>0.019882746717866898</x:v>
      </x:c>
      <x:c r="F1827" s="13" t="n">
        <x:v>45315</x:v>
      </x:c>
      <x:c r="G1827" s="12" t="n">
        <x:v>3.44</x:v>
      </x:c>
      <x:c r="H1827" s="12" t="n">
        <x:v>344</x:v>
      </x:c>
      <x:c r="I1827" s="12" t="n">
        <x:v>-7</x:v>
      </x:c>
      <x:c r="J1827" s="12" t="n">
        <x:v>1</x:v>
      </x:c>
    </x:row>
    <x:row r="1828" ht="18" customHeight="1">
      <x:c r="A1828" s="13" t="n">
        <x:v>45317</x:v>
      </x:c>
      <x:c r="B1828" s="12" t="n">
        <x:v>3333.8213</x:v>
      </x:c>
      <x:c r="C1828" s="12" t="n">
        <x:v>3342.9189</x:v>
      </x:c>
      <x:c r="D1828" s="12" t="n">
        <x:v>-0.2721</x:v>
      </x:c>
      <x:c r="E1828" s="12" t="n">
        <x:v>-0.002725163884702412</x:v>
      </x:c>
      <x:c r="F1828" s="13" t="n">
        <x:v>45316</x:v>
      </x:c>
      <x:c r="G1828" s="12" t="n">
        <x:v>3.45</x:v>
      </x:c>
      <x:c r="H1828" s="12" t="n">
        <x:v>345</x:v>
      </x:c>
      <x:c r="I1828" s="12" t="n">
        <x:v>1</x:v>
      </x:c>
      <x:c r="J1828" s="12" t="n">
        <x:v>1</x:v>
      </x:c>
    </x:row>
    <x:row r="1829" ht="18" customHeight="1">
      <x:c r="A1829" s="13" t="n">
        <x:v>45320</x:v>
      </x:c>
      <x:c r="B1829" s="12" t="n">
        <x:v>3303.9604</x:v>
      </x:c>
      <x:c r="C1829" s="12" t="n">
        <x:v>3333.8213</x:v>
      </x:c>
      <x:c r="D1829" s="12" t="n">
        <x:v>-0.8957</x:v>
      </x:c>
      <x:c r="E1829" s="12" t="n">
        <x:v>-0.00899731349721521</x:v>
      </x:c>
      <x:c r="F1829" s="13" t="n">
        <x:v>45317</x:v>
      </x:c>
      <x:c r="G1829" s="12" t="n">
        <x:v>3.39</x:v>
      </x:c>
      <x:c r="H1829" s="12" t="n">
        <x:v>339</x:v>
      </x:c>
      <x:c r="I1829" s="12" t="n">
        <x:v>-6</x:v>
      </x:c>
      <x:c r="J1829" s="12" t="n">
        <x:v>3</x:v>
      </x:c>
    </x:row>
    <x:row r="1830" ht="18" customHeight="1">
      <x:c r="A1830" s="13" t="n">
        <x:v>45321</x:v>
      </x:c>
      <x:c r="B1830" s="12" t="n">
        <x:v>3245.0387</x:v>
      </x:c>
      <x:c r="C1830" s="12" t="n">
        <x:v>3303.9604</x:v>
      </x:c>
      <x:c r="D1830" s="12" t="n">
        <x:v>-1.7834</x:v>
      </x:c>
      <x:c r="E1830" s="12" t="n">
        <x:v>-0.01799459398974998</x:v>
      </x:c>
      <x:c r="F1830" s="13" t="n">
        <x:v>45320</x:v>
      </x:c>
      <x:c r="G1830" s="12" t="n">
        <x:v>3.41</x:v>
      </x:c>
      <x:c r="H1830" s="12" t="n">
        <x:v>341</x:v>
      </x:c>
      <x:c r="I1830" s="12" t="n">
        <x:v>2</x:v>
      </x:c>
      <x:c r="J1830" s="12" t="n">
        <x:v>1</x:v>
      </x:c>
    </x:row>
    <x:row r="1831" ht="18" customHeight="1">
      <x:c r="A1831" s="13" t="n">
        <x:v>45322</x:v>
      </x:c>
      <x:c r="B1831" s="12" t="n">
        <x:v>3215.3518</x:v>
      </x:c>
      <x:c r="C1831" s="12" t="n">
        <x:v>3245.0387</x:v>
      </x:c>
      <x:c r="D1831" s="12" t="n">
        <x:v>-0.9148</x:v>
      </x:c>
      <x:c r="E1831" s="12" t="n">
        <x:v>-0.009190499849532225</x:v>
      </x:c>
      <x:c r="F1831" s="13" t="n">
        <x:v>45321</x:v>
      </x:c>
      <x:c r="G1831" s="12" t="n">
        <x:v>3.42</x:v>
      </x:c>
      <x:c r="H1831" s="12" t="n">
        <x:v>342</x:v>
      </x:c>
      <x:c r="I1831" s="12" t="n">
        <x:v>1</x:v>
      </x:c>
      <x:c r="J1831" s="12" t="n">
        <x:v>1</x:v>
      </x:c>
    </x:row>
    <x:row r="1832" ht="18" customHeight="1">
      <x:c r="A1832" s="13" t="n">
        <x:v>45323</x:v>
      </x:c>
      <x:c r="B1832" s="12" t="n">
        <x:v>3217.7109</x:v>
      </x:c>
      <x:c r="C1832" s="12" t="n">
        <x:v>3215.3518</x:v>
      </x:c>
      <x:c r="D1832" s="12" t="n">
        <x:v>0.0734</x:v>
      </x:c>
      <x:c r="E1832" s="12" t="n">
        <x:v>0.0007334298500620088</x:v>
      </x:c>
      <x:c r="F1832" s="13" t="n">
        <x:v>45322</x:v>
      </x:c>
      <x:c r="G1832" s="12" t="n">
        <x:v>3.59</x:v>
      </x:c>
      <x:c r="H1832" s="12" t="n">
        <x:v>359</x:v>
      </x:c>
      <x:c r="I1832" s="12" t="n">
        <x:v>17</x:v>
      </x:c>
      <x:c r="J1832" s="12" t="n">
        <x:v>1</x:v>
      </x:c>
    </x:row>
    <x:row r="1833" ht="18" customHeight="1">
      <x:c r="A1833" s="13" t="n">
        <x:v>45324</x:v>
      </x:c>
      <x:c r="B1833" s="12" t="n">
        <x:v>3179.6276</x:v>
      </x:c>
      <x:c r="C1833" s="12" t="n">
        <x:v>3217.7109</x:v>
      </x:c>
      <x:c r="D1833" s="12" t="n">
        <x:v>-1.1836</x:v>
      </x:c>
      <x:c r="E1833" s="12" t="n">
        <x:v>-0.011906123109234383</x:v>
      </x:c>
      <x:c r="F1833" s="13" t="n">
        <x:v>45323</x:v>
      </x:c>
      <x:c r="G1833" s="12" t="n">
        <x:v>3.56</x:v>
      </x:c>
      <x:c r="H1833" s="12" t="n">
        <x:v>356</x:v>
      </x:c>
      <x:c r="I1833" s="12" t="n">
        <x:v>-3</x:v>
      </x:c>
      <x:c r="J1833" s="12" t="n">
        <x:v>1</x:v>
      </x:c>
    </x:row>
    <x:row r="1834" ht="18" customHeight="1">
      <x:c r="A1834" s="13" t="n">
        <x:v>45327</x:v>
      </x:c>
      <x:c r="B1834" s="12" t="n">
        <x:v>3200.4218</x:v>
      </x:c>
      <x:c r="C1834" s="12" t="n">
        <x:v>3179.6276</x:v>
      </x:c>
      <x:c r="D1834" s="12" t="n">
        <x:v>0.654</x:v>
      </x:c>
      <x:c r="E1834" s="12" t="n">
        <x:v>0.006518530602880647</x:v>
      </x:c>
      <x:c r="F1834" s="13" t="n">
        <x:v>45324</x:v>
      </x:c>
      <x:c r="G1834" s="12" t="n">
        <x:v>3.47</x:v>
      </x:c>
      <x:c r="H1834" s="12" t="n">
        <x:v>347</x:v>
      </x:c>
      <x:c r="I1834" s="12" t="n">
        <x:v>-9</x:v>
      </x:c>
      <x:c r="J1834" s="12" t="n">
        <x:v>3</x:v>
      </x:c>
    </x:row>
    <x:row r="1835" ht="18" customHeight="1">
      <x:c r="A1835" s="13" t="n">
        <x:v>45328</x:v>
      </x:c>
      <x:c r="B1835" s="12" t="n">
        <x:v>3311.6922</x:v>
      </x:c>
      <x:c r="C1835" s="12" t="n">
        <x:v>3200.4218</x:v>
      </x:c>
      <x:c r="D1835" s="12" t="n">
        <x:v>3.4767</x:v>
      </x:c>
      <x:c r="E1835" s="12" t="n">
        <x:v>0.034176683802523346</x:v>
      </x:c>
      <x:c r="F1835" s="13" t="n">
        <x:v>45327</x:v>
      </x:c>
      <x:c r="G1835" s="12" t="n">
        <x:v>3.5</x:v>
      </x:c>
      <x:c r="H1835" s="12" t="n">
        <x:v>350</x:v>
      </x:c>
      <x:c r="I1835" s="12" t="n">
        <x:v>3</x:v>
      </x:c>
      <x:c r="J1835" s="12" t="n">
        <x:v>1</x:v>
      </x:c>
    </x:row>
    <x:row r="1836" ht="18" customHeight="1">
      <x:c r="A1836" s="13" t="n">
        <x:v>45329</x:v>
      </x:c>
      <x:c r="B1836" s="12" t="n">
        <x:v>3343.6303</x:v>
      </x:c>
      <x:c r="C1836" s="12" t="n">
        <x:v>3311.6922</x:v>
      </x:c>
      <x:c r="D1836" s="12" t="n">
        <x:v>0.9644</x:v>
      </x:c>
      <x:c r="E1836" s="12" t="n">
        <x:v>0.009597835468869923</x:v>
      </x:c>
      <x:c r="F1836" s="13" t="n">
        <x:v>45328</x:v>
      </x:c>
      <x:c r="G1836" s="12" t="n">
        <x:v>3.52</x:v>
      </x:c>
      <x:c r="H1836" s="12" t="n">
        <x:v>352</x:v>
      </x:c>
      <x:c r="I1836" s="12" t="n">
        <x:v>2</x:v>
      </x:c>
      <x:c r="J1836" s="12" t="n">
        <x:v>1</x:v>
      </x:c>
    </x:row>
    <x:row r="1837" ht="18" customHeight="1">
      <x:c r="A1837" s="13" t="n">
        <x:v>45330</x:v>
      </x:c>
      <x:c r="B1837" s="12" t="n">
        <x:v>3364.9297</x:v>
      </x:c>
      <x:c r="C1837" s="12" t="n">
        <x:v>3343.6303</x:v>
      </x:c>
      <x:c r="D1837" s="12" t="n">
        <x:v>0.637</x:v>
      </x:c>
      <x:c r="E1837" s="12" t="n">
        <x:v>0.006349938457429425</x:v>
      </x:c>
      <x:c r="F1837" s="13" t="n">
        <x:v>45329</x:v>
      </x:c>
      <x:c r="G1837" s="12" t="n">
        <x:v>3.43</x:v>
      </x:c>
      <x:c r="H1837" s="12" t="n">
        <x:v>343</x:v>
      </x:c>
      <x:c r="I1837" s="12" t="n">
        <x:v>-9</x:v>
      </x:c>
      <x:c r="J1837" s="12" t="n">
        <x:v>1</x:v>
      </x:c>
    </x:row>
    <x:row r="1838" ht="18" customHeight="1">
      <x:c r="A1838" s="13" t="n">
        <x:v>45341</x:v>
      </x:c>
      <x:c r="B1838" s="12" t="n">
        <x:v>3403.8078</x:v>
      </x:c>
      <x:c r="C1838" s="12" t="n">
        <x:v>3364.9297</x:v>
      </x:c>
      <x:c r="D1838" s="12" t="n">
        <x:v>1.1554</x:v>
      </x:c>
      <x:c r="E1838" s="12" t="n">
        <x:v>0.011487674784309955</x:v>
      </x:c>
      <x:c r="F1838" s="13" t="n">
        <x:v>45338</x:v>
      </x:c>
      <x:c r="G1838" s="12" t="n">
        <x:v>3.34</x:v>
      </x:c>
      <x:c r="H1838" s="12" t="n">
        <x:v>334</x:v>
      </x:c>
      <x:c r="I1838" s="12" t="n">
        <x:v>-1</x:v>
      </x:c>
      <x:c r="J1838" s="12" t="n">
        <x:v>3</x:v>
      </x:c>
    </x:row>
    <x:row r="1839" ht="18" customHeight="1">
      <x:c r="A1839" s="13" t="n">
        <x:v>45342</x:v>
      </x:c>
      <x:c r="B1839" s="12" t="n">
        <x:v>3410.8542</x:v>
      </x:c>
      <x:c r="C1839" s="12" t="n">
        <x:v>3403.8078</x:v>
      </x:c>
      <x:c r="D1839" s="12" t="n">
        <x:v>0.207</x:v>
      </x:c>
      <x:c r="E1839" s="12" t="n">
        <x:v>0.0020680123273212306</x:v>
      </x:c>
      <x:c r="F1839" s="13" t="n">
        <x:v>45341</x:v>
      </x:c>
      <x:c r="G1839" s="12" t="n">
        <x:v>3.34</x:v>
      </x:c>
      <x:c r="H1839" s="12" t="n">
        <x:v>334</x:v>
      </x:c>
      <x:c r="I1839" s="12" t="n">
        <x:v>0</x:v>
      </x:c>
      <x:c r="J1839" s="12" t="n">
        <x:v>1</x:v>
      </x:c>
    </x:row>
    <x:row r="1840" ht="18" customHeight="1">
      <x:c r="A1840" s="13" t="n">
        <x:v>45343</x:v>
      </x:c>
      <x:c r="B1840" s="12" t="n">
        <x:v>3456.8713</x:v>
      </x:c>
      <x:c r="C1840" s="12" t="n">
        <x:v>3410.8542</x:v>
      </x:c>
      <x:c r="D1840" s="12" t="n">
        <x:v>1.3491</x:v>
      </x:c>
      <x:c r="E1840" s="12" t="n">
        <x:v>0.013401172975739459</x:v>
      </x:c>
      <x:c r="F1840" s="13" t="n">
        <x:v>45342</x:v>
      </x:c>
      <x:c r="G1840" s="12" t="n">
        <x:v>3.37</x:v>
      </x:c>
      <x:c r="H1840" s="12" t="n">
        <x:v>337</x:v>
      </x:c>
      <x:c r="I1840" s="12" t="n">
        <x:v>3</x:v>
      </x:c>
      <x:c r="J1840" s="12" t="n">
        <x:v>1</x:v>
      </x:c>
    </x:row>
    <x:row r="1841" ht="18" customHeight="1">
      <x:c r="A1841" s="13" t="n">
        <x:v>45344</x:v>
      </x:c>
      <x:c r="B1841" s="12" t="n">
        <x:v>3486.6747</x:v>
      </x:c>
      <x:c r="C1841" s="12" t="n">
        <x:v>3456.8713</x:v>
      </x:c>
      <x:c r="D1841" s="12" t="n">
        <x:v>0.8621</x:v>
      </x:c>
      <x:c r="E1841" s="12" t="n">
        <x:v>0.00858454254593906</x:v>
      </x:c>
      <x:c r="F1841" s="13" t="n">
        <x:v>45343</x:v>
      </x:c>
      <x:c r="G1841" s="12" t="n">
        <x:v>3.34</x:v>
      </x:c>
      <x:c r="H1841" s="12" t="n">
        <x:v>334</x:v>
      </x:c>
      <x:c r="I1841" s="12" t="n">
        <x:v>-3</x:v>
      </x:c>
      <x:c r="J1841" s="12" t="n">
        <x:v>1</x:v>
      </x:c>
    </x:row>
    <x:row r="1842" ht="18" customHeight="1">
      <x:c r="A1842" s="13" t="n">
        <x:v>45345</x:v>
      </x:c>
      <x:c r="B1842" s="12" t="n">
        <x:v>3489.7416</x:v>
      </x:c>
      <x:c r="C1842" s="12" t="n">
        <x:v>3486.6747</x:v>
      </x:c>
      <x:c r="D1842" s="12" t="n">
        <x:v>0.088</x:v>
      </x:c>
      <x:c r="E1842" s="12" t="n">
        <x:v>0.0008792193773087833</x:v>
      </x:c>
      <x:c r="F1842" s="13" t="n">
        <x:v>45344</x:v>
      </x:c>
      <x:c r="G1842" s="12" t="n">
        <x:v>3.22</x:v>
      </x:c>
      <x:c r="H1842" s="12" t="n">
        <x:v>322</x:v>
      </x:c>
      <x:c r="I1842" s="12" t="n">
        <x:v>-12</x:v>
      </x:c>
      <x:c r="J1842" s="12" t="n">
        <x:v>1</x:v>
      </x:c>
    </x:row>
    <x:row r="1843" ht="18" customHeight="1">
      <x:c r="A1843" s="13" t="n">
        <x:v>45348</x:v>
      </x:c>
      <x:c r="B1843" s="12" t="n">
        <x:v>3453.3585</x:v>
      </x:c>
      <x:c r="C1843" s="12" t="n">
        <x:v>3489.7416</x:v>
      </x:c>
      <x:c r="D1843" s="12" t="n">
        <x:v>-1.0426</x:v>
      </x:c>
      <x:c r="E1843" s="12" t="n">
        <x:v>-0.010480457577157869</x:v>
      </x:c>
      <x:c r="F1843" s="13" t="n">
        <x:v>45345</x:v>
      </x:c>
      <x:c r="G1843" s="12" t="n">
        <x:v>3.23</x:v>
      </x:c>
      <x:c r="H1843" s="12" t="n">
        <x:v>323</x:v>
      </x:c>
      <x:c r="I1843" s="12" t="n">
        <x:v>1</x:v>
      </x:c>
      <x:c r="J1843" s="12" t="n">
        <x:v>3</x:v>
      </x:c>
    </x:row>
    <x:row r="1844" ht="18" customHeight="1">
      <x:c r="A1844" s="13" t="n">
        <x:v>45349</x:v>
      </x:c>
      <x:c r="B1844" s="12" t="n">
        <x:v>3494.7874</x:v>
      </x:c>
      <x:c r="C1844" s="12" t="n">
        <x:v>3453.3585</x:v>
      </x:c>
      <x:c r="D1844" s="12" t="n">
        <x:v>1.1997</x:v>
      </x:c>
      <x:c r="E1844" s="12" t="n">
        <x:v>0.011925308297313279</x:v>
      </x:c>
      <x:c r="F1844" s="13" t="n">
        <x:v>45348</x:v>
      </x:c>
      <x:c r="G1844" s="12" t="n">
        <x:v>3.23</x:v>
      </x:c>
      <x:c r="H1844" s="12" t="n">
        <x:v>323</x:v>
      </x:c>
      <x:c r="I1844" s="12" t="n">
        <x:v>0</x:v>
      </x:c>
      <x:c r="J1844" s="12" t="n">
        <x:v>1</x:v>
      </x:c>
    </x:row>
    <x:row r="1845" ht="18" customHeight="1">
      <x:c r="A1845" s="13" t="n">
        <x:v>45350</x:v>
      </x:c>
      <x:c r="B1845" s="12" t="n">
        <x:v>3450.2598</x:v>
      </x:c>
      <x:c r="C1845" s="12" t="n">
        <x:v>3494.7874</x:v>
      </x:c>
      <x:c r="D1845" s="12" t="n">
        <x:v>-1.2741</x:v>
      </x:c>
      <x:c r="E1845" s="12" t="n">
        <x:v>-0.012823011522909118</x:v>
      </x:c>
      <x:c r="F1845" s="13" t="n">
        <x:v>45349</x:v>
      </x:c>
      <x:c r="G1845" s="12" t="n">
        <x:v>3.26</x:v>
      </x:c>
      <x:c r="H1845" s="12" t="n">
        <x:v>326</x:v>
      </x:c>
      <x:c r="I1845" s="12" t="n">
        <x:v>3</x:v>
      </x:c>
      <x:c r="J1845" s="12" t="n">
        <x:v>1</x:v>
      </x:c>
    </x:row>
    <x:row r="1846" ht="18" customHeight="1">
      <x:c r="A1846" s="13" t="n">
        <x:v>45351</x:v>
      </x:c>
      <x:c r="B1846" s="12" t="n">
        <x:v>3516.0826</x:v>
      </x:c>
      <x:c r="C1846" s="12" t="n">
        <x:v>3450.2598</x:v>
      </x:c>
      <x:c r="D1846" s="12" t="n">
        <x:v>1.9078</x:v>
      </x:c>
      <x:c r="E1846" s="12" t="n">
        <x:v>0.01889793959635261</x:v>
      </x:c>
      <x:c r="F1846" s="13" t="n">
        <x:v>45350</x:v>
      </x:c>
      <x:c r="G1846" s="12" t="n">
        <x:v>3.31</x:v>
      </x:c>
      <x:c r="H1846" s="12" t="n">
        <x:v>331</x:v>
      </x:c>
      <x:c r="I1846" s="12" t="n">
        <x:v>5</x:v>
      </x:c>
      <x:c r="J1846" s="12" t="n">
        <x:v>1</x:v>
      </x:c>
    </x:row>
    <x:row r="1847" ht="18" customHeight="1">
      <x:c r="A1847" s="13" t="n">
        <x:v>45352</x:v>
      </x:c>
      <x:c r="B1847" s="12" t="n">
        <x:v>3537.8038</x:v>
      </x:c>
      <x:c r="C1847" s="12" t="n">
        <x:v>3516.0826</x:v>
      </x:c>
      <x:c r="D1847" s="12" t="n">
        <x:v>0.6178</x:v>
      </x:c>
      <x:c r="E1847" s="12" t="n">
        <x:v>0.00615866698833239</x:v>
      </x:c>
      <x:c r="F1847" s="13" t="n">
        <x:v>45351</x:v>
      </x:c>
      <x:c r="G1847" s="12" t="n">
        <x:v>3.29</x:v>
      </x:c>
      <x:c r="H1847" s="12" t="n">
        <x:v>329</x:v>
      </x:c>
      <x:c r="I1847" s="12" t="n">
        <x:v>-2</x:v>
      </x:c>
      <x:c r="J1847" s="12" t="n">
        <x:v>1</x:v>
      </x:c>
    </x:row>
    <x:row r="1848" ht="18" customHeight="1">
      <x:c r="A1848" s="13" t="n">
        <x:v>45355</x:v>
      </x:c>
      <x:c r="B1848" s="12" t="n">
        <x:v>3540.8686</x:v>
      </x:c>
      <x:c r="C1848" s="12" t="n">
        <x:v>3537.8038</x:v>
      </x:c>
      <x:c r="D1848" s="12" t="n">
        <x:v>0.0866</x:v>
      </x:c>
      <x:c r="E1848" s="12" t="n">
        <x:v>0.0008659251391561114</x:v>
      </x:c>
      <x:c r="F1848" s="13" t="n">
        <x:v>45352</x:v>
      </x:c>
      <x:c r="G1848" s="12" t="n">
        <x:v>3.32</x:v>
      </x:c>
      <x:c r="H1848" s="12" t="n">
        <x:v>332</x:v>
      </x:c>
      <x:c r="I1848" s="12" t="n">
        <x:v>3</x:v>
      </x:c>
      <x:c r="J1848" s="12" t="n">
        <x:v>3</x:v>
      </x:c>
    </x:row>
    <x:row r="1849" ht="18" customHeight="1">
      <x:c r="A1849" s="13" t="n">
        <x:v>45356</x:v>
      </x:c>
      <x:c r="B1849" s="12" t="n">
        <x:v>3565.5143</x:v>
      </x:c>
      <x:c r="C1849" s="12" t="n">
        <x:v>3540.8686</x:v>
      </x:c>
      <x:c r="D1849" s="12" t="n">
        <x:v>0.696</x:v>
      </x:c>
      <x:c r="E1849" s="12" t="n">
        <x:v>0.0069362428561649415</x:v>
      </x:c>
      <x:c r="F1849" s="13" t="n">
        <x:v>45355</x:v>
      </x:c>
      <x:c r="G1849" s="12" t="n">
        <x:v>3.26</x:v>
      </x:c>
      <x:c r="H1849" s="12" t="n">
        <x:v>326</x:v>
      </x:c>
      <x:c r="I1849" s="12" t="n">
        <x:v>-6</x:v>
      </x:c>
      <x:c r="J1849" s="12" t="n">
        <x:v>1</x:v>
      </x:c>
    </x:row>
    <x:row r="1850" ht="18" customHeight="1">
      <x:c r="A1850" s="13" t="n">
        <x:v>45357</x:v>
      </x:c>
      <x:c r="B1850" s="12" t="n">
        <x:v>3551.0481</x:v>
      </x:c>
      <x:c r="C1850" s="12" t="n">
        <x:v>3565.5143</x:v>
      </x:c>
      <x:c r="D1850" s="12" t="n">
        <x:v>-0.4057</x:v>
      </x:c>
      <x:c r="E1850" s="12" t="n">
        <x:v>-0.004065507786512169</x:v>
      </x:c>
      <x:c r="F1850" s="13" t="n">
        <x:v>45356</x:v>
      </x:c>
      <x:c r="G1850" s="12" t="n">
        <x:v>3.31</x:v>
      </x:c>
      <x:c r="H1850" s="12" t="n">
        <x:v>331</x:v>
      </x:c>
      <x:c r="I1850" s="12" t="n">
        <x:v>5</x:v>
      </x:c>
      <x:c r="J1850" s="12" t="n">
        <x:v>1</x:v>
      </x:c>
    </x:row>
    <x:row r="1851" ht="18" customHeight="1">
      <x:c r="A1851" s="13" t="n">
        <x:v>45358</x:v>
      </x:c>
      <x:c r="B1851" s="12" t="n">
        <x:v>3529.7195</x:v>
      </x:c>
      <x:c r="C1851" s="12" t="n">
        <x:v>3551.0481</x:v>
      </x:c>
      <x:c r="D1851" s="12" t="n">
        <x:v>-0.6006</x:v>
      </x:c>
      <x:c r="E1851" s="12" t="n">
        <x:v>-0.006024393317779147</x:v>
      </x:c>
      <x:c r="F1851" s="13" t="n">
        <x:v>45357</x:v>
      </x:c>
      <x:c r="G1851" s="12" t="n">
        <x:v>3.27</x:v>
      </x:c>
      <x:c r="H1851" s="12" t="n">
        <x:v>327</x:v>
      </x:c>
      <x:c r="I1851" s="12" t="n">
        <x:v>-4</x:v>
      </x:c>
      <x:c r="J1851" s="12" t="n">
        <x:v>1</x:v>
      </x:c>
    </x:row>
    <x:row r="1852" ht="18" customHeight="1">
      <x:c r="A1852" s="13" t="n">
        <x:v>45359</x:v>
      </x:c>
      <x:c r="B1852" s="12" t="n">
        <x:v>3544.9099</x:v>
      </x:c>
      <x:c r="C1852" s="12" t="n">
        <x:v>3529.7195</x:v>
      </x:c>
      <x:c r="D1852" s="12" t="n">
        <x:v>0.4304</x:v>
      </x:c>
      <x:c r="E1852" s="12" t="n">
        <x:v>0.004294337550533564</x:v>
      </x:c>
      <x:c r="F1852" s="13" t="n">
        <x:v>45358</x:v>
      </x:c>
      <x:c r="G1852" s="12" t="n">
        <x:v>3.27</x:v>
      </x:c>
      <x:c r="H1852" s="12" t="n">
        <x:v>327</x:v>
      </x:c>
      <x:c r="I1852" s="12" t="n">
        <x:v>0</x:v>
      </x:c>
      <x:c r="J1852" s="12" t="n">
        <x:v>1</x:v>
      </x:c>
    </x:row>
    <x:row r="1853" ht="18" customHeight="1">
      <x:c r="A1853" s="13" t="n">
        <x:v>45362</x:v>
      </x:c>
      <x:c r="B1853" s="12" t="n">
        <x:v>3589.2635</x:v>
      </x:c>
      <x:c r="C1853" s="12" t="n">
        <x:v>3544.9099</x:v>
      </x:c>
      <x:c r="D1853" s="12" t="n">
        <x:v>1.2512</x:v>
      </x:c>
      <x:c r="E1853" s="12" t="n">
        <x:v>0.012434284667935624</x:v>
      </x:c>
      <x:c r="F1853" s="13" t="n">
        <x:v>45359</x:v>
      </x:c>
      <x:c r="G1853" s="12" t="n">
        <x:v>3.26</x:v>
      </x:c>
      <x:c r="H1853" s="12" t="n">
        <x:v>326</x:v>
      </x:c>
      <x:c r="I1853" s="12" t="n">
        <x:v>-1</x:v>
      </x:c>
      <x:c r="J1853" s="12" t="n">
        <x:v>3</x:v>
      </x:c>
    </x:row>
    <x:row r="1854" ht="18" customHeight="1">
      <x:c r="A1854" s="13" t="n">
        <x:v>45363</x:v>
      </x:c>
      <x:c r="B1854" s="12" t="n">
        <x:v>3597.4939</x:v>
      </x:c>
      <x:c r="C1854" s="12" t="n">
        <x:v>3589.2635</x:v>
      </x:c>
      <x:c r="D1854" s="12" t="n">
        <x:v>0.2293</x:v>
      </x:c>
      <x:c r="E1854" s="12" t="n">
        <x:v>0.002290435905940713</x:v>
      </x:c>
      <x:c r="F1854" s="13" t="n">
        <x:v>45362</x:v>
      </x:c>
      <x:c r="G1854" s="12" t="n">
        <x:v>3.26</x:v>
      </x:c>
      <x:c r="H1854" s="12" t="n">
        <x:v>326</x:v>
      </x:c>
      <x:c r="I1854" s="12" t="n">
        <x:v>0</x:v>
      </x:c>
      <x:c r="J1854" s="12" t="n">
        <x:v>1</x:v>
      </x:c>
    </x:row>
    <x:row r="1855" ht="18" customHeight="1">
      <x:c r="A1855" s="13" t="n">
        <x:v>45364</x:v>
      </x:c>
      <x:c r="B1855" s="12" t="n">
        <x:v>3572.361</x:v>
      </x:c>
      <x:c r="C1855" s="12" t="n">
        <x:v>3597.4939</x:v>
      </x:c>
      <x:c r="D1855" s="12" t="n">
        <x:v>-0.6986</x:v>
      </x:c>
      <x:c r="E1855" s="12" t="n">
        <x:v>-0.007010742418553548</x:v>
      </x:c>
      <x:c r="F1855" s="13" t="n">
        <x:v>45363</x:v>
      </x:c>
      <x:c r="G1855" s="12" t="n">
        <x:v>3.2</x:v>
      </x:c>
      <x:c r="H1855" s="12" t="n">
        <x:v>320</x:v>
      </x:c>
      <x:c r="I1855" s="12" t="n">
        <x:v>-6</x:v>
      </x:c>
      <x:c r="J1855" s="12" t="n">
        <x:v>1</x:v>
      </x:c>
    </x:row>
    <x:row r="1856" ht="18" customHeight="1">
      <x:c r="A1856" s="13" t="n">
        <x:v>45365</x:v>
      </x:c>
      <x:c r="B1856" s="12" t="n">
        <x:v>3562.2229</x:v>
      </x:c>
      <x:c r="C1856" s="12" t="n">
        <x:v>3572.361</x:v>
      </x:c>
      <x:c r="D1856" s="12" t="n">
        <x:v>-0.2838</x:v>
      </x:c>
      <x:c r="E1856" s="12" t="n">
        <x:v>-0.0028419616240185283</x:v>
      </x:c>
      <x:c r="F1856" s="13" t="n">
        <x:v>45364</x:v>
      </x:c>
      <x:c r="G1856" s="12" t="n">
        <x:v>3.15</x:v>
      </x:c>
      <x:c r="H1856" s="12" t="n">
        <x:v>315</x:v>
      </x:c>
      <x:c r="I1856" s="12" t="n">
        <x:v>-5</x:v>
      </x:c>
      <x:c r="J1856" s="12" t="n">
        <x:v>1</x:v>
      </x:c>
    </x:row>
    <x:row r="1857" ht="18" customHeight="1">
      <x:c r="A1857" s="13" t="n">
        <x:v>45366</x:v>
      </x:c>
      <x:c r="B1857" s="12" t="n">
        <x:v>3569.993</x:v>
      </x:c>
      <x:c r="C1857" s="12" t="n">
        <x:v>3562.2229</x:v>
      </x:c>
      <x:c r="D1857" s="12" t="n">
        <x:v>0.2181</x:v>
      </x:c>
      <x:c r="E1857" s="12" t="n">
        <x:v>0.0021788748918951115</x:v>
      </x:c>
      <x:c r="F1857" s="13" t="n">
        <x:v>45365</x:v>
      </x:c>
      <x:c r="G1857" s="12" t="n">
        <x:v>3.15</x:v>
      </x:c>
      <x:c r="H1857" s="12" t="n">
        <x:v>315</x:v>
      </x:c>
      <x:c r="I1857" s="12" t="n">
        <x:v>0</x:v>
      </x:c>
      <x:c r="J1857" s="12" t="n">
        <x:v>1</x:v>
      </x:c>
    </x:row>
    <x:row r="1858" ht="18" customHeight="1">
      <x:c r="A1858" s="13" t="n">
        <x:v>45369</x:v>
      </x:c>
      <x:c r="B1858" s="12" t="n">
        <x:v>3603.528</x:v>
      </x:c>
      <x:c r="C1858" s="12" t="n">
        <x:v>3569.993</x:v>
      </x:c>
      <x:c r="D1858" s="12" t="n">
        <x:v>0.9394</x:v>
      </x:c>
      <x:c r="E1858" s="12" t="n">
        <x:v>0.009349730570252965</x:v>
      </x:c>
      <x:c r="F1858" s="13" t="n">
        <x:v>45366</x:v>
      </x:c>
      <x:c r="G1858" s="12" t="n">
        <x:v>3.16</x:v>
      </x:c>
      <x:c r="H1858" s="12" t="n">
        <x:v>316</x:v>
      </x:c>
      <x:c r="I1858" s="12" t="n">
        <x:v>1</x:v>
      </x:c>
      <x:c r="J1858" s="12" t="n">
        <x:v>3</x:v>
      </x:c>
    </x:row>
    <x:row r="1859" ht="18" customHeight="1">
      <x:c r="A1859" s="13" t="n">
        <x:v>45370</x:v>
      </x:c>
      <x:c r="B1859" s="12" t="n">
        <x:v>3577.6303</x:v>
      </x:c>
      <x:c r="C1859" s="12" t="n">
        <x:v>3603.528</x:v>
      </x:c>
      <x:c r="D1859" s="12" t="n">
        <x:v>-0.7187</x:v>
      </x:c>
      <x:c r="E1859" s="12" t="n">
        <x:v>-0.0072127117079038095</x:v>
      </x:c>
      <x:c r="F1859" s="13" t="n">
        <x:v>45369</x:v>
      </x:c>
      <x:c r="G1859" s="12" t="n">
        <x:v>3.13</x:v>
      </x:c>
      <x:c r="H1859" s="12" t="n">
        <x:v>313</x:v>
      </x:c>
      <x:c r="I1859" s="12" t="n">
        <x:v>-3</x:v>
      </x:c>
      <x:c r="J1859" s="12" t="n">
        <x:v>1</x:v>
      </x:c>
    </x:row>
    <x:row r="1860" ht="18" customHeight="1">
      <x:c r="A1860" s="13" t="n">
        <x:v>45371</x:v>
      </x:c>
      <x:c r="B1860" s="12" t="n">
        <x:v>3585.3838</x:v>
      </x:c>
      <x:c r="C1860" s="12" t="n">
        <x:v>3577.6303</x:v>
      </x:c>
      <x:c r="D1860" s="12" t="n">
        <x:v>0.2167</x:v>
      </x:c>
      <x:c r="E1860" s="12" t="n">
        <x:v>0.0021648716364173998</x:v>
      </x:c>
      <x:c r="F1860" s="13" t="n">
        <x:v>45370</x:v>
      </x:c>
      <x:c r="G1860" s="12" t="n">
        <x:v>3.1</x:v>
      </x:c>
      <x:c r="H1860" s="12" t="n">
        <x:v>310</x:v>
      </x:c>
      <x:c r="I1860" s="12" t="n">
        <x:v>-3</x:v>
      </x:c>
      <x:c r="J1860" s="12" t="n">
        <x:v>1</x:v>
      </x:c>
    </x:row>
    <x:row r="1861" ht="18" customHeight="1">
      <x:c r="A1861" s="13" t="n">
        <x:v>45372</x:v>
      </x:c>
      <x:c r="B1861" s="12" t="n">
        <x:v>3581.0902</x:v>
      </x:c>
      <x:c r="C1861" s="12" t="n">
        <x:v>3585.3838</x:v>
      </x:c>
      <x:c r="D1861" s="12" t="n">
        <x:v>-0.1198</x:v>
      </x:c>
      <x:c r="E1861" s="12" t="n">
        <x:v>-0.0011982463101735089</x:v>
      </x:c>
      <x:c r="F1861" s="13" t="n">
        <x:v>45371</x:v>
      </x:c>
      <x:c r="G1861" s="12" t="n">
        <x:v>3.14</x:v>
      </x:c>
      <x:c r="H1861" s="12" t="n">
        <x:v>314</x:v>
      </x:c>
      <x:c r="I1861" s="12" t="n">
        <x:v>4</x:v>
      </x:c>
      <x:c r="J1861" s="12" t="n">
        <x:v>1</x:v>
      </x:c>
    </x:row>
    <x:row r="1862" ht="18" customHeight="1">
      <x:c r="A1862" s="13" t="n">
        <x:v>45373</x:v>
      </x:c>
      <x:c r="B1862" s="12" t="n">
        <x:v>3545.0023</x:v>
      </x:c>
      <x:c r="C1862" s="12" t="n">
        <x:v>3581.0902</x:v>
      </x:c>
      <x:c r="D1862" s="12" t="n">
        <x:v>-1.0077</x:v>
      </x:c>
      <x:c r="E1862" s="12" t="n">
        <x:v>-0.010128470408895992</x:v>
      </x:c>
      <x:c r="F1862" s="13" t="n">
        <x:v>45372</x:v>
      </x:c>
      <x:c r="G1862" s="12" t="n">
        <x:v>3.05</x:v>
      </x:c>
      <x:c r="H1862" s="12" t="n">
        <x:v>305</x:v>
      </x:c>
      <x:c r="I1862" s="12" t="n">
        <x:v>-9</x:v>
      </x:c>
      <x:c r="J1862" s="12" t="n">
        <x:v>1</x:v>
      </x:c>
    </x:row>
    <x:row r="1863" ht="18" customHeight="1">
      <x:c r="A1863" s="13" t="n">
        <x:v>45376</x:v>
      </x:c>
      <x:c r="B1863" s="12" t="n">
        <x:v>3525.7634</x:v>
      </x:c>
      <x:c r="C1863" s="12" t="n">
        <x:v>3545.0023</x:v>
      </x:c>
      <x:c r="D1863" s="12" t="n">
        <x:v>-0.5427</x:v>
      </x:c>
      <x:c r="E1863" s="12" t="n">
        <x:v>-0.005441828592219171</x:v>
      </x:c>
      <x:c r="F1863" s="13" t="n">
        <x:v>45373</x:v>
      </x:c>
      <x:c r="G1863" s="12" t="n">
        <x:v>3.08</x:v>
      </x:c>
      <x:c r="H1863" s="12" t="n">
        <x:v>308</x:v>
      </x:c>
      <x:c r="I1863" s="12" t="n">
        <x:v>3</x:v>
      </x:c>
      <x:c r="J1863" s="12" t="n">
        <x:v>3</x:v>
      </x:c>
    </x:row>
    <x:row r="1864" ht="18" customHeight="1">
      <x:c r="A1864" s="13" t="n">
        <x:v>45377</x:v>
      </x:c>
      <x:c r="B1864" s="12" t="n">
        <x:v>3543.7467</x:v>
      </x:c>
      <x:c r="C1864" s="12" t="n">
        <x:v>3525.7634</x:v>
      </x:c>
      <x:c r="D1864" s="12" t="n">
        <x:v>0.5101</x:v>
      </x:c>
      <x:c r="E1864" s="12" t="n">
        <x:v>0.005087577083770784</x:v>
      </x:c>
      <x:c r="F1864" s="13" t="n">
        <x:v>45376</x:v>
      </x:c>
      <x:c r="G1864" s="12" t="n">
        <x:v>3.11</x:v>
      </x:c>
      <x:c r="H1864" s="12" t="n">
        <x:v>311</x:v>
      </x:c>
      <x:c r="I1864" s="12" t="n">
        <x:v>3</x:v>
      </x:c>
      <x:c r="J1864" s="12" t="n">
        <x:v>1</x:v>
      </x:c>
    </x:row>
    <x:row r="1865" ht="18" customHeight="1">
      <x:c r="A1865" s="13" t="n">
        <x:v>45378</x:v>
      </x:c>
      <x:c r="B1865" s="12" t="n">
        <x:v>3502.7866</x:v>
      </x:c>
      <x:c r="C1865" s="12" t="n">
        <x:v>3543.7467</x:v>
      </x:c>
      <x:c r="D1865" s="12" t="n">
        <x:v>-1.1558</x:v>
      </x:c>
      <x:c r="E1865" s="12" t="n">
        <x:v>-0.011625734128965096</x:v>
      </x:c>
      <x:c r="F1865" s="13" t="n">
        <x:v>45377</x:v>
      </x:c>
      <x:c r="G1865" s="12" t="n">
        <x:v>3.15</x:v>
      </x:c>
      <x:c r="H1865" s="12" t="n">
        <x:v>315</x:v>
      </x:c>
      <x:c r="I1865" s="12" t="n">
        <x:v>4</x:v>
      </x:c>
      <x:c r="J1865" s="12" t="n">
        <x:v>1</x:v>
      </x:c>
    </x:row>
    <x:row r="1866" ht="18" customHeight="1">
      <x:c r="A1866" s="13" t="n">
        <x:v>45379</x:v>
      </x:c>
      <x:c r="B1866" s="12" t="n">
        <x:v>3520.9648</x:v>
      </x:c>
      <x:c r="C1866" s="12" t="n">
        <x:v>3502.7866</x:v>
      </x:c>
      <x:c r="D1866" s="12" t="n">
        <x:v>0.519</x:v>
      </x:c>
      <x:c r="E1866" s="12" t="n">
        <x:v>0.005176219815450503</x:v>
      </x:c>
      <x:c r="F1866" s="13" t="n">
        <x:v>45378</x:v>
      </x:c>
      <x:c r="G1866" s="12" t="n">
        <x:v>3.15</x:v>
      </x:c>
      <x:c r="H1866" s="12" t="n">
        <x:v>315</x:v>
      </x:c>
      <x:c r="I1866" s="12" t="n">
        <x:v>0</x:v>
      </x:c>
      <x:c r="J1866" s="12" t="n">
        <x:v>1</x:v>
      </x:c>
    </x:row>
    <x:row r="1867" ht="18" customHeight="1">
      <x:c r="A1867" s="13" t="n">
        <x:v>45380</x:v>
      </x:c>
      <x:c r="B1867" s="12" t="n">
        <x:v>3537.4843</x:v>
      </x:c>
      <x:c r="C1867" s="12" t="n">
        <x:v>3520.9648</x:v>
      </x:c>
      <x:c r="D1867" s="12" t="n">
        <x:v>0.4692</x:v>
      </x:c>
      <x:c r="E1867" s="12" t="n">
        <x:v>0.004680781833917402</x:v>
      </x:c>
      <x:c r="F1867" s="13" t="n">
        <x:v>45379</x:v>
      </x:c>
      <x:c r="G1867" s="12" t="n">
        <x:v>3.12</x:v>
      </x:c>
      <x:c r="H1867" s="12" t="n">
        <x:v>312</x:v>
      </x:c>
      <x:c r="I1867" s="12" t="n">
        <x:v>-3</x:v>
      </x:c>
      <x:c r="J1867" s="12" t="n">
        <x:v>1</x:v>
      </x:c>
    </x:row>
    <x:row r="1868" ht="18" customHeight="1">
      <x:c r="A1868" s="13" t="n">
        <x:v>45383</x:v>
      </x:c>
      <x:c r="B1868" s="12" t="n">
        <x:v>3595.6466</x:v>
      </x:c>
      <x:c r="C1868" s="12" t="n">
        <x:v>3537.4843</x:v>
      </x:c>
      <x:c r="D1868" s="12" t="n">
        <x:v>1.6442</x:v>
      </x:c>
      <x:c r="E1868" s="12" t="n">
        <x:v>0.016308011120952714</x:v>
      </x:c>
      <x:c r="F1868" s="13" t="n">
        <x:v>45382</x:v>
      </x:c>
      <x:c r="G1868" s="12" t="n">
        <x:v>3.15</x:v>
      </x:c>
      <x:c r="H1868" s="12" t="n">
        <x:v>315</x:v>
      </x:c>
      <x:c r="I1868" s="12" t="n">
        <x:v>3</x:v>
      </x:c>
      <x:c r="J1868" s="12" t="n">
        <x:v>1</x:v>
      </x:c>
    </x:row>
    <x:row r="1869" ht="18" customHeight="1">
      <x:c r="A1869" s="13" t="n">
        <x:v>45384</x:v>
      </x:c>
      <x:c r="B1869" s="12" t="n">
        <x:v>3580.6759</x:v>
      </x:c>
      <x:c r="C1869" s="12" t="n">
        <x:v>3595.6466</x:v>
      </x:c>
      <x:c r="D1869" s="12" t="n">
        <x:v>-0.4164</x:v>
      </x:c>
      <x:c r="E1869" s="12" t="n">
        <x:v>-0.0041722544428915275</x:v>
      </x:c>
      <x:c r="F1869" s="13" t="n">
        <x:v>45383</x:v>
      </x:c>
      <x:c r="G1869" s="12" t="n">
        <x:v>3.12</x:v>
      </x:c>
      <x:c r="H1869" s="12" t="n">
        <x:v>312</x:v>
      </x:c>
      <x:c r="I1869" s="12" t="n">
        <x:v>-3</x:v>
      </x:c>
      <x:c r="J1869" s="12" t="n">
        <x:v>1</x:v>
      </x:c>
    </x:row>
    <x:row r="1870" ht="18" customHeight="1">
      <x:c r="A1870" s="13" t="n">
        <x:v>45385</x:v>
      </x:c>
      <x:c r="B1870" s="12" t="n">
        <x:v>3567.8031</x:v>
      </x:c>
      <x:c r="C1870" s="12" t="n">
        <x:v>3580.6759</x:v>
      </x:c>
      <x:c r="D1870" s="12" t="n">
        <x:v>-0.3595</x:v>
      </x:c>
      <x:c r="E1870" s="12" t="n">
        <x:v>-0.003601553257586781</x:v>
      </x:c>
      <x:c r="F1870" s="13" t="n">
        <x:v>45384</x:v>
      </x:c>
      <x:c r="G1870" s="12" t="n">
        <x:v>3.23</x:v>
      </x:c>
      <x:c r="H1870" s="12" t="n">
        <x:v>323</x:v>
      </x:c>
      <x:c r="I1870" s="12" t="n">
        <x:v>11</x:v>
      </x:c>
      <x:c r="J1870" s="12" t="n">
        <x:v>1</x:v>
      </x:c>
    </x:row>
    <x:row r="1871" ht="18" customHeight="1">
      <x:c r="A1871" s="13" t="n">
        <x:v>45390</x:v>
      </x:c>
      <x:c r="B1871" s="12" t="n">
        <x:v>3536.4077</x:v>
      </x:c>
      <x:c r="C1871" s="12" t="n">
        <x:v>3567.8031</x:v>
      </x:c>
      <x:c r="D1871" s="12" t="n">
        <x:v>-0.88</x:v>
      </x:c>
      <x:c r="E1871" s="12" t="n">
        <x:v>-0.008838590314792913</x:v>
      </x:c>
      <x:c r="F1871" s="13" t="n">
        <x:v>45387</x:v>
      </x:c>
      <x:c r="G1871" s="12" t="n">
        <x:v>3.18</x:v>
      </x:c>
      <x:c r="H1871" s="12" t="n">
        <x:v>318</x:v>
      </x:c>
      <x:c r="I1871" s="12" t="n">
        <x:v>-6</x:v>
      </x:c>
      <x:c r="J1871" s="12" t="n">
        <x:v>3</x:v>
      </x:c>
    </x:row>
    <x:row r="1872" ht="18" customHeight="1">
      <x:c r="A1872" s="13" t="n">
        <x:v>45391</x:v>
      </x:c>
      <x:c r="B1872" s="12" t="n">
        <x:v>3533.4871</x:v>
      </x:c>
      <x:c r="C1872" s="12" t="n">
        <x:v>3536.4077</x:v>
      </x:c>
      <x:c r="D1872" s="12" t="n">
        <x:v>-0.0826</x:v>
      </x:c>
      <x:c r="E1872" s="12" t="n">
        <x:v>-0.0008262075317269229</x:v>
      </x:c>
      <x:c r="F1872" s="13" t="n">
        <x:v>45390</x:v>
      </x:c>
      <x:c r="G1872" s="12" t="n">
        <x:v>3.15</x:v>
      </x:c>
      <x:c r="H1872" s="12" t="n">
        <x:v>315</x:v>
      </x:c>
      <x:c r="I1872" s="12" t="n">
        <x:v>-3</x:v>
      </x:c>
      <x:c r="J1872" s="12" t="n">
        <x:v>1</x:v>
      </x:c>
    </x:row>
    <x:row r="1873" ht="18" customHeight="1">
      <x:c r="A1873" s="13" t="n">
        <x:v>45392</x:v>
      </x:c>
      <x:c r="B1873" s="12" t="n">
        <x:v>3504.7086</x:v>
      </x:c>
      <x:c r="C1873" s="12" t="n">
        <x:v>3533.4871</x:v>
      </x:c>
      <x:c r="D1873" s="12" t="n">
        <x:v>-0.8145</x:v>
      </x:c>
      <x:c r="E1873" s="12" t="n">
        <x:v>-0.008177851714302322</x:v>
      </x:c>
      <x:c r="F1873" s="13" t="n">
        <x:v>45391</x:v>
      </x:c>
      <x:c r="G1873" s="12" t="n">
        <x:v>3.14</x:v>
      </x:c>
      <x:c r="H1873" s="12" t="n">
        <x:v>314</x:v>
      </x:c>
      <x:c r="I1873" s="12" t="n">
        <x:v>-1</x:v>
      </x:c>
      <x:c r="J1873" s="12" t="n">
        <x:v>1</x:v>
      </x:c>
    </x:row>
    <x:row r="1874" ht="18" customHeight="1">
      <x:c r="A1874" s="13" t="n">
        <x:v>45393</x:v>
      </x:c>
      <x:c r="B1874" s="12" t="n">
        <x:v>3504.2447</x:v>
      </x:c>
      <x:c r="C1874" s="12" t="n">
        <x:v>3504.7086</x:v>
      </x:c>
      <x:c r="D1874" s="12" t="n">
        <x:v>-0.0132</x:v>
      </x:c>
      <x:c r="E1874" s="12" t="n">
        <x:v>-0.00013237354589799467</x:v>
      </x:c>
      <x:c r="F1874" s="13" t="n">
        <x:v>45392</x:v>
      </x:c>
      <x:c r="G1874" s="12" t="n">
        <x:v>3.1</x:v>
      </x:c>
      <x:c r="H1874" s="12" t="n">
        <x:v>310</x:v>
      </x:c>
      <x:c r="I1874" s="12" t="n">
        <x:v>-4</x:v>
      </x:c>
      <x:c r="J1874" s="12" t="n">
        <x:v>1</x:v>
      </x:c>
    </x:row>
    <x:row r="1875" ht="18" customHeight="1">
      <x:c r="A1875" s="13" t="n">
        <x:v>45394</x:v>
      </x:c>
      <x:c r="B1875" s="12" t="n">
        <x:v>3475.8389</x:v>
      </x:c>
      <x:c r="C1875" s="12" t="n">
        <x:v>3504.2447</x:v>
      </x:c>
      <x:c r="D1875" s="12" t="n">
        <x:v>-0.8106</x:v>
      </x:c>
      <x:c r="E1875" s="12" t="n">
        <x:v>-0.008139145156742146</x:v>
      </x:c>
      <x:c r="F1875" s="13" t="n">
        <x:v>45393</x:v>
      </x:c>
      <x:c r="G1875" s="12" t="n">
        <x:v>3.16</x:v>
      </x:c>
      <x:c r="H1875" s="12" t="n">
        <x:v>316</x:v>
      </x:c>
      <x:c r="I1875" s="12" t="n">
        <x:v>6</x:v>
      </x:c>
      <x:c r="J1875" s="12" t="n">
        <x:v>1</x:v>
      </x:c>
    </x:row>
    <x:row r="1876" ht="18" customHeight="1">
      <x:c r="A1876" s="13" t="n">
        <x:v>45397</x:v>
      </x:c>
      <x:c r="B1876" s="12" t="n">
        <x:v>3549.0759</x:v>
      </x:c>
      <x:c r="C1876" s="12" t="n">
        <x:v>3475.8389</x:v>
      </x:c>
      <x:c r="D1876" s="12" t="n">
        <x:v>2.107</x:v>
      </x:c>
      <x:c r="E1876" s="12" t="n">
        <x:v>0.02085139978770184</x:v>
      </x:c>
      <x:c r="F1876" s="13" t="n">
        <x:v>45394</x:v>
      </x:c>
      <x:c r="G1876" s="12" t="n">
        <x:v>3.25</x:v>
      </x:c>
      <x:c r="H1876" s="12" t="n">
        <x:v>325</x:v>
      </x:c>
      <x:c r="I1876" s="12" t="n">
        <x:v>9</x:v>
      </x:c>
      <x:c r="J1876" s="12" t="n">
        <x:v>3</x:v>
      </x:c>
    </x:row>
    <x:row r="1877" ht="18" customHeight="1">
      <x:c r="A1877" s="13" t="n">
        <x:v>45398</x:v>
      </x:c>
      <x:c r="B1877" s="12" t="n">
        <x:v>3511.1146</x:v>
      </x:c>
      <x:c r="C1877" s="12" t="n">
        <x:v>3549.0759</x:v>
      </x:c>
      <x:c r="D1877" s="12" t="n">
        <x:v>-1.0696</x:v>
      </x:c>
      <x:c r="E1877" s="12" t="n">
        <x:v>-0.010753722814637892</x:v>
      </x:c>
      <x:c r="F1877" s="13" t="n">
        <x:v>45397</x:v>
      </x:c>
      <x:c r="G1877" s="12" t="n">
        <x:v>3.28</x:v>
      </x:c>
      <x:c r="H1877" s="12" t="n">
        <x:v>328</x:v>
      </x:c>
      <x:c r="I1877" s="12" t="n">
        <x:v>3</x:v>
      </x:c>
      <x:c r="J1877" s="12" t="n">
        <x:v>1</x:v>
      </x:c>
    </x:row>
    <x:row r="1878" ht="18" customHeight="1">
      <x:c r="A1878" s="13" t="n">
        <x:v>45399</x:v>
      </x:c>
      <x:c r="B1878" s="12" t="n">
        <x:v>3565.403</x:v>
      </x:c>
      <x:c r="C1878" s="12" t="n">
        <x:v>3511.1146</x:v>
      </x:c>
      <x:c r="D1878" s="12" t="n">
        <x:v>1.5462</x:v>
      </x:c>
      <x:c r="E1878" s="12" t="n">
        <x:v>0.015343554028548092</x:v>
      </x:c>
      <x:c r="F1878" s="13" t="n">
        <x:v>45398</x:v>
      </x:c>
      <x:c r="G1878" s="12" t="n">
        <x:v>3.36</x:v>
      </x:c>
      <x:c r="H1878" s="12" t="n">
        <x:v>336</x:v>
      </x:c>
      <x:c r="I1878" s="12" t="n">
        <x:v>8</x:v>
      </x:c>
      <x:c r="J1878" s="12" t="n">
        <x:v>1</x:v>
      </x:c>
    </x:row>
    <x:row r="1879" ht="18" customHeight="1">
      <x:c r="A1879" s="13" t="n">
        <x:v>45400</x:v>
      </x:c>
      <x:c r="B1879" s="12" t="n">
        <x:v>3569.8018</x:v>
      </x:c>
      <x:c r="C1879" s="12" t="n">
        <x:v>3565.403</x:v>
      </x:c>
      <x:c r="D1879" s="12" t="n">
        <x:v>0.1234</x:v>
      </x:c>
      <x:c r="E1879" s="12" t="n">
        <x:v>0.0012329850874846476</x:v>
      </x:c>
      <x:c r="F1879" s="13" t="n">
        <x:v>45399</x:v>
      </x:c>
      <x:c r="G1879" s="12" t="n">
        <x:v>3.42</x:v>
      </x:c>
      <x:c r="H1879" s="12" t="n">
        <x:v>342</x:v>
      </x:c>
      <x:c r="I1879" s="12" t="n">
        <x:v>6</x:v>
      </x:c>
      <x:c r="J1879" s="12" t="n">
        <x:v>1</x:v>
      </x:c>
    </x:row>
    <x:row r="1880" ht="18" customHeight="1">
      <x:c r="A1880" s="13" t="n">
        <x:v>45401</x:v>
      </x:c>
      <x:c r="B1880" s="12" t="n">
        <x:v>3541.6619</x:v>
      </x:c>
      <x:c r="C1880" s="12" t="n">
        <x:v>3569.8018</x:v>
      </x:c>
      <x:c r="D1880" s="12" t="n">
        <x:v>-0.7883</x:v>
      </x:c>
      <x:c r="E1880" s="12" t="n">
        <x:v>-0.007913995783959946</x:v>
      </x:c>
      <x:c r="F1880" s="13" t="n">
        <x:v>45400</x:v>
      </x:c>
      <x:c r="G1880" s="12" t="n">
        <x:v>3.39</x:v>
      </x:c>
      <x:c r="H1880" s="12" t="n">
        <x:v>339</x:v>
      </x:c>
      <x:c r="I1880" s="12" t="n">
        <x:v>-3</x:v>
      </x:c>
      <x:c r="J1880" s="12" t="n">
        <x:v>1</x:v>
      </x:c>
    </x:row>
    <x:row r="1881" ht="18" customHeight="1">
      <x:c r="A1881" s="13" t="n">
        <x:v>45404</x:v>
      </x:c>
      <x:c r="B1881" s="12" t="n">
        <x:v>3530.9045</x:v>
      </x:c>
      <x:c r="C1881" s="12" t="n">
        <x:v>3541.6619</x:v>
      </x:c>
      <x:c r="D1881" s="12" t="n">
        <x:v>-0.3037</x:v>
      </x:c>
      <x:c r="E1881" s="12" t="n">
        <x:v>-0.0030420098411770608</x:v>
      </x:c>
      <x:c r="F1881" s="13" t="n">
        <x:v>45401</x:v>
      </x:c>
      <x:c r="G1881" s="12" t="n">
        <x:v>3.37</x:v>
      </x:c>
      <x:c r="H1881" s="12" t="n">
        <x:v>337</x:v>
      </x:c>
      <x:c r="I1881" s="12" t="n">
        <x:v>-2</x:v>
      </x:c>
      <x:c r="J1881" s="12" t="n">
        <x:v>3</x:v>
      </x:c>
    </x:row>
    <x:row r="1882" ht="18" customHeight="1">
      <x:c r="A1882" s="13" t="n">
        <x:v>45405</x:v>
      </x:c>
      <x:c r="B1882" s="12" t="n">
        <x:v>3506.2249</x:v>
      </x:c>
      <x:c r="C1882" s="12" t="n">
        <x:v>3530.9045</x:v>
      </x:c>
      <x:c r="D1882" s="12" t="n">
        <x:v>-0.699</x:v>
      </x:c>
      <x:c r="E1882" s="12" t="n">
        <x:v>-0.007014138799965217</x:v>
      </x:c>
      <x:c r="F1882" s="13" t="n">
        <x:v>45404</x:v>
      </x:c>
      <x:c r="G1882" s="12" t="n">
        <x:v>3.29</x:v>
      </x:c>
      <x:c r="H1882" s="12" t="n">
        <x:v>329</x:v>
      </x:c>
      <x:c r="I1882" s="12" t="n">
        <x:v>-8</x:v>
      </x:c>
      <x:c r="J1882" s="12" t="n">
        <x:v>1</x:v>
      </x:c>
    </x:row>
    <x:row r="1883" ht="18" customHeight="1">
      <x:c r="A1883" s="13" t="n">
        <x:v>45406</x:v>
      </x:c>
      <x:c r="B1883" s="12" t="n">
        <x:v>3521.6219</x:v>
      </x:c>
      <x:c r="C1883" s="12" t="n">
        <x:v>3506.2249</x:v>
      </x:c>
      <x:c r="D1883" s="12" t="n">
        <x:v>0.4391</x:v>
      </x:c>
      <x:c r="E1883" s="12" t="n">
        <x:v>0.004381718916951932</x:v>
      </x:c>
      <x:c r="F1883" s="13" t="n">
        <x:v>45405</x:v>
      </x:c>
      <x:c r="G1883" s="12" t="n">
        <x:v>3.2</x:v>
      </x:c>
      <x:c r="H1883" s="12" t="n">
        <x:v>320</x:v>
      </x:c>
      <x:c r="I1883" s="12" t="n">
        <x:v>-9</x:v>
      </x:c>
      <x:c r="J1883" s="12" t="n">
        <x:v>1</x:v>
      </x:c>
    </x:row>
    <x:row r="1884" ht="18" customHeight="1">
      <x:c r="A1884" s="13" t="n">
        <x:v>45407</x:v>
      </x:c>
      <x:c r="B1884" s="12" t="n">
        <x:v>3530.2813</x:v>
      </x:c>
      <x:c r="C1884" s="12" t="n">
        <x:v>3521.6219</x:v>
      </x:c>
      <x:c r="D1884" s="12" t="n">
        <x:v>0.2459</x:v>
      </x:c>
      <x:c r="E1884" s="12" t="n">
        <x:v>0.0024559056206020905</x:v>
      </x:c>
      <x:c r="F1884" s="13" t="n">
        <x:v>45406</x:v>
      </x:c>
      <x:c r="G1884" s="12" t="n">
        <x:v>3.19</x:v>
      </x:c>
      <x:c r="H1884" s="12" t="n">
        <x:v>319</x:v>
      </x:c>
      <x:c r="I1884" s="12" t="n">
        <x:v>-1</x:v>
      </x:c>
      <x:c r="J1884" s="12" t="n">
        <x:v>1</x:v>
      </x:c>
    </x:row>
    <x:row r="1885" ht="18" customHeight="1">
      <x:c r="A1885" s="13" t="n">
        <x:v>45408</x:v>
      </x:c>
      <x:c r="B1885" s="12" t="n">
        <x:v>3584.2686</x:v>
      </x:c>
      <x:c r="C1885" s="12" t="n">
        <x:v>3530.2813</x:v>
      </x:c>
      <x:c r="D1885" s="12" t="n">
        <x:v>1.5293</x:v>
      </x:c>
      <x:c r="E1885" s="12" t="n">
        <x:v>0.015176880345412834</x:v>
      </x:c>
      <x:c r="F1885" s="13" t="n">
        <x:v>45407</x:v>
      </x:c>
      <x:c r="G1885" s="12" t="n">
        <x:v>3.24</x:v>
      </x:c>
      <x:c r="H1885" s="12" t="n">
        <x:v>324</x:v>
      </x:c>
      <x:c r="I1885" s="12" t="n">
        <x:v>5</x:v>
      </x:c>
      <x:c r="J1885" s="12" t="n">
        <x:v>1</x:v>
      </x:c>
    </x:row>
    <x:row r="1886" ht="18" customHeight="1">
      <x:c r="A1886" s="13" t="n">
        <x:v>45411</x:v>
      </x:c>
      <x:c r="B1886" s="12" t="n">
        <x:v>3623.9124</x:v>
      </x:c>
      <x:c r="C1886" s="12" t="n">
        <x:v>3584.2686</x:v>
      </x:c>
      <x:c r="D1886" s="12" t="n">
        <x:v>1.106</x:v>
      </x:c>
      <x:c r="E1886" s="12" t="n">
        <x:v>0.010999779202213969</x:v>
      </x:c>
      <x:c r="F1886" s="13" t="n">
        <x:v>45408</x:v>
      </x:c>
      <x:c r="G1886" s="12" t="n">
        <x:v>3.16</x:v>
      </x:c>
      <x:c r="H1886" s="12" t="n">
        <x:v>316</x:v>
      </x:c>
      <x:c r="I1886" s="12" t="n">
        <x:v>-8</x:v>
      </x:c>
      <x:c r="J1886" s="12" t="n">
        <x:v>3</x:v>
      </x:c>
    </x:row>
    <x:row r="1887" ht="18" customHeight="1">
      <x:c r="A1887" s="13" t="n">
        <x:v>45412</x:v>
      </x:c>
      <x:c r="B1887" s="12" t="n">
        <x:v>3604.3943</x:v>
      </x:c>
      <x:c r="C1887" s="12" t="n">
        <x:v>3623.9124</x:v>
      </x:c>
      <x:c r="D1887" s="12" t="n">
        <x:v>-0.5386</x:v>
      </x:c>
      <x:c r="E1887" s="12" t="n">
        <x:v>-0.005400475726166257</x:v>
      </x:c>
      <x:c r="F1887" s="13" t="n">
        <x:v>45411</x:v>
      </x:c>
      <x:c r="G1887" s="12" t="n">
        <x:v>3.12</x:v>
      </x:c>
      <x:c r="H1887" s="12" t="n">
        <x:v>312</x:v>
      </x:c>
      <x:c r="I1887" s="12" t="n">
        <x:v>-4</x:v>
      </x:c>
      <x:c r="J1887" s="12" t="n">
        <x:v>1</x:v>
      </x:c>
    </x:row>
    <x:row r="1888" ht="18" customHeight="1">
      <x:c r="A1888" s="13" t="n">
        <x:v>45418</x:v>
      </x:c>
      <x:c r="B1888" s="12" t="n">
        <x:v>3657.8767</x:v>
      </x:c>
      <x:c r="C1888" s="12" t="n">
        <x:v>3604.3943</x:v>
      </x:c>
      <x:c r="D1888" s="12" t="n">
        <x:v>1.4838</x:v>
      </x:c>
      <x:c r="E1888" s="12" t="n">
        <x:v>0.01472910247991278</x:v>
      </x:c>
      <x:c r="F1888" s="13" t="n">
        <x:v>45415</x:v>
      </x:c>
      <x:c r="G1888" s="12" t="n">
        <x:v>3.08</x:v>
      </x:c>
      <x:c r="H1888" s="12" t="n">
        <x:v>308</x:v>
      </x:c>
      <x:c r="I1888" s="12" t="n">
        <x:v>-8</x:v>
      </x:c>
      <x:c r="J1888" s="12" t="n">
        <x:v>3</x:v>
      </x:c>
    </x:row>
    <x:row r="1889" ht="18" customHeight="1">
      <x:c r="A1889" s="13" t="n">
        <x:v>45419</x:v>
      </x:c>
      <x:c r="B1889" s="12" t="n">
        <x:v>3659.0076</x:v>
      </x:c>
      <x:c r="C1889" s="12" t="n">
        <x:v>3657.8767</x:v>
      </x:c>
      <x:c r="D1889" s="12" t="n">
        <x:v>0.0309</x:v>
      </x:c>
      <x:c r="E1889" s="12" t="n">
        <x:v>0.0003091206482533993</x:v>
      </x:c>
      <x:c r="F1889" s="13" t="n">
        <x:v>45418</x:v>
      </x:c>
      <x:c r="G1889" s="12" t="n">
        <x:v>3.03</x:v>
      </x:c>
      <x:c r="H1889" s="12" t="n">
        <x:v>303</x:v>
      </x:c>
      <x:c r="I1889" s="12" t="n">
        <x:v>-5</x:v>
      </x:c>
      <x:c r="J1889" s="12" t="n">
        <x:v>1</x:v>
      </x:c>
    </x:row>
    <x:row r="1890" ht="18" customHeight="1">
      <x:c r="A1890" s="13" t="n">
        <x:v>45420</x:v>
      </x:c>
      <x:c r="B1890" s="12" t="n">
        <x:v>3630.2233</x:v>
      </x:c>
      <x:c r="C1890" s="12" t="n">
        <x:v>3659.0076</x:v>
      </x:c>
      <x:c r="D1890" s="12" t="n">
        <x:v>-0.7867</x:v>
      </x:c>
      <x:c r="E1890" s="12" t="n">
        <x:v>-0.007897801568855183</x:v>
      </x:c>
      <x:c r="F1890" s="13" t="n">
        <x:v>45419</x:v>
      </x:c>
      <x:c r="G1890" s="12" t="n">
        <x:v>3.06</x:v>
      </x:c>
      <x:c r="H1890" s="12" t="n">
        <x:v>306</x:v>
      </x:c>
      <x:c r="I1890" s="12" t="n">
        <x:v>3</x:v>
      </x:c>
      <x:c r="J1890" s="12" t="n">
        <x:v>1</x:v>
      </x:c>
    </x:row>
    <x:row r="1891" ht="18" customHeight="1">
      <x:c r="A1891" s="13" t="n">
        <x:v>45421</x:v>
      </x:c>
      <x:c r="B1891" s="12" t="n">
        <x:v>3664.561</x:v>
      </x:c>
      <x:c r="C1891" s="12" t="n">
        <x:v>3630.2233</x:v>
      </x:c>
      <x:c r="D1891" s="12" t="n">
        <x:v>0.9459</x:v>
      </x:c>
      <x:c r="E1891" s="12" t="n">
        <x:v>0.009414384908953369</x:v>
      </x:c>
      <x:c r="F1891" s="13" t="n">
        <x:v>45420</x:v>
      </x:c>
      <x:c r="G1891" s="12" t="n">
        <x:v>3.1</x:v>
      </x:c>
      <x:c r="H1891" s="12" t="n">
        <x:v>310</x:v>
      </x:c>
      <x:c r="I1891" s="12" t="n">
        <x:v>4</x:v>
      </x:c>
      <x:c r="J1891" s="12" t="n">
        <x:v>1</x:v>
      </x:c>
    </x:row>
    <x:row r="1892" ht="18" customHeight="1">
      <x:c r="A1892" s="13" t="n">
        <x:v>45422</x:v>
      </x:c>
      <x:c r="B1892" s="12" t="n">
        <x:v>3666.2771</x:v>
      </x:c>
      <x:c r="C1892" s="12" t="n">
        <x:v>3664.561</x:v>
      </x:c>
      <x:c r="D1892" s="12" t="n">
        <x:v>0.0468</x:v>
      </x:c>
      <x:c r="E1892" s="12" t="n">
        <x:v>0.0004681865860184892</x:v>
      </x:c>
      <x:c r="F1892" s="13" t="n">
        <x:v>45421</x:v>
      </x:c>
      <x:c r="G1892" s="12" t="n">
        <x:v>3.14</x:v>
      </x:c>
      <x:c r="H1892" s="12" t="n">
        <x:v>314</x:v>
      </x:c>
      <x:c r="I1892" s="12" t="n">
        <x:v>4</x:v>
      </x:c>
      <x:c r="J1892" s="12" t="n">
        <x:v>1</x:v>
      </x:c>
    </x:row>
    <x:row r="1893" ht="18" customHeight="1">
      <x:c r="A1893" s="13" t="n">
        <x:v>45425</x:v>
      </x:c>
      <x:c r="B1893" s="12" t="n">
        <x:v>3664.6907</x:v>
      </x:c>
      <x:c r="C1893" s="12" t="n">
        <x:v>3666.2771</x:v>
      </x:c>
      <x:c r="D1893" s="12" t="n">
        <x:v>-0.0433</x:v>
      </x:c>
      <x:c r="E1893" s="12" t="n">
        <x:v>-0.00043279415980033276</x:v>
      </x:c>
      <x:c r="F1893" s="13" t="n">
        <x:v>45422</x:v>
      </x:c>
      <x:c r="G1893" s="12" t="n">
        <x:v>3.12</x:v>
      </x:c>
      <x:c r="H1893" s="12" t="n">
        <x:v>312</x:v>
      </x:c>
      <x:c r="I1893" s="12" t="n">
        <x:v>-2</x:v>
      </x:c>
      <x:c r="J1893" s="12" t="n">
        <x:v>3</x:v>
      </x:c>
    </x:row>
    <x:row r="1894" ht="18" customHeight="1">
      <x:c r="A1894" s="13" t="n">
        <x:v>45426</x:v>
      </x:c>
      <x:c r="B1894" s="12" t="n">
        <x:v>3657.0454</x:v>
      </x:c>
      <x:c r="C1894" s="12" t="n">
        <x:v>3664.6907</x:v>
      </x:c>
      <x:c r="D1894" s="12" t="n">
        <x:v>-0.2086</x:v>
      </x:c>
      <x:c r="E1894" s="12" t="n">
        <x:v>-0.0020883852338393584</x:v>
      </x:c>
      <x:c r="F1894" s="13" t="n">
        <x:v>45425</x:v>
      </x:c>
      <x:c r="G1894" s="12" t="n">
        <x:v>3.14</x:v>
      </x:c>
      <x:c r="H1894" s="12" t="n">
        <x:v>314</x:v>
      </x:c>
      <x:c r="I1894" s="12" t="n">
        <x:v>2</x:v>
      </x:c>
      <x:c r="J1894" s="12" t="n">
        <x:v>1</x:v>
      </x:c>
    </x:row>
    <x:row r="1895" ht="18" customHeight="1">
      <x:c r="A1895" s="13" t="n">
        <x:v>45427</x:v>
      </x:c>
      <x:c r="B1895" s="12" t="n">
        <x:v>3626.0559</x:v>
      </x:c>
      <x:c r="C1895" s="12" t="n">
        <x:v>3657.0454</x:v>
      </x:c>
      <x:c r="D1895" s="12" t="n">
        <x:v>-0.8474</x:v>
      </x:c>
      <x:c r="E1895" s="12" t="n">
        <x:v>-0.008510024986955377</x:v>
      </x:c>
      <x:c r="F1895" s="13" t="n">
        <x:v>45426</x:v>
      </x:c>
      <x:c r="G1895" s="12" t="n">
        <x:v>3.14</x:v>
      </x:c>
      <x:c r="H1895" s="12" t="n">
        <x:v>314</x:v>
      </x:c>
      <x:c r="I1895" s="12" t="n">
        <x:v>0</x:v>
      </x:c>
      <x:c r="J1895" s="12" t="n">
        <x:v>1</x:v>
      </x:c>
    </x:row>
    <x:row r="1896" ht="18" customHeight="1">
      <x:c r="A1896" s="13" t="n">
        <x:v>45428</x:v>
      </x:c>
      <x:c r="B1896" s="12" t="n">
        <x:v>3640.3592</x:v>
      </x:c>
      <x:c r="C1896" s="12" t="n">
        <x:v>3626.0559</x:v>
      </x:c>
      <x:c r="D1896" s="12" t="n">
        <x:v>0.3945</x:v>
      </x:c>
      <x:c r="E1896" s="12" t="n">
        <x:v>0.003936829447977233</x:v>
      </x:c>
      <x:c r="F1896" s="13" t="n">
        <x:v>45427</x:v>
      </x:c>
      <x:c r="G1896" s="12" t="n">
        <x:v>3.13</x:v>
      </x:c>
      <x:c r="H1896" s="12" t="n">
        <x:v>313</x:v>
      </x:c>
      <x:c r="I1896" s="12" t="n">
        <x:v>-1</x:v>
      </x:c>
      <x:c r="J1896" s="12" t="n">
        <x:v>1</x:v>
      </x:c>
    </x:row>
    <x:row r="1897" ht="18" customHeight="1">
      <x:c r="A1897" s="13" t="n">
        <x:v>45429</x:v>
      </x:c>
      <x:c r="B1897" s="12" t="n">
        <x:v>3677.9696</x:v>
      </x:c>
      <x:c r="C1897" s="12" t="n">
        <x:v>3640.3592</x:v>
      </x:c>
      <x:c r="D1897" s="12" t="n">
        <x:v>1.0332</x:v>
      </x:c>
      <x:c r="E1897" s="12" t="n">
        <x:v>0.010278502687711856</x:v>
      </x:c>
      <x:c r="F1897" s="13" t="n">
        <x:v>45428</x:v>
      </x:c>
      <x:c r="G1897" s="12" t="n">
        <x:v>3.08</x:v>
      </x:c>
      <x:c r="H1897" s="12" t="n">
        <x:v>308</x:v>
      </x:c>
      <x:c r="I1897" s="12" t="n">
        <x:v>-5</x:v>
      </x:c>
      <x:c r="J1897" s="12" t="n">
        <x:v>1</x:v>
      </x:c>
    </x:row>
    <x:row r="1898" ht="18" customHeight="1">
      <x:c r="A1898" s="13" t="n">
        <x:v>45432</x:v>
      </x:c>
      <x:c r="B1898" s="12" t="n">
        <x:v>3690.9623</x:v>
      </x:c>
      <x:c r="C1898" s="12" t="n">
        <x:v>3677.9696</x:v>
      </x:c>
      <x:c r="D1898" s="12" t="n">
        <x:v>0.3533</x:v>
      </x:c>
      <x:c r="E1898" s="12" t="n">
        <x:v>0.0035263491751993527</x:v>
      </x:c>
      <x:c r="F1898" s="13" t="n">
        <x:v>45429</x:v>
      </x:c>
      <x:c r="G1898" s="12" t="n">
        <x:v>3.09</x:v>
      </x:c>
      <x:c r="H1898" s="12" t="n">
        <x:v>309</x:v>
      </x:c>
      <x:c r="I1898" s="12" t="n">
        <x:v>1</x:v>
      </x:c>
      <x:c r="J1898" s="12" t="n">
        <x:v>3</x:v>
      </x:c>
    </x:row>
    <x:row r="1899" ht="18" customHeight="1">
      <x:c r="A1899" s="13" t="n">
        <x:v>45433</x:v>
      </x:c>
      <x:c r="B1899" s="12" t="n">
        <x:v>3676.1611</x:v>
      </x:c>
      <x:c r="C1899" s="12" t="n">
        <x:v>3690.9623</x:v>
      </x:c>
      <x:c r="D1899" s="12" t="n">
        <x:v>-0.401</x:v>
      </x:c>
      <x:c r="E1899" s="12" t="n">
        <x:v>-0.00401818161882359</x:v>
      </x:c>
      <x:c r="F1899" s="13" t="n">
        <x:v>45432</x:v>
      </x:c>
      <x:c r="G1899" s="12" t="n">
        <x:v>3.07</x:v>
      </x:c>
      <x:c r="H1899" s="12" t="n">
        <x:v>307</x:v>
      </x:c>
      <x:c r="I1899" s="12" t="n">
        <x:v>-2</x:v>
      </x:c>
      <x:c r="J1899" s="12" t="n">
        <x:v>1</x:v>
      </x:c>
    </x:row>
    <x:row r="1900" ht="18" customHeight="1">
      <x:c r="A1900" s="13" t="n">
        <x:v>45434</x:v>
      </x:c>
      <x:c r="B1900" s="12" t="n">
        <x:v>3684.451</x:v>
      </x:c>
      <x:c r="C1900" s="12" t="n">
        <x:v>3676.1611</x:v>
      </x:c>
      <x:c r="D1900" s="12" t="n">
        <x:v>0.2255</x:v>
      </x:c>
      <x:c r="E1900" s="12" t="n">
        <x:v>0.0022525038386657214</x:v>
      </x:c>
      <x:c r="F1900" s="13" t="n">
        <x:v>45433</x:v>
      </x:c>
      <x:c r="G1900" s="12" t="n">
        <x:v>3.07</x:v>
      </x:c>
      <x:c r="H1900" s="12" t="n">
        <x:v>307</x:v>
      </x:c>
      <x:c r="I1900" s="12" t="n">
        <x:v>0</x:v>
      </x:c>
      <x:c r="J1900" s="12" t="n">
        <x:v>1</x:v>
      </x:c>
    </x:row>
    <x:row r="1901" ht="18" customHeight="1">
      <x:c r="A1901" s="13" t="n">
        <x:v>45435</x:v>
      </x:c>
      <x:c r="B1901" s="12" t="n">
        <x:v>3641.7917</x:v>
      </x:c>
      <x:c r="C1901" s="12" t="n">
        <x:v>3684.451</x:v>
      </x:c>
      <x:c r="D1901" s="12" t="n">
        <x:v>-1.1578</x:v>
      </x:c>
      <x:c r="E1901" s="12" t="n">
        <x:v>-0.01164574636115049</x:v>
      </x:c>
      <x:c r="F1901" s="13" t="n">
        <x:v>45434</x:v>
      </x:c>
      <x:c r="G1901" s="12" t="n">
        <x:v>3.11</x:v>
      </x:c>
      <x:c r="H1901" s="12" t="n">
        <x:v>311</x:v>
      </x:c>
      <x:c r="I1901" s="12" t="n">
        <x:v>4</x:v>
      </x:c>
      <x:c r="J1901" s="12" t="n">
        <x:v>1</x:v>
      </x:c>
    </x:row>
    <x:row r="1902" ht="18" customHeight="1">
      <x:c r="A1902" s="13" t="n">
        <x:v>45436</x:v>
      </x:c>
      <x:c r="B1902" s="12" t="n">
        <x:v>3601.4754</x:v>
      </x:c>
      <x:c r="C1902" s="12" t="n">
        <x:v>3641.7917</x:v>
      </x:c>
      <x:c r="D1902" s="12" t="n">
        <x:v>-1.107</x:v>
      </x:c>
      <x:c r="E1902" s="12" t="n">
        <x:v>-0.011132190983596793</x:v>
      </x:c>
      <x:c r="F1902" s="13" t="n">
        <x:v>45435</x:v>
      </x:c>
      <x:c r="G1902" s="12" t="n">
        <x:v>3.1</x:v>
      </x:c>
      <x:c r="H1902" s="12" t="n">
        <x:v>310</x:v>
      </x:c>
      <x:c r="I1902" s="12" t="n">
        <x:v>-1</x:v>
      </x:c>
      <x:c r="J1902" s="12" t="n">
        <x:v>1</x:v>
      </x:c>
    </x:row>
    <x:row r="1903" ht="18" customHeight="1">
      <x:c r="A1903" s="13" t="n">
        <x:v>45439</x:v>
      </x:c>
      <x:c r="B1903" s="12" t="n">
        <x:v>3635.7079</x:v>
      </x:c>
      <x:c r="C1903" s="12" t="n">
        <x:v>3601.4754</x:v>
      </x:c>
      <x:c r="D1903" s="12" t="n">
        <x:v>0.9505</x:v>
      </x:c>
      <x:c r="E1903" s="12" t="n">
        <x:v>0.009460242717951572</x:v>
      </x:c>
      <x:c r="F1903" s="13" t="n">
        <x:v>45436</x:v>
      </x:c>
      <x:c r="G1903" s="12" t="n">
        <x:v>3.11</x:v>
      </x:c>
      <x:c r="H1903" s="12" t="n">
        <x:v>311</x:v>
      </x:c>
      <x:c r="I1903" s="12" t="n">
        <x:v>1</x:v>
      </x:c>
      <x:c r="J1903" s="12" t="n">
        <x:v>3</x:v>
      </x:c>
    </x:row>
    <x:row r="1904" ht="18" customHeight="1">
      <x:c r="A1904" s="13" t="n">
        <x:v>45440</x:v>
      </x:c>
      <x:c r="B1904" s="12" t="n">
        <x:v>3609.1724</x:v>
      </x:c>
      <x:c r="C1904" s="12" t="n">
        <x:v>3635.7079</x:v>
      </x:c>
      <x:c r="D1904" s="12" t="n">
        <x:v>-0.7299</x:v>
      </x:c>
      <x:c r="E1904" s="12" t="n">
        <x:v>-0.007325343569654487</x:v>
      </x:c>
      <x:c r="F1904" s="13" t="n">
        <x:v>45439</x:v>
      </x:c>
      <x:c r="G1904" s="12" t="n">
        <x:v>3.12</x:v>
      </x:c>
      <x:c r="H1904" s="12" t="n">
        <x:v>312</x:v>
      </x:c>
      <x:c r="I1904" s="12" t="n">
        <x:v>1</x:v>
      </x:c>
      <x:c r="J1904" s="12" t="n">
        <x:v>1</x:v>
      </x:c>
    </x:row>
    <x:row r="1905" ht="18" customHeight="1">
      <x:c r="A1905" s="13" t="n">
        <x:v>45441</x:v>
      </x:c>
      <x:c r="B1905" s="12" t="n">
        <x:v>3613.5223</x:v>
      </x:c>
      <x:c r="C1905" s="12" t="n">
        <x:v>3609.1724</x:v>
      </x:c>
      <x:c r="D1905" s="12" t="n">
        <x:v>0.1205</x:v>
      </x:c>
      <x:c r="E1905" s="12" t="n">
        <x:v>0.0012045090389653562</x:v>
      </x:c>
      <x:c r="F1905" s="13" t="n">
        <x:v>45440</x:v>
      </x:c>
      <x:c r="G1905" s="12" t="n">
        <x:v>3.09</x:v>
      </x:c>
      <x:c r="H1905" s="12" t="n">
        <x:v>309</x:v>
      </x:c>
      <x:c r="I1905" s="12" t="n">
        <x:v>-3</x:v>
      </x:c>
      <x:c r="J1905" s="12" t="n">
        <x:v>1</x:v>
      </x:c>
    </x:row>
    <x:row r="1906" ht="18" customHeight="1">
      <x:c r="A1906" s="13" t="n">
        <x:v>45442</x:v>
      </x:c>
      <x:c r="B1906" s="12" t="n">
        <x:v>3594.3121</x:v>
      </x:c>
      <x:c r="C1906" s="12" t="n">
        <x:v>3613.5223</x:v>
      </x:c>
      <x:c r="D1906" s="12" t="n">
        <x:v>-0.5316</x:v>
      </x:c>
      <x:c r="E1906" s="12" t="n">
        <x:v>-0.005330379256448552</x:v>
      </x:c>
      <x:c r="F1906" s="13" t="n">
        <x:v>45441</x:v>
      </x:c>
      <x:c r="G1906" s="12" t="n">
        <x:v>3.15</x:v>
      </x:c>
      <x:c r="H1906" s="12" t="n">
        <x:v>315</x:v>
      </x:c>
      <x:c r="I1906" s="12" t="n">
        <x:v>6</x:v>
      </x:c>
      <x:c r="J1906" s="12" t="n">
        <x:v>1</x:v>
      </x:c>
    </x:row>
    <x:row r="1907" ht="18" customHeight="1">
      <x:c r="A1907" s="13" t="n">
        <x:v>45443</x:v>
      </x:c>
      <x:c r="B1907" s="12" t="n">
        <x:v>3579.9247</x:v>
      </x:c>
      <x:c r="C1907" s="12" t="n">
        <x:v>3594.3121</x:v>
      </x:c>
      <x:c r="D1907" s="12" t="n">
        <x:v>-0.4003</x:v>
      </x:c>
      <x:c r="E1907" s="12" t="n">
        <x:v>-0.00401085709562117</x:v>
      </x:c>
      <x:c r="F1907" s="13" t="n">
        <x:v>45442</x:v>
      </x:c>
      <x:c r="G1907" s="12" t="n">
        <x:v>3.19</x:v>
      </x:c>
      <x:c r="H1907" s="12" t="n">
        <x:v>319</x:v>
      </x:c>
      <x:c r="I1907" s="12" t="n">
        <x:v>4</x:v>
      </x:c>
      <x:c r="J1907" s="12" t="n">
        <x:v>1</x:v>
      </x:c>
    </x:row>
    <x:row r="1908" ht="18" customHeight="1">
      <x:c r="A1908" s="13" t="n">
        <x:v>45446</x:v>
      </x:c>
      <x:c r="B1908" s="12" t="n">
        <x:v>3588.7483</x:v>
      </x:c>
      <x:c r="C1908" s="12" t="n">
        <x:v>3579.9247</x:v>
      </x:c>
      <x:c r="D1908" s="12" t="n">
        <x:v>0.2465</x:v>
      </x:c>
      <x:c r="E1908" s="12" t="n">
        <x:v>0.0024617120786335107</x:v>
      </x:c>
      <x:c r="F1908" s="13" t="n">
        <x:v>45443</x:v>
      </x:c>
      <x:c r="G1908" s="12" t="n">
        <x:v>3.2</x:v>
      </x:c>
      <x:c r="H1908" s="12" t="n">
        <x:v>320</x:v>
      </x:c>
      <x:c r="I1908" s="12" t="n">
        <x:v>1</x:v>
      </x:c>
      <x:c r="J1908" s="12" t="n">
        <x:v>3</x:v>
      </x:c>
    </x:row>
    <x:row r="1909" ht="18" customHeight="1">
      <x:c r="A1909" s="13" t="n">
        <x:v>45447</x:v>
      </x:c>
      <x:c r="B1909" s="12" t="n">
        <x:v>3615.6714</x:v>
      </x:c>
      <x:c r="C1909" s="12" t="n">
        <x:v>3588.7483</x:v>
      </x:c>
      <x:c r="D1909" s="12" t="n">
        <x:v>0.7502</x:v>
      </x:c>
      <x:c r="E1909" s="12" t="n">
        <x:v>0.007474085756360476</x:v>
      </x:c>
      <x:c r="F1909" s="13" t="n">
        <x:v>45446</x:v>
      </x:c>
      <x:c r="G1909" s="12" t="n">
        <x:v>3.17</x:v>
      </x:c>
      <x:c r="H1909" s="12" t="n">
        <x:v>317</x:v>
      </x:c>
      <x:c r="I1909" s="12" t="n">
        <x:v>-3</x:v>
      </x:c>
      <x:c r="J1909" s="12" t="n">
        <x:v>1</x:v>
      </x:c>
    </x:row>
    <x:row r="1910" ht="18" customHeight="1">
      <x:c r="A1910" s="13" t="n">
        <x:v>45448</x:v>
      </x:c>
      <x:c r="B1910" s="12" t="n">
        <x:v>3594.7936</x:v>
      </x:c>
      <x:c r="C1910" s="12" t="n">
        <x:v>3615.6714</x:v>
      </x:c>
      <x:c r="D1910" s="12" t="n">
        <x:v>-0.5774</x:v>
      </x:c>
      <x:c r="E1910" s="12" t="n">
        <x:v>-0.005790988055739421</x:v>
      </x:c>
      <x:c r="F1910" s="13" t="n">
        <x:v>45447</x:v>
      </x:c>
      <x:c r="G1910" s="12" t="n">
        <x:v>3.22</x:v>
      </x:c>
      <x:c r="H1910" s="12" t="n">
        <x:v>322</x:v>
      </x:c>
      <x:c r="I1910" s="12" t="n">
        <x:v>5</x:v>
      </x:c>
      <x:c r="J1910" s="12" t="n">
        <x:v>1</x:v>
      </x:c>
    </x:row>
    <x:row r="1911" ht="18" customHeight="1">
      <x:c r="A1911" s="13" t="n">
        <x:v>45449</x:v>
      </x:c>
      <x:c r="B1911" s="12" t="n">
        <x:v>3592.2454</x:v>
      </x:c>
      <x:c r="C1911" s="12" t="n">
        <x:v>3594.7936</x:v>
      </x:c>
      <x:c r="D1911" s="12" t="n">
        <x:v>-0.0709</x:v>
      </x:c>
      <x:c r="E1911" s="12" t="n">
        <x:v>-0.0007091098592278275</x:v>
      </x:c>
      <x:c r="F1911" s="13" t="n">
        <x:v>45448</x:v>
      </x:c>
      <x:c r="G1911" s="12" t="n">
        <x:v>3.2</x:v>
      </x:c>
      <x:c r="H1911" s="12" t="n">
        <x:v>320</x:v>
      </x:c>
      <x:c r="I1911" s="12" t="n">
        <x:v>-2</x:v>
      </x:c>
      <x:c r="J1911" s="12" t="n">
        <x:v>1</x:v>
      </x:c>
    </x:row>
    <x:row r="1912" ht="18" customHeight="1">
      <x:c r="A1912" s="13" t="n">
        <x:v>45450</x:v>
      </x:c>
      <x:c r="B1912" s="12" t="n">
        <x:v>3574.1143</x:v>
      </x:c>
      <x:c r="C1912" s="12" t="n">
        <x:v>3592.2454</x:v>
      </x:c>
      <x:c r="D1912" s="12" t="n">
        <x:v>-0.5047</x:v>
      </x:c>
      <x:c r="E1912" s="12" t="n">
        <x:v>-0.0050600693923201785</x:v>
      </x:c>
      <x:c r="F1912" s="13" t="n">
        <x:v>45449</x:v>
      </x:c>
      <x:c r="G1912" s="12" t="n">
        <x:v>3.2</x:v>
      </x:c>
      <x:c r="H1912" s="12" t="n">
        <x:v>320</x:v>
      </x:c>
      <x:c r="I1912" s="12" t="n">
        <x:v>0</x:v>
      </x:c>
      <x:c r="J1912" s="12" t="n">
        <x:v>1</x:v>
      </x:c>
    </x:row>
    <x:row r="1913" ht="18" customHeight="1">
      <x:c r="A1913" s="13" t="n">
        <x:v>45454</x:v>
      </x:c>
      <x:c r="B1913" s="12" t="n">
        <x:v>3542.8771</x:v>
      </x:c>
      <x:c r="C1913" s="12" t="n">
        <x:v>3574.1143</x:v>
      </x:c>
      <x:c r="D1913" s="12" t="n">
        <x:v>-0.874</x:v>
      </x:c>
      <x:c r="E1913" s="12" t="n">
        <x:v>-0.008778260035281154</x:v>
      </x:c>
      <x:c r="F1913" s="13" t="n">
        <x:v>45453</x:v>
      </x:c>
      <x:c r="G1913" s="12" t="n">
        <x:v>3.15</x:v>
      </x:c>
      <x:c r="H1913" s="12" t="n">
        <x:v>315</x:v>
      </x:c>
      <x:c r="I1913" s="12" t="n">
        <x:v>0</x:v>
      </x:c>
      <x:c r="J1913" s="12" t="n">
        <x:v>1</x:v>
      </x:c>
    </x:row>
    <x:row r="1914" ht="18" customHeight="1">
      <x:c r="A1914" s="13" t="n">
        <x:v>45455</x:v>
      </x:c>
      <x:c r="B1914" s="12" t="n">
        <x:v>3544.1225</x:v>
      </x:c>
      <x:c r="C1914" s="12" t="n">
        <x:v>3542.8771</x:v>
      </x:c>
      <x:c r="D1914" s="12" t="n">
        <x:v>0.0352</x:v>
      </x:c>
      <x:c r="E1914" s="12" t="n">
        <x:v>0.00035146044394283323</x:v>
      </x:c>
      <x:c r="F1914" s="13" t="n">
        <x:v>45454</x:v>
      </x:c>
      <x:c r="G1914" s="12" t="n">
        <x:v>3.19</x:v>
      </x:c>
      <x:c r="H1914" s="12" t="n">
        <x:v>319</x:v>
      </x:c>
      <x:c r="I1914" s="12" t="n">
        <x:v>4</x:v>
      </x:c>
      <x:c r="J1914" s="12" t="n">
        <x:v>1</x:v>
      </x:c>
    </x:row>
    <x:row r="1915" ht="18" customHeight="1">
      <x:c r="A1915" s="13" t="n">
        <x:v>45456</x:v>
      </x:c>
      <x:c r="B1915" s="12" t="n">
        <x:v>3526.1306</x:v>
      </x:c>
      <x:c r="C1915" s="12" t="n">
        <x:v>3544.1225</x:v>
      </x:c>
      <x:c r="D1915" s="12" t="n">
        <x:v>-0.5077</x:v>
      </x:c>
      <x:c r="E1915" s="12" t="n">
        <x:v>-0.005089475180636833</x:v>
      </x:c>
      <x:c r="F1915" s="13" t="n">
        <x:v>45455</x:v>
      </x:c>
      <x:c r="G1915" s="12" t="n">
        <x:v>3.09</x:v>
      </x:c>
      <x:c r="H1915" s="12" t="n">
        <x:v>309</x:v>
      </x:c>
      <x:c r="I1915" s="12" t="n">
        <x:v>-10</x:v>
      </x:c>
      <x:c r="J1915" s="12" t="n">
        <x:v>1</x:v>
      </x:c>
    </x:row>
    <x:row r="1916" ht="18" customHeight="1">
      <x:c r="A1916" s="13" t="n">
        <x:v>45457</x:v>
      </x:c>
      <x:c r="B1916" s="12" t="n">
        <x:v>3541.5331</x:v>
      </x:c>
      <x:c r="C1916" s="12" t="n">
        <x:v>3526.1306</x:v>
      </x:c>
      <x:c r="D1916" s="12" t="n">
        <x:v>0.4368</x:v>
      </x:c>
      <x:c r="E1916" s="12" t="n">
        <x:v>0.004358590062463737</x:v>
      </x:c>
      <x:c r="F1916" s="13" t="n">
        <x:v>45456</x:v>
      </x:c>
      <x:c r="G1916" s="12" t="n">
        <x:v>3.2</x:v>
      </x:c>
      <x:c r="H1916" s="12" t="n">
        <x:v>320</x:v>
      </x:c>
      <x:c r="I1916" s="12" t="n">
        <x:v>11</x:v>
      </x:c>
      <x:c r="J1916" s="12" t="n">
        <x:v>1</x:v>
      </x:c>
    </x:row>
    <x:row r="1917" ht="18" customHeight="1">
      <x:c r="A1917" s="13" t="n">
        <x:v>45460</x:v>
      </x:c>
      <x:c r="B1917" s="12" t="n">
        <x:v>3536.1986</x:v>
      </x:c>
      <x:c r="C1917" s="12" t="n">
        <x:v>3541.5331</x:v>
      </x:c>
      <x:c r="D1917" s="12" t="n">
        <x:v>-0.1506</x:v>
      </x:c>
      <x:c r="E1917" s="12" t="n">
        <x:v>-0.001507404133478877</x:v>
      </x:c>
      <x:c r="F1917" s="13" t="n">
        <x:v>45457</x:v>
      </x:c>
      <x:c r="G1917" s="12" t="n">
        <x:v>3.29</x:v>
      </x:c>
      <x:c r="H1917" s="12" t="n">
        <x:v>329</x:v>
      </x:c>
      <x:c r="I1917" s="12" t="n">
        <x:v>9</x:v>
      </x:c>
      <x:c r="J1917" s="12" t="n">
        <x:v>3</x:v>
      </x:c>
    </x:row>
    <x:row r="1918" ht="18" customHeight="1">
      <x:c r="A1918" s="13" t="n">
        <x:v>45461</x:v>
      </x:c>
      <x:c r="B1918" s="12" t="n">
        <x:v>3545.5902</x:v>
      </x:c>
      <x:c r="C1918" s="12" t="n">
        <x:v>3536.1986</x:v>
      </x:c>
      <x:c r="D1918" s="12" t="n">
        <x:v>0.2656</x:v>
      </x:c>
      <x:c r="E1918" s="12" t="n">
        <x:v>0.002652325781218718</x:v>
      </x:c>
      <x:c r="F1918" s="13" t="n">
        <x:v>45460</x:v>
      </x:c>
      <x:c r="G1918" s="12" t="n">
        <x:v>3.26</x:v>
      </x:c>
      <x:c r="H1918" s="12" t="n">
        <x:v>326</x:v>
      </x:c>
      <x:c r="I1918" s="12" t="n">
        <x:v>-3</x:v>
      </x:c>
      <x:c r="J1918" s="12" t="n">
        <x:v>1</x:v>
      </x:c>
    </x:row>
    <x:row r="1919" ht="18" customHeight="1">
      <x:c r="A1919" s="13" t="n">
        <x:v>45462</x:v>
      </x:c>
      <x:c r="B1919" s="12" t="n">
        <x:v>3528.749</x:v>
      </x:c>
      <x:c r="C1919" s="12" t="n">
        <x:v>3545.5902</x:v>
      </x:c>
      <x:c r="D1919" s="12" t="n">
        <x:v>-0.475</x:v>
      </x:c>
      <x:c r="E1919" s="12" t="n">
        <x:v>-0.004761216938729962</x:v>
      </x:c>
      <x:c r="F1919" s="13" t="n">
        <x:v>45461</x:v>
      </x:c>
      <x:c r="G1919" s="12" t="n">
        <x:v>3.24</x:v>
      </x:c>
      <x:c r="H1919" s="12" t="n">
        <x:v>324</x:v>
      </x:c>
      <x:c r="I1919" s="12" t="n">
        <x:v>-2</x:v>
      </x:c>
      <x:c r="J1919" s="12" t="n">
        <x:v>1</x:v>
      </x:c>
    </x:row>
    <x:row r="1920" ht="18" customHeight="1">
      <x:c r="A1920" s="13" t="n">
        <x:v>45463</x:v>
      </x:c>
      <x:c r="B1920" s="12" t="n">
        <x:v>3503.2817</x:v>
      </x:c>
      <x:c r="C1920" s="12" t="n">
        <x:v>3528.749</x:v>
      </x:c>
      <x:c r="D1920" s="12" t="n">
        <x:v>-0.7217</x:v>
      </x:c>
      <x:c r="E1920" s="12" t="n">
        <x:v>-0.007243259431347746</x:v>
      </x:c>
      <x:c r="F1920" s="13" t="n">
        <x:v>45462</x:v>
      </x:c>
      <x:c r="G1920" s="12" t="n">
        <x:v>3.24</x:v>
      </x:c>
      <x:c r="H1920" s="12" t="n">
        <x:v>324</x:v>
      </x:c>
      <x:c r="I1920" s="12" t="n">
        <x:v>0</x:v>
      </x:c>
      <x:c r="J1920" s="12" t="n">
        <x:v>1</x:v>
      </x:c>
    </x:row>
    <x:row r="1921" ht="18" customHeight="1">
      <x:c r="A1921" s="13" t="n">
        <x:v>45464</x:v>
      </x:c>
      <x:c r="B1921" s="12" t="n">
        <x:v>3495.6198</x:v>
      </x:c>
      <x:c r="C1921" s="12" t="n">
        <x:v>3503.2817</x:v>
      </x:c>
      <x:c r="D1921" s="12" t="n">
        <x:v>-0.2187</x:v>
      </x:c>
      <x:c r="E1921" s="12" t="n">
        <x:v>-0.002189458748849752</x:v>
      </x:c>
      <x:c r="F1921" s="13" t="n">
        <x:v>45463</x:v>
      </x:c>
      <x:c r="G1921" s="12" t="n">
        <x:v>3.23</x:v>
      </x:c>
      <x:c r="H1921" s="12" t="n">
        <x:v>323</x:v>
      </x:c>
      <x:c r="I1921" s="12" t="n">
        <x:v>-1</x:v>
      </x:c>
      <x:c r="J1921" s="12" t="n">
        <x:v>1</x:v>
      </x:c>
    </x:row>
    <x:row r="1922" ht="18" customHeight="1">
      <x:c r="A1922" s="13" t="n">
        <x:v>45467</x:v>
      </x:c>
      <x:c r="B1922" s="12" t="n">
        <x:v>3476.8102</x:v>
      </x:c>
      <x:c r="C1922" s="12" t="n">
        <x:v>3495.6198</x:v>
      </x:c>
      <x:c r="D1922" s="12" t="n">
        <x:v>-0.5381</x:v>
      </x:c>
      <x:c r="E1922" s="12" t="n">
        <x:v>-0.005395434770963799</x:v>
      </x:c>
      <x:c r="F1922" s="13" t="n">
        <x:v>45464</x:v>
      </x:c>
      <x:c r="G1922" s="12" t="n">
        <x:v>3.21</x:v>
      </x:c>
      <x:c r="H1922" s="12" t="n">
        <x:v>321</x:v>
      </x:c>
      <x:c r="I1922" s="12" t="n">
        <x:v>-2</x:v>
      </x:c>
      <x:c r="J1922" s="12" t="n">
        <x:v>3</x:v>
      </x:c>
    </x:row>
    <x:row r="1923" ht="18" customHeight="1">
      <x:c r="A1923" s="13" t="n">
        <x:v>45468</x:v>
      </x:c>
      <x:c r="B1923" s="12" t="n">
        <x:v>3457.9023</x:v>
      </x:c>
      <x:c r="C1923" s="12" t="n">
        <x:v>3476.8102</x:v>
      </x:c>
      <x:c r="D1923" s="12" t="n">
        <x:v>-0.5438</x:v>
      </x:c>
      <x:c r="E1923" s="12" t="n">
        <x:v>-0.005453130711547871</x:v>
      </x:c>
      <x:c r="F1923" s="13" t="n">
        <x:v>45467</x:v>
      </x:c>
      <x:c r="G1923" s="12" t="n">
        <x:v>3.19</x:v>
      </x:c>
      <x:c r="H1923" s="12" t="n">
        <x:v>319</x:v>
      </x:c>
      <x:c r="I1923" s="12" t="n">
        <x:v>-2</x:v>
      </x:c>
      <x:c r="J1923" s="12" t="n">
        <x:v>1</x:v>
      </x:c>
    </x:row>
    <x:row r="1924" ht="18" customHeight="1">
      <x:c r="A1924" s="13" t="n">
        <x:v>45469</x:v>
      </x:c>
      <x:c r="B1924" s="12" t="n">
        <x:v>3480.2648</x:v>
      </x:c>
      <x:c r="C1924" s="12" t="n">
        <x:v>3457.9023</x:v>
      </x:c>
      <x:c r="D1924" s="12" t="n">
        <x:v>0.6467</x:v>
      </x:c>
      <x:c r="E1924" s="12" t="n">
        <x:v>0.0064462493092157</x:v>
      </x:c>
      <x:c r="F1924" s="13" t="n">
        <x:v>45468</x:v>
      </x:c>
      <x:c r="G1924" s="12" t="n">
        <x:v>3.19</x:v>
      </x:c>
      <x:c r="H1924" s="12" t="n">
        <x:v>319</x:v>
      </x:c>
      <x:c r="I1924" s="12" t="n">
        <x:v>0</x:v>
      </x:c>
      <x:c r="J1924" s="12" t="n">
        <x:v>1</x:v>
      </x:c>
    </x:row>
    <x:row r="1925" ht="18" customHeight="1">
      <x:c r="A1925" s="13" t="n">
        <x:v>45470</x:v>
      </x:c>
      <x:c r="B1925" s="12" t="n">
        <x:v>3454.1175</x:v>
      </x:c>
      <x:c r="C1925" s="12" t="n">
        <x:v>3480.2648</x:v>
      </x:c>
      <x:c r="D1925" s="12" t="n">
        <x:v>-0.7513</x:v>
      </x:c>
      <x:c r="E1925" s="12" t="n">
        <x:v>-0.007541385170448812</x:v>
      </x:c>
      <x:c r="F1925" s="13" t="n">
        <x:v>45469</x:v>
      </x:c>
      <x:c r="G1925" s="12" t="n">
        <x:v>3.18</x:v>
      </x:c>
      <x:c r="H1925" s="12" t="n">
        <x:v>318</x:v>
      </x:c>
      <x:c r="I1925" s="12" t="n">
        <x:v>-1</x:v>
      </x:c>
      <x:c r="J1925" s="12" t="n">
        <x:v>1</x:v>
      </x:c>
    </x:row>
    <x:row r="1926" ht="18" customHeight="1">
      <x:c r="A1926" s="13" t="n">
        <x:v>45471</x:v>
      </x:c>
      <x:c r="B1926" s="12" t="n">
        <x:v>3461.657</x:v>
      </x:c>
      <x:c r="C1926" s="12" t="n">
        <x:v>3454.1175</x:v>
      </x:c>
      <x:c r="D1926" s="12" t="n">
        <x:v>0.2183</x:v>
      </x:c>
      <x:c r="E1926" s="12" t="n">
        <x:v>0.0021803784917885987</x:v>
      </x:c>
      <x:c r="F1926" s="13" t="n">
        <x:v>45470</x:v>
      </x:c>
      <x:c r="G1926" s="12" t="n">
        <x:v>3.21</x:v>
      </x:c>
      <x:c r="H1926" s="12" t="n">
        <x:v>321</x:v>
      </x:c>
      <x:c r="I1926" s="12" t="n">
        <x:v>3</x:v>
      </x:c>
      <x:c r="J1926" s="12" t="n">
        <x:v>1</x:v>
      </x:c>
    </x:row>
    <x:row r="1927" ht="18" customHeight="1">
      <x:c r="A1927" s="13" t="n">
        <x:v>45474</x:v>
      </x:c>
      <x:c r="B1927" s="12" t="n">
        <x:v>3478.1827</x:v>
      </x:c>
      <x:c r="C1927" s="12" t="n">
        <x:v>3461.657</x:v>
      </x:c>
      <x:c r="D1927" s="12" t="n">
        <x:v>0.4774</x:v>
      </x:c>
      <x:c r="E1927" s="12" t="n">
        <x:v>0.0047625685752935455</x:v>
      </x:c>
      <x:c r="F1927" s="13" t="n">
        <x:v>45473</x:v>
      </x:c>
      <x:c r="G1927" s="12" t="n">
        <x:v>3.21</x:v>
      </x:c>
      <x:c r="H1927" s="12" t="n">
        <x:v>321</x:v>
      </x:c>
      <x:c r="I1927" s="12" t="n">
        <x:v>3</x:v>
      </x:c>
      <x:c r="J1927" s="12" t="n">
        <x:v>1</x:v>
      </x:c>
    </x:row>
    <x:row r="1928" ht="18" customHeight="1">
      <x:c r="A1928" s="13" t="n">
        <x:v>45475</x:v>
      </x:c>
      <x:c r="B1928" s="12" t="n">
        <x:v>3471.7857</x:v>
      </x:c>
      <x:c r="C1928" s="12" t="n">
        <x:v>3478.1827</x:v>
      </x:c>
      <x:c r="D1928" s="12" t="n">
        <x:v>-0.1839</x:v>
      </x:c>
      <x:c r="E1928" s="12" t="n">
        <x:v>-0.0018408721992226827</x:v>
      </x:c>
      <x:c r="F1928" s="13" t="n">
        <x:v>45474</x:v>
      </x:c>
      <x:c r="G1928" s="12" t="n">
        <x:v>3.21</x:v>
      </x:c>
      <x:c r="H1928" s="12" t="n">
        <x:v>321</x:v>
      </x:c>
      <x:c r="I1928" s="12" t="n">
        <x:v>0</x:v>
      </x:c>
      <x:c r="J1928" s="12" t="n">
        <x:v>1</x:v>
      </x:c>
    </x:row>
    <x:row r="1929" ht="18" customHeight="1">
      <x:c r="A1929" s="13" t="n">
        <x:v>45476</x:v>
      </x:c>
      <x:c r="B1929" s="12" t="n">
        <x:v>3463.4141</x:v>
      </x:c>
      <x:c r="C1929" s="12" t="n">
        <x:v>3471.7857</x:v>
      </x:c>
      <x:c r="D1929" s="12" t="n">
        <x:v>-0.2411</x:v>
      </x:c>
      <x:c r="E1929" s="12" t="n">
        <x:v>-0.002414235871381695</x:v>
      </x:c>
      <x:c r="F1929" s="13" t="n">
        <x:v>45475</x:v>
      </x:c>
      <x:c r="G1929" s="12" t="n">
        <x:v>3.23</x:v>
      </x:c>
      <x:c r="H1929" s="12" t="n">
        <x:v>323</x:v>
      </x:c>
      <x:c r="I1929" s="12" t="n">
        <x:v>2</x:v>
      </x:c>
      <x:c r="J1929" s="12" t="n">
        <x:v>1</x:v>
      </x:c>
    </x:row>
    <x:row r="1930" ht="18" customHeight="1">
      <x:c r="A1930" s="13" t="n">
        <x:v>45477</x:v>
      </x:c>
      <x:c r="B1930" s="12" t="n">
        <x:v>3445.8128</x:v>
      </x:c>
      <x:c r="C1930" s="12" t="n">
        <x:v>3463.4141</x:v>
      </x:c>
      <x:c r="D1930" s="12" t="n">
        <x:v>-0.5082</x:v>
      </x:c>
      <x:c r="E1930" s="12" t="n">
        <x:v>-0.0050950238951884145</x:v>
      </x:c>
      <x:c r="F1930" s="13" t="n">
        <x:v>45476</x:v>
      </x:c>
      <x:c r="G1930" s="12" t="n">
        <x:v>3.25</x:v>
      </x:c>
      <x:c r="H1930" s="12" t="n">
        <x:v>325</x:v>
      </x:c>
      <x:c r="I1930" s="12" t="n">
        <x:v>2</x:v>
      </x:c>
      <x:c r="J1930" s="12" t="n">
        <x:v>1</x:v>
      </x:c>
    </x:row>
    <x:row r="1931" ht="18" customHeight="1">
      <x:c r="A1931" s="13" t="n">
        <x:v>45478</x:v>
      </x:c>
      <x:c r="B1931" s="12" t="n">
        <x:v>3431.0605</x:v>
      </x:c>
      <x:c r="C1931" s="12" t="n">
        <x:v>3445.8128</x:v>
      </x:c>
      <x:c r="D1931" s="12" t="n">
        <x:v>-0.4281</x:v>
      </x:c>
      <x:c r="E1931" s="12" t="n">
        <x:v>-0.004290415712504689</x:v>
      </x:c>
      <x:c r="F1931" s="13" t="n">
        <x:v>45477</x:v>
      </x:c>
      <x:c r="G1931" s="12" t="n">
        <x:v>3.25</x:v>
      </x:c>
      <x:c r="H1931" s="12" t="n">
        <x:v>325</x:v>
      </x:c>
      <x:c r="I1931" s="12" t="n">
        <x:v>0</x:v>
      </x:c>
      <x:c r="J1931" s="12" t="n">
        <x:v>1</x:v>
      </x:c>
    </x:row>
    <x:row r="1932" ht="18" customHeight="1">
      <x:c r="A1932" s="13" t="n">
        <x:v>45481</x:v>
      </x:c>
      <x:c r="B1932" s="12" t="n">
        <x:v>3401.7604</x:v>
      </x:c>
      <x:c r="C1932" s="12" t="n">
        <x:v>3431.0605</x:v>
      </x:c>
      <x:c r="D1932" s="12" t="n">
        <x:v>-0.854</x:v>
      </x:c>
      <x:c r="E1932" s="12" t="n">
        <x:v>-0.008576334729793503</x:v>
      </x:c>
      <x:c r="F1932" s="13" t="n">
        <x:v>45478</x:v>
      </x:c>
      <x:c r="G1932" s="12" t="n">
        <x:v>3.27</x:v>
      </x:c>
      <x:c r="H1932" s="12" t="n">
        <x:v>327</x:v>
      </x:c>
      <x:c r="I1932" s="12" t="n">
        <x:v>2</x:v>
      </x:c>
      <x:c r="J1932" s="12" t="n">
        <x:v>3</x:v>
      </x:c>
    </x:row>
    <x:row r="1933" ht="18" customHeight="1">
      <x:c r="A1933" s="13" t="n">
        <x:v>45482</x:v>
      </x:c>
      <x:c r="B1933" s="12" t="n">
        <x:v>3439.8111</x:v>
      </x:c>
      <x:c r="C1933" s="12" t="n">
        <x:v>3401.7604</x:v>
      </x:c>
      <x:c r="D1933" s="12" t="n">
        <x:v>1.1186</x:v>
      </x:c>
      <x:c r="E1933" s="12" t="n">
        <x:v>0.011123494752744543</x:v>
      </x:c>
      <x:c r="F1933" s="13" t="n">
        <x:v>45481</x:v>
      </x:c>
      <x:c r="G1933" s="12" t="n">
        <x:v>3.2</x:v>
      </x:c>
      <x:c r="H1933" s="12" t="n">
        <x:v>320</x:v>
      </x:c>
      <x:c r="I1933" s="12" t="n">
        <x:v>-7</x:v>
      </x:c>
      <x:c r="J1933" s="12" t="n">
        <x:v>1</x:v>
      </x:c>
    </x:row>
    <x:row r="1934" ht="18" customHeight="1">
      <x:c r="A1934" s="13" t="n">
        <x:v>45483</x:v>
      </x:c>
      <x:c r="B1934" s="12" t="n">
        <x:v>3428.9657</x:v>
      </x:c>
      <x:c r="C1934" s="12" t="n">
        <x:v>3439.8111</x:v>
      </x:c>
      <x:c r="D1934" s="12" t="n">
        <x:v>-0.3153</x:v>
      </x:c>
      <x:c r="E1934" s="12" t="n">
        <x:v>-0.003157886572395083</x:v>
      </x:c>
      <x:c r="F1934" s="13" t="n">
        <x:v>45482</x:v>
      </x:c>
      <x:c r="G1934" s="12" t="n">
        <x:v>3.21</x:v>
      </x:c>
      <x:c r="H1934" s="12" t="n">
        <x:v>321</x:v>
      </x:c>
      <x:c r="I1934" s="12" t="n">
        <x:v>1</x:v>
      </x:c>
      <x:c r="J1934" s="12" t="n">
        <x:v>1</x:v>
      </x:c>
    </x:row>
    <x:row r="1935" ht="18" customHeight="1">
      <x:c r="A1935" s="13" t="n">
        <x:v>45484</x:v>
      </x:c>
      <x:c r="B1935" s="12" t="n">
        <x:v>3468.169</x:v>
      </x:c>
      <x:c r="C1935" s="12" t="n">
        <x:v>3428.9657</x:v>
      </x:c>
      <x:c r="D1935" s="12" t="n">
        <x:v>1.1433</x:v>
      </x:c>
      <x:c r="E1935" s="12" t="n">
        <x:v>0.01136811847372326</x:v>
      </x:c>
      <x:c r="F1935" s="13" t="n">
        <x:v>45483</x:v>
      </x:c>
      <x:c r="G1935" s="12" t="n">
        <x:v>3.17</x:v>
      </x:c>
      <x:c r="H1935" s="12" t="n">
        <x:v>317</x:v>
      </x:c>
      <x:c r="I1935" s="12" t="n">
        <x:v>-4</x:v>
      </x:c>
      <x:c r="J1935" s="12" t="n">
        <x:v>1</x:v>
      </x:c>
    </x:row>
    <x:row r="1936" ht="18" customHeight="1">
      <x:c r="A1936" s="13" t="n">
        <x:v>45485</x:v>
      </x:c>
      <x:c r="B1936" s="12" t="n">
        <x:v>3472.4014</x:v>
      </x:c>
      <x:c r="C1936" s="12" t="n">
        <x:v>3468.169</x:v>
      </x:c>
      <x:c r="D1936" s="12" t="n">
        <x:v>0.122</x:v>
      </x:c>
      <x:c r="E1936" s="12" t="n">
        <x:v>0.001219611726616792</x:v>
      </x:c>
      <x:c r="F1936" s="13" t="n">
        <x:v>45484</x:v>
      </x:c>
      <x:c r="G1936" s="12" t="n">
        <x:v>3.18</x:v>
      </x:c>
      <x:c r="H1936" s="12" t="n">
        <x:v>318</x:v>
      </x:c>
      <x:c r="I1936" s="12" t="n">
        <x:v>1</x:v>
      </x:c>
      <x:c r="J1936" s="12" t="n">
        <x:v>1</x:v>
      </x:c>
    </x:row>
    <x:row r="1937" ht="18" customHeight="1">
      <x:c r="A1937" s="13" t="n">
        <x:v>45488</x:v>
      </x:c>
      <x:c r="B1937" s="12" t="n">
        <x:v>3476.2467</x:v>
      </x:c>
      <x:c r="C1937" s="12" t="n">
        <x:v>3472.4014</x:v>
      </x:c>
      <x:c r="D1937" s="12" t="n">
        <x:v>0.1107</x:v>
      </x:c>
      <x:c r="E1937" s="12" t="n">
        <x:v>0.0011067765519817325</x:v>
      </x:c>
      <x:c r="F1937" s="13" t="n">
        <x:v>45485</x:v>
      </x:c>
      <x:c r="G1937" s="12" t="n">
        <x:v>3.19</x:v>
      </x:c>
      <x:c r="H1937" s="12" t="n">
        <x:v>319</x:v>
      </x:c>
      <x:c r="I1937" s="12" t="n">
        <x:v>1</x:v>
      </x:c>
      <x:c r="J1937" s="12" t="n">
        <x:v>3</x:v>
      </x:c>
    </x:row>
    <x:row r="1938" ht="18" customHeight="1">
      <x:c r="A1938" s="13" t="n">
        <x:v>45489</x:v>
      </x:c>
      <x:c r="B1938" s="12" t="n">
        <x:v>3498.2827</x:v>
      </x:c>
      <x:c r="C1938" s="12" t="n">
        <x:v>3476.2467</x:v>
      </x:c>
      <x:c r="D1938" s="12" t="n">
        <x:v>0.6339</x:v>
      </x:c>
      <x:c r="E1938" s="12" t="n">
        <x:v>0.006319013674132575</x:v>
      </x:c>
      <x:c r="F1938" s="13" t="n">
        <x:v>45488</x:v>
      </x:c>
      <x:c r="G1938" s="12" t="n">
        <x:v>3.13</x:v>
      </x:c>
      <x:c r="H1938" s="12" t="n">
        <x:v>313</x:v>
      </x:c>
      <x:c r="I1938" s="12" t="n">
        <x:v>-6</x:v>
      </x:c>
      <x:c r="J1938" s="12" t="n">
        <x:v>1</x:v>
      </x:c>
    </x:row>
    <x:row r="1939" ht="18" customHeight="1">
      <x:c r="A1939" s="13" t="n">
        <x:v>45490</x:v>
      </x:c>
      <x:c r="B1939" s="12" t="n">
        <x:v>3501.5836</x:v>
      </x:c>
      <x:c r="C1939" s="12" t="n">
        <x:v>3498.2827</x:v>
      </x:c>
      <x:c r="D1939" s="12" t="n">
        <x:v>0.0944</x:v>
      </x:c>
      <x:c r="E1939" s="12" t="n">
        <x:v>0.0009431323694506291</x:v>
      </x:c>
      <x:c r="F1939" s="13" t="n">
        <x:v>45489</x:v>
      </x:c>
      <x:c r="G1939" s="12" t="n">
        <x:v>3.08</x:v>
      </x:c>
      <x:c r="H1939" s="12" t="n">
        <x:v>308</x:v>
      </x:c>
      <x:c r="I1939" s="12" t="n">
        <x:v>-5</x:v>
      </x:c>
      <x:c r="J1939" s="12" t="n">
        <x:v>1</x:v>
      </x:c>
    </x:row>
    <x:row r="1940" ht="18" customHeight="1">
      <x:c r="A1940" s="13" t="n">
        <x:v>45491</x:v>
      </x:c>
      <x:c r="B1940" s="12" t="n">
        <x:v>3520.931</x:v>
      </x:c>
      <x:c r="C1940" s="12" t="n">
        <x:v>3501.5836</x:v>
      </x:c>
      <x:c r="D1940" s="12" t="n">
        <x:v>0.5525</x:v>
      </x:c>
      <x:c r="E1940" s="12" t="n">
        <x:v>0.0055101199650592625</x:v>
      </x:c>
      <x:c r="F1940" s="13" t="n">
        <x:v>45490</x:v>
      </x:c>
      <x:c r="G1940" s="12" t="n">
        <x:v>3.09</x:v>
      </x:c>
      <x:c r="H1940" s="12" t="n">
        <x:v>309</x:v>
      </x:c>
      <x:c r="I1940" s="12" t="n">
        <x:v>1</x:v>
      </x:c>
      <x:c r="J1940" s="12" t="n">
        <x:v>1</x:v>
      </x:c>
    </x:row>
    <x:row r="1941" ht="18" customHeight="1">
      <x:c r="A1941" s="13" t="n">
        <x:v>45492</x:v>
      </x:c>
      <x:c r="B1941" s="12" t="n">
        <x:v>3539.0156</x:v>
      </x:c>
      <x:c r="C1941" s="12" t="n">
        <x:v>3520.931</x:v>
      </x:c>
      <x:c r="D1941" s="12" t="n">
        <x:v>0.5136</x:v>
      </x:c>
      <x:c r="E1941" s="12" t="n">
        <x:v>0.005123166103060624</x:v>
      </x:c>
      <x:c r="F1941" s="13" t="n">
        <x:v>45491</x:v>
      </x:c>
      <x:c r="G1941" s="12" t="n">
        <x:v>3.09</x:v>
      </x:c>
      <x:c r="H1941" s="12" t="n">
        <x:v>309</x:v>
      </x:c>
      <x:c r="I1941" s="12" t="n">
        <x:v>0</x:v>
      </x:c>
      <x:c r="J1941" s="12" t="n">
        <x:v>1</x:v>
      </x:c>
    </x:row>
    <x:row r="1942" ht="18" customHeight="1">
      <x:c r="A1942" s="13" t="n">
        <x:v>45495</x:v>
      </x:c>
      <x:c r="B1942" s="12" t="n">
        <x:v>3514.9249</x:v>
      </x:c>
      <x:c r="C1942" s="12" t="n">
        <x:v>3539.0156</x:v>
      </x:c>
      <x:c r="D1942" s="12" t="n">
        <x:v>-0.6807</x:v>
      </x:c>
      <x:c r="E1942" s="12" t="n">
        <x:v>-0.00683044992019825</x:v>
      </x:c>
      <x:c r="F1942" s="13" t="n">
        <x:v>45492</x:v>
      </x:c>
      <x:c r="G1942" s="12" t="n">
        <x:v>3.09</x:v>
      </x:c>
      <x:c r="H1942" s="12" t="n">
        <x:v>309</x:v>
      </x:c>
      <x:c r="I1942" s="12" t="n">
        <x:v>0</x:v>
      </x:c>
      <x:c r="J1942" s="12" t="n">
        <x:v>3</x:v>
      </x:c>
    </x:row>
    <x:row r="1943" ht="18" customHeight="1">
      <x:c r="A1943" s="13" t="n">
        <x:v>45496</x:v>
      </x:c>
      <x:c r="B1943" s="12" t="n">
        <x:v>3439.8779</x:v>
      </x:c>
      <x:c r="C1943" s="12" t="n">
        <x:v>3514.9249</x:v>
      </x:c>
      <x:c r="D1943" s="12" t="n">
        <x:v>-2.1351</x:v>
      </x:c>
      <x:c r="E1943" s="12" t="n">
        <x:v>-0.02158218288895174</x:v>
      </x:c>
      <x:c r="F1943" s="13" t="n">
        <x:v>45495</x:v>
      </x:c>
      <x:c r="G1943" s="12" t="n">
        <x:v>3.05</x:v>
      </x:c>
      <x:c r="H1943" s="12" t="n">
        <x:v>305</x:v>
      </x:c>
      <x:c r="I1943" s="12" t="n">
        <x:v>-4</x:v>
      </x:c>
      <x:c r="J1943" s="12" t="n">
        <x:v>1</x:v>
      </x:c>
    </x:row>
    <x:row r="1944" ht="18" customHeight="1">
      <x:c r="A1944" s="13" t="n">
        <x:v>45497</x:v>
      </x:c>
      <x:c r="B1944" s="12" t="n">
        <x:v>3418.1663</x:v>
      </x:c>
      <x:c r="C1944" s="12" t="n">
        <x:v>3439.8779</x:v>
      </x:c>
      <x:c r="D1944" s="12" t="n">
        <x:v>-0.6312</x:v>
      </x:c>
      <x:c r="E1944" s="12" t="n">
        <x:v>-0.006331738875771058</x:v>
      </x:c>
      <x:c r="F1944" s="13" t="n">
        <x:v>45496</x:v>
      </x:c>
      <x:c r="G1944" s="12" t="n">
        <x:v>3.02</x:v>
      </x:c>
      <x:c r="H1944" s="12" t="n">
        <x:v>302</x:v>
      </x:c>
      <x:c r="I1944" s="12" t="n">
        <x:v>-3</x:v>
      </x:c>
      <x:c r="J1944" s="12" t="n">
        <x:v>1</x:v>
      </x:c>
    </x:row>
    <x:row r="1945" ht="18" customHeight="1">
      <x:c r="A1945" s="13" t="n">
        <x:v>45498</x:v>
      </x:c>
      <x:c r="B1945" s="12" t="n">
        <x:v>3399.2716</x:v>
      </x:c>
      <x:c r="C1945" s="12" t="n">
        <x:v>3418.1663</x:v>
      </x:c>
      <x:c r="D1945" s="12" t="n">
        <x:v>-0.5528</x:v>
      </x:c>
      <x:c r="E1945" s="12" t="n">
        <x:v>-0.005543064317216502</x:v>
      </x:c>
      <x:c r="F1945" s="13" t="n">
        <x:v>45497</x:v>
      </x:c>
      <x:c r="G1945" s="12" t="n">
        <x:v>3.1</x:v>
      </x:c>
      <x:c r="H1945" s="12" t="n">
        <x:v>310</x:v>
      </x:c>
      <x:c r="I1945" s="12" t="n">
        <x:v>8</x:v>
      </x:c>
      <x:c r="J1945" s="12" t="n">
        <x:v>1</x:v>
      </x:c>
    </x:row>
    <x:row r="1946" ht="18" customHeight="1">
      <x:c r="A1946" s="13" t="n">
        <x:v>45499</x:v>
      </x:c>
      <x:c r="B1946" s="12" t="n">
        <x:v>3409.2931</x:v>
      </x:c>
      <x:c r="C1946" s="12" t="n">
        <x:v>3399.2716</x:v>
      </x:c>
      <x:c r="D1946" s="12" t="n">
        <x:v>0.2948</x:v>
      </x:c>
      <x:c r="E1946" s="12" t="n">
        <x:v>0.0029437943762596146</x:v>
      </x:c>
      <x:c r="F1946" s="13" t="n">
        <x:v>45498</x:v>
      </x:c>
      <x:c r="G1946" s="12" t="n">
        <x:v>3.08</x:v>
      </x:c>
      <x:c r="H1946" s="12" t="n">
        <x:v>308</x:v>
      </x:c>
      <x:c r="I1946" s="12" t="n">
        <x:v>-2</x:v>
      </x:c>
      <x:c r="J1946" s="12" t="n">
        <x:v>1</x:v>
      </x:c>
    </x:row>
    <x:row r="1947" ht="18" customHeight="1">
      <x:c r="A1947" s="13" t="n">
        <x:v>45502</x:v>
      </x:c>
      <x:c r="B1947" s="12" t="n">
        <x:v>3390.742</x:v>
      </x:c>
      <x:c r="C1947" s="12" t="n">
        <x:v>3409.2931</x:v>
      </x:c>
      <x:c r="D1947" s="12" t="n">
        <x:v>-0.5441</x:v>
      </x:c>
      <x:c r="E1947" s="12" t="n">
        <x:v>-0.00545619125471861</x:v>
      </x:c>
      <x:c r="F1947" s="13" t="n">
        <x:v>45499</x:v>
      </x:c>
      <x:c r="G1947" s="12" t="n">
        <x:v>3.1</x:v>
      </x:c>
      <x:c r="H1947" s="12" t="n">
        <x:v>310</x:v>
      </x:c>
      <x:c r="I1947" s="12" t="n">
        <x:v>2</x:v>
      </x:c>
      <x:c r="J1947" s="12" t="n">
        <x:v>3</x:v>
      </x:c>
    </x:row>
    <x:row r="1948" ht="18" customHeight="1">
      <x:c r="A1948" s="13" t="n">
        <x:v>45503</x:v>
      </x:c>
      <x:c r="B1948" s="12" t="n">
        <x:v>3369.3821</x:v>
      </x:c>
      <x:c r="C1948" s="12" t="n">
        <x:v>3390.742</x:v>
      </x:c>
      <x:c r="D1948" s="12" t="n">
        <x:v>-0.6299</x:v>
      </x:c>
      <x:c r="E1948" s="12" t="n">
        <x:v>-0.006319402060574553</x:v>
      </x:c>
      <x:c r="F1948" s="13" t="n">
        <x:v>45502</x:v>
      </x:c>
      <x:c r="G1948" s="12" t="n">
        <x:v>3.13</x:v>
      </x:c>
      <x:c r="H1948" s="12" t="n">
        <x:v>313</x:v>
      </x:c>
      <x:c r="I1948" s="12" t="n">
        <x:v>3</x:v>
      </x:c>
      <x:c r="J1948" s="12" t="n">
        <x:v>1</x:v>
      </x:c>
    </x:row>
    <x:row r="1949" ht="18" customHeight="1">
      <x:c r="A1949" s="13" t="n">
        <x:v>45504</x:v>
      </x:c>
      <x:c r="B1949" s="12" t="n">
        <x:v>3442.0844</x:v>
      </x:c>
      <x:c r="C1949" s="12" t="n">
        <x:v>3369.3821</x:v>
      </x:c>
      <x:c r="D1949" s="12" t="n">
        <x:v>2.1577</x:v>
      </x:c>
      <x:c r="E1949" s="12" t="n">
        <x:v>0.02134784367895829</x:v>
      </x:c>
      <x:c r="F1949" s="13" t="n">
        <x:v>45503</x:v>
      </x:c>
      <x:c r="G1949" s="12" t="n">
        <x:v>3.2</x:v>
      </x:c>
      <x:c r="H1949" s="12" t="n">
        <x:v>320</x:v>
      </x:c>
      <x:c r="I1949" s="12" t="n">
        <x:v>7</x:v>
      </x:c>
      <x:c r="J1949" s="12" t="n">
        <x:v>1</x:v>
      </x:c>
    </x:row>
    <x:row r="1950" ht="18" customHeight="1">
      <x:c r="A1950" s="13" t="n">
        <x:v>45505</x:v>
      </x:c>
      <x:c r="B1950" s="12" t="n">
        <x:v>3419.2666</x:v>
      </x:c>
      <x:c r="C1950" s="12" t="n">
        <x:v>3442.0844</x:v>
      </x:c>
      <x:c r="D1950" s="12" t="n">
        <x:v>-0.6629</x:v>
      </x:c>
      <x:c r="E1950" s="12" t="n">
        <x:v>-0.006651134482692493</x:v>
      </x:c>
      <x:c r="F1950" s="13" t="n">
        <x:v>45504</x:v>
      </x:c>
      <x:c r="G1950" s="12" t="n">
        <x:v>3.25</x:v>
      </x:c>
      <x:c r="H1950" s="12" t="n">
        <x:v>325</x:v>
      </x:c>
      <x:c r="I1950" s="12" t="n">
        <x:v>5</x:v>
      </x:c>
      <x:c r="J1950" s="12" t="n">
        <x:v>1</x:v>
      </x:c>
    </x:row>
    <x:row r="1951" ht="18" customHeight="1">
      <x:c r="A1951" s="13" t="n">
        <x:v>45506</x:v>
      </x:c>
      <x:c r="B1951" s="12" t="n">
        <x:v>3384.3919</x:v>
      </x:c>
      <x:c r="C1951" s="12" t="n">
        <x:v>3419.2666</x:v>
      </x:c>
      <x:c r="D1951" s="12" t="n">
        <x:v>-1.0199</x:v>
      </x:c>
      <x:c r="E1951" s="12" t="n">
        <x:v>-0.010251838902348195</x:v>
      </x:c>
      <x:c r="F1951" s="13" t="n">
        <x:v>45505</x:v>
      </x:c>
      <x:c r="G1951" s="12" t="n">
        <x:v>3.35</x:v>
      </x:c>
      <x:c r="H1951" s="12" t="n">
        <x:v>335</x:v>
      </x:c>
      <x:c r="I1951" s="12" t="n">
        <x:v>10</x:v>
      </x:c>
      <x:c r="J1951" s="12" t="n">
        <x:v>1</x:v>
      </x:c>
    </x:row>
    <x:row r="1952" ht="18" customHeight="1">
      <x:c r="A1952" s="13" t="n">
        <x:v>45509</x:v>
      </x:c>
      <x:c r="B1952" s="12" t="n">
        <x:v>3343.3205</x:v>
      </x:c>
      <x:c r="C1952" s="12" t="n">
        <x:v>3384.3919</x:v>
      </x:c>
      <x:c r="D1952" s="12" t="n">
        <x:v>-1.2136</x:v>
      </x:c>
      <x:c r="E1952" s="12" t="n">
        <x:v>-0.012209769917402505</x:v>
      </x:c>
      <x:c r="F1952" s="13" t="n">
        <x:v>45506</x:v>
      </x:c>
      <x:c r="G1952" s="12" t="n">
        <x:v>3.72</x:v>
      </x:c>
      <x:c r="H1952" s="12" t="n">
        <x:v>372</x:v>
      </x:c>
      <x:c r="I1952" s="12" t="n">
        <x:v>37</x:v>
      </x:c>
      <x:c r="J1952" s="12" t="n">
        <x:v>3</x:v>
      </x:c>
    </x:row>
    <x:row r="1953" ht="18" customHeight="1">
      <x:c r="A1953" s="13" t="n">
        <x:v>45510</x:v>
      </x:c>
      <x:c r="B1953" s="12" t="n">
        <x:v>3342.9789</x:v>
      </x:c>
      <x:c r="C1953" s="12" t="n">
        <x:v>3343.3205</x:v>
      </x:c>
      <x:c r="D1953" s="12" t="n">
        <x:v>-0.0102</x:v>
      </x:c>
      <x:c r="E1953" s="12" t="n">
        <x:v>-0.00010217909185965092</x:v>
      </x:c>
      <x:c r="F1953" s="13" t="n">
        <x:v>45509</x:v>
      </x:c>
      <x:c r="G1953" s="12" t="n">
        <x:v>3.93</x:v>
      </x:c>
      <x:c r="H1953" s="12" t="n">
        <x:v>393</x:v>
      </x:c>
      <x:c r="I1953" s="12" t="n">
        <x:v>21</x:v>
      </x:c>
      <x:c r="J1953" s="12" t="n">
        <x:v>1</x:v>
      </x:c>
    </x:row>
    <x:row r="1954" ht="18" customHeight="1">
      <x:c r="A1954" s="13" t="n">
        <x:v>45511</x:v>
      </x:c>
      <x:c r="B1954" s="12" t="n">
        <x:v>3341.489</x:v>
      </x:c>
      <x:c r="C1954" s="12" t="n">
        <x:v>3342.9789</x:v>
      </x:c>
      <x:c r="D1954" s="12" t="n">
        <x:v>-0.0446</x:v>
      </x:c>
      <x:c r="E1954" s="12" t="n">
        <x:v>-0.0004457796931518292</x:v>
      </x:c>
      <x:c r="F1954" s="13" t="n">
        <x:v>45510</x:v>
      </x:c>
      <x:c r="G1954" s="12" t="n">
        <x:v>3.67</x:v>
      </x:c>
      <x:c r="H1954" s="12" t="n">
        <x:v>367</x:v>
      </x:c>
      <x:c r="I1954" s="12" t="n">
        <x:v>-26</x:v>
      </x:c>
      <x:c r="J1954" s="12" t="n">
        <x:v>1</x:v>
      </x:c>
    </x:row>
    <x:row r="1955" ht="18" customHeight="1">
      <x:c r="A1955" s="13" t="n">
        <x:v>45512</x:v>
      </x:c>
      <x:c r="B1955" s="12" t="n">
        <x:v>3342.9369</x:v>
      </x:c>
      <x:c r="C1955" s="12" t="n">
        <x:v>3341.489</x:v>
      </x:c>
      <x:c r="D1955" s="12" t="n">
        <x:v>0.0433</x:v>
      </x:c>
      <x:c r="E1955" s="12" t="n">
        <x:v>0.00043321596927112054</x:v>
      </x:c>
      <x:c r="F1955" s="13" t="n">
        <x:v>45511</x:v>
      </x:c>
      <x:c r="G1955" s="12" t="n">
        <x:v>3.57</x:v>
      </x:c>
      <x:c r="H1955" s="12" t="n">
        <x:v>357</x:v>
      </x:c>
      <x:c r="I1955" s="12" t="n">
        <x:v>-10</x:v>
      </x:c>
      <x:c r="J1955" s="12" t="n">
        <x:v>1</x:v>
      </x:c>
    </x:row>
    <x:row r="1956" ht="18" customHeight="1">
      <x:c r="A1956" s="13" t="n">
        <x:v>45513</x:v>
      </x:c>
      <x:c r="B1956" s="12" t="n">
        <x:v>3331.6274</x:v>
      </x:c>
      <x:c r="C1956" s="12" t="n">
        <x:v>3342.9369</x:v>
      </x:c>
      <x:c r="D1956" s="12" t="n">
        <x:v>-0.3383</x:v>
      </x:c>
      <x:c r="E1956" s="12" t="n">
        <x:v>-0.003388838676227704</x:v>
      </x:c>
      <x:c r="F1956" s="13" t="n">
        <x:v>45512</x:v>
      </x:c>
      <x:c r="G1956" s="12" t="n">
        <x:v>3.48</x:v>
      </x:c>
      <x:c r="H1956" s="12" t="n">
        <x:v>348</x:v>
      </x:c>
      <x:c r="I1956" s="12" t="n">
        <x:v>-9</x:v>
      </x:c>
      <x:c r="J1956" s="12" t="n">
        <x:v>1</x:v>
      </x:c>
    </x:row>
    <x:row r="1957" ht="18" customHeight="1">
      <x:c r="A1957" s="13" t="n">
        <x:v>45516</x:v>
      </x:c>
      <x:c r="B1957" s="12" t="n">
        <x:v>3325.8645</x:v>
      </x:c>
      <x:c r="C1957" s="12" t="n">
        <x:v>3331.6274</x:v>
      </x:c>
      <x:c r="D1957" s="12" t="n">
        <x:v>-0.173</x:v>
      </x:c>
      <x:c r="E1957" s="12" t="n">
        <x:v>-0.0017312530081779588</x:v>
      </x:c>
      <x:c r="F1957" s="13" t="n">
        <x:v>45513</x:v>
      </x:c>
      <x:c r="G1957" s="12" t="n">
        <x:v>3.49</x:v>
      </x:c>
      <x:c r="H1957" s="12" t="n">
        <x:v>349</x:v>
      </x:c>
      <x:c r="I1957" s="12" t="n">
        <x:v>1</x:v>
      </x:c>
      <x:c r="J1957" s="12" t="n">
        <x:v>3</x:v>
      </x:c>
    </x:row>
    <x:row r="1958" ht="18" customHeight="1">
      <x:c r="A1958" s="13" t="n">
        <x:v>45517</x:v>
      </x:c>
      <x:c r="B1958" s="12" t="n">
        <x:v>3334.3903</x:v>
      </x:c>
      <x:c r="C1958" s="12" t="n">
        <x:v>3325.8645</x:v>
      </x:c>
      <x:c r="D1958" s="12" t="n">
        <x:v>0.2563</x:v>
      </x:c>
      <x:c r="E1958" s="12" t="n">
        <x:v>0.002560203749851808</x:v>
      </x:c>
      <x:c r="F1958" s="13" t="n">
        <x:v>45516</x:v>
      </x:c>
      <x:c r="G1958" s="12" t="n">
        <x:v>3.52</x:v>
      </x:c>
      <x:c r="H1958" s="12" t="n">
        <x:v>352</x:v>
      </x:c>
      <x:c r="I1958" s="12" t="n">
        <x:v>3</x:v>
      </x:c>
      <x:c r="J1958" s="12" t="n">
        <x:v>1</x:v>
      </x:c>
    </x:row>
    <x:row r="1959" ht="18" customHeight="1">
      <x:c r="A1959" s="13" t="n">
        <x:v>45518</x:v>
      </x:c>
      <x:c r="B1959" s="12" t="n">
        <x:v>3309.2389</x:v>
      </x:c>
      <x:c r="C1959" s="12" t="n">
        <x:v>3334.3903</x:v>
      </x:c>
      <x:c r="D1959" s="12" t="n">
        <x:v>-0.7543</x:v>
      </x:c>
      <x:c r="E1959" s="12" t="n">
        <x:v>-0.007571620691752355</x:v>
      </x:c>
      <x:c r="F1959" s="13" t="n">
        <x:v>45517</x:v>
      </x:c>
      <x:c r="G1959" s="12" t="n">
        <x:v>3.54</x:v>
      </x:c>
      <x:c r="H1959" s="12" t="n">
        <x:v>354</x:v>
      </x:c>
      <x:c r="I1959" s="12" t="n">
        <x:v>2</x:v>
      </x:c>
      <x:c r="J1959" s="12" t="n">
        <x:v>1</x:v>
      </x:c>
    </x:row>
    <x:row r="1960" ht="18" customHeight="1">
      <x:c r="A1960" s="13" t="n">
        <x:v>45519</x:v>
      </x:c>
      <x:c r="B1960" s="12" t="n">
        <x:v>3341.953</x:v>
      </x:c>
      <x:c r="C1960" s="12" t="n">
        <x:v>3309.2389</x:v>
      </x:c>
      <x:c r="D1960" s="12" t="n">
        <x:v>0.9886</x:v>
      </x:c>
      <x:c r="E1960" s="12" t="n">
        <x:v>0.009837143267467686</x:v>
      </x:c>
      <x:c r="F1960" s="13" t="n">
        <x:v>45518</x:v>
      </x:c>
      <x:c r="G1960" s="12" t="n">
        <x:v>3.46</x:v>
      </x:c>
      <x:c r="H1960" s="12" t="n">
        <x:v>346</x:v>
      </x:c>
      <x:c r="I1960" s="12" t="n">
        <x:v>-8</x:v>
      </x:c>
      <x:c r="J1960" s="12" t="n">
        <x:v>1</x:v>
      </x:c>
    </x:row>
    <x:row r="1961" ht="18" customHeight="1">
      <x:c r="A1961" s="13" t="n">
        <x:v>45520</x:v>
      </x:c>
      <x:c r="B1961" s="12" t="n">
        <x:v>3345.634</x:v>
      </x:c>
      <x:c r="C1961" s="12" t="n">
        <x:v>3341.953</x:v>
      </x:c>
      <x:c r="D1961" s="12" t="n">
        <x:v>0.1101</x:v>
      </x:c>
      <x:c r="E1961" s="12" t="n">
        <x:v>0.0011008456029771622</x:v>
      </x:c>
      <x:c r="F1961" s="13" t="n">
        <x:v>45519</x:v>
      </x:c>
      <x:c r="G1961" s="12" t="n">
        <x:v>3.31</x:v>
      </x:c>
      <x:c r="H1961" s="12" t="n">
        <x:v>331</x:v>
      </x:c>
      <x:c r="I1961" s="12" t="n">
        <x:v>-15</x:v>
      </x:c>
      <x:c r="J1961" s="12" t="n">
        <x:v>1</x:v>
      </x:c>
    </x:row>
    <x:row r="1962" ht="18" customHeight="1">
      <x:c r="A1962" s="13" t="n">
        <x:v>45523</x:v>
      </x:c>
      <x:c r="B1962" s="12" t="n">
        <x:v>3356.9677</x:v>
      </x:c>
      <x:c r="C1962" s="12" t="n">
        <x:v>3345.634</x:v>
      </x:c>
      <x:c r="D1962" s="12" t="n">
        <x:v>0.3388</x:v>
      </x:c>
      <x:c r="E1962" s="12" t="n">
        <x:v>0.0033818840233607026</x:v>
      </x:c>
      <x:c r="F1962" s="13" t="n">
        <x:v>45520</x:v>
      </x:c>
      <x:c r="G1962" s="12" t="n">
        <x:v>3.29</x:v>
      </x:c>
      <x:c r="H1962" s="12" t="n">
        <x:v>329</x:v>
      </x:c>
      <x:c r="I1962" s="12" t="n">
        <x:v>-2</x:v>
      </x:c>
      <x:c r="J1962" s="12" t="n">
        <x:v>3</x:v>
      </x:c>
    </x:row>
    <x:row r="1963" ht="18" customHeight="1">
      <x:c r="A1963" s="13" t="n">
        <x:v>45524</x:v>
      </x:c>
      <x:c r="B1963" s="12" t="n">
        <x:v>3332.7034</x:v>
      </x:c>
      <x:c r="C1963" s="12" t="n">
        <x:v>3356.9677</x:v>
      </x:c>
      <x:c r="D1963" s="12" t="n">
        <x:v>-0.7228</x:v>
      </x:c>
      <x:c r="E1963" s="12" t="n">
        <x:v>-0.007254289798614261</x:v>
      </x:c>
      <x:c r="F1963" s="13" t="n">
        <x:v>45523</x:v>
      </x:c>
      <x:c r="G1963" s="12" t="n">
        <x:v>3.21</x:v>
      </x:c>
      <x:c r="H1963" s="12" t="n">
        <x:v>321</x:v>
      </x:c>
      <x:c r="I1963" s="12" t="n">
        <x:v>-8</x:v>
      </x:c>
      <x:c r="J1963" s="12" t="n">
        <x:v>1</x:v>
      </x:c>
    </x:row>
    <x:row r="1964" ht="18" customHeight="1">
      <x:c r="A1964" s="13" t="n">
        <x:v>45525</x:v>
      </x:c>
      <x:c r="B1964" s="12" t="n">
        <x:v>3321.635</x:v>
      </x:c>
      <x:c r="C1964" s="12" t="n">
        <x:v>3332.7034</x:v>
      </x:c>
      <x:c r="D1964" s="12" t="n">
        <x:v>-0.3321</x:v>
      </x:c>
      <x:c r="E1964" s="12" t="n">
        <x:v>-0.0033266748825438617</x:v>
      </x:c>
      <x:c r="F1964" s="13" t="n">
        <x:v>45524</x:v>
      </x:c>
      <x:c r="G1964" s="12" t="n">
        <x:v>3.25</x:v>
      </x:c>
      <x:c r="H1964" s="12" t="n">
        <x:v>325</x:v>
      </x:c>
      <x:c r="I1964" s="12" t="n">
        <x:v>4</x:v>
      </x:c>
      <x:c r="J1964" s="12" t="n">
        <x:v>1</x:v>
      </x:c>
    </x:row>
    <x:row r="1965" ht="18" customHeight="1">
      <x:c r="A1965" s="13" t="n">
        <x:v>45526</x:v>
      </x:c>
      <x:c r="B1965" s="12" t="n">
        <x:v>3313.1357</x:v>
      </x:c>
      <x:c r="C1965" s="12" t="n">
        <x:v>3321.635</x:v>
      </x:c>
      <x:c r="D1965" s="12" t="n">
        <x:v>-0.2559</x:v>
      </x:c>
      <x:c r="E1965" s="12" t="n">
        <x:v>-0.0025620492503788703</x:v>
      </x:c>
      <x:c r="F1965" s="13" t="n">
        <x:v>45525</x:v>
      </x:c>
      <x:c r="G1965" s="12" t="n">
        <x:v>3.27</x:v>
      </x:c>
      <x:c r="H1965" s="12" t="n">
        <x:v>327</x:v>
      </x:c>
      <x:c r="I1965" s="12" t="n">
        <x:v>2</x:v>
      </x:c>
      <x:c r="J1965" s="12" t="n">
        <x:v>1</x:v>
      </x:c>
    </x:row>
    <x:row r="1966" ht="18" customHeight="1">
      <x:c r="A1966" s="13" t="n">
        <x:v>45527</x:v>
      </x:c>
      <x:c r="B1966" s="12" t="n">
        <x:v>3327.1905</x:v>
      </x:c>
      <x:c r="C1966" s="12" t="n">
        <x:v>3313.1357</x:v>
      </x:c>
      <x:c r="D1966" s="12" t="n">
        <x:v>0.4242</x:v>
      </x:c>
      <x:c r="E1966" s="12" t="n">
        <x:v>0.004233171854778825</x:v>
      </x:c>
      <x:c r="F1966" s="13" t="n">
        <x:v>45526</x:v>
      </x:c>
      <x:c r="G1966" s="12" t="n">
        <x:v>3.21</x:v>
      </x:c>
      <x:c r="H1966" s="12" t="n">
        <x:v>321</x:v>
      </x:c>
      <x:c r="I1966" s="12" t="n">
        <x:v>-6</x:v>
      </x:c>
      <x:c r="J1966" s="12" t="n">
        <x:v>1</x:v>
      </x:c>
    </x:row>
    <x:row r="1967" ht="18" customHeight="1">
      <x:c r="A1967" s="13" t="n">
        <x:v>45530</x:v>
      </x:c>
      <x:c r="B1967" s="12" t="n">
        <x:v>3324.2231</x:v>
      </x:c>
      <x:c r="C1967" s="12" t="n">
        <x:v>3327.1905</x:v>
      </x:c>
      <x:c r="D1967" s="12" t="n">
        <x:v>-0.0892</x:v>
      </x:c>
      <x:c r="E1967" s="12" t="n">
        <x:v>-0.0008922615177230389</x:v>
      </x:c>
      <x:c r="F1967" s="13" t="n">
        <x:v>45527</x:v>
      </x:c>
      <x:c r="G1967" s="12" t="n">
        <x:v>3.19</x:v>
      </x:c>
      <x:c r="H1967" s="12" t="n">
        <x:v>319</x:v>
      </x:c>
      <x:c r="I1967" s="12" t="n">
        <x:v>-2</x:v>
      </x:c>
      <x:c r="J1967" s="12" t="n">
        <x:v>3</x:v>
      </x:c>
    </x:row>
    <x:row r="1968" ht="18" customHeight="1">
      <x:c r="A1968" s="13" t="n">
        <x:v>45531</x:v>
      </x:c>
      <x:c r="B1968" s="12" t="n">
        <x:v>3305.3338</x:v>
      </x:c>
      <x:c r="C1968" s="12" t="n">
        <x:v>3324.2231</x:v>
      </x:c>
      <x:c r="D1968" s="12" t="n">
        <x:v>-0.5682</x:v>
      </x:c>
      <x:c r="E1968" s="12" t="n">
        <x:v>-0.005698525980312443</x:v>
      </x:c>
      <x:c r="F1968" s="13" t="n">
        <x:v>45530</x:v>
      </x:c>
      <x:c r="G1968" s="12" t="n">
        <x:v>3.15</x:v>
      </x:c>
      <x:c r="H1968" s="12" t="n">
        <x:v>315</x:v>
      </x:c>
      <x:c r="I1968" s="12" t="n">
        <x:v>-4</x:v>
      </x:c>
      <x:c r="J1968" s="12" t="n">
        <x:v>1</x:v>
      </x:c>
    </x:row>
    <x:row r="1969" ht="18" customHeight="1">
      <x:c r="A1969" s="13" t="n">
        <x:v>45532</x:v>
      </x:c>
      <x:c r="B1969" s="12" t="n">
        <x:v>3286.4956</x:v>
      </x:c>
      <x:c r="C1969" s="12" t="n">
        <x:v>3305.3338</x:v>
      </x:c>
      <x:c r="D1969" s="12" t="n">
        <x:v>-0.5699</x:v>
      </x:c>
      <x:c r="E1969" s="12" t="n">
        <x:v>-0.0057156367804732594</x:v>
      </x:c>
      <x:c r="F1969" s="13" t="n">
        <x:v>45531</x:v>
      </x:c>
      <x:c r="G1969" s="12" t="n">
        <x:v>3.17</x:v>
      </x:c>
      <x:c r="H1969" s="12" t="n">
        <x:v>317</x:v>
      </x:c>
      <x:c r="I1969" s="12" t="n">
        <x:v>2</x:v>
      </x:c>
      <x:c r="J1969" s="12" t="n">
        <x:v>1</x:v>
      </x:c>
    </x:row>
    <x:row r="1970" ht="18" customHeight="1">
      <x:c r="A1970" s="13" t="n">
        <x:v>45533</x:v>
      </x:c>
      <x:c r="B1970" s="12" t="n">
        <x:v>3277.6812</x:v>
      </x:c>
      <x:c r="C1970" s="12" t="n">
        <x:v>3286.4956</x:v>
      </x:c>
      <x:c r="D1970" s="12" t="n">
        <x:v>-0.2682</x:v>
      </x:c>
      <x:c r="E1970" s="12" t="n">
        <x:v>-0.002685608741622298</x:v>
      </x:c>
      <x:c r="F1970" s="13" t="n">
        <x:v>45532</x:v>
      </x:c>
      <x:c r="G1970" s="12" t="n">
        <x:v>3.19</x:v>
      </x:c>
      <x:c r="H1970" s="12" t="n">
        <x:v>319</x:v>
      </x:c>
      <x:c r="I1970" s="12" t="n">
        <x:v>2</x:v>
      </x:c>
      <x:c r="J1970" s="12" t="n">
        <x:v>1</x:v>
      </x:c>
    </x:row>
    <x:row r="1971" ht="18" customHeight="1">
      <x:c r="A1971" s="13" t="n">
        <x:v>45534</x:v>
      </x:c>
      <x:c r="B1971" s="12" t="n">
        <x:v>3321.4323</x:v>
      </x:c>
      <x:c r="C1971" s="12" t="n">
        <x:v>3277.6812</x:v>
      </x:c>
      <x:c r="D1971" s="12" t="n">
        <x:v>1.3348</x:v>
      </x:c>
      <x:c r="E1971" s="12" t="n">
        <x:v>0.013259884389376055</x:v>
      </x:c>
      <x:c r="F1971" s="13" t="n">
        <x:v>45533</x:v>
      </x:c>
      <x:c r="G1971" s="12" t="n">
        <x:v>3.15</x:v>
      </x:c>
      <x:c r="H1971" s="12" t="n">
        <x:v>315</x:v>
      </x:c>
      <x:c r="I1971" s="12" t="n">
        <x:v>-4</x:v>
      </x:c>
      <x:c r="J1971" s="12" t="n">
        <x:v>1</x:v>
      </x:c>
    </x:row>
    <x:row r="1972" ht="18" customHeight="1">
      <x:c r="A1972" s="13" t="n">
        <x:v>45537</x:v>
      </x:c>
      <x:c r="B1972" s="12" t="n">
        <x:v>3265.011</x:v>
      </x:c>
      <x:c r="C1972" s="12" t="n">
        <x:v>3321.4323</x:v>
      </x:c>
      <x:c r="D1972" s="12" t="n">
        <x:v>-1.6987</x:v>
      </x:c>
      <x:c r="E1972" s="12" t="n">
        <x:v>-0.017132973769498065</x:v>
      </x:c>
      <x:c r="F1972" s="13" t="n">
        <x:v>45535</x:v>
      </x:c>
      <x:c r="G1972" s="12" t="n">
        <x:v>3.17</x:v>
      </x:c>
      <x:c r="H1972" s="12" t="n">
        <x:v>317</x:v>
      </x:c>
      <x:c r="I1972" s="12" t="n">
        <x:v>4</x:v>
      </x:c>
      <x:c r="J1972" s="12" t="n">
        <x:v>2</x:v>
      </x:c>
    </x:row>
    <x:row r="1973" ht="18" customHeight="1">
      <x:c r="A1973" s="13" t="n">
        <x:v>45538</x:v>
      </x:c>
      <x:c r="B1973" s="12" t="n">
        <x:v>3273.4282</x:v>
      </x:c>
      <x:c r="C1973" s="12" t="n">
        <x:v>3265.011</x:v>
      </x:c>
      <x:c r="D1973" s="12" t="n">
        <x:v>0.2578</x:v>
      </x:c>
      <x:c r="E1973" s="12" t="n">
        <x:v>0.0025746831597963783</x:v>
      </x:c>
      <x:c r="F1973" s="13" t="n">
        <x:v>45537</x:v>
      </x:c>
      <x:c r="G1973" s="12" t="n">
        <x:v>3.17</x:v>
      </x:c>
      <x:c r="H1973" s="12" t="n">
        <x:v>317</x:v>
      </x:c>
      <x:c r="I1973" s="12" t="n">
        <x:v>0</x:v>
      </x:c>
      <x:c r="J1973" s="12" t="n">
        <x:v>1</x:v>
      </x:c>
    </x:row>
    <x:row r="1974" ht="18" customHeight="1">
      <x:c r="A1974" s="13" t="n">
        <x:v>45539</x:v>
      </x:c>
      <x:c r="B1974" s="12" t="n">
        <x:v>3252.1649</x:v>
      </x:c>
      <x:c r="C1974" s="12" t="n">
        <x:v>3273.4282</x:v>
      </x:c>
      <x:c r="D1974" s="12" t="n">
        <x:v>-0.6496</x:v>
      </x:c>
      <x:c r="E1974" s="12" t="n">
        <x:v>-0.006516917291298055</x:v>
      </x:c>
      <x:c r="F1974" s="13" t="n">
        <x:v>45538</x:v>
      </x:c>
      <x:c r="G1974" s="12" t="n">
        <x:v>3.31</x:v>
      </x:c>
      <x:c r="H1974" s="12" t="n">
        <x:v>331</x:v>
      </x:c>
      <x:c r="I1974" s="12" t="n">
        <x:v>14</x:v>
      </x:c>
      <x:c r="J1974" s="12" t="n">
        <x:v>1</x:v>
      </x:c>
    </x:row>
    <x:row r="1975" ht="18" customHeight="1">
      <x:c r="A1975" s="13" t="n">
        <x:v>45540</x:v>
      </x:c>
      <x:c r="B1975" s="12" t="n">
        <x:v>3257.7578</x:v>
      </x:c>
      <x:c r="C1975" s="12" t="n">
        <x:v>3252.1649</x:v>
      </x:c>
      <x:c r="D1975" s="12" t="n">
        <x:v>0.172</x:v>
      </x:c>
      <x:c r="E1975" s="12" t="n">
        <x:v>0.001718269673482513</x:v>
      </x:c>
      <x:c r="F1975" s="13" t="n">
        <x:v>45539</x:v>
      </x:c>
      <x:c r="G1975" s="12" t="n">
        <x:v>3.35</x:v>
      </x:c>
      <x:c r="H1975" s="12" t="n">
        <x:v>335</x:v>
      </x:c>
      <x:c r="I1975" s="12" t="n">
        <x:v>4</x:v>
      </x:c>
      <x:c r="J1975" s="12" t="n">
        <x:v>1</x:v>
      </x:c>
    </x:row>
    <x:row r="1976" ht="18" customHeight="1">
      <x:c r="A1976" s="13" t="n">
        <x:v>45541</x:v>
      </x:c>
      <x:c r="B1976" s="12" t="n">
        <x:v>3231.3457</x:v>
      </x:c>
      <x:c r="C1976" s="12" t="n">
        <x:v>3257.7578</x:v>
      </x:c>
      <x:c r="D1976" s="12" t="n">
        <x:v>-0.8107</x:v>
      </x:c>
      <x:c r="E1976" s="12" t="n">
        <x:v>-0.008140491473246482</x:v>
      </x:c>
      <x:c r="F1976" s="13" t="n">
        <x:v>45540</x:v>
      </x:c>
      <x:c r="G1976" s="12" t="n">
        <x:v>3.29</x:v>
      </x:c>
      <x:c r="H1976" s="12" t="n">
        <x:v>329</x:v>
      </x:c>
      <x:c r="I1976" s="12" t="n">
        <x:v>-6</x:v>
      </x:c>
      <x:c r="J1976" s="12" t="n">
        <x:v>1</x:v>
      </x:c>
    </x:row>
    <x:row r="1977" ht="18" customHeight="1">
      <x:c r="A1977" s="13" t="n">
        <x:v>45544</x:v>
      </x:c>
      <x:c r="B1977" s="12" t="n">
        <x:v>3192.9516</x:v>
      </x:c>
      <x:c r="C1977" s="12" t="n">
        <x:v>3231.3457</x:v>
      </x:c>
      <x:c r="D1977" s="12" t="n">
        <x:v>-1.1882</x:v>
      </x:c>
      <x:c r="E1977" s="12" t="n">
        <x:v>-0.01195292039801617</x:v>
      </x:c>
      <x:c r="F1977" s="13" t="n">
        <x:v>45541</x:v>
      </x:c>
      <x:c r="G1977" s="12" t="n">
        <x:v>3.39</x:v>
      </x:c>
      <x:c r="H1977" s="12" t="n">
        <x:v>339</x:v>
      </x:c>
      <x:c r="I1977" s="12" t="n">
        <x:v>10</x:v>
      </x:c>
      <x:c r="J1977" s="12" t="n">
        <x:v>3</x:v>
      </x:c>
    </x:row>
    <x:row r="1978" ht="18" customHeight="1">
      <x:c r="A1978" s="13" t="n">
        <x:v>45545</x:v>
      </x:c>
      <x:c r="B1978" s="12" t="n">
        <x:v>3195.7552</x:v>
      </x:c>
      <x:c r="C1978" s="12" t="n">
        <x:v>3192.9516</x:v>
      </x:c>
      <x:c r="D1978" s="12" t="n">
        <x:v>0.0878</x:v>
      </x:c>
      <x:c r="E1978" s="12" t="n">
        <x:v>0.000877673766456223</x:v>
      </x:c>
      <x:c r="F1978" s="13" t="n">
        <x:v>45544</x:v>
      </x:c>
      <x:c r="G1978" s="12" t="n">
        <x:v>3.36</x:v>
      </x:c>
      <x:c r="H1978" s="12" t="n">
        <x:v>336</x:v>
      </x:c>
      <x:c r="I1978" s="12" t="n">
        <x:v>-3</x:v>
      </x:c>
      <x:c r="J1978" s="12" t="n">
        <x:v>1</x:v>
      </x:c>
    </x:row>
    <x:row r="1979" ht="18" customHeight="1">
      <x:c r="A1979" s="13" t="n">
        <x:v>45546</x:v>
      </x:c>
      <x:c r="B1979" s="12" t="n">
        <x:v>3186.1299</x:v>
      </x:c>
      <x:c r="C1979" s="12" t="n">
        <x:v>3195.7552</x:v>
      </x:c>
      <x:c r="D1979" s="12" t="n">
        <x:v>-0.3012</x:v>
      </x:c>
      <x:c r="E1979" s="12" t="n">
        <x:v>-0.003016446440987152</x:v>
      </x:c>
      <x:c r="F1979" s="13" t="n">
        <x:v>45545</x:v>
      </x:c>
      <x:c r="G1979" s="12" t="n">
        <x:v>3.46</x:v>
      </x:c>
      <x:c r="H1979" s="12" t="n">
        <x:v>346</x:v>
      </x:c>
      <x:c r="I1979" s="12" t="n">
        <x:v>10</x:v>
      </x:c>
      <x:c r="J1979" s="12" t="n">
        <x:v>1</x:v>
      </x:c>
    </x:row>
    <x:row r="1980" ht="18" customHeight="1">
      <x:c r="A1980" s="13" t="n">
        <x:v>45547</x:v>
      </x:c>
      <x:c r="B1980" s="12" t="n">
        <x:v>3172.4747</x:v>
      </x:c>
      <x:c r="C1980" s="12" t="n">
        <x:v>3186.1299</x:v>
      </x:c>
      <x:c r="D1980" s="12" t="n">
        <x:v>-0.4286</x:v>
      </x:c>
      <x:c r="E1980" s="12" t="n">
        <x:v>-0.004295036993443384</x:v>
      </x:c>
      <x:c r="F1980" s="13" t="n">
        <x:v>45546</x:v>
      </x:c>
      <x:c r="G1980" s="12" t="n">
        <x:v>3.44</x:v>
      </x:c>
      <x:c r="H1980" s="12" t="n">
        <x:v>344</x:v>
      </x:c>
      <x:c r="I1980" s="12" t="n">
        <x:v>-2</x:v>
      </x:c>
      <x:c r="J1980" s="12" t="n">
        <x:v>1</x:v>
      </x:c>
    </x:row>
    <x:row r="1981" ht="18" customHeight="1">
      <x:c r="A1981" s="13" t="n">
        <x:v>45548</x:v>
      </x:c>
      <x:c r="B1981" s="12" t="n">
        <x:v>3159.247</x:v>
      </x:c>
      <x:c r="C1981" s="12" t="n">
        <x:v>3172.4747</x:v>
      </x:c>
      <x:c r="D1981" s="12" t="n">
        <x:v>-0.417</x:v>
      </x:c>
      <x:c r="E1981" s="12" t="n">
        <x:v>-0.004178237727577415</x:v>
      </x:c>
      <x:c r="F1981" s="13" t="n">
        <x:v>45547</x:v>
      </x:c>
      <x:c r="G1981" s="12" t="n">
        <x:v>3.39</x:v>
      </x:c>
      <x:c r="H1981" s="12" t="n">
        <x:v>339</x:v>
      </x:c>
      <x:c r="I1981" s="12" t="n">
        <x:v>-5</x:v>
      </x:c>
      <x:c r="J1981" s="12" t="n">
        <x:v>1</x:v>
      </x:c>
    </x:row>
    <x:row r="1982" ht="18" customHeight="1">
      <x:c r="A1982" s="13" t="n">
        <x:v>45553</x:v>
      </x:c>
      <x:c r="B1982" s="12" t="n">
        <x:v>3171.0102</x:v>
      </x:c>
      <x:c r="C1982" s="12" t="n">
        <x:v>3159.247</x:v>
      </x:c>
      <x:c r="D1982" s="12" t="n">
        <x:v>0.3723</x:v>
      </x:c>
      <x:c r="E1982" s="12" t="n">
        <x:v>0.003716504138199999</x:v>
      </x:c>
      <x:c r="F1982" s="13" t="n">
        <x:v>45552</x:v>
      </x:c>
      <x:c r="G1982" s="12" t="n">
        <x:v>3.25</x:v>
      </x:c>
      <x:c r="H1982" s="12" t="n">
        <x:v>325</x:v>
      </x:c>
      <x:c r="I1982" s="12" t="n">
        <x:v>-7</x:v>
      </x:c>
      <x:c r="J1982" s="12" t="n">
        <x:v>1</x:v>
      </x:c>
    </x:row>
    <x:row r="1983" ht="18" customHeight="1">
      <x:c r="A1983" s="13" t="n">
        <x:v>45554</x:v>
      </x:c>
      <x:c r="B1983" s="12" t="n">
        <x:v>3196.0357</x:v>
      </x:c>
      <x:c r="C1983" s="12" t="n">
        <x:v>3171.0102</x:v>
      </x:c>
      <x:c r="D1983" s="12" t="n">
        <x:v>0.7892</x:v>
      </x:c>
      <x:c r="E1983" s="12" t="n">
        <x:v>0.007860985852472009</x:v>
      </x:c>
      <x:c r="F1983" s="13" t="n">
        <x:v>45553</x:v>
      </x:c>
      <x:c r="G1983" s="12" t="n">
        <x:v>3.21</x:v>
      </x:c>
      <x:c r="H1983" s="12" t="n">
        <x:v>321</x:v>
      </x:c>
      <x:c r="I1983" s="12" t="n">
        <x:v>-4</x:v>
      </x:c>
      <x:c r="J1983" s="12" t="n">
        <x:v>1</x:v>
      </x:c>
    </x:row>
    <x:row r="1984" ht="18" customHeight="1">
      <x:c r="A1984" s="13" t="n">
        <x:v>45555</x:v>
      </x:c>
      <x:c r="B1984" s="12" t="n">
        <x:v>3201.0497</x:v>
      </x:c>
      <x:c r="C1984" s="12" t="n">
        <x:v>3196.0357</x:v>
      </x:c>
      <x:c r="D1984" s="12" t="n">
        <x:v>0.1569</x:v>
      </x:c>
      <x:c r="E1984" s="12" t="n">
        <x:v>0.0015675892107855256</x:v>
      </x:c>
      <x:c r="F1984" s="13" t="n">
        <x:v>45554</x:v>
      </x:c>
      <x:c r="G1984" s="12" t="n">
        <x:v>3.1</x:v>
      </x:c>
      <x:c r="H1984" s="12" t="n">
        <x:v>310</x:v>
      </x:c>
      <x:c r="I1984" s="12" t="n">
        <x:v>-11</x:v>
      </x:c>
      <x:c r="J1984" s="12" t="n">
        <x:v>1</x:v>
      </x:c>
    </x:row>
    <x:row r="1985" ht="18" customHeight="1">
      <x:c r="A1985" s="13" t="n">
        <x:v>45558</x:v>
      </x:c>
      <x:c r="B1985" s="12" t="n">
        <x:v>3212.7639</x:v>
      </x:c>
      <x:c r="C1985" s="12" t="n">
        <x:v>3201.0497</x:v>
      </x:c>
      <x:c r="D1985" s="12" t="n">
        <x:v>0.3659</x:v>
      </x:c>
      <x:c r="E1985" s="12" t="n">
        <x:v>0.0036528074421164</x:v>
      </x:c>
      <x:c r="F1985" s="13" t="n">
        <x:v>45555</x:v>
      </x:c>
      <x:c r="G1985" s="12" t="n">
        <x:v>3.15</x:v>
      </x:c>
      <x:c r="H1985" s="12" t="n">
        <x:v>315</x:v>
      </x:c>
      <x:c r="I1985" s="12" t="n">
        <x:v>5</x:v>
      </x:c>
      <x:c r="J1985" s="12" t="n">
        <x:v>3</x:v>
      </x:c>
    </x:row>
    <x:row r="1986" ht="18" customHeight="1">
      <x:c r="A1986" s="13" t="n">
        <x:v>45559</x:v>
      </x:c>
      <x:c r="B1986" s="12" t="n">
        <x:v>3351.909</x:v>
      </x:c>
      <x:c r="C1986" s="12" t="n">
        <x:v>3212.7639</x:v>
      </x:c>
      <x:c r="D1986" s="12" t="n">
        <x:v>4.331</x:v>
      </x:c>
      <x:c r="E1986" s="12" t="n">
        <x:v>0.04239843957265368</x:v>
      </x:c>
      <x:c r="F1986" s="13" t="n">
        <x:v>45558</x:v>
      </x:c>
      <x:c r="G1986" s="12" t="n">
        <x:v>3.15</x:v>
      </x:c>
      <x:c r="H1986" s="12" t="n">
        <x:v>315</x:v>
      </x:c>
      <x:c r="I1986" s="12" t="n">
        <x:v>0</x:v>
      </x:c>
      <x:c r="J1986" s="12" t="n">
        <x:v>1</x:v>
      </x:c>
    </x:row>
    <x:row r="1987" ht="18" customHeight="1">
      <x:c r="A1987" s="13" t="n">
        <x:v>45560</x:v>
      </x:c>
      <x:c r="B1987" s="12" t="n">
        <x:v>3401.533</x:v>
      </x:c>
      <x:c r="C1987" s="12" t="n">
        <x:v>3351.909</x:v>
      </x:c>
      <x:c r="D1987" s="12" t="n">
        <x:v>1.4805</x:v>
      </x:c>
      <x:c r="E1987" s="12" t="n">
        <x:v>0.014696178078189136</x:v>
      </x:c>
      <x:c r="F1987" s="13" t="n">
        <x:v>45559</x:v>
      </x:c>
      <x:c r="G1987" s="12" t="n">
        <x:v>3.21</x:v>
      </x:c>
      <x:c r="H1987" s="12" t="n">
        <x:v>321</x:v>
      </x:c>
      <x:c r="I1987" s="12" t="n">
        <x:v>6</x:v>
      </x:c>
      <x:c r="J1987" s="12" t="n">
        <x:v>1</x:v>
      </x:c>
    </x:row>
    <x:row r="1988" ht="18" customHeight="1">
      <x:c r="A1988" s="13" t="n">
        <x:v>45561</x:v>
      </x:c>
      <x:c r="B1988" s="12" t="n">
        <x:v>3545.3204</x:v>
      </x:c>
      <x:c r="C1988" s="12" t="n">
        <x:v>3401.533</x:v>
      </x:c>
      <x:c r="D1988" s="12" t="n">
        <x:v>4.2271</x:v>
      </x:c>
      <x:c r="E1988" s="12" t="n">
        <x:v>0.04140232435989194</x:v>
      </x:c>
      <x:c r="F1988" s="13" t="n">
        <x:v>45560</x:v>
      </x:c>
      <x:c r="G1988" s="12" t="n">
        <x:v>3.19</x:v>
      </x:c>
      <x:c r="H1988" s="12" t="n">
        <x:v>319</x:v>
      </x:c>
      <x:c r="I1988" s="12" t="n">
        <x:v>-2</x:v>
      </x:c>
      <x:c r="J1988" s="12" t="n">
        <x:v>1</x:v>
      </x:c>
    </x:row>
    <x:row r="1989" ht="18" customHeight="1">
      <x:c r="A1989" s="13" t="n">
        <x:v>45562</x:v>
      </x:c>
      <x:c r="B1989" s="12" t="n">
        <x:v>3703.6849</x:v>
      </x:c>
      <x:c r="C1989" s="12" t="n">
        <x:v>3545.3204</x:v>
      </x:c>
      <x:c r="D1989" s="12" t="n">
        <x:v>4.4669</x:v>
      </x:c>
      <x:c r="E1989" s="12" t="n">
        <x:v>0.04369970625282989</x:v>
      </x:c>
      <x:c r="F1989" s="13" t="n">
        <x:v>45561</x:v>
      </x:c>
      <x:c r="G1989" s="12" t="n">
        <x:v>3.14</x:v>
      </x:c>
      <x:c r="H1989" s="12" t="n">
        <x:v>314</x:v>
      </x:c>
      <x:c r="I1989" s="12" t="n">
        <x:v>-5</x:v>
      </x:c>
      <x:c r="J1989" s="12" t="n">
        <x:v>1</x:v>
      </x:c>
    </x:row>
    <x:row r="1990" ht="18" customHeight="1">
      <x:c r="A1990" s="13" t="n">
        <x:v>45565</x:v>
      </x:c>
      <x:c r="B1990" s="12" t="n">
        <x:v>4017.8545</x:v>
      </x:c>
      <x:c r="C1990" s="12" t="n">
        <x:v>3703.6849</x:v>
      </x:c>
      <x:c r="D1990" s="12" t="n">
        <x:v>8.4826</x:v>
      </x:c>
      <x:c r="E1990" s="12" t="n">
        <x:v>0.08141981072040237</x:v>
      </x:c>
      <x:c r="F1990" s="13" t="n">
        <x:v>45562</x:v>
      </x:c>
      <x:c r="G1990" s="12" t="n">
        <x:v>3.14</x:v>
      </x:c>
      <x:c r="H1990" s="12" t="n">
        <x:v>314</x:v>
      </x:c>
      <x:c r="I1990" s="12" t="n">
        <x:v>0</x:v>
      </x:c>
      <x:c r="J1990" s="12" t="n">
        <x:v>3</x:v>
      </x:c>
    </x:row>
    <x:row r="1991" ht="18" customHeight="1">
      <x:c r="A1991" s="13" t="n">
        <x:v>45573</x:v>
      </x:c>
      <x:c r="B1991" s="12" t="n">
        <x:v>4256.0962</x:v>
      </x:c>
      <x:c r="C1991" s="12" t="n">
        <x:v>4017.8545</x:v>
      </x:c>
      <x:c r="D1991" s="12" t="n">
        <x:v>5.9296</x:v>
      </x:c>
      <x:c r="E1991" s="12" t="n">
        <x:v>0.0576043014760725</x:v>
      </x:c>
      <x:c r="F1991" s="13" t="n">
        <x:v>45572</x:v>
      </x:c>
      <x:c r="G1991" s="12" t="n">
        <x:v>2.95</x:v>
      </x:c>
      <x:c r="H1991" s="12" t="n">
        <x:v>295</x:v>
      </x:c>
      <x:c r="I1991" s="12" t="n">
        <x:v>6</x:v>
      </x:c>
      <x:c r="J1991" s="12" t="n">
        <x:v>1</x:v>
      </x:c>
    </x:row>
    <x:row r="1992" ht="18" customHeight="1">
      <x:c r="A1992" s="13" t="n">
        <x:v>45574</x:v>
      </x:c>
      <x:c r="B1992" s="12" t="n">
        <x:v>3955.9839</x:v>
      </x:c>
      <x:c r="C1992" s="12" t="n">
        <x:v>4256.0962</x:v>
      </x:c>
      <x:c r="D1992" s="12" t="n">
        <x:v>-7.0514</x:v>
      </x:c>
      <x:c r="E1992" s="12" t="n">
        <x:v>-0.0731230111826069</x:v>
      </x:c>
      <x:c r="F1992" s="13" t="n">
        <x:v>45573</x:v>
      </x:c>
      <x:c r="G1992" s="12" t="n">
        <x:v>2.99</x:v>
      </x:c>
      <x:c r="H1992" s="12" t="n">
        <x:v>299</x:v>
      </x:c>
      <x:c r="I1992" s="12" t="n">
        <x:v>4</x:v>
      </x:c>
      <x:c r="J1992" s="12" t="n">
        <x:v>1</x:v>
      </x:c>
    </x:row>
    <x:row r="1993" ht="18" customHeight="1">
      <x:c r="A1993" s="13" t="n">
        <x:v>45575</x:v>
      </x:c>
      <x:c r="B1993" s="12" t="n">
        <x:v>3997.7879</x:v>
      </x:c>
      <x:c r="C1993" s="12" t="n">
        <x:v>3955.9839</x:v>
      </x:c>
      <x:c r="D1993" s="12" t="n">
        <x:v>1.0567</x:v>
      </x:c>
      <x:c r="E1993" s="12" t="n">
        <x:v>0.010511839160420986</x:v>
      </x:c>
      <x:c r="F1993" s="13" t="n">
        <x:v>45574</x:v>
      </x:c>
      <x:c r="G1993" s="12" t="n">
        <x:v>2.94</x:v>
      </x:c>
      <x:c r="H1993" s="12" t="n">
        <x:v>294</x:v>
      </x:c>
      <x:c r="I1993" s="12" t="n">
        <x:v>-5</x:v>
      </x:c>
      <x:c r="J1993" s="12" t="n">
        <x:v>1</x:v>
      </x:c>
    </x:row>
    <x:row r="1994" ht="18" customHeight="1">
      <x:c r="A1994" s="13" t="n">
        <x:v>45576</x:v>
      </x:c>
      <x:c r="B1994" s="12" t="n">
        <x:v>3887.167</x:v>
      </x:c>
      <x:c r="C1994" s="12" t="n">
        <x:v>3997.7879</x:v>
      </x:c>
      <x:c r="D1994" s="12" t="n">
        <x:v>-2.7671</x:v>
      </x:c>
      <x:c r="E1994" s="12" t="n">
        <x:v>-0.028060568472753827</x:v>
      </x:c>
      <x:c r="F1994" s="13" t="n">
        <x:v>45575</x:v>
      </x:c>
      <x:c r="G1994" s="12" t="n">
        <x:v>2.99</x:v>
      </x:c>
      <x:c r="H1994" s="12" t="n">
        <x:v>299</x:v>
      </x:c>
      <x:c r="I1994" s="12" t="n">
        <x:v>5</x:v>
      </x:c>
      <x:c r="J1994" s="12" t="n">
        <x:v>1</x:v>
      </x:c>
    </x:row>
    <x:row r="1995" ht="18" customHeight="1">
      <x:c r="A1995" s="13" t="n">
        <x:v>45579</x:v>
      </x:c>
      <x:c r="B1995" s="12" t="n">
        <x:v>3961.3424</x:v>
      </x:c>
      <x:c r="C1995" s="12" t="n">
        <x:v>3887.167</x:v>
      </x:c>
      <x:c r="D1995" s="12" t="n">
        <x:v>1.9082</x:v>
      </x:c>
      <x:c r="E1995" s="12" t="n">
        <x:v>0.01890234304887516</x:v>
      </x:c>
      <x:c r="F1995" s="13" t="n">
        <x:v>45576</x:v>
      </x:c>
      <x:c r="G1995" s="12" t="n">
        <x:v>2.98</x:v>
      </x:c>
      <x:c r="H1995" s="12" t="n">
        <x:v>298</x:v>
      </x:c>
      <x:c r="I1995" s="12" t="n">
        <x:v>-1</x:v>
      </x:c>
      <x:c r="J1995" s="12" t="n">
        <x:v>3</x:v>
      </x:c>
    </x:row>
    <x:row r="1996" ht="18" customHeight="1">
      <x:c r="A1996" s="13" t="n">
        <x:v>45580</x:v>
      </x:c>
      <x:c r="B1996" s="12" t="n">
        <x:v>3855.9949</x:v>
      </x:c>
      <x:c r="C1996" s="12" t="n">
        <x:v>3961.3424</x:v>
      </x:c>
      <x:c r="D1996" s="12" t="n">
        <x:v>-2.6594</x:v>
      </x:c>
      <x:c r="E1996" s="12" t="n">
        <x:v>-0.026953903587968227</x:v>
      </x:c>
      <x:c r="F1996" s="13" t="n">
        <x:v>45579</x:v>
      </x:c>
      <x:c r="G1996" s="12" t="n">
        <x:v>2.97</x:v>
      </x:c>
      <x:c r="H1996" s="12" t="n">
        <x:v>297</x:v>
      </x:c>
      <x:c r="I1996" s="12" t="n">
        <x:v>-1</x:v>
      </x:c>
      <x:c r="J1996" s="12" t="n">
        <x:v>1</x:v>
      </x:c>
    </x:row>
    <x:row r="1997" ht="18" customHeight="1">
      <x:c r="A1997" s="13" t="n">
        <x:v>45581</x:v>
      </x:c>
      <x:c r="B1997" s="12" t="n">
        <x:v>3831.589</x:v>
      </x:c>
      <x:c r="C1997" s="12" t="n">
        <x:v>3855.9949</x:v>
      </x:c>
      <x:c r="D1997" s="12" t="n">
        <x:v>-0.6329</x:v>
      </x:c>
      <x:c r="E1997" s="12" t="n">
        <x:v>-0.006349454474184984</x:v>
      </x:c>
      <x:c r="F1997" s="13" t="n">
        <x:v>45580</x:v>
      </x:c>
      <x:c r="G1997" s="12" t="n">
        <x:v>2.93</x:v>
      </x:c>
      <x:c r="H1997" s="12" t="n">
        <x:v>293</x:v>
      </x:c>
      <x:c r="I1997" s="12" t="n">
        <x:v>-4</x:v>
      </x:c>
      <x:c r="J1997" s="12" t="n">
        <x:v>1</x:v>
      </x:c>
    </x:row>
    <x:row r="1998" ht="18" customHeight="1">
      <x:c r="A1998" s="13" t="n">
        <x:v>45582</x:v>
      </x:c>
      <x:c r="B1998" s="12" t="n">
        <x:v>3788.2217</x:v>
      </x:c>
      <x:c r="C1998" s="12" t="n">
        <x:v>3831.589</x:v>
      </x:c>
      <x:c r="D1998" s="12" t="n">
        <x:v>-1.1318</x:v>
      </x:c>
      <x:c r="E1998" s="12" t="n">
        <x:v>-0.011382899120795377</x:v>
      </x:c>
      <x:c r="F1998" s="13" t="n">
        <x:v>45581</x:v>
      </x:c>
      <x:c r="G1998" s="12" t="n">
        <x:v>2.9</x:v>
      </x:c>
      <x:c r="H1998" s="12" t="n">
        <x:v>290</x:v>
      </x:c>
      <x:c r="I1998" s="12" t="n">
        <x:v>-3</x:v>
      </x:c>
      <x:c r="J1998" s="12" t="n">
        <x:v>1</x:v>
      </x:c>
    </x:row>
    <x:row r="1999" ht="18" customHeight="1">
      <x:c r="A1999" s="13" t="n">
        <x:v>45583</x:v>
      </x:c>
      <x:c r="B1999" s="12" t="n">
        <x:v>3925.234</x:v>
      </x:c>
      <x:c r="C1999" s="12" t="n">
        <x:v>3788.2217</x:v>
      </x:c>
      <x:c r="D1999" s="12" t="n">
        <x:v>3.6168</x:v>
      </x:c>
      <x:c r="E1999" s="12" t="n">
        <x:v>0.035529266753357894</x:v>
      </x:c>
      <x:c r="F1999" s="13" t="n">
        <x:v>45582</x:v>
      </x:c>
      <x:c r="G1999" s="12" t="n">
        <x:v>2.89</x:v>
      </x:c>
      <x:c r="H1999" s="12" t="n">
        <x:v>289</x:v>
      </x:c>
      <x:c r="I1999" s="12" t="n">
        <x:v>-1</x:v>
      </x:c>
      <x:c r="J1999" s="12" t="n">
        <x:v>1</x:v>
      </x:c>
    </x:row>
    <x:row r="2000" ht="18" customHeight="1">
      <x:c r="A2000" s="13" t="n">
        <x:v>45586</x:v>
      </x:c>
      <x:c r="B2000" s="12" t="n">
        <x:v>3935.1974</x:v>
      </x:c>
      <x:c r="C2000" s="12" t="n">
        <x:v>3925.234</x:v>
      </x:c>
      <x:c r="D2000" s="12" t="n">
        <x:v>0.2538</x:v>
      </x:c>
      <x:c r="E2000" s="12" t="n">
        <x:v>0.002535078503685626</x:v>
      </x:c>
      <x:c r="F2000" s="13" t="n">
        <x:v>45583</x:v>
      </x:c>
      <x:c r="G2000" s="12" t="n">
        <x:v>2.88</x:v>
      </x:c>
      <x:c r="H2000" s="12" t="n">
        <x:v>288</x:v>
      </x:c>
      <x:c r="I2000" s="12" t="n">
        <x:v>-1</x:v>
      </x:c>
      <x:c r="J2000" s="12" t="n">
        <x:v>3</x:v>
      </x:c>
    </x:row>
    <x:row r="2001" ht="18" customHeight="1">
      <x:c r="A2001" s="13" t="n">
        <x:v>45587</x:v>
      </x:c>
      <x:c r="B2001" s="12" t="n">
        <x:v>3957.7755</x:v>
      </x:c>
      <x:c r="C2001" s="12" t="n">
        <x:v>3935.1974</x:v>
      </x:c>
      <x:c r="D2001" s="12" t="n">
        <x:v>0.5737</x:v>
      </x:c>
      <x:c r="E2001" s="12" t="n">
        <x:v>0.005721079210379723</x:v>
      </x:c>
      <x:c r="F2001" s="13" t="n">
        <x:v>45586</x:v>
      </x:c>
      <x:c r="G2001" s="12" t="n">
        <x:v>2.88</x:v>
      </x:c>
      <x:c r="H2001" s="12" t="n">
        <x:v>288</x:v>
      </x:c>
      <x:c r="I2001" s="12" t="n">
        <x:v>0</x:v>
      </x:c>
      <x:c r="J2001" s="12" t="n">
        <x:v>1</x:v>
      </x:c>
    </x:row>
    <x:row r="2002" ht="18" customHeight="1">
      <x:c r="A2002" s="13" t="n">
        <x:v>45588</x:v>
      </x:c>
      <x:c r="B2002" s="12" t="n">
        <x:v>3973.2089</x:v>
      </x:c>
      <x:c r="C2002" s="12" t="n">
        <x:v>3957.7755</x:v>
      </x:c>
      <x:c r="D2002" s="12" t="n">
        <x:v>0.39</x:v>
      </x:c>
      <x:c r="E2002" s="12" t="n">
        <x:v>0.0038919303588495634</x:v>
      </x:c>
      <x:c r="F2002" s="13" t="n">
        <x:v>45587</x:v>
      </x:c>
      <x:c r="G2002" s="12" t="n">
        <x:v>2.92</x:v>
      </x:c>
      <x:c r="H2002" s="12" t="n">
        <x:v>292</x:v>
      </x:c>
      <x:c r="I2002" s="12" t="n">
        <x:v>4</x:v>
      </x:c>
      <x:c r="J2002" s="12" t="n">
        <x:v>1</x:v>
      </x:c>
    </x:row>
    <x:row r="2003" ht="18" customHeight="1">
      <x:c r="A2003" s="13" t="n">
        <x:v>45589</x:v>
      </x:c>
      <x:c r="B2003" s="12" t="n">
        <x:v>3928.8334</x:v>
      </x:c>
      <x:c r="C2003" s="12" t="n">
        <x:v>3973.2089</x:v>
      </x:c>
      <x:c r="D2003" s="12" t="n">
        <x:v>-1.1169</x:v>
      </x:c>
      <x:c r="E2003" s="12" t="n">
        <x:v>-0.011231518334287871</x:v>
      </x:c>
      <x:c r="F2003" s="13" t="n">
        <x:v>45588</x:v>
      </x:c>
      <x:c r="G2003" s="12" t="n">
        <x:v>2.95</x:v>
      </x:c>
      <x:c r="H2003" s="12" t="n">
        <x:v>295</x:v>
      </x:c>
      <x:c r="I2003" s="12" t="n">
        <x:v>3</x:v>
      </x:c>
      <x:c r="J2003" s="12" t="n">
        <x:v>1</x:v>
      </x:c>
    </x:row>
    <x:row r="2004" ht="18" customHeight="1">
      <x:c r="A2004" s="13" t="n">
        <x:v>45590</x:v>
      </x:c>
      <x:c r="B2004" s="12" t="n">
        <x:v>3956.421</x:v>
      </x:c>
      <x:c r="C2004" s="12" t="n">
        <x:v>3928.8334</x:v>
      </x:c>
      <x:c r="D2004" s="12" t="n">
        <x:v>0.7022</x:v>
      </x:c>
      <x:c r="E2004" s="12" t="n">
        <x:v>0.006997291694767125</x:v>
      </x:c>
      <x:c r="F2004" s="13" t="n">
        <x:v>45589</x:v>
      </x:c>
      <x:c r="G2004" s="12" t="n">
        <x:v>2.93</x:v>
      </x:c>
      <x:c r="H2004" s="12" t="n">
        <x:v>293</x:v>
      </x:c>
      <x:c r="I2004" s="12" t="n">
        <x:v>-2</x:v>
      </x:c>
      <x:c r="J2004" s="12" t="n">
        <x:v>1</x:v>
      </x:c>
    </x:row>
    <x:row r="2005" ht="18" customHeight="1">
      <x:c r="A2005" s="13" t="n">
        <x:v>45593</x:v>
      </x:c>
      <x:c r="B2005" s="12" t="n">
        <x:v>3964.1569</x:v>
      </x:c>
      <x:c r="C2005" s="12" t="n">
        <x:v>3956.421</x:v>
      </x:c>
      <x:c r="D2005" s="12" t="n">
        <x:v>0.1955</x:v>
      </x:c>
      <x:c r="E2005" s="12" t="n">
        <x:v>0.001953368190416609</x:v>
      </x:c>
      <x:c r="F2005" s="13" t="n">
        <x:v>45590</x:v>
      </x:c>
      <x:c r="G2005" s="12" t="n">
        <x:v>2.89</x:v>
      </x:c>
      <x:c r="H2005" s="12" t="n">
        <x:v>289</x:v>
      </x:c>
      <x:c r="I2005" s="12" t="n">
        <x:v>-4</x:v>
      </x:c>
      <x:c r="J2005" s="12" t="n">
        <x:v>3</x:v>
      </x:c>
    </x:row>
    <x:row r="2006" ht="18" customHeight="1">
      <x:c r="A2006" s="13" t="n">
        <x:v>45594</x:v>
      </x:c>
      <x:c r="B2006" s="12" t="n">
        <x:v>3924.649</x:v>
      </x:c>
      <x:c r="C2006" s="12" t="n">
        <x:v>3964.1569</x:v>
      </x:c>
      <x:c r="D2006" s="12" t="n">
        <x:v>-0.9966</x:v>
      </x:c>
      <x:c r="E2006" s="12" t="n">
        <x:v>-0.010016276431536042</x:v>
      </x:c>
      <x:c r="F2006" s="13" t="n">
        <x:v>45593</x:v>
      </x:c>
      <x:c r="G2006" s="12" t="n">
        <x:v>2.82</x:v>
      </x:c>
      <x:c r="H2006" s="12" t="n">
        <x:v>282</x:v>
      </x:c>
      <x:c r="I2006" s="12" t="n">
        <x:v>-7</x:v>
      </x:c>
      <x:c r="J2006" s="12" t="n">
        <x:v>1</x:v>
      </x:c>
    </x:row>
    <x:row r="2007" ht="18" customHeight="1">
      <x:c r="A2007" s="13" t="n">
        <x:v>45595</x:v>
      </x:c>
      <x:c r="B2007" s="12" t="n">
        <x:v>3889.4487</x:v>
      </x:c>
      <x:c r="C2007" s="12" t="n">
        <x:v>3924.649</x:v>
      </x:c>
      <x:c r="D2007" s="12" t="n">
        <x:v>-0.8969</x:v>
      </x:c>
      <x:c r="E2007" s="12" t="n">
        <x:v>-0.009009495262216016</x:v>
      </x:c>
      <x:c r="F2007" s="13" t="n">
        <x:v>45594</x:v>
      </x:c>
      <x:c r="G2007" s="12" t="n">
        <x:v>2.85</x:v>
      </x:c>
      <x:c r="H2007" s="12" t="n">
        <x:v>285</x:v>
      </x:c>
      <x:c r="I2007" s="12" t="n">
        <x:v>3</x:v>
      </x:c>
      <x:c r="J2007" s="12" t="n">
        <x:v>1</x:v>
      </x:c>
    </x:row>
    <x:row r="2008" ht="18" customHeight="1">
      <x:c r="A2008" s="13" t="n">
        <x:v>45596</x:v>
      </x:c>
      <x:c r="B2008" s="12" t="n">
        <x:v>3891.0396</x:v>
      </x:c>
      <x:c r="C2008" s="12" t="n">
        <x:v>3889.4487</x:v>
      </x:c>
      <x:c r="D2008" s="12" t="n">
        <x:v>0.0409</x:v>
      </x:c>
      <x:c r="E2008" s="12" t="n">
        <x:v>0.00040894606118007065</x:v>
      </x:c>
      <x:c r="F2008" s="13" t="n">
        <x:v>45595</x:v>
      </x:c>
      <x:c r="G2008" s="12" t="n">
        <x:v>2.8</x:v>
      </x:c>
      <x:c r="H2008" s="12" t="n">
        <x:v>280</x:v>
      </x:c>
      <x:c r="I2008" s="12" t="n">
        <x:v>-5</x:v>
      </x:c>
      <x:c r="J2008" s="12" t="n">
        <x:v>1</x:v>
      </x:c>
    </x:row>
    <x:row r="2009" ht="18" customHeight="1">
      <x:c r="A2009" s="13" t="n">
        <x:v>45597</x:v>
      </x:c>
      <x:c r="B2009" s="12" t="n">
        <x:v>3890.0203</x:v>
      </x:c>
      <x:c r="C2009" s="12" t="n">
        <x:v>3891.0396</x:v>
      </x:c>
      <x:c r="D2009" s="12" t="n">
        <x:v>-0.0262</x:v>
      </x:c>
      <x:c r="E2009" s="12" t="n">
        <x:v>-0.0002619951571971654</x:v>
      </x:c>
      <x:c r="F2009" s="13" t="n">
        <x:v>45596</x:v>
      </x:c>
      <x:c r="G2009" s="12" t="n">
        <x:v>2.88</x:v>
      </x:c>
      <x:c r="H2009" s="12" t="n">
        <x:v>288</x:v>
      </x:c>
      <x:c r="I2009" s="12" t="n">
        <x:v>8</x:v>
      </x:c>
      <x:c r="J2009" s="12" t="n">
        <x:v>1</x:v>
      </x:c>
    </x:row>
    <x:row r="2010" ht="18" customHeight="1">
      <x:c r="A2010" s="13" t="n">
        <x:v>45600</x:v>
      </x:c>
      <x:c r="B2010" s="12" t="n">
        <x:v>3944.7619</x:v>
      </x:c>
      <x:c r="C2010" s="12" t="n">
        <x:v>3890.0203</x:v>
      </x:c>
      <x:c r="D2010" s="12" t="n">
        <x:v>1.4072</x:v>
      </x:c>
      <x:c r="E2010" s="12" t="n">
        <x:v>0.013974221471078057</x:v>
      </x:c>
      <x:c r="F2010" s="13" t="n">
        <x:v>45597</x:v>
      </x:c>
      <x:c r="G2010" s="12" t="n">
        <x:v>2.83</x:v>
      </x:c>
      <x:c r="H2010" s="12" t="n">
        <x:v>283</x:v>
      </x:c>
      <x:c r="I2010" s="12" t="n">
        <x:v>-5</x:v>
      </x:c>
      <x:c r="J2010" s="12" t="n">
        <x:v>3</x:v>
      </x:c>
    </x:row>
    <x:row r="2011" ht="18" customHeight="1">
      <x:c r="A2011" s="13" t="n">
        <x:v>45601</x:v>
      </x:c>
      <x:c r="B2011" s="12" t="n">
        <x:v>4044.5725</x:v>
      </x:c>
      <x:c r="C2011" s="12" t="n">
        <x:v>3944.7619</x:v>
      </x:c>
      <x:c r="D2011" s="12" t="n">
        <x:v>2.5302</x:v>
      </x:c>
      <x:c r="E2011" s="12" t="n">
        <x:v>0.024987261296340286</x:v>
      </x:c>
      <x:c r="F2011" s="13" t="n">
        <x:v>45600</x:v>
      </x:c>
      <x:c r="G2011" s="12" t="n">
        <x:v>2.87</x:v>
      </x:c>
      <x:c r="H2011" s="12" t="n">
        <x:v>287</x:v>
      </x:c>
      <x:c r="I2011" s="12" t="n">
        <x:v>4</x:v>
      </x:c>
      <x:c r="J2011" s="12" t="n">
        <x:v>1</x:v>
      </x:c>
    </x:row>
    <x:row r="2012" ht="18" customHeight="1">
      <x:c r="A2012" s="13" t="n">
        <x:v>45602</x:v>
      </x:c>
      <x:c r="B2012" s="12" t="n">
        <x:v>4024.2831</x:v>
      </x:c>
      <x:c r="C2012" s="12" t="n">
        <x:v>4044.5725</x:v>
      </x:c>
      <x:c r="D2012" s="12" t="n">
        <x:v>-0.5016</x:v>
      </x:c>
      <x:c r="E2012" s="12" t="n">
        <x:v>-0.0050290756876604685</x:v>
      </x:c>
      <x:c r="F2012" s="13" t="n">
        <x:v>45601</x:v>
      </x:c>
      <x:c r="G2012" s="12" t="n">
        <x:v>2.86</x:v>
      </x:c>
      <x:c r="H2012" s="12" t="n">
        <x:v>286</x:v>
      </x:c>
      <x:c r="I2012" s="12" t="n">
        <x:v>-1</x:v>
      </x:c>
      <x:c r="J2012" s="12" t="n">
        <x:v>1</x:v>
      </x:c>
    </x:row>
    <x:row r="2013" ht="18" customHeight="1">
      <x:c r="A2013" s="13" t="n">
        <x:v>45603</x:v>
      </x:c>
      <x:c r="B2013" s="12" t="n">
        <x:v>4145.6952</x:v>
      </x:c>
      <x:c r="C2013" s="12" t="n">
        <x:v>4024.2831</x:v>
      </x:c>
      <x:c r="D2013" s="12" t="n">
        <x:v>3.017</x:v>
      </x:c>
      <x:c r="E2013" s="12" t="n">
        <x:v>0.02972371146306609</x:v>
      </x:c>
      <x:c r="F2013" s="13" t="n">
        <x:v>45602</x:v>
      </x:c>
      <x:c r="G2013" s="12" t="n">
        <x:v>2.74</x:v>
      </x:c>
      <x:c r="H2013" s="12" t="n">
        <x:v>274</x:v>
      </x:c>
      <x:c r="I2013" s="12" t="n">
        <x:v>-12</x:v>
      </x:c>
      <x:c r="J2013" s="12" t="n">
        <x:v>1</x:v>
      </x:c>
    </x:row>
    <x:row r="2014" ht="18" customHeight="1">
      <x:c r="A2014" s="13" t="n">
        <x:v>45604</x:v>
      </x:c>
      <x:c r="B2014" s="12" t="n">
        <x:v>4104.047</x:v>
      </x:c>
      <x:c r="C2014" s="12" t="n">
        <x:v>4145.6952</x:v>
      </x:c>
      <x:c r="D2014" s="12" t="n">
        <x:v>-1.0046</x:v>
      </x:c>
      <x:c r="E2014" s="12" t="n">
        <x:v>-0.010096934623952768</x:v>
      </x:c>
      <x:c r="F2014" s="13" t="n">
        <x:v>45603</x:v>
      </x:c>
      <x:c r="G2014" s="12" t="n">
        <x:v>2.73</x:v>
      </x:c>
      <x:c r="H2014" s="12" t="n">
        <x:v>273</x:v>
      </x:c>
      <x:c r="I2014" s="12" t="n">
        <x:v>-1</x:v>
      </x:c>
      <x:c r="J2014" s="12" t="n">
        <x:v>1</x:v>
      </x:c>
    </x:row>
    <x:row r="2015" ht="18" customHeight="1">
      <x:c r="A2015" s="13" t="n">
        <x:v>45607</x:v>
      </x:c>
      <x:c r="B2015" s="12" t="n">
        <x:v>4131.1312</x:v>
      </x:c>
      <x:c r="C2015" s="12" t="n">
        <x:v>4104.047</x:v>
      </x:c>
      <x:c r="D2015" s="12" t="n">
        <x:v>0.6599</x:v>
      </x:c>
      <x:c r="E2015" s="12" t="n">
        <x:v>0.006577707730125924</x:v>
      </x:c>
      <x:c r="F2015" s="13" t="n">
        <x:v>45604</x:v>
      </x:c>
      <x:c r="G2015" s="12" t="n">
        <x:v>2.63</x:v>
      </x:c>
      <x:c r="H2015" s="12" t="n">
        <x:v>263</x:v>
      </x:c>
      <x:c r="I2015" s="12" t="n">
        <x:v>-10</x:v>
      </x:c>
      <x:c r="J2015" s="12" t="n">
        <x:v>3</x:v>
      </x:c>
    </x:row>
    <x:row r="2016" ht="18" customHeight="1">
      <x:c r="A2016" s="13" t="n">
        <x:v>45608</x:v>
      </x:c>
      <x:c r="B2016" s="12" t="n">
        <x:v>4085.743</x:v>
      </x:c>
      <x:c r="C2016" s="12" t="n">
        <x:v>4131.1312</x:v>
      </x:c>
      <x:c r="D2016" s="12" t="n">
        <x:v>-1.0987</x:v>
      </x:c>
      <x:c r="E2016" s="12" t="n">
        <x:v>-0.011047671056907763</x:v>
      </x:c>
      <x:c r="F2016" s="13" t="n">
        <x:v>45607</x:v>
      </x:c>
      <x:c r="G2016" s="12" t="n">
        <x:v>2.63</x:v>
      </x:c>
      <x:c r="H2016" s="12" t="n">
        <x:v>263</x:v>
      </x:c>
      <x:c r="I2016" s="12" t="n">
        <x:v>0</x:v>
      </x:c>
      <x:c r="J2016" s="12" t="n">
        <x:v>1</x:v>
      </x:c>
    </x:row>
    <x:row r="2017" ht="18" customHeight="1">
      <x:c r="A2017" s="13" t="n">
        <x:v>45609</x:v>
      </x:c>
      <x:c r="B2017" s="12" t="n">
        <x:v>4110.8901</x:v>
      </x:c>
      <x:c r="C2017" s="12" t="n">
        <x:v>4085.743</x:v>
      </x:c>
      <x:c r="D2017" s="12" t="n">
        <x:v>0.6155</x:v>
      </x:c>
      <x:c r="E2017" s="12" t="n">
        <x:v>0.006135977685628404</x:v>
      </x:c>
      <x:c r="F2017" s="13" t="n">
        <x:v>45608</x:v>
      </x:c>
      <x:c r="G2017" s="12" t="n">
        <x:v>2.61</x:v>
      </x:c>
      <x:c r="H2017" s="12" t="n">
        <x:v>261</x:v>
      </x:c>
      <x:c r="I2017" s="12" t="n">
        <x:v>-2</x:v>
      </x:c>
      <x:c r="J2017" s="12" t="n">
        <x:v>1</x:v>
      </x:c>
    </x:row>
    <x:row r="2018" ht="18" customHeight="1">
      <x:c r="A2018" s="13" t="n">
        <x:v>45610</x:v>
      </x:c>
      <x:c r="B2018" s="12" t="n">
        <x:v>4039.6191</x:v>
      </x:c>
      <x:c r="C2018" s="12" t="n">
        <x:v>4110.8901</x:v>
      </x:c>
      <x:c r="D2018" s="12" t="n">
        <x:v>-1.7337</x:v>
      </x:c>
      <x:c r="E2018" s="12" t="n">
        <x:v>-0.017489169053457043</x:v>
      </x:c>
      <x:c r="F2018" s="13" t="n">
        <x:v>45609</x:v>
      </x:c>
      <x:c r="G2018" s="12" t="n">
        <x:v>2.64</x:v>
      </x:c>
      <x:c r="H2018" s="12" t="n">
        <x:v>264</x:v>
      </x:c>
      <x:c r="I2018" s="12" t="n">
        <x:v>3</x:v>
      </x:c>
      <x:c r="J2018" s="12" t="n">
        <x:v>1</x:v>
      </x:c>
    </x:row>
    <x:row r="2019" ht="18" customHeight="1">
      <x:c r="A2019" s="13" t="n">
        <x:v>45611</x:v>
      </x:c>
      <x:c r="B2019" s="12" t="n">
        <x:v>3968.8308</x:v>
      </x:c>
      <x:c r="C2019" s="12" t="n">
        <x:v>4039.6191</x:v>
      </x:c>
      <x:c r="D2019" s="12" t="n">
        <x:v>-1.7524</x:v>
      </x:c>
      <x:c r="E2019" s="12" t="n">
        <x:v>-0.01767886284325673</x:v>
      </x:c>
      <x:c r="F2019" s="13" t="n">
        <x:v>45610</x:v>
      </x:c>
      <x:c r="G2019" s="12" t="n">
        <x:v>2.6</x:v>
      </x:c>
      <x:c r="H2019" s="12" t="n">
        <x:v>260</x:v>
      </x:c>
      <x:c r="I2019" s="12" t="n">
        <x:v>-4</x:v>
      </x:c>
      <x:c r="J2019" s="12" t="n">
        <x:v>1</x:v>
      </x:c>
    </x:row>
    <x:row r="2020" ht="18" customHeight="1">
      <x:c r="A2020" s="13" t="n">
        <x:v>45614</x:v>
      </x:c>
      <x:c r="B2020" s="12" t="n">
        <x:v>3950.3806</x:v>
      </x:c>
      <x:c r="C2020" s="12" t="n">
        <x:v>3968.8308</x:v>
      </x:c>
      <x:c r="D2020" s="12" t="n">
        <x:v>-0.4649</x:v>
      </x:c>
      <x:c r="E2020" s="12" t="n">
        <x:v>-0.004659613805119821</x:v>
      </x:c>
      <x:c r="F2020" s="13" t="n">
        <x:v>45611</x:v>
      </x:c>
      <x:c r="G2020" s="12" t="n">
        <x:v>2.72</x:v>
      </x:c>
      <x:c r="H2020" s="12" t="n">
        <x:v>272</x:v>
      </x:c>
      <x:c r="I2020" s="12" t="n">
        <x:v>12</x:v>
      </x:c>
      <x:c r="J2020" s="12" t="n">
        <x:v>3</x:v>
      </x:c>
    </x:row>
    <x:row r="2021" ht="18" customHeight="1">
      <x:c r="A2021" s="13" t="n">
        <x:v>45615</x:v>
      </x:c>
      <x:c r="B2021" s="12" t="n">
        <x:v>3976.8912</x:v>
      </x:c>
      <x:c r="C2021" s="12" t="n">
        <x:v>3950.3806</x:v>
      </x:c>
      <x:c r="D2021" s="12" t="n">
        <x:v>0.6711</x:v>
      </x:c>
      <x:c r="E2021" s="12" t="n">
        <x:v>0.00668847984521444</x:v>
      </x:c>
      <x:c r="F2021" s="13" t="n">
        <x:v>45614</x:v>
      </x:c>
      <x:c r="G2021" s="12" t="n">
        <x:v>2.72</x:v>
      </x:c>
      <x:c r="H2021" s="12" t="n">
        <x:v>272</x:v>
      </x:c>
      <x:c r="I2021" s="12" t="n">
        <x:v>0</x:v>
      </x:c>
      <x:c r="J2021" s="12" t="n">
        <x:v>1</x:v>
      </x:c>
    </x:row>
    <x:row r="2022" ht="18" customHeight="1">
      <x:c r="A2022" s="13" t="n">
        <x:v>45616</x:v>
      </x:c>
      <x:c r="B2022" s="12" t="n">
        <x:v>3985.7727</x:v>
      </x:c>
      <x:c r="C2022" s="12" t="n">
        <x:v>3976.8912</x:v>
      </x:c>
      <x:c r="D2022" s="12" t="n">
        <x:v>0.2233</x:v>
      </x:c>
      <x:c r="E2022" s="12" t="n">
        <x:v>0.0022307870317534334</x:v>
      </x:c>
      <x:c r="F2022" s="13" t="n">
        <x:v>45615</x:v>
      </x:c>
      <x:c r="G2022" s="12" t="n">
        <x:v>2.69</x:v>
      </x:c>
      <x:c r="H2022" s="12" t="n">
        <x:v>269</x:v>
      </x:c>
      <x:c r="I2022" s="12" t="n">
        <x:v>-3</x:v>
      </x:c>
      <x:c r="J2022" s="12" t="n">
        <x:v>1</x:v>
      </x:c>
    </x:row>
    <x:row r="2023" ht="18" customHeight="1">
      <x:c r="A2023" s="13" t="n">
        <x:v>45617</x:v>
      </x:c>
      <x:c r="B2023" s="12" t="n">
        <x:v>3989.2979</x:v>
      </x:c>
      <x:c r="C2023" s="12" t="n">
        <x:v>3985.7727</x:v>
      </x:c>
      <x:c r="D2023" s="12" t="n">
        <x:v>0.0884</x:v>
      </x:c>
      <x:c r="E2023" s="12" t="n">
        <x:v>0.0008840549272616244</x:v>
      </x:c>
      <x:c r="F2023" s="13" t="n">
        <x:v>45616</x:v>
      </x:c>
      <x:c r="G2023" s="12" t="n">
        <x:v>2.67</x:v>
      </x:c>
      <x:c r="H2023" s="12" t="n">
        <x:v>267</x:v>
      </x:c>
      <x:c r="I2023" s="12" t="n">
        <x:v>-2</x:v>
      </x:c>
      <x:c r="J2023" s="12" t="n">
        <x:v>1</x:v>
      </x:c>
    </x:row>
    <x:row r="2024" ht="18" customHeight="1">
      <x:c r="A2024" s="13" t="n">
        <x:v>45618</x:v>
      </x:c>
      <x:c r="B2024" s="12" t="n">
        <x:v>3865.6989</x:v>
      </x:c>
      <x:c r="C2024" s="12" t="n">
        <x:v>3989.2979</x:v>
      </x:c>
      <x:c r="D2024" s="12" t="n">
        <x:v>-3.0983</x:v>
      </x:c>
      <x:c r="E2024" s="12" t="n">
        <x:v>-0.031472756870787426</x:v>
      </x:c>
      <x:c r="F2024" s="13" t="n">
        <x:v>45617</x:v>
      </x:c>
      <x:c r="G2024" s="12" t="n">
        <x:v>2.61</x:v>
      </x:c>
      <x:c r="H2024" s="12" t="n">
        <x:v>261</x:v>
      </x:c>
      <x:c r="I2024" s="12" t="n">
        <x:v>-6</x:v>
      </x:c>
      <x:c r="J2024" s="12" t="n">
        <x:v>1</x:v>
      </x:c>
    </x:row>
    <x:row r="2025" ht="18" customHeight="1">
      <x:c r="A2025" s="13" t="n">
        <x:v>45621</x:v>
      </x:c>
      <x:c r="B2025" s="12" t="n">
        <x:v>3848.0909</x:v>
      </x:c>
      <x:c r="C2025" s="12" t="n">
        <x:v>3865.6989</x:v>
      </x:c>
      <x:c r="D2025" s="12" t="n">
        <x:v>-0.4555</x:v>
      </x:c>
      <x:c r="E2025" s="12" t="n">
        <x:v>-0.004565338449490279</x:v>
      </x:c>
      <x:c r="F2025" s="13" t="n">
        <x:v>45618</x:v>
      </x:c>
      <x:c r="G2025" s="12" t="n">
        <x:v>2.61</x:v>
      </x:c>
      <x:c r="H2025" s="12" t="n">
        <x:v>261</x:v>
      </x:c>
      <x:c r="I2025" s="12" t="n">
        <x:v>0</x:v>
      </x:c>
      <x:c r="J2025" s="12" t="n">
        <x:v>3</x:v>
      </x:c>
    </x:row>
    <x:row r="2026" ht="18" customHeight="1">
      <x:c r="A2026" s="13" t="n">
        <x:v>45622</x:v>
      </x:c>
      <x:c r="B2026" s="12" t="n">
        <x:v>3840.1847</x:v>
      </x:c>
      <x:c r="C2026" s="12" t="n">
        <x:v>3848.0909</x:v>
      </x:c>
      <x:c r="D2026" s="12" t="n">
        <x:v>-0.2055</x:v>
      </x:c>
      <x:c r="E2026" s="12" t="n">
        <x:v>-0.002056690784321142</x:v>
      </x:c>
      <x:c r="F2026" s="13" t="n">
        <x:v>45621</x:v>
      </x:c>
      <x:c r="G2026" s="12" t="n">
        <x:v>2.64</x:v>
      </x:c>
      <x:c r="H2026" s="12" t="n">
        <x:v>264</x:v>
      </x:c>
      <x:c r="I2026" s="12" t="n">
        <x:v>3</x:v>
      </x:c>
      <x:c r="J2026" s="12" t="n">
        <x:v>1</x:v>
      </x:c>
    </x:row>
    <x:row r="2027" ht="18" customHeight="1">
      <x:c r="A2027" s="13" t="n">
        <x:v>45623</x:v>
      </x:c>
      <x:c r="B2027" s="12" t="n">
        <x:v>3907.0447</x:v>
      </x:c>
      <x:c r="C2027" s="12" t="n">
        <x:v>3840.1847</x:v>
      </x:c>
      <x:c r="D2027" s="12" t="n">
        <x:v>1.7411</x:v>
      </x:c>
      <x:c r="E2027" s="12" t="n">
        <x:v>0.017260792609562207</x:v>
      </x:c>
      <x:c r="F2027" s="13" t="n">
        <x:v>45622</x:v>
      </x:c>
      <x:c r="G2027" s="12" t="n">
        <x:v>2.68</x:v>
      </x:c>
      <x:c r="H2027" s="12" t="n">
        <x:v>268</x:v>
      </x:c>
      <x:c r="I2027" s="12" t="n">
        <x:v>4</x:v>
      </x:c>
      <x:c r="J2027" s="12" t="n">
        <x:v>1</x:v>
      </x:c>
    </x:row>
    <x:row r="2028" ht="18" customHeight="1">
      <x:c r="A2028" s="13" t="n">
        <x:v>45624</x:v>
      </x:c>
      <x:c r="B2028" s="12" t="n">
        <x:v>3872.5505</x:v>
      </x:c>
      <x:c r="C2028" s="12" t="n">
        <x:v>3907.0447</x:v>
      </x:c>
      <x:c r="D2028" s="12" t="n">
        <x:v>-0.8829</x:v>
      </x:c>
      <x:c r="E2028" s="12" t="n">
        <x:v>-0.008867923115554377</x:v>
      </x:c>
      <x:c r="F2028" s="13" t="n">
        <x:v>45623</x:v>
      </x:c>
      <x:c r="G2028" s="12" t="n">
        <x:v>2.69</x:v>
      </x:c>
      <x:c r="H2028" s="12" t="n">
        <x:v>269</x:v>
      </x:c>
      <x:c r="I2028" s="12" t="n">
        <x:v>1</x:v>
      </x:c>
      <x:c r="J2028" s="12" t="n">
        <x:v>1</x:v>
      </x:c>
    </x:row>
    <x:row r="2029" ht="18" customHeight="1">
      <x:c r="A2029" s="13" t="n">
        <x:v>45625</x:v>
      </x:c>
      <x:c r="B2029" s="12" t="n">
        <x:v>3916.5832</x:v>
      </x:c>
      <x:c r="C2029" s="12" t="n">
        <x:v>3872.5505</x:v>
      </x:c>
      <x:c r="D2029" s="12" t="n">
        <x:v>1.137</x:v>
      </x:c>
      <x:c r="E2029" s="12" t="n">
        <x:v>0.01130630716142679</x:v>
      </x:c>
      <x:c r="F2029" s="13" t="n">
        <x:v>45624</x:v>
      </x:c>
      <x:c r="G2029" s="12" t="n">
        <x:v>2.69</x:v>
      </x:c>
      <x:c r="H2029" s="12" t="n">
        <x:v>269</x:v>
      </x:c>
      <x:c r="I2029" s="12" t="n">
        <x:v>0</x:v>
      </x:c>
      <x:c r="J2029" s="12" t="n">
        <x:v>1</x:v>
      </x:c>
    </x:row>
    <x:row r="2030" ht="18" customHeight="1">
      <x:c r="A2030" s="13" t="n">
        <x:v>45628</x:v>
      </x:c>
      <x:c r="B2030" s="12" t="n">
        <x:v>3947.632</x:v>
      </x:c>
      <x:c r="C2030" s="12" t="n">
        <x:v>3916.5832</x:v>
      </x:c>
      <x:c r="D2030" s="12" t="n">
        <x:v>0.7928</x:v>
      </x:c>
      <x:c r="E2030" s="12" t="n">
        <x:v>0.007896264417277947</x:v>
      </x:c>
      <x:c r="F2030" s="13" t="n">
        <x:v>45626</x:v>
      </x:c>
      <x:c r="G2030" s="12" t="n">
        <x:v>2.74</x:v>
      </x:c>
      <x:c r="H2030" s="12" t="n">
        <x:v>274</x:v>
      </x:c>
      <x:c r="I2030" s="12" t="n">
        <x:v>2</x:v>
      </x:c>
      <x:c r="J2030" s="12" t="n">
        <x:v>2</x:v>
      </x:c>
    </x:row>
    <x:row r="2031" ht="18" customHeight="1">
      <x:c r="A2031" s="13" t="n">
        <x:v>45629</x:v>
      </x:c>
      <x:c r="B2031" s="12" t="n">
        <x:v>3951.8912</x:v>
      </x:c>
      <x:c r="C2031" s="12" t="n">
        <x:v>3947.632</x:v>
      </x:c>
      <x:c r="D2031" s="12" t="n">
        <x:v>0.1079</x:v>
      </x:c>
      <x:c r="E2031" s="12" t="n">
        <x:v>0.0010783436683179219</x:v>
      </x:c>
      <x:c r="F2031" s="13" t="n">
        <x:v>45628</x:v>
      </x:c>
      <x:c r="G2031" s="12" t="n">
        <x:v>2.68</x:v>
      </x:c>
      <x:c r="H2031" s="12" t="n">
        <x:v>268</x:v>
      </x:c>
      <x:c r="I2031" s="12" t="n">
        <x:v>-6</x:v>
      </x:c>
      <x:c r="J2031" s="12" t="n">
        <x:v>1</x:v>
      </x:c>
    </x:row>
    <x:row r="2032" ht="18" customHeight="1">
      <x:c r="A2032" s="13" t="n">
        <x:v>45630</x:v>
      </x:c>
      <x:c r="B2032" s="12" t="n">
        <x:v>3930.5568</x:v>
      </x:c>
      <x:c r="C2032" s="12" t="n">
        <x:v>3951.8912</x:v>
      </x:c>
      <x:c r="D2032" s="12" t="n">
        <x:v>-0.5399</x:v>
      </x:c>
      <x:c r="E2032" s="12" t="n">
        <x:v>-0.005413153907375518</x:v>
      </x:c>
      <x:c r="F2032" s="13" t="n">
        <x:v>45629</x:v>
      </x:c>
      <x:c r="G2032" s="12" t="n">
        <x:v>2.66</x:v>
      </x:c>
      <x:c r="H2032" s="12" t="n">
        <x:v>266</x:v>
      </x:c>
      <x:c r="I2032" s="12" t="n">
        <x:v>-2</x:v>
      </x:c>
      <x:c r="J2032" s="12" t="n">
        <x:v>1</x:v>
      </x:c>
    </x:row>
    <x:row r="2033" ht="18" customHeight="1">
      <x:c r="A2033" s="13" t="n">
        <x:v>45631</x:v>
      </x:c>
      <x:c r="B2033" s="12" t="n">
        <x:v>3921.5881</x:v>
      </x:c>
      <x:c r="C2033" s="12" t="n">
        <x:v>3930.5568</x:v>
      </x:c>
      <x:c r="D2033" s="12" t="n">
        <x:v>-0.2282</x:v>
      </x:c>
      <x:c r="E2033" s="12" t="n">
        <x:v>-0.002284395923523181</x:v>
      </x:c>
      <x:c r="F2033" s="13" t="n">
        <x:v>45630</x:v>
      </x:c>
      <x:c r="G2033" s="12" t="n">
        <x:v>2.66</x:v>
      </x:c>
      <x:c r="H2033" s="12" t="n">
        <x:v>266</x:v>
      </x:c>
      <x:c r="I2033" s="12" t="n">
        <x:v>0</x:v>
      </x:c>
      <x:c r="J2033" s="12" t="n">
        <x:v>1</x:v>
      </x:c>
    </x:row>
    <x:row r="2034" ht="18" customHeight="1">
      <x:c r="A2034" s="13" t="n">
        <x:v>45632</x:v>
      </x:c>
      <x:c r="B2034" s="12" t="n">
        <x:v>3973.1405</x:v>
      </x:c>
      <x:c r="C2034" s="12" t="n">
        <x:v>3921.5881</x:v>
      </x:c>
      <x:c r="D2034" s="12" t="n">
        <x:v>1.3146</x:v>
      </x:c>
      <x:c r="E2034" s="12" t="n">
        <x:v>0.01306014060080671</x:v>
      </x:c>
      <x:c r="F2034" s="13" t="n">
        <x:v>45631</x:v>
      </x:c>
      <x:c r="G2034" s="12" t="n">
        <x:v>2.66</x:v>
      </x:c>
      <x:c r="H2034" s="12" t="n">
        <x:v>266</x:v>
      </x:c>
      <x:c r="I2034" s="12" t="n">
        <x:v>0</x:v>
      </x:c>
      <x:c r="J2034" s="12" t="n">
        <x:v>1</x:v>
      </x:c>
    </x:row>
    <x:row r="2035" ht="18" customHeight="1">
      <x:c r="A2035" s="13" t="n">
        <x:v>45635</x:v>
      </x:c>
      <x:c r="B2035" s="12" t="n">
        <x:v>3966.5708</x:v>
      </x:c>
      <x:c r="C2035" s="12" t="n">
        <x:v>3973.1405</x:v>
      </x:c>
      <x:c r="D2035" s="12" t="n">
        <x:v>-0.1654</x:v>
      </x:c>
      <x:c r="E2035" s="12" t="n">
        <x:v>-0.001654896822094964</x:v>
      </x:c>
      <x:c r="F2035" s="13" t="n">
        <x:v>45632</x:v>
      </x:c>
      <x:c r="G2035" s="12" t="n">
        <x:v>2.67</x:v>
      </x:c>
      <x:c r="H2035" s="12" t="n">
        <x:v>267</x:v>
      </x:c>
      <x:c r="I2035" s="12" t="n">
        <x:v>1</x:v>
      </x:c>
      <x:c r="J2035" s="12" t="n">
        <x:v>3</x:v>
      </x:c>
    </x:row>
    <x:row r="2036" ht="18" customHeight="1">
      <x:c r="A2036" s="13" t="n">
        <x:v>45636</x:v>
      </x:c>
      <x:c r="B2036" s="12" t="n">
        <x:v>3995.6369</x:v>
      </x:c>
      <x:c r="C2036" s="12" t="n">
        <x:v>3966.5708</x:v>
      </x:c>
      <x:c r="D2036" s="12" t="n">
        <x:v>0.7328</x:v>
      </x:c>
      <x:c r="E2036" s="12" t="n">
        <x:v>0.007301047701793668</x:v>
      </x:c>
      <x:c r="F2036" s="13" t="n">
        <x:v>45635</x:v>
      </x:c>
      <x:c r="G2036" s="12" t="n">
        <x:v>2.67</x:v>
      </x:c>
      <x:c r="H2036" s="12" t="n">
        <x:v>267</x:v>
      </x:c>
      <x:c r="I2036" s="12" t="n">
        <x:v>0</x:v>
      </x:c>
      <x:c r="J2036" s="12" t="n">
        <x:v>1</x:v>
      </x:c>
    </x:row>
    <x:row r="2037" ht="18" customHeight="1">
      <x:c r="A2037" s="13" t="n">
        <x:v>45637</x:v>
      </x:c>
      <x:c r="B2037" s="12" t="n">
        <x:v>3988.8308</x:v>
      </x:c>
      <x:c r="C2037" s="12" t="n">
        <x:v>3995.6369</x:v>
      </x:c>
      <x:c r="D2037" s="12" t="n">
        <x:v>-0.1703</x:v>
      </x:c>
      <x:c r="E2037" s="12" t="n">
        <x:v>-0.0017048354140059756</x:v>
      </x:c>
      <x:c r="F2037" s="13" t="n">
        <x:v>45636</x:v>
      </x:c>
      <x:c r="G2037" s="12" t="n">
        <x:v>2.67</x:v>
      </x:c>
      <x:c r="H2037" s="12" t="n">
        <x:v>267</x:v>
      </x:c>
      <x:c r="I2037" s="12" t="n">
        <x:v>0</x:v>
      </x:c>
      <x:c r="J2037" s="12" t="n">
        <x:v>1</x:v>
      </x:c>
    </x:row>
    <x:row r="2038" ht="18" customHeight="1">
      <x:c r="A2038" s="13" t="n">
        <x:v>45638</x:v>
      </x:c>
      <x:c r="B2038" s="12" t="n">
        <x:v>4028.5048</x:v>
      </x:c>
      <x:c r="C2038" s="12" t="n">
        <x:v>3988.8308</x:v>
      </x:c>
      <x:c r="D2038" s="12" t="n">
        <x:v>0.9946</x:v>
      </x:c>
      <x:c r="E2038" s="12" t="n">
        <x:v>0.00989713436700924</x:v>
      </x:c>
      <x:c r="F2038" s="13" t="n">
        <x:v>45637</x:v>
      </x:c>
      <x:c r="G2038" s="12" t="n">
        <x:v>2.64</x:v>
      </x:c>
      <x:c r="H2038" s="12" t="n">
        <x:v>264</x:v>
      </x:c>
      <x:c r="I2038" s="12" t="n">
        <x:v>-3</x:v>
      </x:c>
      <x:c r="J2038" s="12" t="n">
        <x:v>1</x:v>
      </x:c>
    </x:row>
    <x:row r="2039" ht="18" customHeight="1">
      <x:c r="A2039" s="13" t="n">
        <x:v>45639</x:v>
      </x:c>
      <x:c r="B2039" s="12" t="n">
        <x:v>3933.1808</x:v>
      </x:c>
      <x:c r="C2039" s="12" t="n">
        <x:v>4028.5048</x:v>
      </x:c>
      <x:c r="D2039" s="12" t="n">
        <x:v>-2.3662</x:v>
      </x:c>
      <x:c r="E2039" s="12" t="n">
        <x:v>-0.023946827354349536</x:v>
      </x:c>
      <x:c r="F2039" s="13" t="n">
        <x:v>45638</x:v>
      </x:c>
      <x:c r="G2039" s="12" t="n">
        <x:v>2.66</x:v>
      </x:c>
      <x:c r="H2039" s="12" t="n">
        <x:v>266</x:v>
      </x:c>
      <x:c r="I2039" s="12" t="n">
        <x:v>2</x:v>
      </x:c>
      <x:c r="J2039" s="12" t="n">
        <x:v>1</x:v>
      </x:c>
    </x:row>
    <x:row r="2040" ht="18" customHeight="1">
      <x:c r="A2040" s="13" t="n">
        <x:v>45642</x:v>
      </x:c>
      <x:c r="B2040" s="12" t="n">
        <x:v>3911.8416</x:v>
      </x:c>
      <x:c r="C2040" s="12" t="n">
        <x:v>3933.1808</x:v>
      </x:c>
      <x:c r="D2040" s="12" t="n">
        <x:v>-0.5425</x:v>
      </x:c>
      <x:c r="E2040" s="12" t="n">
        <x:v>-0.005440201835291532</x:v>
      </x:c>
      <x:c r="F2040" s="13" t="n">
        <x:v>45639</x:v>
      </x:c>
      <x:c r="G2040" s="12" t="n">
        <x:v>2.68</x:v>
      </x:c>
      <x:c r="H2040" s="12" t="n">
        <x:v>268</x:v>
      </x:c>
      <x:c r="I2040" s="12" t="n">
        <x:v>2</x:v>
      </x:c>
      <x:c r="J2040" s="12" t="n">
        <x:v>3</x:v>
      </x:c>
    </x:row>
    <x:row r="2041" ht="18" customHeight="1">
      <x:c r="A2041" s="13" t="n">
        <x:v>45643</x:v>
      </x:c>
      <x:c r="B2041" s="12" t="n">
        <x:v>3922.0334</x:v>
      </x:c>
      <x:c r="C2041" s="12" t="n">
        <x:v>3911.8416</x:v>
      </x:c>
      <x:c r="D2041" s="12" t="n">
        <x:v>0.2605</x:v>
      </x:c>
      <x:c r="E2041" s="12" t="n">
        <x:v>0.002601983245875659</x:v>
      </x:c>
      <x:c r="F2041" s="13" t="n">
        <x:v>45642</x:v>
      </x:c>
      <x:c r="G2041" s="12" t="n">
        <x:v>2.69</x:v>
      </x:c>
      <x:c r="H2041" s="12" t="n">
        <x:v>269</x:v>
      </x:c>
      <x:c r="I2041" s="12" t="n">
        <x:v>1</x:v>
      </x:c>
      <x:c r="J2041" s="12" t="n">
        <x:v>1</x:v>
      </x:c>
    </x:row>
    <x:row r="2042" ht="18" customHeight="1">
      <x:c r="A2042" s="13" t="n">
        <x:v>45644</x:v>
      </x:c>
      <x:c r="B2042" s="12" t="n">
        <x:v>3941.89</x:v>
      </x:c>
      <x:c r="C2042" s="12" t="n">
        <x:v>3922.0334</x:v>
      </x:c>
      <x:c r="D2042" s="12" t="n">
        <x:v>0.5063</x:v>
      </x:c>
      <x:c r="E2042" s="12" t="n">
        <x:v>0.00505005992311564</x:v>
      </x:c>
      <x:c r="F2042" s="13" t="n">
        <x:v>45643</x:v>
      </x:c>
      <x:c r="G2042" s="12" t="n">
        <x:v>2.75</x:v>
      </x:c>
      <x:c r="H2042" s="12" t="n">
        <x:v>275</x:v>
      </x:c>
      <x:c r="I2042" s="12" t="n">
        <x:v>6</x:v>
      </x:c>
      <x:c r="J2042" s="12" t="n">
        <x:v>1</x:v>
      </x:c>
    </x:row>
    <x:row r="2043" ht="18" customHeight="1">
      <x:c r="A2043" s="13" t="n">
        <x:v>45645</x:v>
      </x:c>
      <x:c r="B2043" s="12" t="n">
        <x:v>3945.4635</x:v>
      </x:c>
      <x:c r="C2043" s="12" t="n">
        <x:v>3941.89</x:v>
      </x:c>
      <x:c r="D2043" s="12" t="n">
        <x:v>0.0907</x:v>
      </x:c>
      <x:c r="E2043" s="12" t="n">
        <x:v>0.0009061341664248782</x:v>
      </x:c>
      <x:c r="F2043" s="13" t="n">
        <x:v>45644</x:v>
      </x:c>
      <x:c r="G2043" s="12" t="n">
        <x:v>2.73</x:v>
      </x:c>
      <x:c r="H2043" s="12" t="n">
        <x:v>273</x:v>
      </x:c>
      <x:c r="I2043" s="12" t="n">
        <x:v>-2</x:v>
      </x:c>
      <x:c r="J2043" s="12" t="n">
        <x:v>1</x:v>
      </x:c>
    </x:row>
    <x:row r="2044" ht="18" customHeight="1">
      <x:c r="A2044" s="13" t="n">
        <x:v>45646</x:v>
      </x:c>
      <x:c r="B2044" s="12" t="n">
        <x:v>3927.7441</x:v>
      </x:c>
      <x:c r="C2044" s="12" t="n">
        <x:v>3945.4635</x:v>
      </x:c>
      <x:c r="D2044" s="12" t="n">
        <x:v>-0.4491</x:v>
      </x:c>
      <x:c r="E2044" s="12" t="n">
        <x:v>-0.0045011971784890865</x:v>
      </x:c>
      <x:c r="F2044" s="13" t="n">
        <x:v>45645</x:v>
      </x:c>
      <x:c r="G2044" s="12" t="n">
        <x:v>2.91</x:v>
      </x:c>
      <x:c r="H2044" s="12" t="n">
        <x:v>291</x:v>
      </x:c>
      <x:c r="I2044" s="12" t="n">
        <x:v>18</x:v>
      </x:c>
      <x:c r="J2044" s="12" t="n">
        <x:v>1</x:v>
      </x:c>
    </x:row>
    <x:row r="2045" ht="18" customHeight="1">
      <x:c r="A2045" s="13" t="n">
        <x:v>45649</x:v>
      </x:c>
      <x:c r="B2045" s="12" t="n">
        <x:v>3933.5718</x:v>
      </x:c>
      <x:c r="C2045" s="12" t="n">
        <x:v>3927.7441</x:v>
      </x:c>
      <x:c r="D2045" s="12" t="n">
        <x:v>0.1484</x:v>
      </x:c>
      <x:c r="E2045" s="12" t="n">
        <x:v>0.001482627372226493</x:v>
      </x:c>
      <x:c r="F2045" s="13" t="n">
        <x:v>45646</x:v>
      </x:c>
      <x:c r="G2045" s="12" t="n">
        <x:v>2.86</x:v>
      </x:c>
      <x:c r="H2045" s="12" t="n">
        <x:v>286</x:v>
      </x:c>
      <x:c r="I2045" s="12" t="n">
        <x:v>-5</x:v>
      </x:c>
      <x:c r="J2045" s="12" t="n">
        <x:v>3</x:v>
      </x:c>
    </x:row>
    <x:row r="2046" ht="18" customHeight="1">
      <x:c r="A2046" s="13" t="n">
        <x:v>45650</x:v>
      </x:c>
      <x:c r="B2046" s="12" t="n">
        <x:v>3983.6882</x:v>
      </x:c>
      <x:c r="C2046" s="12" t="n">
        <x:v>3933.5718</x:v>
      </x:c>
      <x:c r="D2046" s="12" t="n">
        <x:v>1.2741</x:v>
      </x:c>
      <x:c r="E2046" s="12" t="n">
        <x:v>0.012660205523026491</x:v>
      </x:c>
      <x:c r="F2046" s="13" t="n">
        <x:v>45649</x:v>
      </x:c>
      <x:c r="G2046" s="12" t="n">
        <x:v>2.85</x:v>
      </x:c>
      <x:c r="H2046" s="12" t="n">
        <x:v>285</x:v>
      </x:c>
      <x:c r="I2046" s="12" t="n">
        <x:v>-1</x:v>
      </x:c>
      <x:c r="J2046" s="12" t="n">
        <x:v>1</x:v>
      </x:c>
    </x:row>
    <x:row r="2047" ht="18" customHeight="1">
      <x:c r="A2047" s="13" t="n">
        <x:v>45651</x:v>
      </x:c>
      <x:c r="B2047" s="12" t="n">
        <x:v>3985.6291</x:v>
      </x:c>
      <x:c r="C2047" s="12" t="n">
        <x:v>3983.6882</x:v>
      </x:c>
      <x:c r="D2047" s="12" t="n">
        <x:v>0.0487</x:v>
      </x:c>
      <x:c r="E2047" s="12" t="n">
        <x:v>0.0004870931763189178</x:v>
      </x:c>
      <x:c r="F2047" s="13" t="n">
        <x:v>45650</x:v>
      </x:c>
      <x:c r="G2047" s="12" t="n">
        <x:v>2.86</x:v>
      </x:c>
      <x:c r="H2047" s="12" t="n">
        <x:v>286</x:v>
      </x:c>
      <x:c r="I2047" s="12" t="n">
        <x:v>1</x:v>
      </x:c>
      <x:c r="J2047" s="12" t="n">
        <x:v>1</x:v>
      </x:c>
    </x:row>
    <x:row r="2048" ht="18" customHeight="1">
      <x:c r="A2048" s="13" t="n">
        <x:v>45652</x:v>
      </x:c>
      <x:c r="B2048" s="12" t="n">
        <x:v>3987.4801</x:v>
      </x:c>
      <x:c r="C2048" s="12" t="n">
        <x:v>3985.6291</x:v>
      </x:c>
      <x:c r="D2048" s="12" t="n">
        <x:v>0.0464</x:v>
      </x:c>
      <x:c r="E2048" s="12" t="n">
        <x:v>0.00046431071914930863</x:v>
      </x:c>
      <x:c r="F2048" s="13" t="n">
        <x:v>45650</x:v>
      </x:c>
      <x:c r="G2048" s="12" t="n">
        <x:v>2.86</x:v>
      </x:c>
      <x:c r="H2048" s="12" t="n">
        <x:v>286</x:v>
      </x:c>
      <x:c r="I2048" s="12" t="n">
        <x:v>1</x:v>
      </x:c>
      <x:c r="J2048" s="12" t="n">
        <x:v>2</x:v>
      </x:c>
    </x:row>
    <x:row r="2049" ht="18" customHeight="1">
      <x:c r="A2049" s="13" t="n">
        <x:v>45653</x:v>
      </x:c>
      <x:c r="B2049" s="12" t="n">
        <x:v>3981.0307</x:v>
      </x:c>
      <x:c r="C2049" s="12" t="n">
        <x:v>3987.4801</x:v>
      </x:c>
      <x:c r="D2049" s="12" t="n">
        <x:v>-0.1617</x:v>
      </x:c>
      <x:c r="E2049" s="12" t="n">
        <x:v>-0.0016187218842093583</x:v>
      </x:c>
      <x:c r="F2049" s="13" t="n">
        <x:v>45652</x:v>
      </x:c>
      <x:c r="G2049" s="12" t="n">
        <x:v>2.86</x:v>
      </x:c>
      <x:c r="H2049" s="12" t="n">
        <x:v>286</x:v>
      </x:c>
      <x:c r="I2049" s="12" t="n">
        <x:v>0</x:v>
      </x:c>
      <x:c r="J2049" s="12" t="n">
        <x:v>1</x:v>
      </x:c>
    </x:row>
    <x:row r="2050" ht="18" customHeight="1">
      <x:c r="A2050" s="13" t="n">
        <x:v>45656</x:v>
      </x:c>
      <x:c r="B2050" s="12" t="n">
        <x:v>3999.0549</x:v>
      </x:c>
      <x:c r="C2050" s="12" t="n">
        <x:v>3981.0307</x:v>
      </x:c>
      <x:c r="D2050" s="12" t="n">
        <x:v>0.4528</x:v>
      </x:c>
      <x:c r="E2050" s="12" t="n">
        <x:v>0.004517302583865979</x:v>
      </x:c>
      <x:c r="F2050" s="13" t="n">
        <x:v>45653</x:v>
      </x:c>
      <x:c r="G2050" s="12" t="n">
        <x:v>2.84</x:v>
      </x:c>
      <x:c r="H2050" s="12" t="n">
        <x:v>284</x:v>
      </x:c>
      <x:c r="I2050" s="12" t="n">
        <x:v>-2</x:v>
      </x:c>
      <x:c r="J2050" s="12" t="n">
        <x:v>3</x:v>
      </x:c>
    </x:row>
    <x:row r="2051" ht="18" customHeight="1">
      <x:c r="A2051" s="13" t="n">
        <x:v>45657</x:v>
      </x:c>
      <x:c r="B2051" s="12" t="n">
        <x:v>3934.9109</x:v>
      </x:c>
      <x:c r="C2051" s="12" t="n">
        <x:v>3999.0549</x:v>
      </x:c>
      <x:c r="D2051" s="12" t="n">
        <x:v>-1.604</x:v>
      </x:c>
      <x:c r="E2051" s="12" t="n">
        <x:v>-0.01616981953744762</x:v>
      </x:c>
      <x:c r="F2051" s="13" t="n">
        <x:v>45656</x:v>
      </x:c>
      <x:c r="G2051" s="12" t="n">
        <x:v>2.94</x:v>
      </x:c>
      <x:c r="H2051" s="12" t="n">
        <x:v>294</x:v>
      </x:c>
      <x:c r="I2051" s="12" t="n">
        <x:v>10</x:v>
      </x:c>
      <x:c r="J2051" s="12" t="n">
        <x:v>1</x:v>
      </x:c>
    </x:row>
    <x:row r="2052" ht="18" customHeight="1">
      <x:c r="A2052" s="13" t="n">
        <x:v>45659</x:v>
      </x:c>
      <x:c r="B2052" s="12" t="n">
        <x:v>3820.3952</x:v>
      </x:c>
      <x:c r="C2052" s="12" t="n">
        <x:v>3934.9109</x:v>
      </x:c>
      <x:c r="D2052" s="12" t="n">
        <x:v>-2.9102</x:v>
      </x:c>
      <x:c r="E2052" s="12" t="n">
        <x:v>-0.02953436590039252</x:v>
      </x:c>
      <x:c r="F2052" s="13" t="n">
        <x:v>45657</x:v>
      </x:c>
      <x:c r="G2052" s="12" t="n">
        <x:v>2.92</x:v>
      </x:c>
      <x:c r="H2052" s="12" t="n">
        <x:v>292</x:v>
      </x:c>
      <x:c r="I2052" s="12" t="n">
        <x:v>-2</x:v>
      </x:c>
      <x:c r="J2052" s="12" t="n">
        <x:v>2</x:v>
      </x:c>
    </x:row>
    <x:row r="2053" ht="18" customHeight="1">
      <x:c r="A2053" s="13" t="n">
        <x:v>45660</x:v>
      </x:c>
      <x:c r="B2053" s="12" t="n">
        <x:v>3775.1648</x:v>
      </x:c>
      <x:c r="C2053" s="12" t="n">
        <x:v>3820.3952</x:v>
      </x:c>
      <x:c r="D2053" s="12" t="n">
        <x:v>-1.1839</x:v>
      </x:c>
      <x:c r="E2053" s="12" t="n">
        <x:v>-0.011909835387467288</x:v>
      </x:c>
      <x:c r="F2053" s="13" t="n">
        <x:v>45659</x:v>
      </x:c>
      <x:c r="G2053" s="12" t="n">
        <x:v>2.88</x:v>
      </x:c>
      <x:c r="H2053" s="12" t="n">
        <x:v>288</x:v>
      </x:c>
      <x:c r="I2053" s="12" t="n">
        <x:v>-4</x:v>
      </x:c>
      <x:c r="J2053" s="12" t="n">
        <x:v>1</x:v>
      </x:c>
    </x:row>
    <x:row r="2054" ht="18" customHeight="1">
      <x:c r="A2054" s="13" t="n">
        <x:v>45663</x:v>
      </x:c>
      <x:c r="B2054" s="12" t="n">
        <x:v>3768.9697</x:v>
      </x:c>
      <x:c r="C2054" s="12" t="n">
        <x:v>3775.1648</x:v>
      </x:c>
      <x:c r="D2054" s="12" t="n">
        <x:v>-0.1641</x:v>
      </x:c>
      <x:c r="E2054" s="12" t="n">
        <x:v>-0.001642362392274843</x:v>
      </x:c>
      <x:c r="F2054" s="13" t="n">
        <x:v>45660</x:v>
      </x:c>
      <x:c r="G2054" s="12" t="n">
        <x:v>2.81</x:v>
      </x:c>
      <x:c r="H2054" s="12" t="n">
        <x:v>281</x:v>
      </x:c>
      <x:c r="I2054" s="12" t="n">
        <x:v>-7</x:v>
      </x:c>
      <x:c r="J2054" s="12" t="n">
        <x:v>3</x:v>
      </x:c>
    </x:row>
    <x:row r="2055" ht="18" customHeight="1">
      <x:c r="A2055" s="13" t="n">
        <x:v>45664</x:v>
      </x:c>
      <x:c r="B2055" s="12" t="n">
        <x:v>3796.1055</x:v>
      </x:c>
      <x:c r="C2055" s="12" t="n">
        <x:v>3768.9697</x:v>
      </x:c>
      <x:c r="D2055" s="12" t="n">
        <x:v>0.72</x:v>
      </x:c>
      <x:c r="E2055" s="12" t="n">
        <x:v>0.00717399778957275</x:v>
      </x:c>
      <x:c r="F2055" s="13" t="n">
        <x:v>45663</x:v>
      </x:c>
      <x:c r="G2055" s="12" t="n">
        <x:v>2.76</x:v>
      </x:c>
      <x:c r="H2055" s="12" t="n">
        <x:v>276</x:v>
      </x:c>
      <x:c r="I2055" s="12" t="n">
        <x:v>-5</x:v>
      </x:c>
      <x:c r="J2055" s="12" t="n">
        <x:v>1</x:v>
      </x:c>
    </x:row>
    <x:row r="2056" ht="18" customHeight="1">
      <x:c r="A2056" s="13" t="n">
        <x:v>45665</x:v>
      </x:c>
      <x:c r="B2056" s="12" t="n">
        <x:v>3789.2153</x:v>
      </x:c>
      <x:c r="C2056" s="12" t="n">
        <x:v>3796.1055</x:v>
      </x:c>
      <x:c r="D2056" s="12" t="n">
        <x:v>-0.1815</x:v>
      </x:c>
      <x:c r="E2056" s="12" t="n">
        <x:v>-0.0018167199718371108</x:v>
      </x:c>
      <x:c r="F2056" s="13" t="n">
        <x:v>45664</x:v>
      </x:c>
      <x:c r="G2056" s="12" t="n">
        <x:v>2.79</x:v>
      </x:c>
      <x:c r="H2056" s="12" t="n">
        <x:v>279</x:v>
      </x:c>
      <x:c r="I2056" s="12" t="n">
        <x:v>3</x:v>
      </x:c>
      <x:c r="J2056" s="12" t="n">
        <x:v>1</x:v>
      </x:c>
    </x:row>
    <x:row r="2057" ht="18" customHeight="1">
      <x:c r="A2057" s="13" t="n">
        <x:v>45666</x:v>
      </x:c>
      <x:c r="B2057" s="12" t="n">
        <x:v>3779.8773</x:v>
      </x:c>
      <x:c r="C2057" s="12" t="n">
        <x:v>3789.2153</x:v>
      </x:c>
      <x:c r="D2057" s="12" t="n">
        <x:v>-0.2464</x:v>
      </x:c>
      <x:c r="E2057" s="12" t="n">
        <x:v>-0.002467404015520258</x:v>
      </x:c>
      <x:c r="F2057" s="13" t="n">
        <x:v>45665</x:v>
      </x:c>
      <x:c r="G2057" s="12" t="n">
        <x:v>2.84</x:v>
      </x:c>
      <x:c r="H2057" s="12" t="n">
        <x:v>284</x:v>
      </x:c>
      <x:c r="I2057" s="12" t="n">
        <x:v>5</x:v>
      </x:c>
      <x:c r="J2057" s="12" t="n">
        <x:v>1</x:v>
      </x:c>
    </x:row>
    <x:row r="2058" ht="18" customHeight="1">
      <x:c r="A2058" s="13" t="n">
        <x:v>45667</x:v>
      </x:c>
      <x:c r="B2058" s="12" t="n">
        <x:v>3732.4806</x:v>
      </x:c>
      <x:c r="C2058" s="12" t="n">
        <x:v>3779.8773</x:v>
      </x:c>
      <x:c r="D2058" s="12" t="n">
        <x:v>-1.2539</x:v>
      </x:c>
      <x:c r="E2058" s="12" t="n">
        <x:v>-0.012618495958235146</x:v>
      </x:c>
      <x:c r="F2058" s="13" t="n">
        <x:v>45666</x:v>
      </x:c>
      <x:c r="G2058" s="12" t="n">
        <x:v>2.82</x:v>
      </x:c>
      <x:c r="H2058" s="12" t="n">
        <x:v>282</x:v>
      </x:c>
      <x:c r="I2058" s="12" t="n">
        <x:v>-2</x:v>
      </x:c>
      <x:c r="J2058" s="12" t="n">
        <x:v>1</x:v>
      </x:c>
    </x:row>
    <x:row r="2059" ht="18" customHeight="1">
      <x:c r="A2059" s="13" t="n">
        <x:v>45670</x:v>
      </x:c>
      <x:c r="B2059" s="12" t="n">
        <x:v>3722.513</x:v>
      </x:c>
      <x:c r="C2059" s="12" t="n">
        <x:v>3732.4806</x:v>
      </x:c>
      <x:c r="D2059" s="12" t="n">
        <x:v>-0.2671</x:v>
      </x:c>
      <x:c r="E2059" s="12" t="n">
        <x:v>-0.002674074982328549</x:v>
      </x:c>
      <x:c r="F2059" s="13" t="n">
        <x:v>45667</x:v>
      </x:c>
      <x:c r="G2059" s="12" t="n">
        <x:v>2.81</x:v>
      </x:c>
      <x:c r="H2059" s="12" t="n">
        <x:v>281</x:v>
      </x:c>
      <x:c r="I2059" s="12" t="n">
        <x:v>-1</x:v>
      </x:c>
      <x:c r="J2059" s="12" t="n">
        <x:v>3</x:v>
      </x:c>
    </x:row>
    <x:row r="2060" ht="18" customHeight="1">
      <x:c r="A2060" s="13" t="n">
        <x:v>45671</x:v>
      </x:c>
      <x:c r="B2060" s="12" t="n">
        <x:v>3820.5395</x:v>
      </x:c>
      <x:c r="C2060" s="12" t="n">
        <x:v>3722.513</x:v>
      </x:c>
      <x:c r="D2060" s="12" t="n">
        <x:v>2.6333</x:v>
      </x:c>
      <x:c r="E2060" s="12" t="n">
        <x:v>0.025992665166281924</x:v>
      </x:c>
      <x:c r="F2060" s="13" t="n">
        <x:v>45670</x:v>
      </x:c>
      <x:c r="G2060" s="12" t="n">
        <x:v>2.85</x:v>
      </x:c>
      <x:c r="H2060" s="12" t="n">
        <x:v>285</x:v>
      </x:c>
      <x:c r="I2060" s="12" t="n">
        <x:v>4</x:v>
      </x:c>
      <x:c r="J2060" s="12" t="n">
        <x:v>1</x:v>
      </x:c>
    </x:row>
    <x:row r="2061" ht="18" customHeight="1">
      <x:c r="A2061" s="13" t="n">
        <x:v>45672</x:v>
      </x:c>
      <x:c r="B2061" s="12" t="n">
        <x:v>3796.026</x:v>
      </x:c>
      <x:c r="C2061" s="12" t="n">
        <x:v>3820.5395</x:v>
      </x:c>
      <x:c r="D2061" s="12" t="n">
        <x:v>-0.6416</x:v>
      </x:c>
      <x:c r="E2061" s="12" t="n">
        <x:v>-0.00643691297361315</x:v>
      </x:c>
      <x:c r="F2061" s="13" t="n">
        <x:v>45671</x:v>
      </x:c>
      <x:c r="G2061" s="12" t="n">
        <x:v>2.8</x:v>
      </x:c>
      <x:c r="H2061" s="12" t="n">
        <x:v>280</x:v>
      </x:c>
      <x:c r="I2061" s="12" t="n">
        <x:v>-5</x:v>
      </x:c>
      <x:c r="J2061" s="12" t="n">
        <x:v>1</x:v>
      </x:c>
    </x:row>
    <x:row r="2062" ht="18" customHeight="1">
      <x:c r="A2062" s="13" t="n">
        <x:v>45673</x:v>
      </x:c>
      <x:c r="B2062" s="12" t="n">
        <x:v>3800.3836</x:v>
      </x:c>
      <x:c r="C2062" s="12" t="n">
        <x:v>3796.026</x:v>
      </x:c>
      <x:c r="D2062" s="12" t="n">
        <x:v>0.1148</x:v>
      </x:c>
      <x:c r="E2062" s="12" t="n">
        <x:v>0.001147278966625117</x:v>
      </x:c>
      <x:c r="F2062" s="13" t="n">
        <x:v>45672</x:v>
      </x:c>
      <x:c r="G2062" s="12" t="n">
        <x:v>2.72</x:v>
      </x:c>
      <x:c r="H2062" s="12" t="n">
        <x:v>272</x:v>
      </x:c>
      <x:c r="I2062" s="12" t="n">
        <x:v>-8</x:v>
      </x:c>
      <x:c r="J2062" s="12" t="n">
        <x:v>1</x:v>
      </x:c>
    </x:row>
    <x:row r="2063" ht="18" customHeight="1">
      <x:c r="A2063" s="13" t="n">
        <x:v>45674</x:v>
      </x:c>
      <x:c r="B2063" s="12" t="n">
        <x:v>3812.3429</x:v>
      </x:c>
      <x:c r="C2063" s="12" t="n">
        <x:v>3800.3836</x:v>
      </x:c>
      <x:c r="D2063" s="12" t="n">
        <x:v>0.3147</x:v>
      </x:c>
      <x:c r="E2063" s="12" t="n">
        <x:v>0.0031419255212209417</x:v>
      </x:c>
      <x:c r="F2063" s="13" t="n">
        <x:v>45673</x:v>
      </x:c>
      <x:c r="G2063" s="12" t="n">
        <x:v>2.73</x:v>
      </x:c>
      <x:c r="H2063" s="12" t="n">
        <x:v>273</x:v>
      </x:c>
      <x:c r="I2063" s="12" t="n">
        <x:v>1</x:v>
      </x:c>
      <x:c r="J2063" s="12" t="n">
        <x:v>1</x:v>
      </x:c>
    </x:row>
    <x:row r="2064" ht="18" customHeight="1">
      <x:c r="A2064" s="13" t="n">
        <x:v>45677</x:v>
      </x:c>
      <x:c r="B2064" s="12" t="n">
        <x:v>3829.6764</x:v>
      </x:c>
      <x:c r="C2064" s="12" t="n">
        <x:v>3812.3429</x:v>
      </x:c>
      <x:c r="D2064" s="12" t="n">
        <x:v>0.4547</x:v>
      </x:c>
      <x:c r="E2064" s="12" t="n">
        <x:v>0.004536374234242288</x:v>
      </x:c>
      <x:c r="F2064" s="13" t="n">
        <x:v>45674</x:v>
      </x:c>
      <x:c r="G2064" s="12" t="n">
        <x:v>2.64</x:v>
      </x:c>
      <x:c r="H2064" s="12" t="n">
        <x:v>264</x:v>
      </x:c>
      <x:c r="I2064" s="12" t="n">
        <x:v>-9</x:v>
      </x:c>
      <x:c r="J2064" s="12" t="n">
        <x:v>3</x:v>
      </x:c>
    </x:row>
    <x:row r="2065" ht="18" customHeight="1">
      <x:c r="A2065" s="13" t="n">
        <x:v>45678</x:v>
      </x:c>
      <x:c r="B2065" s="12" t="n">
        <x:v>3832.6145</x:v>
      </x:c>
      <x:c r="C2065" s="12" t="n">
        <x:v>3829.6764</x:v>
      </x:c>
      <x:c r="D2065" s="12" t="n">
        <x:v>0.0767</x:v>
      </x:c>
      <x:c r="E2065" s="12" t="n">
        <x:v>0.0007668986161828065</x:v>
      </x:c>
      <x:c r="F2065" s="13" t="n">
        <x:v>45677</x:v>
      </x:c>
      <x:c r="G2065" s="12" t="n">
        <x:v>2.64</x:v>
      </x:c>
      <x:c r="H2065" s="12" t="n">
        <x:v>264</x:v>
      </x:c>
      <x:c r="I2065" s="12" t="n">
        <x:v>0</x:v>
      </x:c>
      <x:c r="J2065" s="12" t="n">
        <x:v>1</x:v>
      </x:c>
    </x:row>
    <x:row r="2066" ht="18" customHeight="1">
      <x:c r="A2066" s="13" t="n">
        <x:v>45679</x:v>
      </x:c>
      <x:c r="B2066" s="12" t="n">
        <x:v>3797.0166</x:v>
      </x:c>
      <x:c r="C2066" s="12" t="n">
        <x:v>3832.6145</x:v>
      </x:c>
      <x:c r="D2066" s="12" t="n">
        <x:v>-0.9288</x:v>
      </x:c>
      <x:c r="E2066" s="12" t="n">
        <x:v>-0.009331554264925018</x:v>
      </x:c>
      <x:c r="F2066" s="13" t="n">
        <x:v>45678</x:v>
      </x:c>
      <x:c r="G2066" s="12" t="n">
        <x:v>2.61</x:v>
      </x:c>
      <x:c r="H2066" s="12" t="n">
        <x:v>261</x:v>
      </x:c>
      <x:c r="I2066" s="12" t="n">
        <x:v>-3</x:v>
      </x:c>
      <x:c r="J2066" s="12" t="n">
        <x:v>1</x:v>
      </x:c>
    </x:row>
    <x:row r="2067" ht="18" customHeight="1">
      <x:c r="A2067" s="13" t="n">
        <x:v>45680</x:v>
      </x:c>
      <x:c r="B2067" s="12" t="n">
        <x:v>3803.7439</x:v>
      </x:c>
      <x:c r="C2067" s="12" t="n">
        <x:v>3797.0166</x:v>
      </x:c>
      <x:c r="D2067" s="12" t="n">
        <x:v>0.1772</x:v>
      </x:c>
      <x:c r="E2067" s="12" t="n">
        <x:v>0.0017701654345399053</x:v>
      </x:c>
      <x:c r="F2067" s="13" t="n">
        <x:v>45679</x:v>
      </x:c>
      <x:c r="G2067" s="12" t="n">
        <x:v>2.59</x:v>
      </x:c>
      <x:c r="H2067" s="12" t="n">
        <x:v>259</x:v>
      </x:c>
      <x:c r="I2067" s="12" t="n">
        <x:v>-2</x:v>
      </x:c>
      <x:c r="J2067" s="12" t="n">
        <x:v>1</x:v>
      </x:c>
    </x:row>
    <x:row r="2068" ht="18" customHeight="1">
      <x:c r="A2068" s="13" t="n">
        <x:v>45681</x:v>
      </x:c>
      <x:c r="B2068" s="12" t="n">
        <x:v>3832.8637</x:v>
      </x:c>
      <x:c r="C2068" s="12" t="n">
        <x:v>3803.7439</x:v>
      </x:c>
      <x:c r="D2068" s="12" t="n">
        <x:v>0.7656</x:v>
      </x:c>
      <x:c r="E2068" s="12" t="n">
        <x:v>0.007626407605101042</x:v>
      </x:c>
      <x:c r="F2068" s="13" t="n">
        <x:v>45680</x:v>
      </x:c>
      <x:c r="G2068" s="12" t="n">
        <x:v>2.61</x:v>
      </x:c>
      <x:c r="H2068" s="12" t="n">
        <x:v>261</x:v>
      </x:c>
      <x:c r="I2068" s="12" t="n">
        <x:v>2</x:v>
      </x:c>
      <x:c r="J2068" s="12" t="n">
        <x:v>1</x:v>
      </x:c>
    </x:row>
    <x:row r="2069" ht="18" customHeight="1">
      <x:c r="A2069" s="13" t="n">
        <x:v>45684</x:v>
      </x:c>
      <x:c r="B2069" s="12" t="n">
        <x:v>3817.0802</x:v>
      </x:c>
      <x:c r="C2069" s="12" t="n">
        <x:v>3832.8637</x:v>
      </x:c>
      <x:c r="D2069" s="12" t="n">
        <x:v>-0.4118</x:v>
      </x:c>
      <x:c r="E2069" s="12" t="n">
        <x:v>-0.004126441344529745</x:v>
      </x:c>
      <x:c r="F2069" s="13" t="n">
        <x:v>45681</x:v>
      </x:c>
      <x:c r="G2069" s="12" t="n">
        <x:v>2.6</x:v>
      </x:c>
      <x:c r="H2069" s="12" t="n">
        <x:v>260</x:v>
      </x:c>
      <x:c r="I2069" s="12" t="n">
        <x:v>-1</x:v>
      </x:c>
      <x:c r="J2069" s="12" t="n">
        <x:v>3</x:v>
      </x:c>
    </x:row>
    <x:row r="2070" ht="18" customHeight="1">
      <x:c r="A2070" s="13" t="n">
        <x:v>45693</x:v>
      </x:c>
      <x:c r="B2070" s="12" t="n">
        <x:v>3795.0848</x:v>
      </x:c>
      <x:c r="C2070" s="12" t="n">
        <x:v>3817.0802</x:v>
      </x:c>
      <x:c r="D2070" s="12" t="n">
        <x:v>-0.5762</x:v>
      </x:c>
      <x:c r="E2070" s="12" t="n">
        <x:v>-0.005779029018766741</x:v>
      </x:c>
      <x:c r="F2070" s="13" t="n">
        <x:v>45692</x:v>
      </x:c>
      <x:c r="G2070" s="12" t="n">
        <x:v>2.71</x:v>
      </x:c>
      <x:c r="H2070" s="12" t="n">
        <x:v>271</x:v>
      </x:c>
      <x:c r="I2070" s="12" t="n">
        <x:v>-2</x:v>
      </x:c>
      <x:c r="J2070" s="12" t="n">
        <x:v>1</x:v>
      </x:c>
    </x:row>
    <x:row r="2071" ht="18" customHeight="1">
      <x:c r="A2071" s="13" t="n">
        <x:v>45694</x:v>
      </x:c>
      <x:c r="B2071" s="12" t="n">
        <x:v>3842.8314</x:v>
      </x:c>
      <x:c r="C2071" s="12" t="n">
        <x:v>3795.0848</x:v>
      </x:c>
      <x:c r="D2071" s="12" t="n">
        <x:v>1.2581</x:v>
      </x:c>
      <x:c r="E2071" s="12" t="n">
        <x:v>0.012502682856300004</x:v>
      </x:c>
      <x:c r="F2071" s="13" t="n">
        <x:v>45693</x:v>
      </x:c>
      <x:c r="G2071" s="12" t="n">
        <x:v>2.69</x:v>
      </x:c>
      <x:c r="H2071" s="12" t="n">
        <x:v>269</x:v>
      </x:c>
      <x:c r="I2071" s="12" t="n">
        <x:v>-2</x:v>
      </x:c>
      <x:c r="J2071" s="12" t="n">
        <x:v>1</x:v>
      </x:c>
    </x:row>
    <x:row r="2072" ht="18" customHeight="1">
      <x:c r="A2072" s="13" t="n">
        <x:v>45695</x:v>
      </x:c>
      <x:c r="B2072" s="12" t="n">
        <x:v>3892.7028</x:v>
      </x:c>
      <x:c r="C2072" s="12" t="n">
        <x:v>3842.8314</x:v>
      </x:c>
      <x:c r="D2072" s="12" t="n">
        <x:v>1.2978</x:v>
      </x:c>
      <x:c r="E2072" s="12" t="n">
        <x:v>0.012894284916242608</x:v>
      </x:c>
      <x:c r="F2072" s="13" t="n">
        <x:v>45694</x:v>
      </x:c>
      <x:c r="G2072" s="12" t="n">
        <x:v>2.66</x:v>
      </x:c>
      <x:c r="H2072" s="12" t="n">
        <x:v>266</x:v>
      </x:c>
      <x:c r="I2072" s="12" t="n">
        <x:v>-3</x:v>
      </x:c>
      <x:c r="J2072" s="12" t="n">
        <x:v>1</x:v>
      </x:c>
    </x:row>
    <x:row r="2073" ht="18" customHeight="1">
      <x:c r="A2073" s="13" t="n">
        <x:v>45698</x:v>
      </x:c>
      <x:c r="B2073" s="12" t="n">
        <x:v>3901.0618</x:v>
      </x:c>
      <x:c r="C2073" s="12" t="n">
        <x:v>3892.7028</x:v>
      </x:c>
      <x:c r="D2073" s="12" t="n">
        <x:v>0.2147</x:v>
      </x:c>
      <x:c r="E2073" s="12" t="n">
        <x:v>0.0021450489292795475</x:v>
      </x:c>
      <x:c r="F2073" s="13" t="n">
        <x:v>45695</x:v>
      </x:c>
      <x:c r="G2073" s="12" t="n">
        <x:v>2.67</x:v>
      </x:c>
      <x:c r="H2073" s="12" t="n">
        <x:v>267</x:v>
      </x:c>
      <x:c r="I2073" s="12" t="n">
        <x:v>1</x:v>
      </x:c>
      <x:c r="J2073" s="12" t="n">
        <x:v>3</x:v>
      </x:c>
    </x:row>
    <x:row r="2074" ht="18" customHeight="1">
      <x:c r="A2074" s="13" t="n">
        <x:v>45699</x:v>
      </x:c>
      <x:c r="B2074" s="12" t="n">
        <x:v>3883.1352</x:v>
      </x:c>
      <x:c r="C2074" s="12" t="n">
        <x:v>3901.0618</x:v>
      </x:c>
      <x:c r="D2074" s="12" t="n">
        <x:v>-0.4595</x:v>
      </x:c>
      <x:c r="E2074" s="12" t="n">
        <x:v>-0.004605903908072592</x:v>
      </x:c>
      <x:c r="F2074" s="13" t="n">
        <x:v>45698</x:v>
      </x:c>
      <x:c r="G2074" s="12" t="n">
        <x:v>2.66</x:v>
      </x:c>
      <x:c r="H2074" s="12" t="n">
        <x:v>266</x:v>
      </x:c>
      <x:c r="I2074" s="12" t="n">
        <x:v>-1</x:v>
      </x:c>
      <x:c r="J2074" s="12" t="n">
        <x:v>1</x:v>
      </x:c>
    </x:row>
    <x:row r="2075" ht="18" customHeight="1">
      <x:c r="A2075" s="13" t="n">
        <x:v>45700</x:v>
      </x:c>
      <x:c r="B2075" s="12" t="n">
        <x:v>3919.8617</x:v>
      </x:c>
      <x:c r="C2075" s="12" t="n">
        <x:v>3883.1352</x:v>
      </x:c>
      <x:c r="D2075" s="12" t="n">
        <x:v>0.9458</x:v>
      </x:c>
      <x:c r="E2075" s="12" t="n">
        <x:v>0.009413503985017354</x:v>
      </x:c>
      <x:c r="F2075" s="13" t="n">
        <x:v>45699</x:v>
      </x:c>
      <x:c r="G2075" s="12" t="n">
        <x:v>2.66</x:v>
      </x:c>
      <x:c r="H2075" s="12" t="n">
        <x:v>266</x:v>
      </x:c>
      <x:c r="I2075" s="12" t="n">
        <x:v>0</x:v>
      </x:c>
      <x:c r="J2075" s="12" t="n">
        <x:v>1</x:v>
      </x:c>
    </x:row>
    <x:row r="2076" ht="18" customHeight="1">
      <x:c r="A2076" s="13" t="n">
        <x:v>45701</x:v>
      </x:c>
      <x:c r="B2076" s="12" t="n">
        <x:v>3905.1398</x:v>
      </x:c>
      <x:c r="C2076" s="12" t="n">
        <x:v>3919.8617</x:v>
      </x:c>
      <x:c r="D2076" s="12" t="n">
        <x:v>-0.3756</x:v>
      </x:c>
      <x:c r="E2076" s="12" t="n">
        <x:v>-0.0037627896608334837</x:v>
      </x:c>
      <x:c r="F2076" s="13" t="n">
        <x:v>45700</x:v>
      </x:c>
      <x:c r="G2076" s="12" t="n">
        <x:v>2.65</x:v>
      </x:c>
      <x:c r="H2076" s="12" t="n">
        <x:v>265</x:v>
      </x:c>
      <x:c r="I2076" s="12" t="n">
        <x:v>-1</x:v>
      </x:c>
      <x:c r="J2076" s="12" t="n">
        <x:v>1</x:v>
      </x:c>
    </x:row>
    <x:row r="2077" ht="18" customHeight="1">
      <x:c r="A2077" s="13" t="n">
        <x:v>45702</x:v>
      </x:c>
      <x:c r="B2077" s="12" t="n">
        <x:v>3939.0085</x:v>
      </x:c>
      <x:c r="C2077" s="12" t="n">
        <x:v>3905.1398</x:v>
      </x:c>
      <x:c r="D2077" s="12" t="n">
        <x:v>0.8673</x:v>
      </x:c>
      <x:c r="E2077" s="12" t="n">
        <x:v>0.008635458987621738</x:v>
      </x:c>
      <x:c r="F2077" s="13" t="n">
        <x:v>45701</x:v>
      </x:c>
      <x:c r="G2077" s="12" t="n">
        <x:v>2.65</x:v>
      </x:c>
      <x:c r="H2077" s="12" t="n">
        <x:v>265</x:v>
      </x:c>
      <x:c r="I2077" s="12" t="n">
        <x:v>0</x:v>
      </x:c>
      <x:c r="J2077" s="12" t="n">
        <x:v>1</x:v>
      </x:c>
    </x:row>
    <x:row r="2078" ht="18" customHeight="1">
      <x:c r="A2078" s="13" t="n">
        <x:v>45705</x:v>
      </x:c>
      <x:c r="B2078" s="12" t="n">
        <x:v>3947.3983</x:v>
      </x:c>
      <x:c r="C2078" s="12" t="n">
        <x:v>3939.0085</x:v>
      </x:c>
      <x:c r="D2078" s="12" t="n">
        <x:v>0.213</x:v>
      </x:c>
      <x:c r="E2078" s="12" t="n">
        <x:v>0.002127661780017049</x:v>
      </x:c>
      <x:c r="F2078" s="13" t="n">
        <x:v>45702</x:v>
      </x:c>
      <x:c r="G2078" s="12" t="n">
        <x:v>2.62</x:v>
      </x:c>
      <x:c r="H2078" s="12" t="n">
        <x:v>262</x:v>
      </x:c>
      <x:c r="I2078" s="12" t="n">
        <x:v>-3</x:v>
      </x:c>
      <x:c r="J2078" s="12" t="n">
        <x:v>3</x:v>
      </x:c>
    </x:row>
    <x:row r="2079" ht="18" customHeight="1">
      <x:c r="A2079" s="13" t="n">
        <x:v>45706</x:v>
      </x:c>
      <x:c r="B2079" s="12" t="n">
        <x:v>3912.7829</x:v>
      </x:c>
      <x:c r="C2079" s="12" t="n">
        <x:v>3947.3983</x:v>
      </x:c>
      <x:c r="D2079" s="12" t="n">
        <x:v>-0.8769</x:v>
      </x:c>
      <x:c r="E2079" s="12" t="n">
        <x:v>-0.008807843713023247</x:v>
      </x:c>
      <x:c r="F2079" s="13" t="n">
        <x:v>45705</x:v>
      </x:c>
      <x:c r="G2079" s="12" t="n">
        <x:v>2.62</x:v>
      </x:c>
      <x:c r="H2079" s="12" t="n">
        <x:v>262</x:v>
      </x:c>
      <x:c r="I2079" s="12" t="n">
        <x:v>0</x:v>
      </x:c>
      <x:c r="J2079" s="12" t="n">
        <x:v>1</x:v>
      </x:c>
    </x:row>
    <x:row r="2080" ht="18" customHeight="1">
      <x:c r="A2080" s="13" t="n">
        <x:v>45707</x:v>
      </x:c>
      <x:c r="B2080" s="12" t="n">
        <x:v>3940.1602</x:v>
      </x:c>
      <x:c r="C2080" s="12" t="n">
        <x:v>3912.7829</x:v>
      </x:c>
      <x:c r="D2080" s="12" t="n">
        <x:v>0.6997</x:v>
      </x:c>
      <x:c r="E2080" s="12" t="n">
        <x:v>0.006972522420195474</x:v>
      </x:c>
      <x:c r="F2080" s="13" t="n">
        <x:v>45706</x:v>
      </x:c>
      <x:c r="G2080" s="12" t="n">
        <x:v>2.62</x:v>
      </x:c>
      <x:c r="H2080" s="12" t="n">
        <x:v>262</x:v>
      </x:c>
      <x:c r="I2080" s="12" t="n">
        <x:v>0</x:v>
      </x:c>
      <x:c r="J2080" s="12" t="n">
        <x:v>1</x:v>
      </x:c>
    </x:row>
    <x:row r="2081" ht="18" customHeight="1">
      <x:c r="A2081" s="13" t="n">
        <x:v>45708</x:v>
      </x:c>
      <x:c r="B2081" s="12" t="n">
        <x:v>3928.8959</x:v>
      </x:c>
      <x:c r="C2081" s="12" t="n">
        <x:v>3940.1602</x:v>
      </x:c>
      <x:c r="D2081" s="12" t="n">
        <x:v>-0.2859</x:v>
      </x:c>
      <x:c r="E2081" s="12" t="n">
        <x:v>-0.0028629374478347314</x:v>
      </x:c>
      <x:c r="F2081" s="13" t="n">
        <x:v>45707</x:v>
      </x:c>
      <x:c r="G2081" s="12" t="n">
        <x:v>2.68</x:v>
      </x:c>
      <x:c r="H2081" s="12" t="n">
        <x:v>268</x:v>
      </x:c>
      <x:c r="I2081" s="12" t="n">
        <x:v>6</x:v>
      </x:c>
      <x:c r="J2081" s="12" t="n">
        <x:v>1</x:v>
      </x:c>
    </x:row>
    <x:row r="2082" ht="18" customHeight="1">
      <x:c r="A2082" s="13" t="n">
        <x:v>45709</x:v>
      </x:c>
      <x:c r="B2082" s="12" t="n">
        <x:v>3978.444</x:v>
      </x:c>
      <x:c r="C2082" s="12" t="n">
        <x:v>3928.8959</x:v>
      </x:c>
      <x:c r="D2082" s="12" t="n">
        <x:v>1.2611</x:v>
      </x:c>
      <x:c r="E2082" s="12" t="n">
        <x:v>0.012532343145841354</x:v>
      </x:c>
      <x:c r="F2082" s="13" t="n">
        <x:v>45708</x:v>
      </x:c>
      <x:c r="G2082" s="12" t="n">
        <x:v>2.66</x:v>
      </x:c>
      <x:c r="H2082" s="12" t="n">
        <x:v>266</x:v>
      </x:c>
      <x:c r="I2082" s="12" t="n">
        <x:v>-2</x:v>
      </x:c>
      <x:c r="J2082" s="12" t="n">
        <x:v>1</x:v>
      </x:c>
    </x:row>
    <x:row r="2083" ht="18" customHeight="1">
      <x:c r="A2083" s="13" t="n">
        <x:v>45712</x:v>
      </x:c>
      <x:c r="B2083" s="12" t="n">
        <x:v>3969.7169</x:v>
      </x:c>
      <x:c r="C2083" s="12" t="n">
        <x:v>3978.444</x:v>
      </x:c>
      <x:c r="D2083" s="12" t="n">
        <x:v>-0.2194</x:v>
      </x:c>
      <x:c r="E2083" s="12" t="n">
        <x:v>-0.0021960057469798933</x:v>
      </x:c>
      <x:c r="F2083" s="13" t="n">
        <x:v>45709</x:v>
      </x:c>
      <x:c r="G2083" s="12" t="n">
        <x:v>2.78</x:v>
      </x:c>
      <x:c r="H2083" s="12" t="n">
        <x:v>278</x:v>
      </x:c>
      <x:c r="I2083" s="12" t="n">
        <x:v>12</x:v>
      </x:c>
      <x:c r="J2083" s="12" t="n">
        <x:v>3</x:v>
      </x:c>
    </x:row>
    <x:row r="2084" ht="18" customHeight="1">
      <x:c r="A2084" s="13" t="n">
        <x:v>45713</x:v>
      </x:c>
      <x:c r="B2084" s="12" t="n">
        <x:v>3925.6505</x:v>
      </x:c>
      <x:c r="C2084" s="12" t="n">
        <x:v>3969.7169</x:v>
      </x:c>
      <x:c r="D2084" s="12" t="n">
        <x:v>-1.1101</x:v>
      </x:c>
      <x:c r="E2084" s="12" t="n">
        <x:v>-0.011162712346417768</x:v>
      </x:c>
      <x:c r="F2084" s="13" t="n">
        <x:v>45712</x:v>
      </x:c>
      <x:c r="G2084" s="12" t="n">
        <x:v>2.78</x:v>
      </x:c>
      <x:c r="H2084" s="12" t="n">
        <x:v>278</x:v>
      </x:c>
      <x:c r="I2084" s="12" t="n">
        <x:v>0</x:v>
      </x:c>
      <x:c r="J2084" s="12" t="n">
        <x:v>1</x:v>
      </x:c>
    </x:row>
    <x:row r="2085" ht="18" customHeight="1">
      <x:c r="A2085" s="13" t="n">
        <x:v>45714</x:v>
      </x:c>
      <x:c r="B2085" s="12" t="n">
        <x:v>3959.9413</x:v>
      </x:c>
      <x:c r="C2085" s="12" t="n">
        <x:v>3925.6505</x:v>
      </x:c>
      <x:c r="D2085" s="12" t="n">
        <x:v>0.8735</x:v>
      </x:c>
      <x:c r="E2085" s="12" t="n">
        <x:v>0.008697131937863404</x:v>
      </x:c>
      <x:c r="F2085" s="13" t="n">
        <x:v>45713</x:v>
      </x:c>
      <x:c r="G2085" s="12" t="n">
        <x:v>2.84</x:v>
      </x:c>
      <x:c r="H2085" s="12" t="n">
        <x:v>284</x:v>
      </x:c>
      <x:c r="I2085" s="12" t="n">
        <x:v>6</x:v>
      </x:c>
      <x:c r="J2085" s="12" t="n">
        <x:v>1</x:v>
      </x:c>
    </x:row>
    <x:row r="2086" ht="18" customHeight="1">
      <x:c r="A2086" s="13" t="n">
        <x:v>45715</x:v>
      </x:c>
      <x:c r="B2086" s="12" t="n">
        <x:v>3968.1159</x:v>
      </x:c>
      <x:c r="C2086" s="12" t="n">
        <x:v>3959.9413</x:v>
      </x:c>
      <x:c r="D2086" s="12" t="n">
        <x:v>0.2064</x:v>
      </x:c>
      <x:c r="E2086" s="12" t="n">
        <x:v>0.002062195741215508</x:v>
      </x:c>
      <x:c r="F2086" s="13" t="n">
        <x:v>45714</x:v>
      </x:c>
      <x:c r="G2086" s="12" t="n">
        <x:v>2.81</x:v>
      </x:c>
      <x:c r="H2086" s="12" t="n">
        <x:v>281</x:v>
      </x:c>
      <x:c r="I2086" s="12" t="n">
        <x:v>-3</x:v>
      </x:c>
      <x:c r="J2086" s="12" t="n">
        <x:v>1</x:v>
      </x:c>
    </x:row>
    <x:row r="2087" ht="18" customHeight="1">
      <x:c r="A2087" s="13" t="n">
        <x:v>45716</x:v>
      </x:c>
      <x:c r="B2087" s="12" t="n">
        <x:v>3890.0487</x:v>
      </x:c>
      <x:c r="C2087" s="12" t="n">
        <x:v>3968.1159</x:v>
      </x:c>
      <x:c r="D2087" s="12" t="n">
        <x:v>-1.9674</x:v>
      </x:c>
      <x:c r="E2087" s="12" t="n">
        <x:v>-0.01986972083322121</x:v>
      </x:c>
      <x:c r="F2087" s="13" t="n">
        <x:v>45715</x:v>
      </x:c>
      <x:c r="G2087" s="12" t="n">
        <x:v>2.81</x:v>
      </x:c>
      <x:c r="H2087" s="12" t="n">
        <x:v>281</x:v>
      </x:c>
      <x:c r="I2087" s="12" t="n">
        <x:v>0</x:v>
      </x:c>
      <x:c r="J2087" s="12" t="n">
        <x:v>1</x:v>
      </x:c>
    </x:row>
    <x:row r="2088" ht="18" customHeight="1">
      <x:c r="A2088" s="13" t="n">
        <x:v>45719</x:v>
      </x:c>
      <x:c r="B2088" s="12" t="n">
        <x:v>3888.4738</x:v>
      </x:c>
      <x:c r="C2088" s="12" t="n">
        <x:v>3890.0487</x:v>
      </x:c>
      <x:c r="D2088" s="12" t="n">
        <x:v>-0.0405</x:v>
      </x:c>
      <x:c r="E2088" s="12" t="n">
        <x:v>-0.0004049355186720422</x:v>
      </x:c>
      <x:c r="F2088" s="13" t="n">
        <x:v>45716</x:v>
      </x:c>
      <x:c r="G2088" s="12" t="n">
        <x:v>2.87</x:v>
      </x:c>
      <x:c r="H2088" s="12" t="n">
        <x:v>287</x:v>
      </x:c>
      <x:c r="I2088" s="12" t="n">
        <x:v>6</x:v>
      </x:c>
      <x:c r="J2088" s="12" t="n">
        <x:v>3</x:v>
      </x:c>
    </x:row>
    <x:row r="2089" ht="18" customHeight="1">
      <x:c r="A2089" s="13" t="n">
        <x:v>45720</x:v>
      </x:c>
      <x:c r="B2089" s="12" t="n">
        <x:v>3885.2208</x:v>
      </x:c>
      <x:c r="C2089" s="12" t="n">
        <x:v>3888.4738</x:v>
      </x:c>
      <x:c r="D2089" s="12" t="n">
        <x:v>-0.0837</x:v>
      </x:c>
      <x:c r="E2089" s="12" t="n">
        <x:v>-0.0008369251320675289</x:v>
      </x:c>
      <x:c r="F2089" s="13" t="n">
        <x:v>45719</x:v>
      </x:c>
      <x:c r="G2089" s="12" t="n">
        <x:v>2.94</x:v>
      </x:c>
      <x:c r="H2089" s="12" t="n">
        <x:v>294</x:v>
      </x:c>
      <x:c r="I2089" s="12" t="n">
        <x:v>7</x:v>
      </x:c>
      <x:c r="J2089" s="12" t="n">
        <x:v>1</x:v>
      </x:c>
    </x:row>
    <x:row r="2090" ht="18" customHeight="1">
      <x:c r="A2090" s="13" t="n">
        <x:v>45721</x:v>
      </x:c>
      <x:c r="B2090" s="12" t="n">
        <x:v>3902.5706</x:v>
      </x:c>
      <x:c r="C2090" s="12" t="n">
        <x:v>3885.2208</x:v>
      </x:c>
      <x:c r="D2090" s="12" t="n">
        <x:v>0.4466</x:v>
      </x:c>
      <x:c r="E2090" s="12" t="n">
        <x:v>0.004455648029683655</x:v>
      </x:c>
      <x:c r="F2090" s="13" t="n">
        <x:v>45720</x:v>
      </x:c>
      <x:c r="G2090" s="12" t="n">
        <x:v>2.99</x:v>
      </x:c>
      <x:c r="H2090" s="12" t="n">
        <x:v>299</x:v>
      </x:c>
      <x:c r="I2090" s="12" t="n">
        <x:v>5</x:v>
      </x:c>
      <x:c r="J2090" s="12" t="n">
        <x:v>1</x:v>
      </x:c>
    </x:row>
    <x:row r="2091" ht="18" customHeight="1">
      <x:c r="A2091" s="13" t="n">
        <x:v>45722</x:v>
      </x:c>
      <x:c r="B2091" s="12" t="n">
        <x:v>3956.2369</x:v>
      </x:c>
      <x:c r="C2091" s="12" t="n">
        <x:v>3902.5706</x:v>
      </x:c>
      <x:c r="D2091" s="12" t="n">
        <x:v>1.3752</x:v>
      </x:c>
      <x:c r="E2091" s="12" t="n">
        <x:v>0.013657831477298408</x:v>
      </x:c>
      <x:c r="F2091" s="13" t="n">
        <x:v>45721</x:v>
      </x:c>
      <x:c r="G2091" s="12" t="n">
        <x:v>2.88</x:v>
      </x:c>
      <x:c r="H2091" s="12" t="n">
        <x:v>288</x:v>
      </x:c>
      <x:c r="I2091" s="12" t="n">
        <x:v>-11</x:v>
      </x:c>
      <x:c r="J2091" s="12" t="n">
        <x:v>1</x:v>
      </x:c>
    </x:row>
    <x:row r="2092" ht="18" customHeight="1">
      <x:c r="A2092" s="13" t="n">
        <x:v>45723</x:v>
      </x:c>
      <x:c r="B2092" s="12" t="n">
        <x:v>3944.0143</x:v>
      </x:c>
      <x:c r="C2092" s="12" t="n">
        <x:v>3956.2369</x:v>
      </x:c>
      <x:c r="D2092" s="12" t="n">
        <x:v>-0.3089</x:v>
      </x:c>
      <x:c r="E2092" s="12" t="n">
        <x:v>-0.003094233193972485</x:v>
      </x:c>
      <x:c r="F2092" s="13" t="n">
        <x:v>45722</x:v>
      </x:c>
      <x:c r="G2092" s="12" t="n">
        <x:v>2.99</x:v>
      </x:c>
      <x:c r="H2092" s="12" t="n">
        <x:v>299</x:v>
      </x:c>
      <x:c r="I2092" s="12" t="n">
        <x:v>11</x:v>
      </x:c>
      <x:c r="J2092" s="12" t="n">
        <x:v>1</x:v>
      </x:c>
    </x:row>
    <x:row r="2093" ht="18" customHeight="1">
      <x:c r="A2093" s="13" t="n">
        <x:v>45726</x:v>
      </x:c>
      <x:c r="B2093" s="12" t="n">
        <x:v>3928.8018</x:v>
      </x:c>
      <x:c r="C2093" s="12" t="n">
        <x:v>3944.0143</x:v>
      </x:c>
      <x:c r="D2093" s="12" t="n">
        <x:v>-0.3857</x:v>
      </x:c>
      <x:c r="E2093" s="12" t="n">
        <x:v>-0.0038645685965101716</x:v>
      </x:c>
      <x:c r="F2093" s="13" t="n">
        <x:v>45723</x:v>
      </x:c>
      <x:c r="G2093" s="12" t="n">
        <x:v>2.97</x:v>
      </x:c>
      <x:c r="H2093" s="12" t="n">
        <x:v>297</x:v>
      </x:c>
      <x:c r="I2093" s="12" t="n">
        <x:v>-2</x:v>
      </x:c>
      <x:c r="J2093" s="12" t="n">
        <x:v>3</x:v>
      </x:c>
    </x:row>
    <x:row r="2094" ht="18" customHeight="1">
      <x:c r="A2094" s="13" t="n">
        <x:v>45727</x:v>
      </x:c>
      <x:c r="B2094" s="12" t="n">
        <x:v>3941.4157</x:v>
      </x:c>
      <x:c r="C2094" s="12" t="n">
        <x:v>3928.8018</x:v>
      </x:c>
      <x:c r="D2094" s="12" t="n">
        <x:v>0.3211</x:v>
      </x:c>
      <x:c r="E2094" s="12" t="n">
        <x:v>0.0032054795946247984</x:v>
      </x:c>
      <x:c r="F2094" s="13" t="n">
        <x:v>45726</x:v>
      </x:c>
      <x:c r="G2094" s="12" t="n">
        <x:v>3.16</x:v>
      </x:c>
      <x:c r="H2094" s="12" t="n">
        <x:v>316</x:v>
      </x:c>
      <x:c r="I2094" s="12" t="n">
        <x:v>19</x:v>
      </x:c>
      <x:c r="J2094" s="12" t="n">
        <x:v>1</x:v>
      </x:c>
    </x:row>
    <x:row r="2095" ht="18" customHeight="1">
      <x:c r="A2095" s="13" t="n">
        <x:v>45728</x:v>
      </x:c>
      <x:c r="B2095" s="12" t="n">
        <x:v>3927.2315</x:v>
      </x:c>
      <x:c r="C2095" s="12" t="n">
        <x:v>3941.4157</x:v>
      </x:c>
      <x:c r="D2095" s="12" t="n">
        <x:v>-0.3599</x:v>
      </x:c>
      <x:c r="E2095" s="12" t="n">
        <x:v>-0.0036052487811718</x:v>
      </x:c>
      <x:c r="F2095" s="13" t="n">
        <x:v>45727</x:v>
      </x:c>
      <x:c r="G2095" s="12" t="n">
        <x:v>3.22</x:v>
      </x:c>
      <x:c r="H2095" s="12" t="n">
        <x:v>322</x:v>
      </x:c>
      <x:c r="I2095" s="12" t="n">
        <x:v>6</x:v>
      </x:c>
      <x:c r="J2095" s="12" t="n">
        <x:v>1</x:v>
      </x:c>
    </x:row>
    <x:row r="2096" ht="18" customHeight="1">
      <x:c r="A2096" s="13" t="n">
        <x:v>45729</x:v>
      </x:c>
      <x:c r="B2096" s="12" t="n">
        <x:v>3911.5793</x:v>
      </x:c>
      <x:c r="C2096" s="12" t="n">
        <x:v>3927.2315</x:v>
      </x:c>
      <x:c r="D2096" s="12" t="n">
        <x:v>-0.3986</x:v>
      </x:c>
      <x:c r="E2096" s="12" t="n">
        <x:v>-0.003993519221569567</x:v>
      </x:c>
      <x:c r="F2096" s="13" t="n">
        <x:v>45728</x:v>
      </x:c>
      <x:c r="G2096" s="12" t="n">
        <x:v>3.2</x:v>
      </x:c>
      <x:c r="H2096" s="12" t="n">
        <x:v>320</x:v>
      </x:c>
      <x:c r="I2096" s="12" t="n">
        <x:v>-2</x:v>
      </x:c>
      <x:c r="J2096" s="12" t="n">
        <x:v>1</x:v>
      </x:c>
    </x:row>
    <x:row r="2097" ht="18" customHeight="1">
      <x:c r="A2097" s="13" t="n">
        <x:v>45730</x:v>
      </x:c>
      <x:c r="B2097" s="12" t="n">
        <x:v>4006.5567</x:v>
      </x:c>
      <x:c r="C2097" s="12" t="n">
        <x:v>3911.5793</x:v>
      </x:c>
      <x:c r="D2097" s="12" t="n">
        <x:v>2.4281</x:v>
      </x:c>
      <x:c r="E2097" s="12" t="n">
        <x:v>0.023990988649006423</x:v>
      </x:c>
      <x:c r="F2097" s="13" t="n">
        <x:v>45729</x:v>
      </x:c>
      <x:c r="G2097" s="12" t="n">
        <x:v>3.4</x:v>
      </x:c>
      <x:c r="H2097" s="12" t="n">
        <x:v>340</x:v>
      </x:c>
      <x:c r="I2097" s="12" t="n">
        <x:v>20</x:v>
      </x:c>
      <x:c r="J2097" s="12" t="n">
        <x:v>1</x:v>
      </x:c>
    </x:row>
    <x:row r="2098" ht="18" customHeight="1">
      <x:c r="A2098" s="13" t="n">
        <x:v>45733</x:v>
      </x:c>
      <x:c r="B2098" s="12" t="n">
        <x:v>3996.7876</x:v>
      </x:c>
      <x:c r="C2098" s="12" t="n">
        <x:v>4006.5567</x:v>
      </x:c>
      <x:c r="D2098" s="12" t="n">
        <x:v>-0.2438</x:v>
      </x:c>
      <x:c r="E2098" s="12" t="n">
        <x:v>-0.0024412556765214454</x:v>
      </x:c>
      <x:c r="F2098" s="13" t="n">
        <x:v>45730</x:v>
      </x:c>
      <x:c r="G2098" s="12" t="n">
        <x:v>3.25</x:v>
      </x:c>
      <x:c r="H2098" s="12" t="n">
        <x:v>325</x:v>
      </x:c>
      <x:c r="I2098" s="12" t="n">
        <x:v>-15</x:v>
      </x:c>
      <x:c r="J2098" s="12" t="n">
        <x:v>3</x:v>
      </x:c>
    </x:row>
    <x:row r="2099" ht="18" customHeight="1">
      <x:c r="A2099" s="13" t="n">
        <x:v>45734</x:v>
      </x:c>
      <x:c r="B2099" s="12" t="n">
        <x:v>4007.7229</x:v>
      </x:c>
      <x:c r="C2099" s="12" t="n">
        <x:v>3996.7876</x:v>
      </x:c>
      <x:c r="D2099" s="12" t="n">
        <x:v>0.2736</x:v>
      </x:c>
      <x:c r="E2099" s="12" t="n">
        <x:v>0.002732286203639958</x:v>
      </x:c>
      <x:c r="F2099" s="13" t="n">
        <x:v>45733</x:v>
      </x:c>
      <x:c r="G2099" s="12" t="n">
        <x:v>3.18</x:v>
      </x:c>
      <x:c r="H2099" s="12" t="n">
        <x:v>318</x:v>
      </x:c>
      <x:c r="I2099" s="12" t="n">
        <x:v>-7</x:v>
      </x:c>
      <x:c r="J2099" s="12" t="n">
        <x:v>1</x:v>
      </x:c>
    </x:row>
    <x:row r="2100" ht="18" customHeight="1">
      <x:c r="A2100" s="13" t="n">
        <x:v>45735</x:v>
      </x:c>
      <x:c r="B2100" s="12" t="n">
        <x:v>4010.168</x:v>
      </x:c>
      <x:c r="C2100" s="12" t="n">
        <x:v>4007.7229</x:v>
      </x:c>
      <x:c r="D2100" s="12" t="n">
        <x:v>0.061</x:v>
      </x:c>
      <x:c r="E2100" s="12" t="n">
        <x:v>0.0006099110367779948</x:v>
      </x:c>
      <x:c r="F2100" s="13" t="n">
        <x:v>45734</x:v>
      </x:c>
      <x:c r="G2100" s="12" t="n">
        <x:v>3.23</x:v>
      </x:c>
      <x:c r="H2100" s="12" t="n">
        <x:v>323</x:v>
      </x:c>
      <x:c r="I2100" s="12" t="n">
        <x:v>5</x:v>
      </x:c>
      <x:c r="J2100" s="12" t="n">
        <x:v>1</x:v>
      </x:c>
    </x:row>
    <x:row r="2101" ht="18" customHeight="1">
      <x:c r="A2101" s="13" t="n">
        <x:v>45736</x:v>
      </x:c>
      <x:c r="B2101" s="12" t="n">
        <x:v>3974.9918</x:v>
      </x:c>
      <x:c r="C2101" s="12" t="n">
        <x:v>4010.168</x:v>
      </x:c>
      <x:c r="D2101" s="12" t="n">
        <x:v>-0.8772</x:v>
      </x:c>
      <x:c r="E2101" s="12" t="n">
        <x:v>-0.008810450491655575</x:v>
      </x:c>
      <x:c r="F2101" s="13" t="n">
        <x:v>45735</x:v>
      </x:c>
      <x:c r="G2101" s="12" t="n">
        <x:v>3.19</x:v>
      </x:c>
      <x:c r="H2101" s="12" t="n">
        <x:v>319</x:v>
      </x:c>
      <x:c r="I2101" s="12" t="n">
        <x:v>-4</x:v>
      </x:c>
      <x:c r="J2101" s="12" t="n">
        <x:v>1</x:v>
      </x:c>
    </x:row>
    <x:row r="2102" ht="18" customHeight="1">
      <x:c r="A2102" s="13" t="n">
        <x:v>45737</x:v>
      </x:c>
      <x:c r="B2102" s="12" t="n">
        <x:v>3914.6956</x:v>
      </x:c>
      <x:c r="C2102" s="12" t="n">
        <x:v>3974.9918</x:v>
      </x:c>
      <x:c r="D2102" s="12" t="n">
        <x:v>-1.5169</x:v>
      </x:c>
      <x:c r="E2102" s="12" t="n">
        <x:v>-0.015285111026174561</x:v>
      </x:c>
      <x:c r="F2102" s="13" t="n">
        <x:v>45736</x:v>
      </x:c>
      <x:c r="G2102" s="12" t="n">
        <x:v>3.17</x:v>
      </x:c>
      <x:c r="H2102" s="12" t="n">
        <x:v>317</x:v>
      </x:c>
      <x:c r="I2102" s="12" t="n">
        <x:v>-2</x:v>
      </x:c>
      <x:c r="J2102" s="12" t="n">
        <x:v>1</x:v>
      </x:c>
    </x:row>
    <x:row r="2103" ht="18" customHeight="1">
      <x:c r="A2103" s="13" t="n">
        <x:v>45740</x:v>
      </x:c>
      <x:c r="B2103" s="12" t="n">
        <x:v>3934.8486</x:v>
      </x:c>
      <x:c r="C2103" s="12" t="n">
        <x:v>3914.6956</x:v>
      </x:c>
      <x:c r="D2103" s="12" t="n">
        <x:v>0.5148</x:v>
      </x:c>
      <x:c r="E2103" s="12" t="n">
        <x:v>0.005134831721901653</x:v>
      </x:c>
      <x:c r="F2103" s="13" t="n">
        <x:v>45737</x:v>
      </x:c>
      <x:c r="G2103" s="12" t="n">
        <x:v>3.21</x:v>
      </x:c>
      <x:c r="H2103" s="12" t="n">
        <x:v>321</x:v>
      </x:c>
      <x:c r="I2103" s="12" t="n">
        <x:v>4</x:v>
      </x:c>
      <x:c r="J2103" s="12" t="n">
        <x:v>3</x:v>
      </x:c>
    </x:row>
    <x:row r="2104" ht="18" customHeight="1">
      <x:c r="A2104" s="13" t="n">
        <x:v>45741</x:v>
      </x:c>
      <x:c r="B2104" s="12" t="n">
        <x:v>3932.2951</x:v>
      </x:c>
      <x:c r="C2104" s="12" t="n">
        <x:v>3934.8486</x:v>
      </x:c>
      <x:c r="D2104" s="12" t="n">
        <x:v>-0.0649</x:v>
      </x:c>
      <x:c r="E2104" s="12" t="n">
        <x:v>-0.0006491555733679615</x:v>
      </x:c>
      <x:c r="F2104" s="13" t="n">
        <x:v>45740</x:v>
      </x:c>
      <x:c r="G2104" s="12" t="n">
        <x:v>3.05</x:v>
      </x:c>
      <x:c r="H2104" s="12" t="n">
        <x:v>305</x:v>
      </x:c>
      <x:c r="I2104" s="12" t="n">
        <x:v>-16</x:v>
      </x:c>
      <x:c r="J2104" s="12" t="n">
        <x:v>1</x:v>
      </x:c>
    </x:row>
    <x:row r="2105" ht="18" customHeight="1">
      <x:c r="A2105" s="13" t="n">
        <x:v>45742</x:v>
      </x:c>
      <x:c r="B2105" s="12" t="n">
        <x:v>3919.3566</x:v>
      </x:c>
      <x:c r="C2105" s="12" t="n">
        <x:v>3932.2951</x:v>
      </x:c>
      <x:c r="D2105" s="12" t="n">
        <x:v>-0.329</x:v>
      </x:c>
      <x:c r="E2105" s="12" t="n">
        <x:v>-0.0032957426553727287</x:v>
      </x:c>
      <x:c r="F2105" s="13" t="n">
        <x:v>45741</x:v>
      </x:c>
      <x:c r="G2105" s="12" t="n">
        <x:v>3.09</x:v>
      </x:c>
      <x:c r="H2105" s="12" t="n">
        <x:v>309</x:v>
      </x:c>
      <x:c r="I2105" s="12" t="n">
        <x:v>4</x:v>
      </x:c>
      <x:c r="J2105" s="12" t="n">
        <x:v>1</x:v>
      </x:c>
    </x:row>
    <x:row r="2106" ht="18" customHeight="1">
      <x:c r="A2106" s="13" t="n">
        <x:v>45743</x:v>
      </x:c>
      <x:c r="B2106" s="12" t="n">
        <x:v>3932.4117</x:v>
      </x:c>
      <x:c r="C2106" s="12" t="n">
        <x:v>3919.3566</x:v>
      </x:c>
      <x:c r="D2106" s="12" t="n">
        <x:v>0.3331</x:v>
      </x:c>
      <x:c r="E2106" s="12" t="n">
        <x:v>0.0033253941104043395</x:v>
      </x:c>
      <x:c r="F2106" s="13" t="n">
        <x:v>45742</x:v>
      </x:c>
      <x:c r="G2106" s="12" t="n">
        <x:v>3.19</x:v>
      </x:c>
      <x:c r="H2106" s="12" t="n">
        <x:v>319</x:v>
      </x:c>
      <x:c r="I2106" s="12" t="n">
        <x:v>10</x:v>
      </x:c>
      <x:c r="J2106" s="12" t="n">
        <x:v>1</x:v>
      </x:c>
    </x:row>
    <x:row r="2107" ht="18" customHeight="1">
      <x:c r="A2107" s="13" t="n">
        <x:v>45744</x:v>
      </x:c>
      <x:c r="B2107" s="12" t="n">
        <x:v>3915.1662</x:v>
      </x:c>
      <x:c r="C2107" s="12" t="n">
        <x:v>3932.4117</x:v>
      </x:c>
      <x:c r="D2107" s="12" t="n">
        <x:v>-0.4385</x:v>
      </x:c>
      <x:c r="E2107" s="12" t="n">
        <x:v>-0.004395121139495452</x:v>
      </x:c>
      <x:c r="F2107" s="13" t="n">
        <x:v>45743</x:v>
      </x:c>
      <x:c r="G2107" s="12" t="n">
        <x:v>3.27</x:v>
      </x:c>
      <x:c r="H2107" s="12" t="n">
        <x:v>327</x:v>
      </x:c>
      <x:c r="I2107" s="12" t="n">
        <x:v>8</x:v>
      </x:c>
      <x:c r="J2107" s="12" t="n">
        <x:v>1</x:v>
      </x:c>
    </x:row>
    <x:row r="2108" ht="18" customHeight="1">
      <x:c r="A2108" s="13" t="n">
        <x:v>45747</x:v>
      </x:c>
      <x:c r="B2108" s="12" t="n">
        <x:v>3887.3056</x:v>
      </x:c>
      <x:c r="C2108" s="12" t="n">
        <x:v>3915.1662</x:v>
      </x:c>
      <x:c r="D2108" s="12" t="n">
        <x:v>-0.7116</x:v>
      </x:c>
      <x:c r="E2108" s="12" t="n">
        <x:v>-0.007141510824859772</x:v>
      </x:c>
      <x:c r="F2108" s="13" t="n">
        <x:v>45744</x:v>
      </x:c>
      <x:c r="G2108" s="12" t="n">
        <x:v>3.47</x:v>
      </x:c>
      <x:c r="H2108" s="12" t="n">
        <x:v>347</x:v>
      </x:c>
      <x:c r="I2108" s="12" t="n">
        <x:v>20</x:v>
      </x:c>
      <x:c r="J2108" s="12" t="n">
        <x:v>3</x:v>
      </x:c>
    </x:row>
    <x:row r="2109" ht="18" customHeight="1">
      <x:c r="A2109" s="13" t="n">
        <x:v>45748</x:v>
      </x:c>
      <x:c r="B2109" s="12" t="n">
        <x:v>3887.6841</x:v>
      </x:c>
      <x:c r="C2109" s="12" t="n">
        <x:v>3887.3056</x:v>
      </x:c>
      <x:c r="D2109" s="12" t="n">
        <x:v>0.0097</x:v>
      </x:c>
      <x:c r="E2109" s="12" t="n">
        <x:v>0.00009736347311147538</x:v>
      </x:c>
      <x:c r="F2109" s="13" t="n">
        <x:v>45747</x:v>
      </x:c>
      <x:c r="G2109" s="12" t="n">
        <x:v>3.55</x:v>
      </x:c>
      <x:c r="H2109" s="12" t="n">
        <x:v>355</x:v>
      </x:c>
      <x:c r="I2109" s="12" t="n">
        <x:v>8</x:v>
      </x:c>
      <x:c r="J2109" s="12" t="n">
        <x:v>1</x:v>
      </x:c>
    </x:row>
    <x:row r="2110" ht="18" customHeight="1">
      <x:c r="A2110" s="13" t="n">
        <x:v>45749</x:v>
      </x:c>
      <x:c r="B2110" s="12" t="n">
        <x:v>3884.3858</x:v>
      </x:c>
      <x:c r="C2110" s="12" t="n">
        <x:v>3887.6841</x:v>
      </x:c>
      <x:c r="D2110" s="12" t="n">
        <x:v>-0.0848</x:v>
      </x:c>
      <x:c r="E2110" s="12" t="n">
        <x:v>-0.000848757214086465</x:v>
      </x:c>
      <x:c r="F2110" s="13" t="n">
        <x:v>45748</x:v>
      </x:c>
      <x:c r="G2110" s="12" t="n">
        <x:v>3.5</x:v>
      </x:c>
      <x:c r="H2110" s="12" t="n">
        <x:v>350</x:v>
      </x:c>
      <x:c r="I2110" s="12" t="n">
        <x:v>-5</x:v>
      </x:c>
      <x:c r="J2110" s="12" t="n">
        <x:v>1</x:v>
      </x:c>
    </x:row>
    <x:row r="2111" ht="18" customHeight="1">
      <x:c r="A2111" s="13" t="n">
        <x:v>45750</x:v>
      </x:c>
      <x:c r="B2111" s="12" t="n">
        <x:v>3861.5034</x:v>
      </x:c>
      <x:c r="C2111" s="12" t="n">
        <x:v>3884.3858</x:v>
      </x:c>
      <x:c r="D2111" s="12" t="n">
        <x:v>-0.5891</x:v>
      </x:c>
      <x:c r="E2111" s="12" t="n">
        <x:v>-0.005908286569494701</x:v>
      </x:c>
      <x:c r="F2111" s="13" t="n">
        <x:v>45749</x:v>
      </x:c>
      <x:c r="G2111" s="12" t="n">
        <x:v>3.42</x:v>
      </x:c>
      <x:c r="H2111" s="12" t="n">
        <x:v>342</x:v>
      </x:c>
      <x:c r="I2111" s="12" t="n">
        <x:v>-8</x:v>
      </x:c>
      <x:c r="J2111" s="12" t="n">
        <x:v>1</x:v>
      </x:c>
    </x:row>
    <x:row r="2112" ht="18" customHeight="1">
      <x:c r="A2112" s="13" t="n">
        <x:v>45754</x:v>
      </x:c>
      <x:c r="B2112" s="12" t="n">
        <x:v>3589.4406</x:v>
      </x:c>
      <x:c r="C2112" s="12" t="n">
        <x:v>3861.5034</x:v>
      </x:c>
      <x:c r="D2112" s="12" t="n">
        <x:v>-7.0455</x:v>
      </x:c>
      <x:c r="E2112" s="12" t="n">
        <x:v>-0.07306022088195</x:v>
      </x:c>
      <x:c r="F2112" s="13" t="n">
        <x:v>45751</x:v>
      </x:c>
      <x:c r="G2112" s="12" t="n">
        <x:v>4.45</x:v>
      </x:c>
      <x:c r="H2112" s="12" t="n">
        <x:v>445</x:v>
      </x:c>
      <x:c r="I2112" s="12" t="n">
        <x:v>44</x:v>
      </x:c>
      <x:c r="J2112" s="12" t="n">
        <x:v>3</x:v>
      </x:c>
    </x:row>
    <x:row r="2113" ht="18" customHeight="1">
      <x:c r="A2113" s="13" t="n">
        <x:v>45755</x:v>
      </x:c>
      <x:c r="B2113" s="12" t="n">
        <x:v>3650.759</x:v>
      </x:c>
      <x:c r="C2113" s="12" t="n">
        <x:v>3589.4406</x:v>
      </x:c>
      <x:c r="D2113" s="12" t="n">
        <x:v>1.7083</x:v>
      </x:c>
      <x:c r="E2113" s="12" t="n">
        <x:v>0.016938722550570866</x:v>
      </x:c>
      <x:c r="F2113" s="13" t="n">
        <x:v>45754</x:v>
      </x:c>
      <x:c r="G2113" s="12" t="n">
        <x:v>4.61</x:v>
      </x:c>
      <x:c r="H2113" s="12" t="n">
        <x:v>461.00000000000006</x:v>
      </x:c>
      <x:c r="I2113" s="12" t="n">
        <x:v>16.000000000000057</x:v>
      </x:c>
      <x:c r="J2113" s="12" t="n">
        <x:v>1</x:v>
      </x:c>
    </x:row>
    <x:row r="2114" ht="18" customHeight="1">
      <x:c r="A2114" s="13" t="n">
        <x:v>45756</x:v>
      </x:c>
      <x:c r="B2114" s="12" t="n">
        <x:v>3686.7943</x:v>
      </x:c>
      <x:c r="C2114" s="12" t="n">
        <x:v>3650.759</x:v>
      </x:c>
      <x:c r="D2114" s="12" t="n">
        <x:v>0.9871</x:v>
      </x:c>
      <x:c r="E2114" s="12" t="n">
        <x:v>0.009822235897704312</x:v>
      </x:c>
      <x:c r="F2114" s="13" t="n">
        <x:v>45755</x:v>
      </x:c>
      <x:c r="G2114" s="12" t="n">
        <x:v>4.57</x:v>
      </x:c>
      <x:c r="H2114" s="12" t="n">
        <x:v>457</x:v>
      </x:c>
      <x:c r="I2114" s="12" t="n">
        <x:v>-4.000000000000057</x:v>
      </x:c>
      <x:c r="J2114" s="12" t="n">
        <x:v>1</x:v>
      </x:c>
    </x:row>
    <x:row r="2115" ht="18" customHeight="1">
      <x:c r="A2115" s="13" t="n">
        <x:v>45757</x:v>
      </x:c>
      <x:c r="B2115" s="12" t="n">
        <x:v>3735.1151</x:v>
      </x:c>
      <x:c r="C2115" s="12" t="n">
        <x:v>3686.7943</x:v>
      </x:c>
      <x:c r="D2115" s="12" t="n">
        <x:v>1.3106</x:v>
      </x:c>
      <x:c r="E2115" s="12" t="n">
        <x:v>0.013021307629714781</x:v>
      </x:c>
      <x:c r="F2115" s="13" t="n">
        <x:v>45756</x:v>
      </x:c>
      <x:c r="G2115" s="12" t="n">
        <x:v>4.37</x:v>
      </x:c>
      <x:c r="H2115" s="12" t="n">
        <x:v>437</x:v>
      </x:c>
      <x:c r="I2115" s="12" t="n">
        <x:v>-20</x:v>
      </x:c>
      <x:c r="J2115" s="12" t="n">
        <x:v>1</x:v>
      </x:c>
    </x:row>
    <x:row r="2116" ht="18" customHeight="1">
      <x:c r="A2116" s="13" t="n">
        <x:v>45758</x:v>
      </x:c>
      <x:c r="B2116" s="12" t="n">
        <x:v>3750.5167</x:v>
      </x:c>
      <x:c r="C2116" s="12" t="n">
        <x:v>3735.1151</x:v>
      </x:c>
      <x:c r="D2116" s="12" t="n">
        <x:v>0.4123</x:v>
      </x:c>
      <x:c r="E2116" s="12" t="n">
        <x:v>0.00411498244758409</x:v>
      </x:c>
      <x:c r="F2116" s="13" t="n">
        <x:v>45757</x:v>
      </x:c>
      <x:c r="G2116" s="12" t="n">
        <x:v>4.42</x:v>
      </x:c>
      <x:c r="H2116" s="12" t="n">
        <x:v>442</x:v>
      </x:c>
      <x:c r="I2116" s="12" t="n">
        <x:v>5</x:v>
      </x:c>
      <x:c r="J2116" s="12" t="n">
        <x:v>1</x:v>
      </x:c>
    </x:row>
    <x:row r="2117" ht="18" customHeight="1">
      <x:c r="A2117" s="13" t="n">
        <x:v>45761</x:v>
      </x:c>
      <x:c r="B2117" s="12" t="n">
        <x:v>3759.1422</x:v>
      </x:c>
      <x:c r="C2117" s="12" t="n">
        <x:v>3750.5167</x:v>
      </x:c>
      <x:c r="D2117" s="12" t="n">
        <x:v>0.23</x:v>
      </x:c>
      <x:c r="E2117" s="12" t="n">
        <x:v>0.002297175919155268</x:v>
      </x:c>
      <x:c r="F2117" s="13" t="n">
        <x:v>45758</x:v>
      </x:c>
      <x:c r="G2117" s="12" t="n">
        <x:v>4.26</x:v>
      </x:c>
      <x:c r="H2117" s="12" t="n">
        <x:v>426</x:v>
      </x:c>
      <x:c r="I2117" s="12" t="n">
        <x:v>-16</x:v>
      </x:c>
      <x:c r="J2117" s="12" t="n">
        <x:v>3</x:v>
      </x:c>
    </x:row>
    <x:row r="2118" ht="18" customHeight="1">
      <x:c r="A2118" s="13" t="n">
        <x:v>45762</x:v>
      </x:c>
      <x:c r="B2118" s="12" t="n">
        <x:v>3761.2348</x:v>
      </x:c>
      <x:c r="C2118" s="12" t="n">
        <x:v>3759.1422</x:v>
      </x:c>
      <x:c r="D2118" s="12" t="n">
        <x:v>0.0557</x:v>
      </x:c>
      <x:c r="E2118" s="12" t="n">
        <x:v>0.0005565146678174699</x:v>
      </x:c>
      <x:c r="F2118" s="13" t="n">
        <x:v>45761</x:v>
      </x:c>
      <x:c r="G2118" s="12" t="n">
        <x:v>4.14</x:v>
      </x:c>
      <x:c r="H2118" s="12" t="n">
        <x:v>413.99999999999994</x:v>
      </x:c>
      <x:c r="I2118" s="12" t="n">
        <x:v>-12.000000000000057</x:v>
      </x:c>
      <x:c r="J2118" s="12" t="n">
        <x:v>1</x:v>
      </x:c>
    </x:row>
    <x:row r="2119" ht="18" customHeight="1">
      <x:c r="A2119" s="13" t="n">
        <x:v>45763</x:v>
      </x:c>
      <x:c r="B2119" s="12" t="n">
        <x:v>3772.8204</x:v>
      </x:c>
      <x:c r="C2119" s="12" t="n">
        <x:v>3761.2348</x:v>
      </x:c>
      <x:c r="D2119" s="12" t="n">
        <x:v>0.308</x:v>
      </x:c>
      <x:c r="E2119" s="12" t="n">
        <x:v>0.0030755307267302905</x:v>
      </x:c>
      <x:c r="F2119" s="13" t="n">
        <x:v>45762</x:v>
      </x:c>
      <x:c r="G2119" s="12" t="n">
        <x:v>4.09</x:v>
      </x:c>
      <x:c r="H2119" s="12" t="n">
        <x:v>409</x:v>
      </x:c>
      <x:c r="I2119" s="12" t="n">
        <x:v>-4.999999999999943</x:v>
      </x:c>
      <x:c r="J2119" s="12" t="n">
        <x:v>1</x:v>
      </x:c>
    </x:row>
    <x:row r="2120" ht="18" customHeight="1">
      <x:c r="A2120" s="13" t="n">
        <x:v>45764</x:v>
      </x:c>
      <x:c r="B2120" s="12" t="n">
        <x:v>3772.2221</x:v>
      </x:c>
      <x:c r="C2120" s="12" t="n">
        <x:v>3772.8204</x:v>
      </x:c>
      <x:c r="D2120" s="12" t="n">
        <x:v>-0.0159</x:v>
      </x:c>
      <x:c r="E2120" s="12" t="n">
        <x:v>-0.0001585942030821602</x:v>
      </x:c>
      <x:c r="F2120" s="13" t="n">
        <x:v>45763</x:v>
      </x:c>
      <x:c r="G2120" s="12" t="n">
        <x:v>4.16</x:v>
      </x:c>
      <x:c r="H2120" s="12" t="n">
        <x:v>416</x:v>
      </x:c>
      <x:c r="I2120" s="12" t="n">
        <x:v>7</x:v>
      </x:c>
      <x:c r="J2120" s="12" t="n">
        <x:v>1</x:v>
      </x:c>
    </x:row>
    <x:row r="2121" ht="18" customHeight="1">
      <x:c r="A2121" s="13" t="n">
        <x:v>45765</x:v>
      </x:c>
      <x:c r="B2121" s="12" t="n">
        <x:v>3772.523</x:v>
      </x:c>
      <x:c r="C2121" s="12" t="n">
        <x:v>3772.2221</x:v>
      </x:c>
      <x:c r="D2121" s="12" t="n">
        <x:v>0.008</x:v>
      </x:c>
      <x:c r="E2121" s="12" t="n">
        <x:v>0.00007976412620213683</x:v>
      </x:c>
      <x:c r="F2121" s="13" t="n">
        <x:v>45764</x:v>
      </x:c>
      <x:c r="G2121" s="12" t="n">
        <x:v>4.02</x:v>
      </x:c>
      <x:c r="H2121" s="12" t="n">
        <x:v>401.99999999999994</x:v>
      </x:c>
      <x:c r="I2121" s="12" t="n">
        <x:v>-14.000000000000057</x:v>
      </x:c>
      <x:c r="J2121" s="12" t="n">
        <x:v>1</x:v>
      </x:c>
    </x:row>
    <x:row r="2122" ht="18" customHeight="1">
      <x:c r="A2122" s="13" t="n">
        <x:v>45768</x:v>
      </x:c>
      <x:c r="B2122" s="12" t="n">
        <x:v>3784.8806</x:v>
      </x:c>
      <x:c r="C2122" s="12" t="n">
        <x:v>3772.523</x:v>
      </x:c>
      <x:c r="D2122" s="12" t="n">
        <x:v>0.3276</x:v>
      </x:c>
      <x:c r="E2122" s="12" t="n">
        <x:v>0.003270332423105079</x:v>
      </x:c>
      <x:c r="F2122" s="13" t="n">
        <x:v>45764</x:v>
      </x:c>
      <x:c r="G2122" s="12" t="n">
        <x:v>4.02</x:v>
      </x:c>
      <x:c r="H2122" s="12" t="n">
        <x:v>401.99999999999994</x:v>
      </x:c>
      <x:c r="I2122" s="12" t="n">
        <x:v>-14.000000000000057</x:v>
      </x:c>
      <x:c r="J2122" s="12" t="n">
        <x:v>4</x:v>
      </x:c>
    </x:row>
    <x:row r="2123" ht="18" customHeight="1">
      <x:c r="A2123" s="13" t="n">
        <x:v>45769</x:v>
      </x:c>
      <x:c r="B2123" s="12" t="n">
        <x:v>3783.9522</x:v>
      </x:c>
      <x:c r="C2123" s="12" t="n">
        <x:v>3784.8806</x:v>
      </x:c>
      <x:c r="D2123" s="12" t="n">
        <x:v>-0.0245</x:v>
      </x:c>
      <x:c r="E2123" s="12" t="n">
        <x:v>-0.000245321842664046</x:v>
      </x:c>
      <x:c r="F2123" s="13" t="n">
        <x:v>45768</x:v>
      </x:c>
      <x:c r="G2123" s="12" t="n">
        <x:v>4.16</x:v>
      </x:c>
      <x:c r="H2123" s="12" t="n">
        <x:v>416</x:v>
      </x:c>
      <x:c r="I2123" s="12" t="n">
        <x:v>14.000000000000057</x:v>
      </x:c>
      <x:c r="J2123" s="12" t="n">
        <x:v>1</x:v>
      </x:c>
    </x:row>
    <x:row r="2124" ht="18" customHeight="1">
      <x:c r="A2124" s="13" t="n">
        <x:v>45770</x:v>
      </x:c>
      <x:c r="B2124" s="12" t="n">
        <x:v>3786.8824</x:v>
      </x:c>
      <x:c r="C2124" s="12" t="n">
        <x:v>3783.9522</x:v>
      </x:c>
      <x:c r="D2124" s="12" t="n">
        <x:v>0.0774</x:v>
      </x:c>
      <x:c r="E2124" s="12" t="n">
        <x:v>0.0007740758585090369</x:v>
      </x:c>
      <x:c r="F2124" s="13" t="n">
        <x:v>45769</x:v>
      </x:c>
      <x:c r="G2124" s="12" t="n">
        <x:v>3.99</x:v>
      </x:c>
      <x:c r="H2124" s="12" t="n">
        <x:v>399</x:v>
      </x:c>
      <x:c r="I2124" s="12" t="n">
        <x:v>-17</x:v>
      </x:c>
      <x:c r="J2124" s="12" t="n">
        <x:v>1</x:v>
      </x:c>
    </x:row>
    <x:row r="2125" ht="18" customHeight="1">
      <x:c r="A2125" s="13" t="n">
        <x:v>45771</x:v>
      </x:c>
      <x:c r="B2125" s="12" t="n">
        <x:v>3784.3574</x:v>
      </x:c>
      <x:c r="C2125" s="12" t="n">
        <x:v>3786.8824</x:v>
      </x:c>
      <x:c r="D2125" s="12" t="n">
        <x:v>-0.0667</x:v>
      </x:c>
      <x:c r="E2125" s="12" t="n">
        <x:v>-0.0006669977864422178</x:v>
      </x:c>
      <x:c r="F2125" s="13" t="n">
        <x:v>45770</x:v>
      </x:c>
      <x:c r="G2125" s="12" t="n">
        <x:v>3.75</x:v>
      </x:c>
      <x:c r="H2125" s="12" t="n">
        <x:v>375</x:v>
      </x:c>
      <x:c r="I2125" s="12" t="n">
        <x:v>-24</x:v>
      </x:c>
      <x:c r="J2125" s="12" t="n">
        <x:v>1</x:v>
      </x:c>
    </x:row>
    <x:row r="2126" ht="18" customHeight="1">
      <x:c r="A2126" s="13" t="n">
        <x:v>45772</x:v>
      </x:c>
      <x:c r="B2126" s="12" t="n">
        <x:v>3786.9937</x:v>
      </x:c>
      <x:c r="C2126" s="12" t="n">
        <x:v>3784.3574</x:v>
      </x:c>
      <x:c r="D2126" s="12" t="n">
        <x:v>0.0697</x:v>
      </x:c>
      <x:c r="E2126" s="12" t="n">
        <x:v>0.0006963882857158247</x:v>
      </x:c>
      <x:c r="F2126" s="13" t="n">
        <x:v>45771</x:v>
      </x:c>
      <x:c r="G2126" s="12" t="n">
        <x:v>3.73</x:v>
      </x:c>
      <x:c r="H2126" s="12" t="n">
        <x:v>373</x:v>
      </x:c>
      <x:c r="I2126" s="12" t="n">
        <x:v>-2</x:v>
      </x:c>
      <x:c r="J2126" s="12" t="n">
        <x:v>1</x:v>
      </x:c>
    </x:row>
    <x:row r="2127" ht="18" customHeight="1">
      <x:c r="A2127" s="13" t="n">
        <x:v>45775</x:v>
      </x:c>
      <x:c r="B2127" s="12" t="n">
        <x:v>3781.6188</x:v>
      </x:c>
      <x:c r="C2127" s="12" t="n">
        <x:v>3786.9937</x:v>
      </x:c>
      <x:c r="D2127" s="12" t="n">
        <x:v>-0.1419</x:v>
      </x:c>
      <x:c r="E2127" s="12" t="n">
        <x:v>-0.0014203134071299587</x:v>
      </x:c>
      <x:c r="F2127" s="13" t="n">
        <x:v>45772</x:v>
      </x:c>
      <x:c r="G2127" s="12" t="n">
        <x:v>3.67</x:v>
      </x:c>
      <x:c r="H2127" s="12" t="n">
        <x:v>367</x:v>
      </x:c>
      <x:c r="I2127" s="12" t="n">
        <x:v>-6</x:v>
      </x:c>
      <x:c r="J2127" s="12" t="n">
        <x:v>3</x:v>
      </x:c>
    </x:row>
    <x:row r="2128" ht="18" customHeight="1">
      <x:c r="A2128" s="13" t="n">
        <x:v>45776</x:v>
      </x:c>
      <x:c r="B2128" s="12" t="n">
        <x:v>3775.0767</x:v>
      </x:c>
      <x:c r="C2128" s="12" t="n">
        <x:v>3781.6188</x:v>
      </x:c>
      <x:c r="D2128" s="12" t="n">
        <x:v>-0.173</x:v>
      </x:c>
      <x:c r="E2128" s="12" t="n">
        <x:v>-0.0017314715498146472</x:v>
      </x:c>
      <x:c r="F2128" s="13" t="n">
        <x:v>45775</x:v>
      </x:c>
      <x:c r="G2128" s="12" t="n">
        <x:v>3.73</x:v>
      </x:c>
      <x:c r="H2128" s="12" t="n">
        <x:v>373</x:v>
      </x:c>
      <x:c r="I2128" s="12" t="n">
        <x:v>6</x:v>
      </x:c>
      <x:c r="J2128" s="12" t="n">
        <x:v>1</x:v>
      </x:c>
    </x:row>
    <x:row r="2129" ht="18" customHeight="1">
      <x:c r="A2129" s="13" t="n">
        <x:v>45777</x:v>
      </x:c>
      <x:c r="B2129" s="12" t="n">
        <x:v>3770.5705</x:v>
      </x:c>
      <x:c r="C2129" s="12" t="n">
        <x:v>3775.0767</x:v>
      </x:c>
      <x:c r="D2129" s="12" t="n">
        <x:v>-0.1194</x:v>
      </x:c>
      <x:c r="E2129" s="12" t="n">
        <x:v>-0.0011943841041746196</x:v>
      </x:c>
      <x:c r="F2129" s="13" t="n">
        <x:v>45776</x:v>
      </x:c>
      <x:c r="G2129" s="12" t="n">
        <x:v>3.74</x:v>
      </x:c>
      <x:c r="H2129" s="12" t="n">
        <x:v>374</x:v>
      </x:c>
      <x:c r="I2129" s="12" t="n">
        <x:v>1</x:v>
      </x:c>
      <x:c r="J2129" s="12" t="n">
        <x:v>1</x:v>
      </x:c>
    </x:row>
    <x:row r="2130" ht="18" customHeight="1">
      <x:c r="A2130" s="13" t="n">
        <x:v>45783</x:v>
      </x:c>
      <x:c r="B2130" s="12" t="n">
        <x:v>3808.5424</x:v>
      </x:c>
      <x:c r="C2130" s="12" t="n">
        <x:v>3770.5705</x:v>
      </x:c>
      <x:c r="D2130" s="12" t="n">
        <x:v>1.0071</x:v>
      </x:c>
      <x:c r="E2130" s="12" t="n">
        <x:v>0.010020227489523251</x:v>
      </x:c>
      <x:c r="F2130" s="13" t="n">
        <x:v>45782</x:v>
      </x:c>
      <x:c r="G2130" s="12" t="n">
        <x:v>3.6</x:v>
      </x:c>
      <x:c r="H2130" s="12" t="n">
        <x:v>360</x:v>
      </x:c>
      <x:c r="I2130" s="12" t="n">
        <x:v>0</x:v>
      </x:c>
      <x:c r="J2130" s="12" t="n">
        <x:v>1</x:v>
      </x:c>
    </x:row>
    <x:row r="2131" ht="18" customHeight="1">
      <x:c r="A2131" s="13" t="n">
        <x:v>45784</x:v>
      </x:c>
      <x:c r="B2131" s="12" t="n">
        <x:v>3831.627</x:v>
      </x:c>
      <x:c r="C2131" s="12" t="n">
        <x:v>3808.5424</x:v>
      </x:c>
      <x:c r="D2131" s="12" t="n">
        <x:v>0.6061</x:v>
      </x:c>
      <x:c r="E2131" s="12" t="n">
        <x:v>0.006042973405624675</x:v>
      </x:c>
      <x:c r="F2131" s="13" t="n">
        <x:v>45783</x:v>
      </x:c>
      <x:c r="G2131" s="12" t="n">
        <x:v>3.66</x:v>
      </x:c>
      <x:c r="H2131" s="12" t="n">
        <x:v>366</x:v>
      </x:c>
      <x:c r="I2131" s="12" t="n">
        <x:v>6</x:v>
      </x:c>
      <x:c r="J2131" s="12" t="n">
        <x:v>1</x:v>
      </x:c>
    </x:row>
    <x:row r="2132" ht="18" customHeight="1">
      <x:c r="A2132" s="13" t="n">
        <x:v>45785</x:v>
      </x:c>
      <x:c r="B2132" s="12" t="n">
        <x:v>3852.8963</x:v>
      </x:c>
      <x:c r="C2132" s="12" t="n">
        <x:v>3831.627</x:v>
      </x:c>
      <x:c r="D2132" s="12" t="n">
        <x:v>0.5551</x:v>
      </x:c>
      <x:c r="E2132" s="12" t="n">
        <x:v>0.005535634022564487</x:v>
      </x:c>
      <x:c r="F2132" s="13" t="n">
        <x:v>45784</x:v>
      </x:c>
      <x:c r="G2132" s="12" t="n">
        <x:v>3.67</x:v>
      </x:c>
      <x:c r="H2132" s="12" t="n">
        <x:v>367</x:v>
      </x:c>
      <x:c r="I2132" s="12" t="n">
        <x:v>1</x:v>
      </x:c>
      <x:c r="J2132" s="12" t="n">
        <x:v>1</x:v>
      </x:c>
    </x:row>
    <x:row r="2133" ht="18" customHeight="1">
      <x:c r="A2133" s="13" t="n">
        <x:v>45786</x:v>
      </x:c>
      <x:c r="B2133" s="12" t="n">
        <x:v>3846.1566</x:v>
      </x:c>
      <x:c r="C2133" s="12" t="n">
        <x:v>3852.8963</x:v>
      </x:c>
      <x:c r="D2133" s="12" t="n">
        <x:v>-0.1749</x:v>
      </x:c>
      <x:c r="E2133" s="12" t="n">
        <x:v>-0.00175078722256223</x:v>
      </x:c>
      <x:c r="F2133" s="13" t="n">
        <x:v>45785</x:v>
      </x:c>
      <x:c r="G2133" s="12" t="n">
        <x:v>3.51</x:v>
      </x:c>
      <x:c r="H2133" s="12" t="n">
        <x:v>351</x:v>
      </x:c>
      <x:c r="I2133" s="12" t="n">
        <x:v>-16</x:v>
      </x:c>
      <x:c r="J2133" s="12" t="n">
        <x:v>1</x:v>
      </x:c>
    </x:row>
    <x:row r="2134" ht="18" customHeight="1">
      <x:c r="A2134" s="13" t="n">
        <x:v>45789</x:v>
      </x:c>
      <x:c r="B2134" s="12" t="n">
        <x:v>3890.6096</x:v>
      </x:c>
      <x:c r="C2134" s="12" t="n">
        <x:v>3846.1566</x:v>
      </x:c>
      <x:c r="D2134" s="12" t="n">
        <x:v>1.1558</x:v>
      </x:c>
      <x:c r="E2134" s="12" t="n">
        <x:v>0.011491490897917114</x:v>
      </x:c>
      <x:c r="F2134" s="13" t="n">
        <x:v>45786</x:v>
      </x:c>
      <x:c r="G2134" s="12" t="n">
        <x:v>3.53</x:v>
      </x:c>
      <x:c r="H2134" s="12" t="n">
        <x:v>353</x:v>
      </x:c>
      <x:c r="I2134" s="12" t="n">
        <x:v>2</x:v>
      </x:c>
      <x:c r="J2134" s="12" t="n">
        <x:v>3</x:v>
      </x:c>
    </x:row>
    <x:row r="2135" ht="18" customHeight="1">
      <x:c r="A2135" s="13" t="n">
        <x:v>45790</x:v>
      </x:c>
      <x:c r="B2135" s="12" t="n">
        <x:v>3896.2583</x:v>
      </x:c>
      <x:c r="C2135" s="12" t="n">
        <x:v>3890.6096</x:v>
      </x:c>
      <x:c r="D2135" s="12" t="n">
        <x:v>0.1452</x:v>
      </x:c>
      <x:c r="E2135" s="12" t="n">
        <x:v>0.0014508274863194843</x:v>
      </x:c>
      <x:c r="F2135" s="13" t="n">
        <x:v>45789</x:v>
      </x:c>
      <x:c r="G2135" s="12" t="n">
        <x:v>3.15</x:v>
      </x:c>
      <x:c r="H2135" s="12" t="n">
        <x:v>315</x:v>
      </x:c>
      <x:c r="I2135" s="12" t="n">
        <x:v>-38</x:v>
      </x:c>
      <x:c r="J2135" s="12" t="n">
        <x:v>1</x:v>
      </x:c>
    </x:row>
    <x:row r="2136" ht="18" customHeight="1">
      <x:c r="A2136" s="13" t="n">
        <x:v>45791</x:v>
      </x:c>
      <x:c r="B2136" s="12" t="n">
        <x:v>3943.2108</x:v>
      </x:c>
      <x:c r="C2136" s="12" t="n">
        <x:v>3896.2583</x:v>
      </x:c>
      <x:c r="D2136" s="12" t="n">
        <x:v>1.2051</x:v>
      </x:c>
      <x:c r="E2136" s="12" t="n">
        <x:v>0.0119786329469608</x:v>
      </x:c>
      <x:c r="F2136" s="13" t="n">
        <x:v>45790</x:v>
      </x:c>
      <x:c r="G2136" s="12" t="n">
        <x:v>3.09</x:v>
      </x:c>
      <x:c r="H2136" s="12" t="n">
        <x:v>309</x:v>
      </x:c>
      <x:c r="I2136" s="12" t="n">
        <x:v>-6</x:v>
      </x:c>
      <x:c r="J2136" s="12" t="n">
        <x:v>1</x:v>
      </x:c>
    </x:row>
    <x:row r="2137" ht="18" customHeight="1">
      <x:c r="A2137" s="13" t="n">
        <x:v>45792</x:v>
      </x:c>
      <x:c r="B2137" s="12" t="n">
        <x:v>3907.1992</x:v>
      </x:c>
      <x:c r="C2137" s="12" t="n">
        <x:v>3943.2108</x:v>
      </x:c>
      <x:c r="D2137" s="12" t="n">
        <x:v>-0.9133</x:v>
      </x:c>
      <x:c r="E2137" s="12" t="n">
        <x:v>-0.009174515113527595</x:v>
      </x:c>
      <x:c r="F2137" s="13" t="n">
        <x:v>45791</x:v>
      </x:c>
      <x:c r="G2137" s="12" t="n">
        <x:v>3.1</x:v>
      </x:c>
      <x:c r="H2137" s="12" t="n">
        <x:v>310</x:v>
      </x:c>
      <x:c r="I2137" s="12" t="n">
        <x:v>1</x:v>
      </x:c>
      <x:c r="J2137" s="12" t="n">
        <x:v>1</x:v>
      </x:c>
    </x:row>
    <x:row r="2138" ht="18" customHeight="1">
      <x:c r="A2138" s="13" t="n">
        <x:v>45793</x:v>
      </x:c>
      <x:c r="B2138" s="12" t="n">
        <x:v>3889.0854</x:v>
      </x:c>
      <x:c r="C2138" s="12" t="n">
        <x:v>3907.1992</x:v>
      </x:c>
      <x:c r="D2138" s="12" t="n">
        <x:v>-0.4636</x:v>
      </x:c>
      <x:c r="E2138" s="12" t="n">
        <x:v>-0.004646785878926658</x:v>
      </x:c>
      <x:c r="F2138" s="13" t="n">
        <x:v>45792</x:v>
      </x:c>
      <x:c r="G2138" s="12" t="n">
        <x:v>3.2</x:v>
      </x:c>
      <x:c r="H2138" s="12" t="n">
        <x:v>320</x:v>
      </x:c>
      <x:c r="I2138" s="12" t="n">
        <x:v>10</x:v>
      </x:c>
      <x:c r="J2138" s="12" t="n">
        <x:v>1</x:v>
      </x:c>
    </x:row>
    <x:row r="2139" ht="18" customHeight="1">
      <x:c r="A2139" s="13" t="n">
        <x:v>45796</x:v>
      </x:c>
      <x:c r="B2139" s="12" t="n">
        <x:v>3877.1453</x:v>
      </x:c>
      <x:c r="C2139" s="12" t="n">
        <x:v>3889.0854</x:v>
      </x:c>
      <x:c r="D2139" s="12" t="n">
        <x:v>-0.307</x:v>
      </x:c>
      <x:c r="E2139" s="12" t="n">
        <x:v>-0.0030748788875620053</x:v>
      </x:c>
      <x:c r="F2139" s="13" t="n">
        <x:v>45793</x:v>
      </x:c>
      <x:c r="G2139" s="12" t="n">
        <x:v>3.16</x:v>
      </x:c>
      <x:c r="H2139" s="12" t="n">
        <x:v>316</x:v>
      </x:c>
      <x:c r="I2139" s="12" t="n">
        <x:v>-4</x:v>
      </x:c>
      <x:c r="J2139" s="12" t="n">
        <x:v>3</x:v>
      </x:c>
    </x:row>
    <x:row r="2140" ht="18" customHeight="1">
      <x:c r="A2140" s="13" t="n">
        <x:v>45797</x:v>
      </x:c>
      <x:c r="B2140" s="12" t="n">
        <x:v>3898.1705</x:v>
      </x:c>
      <x:c r="C2140" s="12" t="n">
        <x:v>3877.1453</x:v>
      </x:c>
      <x:c r="D2140" s="12" t="n">
        <x:v>0.5423</x:v>
      </x:c>
      <x:c r="E2140" s="12" t="n">
        <x:v>0.005408205090934483</x:v>
      </x:c>
      <x:c r="F2140" s="13" t="n">
        <x:v>45796</x:v>
      </x:c>
      <x:c r="G2140" s="12" t="n">
        <x:v>3.21</x:v>
      </x:c>
      <x:c r="H2140" s="12" t="n">
        <x:v>321</x:v>
      </x:c>
      <x:c r="I2140" s="12" t="n">
        <x:v>5</x:v>
      </x:c>
      <x:c r="J2140" s="12" t="n">
        <x:v>1</x:v>
      </x:c>
    </x:row>
    <x:row r="2141" ht="18" customHeight="1">
      <x:c r="A2141" s="13" t="n">
        <x:v>45798</x:v>
      </x:c>
      <x:c r="B2141" s="12" t="n">
        <x:v>3916.3807</x:v>
      </x:c>
      <x:c r="C2141" s="12" t="n">
        <x:v>3898.1705</x:v>
      </x:c>
      <x:c r="D2141" s="12" t="n">
        <x:v>0.4671</x:v>
      </x:c>
      <x:c r="E2141" s="12" t="n">
        <x:v>0.0046605959820707294</x:v>
      </x:c>
      <x:c r="F2141" s="13" t="n">
        <x:v>45797</x:v>
      </x:c>
      <x:c r="G2141" s="12" t="n">
        <x:v>3.2</x:v>
      </x:c>
      <x:c r="H2141" s="12" t="n">
        <x:v>320</x:v>
      </x:c>
      <x:c r="I2141" s="12" t="n">
        <x:v>-1</x:v>
      </x:c>
      <x:c r="J2141" s="12" t="n">
        <x:v>1</x:v>
      </x:c>
    </x:row>
    <x:row r="2142" ht="18" customHeight="1">
      <x:c r="A2142" s="13" t="n">
        <x:v>45799</x:v>
      </x:c>
      <x:c r="B2142" s="12" t="n">
        <x:v>3913.8651</x:v>
      </x:c>
      <x:c r="C2142" s="12" t="n">
        <x:v>3916.3807</x:v>
      </x:c>
      <x:c r="D2142" s="12" t="n">
        <x:v>-0.0642</x:v>
      </x:c>
      <x:c r="E2142" s="12" t="n">
        <x:v>-0.0006425341300390055</x:v>
      </x:c>
      <x:c r="F2142" s="13" t="n">
        <x:v>45798</x:v>
      </x:c>
      <x:c r="G2142" s="12" t="n">
        <x:v>3.25</x:v>
      </x:c>
      <x:c r="H2142" s="12" t="n">
        <x:v>325</x:v>
      </x:c>
      <x:c r="I2142" s="12" t="n">
        <x:v>5</x:v>
      </x:c>
      <x:c r="J2142" s="12" t="n">
        <x:v>1</x:v>
      </x:c>
    </x:row>
    <x:row r="2143" ht="18" customHeight="1">
      <x:c r="A2143" s="13" t="n">
        <x:v>45800</x:v>
      </x:c>
      <x:c r="B2143" s="12" t="n">
        <x:v>3882.2741</x:v>
      </x:c>
      <x:c r="C2143" s="12" t="n">
        <x:v>3913.8651</x:v>
      </x:c>
      <x:c r="D2143" s="12" t="n">
        <x:v>-0.8072</x:v>
      </x:c>
      <x:c r="E2143" s="12" t="n">
        <x:v>-0.00810431217224979</x:v>
      </x:c>
      <x:c r="F2143" s="13" t="n">
        <x:v>45799</x:v>
      </x:c>
      <x:c r="G2143" s="12" t="n">
        <x:v>3.32</x:v>
      </x:c>
      <x:c r="H2143" s="12" t="n">
        <x:v>332</x:v>
      </x:c>
      <x:c r="I2143" s="12" t="n">
        <x:v>7</x:v>
      </x:c>
      <x:c r="J2143" s="12" t="n">
        <x:v>1</x:v>
      </x:c>
    </x:row>
    <x:row r="2144" ht="18" customHeight="1">
      <x:c r="A2144" s="13" t="n">
        <x:v>45803</x:v>
      </x:c>
      <x:c r="B2144" s="12" t="n">
        <x:v>3860.1067</x:v>
      </x:c>
      <x:c r="C2144" s="12" t="n">
        <x:v>3882.2741</x:v>
      </x:c>
      <x:c r="D2144" s="12" t="n">
        <x:v>-0.571</x:v>
      </x:c>
      <x:c r="E2144" s="12" t="n">
        <x:v>-0.005726264606510733</x:v>
      </x:c>
      <x:c r="F2144" s="13" t="n">
        <x:v>45800</x:v>
      </x:c>
      <x:c r="G2144" s="12" t="n">
        <x:v>3.4</x:v>
      </x:c>
      <x:c r="H2144" s="12" t="n">
        <x:v>340</x:v>
      </x:c>
      <x:c r="I2144" s="12" t="n">
        <x:v>8</x:v>
      </x:c>
      <x:c r="J2144" s="12" t="n">
        <x:v>3</x:v>
      </x:c>
    </x:row>
    <x:row r="2145" ht="18" customHeight="1">
      <x:c r="A2145" s="13" t="n">
        <x:v>45804</x:v>
      </x:c>
      <x:c r="B2145" s="12" t="n">
        <x:v>3839.3969</x:v>
      </x:c>
      <x:c r="C2145" s="12" t="n">
        <x:v>3860.1067</x:v>
      </x:c>
      <x:c r="D2145" s="12" t="n">
        <x:v>-0.5365</x:v>
      </x:c>
      <x:c r="E2145" s="12" t="n">
        <x:v>-0.005379528608558668</x:v>
      </x:c>
      <x:c r="F2145" s="13" t="n">
        <x:v>45803</x:v>
      </x:c>
      <x:c r="G2145" s="12" t="n">
        <x:v>3.4</x:v>
      </x:c>
      <x:c r="H2145" s="12" t="n">
        <x:v>340</x:v>
      </x:c>
      <x:c r="I2145" s="12" t="n">
        <x:v>0</x:v>
      </x:c>
      <x:c r="J2145" s="12" t="n">
        <x:v>1</x:v>
      </x:c>
    </x:row>
    <x:row r="2146" ht="18" customHeight="1">
      <x:c r="A2146" s="13" t="n">
        <x:v>45805</x:v>
      </x:c>
      <x:c r="B2146" s="12" t="n">
        <x:v>3836.2366</x:v>
      </x:c>
      <x:c r="C2146" s="12" t="n">
        <x:v>3839.3969</x:v>
      </x:c>
      <x:c r="D2146" s="12" t="n">
        <x:v>-0.0823</x:v>
      </x:c>
      <x:c r="E2146" s="12" t="n">
        <x:v>-0.0008234630219332806</x:v>
      </x:c>
      <x:c r="F2146" s="13" t="n">
        <x:v>45804</x:v>
      </x:c>
      <x:c r="G2146" s="12" t="n">
        <x:v>3.24</x:v>
      </x:c>
      <x:c r="H2146" s="12" t="n">
        <x:v>324</x:v>
      </x:c>
      <x:c r="I2146" s="12" t="n">
        <x:v>-16</x:v>
      </x:c>
      <x:c r="J2146" s="12" t="n">
        <x:v>1</x:v>
      </x:c>
    </x:row>
    <x:row r="2147" ht="18" customHeight="1">
      <x:c r="A2147" s="13" t="n">
        <x:v>45806</x:v>
      </x:c>
      <x:c r="B2147" s="12" t="n">
        <x:v>3858.6998</x:v>
      </x:c>
      <x:c r="C2147" s="12" t="n">
        <x:v>3836.2366</x:v>
      </x:c>
      <x:c r="D2147" s="12" t="n">
        <x:v>0.5856</x:v>
      </x:c>
      <x:c r="E2147" s="12" t="n">
        <x:v>0.005838453404127622</x:v>
      </x:c>
      <x:c r="F2147" s="13" t="n">
        <x:v>45805</x:v>
      </x:c>
      <x:c r="G2147" s="12" t="n">
        <x:v>3.23</x:v>
      </x:c>
      <x:c r="H2147" s="12" t="n">
        <x:v>323</x:v>
      </x:c>
      <x:c r="I2147" s="12" t="n">
        <x:v>-1</x:v>
      </x:c>
      <x:c r="J2147" s="12" t="n">
        <x:v>1</x:v>
      </x:c>
    </x:row>
    <x:row r="2148" ht="18" customHeight="1">
      <x:c r="A2148" s="13" t="n">
        <x:v>45807</x:v>
      </x:c>
      <x:c r="B2148" s="12" t="n">
        <x:v>3840.2323</x:v>
      </x:c>
      <x:c r="C2148" s="12" t="n">
        <x:v>3858.6998</x:v>
      </x:c>
      <x:c r="D2148" s="12" t="n">
        <x:v>-0.4786</x:v>
      </x:c>
      <x:c r="E2148" s="12" t="n">
        <x:v>-0.004797427793809138</x:v>
      </x:c>
      <x:c r="F2148" s="13" t="n">
        <x:v>45806</x:v>
      </x:c>
      <x:c r="G2148" s="12" t="n">
        <x:v>3.22</x:v>
      </x:c>
      <x:c r="H2148" s="12" t="n">
        <x:v>322</x:v>
      </x:c>
      <x:c r="I2148" s="12" t="n">
        <x:v>-1</x:v>
      </x:c>
      <x:c r="J2148" s="12" t="n">
        <x:v>1</x:v>
      </x:c>
    </x:row>
    <x:row r="2149" ht="18" customHeight="1">
      <x:c r="A2149" s="13" t="n">
        <x:v>45811</x:v>
      </x:c>
      <x:c r="B2149" s="12" t="n">
        <x:v>3852.0127</x:v>
      </x:c>
      <x:c r="C2149" s="12" t="n">
        <x:v>3840.2323</x:v>
      </x:c>
      <x:c r="D2149" s="12" t="n">
        <x:v>0.3068</x:v>
      </x:c>
      <x:c r="E2149" s="12" t="n">
        <x:v>0.003062931357455309</x:v>
      </x:c>
      <x:c r="F2149" s="13" t="n">
        <x:v>45810</x:v>
      </x:c>
      <x:c r="G2149" s="12" t="n">
        <x:v>3.27</x:v>
      </x:c>
      <x:c r="H2149" s="12" t="n">
        <x:v>327</x:v>
      </x:c>
      <x:c r="I2149" s="12" t="n">
        <x:v>-5</x:v>
      </x:c>
      <x:c r="J2149" s="12" t="n">
        <x:v>1</x:v>
      </x:c>
    </x:row>
    <x:row r="2150" ht="18" customHeight="1">
      <x:c r="A2150" s="13" t="n">
        <x:v>45812</x:v>
      </x:c>
      <x:c r="B2150" s="12" t="n">
        <x:v>3868.7429</x:v>
      </x:c>
      <x:c r="C2150" s="12" t="n">
        <x:v>3852.0127</x:v>
      </x:c>
      <x:c r="D2150" s="12" t="n">
        <x:v>0.4343</x:v>
      </x:c>
      <x:c r="E2150" s="12" t="n">
        <x:v>0.004333831311970103</x:v>
      </x:c>
      <x:c r="F2150" s="13" t="n">
        <x:v>45811</x:v>
      </x:c>
      <x:c r="G2150" s="12" t="n">
        <x:v>3.19</x:v>
      </x:c>
      <x:c r="H2150" s="12" t="n">
        <x:v>319</x:v>
      </x:c>
      <x:c r="I2150" s="12" t="n">
        <x:v>-8</x:v>
      </x:c>
      <x:c r="J2150" s="12" t="n">
        <x:v>1</x:v>
      </x:c>
    </x:row>
    <x:row r="2151" ht="18" customHeight="1">
      <x:c r="A2151" s="13" t="n">
        <x:v>45813</x:v>
      </x:c>
      <x:c r="B2151" s="12" t="n">
        <x:v>3877.5557</x:v>
      </x:c>
      <x:c r="C2151" s="12" t="n">
        <x:v>3868.7429</x:v>
      </x:c>
      <x:c r="D2151" s="12" t="n">
        <x:v>0.2278</x:v>
      </x:c>
      <x:c r="E2151" s="12" t="n">
        <x:v>0.002275358660244949</x:v>
      </x:c>
      <x:c r="F2151" s="13" t="n">
        <x:v>45812</x:v>
      </x:c>
      <x:c r="G2151" s="12" t="n">
        <x:v>3.23</x:v>
      </x:c>
      <x:c r="H2151" s="12" t="n">
        <x:v>323</x:v>
      </x:c>
      <x:c r="I2151" s="12" t="n">
        <x:v>4</x:v>
      </x:c>
      <x:c r="J2151" s="12" t="n">
        <x:v>1</x:v>
      </x:c>
    </x:row>
    <x:row r="2152" ht="18" customHeight="1">
      <x:c r="A2152" s="13" t="n">
        <x:v>45814</x:v>
      </x:c>
      <x:c r="B2152" s="12" t="n">
        <x:v>3873.9841</x:v>
      </x:c>
      <x:c r="C2152" s="12" t="n">
        <x:v>3877.5557</x:v>
      </x:c>
      <x:c r="D2152" s="12" t="n">
        <x:v>-0.0921</x:v>
      </x:c>
      <x:c r="E2152" s="12" t="n">
        <x:v>-0.0009215201998316871</x:v>
      </x:c>
      <x:c r="F2152" s="13" t="n">
        <x:v>45813</x:v>
      </x:c>
      <x:c r="G2152" s="12" t="n">
        <x:v>3.18</x:v>
      </x:c>
      <x:c r="H2152" s="12" t="n">
        <x:v>318</x:v>
      </x:c>
      <x:c r="I2152" s="12" t="n">
        <x:v>-5</x:v>
      </x:c>
      <x:c r="J2152" s="12" t="n">
        <x:v>1</x:v>
      </x:c>
    </x:row>
    <x:row r="2153" ht="18" customHeight="1">
      <x:c r="A2153" s="13" t="n">
        <x:v>45817</x:v>
      </x:c>
      <x:c r="B2153" s="12" t="n">
        <x:v>3885.2459</x:v>
      </x:c>
      <x:c r="C2153" s="12" t="n">
        <x:v>3873.9841</x:v>
      </x:c>
      <x:c r="D2153" s="12" t="n">
        <x:v>0.2907</x:v>
      </x:c>
      <x:c r="E2153" s="12" t="n">
        <x:v>0.0029028158484742258</x:v>
      </x:c>
      <x:c r="F2153" s="13" t="n">
        <x:v>45814</x:v>
      </x:c>
      <x:c r="G2153" s="12" t="n">
        <x:v>3.09</x:v>
      </x:c>
      <x:c r="H2153" s="12" t="n">
        <x:v>309</x:v>
      </x:c>
      <x:c r="I2153" s="12" t="n">
        <x:v>-9</x:v>
      </x:c>
      <x:c r="J2153" s="12" t="n">
        <x:v>3</x:v>
      </x:c>
    </x:row>
    <x:row r="2154" ht="18" customHeight="1">
      <x:c r="A2154" s="13" t="n">
        <x:v>45818</x:v>
      </x:c>
      <x:c r="B2154" s="12" t="n">
        <x:v>3865.4652</x:v>
      </x:c>
      <x:c r="C2154" s="12" t="n">
        <x:v>3885.2459</x:v>
      </x:c>
      <x:c r="D2154" s="12" t="n">
        <x:v>-0.5091</x:v>
      </x:c>
      <x:c r="E2154" s="12" t="n">
        <x:v>-0.005104239518348043</x:v>
      </x:c>
      <x:c r="F2154" s="13" t="n">
        <x:v>45817</x:v>
      </x:c>
      <x:c r="G2154" s="12" t="n">
        <x:v>3.12</x:v>
      </x:c>
      <x:c r="H2154" s="12" t="n">
        <x:v>312</x:v>
      </x:c>
      <x:c r="I2154" s="12" t="n">
        <x:v>3</x:v>
      </x:c>
      <x:c r="J2154" s="12" t="n">
        <x:v>1</x:v>
      </x:c>
    </x:row>
    <x:row r="2155" ht="18" customHeight="1">
      <x:c r="A2155" s="13" t="n">
        <x:v>45819</x:v>
      </x:c>
      <x:c r="B2155" s="12" t="n">
        <x:v>3894.6252</x:v>
      </x:c>
      <x:c r="C2155" s="12" t="n">
        <x:v>3865.4652</x:v>
      </x:c>
      <x:c r="D2155" s="12" t="n">
        <x:v>0.7544</x:v>
      </x:c>
      <x:c r="E2155" s="12" t="n">
        <x:v>0.00751541174048836</x:v>
      </x:c>
      <x:c r="F2155" s="13" t="n">
        <x:v>45818</x:v>
      </x:c>
      <x:c r="G2155" s="12" t="n">
        <x:v>3.12</x:v>
      </x:c>
      <x:c r="H2155" s="12" t="n">
        <x:v>312</x:v>
      </x:c>
      <x:c r="I2155" s="12" t="n">
        <x:v>0</x:v>
      </x:c>
      <x:c r="J2155" s="12" t="n">
        <x:v>1</x:v>
      </x:c>
    </x:row>
    <x:row r="2156" ht="18" customHeight="1">
      <x:c r="A2156" s="13" t="n">
        <x:v>45820</x:v>
      </x:c>
      <x:c r="B2156" s="12" t="n">
        <x:v>3892.1992</x:v>
      </x:c>
      <x:c r="C2156" s="12" t="n">
        <x:v>3894.6252</x:v>
      </x:c>
      <x:c r="D2156" s="12" t="n">
        <x:v>-0.0623</x:v>
      </x:c>
      <x:c r="E2156" s="12" t="n">
        <x:v>-0.0006231038363964183</x:v>
      </x:c>
      <x:c r="F2156" s="13" t="n">
        <x:v>45819</x:v>
      </x:c>
      <x:c r="G2156" s="12" t="n">
        <x:v>3.12</x:v>
      </x:c>
      <x:c r="H2156" s="12" t="n">
        <x:v>312</x:v>
      </x:c>
      <x:c r="I2156" s="12" t="n">
        <x:v>0</x:v>
      </x:c>
      <x:c r="J2156" s="12" t="n">
        <x:v>1</x:v>
      </x:c>
    </x:row>
    <x:row r="2157" ht="18" customHeight="1">
      <x:c r="A2157" s="13" t="n">
        <x:v>45821</x:v>
      </x:c>
      <x:c r="B2157" s="12" t="n">
        <x:v>3864.1822</x:v>
      </x:c>
      <x:c r="C2157" s="12" t="n">
        <x:v>3892.1992</x:v>
      </x:c>
      <x:c r="D2157" s="12" t="n">
        <x:v>-0.7198</x:v>
      </x:c>
      <x:c r="E2157" s="12" t="n">
        <x:v>-0.007224276477919164</x:v>
      </x:c>
      <x:c r="F2157" s="13" t="n">
        <x:v>45820</x:v>
      </x:c>
      <x:c r="G2157" s="12" t="n">
        <x:v>3.17</x:v>
      </x:c>
      <x:c r="H2157" s="12" t="n">
        <x:v>317</x:v>
      </x:c>
      <x:c r="I2157" s="12" t="n">
        <x:v>5</x:v>
      </x:c>
      <x:c r="J2157" s="12" t="n">
        <x:v>1</x:v>
      </x:c>
    </x:row>
    <x:row r="2158" ht="18" customHeight="1">
      <x:c r="A2158" s="13" t="n">
        <x:v>45824</x:v>
      </x:c>
      <x:c r="B2158" s="12" t="n">
        <x:v>3873.7951</x:v>
      </x:c>
      <x:c r="C2158" s="12" t="n">
        <x:v>3864.1822</x:v>
      </x:c>
      <x:c r="D2158" s="12" t="n">
        <x:v>0.2488</x:v>
      </x:c>
      <x:c r="E2158" s="12" t="n">
        <x:v>0.002484604069655626</x:v>
      </x:c>
      <x:c r="F2158" s="13" t="n">
        <x:v>45821</x:v>
      </x:c>
      <x:c r="G2158" s="12" t="n">
        <x:v>3.18</x:v>
      </x:c>
      <x:c r="H2158" s="12" t="n">
        <x:v>318</x:v>
      </x:c>
      <x:c r="I2158" s="12" t="n">
        <x:v>1</x:v>
      </x:c>
      <x:c r="J2158" s="12" t="n">
        <x:v>3</x:v>
      </x:c>
    </x:row>
    <x:row r="2159" ht="18" customHeight="1">
      <x:c r="A2159" s="13" t="n">
        <x:v>45825</x:v>
      </x:c>
      <x:c r="B2159" s="12" t="n">
        <x:v>3870.3786</x:v>
      </x:c>
      <x:c r="C2159" s="12" t="n">
        <x:v>3873.7951</x:v>
      </x:c>
      <x:c r="D2159" s="12" t="n">
        <x:v>-0.0882</x:v>
      </x:c>
      <x:c r="E2159" s="12" t="n">
        <x:v>-0.0008823408032937927</x:v>
      </x:c>
      <x:c r="F2159" s="13" t="n">
        <x:v>45824</x:v>
      </x:c>
      <x:c r="G2159" s="12" t="n">
        <x:v>3.1</x:v>
      </x:c>
      <x:c r="H2159" s="12" t="n">
        <x:v>310</x:v>
      </x:c>
      <x:c r="I2159" s="12" t="n">
        <x:v>-8</x:v>
      </x:c>
      <x:c r="J2159" s="12" t="n">
        <x:v>1</x:v>
      </x:c>
    </x:row>
    <x:row r="2160" ht="18" customHeight="1">
      <x:c r="A2160" s="13" t="n">
        <x:v>45826</x:v>
      </x:c>
      <x:c r="B2160" s="12" t="n">
        <x:v>3874.9708</x:v>
      </x:c>
      <x:c r="C2160" s="12" t="n">
        <x:v>3870.3786</x:v>
      </x:c>
      <x:c r="D2160" s="12" t="n">
        <x:v>0.1186</x:v>
      </x:c>
      <x:c r="E2160" s="12" t="n">
        <x:v>0.0011857955789820504</x:v>
      </x:c>
      <x:c r="F2160" s="13" t="n">
        <x:v>45825</x:v>
      </x:c>
      <x:c r="G2160" s="12" t="n">
        <x:v>3.17</x:v>
      </x:c>
      <x:c r="H2160" s="12" t="n">
        <x:v>317</x:v>
      </x:c>
      <x:c r="I2160" s="12" t="n">
        <x:v>7</x:v>
      </x:c>
      <x:c r="J2160" s="12" t="n">
        <x:v>1</x:v>
      </x:c>
    </x:row>
    <x:row r="2161" ht="18" customHeight="1">
      <x:c r="A2161" s="13" t="n">
        <x:v>45827</x:v>
      </x:c>
      <x:c r="B2161" s="12" t="n">
        <x:v>3843.0912</x:v>
      </x:c>
      <x:c r="C2161" s="12" t="n">
        <x:v>3874.9708</x:v>
      </x:c>
      <x:c r="D2161" s="12" t="n">
        <x:v>-0.8227</x:v>
      </x:c>
      <x:c r="E2161" s="12" t="n">
        <x:v>-0.008261084532130274</x:v>
      </x:c>
      <x:c r="F2161" s="13" t="n">
        <x:v>45826</x:v>
      </x:c>
      <x:c r="G2161" s="12" t="n">
        <x:v>3.16</x:v>
      </x:c>
      <x:c r="H2161" s="12" t="n">
        <x:v>316</x:v>
      </x:c>
      <x:c r="I2161" s="12" t="n">
        <x:v>-1</x:v>
      </x:c>
      <x:c r="J2161" s="12" t="n">
        <x:v>1</x:v>
      </x:c>
    </x:row>
    <x:row r="2162" ht="18" customHeight="1">
      <x:c r="A2162" s="13" t="n">
        <x:v>45828</x:v>
      </x:c>
      <x:c r="B2162" s="12" t="n">
        <x:v>3846.6443</x:v>
      </x:c>
      <x:c r="C2162" s="12" t="n">
        <x:v>3843.0912</x:v>
      </x:c>
      <x:c r="D2162" s="12" t="n">
        <x:v>0.0925</x:v>
      </x:c>
      <x:c r="E2162" s="12" t="n">
        <x:v>0.0009241150759630508</x:v>
      </x:c>
      <x:c r="F2162" s="13" t="n">
        <x:v>45827</x:v>
      </x:c>
      <x:c r="G2162" s="12" t="n">
        <x:v>3.16</x:v>
      </x:c>
      <x:c r="H2162" s="12" t="n">
        <x:v>316</x:v>
      </x:c>
      <x:c r="I2162" s="12" t="n">
        <x:v>0</x:v>
      </x:c>
      <x:c r="J2162" s="12" t="n">
        <x:v>1</x:v>
      </x:c>
    </x:row>
    <x:row r="2163" ht="18" customHeight="1">
      <x:c r="A2163" s="13" t="n">
        <x:v>45831</x:v>
      </x:c>
      <x:c r="B2163" s="12" t="n">
        <x:v>3857.9016</x:v>
      </x:c>
      <x:c r="C2163" s="12" t="n">
        <x:v>3846.6443</x:v>
      </x:c>
      <x:c r="D2163" s="12" t="n">
        <x:v>0.2927</x:v>
      </x:c>
      <x:c r="E2163" s="12" t="n">
        <x:v>0.0029222508781529557</x:v>
      </x:c>
      <x:c r="F2163" s="13" t="n">
        <x:v>45828</x:v>
      </x:c>
      <x:c r="G2163" s="12" t="n">
        <x:v>3.13</x:v>
      </x:c>
      <x:c r="H2163" s="12" t="n">
        <x:v>313</x:v>
      </x:c>
      <x:c r="I2163" s="12" t="n">
        <x:v>-3</x:v>
      </x:c>
      <x:c r="J2163" s="12" t="n">
        <x:v>3</x:v>
      </x:c>
    </x:row>
    <x:row r="2164" ht="18" customHeight="1">
      <x:c r="A2164" s="13" t="n">
        <x:v>45832</x:v>
      </x:c>
      <x:c r="B2164" s="12" t="n">
        <x:v>3904.0342</x:v>
      </x:c>
      <x:c r="C2164" s="12" t="n">
        <x:v>3857.9016</x:v>
      </x:c>
      <x:c r="D2164" s="12" t="n">
        <x:v>1.1958</x:v>
      </x:c>
      <x:c r="E2164" s="12" t="n">
        <x:v>0.011887020043343742</x:v>
      </x:c>
      <x:c r="F2164" s="13" t="n">
        <x:v>45831</x:v>
      </x:c>
      <x:c r="G2164" s="12" t="n">
        <x:v>3.12</x:v>
      </x:c>
      <x:c r="H2164" s="12" t="n">
        <x:v>312</x:v>
      </x:c>
      <x:c r="I2164" s="12" t="n">
        <x:v>-1</x:v>
      </x:c>
      <x:c r="J2164" s="12" t="n">
        <x:v>1</x:v>
      </x:c>
    </x:row>
    <x:row r="2165" ht="18" customHeight="1">
      <x:c r="A2165" s="13" t="n">
        <x:v>45833</x:v>
      </x:c>
      <x:c r="B2165" s="12" t="n">
        <x:v>3960.0662</x:v>
      </x:c>
      <x:c r="C2165" s="12" t="n">
        <x:v>3904.0342</x:v>
      </x:c>
      <x:c r="D2165" s="12" t="n">
        <x:v>1.4352</x:v>
      </x:c>
      <x:c r="E2165" s="12" t="n">
        <x:v>0.014250313539999039</x:v>
      </x:c>
      <x:c r="F2165" s="13" t="n">
        <x:v>45832</x:v>
      </x:c>
      <x:c r="G2165" s="12" t="n">
        <x:v>3.06</x:v>
      </x:c>
      <x:c r="H2165" s="12" t="n">
        <x:v>306</x:v>
      </x:c>
      <x:c r="I2165" s="12" t="n">
        <x:v>-6</x:v>
      </x:c>
      <x:c r="J2165" s="12" t="n">
        <x:v>1</x:v>
      </x:c>
    </x:row>
    <x:row r="2166" ht="18" customHeight="1">
      <x:c r="A2166" s="13" t="n">
        <x:v>45834</x:v>
      </x:c>
      <x:c r="B2166" s="12" t="n">
        <x:v>3946.0195</x:v>
      </x:c>
      <x:c r="C2166" s="12" t="n">
        <x:v>3960.0662</x:v>
      </x:c>
      <x:c r="D2166" s="12" t="n">
        <x:v>-0.3547</x:v>
      </x:c>
      <x:c r="E2166" s="12" t="n">
        <x:v>-0.003553392997035483</x:v>
      </x:c>
      <x:c r="F2166" s="13" t="n">
        <x:v>45833</x:v>
      </x:c>
      <x:c r="G2166" s="12" t="n">
        <x:v>3.04</x:v>
      </x:c>
      <x:c r="H2166" s="12" t="n">
        <x:v>304</x:v>
      </x:c>
      <x:c r="I2166" s="12" t="n">
        <x:v>-2</x:v>
      </x:c>
      <x:c r="J2166" s="12" t="n">
        <x:v>1</x:v>
      </x:c>
    </x:row>
    <x:row r="2167" ht="18" customHeight="1">
      <x:c r="A2167" s="13" t="n">
        <x:v>45835</x:v>
      </x:c>
      <x:c r="B2167" s="12" t="n">
        <x:v>3921.7578</x:v>
      </x:c>
      <x:c r="C2167" s="12" t="n">
        <x:v>3946.0195</x:v>
      </x:c>
      <x:c r="D2167" s="12" t="n">
        <x:v>-0.6148</x:v>
      </x:c>
      <x:c r="E2167" s="12" t="n">
        <x:v>-0.006167377641092893</x:v>
      </x:c>
      <x:c r="F2167" s="13" t="n">
        <x:v>45834</x:v>
      </x:c>
      <x:c r="G2167" s="12" t="n">
        <x:v>3.04</x:v>
      </x:c>
      <x:c r="H2167" s="12" t="n">
        <x:v>304</x:v>
      </x:c>
      <x:c r="I2167" s="12" t="n">
        <x:v>0</x:v>
      </x:c>
      <x:c r="J2167" s="12" t="n">
        <x:v>1</x:v>
      </x:c>
    </x:row>
    <x:row r="2168" ht="18" customHeight="1">
      <x:c r="A2168" s="13" t="n">
        <x:v>45838</x:v>
      </x:c>
      <x:c r="B2168" s="12" t="n">
        <x:v>3936.0791</x:v>
      </x:c>
      <x:c r="C2168" s="12" t="n">
        <x:v>3921.7578</x:v>
      </x:c>
      <x:c r="D2168" s="12" t="n">
        <x:v>0.3652</x:v>
      </x:c>
      <x:c r="E2168" s="12" t="n">
        <x:v>0.0036451038725418333</x:v>
      </x:c>
      <x:c r="F2168" s="13" t="n">
        <x:v>45835</x:v>
      </x:c>
      <x:c r="G2168" s="12" t="n">
        <x:v>3.02</x:v>
      </x:c>
      <x:c r="H2168" s="12" t="n">
        <x:v>302</x:v>
      </x:c>
      <x:c r="I2168" s="12" t="n">
        <x:v>-2</x:v>
      </x:c>
      <x:c r="J2168" s="12" t="n">
        <x:v>3</x:v>
      </x:c>
    </x:row>
    <x:row r="2169" ht="18" customHeight="1">
      <x:c r="A2169" s="13" t="n">
        <x:v>45839</x:v>
      </x:c>
      <x:c r="B2169" s="12" t="n">
        <x:v>3942.762</x:v>
      </x:c>
      <x:c r="C2169" s="12" t="n">
        <x:v>3936.0791</x:v>
      </x:c>
      <x:c r="D2169" s="12" t="n">
        <x:v>0.1698</x:v>
      </x:c>
      <x:c r="E2169" s="12" t="n">
        <x:v>0.0016964174090751496</x:v>
      </x:c>
      <x:c r="F2169" s="13" t="n">
        <x:v>45838</x:v>
      </x:c>
      <x:c r="G2169" s="12" t="n">
        <x:v>2.96</x:v>
      </x:c>
      <x:c r="H2169" s="12" t="n">
        <x:v>296</x:v>
      </x:c>
      <x:c r="I2169" s="12" t="n">
        <x:v>-6</x:v>
      </x:c>
      <x:c r="J2169" s="12" t="n">
        <x:v>1</x:v>
      </x:c>
    </x:row>
    <x:row r="2170" ht="18" customHeight="1">
      <x:c r="A2170" s="13" t="n">
        <x:v>45840</x:v>
      </x:c>
      <x:c r="B2170" s="12" t="n">
        <x:v>3943.6849</x:v>
      </x:c>
      <x:c r="C2170" s="12" t="n">
        <x:v>3942.762</x:v>
      </x:c>
      <x:c r="D2170" s="12" t="n">
        <x:v>0.0234</x:v>
      </x:c>
      <x:c r="E2170" s="12" t="n">
        <x:v>0.00023404709774001539</x:v>
      </x:c>
      <x:c r="F2170" s="13" t="n">
        <x:v>45839</x:v>
      </x:c>
      <x:c r="G2170" s="12" t="n">
        <x:v>2.91</x:v>
      </x:c>
      <x:c r="H2170" s="12" t="n">
        <x:v>291</x:v>
      </x:c>
      <x:c r="I2170" s="12" t="n">
        <x:v>-5</x:v>
      </x:c>
      <x:c r="J2170" s="12" t="n">
        <x:v>1</x:v>
      </x:c>
    </x:row>
    <x:row r="2171" ht="18" customHeight="1">
      <x:c r="A2171" s="13" t="n">
        <x:v>45841</x:v>
      </x:c>
      <x:c r="B2171" s="12" t="n">
        <x:v>3968.0676</x:v>
      </x:c>
      <x:c r="C2171" s="12" t="n">
        <x:v>3943.6849</x:v>
      </x:c>
      <x:c r="D2171" s="12" t="n">
        <x:v>0.6183</x:v>
      </x:c>
      <x:c r="E2171" s="12" t="n">
        <x:v>0.006163685528228147</x:v>
      </x:c>
      <x:c r="F2171" s="13" t="n">
        <x:v>45840</x:v>
      </x:c>
      <x:c r="G2171" s="12" t="n">
        <x:v>2.88</x:v>
      </x:c>
      <x:c r="H2171" s="12" t="n">
        <x:v>288</x:v>
      </x:c>
      <x:c r="I2171" s="12" t="n">
        <x:v>-3</x:v>
      </x:c>
      <x:c r="J2171" s="12" t="n">
        <x:v>1</x:v>
      </x:c>
    </x:row>
    <x:row r="2172" ht="18" customHeight="1">
      <x:c r="A2172" s="13" t="n">
        <x:v>45842</x:v>
      </x:c>
      <x:c r="B2172" s="12" t="n">
        <x:v>3982.2034</x:v>
      </x:c>
      <x:c r="C2172" s="12" t="n">
        <x:v>3968.0676</x:v>
      </x:c>
      <x:c r="D2172" s="12" t="n">
        <x:v>0.3562</x:v>
      </x:c>
      <x:c r="E2172" s="12" t="n">
        <x:v>0.00355605862900712</x:v>
      </x:c>
      <x:c r="F2172" s="13" t="n">
        <x:v>45841</x:v>
      </x:c>
      <x:c r="G2172" s="12" t="n">
        <x:v>2.8</x:v>
      </x:c>
      <x:c r="H2172" s="12" t="n">
        <x:v>280</x:v>
      </x:c>
      <x:c r="I2172" s="12" t="n">
        <x:v>-8</x:v>
      </x:c>
      <x:c r="J2172" s="12" t="n">
        <x:v>1</x:v>
      </x:c>
    </x:row>
    <x:row r="2173" ht="18" customHeight="1">
      <x:c r="A2173" s="13" t="n">
        <x:v>45845</x:v>
      </x:c>
      <x:c r="B2173" s="12" t="n">
        <x:v>3965.1746</x:v>
      </x:c>
      <x:c r="C2173" s="12" t="n">
        <x:v>3982.2034</x:v>
      </x:c>
      <x:c r="D2173" s="12" t="n">
        <x:v>-0.4276</x:v>
      </x:c>
      <x:c r="E2173" s="12" t="n">
        <x:v>-0.004285394770601262</x:v>
      </x:c>
      <x:c r="F2173" s="13" t="n">
        <x:v>45842</x:v>
      </x:c>
      <x:c r="G2173" s="12" t="n">
        <x:v>2.8</x:v>
      </x:c>
      <x:c r="H2173" s="12" t="n">
        <x:v>280</x:v>
      </x:c>
      <x:c r="I2173" s="12" t="n">
        <x:v>0</x:v>
      </x:c>
      <x:c r="J2173" s="12" t="n">
        <x:v>3</x:v>
      </x:c>
    </x:row>
    <x:row r="2174" ht="18" customHeight="1">
      <x:c r="A2174" s="13" t="n">
        <x:v>45846</x:v>
      </x:c>
      <x:c r="B2174" s="12" t="n">
        <x:v>3998.4527</x:v>
      </x:c>
      <x:c r="C2174" s="12" t="n">
        <x:v>3965.1746</x:v>
      </x:c>
      <x:c r="D2174" s="12" t="n">
        <x:v>0.8393</x:v>
      </x:c>
      <x:c r="E2174" s="12" t="n">
        <x:v>0.008357571857561771</x:v>
      </x:c>
      <x:c r="F2174" s="13" t="n">
        <x:v>45845</x:v>
      </x:c>
      <x:c r="G2174" s="12" t="n">
        <x:v>2.86</x:v>
      </x:c>
      <x:c r="H2174" s="12" t="n">
        <x:v>286</x:v>
      </x:c>
      <x:c r="I2174" s="12" t="n">
        <x:v>6</x:v>
      </x:c>
      <x:c r="J2174" s="12" t="n">
        <x:v>1</x:v>
      </x:c>
    </x:row>
    <x:row r="2175" ht="18" customHeight="1">
      <x:c r="A2175" s="13" t="n">
        <x:v>45847</x:v>
      </x:c>
      <x:c r="B2175" s="12" t="n">
        <x:v>3991.4006</x:v>
      </x:c>
      <x:c r="C2175" s="12" t="n">
        <x:v>3998.4527</x:v>
      </x:c>
      <x:c r="D2175" s="12" t="n">
        <x:v>-0.1764</x:v>
      </x:c>
      <x:c r="E2175" s="12" t="n">
        <x:v>-0.0017652644088692639</x:v>
      </x:c>
      <x:c r="F2175" s="13" t="n">
        <x:v>45846</x:v>
      </x:c>
      <x:c r="G2175" s="12" t="n">
        <x:v>2.92</x:v>
      </x:c>
      <x:c r="H2175" s="12" t="n">
        <x:v>292</x:v>
      </x:c>
      <x:c r="I2175" s="12" t="n">
        <x:v>6</x:v>
      </x:c>
      <x:c r="J2175" s="12" t="n">
        <x:v>1</x:v>
      </x:c>
    </x:row>
    <x:row r="2176" ht="18" customHeight="1">
      <x:c r="A2176" s="13" t="n">
        <x:v>45848</x:v>
      </x:c>
      <x:c r="B2176" s="12" t="n">
        <x:v>4010.0243</x:v>
      </x:c>
      <x:c r="C2176" s="12" t="n">
        <x:v>3991.4006</x:v>
      </x:c>
      <x:c r="D2176" s="12" t="n">
        <x:v>0.4666</x:v>
      </x:c>
      <x:c r="E2176" s="12" t="n">
        <x:v>0.004655104275559548</x:v>
      </x:c>
      <x:c r="F2176" s="13" t="n">
        <x:v>45847</x:v>
      </x:c>
      <x:c r="G2176" s="12" t="n">
        <x:v>2.94</x:v>
      </x:c>
      <x:c r="H2176" s="12" t="n">
        <x:v>294</x:v>
      </x:c>
      <x:c r="I2176" s="12" t="n">
        <x:v>2</x:v>
      </x:c>
      <x:c r="J2176" s="12" t="n">
        <x:v>1</x:v>
      </x:c>
    </x:row>
    <x:row r="2177" ht="18" customHeight="1">
      <x:c r="A2177" s="13" t="n">
        <x:v>45849</x:v>
      </x:c>
      <x:c r="B2177" s="12" t="n">
        <x:v>4014.807</x:v>
      </x:c>
      <x:c r="C2177" s="12" t="n">
        <x:v>4010.0243</x:v>
      </x:c>
      <x:c r="D2177" s="12" t="n">
        <x:v>0.1193</x:v>
      </x:c>
      <x:c r="E2177" s="12" t="n">
        <x:v>0.0011919753543662215</x:v>
      </x:c>
      <x:c r="F2177" s="13" t="n">
        <x:v>45848</x:v>
      </x:c>
      <x:c r="G2177" s="12" t="n">
        <x:v>2.92</x:v>
      </x:c>
      <x:c r="H2177" s="12" t="n">
        <x:v>292</x:v>
      </x:c>
      <x:c r="I2177" s="12" t="n">
        <x:v>-2</x:v>
      </x:c>
      <x:c r="J2177" s="12" t="n">
        <x:v>1</x:v>
      </x:c>
    </x:row>
    <x:row r="2178" ht="18" customHeight="1">
      <x:c r="A2178" s="13" t="n">
        <x:v>45852</x:v>
      </x:c>
      <x:c r="B2178" s="12" t="n">
        <x:v>4017.6678</x:v>
      </x:c>
      <x:c r="C2178" s="12" t="n">
        <x:v>4014.807</x:v>
      </x:c>
      <x:c r="D2178" s="12" t="n">
        <x:v>0.0713</x:v>
      </x:c>
      <x:c r="E2178" s="12" t="n">
        <x:v>0.0007123085206467977</x:v>
      </x:c>
      <x:c r="F2178" s="13" t="n">
        <x:v>45849</x:v>
      </x:c>
      <x:c r="G2178" s="12" t="n">
        <x:v>2.97</x:v>
      </x:c>
      <x:c r="H2178" s="12" t="n">
        <x:v>297</x:v>
      </x:c>
      <x:c r="I2178" s="12" t="n">
        <x:v>5</x:v>
      </x:c>
      <x:c r="J2178" s="12" t="n">
        <x:v>3</x:v>
      </x:c>
    </x:row>
    <x:row r="2179" ht="18" customHeight="1">
      <x:c r="A2179" s="13" t="n">
        <x:v>45853</x:v>
      </x:c>
      <x:c r="B2179" s="12" t="n">
        <x:v>4019.0644</x:v>
      </x:c>
      <x:c r="C2179" s="12" t="n">
        <x:v>4017.6678</x:v>
      </x:c>
      <x:c r="D2179" s="12" t="n">
        <x:v>0.0348</x:v>
      </x:c>
      <x:c r="E2179" s="12" t="n">
        <x:v>0.0003475541997177205</x:v>
      </x:c>
      <x:c r="F2179" s="13" t="n">
        <x:v>45852</x:v>
      </x:c>
      <x:c r="G2179" s="12" t="n">
        <x:v>2.95</x:v>
      </x:c>
      <x:c r="H2179" s="12" t="n">
        <x:v>295</x:v>
      </x:c>
      <x:c r="I2179" s="12" t="n">
        <x:v>-2</x:v>
      </x:c>
      <x:c r="J2179" s="12" t="n">
        <x:v>1</x:v>
      </x:c>
    </x:row>
    <x:row r="2180" ht="18" customHeight="1">
      <x:c r="A2180" s="13" t="n">
        <x:v>45854</x:v>
      </x:c>
      <x:c r="B2180" s="12" t="n">
        <x:v>4007.2019</x:v>
      </x:c>
      <x:c r="C2180" s="12" t="n">
        <x:v>4019.0644</x:v>
      </x:c>
      <x:c r="D2180" s="12" t="n">
        <x:v>-0.2952</x:v>
      </x:c>
      <x:c r="E2180" s="12" t="n">
        <x:v>-0.002955922017528145</x:v>
      </x:c>
      <x:c r="F2180" s="13" t="n">
        <x:v>45853</x:v>
      </x:c>
      <x:c r="G2180" s="12" t="n">
        <x:v>2.95</x:v>
      </x:c>
      <x:c r="H2180" s="12" t="n">
        <x:v>295</x:v>
      </x:c>
      <x:c r="I2180" s="12" t="n">
        <x:v>0</x:v>
      </x:c>
      <x:c r="J2180" s="12" t="n">
        <x:v>1</x:v>
      </x:c>
    </x:row>
    <x:row r="2181" ht="18" customHeight="1">
      <x:c r="A2181" s="13" t="n">
        <x:v>45855</x:v>
      </x:c>
      <x:c r="B2181" s="12" t="n">
        <x:v>4034.491</x:v>
      </x:c>
      <x:c r="C2181" s="12" t="n">
        <x:v>4007.2019</x:v>
      </x:c>
      <x:c r="D2181" s="12" t="n">
        <x:v>0.681</x:v>
      </x:c>
      <x:c r="E2181" s="12" t="n">
        <x:v>0.006786930336544563</x:v>
      </x:c>
      <x:c r="F2181" s="13" t="n">
        <x:v>45854</x:v>
      </x:c>
      <x:c r="G2181" s="12" t="n">
        <x:v>3</x:v>
      </x:c>
      <x:c r="H2181" s="12" t="n">
        <x:v>300</x:v>
      </x:c>
      <x:c r="I2181" s="12" t="n">
        <x:v>5</x:v>
      </x:c>
      <x:c r="J2181" s="12" t="n">
        <x:v>1</x:v>
      </x:c>
    </x:row>
    <x:row r="2182" ht="18" customHeight="1">
      <x:c r="A2182" s="13" t="n">
        <x:v>45856</x:v>
      </x:c>
      <x:c r="B2182" s="12" t="n">
        <x:v>4058.5486</x:v>
      </x:c>
      <x:c r="C2182" s="12" t="n">
        <x:v>4034.491</x:v>
      </x:c>
      <x:c r="D2182" s="12" t="n">
        <x:v>0.5963</x:v>
      </x:c>
      <x:c r="E2182" s="12" t="n">
        <x:v>0.0059452744707187335</x:v>
      </x:c>
      <x:c r="F2182" s="13" t="n">
        <x:v>45855</x:v>
      </x:c>
      <x:c r="G2182" s="12" t="n">
        <x:v>2.91</x:v>
      </x:c>
      <x:c r="H2182" s="12" t="n">
        <x:v>291</x:v>
      </x:c>
      <x:c r="I2182" s="12" t="n">
        <x:v>-9</x:v>
      </x:c>
      <x:c r="J2182" s="12" t="n">
        <x:v>1</x:v>
      </x:c>
    </x:row>
    <x:row r="2183" ht="18" customHeight="1">
      <x:c r="A2183" s="13" t="n">
        <x:v>45859</x:v>
      </x:c>
      <x:c r="B2183" s="12" t="n">
        <x:v>4085.6072</x:v>
      </x:c>
      <x:c r="C2183" s="12" t="n">
        <x:v>4058.5486</x:v>
      </x:c>
      <x:c r="D2183" s="12" t="n">
        <x:v>0.6667</x:v>
      </x:c>
      <x:c r="E2183" s="12" t="n">
        <x:v>0.006644936621844214</x:v>
      </x:c>
      <x:c r="F2183" s="13" t="n">
        <x:v>45856</x:v>
      </x:c>
      <x:c r="G2183" s="12" t="n">
        <x:v>2.93</x:v>
      </x:c>
      <x:c r="H2183" s="12" t="n">
        <x:v>293</x:v>
      </x:c>
      <x:c r="I2183" s="12" t="n">
        <x:v>2</x:v>
      </x:c>
      <x:c r="J2183" s="12" t="n">
        <x:v>3</x:v>
      </x:c>
    </x:row>
    <x:row r="2184" ht="18" customHeight="1">
      <x:c r="A2184" s="13" t="n">
        <x:v>45860</x:v>
      </x:c>
      <x:c r="B2184" s="12" t="n">
        <x:v>4118.9582</x:v>
      </x:c>
      <x:c r="C2184" s="12" t="n">
        <x:v>4085.6072</x:v>
      </x:c>
      <x:c r="D2184" s="12" t="n">
        <x:v>0.8163</x:v>
      </x:c>
      <x:c r="E2184" s="12" t="n">
        <x:v>0.008129908671452656</x:v>
      </x:c>
      <x:c r="F2184" s="13" t="n">
        <x:v>45859</x:v>
      </x:c>
      <x:c r="G2184" s="12" t="n">
        <x:v>2.89</x:v>
      </x:c>
      <x:c r="H2184" s="12" t="n">
        <x:v>289</x:v>
      </x:c>
      <x:c r="I2184" s="12" t="n">
        <x:v>-4</x:v>
      </x:c>
      <x:c r="J2184" s="12" t="n">
        <x:v>1</x:v>
      </x:c>
    </x:row>
    <x:row r="2185" ht="18" customHeight="1">
      <x:c r="A2185" s="13" t="n">
        <x:v>45861</x:v>
      </x:c>
      <x:c r="B2185" s="12" t="n">
        <x:v>4119.7685</x:v>
      </x:c>
      <x:c r="C2185" s="12" t="n">
        <x:v>4118.9582</x:v>
      </x:c>
      <x:c r="D2185" s="12" t="n">
        <x:v>0.0197</x:v>
      </x:c>
      <x:c r="E2185" s="12" t="n">
        <x:v>0.0001967051541138663</x:v>
      </x:c>
      <x:c r="F2185" s="13" t="n">
        <x:v>45860</x:v>
      </x:c>
      <x:c r="G2185" s="12" t="n">
        <x:v>2.9</x:v>
      </x:c>
      <x:c r="H2185" s="12" t="n">
        <x:v>290</x:v>
      </x:c>
      <x:c r="I2185" s="12" t="n">
        <x:v>1</x:v>
      </x:c>
      <x:c r="J2185" s="12" t="n">
        <x:v>1</x:v>
      </x:c>
    </x:row>
    <x:row r="2186" ht="18" customHeight="1">
      <x:c r="A2186" s="13" t="n">
        <x:v>45862</x:v>
      </x:c>
      <x:c r="B2186" s="12" t="n">
        <x:v>4149.0368</x:v>
      </x:c>
      <x:c r="C2186" s="12" t="n">
        <x:v>4119.7685</x:v>
      </x:c>
      <x:c r="D2186" s="12" t="n">
        <x:v>0.7104</x:v>
      </x:c>
      <x:c r="E2186" s="12" t="n">
        <x:v>0.007079238456162641</x:v>
      </x:c>
      <x:c r="F2186" s="13" t="n">
        <x:v>45861</x:v>
      </x:c>
      <x:c r="G2186" s="12" t="n">
        <x:v>2.83</x:v>
      </x:c>
      <x:c r="H2186" s="12" t="n">
        <x:v>283</x:v>
      </x:c>
      <x:c r="I2186" s="12" t="n">
        <x:v>-7</x:v>
      </x:c>
      <x:c r="J2186" s="12" t="n">
        <x:v>1</x:v>
      </x:c>
    </x:row>
    <x:row r="2187" ht="18" customHeight="1">
      <x:c r="A2187" s="13" t="n">
        <x:v>45863</x:v>
      </x:c>
      <x:c r="B2187" s="12" t="n">
        <x:v>4127.1634</x:v>
      </x:c>
      <x:c r="C2187" s="12" t="n">
        <x:v>4149.0368</x:v>
      </x:c>
      <x:c r="D2187" s="12" t="n">
        <x:v>-0.5272</x:v>
      </x:c>
      <x:c r="E2187" s="12" t="n">
        <x:v>-0.005285868007222081</x:v>
      </x:c>
      <x:c r="F2187" s="13" t="n">
        <x:v>45862</x:v>
      </x:c>
      <x:c r="G2187" s="12" t="n">
        <x:v>2.82</x:v>
      </x:c>
      <x:c r="H2187" s="12" t="n">
        <x:v>282</x:v>
      </x:c>
      <x:c r="I2187" s="12" t="n">
        <x:v>-1</x:v>
      </x:c>
      <x:c r="J2187" s="12" t="n">
        <x:v>1</x:v>
      </x:c>
    </x:row>
    <x:row r="2188" ht="18" customHeight="1">
      <x:c r="A2188" s="13" t="n">
        <x:v>45866</x:v>
      </x:c>
      <x:c r="B2188" s="12" t="n">
        <x:v>4135.8242</x:v>
      </x:c>
      <x:c r="C2188" s="12" t="n">
        <x:v>4127.1634</x:v>
      </x:c>
      <x:c r="D2188" s="12" t="n">
        <x:v>0.2098</x:v>
      </x:c>
      <x:c r="E2188" s="12" t="n">
        <x:v>0.002096288555873746</x:v>
      </x:c>
      <x:c r="F2188" s="13" t="n">
        <x:v>45863</x:v>
      </x:c>
      <x:c r="G2188" s="12" t="n">
        <x:v>2.84</x:v>
      </x:c>
      <x:c r="H2188" s="12" t="n">
        <x:v>284</x:v>
      </x:c>
      <x:c r="I2188" s="12" t="n">
        <x:v>2</x:v>
      </x:c>
      <x:c r="J2188" s="12" t="n">
        <x:v>3</x:v>
      </x:c>
    </x:row>
    <x:row r="2189" ht="18" customHeight="1">
      <x:c r="A2189" s="13" t="n">
        <x:v>45867</x:v>
      </x:c>
      <x:c r="B2189" s="12" t="n">
        <x:v>4152.0247</x:v>
      </x:c>
      <x:c r="C2189" s="12" t="n">
        <x:v>4135.8242</x:v>
      </x:c>
      <x:c r="D2189" s="12" t="n">
        <x:v>0.3917</x:v>
      </x:c>
      <x:c r="E2189" s="12" t="n">
        <x:v>0.003909463318980385</x:v>
      </x:c>
      <x:c r="F2189" s="13" t="n">
        <x:v>45866</x:v>
      </x:c>
      <x:c r="G2189" s="12" t="n">
        <x:v>2.82</x:v>
      </x:c>
      <x:c r="H2189" s="12" t="n">
        <x:v>282</x:v>
      </x:c>
      <x:c r="I2189" s="12" t="n">
        <x:v>-2</x:v>
      </x:c>
      <x:c r="J2189" s="12" t="n">
        <x:v>1</x:v>
      </x:c>
    </x:row>
    <x:row r="2190" ht="18" customHeight="1">
      <x:c r="A2190" s="13" t="n">
        <x:v>45868</x:v>
      </x:c>
      <x:c r="B2190" s="12" t="n">
        <x:v>4151.2379</x:v>
      </x:c>
      <x:c r="C2190" s="12" t="n">
        <x:v>4152.0247</x:v>
      </x:c>
      <x:c r="D2190" s="12" t="n">
        <x:v>-0.0189</x:v>
      </x:c>
      <x:c r="E2190" s="12" t="n">
        <x:v>-0.00018951586629451265</x:v>
      </x:c>
      <x:c r="F2190" s="13" t="n">
        <x:v>45867</x:v>
      </x:c>
      <x:c r="G2190" s="12" t="n">
        <x:v>2.86</x:v>
      </x:c>
      <x:c r="H2190" s="12" t="n">
        <x:v>286</x:v>
      </x:c>
      <x:c r="I2190" s="12" t="n">
        <x:v>4</x:v>
      </x:c>
      <x:c r="J2190" s="12" t="n">
        <x:v>1</x:v>
      </x:c>
    </x:row>
    <x:row r="2191" ht="18" customHeight="1">
      <x:c r="A2191" s="13" t="n">
        <x:v>45869</x:v>
      </x:c>
      <x:c r="B2191" s="12" t="n">
        <x:v>4075.5912</x:v>
      </x:c>
      <x:c r="C2191" s="12" t="n">
        <x:v>4151.2379</x:v>
      </x:c>
      <x:c r="D2191" s="12" t="n">
        <x:v>-1.8223</x:v>
      </x:c>
      <x:c r="E2191" s="12" t="n">
        <x:v>-0.01839076299549046</x:v>
      </x:c>
      <x:c r="F2191" s="13" t="n">
        <x:v>45868</x:v>
      </x:c>
      <x:c r="G2191" s="12" t="n">
        <x:v>2.89</x:v>
      </x:c>
      <x:c r="H2191" s="12" t="n">
        <x:v>289</x:v>
      </x:c>
      <x:c r="I2191" s="12" t="n">
        <x:v>3</x:v>
      </x:c>
      <x:c r="J2191" s="12" t="n">
        <x:v>1</x:v>
      </x:c>
    </x:row>
    <x:row r="2192" ht="18" customHeight="1">
      <x:c r="A2192" s="13" t="n">
        <x:v>45870</x:v>
      </x:c>
      <x:c r="B2192" s="12" t="n">
        <x:v>4054.9286</x:v>
      </x:c>
      <x:c r="C2192" s="12" t="n">
        <x:v>4075.5912</x:v>
      </x:c>
      <x:c r="D2192" s="12" t="n">
        <x:v>-0.507</x:v>
      </x:c>
      <x:c r="E2192" s="12" t="n">
        <x:v>-0.005082736403513882</x:v>
      </x:c>
      <x:c r="F2192" s="13" t="n">
        <x:v>45869</x:v>
      </x:c>
      <x:c r="G2192" s="12" t="n">
        <x:v>2.86</x:v>
      </x:c>
      <x:c r="H2192" s="12" t="n">
        <x:v>286</x:v>
      </x:c>
      <x:c r="I2192" s="12" t="n">
        <x:v>-3</x:v>
      </x:c>
      <x:c r="J2192" s="12" t="n">
        <x:v>1</x:v>
      </x:c>
    </x:row>
    <x:row r="2193" ht="18" customHeight="1">
      <x:c r="A2193" s="13" t="n">
        <x:v>45873</x:v>
      </x:c>
      <x:c r="B2193" s="12" t="n">
        <x:v>4070.7023</x:v>
      </x:c>
      <x:c r="C2193" s="12" t="n">
        <x:v>4054.9286</x:v>
      </x:c>
      <x:c r="D2193" s="12" t="n">
        <x:v>0.389</x:v>
      </x:c>
      <x:c r="E2193" s="12" t="n">
        <x:v>0.003882460330244926</x:v>
      </x:c>
      <x:c r="F2193" s="13" t="n">
        <x:v>45870</x:v>
      </x:c>
      <x:c r="G2193" s="12" t="n">
        <x:v>3.13</x:v>
      </x:c>
      <x:c r="H2193" s="12" t="n">
        <x:v>313</x:v>
      </x:c>
      <x:c r="I2193" s="12" t="n">
        <x:v>27</x:v>
      </x:c>
      <x:c r="J2193" s="12" t="n">
        <x:v>3</x:v>
      </x:c>
    </x:row>
    <x:row r="2194" ht="18" customHeight="1">
      <x:c r="A2194" s="13" t="n">
        <x:v>45874</x:v>
      </x:c>
      <x:c r="B2194" s="12" t="n">
        <x:v>4103.45</x:v>
      </x:c>
      <x:c r="C2194" s="12" t="n">
        <x:v>4070.7023</x:v>
      </x:c>
      <x:c r="D2194" s="12" t="n">
        <x:v>0.8045</x:v>
      </x:c>
      <x:c r="E2194" s="12" t="n">
        <x:v>0.008012543441925745</x:v>
      </x:c>
      <x:c r="F2194" s="13" t="n">
        <x:v>45873</x:v>
      </x:c>
      <x:c r="G2194" s="12" t="n">
        <x:v>3.02</x:v>
      </x:c>
      <x:c r="H2194" s="12" t="n">
        <x:v>302</x:v>
      </x:c>
      <x:c r="I2194" s="12" t="n">
        <x:v>-11</x:v>
      </x:c>
      <x:c r="J2194" s="12" t="n">
        <x:v>1</x:v>
      </x:c>
    </x:row>
    <x:row r="2195" ht="18" customHeight="1">
      <x:c r="A2195" s="13" t="n">
        <x:v>45875</x:v>
      </x:c>
      <x:c r="B2195" s="12" t="n">
        <x:v>4113.4852</x:v>
      </x:c>
      <x:c r="C2195" s="12" t="n">
        <x:v>4103.45</x:v>
      </x:c>
      <x:c r="D2195" s="12" t="n">
        <x:v>0.2446</x:v>
      </x:c>
      <x:c r="E2195" s="12" t="n">
        <x:v>0.002442566418018243</x:v>
      </x:c>
      <x:c r="F2195" s="13" t="n">
        <x:v>45874</x:v>
      </x:c>
      <x:c r="G2195" s="12" t="n">
        <x:v>2.98</x:v>
      </x:c>
      <x:c r="H2195" s="12" t="n">
        <x:v>298</x:v>
      </x:c>
      <x:c r="I2195" s="12" t="n">
        <x:v>-4</x:v>
      </x:c>
      <x:c r="J2195" s="12" t="n">
        <x:v>1</x:v>
      </x:c>
    </x:row>
    <x:row r="2196" ht="18" customHeight="1">
      <x:c r="A2196" s="13" t="n">
        <x:v>45876</x:v>
      </x:c>
      <x:c r="B2196" s="12" t="n">
        <x:v>4114.666</x:v>
      </x:c>
      <x:c r="C2196" s="12" t="n">
        <x:v>4113.4852</x:v>
      </x:c>
      <x:c r="D2196" s="12" t="n">
        <x:v>0.0287</x:v>
      </x:c>
      <x:c r="E2196" s="12" t="n">
        <x:v>0.00028701465964952667</x:v>
      </x:c>
      <x:c r="F2196" s="13" t="n">
        <x:v>45875</x:v>
      </x:c>
      <x:c r="G2196" s="12" t="n">
        <x:v>2.98</x:v>
      </x:c>
      <x:c r="H2196" s="12" t="n">
        <x:v>298</x:v>
      </x:c>
      <x:c r="I2196" s="12" t="n">
        <x:v>0</x:v>
      </x:c>
      <x:c r="J2196" s="12" t="n">
        <x:v>1</x:v>
      </x:c>
    </x:row>
    <x:row r="2197" ht="18" customHeight="1">
      <x:c r="A2197" s="13" t="n">
        <x:v>45877</x:v>
      </x:c>
      <x:c r="B2197" s="12" t="n">
        <x:v>4104.9669</x:v>
      </x:c>
      <x:c r="C2197" s="12" t="n">
        <x:v>4114.666</x:v>
      </x:c>
      <x:c r="D2197" s="12" t="n">
        <x:v>-0.2357</x:v>
      </x:c>
      <x:c r="E2197" s="12" t="n">
        <x:v>-0.002359984836212605</x:v>
      </x:c>
      <x:c r="F2197" s="13" t="n">
        <x:v>45876</x:v>
      </x:c>
      <x:c r="G2197" s="12" t="n">
        <x:v>2.95</x:v>
      </x:c>
      <x:c r="H2197" s="12" t="n">
        <x:v>295</x:v>
      </x:c>
      <x:c r="I2197" s="12" t="n">
        <x:v>-3</x:v>
      </x:c>
      <x:c r="J2197" s="12" t="n">
        <x:v>1</x:v>
      </x:c>
    </x:row>
    <x:row r="2198" ht="18" customHeight="1">
      <x:c r="A2198" s="13" t="n">
        <x:v>45880</x:v>
      </x:c>
      <x:c r="B2198" s="12" t="n">
        <x:v>4122.5106</x:v>
      </x:c>
      <x:c r="C2198" s="12" t="n">
        <x:v>4104.9669</x:v>
      </x:c>
      <x:c r="D2198" s="12" t="n">
        <x:v>0.4274</x:v>
      </x:c>
      <x:c r="E2198" s="12" t="n">
        <x:v>0.004264667169128132</x:v>
      </x:c>
      <x:c r="F2198" s="13" t="n">
        <x:v>45877</x:v>
      </x:c>
      <x:c r="G2198" s="12" t="n">
        <x:v>2.94</x:v>
      </x:c>
      <x:c r="H2198" s="12" t="n">
        <x:v>294</x:v>
      </x:c>
      <x:c r="I2198" s="12" t="n">
        <x:v>-1</x:v>
      </x:c>
      <x:c r="J2198" s="12" t="n">
        <x:v>3</x:v>
      </x:c>
    </x:row>
    <x:row r="2199" ht="18" customHeight="1">
      <x:c r="A2199" s="13" t="n">
        <x:v>45881</x:v>
      </x:c>
      <x:c r="B2199" s="12" t="n">
        <x:v>4143.8252</x:v>
      </x:c>
      <x:c r="C2199" s="12" t="n">
        <x:v>4122.5106</x:v>
      </x:c>
      <x:c r="D2199" s="12" t="n">
        <x:v>0.517</x:v>
      </x:c>
      <x:c r="E2199" s="12" t="n">
        <x:v>0.0051569758967200535</x:v>
      </x:c>
      <x:c r="F2199" s="13" t="n">
        <x:v>45880</x:v>
      </x:c>
      <x:c r="G2199" s="12" t="n">
        <x:v>2.94</x:v>
      </x:c>
      <x:c r="H2199" s="12" t="n">
        <x:v>294</x:v>
      </x:c>
      <x:c r="I2199" s="12" t="n">
        <x:v>0</x:v>
      </x:c>
      <x:c r="J2199" s="12" t="n">
        <x:v>1</x:v>
      </x:c>
    </x:row>
    <x:row r="2200" ht="18" customHeight="1">
      <x:c r="A2200" s="13" t="n">
        <x:v>45882</x:v>
      </x:c>
      <x:c r="B2200" s="12" t="n">
        <x:v>4176.5776</x:v>
      </x:c>
      <x:c r="C2200" s="12" t="n">
        <x:v>4143.8252</x:v>
      </x:c>
      <x:c r="D2200" s="12" t="n">
        <x:v>0.7904</x:v>
      </x:c>
      <x:c r="E2200" s="12" t="n">
        <x:v>0.00787283259172163</x:v>
      </x:c>
      <x:c r="F2200" s="13" t="n">
        <x:v>45881</x:v>
      </x:c>
      <x:c r="G2200" s="12" t="n">
        <x:v>2.93</x:v>
      </x:c>
      <x:c r="H2200" s="12" t="n">
        <x:v>293</x:v>
      </x:c>
      <x:c r="I2200" s="12" t="n">
        <x:v>-1</x:v>
      </x:c>
      <x:c r="J2200" s="12" t="n">
        <x:v>1</x:v>
      </x:c>
    </x:row>
    <x:row r="2201" ht="18" customHeight="1">
      <x:c r="A2201" s="13" t="n">
        <x:v>45883</x:v>
      </x:c>
      <x:c r="B2201" s="12" t="n">
        <x:v>4173.3131</x:v>
      </x:c>
      <x:c r="C2201" s="12" t="n">
        <x:v>4176.5776</x:v>
      </x:c>
      <x:c r="D2201" s="12" t="n">
        <x:v>-0.0782</x:v>
      </x:c>
      <x:c r="E2201" s="12" t="n">
        <x:v>-0.0007819264427803516</x:v>
      </x:c>
      <x:c r="F2201" s="13" t="n">
        <x:v>45882</x:v>
      </x:c>
      <x:c r="G2201" s="12" t="n">
        <x:v>2.9</x:v>
      </x:c>
      <x:c r="H2201" s="12" t="n">
        <x:v>290</x:v>
      </x:c>
      <x:c r="I2201" s="12" t="n">
        <x:v>-3</x:v>
      </x:c>
      <x:c r="J2201" s="12" t="n">
        <x:v>1</x:v>
      </x:c>
    </x:row>
    <x:row r="2202" ht="18" customHeight="1">
      <x:c r="A2202" s="13" t="n">
        <x:v>45884</x:v>
      </x:c>
      <x:c r="B2202" s="12" t="n">
        <x:v>4202.3533</x:v>
      </x:c>
      <x:c r="C2202" s="12" t="n">
        <x:v>4173.3131</x:v>
      </x:c>
      <x:c r="D2202" s="12" t="n">
        <x:v>0.6959</x:v>
      </x:c>
      <x:c r="E2202" s="12" t="n">
        <x:v>0.0069344491490834215</x:v>
      </x:c>
      <x:c r="F2202" s="13" t="n">
        <x:v>45883</x:v>
      </x:c>
      <x:c r="G2202" s="12" t="n">
        <x:v>2.89</x:v>
      </x:c>
      <x:c r="H2202" s="12" t="n">
        <x:v>289</x:v>
      </x:c>
      <x:c r="I2202" s="12" t="n">
        <x:v>-1</x:v>
      </x:c>
      <x:c r="J2202" s="12" t="n">
        <x:v>1</x:v>
      </x:c>
    </x:row>
    <x:row r="2203" ht="18" customHeight="1">
      <x:c r="A2203" s="13" t="n">
        <x:v>45887</x:v>
      </x:c>
      <x:c r="B2203" s="12" t="n">
        <x:v>4239.4125</x:v>
      </x:c>
      <x:c r="C2203" s="12" t="n">
        <x:v>4202.3533</x:v>
      </x:c>
      <x:c r="D2203" s="12" t="n">
        <x:v>0.8819</x:v>
      </x:c>
      <x:c r="E2203" s="12" t="n">
        <x:v>0.008780020424242996</x:v>
      </x:c>
      <x:c r="F2203" s="13" t="n">
        <x:v>45884</x:v>
      </x:c>
      <x:c r="G2203" s="12" t="n">
        <x:v>2.88</x:v>
      </x:c>
      <x:c r="H2203" s="12" t="n">
        <x:v>288</x:v>
      </x:c>
      <x:c r="I2203" s="12" t="n">
        <x:v>-1</x:v>
      </x:c>
      <x:c r="J2203" s="12" t="n">
        <x:v>3</x:v>
      </x:c>
    </x:row>
    <x:row r="2204" ht="18" customHeight="1">
      <x:c r="A2204" s="13" t="n">
        <x:v>45888</x:v>
      </x:c>
      <x:c r="B2204" s="12" t="n">
        <x:v>4223.3741</x:v>
      </x:c>
      <x:c r="C2204" s="12" t="n">
        <x:v>4239.4125</x:v>
      </x:c>
      <x:c r="D2204" s="12" t="n">
        <x:v>-0.3783</x:v>
      </x:c>
      <x:c r="E2204" s="12" t="n">
        <x:v>-0.003790339981286738</x:v>
      </x:c>
      <x:c r="F2204" s="13" t="n">
        <x:v>45887</x:v>
      </x:c>
      <x:c r="G2204" s="12" t="n">
        <x:v>2.88</x:v>
      </x:c>
      <x:c r="H2204" s="12" t="n">
        <x:v>288</x:v>
      </x:c>
      <x:c r="I2204" s="12" t="n">
        <x:v>0</x:v>
      </x:c>
      <x:c r="J2204" s="12" t="n">
        <x:v>1</x:v>
      </x:c>
    </x:row>
    <x:row r="2205" ht="18" customHeight="1">
      <x:c r="A2205" s="13" t="n">
        <x:v>45889</x:v>
      </x:c>
      <x:c r="B2205" s="12" t="n">
        <x:v>4271.3958</x:v>
      </x:c>
      <x:c r="C2205" s="12" t="n">
        <x:v>4223.3741</x:v>
      </x:c>
      <x:c r="D2205" s="12" t="n">
        <x:v>1.137</x:v>
      </x:c>
      <x:c r="E2205" s="12" t="n">
        <x:v>0.01130630072977471</x:v>
      </x:c>
      <x:c r="F2205" s="13" t="n">
        <x:v>45888</x:v>
      </x:c>
      <x:c r="G2205" s="12" t="n">
        <x:v>2.9</x:v>
      </x:c>
      <x:c r="H2205" s="12" t="n">
        <x:v>290</x:v>
      </x:c>
      <x:c r="I2205" s="12" t="n">
        <x:v>2</x:v>
      </x:c>
      <x:c r="J2205" s="12" t="n">
        <x:v>1</x:v>
      </x:c>
    </x:row>
    <x:row r="2206" ht="18" customHeight="1">
      <x:c r="A2206" s="13" t="n">
        <x:v>45890</x:v>
      </x:c>
      <x:c r="B2206" s="12" t="n">
        <x:v>4288.0707</x:v>
      </x:c>
      <x:c r="C2206" s="12" t="n">
        <x:v>4271.3958</x:v>
      </x:c>
      <x:c r="D2206" s="12" t="n">
        <x:v>0.3904</x:v>
      </x:c>
      <x:c r="E2206" s="12" t="n">
        <x:v>0.003896252434618806</x:v>
      </x:c>
      <x:c r="F2206" s="13" t="n">
        <x:v>45889</x:v>
      </x:c>
      <x:c r="G2206" s="12" t="n">
        <x:v>2.94</x:v>
      </x:c>
      <x:c r="H2206" s="12" t="n">
        <x:v>294</x:v>
      </x:c>
      <x:c r="I2206" s="12" t="n">
        <x:v>4</x:v>
      </x:c>
      <x:c r="J2206" s="12" t="n">
        <x:v>1</x:v>
      </x:c>
    </x:row>
    <x:row r="2207" ht="18" customHeight="1">
      <x:c r="A2207" s="13" t="n">
        <x:v>45891</x:v>
      </x:c>
      <x:c r="B2207" s="12" t="n">
        <x:v>4377.9977</x:v>
      </x:c>
      <x:c r="C2207" s="12" t="n">
        <x:v>4288.0707</x:v>
      </x:c>
      <x:c r="D2207" s="12" t="n">
        <x:v>2.0971</x:v>
      </x:c>
      <x:c r="E2207" s="12" t="n">
        <x:v>0.020754562240778436</x:v>
      </x:c>
      <x:c r="F2207" s="13" t="n">
        <x:v>45890</x:v>
      </x:c>
      <x:c r="G2207" s="12" t="n">
        <x:v>2.95</x:v>
      </x:c>
      <x:c r="H2207" s="12" t="n">
        <x:v>295</x:v>
      </x:c>
      <x:c r="I2207" s="12" t="n">
        <x:v>1</x:v>
      </x:c>
      <x:c r="J2207" s="12" t="n">
        <x:v>1</x:v>
      </x:c>
    </x:row>
    <x:row r="2208" ht="18" customHeight="1">
      <x:c r="A2208" s="13" t="n">
        <x:v>45894</x:v>
      </x:c>
      <x:c r="B2208" s="12" t="n">
        <x:v>4469.2217</x:v>
      </x:c>
      <x:c r="C2208" s="12" t="n">
        <x:v>4377.9977</x:v>
      </x:c>
      <x:c r="D2208" s="12" t="n">
        <x:v>2.0837</x:v>
      </x:c>
      <x:c r="E2208" s="12" t="n">
        <x:v>0.020622803387883</x:v>
      </x:c>
      <x:c r="F2208" s="13" t="n">
        <x:v>45891</x:v>
      </x:c>
      <x:c r="G2208" s="12" t="n">
        <x:v>2.88</x:v>
      </x:c>
      <x:c r="H2208" s="12" t="n">
        <x:v>288</x:v>
      </x:c>
      <x:c r="I2208" s="12" t="n">
        <x:v>-7</x:v>
      </x:c>
      <x:c r="J2208" s="12" t="n">
        <x:v>3</x:v>
      </x:c>
    </x:row>
    <x:row r="2209" ht="18" customHeight="1">
      <x:c r="A2209" s="13" t="n">
        <x:v>45895</x:v>
      </x:c>
      <x:c r="B2209" s="12" t="n">
        <x:v>4452.5905</x:v>
      </x:c>
      <x:c r="C2209" s="12" t="n">
        <x:v>4469.2217</x:v>
      </x:c>
      <x:c r="D2209" s="12" t="n">
        <x:v>-0.3721</x:v>
      </x:c>
      <x:c r="E2209" s="12" t="n">
        <x:v>-0.0037282154995151224</x:v>
      </x:c>
      <x:c r="F2209" s="13" t="n">
        <x:v>45894</x:v>
      </x:c>
      <x:c r="G2209" s="12" t="n">
        <x:v>2.8</x:v>
      </x:c>
      <x:c r="H2209" s="12" t="n">
        <x:v>280</x:v>
      </x:c>
      <x:c r="I2209" s="12" t="n">
        <x:v>-8</x:v>
      </x:c>
      <x:c r="J2209" s="12" t="n">
        <x:v>1</x:v>
      </x:c>
    </x:row>
    <x:row r="2210" ht="18" customHeight="1">
      <x:c r="A2210" s="13" t="n">
        <x:v>45896</x:v>
      </x:c>
      <x:c r="B2210" s="12" t="n">
        <x:v>4386.1266</x:v>
      </x:c>
      <x:c r="C2210" s="12" t="n">
        <x:v>4452.5905</x:v>
      </x:c>
      <x:c r="D2210" s="12" t="n">
        <x:v>-1.4927</x:v>
      </x:c>
      <x:c r="E2210" s="12" t="n">
        <x:v>-0.01503954748665182</x:v>
      </x:c>
      <x:c r="F2210" s="13" t="n">
        <x:v>45895</x:v>
      </x:c>
      <x:c r="G2210" s="12" t="n">
        <x:v>2.78</x:v>
      </x:c>
      <x:c r="H2210" s="12" t="n">
        <x:v>278</x:v>
      </x:c>
      <x:c r="I2210" s="12" t="n">
        <x:v>-2</x:v>
      </x:c>
      <x:c r="J2210" s="12" t="n">
        <x:v>1</x:v>
      </x:c>
    </x:row>
    <x:row r="2211" ht="18" customHeight="1">
      <x:c r="A2211" s="13" t="n">
        <x:v>45897</x:v>
      </x:c>
      <x:c r="B2211" s="12" t="n">
        <x:v>4463.782</x:v>
      </x:c>
      <x:c r="C2211" s="12" t="n">
        <x:v>4386.1266</x:v>
      </x:c>
      <x:c r="D2211" s="12" t="n">
        <x:v>1.7705</x:v>
      </x:c>
      <x:c r="E2211" s="12" t="n">
        <x:v>0.017549874612882172</x:v>
      </x:c>
      <x:c r="F2211" s="13" t="n">
        <x:v>45896</x:v>
      </x:c>
      <x:c r="G2211" s="12" t="n">
        <x:v>2.78</x:v>
      </x:c>
      <x:c r="H2211" s="12" t="n">
        <x:v>278</x:v>
      </x:c>
      <x:c r="I2211" s="12" t="n">
        <x:v>0</x:v>
      </x:c>
      <x:c r="J2211" s="12" t="n">
        <x:v>1</x:v>
      </x:c>
    </x:row>
    <x:row r="2212" ht="18" customHeight="1">
      <x:c r="A2212" s="13" t="n">
        <x:v>45898</x:v>
      </x:c>
      <x:c r="B2212" s="12" t="n">
        <x:v>4496.7591</x:v>
      </x:c>
      <x:c r="C2212" s="12" t="n">
        <x:v>4463.782</x:v>
      </x:c>
      <x:c r="D2212" s="12" t="n">
        <x:v>0.7388</x:v>
      </x:c>
      <x:c r="E2212" s="12" t="n">
        <x:v>0.0073605485465789156</x:v>
      </x:c>
      <x:c r="F2212" s="13" t="n">
        <x:v>45897</x:v>
      </x:c>
      <x:c r="G2212" s="12" t="n">
        <x:v>2.75</x:v>
      </x:c>
      <x:c r="H2212" s="12" t="n">
        <x:v>275</x:v>
      </x:c>
      <x:c r="I2212" s="12" t="n">
        <x:v>-3</x:v>
      </x:c>
      <x:c r="J2212" s="12" t="n">
        <x:v>1</x:v>
      </x:c>
    </x:row>
    <x:row r="2213" ht="18" customHeight="1">
      <x:c r="A2213" s="13" t="n">
        <x:v>45901</x:v>
      </x:c>
      <x:c r="B2213" s="12" t="n">
        <x:v>4523.7111</x:v>
      </x:c>
      <x:c r="C2213" s="12" t="n">
        <x:v>4496.7591</x:v>
      </x:c>
      <x:c r="D2213" s="12" t="n">
        <x:v>0.5994</x:v>
      </x:c>
      <x:c r="E2213" s="12" t="n">
        <x:v>0.005975759490662033</x:v>
      </x:c>
      <x:c r="F2213" s="13" t="n">
        <x:v>45900</x:v>
      </x:c>
      <x:c r="G2213" s="12" t="n">
        <x:v>2.84</x:v>
      </x:c>
      <x:c r="H2213" s="12" t="n">
        <x:v>284</x:v>
      </x:c>
      <x:c r="I2213" s="12" t="n">
        <x:v>2</x:v>
      </x:c>
      <x:c r="J2213" s="12" t="n">
        <x:v>1</x:v>
      </x:c>
    </x:row>
    <x:row r="2214" ht="18" customHeight="1">
      <x:c r="A2214" s="13" t="n">
        <x:v>45902</x:v>
      </x:c>
      <x:c r="B2214" s="12" t="n">
        <x:v>4490.4528</x:v>
      </x:c>
      <x:c r="C2214" s="12" t="n">
        <x:v>4523.7111</x:v>
      </x:c>
      <x:c r="D2214" s="12" t="n">
        <x:v>-0.7352</x:v>
      </x:c>
      <x:c r="E2214" s="12" t="n">
        <x:v>-0.007379153803648037</x:v>
      </x:c>
      <x:c r="F2214" s="13" t="n">
        <x:v>45901</x:v>
      </x:c>
      <x:c r="G2214" s="12" t="n">
        <x:v>2.84</x:v>
      </x:c>
      <x:c r="H2214" s="12" t="n">
        <x:v>284</x:v>
      </x:c>
      <x:c r="I2214" s="12" t="n">
        <x:v>0</x:v>
      </x:c>
      <x:c r="J2214" s="12" t="n">
        <x:v>1</x:v>
      </x:c>
    </x:row>
    <x:row r="2215" ht="18" customHeight="1">
      <x:c r="A2215" s="13" t="n">
        <x:v>45903</x:v>
      </x:c>
      <x:c r="B2215" s="12" t="n">
        <x:v>4459.8296</x:v>
      </x:c>
      <x:c r="C2215" s="12" t="n">
        <x:v>4490.4528</x:v>
      </x:c>
      <x:c r="D2215" s="12" t="n">
        <x:v>-0.682</x:v>
      </x:c>
      <x:c r="E2215" s="12" t="n">
        <x:v>-0.006842983970613739</x:v>
      </x:c>
      <x:c r="F2215" s="13" t="n">
        <x:v>45902</x:v>
      </x:c>
      <x:c r="G2215" s="12" t="n">
        <x:v>2.92</x:v>
      </x:c>
      <x:c r="H2215" s="12" t="n">
        <x:v>292</x:v>
      </x:c>
      <x:c r="I2215" s="12" t="n">
        <x:v>8</x:v>
      </x:c>
      <x:c r="J2215" s="12" t="n">
        <x:v>1</x:v>
      </x:c>
    </x:row>
    <x:row r="2216" ht="18" customHeight="1">
      <x:c r="A2216" s="13" t="n">
        <x:v>45904</x:v>
      </x:c>
      <x:c r="B2216" s="12" t="n">
        <x:v>4365.2085</x:v>
      </x:c>
      <x:c r="C2216" s="12" t="n">
        <x:v>4459.8296</x:v>
      </x:c>
      <x:c r="D2216" s="12" t="n">
        <x:v>-2.1216</x:v>
      </x:c>
      <x:c r="E2216" s="12" t="n">
        <x:v>-0.0214446045502523</x:v>
      </x:c>
      <x:c r="F2216" s="13" t="n">
        <x:v>45903</x:v>
      </x:c>
      <x:c r="G2216" s="12" t="n">
        <x:v>2.88</x:v>
      </x:c>
      <x:c r="H2216" s="12" t="n">
        <x:v>288</x:v>
      </x:c>
      <x:c r="I2216" s="12" t="n">
        <x:v>-4</x:v>
      </x:c>
      <x:c r="J2216" s="12" t="n">
        <x:v>1</x:v>
      </x:c>
    </x:row>
    <x:row r="2217" ht="18" customHeight="1">
      <x:c r="A2217" s="13" t="n">
        <x:v>45905</x:v>
      </x:c>
      <x:c r="B2217" s="12" t="n">
        <x:v>4460.3249</x:v>
      </x:c>
      <x:c r="C2217" s="12" t="n">
        <x:v>4365.2085</x:v>
      </x:c>
      <x:c r="D2217" s="12" t="n">
        <x:v>2.179</x:v>
      </x:c>
      <x:c r="E2217" s="12" t="n">
        <x:v>0.02155565643853706</x:v>
      </x:c>
      <x:c r="F2217" s="13" t="n">
        <x:v>45904</x:v>
      </x:c>
      <x:c r="G2217" s="12" t="n">
        <x:v>2.84</x:v>
      </x:c>
      <x:c r="H2217" s="12" t="n">
        <x:v>284</x:v>
      </x:c>
      <x:c r="I2217" s="12" t="n">
        <x:v>-4</x:v>
      </x:c>
      <x:c r="J2217" s="12" t="n">
        <x:v>1</x:v>
      </x:c>
    </x:row>
    <x:row r="2218" ht="18" customHeight="1">
      <x:c r="A2218" s="13" t="n">
        <x:v>45908</x:v>
      </x:c>
      <x:c r="B2218" s="12" t="n">
        <x:v>4467.5733</x:v>
      </x:c>
      <x:c r="C2218" s="12" t="n">
        <x:v>4460.3249</x:v>
      </x:c>
      <x:c r="D2218" s="12" t="n">
        <x:v>0.1625</x:v>
      </x:c>
      <x:c r="E2218" s="12" t="n">
        <x:v>0.0016237643911757873</x:v>
      </x:c>
      <x:c r="F2218" s="13" t="n">
        <x:v>45905</x:v>
      </x:c>
      <x:c r="G2218" s="12" t="n">
        <x:v>2.83</x:v>
      </x:c>
      <x:c r="H2218" s="12" t="n">
        <x:v>283</x:v>
      </x:c>
      <x:c r="I2218" s="12" t="n">
        <x:v>-1</x:v>
      </x:c>
      <x:c r="J2218" s="12" t="n">
        <x:v>3</x:v>
      </x:c>
    </x:row>
    <x:row r="2219" ht="18" customHeight="1">
      <x:c r="A2219" s="13" t="n">
        <x:v>45909</x:v>
      </x:c>
      <x:c r="B2219" s="12" t="n">
        <x:v>4436.2584</x:v>
      </x:c>
      <x:c r="C2219" s="12" t="n">
        <x:v>4467.5733</x:v>
      </x:c>
      <x:c r="D2219" s="12" t="n">
        <x:v>-0.7009</x:v>
      </x:c>
      <x:c r="E2219" s="12" t="n">
        <x:v>-0.0070340568356272665</x:v>
      </x:c>
      <x:c r="F2219" s="13" t="n">
        <x:v>45908</x:v>
      </x:c>
      <x:c r="G2219" s="12" t="n">
        <x:v>2.84</x:v>
      </x:c>
      <x:c r="H2219" s="12" t="n">
        <x:v>284</x:v>
      </x:c>
      <x:c r="I2219" s="12" t="n">
        <x:v>1</x:v>
      </x:c>
      <x:c r="J2219" s="12" t="n">
        <x:v>1</x:v>
      </x:c>
    </x:row>
    <x:row r="2220" ht="18" customHeight="1">
      <x:c r="A2220" s="13" t="n">
        <x:v>45910</x:v>
      </x:c>
      <x:c r="B2220" s="12" t="n">
        <x:v>4445.3649</x:v>
      </x:c>
      <x:c r="C2220" s="12" t="n">
        <x:v>4436.2584</x:v>
      </x:c>
      <x:c r="D2220" s="12" t="n">
        <x:v>0.2053</x:v>
      </x:c>
      <x:c r="E2220" s="12" t="n">
        <x:v>0.0020506393670538855</x:v>
      </x:c>
      <x:c r="F2220" s="13" t="n">
        <x:v>45909</x:v>
      </x:c>
      <x:c r="G2220" s="12" t="n">
        <x:v>2.87</x:v>
      </x:c>
      <x:c r="H2220" s="12" t="n">
        <x:v>287</x:v>
      </x:c>
      <x:c r="I2220" s="12" t="n">
        <x:v>3</x:v>
      </x:c>
      <x:c r="J2220" s="12" t="n">
        <x:v>1</x:v>
      </x:c>
    </x:row>
    <x:row r="2221" ht="18" customHeight="1">
      <x:c r="A2221" s="13" t="n">
        <x:v>45911</x:v>
      </x:c>
      <x:c r="B2221" s="12" t="n">
        <x:v>4548.0345</x:v>
      </x:c>
      <x:c r="C2221" s="12" t="n">
        <x:v>4445.3649</x:v>
      </x:c>
      <x:c r="D2221" s="12" t="n">
        <x:v>2.3096</x:v>
      </x:c>
      <x:c r="E2221" s="12" t="n">
        <x:v>0.022833203776542223</x:v>
      </x:c>
      <x:c r="F2221" s="13" t="n">
        <x:v>45910</x:v>
      </x:c>
      <x:c r="G2221" s="12" t="n">
        <x:v>2.84</x:v>
      </x:c>
      <x:c r="H2221" s="12" t="n">
        <x:v>284</x:v>
      </x:c>
      <x:c r="I2221" s="12" t="n">
        <x:v>-3</x:v>
      </x:c>
      <x:c r="J2221" s="12" t="n">
        <x:v>1</x:v>
      </x:c>
    </x:row>
    <x:row r="2222" ht="18" customHeight="1">
      <x:c r="A2222" s="13" t="n">
        <x:v>45912</x:v>
      </x:c>
      <x:c r="B2222" s="12" t="n">
        <x:v>4521.998</x:v>
      </x:c>
      <x:c r="C2222" s="12" t="n">
        <x:v>4548.0345</x:v>
      </x:c>
      <x:c r="D2222" s="12" t="n">
        <x:v>-0.5725</x:v>
      </x:c>
      <x:c r="E2222" s="12" t="n">
        <x:v>-0.00574123003799257</x:v>
      </x:c>
      <x:c r="F2222" s="13" t="n">
        <x:v>45911</x:v>
      </x:c>
      <x:c r="G2222" s="12" t="n">
        <x:v>2.78</x:v>
      </x:c>
      <x:c r="H2222" s="12" t="n">
        <x:v>278</x:v>
      </x:c>
      <x:c r="I2222" s="12" t="n">
        <x:v>-6</x:v>
      </x:c>
      <x:c r="J2222" s="12" t="n">
        <x:v>1</x:v>
      </x:c>
    </x:row>
    <x:row r="2223" ht="18" customHeight="1">
      <x:c r="A2223" s="13" t="n">
        <x:v>45915</x:v>
      </x:c>
      <x:c r="B2223" s="12" t="n">
        <x:v>4533.0557</x:v>
      </x:c>
      <x:c r="C2223" s="12" t="n">
        <x:v>4521.998</x:v>
      </x:c>
      <x:c r="D2223" s="12" t="n">
        <x:v>0.2445</x:v>
      </x:c>
      <x:c r="E2223" s="12" t="n">
        <x:v>0.0024423279779261227</x:v>
      </x:c>
      <x:c r="F2223" s="13" t="n">
        <x:v>45912</x:v>
      </x:c>
      <x:c r="G2223" s="12" t="n">
        <x:v>2.79</x:v>
      </x:c>
      <x:c r="H2223" s="12" t="n">
        <x:v>279</x:v>
      </x:c>
      <x:c r="I2223" s="12" t="n">
        <x:v>1</x:v>
      </x:c>
      <x:c r="J2223" s="12" t="n">
        <x:v>3</x:v>
      </x:c>
    </x:row>
    <x:row r="2224" ht="18" customHeight="1">
      <x:c r="A2224" s="13" t="n">
        <x:v>45916</x:v>
      </x:c>
      <x:c r="B2224" s="12" t="n">
        <x:v>4523.3367</x:v>
      </x:c>
      <x:c r="C2224" s="12" t="n">
        <x:v>4533.0557</x:v>
      </x:c>
      <x:c r="D2224" s="12" t="n">
        <x:v>-0.2144</x:v>
      </x:c>
      <x:c r="E2224" s="12" t="n">
        <x:v>-0.0021463300841667505</x:v>
      </x:c>
      <x:c r="F2224" s="13" t="n">
        <x:v>45915</x:v>
      </x:c>
      <x:c r="G2224" s="12" t="n">
        <x:v>2.75</x:v>
      </x:c>
      <x:c r="H2224" s="12" t="n">
        <x:v>275</x:v>
      </x:c>
      <x:c r="I2224" s="12" t="n">
        <x:v>-4</x:v>
      </x:c>
      <x:c r="J2224" s="12" t="n">
        <x:v>1</x:v>
      </x:c>
    </x:row>
    <x:row r="2225" ht="18" customHeight="1">
      <x:c r="A2225" s="13" t="n">
        <x:v>45917</x:v>
      </x:c>
      <x:c r="B2225" s="12" t="n">
        <x:v>4551.023</x:v>
      </x:c>
      <x:c r="C2225" s="12" t="n">
        <x:v>4523.3367</x:v>
      </x:c>
      <x:c r="D2225" s="12" t="n">
        <x:v>0.6121</x:v>
      </x:c>
      <x:c r="E2225" s="12" t="n">
        <x:v>0.006102113388792819</x:v>
      </x:c>
      <x:c r="F2225" s="13" t="n">
        <x:v>45916</x:v>
      </x:c>
      <x:c r="G2225" s="12" t="n">
        <x:v>2.79</x:v>
      </x:c>
      <x:c r="H2225" s="12" t="n">
        <x:v>279</x:v>
      </x:c>
      <x:c r="I2225" s="12" t="n">
        <x:v>4</x:v>
      </x:c>
      <x:c r="J2225" s="12" t="n">
        <x:v>1</x:v>
      </x:c>
    </x:row>
    <x:row r="2226" ht="18" customHeight="1">
      <x:c r="A2226" s="13" t="n">
        <x:v>45918</x:v>
      </x:c>
      <x:c r="B2226" s="12" t="n">
        <x:v>4498.109</x:v>
      </x:c>
      <x:c r="C2226" s="12" t="n">
        <x:v>4551.023</x:v>
      </x:c>
      <x:c r="D2226" s="12" t="n">
        <x:v>-1.1627</x:v>
      </x:c>
      <x:c r="E2226" s="12" t="n">
        <x:v>-0.011694956620105569</x:v>
      </x:c>
      <x:c r="F2226" s="13" t="n">
        <x:v>45917</x:v>
      </x:c>
      <x:c r="G2226" s="12" t="n">
        <x:v>2.79</x:v>
      </x:c>
      <x:c r="H2226" s="12" t="n">
        <x:v>279</x:v>
      </x:c>
      <x:c r="I2226" s="12" t="n">
        <x:v>0</x:v>
      </x:c>
      <x:c r="J2226" s="12" t="n">
        <x:v>1</x:v>
      </x:c>
    </x:row>
    <x:row r="2227" ht="18" customHeight="1">
      <x:c r="A2227" s="13" t="n">
        <x:v>45919</x:v>
      </x:c>
      <x:c r="B2227" s="12" t="n">
        <x:v>4501.9195</x:v>
      </x:c>
      <x:c r="C2227" s="12" t="n">
        <x:v>4498.109</x:v>
      </x:c>
      <x:c r="D2227" s="12" t="n">
        <x:v>0.0847</x:v>
      </x:c>
      <x:c r="E2227" s="12" t="n">
        <x:v>0.000846775146920046</x:v>
      </x:c>
      <x:c r="F2227" s="13" t="n">
        <x:v>45918</x:v>
      </x:c>
      <x:c r="G2227" s="12" t="n">
        <x:v>2.71</x:v>
      </x:c>
      <x:c r="H2227" s="12" t="n">
        <x:v>271</x:v>
      </x:c>
      <x:c r="I2227" s="12" t="n">
        <x:v>-8</x:v>
      </x:c>
      <x:c r="J2227" s="12" t="n">
        <x:v>1</x:v>
      </x:c>
    </x:row>
    <x:row r="2228" ht="18" customHeight="1">
      <x:c r="A2228" s="13" t="n">
        <x:v>45922</x:v>
      </x:c>
      <x:c r="B2228" s="12" t="n">
        <x:v>4522.608</x:v>
      </x:c>
      <x:c r="C2228" s="12" t="n">
        <x:v>4501.9195</x:v>
      </x:c>
      <x:c r="D2228" s="12" t="n">
        <x:v>0.4595</x:v>
      </x:c>
      <x:c r="E2228" s="12" t="n">
        <x:v>0.004584957216320352</x:v>
      </x:c>
      <x:c r="F2228" s="13" t="n">
        <x:v>45919</x:v>
      </x:c>
      <x:c r="G2228" s="12" t="n">
        <x:v>2.72</x:v>
      </x:c>
      <x:c r="H2228" s="12" t="n">
        <x:v>272</x:v>
      </x:c>
      <x:c r="I2228" s="12" t="n">
        <x:v>1</x:v>
      </x:c>
      <x:c r="J2228" s="12" t="n">
        <x:v>3</x:v>
      </x:c>
    </x:row>
    <x:row r="2229" ht="18" customHeight="1">
      <x:c r="A2229" s="13" t="n">
        <x:v>45923</x:v>
      </x:c>
      <x:c r="B2229" s="12" t="n">
        <x:v>4519.7781</x:v>
      </x:c>
      <x:c r="C2229" s="12" t="n">
        <x:v>4522.608</x:v>
      </x:c>
      <x:c r="D2229" s="12" t="n">
        <x:v>-0.0626</x:v>
      </x:c>
      <x:c r="E2229" s="12" t="n">
        <x:v>-0.0006259188805021417</x:v>
      </x:c>
      <x:c r="F2229" s="13" t="n">
        <x:v>45922</x:v>
      </x:c>
      <x:c r="G2229" s="12" t="n">
        <x:v>2.69</x:v>
      </x:c>
      <x:c r="H2229" s="12" t="n">
        <x:v>269</x:v>
      </x:c>
      <x:c r="I2229" s="12" t="n">
        <x:v>-3</x:v>
      </x:c>
      <x:c r="J2229" s="12" t="n">
        <x:v>1</x:v>
      </x:c>
    </x:row>
    <x:row r="2230" ht="18" customHeight="1">
      <x:c r="A2230" s="13" t="n">
        <x:v>45924</x:v>
      </x:c>
      <x:c r="B2230" s="12" t="n">
        <x:v>4566.0708</x:v>
      </x:c>
      <x:c r="C2230" s="12" t="n">
        <x:v>4519.7781</x:v>
      </x:c>
      <x:c r="D2230" s="12" t="n">
        <x:v>1.0242</x:v>
      </x:c>
      <x:c r="E2230" s="12" t="n">
        <x:v>0.010190154181971384</x:v>
      </x:c>
      <x:c r="F2230" s="13" t="n">
        <x:v>45923</x:v>
      </x:c>
      <x:c r="G2230" s="12" t="n">
        <x:v>2.71</x:v>
      </x:c>
      <x:c r="H2230" s="12" t="n">
        <x:v>271</x:v>
      </x:c>
      <x:c r="I2230" s="12" t="n">
        <x:v>2</x:v>
      </x:c>
      <x:c r="J2230" s="12" t="n">
        <x:v>1</x:v>
      </x:c>
    </x:row>
    <x:row r="2231" ht="18" customHeight="1">
      <x:c r="A2231" s="13" t="n">
        <x:v>45925</x:v>
      </x:c>
      <x:c r="B2231" s="12" t="n">
        <x:v>4593.4875</x:v>
      </x:c>
      <x:c r="C2231" s="12" t="n">
        <x:v>4566.0708</x:v>
      </x:c>
      <x:c r="D2231" s="12" t="n">
        <x:v>0.6004</x:v>
      </x:c>
      <x:c r="E2231" s="12" t="n">
        <x:v>0.0059864855884912554</x:v>
      </x:c>
      <x:c r="F2231" s="13" t="n">
        <x:v>45924</x:v>
      </x:c>
      <x:c r="G2231" s="12" t="n">
        <x:v>2.7</x:v>
      </x:c>
      <x:c r="H2231" s="12" t="n">
        <x:v>270</x:v>
      </x:c>
      <x:c r="I2231" s="12" t="n">
        <x:v>-1</x:v>
      </x:c>
      <x:c r="J2231" s="12" t="n">
        <x:v>1</x:v>
      </x:c>
    </x:row>
    <x:row r="2232" ht="18" customHeight="1">
      <x:c r="A2232" s="13" t="n">
        <x:v>45926</x:v>
      </x:c>
      <x:c r="B2232" s="12" t="n">
        <x:v>4550.0487</x:v>
      </x:c>
      <x:c r="C2232" s="12" t="n">
        <x:v>4593.4875</x:v>
      </x:c>
      <x:c r="D2232" s="12" t="n">
        <x:v>-0.9457</x:v>
      </x:c>
      <x:c r="E2232" s="12" t="n">
        <x:v>-0.009501603286869161</x:v>
      </x:c>
      <x:c r="F2232" s="13" t="n">
        <x:v>45925</x:v>
      </x:c>
      <x:c r="G2232" s="12" t="n">
        <x:v>2.76</x:v>
      </x:c>
      <x:c r="H2232" s="12" t="n">
        <x:v>276</x:v>
      </x:c>
      <x:c r="I2232" s="12" t="n">
        <x:v>6</x:v>
      </x:c>
      <x:c r="J2232" s="12" t="n">
        <x:v>1</x:v>
      </x:c>
    </x:row>
    <x:row r="2233" ht="18" customHeight="1">
      <x:c r="A2233" s="13" t="n">
        <x:v>45929</x:v>
      </x:c>
      <x:c r="B2233" s="12" t="n">
        <x:v>4620.0528</x:v>
      </x:c>
      <x:c r="C2233" s="12" t="n">
        <x:v>4550.0487</x:v>
      </x:c>
      <x:c r="D2233" s="12" t="n">
        <x:v>1.5385</x:v>
      </x:c>
      <x:c r="E2233" s="12" t="n">
        <x:v>0.01526819739748804</x:v>
      </x:c>
      <x:c r="F2233" s="13" t="n">
        <x:v>45926</x:v>
      </x:c>
      <x:c r="G2233" s="12" t="n">
        <x:v>2.75</x:v>
      </x:c>
      <x:c r="H2233" s="12" t="n">
        <x:v>275</x:v>
      </x:c>
      <x:c r="I2233" s="12" t="n">
        <x:v>-1</x:v>
      </x:c>
      <x:c r="J2233" s="12" t="n">
        <x:v>3</x:v>
      </x:c>
    </x:row>
    <x:row r="2234" ht="18" customHeight="1">
      <x:c r="A2234" s="13" t="n">
        <x:v>45930</x:v>
      </x:c>
      <x:c r="B2234" s="12" t="n">
        <x:v>4640.6935</x:v>
      </x:c>
      <x:c r="C2234" s="12" t="n">
        <x:v>4620.0528</x:v>
      </x:c>
      <x:c r="D2234" s="12" t="n">
        <x:v>0.4468</x:v>
      </x:c>
      <x:c r="E2234" s="12" t="n">
        <x:v>0.004457682677076719</x:v>
      </x:c>
      <x:c r="F2234" s="13" t="n">
        <x:v>45929</x:v>
      </x:c>
      <x:c r="G2234" s="12" t="n">
        <x:v>2.74</x:v>
      </x:c>
      <x:c r="H2234" s="12" t="n">
        <x:v>274</x:v>
      </x:c>
      <x:c r="I2234" s="12" t="n">
        <x:v>-1</x:v>
      </x:c>
      <x:c r="J2234" s="12" t="n">
        <x:v>1</x:v>
      </x:c>
    </x:row>
    <x:row r="2235" ht="18" customHeight="1">
      <x:c r="A2235" s="13" t="n">
        <x:v>45939</x:v>
      </x:c>
      <x:c r="B2235" s="12" t="n">
        <x:v>4709.482</x:v>
      </x:c>
      <x:c r="C2235" s="12" t="n">
        <x:v>4640.6935</x:v>
      </x:c>
      <x:c r="D2235" s="12" t="n">
        <x:v>1.4823</x:v>
      </x:c>
      <x:c r="E2235" s="12" t="n">
        <x:v>0.014714106934793574</x:v>
      </x:c>
      <x:c r="F2235" s="13" t="n">
        <x:v>45938</x:v>
      </x:c>
      <x:c r="G2235" s="12" t="n">
        <x:v>2.84</x:v>
      </x:c>
      <x:c r="H2235" s="12" t="n">
        <x:v>284</x:v>
      </x:c>
      <x:c r="I2235" s="12" t="n">
        <x:v>2</x:v>
      </x:c>
      <x:c r="J2235" s="12" t="n">
        <x:v>1</x:v>
      </x:c>
    </x:row>
    <x:row r="2236" ht="18" customHeight="1">
      <x:c r="A2236" s="13" t="n">
        <x:v>45940</x:v>
      </x:c>
      <x:c r="B2236" s="12" t="n">
        <x:v>4616.8341</x:v>
      </x:c>
      <x:c r="C2236" s="12" t="n">
        <x:v>4709.482</x:v>
      </x:c>
      <x:c r="D2236" s="12" t="n">
        <x:v>-1.9673</x:v>
      </x:c>
      <x:c r="E2236" s="12" t="n">
        <x:v>-0.01986871275602549</x:v>
      </x:c>
      <x:c r="F2236" s="13" t="n">
        <x:v>45939</x:v>
      </x:c>
      <x:c r="G2236" s="12" t="n">
        <x:v>2.95</x:v>
      </x:c>
      <x:c r="H2236" s="12" t="n">
        <x:v>295</x:v>
      </x:c>
      <x:c r="I2236" s="12" t="n">
        <x:v>11</x:v>
      </x:c>
      <x:c r="J2236" s="12" t="n">
        <x:v>1</x:v>
      </x:c>
    </x:row>
    <x:row r="2237" ht="18" customHeight="1">
      <x:c r="A2237" s="13" t="n">
        <x:v>45943</x:v>
      </x:c>
      <x:c r="B2237" s="12" t="n">
        <x:v>4593.9785</x:v>
      </x:c>
      <x:c r="C2237" s="12" t="n">
        <x:v>4616.8341</x:v>
      </x:c>
      <x:c r="D2237" s="12" t="n">
        <x:v>-0.495</x:v>
      </x:c>
      <x:c r="E2237" s="12" t="n">
        <x:v>-0.00496278621707397</x:v>
      </x:c>
      <x:c r="F2237" s="13" t="n">
        <x:v>45940</x:v>
      </x:c>
      <x:c r="G2237" s="12" t="n">
        <x:v>3.18</x:v>
      </x:c>
      <x:c r="H2237" s="12" t="n">
        <x:v>318</x:v>
      </x:c>
      <x:c r="I2237" s="12" t="n">
        <x:v>23</x:v>
      </x:c>
      <x:c r="J2237" s="12" t="n">
        <x:v>3</x:v>
      </x:c>
    </x:row>
    <x:row r="2238" ht="18" customHeight="1">
      <x:c r="A2238" s="13" t="n">
        <x:v>45944</x:v>
      </x:c>
      <x:c r="B2238" s="12" t="n">
        <x:v>4539.0644</x:v>
      </x:c>
      <x:c r="C2238" s="12" t="n">
        <x:v>4593.9785</x:v>
      </x:c>
      <x:c r="D2238" s="12" t="n">
        <x:v>-1.1953</x:v>
      </x:c>
      <x:c r="E2238" s="12" t="n">
        <x:v>-0.012025512717694411</x:v>
      </x:c>
      <x:c r="F2238" s="13" t="n">
        <x:v>45943</x:v>
      </x:c>
      <x:c r="G2238" s="12" t="n">
        <x:v>3.18</x:v>
      </x:c>
      <x:c r="H2238" s="12" t="n">
        <x:v>318</x:v>
      </x:c>
      <x:c r="I2238" s="12" t="n">
        <x:v>0</x:v>
      </x:c>
      <x:c r="J2238" s="12" t="n">
        <x:v>1</x:v>
      </x:c>
    </x:row>
    <x:row r="2239" ht="18" customHeight="1">
      <x:c r="A2239" s="13" t="n">
        <x:v>45945</x:v>
      </x:c>
      <x:c r="B2239" s="12" t="n">
        <x:v>4606.2879</x:v>
      </x:c>
      <x:c r="C2239" s="12" t="n">
        <x:v>4539.0644</x:v>
      </x:c>
      <x:c r="D2239" s="12" t="n">
        <x:v>1.481</x:v>
      </x:c>
      <x:c r="E2239" s="12" t="n">
        <x:v>0.01470139335196678</x:v>
      </x:c>
      <x:c r="F2239" s="13" t="n">
        <x:v>45944</x:v>
      </x:c>
      <x:c r="G2239" s="12" t="n">
        <x:v>3.11</x:v>
      </x:c>
      <x:c r="H2239" s="12" t="n">
        <x:v>311</x:v>
      </x:c>
      <x:c r="I2239" s="12" t="n">
        <x:v>-7</x:v>
      </x:c>
      <x:c r="J2239" s="12" t="n">
        <x:v>1</x:v>
      </x:c>
    </x:row>
    <x:row r="2240" ht="18" customHeight="1">
      <x:c r="A2240" s="13" t="n">
        <x:v>45946</x:v>
      </x:c>
      <x:c r="B2240" s="12" t="n">
        <x:v>4618.4218</x:v>
      </x:c>
      <x:c r="C2240" s="12" t="n">
        <x:v>4606.2879</x:v>
      </x:c>
      <x:c r="D2240" s="12" t="n">
        <x:v>0.2634</x:v>
      </x:c>
      <x:c r="E2240" s="12" t="n">
        <x:v>0.0026307401300698563</x:v>
      </x:c>
      <x:c r="F2240" s="13" t="n">
        <x:v>45945</x:v>
      </x:c>
      <x:c r="G2240" s="12" t="n">
        <x:v>2.95</x:v>
      </x:c>
      <x:c r="H2240" s="12" t="n">
        <x:v>295</x:v>
      </x:c>
      <x:c r="I2240" s="12" t="n">
        <x:v>-16</x:v>
      </x:c>
      <x:c r="J2240" s="12" t="n">
        <x:v>1</x:v>
      </x:c>
    </x:row>
    <x:row r="2241" ht="18" customHeight="1">
      <x:c r="A2241" s="13" t="n">
        <x:v>45947</x:v>
      </x:c>
      <x:c r="B2241" s="12" t="n">
        <x:v>4514.2345</x:v>
      </x:c>
      <x:c r="C2241" s="12" t="n">
        <x:v>4618.4218</x:v>
      </x:c>
      <x:c r="D2241" s="12" t="n">
        <x:v>-2.2559</x:v>
      </x:c>
      <x:c r="E2241" s="12" t="n">
        <x:v>-0.02281741846639355</x:v>
      </x:c>
      <x:c r="F2241" s="13" t="n">
        <x:v>45946</x:v>
      </x:c>
      <x:c r="G2241" s="12" t="n">
        <x:v>3.04</x:v>
      </x:c>
      <x:c r="H2241" s="12" t="n">
        <x:v>304</x:v>
      </x:c>
      <x:c r="I2241" s="12" t="n">
        <x:v>9</x:v>
      </x:c>
      <x:c r="J2241" s="12" t="n">
        <x:v>1</x:v>
      </x:c>
    </x:row>
    <x:row r="2242" ht="18" customHeight="1">
      <x:c r="A2242" s="13" t="n">
        <x:v>45950</x:v>
      </x:c>
      <x:c r="B2242" s="12" t="n">
        <x:v>4538.2201</x:v>
      </x:c>
      <x:c r="C2242" s="12" t="n">
        <x:v>4514.2345</x:v>
      </x:c>
      <x:c r="D2242" s="12" t="n">
        <x:v>0.5313</x:v>
      </x:c>
      <x:c r="E2242" s="12" t="n">
        <x:v>0.005299260187528013</x:v>
      </x:c>
      <x:c r="F2242" s="13" t="n">
        <x:v>45947</x:v>
      </x:c>
      <x:c r="G2242" s="12" t="n">
        <x:v>3.04</x:v>
      </x:c>
      <x:c r="H2242" s="12" t="n">
        <x:v>304</x:v>
      </x:c>
      <x:c r="I2242" s="12" t="n">
        <x:v>0</x:v>
      </x:c>
      <x:c r="J2242" s="12" t="n">
        <x:v>3</x:v>
      </x:c>
    </x:row>
    <x:row r="2243" ht="18" customHeight="1">
      <x:c r="A2243" s="13" t="n">
        <x:v>45951</x:v>
      </x:c>
      <x:c r="B2243" s="12" t="n">
        <x:v>4607.8715</x:v>
      </x:c>
      <x:c r="C2243" s="12" t="n">
        <x:v>4538.2201</x:v>
      </x:c>
      <x:c r="D2243" s="12" t="n">
        <x:v>1.5348</x:v>
      </x:c>
      <x:c r="E2243" s="12" t="n">
        <x:v>0.015231149996020378</x:v>
      </x:c>
      <x:c r="F2243" s="13" t="n">
        <x:v>45950</x:v>
      </x:c>
      <x:c r="G2243" s="12" t="n">
        <x:v>2.99</x:v>
      </x:c>
      <x:c r="H2243" s="12" t="n">
        <x:v>299</x:v>
      </x:c>
      <x:c r="I2243" s="12" t="n">
        <x:v>-5</x:v>
      </x:c>
      <x:c r="J2243" s="12" t="n">
        <x:v>1</x:v>
      </x:c>
    </x:row>
    <x:row r="2244" ht="18" customHeight="1">
      <x:c r="A2244" s="13" t="n">
        <x:v>45952</x:v>
      </x:c>
      <x:c r="B2244" s="12" t="n">
        <x:v>4592.57</x:v>
      </x:c>
      <x:c r="C2244" s="12" t="n">
        <x:v>4607.8715</x:v>
      </x:c>
      <x:c r="D2244" s="12" t="n">
        <x:v>-0.3321</x:v>
      </x:c>
      <x:c r="E2244" s="12" t="n">
        <x:v>-0.0033262564862693283</x:v>
      </x:c>
      <x:c r="F2244" s="13" t="n">
        <x:v>45951</x:v>
      </x:c>
      <x:c r="G2244" s="12" t="n">
        <x:v>2.97</x:v>
      </x:c>
      <x:c r="H2244" s="12" t="n">
        <x:v>297</x:v>
      </x:c>
      <x:c r="I2244" s="12" t="n">
        <x:v>-2</x:v>
      </x:c>
      <x:c r="J2244" s="12" t="n">
        <x:v>1</x:v>
      </x:c>
    </x:row>
    <x:row r="2245" ht="18" customHeight="1">
      <x:c r="A2245" s="13" t="n">
        <x:v>45953</x:v>
      </x:c>
      <x:c r="B2245" s="12" t="n">
        <x:v>4606.3447</x:v>
      </x:c>
      <x:c r="C2245" s="12" t="n">
        <x:v>4592.57</x:v>
      </x:c>
      <x:c r="D2245" s="12" t="n">
        <x:v>0.2999</x:v>
      </x:c>
      <x:c r="E2245" s="12" t="n">
        <x:v>0.00299485553347343</x:v>
      </x:c>
      <x:c r="F2245" s="13" t="n">
        <x:v>45952</x:v>
      </x:c>
      <x:c r="G2245" s="12" t="n">
        <x:v>3.01</x:v>
      </x:c>
      <x:c r="H2245" s="12" t="n">
        <x:v>301</x:v>
      </x:c>
      <x:c r="I2245" s="12" t="n">
        <x:v>4</x:v>
      </x:c>
      <x:c r="J2245" s="12" t="n">
        <x:v>1</x:v>
      </x:c>
    </x:row>
    <x:row r="2246" ht="18" customHeight="1">
      <x:c r="A2246" s="13" t="n">
        <x:v>45954</x:v>
      </x:c>
      <x:c r="B2246" s="12" t="n">
        <x:v>4660.6835</x:v>
      </x:c>
      <x:c r="C2246" s="12" t="n">
        <x:v>4606.3447</x:v>
      </x:c>
      <x:c r="D2246" s="12" t="n">
        <x:v>1.1797</x:v>
      </x:c>
      <x:c r="E2246" s="12" t="n">
        <x:v>0.011727475434501661</x:v>
      </x:c>
      <x:c r="F2246" s="13" t="n">
        <x:v>45953</x:v>
      </x:c>
      <x:c r="G2246" s="12" t="n">
        <x:v>2.96</x:v>
      </x:c>
      <x:c r="H2246" s="12" t="n">
        <x:v>296</x:v>
      </x:c>
      <x:c r="I2246" s="12" t="n">
        <x:v>-5</x:v>
      </x:c>
      <x:c r="J2246" s="12" t="n">
        <x:v>1</x:v>
      </x:c>
    </x:row>
    <x:row r="2247" ht="18" customHeight="1">
      <x:c r="A2247" s="13" t="n">
        <x:v>45957</x:v>
      </x:c>
      <x:c r="B2247" s="12" t="n">
        <x:v>4716.0186</x:v>
      </x:c>
      <x:c r="C2247" s="12" t="n">
        <x:v>4660.6835</x:v>
      </x:c>
      <x:c r="D2247" s="12" t="n">
        <x:v>1.1873</x:v>
      </x:c>
      <x:c r="E2247" s="12" t="n">
        <x:v>0.011802815485959269</x:v>
      </x:c>
      <x:c r="F2247" s="13" t="n">
        <x:v>45954</x:v>
      </x:c>
      <x:c r="G2247" s="12" t="n">
        <x:v>2.88</x:v>
      </x:c>
      <x:c r="H2247" s="12" t="n">
        <x:v>288</x:v>
      </x:c>
      <x:c r="I2247" s="12" t="n">
        <x:v>-8</x:v>
      </x:c>
      <x:c r="J2247" s="12" t="n">
        <x:v>3</x:v>
      </x:c>
    </x:row>
    <x:row r="2248" ht="18" customHeight="1">
      <x:c r="A2248" s="13" t="n">
        <x:v>45958</x:v>
      </x:c>
      <x:c r="B2248" s="12" t="n">
        <x:v>4691.973</x:v>
      </x:c>
      <x:c r="C2248" s="12" t="n">
        <x:v>4716.0186</x:v>
      </x:c>
      <x:c r="D2248" s="12" t="n">
        <x:v>-0.5099</x:v>
      </x:c>
      <x:c r="E2248" s="12" t="n">
        <x:v>-0.005111750388734483</x:v>
      </x:c>
      <x:c r="F2248" s="13" t="n">
        <x:v>45957</x:v>
      </x:c>
      <x:c r="G2248" s="12" t="n">
        <x:v>2.8</x:v>
      </x:c>
      <x:c r="H2248" s="12" t="n">
        <x:v>280</x:v>
      </x:c>
      <x:c r="I2248" s="12" t="n">
        <x:v>-8</x:v>
      </x:c>
      <x:c r="J2248" s="12" t="n">
        <x:v>1</x:v>
      </x:c>
    </x:row>
    <x:row r="2249" ht="18" customHeight="1">
      <x:c r="A2249" s="13" t="n">
        <x:v>45959</x:v>
      </x:c>
      <x:c r="B2249" s="12" t="n">
        <x:v>4747.8378</x:v>
      </x:c>
      <x:c r="C2249" s="12" t="n">
        <x:v>4691.973</x:v>
      </x:c>
      <x:c r="D2249" s="12" t="n">
        <x:v>1.1906</x:v>
      </x:c>
      <x:c r="E2249" s="12" t="n">
        <x:v>0.01183613811261025</x:v>
      </x:c>
      <x:c r="F2249" s="13" t="n">
        <x:v>45958</x:v>
      </x:c>
      <x:c r="G2249" s="12" t="n">
        <x:v>2.82</x:v>
      </x:c>
      <x:c r="H2249" s="12" t="n">
        <x:v>282</x:v>
      </x:c>
      <x:c r="I2249" s="12" t="n">
        <x:v>2</x:v>
      </x:c>
      <x:c r="J2249" s="12" t="n">
        <x:v>1</x:v>
      </x:c>
    </x:row>
    <x:row r="2250" ht="18" customHeight="1">
      <x:c r="A2250" s="13" t="n">
        <x:v>45960</x:v>
      </x:c>
      <x:c r="B2250" s="12" t="n">
        <x:v>4709.911</x:v>
      </x:c>
      <x:c r="C2250" s="12" t="n">
        <x:v>4747.8378</x:v>
      </x:c>
      <x:c r="D2250" s="12" t="n">
        <x:v>-0.7988</x:v>
      </x:c>
      <x:c r="E2250" s="12" t="n">
        <x:v>-0.00802030252781325</x:v>
      </x:c>
      <x:c r="F2250" s="13" t="n">
        <x:v>45959</x:v>
      </x:c>
      <x:c r="G2250" s="12" t="n">
        <x:v>2.76</x:v>
      </x:c>
      <x:c r="H2250" s="12" t="n">
        <x:v>276</x:v>
      </x:c>
      <x:c r="I2250" s="12" t="n">
        <x:v>-6</x:v>
      </x:c>
      <x:c r="J2250" s="12" t="n">
        <x:v>1</x:v>
      </x:c>
    </x:row>
    <x:row r="2251" ht="18" customHeight="1">
      <x:c r="A2251" s="13" t="n">
        <x:v>45961</x:v>
      </x:c>
      <x:c r="B2251" s="12" t="n">
        <x:v>4640.6676</x:v>
      </x:c>
      <x:c r="C2251" s="12" t="n">
        <x:v>4709.911</x:v>
      </x:c>
      <x:c r="D2251" s="12" t="n">
        <x:v>-1.4702</x:v>
      </x:c>
      <x:c r="E2251" s="12" t="n">
        <x:v>-0.014810776684892252</x:v>
      </x:c>
      <x:c r="F2251" s="13" t="n">
        <x:v>45960</x:v>
      </x:c>
      <x:c r="G2251" s="12" t="n">
        <x:v>2.85</x:v>
      </x:c>
      <x:c r="H2251" s="12" t="n">
        <x:v>285</x:v>
      </x:c>
      <x:c r="I2251" s="12" t="n">
        <x:v>9</x:v>
      </x:c>
      <x:c r="J2251" s="12" t="n">
        <x:v>1</x:v>
      </x:c>
    </x:row>
    <x:row r="2252" ht="18" customHeight="1">
      <x:c r="A2252" s="13" t="n">
        <x:v>45964</x:v>
      </x:c>
      <x:c r="B2252" s="12" t="n">
        <x:v>4653.4028</x:v>
      </x:c>
      <x:c r="C2252" s="12" t="n">
        <x:v>4640.6676</x:v>
      </x:c>
      <x:c r="D2252" s="12" t="n">
        <x:v>0.2744</x:v>
      </x:c>
      <x:c r="E2252" s="12" t="n">
        <x:v>0.002740501722578582</x:v>
      </x:c>
      <x:c r="F2252" s="13" t="n">
        <x:v>45961</x:v>
      </x:c>
      <x:c r="G2252" s="12" t="n">
        <x:v>2.94</x:v>
      </x:c>
      <x:c r="H2252" s="12" t="n">
        <x:v>294</x:v>
      </x:c>
      <x:c r="I2252" s="12" t="n">
        <x:v>9</x:v>
      </x:c>
      <x:c r="J2252" s="12" t="n">
        <x:v>3</x:v>
      </x:c>
    </x:row>
    <x:row r="2253" ht="18" customHeight="1">
      <x:c r="A2253" s="13" t="n">
        <x:v>45965</x:v>
      </x:c>
      <x:c r="B2253" s="12" t="n">
        <x:v>4618.699</x:v>
      </x:c>
      <x:c r="C2253" s="12" t="n">
        <x:v>4653.4028</x:v>
      </x:c>
      <x:c r="D2253" s="12" t="n">
        <x:v>-0.7458</x:v>
      </x:c>
      <x:c r="E2253" s="12" t="n">
        <x:v>-0.00748567321661909</x:v>
      </x:c>
      <x:c r="F2253" s="13" t="n">
        <x:v>45964</x:v>
      </x:c>
      <x:c r="G2253" s="12" t="n">
        <x:v>3.04</x:v>
      </x:c>
      <x:c r="H2253" s="12" t="n">
        <x:v>304</x:v>
      </x:c>
      <x:c r="I2253" s="12" t="n">
        <x:v>10</x:v>
      </x:c>
      <x:c r="J2253" s="12" t="n">
        <x:v>1</x:v>
      </x:c>
    </x:row>
    <x:row r="2254" ht="18" customHeight="1">
      <x:c r="A2254" s="13" t="n">
        <x:v>45966</x:v>
      </x:c>
      <x:c r="B2254" s="12" t="n">
        <x:v>4627.257</x:v>
      </x:c>
      <x:c r="C2254" s="12" t="n">
        <x:v>4618.699</x:v>
      </x:c>
      <x:c r="D2254" s="12" t="n">
        <x:v>0.1853</x:v>
      </x:c>
      <x:c r="E2254" s="12" t="n">
        <x:v>0.0018511882262794356</x:v>
      </x:c>
      <x:c r="F2254" s="13" t="n">
        <x:v>45965</x:v>
      </x:c>
      <x:c r="G2254" s="12" t="n">
        <x:v>3.13</x:v>
      </x:c>
      <x:c r="H2254" s="12" t="n">
        <x:v>313</x:v>
      </x:c>
      <x:c r="I2254" s="12" t="n">
        <x:v>9</x:v>
      </x:c>
      <x:c r="J2254" s="12" t="n">
        <x:v>1</x:v>
      </x:c>
    </x:row>
    <x:row r="2255" ht="18" customHeight="1">
      <x:c r="A2255" s="13" t="n">
        <x:v>45967</x:v>
      </x:c>
      <x:c r="B2255" s="12" t="n">
        <x:v>4693.4032</x:v>
      </x:c>
      <x:c r="C2255" s="12" t="n">
        <x:v>4627.257</x:v>
      </x:c>
      <x:c r="D2255" s="12" t="n">
        <x:v>1.4295</x:v>
      </x:c>
      <x:c r="E2255" s="12" t="n">
        <x:v>0.014193696383509896</x:v>
      </x:c>
      <x:c r="F2255" s="13" t="n">
        <x:v>45966</x:v>
      </x:c>
      <x:c r="G2255" s="12" t="n">
        <x:v>3.05</x:v>
      </x:c>
      <x:c r="H2255" s="12" t="n">
        <x:v>305</x:v>
      </x:c>
      <x:c r="I2255" s="12" t="n">
        <x:v>-8</x:v>
      </x:c>
      <x:c r="J2255" s="12" t="n">
        <x:v>1</x:v>
      </x:c>
    </x:row>
    <x:row r="2256" ht="18" customHeight="1">
      <x:c r="A2256" s="13" t="n">
        <x:v>45968</x:v>
      </x:c>
      <x:c r="B2256" s="12" t="n">
        <x:v>4678.7944</x:v>
      </x:c>
      <x:c r="C2256" s="12" t="n">
        <x:v>4693.4032</x:v>
      </x:c>
      <x:c r="D2256" s="12" t="n">
        <x:v>-0.3113</x:v>
      </x:c>
      <x:c r="E2256" s="12" t="n">
        <x:v>-0.003117478409014484</x:v>
      </x:c>
      <x:c r="F2256" s="13" t="n">
        <x:v>45967</x:v>
      </x:c>
      <x:c r="G2256" s="12" t="n">
        <x:v>3.13</x:v>
      </x:c>
      <x:c r="H2256" s="12" t="n">
        <x:v>313</x:v>
      </x:c>
      <x:c r="I2256" s="12" t="n">
        <x:v>8</x:v>
      </x:c>
      <x:c r="J2256" s="12" t="n">
        <x:v>1</x:v>
      </x:c>
    </x:row>
    <x:row r="2257" ht="18" customHeight="1">
      <x:c r="A2257" s="13" t="n">
        <x:v>45971</x:v>
      </x:c>
      <x:c r="B2257" s="12" t="n">
        <x:v>4695.0507</x:v>
      </x:c>
      <x:c r="C2257" s="12" t="n">
        <x:v>4678.7944</x:v>
      </x:c>
      <x:c r="D2257" s="12" t="n">
        <x:v>0.3474</x:v>
      </x:c>
      <x:c r="E2257" s="12" t="n">
        <x:v>0.0034684414183575644</x:v>
      </x:c>
      <x:c r="F2257" s="13" t="n">
        <x:v>45968</x:v>
      </x:c>
      <x:c r="G2257" s="12" t="n">
        <x:v>3.15</x:v>
      </x:c>
      <x:c r="H2257" s="12" t="n">
        <x:v>315</x:v>
      </x:c>
      <x:c r="I2257" s="12" t="n">
        <x:v>2</x:v>
      </x:c>
      <x:c r="J2257" s="12" t="n">
        <x:v>3</x:v>
      </x:c>
    </x:row>
    <x:row r="2258" ht="18" customHeight="1">
      <x:c r="A2258" s="13" t="n">
        <x:v>45972</x:v>
      </x:c>
      <x:c r="B2258" s="12" t="n">
        <x:v>4652.1655</x:v>
      </x:c>
      <x:c r="C2258" s="12" t="n">
        <x:v>4695.0507</x:v>
      </x:c>
      <x:c r="D2258" s="12" t="n">
        <x:v>-0.9134</x:v>
      </x:c>
      <x:c r="E2258" s="12" t="n">
        <x:v>-0.009176101204058719</x:v>
      </x:c>
      <x:c r="F2258" s="13" t="n">
        <x:v>45971</x:v>
      </x:c>
      <x:c r="G2258" s="12" t="n">
        <x:v>3.02</x:v>
      </x:c>
      <x:c r="H2258" s="12" t="n">
        <x:v>302</x:v>
      </x:c>
      <x:c r="I2258" s="12" t="n">
        <x:v>-13</x:v>
      </x:c>
      <x:c r="J2258" s="12" t="n">
        <x:v>1</x:v>
      </x:c>
    </x:row>
    <x:row r="2259" ht="18" customHeight="1">
      <x:c r="A2259" s="13" t="n">
        <x:v>45973</x:v>
      </x:c>
      <x:c r="B2259" s="12" t="n">
        <x:v>4645.9079</x:v>
      </x:c>
      <x:c r="C2259" s="12" t="n">
        <x:v>4652.1655</x:v>
      </x:c>
      <x:c r="D2259" s="12" t="n">
        <x:v>-0.1345</x:v>
      </x:c>
      <x:c r="E2259" s="12" t="n">
        <x:v>-0.001345999472266731</x:v>
      </x:c>
      <x:c r="F2259" s="13" t="n">
        <x:v>45972</x:v>
      </x:c>
      <x:c r="G2259" s="12" t="n">
        <x:v>3.02</x:v>
      </x:c>
      <x:c r="H2259" s="12" t="n">
        <x:v>302</x:v>
      </x:c>
      <x:c r="I2259" s="12" t="n">
        <x:v>0</x:v>
      </x:c>
      <x:c r="J2259" s="12" t="n">
        <x:v>1</x:v>
      </x:c>
    </x:row>
    <x:row r="2260" ht="18" customHeight="1">
      <x:c r="A2260" s="13" t="n">
        <x:v>45974</x:v>
      </x:c>
      <x:c r="B2260" s="12" t="n">
        <x:v>4702.0738</x:v>
      </x:c>
      <x:c r="C2260" s="12" t="n">
        <x:v>4645.9079</x:v>
      </x:c>
      <x:c r="D2260" s="12" t="n">
        <x:v>1.2089</x:v>
      </x:c>
      <x:c r="E2260" s="12" t="n">
        <x:v>0.01201683479581121</x:v>
      </x:c>
      <x:c r="F2260" s="13" t="n">
        <x:v>45973</x:v>
      </x:c>
      <x:c r="G2260" s="12" t="n">
        <x:v>3.02</x:v>
      </x:c>
      <x:c r="H2260" s="12" t="n">
        <x:v>302</x:v>
      </x:c>
      <x:c r="I2260" s="12" t="n">
        <x:v>0</x:v>
      </x:c>
      <x:c r="J2260" s="12" t="n">
        <x:v>1</x:v>
      </x:c>
    </x:row>
    <x:row r="2261" ht="18" customHeight="1">
      <x:c r="A2261" s="13" t="n">
        <x:v>45975</x:v>
      </x:c>
      <x:c r="B2261" s="12" t="n">
        <x:v>4628.1398</x:v>
      </x:c>
      <x:c r="C2261" s="12" t="n">
        <x:v>4702.0738</x:v>
      </x:c>
      <x:c r="D2261" s="12" t="n">
        <x:v>-1.5724</x:v>
      </x:c>
      <x:c r="E2261" s="12" t="n">
        <x:v>-0.015848629135239458</x:v>
      </x:c>
      <x:c r="F2261" s="13" t="n">
        <x:v>45974</x:v>
      </x:c>
      <x:c r="G2261" s="12" t="n">
        <x:v>3.09</x:v>
      </x:c>
      <x:c r="H2261" s="12" t="n">
        <x:v>309</x:v>
      </x:c>
      <x:c r="I2261" s="12" t="n">
        <x:v>7</x:v>
      </x:c>
      <x:c r="J2261" s="12" t="n">
        <x:v>1</x:v>
      </x:c>
    </x:row>
    <x:row r="2262" ht="18" customHeight="1">
      <x:c r="A2262" s="13" t="n">
        <x:v>45978</x:v>
      </x:c>
      <x:c r="B2262" s="12" t="n">
        <x:v>4598.0525</x:v>
      </x:c>
      <x:c r="C2262" s="12" t="n">
        <x:v>4628.1398</x:v>
      </x:c>
      <x:c r="D2262" s="12" t="n">
        <x:v>-0.6501</x:v>
      </x:c>
      <x:c r="E2262" s="12" t="n">
        <x:v>-0.006522172024576896</x:v>
      </x:c>
      <x:c r="F2262" s="13" t="n">
        <x:v>45975</x:v>
      </x:c>
      <x:c r="G2262" s="12" t="n">
        <x:v>3.07</x:v>
      </x:c>
      <x:c r="H2262" s="12" t="n">
        <x:v>307</x:v>
      </x:c>
      <x:c r="I2262" s="12" t="n">
        <x:v>-2</x:v>
      </x:c>
      <x:c r="J2262" s="12" t="n">
        <x:v>3</x:v>
      </x:c>
    </x:row>
    <x:row r="2263" ht="18" customHeight="1">
      <x:c r="A2263" s="13" t="n">
        <x:v>45979</x:v>
      </x:c>
      <x:c r="B2263" s="12" t="n">
        <x:v>4568.1928</x:v>
      </x:c>
      <x:c r="C2263" s="12" t="n">
        <x:v>4598.0525</x:v>
      </x:c>
      <x:c r="D2263" s="12" t="n">
        <x:v>-0.6494</x:v>
      </x:c>
      <x:c r="E2263" s="12" t="n">
        <x:v>-0.006515166165609792</x:v>
      </x:c>
      <x:c r="F2263" s="13" t="n">
        <x:v>45978</x:v>
      </x:c>
      <x:c r="G2263" s="12" t="n">
        <x:v>3.13</x:v>
      </x:c>
      <x:c r="H2263" s="12" t="n">
        <x:v>313</x:v>
      </x:c>
      <x:c r="I2263" s="12" t="n">
        <x:v>6</x:v>
      </x:c>
      <x:c r="J2263" s="12" t="n">
        <x:v>1</x:v>
      </x:c>
    </x:row>
    <x:row r="2264" ht="18" customHeight="1">
      <x:c r="A2264" s="13" t="n">
        <x:v>45980</x:v>
      </x:c>
      <x:c r="B2264" s="12" t="n">
        <x:v>4588.2922</x:v>
      </x:c>
      <x:c r="C2264" s="12" t="n">
        <x:v>4568.1928</x:v>
      </x:c>
      <x:c r="D2264" s="12" t="n">
        <x:v>0.44</x:v>
      </x:c>
      <x:c r="E2264" s="12" t="n">
        <x:v>0.004390207002542607</x:v>
      </x:c>
      <x:c r="F2264" s="13" t="n">
        <x:v>45979</x:v>
      </x:c>
      <x:c r="G2264" s="12" t="n">
        <x:v>3.2</x:v>
      </x:c>
      <x:c r="H2264" s="12" t="n">
        <x:v>320</x:v>
      </x:c>
      <x:c r="I2264" s="12" t="n">
        <x:v>7</x:v>
      </x:c>
      <x:c r="J2264" s="12" t="n">
        <x:v>1</x:v>
      </x:c>
    </x:row>
    <x:row r="2265" ht="18" customHeight="1">
      <x:c r="A2265" s="13" t="n">
        <x:v>45981</x:v>
      </x:c>
      <x:c r="B2265" s="12" t="n">
        <x:v>4564.9483</x:v>
      </x:c>
      <x:c r="C2265" s="12" t="n">
        <x:v>4588.2922</x:v>
      </x:c>
      <x:c r="D2265" s="12" t="n">
        <x:v>-0.5088</x:v>
      </x:c>
      <x:c r="E2265" s="12" t="n">
        <x:v>-0.005100696438971781</x:v>
      </x:c>
      <x:c r="F2265" s="13" t="n">
        <x:v>45980</x:v>
      </x:c>
      <x:c r="G2265" s="12" t="n">
        <x:v>3.17</x:v>
      </x:c>
      <x:c r="H2265" s="12" t="n">
        <x:v>317</x:v>
      </x:c>
      <x:c r="I2265" s="12" t="n">
        <x:v>-3</x:v>
      </x:c>
      <x:c r="J2265" s="12" t="n">
        <x:v>1</x:v>
      </x:c>
    </x:row>
    <x:row r="2266" ht="18" customHeight="1">
      <x:c r="A2266" s="13" t="n">
        <x:v>45982</x:v>
      </x:c>
      <x:c r="B2266" s="12" t="n">
        <x:v>4453.6076</x:v>
      </x:c>
      <x:c r="C2266" s="12" t="n">
        <x:v>4564.9483</x:v>
      </x:c>
      <x:c r="D2266" s="12" t="n">
        <x:v>-2.439</x:v>
      </x:c>
      <x:c r="E2266" s="12" t="n">
        <x:v>-0.024692724311248634</x:v>
      </x:c>
      <x:c r="F2266" s="13" t="n">
        <x:v>45981</x:v>
      </x:c>
      <x:c r="G2266" s="12" t="n">
        <x:v>3.17</x:v>
      </x:c>
      <x:c r="H2266" s="12" t="n">
        <x:v>317</x:v>
      </x:c>
      <x:c r="I2266" s="12" t="n">
        <x:v>0</x:v>
      </x:c>
      <x:c r="J2266" s="12" t="n">
        <x:v>1</x:v>
      </x:c>
    </x:row>
    <x:row r="2267" ht="18" customHeight="1">
      <x:c r="A2267" s="13" t="n">
        <x:v>45985</x:v>
      </x:c>
      <x:c r="B2267" s="12" t="n">
        <x:v>4448.0478</x:v>
      </x:c>
      <x:c r="C2267" s="12" t="n">
        <x:v>4453.6076</x:v>
      </x:c>
      <x:c r="D2267" s="12" t="n">
        <x:v>-0.1248</x:v>
      </x:c>
      <x:c r="E2267" s="12" t="n">
        <x:v>-0.0012491610769297722</x:v>
      </x:c>
      <x:c r="F2267" s="13" t="n">
        <x:v>45982</x:v>
      </x:c>
      <x:c r="G2267" s="12" t="n">
        <x:v>3.19</x:v>
      </x:c>
      <x:c r="H2267" s="12" t="n">
        <x:v>319</x:v>
      </x:c>
      <x:c r="I2267" s="12" t="n">
        <x:v>2</x:v>
      </x:c>
      <x:c r="J2267" s="12" t="n">
        <x:v>3</x:v>
      </x:c>
    </x:row>
    <x:row r="2268" ht="18" customHeight="1">
      <x:c r="A2268" s="13" t="n">
        <x:v>45986</x:v>
      </x:c>
      <x:c r="B2268" s="12" t="n">
        <x:v>4490.4047</x:v>
      </x:c>
      <x:c r="C2268" s="12" t="n">
        <x:v>4448.0478</x:v>
      </x:c>
      <x:c r="D2268" s="12" t="n">
        <x:v>0.9523</x:v>
      </x:c>
      <x:c r="E2268" s="12" t="n">
        <x:v>0.009477528029243936</x:v>
      </x:c>
      <x:c r="F2268" s="13" t="n">
        <x:v>45985</x:v>
      </x:c>
      <x:c r="G2268" s="12" t="n">
        <x:v>3.15</x:v>
      </x:c>
      <x:c r="H2268" s="12" t="n">
        <x:v>315</x:v>
      </x:c>
      <x:c r="I2268" s="12" t="n">
        <x:v>-4</x:v>
      </x:c>
      <x:c r="J2268" s="12" t="n">
        <x:v>1</x:v>
      </x:c>
    </x:row>
    <x:row r="2269" ht="18" customHeight="1">
      <x:c r="A2269" s="13" t="n">
        <x:v>45987</x:v>
      </x:c>
      <x:c r="B2269" s="12" t="n">
        <x:v>4517.6255</x:v>
      </x:c>
      <x:c r="C2269" s="12" t="n">
        <x:v>4490.4047</x:v>
      </x:c>
      <x:c r="D2269" s="12" t="n">
        <x:v>0.6062</x:v>
      </x:c>
      <x:c r="E2269" s="12" t="n">
        <x:v>0.006043692627946167</x:v>
      </x:c>
      <x:c r="F2269" s="13" t="n">
        <x:v>45986</x:v>
      </x:c>
      <x:c r="G2269" s="12" t="n">
        <x:v>3.1</x:v>
      </x:c>
      <x:c r="H2269" s="12" t="n">
        <x:v>310</x:v>
      </x:c>
      <x:c r="I2269" s="12" t="n">
        <x:v>-5</x:v>
      </x:c>
      <x:c r="J2269" s="12" t="n">
        <x:v>1</x:v>
      </x:c>
    </x:row>
    <x:row r="2270" ht="18" customHeight="1">
      <x:c r="A2270" s="13" t="n">
        <x:v>45988</x:v>
      </x:c>
      <x:c r="B2270" s="12" t="n">
        <x:v>4515.4027</x:v>
      </x:c>
      <x:c r="C2270" s="12" t="n">
        <x:v>4517.6255</x:v>
      </x:c>
      <x:c r="D2270" s="12" t="n">
        <x:v>-0.0492</x:v>
      </x:c>
      <x:c r="E2270" s="12" t="n">
        <x:v>-0.0004921494753810251</x:v>
      </x:c>
      <x:c r="F2270" s="13" t="n">
        <x:v>45987</x:v>
      </x:c>
      <x:c r="G2270" s="12" t="n">
        <x:v>3</x:v>
      </x:c>
      <x:c r="H2270" s="12" t="n">
        <x:v>300</x:v>
      </x:c>
      <x:c r="I2270" s="12" t="n">
        <x:v>-10</x:v>
      </x:c>
      <x:c r="J2270" s="12" t="n">
        <x:v>1</x:v>
      </x:c>
    </x:row>
    <x:row r="2271" ht="18" customHeight="1">
      <x:c r="A2271" s="13" t="n">
        <x:v>45989</x:v>
      </x:c>
      <x:c r="B2271" s="12" t="n">
        <x:v>4526.6616</x:v>
      </x:c>
      <x:c r="C2271" s="12" t="n">
        <x:v>4515.4027</x:v>
      </x:c>
      <x:c r="D2271" s="12" t="n">
        <x:v>0.2493</x:v>
      </x:c>
      <x:c r="E2271" s="12" t="n">
        <x:v>0.0024903396935098345</x:v>
      </x:c>
      <x:c r="F2271" s="13" t="n">
        <x:v>45988</x:v>
      </x:c>
      <x:c r="G2271" s="12" t="n">
        <x:v>3</x:v>
      </x:c>
      <x:c r="H2271" s="12" t="n">
        <x:v>300</x:v>
      </x:c>
      <x:c r="I2271" s="12" t="n">
        <x:v>0</x:v>
      </x:c>
      <x:c r="J2271" s="12" t="n">
        <x:v>1</x:v>
      </x:c>
    </x:row>
    <x:row r="2272" ht="18" customHeight="1">
      <x:c r="A2272" s="13" t="n">
        <x:v>45992</x:v>
      </x:c>
      <x:c r="B2272" s="12" t="n">
        <x:v>4576.4856</x:v>
      </x:c>
      <x:c r="C2272" s="12" t="n">
        <x:v>4526.6616</x:v>
      </x:c>
      <x:c r="D2272" s="12" t="n">
        <x:v>1.1007</x:v>
      </x:c>
      <x:c r="E2272" s="12" t="n">
        <x:v>0.010946653159669466</x:v>
      </x:c>
      <x:c r="F2272" s="13" t="n">
        <x:v>45991</x:v>
      </x:c>
      <x:c r="G2272" s="12" t="n">
        <x:v>2.92</x:v>
      </x:c>
      <x:c r="H2272" s="12" t="n">
        <x:v>292</x:v>
      </x:c>
      <x:c r="I2272" s="12" t="n">
        <x:v>-3</x:v>
      </x:c>
      <x:c r="J2272" s="12" t="n">
        <x:v>1</x:v>
      </x:c>
    </x:row>
    <x:row r="2273" ht="18" customHeight="1">
      <x:c r="A2273" s="13" t="n">
        <x:v>45993</x:v>
      </x:c>
      <x:c r="B2273" s="12" t="n">
        <x:v>4554.3347</x:v>
      </x:c>
      <x:c r="C2273" s="12" t="n">
        <x:v>4576.4856</x:v>
      </x:c>
      <x:c r="D2273" s="12" t="n">
        <x:v>-0.484</x:v>
      </x:c>
      <x:c r="E2273" s="12" t="n">
        <x:v>-0.004851906559699918</x:v>
      </x:c>
      <x:c r="F2273" s="13" t="n">
        <x:v>45992</x:v>
      </x:c>
      <x:c r="G2273" s="12" t="n">
        <x:v>2.94</x:v>
      </x:c>
      <x:c r="H2273" s="12" t="n">
        <x:v>294</x:v>
      </x:c>
      <x:c r="I2273" s="12" t="n">
        <x:v>2</x:v>
      </x:c>
      <x:c r="J2273" s="12" t="n">
        <x:v>1</x:v>
      </x:c>
    </x:row>
    <x:row r="2274" ht="18" customHeight="1">
      <x:c r="A2274" s="13" t="n">
        <x:v>45994</x:v>
      </x:c>
      <x:c r="B2274" s="12" t="n">
        <x:v>4531.0486</x:v>
      </x:c>
      <x:c r="C2274" s="12" t="n">
        <x:v>4554.3347</x:v>
      </x:c>
      <x:c r="D2274" s="12" t="n">
        <x:v>-0.5113</x:v>
      </x:c>
      <x:c r="E2274" s="12" t="n">
        <x:v>-0.005126069032201992</x:v>
      </x:c>
      <x:c r="F2274" s="13" t="n">
        <x:v>45993</x:v>
      </x:c>
      <x:c r="G2274" s="12" t="n">
        <x:v>2.92</x:v>
      </x:c>
      <x:c r="H2274" s="12" t="n">
        <x:v>292</x:v>
      </x:c>
      <x:c r="I2274" s="12" t="n">
        <x:v>-2</x:v>
      </x:c>
      <x:c r="J2274" s="12" t="n">
        <x:v>1</x:v>
      </x:c>
    </x:row>
    <x:row r="2275" ht="18" customHeight="1">
      <x:c r="A2275" s="13" t="n">
        <x:v>45995</x:v>
      </x:c>
      <x:c r="B2275" s="12" t="n">
        <x:v>4546.5664</x:v>
      </x:c>
      <x:c r="C2275" s="12" t="n">
        <x:v>4531.0486</x:v>
      </x:c>
      <x:c r="D2275" s="12" t="n">
        <x:v>0.3425</x:v>
      </x:c>
      <x:c r="E2275" s="12" t="n">
        <x:v>0.0034189189816126045</x:v>
      </x:c>
      <x:c r="F2275" s="13" t="n">
        <x:v>45994</x:v>
      </x:c>
      <x:c r="G2275" s="12" t="n">
        <x:v>2.89</x:v>
      </x:c>
      <x:c r="H2275" s="12" t="n">
        <x:v>289</x:v>
      </x:c>
      <x:c r="I2275" s="12" t="n">
        <x:v>-3</x:v>
      </x:c>
      <x:c r="J2275" s="12" t="n">
        <x:v>1</x:v>
      </x:c>
    </x:row>
    <x:row r="2276" ht="18" customHeight="1">
      <x:c r="A2276" s="13" t="n">
        <x:v>45996</x:v>
      </x:c>
      <x:c r="B2276" s="12" t="n">
        <x:v>4584.5368</x:v>
      </x:c>
      <x:c r="C2276" s="12" t="n">
        <x:v>4546.5664</x:v>
      </x:c>
      <x:c r="D2276" s="12" t="n">
        <x:v>0.8351</x:v>
      </x:c>
      <x:c r="E2276" s="12" t="n">
        <x:v>0.008316764805146162</x:v>
      </x:c>
      <x:c r="F2276" s="13" t="n">
        <x:v>45995</x:v>
      </x:c>
      <x:c r="G2276" s="12" t="n">
        <x:v>2.88</x:v>
      </x:c>
      <x:c r="H2276" s="12" t="n">
        <x:v>288</x:v>
      </x:c>
      <x:c r="I2276" s="12" t="n">
        <x:v>-1</x:v>
      </x:c>
      <x:c r="J2276" s="12" t="n">
        <x:v>1</x:v>
      </x:c>
    </x:row>
    <x:row r="2277" ht="18" customHeight="1">
      <x:c r="A2277" s="13" t="n">
        <x:v>45999</x:v>
      </x:c>
      <x:c r="B2277" s="12" t="n">
        <x:v>4621.7545</x:v>
      </x:c>
      <x:c r="C2277" s="12" t="n">
        <x:v>4584.5368</x:v>
      </x:c>
      <x:c r="D2277" s="12" t="n">
        <x:v>0.8118</x:v>
      </x:c>
      <x:c r="E2277" s="12" t="n">
        <x:v>0.008085319383845935</x:v>
      </x:c>
      <x:c r="F2277" s="13" t="n">
        <x:v>45996</x:v>
      </x:c>
      <x:c r="G2277" s="12" t="n">
        <x:v>2.85</x:v>
      </x:c>
      <x:c r="H2277" s="12" t="n">
        <x:v>285</x:v>
      </x:c>
      <x:c r="I2277" s="12" t="n">
        <x:v>-3</x:v>
      </x:c>
      <x:c r="J2277" s="12" t="n">
        <x:v>3</x:v>
      </x:c>
    </x:row>
    <x:row r="2278" ht="18" customHeight="1">
      <x:c r="A2278" s="13" t="n">
        <x:v>46000</x:v>
      </x:c>
      <x:c r="B2278" s="12" t="n">
        <x:v>4598.2232</x:v>
      </x:c>
      <x:c r="C2278" s="12" t="n">
        <x:v>4621.7545</x:v>
      </x:c>
      <x:c r="D2278" s="12" t="n">
        <x:v>-0.5091</x:v>
      </x:c>
      <x:c r="E2278" s="12" t="n">
        <x:v>-0.005104426899569132</x:v>
      </x:c>
      <x:c r="F2278" s="13" t="n">
        <x:v>45999</x:v>
      </x:c>
      <x:c r="G2278" s="12" t="n">
        <x:v>2.89</x:v>
      </x:c>
      <x:c r="H2278" s="12" t="n">
        <x:v>289</x:v>
      </x:c>
      <x:c r="I2278" s="12" t="n">
        <x:v>4</x:v>
      </x:c>
      <x:c r="J2278" s="12" t="n">
        <x:v>1</x:v>
      </x:c>
    </x:row>
    <x:row r="2279" ht="18" customHeight="1">
      <x:c r="A2279" s="13" t="n">
        <x:v>46001</x:v>
      </x:c>
      <x:c r="B2279" s="12" t="n">
        <x:v>4591.8273</x:v>
      </x:c>
      <x:c r="C2279" s="12" t="n">
        <x:v>4598.2232</x:v>
      </x:c>
      <x:c r="D2279" s="12" t="n">
        <x:v>-0.1391</x:v>
      </x:c>
      <x:c r="E2279" s="12" t="n">
        <x:v>-0.0013919185825232096</x:v>
      </x:c>
      <x:c r="F2279" s="13" t="n">
        <x:v>46000</x:v>
      </x:c>
      <x:c r="G2279" s="12" t="n">
        <x:v>2.89</x:v>
      </x:c>
      <x:c r="H2279" s="12" t="n">
        <x:v>289</x:v>
      </x:c>
      <x:c r="I2279" s="12" t="n">
        <x:v>0</x:v>
      </x:c>
      <x:c r="J2279" s="12" t="n">
        <x:v>1</x:v>
      </x:c>
    </x:row>
    <x:row r="2280" ht="18" customHeight="1">
      <x:c r="A2280" s="13" t="n">
        <x:v>46002</x:v>
      </x:c>
      <x:c r="B2280" s="12" t="n">
        <x:v>4552.1848</x:v>
      </x:c>
      <x:c r="C2280" s="12" t="n">
        <x:v>4591.8273</x:v>
      </x:c>
      <x:c r="D2280" s="12" t="n">
        <x:v>-0.8633</x:v>
      </x:c>
      <x:c r="E2280" s="12" t="n">
        <x:v>-0.008670755885500946</x:v>
      </x:c>
      <x:c r="F2280" s="13" t="n">
        <x:v>46001</x:v>
      </x:c>
      <x:c r="G2280" s="12" t="n">
        <x:v>2.91</x:v>
      </x:c>
      <x:c r="H2280" s="12" t="n">
        <x:v>291</x:v>
      </x:c>
      <x:c r="I2280" s="12" t="n">
        <x:v>2</x:v>
      </x:c>
      <x:c r="J2280" s="12" t="n">
        <x:v>1</x:v>
      </x:c>
    </x:row>
    <x:row r="2281" ht="18" customHeight="1">
      <x:c r="A2281" s="13" t="n">
        <x:v>46003</x:v>
      </x:c>
      <x:c r="B2281" s="12" t="n">
        <x:v>4580.95</x:v>
      </x:c>
      <x:c r="C2281" s="12" t="n">
        <x:v>4552.1848</x:v>
      </x:c>
      <x:c r="D2281" s="12" t="n">
        <x:v>0.6319</x:v>
      </x:c>
      <x:c r="E2281" s="12" t="n">
        <x:v>0.006299106658067917</x:v>
      </x:c>
      <x:c r="F2281" s="13" t="n">
        <x:v>46002</x:v>
      </x:c>
      <x:c r="G2281" s="12" t="n">
        <x:v>2.88</x:v>
      </x:c>
      <x:c r="H2281" s="12" t="n">
        <x:v>288</x:v>
      </x:c>
      <x:c r="I2281" s="12" t="n">
        <x:v>-3</x:v>
      </x:c>
      <x:c r="J2281" s="12" t="n">
        <x:v>1</x:v>
      </x:c>
    </x:row>
    <x:row r="2282" ht="18" customHeight="1">
      <x:c r="A2282" s="13" t="n">
        <x:v>46006</x:v>
      </x:c>
      <x:c r="B2282" s="12" t="n">
        <x:v>4552.0596</x:v>
      </x:c>
      <x:c r="C2282" s="12" t="n">
        <x:v>4580.95</x:v>
      </x:c>
      <x:c r="D2282" s="12" t="n">
        <x:v>-0.6307</x:v>
      </x:c>
      <x:c r="E2282" s="12" t="n">
        <x:v>-0.006326610313397728</x:v>
      </x:c>
      <x:c r="F2282" s="13" t="n">
        <x:v>46003</x:v>
      </x:c>
      <x:c r="G2282" s="12" t="n">
        <x:v>2.91</x:v>
      </x:c>
      <x:c r="H2282" s="12" t="n">
        <x:v>291</x:v>
      </x:c>
      <x:c r="I2282" s="12" t="n">
        <x:v>3</x:v>
      </x:c>
      <x:c r="J2282" s="12" t="n">
        <x:v>3</x:v>
      </x:c>
    </x:row>
    <x:row r="2283" ht="18" customHeight="1">
      <x:c r="A2283" s="13" t="n">
        <x:v>46007</x:v>
      </x:c>
      <x:c r="B2283" s="12" t="n">
        <x:v>4497.5545</x:v>
      </x:c>
      <x:c r="C2283" s="12" t="n">
        <x:v>4552.0596</x:v>
      </x:c>
      <x:c r="D2283" s="12" t="n">
        <x:v>-1.1974</x:v>
      </x:c>
      <x:c r="E2283" s="12" t="n">
        <x:v>-0.01204598527180826</x:v>
      </x:c>
      <x:c r="F2283" s="13" t="n">
        <x:v>46006</x:v>
      </x:c>
      <x:c r="G2283" s="12" t="n">
        <x:v>2.91</x:v>
      </x:c>
      <x:c r="H2283" s="12" t="n">
        <x:v>291</x:v>
      </x:c>
      <x:c r="I2283" s="12" t="n">
        <x:v>0</x:v>
      </x:c>
      <x:c r="J2283" s="12" t="n">
        <x:v>1</x:v>
      </x:c>
    </x:row>
    <x:row r="2284" ht="18" customHeight="1">
      <x:c r="A2284" s="13" t="n">
        <x:v>46008</x:v>
      </x:c>
      <x:c r="B2284" s="12" t="n">
        <x:v>4579.875</x:v>
      </x:c>
      <x:c r="C2284" s="12" t="n">
        <x:v>4497.5545</x:v>
      </x:c>
      <x:c r="D2284" s="12" t="n">
        <x:v>1.8303</x:v>
      </x:c>
      <x:c r="E2284" s="12" t="n">
        <x:v>0.01813790056484832</x:v>
      </x:c>
      <x:c r="F2284" s="13" t="n">
        <x:v>46007</x:v>
      </x:c>
      <x:c r="G2284" s="12" t="n">
        <x:v>2.98</x:v>
      </x:c>
      <x:c r="H2284" s="12" t="n">
        <x:v>298</x:v>
      </x:c>
      <x:c r="I2284" s="12" t="n">
        <x:v>7</x:v>
      </x:c>
      <x:c r="J2284" s="12" t="n">
        <x:v>1</x:v>
      </x:c>
    </x:row>
    <x:row r="2285" ht="18" customHeight="1">
      <x:c r="A2285" s="13" t="n">
        <x:v>46009</x:v>
      </x:c>
      <x:c r="B2285" s="12" t="n">
        <x:v>4552.7926</x:v>
      </x:c>
      <x:c r="C2285" s="12" t="n">
        <x:v>4579.875</x:v>
      </x:c>
      <x:c r="D2285" s="12" t="n">
        <x:v>-0.5913</x:v>
      </x:c>
      <x:c r="E2285" s="12" t="n">
        <x:v>-0.005930902245165715</x:v>
      </x:c>
      <x:c r="F2285" s="13" t="n">
        <x:v>46008</x:v>
      </x:c>
      <x:c r="G2285" s="12" t="n">
        <x:v>2.99</x:v>
      </x:c>
      <x:c r="H2285" s="12" t="n">
        <x:v>299</x:v>
      </x:c>
      <x:c r="I2285" s="12" t="n">
        <x:v>1</x:v>
      </x:c>
      <x:c r="J2285" s="12" t="n">
        <x:v>1</x:v>
      </x:c>
    </x:row>
    <x:row r="2286" ht="18" customHeight="1">
      <x:c r="A2286" s="13" t="n">
        <x:v>46010</x:v>
      </x:c>
      <x:c r="B2286" s="12" t="n">
        <x:v>4568.1781</x:v>
      </x:c>
      <x:c r="C2286" s="12" t="n">
        <x:v>4552.7926</x:v>
      </x:c>
      <x:c r="D2286" s="12" t="n">
        <x:v>0.3379</x:v>
      </x:c>
      <x:c r="E2286" s="12" t="n">
        <x:v>0.0033736572780755153</x:v>
      </x:c>
      <x:c r="F2286" s="13" t="n">
        <x:v>46009</x:v>
      </x:c>
      <x:c r="G2286" s="12" t="n">
        <x:v>2.95</x:v>
      </x:c>
      <x:c r="H2286" s="12" t="n">
        <x:v>295</x:v>
      </x:c>
      <x:c r="I2286" s="12" t="n">
        <x:v>-4</x:v>
      </x:c>
      <x:c r="J2286" s="12" t="n">
        <x:v>1</x:v>
      </x:c>
    </x:row>
    <x:row r="2287" ht="18" customHeight="1">
      <x:c r="A2287" s="13" t="n">
        <x:v>46013</x:v>
      </x:c>
      <x:c r="B2287" s="12" t="n">
        <x:v>4611.6235</x:v>
      </x:c>
      <x:c r="C2287" s="12" t="n">
        <x:v>4568.1781</x:v>
      </x:c>
      <x:c r="D2287" s="12" t="n">
        <x:v>0.951</x:v>
      </x:c>
      <x:c r="E2287" s="12" t="n">
        <x:v>0.009465503998802404</x:v>
      </x:c>
      <x:c r="F2287" s="13" t="n">
        <x:v>46010</x:v>
      </x:c>
      <x:c r="G2287" s="12" t="n">
        <x:v>2.9</x:v>
      </x:c>
      <x:c r="H2287" s="12" t="n">
        <x:v>290</x:v>
      </x:c>
      <x:c r="I2287" s="12" t="n">
        <x:v>-5</x:v>
      </x:c>
      <x:c r="J2287" s="12" t="n">
        <x:v>3</x:v>
      </x:c>
    </x:row>
    <x:row r="2288" ht="18" customHeight="1">
      <x:c r="A2288" s="13" t="n">
        <x:v>46014</x:v>
      </x:c>
      <x:c r="B2288" s="12" t="n">
        <x:v>4620.7341</x:v>
      </x:c>
      <x:c r="C2288" s="12" t="n">
        <x:v>4611.6235</x:v>
      </x:c>
      <x:c r="D2288" s="12" t="n">
        <x:v>0.1976</x:v>
      </x:c>
      <x:c r="E2288" s="12" t="n">
        <x:v>0.0019736243659572456</x:v>
      </x:c>
      <x:c r="F2288" s="13" t="n">
        <x:v>46013</x:v>
      </x:c>
      <x:c r="G2288" s="12" t="n">
        <x:v>2.88</x:v>
      </x:c>
      <x:c r="H2288" s="12" t="n">
        <x:v>288</x:v>
      </x:c>
      <x:c r="I2288" s="12" t="n">
        <x:v>-2</x:v>
      </x:c>
      <x:c r="J2288" s="12" t="n">
        <x:v>1</x:v>
      </x:c>
    </x:row>
    <x:row r="2289" ht="18" customHeight="1">
      <x:c r="A2289" s="13" t="n">
        <x:v>46015</x:v>
      </x:c>
      <x:c r="B2289" s="12" t="n">
        <x:v>4634.0586</x:v>
      </x:c>
      <x:c r="C2289" s="12" t="n">
        <x:v>4620.7341</x:v>
      </x:c>
      <x:c r="D2289" s="12" t="n">
        <x:v>0.2884</x:v>
      </x:c>
      <x:c r="E2289" s="12" t="n">
        <x:v>0.002879483017828682</x:v>
      </x:c>
      <x:c r="F2289" s="13" t="n">
        <x:v>46014</x:v>
      </x:c>
      <x:c r="G2289" s="12" t="n">
        <x:v>2.83</x:v>
      </x:c>
      <x:c r="H2289" s="12" t="n">
        <x:v>283</x:v>
      </x:c>
      <x:c r="I2289" s="12" t="n">
        <x:v>-5</x:v>
      </x:c>
      <x:c r="J2289" s="12" t="n">
        <x:v>1</x:v>
      </x:c>
    </x:row>
    <x:row r="2290" ht="18" customHeight="1">
      <x:c r="A2290" s="13" t="n">
        <x:v>46016</x:v>
      </x:c>
      <x:c r="B2290" s="12" t="n">
        <x:v>4642.5357</x:v>
      </x:c>
      <x:c r="C2290" s="12" t="n">
        <x:v>4634.0586</x:v>
      </x:c>
      <x:c r="D2290" s="12" t="n">
        <x:v>0.1829</x:v>
      </x:c>
      <x:c r="E2290" s="12" t="n">
        <x:v>0.0018276324447278989</x:v>
      </x:c>
      <x:c r="F2290" s="13" t="n">
        <x:v>46015</x:v>
      </x:c>
      <x:c r="G2290" s="12" t="n">
        <x:v>2.84</x:v>
      </x:c>
      <x:c r="H2290" s="12" t="n">
        <x:v>284</x:v>
      </x:c>
      <x:c r="I2290" s="12" t="n">
        <x:v>1</x:v>
      </x:c>
      <x:c r="J2290" s="12" t="n">
        <x:v>1</x:v>
      </x:c>
    </x:row>
    <x:row r="2291" ht="18" customHeight="1">
      <x:c r="A2291" s="13" t="n">
        <x:v>46017</x:v>
      </x:c>
      <x:c r="B2291" s="12" t="n">
        <x:v>4657.24</x:v>
      </x:c>
      <x:c r="C2291" s="12" t="n">
        <x:v>4642.5357</x:v>
      </x:c>
      <x:c r="D2291" s="12" t="n">
        <x:v>0.3167</x:v>
      </x:c>
      <x:c r="E2291" s="12" t="n">
        <x:v>0.0031622939580590193</x:v>
      </x:c>
      <x:c r="F2291" s="13" t="n">
        <x:v>46015</x:v>
      </x:c>
      <x:c r="G2291" s="12" t="n">
        <x:v>2.84</x:v>
      </x:c>
      <x:c r="H2291" s="12" t="n">
        <x:v>284</x:v>
      </x:c>
      <x:c r="I2291" s="12" t="n">
        <x:v>1</x:v>
      </x:c>
      <x:c r="J2291" s="12" t="n">
        <x:v>2</x:v>
      </x:c>
    </x:row>
    <x:row r="2292" ht="18" customHeight="1">
      <x:c r="A2292" s="13" t="n">
        <x:v>46020</x:v>
      </x:c>
      <x:c r="B2292" s="12" t="n">
        <x:v>4639.3721</x:v>
      </x:c>
      <x:c r="C2292" s="12" t="n">
        <x:v>4657.24</x:v>
      </x:c>
      <x:c r="D2292" s="12" t="n">
        <x:v>-0.3837</x:v>
      </x:c>
      <x:c r="E2292" s="12" t="n">
        <x:v>-0.0038439641902292404</x:v>
      </x:c>
      <x:c r="F2292" s="13" t="n">
        <x:v>46017</x:v>
      </x:c>
      <x:c r="G2292" s="12" t="n">
        <x:v>2.86</x:v>
      </x:c>
      <x:c r="H2292" s="12" t="n">
        <x:v>286</x:v>
      </x:c>
      <x:c r="I2292" s="12" t="n">
        <x:v>2</x:v>
      </x:c>
      <x:c r="J2292" s="12" t="n">
        <x:v>3</x:v>
      </x:c>
    </x:row>
    <x:row r="2293" ht="18" customHeight="1">
      <x:c r="A2293" s="13" t="n">
        <x:v>46021</x:v>
      </x:c>
      <x:c r="B2293" s="12" t="n">
        <x:v>4651.2818</x:v>
      </x:c>
      <x:c r="C2293" s="12" t="n">
        <x:v>4639.3721</x:v>
      </x:c>
      <x:c r="D2293" s="12" t="n">
        <x:v>0.2567</x:v>
      </x:c>
      <x:c r="E2293" s="12" t="n">
        <x:v>0.0025638037218513182</x:v>
      </x:c>
      <x:c r="F2293" s="13" t="n">
        <x:v>46020</x:v>
      </x:c>
      <x:c r="G2293" s="12" t="n">
        <x:v>2.87</x:v>
      </x:c>
      <x:c r="H2293" s="12" t="n">
        <x:v>287</x:v>
      </x:c>
      <x:c r="I2293" s="12" t="n">
        <x:v>1</x:v>
      </x:c>
      <x:c r="J2293" s="12" t="n">
        <x:v>1</x:v>
      </x:c>
    </x:row>
    <x:row r="2294" ht="18" customHeight="1">
      <x:c r="A2294" s="13" t="n">
        <x:v>46022</x:v>
      </x:c>
      <x:c r="B2294" s="12" t="n">
        <x:v>4629.9395</x:v>
      </x:c>
      <x:c r="C2294" s="12" t="n">
        <x:v>4651.2818</x:v>
      </x:c>
      <x:c r="D2294" s="12" t="n">
        <x:v>-0.4588</x:v>
      </x:c>
      <x:c r="E2294" s="12" t="n">
        <x:v>-0.004599036469006681</x:v>
      </x:c>
      <x:c r="F2294" s="13" t="n">
        <x:v>46021</x:v>
      </x:c>
      <x:c r="G2294" s="12" t="n">
        <x:v>2.84</x:v>
      </x:c>
      <x:c r="H2294" s="12" t="n">
        <x:v>284</x:v>
      </x:c>
      <x:c r="I2294" s="12" t="n">
        <x:v>-3</x:v>
      </x:c>
      <x:c r="J2294" s="12" t="n">
        <x:v>1</x:v>
      </x:c>
    </x:row>
    <x:row r="2295" ht="18" customHeight="1">
      <x:c r="A2295" s="13" t="n">
        <x:v>46027</x:v>
      </x:c>
      <x:c r="B2295" s="12" t="n">
        <x:v>4717.7457</x:v>
      </x:c>
      <x:c r="C2295" s="12" t="n">
        <x:v>4629.9395</x:v>
      </x:c>
      <x:c r="D2295" s="12" t="n">
        <x:v>1.8965</x:v>
      </x:c>
      <x:c r="E2295" s="12" t="n">
        <x:v>0.018787278517093456</x:v>
      </x:c>
      <x:c r="F2295" s="13" t="n">
        <x:v>46024</x:v>
      </x:c>
      <x:c r="G2295" s="12" t="n">
        <x:v>2.83</x:v>
      </x:c>
      <x:c r="H2295" s="12" t="n">
        <x:v>283</x:v>
      </x:c>
      <x:c r="I2295" s="12" t="n">
        <x:v>2</x:v>
      </x:c>
      <x:c r="J2295" s="12" t="n">
        <x:v>3</x:v>
      </x:c>
    </x:row>
    <x:row r="2296" ht="18" customHeight="1">
      <x:c r="A2296" s="13" t="n">
        <x:v>46028</x:v>
      </x:c>
      <x:c r="B2296" s="12" t="n">
        <x:v>4790.6938</x:v>
      </x:c>
      <x:c r="C2296" s="12" t="n">
        <x:v>4717.7457</x:v>
      </x:c>
      <x:c r="D2296" s="12" t="n">
        <x:v>1.5462</x:v>
      </x:c>
      <x:c r="E2296" s="12" t="n">
        <x:v>0.015344164782608284</x:v>
      </x:c>
      <x:c r="F2296" s="13" t="n">
        <x:v>46027</x:v>
      </x:c>
      <x:c r="G2296" s="12" t="n">
        <x:v>2.81</x:v>
      </x:c>
      <x:c r="H2296" s="12" t="n">
        <x:v>281</x:v>
      </x:c>
      <x:c r="I2296" s="12" t="n">
        <x:v>-2</x:v>
      </x:c>
      <x:c r="J2296" s="12" t="n">
        <x:v>1</x:v>
      </x:c>
    </x:row>
    <x:row r="2297" ht="18" customHeight="1">
      <x:c r="A2297" s="13" t="n">
        <x:v>46029</x:v>
      </x:c>
      <x:c r="B2297" s="12" t="n">
        <x:v>4776.6658</x:v>
      </x:c>
      <x:c r="C2297" s="12" t="n">
        <x:v>4790.6938</x:v>
      </x:c>
      <x:c r="D2297" s="12" t="n">
        <x:v>-0.2928</x:v>
      </x:c>
      <x:c r="E2297" s="12" t="n">
        <x:v>-0.0029324726234168375</x:v>
      </x:c>
      <x:c r="F2297" s="13" t="n">
        <x:v>46028</x:v>
      </x:c>
      <x:c r="G2297" s="12" t="n">
        <x:v>2.79</x:v>
      </x:c>
      <x:c r="H2297" s="12" t="n">
        <x:v>279</x:v>
      </x:c>
      <x:c r="I2297" s="12" t="n">
        <x:v>-2</x:v>
      </x:c>
      <x:c r="J2297" s="12" t="n">
        <x:v>1</x:v>
      </x:c>
    </x:row>
    <x:row r="2298" ht="18" customHeight="1">
      <x:c r="A2298" s="13" t="n">
        <x:v>46030</x:v>
      </x:c>
      <x:c r="B2298" s="12" t="n">
        <x:v>4737.6536</x:v>
      </x:c>
      <x:c r="C2298" s="12" t="n">
        <x:v>4776.6658</x:v>
      </x:c>
      <x:c r="D2298" s="12" t="n">
        <x:v>-0.8167</x:v>
      </x:c>
      <x:c r="E2298" s="12" t="n">
        <x:v>-0.008200779687864628</x:v>
      </x:c>
      <x:c r="F2298" s="13" t="n">
        <x:v>46029</x:v>
      </x:c>
      <x:c r="G2298" s="12" t="n">
        <x:v>2.79</x:v>
      </x:c>
      <x:c r="H2298" s="12" t="n">
        <x:v>279</x:v>
      </x:c>
      <x:c r="I2298" s="12" t="n">
        <x:v>0</x:v>
      </x:c>
      <x:c r="J2298" s="12" t="n">
        <x:v>1</x:v>
      </x:c>
    </x:row>
    <x:row r="2299" ht="18" customHeight="1">
      <x:c r="A2299" s="13" t="n">
        <x:v>46031</x:v>
      </x:c>
      <x:c r="B2299" s="12" t="n">
        <x:v>4758.9221</x:v>
      </x:c>
      <x:c r="C2299" s="12" t="n">
        <x:v>4737.6536</x:v>
      </x:c>
      <x:c r="D2299" s="12" t="n">
        <x:v>0.4489</x:v>
      </x:c>
      <x:c r="E2299" s="12" t="n">
        <x:v>0.0044792009733730246</x:v>
      </x:c>
      <x:c r="F2299" s="13" t="n">
        <x:v>46030</x:v>
      </x:c>
      <x:c r="G2299" s="12" t="n">
        <x:v>2.76</x:v>
      </x:c>
      <x:c r="H2299" s="12" t="n">
        <x:v>276</x:v>
      </x:c>
      <x:c r="I2299" s="12" t="n">
        <x:v>-3</x:v>
      </x:c>
      <x:c r="J2299" s="12" t="n">
        <x:v>1</x:v>
      </x:c>
    </x:row>
    <x:row r="2300" ht="18" customHeight="1">
      <x:c r="A2300" s="13" t="n">
        <x:v>46034</x:v>
      </x:c>
      <x:c r="B2300" s="12" t="n">
        <x:v>4789.9155</x:v>
      </x:c>
      <x:c r="C2300" s="12" t="n">
        <x:v>4758.9221</x:v>
      </x:c>
      <x:c r="D2300" s="12" t="n">
        <x:v>0.6513</x:v>
      </x:c>
      <x:c r="E2300" s="12" t="n">
        <x:v>0.006491577328721426</x:v>
      </x:c>
      <x:c r="F2300" s="13" t="n">
        <x:v>46031</x:v>
      </x:c>
      <x:c r="G2300" s="12" t="n">
        <x:v>2.74</x:v>
      </x:c>
      <x:c r="H2300" s="12" t="n">
        <x:v>274</x:v>
      </x:c>
      <x:c r="I2300" s="12" t="n">
        <x:v>-2</x:v>
      </x:c>
      <x:c r="J2300" s="12" t="n">
        <x:v>3</x:v>
      </x:c>
    </x:row>
    <x:row r="2301" ht="18" customHeight="1">
      <x:c r="A2301" s="13" t="n">
        <x:v>46035</x:v>
      </x:c>
      <x:c r="B2301" s="12" t="n">
        <x:v>4761.0324</x:v>
      </x:c>
      <x:c r="C2301" s="12" t="n">
        <x:v>4789.9155</x:v>
      </x:c>
      <x:c r="D2301" s="12" t="n">
        <x:v>-0.603</x:v>
      </x:c>
      <x:c r="E2301" s="12" t="n">
        <x:v>-0.006048234866409194</x:v>
      </x:c>
      <x:c r="F2301" s="13" t="n">
        <x:v>46034</x:v>
      </x:c>
      <x:c r="G2301" s="12" t="n">
        <x:v>2.74</x:v>
      </x:c>
      <x:c r="H2301" s="12" t="n">
        <x:v>274</x:v>
      </x:c>
      <x:c r="I2301" s="12" t="n">
        <x:v>0</x:v>
      </x:c>
      <x:c r="J2301" s="12" t="n">
        <x:v>1</x:v>
      </x:c>
    </x:row>
    <x:row r="2302" ht="18" customHeight="1">
      <x:c r="A2302" s="13" t="n">
        <x:v>46036</x:v>
      </x:c>
      <x:c r="B2302" s="12" t="n">
        <x:v>4741.9306</x:v>
      </x:c>
      <x:c r="C2302" s="12" t="n">
        <x:v>4761.0324</x:v>
      </x:c>
      <x:c r="D2302" s="12" t="n">
        <x:v>-0.4012</x:v>
      </x:c>
      <x:c r="E2302" s="12" t="n">
        <x:v>-0.004020183121144707</x:v>
      </x:c>
      <x:c r="F2302" s="13" t="n">
        <x:v>46035</x:v>
      </x:c>
      <x:c r="G2302" s="12" t="n">
        <x:v>2.75</x:v>
      </x:c>
      <x:c r="H2302" s="12" t="n">
        <x:v>275</x:v>
      </x:c>
      <x:c r="I2302" s="12" t="n">
        <x:v>1</x:v>
      </x:c>
      <x:c r="J2302" s="12" t="n">
        <x:v>1</x:v>
      </x:c>
    </x:row>
    <x:row r="2303" ht="18" customHeight="1">
      <x:c r="A2303" s="13" t="n">
        <x:v>46037</x:v>
      </x:c>
      <x:c r="B2303" s="12" t="n">
        <x:v>4751.4293</x:v>
      </x:c>
      <x:c r="C2303" s="12" t="n">
        <x:v>4741.9306</x:v>
      </x:c>
      <x:c r="D2303" s="12" t="n">
        <x:v>0.2003</x:v>
      </x:c>
      <x:c r="E2303" s="12" t="n">
        <x:v>0.002001125685711866</x:v>
      </x:c>
      <x:c r="F2303" s="13" t="n">
        <x:v>46036</x:v>
      </x:c>
      <x:c r="G2303" s="12" t="n">
        <x:v>2.76</x:v>
      </x:c>
      <x:c r="H2303" s="12" t="n">
        <x:v>276</x:v>
      </x:c>
      <x:c r="I2303" s="12" t="n">
        <x:v>1</x:v>
      </x:c>
      <x:c r="J2303" s="12" t="n">
        <x:v>1</x:v>
      </x:c>
    </x:row>
    <x:row r="2304" ht="18" customHeight="1">
      <x:c r="A2304" s="13" t="n">
        <x:v>46038</x:v>
      </x:c>
      <x:c r="B2304" s="12" t="n">
        <x:v>4731.8728</x:v>
      </x:c>
      <x:c r="C2304" s="12" t="n">
        <x:v>4751.4293</x:v>
      </x:c>
      <x:c r="D2304" s="12" t="n">
        <x:v>-0.4116</x:v>
      </x:c>
      <x:c r="E2304" s="12" t="n">
        <x:v>-0.0041244131034499296</x:v>
      </x:c>
      <x:c r="F2304" s="13" t="n">
        <x:v>46037</x:v>
      </x:c>
      <x:c r="G2304" s="12" t="n">
        <x:v>2.71</x:v>
      </x:c>
      <x:c r="H2304" s="12" t="n">
        <x:v>271</x:v>
      </x:c>
      <x:c r="I2304" s="12" t="n">
        <x:v>-5</x:v>
      </x:c>
      <x:c r="J2304" s="12" t="n">
        <x:v>1</x:v>
      </x:c>
    </x:row>
    <x:row r="2305" ht="18" customHeight="1">
      <x:c r="A2305" s="13" t="n">
        <x:v>46041</x:v>
      </x:c>
      <x:c r="B2305" s="12" t="n">
        <x:v>4734.4556</x:v>
      </x:c>
      <x:c r="C2305" s="12" t="n">
        <x:v>4731.8728</x:v>
      </x:c>
      <x:c r="D2305" s="12" t="n">
        <x:v>0.0546</x:v>
      </x:c>
      <x:c r="E2305" s="12" t="n">
        <x:v>0.0005456814838769734</x:v>
      </x:c>
      <x:c r="F2305" s="13" t="n">
        <x:v>46038</x:v>
      </x:c>
      <x:c r="G2305" s="12" t="n">
        <x:v>2.65</x:v>
      </x:c>
      <x:c r="H2305" s="12" t="n">
        <x:v>265</x:v>
      </x:c>
      <x:c r="I2305" s="12" t="n">
        <x:v>-6</x:v>
      </x:c>
      <x:c r="J2305" s="12" t="n">
        <x:v>3</x:v>
      </x:c>
    </x:row>
    <x:row r="2306" ht="18" customHeight="1">
      <x:c r="A2306" s="13" t="n">
        <x:v>46042</x:v>
      </x:c>
      <x:c r="B2306" s="12" t="n">
        <x:v>4718.8782</x:v>
      </x:c>
      <x:c r="C2306" s="12" t="n">
        <x:v>4734.4556</x:v>
      </x:c>
      <x:c r="D2306" s="12" t="n">
        <x:v>-0.329</x:v>
      </x:c>
      <x:c r="E2306" s="12" t="n">
        <x:v>-0.0032956445691566306</x:v>
      </x:c>
      <x:c r="F2306" s="13" t="n">
        <x:v>46041</x:v>
      </x:c>
      <x:c r="G2306" s="12" t="n">
        <x:v>2.65</x:v>
      </x:c>
      <x:c r="H2306" s="12" t="n">
        <x:v>265</x:v>
      </x:c>
      <x:c r="I2306" s="12" t="n">
        <x:v>0</x:v>
      </x:c>
      <x:c r="J2306" s="12" t="n">
        <x:v>1</x:v>
      </x:c>
    </x:row>
    <x:row r="2307" ht="18" customHeight="1">
      <x:c r="A2307" s="13" t="n">
        <x:v>46043</x:v>
      </x:c>
      <x:c r="B2307" s="12" t="n">
        <x:v>4723.0692</x:v>
      </x:c>
      <x:c r="C2307" s="12" t="n">
        <x:v>4718.8782</x:v>
      </x:c>
      <x:c r="D2307" s="12" t="n">
        <x:v>0.0888</x:v>
      </x:c>
      <x:c r="E2307" s="12" t="n">
        <x:v>0.000887740653000851</x:v>
      </x:c>
      <x:c r="F2307" s="13" t="n">
        <x:v>46042</x:v>
      </x:c>
      <x:c r="G2307" s="12" t="n">
        <x:v>2.73</x:v>
      </x:c>
      <x:c r="H2307" s="12" t="n">
        <x:v>273</x:v>
      </x:c>
      <x:c r="I2307" s="12" t="n">
        <x:v>8</x:v>
      </x:c>
      <x:c r="J2307" s="12" t="n">
        <x:v>1</x:v>
      </x:c>
    </x:row>
    <x:row r="2308" ht="18" customHeight="1">
      <x:c r="A2308" s="13" t="n">
        <x:v>46044</x:v>
      </x:c>
      <x:c r="B2308" s="12" t="n">
        <x:v>4723.7091</x:v>
      </x:c>
      <x:c r="C2308" s="12" t="n">
        <x:v>4723.0692</x:v>
      </x:c>
      <x:c r="D2308" s="12" t="n">
        <x:v>0.0135</x:v>
      </x:c>
      <x:c r="E2308" s="12" t="n">
        <x:v>0.0001354747577760709</x:v>
      </x:c>
      <x:c r="F2308" s="13" t="n">
        <x:v>46043</x:v>
      </x:c>
      <x:c r="G2308" s="12" t="n">
        <x:v>2.69</x:v>
      </x:c>
      <x:c r="H2308" s="12" t="n">
        <x:v>269</x:v>
      </x:c>
      <x:c r="I2308" s="12" t="n">
        <x:v>-4</x:v>
      </x:c>
      <x:c r="J2308" s="12" t="n">
        <x:v>1</x:v>
      </x:c>
    </x:row>
    <x:row r="2309" ht="18" customHeight="1">
      <x:c r="A2309" s="13" t="n">
        <x:v>46045</x:v>
      </x:c>
      <x:c r="B2309" s="12" t="n">
        <x:v>4702.4966</x:v>
      </x:c>
      <x:c r="C2309" s="12" t="n">
        <x:v>4723.7091</x:v>
      </x:c>
      <x:c r="D2309" s="12" t="n">
        <x:v>-0.4491</x:v>
      </x:c>
      <x:c r="E2309" s="12" t="n">
        <x:v>-0.004500758095729463</x:v>
      </x:c>
      <x:c r="F2309" s="13" t="n">
        <x:v>46044</x:v>
      </x:c>
      <x:c r="G2309" s="12" t="n">
        <x:v>2.64</x:v>
      </x:c>
      <x:c r="H2309" s="12" t="n">
        <x:v>264</x:v>
      </x:c>
      <x:c r="I2309" s="12" t="n">
        <x:v>-5</x:v>
      </x:c>
      <x:c r="J2309" s="12" t="n">
        <x:v>1</x:v>
      </x:c>
    </x:row>
    <x:row r="2310" ht="18" customHeight="1">
      <x:c r="A2310" s="13" t="n">
        <x:v>46048</x:v>
      </x:c>
      <x:c r="B2310" s="12" t="n">
        <x:v>4706.964</x:v>
      </x:c>
      <x:c r="C2310" s="12" t="n">
        <x:v>4702.4966</x:v>
      </x:c>
      <x:c r="D2310" s="12" t="n">
        <x:v>0.095</x:v>
      </x:c>
      <x:c r="E2310" s="12" t="n">
        <x:v>0.0009495550330845036</x:v>
      </x:c>
      <x:c r="F2310" s="13" t="n">
        <x:v>46045</x:v>
      </x:c>
      <x:c r="G2310" s="12" t="n">
        <x:v>2.68</x:v>
      </x:c>
      <x:c r="H2310" s="12" t="n">
        <x:v>268</x:v>
      </x:c>
      <x:c r="I2310" s="12" t="n">
        <x:v>4</x:v>
      </x:c>
      <x:c r="J2310" s="12" t="n">
        <x:v>3</x:v>
      </x:c>
    </x:row>
    <x:row r="2311" ht="18" customHeight="1">
      <x:c r="A2311" s="13" t="n">
        <x:v>46049</x:v>
      </x:c>
      <x:c r="B2311" s="12" t="n">
        <x:v>4705.6918</x:v>
      </x:c>
      <x:c r="C2311" s="12" t="n">
        <x:v>4706.964</x:v>
      </x:c>
      <x:c r="D2311" s="12" t="n">
        <x:v>-0.027</x:v>
      </x:c>
      <x:c r="E2311" s="12" t="n">
        <x:v>-0.00027031690837922264</x:v>
      </x:c>
      <x:c r="F2311" s="13" t="n">
        <x:v>46048</x:v>
      </x:c>
      <x:c r="G2311" s="12" t="n">
        <x:v>2.69</x:v>
      </x:c>
      <x:c r="H2311" s="12" t="n">
        <x:v>269</x:v>
      </x:c>
      <x:c r="I2311" s="12" t="n">
        <x:v>1</x:v>
      </x:c>
      <x:c r="J2311" s="12" t="n">
        <x:v>1</x:v>
      </x:c>
    </x:row>
    <x:row r="2312" ht="18" customHeight="1">
      <x:c r="A2312" s="13" t="n">
        <x:v>46050</x:v>
      </x:c>
      <x:c r="B2312" s="12" t="n">
        <x:v>4717.9914</x:v>
      </x:c>
      <x:c r="C2312" s="12" t="n">
        <x:v>4705.6918</x:v>
      </x:c>
      <x:c r="D2312" s="12" t="n">
        <x:v>0.2614</x:v>
      </x:c>
      <x:c r="E2312" s="12" t="n">
        <x:v>0.0026103608797261027</x:v>
      </x:c>
      <x:c r="F2312" s="13" t="n">
        <x:v>46049</x:v>
      </x:c>
      <x:c r="G2312" s="12" t="n">
        <x:v>2.71</x:v>
      </x:c>
      <x:c r="H2312" s="12" t="n">
        <x:v>271</x:v>
      </x:c>
      <x:c r="I2312" s="12" t="n">
        <x:v>2</x:v>
      </x:c>
      <x:c r="J2312" s="12" t="n">
        <x:v>1</x:v>
      </x:c>
    </x:row>
    <x:row r="2313" ht="18" customHeight="1">
      <x:c r="A2313" s="13" t="n">
        <x:v>46051</x:v>
      </x:c>
      <x:c r="B2313" s="12" t="n">
        <x:v>4753.8697</x:v>
      </x:c>
      <x:c r="C2313" s="12" t="n">
        <x:v>4717.9914</x:v>
      </x:c>
      <x:c r="D2313" s="12" t="n">
        <x:v>0.7605</x:v>
      </x:c>
      <x:c r="E2313" s="12" t="n">
        <x:v>0.007575801886727559</x:v>
      </x:c>
      <x:c r="F2313" s="13" t="n">
        <x:v>46050</x:v>
      </x:c>
      <x:c r="G2313" s="12" t="n">
        <x:v>2.72</x:v>
      </x:c>
      <x:c r="H2313" s="12" t="n">
        <x:v>272</x:v>
      </x:c>
      <x:c r="I2313" s="12" t="n">
        <x:v>1</x:v>
      </x:c>
      <x:c r="J2313" s="12" t="n">
        <x:v>1</x:v>
      </x:c>
    </x:row>
    <x:row r="2314" ht="18" customHeight="1">
      <x:c r="A2314" s="13" t="n">
        <x:v>46052</x:v>
      </x:c>
      <x:c r="B2314" s="12" t="n">
        <x:v>4706.3401</x:v>
      </x:c>
      <x:c r="C2314" s="12" t="n">
        <x:v>4753.8697</x:v>
      </x:c>
      <x:c r="D2314" s="12" t="n">
        <x:v>-0.9998</x:v>
      </x:c>
      <x:c r="E2314" s="12" t="n">
        <x:v>-0.010048402927151283</x:v>
      </x:c>
      <x:c r="F2314" s="13" t="n">
        <x:v>46051</x:v>
      </x:c>
      <x:c r="G2314" s="12" t="n">
        <x:v>2.77</x:v>
      </x:c>
      <x:c r="H2314" s="12" t="n">
        <x:v>277</x:v>
      </x:c>
      <x:c r="I2314" s="12" t="n">
        <x:v>5</x:v>
      </x:c>
      <x:c r="J2314" s="12" t="n">
        <x:v>1</x:v>
      </x:c>
    </x:row>
    <x:row r="2315" ht="18" customHeight="1">
      <x:c r="A2315" s="13" t="n">
        <x:v>46055</x:v>
      </x:c>
      <x:c r="B2315" s="12" t="n">
        <x:v>4605.9799</x:v>
      </x:c>
      <x:c r="C2315" s="12" t="n">
        <x:v>4706.3401</x:v>
      </x:c>
      <x:c r="D2315" s="12" t="n">
        <x:v>-2.1324</x:v>
      </x:c>
      <x:c r="E2315" s="12" t="n">
        <x:v>-0.02155511962136138</x:v>
      </x:c>
      <x:c r="F2315" s="13" t="n">
        <x:v>46053</x:v>
      </x:c>
      <x:c r="G2315" s="12" t="n">
        <x:v>2.88</x:v>
      </x:c>
      <x:c r="H2315" s="12" t="n">
        <x:v>288</x:v>
      </x:c>
      <x:c r="I2315" s="12" t="n">
        <x:v>8</x:v>
      </x:c>
      <x:c r="J2315" s="12" t="n">
        <x:v>2</x:v>
      </x:c>
    </x:row>
    <x:row r="2316" ht="18" customHeight="1">
      <x:c r="A2316" s="13" t="n">
        <x:v>46056</x:v>
      </x:c>
      <x:c r="B2316" s="12" t="n">
        <x:v>4660.1074</x:v>
      </x:c>
      <x:c r="C2316" s="12" t="n">
        <x:v>4605.9799</x:v>
      </x:c>
      <x:c r="D2316" s="12" t="n">
        <x:v>1.1752</x:v>
      </x:c>
      <x:c r="E2316" s="12" t="n">
        <x:v>0.011683057566509144</x:v>
      </x:c>
      <x:c r="F2316" s="13" t="n">
        <x:v>46055</x:v>
      </x:c>
      <x:c r="G2316" s="12" t="n">
        <x:v>2.81</x:v>
      </x:c>
      <x:c r="H2316" s="12" t="n">
        <x:v>281</x:v>
      </x:c>
      <x:c r="I2316" s="12" t="n">
        <x:v>-7</x:v>
      </x:c>
      <x:c r="J2316" s="12" t="n">
        <x:v>1</x:v>
      </x:c>
    </x:row>
    <x:row r="2317" ht="18" customHeight="1">
      <x:c r="A2317" s="13" t="n">
        <x:v>46057</x:v>
      </x:c>
      <x:c r="B2317" s="12" t="n">
        <x:v>4698.6832</x:v>
      </x:c>
      <x:c r="C2317" s="12" t="n">
        <x:v>4660.1074</x:v>
      </x:c>
      <x:c r="D2317" s="12" t="n">
        <x:v>0.8278</x:v>
      </x:c>
      <x:c r="E2317" s="12" t="n">
        <x:v>0.008243804165968633</x:v>
      </x:c>
      <x:c r="F2317" s="13" t="n">
        <x:v>46056</x:v>
      </x:c>
      <x:c r="G2317" s="12" t="n">
        <x:v>2.85</x:v>
      </x:c>
      <x:c r="H2317" s="12" t="n">
        <x:v>285</x:v>
      </x:c>
      <x:c r="I2317" s="12" t="n">
        <x:v>4</x:v>
      </x:c>
      <x:c r="J2317" s="12" t="n">
        <x:v>1</x:v>
      </x:c>
    </x:row>
    <x:row r="2318" ht="18" customHeight="1">
      <x:c r="A2318" s="13" t="n">
        <x:v>46058</x:v>
      </x:c>
      <x:c r="B2318" s="12" t="n">
        <x:v>4670.4188</x:v>
      </x:c>
      <x:c r="C2318" s="12" t="n">
        <x:v>4698.6832</x:v>
      </x:c>
      <x:c r="D2318" s="12" t="n">
        <x:v>-0.6015</x:v>
      </x:c>
      <x:c r="E2318" s="12" t="n">
        <x:v>-0.006033552787481481</x:v>
      </x:c>
      <x:c r="F2318" s="13" t="n">
        <x:v>46057</x:v>
      </x:c>
      <x:c r="G2318" s="12" t="n">
        <x:v>2.86</x:v>
      </x:c>
      <x:c r="H2318" s="12" t="n">
        <x:v>286</x:v>
      </x:c>
      <x:c r="I2318" s="12" t="n">
        <x:v>1</x:v>
      </x:c>
      <x:c r="J2318" s="12" t="n">
        <x:v>1</x:v>
      </x:c>
    </x:row>
    <x:row r="2319" ht="18" customHeight="1">
      <x:c r="A2319" s="13" t="n">
        <x:v>46059</x:v>
      </x:c>
      <x:c r="B2319" s="12" t="n">
        <x:v>4643.5959</x:v>
      </x:c>
      <x:c r="C2319" s="12" t="n">
        <x:v>4670.4188</x:v>
      </x:c>
      <x:c r="D2319" s="12" t="n">
        <x:v>-0.5743</x:v>
      </x:c>
      <x:c r="E2319" s="12" t="n">
        <x:v>-0.005759701915058707</x:v>
      </x:c>
      <x:c r="F2319" s="13" t="n">
        <x:v>46058</x:v>
      </x:c>
      <x:c r="G2319" s="12" t="n">
        <x:v>2.97</x:v>
      </x:c>
      <x:c r="H2319" s="12" t="n">
        <x:v>297</x:v>
      </x:c>
      <x:c r="I2319" s="12" t="n">
        <x:v>11</x:v>
      </x:c>
      <x:c r="J2319" s="12" t="n">
        <x:v>1</x:v>
      </x:c>
    </x:row>
    <x:row r="2320" ht="18" customHeight="1">
      <x:c r="A2320" s="13" t="n">
        <x:v>46062</x:v>
      </x:c>
      <x:c r="B2320" s="12" t="n">
        <x:v>4719.0559</x:v>
      </x:c>
      <x:c r="C2320" s="12" t="n">
        <x:v>4643.5959</x:v>
      </x:c>
      <x:c r="D2320" s="12" t="n">
        <x:v>1.625</x:v>
      </x:c>
      <x:c r="E2320" s="12" t="n">
        <x:v>0.016119713858417335</x:v>
      </x:c>
      <x:c r="F2320" s="13" t="n">
        <x:v>46059</x:v>
      </x:c>
      <x:c r="G2320" s="12" t="n">
        <x:v>2.87</x:v>
      </x:c>
      <x:c r="H2320" s="12" t="n">
        <x:v>287</x:v>
      </x:c>
      <x:c r="I2320" s="12" t="n">
        <x:v>-10</x:v>
      </x:c>
      <x:c r="J2320" s="12" t="n">
        <x:v>3</x:v>
      </x:c>
    </x:row>
    <x:row r="2321" ht="18" customHeight="1">
      <x:c r="A2321" s="13" t="n">
        <x:v>46063</x:v>
      </x:c>
      <x:c r="B2321" s="12" t="n">
        <x:v>4724.2956</x:v>
      </x:c>
      <x:c r="C2321" s="12" t="n">
        <x:v>4719.0559</x:v>
      </x:c>
      <x:c r="D2321" s="12" t="n">
        <x:v>0.111</x:v>
      </x:c>
      <x:c r="E2321" s="12" t="n">
        <x:v>0.0011097120630757652</x:v>
      </x:c>
      <x:c r="F2321" s="13" t="n">
        <x:v>46062</x:v>
      </x:c>
      <x:c r="G2321" s="12" t="n">
        <x:v>2.84</x:v>
      </x:c>
      <x:c r="H2321" s="12" t="n">
        <x:v>284</x:v>
      </x:c>
      <x:c r="I2321" s="12" t="n">
        <x:v>-3</x:v>
      </x:c>
      <x:c r="J2321" s="12" t="n">
        <x:v>1</x:v>
      </x:c>
    </x:row>
    <x:row r="2322" ht="18" customHeight="1">
      <x:c r="A2322" s="13" t="n">
        <x:v>46064</x:v>
      </x:c>
      <x:c r="B2322" s="12" t="n">
        <x:v>4713.8185</x:v>
      </x:c>
      <x:c r="C2322" s="12" t="n">
        <x:v>4724.2956</x:v>
      </x:c>
      <x:c r="D2322" s="12" t="n">
        <x:v>-0.2218</x:v>
      </x:c>
      <x:c r="E2322" s="12" t="n">
        <x:v>-0.0022201690279628427</x:v>
      </x:c>
      <x:c r="F2322" s="13" t="n">
        <x:v>46063</x:v>
      </x:c>
      <x:c r="G2322" s="12" t="n">
        <x:v>2.86</x:v>
      </x:c>
      <x:c r="H2322" s="12" t="n">
        <x:v>286</x:v>
      </x:c>
      <x:c r="I2322" s="12" t="n">
        <x:v>2</x:v>
      </x:c>
      <x:c r="J2322" s="12" t="n">
        <x:v>1</x:v>
      </x:c>
    </x:row>
    <x:row r="2323" ht="18" customHeight="1">
      <x:c r="A2323" s="13" t="n">
        <x:v>46065</x:v>
      </x:c>
      <x:c r="B2323" s="12" t="n">
        <x:v>4719.578</x:v>
      </x:c>
      <x:c r="C2323" s="12" t="n">
        <x:v>4713.8185</x:v>
      </x:c>
      <x:c r="D2323" s="12" t="n">
        <x:v>0.1222</x:v>
      </x:c>
      <x:c r="E2323" s="12" t="n">
        <x:v>0.0012210873815480068</x:v>
      </x:c>
      <x:c r="F2323" s="13" t="n">
        <x:v>46064</x:v>
      </x:c>
      <x:c r="G2323" s="12" t="n">
        <x:v>2.84</x:v>
      </x:c>
      <x:c r="H2323" s="12" t="n">
        <x:v>284</x:v>
      </x:c>
      <x:c r="I2323" s="12" t="n">
        <x:v>-2</x:v>
      </x:c>
      <x:c r="J2323" s="12" t="n">
        <x:v>1</x:v>
      </x:c>
    </x:row>
    <x:row r="2324" ht="18" customHeight="1">
      <x:c r="A2324" s="13" t="n">
        <x:v>46066</x:v>
      </x:c>
      <x:c r="B2324" s="12" t="n">
        <x:v>4660.4056</x:v>
      </x:c>
      <x:c r="C2324" s="12" t="n">
        <x:v>4719.578</x:v>
      </x:c>
      <x:c r="D2324" s="12" t="n">
        <x:v>-1.2538</x:v>
      </x:c>
      <x:c r="E2324" s="12" t="n">
        <x:v>-0.01261690584425625</x:v>
      </x:c>
      <x:c r="F2324" s="13" t="n">
        <x:v>46065</x:v>
      </x:c>
      <x:c r="G2324" s="12" t="n">
        <x:v>2.92</x:v>
      </x:c>
      <x:c r="H2324" s="12" t="n">
        <x:v>292</x:v>
      </x:c>
      <x:c r="I2324" s="12" t="n">
        <x:v>8</x:v>
      </x:c>
      <x:c r="J2324" s="12" t="n">
        <x:v>1</x:v>
      </x:c>
    </x:row>
    <x:row r="2325" ht="18" customHeight="1">
      <x:c r="A2325" s="13" t="n">
        <x:v>46077</x:v>
      </x:c>
      <x:c r="B2325" s="12" t="n">
        <x:v>4707.544</x:v>
      </x:c>
      <x:c r="C2325" s="12" t="n">
        <x:v>4660.4056</x:v>
      </x:c>
      <x:c r="D2325" s="12" t="n">
        <x:v>1.0115</x:v>
      </x:c>
      <x:c r="E2325" s="12" t="n">
        <x:v>0.010063845316008837</x:v>
      </x:c>
      <x:c r="F2325" s="13" t="n">
        <x:v>46076</x:v>
      </x:c>
      <x:c r="G2325" s="12" t="n">
        <x:v>2.95</x:v>
      </x:c>
      <x:c r="H2325" s="12" t="n">
        <x:v>295</x:v>
      </x:c>
      <x:c r="I2325" s="12" t="n">
        <x:v>9</x:v>
      </x:c>
      <x:c r="J2325" s="12" t="n">
        <x:v>1</x:v>
      </x:c>
    </x:row>
    <x:row r="2326" ht="18" customHeight="1">
      <x:c r="A2326" s="13" t="n">
        <x:v>46078</x:v>
      </x:c>
      <x:c r="B2326" s="12" t="n">
        <x:v>4735.8858</x:v>
      </x:c>
      <x:c r="C2326" s="12" t="n">
        <x:v>4707.544</x:v>
      </x:c>
      <x:c r="D2326" s="12" t="n">
        <x:v>0.6021</x:v>
      </x:c>
      <x:c r="E2326" s="12" t="n">
        <x:v>0.0060024558227702906</x:v>
      </x:c>
      <x:c r="F2326" s="13" t="n">
        <x:v>46077</x:v>
      </x:c>
      <x:c r="G2326" s="12" t="n">
        <x:v>2.97</x:v>
      </x:c>
      <x:c r="H2326" s="12" t="n">
        <x:v>297</x:v>
      </x:c>
      <x:c r="I2326" s="12" t="n">
        <x:v>2</x:v>
      </x:c>
      <x:c r="J2326" s="12" t="n">
        <x:v>1</x:v>
      </x:c>
    </x:row>
    <x:row r="2327" ht="18" customHeight="1">
      <x:c r="A2327" s="13" t="n">
        <x:v>46079</x:v>
      </x:c>
      <x:c r="B2327" s="12" t="n">
        <x:v>4726.8739</x:v>
      </x:c>
      <x:c r="C2327" s="12" t="n">
        <x:v>4735.8858</x:v>
      </x:c>
      <x:c r="D2327" s="12" t="n">
        <x:v>-0.1903</x:v>
      </x:c>
      <x:c r="E2327" s="12" t="n">
        <x:v>-0.001904709199058713</x:v>
      </x:c>
      <x:c r="F2327" s="13" t="n">
        <x:v>46078</x:v>
      </x:c>
      <x:c r="G2327" s="12" t="n">
        <x:v>2.94</x:v>
      </x:c>
      <x:c r="H2327" s="12" t="n">
        <x:v>294</x:v>
      </x:c>
      <x:c r="I2327" s="12" t="n">
        <x:v>-3</x:v>
      </x:c>
      <x:c r="J2327" s="12" t="n">
        <x:v>1</x:v>
      </x:c>
    </x:row>
    <x:row r="2328" ht="18" customHeight="1">
      <x:c r="A2328" s="13" t="n">
        <x:v>46080</x:v>
      </x:c>
      <x:c r="B2328" s="12" t="n">
        <x:v>4710.6469</x:v>
      </x:c>
      <x:c r="C2328" s="12" t="n">
        <x:v>4726.8739</x:v>
      </x:c>
      <x:c r="D2328" s="12" t="n">
        <x:v>-0.3433</x:v>
      </x:c>
      <x:c r="E2328" s="12" t="n">
        <x:v>-0.003438830246838009</x:v>
      </x:c>
      <x:c r="F2328" s="13" t="n">
        <x:v>46079</x:v>
      </x:c>
      <x:c r="G2328" s="12" t="n">
        <x:v>2.98</x:v>
      </x:c>
      <x:c r="H2328" s="12" t="n">
        <x:v>298</x:v>
      </x:c>
      <x:c r="I2328" s="12" t="n">
        <x:v>4</x:v>
      </x:c>
      <x:c r="J2328" s="12" t="n">
        <x:v>1</x:v>
      </x:c>
    </x:row>
    <x:row r="2329" ht="18" customHeight="1">
      <x:c r="A2329" s="13" t="n">
        <x:v>46083</x:v>
      </x:c>
      <x:c r="B2329" s="12" t="n">
        <x:v>4728.6688</x:v>
      </x:c>
      <x:c r="C2329" s="12" t="n">
        <x:v>4710.6469</x:v>
      </x:c>
      <x:c r="D2329" s="12" t="n">
        <x:v>0.3826</x:v>
      </x:c>
      <x:c r="E2329" s="12" t="n">
        <x:v>0.003818480591298883</x:v>
      </x:c>
      <x:c r="F2329" s="13" t="n">
        <x:v>46081</x:v>
      </x:c>
      <x:c r="G2329" s="12" t="n">
        <x:v>3.12</x:v>
      </x:c>
      <x:c r="H2329" s="12" t="n">
        <x:v>312</x:v>
      </x:c>
      <x:c r="I2329" s="12" t="n">
        <x:v>2</x:v>
      </x:c>
      <x:c r="J2329" s="12" t="n">
        <x:v>2</x:v>
      </x:c>
    </x:row>
    <x:row r="2330" ht="18" customHeight="1">
      <x:c r="A2330" s="13" t="n">
        <x:v>46084</x:v>
      </x:c>
      <x:c r="B2330" s="12" t="n">
        <x:v>4655.8962</x:v>
      </x:c>
      <x:c r="C2330" s="12" t="n">
        <x:v>4728.6688</x:v>
      </x:c>
      <x:c r="D2330" s="12" t="n">
        <x:v>-1.539</x:v>
      </x:c>
      <x:c r="E2330" s="12" t="n">
        <x:v>-0.01550930889451081</x:v>
      </x:c>
      <x:c r="F2330" s="13" t="n">
        <x:v>46083</x:v>
      </x:c>
      <x:c r="G2330" s="12" t="n">
        <x:v>3.03</x:v>
      </x:c>
      <x:c r="H2330" s="12" t="n">
        <x:v>303</x:v>
      </x:c>
      <x:c r="I2330" s="12" t="n">
        <x:v>-9</x:v>
      </x:c>
      <x:c r="J2330" s="12" t="n">
        <x:v>1</x:v>
      </x:c>
    </x:row>
    <x:row r="2331" ht="18" customHeight="1">
      <x:c r="A2331" s="13" t="n">
        <x:v>46085</x:v>
      </x:c>
      <x:c r="B2331" s="12" t="n">
        <x:v>4602.6247</x:v>
      </x:c>
      <x:c r="C2331" s="12" t="n">
        <x:v>4655.8962</x:v>
      </x:c>
      <x:c r="D2331" s="12" t="n">
        <x:v>-1.1442</x:v>
      </x:c>
      <x:c r="E2331" s="12" t="n">
        <x:v>-0.01150768863746393</x:v>
      </x:c>
      <x:c r="F2331" s="13" t="n">
        <x:v>46084</x:v>
      </x:c>
      <x:c r="G2331" s="12" t="n">
        <x:v>3.08</x:v>
      </x:c>
      <x:c r="H2331" s="12" t="n">
        <x:v>308</x:v>
      </x:c>
      <x:c r="I2331" s="12" t="n">
        <x:v>5</x:v>
      </x:c>
      <x:c r="J2331" s="12" t="n">
        <x:v>1</x:v>
      </x:c>
    </x:row>
    <x:row r="2332" ht="18" customHeight="1">
      <x:c r="A2332" s="13" t="n">
        <x:v>46086</x:v>
      </x:c>
      <x:c r="B2332" s="12" t="n">
        <x:v>4647.6921</x:v>
      </x:c>
      <x:c r="C2332" s="12" t="n">
        <x:v>4602.6247</x:v>
      </x:c>
      <x:c r="D2332" s="12" t="n">
        <x:v>0.9792</x:v>
      </x:c>
      <x:c r="E2332" s="12" t="n">
        <x:v>0.009744046081069595</x:v>
      </x:c>
      <x:c r="F2332" s="13" t="n">
        <x:v>46085</x:v>
      </x:c>
      <x:c r="G2332" s="12" t="n">
        <x:v>2.97</x:v>
      </x:c>
      <x:c r="H2332" s="12" t="n">
        <x:v>297</x:v>
      </x:c>
      <x:c r="I2332" s="12" t="n">
        <x:v>-11</x:v>
      </x:c>
      <x:c r="J2332" s="12" t="n">
        <x:v>1</x:v>
      </x:c>
    </x:row>
    <x:row r="2333" ht="18" customHeight="1">
      <x:c r="A2333" s="13" t="n">
        <x:v>46087</x:v>
      </x:c>
      <x:c r="B2333" s="12" t="n">
        <x:v>4660.439</x:v>
      </x:c>
      <x:c r="C2333" s="12" t="n">
        <x:v>4647.6921</x:v>
      </x:c>
      <x:c r="D2333" s="12" t="n">
        <x:v>0.2743</x:v>
      </x:c>
      <x:c r="E2333" s="12" t="n">
        <x:v>0.002738875899232227</x:v>
      </x:c>
      <x:c r="F2333" s="13" t="n">
        <x:v>46086</x:v>
      </x:c>
      <x:c r="G2333" s="12" t="n">
        <x:v>3</x:v>
      </x:c>
      <x:c r="H2333" s="12" t="n">
        <x:v>300</x:v>
      </x:c>
      <x:c r="I2333" s="12" t="n">
        <x:v>3</x:v>
      </x:c>
      <x:c r="J2333" s="12" t="n">
        <x:v>1</x:v>
      </x:c>
    </x:row>
    <x:row r="2334" ht="18" customHeight="1">
      <x:c r="A2334" s="13" t="n">
        <x:v>46090</x:v>
      </x:c>
      <x:c r="B2334" s="12" t="n">
        <x:v>4615.4551</x:v>
      </x:c>
      <x:c r="C2334" s="12" t="n">
        <x:v>4660.439</x:v>
      </x:c>
      <x:c r="D2334" s="12" t="n">
        <x:v>-0.9652</x:v>
      </x:c>
      <x:c r="E2334" s="12" t="n">
        <x:v>-0.009699173398410947</x:v>
      </x:c>
      <x:c r="F2334" s="13" t="n">
        <x:v>46087</x:v>
      </x:c>
      <x:c r="G2334" s="12" t="n">
        <x:v>3.13</x:v>
      </x:c>
      <x:c r="H2334" s="12" t="n">
        <x:v>313</x:v>
      </x:c>
      <x:c r="I2334" s="12" t="n">
        <x:v>13</x:v>
      </x:c>
      <x:c r="J2334" s="12" t="n">
        <x:v>3</x:v>
      </x:c>
    </x:row>
    <x:row r="2335" ht="18" customHeight="1">
      <x:c r="A2335" s="13" t="n">
        <x:v>46091</x:v>
      </x:c>
      <x:c r="B2335" s="12" t="n">
        <x:v>4674.7562</x:v>
      </x:c>
      <x:c r="C2335" s="12" t="n">
        <x:v>4615.4551</x:v>
      </x:c>
      <x:c r="D2335" s="12" t="n">
        <x:v>1.2848</x:v>
      </x:c>
      <x:c r="E2335" s="12" t="n">
        <x:v>0.012766535337565442</x:v>
      </x:c>
      <x:c r="F2335" s="13" t="n">
        <x:v>46090</x:v>
      </x:c>
      <x:c r="G2335" s="12" t="n">
        <x:v>3.19</x:v>
      </x:c>
      <x:c r="H2335" s="12" t="n">
        <x:v>319</x:v>
      </x:c>
      <x:c r="I2335" s="12" t="n">
        <x:v>6</x:v>
      </x:c>
      <x:c r="J2335" s="12" t="n">
        <x:v>1</x:v>
      </x:c>
    </x:row>
    <x:row r="2336" ht="18" customHeight="1">
      <x:c r="A2336" s="13" t="n">
        <x:v>46092</x:v>
      </x:c>
      <x:c r="B2336" s="12" t="n">
        <x:v>4704.4959</x:v>
      </x:c>
      <x:c r="C2336" s="12" t="n">
        <x:v>4674.7562</x:v>
      </x:c>
      <x:c r="D2336" s="12" t="n">
        <x:v>0.6362</x:v>
      </x:c>
      <x:c r="E2336" s="12" t="n">
        <x:v>0.0063416143101133245</x:v>
      </x:c>
      <x:c r="F2336" s="13" t="n">
        <x:v>46091</x:v>
      </x:c>
      <x:c r="G2336" s="12" t="n">
        <x:v>3.06</x:v>
      </x:c>
      <x:c r="H2336" s="12" t="n">
        <x:v>306</x:v>
      </x:c>
      <x:c r="I2336" s="12" t="n">
        <x:v>-13</x:v>
      </x:c>
      <x:c r="J2336" s="12" t="n">
        <x:v>1</x:v>
      </x:c>
    </x:row>
    <x:row r="2337" ht="18" customHeight="1">
      <x:c r="A2337" s="13" t="n">
        <x:v>46093</x:v>
      </x:c>
      <x:c r="B2337" s="12" t="n">
        <x:v>4687.5601</x:v>
      </x:c>
      <x:c r="C2337" s="12" t="n">
        <x:v>4704.4959</x:v>
      </x:c>
      <x:c r="D2337" s="12" t="n">
        <x:v>-0.36</x:v>
      </x:c>
      <x:c r="E2337" s="12" t="n">
        <x:v>-0.003606413410628779</x:v>
      </x:c>
      <x:c r="F2337" s="13" t="n">
        <x:v>46092</x:v>
      </x:c>
      <x:c r="G2337" s="12" t="n">
        <x:v>3.09</x:v>
      </x:c>
      <x:c r="H2337" s="12" t="n">
        <x:v>309</x:v>
      </x:c>
      <x:c r="I2337" s="12" t="n">
        <x:v>3</x:v>
      </x:c>
      <x:c r="J2337" s="12" t="n">
        <x:v>1</x:v>
      </x:c>
    </x:row>
    <x:row r="2338" ht="18" customHeight="1">
      <x:c r="A2338" s="13" t="n">
        <x:v>46094</x:v>
      </x:c>
      <x:c r="B2338" s="12" t="n">
        <x:v>4669.14</x:v>
      </x:c>
      <x:c r="C2338" s="12" t="n">
        <x:v>4687.5601</x:v>
      </x:c>
      <x:c r="D2338" s="12" t="n">
        <x:v>-0.393</x:v>
      </x:c>
      <x:c r="E2338" s="12" t="n">
        <x:v>-0.00393731200091498</x:v>
      </x:c>
      <x:c r="F2338" s="13" t="n">
        <x:v>46093</x:v>
      </x:c>
      <x:c r="G2338" s="12" t="n">
        <x:v>3.17</x:v>
      </x:c>
      <x:c r="H2338" s="12" t="n">
        <x:v>317</x:v>
      </x:c>
      <x:c r="I2338" s="12" t="n">
        <x:v>8</x:v>
      </x:c>
      <x:c r="J2338" s="12" t="n">
        <x:v>1</x:v>
      </x:c>
    </x:row>
    <x:row r="2339" ht="18" customHeight="1">
      <x:c r="A2339" s="13" t="n">
        <x:v>46097</x:v>
      </x:c>
      <x:c r="B2339" s="12" t="n">
        <x:v>4671.5591</x:v>
      </x:c>
      <x:c r="C2339" s="12" t="n">
        <x:v>4669.14</x:v>
      </x:c>
      <x:c r="D2339" s="12" t="n">
        <x:v>0.0518</x:v>
      </x:c>
      <x:c r="E2339" s="12" t="n">
        <x:v>0.0005179698067964963</x:v>
      </x:c>
      <x:c r="F2339" s="13" t="n">
        <x:v>46094</x:v>
      </x:c>
      <x:c r="G2339" s="12" t="n">
        <x:v>3.28</x:v>
      </x:c>
      <x:c r="H2339" s="12" t="n">
        <x:v>328</x:v>
      </x:c>
      <x:c r="I2339" s="12" t="n">
        <x:v>11</x:v>
      </x:c>
      <x:c r="J2339" s="12" t="n">
        <x:v>3</x:v>
      </x:c>
    </x:row>
    <x:row r="2340" ht="18" customHeight="1">
      <x:c r="A2340" s="13" t="n">
        <x:v>46098</x:v>
      </x:c>
      <x:c r="B2340" s="12" t="n">
        <x:v>4637.4392</x:v>
      </x:c>
      <x:c r="C2340" s="12" t="n">
        <x:v>4671.5591</x:v>
      </x:c>
      <x:c r="D2340" s="12" t="n">
        <x:v>-0.7304</x:v>
      </x:c>
      <x:c r="E2340" s="12" t="n">
        <x:v>-0.007330553018070816</x:v>
      </x:c>
      <x:c r="F2340" s="13" t="n">
        <x:v>46097</x:v>
      </x:c>
      <x:c r="G2340" s="12" t="n">
        <x:v>3.27</x:v>
      </x:c>
      <x:c r="H2340" s="12" t="n">
        <x:v>327</x:v>
      </x:c>
      <x:c r="I2340" s="12" t="n">
        <x:v>-1</x:v>
      </x:c>
      <x:c r="J2340" s="12" t="n">
        <x:v>1</x:v>
      </x:c>
    </x:row>
    <x:row r="2341" ht="18" customHeight="1">
      <x:c r="A2341" s="13" t="n">
        <x:v>46099</x:v>
      </x:c>
      <x:c r="B2341" s="12" t="n">
        <x:v>4658.3324</x:v>
      </x:c>
      <x:c r="C2341" s="12" t="n">
        <x:v>4637.4392</x:v>
      </x:c>
      <x:c r="D2341" s="12" t="n">
        <x:v>0.4505</x:v>
      </x:c>
      <x:c r="E2341" s="12" t="n">
        <x:v>0.004495212679770905</x:v>
      </x:c>
      <x:c r="F2341" s="13" t="n">
        <x:v>46098</x:v>
      </x:c>
      <x:c r="G2341" s="12" t="n">
        <x:v>3.22</x:v>
      </x:c>
      <x:c r="H2341" s="12" t="n">
        <x:v>322</x:v>
      </x:c>
      <x:c r="I2341" s="12" t="n">
        <x:v>-5</x:v>
      </x:c>
      <x:c r="J2341" s="12" t="n">
        <x:v>1</x:v>
      </x:c>
    </x:row>
    <x:row r="2342" ht="18" customHeight="1">
      <x:c r="A2342" s="13" t="n">
        <x:v>46100</x:v>
      </x:c>
      <x:c r="B2342" s="12" t="n">
        <x:v>4583.2511</x:v>
      </x:c>
      <x:c r="C2342" s="12" t="n">
        <x:v>4658.3324</x:v>
      </x:c>
      <x:c r="D2342" s="12" t="n">
        <x:v>-1.6118</x:v>
      </x:c>
      <x:c r="E2342" s="12" t="n">
        <x:v>-0.016248936549918862</x:v>
      </x:c>
      <x:c r="F2342" s="13" t="n">
        <x:v>46099</x:v>
      </x:c>
      <x:c r="G2342" s="12" t="n">
        <x:v>3.2</x:v>
      </x:c>
      <x:c r="H2342" s="12" t="n">
        <x:v>320</x:v>
      </x:c>
      <x:c r="I2342" s="12" t="n">
        <x:v>-2</x:v>
      </x:c>
      <x:c r="J2342" s="12" t="n">
        <x:v>1</x:v>
      </x:c>
    </x:row>
    <x:row r="2343" ht="18" customHeight="1">
      <x:c r="A2343" s="13" t="n">
        <x:v>46101</x:v>
      </x:c>
      <x:c r="B2343" s="12" t="n">
        <x:v>4567.0179</x:v>
      </x:c>
      <x:c r="C2343" s="12" t="n">
        <x:v>4583.2511</x:v>
      </x:c>
      <x:c r="D2343" s="12" t="n">
        <x:v>-0.3542</x:v>
      </x:c>
      <x:c r="E2343" s="12" t="n">
        <x:v>-0.0035481398482115844</x:v>
      </x:c>
      <x:c r="F2343" s="13" t="n">
        <x:v>46100</x:v>
      </x:c>
      <x:c r="G2343" s="12" t="n">
        <x:v>3.27</x:v>
      </x:c>
      <x:c r="H2343" s="12" t="n">
        <x:v>327</x:v>
      </x:c>
      <x:c r="I2343" s="12" t="n">
        <x:v>7</x:v>
      </x:c>
      <x:c r="J2343" s="12" t="n">
        <x:v>1</x:v>
      </x:c>
    </x:row>
    <x:row r="2344" ht="18" customHeight="1">
      <x:c r="A2344" s="13" t="n">
        <x:v>46104</x:v>
      </x:c>
      <x:c r="B2344" s="12" t="n">
        <x:v>4417.9971</x:v>
      </x:c>
      <x:c r="C2344" s="12" t="n">
        <x:v>4567.0179</x:v>
      </x:c>
      <x:c r="D2344" s="12" t="n">
        <x:v>-3.263</x:v>
      </x:c>
      <x:c r="E2344" s="12" t="n">
        <x:v>-0.033174005025024496</x:v>
      </x:c>
      <x:c r="F2344" s="13" t="n">
        <x:v>46101</x:v>
      </x:c>
      <x:c r="G2344" s="12" t="n">
        <x:v>3.24</x:v>
      </x:c>
      <x:c r="H2344" s="12" t="n">
        <x:v>324</x:v>
      </x:c>
      <x:c r="I2344" s="12" t="n">
        <x:v>-3</x:v>
      </x:c>
      <x:c r="J2344" s="12" t="n">
        <x:v>3</x:v>
      </x:c>
    </x:row>
    <x:row r="2345" ht="18" customHeight="1">
      <x:c r="A2345" s="13" t="n">
        <x:v>46105</x:v>
      </x:c>
      <x:c r="B2345" s="12" t="n">
        <x:v>4474.7224</x:v>
      </x:c>
      <x:c r="C2345" s="12" t="n">
        <x:v>4417.9971</x:v>
      </x:c>
      <x:c r="D2345" s="12" t="n">
        <x:v>1.284</x:v>
      </x:c>
      <x:c r="E2345" s="12" t="n">
        <x:v>0.012757867691010732</x:v>
      </x:c>
      <x:c r="F2345" s="13" t="n">
        <x:v>46104</x:v>
      </x:c>
      <x:c r="G2345" s="12" t="n">
        <x:v>3.19</x:v>
      </x:c>
      <x:c r="H2345" s="12" t="n">
        <x:v>319</x:v>
      </x:c>
      <x:c r="I2345" s="12" t="n">
        <x:v>-5</x:v>
      </x:c>
      <x:c r="J2345" s="12" t="n">
        <x:v>1</x:v>
      </x:c>
    </x:row>
    <x:row r="2346" ht="18" customHeight="1">
      <x:c r="A2346" s="13" t="n">
        <x:v>46106</x:v>
      </x:c>
      <x:c r="B2346" s="12" t="n">
        <x:v>4537.4656</x:v>
      </x:c>
      <x:c r="C2346" s="12" t="n">
        <x:v>4474.7224</x:v>
      </x:c>
      <x:c r="D2346" s="12" t="n">
        <x:v>1.4022</x:v>
      </x:c>
      <x:c r="E2346" s="12" t="n">
        <x:v>0.013924302011906592</x:v>
      </x:c>
      <x:c r="F2346" s="13" t="n">
        <x:v>46105</x:v>
      </x:c>
      <x:c r="G2346" s="12" t="n">
        <x:v>3.19</x:v>
      </x:c>
      <x:c r="H2346" s="12" t="n">
        <x:v>319</x:v>
      </x:c>
      <x:c r="I2346" s="12" t="n">
        <x:v>0</x:v>
      </x:c>
      <x:c r="J2346" s="12" t="n">
        <x:v>1</x:v>
      </x:c>
    </x:row>
    <x:row r="2347" ht="18" customHeight="1">
      <x:c r="A2347" s="13" t="n">
        <x:v>46107</x:v>
      </x:c>
      <x:c r="B2347" s="12" t="n">
        <x:v>4477.5343</x:v>
      </x:c>
      <x:c r="C2347" s="12" t="n">
        <x:v>4537.4656</x:v>
      </x:c>
      <x:c r="D2347" s="12" t="n">
        <x:v>-1.3208</x:v>
      </x:c>
      <x:c r="E2347" s="12" t="n">
        <x:v>-0.013296102846779104</x:v>
      </x:c>
      <x:c r="F2347" s="13" t="n">
        <x:v>46106</x:v>
      </x:c>
      <x:c r="G2347" s="12" t="n">
        <x:v>3.17</x:v>
      </x:c>
      <x:c r="H2347" s="12" t="n">
        <x:v>317</x:v>
      </x:c>
      <x:c r="I2347" s="12" t="n">
        <x:v>-2</x:v>
      </x:c>
      <x:c r="J2347" s="12" t="n">
        <x:v>1</x:v>
      </x:c>
    </x:row>
    <x:row r="2348" ht="18" customHeight="1">
      <x:c r="A2348" s="13" t="n">
        <x:v>46108</x:v>
      </x:c>
      <x:c r="B2348" s="12" t="n">
        <x:v>4502.5698</x:v>
      </x:c>
      <x:c r="C2348" s="12" t="n">
        <x:v>4477.5343</x:v>
      </x:c>
      <x:c r="D2348" s="12" t="n">
        <x:v>0.5591</x:v>
      </x:c>
      <x:c r="E2348" s="12" t="n">
        <x:v>0.005575784998188893</x:v>
      </x:c>
      <x:c r="F2348" s="13" t="n">
        <x:v>46107</x:v>
      </x:c>
      <x:c r="G2348" s="12" t="n">
        <x:v>3.21</x:v>
      </x:c>
      <x:c r="H2348" s="12" t="n">
        <x:v>321</x:v>
      </x:c>
      <x:c r="I2348" s="12" t="n">
        <x:v>4</x:v>
      </x:c>
      <x:c r="J2348" s="12" t="n">
        <x:v>1</x:v>
      </x:c>
    </x:row>
    <x:row r="2349" ht="18" customHeight="1">
      <x:c r="A2349" s="13" t="n">
        <x:v>46111</x:v>
      </x:c>
      <x:c r="B2349" s="12" t="n">
        <x:v>4491.95</x:v>
      </x:c>
      <x:c r="C2349" s="12" t="n">
        <x:v>4502.5698</x:v>
      </x:c>
      <x:c r="D2349" s="12" t="n">
        <x:v>-0.2359</x:v>
      </x:c>
      <x:c r="E2349" s="12" t="n">
        <x:v>-0.0023613945315523644</x:v>
      </x:c>
      <x:c r="F2349" s="13" t="n">
        <x:v>46108</x:v>
      </x:c>
      <x:c r="G2349" s="12" t="n">
        <x:v>3.42</x:v>
      </x:c>
      <x:c r="H2349" s="12" t="n">
        <x:v>342</x:v>
      </x:c>
      <x:c r="I2349" s="12" t="n">
        <x:v>21</x:v>
      </x:c>
      <x:c r="J2349" s="12" t="n">
        <x:v>3</x:v>
      </x:c>
    </x:row>
    <x:row r="2350" ht="18" customHeight="1">
      <x:c r="A2350" s="13" t="n">
        <x:v>46112</x:v>
      </x:c>
      <x:c r="B2350" s="12" t="n">
        <x:v>4450.0493</x:v>
      </x:c>
      <x:c r="C2350" s="12" t="n">
        <x:v>4491.95</x:v>
      </x:c>
      <x:c r="D2350" s="12" t="n">
        <x:v>-0.9328</x:v>
      </x:c>
      <x:c r="E2350" s="12" t="n">
        <x:v>-0.009371731146404768</x:v>
      </x:c>
      <x:c r="F2350" s="13" t="n">
        <x:v>46111</x:v>
      </x:c>
      <x:c r="G2350" s="12" t="n">
        <x:v>3.46</x:v>
      </x:c>
      <x:c r="H2350" s="12" t="n">
        <x:v>346</x:v>
      </x:c>
      <x:c r="I2350" s="12" t="n">
        <x:v>4</x:v>
      </x:c>
      <x:c r="J2350" s="12" t="n">
        <x:v>1</x:v>
      </x:c>
    </x:row>
    <x:row r="2351" ht="18" customHeight="1">
      <x:c r="A2351" s="13" t="n">
        <x:v>46113</x:v>
      </x:c>
      <x:c r="B2351" s="12" t="n">
        <x:v>4526.0668</x:v>
      </x:c>
      <x:c r="C2351" s="12" t="n">
        <x:v>4450.0493</x:v>
      </x:c>
      <x:c r="D2351" s="12" t="n">
        <x:v>1.7082</x:v>
      </x:c>
      <x:c r="E2351" s="12" t="n">
        <x:v>0.016938131503208057</x:v>
      </x:c>
      <x:c r="F2351" s="13" t="n">
        <x:v>46112</x:v>
      </x:c>
      <x:c r="G2351" s="12" t="n">
        <x:v>3.28</x:v>
      </x:c>
      <x:c r="H2351" s="12" t="n">
        <x:v>328</x:v>
      </x:c>
      <x:c r="I2351" s="12" t="n">
        <x:v>-18</x:v>
      </x:c>
      <x:c r="J2351" s="12" t="n">
        <x:v>1</x:v>
      </x:c>
    </x:row>
    <x:row r="2352" ht="18" customHeight="1">
      <x:c r="A2352" s="13" t="n">
        <x:v>46114</x:v>
      </x:c>
      <x:c r="B2352" s="12" t="n">
        <x:v>4478.9141</x:v>
      </x:c>
      <x:c r="C2352" s="12" t="n">
        <x:v>4526.0668</x:v>
      </x:c>
      <x:c r="D2352" s="12" t="n">
        <x:v>-1.0418</x:v>
      </x:c>
      <x:c r="E2352" s="12" t="n">
        <x:v>-0.010472677618452112</x:v>
      </x:c>
      <x:c r="F2352" s="13" t="n">
        <x:v>46113</x:v>
      </x:c>
      <x:c r="G2352" s="12" t="n">
        <x:v>3.16</x:v>
      </x:c>
      <x:c r="H2352" s="12" t="n">
        <x:v>316</x:v>
      </x:c>
      <x:c r="I2352" s="12" t="n">
        <x:v>-12</x:v>
      </x:c>
      <x:c r="J2352" s="12" t="n">
        <x:v>1</x:v>
      </x:c>
    </x:row>
    <x:row r="2353" ht="18" customHeight="1">
      <x:c r="A2353" s="13" t="n">
        <x:v>46115</x:v>
      </x:c>
      <x:c r="B2353" s="12" t="n">
        <x:v>4440.7889</x:v>
      </x:c>
      <x:c r="C2353" s="12" t="n">
        <x:v>4478.9141</x:v>
      </x:c>
      <x:c r="D2353" s="12" t="n">
        <x:v>-0.8512</x:v>
      </x:c>
      <x:c r="E2353" s="12" t="n">
        <x:v>-0.008548587812162561</x:v>
      </x:c>
      <x:c r="F2353" s="13" t="n">
        <x:v>46114</x:v>
      </x:c>
      <x:c r="G2353" s="12" t="n">
        <x:v>3.17</x:v>
      </x:c>
      <x:c r="H2353" s="12" t="n">
        <x:v>317</x:v>
      </x:c>
      <x:c r="I2353" s="12" t="n">
        <x:v>1</x:v>
      </x:c>
      <x:c r="J2353" s="12" t="n">
        <x:v>1</x:v>
      </x:c>
    </x:row>
    <x:row r="2354" ht="18" customHeight="1">
      <x:c r="A2354" s="13" t="n">
        <x:v>46119</x:v>
      </x:c>
      <x:c r="B2354" s="12" t="n">
        <x:v>4440.6162</x:v>
      </x:c>
      <x:c r="C2354" s="12" t="n">
        <x:v>4440.7889</x:v>
      </x:c>
      <x:c r="D2354" s="12" t="n">
        <x:v>-0.0039</x:v>
      </x:c>
      <x:c r="E2354" s="12" t="n">
        <x:v>-0.00003889024272089768</x:v>
      </x:c>
      <x:c r="F2354" s="13" t="n">
        <x:v>46118</x:v>
      </x:c>
      <x:c r="G2354" s="12" t="n">
        <x:v>3.05</x:v>
      </x:c>
      <x:c r="H2354" s="12" t="n">
        <x:v>305</x:v>
      </x:c>
      <x:c r="I2354" s="12" t="n">
        <x:v>-8</x:v>
      </x:c>
      <x:c r="J2354" s="12" t="n">
        <x:v>1</x:v>
      </x:c>
    </x:row>
    <x:row r="2355" ht="18" customHeight="1">
      <x:c r="A2355" s="13" t="n">
        <x:v>46120</x:v>
      </x:c>
      <x:c r="B2355" s="12" t="n">
        <x:v>4595.556</x:v>
      </x:c>
      <x:c r="C2355" s="12" t="n">
        <x:v>4440.6162</x:v>
      </x:c>
      <x:c r="D2355" s="12" t="n">
        <x:v>3.4892</x:v>
      </x:c>
      <x:c r="E2355" s="12" t="n">
        <x:v>0.03429659897740949</x:v>
      </x:c>
      <x:c r="F2355" s="13" t="n">
        <x:v>46119</x:v>
      </x:c>
      <x:c r="G2355" s="12" t="n">
        <x:v>3.12</x:v>
      </x:c>
      <x:c r="H2355" s="12" t="n">
        <x:v>312</x:v>
      </x:c>
      <x:c r="I2355" s="12" t="n">
        <x:v>7</x:v>
      </x:c>
      <x:c r="J2355" s="12" t="n">
        <x:v>1</x:v>
      </x:c>
    </x:row>
    <x:row r="2356" ht="18" customHeight="1">
      <x:c r="A2356" s="13" t="n">
        <x:v>46121</x:v>
      </x:c>
      <x:c r="B2356" s="12" t="n">
        <x:v>4566.2237</x:v>
      </x:c>
      <x:c r="C2356" s="12" t="n">
        <x:v>4595.556</x:v>
      </x:c>
      <x:c r="D2356" s="12" t="n">
        <x:v>-0.6383</x:v>
      </x:c>
      <x:c r="E2356" s="12" t="n">
        <x:v>-0.006403210114583198</x:v>
      </x:c>
      <x:c r="F2356" s="13" t="n">
        <x:v>46120</x:v>
      </x:c>
      <x:c r="G2356" s="12" t="n">
        <x:v>2.94</x:v>
      </x:c>
      <x:c r="H2356" s="12" t="n">
        <x:v>294</x:v>
      </x:c>
      <x:c r="I2356" s="12" t="n">
        <x:v>-18</x:v>
      </x:c>
      <x:c r="J2356" s="12" t="n">
        <x:v>1</x:v>
      </x:c>
    </x:row>
    <x:row r="2357" ht="18" customHeight="1">
      <x:c r="A2357" s="13" t="n">
        <x:v>46122</x:v>
      </x:c>
      <x:c r="B2357" s="12" t="n">
        <x:v>4636.5655</x:v>
      </x:c>
      <x:c r="C2357" s="12" t="n">
        <x:v>4566.2237</x:v>
      </x:c>
      <x:c r="D2357" s="12" t="n">
        <x:v>1.5405</x:v>
      </x:c>
      <x:c r="E2357" s="12" t="n">
        <x:v>0.015287358732672058</x:v>
      </x:c>
      <x:c r="F2357" s="13" t="n">
        <x:v>46121</x:v>
      </x:c>
      <x:c r="G2357" s="12" t="n">
        <x:v>2.9</x:v>
      </x:c>
      <x:c r="H2357" s="12" t="n">
        <x:v>290</x:v>
      </x:c>
      <x:c r="I2357" s="12" t="n">
        <x:v>-4</x:v>
      </x:c>
      <x:c r="J2357" s="12" t="n">
        <x:v>1</x:v>
      </x:c>
    </x:row>
    <x:row r="2358" ht="18" customHeight="1">
      <x:c r="A2358" s="13" t="n">
        <x:v>46125</x:v>
      </x:c>
      <x:c r="B2358" s="12" t="n">
        <x:v>4646.1546</x:v>
      </x:c>
      <x:c r="C2358" s="12" t="n">
        <x:v>4636.5655</x:v>
      </x:c>
      <x:c r="D2358" s="12" t="n">
        <x:v>0.2068</x:v>
      </x:c>
      <x:c r="E2358" s="12" t="n">
        <x:v>0.002066011537037725</x:v>
      </x:c>
      <x:c r="F2358" s="13" t="n">
        <x:v>46122</x:v>
      </x:c>
      <x:c r="G2358" s="12" t="n">
        <x:v>2.94</x:v>
      </x:c>
      <x:c r="H2358" s="12" t="n">
        <x:v>294</x:v>
      </x:c>
      <x:c r="I2358" s="12" t="n">
        <x:v>4</x:v>
      </x:c>
      <x:c r="J2358" s="12" t="n">
        <x:v>3</x:v>
      </x:c>
    </x:row>
    <x:row r="2359" ht="18" customHeight="1">
      <x:c r="A2359" s="13" t="n">
        <x:v>46126</x:v>
      </x:c>
      <x:c r="B2359" s="12" t="n">
        <x:v>4701.2837</x:v>
      </x:c>
      <x:c r="C2359" s="12" t="n">
        <x:v>4646.1546</x:v>
      </x:c>
      <x:c r="D2359" s="12" t="n">
        <x:v>1.1866</x:v>
      </x:c>
      <x:c r="E2359" s="12" t="n">
        <x:v>0.011795689352143368</x:v>
      </x:c>
      <x:c r="F2359" s="13" t="n">
        <x:v>46125</x:v>
      </x:c>
      <x:c r="G2359" s="12" t="n">
        <x:v>2.95</x:v>
      </x:c>
      <x:c r="H2359" s="12" t="n">
        <x:v>295</x:v>
      </x:c>
      <x:c r="I2359" s="12" t="n">
        <x:v>1</x:v>
      </x:c>
      <x:c r="J2359" s="12" t="n">
        <x:v>1</x:v>
      </x:c>
    </x:row>
    <x:row r="2360" ht="18" customHeight="1">
      <x:c r="A2360" s="13" t="n">
        <x:v>46127</x:v>
      </x:c>
      <x:c r="B2360" s="12" t="n">
        <x:v>4685.2464</x:v>
      </x:c>
      <x:c r="C2360" s="12" t="n">
        <x:v>4701.2837</x:v>
      </x:c>
      <x:c r="D2360" s="12" t="n">
        <x:v>-0.3411</x:v>
      </x:c>
      <x:c r="E2360" s="12" t="n">
        <x:v>-0.003417091392478743</x:v>
      </x:c>
      <x:c r="F2360" s="13" t="n">
        <x:v>46126</x:v>
      </x:c>
      <x:c r="G2360" s="12" t="n">
        <x:v>2.84</x:v>
      </x:c>
      <x:c r="H2360" s="12" t="n">
        <x:v>284</x:v>
      </x:c>
      <x:c r="I2360" s="12" t="n">
        <x:v>-11</x:v>
      </x:c>
      <x:c r="J2360" s="12" t="n">
        <x:v>1</x:v>
      </x:c>
    </x:row>
    <x:row r="2361" ht="18" customHeight="1">
      <x:c r="A2361" s="13" t="n">
        <x:v>46128</x:v>
      </x:c>
      <x:c r="B2361" s="12" t="n">
        <x:v>4736.6077</x:v>
      </x:c>
      <x:c r="C2361" s="12" t="n">
        <x:v>4685.2464</x:v>
      </x:c>
      <x:c r="D2361" s="12" t="n">
        <x:v>1.0962</x:v>
      </x:c>
      <x:c r="E2361" s="12" t="n">
        <x:v>0.010902696693278813</x:v>
      </x:c>
      <x:c r="F2361" s="13" t="n">
        <x:v>46127</x:v>
      </x:c>
      <x:c r="G2361" s="12" t="n">
        <x:v>2.85</x:v>
      </x:c>
      <x:c r="H2361" s="12" t="n">
        <x:v>285</x:v>
      </x:c>
      <x:c r="I2361" s="12" t="n">
        <x:v>1</x:v>
      </x:c>
      <x:c r="J2361" s="12" t="n">
        <x:v>1</x:v>
      </x:c>
    </x:row>
    <x:row r="2362" ht="18" customHeight="1">
      <x:c r="A2362" s="13" t="n">
        <x:v>46129</x:v>
      </x:c>
      <x:c r="B2362" s="12" t="n">
        <x:v>4728.6716</x:v>
      </x:c>
      <x:c r="C2362" s="12" t="n">
        <x:v>4736.6077</x:v>
      </x:c>
      <x:c r="D2362" s="12" t="n">
        <x:v>-0.1675</x:v>
      </x:c>
      <x:c r="E2362" s="12" t="n">
        <x:v>-0.0016768869904682999</x:v>
      </x:c>
      <x:c r="F2362" s="13" t="n">
        <x:v>46128</x:v>
      </x:c>
      <x:c r="G2362" s="12" t="n">
        <x:v>2.86</x:v>
      </x:c>
      <x:c r="H2362" s="12" t="n">
        <x:v>286</x:v>
      </x:c>
      <x:c r="I2362" s="12" t="n">
        <x:v>1</x:v>
      </x:c>
      <x:c r="J2362" s="12" t="n">
        <x:v>1</x:v>
      </x:c>
    </x:row>
    <x:row r="2363" ht="18" customHeight="1">
      <x:c r="A2363" s="13" t="n">
        <x:v>46132</x:v>
      </x:c>
      <x:c r="B2363" s="12" t="n">
        <x:v>4757.4419</x:v>
      </x:c>
      <x:c r="C2363" s="12" t="n">
        <x:v>4728.6716</x:v>
      </x:c>
      <x:c r="D2363" s="12" t="n">
        <x:v>0.6084</x:v>
      </x:c>
      <x:c r="E2363" s="12" t="n">
        <x:v>0.006065790423872393</x:v>
      </x:c>
      <x:c r="F2363" s="13" t="n">
        <x:v>46129</x:v>
      </x:c>
      <x:c r="G2363" s="12" t="n">
        <x:v>2.83</x:v>
      </x:c>
      <x:c r="H2363" s="12" t="n">
        <x:v>283</x:v>
      </x:c>
      <x:c r="I2363" s="12" t="n">
        <x:v>-3</x:v>
      </x:c>
      <x:c r="J2363" s="12" t="n">
        <x:v>3</x:v>
      </x:c>
    </x:row>
    <x:row r="2364" ht="18" customHeight="1">
      <x:c r="A2364" s="13" t="n">
        <x:v>46133</x:v>
      </x:c>
      <x:c r="B2364" s="12" t="n">
        <x:v>4767.997</x:v>
      </x:c>
      <x:c r="C2364" s="12" t="n">
        <x:v>4757.4419</x:v>
      </x:c>
      <x:c r="D2364" s="12" t="n">
        <x:v>0.2219</x:v>
      </x:c>
      <x:c r="E2364" s="12" t="n">
        <x:v>0.0022161927509973633</x:v>
      </x:c>
      <x:c r="F2364" s="13" t="n">
        <x:v>46132</x:v>
      </x:c>
      <x:c r="G2364" s="12" t="n">
        <x:v>2.87</x:v>
      </x:c>
      <x:c r="H2364" s="12" t="n">
        <x:v>287</x:v>
      </x:c>
      <x:c r="I2364" s="12" t="n">
        <x:v>4</x:v>
      </x:c>
      <x:c r="J2364" s="12" t="n">
        <x:v>1</x:v>
      </x:c>
    </x:row>
    <x:row r="2365" ht="18" customHeight="1">
      <x:c r="A2365" s="13" t="n">
        <x:v>46134</x:v>
      </x:c>
      <x:c r="B2365" s="12" t="n">
        <x:v>4799.627</x:v>
      </x:c>
      <x:c r="C2365" s="12" t="n">
        <x:v>4767.997</x:v>
      </x:c>
      <x:c r="D2365" s="12" t="n">
        <x:v>0.6634</x:v>
      </x:c>
      <x:c r="E2365" s="12" t="n">
        <x:v>0.006611905992843182</x:v>
      </x:c>
      <x:c r="F2365" s="13" t="n">
        <x:v>46133</x:v>
      </x:c>
      <x:c r="G2365" s="12" t="n">
        <x:v>2.85</x:v>
      </x:c>
      <x:c r="H2365" s="12" t="n">
        <x:v>285</x:v>
      </x:c>
      <x:c r="I2365" s="12" t="n">
        <x:v>-2</x:v>
      </x:c>
      <x:c r="J2365" s="12" t="n">
        <x:v>1</x:v>
      </x:c>
    </x:row>
    <x:row r="2366" ht="18" customHeight="1">
      <x:c r="A2366" s="13" t="n">
        <x:v>46135</x:v>
      </x:c>
      <x:c r="B2366" s="12" t="n">
        <x:v>4786.3273</x:v>
      </x:c>
      <x:c r="C2366" s="12" t="n">
        <x:v>4799.627</x:v>
      </x:c>
      <x:c r="D2366" s="12" t="n">
        <x:v>-0.2771</x:v>
      </x:c>
      <x:c r="E2366" s="12" t="n">
        <x:v>-0.002774832451190693</x:v>
      </x:c>
      <x:c r="F2366" s="13" t="n">
        <x:v>46134</x:v>
      </x:c>
      <x:c r="G2366" s="12" t="n">
        <x:v>2.84</x:v>
      </x:c>
      <x:c r="H2366" s="12" t="n">
        <x:v>284</x:v>
      </x:c>
      <x:c r="I2366" s="12" t="n">
        <x:v>-1</x:v>
      </x:c>
      <x:c r="J2366" s="12" t="n">
        <x:v>1</x:v>
      </x:c>
    </x:row>
    <x:row r="2367" ht="18" customHeight="1">
      <x:c r="A2367" s="13" t="n">
        <x:v>46136</x:v>
      </x:c>
      <x:c r="B2367" s="12" t="n">
        <x:v>4769.3688</x:v>
      </x:c>
      <x:c r="C2367" s="12" t="n">
        <x:v>4786.3273</x:v>
      </x:c>
      <x:c r="D2367" s="12" t="n">
        <x:v>-0.3543</x:v>
      </x:c>
      <x:c r="E2367" s="12" t="n">
        <x:v>-0.0035494050096433406</x:v>
      </x:c>
      <x:c r="F2367" s="13" t="n">
        <x:v>46135</x:v>
      </x:c>
      <x:c r="G2367" s="12" t="n">
        <x:v>2.86</x:v>
      </x:c>
      <x:c r="H2367" s="12" t="n">
        <x:v>286</x:v>
      </x:c>
      <x:c r="I2367" s="12" t="n">
        <x:v>2</x:v>
      </x:c>
      <x:c r="J2367" s="12" t="n">
        <x:v>1</x:v>
      </x:c>
    </x:row>
    <x:row r="2368" ht="18" customHeight="1">
      <x:c r="A2368" s="13" t="n">
        <x:v>46139</x:v>
      </x:c>
      <x:c r="B2368" s="12" t="n">
        <x:v>4770.9469</x:v>
      </x:c>
      <x:c r="C2368" s="12" t="n">
        <x:v>4769.3688</x:v>
      </x:c>
      <x:c r="D2368" s="12" t="n">
        <x:v>0.0331</x:v>
      </x:c>
      <x:c r="E2368" s="12" t="n">
        <x:v>0.0003308276296125082</x:v>
      </x:c>
      <x:c r="F2368" s="13" t="n">
        <x:v>46136</x:v>
      </x:c>
      <x:c r="G2368" s="12" t="n">
        <x:v>2.86</x:v>
      </x:c>
      <x:c r="H2368" s="12" t="n">
        <x:v>286</x:v>
      </x:c>
      <x:c r="I2368" s="12" t="n">
        <x:v>0</x:v>
      </x:c>
      <x:c r="J2368" s="12" t="n">
        <x:v>3</x:v>
      </x:c>
    </x:row>
    <x:row r="2369" ht="18" customHeight="1">
      <x:c r="A2369" s="13" t="n">
        <x:v>46140</x:v>
      </x:c>
      <x:c r="B2369" s="12" t="n">
        <x:v>4758.2083</x:v>
      </x:c>
      <x:c r="C2369" s="12" t="n">
        <x:v>4770.9469</x:v>
      </x:c>
      <x:c r="D2369" s="12" t="n">
        <x:v>-0.267</x:v>
      </x:c>
      <x:c r="E2369" s="12" t="n">
        <x:v>-0.002673606908646539</x:v>
      </x:c>
      <x:c r="F2369" s="13" t="n">
        <x:v>46139</x:v>
      </x:c>
      <x:c r="G2369" s="12" t="n">
        <x:v>2.84</x:v>
      </x:c>
      <x:c r="H2369" s="12" t="n">
        <x:v>284</x:v>
      </x:c>
      <x:c r="I2369" s="12" t="n">
        <x:v>-2</x:v>
      </x:c>
      <x:c r="J2369" s="12" t="n">
        <x:v>1</x:v>
      </x:c>
    </x:row>
    <x:row r="2370" ht="18" customHeight="1">
      <x:c r="A2370" s="13" t="n">
        <x:v>46141</x:v>
      </x:c>
      <x:c r="B2370" s="12" t="n">
        <x:v>4810.3468</x:v>
      </x:c>
      <x:c r="C2370" s="12" t="n">
        <x:v>4758.2083</x:v>
      </x:c>
      <x:c r="D2370" s="12" t="n">
        <x:v>1.0958</x:v>
      </x:c>
      <x:c r="E2370" s="12" t="n">
        <x:v>0.010897991489509644</x:v>
      </x:c>
      <x:c r="F2370" s="13" t="n">
        <x:v>46140</x:v>
      </x:c>
      <x:c r="G2370" s="12" t="n">
        <x:v>2.85</x:v>
      </x:c>
      <x:c r="H2370" s="12" t="n">
        <x:v>285</x:v>
      </x:c>
      <x:c r="I2370" s="12" t="n">
        <x:v>1</x:v>
      </x:c>
      <x:c r="J2370" s="12" t="n">
        <x:v>1</x:v>
      </x:c>
    </x:row>
    <x:row r="2371" ht="18" customHeight="1">
      <x:c r="A2371" s="13" t="n">
        <x:v>46142</x:v>
      </x:c>
      <x:c r="B2371" s="12" t="n">
        <x:v>4807.3069</x:v>
      </x:c>
      <x:c r="C2371" s="12" t="n">
        <x:v>4810.3468</x:v>
      </x:c>
      <x:c r="D2371" s="12" t="n">
        <x:v>-0.0632</x:v>
      </x:c>
      <x:c r="E2371" s="12" t="n">
        <x:v>-0.0006321500432548737</x:v>
      </x:c>
      <x:c r="F2371" s="13" t="n">
        <x:v>46141</x:v>
      </x:c>
      <x:c r="G2371" s="12" t="n">
        <x:v>2.82</x:v>
      </x:c>
      <x:c r="H2371" s="12" t="n">
        <x:v>282</x:v>
      </x:c>
      <x:c r="I2371" s="12" t="n">
        <x:v>-3</x:v>
      </x:c>
      <x:c r="J2371" s="12" t="n">
        <x:v>1</x:v>
      </x:c>
    </x:row>
    <x:row r="2372" ht="18" customHeight="1">
      <x:c r="A2372" s="13" t="n">
        <x:v>46148</x:v>
      </x:c>
      <x:c r="B2372" s="12" t="n">
        <x:v>4877.0932</x:v>
      </x:c>
      <x:c r="C2372" s="12" t="n">
        <x:v>4807.3069</x:v>
      </x:c>
      <x:c r="D2372" s="12" t="n">
        <x:v>1.4517</x:v>
      </x:c>
      <x:c r="E2372" s="12" t="n">
        <x:v>0.014412355386543571</x:v>
      </x:c>
      <x:c r="F2372" s="13" t="n">
        <x:v>46147</x:v>
      </x:c>
      <x:c r="G2372" s="12" t="n">
        <x:v>2.77</x:v>
      </x:c>
      <x:c r="H2372" s="12" t="n">
        <x:v>277</x:v>
      </x:c>
      <x:c r="I2372" s="12" t="n">
        <x:v>-1</x:v>
      </x:c>
      <x:c r="J2372" s="12" t="n">
        <x:v>1</x:v>
      </x:c>
    </x:row>
    <x:row r="2373" ht="18" customHeight="1">
      <x:c r="A2373" s="13" t="n">
        <x:v>46149</x:v>
      </x:c>
      <x:c r="B2373" s="12" t="n">
        <x:v>4900.5098</x:v>
      </x:c>
      <x:c r="C2373" s="12" t="n">
        <x:v>4877.0932</x:v>
      </x:c>
      <x:c r="D2373" s="12" t="n">
        <x:v>0.4801</x:v>
      </x:c>
      <x:c r="E2373" s="12" t="n">
        <x:v>0.004789853867043837</x:v>
      </x:c>
      <x:c r="F2373" s="13" t="n">
        <x:v>46148</x:v>
      </x:c>
      <x:c r="G2373" s="12" t="n">
        <x:v>2.75</x:v>
      </x:c>
      <x:c r="H2373" s="12" t="n">
        <x:v>275</x:v>
      </x:c>
      <x:c r="I2373" s="12" t="n">
        <x:v>-2</x:v>
      </x:c>
      <x:c r="J2373" s="12" t="n">
        <x:v>1</x:v>
      </x:c>
    </x:row>
    <x:row r="2374" ht="18" customHeight="1">
      <x:c r="A2374" s="13" t="n">
        <x:v>46150</x:v>
      </x:c>
      <x:c r="B2374" s="12" t="n">
        <x:v>4871.9122</x:v>
      </x:c>
      <x:c r="C2374" s="12" t="n">
        <x:v>4900.5098</x:v>
      </x:c>
      <x:c r="D2374" s="12" t="n">
        <x:v>-0.5836</x:v>
      </x:c>
      <x:c r="E2374" s="12" t="n">
        <x:v>-0.005852731622297235</x:v>
      </x:c>
      <x:c r="F2374" s="13" t="n">
        <x:v>46149</x:v>
      </x:c>
      <x:c r="G2374" s="12" t="n">
        <x:v>2.79</x:v>
      </x:c>
      <x:c r="H2374" s="12" t="n">
        <x:v>279</x:v>
      </x:c>
      <x:c r="I2374" s="12" t="n">
        <x:v>4</x:v>
      </x:c>
      <x:c r="J2374" s="12" t="n">
        <x:v>1</x:v>
      </x:c>
    </x:row>
    <x:row r="2375" ht="18" customHeight="1">
      <x:c r="A2375" s="13" t="n">
        <x:v>46153</x:v>
      </x:c>
      <x:c r="B2375" s="12" t="n">
        <x:v>4951.8366</x:v>
      </x:c>
      <x:c r="C2375" s="12" t="n">
        <x:v>4871.9122</x:v>
      </x:c>
      <x:c r="D2375" s="12" t="n">
        <x:v>1.6405</x:v>
      </x:c>
      <x:c r="E2375" s="12" t="n">
        <x:v>0.016272029170167585</x:v>
      </x:c>
      <x:c r="F2375" s="13" t="n">
        <x:v>46150</x:v>
      </x:c>
      <x:c r="G2375" s="12" t="n">
        <x:v>2.81</x:v>
      </x:c>
      <x:c r="H2375" s="12" t="n">
        <x:v>281</x:v>
      </x:c>
      <x:c r="I2375" s="12" t="n">
        <x:v>2</x:v>
      </x:c>
      <x:c r="J2375" s="12" t="n">
        <x:v>3</x:v>
      </x:c>
    </x:row>
    <x:row r="2376" ht="18" customHeight="1">
      <x:c r="A2376" s="13" t="n">
        <x:v>46154</x:v>
      </x:c>
      <x:c r="B2376" s="12" t="n">
        <x:v>4948.0465</x:v>
      </x:c>
      <x:c r="C2376" s="12" t="n">
        <x:v>4951.8366</x:v>
      </x:c>
      <x:c r="D2376" s="12" t="n">
        <x:v>-0.0765</x:v>
      </x:c>
      <x:c r="E2376" s="12" t="n">
        <x:v>-0.0007656858463650147</x:v>
      </x:c>
      <x:c r="F2376" s="13" t="n">
        <x:v>46153</x:v>
      </x:c>
      <x:c r="G2376" s="12" t="n">
        <x:v>2.79</x:v>
      </x:c>
      <x:c r="H2376" s="12" t="n">
        <x:v>279</x:v>
      </x:c>
      <x:c r="I2376" s="12" t="n">
        <x:v>-2</x:v>
      </x:c>
      <x:c r="J2376" s="12" t="n">
        <x:v>1</x:v>
      </x:c>
    </x:row>
    <x:row r="2377" ht="18" customHeight="1">
      <x:c r="A2377" s="13" t="n">
        <x:v>46155</x:v>
      </x:c>
      <x:c r="B2377" s="12" t="n">
        <x:v>4998.3417</x:v>
      </x:c>
      <x:c r="C2377" s="12" t="n">
        <x:v>4948.0465</x:v>
      </x:c>
      <x:c r="D2377" s="12" t="n">
        <x:v>1.0165</x:v>
      </x:c>
      <x:c r="E2377" s="12" t="n">
        <x:v>0.01011334520021664</x:v>
      </x:c>
      <x:c r="F2377" s="13" t="n">
        <x:v>46154</x:v>
      </x:c>
      <x:c r="G2377" s="12" t="n">
        <x:v>2.82</x:v>
      </x:c>
      <x:c r="H2377" s="12" t="n">
        <x:v>282</x:v>
      </x:c>
      <x:c r="I2377" s="12" t="n">
        <x:v>3</x:v>
      </x:c>
      <x:c r="J2377" s="12" t="n">
        <x:v>1</x:v>
      </x:c>
    </x:row>
    <x:row r="2378" ht="18" customHeight="1">
      <x:c r="A2378" s="13" t="n">
        <x:v>46156</x:v>
      </x:c>
      <x:c r="B2378" s="12" t="n">
        <x:v>4914.5971</x:v>
      </x:c>
      <x:c r="C2378" s="12" t="n">
        <x:v>4998.3417</x:v>
      </x:c>
      <x:c r="D2378" s="12" t="n">
        <x:v>-1.6754</x:v>
      </x:c>
      <x:c r="E2378" s="12" t="n">
        <x:v>-0.016896420734000092</x:v>
      </x:c>
      <x:c r="F2378" s="13" t="n">
        <x:v>46155</x:v>
      </x:c>
      <x:c r="G2378" s="12" t="n">
        <x:v>2.82</x:v>
      </x:c>
      <x:c r="H2378" s="12" t="n">
        <x:v>282</x:v>
      </x:c>
      <x:c r="I2378" s="12" t="n">
        <x:v>0</x:v>
      </x:c>
      <x:c r="J2378" s="12" t="n">
        <x:v>1</x:v>
      </x:c>
    </x:row>
    <x:row r="2379" ht="18" customHeight="1">
      <x:c r="A2379" s="13" t="n">
        <x:v>46157</x:v>
      </x:c>
      <x:c r="B2379" s="12" t="n">
        <x:v>4859.5927</x:v>
      </x:c>
      <x:c r="C2379" s="12" t="n">
        <x:v>4914.5971</x:v>
      </x:c>
      <x:c r="D2379" s="12" t="n">
        <x:v>-1.1192</x:v>
      </x:c>
      <x:c r="E2379" s="12" t="n">
        <x:v>-0.011255148872686452</x:v>
      </x:c>
      <x:c r="F2379" s="13" t="n">
        <x:v>46156</x:v>
      </x:c>
      <x:c r="G2379" s="12" t="n">
        <x:v>2.76</x:v>
      </x:c>
      <x:c r="H2379" s="12" t="n">
        <x:v>276</x:v>
      </x:c>
      <x:c r="I2379" s="12" t="n">
        <x:v>-6</x:v>
      </x:c>
      <x:c r="J2379" s="12" t="n">
        <x:v>1</x:v>
      </x:c>
    </x:row>
    <x:row r="2380" ht="18" customHeight="1">
      <x:c r="A2380" s="13" t="n">
        <x:v>46160</x:v>
      </x:c>
      <x:c r="B2380" s="12" t="n">
        <x:v>4833.5237</x:v>
      </x:c>
      <x:c r="C2380" s="12" t="n">
        <x:v>4859.5927</x:v>
      </x:c>
      <x:c r="D2380" s="12" t="n">
        <x:v>-0.5364</x:v>
      </x:c>
      <x:c r="E2380" s="12" t="n">
        <x:v>-0.005378881626373026</x:v>
      </x:c>
      <x:c r="F2380" s="13" t="n">
        <x:v>46157</x:v>
      </x:c>
      <x:c r="G2380" s="12" t="n">
        <x:v>2.8</x:v>
      </x:c>
      <x:c r="H2380" s="12" t="n">
        <x:v>280</x:v>
      </x:c>
      <x:c r="I2380" s="12" t="n">
        <x:v>4</x:v>
      </x:c>
      <x:c r="J2380" s="12" t="n">
        <x:v>3</x:v>
      </x:c>
    </x:row>
    <x:row r="2381" ht="18" customHeight="1">
      <x:c r="A2381" s="13" t="n">
        <x:v>46161</x:v>
      </x:c>
      <x:c r="B2381" s="12" t="n">
        <x:v>4852.8832</x:v>
      </x:c>
      <x:c r="C2381" s="12" t="n">
        <x:v>4833.5237</x:v>
      </x:c>
      <x:c r="D2381" s="12" t="n">
        <x:v>0.4005</x:v>
      </x:c>
      <x:c r="E2381" s="12" t="n">
        <x:v>0.003997256356691384</x:v>
      </x:c>
      <x:c r="F2381" s="13" t="n">
        <x:v>46160</x:v>
      </x:c>
      <x:c r="G2381" s="12" t="n">
        <x:v>2.83</x:v>
      </x:c>
      <x:c r="H2381" s="12" t="n">
        <x:v>283</x:v>
      </x:c>
      <x:c r="I2381" s="12" t="n">
        <x:v>3</x:v>
      </x:c>
      <x:c r="J2381" s="12" t="n">
        <x:v>1</x:v>
      </x:c>
    </x:row>
    <x:row r="2382" ht="18" customHeight="1">
      <x:c r="A2382" s="13" t="n">
        <x:v>46162</x:v>
      </x:c>
      <x:c r="B2382" s="12" t="n">
        <x:v>4850.7</x:v>
      </x:c>
      <x:c r="C2382" s="12" t="n">
        <x:v>4852.8832</x:v>
      </x:c>
      <x:c r="D2382" s="12" t="n">
        <x:v>-0.045</x:v>
      </x:c>
      <x:c r="E2382" s="12" t="n">
        <x:v>-0.0004499781146490447</x:v>
      </x:c>
      <x:c r="F2382" s="13" t="n">
        <x:v>46161</x:v>
      </x:c>
      <x:c r="G2382" s="12" t="n">
        <x:v>2.86</x:v>
      </x:c>
      <x:c r="H2382" s="12" t="n">
        <x:v>286</x:v>
      </x:c>
      <x:c r="I2382" s="12" t="n">
        <x:v>3</x:v>
      </x:c>
      <x:c r="J2382" s="12" t="n">
        <x:v>1</x:v>
      </x:c>
    </x:row>
    <x:row r="2383" ht="18" customHeight="1">
      <x:c r="A2383" s="13" t="n">
        <x:v>46163</x:v>
      </x:c>
      <x:c r="B2383" s="12" t="n">
        <x:v>4783.0976</x:v>
      </x:c>
      <x:c r="C2383" s="12" t="n">
        <x:v>4850.7</x:v>
      </x:c>
      <x:c r="D2383" s="12" t="n">
        <x:v>-1.3937</x:v>
      </x:c>
      <x:c r="E2383" s="12" t="n">
        <x:v>-0.014034654338595203</x:v>
      </x:c>
      <x:c r="F2383" s="13" t="n">
        <x:v>46162</x:v>
      </x:c>
      <x:c r="G2383" s="12" t="n">
        <x:v>2.8</x:v>
      </x:c>
      <x:c r="H2383" s="12" t="n">
        <x:v>280</x:v>
      </x:c>
      <x:c r="I2383" s="12" t="n">
        <x:v>-6</x:v>
      </x:c>
      <x:c r="J2383" s="12" t="n">
        <x:v>1</x:v>
      </x:c>
    </x:row>
    <x:row r="2384" ht="18" customHeight="1">
      <x:c r="A2384" s="13" t="n">
        <x:v>46164</x:v>
      </x:c>
      <x:c r="B2384" s="12" t="n">
        <x:v>4845.0956</x:v>
      </x:c>
      <x:c r="C2384" s="12" t="n">
        <x:v>4783.0976</x:v>
      </x:c>
      <x:c r="D2384" s="12" t="n">
        <x:v>1.2962</x:v>
      </x:c>
      <x:c r="E2384" s="12" t="n">
        <x:v>0.01287860673706273</x:v>
      </x:c>
      <x:c r="F2384" s="13" t="n">
        <x:v>46163</x:v>
      </x:c>
      <x:c r="G2384" s="12" t="n">
        <x:v>2.78</x:v>
      </x:c>
      <x:c r="H2384" s="12" t="n">
        <x:v>278</x:v>
      </x:c>
      <x:c r="I2384" s="12" t="n">
        <x:v>-2</x:v>
      </x:c>
      <x:c r="J2384" s="12" t="n">
        <x:v>1</x:v>
      </x:c>
    </x:row>
    <x:row r="2385" ht="18" customHeight="1">
      <x:c r="A2385" s="13" t="n">
        <x:v>46167</x:v>
      </x:c>
      <x:c r="B2385" s="12" t="n">
        <x:v>4921.5974</x:v>
      </x:c>
      <x:c r="C2385" s="12" t="n">
        <x:v>4845.0956</x:v>
      </x:c>
      <x:c r="D2385" s="12" t="n">
        <x:v>1.579</x:v>
      </x:c>
      <x:c r="E2385" s="12" t="n">
        <x:v>0.015666175775299437</x:v>
      </x:c>
      <x:c r="F2385" s="13" t="n">
        <x:v>46164</x:v>
      </x:c>
      <x:c r="G2385" s="12" t="n">
        <x:v>2.74</x:v>
      </x:c>
      <x:c r="H2385" s="12" t="n">
        <x:v>274</x:v>
      </x:c>
      <x:c r="I2385" s="12" t="n">
        <x:v>-4</x:v>
      </x:c>
      <x:c r="J2385" s="12" t="n">
        <x:v>3</x:v>
      </x:c>
    </x:row>
    <x:row r="2386" ht="18" customHeight="1">
      <x:c r="A2386" s="13" t="n">
        <x:v>46168</x:v>
      </x:c>
      <x:c r="B2386" s="12" t="n">
        <x:v>4947.8493</x:v>
      </x:c>
      <x:c r="C2386" s="12" t="n">
        <x:v>4921.5974</x:v>
      </x:c>
      <x:c r="D2386" s="12" t="n">
        <x:v>0.5334</x:v>
      </x:c>
      <x:c r="E2386" s="12" t="n">
        <x:v>0.005319844710714726</x:v>
      </x:c>
      <x:c r="F2386" s="13" t="n">
        <x:v>46167</x:v>
      </x:c>
      <x:c r="G2386" s="12" t="n">
        <x:v>2.74</x:v>
      </x:c>
      <x:c r="H2386" s="12" t="n">
        <x:v>274</x:v>
      </x:c>
      <x:c r="I2386" s="12" t="n">
        <x:v>0</x:v>
      </x:c>
      <x:c r="J2386" s="12" t="n">
        <x:v>1</x:v>
      </x:c>
    </x:row>
    <x:row r="2387" ht="18" customHeight="1">
      <x:c r="A2387" s="13" t="n">
        <x:v>46169</x:v>
      </x:c>
      <x:c r="B2387" s="12" t="n">
        <x:v>4908.1714</x:v>
      </x:c>
      <x:c r="C2387" s="12" t="n">
        <x:v>4947.8493</x:v>
      </x:c>
      <x:c r="D2387" s="12" t="n">
        <x:v>-0.8019</x:v>
      </x:c>
      <x:c r="E2387" s="12" t="n">
        <x:v>-0.008051548501949888</x:v>
      </x:c>
      <x:c r="F2387" s="13" t="n">
        <x:v>46168</x:v>
      </x:c>
      <x:c r="G2387" s="12" t="n">
        <x:v>2.72</x:v>
      </x:c>
      <x:c r="H2387" s="12" t="n">
        <x:v>272</x:v>
      </x:c>
      <x:c r="I2387" s="12" t="n">
        <x:v>-2</x:v>
      </x:c>
      <x:c r="J2387" s="12" t="n">
        <x:v>1</x:v>
      </x:c>
    </x:row>
    <x:row r="2388" ht="18" customHeight="1">
      <x:c r="A2388" s="13" t="n">
        <x:v>46170</x:v>
      </x:c>
      <x:c r="B2388" s="12" t="n">
        <x:v>4914.2133</x:v>
      </x:c>
      <x:c r="C2388" s="12" t="n">
        <x:v>4908.1714</x:v>
      </x:c>
      <x:c r="D2388" s="12" t="n">
        <x:v>0.1231</x:v>
      </x:c>
      <x:c r="E2388" s="12" t="n">
        <x:v>0.0012302309360817918</x:v>
      </x:c>
      <x:c r="F2388" s="13" t="n">
        <x:v>46169</x:v>
      </x:c>
      <x:c r="G2388" s="12" t="n">
        <x:v>2.71</x:v>
      </x:c>
      <x:c r="H2388" s="12" t="n">
        <x:v>271</x:v>
      </x:c>
      <x:c r="I2388" s="12" t="n">
        <x:v>-1</x:v>
      </x:c>
      <x:c r="J2388" s="12" t="n">
        <x:v>1</x:v>
      </x:c>
    </x:row>
    <x:row r="2389" ht="18" customHeight="1">
      <x:c r="A2389" s="13" t="n">
        <x:v>46171</x:v>
      </x:c>
      <x:c r="B2389" s="12" t="n">
        <x:v>4892.1213</x:v>
      </x:c>
      <x:c r="C2389" s="12" t="n">
        <x:v>4914.2133</x:v>
      </x:c>
      <x:c r="D2389" s="12" t="n">
        <x:v>-0.4496</x:v>
      </x:c>
      <x:c r="E2389" s="12" t="n">
        <x:v>-0.004505666648206661</x:v>
      </x:c>
      <x:c r="F2389" s="13" t="n">
        <x:v>46170</x:v>
      </x:c>
      <x:c r="G2389" s="12" t="n">
        <x:v>2.72</x:v>
      </x:c>
      <x:c r="H2389" s="12" t="n">
        <x:v>272</x:v>
      </x:c>
      <x:c r="I2389" s="12" t="n">
        <x:v>1</x:v>
      </x:c>
      <x:c r="J2389" s="12" t="n">
        <x:v>1</x:v>
      </x:c>
    </x:row>
    <x:row r="2390" ht="18" customHeight="1">
      <x:c r="A2390" s="13" t="n">
        <x:v>46174</x:v>
      </x:c>
      <x:c r="B2390" s="12" t="n">
        <x:v>4844.2556</x:v>
      </x:c>
      <x:c r="C2390" s="12" t="n">
        <x:v>4892.1213</x:v>
      </x:c>
      <x:c r="D2390" s="12" t="n">
        <x:v>-0.9784</x:v>
      </x:c>
      <x:c r="E2390" s="12" t="n">
        <x:v>-0.009832422494559519</x:v>
      </x:c>
      <x:c r="F2390" s="13" t="n">
        <x:v>46173</x:v>
      </x:c>
      <x:c r="G2390" s="12" t="n">
        <x:v>2.74</x:v>
      </x:c>
      <x:c r="H2390" s="12" t="n">
        <x:v>274</x:v>
      </x:c>
      <x:c r="I2390" s="12" t="n">
        <x:v>2</x:v>
      </x:c>
      <x:c r="J2390" s="12" t="n">
        <x:v>1</x:v>
      </x:c>
    </x:row>
    <x:row r="2391" ht="18" customHeight="1">
      <x:c r="A2391" s="13" t="n">
        <x:v>46175</x:v>
      </x:c>
      <x:c r="B2391" s="12" t="n">
        <x:v>4914.5591</x:v>
      </x:c>
      <x:c r="C2391" s="12" t="n">
        <x:v>4844.2556</x:v>
      </x:c>
      <x:c r="D2391" s="12" t="n">
        <x:v>1.4513</x:v>
      </x:c>
      <x:c r="E2391" s="12" t="n">
        <x:v>0.01440845398306778</x:v>
      </x:c>
      <x:c r="F2391" s="13" t="n">
        <x:v>46174</x:v>
      </x:c>
      <x:c r="G2391" s="12" t="n">
        <x:v>2.72</x:v>
      </x:c>
      <x:c r="H2391" s="12" t="n">
        <x:v>272</x:v>
      </x:c>
      <x:c r="I2391" s="12" t="n">
        <x:v>-2</x:v>
      </x:c>
      <x:c r="J2391" s="12" t="n">
        <x:v>1</x:v>
      </x:c>
    </x:row>
    <x:row r="2392" ht="18" customHeight="1">
      <x:c r="A2392" s="13" t="n">
        <x:v>46176</x:v>
      </x:c>
      <x:c r="B2392" s="12" t="n">
        <x:v>4938.8091</x:v>
      </x:c>
      <x:c r="C2392" s="12" t="n">
        <x:v>4914.5591</x:v>
      </x:c>
      <x:c r="D2392" s="12" t="n">
        <x:v>0.4934</x:v>
      </x:c>
      <x:c r="E2392" s="12" t="n">
        <x:v>0.00492218467194442</x:v>
      </x:c>
      <x:c r="F2392" s="13" t="n">
        <x:v>46175</x:v>
      </x:c>
      <x:c r="G2392" s="12" t="n">
        <x:v>2.71</x:v>
      </x:c>
      <x:c r="H2392" s="12" t="n">
        <x:v>271</x:v>
      </x:c>
      <x:c r="I2392" s="12" t="n">
        <x:v>-1</x:v>
      </x:c>
      <x:c r="J2392" s="12" t="n">
        <x:v>1</x:v>
      </x:c>
    </x:row>
    <x:row r="2393" ht="18" customHeight="1">
      <x:c r="A2393" s="13" t="n">
        <x:v>46177</x:v>
      </x:c>
      <x:c r="B2393" s="12" t="n">
        <x:v>4904.7454</x:v>
      </x:c>
      <x:c r="C2393" s="12" t="n">
        <x:v>4938.8091</x:v>
      </x:c>
      <x:c r="D2393" s="12" t="n">
        <x:v>-0.6897</x:v>
      </x:c>
      <x:c r="E2393" s="12" t="n">
        <x:v>-0.0069210438105936824</x:v>
      </x:c>
      <x:c r="F2393" s="13" t="n">
        <x:v>46176</x:v>
      </x:c>
      <x:c r="G2393" s="12" t="n">
        <x:v>2.75</x:v>
      </x:c>
      <x:c r="H2393" s="12" t="n">
        <x:v>275</x:v>
      </x:c>
      <x:c r="I2393" s="12" t="n">
        <x:v>4</x:v>
      </x:c>
      <x:c r="J2393" s="12" t="n">
        <x:v>1</x:v>
      </x:c>
    </x:row>
    <x:row r="2394" ht="18" customHeight="1">
      <x:c r="A2394" s="13" t="n">
        <x:v>46178</x:v>
      </x:c>
      <x:c r="B2394" s="12" t="n">
        <x:v>4816.9199</x:v>
      </x:c>
      <x:c r="C2394" s="12" t="n">
        <x:v>4904.7454</x:v>
      </x:c>
      <x:c r="D2394" s="12" t="n">
        <x:v>-1.7906</x:v>
      </x:c>
      <x:c r="E2394" s="12" t="n">
        <x:v>-0.018068486549197182</x:v>
      </x:c>
      <x:c r="F2394" s="13" t="n">
        <x:v>46177</x:v>
      </x:c>
      <x:c r="G2394" s="12" t="n">
        <x:v>2.74</x:v>
      </x:c>
      <x:c r="H2394" s="12" t="n">
        <x:v>274</x:v>
      </x:c>
      <x:c r="I2394" s="12" t="n">
        <x:v>-1</x:v>
      </x:c>
      <x:c r="J2394" s="12" t="n">
        <x:v>1</x:v>
      </x:c>
    </x:row>
    <x:row r="2395" ht="18" customHeight="1">
      <x:c r="A2395" s="13" t="n">
        <x:v>46181</x:v>
      </x:c>
      <x:c r="B2395" s="12" t="n">
        <x:v>4713.6358</x:v>
      </x:c>
      <x:c r="C2395" s="12" t="n">
        <x:v>4816.9199</x:v>
      </x:c>
      <x:c r="D2395" s="12" t="n">
        <x:v>-2.1442</x:v>
      </x:c>
      <x:c r="E2395" s="12" t="n">
        <x:v>-0.021675156601350522</x:v>
      </x:c>
      <x:c r="F2395" s="13" t="n">
        <x:v>46178</x:v>
      </x:c>
      <x:c r="G2395" s="12" t="n">
        <x:v>2.76</x:v>
      </x:c>
      <x:c r="H2395" s="12" t="n">
        <x:v>276</x:v>
      </x:c>
      <x:c r="I2395" s="12" t="n">
        <x:v>2</x:v>
      </x:c>
      <x:c r="J2395" s="12" t="n">
        <x:v>3</x:v>
      </x:c>
    </x:row>
    <x:row r="2396" ht="18" customHeight="1">
      <x:c r="A2396" s="13" t="n">
        <x:v>46182</x:v>
      </x:c>
      <x:c r="B2396" s="12" t="n">
        <x:v>4801.8106</x:v>
      </x:c>
      <x:c r="C2396" s="12" t="n">
        <x:v>4713.6358</x:v>
      </x:c>
      <x:c r="D2396" s="12" t="n">
        <x:v>1.8706</x:v>
      </x:c>
      <x:c r="E2396" s="12" t="n">
        <x:v>0.01853351282054119</x:v>
      </x:c>
      <x:c r="F2396" s="13" t="n">
        <x:v>46181</x:v>
      </x:c>
      <x:c r="G2396" s="12" t="n">
        <x:v>2.75</x:v>
      </x:c>
      <x:c r="H2396" s="12" t="n">
        <x:v>275</x:v>
      </x:c>
      <x:c r="I2396" s="12" t="n">
        <x:v>-1</x:v>
      </x:c>
      <x:c r="J2396" s="12" t="n">
        <x:v>1</x:v>
      </x:c>
    </x:row>
    <x:row r="2397" ht="18" customHeight="1">
      <x:c r="A2397" s="13" t="n">
        <x:v>46183</x:v>
      </x:c>
      <x:c r="B2397" s="12" t="n">
        <x:v>4748.5932</x:v>
      </x:c>
      <x:c r="C2397" s="12" t="n">
        <x:v>4801.8106</x:v>
      </x:c>
      <x:c r="D2397" s="12" t="n">
        <x:v>-1.1083</x:v>
      </x:c>
      <x:c r="E2397" s="12" t="n">
        <x:v>-0.011144649363031658</x:v>
      </x:c>
      <x:c r="F2397" s="13" t="n">
        <x:v>46182</x:v>
      </x:c>
      <x:c r="G2397" s="12" t="n">
        <x:v>2.78</x:v>
      </x:c>
      <x:c r="H2397" s="12" t="n">
        <x:v>278</x:v>
      </x:c>
      <x:c r="I2397" s="12" t="n">
        <x:v>3</x:v>
      </x:c>
      <x:c r="J2397" s="12" t="n">
        <x:v>1</x:v>
      </x:c>
    </x:row>
    <x:row r="2398" ht="18" customHeight="1">
      <x:c r="A2398" s="13" t="n">
        <x:v>46184</x:v>
      </x:c>
      <x:c r="B2398" s="12" t="n">
        <x:v>4722.4122</x:v>
      </x:c>
      <x:c r="C2398" s="12" t="n">
        <x:v>4748.5932</x:v>
      </x:c>
      <x:c r="D2398" s="12" t="n">
        <x:v>-0.5513</x:v>
      </x:c>
      <x:c r="E2398" s="12" t="n">
        <x:v>-0.005528677385810438</x:v>
      </x:c>
      <x:c r="F2398" s="13" t="n">
        <x:v>46183</x:v>
      </x:c>
      <x:c r="G2398" s="12" t="n">
        <x:v>2.8</x:v>
      </x:c>
      <x:c r="H2398" s="12" t="n">
        <x:v>280</x:v>
      </x:c>
      <x:c r="I2398" s="12" t="n">
        <x:v>2</x:v>
      </x:c>
      <x:c r="J2398" s="12" t="n">
        <x:v>1</x:v>
      </x:c>
    </x:row>
    <x:row r="2399" ht="18" customHeight="1">
      <x:c r="A2399" s="13" t="n">
        <x:v>46185</x:v>
      </x:c>
      <x:c r="B2399" s="12" t="n">
        <x:v>4777.3206</x:v>
      </x:c>
      <x:c r="C2399" s="12" t="n">
        <x:v>4722.4122</x:v>
      </x:c>
      <x:c r="D2399" s="12" t="n">
        <x:v>1.1627</x:v>
      </x:c>
      <x:c r="E2399" s="12" t="n">
        <x:v>0.01156011703366715</x:v>
      </x:c>
      <x:c r="F2399" s="13" t="n">
        <x:v>46184</x:v>
      </x:c>
      <x:c r="G2399" s="12" t="n">
        <x:v>2.78</x:v>
      </x:c>
      <x:c r="H2399" s="12" t="n">
        <x:v>278</x:v>
      </x:c>
      <x:c r="I2399" s="12" t="n">
        <x:v>-2</x:v>
      </x:c>
      <x:c r="J2399" s="12" t="n">
        <x:v>1</x:v>
      </x:c>
    </x:row>
    <x:row r="2400" ht="18" customHeight="1">
      <x:c r="A2400" s="13" t="n">
        <x:v>46188</x:v>
      </x:c>
      <x:c r="B2400" s="12" t="n">
        <x:v>4891.7126</x:v>
      </x:c>
      <x:c r="C2400" s="12" t="n">
        <x:v>4777.3206</x:v>
      </x:c>
      <x:c r="D2400" s="12" t="n">
        <x:v>2.3945</x:v>
      </x:c>
      <x:c r="E2400" s="12" t="n">
        <x:v>0.02366262171438832</x:v>
      </x:c>
      <x:c r="F2400" s="13" t="n">
        <x:v>46185</x:v>
      </x:c>
      <x:c r="G2400" s="12" t="n">
        <x:v>2.71</x:v>
      </x:c>
      <x:c r="H2400" s="12" t="n">
        <x:v>271</x:v>
      </x:c>
      <x:c r="I2400" s="12" t="n">
        <x:v>-7</x:v>
      </x:c>
      <x:c r="J2400" s="12" t="n">
        <x:v>3</x:v>
      </x:c>
    </x:row>
    <x:row r="2401" ht="18" customHeight="1">
      <x:c r="A2401" s="13" t="n">
        <x:v>46189</x:v>
      </x:c>
      <x:c r="B2401" s="12" t="n">
        <x:v>4884.2322</x:v>
      </x:c>
      <x:c r="C2401" s="12" t="n">
        <x:v>4891.7126</x:v>
      </x:c>
      <x:c r="D2401" s="12" t="n">
        <x:v>-0.1529</x:v>
      </x:c>
      <x:c r="E2401" s="12" t="n">
        <x:v>-0.001530369005345078</x:v>
      </x:c>
      <x:c r="F2401" s="13" t="n">
        <x:v>46188</x:v>
      </x:c>
      <x:c r="G2401" s="12" t="n">
        <x:v>2.66</x:v>
      </x:c>
      <x:c r="H2401" s="12" t="n">
        <x:v>266</x:v>
      </x:c>
      <x:c r="I2401" s="12" t="n">
        <x:v>-5</x:v>
      </x:c>
      <x:c r="J2401" s="12" t="n">
        <x:v>1</x:v>
      </x:c>
    </x:row>
    <x:row r="2402" ht="18" customHeight="1">
      <x:c r="A2402" s="13" t="n">
        <x:v>46190</x:v>
      </x:c>
      <x:c r="B2402" s="12" t="n">
        <x:v>4931.3861</x:v>
      </x:c>
      <x:c r="C2402" s="12" t="n">
        <x:v>4884.2322</x:v>
      </x:c>
      <x:c r="D2402" s="12" t="n">
        <x:v>0.9654</x:v>
      </x:c>
      <x:c r="E2402" s="12" t="n">
        <x:v>0.009608006608348506</x:v>
      </x:c>
      <x:c r="F2402" s="13" t="n">
        <x:v>46189</x:v>
      </x:c>
      <x:c r="G2402" s="12" t="n">
        <x:v>2.71</x:v>
      </x:c>
      <x:c r="H2402" s="12" t="n">
        <x:v>271</x:v>
      </x:c>
      <x:c r="I2402" s="12" t="n">
        <x:v>5</x:v>
      </x:c>
      <x:c r="J2402" s="12" t="n">
        <x:v>1</x:v>
      </x:c>
    </x:row>
    <x:row r="2403" ht="18" customHeight="1">
      <x:c r="A2403" s="13" t="n">
        <x:v>46191</x:v>
      </x:c>
      <x:c r="B2403" s="12" t="n">
        <x:v>4941.5986</x:v>
      </x:c>
      <x:c r="C2403" s="12" t="n">
        <x:v>4931.3861</x:v>
      </x:c>
      <x:c r="D2403" s="12" t="n">
        <x:v>0.2071</x:v>
      </x:c>
      <x:c r="E2403" s="12" t="n">
        <x:v>0.0020687773662452385</x:v>
      </x:c>
      <x:c r="F2403" s="13" t="n">
        <x:v>46190</x:v>
      </x:c>
      <x:c r="G2403" s="12" t="n">
        <x:v>2.63</x:v>
      </x:c>
      <x:c r="H2403" s="12" t="n">
        <x:v>263</x:v>
      </x:c>
      <x:c r="I2403" s="12" t="n">
        <x:v>-8</x:v>
      </x:c>
      <x:c r="J2403" s="12" t="n">
        <x:v>1</x:v>
      </x:c>
    </x:row>
    <x:row r="2404" ht="18" customHeight="1">
      <x:c r="A2404" s="13" t="n">
        <x:v>46195</x:v>
      </x:c>
      <x:c r="B2404" s="12" t="n">
        <x:v>5059.6582</x:v>
      </x:c>
      <x:c r="C2404" s="12" t="n">
        <x:v>4941.5986</x:v>
      </x:c>
      <x:c r="D2404" s="12" t="n">
        <x:v>2.3891</x:v>
      </x:c>
      <x:c r="E2404" s="12" t="n">
        <x:v>0.023610049520233017</x:v>
      </x:c>
      <x:c r="F2404" s="13" t="n">
        <x:v>46192</x:v>
      </x:c>
      <x:c r="G2404" s="12" t="n">
        <x:v>2.66</x:v>
      </x:c>
      <x:c r="H2404" s="12" t="n">
        <x:v>266</x:v>
      </x:c>
      <x:c r="I2404" s="12" t="n">
        <x:v>0</x:v>
      </x:c>
      <x:c r="J2404" s="12" t="n">
        <x:v>3</x:v>
      </x:c>
    </x:row>
    <x:row r="2405" ht="18" customHeight="1">
      <x:c r="A2405" s="13" t="n">
        <x:v>46196</x:v>
      </x:c>
      <x:c r="B2405" s="12" t="n">
        <x:v>4919.386</x:v>
      </x:c>
      <x:c r="C2405" s="12" t="n">
        <x:v>5059.6582</x:v>
      </x:c>
      <x:c r="D2405" s="12" t="n">
        <x:v>-2.7724</x:v>
      </x:c>
      <x:c r="E2405" s="12" t="n">
        <x:v>-0.02811520564220836</x:v>
      </x:c>
      <x:c r="F2405" s="13" t="n">
        <x:v>46195</x:v>
      </x:c>
      <x:c r="G2405" s="12" t="n">
        <x:v>2.65</x:v>
      </x:c>
      <x:c r="H2405" s="12" t="n">
        <x:v>265</x:v>
      </x:c>
      <x:c r="I2405" s="12" t="n">
        <x:v>-1</x:v>
      </x:c>
      <x:c r="J2405" s="12" t="n">
        <x:v>1</x:v>
      </x:c>
    </x:row>
    <x:row r="2406" ht="18" customHeight="1">
      <x:c r="A2406" s="13" t="n">
        <x:v>46197</x:v>
      </x:c>
      <x:c r="B2406" s="12" t="n">
        <x:v>4943.0197</x:v>
      </x:c>
      <x:c r="C2406" s="12" t="n">
        <x:v>4919.386</x:v>
      </x:c>
      <x:c r="D2406" s="12" t="n">
        <x:v>0.4804</x:v>
      </x:c>
      <x:c r="E2406" s="12" t="n">
        <x:v>0.004792693782340063</x:v>
      </x:c>
      <x:c r="F2406" s="13" t="n">
        <x:v>46196</x:v>
      </x:c>
      <x:c r="G2406" s="12" t="n">
        <x:v>2.71</x:v>
      </x:c>
      <x:c r="H2406" s="12" t="n">
        <x:v>271</x:v>
      </x:c>
      <x:c r="I2406" s="12" t="n">
        <x:v>6</x:v>
      </x:c>
      <x:c r="J2406" s="12" t="n">
        <x:v>1</x:v>
      </x:c>
    </x:row>
    <x:row r="2407" ht="18" customHeight="1">
      <x:c r="A2407" s="13" t="n">
        <x:v>46198</x:v>
      </x:c>
      <x:c r="B2407" s="12" t="n">
        <x:v>5020.1038</x:v>
      </x:c>
      <x:c r="C2407" s="12" t="n">
        <x:v>4943.0197</x:v>
      </x:c>
      <x:c r="D2407" s="12" t="n">
        <x:v>1.5595</x:v>
      </x:c>
      <x:c r="E2407" s="12" t="n">
        <x:v>0.01547419102987474</x:v>
      </x:c>
      <x:c r="F2407" s="13" t="n">
        <x:v>46197</x:v>
      </x:c>
      <x:c r="G2407" s="12" t="n">
        <x:v>2.76</x:v>
      </x:c>
      <x:c r="H2407" s="12" t="n">
        <x:v>276</x:v>
      </x:c>
      <x:c r="I2407" s="12" t="n">
        <x:v>5</x:v>
      </x:c>
      <x:c r="J2407" s="12" t="n">
        <x:v>1</x:v>
      </x:c>
    </x:row>
    <x:row r="2408" ht="18" customHeight="1">
      <x:c r="A2408" s="13" t="n">
        <x:v>46199</x:v>
      </x:c>
      <x:c r="B2408" s="12" t="n">
        <x:v>4868.2205</x:v>
      </x:c>
      <x:c r="C2408" s="12" t="n">
        <x:v>5020.1038</x:v>
      </x:c>
      <x:c r="D2408" s="12" t="n">
        <x:v>-3.0255</x:v>
      </x:c>
      <x:c r="E2408" s="12" t="n">
        <x:v>-0.03072214087187831</x:v>
      </x:c>
      <x:c r="F2408" s="13" t="n">
        <x:v>46198</x:v>
      </x:c>
      <x:c r="G2408" s="12" t="n">
        <x:v>2.78</x:v>
      </x:c>
      <x:c r="H2408" s="12" t="n">
        <x:v>278</x:v>
      </x:c>
      <x:c r="I2408" s="12" t="n">
        <x:v>2</x:v>
      </x:c>
      <x:c r="J2408" s="12" t="n">
        <x:v>1</x:v>
      </x:c>
    </x:row>
    <x:row r="2409" ht="18" customHeight="1">
      <x:c r="A2409" s="13" t="n">
        <x:v>46202</x:v>
      </x:c>
      <x:c r="B2409" s="12" t="n">
        <x:v>4926.921</x:v>
      </x:c>
      <x:c r="C2409" s="12" t="n">
        <x:v>4868.2205</x:v>
      </x:c>
      <x:c r="D2409" s="12" t="n">
        <x:v>1.2058</x:v>
      </x:c>
      <x:c r="E2409" s="12" t="n">
        <x:v>0.011985779426626321</x:v>
      </x:c>
      <x:c r="F2409" s="13" t="n">
        <x:v>46199</x:v>
      </x:c>
      <x:c r="G2409" s="12" t="n">
        <x:v>2.83</x:v>
      </x:c>
      <x:c r="H2409" s="12" t="n">
        <x:v>283</x:v>
      </x:c>
      <x:c r="I2409" s="12" t="n">
        <x:v>5</x:v>
      </x:c>
      <x:c r="J2409" s="12" t="n">
        <x:v>3</x:v>
      </x:c>
    </x:row>
    <x:row r="2410" ht="18" customHeight="1">
      <x:c r="A2410" s="13" t="n">
        <x:v>46203</x:v>
      </x:c>
      <x:c r="B2410" s="12" t="n">
        <x:v>4979.4328</x:v>
      </x:c>
      <x:c r="C2410" s="12" t="n">
        <x:v>4926.921</x:v>
      </x:c>
      <x:c r="D2410" s="12" t="n">
        <x:v>1.0658</x:v>
      </x:c>
      <x:c r="E2410" s="12" t="n">
        <x:v>0.01060173963218757</x:v>
      </x:c>
      <x:c r="F2410" s="13" t="n">
        <x:v>46202</x:v>
      </x:c>
      <x:c r="G2410" s="12" t="n">
        <x:v>2.8</x:v>
      </x:c>
      <x:c r="H2410" s="12" t="n">
        <x:v>280</x:v>
      </x:c>
      <x:c r="I2410" s="12" t="n">
        <x:v>-3</x:v>
      </x:c>
      <x:c r="J2410" s="12" t="n">
        <x:v>1</x:v>
      </x:c>
    </x:row>
    <x:row r="2411" ht="18" customHeight="1">
      <x:c r="A2411" s="13" t="n">
        <x:v>46204</x:v>
      </x:c>
      <x:c r="B2411" s="12" t="n">
        <x:v>4958.9773</x:v>
      </x:c>
      <x:c r="C2411" s="12" t="n">
        <x:v>4979.4328</x:v>
      </x:c>
      <x:c r="D2411" s="12" t="n">
        <x:v>-0.4108</x:v>
      </x:c>
      <x:c r="E2411" s="12" t="n">
        <x:v>-0.004116459006911529</x:v>
      </x:c>
      <x:c r="F2411" s="13" t="n">
        <x:v>46203</x:v>
      </x:c>
      <x:c r="G2411" s="12" t="n">
        <x:v>2.75</x:v>
      </x:c>
      <x:c r="H2411" s="12" t="n">
        <x:v>275</x:v>
      </x:c>
      <x:c r="I2411" s="12" t="n">
        <x:v>-5</x:v>
      </x:c>
      <x:c r="J2411" s="12" t="n">
        <x:v>1</x:v>
      </x:c>
    </x:row>
    <x:row r="2412" ht="18" customHeight="1">
      <x:c r="A2412" s="13" t="n">
        <x:v>46205</x:v>
      </x:c>
      <x:c r="B2412" s="12" t="n">
        <x:v>4812.2957</x:v>
      </x:c>
      <x:c r="C2412" s="12" t="n">
        <x:v>4958.9773</x:v>
      </x:c>
      <x:c r="D2412" s="12" t="n">
        <x:v>-2.9579</x:v>
      </x:c>
      <x:c r="E2412" s="12" t="n">
        <x:v>-0.030025283195985117</x:v>
      </x:c>
      <x:c r="F2412" s="13" t="n">
        <x:v>46204</x:v>
      </x:c>
      <x:c r="G2412" s="12" t="n">
        <x:v>2.74</x:v>
      </x:c>
      <x:c r="H2412" s="12" t="n">
        <x:v>274</x:v>
      </x:c>
      <x:c r="I2412" s="12" t="n">
        <x:v>-1</x:v>
      </x:c>
      <x:c r="J2412" s="12" t="n">
        <x:v>1</x:v>
      </x:c>
    </x:row>
    <x:row r="2413" ht="18" customHeight="1">
      <x:c r="A2413" s="13" t="n">
        <x:v>46206</x:v>
      </x:c>
      <x:c r="B2413" s="12" t="n">
        <x:v>4842.1737</x:v>
      </x:c>
      <x:c r="C2413" s="12" t="n">
        <x:v>4812.2957</x:v>
      </x:c>
      <x:c r="D2413" s="12" t="n">
        <x:v>0.6209</x:v>
      </x:c>
      <x:c r="E2413" s="12" t="n">
        <x:v>0.006189484713631253</x:v>
      </x:c>
      <x:c r="F2413" s="13" t="n">
        <x:v>46205</x:v>
      </x:c>
      <x:c r="G2413" s="12" t="n">
        <x:v>2.75</x:v>
      </x:c>
      <x:c r="H2413" s="12" t="n">
        <x:v>275</x:v>
      </x:c>
      <x:c r="I2413" s="12" t="n">
        <x:v>1</x:v>
      </x:c>
      <x:c r="J2413" s="12" t="n">
        <x:v>1</x:v>
      </x:c>
    </x:row>
    <x:row r="2414" ht="18" customHeight="1">
      <x:c r="A2414" s="13" t="n">
        <x:v>46209</x:v>
      </x:c>
      <x:c r="B2414" s="12" t="n">
        <x:v>4841.998</x:v>
      </x:c>
      <x:c r="C2414" s="12" t="n">
        <x:v>4842.1737</x:v>
      </x:c>
      <x:c r="D2414" s="12" t="n">
        <x:v>-0.0036</x:v>
      </x:c>
      <x:c r="E2414" s="12" t="n">
        <x:v>-0.0000362860150486603</x:v>
      </x:c>
      <x:c r="F2414" s="13" t="n">
        <x:v>46206</x:v>
      </x:c>
      <x:c r="G2414" s="12" t="n">
        <x:v>2.74</x:v>
      </x:c>
      <x:c r="H2414" s="12" t="n">
        <x:v>274</x:v>
      </x:c>
      <x:c r="I2414" s="12" t="n">
        <x:v>-1</x:v>
      </x:c>
      <x:c r="J2414" s="12" t="n">
        <x:v>3</x:v>
      </x:c>
    </x:row>
    <x:row r="2415" ht="18" customHeight="1">
      <x:c r="A2415" s="13" t="n">
        <x:v>46210</x:v>
      </x:c>
      <x:c r="B2415" s="12" t="n">
        <x:v>4792.2624</x:v>
      </x:c>
      <x:c r="C2415" s="12" t="n">
        <x:v>4841.998</x:v>
      </x:c>
      <x:c r="D2415" s="12" t="n">
        <x:v>-1.0272</x:v>
      </x:c>
      <x:c r="E2415" s="12" t="n">
        <x:v>-0.010324828219453176</x:v>
      </x:c>
      <x:c r="F2415" s="13" t="n">
        <x:v>46209</x:v>
      </x:c>
      <x:c r="G2415" s="12" t="n">
        <x:v>2.72</x:v>
      </x:c>
      <x:c r="H2415" s="12" t="n">
        <x:v>272</x:v>
      </x:c>
      <x:c r="I2415" s="12" t="n">
        <x:v>-2</x:v>
      </x:c>
      <x:c r="J2415" s="12" t="n">
        <x:v>1</x:v>
      </x:c>
    </x:row>
    <x:row r="2416" ht="18" customHeight="1">
      <x:c r="A2416" s="13" t="n">
        <x:v>46211</x:v>
      </x:c>
      <x:c r="B2416" s="12" t="n">
        <x:v>4755.5338</x:v>
      </x:c>
      <x:c r="C2416" s="12" t="n">
        <x:v>4792.2624</x:v>
      </x:c>
      <x:c r="D2416" s="12" t="n">
        <x:v>-0.7664</x:v>
      </x:c>
      <x:c r="E2416" s="12" t="n">
        <x:v>-0.0076936667691582285</x:v>
      </x:c>
      <x:c r="F2416" s="13" t="n">
        <x:v>46210</x:v>
      </x:c>
      <x:c r="G2416" s="12" t="n">
        <x:v>2.67</x:v>
      </x:c>
      <x:c r="H2416" s="12" t="n">
        <x:v>267</x:v>
      </x:c>
      <x:c r="I2416" s="12" t="n">
        <x:v>-5</x:v>
      </x:c>
      <x:c r="J2416" s="12" t="n">
        <x:v>1</x:v>
      </x:c>
    </x:row>
    <x:row r="2417" ht="18" customHeight="1">
      <x:c r="A2417" s="13" t="n">
        <x:v>46212</x:v>
      </x:c>
      <x:c r="B2417" s="12" t="n">
        <x:v>4876.3125</x:v>
      </x:c>
      <x:c r="C2417" s="12" t="n">
        <x:v>4755.5338</x:v>
      </x:c>
      <x:c r="D2417" s="12" t="n">
        <x:v>2.5398</x:v>
      </x:c>
      <x:c r="E2417" s="12" t="n">
        <x:v>0.02508034850822912</x:v>
      </x:c>
      <x:c r="F2417" s="13" t="n">
        <x:v>46211</x:v>
      </x:c>
      <x:c r="G2417" s="12" t="n">
        <x:v>2.7</x:v>
      </x:c>
      <x:c r="H2417" s="12" t="n">
        <x:v>270</x:v>
      </x:c>
      <x:c r="I2417" s="12" t="n">
        <x:v>3</x:v>
      </x:c>
      <x:c r="J2417" s="12" t="n">
        <x:v>1</x:v>
      </x:c>
    </x:row>
    <x:row r="2418" ht="18" customHeight="1">
      <x:c r="A2418" s="13" t="n">
        <x:v>46213</x:v>
      </x:c>
      <x:c r="B2418" s="12" t="n">
        <x:v>4780.7867</x:v>
      </x:c>
      <x:c r="C2418" s="12" t="n">
        <x:v>4876.3125</x:v>
      </x:c>
      <x:c r="D2418" s="12" t="n">
        <x:v>-1.959</x:v>
      </x:c>
      <x:c r="E2418" s="12" t="n">
        <x:v>-0.019784184431682877</x:v>
      </x:c>
      <x:c r="F2418" s="13" t="n">
        <x:v>46212</x:v>
      </x:c>
      <x:c r="G2418" s="12" t="n">
        <x:v>2.7</x:v>
      </x:c>
      <x:c r="H2418" s="12" t="n">
        <x:v>270</x:v>
      </x:c>
      <x:c r="I2418" s="12" t="n">
        <x:v>0</x:v>
      </x:c>
      <x:c r="J2418" s="12" t="n">
        <x:v>1</x:v>
      </x:c>
    </x:row>
    <x:row r="2419" ht="18" customHeight="1">
      <x:c r="A2419" s="13" t="n">
        <x:v>46216</x:v>
      </x:c>
      <x:c r="B2419" s="12" t="n">
        <x:v>4695.383</x:v>
      </x:c>
      <x:c r="C2419" s="12" t="n">
        <x:v>4780.7867</x:v>
      </x:c>
      <x:c r="D2419" s="12" t="n">
        <x:v>-1.7864</x:v>
      </x:c>
      <x:c r="E2419" s="12" t="n">
        <x:v>-0.01802542907335032</x:v>
      </x:c>
      <x:c r="F2419" s="13" t="n">
        <x:v>46213</x:v>
      </x:c>
      <x:c r="G2419" s="12" t="n">
        <x:v>2.69</x:v>
      </x:c>
      <x:c r="H2419" s="12" t="n">
        <x:v>269</x:v>
      </x:c>
      <x:c r="I2419" s="12" t="n">
        <x:v>-1</x:v>
      </x:c>
      <x:c r="J2419" s="12" t="n">
        <x:v>3</x:v>
      </x:c>
    </x:row>
    <x:row r="2420" ht="18" customHeight="1">
      <x:c r="A2420" s="13" t="n">
        <x:v>46217</x:v>
      </x:c>
      <x:c r="B2420" s="12" t="n">
        <x:v>4796.502</x:v>
      </x:c>
      <x:c r="C2420" s="12" t="n">
        <x:v>4695.383</x:v>
      </x:c>
      <x:c r="D2420" s="12" t="n">
        <x:v>2.1536</x:v>
      </x:c>
      <x:c r="E2420" s="12" t="n">
        <x:v>0.02130721676857777</x:v>
      </x:c>
      <x:c r="F2420" s="13" t="n">
        <x:v>46216</x:v>
      </x:c>
      <x:c r="G2420" s="12" t="n">
        <x:v>2.69</x:v>
      </x:c>
      <x:c r="H2420" s="12" t="n">
        <x:v>269</x:v>
      </x:c>
      <x:c r="I2420" s="12" t="n">
        <x:v>0</x:v>
      </x:c>
      <x:c r="J2420" s="12" t="n">
        <x:v>1</x:v>
      </x:c>
    </x:row>
    <x:row r="2421" ht="18" customHeight="1">
      <x:c r="A2421" s="13" t="n">
        <x:v>46218</x:v>
      </x:c>
      <x:c r="B2421" s="12" t="n">
        <x:v>4786.7828</x:v>
      </x:c>
      <x:c r="C2421" s="12" t="n">
        <x:v>4796.502</x:v>
      </x:c>
      <x:c r="D2421" s="12" t="n">
        <x:v>-0.2026</x:v>
      </x:c>
      <x:c r="E2421" s="12" t="n">
        <x:v>-0.0020283657503912377</x:v>
      </x:c>
      <x:c r="F2421" s="13" t="n">
        <x:v>46217</x:v>
      </x:c>
      <x:c r="G2421" s="12" t="n">
        <x:v>2.72</x:v>
      </x:c>
      <x:c r="H2421" s="12" t="n">
        <x:v>272</x:v>
      </x:c>
      <x:c r="I2421" s="12" t="n">
        <x:v>3</x:v>
      </x:c>
      <x:c r="J2421" s="12" t="n">
        <x:v>1</x:v>
      </x:c>
    </x:row>
    <x:row r="2422" ht="18" customHeight="1">
      <x:c r="A2422" s="13" t="n">
        <x:v>46219</x:v>
      </x:c>
      <x:c r="B2422" s="12" t="n">
        <x:v>4698.4344</x:v>
      </x:c>
      <x:c r="C2422" s="12" t="n">
        <x:v>4786.7828</x:v>
      </x:c>
      <x:c r="D2422" s="12" t="n">
        <x:v>-1.8457</x:v>
      </x:c>
      <x:c r="E2422" s="12" t="n">
        <x:v>-0.01862918965531543</x:v>
      </x:c>
      <x:c r="F2422" s="13" t="n">
        <x:v>46218</x:v>
      </x:c>
      <x:c r="G2422" s="12" t="n">
        <x:v>2.71</x:v>
      </x:c>
      <x:c r="H2422" s="12" t="n">
        <x:v>271</x:v>
      </x:c>
      <x:c r="I2422" s="12" t="n">
        <x:v>-1</x:v>
      </x:c>
      <x:c r="J2422" s="12" t="n">
        <x:v>1</x:v>
      </x:c>
    </x:row>
    <x:row r="2423" ht="18" customHeight="1">
      <x:c r="A2423" s="13" t="n">
        <x:v>46220</x:v>
      </x:c>
      <x:c r="B2423" s="12" t="n">
        <x:v>4529.0953</x:v>
      </x:c>
      <x:c r="C2423" s="12" t="n">
        <x:v>4698.4344</x:v>
      </x:c>
      <x:c r="D2423" s="12" t="n">
        <x:v>-3.6042</x:v>
      </x:c>
      <x:c r="E2423" s="12" t="n">
        <x:v>-0.036707140315421015</x:v>
      </x:c>
      <x:c r="F2423" s="13" t="n">
        <x:v>46219</x:v>
      </x:c>
      <x:c r="G2423" s="12" t="n">
        <x:v>2.71</x:v>
      </x:c>
      <x:c r="H2423" s="12" t="n">
        <x:v>271</x:v>
      </x:c>
      <x:c r="I2423" s="12" t="n">
        <x:v>0</x:v>
      </x:c>
      <x:c r="J2423" s="12" t="n">
        <x:v>1</x:v>
      </x:c>
    </x:row>
    <x:row r="2424" ht="18" customHeight="1">
      <x:c r="A2424" s="13" t="n">
        <x:v>46223</x:v>
      </x:c>
      <x:c r="B2424" s="12" t="n">
        <x:v>4598.3208</x:v>
      </x:c>
      <x:c r="C2424" s="12" t="n">
        <x:v>4529.0953</x:v>
      </x:c>
      <x:c r="D2424" s="12" t="n">
        <x:v>1.5285</x:v>
      </x:c>
      <x:c r="E2424" s="12" t="n">
        <x:v>0.015168986846840348</x:v>
      </x:c>
      <x:c r="F2424" s="13" t="n">
        <x:v>46220</x:v>
      </x:c>
      <x:c r="G2424" s="12" t="n">
        <x:v>2.73</x:v>
      </x:c>
      <x:c r="H2424" s="12" t="n">
        <x:v>273</x:v>
      </x:c>
      <x:c r="I2424" s="12" t="n">
        <x:v>2</x:v>
      </x:c>
      <x:c r="J2424" s="12" t="n">
        <x:v>3</x:v>
      </x:c>
    </x:row>
    <x:row r="2425" ht="18" customHeight="1">
      <x:c r="A2425" s="13" t="n">
        <x:v>46224</x:v>
      </x:c>
      <x:c r="B2425" s="12" t="n">
        <x:v>4739.2287</x:v>
      </x:c>
      <x:c r="C2425" s="12" t="n">
        <x:v>4598.3208</x:v>
      </x:c>
      <x:c r="D2425" s="12" t="n">
        <x:v>3.0643</x:v>
      </x:c>
      <x:c r="E2425" s="12" t="n">
        <x:v>0.0301832075752162</x:v>
      </x:c>
      <x:c r="F2425" s="13" t="n">
        <x:v>46223</x:v>
      </x:c>
      <x:c r="G2425" s="12" t="n">
        <x:v>2.69</x:v>
      </x:c>
      <x:c r="H2425" s="12" t="n">
        <x:v>269</x:v>
      </x:c>
      <x:c r="I2425" s="12" t="n">
        <x:v>-4</x:v>
      </x:c>
      <x:c r="J2425" s="12" t="n">
        <x:v>1</x:v>
      </x:c>
    </x:row>
    <x:row r="2426" ht="18" customHeight="1">
      <x:c r="A2426" s="13" t="n">
        <x:v>46225</x:v>
      </x:c>
      <x:c r="B2426" s="12" t="n">
        <x:v>4717.2442</x:v>
      </x:c>
      <x:c r="C2426" s="12" t="n">
        <x:v>4739.2287</x:v>
      </x:c>
      <x:c r="D2426" s="12" t="n">
        <x:v>-0.4639</x:v>
      </x:c>
      <x:c r="E2426" s="12" t="n">
        <x:v>-0.004649627792401307</x:v>
      </x:c>
      <x:c r="F2426" s="13" t="n">
        <x:v>46224</x:v>
      </x:c>
      <x:c r="G2426" s="12" t="n">
        <x:v>2.69</x:v>
      </x:c>
      <x:c r="H2426" s="12" t="n">
        <x:v>269</x:v>
      </x:c>
      <x:c r="I2426" s="12" t="n">
        <x:v>0</x:v>
      </x:c>
      <x:c r="J2426" s="12" t="n">
        <x:v>1</x:v>
      </x:c>
    </x:row>
    <x:row r="2427" ht="18" customHeight="1">
      <x:c r="A2427" s="13" t="n">
        <x:v>46226</x:v>
      </x:c>
      <x:c r="B2427" s="12" t="n">
        <x:v>4728.0018</x:v>
      </x:c>
      <x:c r="C2427" s="12" t="n">
        <x:v>4717.2442</x:v>
      </x:c>
      <x:c r="D2427" s="12" t="n">
        <x:v>0.228</x:v>
      </x:c>
      <x:c r="E2427" s="12" t="n">
        <x:v>0.002277887659370913</x:v>
      </x:c>
      <x:c r="F2427" s="13" t="n">
        <x:v>46225</x:v>
      </x:c>
      <x:c r="G2427" s="12" t="n">
        <x:v>2.68</x:v>
      </x:c>
      <x:c r="H2427" s="12" t="n">
        <x:v>268</x:v>
      </x:c>
      <x:c r="I2427" s="12" t="n">
        <x:v>-1</x:v>
      </x:c>
      <x:c r="J2427" s="12" t="n">
        <x:v>1</x:v>
      </x:c>
    </x:row>
    <x:row r="2428" ht="18" customHeight="1">
      <x:c r="A2428" s="13" t="n">
        <x:v>46227</x:v>
      </x:c>
      <x:c r="B2428" s="12" t="n">
        <x:v>4649.1917</x:v>
      </x:c>
      <x:c r="C2428" s="12" t="n">
        <x:v>4728.0018</x:v>
      </x:c>
      <x:c r="D2428" s="12" t="n">
        <x:v>-1.6669</x:v>
      </x:c>
      <x:c r="E2428" s="12" t="n">
        <x:v>-0.016809284281939053</x:v>
      </x:c>
      <x:c r="F2428" s="13" t="n">
        <x:v>46226</x:v>
      </x:c>
      <x:c r="G2428" s="12" t="n">
        <x:v>2.77</x:v>
      </x:c>
      <x:c r="H2428" s="12" t="n">
        <x:v>277</x:v>
      </x:c>
      <x:c r="I2428" s="12" t="n">
        <x:v>9</x:v>
      </x:c>
      <x:c r="J2428" s="12" t="n">
        <x:v>1</x:v>
      </x:c>
    </x:row>
  </x:sheetData>
  <x:pageMargins left="0.7" right="0.7" top="0.75" bottom="0.75" header="0.3" footer="0.3"/>
  <x:tableParts count="1">
    <x:tablePart xmlns:r="http://schemas.openxmlformats.org/officeDocument/2006/relationships" r:id="Raecf1688d040470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9" hidden="0" customWidth="1"/>
    <x:col min="2" max="2" width="12.329999923706055" hidden="0" customWidth="1"/>
    <x:col min="3" max="3" width="9.220000267028809" hidden="0" customWidth="1"/>
    <x:col min="4" max="4" width="15.779999732971191" hidden="0" customWidth="1"/>
    <x:col min="5" max="5" width="24" hidden="0" customWidth="1"/>
  </x:cols>
  <x:sheetData>
    <x:row r="1" ht="30" customHeight="1">
      <x:c r="A1" s="9" t="str">
        <x:v>date</x:v>
      </x:c>
      <x:c r="B1" s="10" t="str">
        <x:v>oas_percent</x:v>
      </x:c>
      <x:c r="C1" s="10" t="str">
        <x:v>oas_bps</x:v>
      </x:c>
      <x:c r="D1" s="10" t="str">
        <x:v>oas_change_bps</x:v>
      </x:c>
      <x:c r="E1" s="11" t="str">
        <x:v>source</x:v>
      </x:c>
    </x:row>
    <x:row r="2" ht="18" customHeight="1">
      <x:c r="A2" s="13" t="n">
        <x:v>42577</x:v>
      </x:c>
      <x:c r="B2" s="12" t="n">
        <x:v>5.45</x:v>
      </x:c>
      <x:c r="C2" s="12" t="n">
        <x:v>545</x:v>
      </x:c>
      <x:c r="D2" s="12"/>
      <x:c r="E2" s="12" t="str">
        <x:v>Archived FRED mirror (Hugging Face)</x:v>
      </x:c>
    </x:row>
    <x:row r="3" ht="18" customHeight="1">
      <x:c r="A3" s="13" t="n">
        <x:v>42578</x:v>
      </x:c>
      <x:c r="B3" s="12" t="n">
        <x:v>5.51</x:v>
      </x:c>
      <x:c r="C3" s="12" t="n">
        <x:v>551</x:v>
      </x:c>
      <x:c r="D3" s="12" t="n">
        <x:v>6</x:v>
      </x:c>
      <x:c r="E3" s="12" t="str">
        <x:v>Archived FRED mirror (Hugging Face)</x:v>
      </x:c>
    </x:row>
    <x:row r="4" ht="18" customHeight="1">
      <x:c r="A4" s="13" t="n">
        <x:v>42579</x:v>
      </x:c>
      <x:c r="B4" s="12" t="n">
        <x:v>5.54</x:v>
      </x:c>
      <x:c r="C4" s="12" t="n">
        <x:v>554</x:v>
      </x:c>
      <x:c r="D4" s="12" t="n">
        <x:v>3</x:v>
      </x:c>
      <x:c r="E4" s="12" t="str">
        <x:v>Archived FRED mirror (Hugging Face)</x:v>
      </x:c>
    </x:row>
    <x:row r="5" ht="18" customHeight="1">
      <x:c r="A5" s="13" t="n">
        <x:v>42580</x:v>
      </x:c>
      <x:c r="B5" s="12" t="n">
        <x:v>5.61</x:v>
      </x:c>
      <x:c r="C5" s="12" t="n">
        <x:v>561</x:v>
      </x:c>
      <x:c r="D5" s="12" t="n">
        <x:v>7</x:v>
      </x:c>
      <x:c r="E5" s="12" t="str">
        <x:v>Archived FRED mirror (Hugging Face)</x:v>
      </x:c>
    </x:row>
    <x:row r="6" ht="18" customHeight="1">
      <x:c r="A6" s="13" t="n">
        <x:v>42582</x:v>
      </x:c>
      <x:c r="B6" s="12" t="n">
        <x:v>5.69</x:v>
      </x:c>
      <x:c r="C6" s="12" t="n">
        <x:v>569</x:v>
      </x:c>
      <x:c r="D6" s="12" t="n">
        <x:v>8</x:v>
      </x:c>
      <x:c r="E6" s="12" t="str">
        <x:v>Archived FRED mirror (Hugging Face)</x:v>
      </x:c>
    </x:row>
    <x:row r="7" ht="18" customHeight="1">
      <x:c r="A7" s="13" t="n">
        <x:v>42583</x:v>
      </x:c>
      <x:c r="B7" s="12" t="n">
        <x:v>5.69</x:v>
      </x:c>
      <x:c r="C7" s="12" t="n">
        <x:v>569</x:v>
      </x:c>
      <x:c r="D7" s="12" t="n">
        <x:v>0</x:v>
      </x:c>
      <x:c r="E7" s="12" t="str">
        <x:v>Archived FRED mirror (Hugging Face)</x:v>
      </x:c>
    </x:row>
    <x:row r="8" ht="18" customHeight="1">
      <x:c r="A8" s="13" t="n">
        <x:v>42584</x:v>
      </x:c>
      <x:c r="B8" s="12" t="n">
        <x:v>5.73</x:v>
      </x:c>
      <x:c r="C8" s="12" t="n">
        <x:v>573</x:v>
      </x:c>
      <x:c r="D8" s="12" t="n">
        <x:v>4</x:v>
      </x:c>
      <x:c r="E8" s="12" t="str">
        <x:v>Archived FRED mirror (Hugging Face)</x:v>
      </x:c>
    </x:row>
    <x:row r="9" ht="18" customHeight="1">
      <x:c r="A9" s="13" t="n">
        <x:v>42585</x:v>
      </x:c>
      <x:c r="B9" s="12" t="n">
        <x:v>5.72</x:v>
      </x:c>
      <x:c r="C9" s="12" t="n">
        <x:v>572</x:v>
      </x:c>
      <x:c r="D9" s="12" t="n">
        <x:v>-1</x:v>
      </x:c>
      <x:c r="E9" s="12" t="str">
        <x:v>Archived FRED mirror (Hugging Face)</x:v>
      </x:c>
    </x:row>
    <x:row r="10" ht="18" customHeight="1">
      <x:c r="A10" s="13" t="n">
        <x:v>42586</x:v>
      </x:c>
      <x:c r="B10" s="12" t="n">
        <x:v>5.65</x:v>
      </x:c>
      <x:c r="C10" s="12" t="n">
        <x:v>565</x:v>
      </x:c>
      <x:c r="D10" s="12" t="n">
        <x:v>-7</x:v>
      </x:c>
      <x:c r="E10" s="12" t="str">
        <x:v>Archived FRED mirror (Hugging Face)</x:v>
      </x:c>
    </x:row>
    <x:row r="11" ht="18" customHeight="1">
      <x:c r="A11" s="13" t="n">
        <x:v>42587</x:v>
      </x:c>
      <x:c r="B11" s="12" t="n">
        <x:v>5.46</x:v>
      </x:c>
      <x:c r="C11" s="12" t="n">
        <x:v>546</x:v>
      </x:c>
      <x:c r="D11" s="12" t="n">
        <x:v>-19</x:v>
      </x:c>
      <x:c r="E11" s="12" t="str">
        <x:v>Archived FRED mirror (Hugging Face)</x:v>
      </x:c>
    </x:row>
    <x:row r="12" ht="18" customHeight="1">
      <x:c r="A12" s="13" t="n">
        <x:v>42590</x:v>
      </x:c>
      <x:c r="B12" s="12" t="n">
        <x:v>5.42</x:v>
      </x:c>
      <x:c r="C12" s="12" t="n">
        <x:v>542</x:v>
      </x:c>
      <x:c r="D12" s="12" t="n">
        <x:v>-4</x:v>
      </x:c>
      <x:c r="E12" s="12" t="str">
        <x:v>Archived FRED mirror (Hugging Face)</x:v>
      </x:c>
    </x:row>
    <x:row r="13" ht="18" customHeight="1">
      <x:c r="A13" s="13" t="n">
        <x:v>42591</x:v>
      </x:c>
      <x:c r="B13" s="12" t="n">
        <x:v>5.36</x:v>
      </x:c>
      <x:c r="C13" s="12" t="n">
        <x:v>536</x:v>
      </x:c>
      <x:c r="D13" s="12" t="n">
        <x:v>-6</x:v>
      </x:c>
      <x:c r="E13" s="12" t="str">
        <x:v>Archived FRED mirror (Hugging Face)</x:v>
      </x:c>
    </x:row>
    <x:row r="14" ht="18" customHeight="1">
      <x:c r="A14" s="13" t="n">
        <x:v>42592</x:v>
      </x:c>
      <x:c r="B14" s="12" t="n">
        <x:v>5.38</x:v>
      </x:c>
      <x:c r="C14" s="12" t="n">
        <x:v>538</x:v>
      </x:c>
      <x:c r="D14" s="12" t="n">
        <x:v>2</x:v>
      </x:c>
      <x:c r="E14" s="12" t="str">
        <x:v>Archived FRED mirror (Hugging Face)</x:v>
      </x:c>
    </x:row>
    <x:row r="15" ht="18" customHeight="1">
      <x:c r="A15" s="13" t="n">
        <x:v>42593</x:v>
      </x:c>
      <x:c r="B15" s="12" t="n">
        <x:v>5.31</x:v>
      </x:c>
      <x:c r="C15" s="12" t="n">
        <x:v>531</x:v>
      </x:c>
      <x:c r="D15" s="12" t="n">
        <x:v>-7</x:v>
      </x:c>
      <x:c r="E15" s="12" t="str">
        <x:v>Archived FRED mirror (Hugging Face)</x:v>
      </x:c>
    </x:row>
    <x:row r="16" ht="18" customHeight="1">
      <x:c r="A16" s="13" t="n">
        <x:v>42594</x:v>
      </x:c>
      <x:c r="B16" s="12" t="n">
        <x:v>5.34</x:v>
      </x:c>
      <x:c r="C16" s="12" t="n">
        <x:v>534</x:v>
      </x:c>
      <x:c r="D16" s="12" t="n">
        <x:v>3</x:v>
      </x:c>
      <x:c r="E16" s="12" t="str">
        <x:v>Archived FRED mirror (Hugging Face)</x:v>
      </x:c>
    </x:row>
    <x:row r="17" ht="18" customHeight="1">
      <x:c r="A17" s="13" t="n">
        <x:v>42597</x:v>
      </x:c>
      <x:c r="B17" s="12" t="n">
        <x:v>5.23</x:v>
      </x:c>
      <x:c r="C17" s="12" t="n">
        <x:v>523</x:v>
      </x:c>
      <x:c r="D17" s="12" t="n">
        <x:v>-11</x:v>
      </x:c>
      <x:c r="E17" s="12" t="str">
        <x:v>Archived FRED mirror (Hugging Face)</x:v>
      </x:c>
    </x:row>
    <x:row r="18" ht="18" customHeight="1">
      <x:c r="A18" s="13" t="n">
        <x:v>42598</x:v>
      </x:c>
      <x:c r="B18" s="12" t="n">
        <x:v>5.17</x:v>
      </x:c>
      <x:c r="C18" s="12" t="n">
        <x:v>517</x:v>
      </x:c>
      <x:c r="D18" s="12" t="n">
        <x:v>-6</x:v>
      </x:c>
      <x:c r="E18" s="12" t="str">
        <x:v>Archived FRED mirror (Hugging Face)</x:v>
      </x:c>
    </x:row>
    <x:row r="19" ht="18" customHeight="1">
      <x:c r="A19" s="13" t="n">
        <x:v>42599</x:v>
      </x:c>
      <x:c r="B19" s="12" t="n">
        <x:v>5.19</x:v>
      </x:c>
      <x:c r="C19" s="12" t="n">
        <x:v>519</x:v>
      </x:c>
      <x:c r="D19" s="12" t="n">
        <x:v>2</x:v>
      </x:c>
      <x:c r="E19" s="12" t="str">
        <x:v>Archived FRED mirror (Hugging Face)</x:v>
      </x:c>
    </x:row>
    <x:row r="20" ht="18" customHeight="1">
      <x:c r="A20" s="13" t="n">
        <x:v>42600</x:v>
      </x:c>
      <x:c r="B20" s="12" t="n">
        <x:v>5.2</x:v>
      </x:c>
      <x:c r="C20" s="12" t="n">
        <x:v>520</x:v>
      </x:c>
      <x:c r="D20" s="12" t="n">
        <x:v>1</x:v>
      </x:c>
      <x:c r="E20" s="12" t="str">
        <x:v>Archived FRED mirror (Hugging Face)</x:v>
      </x:c>
    </x:row>
    <x:row r="21" ht="18" customHeight="1">
      <x:c r="A21" s="13" t="n">
        <x:v>42601</x:v>
      </x:c>
      <x:c r="B21" s="12" t="n">
        <x:v>5.15</x:v>
      </x:c>
      <x:c r="C21" s="12" t="n">
        <x:v>515</x:v>
      </x:c>
      <x:c r="D21" s="12" t="n">
        <x:v>-5</x:v>
      </x:c>
      <x:c r="E21" s="12" t="str">
        <x:v>Archived FRED mirror (Hugging Face)</x:v>
      </x:c>
    </x:row>
    <x:row r="22" ht="18" customHeight="1">
      <x:c r="A22" s="13" t="n">
        <x:v>42604</x:v>
      </x:c>
      <x:c r="B22" s="12" t="n">
        <x:v>5.18</x:v>
      </x:c>
      <x:c r="C22" s="12" t="n">
        <x:v>518</x:v>
      </x:c>
      <x:c r="D22" s="12" t="n">
        <x:v>3</x:v>
      </x:c>
      <x:c r="E22" s="12" t="str">
        <x:v>Archived FRED mirror (Hugging Face)</x:v>
      </x:c>
    </x:row>
    <x:row r="23" ht="18" customHeight="1">
      <x:c r="A23" s="13" t="n">
        <x:v>42605</x:v>
      </x:c>
      <x:c r="B23" s="12" t="n">
        <x:v>5.14</x:v>
      </x:c>
      <x:c r="C23" s="12" t="n">
        <x:v>514</x:v>
      </x:c>
      <x:c r="D23" s="12" t="n">
        <x:v>-4</x:v>
      </x:c>
      <x:c r="E23" s="12" t="str">
        <x:v>Archived FRED mirror (Hugging Face)</x:v>
      </x:c>
    </x:row>
    <x:row r="24" ht="18" customHeight="1">
      <x:c r="A24" s="13" t="n">
        <x:v>42606</x:v>
      </x:c>
      <x:c r="B24" s="12" t="n">
        <x:v>5.13</x:v>
      </x:c>
      <x:c r="C24" s="12" t="n">
        <x:v>513</x:v>
      </x:c>
      <x:c r="D24" s="12" t="n">
        <x:v>-1</x:v>
      </x:c>
      <x:c r="E24" s="12" t="str">
        <x:v>Archived FRED mirror (Hugging Face)</x:v>
      </x:c>
    </x:row>
    <x:row r="25" ht="18" customHeight="1">
      <x:c r="A25" s="13" t="n">
        <x:v>42607</x:v>
      </x:c>
      <x:c r="B25" s="12" t="n">
        <x:v>5.14</x:v>
      </x:c>
      <x:c r="C25" s="12" t="n">
        <x:v>514</x:v>
      </x:c>
      <x:c r="D25" s="12" t="n">
        <x:v>1</x:v>
      </x:c>
      <x:c r="E25" s="12" t="str">
        <x:v>Archived FRED mirror (Hugging Face)</x:v>
      </x:c>
    </x:row>
    <x:row r="26" ht="18" customHeight="1">
      <x:c r="A26" s="13" t="n">
        <x:v>42608</x:v>
      </x:c>
      <x:c r="B26" s="12" t="n">
        <x:v>5.04</x:v>
      </x:c>
      <x:c r="C26" s="12" t="n">
        <x:v>504</x:v>
      </x:c>
      <x:c r="D26" s="12" t="n">
        <x:v>-10</x:v>
      </x:c>
      <x:c r="E26" s="12" t="str">
        <x:v>Archived FRED mirror (Hugging Face)</x:v>
      </x:c>
    </x:row>
    <x:row r="27" ht="18" customHeight="1">
      <x:c r="A27" s="13" t="n">
        <x:v>42611</x:v>
      </x:c>
      <x:c r="B27" s="12" t="n">
        <x:v>5.1</x:v>
      </x:c>
      <x:c r="C27" s="12" t="n">
        <x:v>509.99999999999994</x:v>
      </x:c>
      <x:c r="D27" s="12" t="n">
        <x:v>5.999999999999943</x:v>
      </x:c>
      <x:c r="E27" s="12" t="str">
        <x:v>Archived FRED mirror (Hugging Face)</x:v>
      </x:c>
    </x:row>
    <x:row r="28" ht="18" customHeight="1">
      <x:c r="A28" s="13" t="n">
        <x:v>42612</x:v>
      </x:c>
      <x:c r="B28" s="12" t="n">
        <x:v>5.07</x:v>
      </x:c>
      <x:c r="C28" s="12" t="n">
        <x:v>507</x:v>
      </x:c>
      <x:c r="D28" s="12" t="n">
        <x:v>-2.999999999999943</x:v>
      </x:c>
      <x:c r="E28" s="12" t="str">
        <x:v>Archived FRED mirror (Hugging Face)</x:v>
      </x:c>
    </x:row>
    <x:row r="29" ht="18" customHeight="1">
      <x:c r="A29" s="13" t="n">
        <x:v>42613</x:v>
      </x:c>
      <x:c r="B29" s="12" t="n">
        <x:v>5.1</x:v>
      </x:c>
      <x:c r="C29" s="12" t="n">
        <x:v>509.99999999999994</x:v>
      </x:c>
      <x:c r="D29" s="12" t="n">
        <x:v>2.999999999999943</x:v>
      </x:c>
      <x:c r="E29" s="12" t="str">
        <x:v>Archived FRED mirror (Hugging Face)</x:v>
      </x:c>
    </x:row>
    <x:row r="30" ht="18" customHeight="1">
      <x:c r="A30" s="13" t="n">
        <x:v>42614</x:v>
      </x:c>
      <x:c r="B30" s="12" t="n">
        <x:v>5.12</x:v>
      </x:c>
      <x:c r="C30" s="12" t="n">
        <x:v>512</x:v>
      </x:c>
      <x:c r="D30" s="12" t="n">
        <x:v>2.000000000000057</x:v>
      </x:c>
      <x:c r="E30" s="12" t="str">
        <x:v>Archived FRED mirror (Hugging Face)</x:v>
      </x:c>
    </x:row>
    <x:row r="31" ht="18" customHeight="1">
      <x:c r="A31" s="13" t="n">
        <x:v>42615</x:v>
      </x:c>
      <x:c r="B31" s="12" t="n">
        <x:v>5.09</x:v>
      </x:c>
      <x:c r="C31" s="12" t="n">
        <x:v>509</x:v>
      </x:c>
      <x:c r="D31" s="12" t="n">
        <x:v>-3</x:v>
      </x:c>
      <x:c r="E31" s="12" t="str">
        <x:v>Archived FRED mirror (Hugging Face)</x:v>
      </x:c>
    </x:row>
    <x:row r="32" ht="18" customHeight="1">
      <x:c r="A32" s="13" t="n">
        <x:v>42618</x:v>
      </x:c>
      <x:c r="B32" s="12" t="n">
        <x:v>5.09</x:v>
      </x:c>
      <x:c r="C32" s="12" t="n">
        <x:v>509</x:v>
      </x:c>
      <x:c r="D32" s="12" t="n">
        <x:v>0</x:v>
      </x:c>
      <x:c r="E32" s="12" t="str">
        <x:v>Archived FRED mirror (Hugging Face)</x:v>
      </x:c>
    </x:row>
    <x:row r="33" ht="18" customHeight="1">
      <x:c r="A33" s="13" t="n">
        <x:v>42619</x:v>
      </x:c>
      <x:c r="B33" s="12" t="n">
        <x:v>5.09</x:v>
      </x:c>
      <x:c r="C33" s="12" t="n">
        <x:v>509</x:v>
      </x:c>
      <x:c r="D33" s="12" t="n">
        <x:v>0</x:v>
      </x:c>
      <x:c r="E33" s="12" t="str">
        <x:v>Archived FRED mirror (Hugging Face)</x:v>
      </x:c>
    </x:row>
    <x:row r="34" ht="18" customHeight="1">
      <x:c r="A34" s="13" t="n">
        <x:v>42620</x:v>
      </x:c>
      <x:c r="B34" s="12" t="n">
        <x:v>5.07</x:v>
      </x:c>
      <x:c r="C34" s="12" t="n">
        <x:v>507</x:v>
      </x:c>
      <x:c r="D34" s="12" t="n">
        <x:v>-2</x:v>
      </x:c>
      <x:c r="E34" s="12" t="str">
        <x:v>Archived FRED mirror (Hugging Face)</x:v>
      </x:c>
    </x:row>
    <x:row r="35" ht="18" customHeight="1">
      <x:c r="A35" s="13" t="n">
        <x:v>42621</x:v>
      </x:c>
      <x:c r="B35" s="12" t="n">
        <x:v>4.99</x:v>
      </x:c>
      <x:c r="C35" s="12" t="n">
        <x:v>499</x:v>
      </x:c>
      <x:c r="D35" s="12" t="n">
        <x:v>-8</x:v>
      </x:c>
      <x:c r="E35" s="12" t="str">
        <x:v>Archived FRED mirror (Hugging Face)</x:v>
      </x:c>
    </x:row>
    <x:row r="36" ht="18" customHeight="1">
      <x:c r="A36" s="13" t="n">
        <x:v>42622</x:v>
      </x:c>
      <x:c r="B36" s="12" t="n">
        <x:v>5.1</x:v>
      </x:c>
      <x:c r="C36" s="12" t="n">
        <x:v>509.99999999999994</x:v>
      </x:c>
      <x:c r="D36" s="12" t="n">
        <x:v>10.999999999999943</x:v>
      </x:c>
      <x:c r="E36" s="12" t="str">
        <x:v>Archived FRED mirror (Hugging Face)</x:v>
      </x:c>
    </x:row>
    <x:row r="37" ht="18" customHeight="1">
      <x:c r="A37" s="13" t="n">
        <x:v>42625</x:v>
      </x:c>
      <x:c r="B37" s="12" t="n">
        <x:v>5.18</x:v>
      </x:c>
      <x:c r="C37" s="12" t="n">
        <x:v>518</x:v>
      </x:c>
      <x:c r="D37" s="12" t="n">
        <x:v>8.000000000000057</x:v>
      </x:c>
      <x:c r="E37" s="12" t="str">
        <x:v>Archived FRED mirror (Hugging Face)</x:v>
      </x:c>
    </x:row>
    <x:row r="38" ht="18" customHeight="1">
      <x:c r="A38" s="13" t="n">
        <x:v>42626</x:v>
      </x:c>
      <x:c r="B38" s="12" t="n">
        <x:v>5.24</x:v>
      </x:c>
      <x:c r="C38" s="12" t="n">
        <x:v>524</x:v>
      </x:c>
      <x:c r="D38" s="12" t="n">
        <x:v>6</x:v>
      </x:c>
      <x:c r="E38" s="12" t="str">
        <x:v>Archived FRED mirror (Hugging Face)</x:v>
      </x:c>
    </x:row>
    <x:row r="39" ht="18" customHeight="1">
      <x:c r="A39" s="13" t="n">
        <x:v>42627</x:v>
      </x:c>
      <x:c r="B39" s="12" t="n">
        <x:v>5.26</x:v>
      </x:c>
      <x:c r="C39" s="12" t="n">
        <x:v>526</x:v>
      </x:c>
      <x:c r="D39" s="12" t="n">
        <x:v>2</x:v>
      </x:c>
      <x:c r="E39" s="12" t="str">
        <x:v>Archived FRED mirror (Hugging Face)</x:v>
      </x:c>
    </x:row>
    <x:row r="40" ht="18" customHeight="1">
      <x:c r="A40" s="13" t="n">
        <x:v>42628</x:v>
      </x:c>
      <x:c r="B40" s="12" t="n">
        <x:v>5.26</x:v>
      </x:c>
      <x:c r="C40" s="12" t="n">
        <x:v>526</x:v>
      </x:c>
      <x:c r="D40" s="12" t="n">
        <x:v>0</x:v>
      </x:c>
      <x:c r="E40" s="12" t="str">
        <x:v>Archived FRED mirror (Hugging Face)</x:v>
      </x:c>
    </x:row>
    <x:row r="41" ht="18" customHeight="1">
      <x:c r="A41" s="13" t="n">
        <x:v>42629</x:v>
      </x:c>
      <x:c r="B41" s="12" t="n">
        <x:v>5.27</x:v>
      </x:c>
      <x:c r="C41" s="12" t="n">
        <x:v>527</x:v>
      </x:c>
      <x:c r="D41" s="12" t="n">
        <x:v>1</x:v>
      </x:c>
      <x:c r="E41" s="12" t="str">
        <x:v>Archived FRED mirror (Hugging Face)</x:v>
      </x:c>
    </x:row>
    <x:row r="42" ht="18" customHeight="1">
      <x:c r="A42" s="13" t="n">
        <x:v>42632</x:v>
      </x:c>
      <x:c r="B42" s="12" t="n">
        <x:v>5.25</x:v>
      </x:c>
      <x:c r="C42" s="12" t="n">
        <x:v>525</x:v>
      </x:c>
      <x:c r="D42" s="12" t="n">
        <x:v>-2</x:v>
      </x:c>
      <x:c r="E42" s="12" t="str">
        <x:v>Archived FRED mirror (Hugging Face)</x:v>
      </x:c>
    </x:row>
    <x:row r="43" ht="18" customHeight="1">
      <x:c r="A43" s="13" t="n">
        <x:v>42633</x:v>
      </x:c>
      <x:c r="B43" s="12" t="n">
        <x:v>5.24</x:v>
      </x:c>
      <x:c r="C43" s="12" t="n">
        <x:v>524</x:v>
      </x:c>
      <x:c r="D43" s="12" t="n">
        <x:v>-1</x:v>
      </x:c>
      <x:c r="E43" s="12" t="str">
        <x:v>Archived FRED mirror (Hugging Face)</x:v>
      </x:c>
    </x:row>
    <x:row r="44" ht="18" customHeight="1">
      <x:c r="A44" s="13" t="n">
        <x:v>42634</x:v>
      </x:c>
      <x:c r="B44" s="12" t="n">
        <x:v>5.22</x:v>
      </x:c>
      <x:c r="C44" s="12" t="n">
        <x:v>522</x:v>
      </x:c>
      <x:c r="D44" s="12" t="n">
        <x:v>-2</x:v>
      </x:c>
      <x:c r="E44" s="12" t="str">
        <x:v>Archived FRED mirror (Hugging Face)</x:v>
      </x:c>
    </x:row>
    <x:row r="45" ht="18" customHeight="1">
      <x:c r="A45" s="13" t="n">
        <x:v>42635</x:v>
      </x:c>
      <x:c r="B45" s="12" t="n">
        <x:v>5.09</x:v>
      </x:c>
      <x:c r="C45" s="12" t="n">
        <x:v>509</x:v>
      </x:c>
      <x:c r="D45" s="12" t="n">
        <x:v>-13</x:v>
      </x:c>
      <x:c r="E45" s="12" t="str">
        <x:v>Archived FRED mirror (Hugging Face)</x:v>
      </x:c>
    </x:row>
    <x:row r="46" ht="18" customHeight="1">
      <x:c r="A46" s="13" t="n">
        <x:v>42636</x:v>
      </x:c>
      <x:c r="B46" s="12" t="n">
        <x:v>5.1</x:v>
      </x:c>
      <x:c r="C46" s="12" t="n">
        <x:v>509.99999999999994</x:v>
      </x:c>
      <x:c r="D46" s="12" t="n">
        <x:v>0.9999999999999432</x:v>
      </x:c>
      <x:c r="E46" s="12" t="str">
        <x:v>Archived FRED mirror (Hugging Face)</x:v>
      </x:c>
    </x:row>
    <x:row r="47" ht="18" customHeight="1">
      <x:c r="A47" s="13" t="n">
        <x:v>42639</x:v>
      </x:c>
      <x:c r="B47" s="12" t="n">
        <x:v>5.16</x:v>
      </x:c>
      <x:c r="C47" s="12" t="n">
        <x:v>516</x:v>
      </x:c>
      <x:c r="D47" s="12" t="n">
        <x:v>6.000000000000057</x:v>
      </x:c>
      <x:c r="E47" s="12" t="str">
        <x:v>Archived FRED mirror (Hugging Face)</x:v>
      </x:c>
    </x:row>
    <x:row r="48" ht="18" customHeight="1">
      <x:c r="A48" s="13" t="n">
        <x:v>42640</x:v>
      </x:c>
      <x:c r="B48" s="12" t="n">
        <x:v>5.18</x:v>
      </x:c>
      <x:c r="C48" s="12" t="n">
        <x:v>518</x:v>
      </x:c>
      <x:c r="D48" s="12" t="n">
        <x:v>2</x:v>
      </x:c>
      <x:c r="E48" s="12" t="str">
        <x:v>Archived FRED mirror (Hugging Face)</x:v>
      </x:c>
    </x:row>
    <x:row r="49" ht="18" customHeight="1">
      <x:c r="A49" s="13" t="n">
        <x:v>42641</x:v>
      </x:c>
      <x:c r="B49" s="12" t="n">
        <x:v>5.14</x:v>
      </x:c>
      <x:c r="C49" s="12" t="n">
        <x:v>514</x:v>
      </x:c>
      <x:c r="D49" s="12" t="n">
        <x:v>-4</x:v>
      </x:c>
      <x:c r="E49" s="12" t="str">
        <x:v>Archived FRED mirror (Hugging Face)</x:v>
      </x:c>
    </x:row>
    <x:row r="50" ht="18" customHeight="1">
      <x:c r="A50" s="13" t="n">
        <x:v>42642</x:v>
      </x:c>
      <x:c r="B50" s="12" t="n">
        <x:v>5.09</x:v>
      </x:c>
      <x:c r="C50" s="12" t="n">
        <x:v>509</x:v>
      </x:c>
      <x:c r="D50" s="12" t="n">
        <x:v>-5</x:v>
      </x:c>
      <x:c r="E50" s="12" t="str">
        <x:v>Archived FRED mirror (Hugging Face)</x:v>
      </x:c>
    </x:row>
    <x:row r="51" ht="18" customHeight="1">
      <x:c r="A51" s="13" t="n">
        <x:v>42643</x:v>
      </x:c>
      <x:c r="B51" s="12" t="n">
        <x:v>4.97</x:v>
      </x:c>
      <x:c r="C51" s="12" t="n">
        <x:v>497</x:v>
      </x:c>
      <x:c r="D51" s="12" t="n">
        <x:v>-12</x:v>
      </x:c>
      <x:c r="E51" s="12" t="str">
        <x:v>Archived FRED mirror (Hugging Face)</x:v>
      </x:c>
    </x:row>
    <x:row r="52" ht="18" customHeight="1">
      <x:c r="A52" s="13" t="n">
        <x:v>42646</x:v>
      </x:c>
      <x:c r="B52" s="12" t="n">
        <x:v>4.93</x:v>
      </x:c>
      <x:c r="C52" s="12" t="n">
        <x:v>493</x:v>
      </x:c>
      <x:c r="D52" s="12" t="n">
        <x:v>-4</x:v>
      </x:c>
      <x:c r="E52" s="12" t="str">
        <x:v>Archived FRED mirror (Hugging Face)</x:v>
      </x:c>
    </x:row>
    <x:row r="53" ht="18" customHeight="1">
      <x:c r="A53" s="13" t="n">
        <x:v>42647</x:v>
      </x:c>
      <x:c r="B53" s="12" t="n">
        <x:v>4.85</x:v>
      </x:c>
      <x:c r="C53" s="12" t="n">
        <x:v>484.99999999999994</x:v>
      </x:c>
      <x:c r="D53" s="12" t="n">
        <x:v>-8.000000000000057</x:v>
      </x:c>
      <x:c r="E53" s="12" t="str">
        <x:v>Archived FRED mirror (Hugging Face)</x:v>
      </x:c>
    </x:row>
    <x:row r="54" ht="18" customHeight="1">
      <x:c r="A54" s="13" t="n">
        <x:v>42648</x:v>
      </x:c>
      <x:c r="B54" s="12" t="n">
        <x:v>4.78</x:v>
      </x:c>
      <x:c r="C54" s="12" t="n">
        <x:v>478</x:v>
      </x:c>
      <x:c r="D54" s="12" t="n">
        <x:v>-6.999999999999943</x:v>
      </x:c>
      <x:c r="E54" s="12" t="str">
        <x:v>Archived FRED mirror (Hugging Face)</x:v>
      </x:c>
    </x:row>
    <x:row r="55" ht="18" customHeight="1">
      <x:c r="A55" s="13" t="n">
        <x:v>42649</x:v>
      </x:c>
      <x:c r="B55" s="12" t="n">
        <x:v>4.75</x:v>
      </x:c>
      <x:c r="C55" s="12" t="n">
        <x:v>475</x:v>
      </x:c>
      <x:c r="D55" s="12" t="n">
        <x:v>-3</x:v>
      </x:c>
      <x:c r="E55" s="12" t="str">
        <x:v>Archived FRED mirror (Hugging Face)</x:v>
      </x:c>
    </x:row>
    <x:row r="56" ht="18" customHeight="1">
      <x:c r="A56" s="13" t="n">
        <x:v>42650</x:v>
      </x:c>
      <x:c r="B56" s="12" t="n">
        <x:v>4.76</x:v>
      </x:c>
      <x:c r="C56" s="12" t="n">
        <x:v>476</x:v>
      </x:c>
      <x:c r="D56" s="12" t="n">
        <x:v>1</x:v>
      </x:c>
      <x:c r="E56" s="12" t="str">
        <x:v>Archived FRED mirror (Hugging Face)</x:v>
      </x:c>
    </x:row>
    <x:row r="57" ht="18" customHeight="1">
      <x:c r="A57" s="13" t="n">
        <x:v>42653</x:v>
      </x:c>
      <x:c r="B57" s="12" t="n">
        <x:v>4.76</x:v>
      </x:c>
      <x:c r="C57" s="12" t="n">
        <x:v>476</x:v>
      </x:c>
      <x:c r="D57" s="12" t="n">
        <x:v>0</x:v>
      </x:c>
      <x:c r="E57" s="12" t="str">
        <x:v>Archived FRED mirror (Hugging Face)</x:v>
      </x:c>
    </x:row>
    <x:row r="58" ht="18" customHeight="1">
      <x:c r="A58" s="13" t="n">
        <x:v>42654</x:v>
      </x:c>
      <x:c r="B58" s="12" t="n">
        <x:v>4.75</x:v>
      </x:c>
      <x:c r="C58" s="12" t="n">
        <x:v>475</x:v>
      </x:c>
      <x:c r="D58" s="12" t="n">
        <x:v>-1</x:v>
      </x:c>
      <x:c r="E58" s="12" t="str">
        <x:v>Archived FRED mirror (Hugging Face)</x:v>
      </x:c>
    </x:row>
    <x:row r="59" ht="18" customHeight="1">
      <x:c r="A59" s="13" t="n">
        <x:v>42655</x:v>
      </x:c>
      <x:c r="B59" s="12" t="n">
        <x:v>4.75</x:v>
      </x:c>
      <x:c r="C59" s="12" t="n">
        <x:v>475</x:v>
      </x:c>
      <x:c r="D59" s="12" t="n">
        <x:v>0</x:v>
      </x:c>
      <x:c r="E59" s="12" t="str">
        <x:v>Archived FRED mirror (Hugging Face)</x:v>
      </x:c>
    </x:row>
    <x:row r="60" ht="18" customHeight="1">
      <x:c r="A60" s="13" t="n">
        <x:v>42656</x:v>
      </x:c>
      <x:c r="B60" s="12" t="n">
        <x:v>4.82</x:v>
      </x:c>
      <x:c r="C60" s="12" t="n">
        <x:v>482</x:v>
      </x:c>
      <x:c r="D60" s="12" t="n">
        <x:v>7</x:v>
      </x:c>
      <x:c r="E60" s="12" t="str">
        <x:v>Archived FRED mirror (Hugging Face)</x:v>
      </x:c>
    </x:row>
    <x:row r="61" ht="18" customHeight="1">
      <x:c r="A61" s="13" t="n">
        <x:v>42657</x:v>
      </x:c>
      <x:c r="B61" s="12" t="n">
        <x:v>4.72</x:v>
      </x:c>
      <x:c r="C61" s="12" t="n">
        <x:v>472</x:v>
      </x:c>
      <x:c r="D61" s="12" t="n">
        <x:v>-10</x:v>
      </x:c>
      <x:c r="E61" s="12" t="str">
        <x:v>Archived FRED mirror (Hugging Face)</x:v>
      </x:c>
    </x:row>
    <x:row r="62" ht="18" customHeight="1">
      <x:c r="A62" s="13" t="n">
        <x:v>42660</x:v>
      </x:c>
      <x:c r="B62" s="12" t="n">
        <x:v>4.76</x:v>
      </x:c>
      <x:c r="C62" s="12" t="n">
        <x:v>476</x:v>
      </x:c>
      <x:c r="D62" s="12" t="n">
        <x:v>4</x:v>
      </x:c>
      <x:c r="E62" s="12" t="str">
        <x:v>Archived FRED mirror (Hugging Face)</x:v>
      </x:c>
    </x:row>
    <x:row r="63" ht="18" customHeight="1">
      <x:c r="A63" s="13" t="n">
        <x:v>42661</x:v>
      </x:c>
      <x:c r="B63" s="12" t="n">
        <x:v>4.72</x:v>
      </x:c>
      <x:c r="C63" s="12" t="n">
        <x:v>472</x:v>
      </x:c>
      <x:c r="D63" s="12" t="n">
        <x:v>-4</x:v>
      </x:c>
      <x:c r="E63" s="12" t="str">
        <x:v>Archived FRED mirror (Hugging Face)</x:v>
      </x:c>
    </x:row>
    <x:row r="64" ht="18" customHeight="1">
      <x:c r="A64" s="13" t="n">
        <x:v>42662</x:v>
      </x:c>
      <x:c r="B64" s="12" t="n">
        <x:v>4.66</x:v>
      </x:c>
      <x:c r="C64" s="12" t="n">
        <x:v>466</x:v>
      </x:c>
      <x:c r="D64" s="12" t="n">
        <x:v>-6</x:v>
      </x:c>
      <x:c r="E64" s="12" t="str">
        <x:v>Archived FRED mirror (Hugging Face)</x:v>
      </x:c>
    </x:row>
    <x:row r="65" ht="18" customHeight="1">
      <x:c r="A65" s="13" t="n">
        <x:v>42663</x:v>
      </x:c>
      <x:c r="B65" s="12" t="n">
        <x:v>4.62</x:v>
      </x:c>
      <x:c r="C65" s="12" t="n">
        <x:v>462</x:v>
      </x:c>
      <x:c r="D65" s="12" t="n">
        <x:v>-4</x:v>
      </x:c>
      <x:c r="E65" s="12" t="str">
        <x:v>Archived FRED mirror (Hugging Face)</x:v>
      </x:c>
    </x:row>
    <x:row r="66" ht="18" customHeight="1">
      <x:c r="A66" s="13" t="n">
        <x:v>42664</x:v>
      </x:c>
      <x:c r="B66" s="12" t="n">
        <x:v>4.62</x:v>
      </x:c>
      <x:c r="C66" s="12" t="n">
        <x:v>462</x:v>
      </x:c>
      <x:c r="D66" s="12" t="n">
        <x:v>0</x:v>
      </x:c>
      <x:c r="E66" s="12" t="str">
        <x:v>Archived FRED mirror (Hugging Face)</x:v>
      </x:c>
    </x:row>
    <x:row r="67" ht="18" customHeight="1">
      <x:c r="A67" s="13" t="n">
        <x:v>42667</x:v>
      </x:c>
      <x:c r="B67" s="12" t="n">
        <x:v>4.6</x:v>
      </x:c>
      <x:c r="C67" s="12" t="n">
        <x:v>459.99999999999994</x:v>
      </x:c>
      <x:c r="D67" s="12" t="n">
        <x:v>-2.000000000000057</x:v>
      </x:c>
      <x:c r="E67" s="12" t="str">
        <x:v>Archived FRED mirror (Hugging Face)</x:v>
      </x:c>
    </x:row>
    <x:row r="68" ht="18" customHeight="1">
      <x:c r="A68" s="13" t="n">
        <x:v>42668</x:v>
      </x:c>
      <x:c r="B68" s="12" t="n">
        <x:v>4.6</x:v>
      </x:c>
      <x:c r="C68" s="12" t="n">
        <x:v>459.99999999999994</x:v>
      </x:c>
      <x:c r="D68" s="12" t="n">
        <x:v>0</x:v>
      </x:c>
      <x:c r="E68" s="12" t="str">
        <x:v>Archived FRED mirror (Hugging Face)</x:v>
      </x:c>
    </x:row>
    <x:row r="69" ht="18" customHeight="1">
      <x:c r="A69" s="13" t="n">
        <x:v>42669</x:v>
      </x:c>
      <x:c r="B69" s="12" t="n">
        <x:v>4.66</x:v>
      </x:c>
      <x:c r="C69" s="12" t="n">
        <x:v>466</x:v>
      </x:c>
      <x:c r="D69" s="12" t="n">
        <x:v>6.000000000000057</x:v>
      </x:c>
      <x:c r="E69" s="12" t="str">
        <x:v>Archived FRED mirror (Hugging Face)</x:v>
      </x:c>
    </x:row>
    <x:row r="70" ht="18" customHeight="1">
      <x:c r="A70" s="13" t="n">
        <x:v>42670</x:v>
      </x:c>
      <x:c r="B70" s="12" t="n">
        <x:v>4.69</x:v>
      </x:c>
      <x:c r="C70" s="12" t="n">
        <x:v>469.00000000000006</x:v>
      </x:c>
      <x:c r="D70" s="12" t="n">
        <x:v>3.000000000000057</x:v>
      </x:c>
      <x:c r="E70" s="12" t="str">
        <x:v>Archived FRED mirror (Hugging Face)</x:v>
      </x:c>
    </x:row>
    <x:row r="71" ht="18" customHeight="1">
      <x:c r="A71" s="13" t="n">
        <x:v>42671</x:v>
      </x:c>
      <x:c r="B71" s="12" t="n">
        <x:v>4.76</x:v>
      </x:c>
      <x:c r="C71" s="12" t="n">
        <x:v>476</x:v>
      </x:c>
      <x:c r="D71" s="12" t="n">
        <x:v>6.999999999999943</x:v>
      </x:c>
      <x:c r="E71" s="12" t="str">
        <x:v>Archived FRED mirror (Hugging Face)</x:v>
      </x:c>
    </x:row>
    <x:row r="72" ht="18" customHeight="1">
      <x:c r="A72" s="13" t="n">
        <x:v>42674</x:v>
      </x:c>
      <x:c r="B72" s="12" t="n">
        <x:v>4.91</x:v>
      </x:c>
      <x:c r="C72" s="12" t="n">
        <x:v>491</x:v>
      </x:c>
      <x:c r="D72" s="12" t="n">
        <x:v>15</x:v>
      </x:c>
      <x:c r="E72" s="12" t="str">
        <x:v>Archived FRED mirror (Hugging Face)</x:v>
      </x:c>
    </x:row>
    <x:row r="73" ht="18" customHeight="1">
      <x:c r="A73" s="13" t="n">
        <x:v>42675</x:v>
      </x:c>
      <x:c r="B73" s="12" t="n">
        <x:v>5.05</x:v>
      </x:c>
      <x:c r="C73" s="12" t="n">
        <x:v>505</x:v>
      </x:c>
      <x:c r="D73" s="12" t="n">
        <x:v>14</x:v>
      </x:c>
      <x:c r="E73" s="12" t="str">
        <x:v>Archived FRED mirror (Hugging Face)</x:v>
      </x:c>
    </x:row>
    <x:row r="74" ht="18" customHeight="1">
      <x:c r="A74" s="13" t="n">
        <x:v>42676</x:v>
      </x:c>
      <x:c r="B74" s="12" t="n">
        <x:v>5.15</x:v>
      </x:c>
      <x:c r="C74" s="12" t="n">
        <x:v>515</x:v>
      </x:c>
      <x:c r="D74" s="12" t="n">
        <x:v>10</x:v>
      </x:c>
      <x:c r="E74" s="12" t="str">
        <x:v>Archived FRED mirror (Hugging Face)</x:v>
      </x:c>
    </x:row>
    <x:row r="75" ht="18" customHeight="1">
      <x:c r="A75" s="13" t="n">
        <x:v>42677</x:v>
      </x:c>
      <x:c r="B75" s="12" t="n">
        <x:v>5.15</x:v>
      </x:c>
      <x:c r="C75" s="12" t="n">
        <x:v>515</x:v>
      </x:c>
      <x:c r="D75" s="12" t="n">
        <x:v>0</x:v>
      </x:c>
      <x:c r="E75" s="12" t="str">
        <x:v>Archived FRED mirror (Hugging Face)</x:v>
      </x:c>
    </x:row>
    <x:row r="76" ht="18" customHeight="1">
      <x:c r="A76" s="13" t="n">
        <x:v>42678</x:v>
      </x:c>
      <x:c r="B76" s="12" t="n">
        <x:v>5.2</x:v>
      </x:c>
      <x:c r="C76" s="12" t="n">
        <x:v>520</x:v>
      </x:c>
      <x:c r="D76" s="12" t="n">
        <x:v>5</x:v>
      </x:c>
      <x:c r="E76" s="12" t="str">
        <x:v>Archived FRED mirror (Hugging Face)</x:v>
      </x:c>
    </x:row>
    <x:row r="77" ht="18" customHeight="1">
      <x:c r="A77" s="13" t="n">
        <x:v>42681</x:v>
      </x:c>
      <x:c r="B77" s="12" t="n">
        <x:v>5.01</x:v>
      </x:c>
      <x:c r="C77" s="12" t="n">
        <x:v>501</x:v>
      </x:c>
      <x:c r="D77" s="12" t="n">
        <x:v>-19</x:v>
      </x:c>
      <x:c r="E77" s="12" t="str">
        <x:v>Archived FRED mirror (Hugging Face)</x:v>
      </x:c>
    </x:row>
    <x:row r="78" ht="18" customHeight="1">
      <x:c r="A78" s="13" t="n">
        <x:v>42682</x:v>
      </x:c>
      <x:c r="B78" s="12" t="n">
        <x:v>4.98</x:v>
      </x:c>
      <x:c r="C78" s="12" t="n">
        <x:v>498.00000000000006</x:v>
      </x:c>
      <x:c r="D78" s="12" t="n">
        <x:v>-2.999999999999943</x:v>
      </x:c>
      <x:c r="E78" s="12" t="str">
        <x:v>Archived FRED mirror (Hugging Face)</x:v>
      </x:c>
    </x:row>
    <x:row r="79" ht="18" customHeight="1">
      <x:c r="A79" s="13" t="n">
        <x:v>42683</x:v>
      </x:c>
      <x:c r="B79" s="12" t="n">
        <x:v>4.94</x:v>
      </x:c>
      <x:c r="C79" s="12" t="n">
        <x:v>494.00000000000006</x:v>
      </x:c>
      <x:c r="D79" s="12" t="n">
        <x:v>-4</x:v>
      </x:c>
      <x:c r="E79" s="12" t="str">
        <x:v>Archived FRED mirror (Hugging Face)</x:v>
      </x:c>
    </x:row>
    <x:row r="80" ht="18" customHeight="1">
      <x:c r="A80" s="13" t="n">
        <x:v>42684</x:v>
      </x:c>
      <x:c r="B80" s="12" t="n">
        <x:v>4.97</x:v>
      </x:c>
      <x:c r="C80" s="12" t="n">
        <x:v>497</x:v>
      </x:c>
      <x:c r="D80" s="12" t="n">
        <x:v>2.999999999999943</x:v>
      </x:c>
      <x:c r="E80" s="12" t="str">
        <x:v>Archived FRED mirror (Hugging Face)</x:v>
      </x:c>
    </x:row>
    <x:row r="81" ht="18" customHeight="1">
      <x:c r="A81" s="13" t="n">
        <x:v>42685</x:v>
      </x:c>
      <x:c r="B81" s="12" t="n">
        <x:v>4.97</x:v>
      </x:c>
      <x:c r="C81" s="12" t="n">
        <x:v>497</x:v>
      </x:c>
      <x:c r="D81" s="12" t="n">
        <x:v>0</x:v>
      </x:c>
      <x:c r="E81" s="12" t="str">
        <x:v>Archived FRED mirror (Hugging Face)</x:v>
      </x:c>
    </x:row>
    <x:row r="82" ht="18" customHeight="1">
      <x:c r="A82" s="13" t="n">
        <x:v>42688</x:v>
      </x:c>
      <x:c r="B82" s="12" t="n">
        <x:v>5.11</x:v>
      </x:c>
      <x:c r="C82" s="12" t="n">
        <x:v>511.00000000000006</x:v>
      </x:c>
      <x:c r="D82" s="12" t="n">
        <x:v>14.000000000000057</x:v>
      </x:c>
      <x:c r="E82" s="12" t="str">
        <x:v>Archived FRED mirror (Hugging Face)</x:v>
      </x:c>
    </x:row>
    <x:row r="83" ht="18" customHeight="1">
      <x:c r="A83" s="13" t="n">
        <x:v>42689</x:v>
      </x:c>
      <x:c r="B83" s="12" t="n">
        <x:v>4.94</x:v>
      </x:c>
      <x:c r="C83" s="12" t="n">
        <x:v>494.00000000000006</x:v>
      </x:c>
      <x:c r="D83" s="12" t="n">
        <x:v>-17</x:v>
      </x:c>
      <x:c r="E83" s="12" t="str">
        <x:v>Archived FRED mirror (Hugging Face)</x:v>
      </x:c>
    </x:row>
    <x:row r="84" ht="18" customHeight="1">
      <x:c r="A84" s="13" t="n">
        <x:v>42690</x:v>
      </x:c>
      <x:c r="B84" s="12" t="n">
        <x:v>4.94</x:v>
      </x:c>
      <x:c r="C84" s="12" t="n">
        <x:v>494.00000000000006</x:v>
      </x:c>
      <x:c r="D84" s="12" t="n">
        <x:v>0</x:v>
      </x:c>
      <x:c r="E84" s="12" t="str">
        <x:v>Archived FRED mirror (Hugging Face)</x:v>
      </x:c>
    </x:row>
    <x:row r="85" ht="18" customHeight="1">
      <x:c r="A85" s="13" t="n">
        <x:v>42691</x:v>
      </x:c>
      <x:c r="B85" s="12" t="n">
        <x:v>4.85</x:v>
      </x:c>
      <x:c r="C85" s="12" t="n">
        <x:v>484.99999999999994</x:v>
      </x:c>
      <x:c r="D85" s="12" t="n">
        <x:v>-9.000000000000114</x:v>
      </x:c>
      <x:c r="E85" s="12" t="str">
        <x:v>Archived FRED mirror (Hugging Face)</x:v>
      </x:c>
    </x:row>
    <x:row r="86" ht="18" customHeight="1">
      <x:c r="A86" s="13" t="n">
        <x:v>42692</x:v>
      </x:c>
      <x:c r="B86" s="12" t="n">
        <x:v>4.84</x:v>
      </x:c>
      <x:c r="C86" s="12" t="n">
        <x:v>484</x:v>
      </x:c>
      <x:c r="D86" s="12" t="n">
        <x:v>-0.9999999999999432</x:v>
      </x:c>
      <x:c r="E86" s="12" t="str">
        <x:v>Archived FRED mirror (Hugging Face)</x:v>
      </x:c>
    </x:row>
    <x:row r="87" ht="18" customHeight="1">
      <x:c r="A87" s="13" t="n">
        <x:v>42695</x:v>
      </x:c>
      <x:c r="B87" s="12" t="n">
        <x:v>4.78</x:v>
      </x:c>
      <x:c r="C87" s="12" t="n">
        <x:v>478</x:v>
      </x:c>
      <x:c r="D87" s="12" t="n">
        <x:v>-6</x:v>
      </x:c>
      <x:c r="E87" s="12" t="str">
        <x:v>Archived FRED mirror (Hugging Face)</x:v>
      </x:c>
    </x:row>
    <x:row r="88" ht="18" customHeight="1">
      <x:c r="A88" s="13" t="n">
        <x:v>42696</x:v>
      </x:c>
      <x:c r="B88" s="12" t="n">
        <x:v>4.7</x:v>
      </x:c>
      <x:c r="C88" s="12" t="n">
        <x:v>470</x:v>
      </x:c>
      <x:c r="D88" s="12" t="n">
        <x:v>-8</x:v>
      </x:c>
      <x:c r="E88" s="12" t="str">
        <x:v>Archived FRED mirror (Hugging Face)</x:v>
      </x:c>
    </x:row>
    <x:row r="89" ht="18" customHeight="1">
      <x:c r="A89" s="13" t="n">
        <x:v>42697</x:v>
      </x:c>
      <x:c r="B89" s="12" t="n">
        <x:v>4.66</x:v>
      </x:c>
      <x:c r="C89" s="12" t="n">
        <x:v>466</x:v>
      </x:c>
      <x:c r="D89" s="12" t="n">
        <x:v>-4</x:v>
      </x:c>
      <x:c r="E89" s="12" t="str">
        <x:v>Archived FRED mirror (Hugging Face)</x:v>
      </x:c>
    </x:row>
    <x:row r="90" ht="18" customHeight="1">
      <x:c r="A90" s="13" t="n">
        <x:v>42698</x:v>
      </x:c>
      <x:c r="B90" s="12" t="n">
        <x:v>4.66</x:v>
      </x:c>
      <x:c r="C90" s="12" t="n">
        <x:v>466</x:v>
      </x:c>
      <x:c r="D90" s="12" t="n">
        <x:v>0</x:v>
      </x:c>
      <x:c r="E90" s="12" t="str">
        <x:v>Archived FRED mirror (Hugging Face)</x:v>
      </x:c>
    </x:row>
    <x:row r="91" ht="18" customHeight="1">
      <x:c r="A91" s="13" t="n">
        <x:v>42699</x:v>
      </x:c>
      <x:c r="B91" s="12" t="n">
        <x:v>4.64</x:v>
      </x:c>
      <x:c r="C91" s="12" t="n">
        <x:v>463.99999999999994</x:v>
      </x:c>
      <x:c r="D91" s="12" t="n">
        <x:v>-2.000000000000057</x:v>
      </x:c>
      <x:c r="E91" s="12" t="str">
        <x:v>Archived FRED mirror (Hugging Face)</x:v>
      </x:c>
    </x:row>
    <x:row r="92" ht="18" customHeight="1">
      <x:c r="A92" s="13" t="n">
        <x:v>42702</x:v>
      </x:c>
      <x:c r="B92" s="12" t="n">
        <x:v>4.66</x:v>
      </x:c>
      <x:c r="C92" s="12" t="n">
        <x:v>466</x:v>
      </x:c>
      <x:c r="D92" s="12" t="n">
        <x:v>2.000000000000057</x:v>
      </x:c>
      <x:c r="E92" s="12" t="str">
        <x:v>Archived FRED mirror (Hugging Face)</x:v>
      </x:c>
    </x:row>
    <x:row r="93" ht="18" customHeight="1">
      <x:c r="A93" s="13" t="n">
        <x:v>42703</x:v>
      </x:c>
      <x:c r="B93" s="12" t="n">
        <x:v>4.69</x:v>
      </x:c>
      <x:c r="C93" s="12" t="n">
        <x:v>469.00000000000006</x:v>
      </x:c>
      <x:c r="D93" s="12" t="n">
        <x:v>3.000000000000057</x:v>
      </x:c>
      <x:c r="E93" s="12" t="str">
        <x:v>Archived FRED mirror (Hugging Face)</x:v>
      </x:c>
    </x:row>
    <x:row r="94" ht="18" customHeight="1">
      <x:c r="A94" s="13" t="n">
        <x:v>42704</x:v>
      </x:c>
      <x:c r="B94" s="12" t="n">
        <x:v>4.67</x:v>
      </x:c>
      <x:c r="C94" s="12" t="n">
        <x:v>467</x:v>
      </x:c>
      <x:c r="D94" s="12" t="n">
        <x:v>-2.000000000000057</x:v>
      </x:c>
      <x:c r="E94" s="12" t="str">
        <x:v>Archived FRED mirror (Hugging Face)</x:v>
      </x:c>
    </x:row>
    <x:row r="95" ht="18" customHeight="1">
      <x:c r="A95" s="13" t="n">
        <x:v>42705</x:v>
      </x:c>
      <x:c r="B95" s="12" t="n">
        <x:v>4.62</x:v>
      </x:c>
      <x:c r="C95" s="12" t="n">
        <x:v>462</x:v>
      </x:c>
      <x:c r="D95" s="12" t="n">
        <x:v>-5</x:v>
      </x:c>
      <x:c r="E95" s="12" t="str">
        <x:v>Archived FRED mirror (Hugging Face)</x:v>
      </x:c>
    </x:row>
    <x:row r="96" ht="18" customHeight="1">
      <x:c r="A96" s="13" t="n">
        <x:v>42706</x:v>
      </x:c>
      <x:c r="B96" s="12" t="n">
        <x:v>4.64</x:v>
      </x:c>
      <x:c r="C96" s="12" t="n">
        <x:v>463.99999999999994</x:v>
      </x:c>
      <x:c r="D96" s="12" t="n">
        <x:v>1.9999999999999432</x:v>
      </x:c>
      <x:c r="E96" s="12" t="str">
        <x:v>Archived FRED mirror (Hugging Face)</x:v>
      </x:c>
    </x:row>
    <x:row r="97" ht="18" customHeight="1">
      <x:c r="A97" s="13" t="n">
        <x:v>42709</x:v>
      </x:c>
      <x:c r="B97" s="12" t="n">
        <x:v>4.58</x:v>
      </x:c>
      <x:c r="C97" s="12" t="n">
        <x:v>458</x:v>
      </x:c>
      <x:c r="D97" s="12" t="n">
        <x:v>-5.999999999999943</x:v>
      </x:c>
      <x:c r="E97" s="12" t="str">
        <x:v>Archived FRED mirror (Hugging Face)</x:v>
      </x:c>
    </x:row>
    <x:row r="98" ht="18" customHeight="1">
      <x:c r="A98" s="13" t="n">
        <x:v>42710</x:v>
      </x:c>
      <x:c r="B98" s="12" t="n">
        <x:v>4.5</x:v>
      </x:c>
      <x:c r="C98" s="12" t="n">
        <x:v>450</x:v>
      </x:c>
      <x:c r="D98" s="12" t="n">
        <x:v>-8</x:v>
      </x:c>
      <x:c r="E98" s="12" t="str">
        <x:v>Archived FRED mirror (Hugging Face)</x:v>
      </x:c>
    </x:row>
    <x:row r="99" ht="18" customHeight="1">
      <x:c r="A99" s="13" t="n">
        <x:v>42711</x:v>
      </x:c>
      <x:c r="B99" s="12" t="n">
        <x:v>4.42</x:v>
      </x:c>
      <x:c r="C99" s="12" t="n">
        <x:v>442</x:v>
      </x:c>
      <x:c r="D99" s="12" t="n">
        <x:v>-8</x:v>
      </x:c>
      <x:c r="E99" s="12" t="str">
        <x:v>Archived FRED mirror (Hugging Face)</x:v>
      </x:c>
    </x:row>
    <x:row r="100" ht="18" customHeight="1">
      <x:c r="A100" s="13" t="n">
        <x:v>42712</x:v>
      </x:c>
      <x:c r="B100" s="12" t="n">
        <x:v>4.38</x:v>
      </x:c>
      <x:c r="C100" s="12" t="n">
        <x:v>438</x:v>
      </x:c>
      <x:c r="D100" s="12" t="n">
        <x:v>-4</x:v>
      </x:c>
      <x:c r="E100" s="12" t="str">
        <x:v>Archived FRED mirror (Hugging Face)</x:v>
      </x:c>
    </x:row>
    <x:row r="101" ht="18" customHeight="1">
      <x:c r="A101" s="13" t="n">
        <x:v>42713</x:v>
      </x:c>
      <x:c r="B101" s="12" t="n">
        <x:v>4.28</x:v>
      </x:c>
      <x:c r="C101" s="12" t="n">
        <x:v>428</x:v>
      </x:c>
      <x:c r="D101" s="12" t="n">
        <x:v>-10</x:v>
      </x:c>
      <x:c r="E101" s="12" t="str">
        <x:v>Archived FRED mirror (Hugging Face)</x:v>
      </x:c>
    </x:row>
    <x:row r="102" ht="18" customHeight="1">
      <x:c r="A102" s="13" t="n">
        <x:v>42716</x:v>
      </x:c>
      <x:c r="B102" s="12" t="n">
        <x:v>4.25</x:v>
      </x:c>
      <x:c r="C102" s="12" t="n">
        <x:v>425</x:v>
      </x:c>
      <x:c r="D102" s="12" t="n">
        <x:v>-3</x:v>
      </x:c>
      <x:c r="E102" s="12" t="str">
        <x:v>Archived FRED mirror (Hugging Face)</x:v>
      </x:c>
    </x:row>
    <x:row r="103" ht="18" customHeight="1">
      <x:c r="A103" s="13" t="n">
        <x:v>42717</x:v>
      </x:c>
      <x:c r="B103" s="12" t="n">
        <x:v>4.2</x:v>
      </x:c>
      <x:c r="C103" s="12" t="n">
        <x:v>420</x:v>
      </x:c>
      <x:c r="D103" s="12" t="n">
        <x:v>-5</x:v>
      </x:c>
      <x:c r="E103" s="12" t="str">
        <x:v>Archived FRED mirror (Hugging Face)</x:v>
      </x:c>
    </x:row>
    <x:row r="104" ht="18" customHeight="1">
      <x:c r="A104" s="13" t="n">
        <x:v>42718</x:v>
      </x:c>
      <x:c r="B104" s="12" t="n">
        <x:v>4.12</x:v>
      </x:c>
      <x:c r="C104" s="12" t="n">
        <x:v>412</x:v>
      </x:c>
      <x:c r="D104" s="12" t="n">
        <x:v>-8</x:v>
      </x:c>
      <x:c r="E104" s="12" t="str">
        <x:v>Archived FRED mirror (Hugging Face)</x:v>
      </x:c>
    </x:row>
    <x:row r="105" ht="18" customHeight="1">
      <x:c r="A105" s="13" t="n">
        <x:v>42719</x:v>
      </x:c>
      <x:c r="B105" s="12" t="n">
        <x:v>4.2</x:v>
      </x:c>
      <x:c r="C105" s="12" t="n">
        <x:v>420</x:v>
      </x:c>
      <x:c r="D105" s="12" t="n">
        <x:v>8</x:v>
      </x:c>
      <x:c r="E105" s="12" t="str">
        <x:v>Archived FRED mirror (Hugging Face)</x:v>
      </x:c>
    </x:row>
    <x:row r="106" ht="18" customHeight="1">
      <x:c r="A106" s="13" t="n">
        <x:v>42720</x:v>
      </x:c>
      <x:c r="B106" s="12" t="n">
        <x:v>4.21</x:v>
      </x:c>
      <x:c r="C106" s="12" t="n">
        <x:v>421</x:v>
      </x:c>
      <x:c r="D106" s="12" t="n">
        <x:v>1</x:v>
      </x:c>
      <x:c r="E106" s="12" t="str">
        <x:v>Archived FRED mirror (Hugging Face)</x:v>
      </x:c>
    </x:row>
    <x:row r="107" ht="18" customHeight="1">
      <x:c r="A107" s="13" t="n">
        <x:v>42723</x:v>
      </x:c>
      <x:c r="B107" s="12" t="n">
        <x:v>4.23</x:v>
      </x:c>
      <x:c r="C107" s="12" t="n">
        <x:v>423.00000000000006</x:v>
      </x:c>
      <x:c r="D107" s="12" t="n">
        <x:v>2.000000000000057</x:v>
      </x:c>
      <x:c r="E107" s="12" t="str">
        <x:v>Archived FRED mirror (Hugging Face)</x:v>
      </x:c>
    </x:row>
    <x:row r="108" ht="18" customHeight="1">
      <x:c r="A108" s="13" t="n">
        <x:v>42724</x:v>
      </x:c>
      <x:c r="B108" s="12" t="n">
        <x:v>4.2</x:v>
      </x:c>
      <x:c r="C108" s="12" t="n">
        <x:v>420</x:v>
      </x:c>
      <x:c r="D108" s="12" t="n">
        <x:v>-3.000000000000057</x:v>
      </x:c>
      <x:c r="E108" s="12" t="str">
        <x:v>Archived FRED mirror (Hugging Face)</x:v>
      </x:c>
    </x:row>
    <x:row r="109" ht="18" customHeight="1">
      <x:c r="A109" s="13" t="n">
        <x:v>42725</x:v>
      </x:c>
      <x:c r="B109" s="12" t="n">
        <x:v>4.19</x:v>
      </x:c>
      <x:c r="C109" s="12" t="n">
        <x:v>419.00000000000006</x:v>
      </x:c>
      <x:c r="D109" s="12" t="n">
        <x:v>-0.9999999999999432</x:v>
      </x:c>
      <x:c r="E109" s="12" t="str">
        <x:v>Archived FRED mirror (Hugging Face)</x:v>
      </x:c>
    </x:row>
    <x:row r="110" ht="18" customHeight="1">
      <x:c r="A110" s="13" t="n">
        <x:v>42726</x:v>
      </x:c>
      <x:c r="B110" s="12" t="n">
        <x:v>4.17</x:v>
      </x:c>
      <x:c r="C110" s="12" t="n">
        <x:v>417</x:v>
      </x:c>
      <x:c r="D110" s="12" t="n">
        <x:v>-2.000000000000057</x:v>
      </x:c>
      <x:c r="E110" s="12" t="str">
        <x:v>Archived FRED mirror (Hugging Face)</x:v>
      </x:c>
    </x:row>
    <x:row r="111" ht="18" customHeight="1">
      <x:c r="A111" s="13" t="n">
        <x:v>42727</x:v>
      </x:c>
      <x:c r="B111" s="12" t="n">
        <x:v>4.16</x:v>
      </x:c>
      <x:c r="C111" s="12" t="n">
        <x:v>416</x:v>
      </x:c>
      <x:c r="D111" s="12" t="n">
        <x:v>-1</x:v>
      </x:c>
      <x:c r="E111" s="12" t="str">
        <x:v>Archived FRED mirror (Hugging Face)</x:v>
      </x:c>
    </x:row>
    <x:row r="112" ht="18" customHeight="1">
      <x:c r="A112" s="13" t="n">
        <x:v>42731</x:v>
      </x:c>
      <x:c r="B112" s="12" t="n">
        <x:v>4.11</x:v>
      </x:c>
      <x:c r="C112" s="12" t="n">
        <x:v>411.00000000000006</x:v>
      </x:c>
      <x:c r="D112" s="12" t="n">
        <x:v>-4.999999999999943</x:v>
      </x:c>
      <x:c r="E112" s="12" t="str">
        <x:v>Archived FRED mirror (Hugging Face)</x:v>
      </x:c>
    </x:row>
    <x:row r="113" ht="18" customHeight="1">
      <x:c r="A113" s="13" t="n">
        <x:v>42732</x:v>
      </x:c>
      <x:c r="B113" s="12" t="n">
        <x:v>4.15</x:v>
      </x:c>
      <x:c r="C113" s="12" t="n">
        <x:v>415.00000000000006</x:v>
      </x:c>
      <x:c r="D113" s="12" t="n">
        <x:v>4</x:v>
      </x:c>
      <x:c r="E113" s="12" t="str">
        <x:v>Archived FRED mirror (Hugging Face)</x:v>
      </x:c>
    </x:row>
    <x:row r="114" ht="18" customHeight="1">
      <x:c r="A114" s="13" t="n">
        <x:v>42733</x:v>
      </x:c>
      <x:c r="B114" s="12" t="n">
        <x:v>4.18</x:v>
      </x:c>
      <x:c r="C114" s="12" t="n">
        <x:v>418</x:v>
      </x:c>
      <x:c r="D114" s="12" t="n">
        <x:v>2.999999999999943</x:v>
      </x:c>
      <x:c r="E114" s="12" t="str">
        <x:v>Archived FRED mirror (Hugging Face)</x:v>
      </x:c>
    </x:row>
    <x:row r="115" ht="18" customHeight="1">
      <x:c r="A115" s="13" t="n">
        <x:v>42734</x:v>
      </x:c>
      <x:c r="B115" s="12" t="n">
        <x:v>4.21</x:v>
      </x:c>
      <x:c r="C115" s="12" t="n">
        <x:v>421</x:v>
      </x:c>
      <x:c r="D115" s="12" t="n">
        <x:v>3</x:v>
      </x:c>
      <x:c r="E115" s="12" t="str">
        <x:v>Archived FRED mirror (Hugging Face)</x:v>
      </x:c>
    </x:row>
    <x:row r="116" ht="18" customHeight="1">
      <x:c r="A116" s="13" t="n">
        <x:v>42735</x:v>
      </x:c>
      <x:c r="B116" s="12" t="n">
        <x:v>4.22</x:v>
      </x:c>
      <x:c r="C116" s="12" t="n">
        <x:v>422</x:v>
      </x:c>
      <x:c r="D116" s="12" t="n">
        <x:v>1</x:v>
      </x:c>
      <x:c r="E116" s="12" t="str">
        <x:v>Archived FRED mirror (Hugging Face)</x:v>
      </x:c>
    </x:row>
    <x:row r="117" ht="18" customHeight="1">
      <x:c r="A117" s="13" t="n">
        <x:v>42738</x:v>
      </x:c>
      <x:c r="B117" s="12" t="n">
        <x:v>4.13</x:v>
      </x:c>
      <x:c r="C117" s="12" t="n">
        <x:v>413</x:v>
      </x:c>
      <x:c r="D117" s="12" t="n">
        <x:v>-9</x:v>
      </x:c>
      <x:c r="E117" s="12" t="str">
        <x:v>Archived FRED mirror (Hugging Face)</x:v>
      </x:c>
    </x:row>
    <x:row r="118" ht="18" customHeight="1">
      <x:c r="A118" s="13" t="n">
        <x:v>42739</x:v>
      </x:c>
      <x:c r="B118" s="12" t="n">
        <x:v>4.02</x:v>
      </x:c>
      <x:c r="C118" s="12" t="n">
        <x:v>401.99999999999994</x:v>
      </x:c>
      <x:c r="D118" s="12" t="n">
        <x:v>-11.000000000000057</x:v>
      </x:c>
      <x:c r="E118" s="12" t="str">
        <x:v>Archived FRED mirror (Hugging Face)</x:v>
      </x:c>
    </x:row>
    <x:row r="119" ht="18" customHeight="1">
      <x:c r="A119" s="13" t="n">
        <x:v>42740</x:v>
      </x:c>
      <x:c r="B119" s="12" t="n">
        <x:v>4.04</x:v>
      </x:c>
      <x:c r="C119" s="12" t="n">
        <x:v>404</x:v>
      </x:c>
      <x:c r="D119" s="12" t="n">
        <x:v>2.000000000000057</x:v>
      </x:c>
      <x:c r="E119" s="12" t="str">
        <x:v>Archived FRED mirror (Hugging Face)</x:v>
      </x:c>
    </x:row>
    <x:row r="120" ht="18" customHeight="1">
      <x:c r="A120" s="13" t="n">
        <x:v>42741</x:v>
      </x:c>
      <x:c r="B120" s="12" t="n">
        <x:v>3.98</x:v>
      </x:c>
      <x:c r="C120" s="12" t="n">
        <x:v>398</x:v>
      </x:c>
      <x:c r="D120" s="12" t="n">
        <x:v>-6</x:v>
      </x:c>
      <x:c r="E120" s="12" t="str">
        <x:v>Archived FRED mirror (Hugging Face)</x:v>
      </x:c>
    </x:row>
    <x:row r="121" ht="18" customHeight="1">
      <x:c r="A121" s="13" t="n">
        <x:v>42744</x:v>
      </x:c>
      <x:c r="B121" s="12" t="n">
        <x:v>4.02</x:v>
      </x:c>
      <x:c r="C121" s="12" t="n">
        <x:v>401.99999999999994</x:v>
      </x:c>
      <x:c r="D121" s="12" t="n">
        <x:v>3.999999999999943</x:v>
      </x:c>
      <x:c r="E121" s="12" t="str">
        <x:v>Archived FRED mirror (Hugging Face)</x:v>
      </x:c>
    </x:row>
    <x:row r="122" ht="18" customHeight="1">
      <x:c r="A122" s="13" t="n">
        <x:v>42745</x:v>
      </x:c>
      <x:c r="B122" s="12" t="n">
        <x:v>4</x:v>
      </x:c>
      <x:c r="C122" s="12" t="n">
        <x:v>400</x:v>
      </x:c>
      <x:c r="D122" s="12" t="n">
        <x:v>-1.9999999999999432</x:v>
      </x:c>
      <x:c r="E122" s="12" t="str">
        <x:v>Archived FRED mirror (Hugging Face)</x:v>
      </x:c>
    </x:row>
    <x:row r="123" ht="18" customHeight="1">
      <x:c r="A123" s="13" t="n">
        <x:v>42746</x:v>
      </x:c>
      <x:c r="B123" s="12" t="n">
        <x:v>4.03</x:v>
      </x:c>
      <x:c r="C123" s="12" t="n">
        <x:v>403</x:v>
      </x:c>
      <x:c r="D123" s="12" t="n">
        <x:v>3</x:v>
      </x:c>
      <x:c r="E123" s="12" t="str">
        <x:v>Archived FRED mirror (Hugging Face)</x:v>
      </x:c>
    </x:row>
    <x:row r="124" ht="18" customHeight="1">
      <x:c r="A124" s="13" t="n">
        <x:v>42747</x:v>
      </x:c>
      <x:c r="B124" s="12" t="n">
        <x:v>4.05</x:v>
      </x:c>
      <x:c r="C124" s="12" t="n">
        <x:v>405</x:v>
      </x:c>
      <x:c r="D124" s="12" t="n">
        <x:v>2</x:v>
      </x:c>
      <x:c r="E124" s="12" t="str">
        <x:v>Archived FRED mirror (Hugging Face)</x:v>
      </x:c>
    </x:row>
    <x:row r="125" ht="18" customHeight="1">
      <x:c r="A125" s="13" t="n">
        <x:v>42748</x:v>
      </x:c>
      <x:c r="B125" s="12" t="n">
        <x:v>4.02</x:v>
      </x:c>
      <x:c r="C125" s="12" t="n">
        <x:v>401.99999999999994</x:v>
      </x:c>
      <x:c r="D125" s="12" t="n">
        <x:v>-3.000000000000057</x:v>
      </x:c>
      <x:c r="E125" s="12" t="str">
        <x:v>Archived FRED mirror (Hugging Face)</x:v>
      </x:c>
    </x:row>
    <x:row r="126" ht="18" customHeight="1">
      <x:c r="A126" s="13" t="n">
        <x:v>42751</x:v>
      </x:c>
      <x:c r="B126" s="12" t="n">
        <x:v>4</x:v>
      </x:c>
      <x:c r="C126" s="12" t="n">
        <x:v>400</x:v>
      </x:c>
      <x:c r="D126" s="12" t="n">
        <x:v>-1.9999999999999432</x:v>
      </x:c>
      <x:c r="E126" s="12" t="str">
        <x:v>Archived FRED mirror (Hugging Face)</x:v>
      </x:c>
    </x:row>
    <x:row r="127" ht="18" customHeight="1">
      <x:c r="A127" s="13" t="n">
        <x:v>42752</x:v>
      </x:c>
      <x:c r="B127" s="12" t="n">
        <x:v>4.06</x:v>
      </x:c>
      <x:c r="C127" s="12" t="n">
        <x:v>405.99999999999994</x:v>
      </x:c>
      <x:c r="D127" s="12" t="n">
        <x:v>5.999999999999943</x:v>
      </x:c>
      <x:c r="E127" s="12" t="str">
        <x:v>Archived FRED mirror (Hugging Face)</x:v>
      </x:c>
    </x:row>
    <x:row r="128" ht="18" customHeight="1">
      <x:c r="A128" s="13" t="n">
        <x:v>42753</x:v>
      </x:c>
      <x:c r="B128" s="12" t="n">
        <x:v>4.01</x:v>
      </x:c>
      <x:c r="C128" s="12" t="n">
        <x:v>401</x:v>
      </x:c>
      <x:c r="D128" s="12" t="n">
        <x:v>-4.999999999999943</x:v>
      </x:c>
      <x:c r="E128" s="12" t="str">
        <x:v>Archived FRED mirror (Hugging Face)</x:v>
      </x:c>
    </x:row>
    <x:row r="129" ht="18" customHeight="1">
      <x:c r="A129" s="13" t="n">
        <x:v>42754</x:v>
      </x:c>
      <x:c r="B129" s="12" t="n">
        <x:v>3.99</x:v>
      </x:c>
      <x:c r="C129" s="12" t="n">
        <x:v>399</x:v>
      </x:c>
      <x:c r="D129" s="12" t="n">
        <x:v>-2</x:v>
      </x:c>
      <x:c r="E129" s="12" t="str">
        <x:v>Archived FRED mirror (Hugging Face)</x:v>
      </x:c>
    </x:row>
    <x:row r="130" ht="18" customHeight="1">
      <x:c r="A130" s="13" t="n">
        <x:v>42755</x:v>
      </x:c>
      <x:c r="B130" s="12" t="n">
        <x:v>4.02</x:v>
      </x:c>
      <x:c r="C130" s="12" t="n">
        <x:v>401.99999999999994</x:v>
      </x:c>
      <x:c r="D130" s="12" t="n">
        <x:v>2.999999999999943</x:v>
      </x:c>
      <x:c r="E130" s="12" t="str">
        <x:v>Archived FRED mirror (Hugging Face)</x:v>
      </x:c>
    </x:row>
    <x:row r="131" ht="18" customHeight="1">
      <x:c r="A131" s="13" t="n">
        <x:v>42758</x:v>
      </x:c>
      <x:c r="B131" s="12" t="n">
        <x:v>4.1</x:v>
      </x:c>
      <x:c r="C131" s="12" t="n">
        <x:v>409.99999999999994</x:v>
      </x:c>
      <x:c r="D131" s="12" t="n">
        <x:v>8</x:v>
      </x:c>
      <x:c r="E131" s="12" t="str">
        <x:v>Archived FRED mirror (Hugging Face)</x:v>
      </x:c>
    </x:row>
    <x:row r="132" ht="18" customHeight="1">
      <x:c r="A132" s="13" t="n">
        <x:v>42759</x:v>
      </x:c>
      <x:c r="B132" s="12" t="n">
        <x:v>4.02</x:v>
      </x:c>
      <x:c r="C132" s="12" t="n">
        <x:v>401.99999999999994</x:v>
      </x:c>
      <x:c r="D132" s="12" t="n">
        <x:v>-8</x:v>
      </x:c>
      <x:c r="E132" s="12" t="str">
        <x:v>Archived FRED mirror (Hugging Face)</x:v>
      </x:c>
    </x:row>
    <x:row r="133" ht="18" customHeight="1">
      <x:c r="A133" s="13" t="n">
        <x:v>42760</x:v>
      </x:c>
      <x:c r="B133" s="12" t="n">
        <x:v>3.93</x:v>
      </x:c>
      <x:c r="C133" s="12" t="n">
        <x:v>393</x:v>
      </x:c>
      <x:c r="D133" s="12" t="n">
        <x:v>-8.999999999999943</x:v>
      </x:c>
      <x:c r="E133" s="12" t="str">
        <x:v>Archived FRED mirror (Hugging Face)</x:v>
      </x:c>
    </x:row>
    <x:row r="134" ht="18" customHeight="1">
      <x:c r="A134" s="13" t="n">
        <x:v>42761</x:v>
      </x:c>
      <x:c r="B134" s="12" t="n">
        <x:v>3.93</x:v>
      </x:c>
      <x:c r="C134" s="12" t="n">
        <x:v>393</x:v>
      </x:c>
      <x:c r="D134" s="12" t="n">
        <x:v>0</x:v>
      </x:c>
      <x:c r="E134" s="12" t="str">
        <x:v>Archived FRED mirror (Hugging Face)</x:v>
      </x:c>
    </x:row>
    <x:row r="135" ht="18" customHeight="1">
      <x:c r="A135" s="13" t="n">
        <x:v>42762</x:v>
      </x:c>
      <x:c r="B135" s="12" t="n">
        <x:v>3.93</x:v>
      </x:c>
      <x:c r="C135" s="12" t="n">
        <x:v>393</x:v>
      </x:c>
      <x:c r="D135" s="12" t="n">
        <x:v>0</x:v>
      </x:c>
      <x:c r="E135" s="12" t="str">
        <x:v>Archived FRED mirror (Hugging Face)</x:v>
      </x:c>
    </x:row>
    <x:row r="136" ht="18" customHeight="1">
      <x:c r="A136" s="13" t="n">
        <x:v>42765</x:v>
      </x:c>
      <x:c r="B136" s="12" t="n">
        <x:v>3.96</x:v>
      </x:c>
      <x:c r="C136" s="12" t="n">
        <x:v>396</x:v>
      </x:c>
      <x:c r="D136" s="12" t="n">
        <x:v>3</x:v>
      </x:c>
      <x:c r="E136" s="12" t="str">
        <x:v>Archived FRED mirror (Hugging Face)</x:v>
      </x:c>
    </x:row>
    <x:row r="137" ht="18" customHeight="1">
      <x:c r="A137" s="13" t="n">
        <x:v>42766</x:v>
      </x:c>
      <x:c r="B137" s="12" t="n">
        <x:v>4</x:v>
      </x:c>
      <x:c r="C137" s="12" t="n">
        <x:v>400</x:v>
      </x:c>
      <x:c r="D137" s="12" t="n">
        <x:v>4</x:v>
      </x:c>
      <x:c r="E137" s="12" t="str">
        <x:v>Archived FRED mirror (Hugging Face)</x:v>
      </x:c>
    </x:row>
    <x:row r="138" ht="18" customHeight="1">
      <x:c r="A138" s="13" t="n">
        <x:v>42767</x:v>
      </x:c>
      <x:c r="B138" s="12" t="n">
        <x:v>3.95</x:v>
      </x:c>
      <x:c r="C138" s="12" t="n">
        <x:v>395</x:v>
      </x:c>
      <x:c r="D138" s="12" t="n">
        <x:v>-5</x:v>
      </x:c>
      <x:c r="E138" s="12" t="str">
        <x:v>Archived FRED mirror (Hugging Face)</x:v>
      </x:c>
    </x:row>
    <x:row r="139" ht="18" customHeight="1">
      <x:c r="A139" s="13" t="n">
        <x:v>42768</x:v>
      </x:c>
      <x:c r="B139" s="12" t="n">
        <x:v>3.93</x:v>
      </x:c>
      <x:c r="C139" s="12" t="n">
        <x:v>393</x:v>
      </x:c>
      <x:c r="D139" s="12" t="n">
        <x:v>-2</x:v>
      </x:c>
      <x:c r="E139" s="12" t="str">
        <x:v>Archived FRED mirror (Hugging Face)</x:v>
      </x:c>
    </x:row>
    <x:row r="140" ht="18" customHeight="1">
      <x:c r="A140" s="13" t="n">
        <x:v>42769</x:v>
      </x:c>
      <x:c r="B140" s="12" t="n">
        <x:v>3.86</x:v>
      </x:c>
      <x:c r="C140" s="12" t="n">
        <x:v>386</x:v>
      </x:c>
      <x:c r="D140" s="12" t="n">
        <x:v>-7</x:v>
      </x:c>
      <x:c r="E140" s="12" t="str">
        <x:v>Archived FRED mirror (Hugging Face)</x:v>
      </x:c>
    </x:row>
    <x:row r="141" ht="18" customHeight="1">
      <x:c r="A141" s="13" t="n">
        <x:v>42772</x:v>
      </x:c>
      <x:c r="B141" s="12" t="n">
        <x:v>3.91</x:v>
      </x:c>
      <x:c r="C141" s="12" t="n">
        <x:v>391</x:v>
      </x:c>
      <x:c r="D141" s="12" t="n">
        <x:v>5</x:v>
      </x:c>
      <x:c r="E141" s="12" t="str">
        <x:v>Archived FRED mirror (Hugging Face)</x:v>
      </x:c>
    </x:row>
    <x:row r="142" ht="18" customHeight="1">
      <x:c r="A142" s="13" t="n">
        <x:v>42773</x:v>
      </x:c>
      <x:c r="B142" s="12" t="n">
        <x:v>3.93</x:v>
      </x:c>
      <x:c r="C142" s="12" t="n">
        <x:v>393</x:v>
      </x:c>
      <x:c r="D142" s="12" t="n">
        <x:v>2</x:v>
      </x:c>
      <x:c r="E142" s="12" t="str">
        <x:v>Archived FRED mirror (Hugging Face)</x:v>
      </x:c>
    </x:row>
    <x:row r="143" ht="18" customHeight="1">
      <x:c r="A143" s="13" t="n">
        <x:v>42774</x:v>
      </x:c>
      <x:c r="B143" s="12" t="n">
        <x:v>3.98</x:v>
      </x:c>
      <x:c r="C143" s="12" t="n">
        <x:v>398</x:v>
      </x:c>
      <x:c r="D143" s="12" t="n">
        <x:v>5</x:v>
      </x:c>
      <x:c r="E143" s="12" t="str">
        <x:v>Archived FRED mirror (Hugging Face)</x:v>
      </x:c>
    </x:row>
    <x:row r="144" ht="18" customHeight="1">
      <x:c r="A144" s="13" t="n">
        <x:v>42775</x:v>
      </x:c>
      <x:c r="B144" s="12" t="n">
        <x:v>3.93</x:v>
      </x:c>
      <x:c r="C144" s="12" t="n">
        <x:v>393</x:v>
      </x:c>
      <x:c r="D144" s="12" t="n">
        <x:v>-5</x:v>
      </x:c>
      <x:c r="E144" s="12" t="str">
        <x:v>Archived FRED mirror (Hugging Face)</x:v>
      </x:c>
    </x:row>
    <x:row r="145" ht="18" customHeight="1">
      <x:c r="A145" s="13" t="n">
        <x:v>42776</x:v>
      </x:c>
      <x:c r="B145" s="12" t="n">
        <x:v>3.9</x:v>
      </x:c>
      <x:c r="C145" s="12" t="n">
        <x:v>390</x:v>
      </x:c>
      <x:c r="D145" s="12" t="n">
        <x:v>-3</x:v>
      </x:c>
      <x:c r="E145" s="12" t="str">
        <x:v>Archived FRED mirror (Hugging Face)</x:v>
      </x:c>
    </x:row>
    <x:row r="146" ht="18" customHeight="1">
      <x:c r="A146" s="13" t="n">
        <x:v>42779</x:v>
      </x:c>
      <x:c r="B146" s="12" t="n">
        <x:v>3.86</x:v>
      </x:c>
      <x:c r="C146" s="12" t="n">
        <x:v>386</x:v>
      </x:c>
      <x:c r="D146" s="12" t="n">
        <x:v>-4</x:v>
      </x:c>
      <x:c r="E146" s="12" t="str">
        <x:v>Archived FRED mirror (Hugging Face)</x:v>
      </x:c>
    </x:row>
    <x:row r="147" ht="18" customHeight="1">
      <x:c r="A147" s="13" t="n">
        <x:v>42780</x:v>
      </x:c>
      <x:c r="B147" s="12" t="n">
        <x:v>3.8</x:v>
      </x:c>
      <x:c r="C147" s="12" t="n">
        <x:v>380</x:v>
      </x:c>
      <x:c r="D147" s="12" t="n">
        <x:v>-6</x:v>
      </x:c>
      <x:c r="E147" s="12" t="str">
        <x:v>Archived FRED mirror (Hugging Face)</x:v>
      </x:c>
    </x:row>
    <x:row r="148" ht="18" customHeight="1">
      <x:c r="A148" s="13" t="n">
        <x:v>42781</x:v>
      </x:c>
      <x:c r="B148" s="12" t="n">
        <x:v>3.77</x:v>
      </x:c>
      <x:c r="C148" s="12" t="n">
        <x:v>377</x:v>
      </x:c>
      <x:c r="D148" s="12" t="n">
        <x:v>-3</x:v>
      </x:c>
      <x:c r="E148" s="12" t="str">
        <x:v>Archived FRED mirror (Hugging Face)</x:v>
      </x:c>
    </x:row>
    <x:row r="149" ht="18" customHeight="1">
      <x:c r="A149" s="13" t="n">
        <x:v>42782</x:v>
      </x:c>
      <x:c r="B149" s="12" t="n">
        <x:v>3.83</x:v>
      </x:c>
      <x:c r="C149" s="12" t="n">
        <x:v>383</x:v>
      </x:c>
      <x:c r="D149" s="12" t="n">
        <x:v>6</x:v>
      </x:c>
      <x:c r="E149" s="12" t="str">
        <x:v>Archived FRED mirror (Hugging Face)</x:v>
      </x:c>
    </x:row>
    <x:row r="150" ht="18" customHeight="1">
      <x:c r="A150" s="13" t="n">
        <x:v>42783</x:v>
      </x:c>
      <x:c r="B150" s="12" t="n">
        <x:v>3.86</x:v>
      </x:c>
      <x:c r="C150" s="12" t="n">
        <x:v>386</x:v>
      </x:c>
      <x:c r="D150" s="12" t="n">
        <x:v>3</x:v>
      </x:c>
      <x:c r="E150" s="12" t="str">
        <x:v>Archived FRED mirror (Hugging Face)</x:v>
      </x:c>
    </x:row>
    <x:row r="151" ht="18" customHeight="1">
      <x:c r="A151" s="13" t="n">
        <x:v>42786</x:v>
      </x:c>
      <x:c r="B151" s="12" t="n">
        <x:v>3.86</x:v>
      </x:c>
      <x:c r="C151" s="12" t="n">
        <x:v>386</x:v>
      </x:c>
      <x:c r="D151" s="12" t="n">
        <x:v>0</x:v>
      </x:c>
      <x:c r="E151" s="12" t="str">
        <x:v>Archived FRED mirror (Hugging Face)</x:v>
      </x:c>
    </x:row>
    <x:row r="152" ht="18" customHeight="1">
      <x:c r="A152" s="13" t="n">
        <x:v>42787</x:v>
      </x:c>
      <x:c r="B152" s="12" t="n">
        <x:v>3.81</x:v>
      </x:c>
      <x:c r="C152" s="12" t="n">
        <x:v>381</x:v>
      </x:c>
      <x:c r="D152" s="12" t="n">
        <x:v>-5</x:v>
      </x:c>
      <x:c r="E152" s="12" t="str">
        <x:v>Archived FRED mirror (Hugging Face)</x:v>
      </x:c>
    </x:row>
    <x:row r="153" ht="18" customHeight="1">
      <x:c r="A153" s="13" t="n">
        <x:v>42788</x:v>
      </x:c>
      <x:c r="B153" s="12" t="n">
        <x:v>3.78</x:v>
      </x:c>
      <x:c r="C153" s="12" t="n">
        <x:v>378</x:v>
      </x:c>
      <x:c r="D153" s="12" t="n">
        <x:v>-3</x:v>
      </x:c>
      <x:c r="E153" s="12" t="str">
        <x:v>Archived FRED mirror (Hugging Face)</x:v>
      </x:c>
    </x:row>
    <x:row r="154" ht="18" customHeight="1">
      <x:c r="A154" s="13" t="n">
        <x:v>42789</x:v>
      </x:c>
      <x:c r="B154" s="12" t="n">
        <x:v>3.77</x:v>
      </x:c>
      <x:c r="C154" s="12" t="n">
        <x:v>377</x:v>
      </x:c>
      <x:c r="D154" s="12" t="n">
        <x:v>-1</x:v>
      </x:c>
      <x:c r="E154" s="12" t="str">
        <x:v>Archived FRED mirror (Hugging Face)</x:v>
      </x:c>
    </x:row>
    <x:row r="155" ht="18" customHeight="1">
      <x:c r="A155" s="13" t="n">
        <x:v>42790</x:v>
      </x:c>
      <x:c r="B155" s="12" t="n">
        <x:v>3.84</x:v>
      </x:c>
      <x:c r="C155" s="12" t="n">
        <x:v>384</x:v>
      </x:c>
      <x:c r="D155" s="12" t="n">
        <x:v>7</x:v>
      </x:c>
      <x:c r="E155" s="12" t="str">
        <x:v>Archived FRED mirror (Hugging Face)</x:v>
      </x:c>
    </x:row>
    <x:row r="156" ht="18" customHeight="1">
      <x:c r="A156" s="13" t="n">
        <x:v>42793</x:v>
      </x:c>
      <x:c r="B156" s="12" t="n">
        <x:v>3.75</x:v>
      </x:c>
      <x:c r="C156" s="12" t="n">
        <x:v>375</x:v>
      </x:c>
      <x:c r="D156" s="12" t="n">
        <x:v>-9</x:v>
      </x:c>
      <x:c r="E156" s="12" t="str">
        <x:v>Archived FRED mirror (Hugging Face)</x:v>
      </x:c>
    </x:row>
    <x:row r="157" ht="18" customHeight="1">
      <x:c r="A157" s="13" t="n">
        <x:v>42794</x:v>
      </x:c>
      <x:c r="B157" s="12" t="n">
        <x:v>3.74</x:v>
      </x:c>
      <x:c r="C157" s="12" t="n">
        <x:v>374</x:v>
      </x:c>
      <x:c r="D157" s="12" t="n">
        <x:v>-1</x:v>
      </x:c>
      <x:c r="E157" s="12" t="str">
        <x:v>Archived FRED mirror (Hugging Face)</x:v>
      </x:c>
    </x:row>
    <x:row r="158" ht="18" customHeight="1">
      <x:c r="A158" s="13" t="n">
        <x:v>42795</x:v>
      </x:c>
      <x:c r="B158" s="12" t="n">
        <x:v>3.57</x:v>
      </x:c>
      <x:c r="C158" s="12" t="n">
        <x:v>357</x:v>
      </x:c>
      <x:c r="D158" s="12" t="n">
        <x:v>-17</x:v>
      </x:c>
      <x:c r="E158" s="12" t="str">
        <x:v>Archived FRED mirror (Hugging Face)</x:v>
      </x:c>
    </x:row>
    <x:row r="159" ht="18" customHeight="1">
      <x:c r="A159" s="13" t="n">
        <x:v>42796</x:v>
      </x:c>
      <x:c r="B159" s="12" t="n">
        <x:v>3.55</x:v>
      </x:c>
      <x:c r="C159" s="12" t="n">
        <x:v>355</x:v>
      </x:c>
      <x:c r="D159" s="12" t="n">
        <x:v>-2</x:v>
      </x:c>
      <x:c r="E159" s="12" t="str">
        <x:v>Archived FRED mirror (Hugging Face)</x:v>
      </x:c>
    </x:row>
    <x:row r="160" ht="18" customHeight="1">
      <x:c r="A160" s="13" t="n">
        <x:v>42797</x:v>
      </x:c>
      <x:c r="B160" s="12" t="n">
        <x:v>3.6</x:v>
      </x:c>
      <x:c r="C160" s="12" t="n">
        <x:v>360</x:v>
      </x:c>
      <x:c r="D160" s="12" t="n">
        <x:v>5</x:v>
      </x:c>
      <x:c r="E160" s="12" t="str">
        <x:v>Archived FRED mirror (Hugging Face)</x:v>
      </x:c>
    </x:row>
    <x:row r="161" ht="18" customHeight="1">
      <x:c r="A161" s="13" t="n">
        <x:v>42800</x:v>
      </x:c>
      <x:c r="B161" s="12" t="n">
        <x:v>3.66</x:v>
      </x:c>
      <x:c r="C161" s="12" t="n">
        <x:v>366</x:v>
      </x:c>
      <x:c r="D161" s="12" t="n">
        <x:v>6</x:v>
      </x:c>
      <x:c r="E161" s="12" t="str">
        <x:v>Archived FRED mirror (Hugging Face)</x:v>
      </x:c>
    </x:row>
    <x:row r="162" ht="18" customHeight="1">
      <x:c r="A162" s="13" t="n">
        <x:v>42801</x:v>
      </x:c>
      <x:c r="B162" s="12" t="n">
        <x:v>3.73</x:v>
      </x:c>
      <x:c r="C162" s="12" t="n">
        <x:v>373</x:v>
      </x:c>
      <x:c r="D162" s="12" t="n">
        <x:v>7</x:v>
      </x:c>
      <x:c r="E162" s="12" t="str">
        <x:v>Archived FRED mirror (Hugging Face)</x:v>
      </x:c>
    </x:row>
    <x:row r="163" ht="18" customHeight="1">
      <x:c r="A163" s="13" t="n">
        <x:v>42802</x:v>
      </x:c>
      <x:c r="B163" s="12" t="n">
        <x:v>3.79</x:v>
      </x:c>
      <x:c r="C163" s="12" t="n">
        <x:v>379</x:v>
      </x:c>
      <x:c r="D163" s="12" t="n">
        <x:v>6</x:v>
      </x:c>
      <x:c r="E163" s="12" t="str">
        <x:v>Archived FRED mirror (Hugging Face)</x:v>
      </x:c>
    </x:row>
    <x:row r="164" ht="18" customHeight="1">
      <x:c r="A164" s="13" t="n">
        <x:v>42803</x:v>
      </x:c>
      <x:c r="B164" s="12" t="n">
        <x:v>3.88</x:v>
      </x:c>
      <x:c r="C164" s="12" t="n">
        <x:v>388</x:v>
      </x:c>
      <x:c r="D164" s="12" t="n">
        <x:v>9</x:v>
      </x:c>
      <x:c r="E164" s="12" t="str">
        <x:v>Archived FRED mirror (Hugging Face)</x:v>
      </x:c>
    </x:row>
    <x:row r="165" ht="18" customHeight="1">
      <x:c r="A165" s="13" t="n">
        <x:v>42804</x:v>
      </x:c>
      <x:c r="B165" s="12" t="n">
        <x:v>3.89</x:v>
      </x:c>
      <x:c r="C165" s="12" t="n">
        <x:v>389</x:v>
      </x:c>
      <x:c r="D165" s="12" t="n">
        <x:v>1</x:v>
      </x:c>
      <x:c r="E165" s="12" t="str">
        <x:v>Archived FRED mirror (Hugging Face)</x:v>
      </x:c>
    </x:row>
    <x:row r="166" ht="18" customHeight="1">
      <x:c r="A166" s="13" t="n">
        <x:v>42807</x:v>
      </x:c>
      <x:c r="B166" s="12" t="n">
        <x:v>3.94</x:v>
      </x:c>
      <x:c r="C166" s="12" t="n">
        <x:v>394</x:v>
      </x:c>
      <x:c r="D166" s="12" t="n">
        <x:v>5</x:v>
      </x:c>
      <x:c r="E166" s="12" t="str">
        <x:v>Archived FRED mirror (Hugging Face)</x:v>
      </x:c>
    </x:row>
    <x:row r="167" ht="18" customHeight="1">
      <x:c r="A167" s="13" t="n">
        <x:v>42808</x:v>
      </x:c>
      <x:c r="B167" s="12" t="n">
        <x:v>4.05</x:v>
      </x:c>
      <x:c r="C167" s="12" t="n">
        <x:v>405</x:v>
      </x:c>
      <x:c r="D167" s="12" t="n">
        <x:v>11</x:v>
      </x:c>
      <x:c r="E167" s="12" t="str">
        <x:v>Archived FRED mirror (Hugging Face)</x:v>
      </x:c>
    </x:row>
    <x:row r="168" ht="18" customHeight="1">
      <x:c r="A168" s="13" t="n">
        <x:v>42809</x:v>
      </x:c>
      <x:c r="B168" s="12" t="n">
        <x:v>4.02</x:v>
      </x:c>
      <x:c r="C168" s="12" t="n">
        <x:v>401.99999999999994</x:v>
      </x:c>
      <x:c r="D168" s="12" t="n">
        <x:v>-3.000000000000057</x:v>
      </x:c>
      <x:c r="E168" s="12" t="str">
        <x:v>Archived FRED mirror (Hugging Face)</x:v>
      </x:c>
    </x:row>
    <x:row r="169" ht="18" customHeight="1">
      <x:c r="A169" s="13" t="n">
        <x:v>42810</x:v>
      </x:c>
      <x:c r="B169" s="12" t="n">
        <x:v>3.88</x:v>
      </x:c>
      <x:c r="C169" s="12" t="n">
        <x:v>388</x:v>
      </x:c>
      <x:c r="D169" s="12" t="n">
        <x:v>-13.999999999999943</x:v>
      </x:c>
      <x:c r="E169" s="12" t="str">
        <x:v>Archived FRED mirror (Hugging Face)</x:v>
      </x:c>
    </x:row>
    <x:row r="170" ht="18" customHeight="1">
      <x:c r="A170" s="13" t="n">
        <x:v>42811</x:v>
      </x:c>
      <x:c r="B170" s="12" t="n">
        <x:v>3.91</x:v>
      </x:c>
      <x:c r="C170" s="12" t="n">
        <x:v>391</x:v>
      </x:c>
      <x:c r="D170" s="12" t="n">
        <x:v>3</x:v>
      </x:c>
      <x:c r="E170" s="12" t="str">
        <x:v>Archived FRED mirror (Hugging Face)</x:v>
      </x:c>
    </x:row>
    <x:row r="171" ht="18" customHeight="1">
      <x:c r="A171" s="13" t="n">
        <x:v>42814</x:v>
      </x:c>
      <x:c r="B171" s="12" t="n">
        <x:v>3.97</x:v>
      </x:c>
      <x:c r="C171" s="12" t="n">
        <x:v>397</x:v>
      </x:c>
      <x:c r="D171" s="12" t="n">
        <x:v>6</x:v>
      </x:c>
      <x:c r="E171" s="12" t="str">
        <x:v>Archived FRED mirror (Hugging Face)</x:v>
      </x:c>
    </x:row>
    <x:row r="172" ht="18" customHeight="1">
      <x:c r="A172" s="13" t="n">
        <x:v>42815</x:v>
      </x:c>
      <x:c r="B172" s="12" t="n">
        <x:v>4.04</x:v>
      </x:c>
      <x:c r="C172" s="12" t="n">
        <x:v>404</x:v>
      </x:c>
      <x:c r="D172" s="12" t="n">
        <x:v>7</x:v>
      </x:c>
      <x:c r="E172" s="12" t="str">
        <x:v>Archived FRED mirror (Hugging Face)</x:v>
      </x:c>
    </x:row>
    <x:row r="173" ht="18" customHeight="1">
      <x:c r="A173" s="13" t="n">
        <x:v>42816</x:v>
      </x:c>
      <x:c r="B173" s="12" t="n">
        <x:v>4.16</x:v>
      </x:c>
      <x:c r="C173" s="12" t="n">
        <x:v>416</x:v>
      </x:c>
      <x:c r="D173" s="12" t="n">
        <x:v>12</x:v>
      </x:c>
      <x:c r="E173" s="12" t="str">
        <x:v>Archived FRED mirror (Hugging Face)</x:v>
      </x:c>
    </x:row>
    <x:row r="174" ht="18" customHeight="1">
      <x:c r="A174" s="13" t="n">
        <x:v>42817</x:v>
      </x:c>
      <x:c r="B174" s="12" t="n">
        <x:v>4.11</x:v>
      </x:c>
      <x:c r="C174" s="12" t="n">
        <x:v>411.00000000000006</x:v>
      </x:c>
      <x:c r="D174" s="12" t="n">
        <x:v>-4.999999999999943</x:v>
      </x:c>
      <x:c r="E174" s="12" t="str">
        <x:v>Archived FRED mirror (Hugging Face)</x:v>
      </x:c>
    </x:row>
    <x:row r="175" ht="18" customHeight="1">
      <x:c r="A175" s="13" t="n">
        <x:v>42818</x:v>
      </x:c>
      <x:c r="B175" s="12" t="n">
        <x:v>4.07</x:v>
      </x:c>
      <x:c r="C175" s="12" t="n">
        <x:v>407</x:v>
      </x:c>
      <x:c r="D175" s="12" t="n">
        <x:v>-4.000000000000057</x:v>
      </x:c>
      <x:c r="E175" s="12" t="str">
        <x:v>Archived FRED mirror (Hugging Face)</x:v>
      </x:c>
    </x:row>
    <x:row r="176" ht="18" customHeight="1">
      <x:c r="A176" s="13" t="n">
        <x:v>42821</x:v>
      </x:c>
      <x:c r="B176" s="12" t="n">
        <x:v>4.12</x:v>
      </x:c>
      <x:c r="C176" s="12" t="n">
        <x:v>412</x:v>
      </x:c>
      <x:c r="D176" s="12" t="n">
        <x:v>5</x:v>
      </x:c>
      <x:c r="E176" s="12" t="str">
        <x:v>Archived FRED mirror (Hugging Face)</x:v>
      </x:c>
    </x:row>
    <x:row r="177" ht="18" customHeight="1">
      <x:c r="A177" s="13" t="n">
        <x:v>42822</x:v>
      </x:c>
      <x:c r="B177" s="12" t="n">
        <x:v>4.01</x:v>
      </x:c>
      <x:c r="C177" s="12" t="n">
        <x:v>401</x:v>
      </x:c>
      <x:c r="D177" s="12" t="n">
        <x:v>-11</x:v>
      </x:c>
      <x:c r="E177" s="12" t="str">
        <x:v>Archived FRED mirror (Hugging Face)</x:v>
      </x:c>
    </x:row>
    <x:row r="178" ht="18" customHeight="1">
      <x:c r="A178" s="13" t="n">
        <x:v>42823</x:v>
      </x:c>
      <x:c r="B178" s="12" t="n">
        <x:v>3.94</x:v>
      </x:c>
      <x:c r="C178" s="12" t="n">
        <x:v>394</x:v>
      </x:c>
      <x:c r="D178" s="12" t="n">
        <x:v>-7</x:v>
      </x:c>
      <x:c r="E178" s="12" t="str">
        <x:v>Archived FRED mirror (Hugging Face)</x:v>
      </x:c>
    </x:row>
    <x:row r="179" ht="18" customHeight="1">
      <x:c r="A179" s="13" t="n">
        <x:v>42824</x:v>
      </x:c>
      <x:c r="B179" s="12" t="n">
        <x:v>3.85</x:v>
      </x:c>
      <x:c r="C179" s="12" t="n">
        <x:v>385</x:v>
      </x:c>
      <x:c r="D179" s="12" t="n">
        <x:v>-9</x:v>
      </x:c>
      <x:c r="E179" s="12" t="str">
        <x:v>Archived FRED mirror (Hugging Face)</x:v>
      </x:c>
    </x:row>
    <x:row r="180" ht="18" customHeight="1">
      <x:c r="A180" s="13" t="n">
        <x:v>42825</x:v>
      </x:c>
      <x:c r="B180" s="12" t="n">
        <x:v>3.92</x:v>
      </x:c>
      <x:c r="C180" s="12" t="n">
        <x:v>392</x:v>
      </x:c>
      <x:c r="D180" s="12" t="n">
        <x:v>7</x:v>
      </x:c>
      <x:c r="E180" s="12" t="str">
        <x:v>Archived FRED mirror (Hugging Face)</x:v>
      </x:c>
    </x:row>
    <x:row r="181" ht="18" customHeight="1">
      <x:c r="A181" s="13" t="n">
        <x:v>42828</x:v>
      </x:c>
      <x:c r="B181" s="12" t="n">
        <x:v>3.98</x:v>
      </x:c>
      <x:c r="C181" s="12" t="n">
        <x:v>398</x:v>
      </x:c>
      <x:c r="D181" s="12" t="n">
        <x:v>6</x:v>
      </x:c>
      <x:c r="E181" s="12" t="str">
        <x:v>Archived FRED mirror (Hugging Face)</x:v>
      </x:c>
    </x:row>
    <x:row r="182" ht="18" customHeight="1">
      <x:c r="A182" s="13" t="n">
        <x:v>42829</x:v>
      </x:c>
      <x:c r="B182" s="12" t="n">
        <x:v>3.98</x:v>
      </x:c>
      <x:c r="C182" s="12" t="n">
        <x:v>398</x:v>
      </x:c>
      <x:c r="D182" s="12" t="n">
        <x:v>0</x:v>
      </x:c>
      <x:c r="E182" s="12" t="str">
        <x:v>Archived FRED mirror (Hugging Face)</x:v>
      </x:c>
    </x:row>
    <x:row r="183" ht="18" customHeight="1">
      <x:c r="A183" s="13" t="n">
        <x:v>42830</x:v>
      </x:c>
      <x:c r="B183" s="12" t="n">
        <x:v>3.91</x:v>
      </x:c>
      <x:c r="C183" s="12" t="n">
        <x:v>391</x:v>
      </x:c>
      <x:c r="D183" s="12" t="n">
        <x:v>-7</x:v>
      </x:c>
      <x:c r="E183" s="12" t="str">
        <x:v>Archived FRED mirror (Hugging Face)</x:v>
      </x:c>
    </x:row>
    <x:row r="184" ht="18" customHeight="1">
      <x:c r="A184" s="13" t="n">
        <x:v>42831</x:v>
      </x:c>
      <x:c r="B184" s="12" t="n">
        <x:v>3.93</x:v>
      </x:c>
      <x:c r="C184" s="12" t="n">
        <x:v>393</x:v>
      </x:c>
      <x:c r="D184" s="12" t="n">
        <x:v>2</x:v>
      </x:c>
      <x:c r="E184" s="12" t="str">
        <x:v>Archived FRED mirror (Hugging Face)</x:v>
      </x:c>
    </x:row>
    <x:row r="185" ht="18" customHeight="1">
      <x:c r="A185" s="13" t="n">
        <x:v>42832</x:v>
      </x:c>
      <x:c r="B185" s="12" t="n">
        <x:v>3.86</x:v>
      </x:c>
      <x:c r="C185" s="12" t="n">
        <x:v>386</x:v>
      </x:c>
      <x:c r="D185" s="12" t="n">
        <x:v>-7</x:v>
      </x:c>
      <x:c r="E185" s="12" t="str">
        <x:v>Archived FRED mirror (Hugging Face)</x:v>
      </x:c>
    </x:row>
    <x:row r="186" ht="18" customHeight="1">
      <x:c r="A186" s="13" t="n">
        <x:v>42835</x:v>
      </x:c>
      <x:c r="B186" s="12" t="n">
        <x:v>3.86</x:v>
      </x:c>
      <x:c r="C186" s="12" t="n">
        <x:v>386</x:v>
      </x:c>
      <x:c r="D186" s="12" t="n">
        <x:v>0</x:v>
      </x:c>
      <x:c r="E186" s="12" t="str">
        <x:v>Archived FRED mirror (Hugging Face)</x:v>
      </x:c>
    </x:row>
    <x:row r="187" ht="18" customHeight="1">
      <x:c r="A187" s="13" t="n">
        <x:v>42836</x:v>
      </x:c>
      <x:c r="B187" s="12" t="n">
        <x:v>3.94</x:v>
      </x:c>
      <x:c r="C187" s="12" t="n">
        <x:v>394</x:v>
      </x:c>
      <x:c r="D187" s="12" t="n">
        <x:v>8</x:v>
      </x:c>
      <x:c r="E187" s="12" t="str">
        <x:v>Archived FRED mirror (Hugging Face)</x:v>
      </x:c>
    </x:row>
    <x:row r="188" ht="18" customHeight="1">
      <x:c r="A188" s="13" t="n">
        <x:v>42837</x:v>
      </x:c>
      <x:c r="B188" s="12" t="n">
        <x:v>3.96</x:v>
      </x:c>
      <x:c r="C188" s="12" t="n">
        <x:v>396</x:v>
      </x:c>
      <x:c r="D188" s="12" t="n">
        <x:v>2</x:v>
      </x:c>
      <x:c r="E188" s="12" t="str">
        <x:v>Archived FRED mirror (Hugging Face)</x:v>
      </x:c>
    </x:row>
    <x:row r="189" ht="18" customHeight="1">
      <x:c r="A189" s="13" t="n">
        <x:v>42838</x:v>
      </x:c>
      <x:c r="B189" s="12" t="n">
        <x:v>4.03</x:v>
      </x:c>
      <x:c r="C189" s="12" t="n">
        <x:v>403</x:v>
      </x:c>
      <x:c r="D189" s="12" t="n">
        <x:v>7</x:v>
      </x:c>
      <x:c r="E189" s="12" t="str">
        <x:v>Archived FRED mirror (Hugging Face)</x:v>
      </x:c>
    </x:row>
    <x:row r="190" ht="18" customHeight="1">
      <x:c r="A190" s="13" t="n">
        <x:v>42842</x:v>
      </x:c>
      <x:c r="B190" s="12" t="n">
        <x:v>4</x:v>
      </x:c>
      <x:c r="C190" s="12" t="n">
        <x:v>400</x:v>
      </x:c>
      <x:c r="D190" s="12" t="n">
        <x:v>-3</x:v>
      </x:c>
      <x:c r="E190" s="12" t="str">
        <x:v>Archived FRED mirror (Hugging Face)</x:v>
      </x:c>
    </x:row>
    <x:row r="191" ht="18" customHeight="1">
      <x:c r="A191" s="13" t="n">
        <x:v>42843</x:v>
      </x:c>
      <x:c r="B191" s="12" t="n">
        <x:v>4.07</x:v>
      </x:c>
      <x:c r="C191" s="12" t="n">
        <x:v>407</x:v>
      </x:c>
      <x:c r="D191" s="12" t="n">
        <x:v>7</x:v>
      </x:c>
      <x:c r="E191" s="12" t="str">
        <x:v>Archived FRED mirror (Hugging Face)</x:v>
      </x:c>
    </x:row>
    <x:row r="192" ht="18" customHeight="1">
      <x:c r="A192" s="13" t="n">
        <x:v>42844</x:v>
      </x:c>
      <x:c r="B192" s="12" t="n">
        <x:v>4.01</x:v>
      </x:c>
      <x:c r="C192" s="12" t="n">
        <x:v>401</x:v>
      </x:c>
      <x:c r="D192" s="12" t="n">
        <x:v>-6</x:v>
      </x:c>
      <x:c r="E192" s="12" t="str">
        <x:v>Archived FRED mirror (Hugging Face)</x:v>
      </x:c>
    </x:row>
    <x:row r="193" ht="18" customHeight="1">
      <x:c r="A193" s="13" t="n">
        <x:v>42845</x:v>
      </x:c>
      <x:c r="B193" s="12" t="n">
        <x:v>3.98</x:v>
      </x:c>
      <x:c r="C193" s="12" t="n">
        <x:v>398</x:v>
      </x:c>
      <x:c r="D193" s="12" t="n">
        <x:v>-3</x:v>
      </x:c>
      <x:c r="E193" s="12" t="str">
        <x:v>Archived FRED mirror (Hugging Face)</x:v>
      </x:c>
    </x:row>
    <x:row r="194" ht="18" customHeight="1">
      <x:c r="A194" s="13" t="n">
        <x:v>42846</x:v>
      </x:c>
      <x:c r="B194" s="12" t="n">
        <x:v>3.97</x:v>
      </x:c>
      <x:c r="C194" s="12" t="n">
        <x:v>397</x:v>
      </x:c>
      <x:c r="D194" s="12" t="n">
        <x:v>-1</x:v>
      </x:c>
      <x:c r="E194" s="12" t="str">
        <x:v>Archived FRED mirror (Hugging Face)</x:v>
      </x:c>
    </x:row>
    <x:row r="195" ht="18" customHeight="1">
      <x:c r="A195" s="13" t="n">
        <x:v>42849</x:v>
      </x:c>
      <x:c r="B195" s="12" t="n">
        <x:v>3.86</x:v>
      </x:c>
      <x:c r="C195" s="12" t="n">
        <x:v>386</x:v>
      </x:c>
      <x:c r="D195" s="12" t="n">
        <x:v>-11</x:v>
      </x:c>
      <x:c r="E195" s="12" t="str">
        <x:v>Archived FRED mirror (Hugging Face)</x:v>
      </x:c>
    </x:row>
    <x:row r="196" ht="18" customHeight="1">
      <x:c r="A196" s="13" t="n">
        <x:v>42850</x:v>
      </x:c>
      <x:c r="B196" s="12" t="n">
        <x:v>3.78</x:v>
      </x:c>
      <x:c r="C196" s="12" t="n">
        <x:v>378</x:v>
      </x:c>
      <x:c r="D196" s="12" t="n">
        <x:v>-8</x:v>
      </x:c>
      <x:c r="E196" s="12" t="str">
        <x:v>Archived FRED mirror (Hugging Face)</x:v>
      </x:c>
    </x:row>
    <x:row r="197" ht="18" customHeight="1">
      <x:c r="A197" s="13" t="n">
        <x:v>42851</x:v>
      </x:c>
      <x:c r="B197" s="12" t="n">
        <x:v>3.76</x:v>
      </x:c>
      <x:c r="C197" s="12" t="n">
        <x:v>376</x:v>
      </x:c>
      <x:c r="D197" s="12" t="n">
        <x:v>-2</x:v>
      </x:c>
      <x:c r="E197" s="12" t="str">
        <x:v>Archived FRED mirror (Hugging Face)</x:v>
      </x:c>
    </x:row>
    <x:row r="198" ht="18" customHeight="1">
      <x:c r="A198" s="13" t="n">
        <x:v>42852</x:v>
      </x:c>
      <x:c r="B198" s="12" t="n">
        <x:v>3.78</x:v>
      </x:c>
      <x:c r="C198" s="12" t="n">
        <x:v>378</x:v>
      </x:c>
      <x:c r="D198" s="12" t="n">
        <x:v>2</x:v>
      </x:c>
      <x:c r="E198" s="12" t="str">
        <x:v>Archived FRED mirror (Hugging Face)</x:v>
      </x:c>
    </x:row>
    <x:row r="199" ht="18" customHeight="1">
      <x:c r="A199" s="13" t="n">
        <x:v>42853</x:v>
      </x:c>
      <x:c r="B199" s="12" t="n">
        <x:v>3.75</x:v>
      </x:c>
      <x:c r="C199" s="12" t="n">
        <x:v>375</x:v>
      </x:c>
      <x:c r="D199" s="12" t="n">
        <x:v>-3</x:v>
      </x:c>
      <x:c r="E199" s="12" t="str">
        <x:v>Archived FRED mirror (Hugging Face)</x:v>
      </x:c>
    </x:row>
    <x:row r="200" ht="18" customHeight="1">
      <x:c r="A200" s="13" t="n">
        <x:v>42855</x:v>
      </x:c>
      <x:c r="B200" s="12" t="n">
        <x:v>3.81</x:v>
      </x:c>
      <x:c r="C200" s="12" t="n">
        <x:v>381</x:v>
      </x:c>
      <x:c r="D200" s="12" t="n">
        <x:v>6</x:v>
      </x:c>
      <x:c r="E200" s="12" t="str">
        <x:v>Archived FRED mirror (Hugging Face)</x:v>
      </x:c>
    </x:row>
    <x:row r="201" ht="18" customHeight="1">
      <x:c r="A201" s="13" t="n">
        <x:v>42856</x:v>
      </x:c>
      <x:c r="B201" s="12" t="n">
        <x:v>3.78</x:v>
      </x:c>
      <x:c r="C201" s="12" t="n">
        <x:v>378</x:v>
      </x:c>
      <x:c r="D201" s="12" t="n">
        <x:v>-3</x:v>
      </x:c>
      <x:c r="E201" s="12" t="str">
        <x:v>Archived FRED mirror (Hugging Face)</x:v>
      </x:c>
    </x:row>
    <x:row r="202" ht="18" customHeight="1">
      <x:c r="A202" s="13" t="n">
        <x:v>42857</x:v>
      </x:c>
      <x:c r="B202" s="12" t="n">
        <x:v>3.79</x:v>
      </x:c>
      <x:c r="C202" s="12" t="n">
        <x:v>379</x:v>
      </x:c>
      <x:c r="D202" s="12" t="n">
        <x:v>1</x:v>
      </x:c>
      <x:c r="E202" s="12" t="str">
        <x:v>Archived FRED mirror (Hugging Face)</x:v>
      </x:c>
    </x:row>
    <x:row r="203" ht="18" customHeight="1">
      <x:c r="A203" s="13" t="n">
        <x:v>42858</x:v>
      </x:c>
      <x:c r="B203" s="12" t="n">
        <x:v>3.76</x:v>
      </x:c>
      <x:c r="C203" s="12" t="n">
        <x:v>376</x:v>
      </x:c>
      <x:c r="D203" s="12" t="n">
        <x:v>-3</x:v>
      </x:c>
      <x:c r="E203" s="12" t="str">
        <x:v>Archived FRED mirror (Hugging Face)</x:v>
      </x:c>
    </x:row>
    <x:row r="204" ht="18" customHeight="1">
      <x:c r="A204" s="13" t="n">
        <x:v>42859</x:v>
      </x:c>
      <x:c r="B204" s="12" t="n">
        <x:v>3.8</x:v>
      </x:c>
      <x:c r="C204" s="12" t="n">
        <x:v>380</x:v>
      </x:c>
      <x:c r="D204" s="12" t="n">
        <x:v>4</x:v>
      </x:c>
      <x:c r="E204" s="12" t="str">
        <x:v>Archived FRED mirror (Hugging Face)</x:v>
      </x:c>
    </x:row>
    <x:row r="205" ht="18" customHeight="1">
      <x:c r="A205" s="13" t="n">
        <x:v>42860</x:v>
      </x:c>
      <x:c r="B205" s="12" t="n">
        <x:v>3.82</x:v>
      </x:c>
      <x:c r="C205" s="12" t="n">
        <x:v>382</x:v>
      </x:c>
      <x:c r="D205" s="12" t="n">
        <x:v>2</x:v>
      </x:c>
      <x:c r="E205" s="12" t="str">
        <x:v>Archived FRED mirror (Hugging Face)</x:v>
      </x:c>
    </x:row>
    <x:row r="206" ht="18" customHeight="1">
      <x:c r="A206" s="13" t="n">
        <x:v>42863</x:v>
      </x:c>
      <x:c r="B206" s="12" t="n">
        <x:v>3.8</x:v>
      </x:c>
      <x:c r="C206" s="12" t="n">
        <x:v>380</x:v>
      </x:c>
      <x:c r="D206" s="12" t="n">
        <x:v>-2</x:v>
      </x:c>
      <x:c r="E206" s="12" t="str">
        <x:v>Archived FRED mirror (Hugging Face)</x:v>
      </x:c>
    </x:row>
    <x:row r="207" ht="18" customHeight="1">
      <x:c r="A207" s="13" t="n">
        <x:v>42864</x:v>
      </x:c>
      <x:c r="B207" s="12" t="n">
        <x:v>3.74</x:v>
      </x:c>
      <x:c r="C207" s="12" t="n">
        <x:v>374</x:v>
      </x:c>
      <x:c r="D207" s="12" t="n">
        <x:v>-6</x:v>
      </x:c>
      <x:c r="E207" s="12" t="str">
        <x:v>Archived FRED mirror (Hugging Face)</x:v>
      </x:c>
    </x:row>
    <x:row r="208" ht="18" customHeight="1">
      <x:c r="A208" s="13" t="n">
        <x:v>42865</x:v>
      </x:c>
      <x:c r="B208" s="12" t="n">
        <x:v>3.72</x:v>
      </x:c>
      <x:c r="C208" s="12" t="n">
        <x:v>372</x:v>
      </x:c>
      <x:c r="D208" s="12" t="n">
        <x:v>-2</x:v>
      </x:c>
      <x:c r="E208" s="12" t="str">
        <x:v>Archived FRED mirror (Hugging Face)</x:v>
      </x:c>
    </x:row>
    <x:row r="209" ht="18" customHeight="1">
      <x:c r="A209" s="13" t="n">
        <x:v>42866</x:v>
      </x:c>
      <x:c r="B209" s="12" t="n">
        <x:v>3.72</x:v>
      </x:c>
      <x:c r="C209" s="12" t="n">
        <x:v>372</x:v>
      </x:c>
      <x:c r="D209" s="12" t="n">
        <x:v>0</x:v>
      </x:c>
      <x:c r="E209" s="12" t="str">
        <x:v>Archived FRED mirror (Hugging Face)</x:v>
      </x:c>
    </x:row>
    <x:row r="210" ht="18" customHeight="1">
      <x:c r="A210" s="13" t="n">
        <x:v>42867</x:v>
      </x:c>
      <x:c r="B210" s="12" t="n">
        <x:v>3.77</x:v>
      </x:c>
      <x:c r="C210" s="12" t="n">
        <x:v>377</x:v>
      </x:c>
      <x:c r="D210" s="12" t="n">
        <x:v>5</x:v>
      </x:c>
      <x:c r="E210" s="12" t="str">
        <x:v>Archived FRED mirror (Hugging Face)</x:v>
      </x:c>
    </x:row>
    <x:row r="211" ht="18" customHeight="1">
      <x:c r="A211" s="13" t="n">
        <x:v>42870</x:v>
      </x:c>
      <x:c r="B211" s="12" t="n">
        <x:v>3.72</x:v>
      </x:c>
      <x:c r="C211" s="12" t="n">
        <x:v>372</x:v>
      </x:c>
      <x:c r="D211" s="12" t="n">
        <x:v>-5</x:v>
      </x:c>
      <x:c r="E211" s="12" t="str">
        <x:v>Archived FRED mirror (Hugging Face)</x:v>
      </x:c>
    </x:row>
    <x:row r="212" ht="18" customHeight="1">
      <x:c r="A212" s="13" t="n">
        <x:v>42871</x:v>
      </x:c>
      <x:c r="B212" s="12" t="n">
        <x:v>3.71</x:v>
      </x:c>
      <x:c r="C212" s="12" t="n">
        <x:v>371</x:v>
      </x:c>
      <x:c r="D212" s="12" t="n">
        <x:v>-1</x:v>
      </x:c>
      <x:c r="E212" s="12" t="str">
        <x:v>Archived FRED mirror (Hugging Face)</x:v>
      </x:c>
    </x:row>
    <x:row r="213" ht="18" customHeight="1">
      <x:c r="A213" s="13" t="n">
        <x:v>42872</x:v>
      </x:c>
      <x:c r="B213" s="12" t="n">
        <x:v>3.84</x:v>
      </x:c>
      <x:c r="C213" s="12" t="n">
        <x:v>384</x:v>
      </x:c>
      <x:c r="D213" s="12" t="n">
        <x:v>13</x:v>
      </x:c>
      <x:c r="E213" s="12" t="str">
        <x:v>Archived FRED mirror (Hugging Face)</x:v>
      </x:c>
    </x:row>
    <x:row r="214" ht="18" customHeight="1">
      <x:c r="A214" s="13" t="n">
        <x:v>42873</x:v>
      </x:c>
      <x:c r="B214" s="12" t="n">
        <x:v>3.85</x:v>
      </x:c>
      <x:c r="C214" s="12" t="n">
        <x:v>385</x:v>
      </x:c>
      <x:c r="D214" s="12" t="n">
        <x:v>1</x:v>
      </x:c>
      <x:c r="E214" s="12" t="str">
        <x:v>Archived FRED mirror (Hugging Face)</x:v>
      </x:c>
    </x:row>
    <x:row r="215" ht="18" customHeight="1">
      <x:c r="A215" s="13" t="n">
        <x:v>42874</x:v>
      </x:c>
      <x:c r="B215" s="12" t="n">
        <x:v>3.78</x:v>
      </x:c>
      <x:c r="C215" s="12" t="n">
        <x:v>378</x:v>
      </x:c>
      <x:c r="D215" s="12" t="n">
        <x:v>-7</x:v>
      </x:c>
      <x:c r="E215" s="12" t="str">
        <x:v>Archived FRED mirror (Hugging Face)</x:v>
      </x:c>
    </x:row>
    <x:row r="216" ht="18" customHeight="1">
      <x:c r="A216" s="13" t="n">
        <x:v>42877</x:v>
      </x:c>
      <x:c r="B216" s="12" t="n">
        <x:v>3.72</x:v>
      </x:c>
      <x:c r="C216" s="12" t="n">
        <x:v>372</x:v>
      </x:c>
      <x:c r="D216" s="12" t="n">
        <x:v>-6</x:v>
      </x:c>
      <x:c r="E216" s="12" t="str">
        <x:v>Archived FRED mirror (Hugging Face)</x:v>
      </x:c>
    </x:row>
    <x:row r="217" ht="18" customHeight="1">
      <x:c r="A217" s="13" t="n">
        <x:v>42878</x:v>
      </x:c>
      <x:c r="B217" s="12" t="n">
        <x:v>3.67</x:v>
      </x:c>
      <x:c r="C217" s="12" t="n">
        <x:v>367</x:v>
      </x:c>
      <x:c r="D217" s="12" t="n">
        <x:v>-5</x:v>
      </x:c>
      <x:c r="E217" s="12" t="str">
        <x:v>Archived FRED mirror (Hugging Face)</x:v>
      </x:c>
    </x:row>
    <x:row r="218" ht="18" customHeight="1">
      <x:c r="A218" s="13" t="n">
        <x:v>42879</x:v>
      </x:c>
      <x:c r="B218" s="12" t="n">
        <x:v>3.68</x:v>
      </x:c>
      <x:c r="C218" s="12" t="n">
        <x:v>368</x:v>
      </x:c>
      <x:c r="D218" s="12" t="n">
        <x:v>1</x:v>
      </x:c>
      <x:c r="E218" s="12" t="str">
        <x:v>Archived FRED mirror (Hugging Face)</x:v>
      </x:c>
    </x:row>
    <x:row r="219" ht="18" customHeight="1">
      <x:c r="A219" s="13" t="n">
        <x:v>42880</x:v>
      </x:c>
      <x:c r="B219" s="12" t="n">
        <x:v>3.67</x:v>
      </x:c>
      <x:c r="C219" s="12" t="n">
        <x:v>367</x:v>
      </x:c>
      <x:c r="D219" s="12" t="n">
        <x:v>-1</x:v>
      </x:c>
      <x:c r="E219" s="12" t="str">
        <x:v>Archived FRED mirror (Hugging Face)</x:v>
      </x:c>
    </x:row>
    <x:row r="220" ht="18" customHeight="1">
      <x:c r="A220" s="13" t="n">
        <x:v>42881</x:v>
      </x:c>
      <x:c r="B220" s="12" t="n">
        <x:v>3.67</x:v>
      </x:c>
      <x:c r="C220" s="12" t="n">
        <x:v>367</x:v>
      </x:c>
      <x:c r="D220" s="12" t="n">
        <x:v>0</x:v>
      </x:c>
      <x:c r="E220" s="12" t="str">
        <x:v>Archived FRED mirror (Hugging Face)</x:v>
      </x:c>
    </x:row>
    <x:row r="221" ht="18" customHeight="1">
      <x:c r="A221" s="13" t="n">
        <x:v>42884</x:v>
      </x:c>
      <x:c r="B221" s="12" t="n">
        <x:v>3.67</x:v>
      </x:c>
      <x:c r="C221" s="12" t="n">
        <x:v>367</x:v>
      </x:c>
      <x:c r="D221" s="12" t="n">
        <x:v>0</x:v>
      </x:c>
      <x:c r="E221" s="12" t="str">
        <x:v>Archived FRED mirror (Hugging Face)</x:v>
      </x:c>
    </x:row>
    <x:row r="222" ht="18" customHeight="1">
      <x:c r="A222" s="13" t="n">
        <x:v>42885</x:v>
      </x:c>
      <x:c r="B222" s="12" t="n">
        <x:v>3.68</x:v>
      </x:c>
      <x:c r="C222" s="12" t="n">
        <x:v>368</x:v>
      </x:c>
      <x:c r="D222" s="12" t="n">
        <x:v>1</x:v>
      </x:c>
      <x:c r="E222" s="12" t="str">
        <x:v>Archived FRED mirror (Hugging Face)</x:v>
      </x:c>
    </x:row>
    <x:row r="223" ht="18" customHeight="1">
      <x:c r="A223" s="13" t="n">
        <x:v>42886</x:v>
      </x:c>
      <x:c r="B223" s="12" t="n">
        <x:v>3.74</x:v>
      </x:c>
      <x:c r="C223" s="12" t="n">
        <x:v>374</x:v>
      </x:c>
      <x:c r="D223" s="12" t="n">
        <x:v>6</x:v>
      </x:c>
      <x:c r="E223" s="12" t="str">
        <x:v>Archived FRED mirror (Hugging Face)</x:v>
      </x:c>
    </x:row>
    <x:row r="224" ht="18" customHeight="1">
      <x:c r="A224" s="13" t="n">
        <x:v>42887</x:v>
      </x:c>
      <x:c r="B224" s="12" t="n">
        <x:v>3.69</x:v>
      </x:c>
      <x:c r="C224" s="12" t="n">
        <x:v>369</x:v>
      </x:c>
      <x:c r="D224" s="12" t="n">
        <x:v>-5</x:v>
      </x:c>
      <x:c r="E224" s="12" t="str">
        <x:v>Archived FRED mirror (Hugging Face)</x:v>
      </x:c>
    </x:row>
    <x:row r="225" ht="18" customHeight="1">
      <x:c r="A225" s="13" t="n">
        <x:v>42888</x:v>
      </x:c>
      <x:c r="B225" s="12" t="n">
        <x:v>3.69</x:v>
      </x:c>
      <x:c r="C225" s="12" t="n">
        <x:v>369</x:v>
      </x:c>
      <x:c r="D225" s="12" t="n">
        <x:v>0</x:v>
      </x:c>
      <x:c r="E225" s="12" t="str">
        <x:v>Archived FRED mirror (Hugging Face)</x:v>
      </x:c>
    </x:row>
    <x:row r="226" ht="18" customHeight="1">
      <x:c r="A226" s="13" t="n">
        <x:v>42891</x:v>
      </x:c>
      <x:c r="B226" s="12" t="n">
        <x:v>3.68</x:v>
      </x:c>
      <x:c r="C226" s="12" t="n">
        <x:v>368</x:v>
      </x:c>
      <x:c r="D226" s="12" t="n">
        <x:v>-1</x:v>
      </x:c>
      <x:c r="E226" s="12" t="str">
        <x:v>Archived FRED mirror (Hugging Face)</x:v>
      </x:c>
    </x:row>
    <x:row r="227" ht="18" customHeight="1">
      <x:c r="A227" s="13" t="n">
        <x:v>42892</x:v>
      </x:c>
      <x:c r="B227" s="12" t="n">
        <x:v>3.72</x:v>
      </x:c>
      <x:c r="C227" s="12" t="n">
        <x:v>372</x:v>
      </x:c>
      <x:c r="D227" s="12" t="n">
        <x:v>4</x:v>
      </x:c>
      <x:c r="E227" s="12" t="str">
        <x:v>Archived FRED mirror (Hugging Face)</x:v>
      </x:c>
    </x:row>
    <x:row r="228" ht="18" customHeight="1">
      <x:c r="A228" s="13" t="n">
        <x:v>42893</x:v>
      </x:c>
      <x:c r="B228" s="12" t="n">
        <x:v>3.73</x:v>
      </x:c>
      <x:c r="C228" s="12" t="n">
        <x:v>373</x:v>
      </x:c>
      <x:c r="D228" s="12" t="n">
        <x:v>1</x:v>
      </x:c>
      <x:c r="E228" s="12" t="str">
        <x:v>Archived FRED mirror (Hugging Face)</x:v>
      </x:c>
    </x:row>
    <x:row r="229" ht="18" customHeight="1">
      <x:c r="A229" s="13" t="n">
        <x:v>42894</x:v>
      </x:c>
      <x:c r="B229" s="12" t="n">
        <x:v>3.76</x:v>
      </x:c>
      <x:c r="C229" s="12" t="n">
        <x:v>376</x:v>
      </x:c>
      <x:c r="D229" s="12" t="n">
        <x:v>3</x:v>
      </x:c>
      <x:c r="E229" s="12" t="str">
        <x:v>Archived FRED mirror (Hugging Face)</x:v>
      </x:c>
    </x:row>
    <x:row r="230" ht="18" customHeight="1">
      <x:c r="A230" s="13" t="n">
        <x:v>42895</x:v>
      </x:c>
      <x:c r="B230" s="12" t="n">
        <x:v>3.73</x:v>
      </x:c>
      <x:c r="C230" s="12" t="n">
        <x:v>373</x:v>
      </x:c>
      <x:c r="D230" s="12" t="n">
        <x:v>-3</x:v>
      </x:c>
      <x:c r="E230" s="12" t="str">
        <x:v>Archived FRED mirror (Hugging Face)</x:v>
      </x:c>
    </x:row>
    <x:row r="231" ht="18" customHeight="1">
      <x:c r="A231" s="13" t="n">
        <x:v>42898</x:v>
      </x:c>
      <x:c r="B231" s="12" t="n">
        <x:v>3.71</x:v>
      </x:c>
      <x:c r="C231" s="12" t="n">
        <x:v>371</x:v>
      </x:c>
      <x:c r="D231" s="12" t="n">
        <x:v>-2</x:v>
      </x:c>
      <x:c r="E231" s="12" t="str">
        <x:v>Archived FRED mirror (Hugging Face)</x:v>
      </x:c>
    </x:row>
    <x:row r="232" ht="18" customHeight="1">
      <x:c r="A232" s="13" t="n">
        <x:v>42899</x:v>
      </x:c>
      <x:c r="B232" s="12" t="n">
        <x:v>3.68</x:v>
      </x:c>
      <x:c r="C232" s="12" t="n">
        <x:v>368</x:v>
      </x:c>
      <x:c r="D232" s="12" t="n">
        <x:v>-3</x:v>
      </x:c>
      <x:c r="E232" s="12" t="str">
        <x:v>Archived FRED mirror (Hugging Face)</x:v>
      </x:c>
    </x:row>
    <x:row r="233" ht="18" customHeight="1">
      <x:c r="A233" s="13" t="n">
        <x:v>42900</x:v>
      </x:c>
      <x:c r="B233" s="12" t="n">
        <x:v>3.7</x:v>
      </x:c>
      <x:c r="C233" s="12" t="n">
        <x:v>370</x:v>
      </x:c>
      <x:c r="D233" s="12" t="n">
        <x:v>2</x:v>
      </x:c>
      <x:c r="E233" s="12" t="str">
        <x:v>Archived FRED mirror (Hugging Face)</x:v>
      </x:c>
    </x:row>
    <x:row r="234" ht="18" customHeight="1">
      <x:c r="A234" s="13" t="n">
        <x:v>42901</x:v>
      </x:c>
      <x:c r="B234" s="12" t="n">
        <x:v>3.72</x:v>
      </x:c>
      <x:c r="C234" s="12" t="n">
        <x:v>372</x:v>
      </x:c>
      <x:c r="D234" s="12" t="n">
        <x:v>2</x:v>
      </x:c>
      <x:c r="E234" s="12" t="str">
        <x:v>Archived FRED mirror (Hugging Face)</x:v>
      </x:c>
    </x:row>
    <x:row r="235" ht="18" customHeight="1">
      <x:c r="A235" s="13" t="n">
        <x:v>42902</x:v>
      </x:c>
      <x:c r="B235" s="12" t="n">
        <x:v>3.76</x:v>
      </x:c>
      <x:c r="C235" s="12" t="n">
        <x:v>376</x:v>
      </x:c>
      <x:c r="D235" s="12" t="n">
        <x:v>4</x:v>
      </x:c>
      <x:c r="E235" s="12" t="str">
        <x:v>Archived FRED mirror (Hugging Face)</x:v>
      </x:c>
    </x:row>
    <x:row r="236" ht="18" customHeight="1">
      <x:c r="A236" s="13" t="n">
        <x:v>42905</x:v>
      </x:c>
      <x:c r="B236" s="12" t="n">
        <x:v>3.7</x:v>
      </x:c>
      <x:c r="C236" s="12" t="n">
        <x:v>370</x:v>
      </x:c>
      <x:c r="D236" s="12" t="n">
        <x:v>-6</x:v>
      </x:c>
      <x:c r="E236" s="12" t="str">
        <x:v>Archived FRED mirror (Hugging Face)</x:v>
      </x:c>
    </x:row>
    <x:row r="237" ht="18" customHeight="1">
      <x:c r="A237" s="13" t="n">
        <x:v>42906</x:v>
      </x:c>
      <x:c r="B237" s="12" t="n">
        <x:v>3.77</x:v>
      </x:c>
      <x:c r="C237" s="12" t="n">
        <x:v>377</x:v>
      </x:c>
      <x:c r="D237" s="12" t="n">
        <x:v>7</x:v>
      </x:c>
      <x:c r="E237" s="12" t="str">
        <x:v>Archived FRED mirror (Hugging Face)</x:v>
      </x:c>
    </x:row>
    <x:row r="238" ht="18" customHeight="1">
      <x:c r="A238" s="13" t="n">
        <x:v>42907</x:v>
      </x:c>
      <x:c r="B238" s="12" t="n">
        <x:v>3.85</x:v>
      </x:c>
      <x:c r="C238" s="12" t="n">
        <x:v>385</x:v>
      </x:c>
      <x:c r="D238" s="12" t="n">
        <x:v>8</x:v>
      </x:c>
      <x:c r="E238" s="12" t="str">
        <x:v>Archived FRED mirror (Hugging Face)</x:v>
      </x:c>
    </x:row>
    <x:row r="239" ht="18" customHeight="1">
      <x:c r="A239" s="13" t="n">
        <x:v>42908</x:v>
      </x:c>
      <x:c r="B239" s="12" t="n">
        <x:v>3.87</x:v>
      </x:c>
      <x:c r="C239" s="12" t="n">
        <x:v>387</x:v>
      </x:c>
      <x:c r="D239" s="12" t="n">
        <x:v>2</x:v>
      </x:c>
      <x:c r="E239" s="12" t="str">
        <x:v>Archived FRED mirror (Hugging Face)</x:v>
      </x:c>
    </x:row>
    <x:row r="240" ht="18" customHeight="1">
      <x:c r="A240" s="13" t="n">
        <x:v>42909</x:v>
      </x:c>
      <x:c r="B240" s="12" t="n">
        <x:v>3.86</x:v>
      </x:c>
      <x:c r="C240" s="12" t="n">
        <x:v>386</x:v>
      </x:c>
      <x:c r="D240" s="12" t="n">
        <x:v>-1</x:v>
      </x:c>
      <x:c r="E240" s="12" t="str">
        <x:v>Archived FRED mirror (Hugging Face)</x:v>
      </x:c>
    </x:row>
    <x:row r="241" ht="18" customHeight="1">
      <x:c r="A241" s="13" t="n">
        <x:v>42912</x:v>
      </x:c>
      <x:c r="B241" s="12" t="n">
        <x:v>3.83</x:v>
      </x:c>
      <x:c r="C241" s="12" t="n">
        <x:v>383</x:v>
      </x:c>
      <x:c r="D241" s="12" t="n">
        <x:v>-3</x:v>
      </x:c>
      <x:c r="E241" s="12" t="str">
        <x:v>Archived FRED mirror (Hugging Face)</x:v>
      </x:c>
    </x:row>
    <x:row r="242" ht="18" customHeight="1">
      <x:c r="A242" s="13" t="n">
        <x:v>42913</x:v>
      </x:c>
      <x:c r="B242" s="12" t="n">
        <x:v>3.77</x:v>
      </x:c>
      <x:c r="C242" s="12" t="n">
        <x:v>377</x:v>
      </x:c>
      <x:c r="D242" s="12" t="n">
        <x:v>-6</x:v>
      </x:c>
      <x:c r="E242" s="12" t="str">
        <x:v>Archived FRED mirror (Hugging Face)</x:v>
      </x:c>
    </x:row>
    <x:row r="243" ht="18" customHeight="1">
      <x:c r="A243" s="13" t="n">
        <x:v>42914</x:v>
      </x:c>
      <x:c r="B243" s="12" t="n">
        <x:v>3.77</x:v>
      </x:c>
      <x:c r="C243" s="12" t="n">
        <x:v>377</x:v>
      </x:c>
      <x:c r="D243" s="12" t="n">
        <x:v>0</x:v>
      </x:c>
      <x:c r="E243" s="12" t="str">
        <x:v>Archived FRED mirror (Hugging Face)</x:v>
      </x:c>
    </x:row>
    <x:row r="244" ht="18" customHeight="1">
      <x:c r="A244" s="13" t="n">
        <x:v>42915</x:v>
      </x:c>
      <x:c r="B244" s="12" t="n">
        <x:v>3.76</x:v>
      </x:c>
      <x:c r="C244" s="12" t="n">
        <x:v>376</x:v>
      </x:c>
      <x:c r="D244" s="12" t="n">
        <x:v>-1</x:v>
      </x:c>
      <x:c r="E244" s="12" t="str">
        <x:v>Archived FRED mirror (Hugging Face)</x:v>
      </x:c>
    </x:row>
    <x:row r="245" ht="18" customHeight="1">
      <x:c r="A245" s="13" t="n">
        <x:v>42916</x:v>
      </x:c>
      <x:c r="B245" s="12" t="n">
        <x:v>3.77</x:v>
      </x:c>
      <x:c r="C245" s="12" t="n">
        <x:v>377</x:v>
      </x:c>
      <x:c r="D245" s="12" t="n">
        <x:v>1</x:v>
      </x:c>
      <x:c r="E245" s="12" t="str">
        <x:v>Archived FRED mirror (Hugging Face)</x:v>
      </x:c>
    </x:row>
    <x:row r="246" ht="18" customHeight="1">
      <x:c r="A246" s="13" t="n">
        <x:v>42919</x:v>
      </x:c>
      <x:c r="B246" s="12" t="n">
        <x:v>3.72</x:v>
      </x:c>
      <x:c r="C246" s="12" t="n">
        <x:v>372</x:v>
      </x:c>
      <x:c r="D246" s="12" t="n">
        <x:v>-5</x:v>
      </x:c>
      <x:c r="E246" s="12" t="str">
        <x:v>Archived FRED mirror (Hugging Face)</x:v>
      </x:c>
    </x:row>
    <x:row r="247" ht="18" customHeight="1">
      <x:c r="A247" s="13" t="n">
        <x:v>42920</x:v>
      </x:c>
      <x:c r="B247" s="12" t="n">
        <x:v>3.72</x:v>
      </x:c>
      <x:c r="C247" s="12" t="n">
        <x:v>372</x:v>
      </x:c>
      <x:c r="D247" s="12" t="n">
        <x:v>0</x:v>
      </x:c>
      <x:c r="E247" s="12" t="str">
        <x:v>Archived FRED mirror (Hugging Face)</x:v>
      </x:c>
    </x:row>
    <x:row r="248" ht="18" customHeight="1">
      <x:c r="A248" s="13" t="n">
        <x:v>42921</x:v>
      </x:c>
      <x:c r="B248" s="12" t="n">
        <x:v>3.73</x:v>
      </x:c>
      <x:c r="C248" s="12" t="n">
        <x:v>373</x:v>
      </x:c>
      <x:c r="D248" s="12" t="n">
        <x:v>1</x:v>
      </x:c>
      <x:c r="E248" s="12" t="str">
        <x:v>Archived FRED mirror (Hugging Face)</x:v>
      </x:c>
    </x:row>
    <x:row r="249" ht="18" customHeight="1">
      <x:c r="A249" s="13" t="n">
        <x:v>42922</x:v>
      </x:c>
      <x:c r="B249" s="12" t="n">
        <x:v>3.78</x:v>
      </x:c>
      <x:c r="C249" s="12" t="n">
        <x:v>378</x:v>
      </x:c>
      <x:c r="D249" s="12" t="n">
        <x:v>5</x:v>
      </x:c>
      <x:c r="E249" s="12" t="str">
        <x:v>Archived FRED mirror (Hugging Face)</x:v>
      </x:c>
    </x:row>
    <x:row r="250" ht="18" customHeight="1">
      <x:c r="A250" s="13" t="n">
        <x:v>42923</x:v>
      </x:c>
      <x:c r="B250" s="12" t="n">
        <x:v>3.83</x:v>
      </x:c>
      <x:c r="C250" s="12" t="n">
        <x:v>383</x:v>
      </x:c>
      <x:c r="D250" s="12" t="n">
        <x:v>5</x:v>
      </x:c>
      <x:c r="E250" s="12" t="str">
        <x:v>Archived FRED mirror (Hugging Face)</x:v>
      </x:c>
    </x:row>
    <x:row r="251" ht="18" customHeight="1">
      <x:c r="A251" s="13" t="n">
        <x:v>42926</x:v>
      </x:c>
      <x:c r="B251" s="12" t="n">
        <x:v>3.83</x:v>
      </x:c>
      <x:c r="C251" s="12" t="n">
        <x:v>383</x:v>
      </x:c>
      <x:c r="D251" s="12" t="n">
        <x:v>0</x:v>
      </x:c>
      <x:c r="E251" s="12" t="str">
        <x:v>Archived FRED mirror (Hugging Face)</x:v>
      </x:c>
    </x:row>
    <x:row r="252" ht="18" customHeight="1">
      <x:c r="A252" s="13" t="n">
        <x:v>42927</x:v>
      </x:c>
      <x:c r="B252" s="12" t="n">
        <x:v>3.85</x:v>
      </x:c>
      <x:c r="C252" s="12" t="n">
        <x:v>385</x:v>
      </x:c>
      <x:c r="D252" s="12" t="n">
        <x:v>2</x:v>
      </x:c>
      <x:c r="E252" s="12" t="str">
        <x:v>Archived FRED mirror (Hugging Face)</x:v>
      </x:c>
    </x:row>
    <x:row r="253" ht="18" customHeight="1">
      <x:c r="A253" s="13" t="n">
        <x:v>42928</x:v>
      </x:c>
      <x:c r="B253" s="12" t="n">
        <x:v>3.81</x:v>
      </x:c>
      <x:c r="C253" s="12" t="n">
        <x:v>381</x:v>
      </x:c>
      <x:c r="D253" s="12" t="n">
        <x:v>-4</x:v>
      </x:c>
      <x:c r="E253" s="12" t="str">
        <x:v>Archived FRED mirror (Hugging Face)</x:v>
      </x:c>
    </x:row>
    <x:row r="254" ht="18" customHeight="1">
      <x:c r="A254" s="13" t="n">
        <x:v>42929</x:v>
      </x:c>
      <x:c r="B254" s="12" t="n">
        <x:v>3.77</x:v>
      </x:c>
      <x:c r="C254" s="12" t="n">
        <x:v>377</x:v>
      </x:c>
      <x:c r="D254" s="12" t="n">
        <x:v>-4</x:v>
      </x:c>
      <x:c r="E254" s="12" t="str">
        <x:v>Archived FRED mirror (Hugging Face)</x:v>
      </x:c>
    </x:row>
    <x:row r="255" ht="18" customHeight="1">
      <x:c r="A255" s="13" t="n">
        <x:v>42930</x:v>
      </x:c>
      <x:c r="B255" s="12" t="n">
        <x:v>3.73</x:v>
      </x:c>
      <x:c r="C255" s="12" t="n">
        <x:v>373</x:v>
      </x:c>
      <x:c r="D255" s="12" t="n">
        <x:v>-4</x:v>
      </x:c>
      <x:c r="E255" s="12" t="str">
        <x:v>Archived FRED mirror (Hugging Face)</x:v>
      </x:c>
    </x:row>
    <x:row r="256" ht="18" customHeight="1">
      <x:c r="A256" s="13" t="n">
        <x:v>42933</x:v>
      </x:c>
      <x:c r="B256" s="12" t="n">
        <x:v>3.69</x:v>
      </x:c>
      <x:c r="C256" s="12" t="n">
        <x:v>369</x:v>
      </x:c>
      <x:c r="D256" s="12" t="n">
        <x:v>-4</x:v>
      </x:c>
      <x:c r="E256" s="12" t="str">
        <x:v>Archived FRED mirror (Hugging Face)</x:v>
      </x:c>
    </x:row>
    <x:row r="257" ht="18" customHeight="1">
      <x:c r="A257" s="13" t="n">
        <x:v>42934</x:v>
      </x:c>
      <x:c r="B257" s="12" t="n">
        <x:v>3.69</x:v>
      </x:c>
      <x:c r="C257" s="12" t="n">
        <x:v>369</x:v>
      </x:c>
      <x:c r="D257" s="12" t="n">
        <x:v>0</x:v>
      </x:c>
      <x:c r="E257" s="12" t="str">
        <x:v>Archived FRED mirror (Hugging Face)</x:v>
      </x:c>
    </x:row>
    <x:row r="258" ht="18" customHeight="1">
      <x:c r="A258" s="13" t="n">
        <x:v>42935</x:v>
      </x:c>
      <x:c r="B258" s="12" t="n">
        <x:v>3.64</x:v>
      </x:c>
      <x:c r="C258" s="12" t="n">
        <x:v>364</x:v>
      </x:c>
      <x:c r="D258" s="12" t="n">
        <x:v>-5</x:v>
      </x:c>
      <x:c r="E258" s="12" t="str">
        <x:v>Archived FRED mirror (Hugging Face)</x:v>
      </x:c>
    </x:row>
    <x:row r="259" ht="18" customHeight="1">
      <x:c r="A259" s="13" t="n">
        <x:v>42936</x:v>
      </x:c>
      <x:c r="B259" s="12" t="n">
        <x:v>3.61</x:v>
      </x:c>
      <x:c r="C259" s="12" t="n">
        <x:v>361</x:v>
      </x:c>
      <x:c r="D259" s="12" t="n">
        <x:v>-3</x:v>
      </x:c>
      <x:c r="E259" s="12" t="str">
        <x:v>Archived FRED mirror (Hugging Face)</x:v>
      </x:c>
    </x:row>
    <x:row r="260" ht="18" customHeight="1">
      <x:c r="A260" s="13" t="n">
        <x:v>42937</x:v>
      </x:c>
      <x:c r="B260" s="12" t="n">
        <x:v>3.64</x:v>
      </x:c>
      <x:c r="C260" s="12" t="n">
        <x:v>364</x:v>
      </x:c>
      <x:c r="D260" s="12" t="n">
        <x:v>3</x:v>
      </x:c>
      <x:c r="E260" s="12" t="str">
        <x:v>Archived FRED mirror (Hugging Face)</x:v>
      </x:c>
    </x:row>
    <x:row r="261" ht="18" customHeight="1">
      <x:c r="A261" s="13" t="n">
        <x:v>42940</x:v>
      </x:c>
      <x:c r="B261" s="12" t="n">
        <x:v>3.63</x:v>
      </x:c>
      <x:c r="C261" s="12" t="n">
        <x:v>363</x:v>
      </x:c>
      <x:c r="D261" s="12" t="n">
        <x:v>-1</x:v>
      </x:c>
      <x:c r="E261" s="12" t="str">
        <x:v>Archived FRED mirror (Hugging Face)</x:v>
      </x:c>
    </x:row>
    <x:row r="262" ht="18" customHeight="1">
      <x:c r="A262" s="13" t="n">
        <x:v>42941</x:v>
      </x:c>
      <x:c r="B262" s="12" t="n">
        <x:v>3.55</x:v>
      </x:c>
      <x:c r="C262" s="12" t="n">
        <x:v>355</x:v>
      </x:c>
      <x:c r="D262" s="12" t="n">
        <x:v>-8</x:v>
      </x:c>
      <x:c r="E262" s="12" t="str">
        <x:v>Archived FRED mirror (Hugging Face)</x:v>
      </x:c>
    </x:row>
    <x:row r="263" ht="18" customHeight="1">
      <x:c r="A263" s="13" t="n">
        <x:v>42942</x:v>
      </x:c>
      <x:c r="B263" s="12" t="n">
        <x:v>3.56</x:v>
      </x:c>
      <x:c r="C263" s="12" t="n">
        <x:v>356</x:v>
      </x:c>
      <x:c r="D263" s="12" t="n">
        <x:v>1</x:v>
      </x:c>
      <x:c r="E263" s="12" t="str">
        <x:v>Archived FRED mirror (Hugging Face)</x:v>
      </x:c>
    </x:row>
    <x:row r="264" ht="18" customHeight="1">
      <x:c r="A264" s="13" t="n">
        <x:v>42943</x:v>
      </x:c>
      <x:c r="B264" s="12" t="n">
        <x:v>3.55</x:v>
      </x:c>
      <x:c r="C264" s="12" t="n">
        <x:v>355</x:v>
      </x:c>
      <x:c r="D264" s="12" t="n">
        <x:v>-1</x:v>
      </x:c>
      <x:c r="E264" s="12" t="str">
        <x:v>Archived FRED mirror (Hugging Face)</x:v>
      </x:c>
    </x:row>
    <x:row r="265" ht="18" customHeight="1">
      <x:c r="A265" s="13" t="n">
        <x:v>42944</x:v>
      </x:c>
      <x:c r="B265" s="12" t="n">
        <x:v>3.59</x:v>
      </x:c>
      <x:c r="C265" s="12" t="n">
        <x:v>359</x:v>
      </x:c>
      <x:c r="D265" s="12" t="n">
        <x:v>4</x:v>
      </x:c>
      <x:c r="E265" s="12" t="str">
        <x:v>Archived FRED mirror (Hugging Face)</x:v>
      </x:c>
    </x:row>
    <x:row r="266" ht="18" customHeight="1">
      <x:c r="A266" s="13" t="n">
        <x:v>42947</x:v>
      </x:c>
      <x:c r="B266" s="12" t="n">
        <x:v>3.61</x:v>
      </x:c>
      <x:c r="C266" s="12" t="n">
        <x:v>361</x:v>
      </x:c>
      <x:c r="D266" s="12" t="n">
        <x:v>2</x:v>
      </x:c>
      <x:c r="E266" s="12" t="str">
        <x:v>Archived FRED mirror (Hugging Face)</x:v>
      </x:c>
    </x:row>
    <x:row r="267" ht="18" customHeight="1">
      <x:c r="A267" s="13" t="n">
        <x:v>42948</x:v>
      </x:c>
      <x:c r="B267" s="12" t="n">
        <x:v>3.6</x:v>
      </x:c>
      <x:c r="C267" s="12" t="n">
        <x:v>360</x:v>
      </x:c>
      <x:c r="D267" s="12" t="n">
        <x:v>-1</x:v>
      </x:c>
      <x:c r="E267" s="12" t="str">
        <x:v>Archived FRED mirror (Hugging Face)</x:v>
      </x:c>
    </x:row>
    <x:row r="268" ht="18" customHeight="1">
      <x:c r="A268" s="13" t="n">
        <x:v>42949</x:v>
      </x:c>
      <x:c r="B268" s="12" t="n">
        <x:v>3.59</x:v>
      </x:c>
      <x:c r="C268" s="12" t="n">
        <x:v>359</x:v>
      </x:c>
      <x:c r="D268" s="12" t="n">
        <x:v>-1</x:v>
      </x:c>
      <x:c r="E268" s="12" t="str">
        <x:v>Archived FRED mirror (Hugging Face)</x:v>
      </x:c>
    </x:row>
    <x:row r="269" ht="18" customHeight="1">
      <x:c r="A269" s="13" t="n">
        <x:v>42950</x:v>
      </x:c>
      <x:c r="B269" s="12" t="n">
        <x:v>3.63</x:v>
      </x:c>
      <x:c r="C269" s="12" t="n">
        <x:v>363</x:v>
      </x:c>
      <x:c r="D269" s="12" t="n">
        <x:v>4</x:v>
      </x:c>
      <x:c r="E269" s="12" t="str">
        <x:v>Archived FRED mirror (Hugging Face)</x:v>
      </x:c>
    </x:row>
    <x:row r="270" ht="18" customHeight="1">
      <x:c r="A270" s="13" t="n">
        <x:v>42951</x:v>
      </x:c>
      <x:c r="B270" s="12" t="n">
        <x:v>3.63</x:v>
      </x:c>
      <x:c r="C270" s="12" t="n">
        <x:v>363</x:v>
      </x:c>
      <x:c r="D270" s="12" t="n">
        <x:v>0</x:v>
      </x:c>
      <x:c r="E270" s="12" t="str">
        <x:v>Archived FRED mirror (Hugging Face)</x:v>
      </x:c>
    </x:row>
    <x:row r="271" ht="18" customHeight="1">
      <x:c r="A271" s="13" t="n">
        <x:v>42954</x:v>
      </x:c>
      <x:c r="B271" s="12" t="n">
        <x:v>3.64</x:v>
      </x:c>
      <x:c r="C271" s="12" t="n">
        <x:v>364</x:v>
      </x:c>
      <x:c r="D271" s="12" t="n">
        <x:v>1</x:v>
      </x:c>
      <x:c r="E271" s="12" t="str">
        <x:v>Archived FRED mirror (Hugging Face)</x:v>
      </x:c>
    </x:row>
    <x:row r="272" ht="18" customHeight="1">
      <x:c r="A272" s="13" t="n">
        <x:v>42955</x:v>
      </x:c>
      <x:c r="B272" s="12" t="n">
        <x:v>3.64</x:v>
      </x:c>
      <x:c r="C272" s="12" t="n">
        <x:v>364</x:v>
      </x:c>
      <x:c r="D272" s="12" t="n">
        <x:v>0</x:v>
      </x:c>
      <x:c r="E272" s="12" t="str">
        <x:v>Archived FRED mirror (Hugging Face)</x:v>
      </x:c>
    </x:row>
    <x:row r="273" ht="18" customHeight="1">
      <x:c r="A273" s="13" t="n">
        <x:v>42956</x:v>
      </x:c>
      <x:c r="B273" s="12" t="n">
        <x:v>3.81</x:v>
      </x:c>
      <x:c r="C273" s="12" t="n">
        <x:v>381</x:v>
      </x:c>
      <x:c r="D273" s="12" t="n">
        <x:v>17</x:v>
      </x:c>
      <x:c r="E273" s="12" t="str">
        <x:v>Archived FRED mirror (Hugging Face)</x:v>
      </x:c>
    </x:row>
    <x:row r="274" ht="18" customHeight="1">
      <x:c r="A274" s="13" t="n">
        <x:v>42957</x:v>
      </x:c>
      <x:c r="B274" s="12" t="n">
        <x:v>3.92</x:v>
      </x:c>
      <x:c r="C274" s="12" t="n">
        <x:v>392</x:v>
      </x:c>
      <x:c r="D274" s="12" t="n">
        <x:v>11</x:v>
      </x:c>
      <x:c r="E274" s="12" t="str">
        <x:v>Archived FRED mirror (Hugging Face)</x:v>
      </x:c>
    </x:row>
    <x:row r="275" ht="18" customHeight="1">
      <x:c r="A275" s="13" t="n">
        <x:v>42958</x:v>
      </x:c>
      <x:c r="B275" s="12" t="n">
        <x:v>4</x:v>
      </x:c>
      <x:c r="C275" s="12" t="n">
        <x:v>400</x:v>
      </x:c>
      <x:c r="D275" s="12" t="n">
        <x:v>8</x:v>
      </x:c>
      <x:c r="E275" s="12" t="str">
        <x:v>Archived FRED mirror (Hugging Face)</x:v>
      </x:c>
    </x:row>
    <x:row r="276" ht="18" customHeight="1">
      <x:c r="A276" s="13" t="n">
        <x:v>42961</x:v>
      </x:c>
      <x:c r="B276" s="12" t="n">
        <x:v>3.89</x:v>
      </x:c>
      <x:c r="C276" s="12" t="n">
        <x:v>389</x:v>
      </x:c>
      <x:c r="D276" s="12" t="n">
        <x:v>-11</x:v>
      </x:c>
      <x:c r="E276" s="12" t="str">
        <x:v>Archived FRED mirror (Hugging Face)</x:v>
      </x:c>
    </x:row>
    <x:row r="277" ht="18" customHeight="1">
      <x:c r="A277" s="13" t="n">
        <x:v>42962</x:v>
      </x:c>
      <x:c r="B277" s="12" t="n">
        <x:v>3.87</x:v>
      </x:c>
      <x:c r="C277" s="12" t="n">
        <x:v>387</x:v>
      </x:c>
      <x:c r="D277" s="12" t="n">
        <x:v>-2</x:v>
      </x:c>
      <x:c r="E277" s="12" t="str">
        <x:v>Archived FRED mirror (Hugging Face)</x:v>
      </x:c>
    </x:row>
    <x:row r="278" ht="18" customHeight="1">
      <x:c r="A278" s="13" t="n">
        <x:v>42963</x:v>
      </x:c>
      <x:c r="B278" s="12" t="n">
        <x:v>3.88</x:v>
      </x:c>
      <x:c r="C278" s="12" t="n">
        <x:v>388</x:v>
      </x:c>
      <x:c r="D278" s="12" t="n">
        <x:v>1</x:v>
      </x:c>
      <x:c r="E278" s="12" t="str">
        <x:v>Archived FRED mirror (Hugging Face)</x:v>
      </x:c>
    </x:row>
    <x:row r="279" ht="18" customHeight="1">
      <x:c r="A279" s="13" t="n">
        <x:v>42964</x:v>
      </x:c>
      <x:c r="B279" s="12" t="n">
        <x:v>3.93</x:v>
      </x:c>
      <x:c r="C279" s="12" t="n">
        <x:v>393</x:v>
      </x:c>
      <x:c r="D279" s="12" t="n">
        <x:v>5</x:v>
      </x:c>
      <x:c r="E279" s="12" t="str">
        <x:v>Archived FRED mirror (Hugging Face)</x:v>
      </x:c>
    </x:row>
    <x:row r="280" ht="18" customHeight="1">
      <x:c r="A280" s="13" t="n">
        <x:v>42965</x:v>
      </x:c>
      <x:c r="B280" s="12" t="n">
        <x:v>3.98</x:v>
      </x:c>
      <x:c r="C280" s="12" t="n">
        <x:v>398</x:v>
      </x:c>
      <x:c r="D280" s="12" t="n">
        <x:v>5</x:v>
      </x:c>
      <x:c r="E280" s="12" t="str">
        <x:v>Archived FRED mirror (Hugging Face)</x:v>
      </x:c>
    </x:row>
    <x:row r="281" ht="18" customHeight="1">
      <x:c r="A281" s="13" t="n">
        <x:v>42968</x:v>
      </x:c>
      <x:c r="B281" s="12" t="n">
        <x:v>4</x:v>
      </x:c>
      <x:c r="C281" s="12" t="n">
        <x:v>400</x:v>
      </x:c>
      <x:c r="D281" s="12" t="n">
        <x:v>2</x:v>
      </x:c>
      <x:c r="E281" s="12" t="str">
        <x:v>Archived FRED mirror (Hugging Face)</x:v>
      </x:c>
    </x:row>
    <x:row r="282" ht="18" customHeight="1">
      <x:c r="A282" s="13" t="n">
        <x:v>42969</x:v>
      </x:c>
      <x:c r="B282" s="12" t="n">
        <x:v>3.93</x:v>
      </x:c>
      <x:c r="C282" s="12" t="n">
        <x:v>393</x:v>
      </x:c>
      <x:c r="D282" s="12" t="n">
        <x:v>-7</x:v>
      </x:c>
      <x:c r="E282" s="12" t="str">
        <x:v>Archived FRED mirror (Hugging Face)</x:v>
      </x:c>
    </x:row>
    <x:row r="283" ht="18" customHeight="1">
      <x:c r="A283" s="13" t="n">
        <x:v>42970</x:v>
      </x:c>
      <x:c r="B283" s="12" t="n">
        <x:v>3.95</x:v>
      </x:c>
      <x:c r="C283" s="12" t="n">
        <x:v>395</x:v>
      </x:c>
      <x:c r="D283" s="12" t="n">
        <x:v>2</x:v>
      </x:c>
      <x:c r="E283" s="12" t="str">
        <x:v>Archived FRED mirror (Hugging Face)</x:v>
      </x:c>
    </x:row>
    <x:row r="284" ht="18" customHeight="1">
      <x:c r="A284" s="13" t="n">
        <x:v>42971</x:v>
      </x:c>
      <x:c r="B284" s="12" t="n">
        <x:v>3.91</x:v>
      </x:c>
      <x:c r="C284" s="12" t="n">
        <x:v>391</x:v>
      </x:c>
      <x:c r="D284" s="12" t="n">
        <x:v>-4</x:v>
      </x:c>
      <x:c r="E284" s="12" t="str">
        <x:v>Archived FRED mirror (Hugging Face)</x:v>
      </x:c>
    </x:row>
    <x:row r="285" ht="18" customHeight="1">
      <x:c r="A285" s="13" t="n">
        <x:v>42972</x:v>
      </x:c>
      <x:c r="B285" s="12" t="n">
        <x:v>3.89</x:v>
      </x:c>
      <x:c r="C285" s="12" t="n">
        <x:v>389</x:v>
      </x:c>
      <x:c r="D285" s="12" t="n">
        <x:v>-2</x:v>
      </x:c>
      <x:c r="E285" s="12" t="str">
        <x:v>Archived FRED mirror (Hugging Face)</x:v>
      </x:c>
    </x:row>
    <x:row r="286" ht="18" customHeight="1">
      <x:c r="A286" s="13" t="n">
        <x:v>42975</x:v>
      </x:c>
      <x:c r="B286" s="12" t="n">
        <x:v>3.88</x:v>
      </x:c>
      <x:c r="C286" s="12" t="n">
        <x:v>388</x:v>
      </x:c>
      <x:c r="D286" s="12" t="n">
        <x:v>-1</x:v>
      </x:c>
      <x:c r="E286" s="12" t="str">
        <x:v>Archived FRED mirror (Hugging Face)</x:v>
      </x:c>
    </x:row>
    <x:row r="287" ht="18" customHeight="1">
      <x:c r="A287" s="13" t="n">
        <x:v>42976</x:v>
      </x:c>
      <x:c r="B287" s="12" t="n">
        <x:v>3.9</x:v>
      </x:c>
      <x:c r="C287" s="12" t="n">
        <x:v>390</x:v>
      </x:c>
      <x:c r="D287" s="12" t="n">
        <x:v>2</x:v>
      </x:c>
      <x:c r="E287" s="12" t="str">
        <x:v>Archived FRED mirror (Hugging Face)</x:v>
      </x:c>
    </x:row>
    <x:row r="288" ht="18" customHeight="1">
      <x:c r="A288" s="13" t="n">
        <x:v>42977</x:v>
      </x:c>
      <x:c r="B288" s="12" t="n">
        <x:v>3.86</x:v>
      </x:c>
      <x:c r="C288" s="12" t="n">
        <x:v>386</x:v>
      </x:c>
      <x:c r="D288" s="12" t="n">
        <x:v>-4</x:v>
      </x:c>
      <x:c r="E288" s="12" t="str">
        <x:v>Archived FRED mirror (Hugging Face)</x:v>
      </x:c>
    </x:row>
    <x:row r="289" ht="18" customHeight="1">
      <x:c r="A289" s="13" t="n">
        <x:v>42978</x:v>
      </x:c>
      <x:c r="B289" s="12" t="n">
        <x:v>3.85</x:v>
      </x:c>
      <x:c r="C289" s="12" t="n">
        <x:v>385</x:v>
      </x:c>
      <x:c r="D289" s="12" t="n">
        <x:v>-1</x:v>
      </x:c>
      <x:c r="E289" s="12" t="str">
        <x:v>Archived FRED mirror (Hugging Face)</x:v>
      </x:c>
    </x:row>
    <x:row r="290" ht="18" customHeight="1">
      <x:c r="A290" s="13" t="n">
        <x:v>42979</x:v>
      </x:c>
      <x:c r="B290" s="12" t="n">
        <x:v>3.82</x:v>
      </x:c>
      <x:c r="C290" s="12" t="n">
        <x:v>382</x:v>
      </x:c>
      <x:c r="D290" s="12" t="n">
        <x:v>-3</x:v>
      </x:c>
      <x:c r="E290" s="12" t="str">
        <x:v>Archived FRED mirror (Hugging Face)</x:v>
      </x:c>
    </x:row>
    <x:row r="291" ht="18" customHeight="1">
      <x:c r="A291" s="13" t="n">
        <x:v>42982</x:v>
      </x:c>
      <x:c r="B291" s="12" t="n">
        <x:v>3.82</x:v>
      </x:c>
      <x:c r="C291" s="12" t="n">
        <x:v>382</x:v>
      </x:c>
      <x:c r="D291" s="12" t="n">
        <x:v>0</x:v>
      </x:c>
      <x:c r="E291" s="12" t="str">
        <x:v>Archived FRED mirror (Hugging Face)</x:v>
      </x:c>
    </x:row>
    <x:row r="292" ht="18" customHeight="1">
      <x:c r="A292" s="13" t="n">
        <x:v>42983</x:v>
      </x:c>
      <x:c r="B292" s="12" t="n">
        <x:v>3.91</x:v>
      </x:c>
      <x:c r="C292" s="12" t="n">
        <x:v>391</x:v>
      </x:c>
      <x:c r="D292" s="12" t="n">
        <x:v>9</x:v>
      </x:c>
      <x:c r="E292" s="12" t="str">
        <x:v>Archived FRED mirror (Hugging Face)</x:v>
      </x:c>
    </x:row>
    <x:row r="293" ht="18" customHeight="1">
      <x:c r="A293" s="13" t="n">
        <x:v>42984</x:v>
      </x:c>
      <x:c r="B293" s="12" t="n">
        <x:v>3.84</x:v>
      </x:c>
      <x:c r="C293" s="12" t="n">
        <x:v>384</x:v>
      </x:c>
      <x:c r="D293" s="12" t="n">
        <x:v>-7</x:v>
      </x:c>
      <x:c r="E293" s="12" t="str">
        <x:v>Archived FRED mirror (Hugging Face)</x:v>
      </x:c>
    </x:row>
    <x:row r="294" ht="18" customHeight="1">
      <x:c r="A294" s="13" t="n">
        <x:v>42985</x:v>
      </x:c>
      <x:c r="B294" s="12" t="n">
        <x:v>3.88</x:v>
      </x:c>
      <x:c r="C294" s="12" t="n">
        <x:v>388</x:v>
      </x:c>
      <x:c r="D294" s="12" t="n">
        <x:v>4</x:v>
      </x:c>
      <x:c r="E294" s="12" t="str">
        <x:v>Archived FRED mirror (Hugging Face)</x:v>
      </x:c>
    </x:row>
    <x:row r="295" ht="18" customHeight="1">
      <x:c r="A295" s="13" t="n">
        <x:v>42986</x:v>
      </x:c>
      <x:c r="B295" s="12" t="n">
        <x:v>3.92</x:v>
      </x:c>
      <x:c r="C295" s="12" t="n">
        <x:v>392</x:v>
      </x:c>
      <x:c r="D295" s="12" t="n">
        <x:v>4</x:v>
      </x:c>
      <x:c r="E295" s="12" t="str">
        <x:v>Archived FRED mirror (Hugging Face)</x:v>
      </x:c>
    </x:row>
    <x:row r="296" ht="18" customHeight="1">
      <x:c r="A296" s="13" t="n">
        <x:v>42989</x:v>
      </x:c>
      <x:c r="B296" s="12" t="n">
        <x:v>3.85</x:v>
      </x:c>
      <x:c r="C296" s="12" t="n">
        <x:v>385</x:v>
      </x:c>
      <x:c r="D296" s="12" t="n">
        <x:v>-7</x:v>
      </x:c>
      <x:c r="E296" s="12" t="str">
        <x:v>Archived FRED mirror (Hugging Face)</x:v>
      </x:c>
    </x:row>
    <x:row r="297" ht="18" customHeight="1">
      <x:c r="A297" s="13" t="n">
        <x:v>42990</x:v>
      </x:c>
      <x:c r="B297" s="12" t="n">
        <x:v>3.81</x:v>
      </x:c>
      <x:c r="C297" s="12" t="n">
        <x:v>381</x:v>
      </x:c>
      <x:c r="D297" s="12" t="n">
        <x:v>-4</x:v>
      </x:c>
      <x:c r="E297" s="12" t="str">
        <x:v>Archived FRED mirror (Hugging Face)</x:v>
      </x:c>
    </x:row>
    <x:row r="298" ht="18" customHeight="1">
      <x:c r="A298" s="13" t="n">
        <x:v>42991</x:v>
      </x:c>
      <x:c r="B298" s="12" t="n">
        <x:v>3.78</x:v>
      </x:c>
      <x:c r="C298" s="12" t="n">
        <x:v>378</x:v>
      </x:c>
      <x:c r="D298" s="12" t="n">
        <x:v>-3</x:v>
      </x:c>
      <x:c r="E298" s="12" t="str">
        <x:v>Archived FRED mirror (Hugging Face)</x:v>
      </x:c>
    </x:row>
    <x:row r="299" ht="18" customHeight="1">
      <x:c r="A299" s="13" t="n">
        <x:v>42992</x:v>
      </x:c>
      <x:c r="B299" s="12" t="n">
        <x:v>3.74</x:v>
      </x:c>
      <x:c r="C299" s="12" t="n">
        <x:v>374</x:v>
      </x:c>
      <x:c r="D299" s="12" t="n">
        <x:v>-4</x:v>
      </x:c>
      <x:c r="E299" s="12" t="str">
        <x:v>Archived FRED mirror (Hugging Face)</x:v>
      </x:c>
    </x:row>
    <x:row r="300" ht="18" customHeight="1">
      <x:c r="A300" s="13" t="n">
        <x:v>42993</x:v>
      </x:c>
      <x:c r="B300" s="12" t="n">
        <x:v>3.73</x:v>
      </x:c>
      <x:c r="C300" s="12" t="n">
        <x:v>373</x:v>
      </x:c>
      <x:c r="D300" s="12" t="n">
        <x:v>-1</x:v>
      </x:c>
      <x:c r="E300" s="12" t="str">
        <x:v>Archived FRED mirror (Hugging Face)</x:v>
      </x:c>
    </x:row>
    <x:row r="301" ht="18" customHeight="1">
      <x:c r="A301" s="13" t="n">
        <x:v>42996</x:v>
      </x:c>
      <x:c r="B301" s="12" t="n">
        <x:v>3.68</x:v>
      </x:c>
      <x:c r="C301" s="12" t="n">
        <x:v>368</x:v>
      </x:c>
      <x:c r="D301" s="12" t="n">
        <x:v>-5</x:v>
      </x:c>
      <x:c r="E301" s="12" t="str">
        <x:v>Archived FRED mirror (Hugging Face)</x:v>
      </x:c>
    </x:row>
    <x:row r="302" ht="18" customHeight="1">
      <x:c r="A302" s="13" t="n">
        <x:v>42997</x:v>
      </x:c>
      <x:c r="B302" s="12" t="n">
        <x:v>3.66</x:v>
      </x:c>
      <x:c r="C302" s="12" t="n">
        <x:v>366</x:v>
      </x:c>
      <x:c r="D302" s="12" t="n">
        <x:v>-2</x:v>
      </x:c>
      <x:c r="E302" s="12" t="str">
        <x:v>Archived FRED mirror (Hugging Face)</x:v>
      </x:c>
    </x:row>
    <x:row r="303" ht="18" customHeight="1">
      <x:c r="A303" s="13" t="n">
        <x:v>42998</x:v>
      </x:c>
      <x:c r="B303" s="12" t="n">
        <x:v>3.6</x:v>
      </x:c>
      <x:c r="C303" s="12" t="n">
        <x:v>360</x:v>
      </x:c>
      <x:c r="D303" s="12" t="n">
        <x:v>-6</x:v>
      </x:c>
      <x:c r="E303" s="12" t="str">
        <x:v>Archived FRED mirror (Hugging Face)</x:v>
      </x:c>
    </x:row>
    <x:row r="304" ht="18" customHeight="1">
      <x:c r="A304" s="13" t="n">
        <x:v>42999</x:v>
      </x:c>
      <x:c r="B304" s="12" t="n">
        <x:v>3.62</x:v>
      </x:c>
      <x:c r="C304" s="12" t="n">
        <x:v>362</x:v>
      </x:c>
      <x:c r="D304" s="12" t="n">
        <x:v>2</x:v>
      </x:c>
      <x:c r="E304" s="12" t="str">
        <x:v>Archived FRED mirror (Hugging Face)</x:v>
      </x:c>
    </x:row>
    <x:row r="305" ht="18" customHeight="1">
      <x:c r="A305" s="13" t="n">
        <x:v>43000</x:v>
      </x:c>
      <x:c r="B305" s="12" t="n">
        <x:v>3.64</x:v>
      </x:c>
      <x:c r="C305" s="12" t="n">
        <x:v>364</x:v>
      </x:c>
      <x:c r="D305" s="12" t="n">
        <x:v>2</x:v>
      </x:c>
      <x:c r="E305" s="12" t="str">
        <x:v>Archived FRED mirror (Hugging Face)</x:v>
      </x:c>
    </x:row>
    <x:row r="306" ht="18" customHeight="1">
      <x:c r="A306" s="13" t="n">
        <x:v>43003</x:v>
      </x:c>
      <x:c r="B306" s="12" t="n">
        <x:v>3.66</x:v>
      </x:c>
      <x:c r="C306" s="12" t="n">
        <x:v>366</x:v>
      </x:c>
      <x:c r="D306" s="12" t="n">
        <x:v>2</x:v>
      </x:c>
      <x:c r="E306" s="12" t="str">
        <x:v>Archived FRED mirror (Hugging Face)</x:v>
      </x:c>
    </x:row>
    <x:row r="307" ht="18" customHeight="1">
      <x:c r="A307" s="13" t="n">
        <x:v>43004</x:v>
      </x:c>
      <x:c r="B307" s="12" t="n">
        <x:v>3.62</x:v>
      </x:c>
      <x:c r="C307" s="12" t="n">
        <x:v>362</x:v>
      </x:c>
      <x:c r="D307" s="12" t="n">
        <x:v>-4</x:v>
      </x:c>
      <x:c r="E307" s="12" t="str">
        <x:v>Archived FRED mirror (Hugging Face)</x:v>
      </x:c>
    </x:row>
    <x:row r="308" ht="18" customHeight="1">
      <x:c r="A308" s="13" t="n">
        <x:v>43005</x:v>
      </x:c>
      <x:c r="B308" s="12" t="n">
        <x:v>3.57</x:v>
      </x:c>
      <x:c r="C308" s="12" t="n">
        <x:v>357</x:v>
      </x:c>
      <x:c r="D308" s="12" t="n">
        <x:v>-5</x:v>
      </x:c>
      <x:c r="E308" s="12" t="str">
        <x:v>Archived FRED mirror (Hugging Face)</x:v>
      </x:c>
    </x:row>
    <x:row r="309" ht="18" customHeight="1">
      <x:c r="A309" s="13" t="n">
        <x:v>43006</x:v>
      </x:c>
      <x:c r="B309" s="12" t="n">
        <x:v>3.57</x:v>
      </x:c>
      <x:c r="C309" s="12" t="n">
        <x:v>357</x:v>
      </x:c>
      <x:c r="D309" s="12" t="n">
        <x:v>0</x:v>
      </x:c>
      <x:c r="E309" s="12" t="str">
        <x:v>Archived FRED mirror (Hugging Face)</x:v>
      </x:c>
    </x:row>
    <x:row r="310" ht="18" customHeight="1">
      <x:c r="A310" s="13" t="n">
        <x:v>43007</x:v>
      </x:c>
      <x:c r="B310" s="12" t="n">
        <x:v>3.54</x:v>
      </x:c>
      <x:c r="C310" s="12" t="n">
        <x:v>354</x:v>
      </x:c>
      <x:c r="D310" s="12" t="n">
        <x:v>-3</x:v>
      </x:c>
      <x:c r="E310" s="12" t="str">
        <x:v>Archived FRED mirror (Hugging Face)</x:v>
      </x:c>
    </x:row>
    <x:row r="311" ht="18" customHeight="1">
      <x:c r="A311" s="13" t="n">
        <x:v>43008</x:v>
      </x:c>
      <x:c r="B311" s="12" t="n">
        <x:v>3.56</x:v>
      </x:c>
      <x:c r="C311" s="12" t="n">
        <x:v>356</x:v>
      </x:c>
      <x:c r="D311" s="12" t="n">
        <x:v>2</x:v>
      </x:c>
      <x:c r="E311" s="12" t="str">
        <x:v>Archived FRED mirror (Hugging Face)</x:v>
      </x:c>
    </x:row>
    <x:row r="312" ht="18" customHeight="1">
      <x:c r="A312" s="13" t="n">
        <x:v>43010</x:v>
      </x:c>
      <x:c r="B312" s="12" t="n">
        <x:v>3.55</x:v>
      </x:c>
      <x:c r="C312" s="12" t="n">
        <x:v>355</x:v>
      </x:c>
      <x:c r="D312" s="12" t="n">
        <x:v>-1</x:v>
      </x:c>
      <x:c r="E312" s="12" t="str">
        <x:v>Archived FRED mirror (Hugging Face)</x:v>
      </x:c>
    </x:row>
    <x:row r="313" ht="18" customHeight="1">
      <x:c r="A313" s="13" t="n">
        <x:v>43011</x:v>
      </x:c>
      <x:c r="B313" s="12" t="n">
        <x:v>3.55</x:v>
      </x:c>
      <x:c r="C313" s="12" t="n">
        <x:v>355</x:v>
      </x:c>
      <x:c r="D313" s="12" t="n">
        <x:v>0</x:v>
      </x:c>
      <x:c r="E313" s="12" t="str">
        <x:v>Archived FRED mirror (Hugging Face)</x:v>
      </x:c>
    </x:row>
    <x:row r="314" ht="18" customHeight="1">
      <x:c r="A314" s="13" t="n">
        <x:v>43012</x:v>
      </x:c>
      <x:c r="B314" s="12" t="n">
        <x:v>3.54</x:v>
      </x:c>
      <x:c r="C314" s="12" t="n">
        <x:v>354</x:v>
      </x:c>
      <x:c r="D314" s="12" t="n">
        <x:v>-1</x:v>
      </x:c>
      <x:c r="E314" s="12" t="str">
        <x:v>Archived FRED mirror (Hugging Face)</x:v>
      </x:c>
    </x:row>
    <x:row r="315" ht="18" customHeight="1">
      <x:c r="A315" s="13" t="n">
        <x:v>43013</x:v>
      </x:c>
      <x:c r="B315" s="12" t="n">
        <x:v>3.52</x:v>
      </x:c>
      <x:c r="C315" s="12" t="n">
        <x:v>352</x:v>
      </x:c>
      <x:c r="D315" s="12" t="n">
        <x:v>-2</x:v>
      </x:c>
      <x:c r="E315" s="12" t="str">
        <x:v>Archived FRED mirror (Hugging Face)</x:v>
      </x:c>
    </x:row>
    <x:row r="316" ht="18" customHeight="1">
      <x:c r="A316" s="13" t="n">
        <x:v>43014</x:v>
      </x:c>
      <x:c r="B316" s="12" t="n">
        <x:v>3.52</x:v>
      </x:c>
      <x:c r="C316" s="12" t="n">
        <x:v>352</x:v>
      </x:c>
      <x:c r="D316" s="12" t="n">
        <x:v>0</x:v>
      </x:c>
      <x:c r="E316" s="12" t="str">
        <x:v>Archived FRED mirror (Hugging Face)</x:v>
      </x:c>
    </x:row>
    <x:row r="317" ht="18" customHeight="1">
      <x:c r="A317" s="13" t="n">
        <x:v>43017</x:v>
      </x:c>
      <x:c r="B317" s="12" t="n">
        <x:v>3.51</x:v>
      </x:c>
      <x:c r="C317" s="12" t="n">
        <x:v>351</x:v>
      </x:c>
      <x:c r="D317" s="12" t="n">
        <x:v>-1</x:v>
      </x:c>
      <x:c r="E317" s="12" t="str">
        <x:v>Archived FRED mirror (Hugging Face)</x:v>
      </x:c>
    </x:row>
    <x:row r="318" ht="18" customHeight="1">
      <x:c r="A318" s="13" t="n">
        <x:v>43018</x:v>
      </x:c>
      <x:c r="B318" s="12" t="n">
        <x:v>3.52</x:v>
      </x:c>
      <x:c r="C318" s="12" t="n">
        <x:v>352</x:v>
      </x:c>
      <x:c r="D318" s="12" t="n">
        <x:v>1</x:v>
      </x:c>
      <x:c r="E318" s="12" t="str">
        <x:v>Archived FRED mirror (Hugging Face)</x:v>
      </x:c>
    </x:row>
    <x:row r="319" ht="18" customHeight="1">
      <x:c r="A319" s="13" t="n">
        <x:v>43019</x:v>
      </x:c>
      <x:c r="B319" s="12" t="n">
        <x:v>3.52</x:v>
      </x:c>
      <x:c r="C319" s="12" t="n">
        <x:v>352</x:v>
      </x:c>
      <x:c r="D319" s="12" t="n">
        <x:v>0</x:v>
      </x:c>
      <x:c r="E319" s="12" t="str">
        <x:v>Archived FRED mirror (Hugging Face)</x:v>
      </x:c>
    </x:row>
    <x:row r="320" ht="18" customHeight="1">
      <x:c r="A320" s="13" t="n">
        <x:v>43020</x:v>
      </x:c>
      <x:c r="B320" s="12" t="n">
        <x:v>3.56</x:v>
      </x:c>
      <x:c r="C320" s="12" t="n">
        <x:v>356</x:v>
      </x:c>
      <x:c r="D320" s="12" t="n">
        <x:v>4</x:v>
      </x:c>
      <x:c r="E320" s="12" t="str">
        <x:v>Archived FRED mirror (Hugging Face)</x:v>
      </x:c>
    </x:row>
    <x:row r="321" ht="18" customHeight="1">
      <x:c r="A321" s="13" t="n">
        <x:v>43021</x:v>
      </x:c>
      <x:c r="B321" s="12" t="n">
        <x:v>3.6</x:v>
      </x:c>
      <x:c r="C321" s="12" t="n">
        <x:v>360</x:v>
      </x:c>
      <x:c r="D321" s="12" t="n">
        <x:v>4</x:v>
      </x:c>
      <x:c r="E321" s="12" t="str">
        <x:v>Archived FRED mirror (Hugging Face)</x:v>
      </x:c>
    </x:row>
    <x:row r="322" ht="18" customHeight="1">
      <x:c r="A322" s="13" t="n">
        <x:v>43024</x:v>
      </x:c>
      <x:c r="B322" s="12" t="n">
        <x:v>3.53</x:v>
      </x:c>
      <x:c r="C322" s="12" t="n">
        <x:v>353</x:v>
      </x:c>
      <x:c r="D322" s="12" t="n">
        <x:v>-7</x:v>
      </x:c>
      <x:c r="E322" s="12" t="str">
        <x:v>Archived FRED mirror (Hugging Face)</x:v>
      </x:c>
    </x:row>
    <x:row r="323" ht="18" customHeight="1">
      <x:c r="A323" s="13" t="n">
        <x:v>43025</x:v>
      </x:c>
      <x:c r="B323" s="12" t="n">
        <x:v>3.5</x:v>
      </x:c>
      <x:c r="C323" s="12" t="n">
        <x:v>350</x:v>
      </x:c>
      <x:c r="D323" s="12" t="n">
        <x:v>-3</x:v>
      </x:c>
      <x:c r="E323" s="12" t="str">
        <x:v>Archived FRED mirror (Hugging Face)</x:v>
      </x:c>
    </x:row>
    <x:row r="324" ht="18" customHeight="1">
      <x:c r="A324" s="13" t="n">
        <x:v>43026</x:v>
      </x:c>
      <x:c r="B324" s="12" t="n">
        <x:v>3.46</x:v>
      </x:c>
      <x:c r="C324" s="12" t="n">
        <x:v>346</x:v>
      </x:c>
      <x:c r="D324" s="12" t="n">
        <x:v>-4</x:v>
      </x:c>
      <x:c r="E324" s="12" t="str">
        <x:v>Archived FRED mirror (Hugging Face)</x:v>
      </x:c>
    </x:row>
    <x:row r="325" ht="18" customHeight="1">
      <x:c r="A325" s="13" t="n">
        <x:v>43027</x:v>
      </x:c>
      <x:c r="B325" s="12" t="n">
        <x:v>3.48</x:v>
      </x:c>
      <x:c r="C325" s="12" t="n">
        <x:v>348</x:v>
      </x:c>
      <x:c r="D325" s="12" t="n">
        <x:v>2</x:v>
      </x:c>
      <x:c r="E325" s="12" t="str">
        <x:v>Archived FRED mirror (Hugging Face)</x:v>
      </x:c>
    </x:row>
    <x:row r="326" ht="18" customHeight="1">
      <x:c r="A326" s="13" t="n">
        <x:v>43028</x:v>
      </x:c>
      <x:c r="B326" s="12" t="n">
        <x:v>3.42</x:v>
      </x:c>
      <x:c r="C326" s="12" t="n">
        <x:v>342</x:v>
      </x:c>
      <x:c r="D326" s="12" t="n">
        <x:v>-6</x:v>
      </x:c>
      <x:c r="E326" s="12" t="str">
        <x:v>Archived FRED mirror (Hugging Face)</x:v>
      </x:c>
    </x:row>
    <x:row r="327" ht="18" customHeight="1">
      <x:c r="A327" s="13" t="n">
        <x:v>43031</x:v>
      </x:c>
      <x:c r="B327" s="12" t="n">
        <x:v>3.4</x:v>
      </x:c>
      <x:c r="C327" s="12" t="n">
        <x:v>340</x:v>
      </x:c>
      <x:c r="D327" s="12" t="n">
        <x:v>-2</x:v>
      </x:c>
      <x:c r="E327" s="12" t="str">
        <x:v>Archived FRED mirror (Hugging Face)</x:v>
      </x:c>
    </x:row>
    <x:row r="328" ht="18" customHeight="1">
      <x:c r="A328" s="13" t="n">
        <x:v>43032</x:v>
      </x:c>
      <x:c r="B328" s="12" t="n">
        <x:v>3.38</x:v>
      </x:c>
      <x:c r="C328" s="12" t="n">
        <x:v>338</x:v>
      </x:c>
      <x:c r="D328" s="12" t="n">
        <x:v>-2</x:v>
      </x:c>
      <x:c r="E328" s="12" t="str">
        <x:v>Archived FRED mirror (Hugging Face)</x:v>
      </x:c>
    </x:row>
    <x:row r="329" ht="18" customHeight="1">
      <x:c r="A329" s="13" t="n">
        <x:v>43033</x:v>
      </x:c>
      <x:c r="B329" s="12" t="n">
        <x:v>3.42</x:v>
      </x:c>
      <x:c r="C329" s="12" t="n">
        <x:v>342</x:v>
      </x:c>
      <x:c r="D329" s="12" t="n">
        <x:v>4</x:v>
      </x:c>
      <x:c r="E329" s="12" t="str">
        <x:v>Archived FRED mirror (Hugging Face)</x:v>
      </x:c>
    </x:row>
    <x:row r="330" ht="18" customHeight="1">
      <x:c r="A330" s="13" t="n">
        <x:v>43034</x:v>
      </x:c>
      <x:c r="B330" s="12" t="n">
        <x:v>3.41</x:v>
      </x:c>
      <x:c r="C330" s="12" t="n">
        <x:v>341</x:v>
      </x:c>
      <x:c r="D330" s="12" t="n">
        <x:v>-1</x:v>
      </x:c>
      <x:c r="E330" s="12" t="str">
        <x:v>Archived FRED mirror (Hugging Face)</x:v>
      </x:c>
    </x:row>
    <x:row r="331" ht="18" customHeight="1">
      <x:c r="A331" s="13" t="n">
        <x:v>43035</x:v>
      </x:c>
      <x:c r="B331" s="12" t="n">
        <x:v>3.44</x:v>
      </x:c>
      <x:c r="C331" s="12" t="n">
        <x:v>344</x:v>
      </x:c>
      <x:c r="D331" s="12" t="n">
        <x:v>3</x:v>
      </x:c>
      <x:c r="E331" s="12" t="str">
        <x:v>Archived FRED mirror (Hugging Face)</x:v>
      </x:c>
    </x:row>
    <x:row r="332" ht="18" customHeight="1">
      <x:c r="A332" s="13" t="n">
        <x:v>43038</x:v>
      </x:c>
      <x:c r="B332" s="12" t="n">
        <x:v>3.49</x:v>
      </x:c>
      <x:c r="C332" s="12" t="n">
        <x:v>349</x:v>
      </x:c>
      <x:c r="D332" s="12" t="n">
        <x:v>5</x:v>
      </x:c>
      <x:c r="E332" s="12" t="str">
        <x:v>Archived FRED mirror (Hugging Face)</x:v>
      </x:c>
    </x:row>
    <x:row r="333" ht="18" customHeight="1">
      <x:c r="A333" s="13" t="n">
        <x:v>43039</x:v>
      </x:c>
      <x:c r="B333" s="12" t="n">
        <x:v>3.51</x:v>
      </x:c>
      <x:c r="C333" s="12" t="n">
        <x:v>351</x:v>
      </x:c>
      <x:c r="D333" s="12" t="n">
        <x:v>2</x:v>
      </x:c>
      <x:c r="E333" s="12" t="str">
        <x:v>Archived FRED mirror (Hugging Face)</x:v>
      </x:c>
    </x:row>
    <x:row r="334" ht="18" customHeight="1">
      <x:c r="A334" s="13" t="n">
        <x:v>43040</x:v>
      </x:c>
      <x:c r="B334" s="12" t="n">
        <x:v>3.48</x:v>
      </x:c>
      <x:c r="C334" s="12" t="n">
        <x:v>348</x:v>
      </x:c>
      <x:c r="D334" s="12" t="n">
        <x:v>-3</x:v>
      </x:c>
      <x:c r="E334" s="12" t="str">
        <x:v>Archived FRED mirror (Hugging Face)</x:v>
      </x:c>
    </x:row>
    <x:row r="335" ht="18" customHeight="1">
      <x:c r="A335" s="13" t="n">
        <x:v>43041</x:v>
      </x:c>
      <x:c r="B335" s="12" t="n">
        <x:v>3.52</x:v>
      </x:c>
      <x:c r="C335" s="12" t="n">
        <x:v>352</x:v>
      </x:c>
      <x:c r="D335" s="12" t="n">
        <x:v>4</x:v>
      </x:c>
      <x:c r="E335" s="12" t="str">
        <x:v>Archived FRED mirror (Hugging Face)</x:v>
      </x:c>
    </x:row>
    <x:row r="336" ht="18" customHeight="1">
      <x:c r="A336" s="13" t="n">
        <x:v>43042</x:v>
      </x:c>
      <x:c r="B336" s="12" t="n">
        <x:v>3.52</x:v>
      </x:c>
      <x:c r="C336" s="12" t="n">
        <x:v>352</x:v>
      </x:c>
      <x:c r="D336" s="12" t="n">
        <x:v>0</x:v>
      </x:c>
      <x:c r="E336" s="12" t="str">
        <x:v>Archived FRED mirror (Hugging Face)</x:v>
      </x:c>
    </x:row>
    <x:row r="337" ht="18" customHeight="1">
      <x:c r="A337" s="13" t="n">
        <x:v>43045</x:v>
      </x:c>
      <x:c r="B337" s="12" t="n">
        <x:v>3.55</x:v>
      </x:c>
      <x:c r="C337" s="12" t="n">
        <x:v>355</x:v>
      </x:c>
      <x:c r="D337" s="12" t="n">
        <x:v>3</x:v>
      </x:c>
      <x:c r="E337" s="12" t="str">
        <x:v>Archived FRED mirror (Hugging Face)</x:v>
      </x:c>
    </x:row>
    <x:row r="338" ht="18" customHeight="1">
      <x:c r="A338" s="13" t="n">
        <x:v>43046</x:v>
      </x:c>
      <x:c r="B338" s="12" t="n">
        <x:v>3.57</x:v>
      </x:c>
      <x:c r="C338" s="12" t="n">
        <x:v>357</x:v>
      </x:c>
      <x:c r="D338" s="12" t="n">
        <x:v>2</x:v>
      </x:c>
      <x:c r="E338" s="12" t="str">
        <x:v>Archived FRED mirror (Hugging Face)</x:v>
      </x:c>
    </x:row>
    <x:row r="339" ht="18" customHeight="1">
      <x:c r="A339" s="13" t="n">
        <x:v>43047</x:v>
      </x:c>
      <x:c r="B339" s="12" t="n">
        <x:v>3.67</x:v>
      </x:c>
      <x:c r="C339" s="12" t="n">
        <x:v>367</x:v>
      </x:c>
      <x:c r="D339" s="12" t="n">
        <x:v>10</x:v>
      </x:c>
      <x:c r="E339" s="12" t="str">
        <x:v>Archived FRED mirror (Hugging Face)</x:v>
      </x:c>
    </x:row>
    <x:row r="340" ht="18" customHeight="1">
      <x:c r="A340" s="13" t="n">
        <x:v>43048</x:v>
      </x:c>
      <x:c r="B340" s="12" t="n">
        <x:v>3.79</x:v>
      </x:c>
      <x:c r="C340" s="12" t="n">
        <x:v>379</x:v>
      </x:c>
      <x:c r="D340" s="12" t="n">
        <x:v>12</x:v>
      </x:c>
      <x:c r="E340" s="12" t="str">
        <x:v>Archived FRED mirror (Hugging Face)</x:v>
      </x:c>
    </x:row>
    <x:row r="341" ht="18" customHeight="1">
      <x:c r="A341" s="13" t="n">
        <x:v>43049</x:v>
      </x:c>
      <x:c r="B341" s="12" t="n">
        <x:v>3.76</x:v>
      </x:c>
      <x:c r="C341" s="12" t="n">
        <x:v>376</x:v>
      </x:c>
      <x:c r="D341" s="12" t="n">
        <x:v>-3</x:v>
      </x:c>
      <x:c r="E341" s="12" t="str">
        <x:v>Archived FRED mirror (Hugging Face)</x:v>
      </x:c>
    </x:row>
    <x:row r="342" ht="18" customHeight="1">
      <x:c r="A342" s="13" t="n">
        <x:v>43052</x:v>
      </x:c>
      <x:c r="B342" s="12" t="n">
        <x:v>3.77</x:v>
      </x:c>
      <x:c r="C342" s="12" t="n">
        <x:v>377</x:v>
      </x:c>
      <x:c r="D342" s="12" t="n">
        <x:v>1</x:v>
      </x:c>
      <x:c r="E342" s="12" t="str">
        <x:v>Archived FRED mirror (Hugging Face)</x:v>
      </x:c>
    </x:row>
    <x:row r="343" ht="18" customHeight="1">
      <x:c r="A343" s="13" t="n">
        <x:v>43053</x:v>
      </x:c>
      <x:c r="B343" s="12" t="n">
        <x:v>3.84</x:v>
      </x:c>
      <x:c r="C343" s="12" t="n">
        <x:v>384</x:v>
      </x:c>
      <x:c r="D343" s="12" t="n">
        <x:v>7</x:v>
      </x:c>
      <x:c r="E343" s="12" t="str">
        <x:v>Archived FRED mirror (Hugging Face)</x:v>
      </x:c>
    </x:row>
    <x:row r="344" ht="18" customHeight="1">
      <x:c r="A344" s="13" t="n">
        <x:v>43054</x:v>
      </x:c>
      <x:c r="B344" s="12" t="n">
        <x:v>3.97</x:v>
      </x:c>
      <x:c r="C344" s="12" t="n">
        <x:v>397</x:v>
      </x:c>
      <x:c r="D344" s="12" t="n">
        <x:v>13</x:v>
      </x:c>
      <x:c r="E344" s="12" t="str">
        <x:v>Archived FRED mirror (Hugging Face)</x:v>
      </x:c>
    </x:row>
    <x:row r="345" ht="18" customHeight="1">
      <x:c r="A345" s="13" t="n">
        <x:v>43055</x:v>
      </x:c>
      <x:c r="B345" s="12" t="n">
        <x:v>3.79</x:v>
      </x:c>
      <x:c r="C345" s="12" t="n">
        <x:v>379</x:v>
      </x:c>
      <x:c r="D345" s="12" t="n">
        <x:v>-18</x:v>
      </x:c>
      <x:c r="E345" s="12" t="str">
        <x:v>Archived FRED mirror (Hugging Face)</x:v>
      </x:c>
    </x:row>
    <x:row r="346" ht="18" customHeight="1">
      <x:c r="A346" s="13" t="n">
        <x:v>43056</x:v>
      </x:c>
      <x:c r="B346" s="12" t="n">
        <x:v>3.76</x:v>
      </x:c>
      <x:c r="C346" s="12" t="n">
        <x:v>376</x:v>
      </x:c>
      <x:c r="D346" s="12" t="n">
        <x:v>-3</x:v>
      </x:c>
      <x:c r="E346" s="12" t="str">
        <x:v>Archived FRED mirror (Hugging Face)</x:v>
      </x:c>
    </x:row>
    <x:row r="347" ht="18" customHeight="1">
      <x:c r="A347" s="13" t="n">
        <x:v>43059</x:v>
      </x:c>
      <x:c r="B347" s="12" t="n">
        <x:v>3.7</x:v>
      </x:c>
      <x:c r="C347" s="12" t="n">
        <x:v>370</x:v>
      </x:c>
      <x:c r="D347" s="12" t="n">
        <x:v>-6</x:v>
      </x:c>
      <x:c r="E347" s="12" t="str">
        <x:v>Archived FRED mirror (Hugging Face)</x:v>
      </x:c>
    </x:row>
    <x:row r="348" ht="18" customHeight="1">
      <x:c r="A348" s="13" t="n">
        <x:v>43060</x:v>
      </x:c>
      <x:c r="B348" s="12" t="n">
        <x:v>3.66</x:v>
      </x:c>
      <x:c r="C348" s="12" t="n">
        <x:v>366</x:v>
      </x:c>
      <x:c r="D348" s="12" t="n">
        <x:v>-4</x:v>
      </x:c>
      <x:c r="E348" s="12" t="str">
        <x:v>Archived FRED mirror (Hugging Face)</x:v>
      </x:c>
    </x:row>
    <x:row r="349" ht="18" customHeight="1">
      <x:c r="A349" s="13" t="n">
        <x:v>43061</x:v>
      </x:c>
      <x:c r="B349" s="12" t="n">
        <x:v>3.7</x:v>
      </x:c>
      <x:c r="C349" s="12" t="n">
        <x:v>370</x:v>
      </x:c>
      <x:c r="D349" s="12" t="n">
        <x:v>4</x:v>
      </x:c>
      <x:c r="E349" s="12" t="str">
        <x:v>Archived FRED mirror (Hugging Face)</x:v>
      </x:c>
    </x:row>
    <x:row r="350" ht="18" customHeight="1">
      <x:c r="A350" s="13" t="n">
        <x:v>43062</x:v>
      </x:c>
      <x:c r="B350" s="12" t="n">
        <x:v>3.7</x:v>
      </x:c>
      <x:c r="C350" s="12" t="n">
        <x:v>370</x:v>
      </x:c>
      <x:c r="D350" s="12" t="n">
        <x:v>0</x:v>
      </x:c>
      <x:c r="E350" s="12" t="str">
        <x:v>Archived FRED mirror (Hugging Face)</x:v>
      </x:c>
    </x:row>
    <x:row r="351" ht="18" customHeight="1">
      <x:c r="A351" s="13" t="n">
        <x:v>43063</x:v>
      </x:c>
      <x:c r="B351" s="12" t="n">
        <x:v>3.67</x:v>
      </x:c>
      <x:c r="C351" s="12" t="n">
        <x:v>367</x:v>
      </x:c>
      <x:c r="D351" s="12" t="n">
        <x:v>-3</x:v>
      </x:c>
      <x:c r="E351" s="12" t="str">
        <x:v>Archived FRED mirror (Hugging Face)</x:v>
      </x:c>
    </x:row>
    <x:row r="352" ht="18" customHeight="1">
      <x:c r="A352" s="13" t="n">
        <x:v>43066</x:v>
      </x:c>
      <x:c r="B352" s="12" t="n">
        <x:v>3.66</x:v>
      </x:c>
      <x:c r="C352" s="12" t="n">
        <x:v>366</x:v>
      </x:c>
      <x:c r="D352" s="12" t="n">
        <x:v>-1</x:v>
      </x:c>
      <x:c r="E352" s="12" t="str">
        <x:v>Archived FRED mirror (Hugging Face)</x:v>
      </x:c>
    </x:row>
    <x:row r="353" ht="18" customHeight="1">
      <x:c r="A353" s="13" t="n">
        <x:v>43067</x:v>
      </x:c>
      <x:c r="B353" s="12" t="n">
        <x:v>3.67</x:v>
      </x:c>
      <x:c r="C353" s="12" t="n">
        <x:v>367</x:v>
      </x:c>
      <x:c r="D353" s="12" t="n">
        <x:v>1</x:v>
      </x:c>
      <x:c r="E353" s="12" t="str">
        <x:v>Archived FRED mirror (Hugging Face)</x:v>
      </x:c>
    </x:row>
    <x:row r="354" ht="18" customHeight="1">
      <x:c r="A354" s="13" t="n">
        <x:v>43068</x:v>
      </x:c>
      <x:c r="B354" s="12" t="n">
        <x:v>3.64</x:v>
      </x:c>
      <x:c r="C354" s="12" t="n">
        <x:v>364</x:v>
      </x:c>
      <x:c r="D354" s="12" t="n">
        <x:v>-3</x:v>
      </x:c>
      <x:c r="E354" s="12" t="str">
        <x:v>Archived FRED mirror (Hugging Face)</x:v>
      </x:c>
    </x:row>
    <x:row r="355" ht="18" customHeight="1">
      <x:c r="A355" s="13" t="n">
        <x:v>43069</x:v>
      </x:c>
      <x:c r="B355" s="12" t="n">
        <x:v>3.61</x:v>
      </x:c>
      <x:c r="C355" s="12" t="n">
        <x:v>361</x:v>
      </x:c>
      <x:c r="D355" s="12" t="n">
        <x:v>-3</x:v>
      </x:c>
      <x:c r="E355" s="12" t="str">
        <x:v>Archived FRED mirror (Hugging Face)</x:v>
      </x:c>
    </x:row>
    <x:row r="356" ht="18" customHeight="1">
      <x:c r="A356" s="13" t="n">
        <x:v>43070</x:v>
      </x:c>
      <x:c r="B356" s="12" t="n">
        <x:v>3.63</x:v>
      </x:c>
      <x:c r="C356" s="12" t="n">
        <x:v>363</x:v>
      </x:c>
      <x:c r="D356" s="12" t="n">
        <x:v>2</x:v>
      </x:c>
      <x:c r="E356" s="12" t="str">
        <x:v>Archived FRED mirror (Hugging Face)</x:v>
      </x:c>
    </x:row>
    <x:row r="357" ht="18" customHeight="1">
      <x:c r="A357" s="13" t="n">
        <x:v>43073</x:v>
      </x:c>
      <x:c r="B357" s="12" t="n">
        <x:v>3.58</x:v>
      </x:c>
      <x:c r="C357" s="12" t="n">
        <x:v>358</x:v>
      </x:c>
      <x:c r="D357" s="12" t="n">
        <x:v>-5</x:v>
      </x:c>
      <x:c r="E357" s="12" t="str">
        <x:v>Archived FRED mirror (Hugging Face)</x:v>
      </x:c>
    </x:row>
    <x:row r="358" ht="18" customHeight="1">
      <x:c r="A358" s="13" t="n">
        <x:v>43074</x:v>
      </x:c>
      <x:c r="B358" s="12" t="n">
        <x:v>3.57</x:v>
      </x:c>
      <x:c r="C358" s="12" t="n">
        <x:v>357</x:v>
      </x:c>
      <x:c r="D358" s="12" t="n">
        <x:v>-1</x:v>
      </x:c>
      <x:c r="E358" s="12" t="str">
        <x:v>Archived FRED mirror (Hugging Face)</x:v>
      </x:c>
    </x:row>
    <x:row r="359" ht="18" customHeight="1">
      <x:c r="A359" s="13" t="n">
        <x:v>43075</x:v>
      </x:c>
      <x:c r="B359" s="12" t="n">
        <x:v>3.63</x:v>
      </x:c>
      <x:c r="C359" s="12" t="n">
        <x:v>363</x:v>
      </x:c>
      <x:c r="D359" s="12" t="n">
        <x:v>6</x:v>
      </x:c>
      <x:c r="E359" s="12" t="str">
        <x:v>Archived FRED mirror (Hugging Face)</x:v>
      </x:c>
    </x:row>
    <x:row r="360" ht="18" customHeight="1">
      <x:c r="A360" s="13" t="n">
        <x:v>43076</x:v>
      </x:c>
      <x:c r="B360" s="12" t="n">
        <x:v>3.63</x:v>
      </x:c>
      <x:c r="C360" s="12" t="n">
        <x:v>363</x:v>
      </x:c>
      <x:c r="D360" s="12" t="n">
        <x:v>0</x:v>
      </x:c>
      <x:c r="E360" s="12" t="str">
        <x:v>Archived FRED mirror (Hugging Face)</x:v>
      </x:c>
    </x:row>
    <x:row r="361" ht="18" customHeight="1">
      <x:c r="A361" s="13" t="n">
        <x:v>43077</x:v>
      </x:c>
      <x:c r="B361" s="12" t="n">
        <x:v>3.63</x:v>
      </x:c>
      <x:c r="C361" s="12" t="n">
        <x:v>363</x:v>
      </x:c>
      <x:c r="D361" s="12" t="n">
        <x:v>0</x:v>
      </x:c>
      <x:c r="E361" s="12" t="str">
        <x:v>Archived FRED mirror (Hugging Face)</x:v>
      </x:c>
    </x:row>
    <x:row r="362" ht="18" customHeight="1">
      <x:c r="A362" s="13" t="n">
        <x:v>43080</x:v>
      </x:c>
      <x:c r="B362" s="12" t="n">
        <x:v>3.61</x:v>
      </x:c>
      <x:c r="C362" s="12" t="n">
        <x:v>361</x:v>
      </x:c>
      <x:c r="D362" s="12" t="n">
        <x:v>-2</x:v>
      </x:c>
      <x:c r="E362" s="12" t="str">
        <x:v>Archived FRED mirror (Hugging Face)</x:v>
      </x:c>
    </x:row>
    <x:row r="363" ht="18" customHeight="1">
      <x:c r="A363" s="13" t="n">
        <x:v>43081</x:v>
      </x:c>
      <x:c r="B363" s="12" t="n">
        <x:v>3.58</x:v>
      </x:c>
      <x:c r="C363" s="12" t="n">
        <x:v>358</x:v>
      </x:c>
      <x:c r="D363" s="12" t="n">
        <x:v>-3</x:v>
      </x:c>
      <x:c r="E363" s="12" t="str">
        <x:v>Archived FRED mirror (Hugging Face)</x:v>
      </x:c>
    </x:row>
    <x:row r="364" ht="18" customHeight="1">
      <x:c r="A364" s="13" t="n">
        <x:v>43082</x:v>
      </x:c>
      <x:c r="B364" s="12" t="n">
        <x:v>3.64</x:v>
      </x:c>
      <x:c r="C364" s="12" t="n">
        <x:v>364</x:v>
      </x:c>
      <x:c r="D364" s="12" t="n">
        <x:v>6</x:v>
      </x:c>
      <x:c r="E364" s="12" t="str">
        <x:v>Archived FRED mirror (Hugging Face)</x:v>
      </x:c>
    </x:row>
    <x:row r="365" ht="18" customHeight="1">
      <x:c r="A365" s="13" t="n">
        <x:v>43083</x:v>
      </x:c>
      <x:c r="B365" s="12" t="n">
        <x:v>3.63</x:v>
      </x:c>
      <x:c r="C365" s="12" t="n">
        <x:v>363</x:v>
      </x:c>
      <x:c r="D365" s="12" t="n">
        <x:v>-1</x:v>
      </x:c>
      <x:c r="E365" s="12" t="str">
        <x:v>Archived FRED mirror (Hugging Face)</x:v>
      </x:c>
    </x:row>
    <x:row r="366" ht="18" customHeight="1">
      <x:c r="A366" s="13" t="n">
        <x:v>43084</x:v>
      </x:c>
      <x:c r="B366" s="12" t="n">
        <x:v>3.64</x:v>
      </x:c>
      <x:c r="C366" s="12" t="n">
        <x:v>364</x:v>
      </x:c>
      <x:c r="D366" s="12" t="n">
        <x:v>1</x:v>
      </x:c>
      <x:c r="E366" s="12" t="str">
        <x:v>Archived FRED mirror (Hugging Face)</x:v>
      </x:c>
    </x:row>
    <x:row r="367" ht="18" customHeight="1">
      <x:c r="A367" s="13" t="n">
        <x:v>43087</x:v>
      </x:c>
      <x:c r="B367" s="12" t="n">
        <x:v>3.64</x:v>
      </x:c>
      <x:c r="C367" s="12" t="n">
        <x:v>364</x:v>
      </x:c>
      <x:c r="D367" s="12" t="n">
        <x:v>0</x:v>
      </x:c>
      <x:c r="E367" s="12" t="str">
        <x:v>Archived FRED mirror (Hugging Face)</x:v>
      </x:c>
    </x:row>
    <x:row r="368" ht="18" customHeight="1">
      <x:c r="A368" s="13" t="n">
        <x:v>43088</x:v>
      </x:c>
      <x:c r="B368" s="12" t="n">
        <x:v>3.6</x:v>
      </x:c>
      <x:c r="C368" s="12" t="n">
        <x:v>360</x:v>
      </x:c>
      <x:c r="D368" s="12" t="n">
        <x:v>-4</x:v>
      </x:c>
      <x:c r="E368" s="12" t="str">
        <x:v>Archived FRED mirror (Hugging Face)</x:v>
      </x:c>
    </x:row>
    <x:row r="369" ht="18" customHeight="1">
      <x:c r="A369" s="13" t="n">
        <x:v>43089</x:v>
      </x:c>
      <x:c r="B369" s="12" t="n">
        <x:v>3.58</x:v>
      </x:c>
      <x:c r="C369" s="12" t="n">
        <x:v>358</x:v>
      </x:c>
      <x:c r="D369" s="12" t="n">
        <x:v>-2</x:v>
      </x:c>
      <x:c r="E369" s="12" t="str">
        <x:v>Archived FRED mirror (Hugging Face)</x:v>
      </x:c>
    </x:row>
    <x:row r="370" ht="18" customHeight="1">
      <x:c r="A370" s="13" t="n">
        <x:v>43090</x:v>
      </x:c>
      <x:c r="B370" s="12" t="n">
        <x:v>3.57</x:v>
      </x:c>
      <x:c r="C370" s="12" t="n">
        <x:v>357</x:v>
      </x:c>
      <x:c r="D370" s="12" t="n">
        <x:v>-1</x:v>
      </x:c>
      <x:c r="E370" s="12" t="str">
        <x:v>Archived FRED mirror (Hugging Face)</x:v>
      </x:c>
    </x:row>
    <x:row r="371" ht="18" customHeight="1">
      <x:c r="A371" s="13" t="n">
        <x:v>43091</x:v>
      </x:c>
      <x:c r="B371" s="12" t="n">
        <x:v>3.56</x:v>
      </x:c>
      <x:c r="C371" s="12" t="n">
        <x:v>356</x:v>
      </x:c>
      <x:c r="D371" s="12" t="n">
        <x:v>-1</x:v>
      </x:c>
      <x:c r="E371" s="12" t="str">
        <x:v>Archived FRED mirror (Hugging Face)</x:v>
      </x:c>
    </x:row>
    <x:row r="372" ht="18" customHeight="1">
      <x:c r="A372" s="13" t="n">
        <x:v>43095</x:v>
      </x:c>
      <x:c r="B372" s="12" t="n">
        <x:v>3.57</x:v>
      </x:c>
      <x:c r="C372" s="12" t="n">
        <x:v>357</x:v>
      </x:c>
      <x:c r="D372" s="12" t="n">
        <x:v>1</x:v>
      </x:c>
      <x:c r="E372" s="12" t="str">
        <x:v>Archived FRED mirror (Hugging Face)</x:v>
      </x:c>
    </x:row>
    <x:row r="373" ht="18" customHeight="1">
      <x:c r="A373" s="13" t="n">
        <x:v>43096</x:v>
      </x:c>
      <x:c r="B373" s="12" t="n">
        <x:v>3.59</x:v>
      </x:c>
      <x:c r="C373" s="12" t="n">
        <x:v>359</x:v>
      </x:c>
      <x:c r="D373" s="12" t="n">
        <x:v>2</x:v>
      </x:c>
      <x:c r="E373" s="12" t="str">
        <x:v>Archived FRED mirror (Hugging Face)</x:v>
      </x:c>
    </x:row>
    <x:row r="374" ht="18" customHeight="1">
      <x:c r="A374" s="13" t="n">
        <x:v>43097</x:v>
      </x:c>
      <x:c r="B374" s="12" t="n">
        <x:v>3.55</x:v>
      </x:c>
      <x:c r="C374" s="12" t="n">
        <x:v>355</x:v>
      </x:c>
      <x:c r="D374" s="12" t="n">
        <x:v>-4</x:v>
      </x:c>
      <x:c r="E374" s="12" t="str">
        <x:v>Archived FRED mirror (Hugging Face)</x:v>
      </x:c>
    </x:row>
    <x:row r="375" ht="18" customHeight="1">
      <x:c r="A375" s="13" t="n">
        <x:v>43098</x:v>
      </x:c>
      <x:c r="B375" s="12" t="n">
        <x:v>3.58</x:v>
      </x:c>
      <x:c r="C375" s="12" t="n">
        <x:v>358</x:v>
      </x:c>
      <x:c r="D375" s="12" t="n">
        <x:v>3</x:v>
      </x:c>
      <x:c r="E375" s="12" t="str">
        <x:v>Archived FRED mirror (Hugging Face)</x:v>
      </x:c>
    </x:row>
    <x:row r="376" ht="18" customHeight="1">
      <x:c r="A376" s="13" t="n">
        <x:v>43100</x:v>
      </x:c>
      <x:c r="B376" s="12" t="n">
        <x:v>3.63</x:v>
      </x:c>
      <x:c r="C376" s="12" t="n">
        <x:v>363</x:v>
      </x:c>
      <x:c r="D376" s="12" t="n">
        <x:v>5</x:v>
      </x:c>
      <x:c r="E376" s="12" t="str">
        <x:v>Archived FRED mirror (Hugging Face)</x:v>
      </x:c>
    </x:row>
    <x:row r="377" ht="18" customHeight="1">
      <x:c r="A377" s="13" t="n">
        <x:v>43102</x:v>
      </x:c>
      <x:c r="B377" s="12" t="n">
        <x:v>3.55</x:v>
      </x:c>
      <x:c r="C377" s="12" t="n">
        <x:v>355</x:v>
      </x:c>
      <x:c r="D377" s="12" t="n">
        <x:v>-8</x:v>
      </x:c>
      <x:c r="E377" s="12" t="str">
        <x:v>Archived FRED mirror (Hugging Face)</x:v>
      </x:c>
    </x:row>
    <x:row r="378" ht="18" customHeight="1">
      <x:c r="A378" s="13" t="n">
        <x:v>43103</x:v>
      </x:c>
      <x:c r="B378" s="12" t="n">
        <x:v>3.48</x:v>
      </x:c>
      <x:c r="C378" s="12" t="n">
        <x:v>348</x:v>
      </x:c>
      <x:c r="D378" s="12" t="n">
        <x:v>-7</x:v>
      </x:c>
      <x:c r="E378" s="12" t="str">
        <x:v>Archived FRED mirror (Hugging Face)</x:v>
      </x:c>
    </x:row>
    <x:row r="379" ht="18" customHeight="1">
      <x:c r="A379" s="13" t="n">
        <x:v>43104</x:v>
      </x:c>
      <x:c r="B379" s="12" t="n">
        <x:v>3.4</x:v>
      </x:c>
      <x:c r="C379" s="12" t="n">
        <x:v>340</x:v>
      </x:c>
      <x:c r="D379" s="12" t="n">
        <x:v>-8</x:v>
      </x:c>
      <x:c r="E379" s="12" t="str">
        <x:v>Archived FRED mirror (Hugging Face)</x:v>
      </x:c>
    </x:row>
    <x:row r="380" ht="18" customHeight="1">
      <x:c r="A380" s="13" t="n">
        <x:v>43105</x:v>
      </x:c>
      <x:c r="B380" s="12" t="n">
        <x:v>3.36</x:v>
      </x:c>
      <x:c r="C380" s="12" t="n">
        <x:v>336</x:v>
      </x:c>
      <x:c r="D380" s="12" t="n">
        <x:v>-4</x:v>
      </x:c>
      <x:c r="E380" s="12" t="str">
        <x:v>Archived FRED mirror (Hugging Face)</x:v>
      </x:c>
    </x:row>
    <x:row r="381" ht="18" customHeight="1">
      <x:c r="A381" s="13" t="n">
        <x:v>43108</x:v>
      </x:c>
      <x:c r="B381" s="12" t="n">
        <x:v>3.35</x:v>
      </x:c>
      <x:c r="C381" s="12" t="n">
        <x:v>335</x:v>
      </x:c>
      <x:c r="D381" s="12" t="n">
        <x:v>-1</x:v>
      </x:c>
      <x:c r="E381" s="12" t="str">
        <x:v>Archived FRED mirror (Hugging Face)</x:v>
      </x:c>
    </x:row>
    <x:row r="382" ht="18" customHeight="1">
      <x:c r="A382" s="13" t="n">
        <x:v>43109</x:v>
      </x:c>
      <x:c r="B382" s="12" t="n">
        <x:v>3.33</x:v>
      </x:c>
      <x:c r="C382" s="12" t="n">
        <x:v>333</x:v>
      </x:c>
      <x:c r="D382" s="12" t="n">
        <x:v>-2</x:v>
      </x:c>
      <x:c r="E382" s="12" t="str">
        <x:v>Archived FRED mirror (Hugging Face)</x:v>
      </x:c>
    </x:row>
    <x:row r="383" ht="18" customHeight="1">
      <x:c r="A383" s="13" t="n">
        <x:v>43110</x:v>
      </x:c>
      <x:c r="B383" s="12" t="n">
        <x:v>3.42</x:v>
      </x:c>
      <x:c r="C383" s="12" t="n">
        <x:v>342</x:v>
      </x:c>
      <x:c r="D383" s="12" t="n">
        <x:v>9</x:v>
      </x:c>
      <x:c r="E383" s="12" t="str">
        <x:v>Archived FRED mirror (Hugging Face)</x:v>
      </x:c>
    </x:row>
    <x:row r="384" ht="18" customHeight="1">
      <x:c r="A384" s="13" t="n">
        <x:v>43111</x:v>
      </x:c>
      <x:c r="B384" s="12" t="n">
        <x:v>3.4</x:v>
      </x:c>
      <x:c r="C384" s="12" t="n">
        <x:v>340</x:v>
      </x:c>
      <x:c r="D384" s="12" t="n">
        <x:v>-2</x:v>
      </x:c>
      <x:c r="E384" s="12" t="str">
        <x:v>Archived FRED mirror (Hugging Face)</x:v>
      </x:c>
    </x:row>
    <x:row r="385" ht="18" customHeight="1">
      <x:c r="A385" s="13" t="n">
        <x:v>43112</x:v>
      </x:c>
      <x:c r="B385" s="12" t="n">
        <x:v>3.37</x:v>
      </x:c>
      <x:c r="C385" s="12" t="n">
        <x:v>337</x:v>
      </x:c>
      <x:c r="D385" s="12" t="n">
        <x:v>-3</x:v>
      </x:c>
      <x:c r="E385" s="12" t="str">
        <x:v>Archived FRED mirror (Hugging Face)</x:v>
      </x:c>
    </x:row>
    <x:row r="386" ht="18" customHeight="1">
      <x:c r="A386" s="13" t="n">
        <x:v>43115</x:v>
      </x:c>
      <x:c r="B386" s="12" t="n">
        <x:v>3.35</x:v>
      </x:c>
      <x:c r="C386" s="12" t="n">
        <x:v>335</x:v>
      </x:c>
      <x:c r="D386" s="12" t="n">
        <x:v>-2</x:v>
      </x:c>
      <x:c r="E386" s="12" t="str">
        <x:v>Archived FRED mirror (Hugging Face)</x:v>
      </x:c>
    </x:row>
    <x:row r="387" ht="18" customHeight="1">
      <x:c r="A387" s="13" t="n">
        <x:v>43116</x:v>
      </x:c>
      <x:c r="B387" s="12" t="n">
        <x:v>3.34</x:v>
      </x:c>
      <x:c r="C387" s="12" t="n">
        <x:v>334</x:v>
      </x:c>
      <x:c r="D387" s="12" t="n">
        <x:v>-1</x:v>
      </x:c>
      <x:c r="E387" s="12" t="str">
        <x:v>Archived FRED mirror (Hugging Face)</x:v>
      </x:c>
    </x:row>
    <x:row r="388" ht="18" customHeight="1">
      <x:c r="A388" s="13" t="n">
        <x:v>43117</x:v>
      </x:c>
      <x:c r="B388" s="12" t="n">
        <x:v>3.34</x:v>
      </x:c>
      <x:c r="C388" s="12" t="n">
        <x:v>334</x:v>
      </x:c>
      <x:c r="D388" s="12" t="n">
        <x:v>0</x:v>
      </x:c>
      <x:c r="E388" s="12" t="str">
        <x:v>Archived FRED mirror (Hugging Face)</x:v>
      </x:c>
    </x:row>
    <x:row r="389" ht="18" customHeight="1">
      <x:c r="A389" s="13" t="n">
        <x:v>43118</x:v>
      </x:c>
      <x:c r="B389" s="12" t="n">
        <x:v>3.35</x:v>
      </x:c>
      <x:c r="C389" s="12" t="n">
        <x:v>335</x:v>
      </x:c>
      <x:c r="D389" s="12" t="n">
        <x:v>1</x:v>
      </x:c>
      <x:c r="E389" s="12" t="str">
        <x:v>Archived FRED mirror (Hugging Face)</x:v>
      </x:c>
    </x:row>
    <x:row r="390" ht="18" customHeight="1">
      <x:c r="A390" s="13" t="n">
        <x:v>43119</x:v>
      </x:c>
      <x:c r="B390" s="12" t="n">
        <x:v>3.35</x:v>
      </x:c>
      <x:c r="C390" s="12" t="n">
        <x:v>335</x:v>
      </x:c>
      <x:c r="D390" s="12" t="n">
        <x:v>0</x:v>
      </x:c>
      <x:c r="E390" s="12" t="str">
        <x:v>Archived FRED mirror (Hugging Face)</x:v>
      </x:c>
    </x:row>
    <x:row r="391" ht="18" customHeight="1">
      <x:c r="A391" s="13" t="n">
        <x:v>43122</x:v>
      </x:c>
      <x:c r="B391" s="12" t="n">
        <x:v>3.32</x:v>
      </x:c>
      <x:c r="C391" s="12" t="n">
        <x:v>332</x:v>
      </x:c>
      <x:c r="D391" s="12" t="n">
        <x:v>-3</x:v>
      </x:c>
      <x:c r="E391" s="12" t="str">
        <x:v>Archived FRED mirror (Hugging Face)</x:v>
      </x:c>
    </x:row>
    <x:row r="392" ht="18" customHeight="1">
      <x:c r="A392" s="13" t="n">
        <x:v>43123</x:v>
      </x:c>
      <x:c r="B392" s="12" t="n">
        <x:v>3.31</x:v>
      </x:c>
      <x:c r="C392" s="12" t="n">
        <x:v>331</x:v>
      </x:c>
      <x:c r="D392" s="12" t="n">
        <x:v>-1</x:v>
      </x:c>
      <x:c r="E392" s="12" t="str">
        <x:v>Archived FRED mirror (Hugging Face)</x:v>
      </x:c>
    </x:row>
    <x:row r="393" ht="18" customHeight="1">
      <x:c r="A393" s="13" t="n">
        <x:v>43124</x:v>
      </x:c>
      <x:c r="B393" s="12" t="n">
        <x:v>3.28</x:v>
      </x:c>
      <x:c r="C393" s="12" t="n">
        <x:v>328</x:v>
      </x:c>
      <x:c r="D393" s="12" t="n">
        <x:v>-3</x:v>
      </x:c>
      <x:c r="E393" s="12" t="str">
        <x:v>Archived FRED mirror (Hugging Face)</x:v>
      </x:c>
    </x:row>
    <x:row r="394" ht="18" customHeight="1">
      <x:c r="A394" s="13" t="n">
        <x:v>43125</x:v>
      </x:c>
      <x:c r="B394" s="12" t="n">
        <x:v>3.28</x:v>
      </x:c>
      <x:c r="C394" s="12" t="n">
        <x:v>328</x:v>
      </x:c>
      <x:c r="D394" s="12" t="n">
        <x:v>0</x:v>
      </x:c>
      <x:c r="E394" s="12" t="str">
        <x:v>Archived FRED mirror (Hugging Face)</x:v>
      </x:c>
    </x:row>
    <x:row r="395" ht="18" customHeight="1">
      <x:c r="A395" s="13" t="n">
        <x:v>43126</x:v>
      </x:c>
      <x:c r="B395" s="12" t="n">
        <x:v>3.23</x:v>
      </x:c>
      <x:c r="C395" s="12" t="n">
        <x:v>323</x:v>
      </x:c>
      <x:c r="D395" s="12" t="n">
        <x:v>-5</x:v>
      </x:c>
      <x:c r="E395" s="12" t="str">
        <x:v>Archived FRED mirror (Hugging Face)</x:v>
      </x:c>
    </x:row>
    <x:row r="396" ht="18" customHeight="1">
      <x:c r="A396" s="13" t="n">
        <x:v>43129</x:v>
      </x:c>
      <x:c r="B396" s="12" t="n">
        <x:v>3.26</x:v>
      </x:c>
      <x:c r="C396" s="12" t="n">
        <x:v>326</x:v>
      </x:c>
      <x:c r="D396" s="12" t="n">
        <x:v>3</x:v>
      </x:c>
      <x:c r="E396" s="12" t="str">
        <x:v>Archived FRED mirror (Hugging Face)</x:v>
      </x:c>
    </x:row>
    <x:row r="397" ht="18" customHeight="1">
      <x:c r="A397" s="13" t="n">
        <x:v>43130</x:v>
      </x:c>
      <x:c r="B397" s="12" t="n">
        <x:v>3.33</x:v>
      </x:c>
      <x:c r="C397" s="12" t="n">
        <x:v>333</x:v>
      </x:c>
      <x:c r="D397" s="12" t="n">
        <x:v>7</x:v>
      </x:c>
      <x:c r="E397" s="12" t="str">
        <x:v>Archived FRED mirror (Hugging Face)</x:v>
      </x:c>
    </x:row>
    <x:row r="398" ht="18" customHeight="1">
      <x:c r="A398" s="13" t="n">
        <x:v>43131</x:v>
      </x:c>
      <x:c r="B398" s="12" t="n">
        <x:v>3.29</x:v>
      </x:c>
      <x:c r="C398" s="12" t="n">
        <x:v>329</x:v>
      </x:c>
      <x:c r="D398" s="12" t="n">
        <x:v>-4</x:v>
      </x:c>
      <x:c r="E398" s="12" t="str">
        <x:v>Archived FRED mirror (Hugging Face)</x:v>
      </x:c>
    </x:row>
    <x:row r="399" ht="18" customHeight="1">
      <x:c r="A399" s="13" t="n">
        <x:v>43132</x:v>
      </x:c>
      <x:c r="B399" s="12" t="n">
        <x:v>3.29</x:v>
      </x:c>
      <x:c r="C399" s="12" t="n">
        <x:v>329</x:v>
      </x:c>
      <x:c r="D399" s="12" t="n">
        <x:v>0</x:v>
      </x:c>
      <x:c r="E399" s="12" t="str">
        <x:v>Archived FRED mirror (Hugging Face)</x:v>
      </x:c>
    </x:row>
    <x:row r="400" ht="18" customHeight="1">
      <x:c r="A400" s="13" t="n">
        <x:v>43133</x:v>
      </x:c>
      <x:c r="B400" s="12" t="n">
        <x:v>3.36</x:v>
      </x:c>
      <x:c r="C400" s="12" t="n">
        <x:v>336</x:v>
      </x:c>
      <x:c r="D400" s="12" t="n">
        <x:v>7</x:v>
      </x:c>
      <x:c r="E400" s="12" t="str">
        <x:v>Archived FRED mirror (Hugging Face)</x:v>
      </x:c>
    </x:row>
    <x:row r="401" ht="18" customHeight="1">
      <x:c r="A401" s="13" t="n">
        <x:v>43136</x:v>
      </x:c>
      <x:c r="B401" s="12" t="n">
        <x:v>3.48</x:v>
      </x:c>
      <x:c r="C401" s="12" t="n">
        <x:v>348</x:v>
      </x:c>
      <x:c r="D401" s="12" t="n">
        <x:v>12</x:v>
      </x:c>
      <x:c r="E401" s="12" t="str">
        <x:v>Archived FRED mirror (Hugging Face)</x:v>
      </x:c>
    </x:row>
    <x:row r="402" ht="18" customHeight="1">
      <x:c r="A402" s="13" t="n">
        <x:v>43137</x:v>
      </x:c>
      <x:c r="B402" s="12" t="n">
        <x:v>3.6</x:v>
      </x:c>
      <x:c r="C402" s="12" t="n">
        <x:v>360</x:v>
      </x:c>
      <x:c r="D402" s="12" t="n">
        <x:v>12</x:v>
      </x:c>
      <x:c r="E402" s="12" t="str">
        <x:v>Archived FRED mirror (Hugging Face)</x:v>
      </x:c>
    </x:row>
    <x:row r="403" ht="18" customHeight="1">
      <x:c r="A403" s="13" t="n">
        <x:v>43138</x:v>
      </x:c>
      <x:c r="B403" s="12" t="n">
        <x:v>3.46</x:v>
      </x:c>
      <x:c r="C403" s="12" t="n">
        <x:v>346</x:v>
      </x:c>
      <x:c r="D403" s="12" t="n">
        <x:v>-14</x:v>
      </x:c>
      <x:c r="E403" s="12" t="str">
        <x:v>Archived FRED mirror (Hugging Face)</x:v>
      </x:c>
    </x:row>
    <x:row r="404" ht="18" customHeight="1">
      <x:c r="A404" s="13" t="n">
        <x:v>43139</x:v>
      </x:c>
      <x:c r="B404" s="12" t="n">
        <x:v>3.59</x:v>
      </x:c>
      <x:c r="C404" s="12" t="n">
        <x:v>359</x:v>
      </x:c>
      <x:c r="D404" s="12" t="n">
        <x:v>13</x:v>
      </x:c>
      <x:c r="E404" s="12" t="str">
        <x:v>Archived FRED mirror (Hugging Face)</x:v>
      </x:c>
    </x:row>
    <x:row r="405" ht="18" customHeight="1">
      <x:c r="A405" s="13" t="n">
        <x:v>43140</x:v>
      </x:c>
      <x:c r="B405" s="12" t="n">
        <x:v>3.82</x:v>
      </x:c>
      <x:c r="C405" s="12" t="n">
        <x:v>382</x:v>
      </x:c>
      <x:c r="D405" s="12" t="n">
        <x:v>23</x:v>
      </x:c>
      <x:c r="E405" s="12" t="str">
        <x:v>Archived FRED mirror (Hugging Face)</x:v>
      </x:c>
    </x:row>
    <x:row r="406" ht="18" customHeight="1">
      <x:c r="A406" s="13" t="n">
        <x:v>43143</x:v>
      </x:c>
      <x:c r="B406" s="12" t="n">
        <x:v>3.71</x:v>
      </x:c>
      <x:c r="C406" s="12" t="n">
        <x:v>371</x:v>
      </x:c>
      <x:c r="D406" s="12" t="n">
        <x:v>-11</x:v>
      </x:c>
      <x:c r="E406" s="12" t="str">
        <x:v>Archived FRED mirror (Hugging Face)</x:v>
      </x:c>
    </x:row>
    <x:row r="407" ht="18" customHeight="1">
      <x:c r="A407" s="13" t="n">
        <x:v>43144</x:v>
      </x:c>
      <x:c r="B407" s="12" t="n">
        <x:v>3.78</x:v>
      </x:c>
      <x:c r="C407" s="12" t="n">
        <x:v>378</x:v>
      </x:c>
      <x:c r="D407" s="12" t="n">
        <x:v>7</x:v>
      </x:c>
      <x:c r="E407" s="12" t="str">
        <x:v>Archived FRED mirror (Hugging Face)</x:v>
      </x:c>
    </x:row>
    <x:row r="408" ht="18" customHeight="1">
      <x:c r="A408" s="13" t="n">
        <x:v>43145</x:v>
      </x:c>
      <x:c r="B408" s="12" t="n">
        <x:v>3.69</x:v>
      </x:c>
      <x:c r="C408" s="12" t="n">
        <x:v>369</x:v>
      </x:c>
      <x:c r="D408" s="12" t="n">
        <x:v>-9</x:v>
      </x:c>
      <x:c r="E408" s="12" t="str">
        <x:v>Archived FRED mirror (Hugging Face)</x:v>
      </x:c>
    </x:row>
    <x:row r="409" ht="18" customHeight="1">
      <x:c r="A409" s="13" t="n">
        <x:v>43146</x:v>
      </x:c>
      <x:c r="B409" s="12" t="n">
        <x:v>3.57</x:v>
      </x:c>
      <x:c r="C409" s="12" t="n">
        <x:v>357</x:v>
      </x:c>
      <x:c r="D409" s="12" t="n">
        <x:v>-12</x:v>
      </x:c>
      <x:c r="E409" s="12" t="str">
        <x:v>Archived FRED mirror (Hugging Face)</x:v>
      </x:c>
    </x:row>
    <x:row r="410" ht="18" customHeight="1">
      <x:c r="A410" s="13" t="n">
        <x:v>43147</x:v>
      </x:c>
      <x:c r="B410" s="12" t="n">
        <x:v>3.5</x:v>
      </x:c>
      <x:c r="C410" s="12" t="n">
        <x:v>350</x:v>
      </x:c>
      <x:c r="D410" s="12" t="n">
        <x:v>-7</x:v>
      </x:c>
      <x:c r="E410" s="12" t="str">
        <x:v>Archived FRED mirror (Hugging Face)</x:v>
      </x:c>
    </x:row>
    <x:row r="411" ht="18" customHeight="1">
      <x:c r="A411" s="13" t="n">
        <x:v>43150</x:v>
      </x:c>
      <x:c r="B411" s="12" t="n">
        <x:v>3.5</x:v>
      </x:c>
      <x:c r="C411" s="12" t="n">
        <x:v>350</x:v>
      </x:c>
      <x:c r="D411" s="12" t="n">
        <x:v>0</x:v>
      </x:c>
      <x:c r="E411" s="12" t="str">
        <x:v>Archived FRED mirror (Hugging Face)</x:v>
      </x:c>
    </x:row>
    <x:row r="412" ht="18" customHeight="1">
      <x:c r="A412" s="13" t="n">
        <x:v>43151</x:v>
      </x:c>
      <x:c r="B412" s="12" t="n">
        <x:v>3.48</x:v>
      </x:c>
      <x:c r="C412" s="12" t="n">
        <x:v>348</x:v>
      </x:c>
      <x:c r="D412" s="12" t="n">
        <x:v>-2</x:v>
      </x:c>
      <x:c r="E412" s="12" t="str">
        <x:v>Archived FRED mirror (Hugging Face)</x:v>
      </x:c>
    </x:row>
    <x:row r="413" ht="18" customHeight="1">
      <x:c r="A413" s="13" t="n">
        <x:v>43152</x:v>
      </x:c>
      <x:c r="B413" s="12" t="n">
        <x:v>3.46</x:v>
      </x:c>
      <x:c r="C413" s="12" t="n">
        <x:v>346</x:v>
      </x:c>
      <x:c r="D413" s="12" t="n">
        <x:v>-2</x:v>
      </x:c>
      <x:c r="E413" s="12" t="str">
        <x:v>Archived FRED mirror (Hugging Face)</x:v>
      </x:c>
    </x:row>
    <x:row r="414" ht="18" customHeight="1">
      <x:c r="A414" s="13" t="n">
        <x:v>43153</x:v>
      </x:c>
      <x:c r="B414" s="12" t="n">
        <x:v>3.53</x:v>
      </x:c>
      <x:c r="C414" s="12" t="n">
        <x:v>353</x:v>
      </x:c>
      <x:c r="D414" s="12" t="n">
        <x:v>7</x:v>
      </x:c>
      <x:c r="E414" s="12" t="str">
        <x:v>Archived FRED mirror (Hugging Face)</x:v>
      </x:c>
    </x:row>
    <x:row r="415" ht="18" customHeight="1">
      <x:c r="A415" s="13" t="n">
        <x:v>43154</x:v>
      </x:c>
      <x:c r="B415" s="12" t="n">
        <x:v>3.58</x:v>
      </x:c>
      <x:c r="C415" s="12" t="n">
        <x:v>358</x:v>
      </x:c>
      <x:c r="D415" s="12" t="n">
        <x:v>5</x:v>
      </x:c>
      <x:c r="E415" s="12" t="str">
        <x:v>Archived FRED mirror (Hugging Face)</x:v>
      </x:c>
    </x:row>
    <x:row r="416" ht="18" customHeight="1">
      <x:c r="A416" s="13" t="n">
        <x:v>43157</x:v>
      </x:c>
      <x:c r="B416" s="12" t="n">
        <x:v>3.5</x:v>
      </x:c>
      <x:c r="C416" s="12" t="n">
        <x:v>350</x:v>
      </x:c>
      <x:c r="D416" s="12" t="n">
        <x:v>-8</x:v>
      </x:c>
      <x:c r="E416" s="12" t="str">
        <x:v>Archived FRED mirror (Hugging Face)</x:v>
      </x:c>
    </x:row>
    <x:row r="417" ht="18" customHeight="1">
      <x:c r="A417" s="13" t="n">
        <x:v>43158</x:v>
      </x:c>
      <x:c r="B417" s="12" t="n">
        <x:v>3.47</x:v>
      </x:c>
      <x:c r="C417" s="12" t="n">
        <x:v>347</x:v>
      </x:c>
      <x:c r="D417" s="12" t="n">
        <x:v>-3</x:v>
      </x:c>
      <x:c r="E417" s="12" t="str">
        <x:v>Archived FRED mirror (Hugging Face)</x:v>
      </x:c>
    </x:row>
    <x:row r="418" ht="18" customHeight="1">
      <x:c r="A418" s="13" t="n">
        <x:v>43159</x:v>
      </x:c>
      <x:c r="B418" s="12" t="n">
        <x:v>3.47</x:v>
      </x:c>
      <x:c r="C418" s="12" t="n">
        <x:v>347</x:v>
      </x:c>
      <x:c r="D418" s="12" t="n">
        <x:v>0</x:v>
      </x:c>
      <x:c r="E418" s="12" t="str">
        <x:v>Archived FRED mirror (Hugging Face)</x:v>
      </x:c>
    </x:row>
    <x:row r="419" ht="18" customHeight="1">
      <x:c r="A419" s="13" t="n">
        <x:v>43160</x:v>
      </x:c>
      <x:c r="B419" s="12" t="n">
        <x:v>3.59</x:v>
      </x:c>
      <x:c r="C419" s="12" t="n">
        <x:v>359</x:v>
      </x:c>
      <x:c r="D419" s="12" t="n">
        <x:v>12</x:v>
      </x:c>
      <x:c r="E419" s="12" t="str">
        <x:v>Archived FRED mirror (Hugging Face)</x:v>
      </x:c>
    </x:row>
    <x:row r="420" ht="18" customHeight="1">
      <x:c r="A420" s="13" t="n">
        <x:v>43161</x:v>
      </x:c>
      <x:c r="B420" s="12" t="n">
        <x:v>3.65</x:v>
      </x:c>
      <x:c r="C420" s="12" t="n">
        <x:v>365</x:v>
      </x:c>
      <x:c r="D420" s="12" t="n">
        <x:v>6</x:v>
      </x:c>
      <x:c r="E420" s="12" t="str">
        <x:v>Archived FRED mirror (Hugging Face)</x:v>
      </x:c>
    </x:row>
    <x:row r="421" ht="18" customHeight="1">
      <x:c r="A421" s="13" t="n">
        <x:v>43164</x:v>
      </x:c>
      <x:c r="B421" s="12" t="n">
        <x:v>3.59</x:v>
      </x:c>
      <x:c r="C421" s="12" t="n">
        <x:v>359</x:v>
      </x:c>
      <x:c r="D421" s="12" t="n">
        <x:v>-6</x:v>
      </x:c>
      <x:c r="E421" s="12" t="str">
        <x:v>Archived FRED mirror (Hugging Face)</x:v>
      </x:c>
    </x:row>
    <x:row r="422" ht="18" customHeight="1">
      <x:c r="A422" s="13" t="n">
        <x:v>43165</x:v>
      </x:c>
      <x:c r="B422" s="12" t="n">
        <x:v>3.53</x:v>
      </x:c>
      <x:c r="C422" s="12" t="n">
        <x:v>353</x:v>
      </x:c>
      <x:c r="D422" s="12" t="n">
        <x:v>-6</x:v>
      </x:c>
      <x:c r="E422" s="12" t="str">
        <x:v>Archived FRED mirror (Hugging Face)</x:v>
      </x:c>
    </x:row>
    <x:row r="423" ht="18" customHeight="1">
      <x:c r="A423" s="13" t="n">
        <x:v>43166</x:v>
      </x:c>
      <x:c r="B423" s="12" t="n">
        <x:v>3.56</x:v>
      </x:c>
      <x:c r="C423" s="12" t="n">
        <x:v>356</x:v>
      </x:c>
      <x:c r="D423" s="12" t="n">
        <x:v>3</x:v>
      </x:c>
      <x:c r="E423" s="12" t="str">
        <x:v>Archived FRED mirror (Hugging Face)</x:v>
      </x:c>
    </x:row>
    <x:row r="424" ht="18" customHeight="1">
      <x:c r="A424" s="13" t="n">
        <x:v>43167</x:v>
      </x:c>
      <x:c r="B424" s="12" t="n">
        <x:v>3.56</x:v>
      </x:c>
      <x:c r="C424" s="12" t="n">
        <x:v>356</x:v>
      </x:c>
      <x:c r="D424" s="12" t="n">
        <x:v>0</x:v>
      </x:c>
      <x:c r="E424" s="12" t="str">
        <x:v>Archived FRED mirror (Hugging Face)</x:v>
      </x:c>
    </x:row>
    <x:row r="425" ht="18" customHeight="1">
      <x:c r="A425" s="13" t="n">
        <x:v>43168</x:v>
      </x:c>
      <x:c r="B425" s="12" t="n">
        <x:v>3.53</x:v>
      </x:c>
      <x:c r="C425" s="12" t="n">
        <x:v>353</x:v>
      </x:c>
      <x:c r="D425" s="12" t="n">
        <x:v>-3</x:v>
      </x:c>
      <x:c r="E425" s="12" t="str">
        <x:v>Archived FRED mirror (Hugging Face)</x:v>
      </x:c>
    </x:row>
    <x:row r="426" ht="18" customHeight="1">
      <x:c r="A426" s="13" t="n">
        <x:v>43171</x:v>
      </x:c>
      <x:c r="B426" s="12" t="n">
        <x:v>3.55</x:v>
      </x:c>
      <x:c r="C426" s="12" t="n">
        <x:v>355</x:v>
      </x:c>
      <x:c r="D426" s="12" t="n">
        <x:v>2</x:v>
      </x:c>
      <x:c r="E426" s="12" t="str">
        <x:v>Archived FRED mirror (Hugging Face)</x:v>
      </x:c>
    </x:row>
    <x:row r="427" ht="18" customHeight="1">
      <x:c r="A427" s="13" t="n">
        <x:v>43172</x:v>
      </x:c>
      <x:c r="B427" s="12" t="n">
        <x:v>3.58</x:v>
      </x:c>
      <x:c r="C427" s="12" t="n">
        <x:v>358</x:v>
      </x:c>
      <x:c r="D427" s="12" t="n">
        <x:v>3</x:v>
      </x:c>
      <x:c r="E427" s="12" t="str">
        <x:v>Archived FRED mirror (Hugging Face)</x:v>
      </x:c>
    </x:row>
    <x:row r="428" ht="18" customHeight="1">
      <x:c r="A428" s="13" t="n">
        <x:v>43173</x:v>
      </x:c>
      <x:c r="B428" s="12" t="n">
        <x:v>3.62</x:v>
      </x:c>
      <x:c r="C428" s="12" t="n">
        <x:v>362</x:v>
      </x:c>
      <x:c r="D428" s="12" t="n">
        <x:v>4</x:v>
      </x:c>
      <x:c r="E428" s="12" t="str">
        <x:v>Archived FRED mirror (Hugging Face)</x:v>
      </x:c>
    </x:row>
    <x:row r="429" ht="18" customHeight="1">
      <x:c r="A429" s="13" t="n">
        <x:v>43174</x:v>
      </x:c>
      <x:c r="B429" s="12" t="n">
        <x:v>3.62</x:v>
      </x:c>
      <x:c r="C429" s="12" t="n">
        <x:v>362</x:v>
      </x:c>
      <x:c r="D429" s="12" t="n">
        <x:v>0</x:v>
      </x:c>
      <x:c r="E429" s="12" t="str">
        <x:v>Archived FRED mirror (Hugging Face)</x:v>
      </x:c>
    </x:row>
    <x:row r="430" ht="18" customHeight="1">
      <x:c r="A430" s="13" t="n">
        <x:v>43175</x:v>
      </x:c>
      <x:c r="B430" s="12" t="n">
        <x:v>3.6</x:v>
      </x:c>
      <x:c r="C430" s="12" t="n">
        <x:v>360</x:v>
      </x:c>
      <x:c r="D430" s="12" t="n">
        <x:v>-2</x:v>
      </x:c>
      <x:c r="E430" s="12" t="str">
        <x:v>Archived FRED mirror (Hugging Face)</x:v>
      </x:c>
    </x:row>
    <x:row r="431" ht="18" customHeight="1">
      <x:c r="A431" s="13" t="n">
        <x:v>43178</x:v>
      </x:c>
      <x:c r="B431" s="12" t="n">
        <x:v>3.65</x:v>
      </x:c>
      <x:c r="C431" s="12" t="n">
        <x:v>365</x:v>
      </x:c>
      <x:c r="D431" s="12" t="n">
        <x:v>5</x:v>
      </x:c>
      <x:c r="E431" s="12" t="str">
        <x:v>Archived FRED mirror (Hugging Face)</x:v>
      </x:c>
    </x:row>
    <x:row r="432" ht="18" customHeight="1">
      <x:c r="A432" s="13" t="n">
        <x:v>43179</x:v>
      </x:c>
      <x:c r="B432" s="12" t="n">
        <x:v>3.62</x:v>
      </x:c>
      <x:c r="C432" s="12" t="n">
        <x:v>362</x:v>
      </x:c>
      <x:c r="D432" s="12" t="n">
        <x:v>-3</x:v>
      </x:c>
      <x:c r="E432" s="12" t="str">
        <x:v>Archived FRED mirror (Hugging Face)</x:v>
      </x:c>
    </x:row>
    <x:row r="433" ht="18" customHeight="1">
      <x:c r="A433" s="13" t="n">
        <x:v>43180</x:v>
      </x:c>
      <x:c r="B433" s="12" t="n">
        <x:v>3.6</x:v>
      </x:c>
      <x:c r="C433" s="12" t="n">
        <x:v>360</x:v>
      </x:c>
      <x:c r="D433" s="12" t="n">
        <x:v>-2</x:v>
      </x:c>
      <x:c r="E433" s="12" t="str">
        <x:v>Archived FRED mirror (Hugging Face)</x:v>
      </x:c>
    </x:row>
    <x:row r="434" ht="18" customHeight="1">
      <x:c r="A434" s="13" t="n">
        <x:v>43181</x:v>
      </x:c>
      <x:c r="B434" s="12" t="n">
        <x:v>3.7</x:v>
      </x:c>
      <x:c r="C434" s="12" t="n">
        <x:v>370</x:v>
      </x:c>
      <x:c r="D434" s="12" t="n">
        <x:v>10</x:v>
      </x:c>
      <x:c r="E434" s="12" t="str">
        <x:v>Archived FRED mirror (Hugging Face)</x:v>
      </x:c>
    </x:row>
    <x:row r="435" ht="18" customHeight="1">
      <x:c r="A435" s="13" t="n">
        <x:v>43182</x:v>
      </x:c>
      <x:c r="B435" s="12" t="n">
        <x:v>3.74</x:v>
      </x:c>
      <x:c r="C435" s="12" t="n">
        <x:v>374</x:v>
      </x:c>
      <x:c r="D435" s="12" t="n">
        <x:v>4</x:v>
      </x:c>
      <x:c r="E435" s="12" t="str">
        <x:v>Archived FRED mirror (Hugging Face)</x:v>
      </x:c>
    </x:row>
    <x:row r="436" ht="18" customHeight="1">
      <x:c r="A436" s="13" t="n">
        <x:v>43185</x:v>
      </x:c>
      <x:c r="B436" s="12" t="n">
        <x:v>3.73</x:v>
      </x:c>
      <x:c r="C436" s="12" t="n">
        <x:v>373</x:v>
      </x:c>
      <x:c r="D436" s="12" t="n">
        <x:v>-1</x:v>
      </x:c>
      <x:c r="E436" s="12" t="str">
        <x:v>Archived FRED mirror (Hugging Face)</x:v>
      </x:c>
    </x:row>
    <x:row r="437" ht="18" customHeight="1">
      <x:c r="A437" s="13" t="n">
        <x:v>43186</x:v>
      </x:c>
      <x:c r="B437" s="12" t="n">
        <x:v>3.75</x:v>
      </x:c>
      <x:c r="C437" s="12" t="n">
        <x:v>375</x:v>
      </x:c>
      <x:c r="D437" s="12" t="n">
        <x:v>2</x:v>
      </x:c>
      <x:c r="E437" s="12" t="str">
        <x:v>Archived FRED mirror (Hugging Face)</x:v>
      </x:c>
    </x:row>
    <x:row r="438" ht="18" customHeight="1">
      <x:c r="A438" s="13" t="n">
        <x:v>43187</x:v>
      </x:c>
      <x:c r="B438" s="12" t="n">
        <x:v>3.77</x:v>
      </x:c>
      <x:c r="C438" s="12" t="n">
        <x:v>377</x:v>
      </x:c>
      <x:c r="D438" s="12" t="n">
        <x:v>2</x:v>
      </x:c>
      <x:c r="E438" s="12" t="str">
        <x:v>Archived FRED mirror (Hugging Face)</x:v>
      </x:c>
    </x:row>
    <x:row r="439" ht="18" customHeight="1">
      <x:c r="A439" s="13" t="n">
        <x:v>43188</x:v>
      </x:c>
      <x:c r="B439" s="12" t="n">
        <x:v>3.79</x:v>
      </x:c>
      <x:c r="C439" s="12" t="n">
        <x:v>379</x:v>
      </x:c>
      <x:c r="D439" s="12" t="n">
        <x:v>2</x:v>
      </x:c>
      <x:c r="E439" s="12" t="str">
        <x:v>Archived FRED mirror (Hugging Face)</x:v>
      </x:c>
    </x:row>
    <x:row r="440" ht="18" customHeight="1">
      <x:c r="A440" s="13" t="n">
        <x:v>43190</x:v>
      </x:c>
      <x:c r="B440" s="12" t="n">
        <x:v>3.72</x:v>
      </x:c>
      <x:c r="C440" s="12" t="n">
        <x:v>372</x:v>
      </x:c>
      <x:c r="D440" s="12" t="n">
        <x:v>-7</x:v>
      </x:c>
      <x:c r="E440" s="12" t="str">
        <x:v>Archived FRED mirror (Hugging Face)</x:v>
      </x:c>
    </x:row>
    <x:row r="441" ht="18" customHeight="1">
      <x:c r="A441" s="13" t="n">
        <x:v>43192</x:v>
      </x:c>
      <x:c r="B441" s="12" t="n">
        <x:v>3.77</x:v>
      </x:c>
      <x:c r="C441" s="12" t="n">
        <x:v>377</x:v>
      </x:c>
      <x:c r="D441" s="12" t="n">
        <x:v>5</x:v>
      </x:c>
      <x:c r="E441" s="12" t="str">
        <x:v>Archived FRED mirror (Hugging Face)</x:v>
      </x:c>
    </x:row>
    <x:row r="442" ht="18" customHeight="1">
      <x:c r="A442" s="13" t="n">
        <x:v>43193</x:v>
      </x:c>
      <x:c r="B442" s="12" t="n">
        <x:v>3.71</x:v>
      </x:c>
      <x:c r="C442" s="12" t="n">
        <x:v>371</x:v>
      </x:c>
      <x:c r="D442" s="12" t="n">
        <x:v>-6</x:v>
      </x:c>
      <x:c r="E442" s="12" t="str">
        <x:v>Archived FRED mirror (Hugging Face)</x:v>
      </x:c>
    </x:row>
    <x:row r="443" ht="18" customHeight="1">
      <x:c r="A443" s="13" t="n">
        <x:v>43194</x:v>
      </x:c>
      <x:c r="B443" s="12" t="n">
        <x:v>3.71</x:v>
      </x:c>
      <x:c r="C443" s="12" t="n">
        <x:v>371</x:v>
      </x:c>
      <x:c r="D443" s="12" t="n">
        <x:v>0</x:v>
      </x:c>
      <x:c r="E443" s="12" t="str">
        <x:v>Archived FRED mirror (Hugging Face)</x:v>
      </x:c>
    </x:row>
    <x:row r="444" ht="18" customHeight="1">
      <x:c r="A444" s="13" t="n">
        <x:v>43195</x:v>
      </x:c>
      <x:c r="B444" s="12" t="n">
        <x:v>3.59</x:v>
      </x:c>
      <x:c r="C444" s="12" t="n">
        <x:v>359</x:v>
      </x:c>
      <x:c r="D444" s="12" t="n">
        <x:v>-12</x:v>
      </x:c>
      <x:c r="E444" s="12" t="str">
        <x:v>Archived FRED mirror (Hugging Face)</x:v>
      </x:c>
    </x:row>
    <x:row r="445" ht="18" customHeight="1">
      <x:c r="A445" s="13" t="n">
        <x:v>43196</x:v>
      </x:c>
      <x:c r="B445" s="12" t="n">
        <x:v>3.64</x:v>
      </x:c>
      <x:c r="C445" s="12" t="n">
        <x:v>364</x:v>
      </x:c>
      <x:c r="D445" s="12" t="n">
        <x:v>5</x:v>
      </x:c>
      <x:c r="E445" s="12" t="str">
        <x:v>Archived FRED mirror (Hugging Face)</x:v>
      </x:c>
    </x:row>
    <x:row r="446" ht="18" customHeight="1">
      <x:c r="A446" s="13" t="n">
        <x:v>43199</x:v>
      </x:c>
      <x:c r="B446" s="12" t="n">
        <x:v>3.61</x:v>
      </x:c>
      <x:c r="C446" s="12" t="n">
        <x:v>361</x:v>
      </x:c>
      <x:c r="D446" s="12" t="n">
        <x:v>-3</x:v>
      </x:c>
      <x:c r="E446" s="12" t="str">
        <x:v>Archived FRED mirror (Hugging Face)</x:v>
      </x:c>
    </x:row>
    <x:row r="447" ht="18" customHeight="1">
      <x:c r="A447" s="13" t="n">
        <x:v>43200</x:v>
      </x:c>
      <x:c r="B447" s="12" t="n">
        <x:v>3.52</x:v>
      </x:c>
      <x:c r="C447" s="12" t="n">
        <x:v>352</x:v>
      </x:c>
      <x:c r="D447" s="12" t="n">
        <x:v>-9</x:v>
      </x:c>
      <x:c r="E447" s="12" t="str">
        <x:v>Archived FRED mirror (Hugging Face)</x:v>
      </x:c>
    </x:row>
    <x:row r="448" ht="18" customHeight="1">
      <x:c r="A448" s="13" t="n">
        <x:v>43201</x:v>
      </x:c>
      <x:c r="B448" s="12" t="n">
        <x:v>3.5</x:v>
      </x:c>
      <x:c r="C448" s="12" t="n">
        <x:v>350</x:v>
      </x:c>
      <x:c r="D448" s="12" t="n">
        <x:v>-2</x:v>
      </x:c>
      <x:c r="E448" s="12" t="str">
        <x:v>Archived FRED mirror (Hugging Face)</x:v>
      </x:c>
    </x:row>
    <x:row r="449" ht="18" customHeight="1">
      <x:c r="A449" s="13" t="n">
        <x:v>43202</x:v>
      </x:c>
      <x:c r="B449" s="12" t="n">
        <x:v>3.42</x:v>
      </x:c>
      <x:c r="C449" s="12" t="n">
        <x:v>342</x:v>
      </x:c>
      <x:c r="D449" s="12" t="n">
        <x:v>-8</x:v>
      </x:c>
      <x:c r="E449" s="12" t="str">
        <x:v>Archived FRED mirror (Hugging Face)</x:v>
      </x:c>
    </x:row>
    <x:row r="450" ht="18" customHeight="1">
      <x:c r="A450" s="13" t="n">
        <x:v>43203</x:v>
      </x:c>
      <x:c r="B450" s="12" t="n">
        <x:v>3.38</x:v>
      </x:c>
      <x:c r="C450" s="12" t="n">
        <x:v>338</x:v>
      </x:c>
      <x:c r="D450" s="12" t="n">
        <x:v>-4</x:v>
      </x:c>
      <x:c r="E450" s="12" t="str">
        <x:v>Archived FRED mirror (Hugging Face)</x:v>
      </x:c>
    </x:row>
    <x:row r="451" ht="18" customHeight="1">
      <x:c r="A451" s="13" t="n">
        <x:v>43206</x:v>
      </x:c>
      <x:c r="B451" s="12" t="n">
        <x:v>3.33</x:v>
      </x:c>
      <x:c r="C451" s="12" t="n">
        <x:v>333</x:v>
      </x:c>
      <x:c r="D451" s="12" t="n">
        <x:v>-5</x:v>
      </x:c>
      <x:c r="E451" s="12" t="str">
        <x:v>Archived FRED mirror (Hugging Face)</x:v>
      </x:c>
    </x:row>
    <x:row r="452" ht="18" customHeight="1">
      <x:c r="A452" s="13" t="n">
        <x:v>43207</x:v>
      </x:c>
      <x:c r="B452" s="12" t="n">
        <x:v>3.29</x:v>
      </x:c>
      <x:c r="C452" s="12" t="n">
        <x:v>329</x:v>
      </x:c>
      <x:c r="D452" s="12" t="n">
        <x:v>-4</x:v>
      </x:c>
      <x:c r="E452" s="12" t="str">
        <x:v>Archived FRED mirror (Hugging Face)</x:v>
      </x:c>
    </x:row>
    <x:row r="453" ht="18" customHeight="1">
      <x:c r="A453" s="13" t="n">
        <x:v>43208</x:v>
      </x:c>
      <x:c r="B453" s="12" t="n">
        <x:v>3.24</x:v>
      </x:c>
      <x:c r="C453" s="12" t="n">
        <x:v>324</x:v>
      </x:c>
      <x:c r="D453" s="12" t="n">
        <x:v>-5</x:v>
      </x:c>
      <x:c r="E453" s="12" t="str">
        <x:v>Archived FRED mirror (Hugging Face)</x:v>
      </x:c>
    </x:row>
    <x:row r="454" ht="18" customHeight="1">
      <x:c r="A454" s="13" t="n">
        <x:v>43209</x:v>
      </x:c>
      <x:c r="B454" s="12" t="n">
        <x:v>3.33</x:v>
      </x:c>
      <x:c r="C454" s="12" t="n">
        <x:v>333</x:v>
      </x:c>
      <x:c r="D454" s="12" t="n">
        <x:v>9</x:v>
      </x:c>
      <x:c r="E454" s="12" t="str">
        <x:v>Archived FRED mirror (Hugging Face)</x:v>
      </x:c>
    </x:row>
    <x:row r="455" ht="18" customHeight="1">
      <x:c r="A455" s="13" t="n">
        <x:v>43210</x:v>
      </x:c>
      <x:c r="B455" s="12" t="n">
        <x:v>3.33</x:v>
      </x:c>
      <x:c r="C455" s="12" t="n">
        <x:v>333</x:v>
      </x:c>
      <x:c r="D455" s="12" t="n">
        <x:v>0</x:v>
      </x:c>
      <x:c r="E455" s="12" t="str">
        <x:v>Archived FRED mirror (Hugging Face)</x:v>
      </x:c>
    </x:row>
    <x:row r="456" ht="18" customHeight="1">
      <x:c r="A456" s="13" t="n">
        <x:v>43213</x:v>
      </x:c>
      <x:c r="B456" s="12" t="n">
        <x:v>3.36</x:v>
      </x:c>
      <x:c r="C456" s="12" t="n">
        <x:v>336</x:v>
      </x:c>
      <x:c r="D456" s="12" t="n">
        <x:v>3</x:v>
      </x:c>
      <x:c r="E456" s="12" t="str">
        <x:v>Archived FRED mirror (Hugging Face)</x:v>
      </x:c>
    </x:row>
    <x:row r="457" ht="18" customHeight="1">
      <x:c r="A457" s="13" t="n">
        <x:v>43214</x:v>
      </x:c>
      <x:c r="B457" s="12" t="n">
        <x:v>3.41</x:v>
      </x:c>
      <x:c r="C457" s="12" t="n">
        <x:v>341</x:v>
      </x:c>
      <x:c r="D457" s="12" t="n">
        <x:v>5</x:v>
      </x:c>
      <x:c r="E457" s="12" t="str">
        <x:v>Archived FRED mirror (Hugging Face)</x:v>
      </x:c>
    </x:row>
    <x:row r="458" ht="18" customHeight="1">
      <x:c r="A458" s="13" t="n">
        <x:v>43215</x:v>
      </x:c>
      <x:c r="B458" s="12" t="n">
        <x:v>3.47</x:v>
      </x:c>
      <x:c r="C458" s="12" t="n">
        <x:v>347</x:v>
      </x:c>
      <x:c r="D458" s="12" t="n">
        <x:v>6</x:v>
      </x:c>
      <x:c r="E458" s="12" t="str">
        <x:v>Archived FRED mirror (Hugging Face)</x:v>
      </x:c>
    </x:row>
    <x:row r="459" ht="18" customHeight="1">
      <x:c r="A459" s="13" t="n">
        <x:v>43216</x:v>
      </x:c>
      <x:c r="B459" s="12" t="n">
        <x:v>3.43</x:v>
      </x:c>
      <x:c r="C459" s="12" t="n">
        <x:v>343</x:v>
      </x:c>
      <x:c r="D459" s="12" t="n">
        <x:v>-4</x:v>
      </x:c>
      <x:c r="E459" s="12" t="str">
        <x:v>Archived FRED mirror (Hugging Face)</x:v>
      </x:c>
    </x:row>
    <x:row r="460" ht="18" customHeight="1">
      <x:c r="A460" s="13" t="n">
        <x:v>43217</x:v>
      </x:c>
      <x:c r="B460" s="12" t="n">
        <x:v>3.44</x:v>
      </x:c>
      <x:c r="C460" s="12" t="n">
        <x:v>344</x:v>
      </x:c>
      <x:c r="D460" s="12" t="n">
        <x:v>1</x:v>
      </x:c>
      <x:c r="E460" s="12" t="str">
        <x:v>Archived FRED mirror (Hugging Face)</x:v>
      </x:c>
    </x:row>
    <x:row r="461" ht="18" customHeight="1">
      <x:c r="A461" s="13" t="n">
        <x:v>43220</x:v>
      </x:c>
      <x:c r="B461" s="12" t="n">
        <x:v>3.46</x:v>
      </x:c>
      <x:c r="C461" s="12" t="n">
        <x:v>346</x:v>
      </x:c>
      <x:c r="D461" s="12" t="n">
        <x:v>2</x:v>
      </x:c>
      <x:c r="E461" s="12" t="str">
        <x:v>Archived FRED mirror (Hugging Face)</x:v>
      </x:c>
    </x:row>
    <x:row r="462" ht="18" customHeight="1">
      <x:c r="A462" s="13" t="n">
        <x:v>43221</x:v>
      </x:c>
      <x:c r="B462" s="12" t="n">
        <x:v>3.47</x:v>
      </x:c>
      <x:c r="C462" s="12" t="n">
        <x:v>347</x:v>
      </x:c>
      <x:c r="D462" s="12" t="n">
        <x:v>1</x:v>
      </x:c>
      <x:c r="E462" s="12" t="str">
        <x:v>Archived FRED mirror (Hugging Face)</x:v>
      </x:c>
    </x:row>
    <x:row r="463" ht="18" customHeight="1">
      <x:c r="A463" s="13" t="n">
        <x:v>43222</x:v>
      </x:c>
      <x:c r="B463" s="12" t="n">
        <x:v>3.45</x:v>
      </x:c>
      <x:c r="C463" s="12" t="n">
        <x:v>345</x:v>
      </x:c>
      <x:c r="D463" s="12" t="n">
        <x:v>-2</x:v>
      </x:c>
      <x:c r="E463" s="12" t="str">
        <x:v>Archived FRED mirror (Hugging Face)</x:v>
      </x:c>
    </x:row>
    <x:row r="464" ht="18" customHeight="1">
      <x:c r="A464" s="13" t="n">
        <x:v>43223</x:v>
      </x:c>
      <x:c r="B464" s="12" t="n">
        <x:v>3.5</x:v>
      </x:c>
      <x:c r="C464" s="12" t="n">
        <x:v>350</x:v>
      </x:c>
      <x:c r="D464" s="12" t="n">
        <x:v>5</x:v>
      </x:c>
      <x:c r="E464" s="12" t="str">
        <x:v>Archived FRED mirror (Hugging Face)</x:v>
      </x:c>
    </x:row>
    <x:row r="465" ht="18" customHeight="1">
      <x:c r="A465" s="13" t="n">
        <x:v>43224</x:v>
      </x:c>
      <x:c r="B465" s="12" t="n">
        <x:v>3.49</x:v>
      </x:c>
      <x:c r="C465" s="12" t="n">
        <x:v>349</x:v>
      </x:c>
      <x:c r="D465" s="12" t="n">
        <x:v>-1</x:v>
      </x:c>
      <x:c r="E465" s="12" t="str">
        <x:v>Archived FRED mirror (Hugging Face)</x:v>
      </x:c>
    </x:row>
    <x:row r="466" ht="18" customHeight="1">
      <x:c r="A466" s="13" t="n">
        <x:v>43227</x:v>
      </x:c>
      <x:c r="B466" s="12" t="n">
        <x:v>3.46</x:v>
      </x:c>
      <x:c r="C466" s="12" t="n">
        <x:v>346</x:v>
      </x:c>
      <x:c r="D466" s="12" t="n">
        <x:v>-3</x:v>
      </x:c>
      <x:c r="E466" s="12" t="str">
        <x:v>Archived FRED mirror (Hugging Face)</x:v>
      </x:c>
    </x:row>
    <x:row r="467" ht="18" customHeight="1">
      <x:c r="A467" s="13" t="n">
        <x:v>43228</x:v>
      </x:c>
      <x:c r="B467" s="12" t="n">
        <x:v>3.46</x:v>
      </x:c>
      <x:c r="C467" s="12" t="n">
        <x:v>346</x:v>
      </x:c>
      <x:c r="D467" s="12" t="n">
        <x:v>0</x:v>
      </x:c>
      <x:c r="E467" s="12" t="str">
        <x:v>Archived FRED mirror (Hugging Face)</x:v>
      </x:c>
    </x:row>
    <x:row r="468" ht="18" customHeight="1">
      <x:c r="A468" s="13" t="n">
        <x:v>43229</x:v>
      </x:c>
      <x:c r="B468" s="12" t="n">
        <x:v>3.43</x:v>
      </x:c>
      <x:c r="C468" s="12" t="n">
        <x:v>343</x:v>
      </x:c>
      <x:c r="D468" s="12" t="n">
        <x:v>-3</x:v>
      </x:c>
      <x:c r="E468" s="12" t="str">
        <x:v>Archived FRED mirror (Hugging Face)</x:v>
      </x:c>
    </x:row>
    <x:row r="469" ht="18" customHeight="1">
      <x:c r="A469" s="13" t="n">
        <x:v>43230</x:v>
      </x:c>
      <x:c r="B469" s="12" t="n">
        <x:v>3.41</x:v>
      </x:c>
      <x:c r="C469" s="12" t="n">
        <x:v>341</x:v>
      </x:c>
      <x:c r="D469" s="12" t="n">
        <x:v>-2</x:v>
      </x:c>
      <x:c r="E469" s="12" t="str">
        <x:v>Archived FRED mirror (Hugging Face)</x:v>
      </x:c>
    </x:row>
    <x:row r="470" ht="18" customHeight="1">
      <x:c r="A470" s="13" t="n">
        <x:v>43231</x:v>
      </x:c>
      <x:c r="B470" s="12" t="n">
        <x:v>3.4</x:v>
      </x:c>
      <x:c r="C470" s="12" t="n">
        <x:v>340</x:v>
      </x:c>
      <x:c r="D470" s="12" t="n">
        <x:v>-1</x:v>
      </x:c>
      <x:c r="E470" s="12" t="str">
        <x:v>Archived FRED mirror (Hugging Face)</x:v>
      </x:c>
    </x:row>
    <x:row r="471" ht="18" customHeight="1">
      <x:c r="A471" s="13" t="n">
        <x:v>43234</x:v>
      </x:c>
      <x:c r="B471" s="12" t="n">
        <x:v>3.37</x:v>
      </x:c>
      <x:c r="C471" s="12" t="n">
        <x:v>337</x:v>
      </x:c>
      <x:c r="D471" s="12" t="n">
        <x:v>-3</x:v>
      </x:c>
      <x:c r="E471" s="12" t="str">
        <x:v>Archived FRED mirror (Hugging Face)</x:v>
      </x:c>
    </x:row>
    <x:row r="472" ht="18" customHeight="1">
      <x:c r="A472" s="13" t="n">
        <x:v>43235</x:v>
      </x:c>
      <x:c r="B472" s="12" t="n">
        <x:v>3.36</x:v>
      </x:c>
      <x:c r="C472" s="12" t="n">
        <x:v>336</x:v>
      </x:c>
      <x:c r="D472" s="12" t="n">
        <x:v>-1</x:v>
      </x:c>
      <x:c r="E472" s="12" t="str">
        <x:v>Archived FRED mirror (Hugging Face)</x:v>
      </x:c>
    </x:row>
    <x:row r="473" ht="18" customHeight="1">
      <x:c r="A473" s="13" t="n">
        <x:v>43236</x:v>
      </x:c>
      <x:c r="B473" s="12" t="n">
        <x:v>3.37</x:v>
      </x:c>
      <x:c r="C473" s="12" t="n">
        <x:v>337</x:v>
      </x:c>
      <x:c r="D473" s="12" t="n">
        <x:v>1</x:v>
      </x:c>
      <x:c r="E473" s="12" t="str">
        <x:v>Archived FRED mirror (Hugging Face)</x:v>
      </x:c>
    </x:row>
    <x:row r="474" ht="18" customHeight="1">
      <x:c r="A474" s="13" t="n">
        <x:v>43237</x:v>
      </x:c>
      <x:c r="B474" s="12" t="n">
        <x:v>3.36</x:v>
      </x:c>
      <x:c r="C474" s="12" t="n">
        <x:v>336</x:v>
      </x:c>
      <x:c r="D474" s="12" t="n">
        <x:v>-1</x:v>
      </x:c>
      <x:c r="E474" s="12" t="str">
        <x:v>Archived FRED mirror (Hugging Face)</x:v>
      </x:c>
    </x:row>
    <x:row r="475" ht="18" customHeight="1">
      <x:c r="A475" s="13" t="n">
        <x:v>43238</x:v>
      </x:c>
      <x:c r="B475" s="12" t="n">
        <x:v>3.41</x:v>
      </x:c>
      <x:c r="C475" s="12" t="n">
        <x:v>341</x:v>
      </x:c>
      <x:c r="D475" s="12" t="n">
        <x:v>5</x:v>
      </x:c>
      <x:c r="E475" s="12" t="str">
        <x:v>Archived FRED mirror (Hugging Face)</x:v>
      </x:c>
    </x:row>
    <x:row r="476" ht="18" customHeight="1">
      <x:c r="A476" s="13" t="n">
        <x:v>43241</x:v>
      </x:c>
      <x:c r="B476" s="12" t="n">
        <x:v>3.4</x:v>
      </x:c>
      <x:c r="C476" s="12" t="n">
        <x:v>340</x:v>
      </x:c>
      <x:c r="D476" s="12" t="n">
        <x:v>-1</x:v>
      </x:c>
      <x:c r="E476" s="12" t="str">
        <x:v>Archived FRED mirror (Hugging Face)</x:v>
      </x:c>
    </x:row>
    <x:row r="477" ht="18" customHeight="1">
      <x:c r="A477" s="13" t="n">
        <x:v>43242</x:v>
      </x:c>
      <x:c r="B477" s="12" t="n">
        <x:v>3.39</x:v>
      </x:c>
      <x:c r="C477" s="12" t="n">
        <x:v>339</x:v>
      </x:c>
      <x:c r="D477" s="12" t="n">
        <x:v>-1</x:v>
      </x:c>
      <x:c r="E477" s="12" t="str">
        <x:v>Archived FRED mirror (Hugging Face)</x:v>
      </x:c>
    </x:row>
    <x:row r="478" ht="18" customHeight="1">
      <x:c r="A478" s="13" t="n">
        <x:v>43243</x:v>
      </x:c>
      <x:c r="B478" s="12" t="n">
        <x:v>3.48</x:v>
      </x:c>
      <x:c r="C478" s="12" t="n">
        <x:v>348</x:v>
      </x:c>
      <x:c r="D478" s="12" t="n">
        <x:v>9</x:v>
      </x:c>
      <x:c r="E478" s="12" t="str">
        <x:v>Archived FRED mirror (Hugging Face)</x:v>
      </x:c>
    </x:row>
    <x:row r="479" ht="18" customHeight="1">
      <x:c r="A479" s="13" t="n">
        <x:v>43244</x:v>
      </x:c>
      <x:c r="B479" s="12" t="n">
        <x:v>3.49</x:v>
      </x:c>
      <x:c r="C479" s="12" t="n">
        <x:v>349</x:v>
      </x:c>
      <x:c r="D479" s="12" t="n">
        <x:v>1</x:v>
      </x:c>
      <x:c r="E479" s="12" t="str">
        <x:v>Archived FRED mirror (Hugging Face)</x:v>
      </x:c>
    </x:row>
    <x:row r="480" ht="18" customHeight="1">
      <x:c r="A480" s="13" t="n">
        <x:v>43245</x:v>
      </x:c>
      <x:c r="B480" s="12" t="n">
        <x:v>3.53</x:v>
      </x:c>
      <x:c r="C480" s="12" t="n">
        <x:v>353</x:v>
      </x:c>
      <x:c r="D480" s="12" t="n">
        <x:v>4</x:v>
      </x:c>
      <x:c r="E480" s="12" t="str">
        <x:v>Archived FRED mirror (Hugging Face)</x:v>
      </x:c>
    </x:row>
    <x:row r="481" ht="18" customHeight="1">
      <x:c r="A481" s="13" t="n">
        <x:v>43248</x:v>
      </x:c>
      <x:c r="B481" s="12" t="n">
        <x:v>3.53</x:v>
      </x:c>
      <x:c r="C481" s="12" t="n">
        <x:v>353</x:v>
      </x:c>
      <x:c r="D481" s="12" t="n">
        <x:v>0</x:v>
      </x:c>
      <x:c r="E481" s="12" t="str">
        <x:v>Archived FRED mirror (Hugging Face)</x:v>
      </x:c>
    </x:row>
    <x:row r="482" ht="18" customHeight="1">
      <x:c r="A482" s="13" t="n">
        <x:v>43249</x:v>
      </x:c>
      <x:c r="B482" s="12" t="n">
        <x:v>3.75</x:v>
      </x:c>
      <x:c r="C482" s="12" t="n">
        <x:v>375</x:v>
      </x:c>
      <x:c r="D482" s="12" t="n">
        <x:v>22</x:v>
      </x:c>
      <x:c r="E482" s="12" t="str">
        <x:v>Archived FRED mirror (Hugging Face)</x:v>
      </x:c>
    </x:row>
    <x:row r="483" ht="18" customHeight="1">
      <x:c r="A483" s="13" t="n">
        <x:v>43250</x:v>
      </x:c>
      <x:c r="B483" s="12" t="n">
        <x:v>3.64</x:v>
      </x:c>
      <x:c r="C483" s="12" t="n">
        <x:v>364</x:v>
      </x:c>
      <x:c r="D483" s="12" t="n">
        <x:v>-11</x:v>
      </x:c>
      <x:c r="E483" s="12" t="str">
        <x:v>Archived FRED mirror (Hugging Face)</x:v>
      </x:c>
    </x:row>
    <x:row r="484" ht="18" customHeight="1">
      <x:c r="A484" s="13" t="n">
        <x:v>43251</x:v>
      </x:c>
      <x:c r="B484" s="12" t="n">
        <x:v>3.63</x:v>
      </x:c>
      <x:c r="C484" s="12" t="n">
        <x:v>363</x:v>
      </x:c>
      <x:c r="D484" s="12" t="n">
        <x:v>-1</x:v>
      </x:c>
      <x:c r="E484" s="12" t="str">
        <x:v>Archived FRED mirror (Hugging Face)</x:v>
      </x:c>
    </x:row>
    <x:row r="485" ht="18" customHeight="1">
      <x:c r="A485" s="13" t="n">
        <x:v>43252</x:v>
      </x:c>
      <x:c r="B485" s="12" t="n">
        <x:v>3.55</x:v>
      </x:c>
      <x:c r="C485" s="12" t="n">
        <x:v>355</x:v>
      </x:c>
      <x:c r="D485" s="12" t="n">
        <x:v>-8</x:v>
      </x:c>
      <x:c r="E485" s="12" t="str">
        <x:v>Archived FRED mirror (Hugging Face)</x:v>
      </x:c>
    </x:row>
    <x:row r="486" ht="18" customHeight="1">
      <x:c r="A486" s="13" t="n">
        <x:v>43255</x:v>
      </x:c>
      <x:c r="B486" s="12" t="n">
        <x:v>3.49</x:v>
      </x:c>
      <x:c r="C486" s="12" t="n">
        <x:v>349</x:v>
      </x:c>
      <x:c r="D486" s="12" t="n">
        <x:v>-6</x:v>
      </x:c>
      <x:c r="E486" s="12" t="str">
        <x:v>Archived FRED mirror (Hugging Face)</x:v>
      </x:c>
    </x:row>
    <x:row r="487" ht="18" customHeight="1">
      <x:c r="A487" s="13" t="n">
        <x:v>43256</x:v>
      </x:c>
      <x:c r="B487" s="12" t="n">
        <x:v>3.5</x:v>
      </x:c>
      <x:c r="C487" s="12" t="n">
        <x:v>350</x:v>
      </x:c>
      <x:c r="D487" s="12" t="n">
        <x:v>1</x:v>
      </x:c>
      <x:c r="E487" s="12" t="str">
        <x:v>Archived FRED mirror (Hugging Face)</x:v>
      </x:c>
    </x:row>
    <x:row r="488" ht="18" customHeight="1">
      <x:c r="A488" s="13" t="n">
        <x:v>43257</x:v>
      </x:c>
      <x:c r="B488" s="12" t="n">
        <x:v>3.44</x:v>
      </x:c>
      <x:c r="C488" s="12" t="n">
        <x:v>344</x:v>
      </x:c>
      <x:c r="D488" s="12" t="n">
        <x:v>-6</x:v>
      </x:c>
      <x:c r="E488" s="12" t="str">
        <x:v>Archived FRED mirror (Hugging Face)</x:v>
      </x:c>
    </x:row>
    <x:row r="489" ht="18" customHeight="1">
      <x:c r="A489" s="13" t="n">
        <x:v>43258</x:v>
      </x:c>
      <x:c r="B489" s="12" t="n">
        <x:v>3.44</x:v>
      </x:c>
      <x:c r="C489" s="12" t="n">
        <x:v>344</x:v>
      </x:c>
      <x:c r="D489" s="12" t="n">
        <x:v>0</x:v>
      </x:c>
      <x:c r="E489" s="12" t="str">
        <x:v>Archived FRED mirror (Hugging Face)</x:v>
      </x:c>
    </x:row>
    <x:row r="490" ht="18" customHeight="1">
      <x:c r="A490" s="13" t="n">
        <x:v>43259</x:v>
      </x:c>
      <x:c r="B490" s="12" t="n">
        <x:v>3.45</x:v>
      </x:c>
      <x:c r="C490" s="12" t="n">
        <x:v>345</x:v>
      </x:c>
      <x:c r="D490" s="12" t="n">
        <x:v>1</x:v>
      </x:c>
      <x:c r="E490" s="12" t="str">
        <x:v>Archived FRED mirror (Hugging Face)</x:v>
      </x:c>
    </x:row>
    <x:row r="491" ht="18" customHeight="1">
      <x:c r="A491" s="13" t="n">
        <x:v>43262</x:v>
      </x:c>
      <x:c r="B491" s="12" t="n">
        <x:v>3.39</x:v>
      </x:c>
      <x:c r="C491" s="12" t="n">
        <x:v>339</x:v>
      </x:c>
      <x:c r="D491" s="12" t="n">
        <x:v>-6</x:v>
      </x:c>
      <x:c r="E491" s="12" t="str">
        <x:v>Archived FRED mirror (Hugging Face)</x:v>
      </x:c>
    </x:row>
    <x:row r="492" ht="18" customHeight="1">
      <x:c r="A492" s="13" t="n">
        <x:v>43263</x:v>
      </x:c>
      <x:c r="B492" s="12" t="n">
        <x:v>3.38</x:v>
      </x:c>
      <x:c r="C492" s="12" t="n">
        <x:v>338</x:v>
      </x:c>
      <x:c r="D492" s="12" t="n">
        <x:v>-1</x:v>
      </x:c>
      <x:c r="E492" s="12" t="str">
        <x:v>Archived FRED mirror (Hugging Face)</x:v>
      </x:c>
    </x:row>
    <x:row r="493" ht="18" customHeight="1">
      <x:c r="A493" s="13" t="n">
        <x:v>43264</x:v>
      </x:c>
      <x:c r="B493" s="12" t="n">
        <x:v>3.33</x:v>
      </x:c>
      <x:c r="C493" s="12" t="n">
        <x:v>333</x:v>
      </x:c>
      <x:c r="D493" s="12" t="n">
        <x:v>-5</x:v>
      </x:c>
      <x:c r="E493" s="12" t="str">
        <x:v>Archived FRED mirror (Hugging Face)</x:v>
      </x:c>
    </x:row>
    <x:row r="494" ht="18" customHeight="1">
      <x:c r="A494" s="13" t="n">
        <x:v>43265</x:v>
      </x:c>
      <x:c r="B494" s="12" t="n">
        <x:v>3.31</x:v>
      </x:c>
      <x:c r="C494" s="12" t="n">
        <x:v>331</x:v>
      </x:c>
      <x:c r="D494" s="12" t="n">
        <x:v>-2</x:v>
      </x:c>
      <x:c r="E494" s="12" t="str">
        <x:v>Archived FRED mirror (Hugging Face)</x:v>
      </x:c>
    </x:row>
    <x:row r="495" ht="18" customHeight="1">
      <x:c r="A495" s="13" t="n">
        <x:v>43266</x:v>
      </x:c>
      <x:c r="B495" s="12" t="n">
        <x:v>3.33</x:v>
      </x:c>
      <x:c r="C495" s="12" t="n">
        <x:v>333</x:v>
      </x:c>
      <x:c r="D495" s="12" t="n">
        <x:v>2</x:v>
      </x:c>
      <x:c r="E495" s="12" t="str">
        <x:v>Archived FRED mirror (Hugging Face)</x:v>
      </x:c>
    </x:row>
    <x:row r="496" ht="18" customHeight="1">
      <x:c r="A496" s="13" t="n">
        <x:v>43269</x:v>
      </x:c>
      <x:c r="B496" s="12" t="n">
        <x:v>3.34</x:v>
      </x:c>
      <x:c r="C496" s="12" t="n">
        <x:v>334</x:v>
      </x:c>
      <x:c r="D496" s="12" t="n">
        <x:v>1</x:v>
      </x:c>
      <x:c r="E496" s="12" t="str">
        <x:v>Archived FRED mirror (Hugging Face)</x:v>
      </x:c>
    </x:row>
    <x:row r="497" ht="18" customHeight="1">
      <x:c r="A497" s="13" t="n">
        <x:v>43270</x:v>
      </x:c>
      <x:c r="B497" s="12" t="n">
        <x:v>3.4</x:v>
      </x:c>
      <x:c r="C497" s="12" t="n">
        <x:v>340</x:v>
      </x:c>
      <x:c r="D497" s="12" t="n">
        <x:v>6</x:v>
      </x:c>
      <x:c r="E497" s="12" t="str">
        <x:v>Archived FRED mirror (Hugging Face)</x:v>
      </x:c>
    </x:row>
    <x:row r="498" ht="18" customHeight="1">
      <x:c r="A498" s="13" t="n">
        <x:v>43271</x:v>
      </x:c>
      <x:c r="B498" s="12" t="n">
        <x:v>3.34</x:v>
      </x:c>
      <x:c r="C498" s="12" t="n">
        <x:v>334</x:v>
      </x:c>
      <x:c r="D498" s="12" t="n">
        <x:v>-6</x:v>
      </x:c>
      <x:c r="E498" s="12" t="str">
        <x:v>Archived FRED mirror (Hugging Face)</x:v>
      </x:c>
    </x:row>
    <x:row r="499" ht="18" customHeight="1">
      <x:c r="A499" s="13" t="n">
        <x:v>43272</x:v>
      </x:c>
      <x:c r="B499" s="12" t="n">
        <x:v>3.39</x:v>
      </x:c>
      <x:c r="C499" s="12" t="n">
        <x:v>339</x:v>
      </x:c>
      <x:c r="D499" s="12" t="n">
        <x:v>5</x:v>
      </x:c>
      <x:c r="E499" s="12" t="str">
        <x:v>Archived FRED mirror (Hugging Face)</x:v>
      </x:c>
    </x:row>
    <x:row r="500" ht="18" customHeight="1">
      <x:c r="A500" s="13" t="n">
        <x:v>43273</x:v>
      </x:c>
      <x:c r="B500" s="12" t="n">
        <x:v>3.39</x:v>
      </x:c>
      <x:c r="C500" s="12" t="n">
        <x:v>339</x:v>
      </x:c>
      <x:c r="D500" s="12" t="n">
        <x:v>0</x:v>
      </x:c>
      <x:c r="E500" s="12" t="str">
        <x:v>Archived FRED mirror (Hugging Face)</x:v>
      </x:c>
    </x:row>
    <x:row r="501" ht="18" customHeight="1">
      <x:c r="A501" s="13" t="n">
        <x:v>43276</x:v>
      </x:c>
      <x:c r="B501" s="12" t="n">
        <x:v>3.47</x:v>
      </x:c>
      <x:c r="C501" s="12" t="n">
        <x:v>347</x:v>
      </x:c>
      <x:c r="D501" s="12" t="n">
        <x:v>8</x:v>
      </x:c>
      <x:c r="E501" s="12" t="str">
        <x:v>Archived FRED mirror (Hugging Face)</x:v>
      </x:c>
    </x:row>
    <x:row r="502" ht="18" customHeight="1">
      <x:c r="A502" s="13" t="n">
        <x:v>43277</x:v>
      </x:c>
      <x:c r="B502" s="12" t="n">
        <x:v>3.48</x:v>
      </x:c>
      <x:c r="C502" s="12" t="n">
        <x:v>348</x:v>
      </x:c>
      <x:c r="D502" s="12" t="n">
        <x:v>1</x:v>
      </x:c>
      <x:c r="E502" s="12" t="str">
        <x:v>Archived FRED mirror (Hugging Face)</x:v>
      </x:c>
    </x:row>
    <x:row r="503" ht="18" customHeight="1">
      <x:c r="A503" s="13" t="n">
        <x:v>43278</x:v>
      </x:c>
      <x:c r="B503" s="12" t="n">
        <x:v>3.56</x:v>
      </x:c>
      <x:c r="C503" s="12" t="n">
        <x:v>356</x:v>
      </x:c>
      <x:c r="D503" s="12" t="n">
        <x:v>8</x:v>
      </x:c>
      <x:c r="E503" s="12" t="str">
        <x:v>Archived FRED mirror (Hugging Face)</x:v>
      </x:c>
    </x:row>
    <x:row r="504" ht="18" customHeight="1">
      <x:c r="A504" s="13" t="n">
        <x:v>43279</x:v>
      </x:c>
      <x:c r="B504" s="12" t="n">
        <x:v>3.64</x:v>
      </x:c>
      <x:c r="C504" s="12" t="n">
        <x:v>364</x:v>
      </x:c>
      <x:c r="D504" s="12" t="n">
        <x:v>8</x:v>
      </x:c>
      <x:c r="E504" s="12" t="str">
        <x:v>Archived FRED mirror (Hugging Face)</x:v>
      </x:c>
    </x:row>
    <x:row r="505" ht="18" customHeight="1">
      <x:c r="A505" s="13" t="n">
        <x:v>43280</x:v>
      </x:c>
      <x:c r="B505" s="12" t="n">
        <x:v>3.61</x:v>
      </x:c>
      <x:c r="C505" s="12" t="n">
        <x:v>361</x:v>
      </x:c>
      <x:c r="D505" s="12" t="n">
        <x:v>-3</x:v>
      </x:c>
      <x:c r="E505" s="12" t="str">
        <x:v>Archived FRED mirror (Hugging Face)</x:v>
      </x:c>
    </x:row>
    <x:row r="506" ht="18" customHeight="1">
      <x:c r="A506" s="13" t="n">
        <x:v>43281</x:v>
      </x:c>
      <x:c r="B506" s="12" t="n">
        <x:v>3.71</x:v>
      </x:c>
      <x:c r="C506" s="12" t="n">
        <x:v>371</x:v>
      </x:c>
      <x:c r="D506" s="12" t="n">
        <x:v>10</x:v>
      </x:c>
      <x:c r="E506" s="12" t="str">
        <x:v>Archived FRED mirror (Hugging Face)</x:v>
      </x:c>
    </x:row>
    <x:row r="507" ht="18" customHeight="1">
      <x:c r="A507" s="13" t="n">
        <x:v>43283</x:v>
      </x:c>
      <x:c r="B507" s="12" t="n">
        <x:v>3.78</x:v>
      </x:c>
      <x:c r="C507" s="12" t="n">
        <x:v>378</x:v>
      </x:c>
      <x:c r="D507" s="12" t="n">
        <x:v>7</x:v>
      </x:c>
      <x:c r="E507" s="12" t="str">
        <x:v>Archived FRED mirror (Hugging Face)</x:v>
      </x:c>
    </x:row>
    <x:row r="508" ht="18" customHeight="1">
      <x:c r="A508" s="13" t="n">
        <x:v>43284</x:v>
      </x:c>
      <x:c r="B508" s="12" t="n">
        <x:v>3.77</x:v>
      </x:c>
      <x:c r="C508" s="12" t="n">
        <x:v>377</x:v>
      </x:c>
      <x:c r="D508" s="12" t="n">
        <x:v>-1</x:v>
      </x:c>
      <x:c r="E508" s="12" t="str">
        <x:v>Archived FRED mirror (Hugging Face)</x:v>
      </x:c>
    </x:row>
    <x:row r="509" ht="18" customHeight="1">
      <x:c r="A509" s="13" t="n">
        <x:v>43285</x:v>
      </x:c>
      <x:c r="B509" s="12" t="n">
        <x:v>3.77</x:v>
      </x:c>
      <x:c r="C509" s="12" t="n">
        <x:v>377</x:v>
      </x:c>
      <x:c r="D509" s="12" t="n">
        <x:v>0</x:v>
      </x:c>
      <x:c r="E509" s="12" t="str">
        <x:v>Archived FRED mirror (Hugging Face)</x:v>
      </x:c>
    </x:row>
    <x:row r="510" ht="18" customHeight="1">
      <x:c r="A510" s="13" t="n">
        <x:v>43286</x:v>
      </x:c>
      <x:c r="B510" s="12" t="n">
        <x:v>3.74</x:v>
      </x:c>
      <x:c r="C510" s="12" t="n">
        <x:v>374</x:v>
      </x:c>
      <x:c r="D510" s="12" t="n">
        <x:v>-3</x:v>
      </x:c>
      <x:c r="E510" s="12" t="str">
        <x:v>Archived FRED mirror (Hugging Face)</x:v>
      </x:c>
    </x:row>
    <x:row r="511" ht="18" customHeight="1">
      <x:c r="A511" s="13" t="n">
        <x:v>43287</x:v>
      </x:c>
      <x:c r="B511" s="12" t="n">
        <x:v>3.74</x:v>
      </x:c>
      <x:c r="C511" s="12" t="n">
        <x:v>374</x:v>
      </x:c>
      <x:c r="D511" s="12" t="n">
        <x:v>0</x:v>
      </x:c>
      <x:c r="E511" s="12" t="str">
        <x:v>Archived FRED mirror (Hugging Face)</x:v>
      </x:c>
    </x:row>
    <x:row r="512" ht="18" customHeight="1">
      <x:c r="A512" s="13" t="n">
        <x:v>43290</x:v>
      </x:c>
      <x:c r="B512" s="12" t="n">
        <x:v>3.65</x:v>
      </x:c>
      <x:c r="C512" s="12" t="n">
        <x:v>365</x:v>
      </x:c>
      <x:c r="D512" s="12" t="n">
        <x:v>-9</x:v>
      </x:c>
      <x:c r="E512" s="12" t="str">
        <x:v>Archived FRED mirror (Hugging Face)</x:v>
      </x:c>
    </x:row>
    <x:row r="513" ht="18" customHeight="1">
      <x:c r="A513" s="13" t="n">
        <x:v>43291</x:v>
      </x:c>
      <x:c r="B513" s="12" t="n">
        <x:v>3.59</x:v>
      </x:c>
      <x:c r="C513" s="12" t="n">
        <x:v>359</x:v>
      </x:c>
      <x:c r="D513" s="12" t="n">
        <x:v>-6</x:v>
      </x:c>
      <x:c r="E513" s="12" t="str">
        <x:v>Archived FRED mirror (Hugging Face)</x:v>
      </x:c>
    </x:row>
    <x:row r="514" ht="18" customHeight="1">
      <x:c r="A514" s="13" t="n">
        <x:v>43292</x:v>
      </x:c>
      <x:c r="B514" s="12" t="n">
        <x:v>3.66</x:v>
      </x:c>
      <x:c r="C514" s="12" t="n">
        <x:v>366</x:v>
      </x:c>
      <x:c r="D514" s="12" t="n">
        <x:v>7</x:v>
      </x:c>
      <x:c r="E514" s="12" t="str">
        <x:v>Archived FRED mirror (Hugging Face)</x:v>
      </x:c>
    </x:row>
    <x:row r="515" ht="18" customHeight="1">
      <x:c r="A515" s="13" t="n">
        <x:v>43293</x:v>
      </x:c>
      <x:c r="B515" s="12" t="n">
        <x:v>3.61</x:v>
      </x:c>
      <x:c r="C515" s="12" t="n">
        <x:v>361</x:v>
      </x:c>
      <x:c r="D515" s="12" t="n">
        <x:v>-5</x:v>
      </x:c>
      <x:c r="E515" s="12" t="str">
        <x:v>Archived FRED mirror (Hugging Face)</x:v>
      </x:c>
    </x:row>
    <x:row r="516" ht="18" customHeight="1">
      <x:c r="A516" s="13" t="n">
        <x:v>43294</x:v>
      </x:c>
      <x:c r="B516" s="12" t="n">
        <x:v>3.62</x:v>
      </x:c>
      <x:c r="C516" s="12" t="n">
        <x:v>362</x:v>
      </x:c>
      <x:c r="D516" s="12" t="n">
        <x:v>1</x:v>
      </x:c>
      <x:c r="E516" s="12" t="str">
        <x:v>Archived FRED mirror (Hugging Face)</x:v>
      </x:c>
    </x:row>
    <x:row r="517" ht="18" customHeight="1">
      <x:c r="A517" s="13" t="n">
        <x:v>43297</x:v>
      </x:c>
      <x:c r="B517" s="12" t="n">
        <x:v>3.59</x:v>
      </x:c>
      <x:c r="C517" s="12" t="n">
        <x:v>359</x:v>
      </x:c>
      <x:c r="D517" s="12" t="n">
        <x:v>-3</x:v>
      </x:c>
      <x:c r="E517" s="12" t="str">
        <x:v>Archived FRED mirror (Hugging Face)</x:v>
      </x:c>
    </x:row>
    <x:row r="518" ht="18" customHeight="1">
      <x:c r="A518" s="13" t="n">
        <x:v>43298</x:v>
      </x:c>
      <x:c r="B518" s="12" t="n">
        <x:v>3.58</x:v>
      </x:c>
      <x:c r="C518" s="12" t="n">
        <x:v>358</x:v>
      </x:c>
      <x:c r="D518" s="12" t="n">
        <x:v>-1</x:v>
      </x:c>
      <x:c r="E518" s="12" t="str">
        <x:v>Archived FRED mirror (Hugging Face)</x:v>
      </x:c>
    </x:row>
    <x:row r="519" ht="18" customHeight="1">
      <x:c r="A519" s="13" t="n">
        <x:v>43299</x:v>
      </x:c>
      <x:c r="B519" s="12" t="n">
        <x:v>3.56</x:v>
      </x:c>
      <x:c r="C519" s="12" t="n">
        <x:v>356</x:v>
      </x:c>
      <x:c r="D519" s="12" t="n">
        <x:v>-2</x:v>
      </x:c>
      <x:c r="E519" s="12" t="str">
        <x:v>Archived FRED mirror (Hugging Face)</x:v>
      </x:c>
    </x:row>
    <x:row r="520" ht="18" customHeight="1">
      <x:c r="A520" s="13" t="n">
        <x:v>43300</x:v>
      </x:c>
      <x:c r="B520" s="12" t="n">
        <x:v>3.59</x:v>
      </x:c>
      <x:c r="C520" s="12" t="n">
        <x:v>359</x:v>
      </x:c>
      <x:c r="D520" s="12" t="n">
        <x:v>3</x:v>
      </x:c>
      <x:c r="E520" s="12" t="str">
        <x:v>Archived FRED mirror (Hugging Face)</x:v>
      </x:c>
    </x:row>
    <x:row r="521" ht="18" customHeight="1">
      <x:c r="A521" s="13" t="n">
        <x:v>43301</x:v>
      </x:c>
      <x:c r="B521" s="12" t="n">
        <x:v>3.55</x:v>
      </x:c>
      <x:c r="C521" s="12" t="n">
        <x:v>355</x:v>
      </x:c>
      <x:c r="D521" s="12" t="n">
        <x:v>-4</x:v>
      </x:c>
      <x:c r="E521" s="12" t="str">
        <x:v>Archived FRED mirror (Hugging Face)</x:v>
      </x:c>
    </x:row>
    <x:row r="522" ht="18" customHeight="1">
      <x:c r="A522" s="13" t="n">
        <x:v>43304</x:v>
      </x:c>
      <x:c r="B522" s="12" t="n">
        <x:v>3.5</x:v>
      </x:c>
      <x:c r="C522" s="12" t="n">
        <x:v>350</x:v>
      </x:c>
      <x:c r="D522" s="12" t="n">
        <x:v>-5</x:v>
      </x:c>
      <x:c r="E522" s="12" t="str">
        <x:v>Archived FRED mirror (Hugging Face)</x:v>
      </x:c>
    </x:row>
    <x:row r="523" ht="18" customHeight="1">
      <x:c r="A523" s="13" t="n">
        <x:v>43305</x:v>
      </x:c>
      <x:c r="B523" s="12" t="n">
        <x:v>3.47</x:v>
      </x:c>
      <x:c r="C523" s="12" t="n">
        <x:v>347</x:v>
      </x:c>
      <x:c r="D523" s="12" t="n">
        <x:v>-3</x:v>
      </x:c>
      <x:c r="E523" s="12" t="str">
        <x:v>Archived FRED mirror (Hugging Face)</x:v>
      </x:c>
    </x:row>
    <x:row r="524" ht="18" customHeight="1">
      <x:c r="A524" s="13" t="n">
        <x:v>43306</x:v>
      </x:c>
      <x:c r="B524" s="12" t="n">
        <x:v>3.48</x:v>
      </x:c>
      <x:c r="C524" s="12" t="n">
        <x:v>348</x:v>
      </x:c>
      <x:c r="D524" s="12" t="n">
        <x:v>1</x:v>
      </x:c>
      <x:c r="E524" s="12" t="str">
        <x:v>Archived FRED mirror (Hugging Face)</x:v>
      </x:c>
    </x:row>
    <x:row r="525" ht="18" customHeight="1">
      <x:c r="A525" s="13" t="n">
        <x:v>43307</x:v>
      </x:c>
      <x:c r="B525" s="12" t="n">
        <x:v>3.42</x:v>
      </x:c>
      <x:c r="C525" s="12" t="n">
        <x:v>342</x:v>
      </x:c>
      <x:c r="D525" s="12" t="n">
        <x:v>-6</x:v>
      </x:c>
      <x:c r="E525" s="12" t="str">
        <x:v>Archived FRED mirror (Hugging Face)</x:v>
      </x:c>
    </x:row>
    <x:row r="526" ht="18" customHeight="1">
      <x:c r="A526" s="13" t="n">
        <x:v>43308</x:v>
      </x:c>
      <x:c r="B526" s="12" t="n">
        <x:v>3.42</x:v>
      </x:c>
      <x:c r="C526" s="12" t="n">
        <x:v>342</x:v>
      </x:c>
      <x:c r="D526" s="12" t="n">
        <x:v>0</x:v>
      </x:c>
      <x:c r="E526" s="12" t="str">
        <x:v>Archived FRED mirror (Hugging Face)</x:v>
      </x:c>
    </x:row>
    <x:row r="527" ht="18" customHeight="1">
      <x:c r="A527" s="13" t="n">
        <x:v>43311</x:v>
      </x:c>
      <x:c r="B527" s="12" t="n">
        <x:v>3.43</x:v>
      </x:c>
      <x:c r="C527" s="12" t="n">
        <x:v>343</x:v>
      </x:c>
      <x:c r="D527" s="12" t="n">
        <x:v>1</x:v>
      </x:c>
      <x:c r="E527" s="12" t="str">
        <x:v>Archived FRED mirror (Hugging Face)</x:v>
      </x:c>
    </x:row>
    <x:row r="528" ht="18" customHeight="1">
      <x:c r="A528" s="13" t="n">
        <x:v>43312</x:v>
      </x:c>
      <x:c r="B528" s="12" t="n">
        <x:v>3.46</x:v>
      </x:c>
      <x:c r="C528" s="12" t="n">
        <x:v>346</x:v>
      </x:c>
      <x:c r="D528" s="12" t="n">
        <x:v>3</x:v>
      </x:c>
      <x:c r="E528" s="12" t="str">
        <x:v>Archived FRED mirror (Hugging Face)</x:v>
      </x:c>
    </x:row>
    <x:row r="529" ht="18" customHeight="1">
      <x:c r="A529" s="13" t="n">
        <x:v>43313</x:v>
      </x:c>
      <x:c r="B529" s="12" t="n">
        <x:v>3.43</x:v>
      </x:c>
      <x:c r="C529" s="12" t="n">
        <x:v>343</x:v>
      </x:c>
      <x:c r="D529" s="12" t="n">
        <x:v>-3</x:v>
      </x:c>
      <x:c r="E529" s="12" t="str">
        <x:v>Archived FRED mirror (Hugging Face)</x:v>
      </x:c>
    </x:row>
    <x:row r="530" ht="18" customHeight="1">
      <x:c r="A530" s="13" t="n">
        <x:v>43314</x:v>
      </x:c>
      <x:c r="B530" s="12" t="n">
        <x:v>3.43</x:v>
      </x:c>
      <x:c r="C530" s="12" t="n">
        <x:v>343</x:v>
      </x:c>
      <x:c r="D530" s="12" t="n">
        <x:v>0</x:v>
      </x:c>
      <x:c r="E530" s="12" t="str">
        <x:v>Archived FRED mirror (Hugging Face)</x:v>
      </x:c>
    </x:row>
    <x:row r="531" ht="18" customHeight="1">
      <x:c r="A531" s="13" t="n">
        <x:v>43315</x:v>
      </x:c>
      <x:c r="B531" s="12" t="n">
        <x:v>3.43</x:v>
      </x:c>
      <x:c r="C531" s="12" t="n">
        <x:v>343</x:v>
      </x:c>
      <x:c r="D531" s="12" t="n">
        <x:v>0</x:v>
      </x:c>
      <x:c r="E531" s="12" t="str">
        <x:v>Archived FRED mirror (Hugging Face)</x:v>
      </x:c>
    </x:row>
    <x:row r="532" ht="18" customHeight="1">
      <x:c r="A532" s="13" t="n">
        <x:v>43318</x:v>
      </x:c>
      <x:c r="B532" s="12" t="n">
        <x:v>3.43</x:v>
      </x:c>
      <x:c r="C532" s="12" t="n">
        <x:v>343</x:v>
      </x:c>
      <x:c r="D532" s="12" t="n">
        <x:v>0</x:v>
      </x:c>
      <x:c r="E532" s="12" t="str">
        <x:v>Archived FRED mirror (Hugging Face)</x:v>
      </x:c>
    </x:row>
    <x:row r="533" ht="18" customHeight="1">
      <x:c r="A533" s="13" t="n">
        <x:v>43319</x:v>
      </x:c>
      <x:c r="B533" s="12" t="n">
        <x:v>3.35</x:v>
      </x:c>
      <x:c r="C533" s="12" t="n">
        <x:v>335</x:v>
      </x:c>
      <x:c r="D533" s="12" t="n">
        <x:v>-8</x:v>
      </x:c>
      <x:c r="E533" s="12" t="str">
        <x:v>Archived FRED mirror (Hugging Face)</x:v>
      </x:c>
    </x:row>
    <x:row r="534" ht="18" customHeight="1">
      <x:c r="A534" s="13" t="n">
        <x:v>43320</x:v>
      </x:c>
      <x:c r="B534" s="12" t="n">
        <x:v>3.37</x:v>
      </x:c>
      <x:c r="C534" s="12" t="n">
        <x:v>337</x:v>
      </x:c>
      <x:c r="D534" s="12" t="n">
        <x:v>2</x:v>
      </x:c>
      <x:c r="E534" s="12" t="str">
        <x:v>Archived FRED mirror (Hugging Face)</x:v>
      </x:c>
    </x:row>
    <x:row r="535" ht="18" customHeight="1">
      <x:c r="A535" s="13" t="n">
        <x:v>43321</x:v>
      </x:c>
      <x:c r="B535" s="12" t="n">
        <x:v>3.38</x:v>
      </x:c>
      <x:c r="C535" s="12" t="n">
        <x:v>338</x:v>
      </x:c>
      <x:c r="D535" s="12" t="n">
        <x:v>1</x:v>
      </x:c>
      <x:c r="E535" s="12" t="str">
        <x:v>Archived FRED mirror (Hugging Face)</x:v>
      </x:c>
    </x:row>
    <x:row r="536" ht="18" customHeight="1">
      <x:c r="A536" s="13" t="n">
        <x:v>43322</x:v>
      </x:c>
      <x:c r="B536" s="12" t="n">
        <x:v>3.5</x:v>
      </x:c>
      <x:c r="C536" s="12" t="n">
        <x:v>350</x:v>
      </x:c>
      <x:c r="D536" s="12" t="n">
        <x:v>12</x:v>
      </x:c>
      <x:c r="E536" s="12" t="str">
        <x:v>Archived FRED mirror (Hugging Face)</x:v>
      </x:c>
    </x:row>
    <x:row r="537" ht="18" customHeight="1">
      <x:c r="A537" s="13" t="n">
        <x:v>43325</x:v>
      </x:c>
      <x:c r="B537" s="12" t="n">
        <x:v>3.52</x:v>
      </x:c>
      <x:c r="C537" s="12" t="n">
        <x:v>352</x:v>
      </x:c>
      <x:c r="D537" s="12" t="n">
        <x:v>2</x:v>
      </x:c>
      <x:c r="E537" s="12" t="str">
        <x:v>Archived FRED mirror (Hugging Face)</x:v>
      </x:c>
    </x:row>
    <x:row r="538" ht="18" customHeight="1">
      <x:c r="A538" s="13" t="n">
        <x:v>43326</x:v>
      </x:c>
      <x:c r="B538" s="12" t="n">
        <x:v>3.48</x:v>
      </x:c>
      <x:c r="C538" s="12" t="n">
        <x:v>348</x:v>
      </x:c>
      <x:c r="D538" s="12" t="n">
        <x:v>-4</x:v>
      </x:c>
      <x:c r="E538" s="12" t="str">
        <x:v>Archived FRED mirror (Hugging Face)</x:v>
      </x:c>
    </x:row>
    <x:row r="539" ht="18" customHeight="1">
      <x:c r="A539" s="13" t="n">
        <x:v>43327</x:v>
      </x:c>
      <x:c r="B539" s="12" t="n">
        <x:v>3.55</x:v>
      </x:c>
      <x:c r="C539" s="12" t="n">
        <x:v>355</x:v>
      </x:c>
      <x:c r="D539" s="12" t="n">
        <x:v>7</x:v>
      </x:c>
      <x:c r="E539" s="12" t="str">
        <x:v>Archived FRED mirror (Hugging Face)</x:v>
      </x:c>
    </x:row>
    <x:row r="540" ht="18" customHeight="1">
      <x:c r="A540" s="13" t="n">
        <x:v>43328</x:v>
      </x:c>
      <x:c r="B540" s="12" t="n">
        <x:v>3.49</x:v>
      </x:c>
      <x:c r="C540" s="12" t="n">
        <x:v>349</x:v>
      </x:c>
      <x:c r="D540" s="12" t="n">
        <x:v>-6</x:v>
      </x:c>
      <x:c r="E540" s="12" t="str">
        <x:v>Archived FRED mirror (Hugging Face)</x:v>
      </x:c>
    </x:row>
    <x:row r="541" ht="18" customHeight="1">
      <x:c r="A541" s="13" t="n">
        <x:v>43329</x:v>
      </x:c>
      <x:c r="B541" s="12" t="n">
        <x:v>3.49</x:v>
      </x:c>
      <x:c r="C541" s="12" t="n">
        <x:v>349</x:v>
      </x:c>
      <x:c r="D541" s="12" t="n">
        <x:v>0</x:v>
      </x:c>
      <x:c r="E541" s="12" t="str">
        <x:v>Archived FRED mirror (Hugging Face)</x:v>
      </x:c>
    </x:row>
    <x:row r="542" ht="18" customHeight="1">
      <x:c r="A542" s="13" t="n">
        <x:v>43332</x:v>
      </x:c>
      <x:c r="B542" s="12" t="n">
        <x:v>3.52</x:v>
      </x:c>
      <x:c r="C542" s="12" t="n">
        <x:v>352</x:v>
      </x:c>
      <x:c r="D542" s="12" t="n">
        <x:v>3</x:v>
      </x:c>
      <x:c r="E542" s="12" t="str">
        <x:v>Archived FRED mirror (Hugging Face)</x:v>
      </x:c>
    </x:row>
    <x:row r="543" ht="18" customHeight="1">
      <x:c r="A543" s="13" t="n">
        <x:v>43333</x:v>
      </x:c>
      <x:c r="B543" s="12" t="n">
        <x:v>3.48</x:v>
      </x:c>
      <x:c r="C543" s="12" t="n">
        <x:v>348</x:v>
      </x:c>
      <x:c r="D543" s="12" t="n">
        <x:v>-4</x:v>
      </x:c>
      <x:c r="E543" s="12" t="str">
        <x:v>Archived FRED mirror (Hugging Face)</x:v>
      </x:c>
    </x:row>
    <x:row r="544" ht="18" customHeight="1">
      <x:c r="A544" s="13" t="n">
        <x:v>43334</x:v>
      </x:c>
      <x:c r="B544" s="12" t="n">
        <x:v>3.48</x:v>
      </x:c>
      <x:c r="C544" s="12" t="n">
        <x:v>348</x:v>
      </x:c>
      <x:c r="D544" s="12" t="n">
        <x:v>0</x:v>
      </x:c>
      <x:c r="E544" s="12" t="str">
        <x:v>Archived FRED mirror (Hugging Face)</x:v>
      </x:c>
    </x:row>
    <x:row r="545" ht="18" customHeight="1">
      <x:c r="A545" s="13" t="n">
        <x:v>43335</x:v>
      </x:c>
      <x:c r="B545" s="12" t="n">
        <x:v>3.47</x:v>
      </x:c>
      <x:c r="C545" s="12" t="n">
        <x:v>347</x:v>
      </x:c>
      <x:c r="D545" s="12" t="n">
        <x:v>-1</x:v>
      </x:c>
      <x:c r="E545" s="12" t="str">
        <x:v>Archived FRED mirror (Hugging Face)</x:v>
      </x:c>
    </x:row>
    <x:row r="546" ht="18" customHeight="1">
      <x:c r="A546" s="13" t="n">
        <x:v>43336</x:v>
      </x:c>
      <x:c r="B546" s="12" t="n">
        <x:v>3.46</x:v>
      </x:c>
      <x:c r="C546" s="12" t="n">
        <x:v>346</x:v>
      </x:c>
      <x:c r="D546" s="12" t="n">
        <x:v>-1</x:v>
      </x:c>
      <x:c r="E546" s="12" t="str">
        <x:v>Archived FRED mirror (Hugging Face)</x:v>
      </x:c>
    </x:row>
    <x:row r="547" ht="18" customHeight="1">
      <x:c r="A547" s="13" t="n">
        <x:v>43339</x:v>
      </x:c>
      <x:c r="B547" s="12" t="n">
        <x:v>3.43</x:v>
      </x:c>
      <x:c r="C547" s="12" t="n">
        <x:v>343</x:v>
      </x:c>
      <x:c r="D547" s="12" t="n">
        <x:v>-3</x:v>
      </x:c>
      <x:c r="E547" s="12" t="str">
        <x:v>Archived FRED mirror (Hugging Face)</x:v>
      </x:c>
    </x:row>
    <x:row r="548" ht="18" customHeight="1">
      <x:c r="A548" s="13" t="n">
        <x:v>43340</x:v>
      </x:c>
      <x:c r="B548" s="12" t="n">
        <x:v>3.4</x:v>
      </x:c>
      <x:c r="C548" s="12" t="n">
        <x:v>340</x:v>
      </x:c>
      <x:c r="D548" s="12" t="n">
        <x:v>-3</x:v>
      </x:c>
      <x:c r="E548" s="12" t="str">
        <x:v>Archived FRED mirror (Hugging Face)</x:v>
      </x:c>
    </x:row>
    <x:row r="549" ht="18" customHeight="1">
      <x:c r="A549" s="13" t="n">
        <x:v>43341</x:v>
      </x:c>
      <x:c r="B549" s="12" t="n">
        <x:v>3.39</x:v>
      </x:c>
      <x:c r="C549" s="12" t="n">
        <x:v>339</x:v>
      </x:c>
      <x:c r="D549" s="12" t="n">
        <x:v>-1</x:v>
      </x:c>
      <x:c r="E549" s="12" t="str">
        <x:v>Archived FRED mirror (Hugging Face)</x:v>
      </x:c>
    </x:row>
    <x:row r="550" ht="18" customHeight="1">
      <x:c r="A550" s="13" t="n">
        <x:v>43342</x:v>
      </x:c>
      <x:c r="B550" s="12" t="n">
        <x:v>3.44</x:v>
      </x:c>
      <x:c r="C550" s="12" t="n">
        <x:v>344</x:v>
      </x:c>
      <x:c r="D550" s="12" t="n">
        <x:v>5</x:v>
      </x:c>
      <x:c r="E550" s="12" t="str">
        <x:v>Archived FRED mirror (Hugging Face)</x:v>
      </x:c>
    </x:row>
    <x:row r="551" ht="18" customHeight="1">
      <x:c r="A551" s="13" t="n">
        <x:v>43343</x:v>
      </x:c>
      <x:c r="B551" s="12" t="n">
        <x:v>3.49</x:v>
      </x:c>
      <x:c r="C551" s="12" t="n">
        <x:v>349</x:v>
      </x:c>
      <x:c r="D551" s="12" t="n">
        <x:v>5</x:v>
      </x:c>
      <x:c r="E551" s="12" t="str">
        <x:v>Archived FRED mirror (Hugging Face)</x:v>
      </x:c>
    </x:row>
    <x:row r="552" ht="18" customHeight="1">
      <x:c r="A552" s="13" t="n">
        <x:v>43346</x:v>
      </x:c>
      <x:c r="B552" s="12" t="n">
        <x:v>3.49</x:v>
      </x:c>
      <x:c r="C552" s="12" t="n">
        <x:v>349</x:v>
      </x:c>
      <x:c r="D552" s="12" t="n">
        <x:v>0</x:v>
      </x:c>
      <x:c r="E552" s="12" t="str">
        <x:v>Archived FRED mirror (Hugging Face)</x:v>
      </x:c>
    </x:row>
    <x:row r="553" ht="18" customHeight="1">
      <x:c r="A553" s="13" t="n">
        <x:v>43347</x:v>
      </x:c>
      <x:c r="B553" s="12" t="n">
        <x:v>3.46</x:v>
      </x:c>
      <x:c r="C553" s="12" t="n">
        <x:v>346</x:v>
      </x:c>
      <x:c r="D553" s="12" t="n">
        <x:v>-3</x:v>
      </x:c>
      <x:c r="E553" s="12" t="str">
        <x:v>Archived FRED mirror (Hugging Face)</x:v>
      </x:c>
    </x:row>
    <x:row r="554" ht="18" customHeight="1">
      <x:c r="A554" s="13" t="n">
        <x:v>43348</x:v>
      </x:c>
      <x:c r="B554" s="12" t="n">
        <x:v>3.49</x:v>
      </x:c>
      <x:c r="C554" s="12" t="n">
        <x:v>349</x:v>
      </x:c>
      <x:c r="D554" s="12" t="n">
        <x:v>3</x:v>
      </x:c>
      <x:c r="E554" s="12" t="str">
        <x:v>Archived FRED mirror (Hugging Face)</x:v>
      </x:c>
    </x:row>
    <x:row r="555" ht="18" customHeight="1">
      <x:c r="A555" s="13" t="n">
        <x:v>43349</x:v>
      </x:c>
      <x:c r="B555" s="12" t="n">
        <x:v>3.52</x:v>
      </x:c>
      <x:c r="C555" s="12" t="n">
        <x:v>352</x:v>
      </x:c>
      <x:c r="D555" s="12" t="n">
        <x:v>3</x:v>
      </x:c>
      <x:c r="E555" s="12" t="str">
        <x:v>Archived FRED mirror (Hugging Face)</x:v>
      </x:c>
    </x:row>
    <x:row r="556" ht="18" customHeight="1">
      <x:c r="A556" s="13" t="n">
        <x:v>43350</x:v>
      </x:c>
      <x:c r="B556" s="12" t="n">
        <x:v>3.48</x:v>
      </x:c>
      <x:c r="C556" s="12" t="n">
        <x:v>348</x:v>
      </x:c>
      <x:c r="D556" s="12" t="n">
        <x:v>-4</x:v>
      </x:c>
      <x:c r="E556" s="12" t="str">
        <x:v>Archived FRED mirror (Hugging Face)</x:v>
      </x:c>
    </x:row>
    <x:row r="557" ht="18" customHeight="1">
      <x:c r="A557" s="13" t="n">
        <x:v>43353</x:v>
      </x:c>
      <x:c r="B557" s="12" t="n">
        <x:v>3.46</x:v>
      </x:c>
      <x:c r="C557" s="12" t="n">
        <x:v>346</x:v>
      </x:c>
      <x:c r="D557" s="12" t="n">
        <x:v>-2</x:v>
      </x:c>
      <x:c r="E557" s="12" t="str">
        <x:v>Archived FRED mirror (Hugging Face)</x:v>
      </x:c>
    </x:row>
    <x:row r="558" ht="18" customHeight="1">
      <x:c r="A558" s="13" t="n">
        <x:v>43354</x:v>
      </x:c>
      <x:c r="B558" s="12" t="n">
        <x:v>3.4</x:v>
      </x:c>
      <x:c r="C558" s="12" t="n">
        <x:v>340</x:v>
      </x:c>
      <x:c r="D558" s="12" t="n">
        <x:v>-6</x:v>
      </x:c>
      <x:c r="E558" s="12" t="str">
        <x:v>Archived FRED mirror (Hugging Face)</x:v>
      </x:c>
    </x:row>
    <x:row r="559" ht="18" customHeight="1">
      <x:c r="A559" s="13" t="n">
        <x:v>43355</x:v>
      </x:c>
      <x:c r="B559" s="12" t="n">
        <x:v>3.38</x:v>
      </x:c>
      <x:c r="C559" s="12" t="n">
        <x:v>338</x:v>
      </x:c>
      <x:c r="D559" s="12" t="n">
        <x:v>-2</x:v>
      </x:c>
      <x:c r="E559" s="12" t="str">
        <x:v>Archived FRED mirror (Hugging Face)</x:v>
      </x:c>
    </x:row>
    <x:row r="560" ht="18" customHeight="1">
      <x:c r="A560" s="13" t="n">
        <x:v>43356</x:v>
      </x:c>
      <x:c r="B560" s="12" t="n">
        <x:v>3.35</x:v>
      </x:c>
      <x:c r="C560" s="12" t="n">
        <x:v>335</x:v>
      </x:c>
      <x:c r="D560" s="12" t="n">
        <x:v>-3</x:v>
      </x:c>
      <x:c r="E560" s="12" t="str">
        <x:v>Archived FRED mirror (Hugging Face)</x:v>
      </x:c>
    </x:row>
    <x:row r="561" ht="18" customHeight="1">
      <x:c r="A561" s="13" t="n">
        <x:v>43357</x:v>
      </x:c>
      <x:c r="B561" s="12" t="n">
        <x:v>3.29</x:v>
      </x:c>
      <x:c r="C561" s="12" t="n">
        <x:v>329</x:v>
      </x:c>
      <x:c r="D561" s="12" t="n">
        <x:v>-6</x:v>
      </x:c>
      <x:c r="E561" s="12" t="str">
        <x:v>Archived FRED mirror (Hugging Face)</x:v>
      </x:c>
    </x:row>
    <x:row r="562" ht="18" customHeight="1">
      <x:c r="A562" s="13" t="n">
        <x:v>43360</x:v>
      </x:c>
      <x:c r="B562" s="12" t="n">
        <x:v>3.29</x:v>
      </x:c>
      <x:c r="C562" s="12" t="n">
        <x:v>329</x:v>
      </x:c>
      <x:c r="D562" s="12" t="n">
        <x:v>0</x:v>
      </x:c>
      <x:c r="E562" s="12" t="str">
        <x:v>Archived FRED mirror (Hugging Face)</x:v>
      </x:c>
    </x:row>
    <x:row r="563" ht="18" customHeight="1">
      <x:c r="A563" s="13" t="n">
        <x:v>43361</x:v>
      </x:c>
      <x:c r="B563" s="12" t="n">
        <x:v>3.24</x:v>
      </x:c>
      <x:c r="C563" s="12" t="n">
        <x:v>324</x:v>
      </x:c>
      <x:c r="D563" s="12" t="n">
        <x:v>-5</x:v>
      </x:c>
      <x:c r="E563" s="12" t="str">
        <x:v>Archived FRED mirror (Hugging Face)</x:v>
      </x:c>
    </x:row>
    <x:row r="564" ht="18" customHeight="1">
      <x:c r="A564" s="13" t="n">
        <x:v>43362</x:v>
      </x:c>
      <x:c r="B564" s="12" t="n">
        <x:v>3.24</x:v>
      </x:c>
      <x:c r="C564" s="12" t="n">
        <x:v>324</x:v>
      </x:c>
      <x:c r="D564" s="12" t="n">
        <x:v>0</x:v>
      </x:c>
      <x:c r="E564" s="12" t="str">
        <x:v>Archived FRED mirror (Hugging Face)</x:v>
      </x:c>
    </x:row>
    <x:row r="565" ht="18" customHeight="1">
      <x:c r="A565" s="13" t="n">
        <x:v>43363</x:v>
      </x:c>
      <x:c r="B565" s="12" t="n">
        <x:v>3.25</x:v>
      </x:c>
      <x:c r="C565" s="12" t="n">
        <x:v>325</x:v>
      </x:c>
      <x:c r="D565" s="12" t="n">
        <x:v>1</x:v>
      </x:c>
      <x:c r="E565" s="12" t="str">
        <x:v>Archived FRED mirror (Hugging Face)</x:v>
      </x:c>
    </x:row>
    <x:row r="566" ht="18" customHeight="1">
      <x:c r="A566" s="13" t="n">
        <x:v>43364</x:v>
      </x:c>
      <x:c r="B566" s="12" t="n">
        <x:v>3.25</x:v>
      </x:c>
      <x:c r="C566" s="12" t="n">
        <x:v>325</x:v>
      </x:c>
      <x:c r="D566" s="12" t="n">
        <x:v>0</x:v>
      </x:c>
      <x:c r="E566" s="12" t="str">
        <x:v>Archived FRED mirror (Hugging Face)</x:v>
      </x:c>
    </x:row>
    <x:row r="567" ht="18" customHeight="1">
      <x:c r="A567" s="13" t="n">
        <x:v>43367</x:v>
      </x:c>
      <x:c r="B567" s="12" t="n">
        <x:v>3.28</x:v>
      </x:c>
      <x:c r="C567" s="12" t="n">
        <x:v>328</x:v>
      </x:c>
      <x:c r="D567" s="12" t="n">
        <x:v>3</x:v>
      </x:c>
      <x:c r="E567" s="12" t="str">
        <x:v>Archived FRED mirror (Hugging Face)</x:v>
      </x:c>
    </x:row>
    <x:row r="568" ht="18" customHeight="1">
      <x:c r="A568" s="13" t="n">
        <x:v>43368</x:v>
      </x:c>
      <x:c r="B568" s="12" t="n">
        <x:v>3.26</x:v>
      </x:c>
      <x:c r="C568" s="12" t="n">
        <x:v>326</x:v>
      </x:c>
      <x:c r="D568" s="12" t="n">
        <x:v>-2</x:v>
      </x:c>
      <x:c r="E568" s="12" t="str">
        <x:v>Archived FRED mirror (Hugging Face)</x:v>
      </x:c>
    </x:row>
    <x:row r="569" ht="18" customHeight="1">
      <x:c r="A569" s="13" t="n">
        <x:v>43369</x:v>
      </x:c>
      <x:c r="B569" s="12" t="n">
        <x:v>3.27</x:v>
      </x:c>
      <x:c r="C569" s="12" t="n">
        <x:v>327</x:v>
      </x:c>
      <x:c r="D569" s="12" t="n">
        <x:v>1</x:v>
      </x:c>
      <x:c r="E569" s="12" t="str">
        <x:v>Archived FRED mirror (Hugging Face)</x:v>
      </x:c>
    </x:row>
    <x:row r="570" ht="18" customHeight="1">
      <x:c r="A570" s="13" t="n">
        <x:v>43370</x:v>
      </x:c>
      <x:c r="B570" s="12" t="n">
        <x:v>3.25</x:v>
      </x:c>
      <x:c r="C570" s="12" t="n">
        <x:v>325</x:v>
      </x:c>
      <x:c r="D570" s="12" t="n">
        <x:v>-2</x:v>
      </x:c>
      <x:c r="E570" s="12" t="str">
        <x:v>Archived FRED mirror (Hugging Face)</x:v>
      </x:c>
    </x:row>
    <x:row r="571" ht="18" customHeight="1">
      <x:c r="A571" s="13" t="n">
        <x:v>43371</x:v>
      </x:c>
      <x:c r="B571" s="12" t="n">
        <x:v>3.24</x:v>
      </x:c>
      <x:c r="C571" s="12" t="n">
        <x:v>324</x:v>
      </x:c>
      <x:c r="D571" s="12" t="n">
        <x:v>-1</x:v>
      </x:c>
      <x:c r="E571" s="12" t="str">
        <x:v>Archived FRED mirror (Hugging Face)</x:v>
      </x:c>
    </x:row>
    <x:row r="572" ht="18" customHeight="1">
      <x:c r="A572" s="13" t="n">
        <x:v>43373</x:v>
      </x:c>
      <x:c r="B572" s="12" t="n">
        <x:v>3.28</x:v>
      </x:c>
      <x:c r="C572" s="12" t="n">
        <x:v>328</x:v>
      </x:c>
      <x:c r="D572" s="12" t="n">
        <x:v>4</x:v>
      </x:c>
      <x:c r="E572" s="12" t="str">
        <x:v>Archived FRED mirror (Hugging Face)</x:v>
      </x:c>
    </x:row>
    <x:row r="573" ht="18" customHeight="1">
      <x:c r="A573" s="13" t="n">
        <x:v>43374</x:v>
      </x:c>
      <x:c r="B573" s="12" t="n">
        <x:v>3.22</x:v>
      </x:c>
      <x:c r="C573" s="12" t="n">
        <x:v>322</x:v>
      </x:c>
      <x:c r="D573" s="12" t="n">
        <x:v>-6</x:v>
      </x:c>
      <x:c r="E573" s="12" t="str">
        <x:v>Archived FRED mirror (Hugging Face)</x:v>
      </x:c>
    </x:row>
    <x:row r="574" ht="18" customHeight="1">
      <x:c r="A574" s="13" t="n">
        <x:v>43375</x:v>
      </x:c>
      <x:c r="B574" s="12" t="n">
        <x:v>3.22</x:v>
      </x:c>
      <x:c r="C574" s="12" t="n">
        <x:v>322</x:v>
      </x:c>
      <x:c r="D574" s="12" t="n">
        <x:v>0</x:v>
      </x:c>
      <x:c r="E574" s="12" t="str">
        <x:v>Archived FRED mirror (Hugging Face)</x:v>
      </x:c>
    </x:row>
    <x:row r="575" ht="18" customHeight="1">
      <x:c r="A575" s="13" t="n">
        <x:v>43376</x:v>
      </x:c>
      <x:c r="B575" s="12" t="n">
        <x:v>3.16</x:v>
      </x:c>
      <x:c r="C575" s="12" t="n">
        <x:v>316</x:v>
      </x:c>
      <x:c r="D575" s="12" t="n">
        <x:v>-6</x:v>
      </x:c>
      <x:c r="E575" s="12" t="str">
        <x:v>Archived FRED mirror (Hugging Face)</x:v>
      </x:c>
    </x:row>
    <x:row r="576" ht="18" customHeight="1">
      <x:c r="A576" s="13" t="n">
        <x:v>43377</x:v>
      </x:c>
      <x:c r="B576" s="12" t="n">
        <x:v>3.29</x:v>
      </x:c>
      <x:c r="C576" s="12" t="n">
        <x:v>329</x:v>
      </x:c>
      <x:c r="D576" s="12" t="n">
        <x:v>13</x:v>
      </x:c>
      <x:c r="E576" s="12" t="str">
        <x:v>Archived FRED mirror (Hugging Face)</x:v>
      </x:c>
    </x:row>
    <x:row r="577" ht="18" customHeight="1">
      <x:c r="A577" s="13" t="n">
        <x:v>43378</x:v>
      </x:c>
      <x:c r="B577" s="12" t="n">
        <x:v>3.32</x:v>
      </x:c>
      <x:c r="C577" s="12" t="n">
        <x:v>332</x:v>
      </x:c>
      <x:c r="D577" s="12" t="n">
        <x:v>3</x:v>
      </x:c>
      <x:c r="E577" s="12" t="str">
        <x:v>Archived FRED mirror (Hugging Face)</x:v>
      </x:c>
    </x:row>
    <x:row r="578" ht="18" customHeight="1">
      <x:c r="A578" s="13" t="n">
        <x:v>43381</x:v>
      </x:c>
      <x:c r="B578" s="12" t="n">
        <x:v>3.32</x:v>
      </x:c>
      <x:c r="C578" s="12" t="n">
        <x:v>332</x:v>
      </x:c>
      <x:c r="D578" s="12" t="n">
        <x:v>0</x:v>
      </x:c>
      <x:c r="E578" s="12" t="str">
        <x:v>Archived FRED mirror (Hugging Face)</x:v>
      </x:c>
    </x:row>
    <x:row r="579" ht="18" customHeight="1">
      <x:c r="A579" s="13" t="n">
        <x:v>43382</x:v>
      </x:c>
      <x:c r="B579" s="12" t="n">
        <x:v>3.41</x:v>
      </x:c>
      <x:c r="C579" s="12" t="n">
        <x:v>341</x:v>
      </x:c>
      <x:c r="D579" s="12" t="n">
        <x:v>9</x:v>
      </x:c>
      <x:c r="E579" s="12" t="str">
        <x:v>Archived FRED mirror (Hugging Face)</x:v>
      </x:c>
    </x:row>
    <x:row r="580" ht="18" customHeight="1">
      <x:c r="A580" s="13" t="n">
        <x:v>43383</x:v>
      </x:c>
      <x:c r="B580" s="12" t="n">
        <x:v>3.51</x:v>
      </x:c>
      <x:c r="C580" s="12" t="n">
        <x:v>351</x:v>
      </x:c>
      <x:c r="D580" s="12" t="n">
        <x:v>10</x:v>
      </x:c>
      <x:c r="E580" s="12" t="str">
        <x:v>Archived FRED mirror (Hugging Face)</x:v>
      </x:c>
    </x:row>
    <x:row r="581" ht="18" customHeight="1">
      <x:c r="A581" s="13" t="n">
        <x:v>43384</x:v>
      </x:c>
      <x:c r="B581" s="12" t="n">
        <x:v>3.58</x:v>
      </x:c>
      <x:c r="C581" s="12" t="n">
        <x:v>358</x:v>
      </x:c>
      <x:c r="D581" s="12" t="n">
        <x:v>7</x:v>
      </x:c>
      <x:c r="E581" s="12" t="str">
        <x:v>Archived FRED mirror (Hugging Face)</x:v>
      </x:c>
    </x:row>
    <x:row r="582" ht="18" customHeight="1">
      <x:c r="A582" s="13" t="n">
        <x:v>43385</x:v>
      </x:c>
      <x:c r="B582" s="12" t="n">
        <x:v>3.54</x:v>
      </x:c>
      <x:c r="C582" s="12" t="n">
        <x:v>354</x:v>
      </x:c>
      <x:c r="D582" s="12" t="n">
        <x:v>-4</x:v>
      </x:c>
      <x:c r="E582" s="12" t="str">
        <x:v>Archived FRED mirror (Hugging Face)</x:v>
      </x:c>
    </x:row>
    <x:row r="583" ht="18" customHeight="1">
      <x:c r="A583" s="13" t="n">
        <x:v>43388</x:v>
      </x:c>
      <x:c r="B583" s="12" t="n">
        <x:v>3.49</x:v>
      </x:c>
      <x:c r="C583" s="12" t="n">
        <x:v>349</x:v>
      </x:c>
      <x:c r="D583" s="12" t="n">
        <x:v>-5</x:v>
      </x:c>
      <x:c r="E583" s="12" t="str">
        <x:v>Archived FRED mirror (Hugging Face)</x:v>
      </x:c>
    </x:row>
    <x:row r="584" ht="18" customHeight="1">
      <x:c r="A584" s="13" t="n">
        <x:v>43389</x:v>
      </x:c>
      <x:c r="B584" s="12" t="n">
        <x:v>3.45</x:v>
      </x:c>
      <x:c r="C584" s="12" t="n">
        <x:v>345</x:v>
      </x:c>
      <x:c r="D584" s="12" t="n">
        <x:v>-4</x:v>
      </x:c>
      <x:c r="E584" s="12" t="str">
        <x:v>Archived FRED mirror (Hugging Face)</x:v>
      </x:c>
    </x:row>
    <x:row r="585" ht="18" customHeight="1">
      <x:c r="A585" s="13" t="n">
        <x:v>43390</x:v>
      </x:c>
      <x:c r="B585" s="12" t="n">
        <x:v>3.45</x:v>
      </x:c>
      <x:c r="C585" s="12" t="n">
        <x:v>345</x:v>
      </x:c>
      <x:c r="D585" s="12" t="n">
        <x:v>0</x:v>
      </x:c>
      <x:c r="E585" s="12" t="str">
        <x:v>Archived FRED mirror (Hugging Face)</x:v>
      </x:c>
    </x:row>
    <x:row r="586" ht="18" customHeight="1">
      <x:c r="A586" s="13" t="n">
        <x:v>43391</x:v>
      </x:c>
      <x:c r="B586" s="12" t="n">
        <x:v>3.51</x:v>
      </x:c>
      <x:c r="C586" s="12" t="n">
        <x:v>351</x:v>
      </x:c>
      <x:c r="D586" s="12" t="n">
        <x:v>6</x:v>
      </x:c>
      <x:c r="E586" s="12" t="str">
        <x:v>Archived FRED mirror (Hugging Face)</x:v>
      </x:c>
    </x:row>
    <x:row r="587" ht="18" customHeight="1">
      <x:c r="A587" s="13" t="n">
        <x:v>43392</x:v>
      </x:c>
      <x:c r="B587" s="12" t="n">
        <x:v>3.51</x:v>
      </x:c>
      <x:c r="C587" s="12" t="n">
        <x:v>351</x:v>
      </x:c>
      <x:c r="D587" s="12" t="n">
        <x:v>0</x:v>
      </x:c>
      <x:c r="E587" s="12" t="str">
        <x:v>Archived FRED mirror (Hugging Face)</x:v>
      </x:c>
    </x:row>
    <x:row r="588" ht="18" customHeight="1">
      <x:c r="A588" s="13" t="n">
        <x:v>43395</x:v>
      </x:c>
      <x:c r="B588" s="12" t="n">
        <x:v>3.52</x:v>
      </x:c>
      <x:c r="C588" s="12" t="n">
        <x:v>352</x:v>
      </x:c>
      <x:c r="D588" s="12" t="n">
        <x:v>1</x:v>
      </x:c>
      <x:c r="E588" s="12" t="str">
        <x:v>Archived FRED mirror (Hugging Face)</x:v>
      </x:c>
    </x:row>
    <x:row r="589" ht="18" customHeight="1">
      <x:c r="A589" s="13" t="n">
        <x:v>43396</x:v>
      </x:c>
      <x:c r="B589" s="12" t="n">
        <x:v>3.65</x:v>
      </x:c>
      <x:c r="C589" s="12" t="n">
        <x:v>365</x:v>
      </x:c>
      <x:c r="D589" s="12" t="n">
        <x:v>13</x:v>
      </x:c>
      <x:c r="E589" s="12" t="str">
        <x:v>Archived FRED mirror (Hugging Face)</x:v>
      </x:c>
    </x:row>
    <x:row r="590" ht="18" customHeight="1">
      <x:c r="A590" s="13" t="n">
        <x:v>43397</x:v>
      </x:c>
      <x:c r="B590" s="12" t="n">
        <x:v>3.68</x:v>
      </x:c>
      <x:c r="C590" s="12" t="n">
        <x:v>368</x:v>
      </x:c>
      <x:c r="D590" s="12" t="n">
        <x:v>3</x:v>
      </x:c>
      <x:c r="E590" s="12" t="str">
        <x:v>Archived FRED mirror (Hugging Face)</x:v>
      </x:c>
    </x:row>
    <x:row r="591" ht="18" customHeight="1">
      <x:c r="A591" s="13" t="n">
        <x:v>43398</x:v>
      </x:c>
      <x:c r="B591" s="12" t="n">
        <x:v>3.72</x:v>
      </x:c>
      <x:c r="C591" s="12" t="n">
        <x:v>372</x:v>
      </x:c>
      <x:c r="D591" s="12" t="n">
        <x:v>4</x:v>
      </x:c>
      <x:c r="E591" s="12" t="str">
        <x:v>Archived FRED mirror (Hugging Face)</x:v>
      </x:c>
    </x:row>
    <x:row r="592" ht="18" customHeight="1">
      <x:c r="A592" s="13" t="n">
        <x:v>43399</x:v>
      </x:c>
      <x:c r="B592" s="12" t="n">
        <x:v>3.85</x:v>
      </x:c>
      <x:c r="C592" s="12" t="n">
        <x:v>385</x:v>
      </x:c>
      <x:c r="D592" s="12" t="n">
        <x:v>13</x:v>
      </x:c>
      <x:c r="E592" s="12" t="str">
        <x:v>Archived FRED mirror (Hugging Face)</x:v>
      </x:c>
    </x:row>
    <x:row r="593" ht="18" customHeight="1">
      <x:c r="A593" s="13" t="n">
        <x:v>43402</x:v>
      </x:c>
      <x:c r="B593" s="12" t="n">
        <x:v>3.84</x:v>
      </x:c>
      <x:c r="C593" s="12" t="n">
        <x:v>384</x:v>
      </x:c>
      <x:c r="D593" s="12" t="n">
        <x:v>-1</x:v>
      </x:c>
      <x:c r="E593" s="12" t="str">
        <x:v>Archived FRED mirror (Hugging Face)</x:v>
      </x:c>
    </x:row>
    <x:row r="594" ht="18" customHeight="1">
      <x:c r="A594" s="13" t="n">
        <x:v>43403</x:v>
      </x:c>
      <x:c r="B594" s="12" t="n">
        <x:v>3.89</x:v>
      </x:c>
      <x:c r="C594" s="12" t="n">
        <x:v>389</x:v>
      </x:c>
      <x:c r="D594" s="12" t="n">
        <x:v>5</x:v>
      </x:c>
      <x:c r="E594" s="12" t="str">
        <x:v>Archived FRED mirror (Hugging Face)</x:v>
      </x:c>
    </x:row>
    <x:row r="595" ht="18" customHeight="1">
      <x:c r="A595" s="13" t="n">
        <x:v>43404</x:v>
      </x:c>
      <x:c r="B595" s="12" t="n">
        <x:v>3.81</x:v>
      </x:c>
      <x:c r="C595" s="12" t="n">
        <x:v>381</x:v>
      </x:c>
      <x:c r="D595" s="12" t="n">
        <x:v>-8</x:v>
      </x:c>
      <x:c r="E595" s="12" t="str">
        <x:v>Archived FRED mirror (Hugging Face)</x:v>
      </x:c>
    </x:row>
    <x:row r="596" ht="18" customHeight="1">
      <x:c r="A596" s="13" t="n">
        <x:v>43405</x:v>
      </x:c>
      <x:c r="B596" s="12" t="n">
        <x:v>3.81</x:v>
      </x:c>
      <x:c r="C596" s="12" t="n">
        <x:v>381</x:v>
      </x:c>
      <x:c r="D596" s="12" t="n">
        <x:v>0</x:v>
      </x:c>
      <x:c r="E596" s="12" t="str">
        <x:v>Archived FRED mirror (Hugging Face)</x:v>
      </x:c>
    </x:row>
    <x:row r="597" ht="18" customHeight="1">
      <x:c r="A597" s="13" t="n">
        <x:v>43406</x:v>
      </x:c>
      <x:c r="B597" s="12" t="n">
        <x:v>3.72</x:v>
      </x:c>
      <x:c r="C597" s="12" t="n">
        <x:v>372</x:v>
      </x:c>
      <x:c r="D597" s="12" t="n">
        <x:v>-9</x:v>
      </x:c>
      <x:c r="E597" s="12" t="str">
        <x:v>Archived FRED mirror (Hugging Face)</x:v>
      </x:c>
    </x:row>
    <x:row r="598" ht="18" customHeight="1">
      <x:c r="A598" s="13" t="n">
        <x:v>43409</x:v>
      </x:c>
      <x:c r="B598" s="12" t="n">
        <x:v>3.72</x:v>
      </x:c>
      <x:c r="C598" s="12" t="n">
        <x:v>372</x:v>
      </x:c>
      <x:c r="D598" s="12" t="n">
        <x:v>0</x:v>
      </x:c>
      <x:c r="E598" s="12" t="str">
        <x:v>Archived FRED mirror (Hugging Face)</x:v>
      </x:c>
    </x:row>
    <x:row r="599" ht="18" customHeight="1">
      <x:c r="A599" s="13" t="n">
        <x:v>43410</x:v>
      </x:c>
      <x:c r="B599" s="12" t="n">
        <x:v>3.68</x:v>
      </x:c>
      <x:c r="C599" s="12" t="n">
        <x:v>368</x:v>
      </x:c>
      <x:c r="D599" s="12" t="n">
        <x:v>-4</x:v>
      </x:c>
      <x:c r="E599" s="12" t="str">
        <x:v>Archived FRED mirror (Hugging Face)</x:v>
      </x:c>
    </x:row>
    <x:row r="600" ht="18" customHeight="1">
      <x:c r="A600" s="13" t="n">
        <x:v>43411</x:v>
      </x:c>
      <x:c r="B600" s="12" t="n">
        <x:v>3.6</x:v>
      </x:c>
      <x:c r="C600" s="12" t="n">
        <x:v>360</x:v>
      </x:c>
      <x:c r="D600" s="12" t="n">
        <x:v>-8</x:v>
      </x:c>
      <x:c r="E600" s="12" t="str">
        <x:v>Archived FRED mirror (Hugging Face)</x:v>
      </x:c>
    </x:row>
    <x:row r="601" ht="18" customHeight="1">
      <x:c r="A601" s="13" t="n">
        <x:v>43412</x:v>
      </x:c>
      <x:c r="B601" s="12" t="n">
        <x:v>3.57</x:v>
      </x:c>
      <x:c r="C601" s="12" t="n">
        <x:v>357</x:v>
      </x:c>
      <x:c r="D601" s="12" t="n">
        <x:v>-3</x:v>
      </x:c>
      <x:c r="E601" s="12" t="str">
        <x:v>Archived FRED mirror (Hugging Face)</x:v>
      </x:c>
    </x:row>
    <x:row r="602" ht="18" customHeight="1">
      <x:c r="A602" s="13" t="n">
        <x:v>43413</x:v>
      </x:c>
      <x:c r="B602" s="12" t="n">
        <x:v>3.71</x:v>
      </x:c>
      <x:c r="C602" s="12" t="n">
        <x:v>371</x:v>
      </x:c>
      <x:c r="D602" s="12" t="n">
        <x:v>14</x:v>
      </x:c>
      <x:c r="E602" s="12" t="str">
        <x:v>Archived FRED mirror (Hugging Face)</x:v>
      </x:c>
    </x:row>
    <x:row r="603" ht="18" customHeight="1">
      <x:c r="A603" s="13" t="n">
        <x:v>43416</x:v>
      </x:c>
      <x:c r="B603" s="12" t="n">
        <x:v>3.71</x:v>
      </x:c>
      <x:c r="C603" s="12" t="n">
        <x:v>371</x:v>
      </x:c>
      <x:c r="D603" s="12" t="n">
        <x:v>0</x:v>
      </x:c>
      <x:c r="E603" s="12" t="str">
        <x:v>Archived FRED mirror (Hugging Face)</x:v>
      </x:c>
    </x:row>
    <x:row r="604" ht="18" customHeight="1">
      <x:c r="A604" s="13" t="n">
        <x:v>43417</x:v>
      </x:c>
      <x:c r="B604" s="12" t="n">
        <x:v>3.89</x:v>
      </x:c>
      <x:c r="C604" s="12" t="n">
        <x:v>389</x:v>
      </x:c>
      <x:c r="D604" s="12" t="n">
        <x:v>18</x:v>
      </x:c>
      <x:c r="E604" s="12" t="str">
        <x:v>Archived FRED mirror (Hugging Face)</x:v>
      </x:c>
    </x:row>
    <x:row r="605" ht="18" customHeight="1">
      <x:c r="A605" s="13" t="n">
        <x:v>43418</x:v>
      </x:c>
      <x:c r="B605" s="12" t="n">
        <x:v>3.99</x:v>
      </x:c>
      <x:c r="C605" s="12" t="n">
        <x:v>399</x:v>
      </x:c>
      <x:c r="D605" s="12" t="n">
        <x:v>10</x:v>
      </x:c>
      <x:c r="E605" s="12" t="str">
        <x:v>Archived FRED mirror (Hugging Face)</x:v>
      </x:c>
    </x:row>
    <x:row r="606" ht="18" customHeight="1">
      <x:c r="A606" s="13" t="n">
        <x:v>43419</x:v>
      </x:c>
      <x:c r="B606" s="12" t="n">
        <x:v>4.11</x:v>
      </x:c>
      <x:c r="C606" s="12" t="n">
        <x:v>411.00000000000006</x:v>
      </x:c>
      <x:c r="D606" s="12" t="n">
        <x:v>12.000000000000057</x:v>
      </x:c>
      <x:c r="E606" s="12" t="str">
        <x:v>Archived FRED mirror (Hugging Face)</x:v>
      </x:c>
    </x:row>
    <x:row r="607" ht="18" customHeight="1">
      <x:c r="A607" s="13" t="n">
        <x:v>43420</x:v>
      </x:c>
      <x:c r="B607" s="12" t="n">
        <x:v>4.18</x:v>
      </x:c>
      <x:c r="C607" s="12" t="n">
        <x:v>418</x:v>
      </x:c>
      <x:c r="D607" s="12" t="n">
        <x:v>6.999999999999943</x:v>
      </x:c>
      <x:c r="E607" s="12" t="str">
        <x:v>Archived FRED mirror (Hugging Face)</x:v>
      </x:c>
    </x:row>
    <x:row r="608" ht="18" customHeight="1">
      <x:c r="A608" s="13" t="n">
        <x:v>43423</x:v>
      </x:c>
      <x:c r="B608" s="12" t="n">
        <x:v>4.25</x:v>
      </x:c>
      <x:c r="C608" s="12" t="n">
        <x:v>425</x:v>
      </x:c>
      <x:c r="D608" s="12" t="n">
        <x:v>7</x:v>
      </x:c>
      <x:c r="E608" s="12" t="str">
        <x:v>Archived FRED mirror (Hugging Face)</x:v>
      </x:c>
    </x:row>
    <x:row r="609" ht="18" customHeight="1">
      <x:c r="A609" s="13" t="n">
        <x:v>43424</x:v>
      </x:c>
      <x:c r="B609" s="12" t="n">
        <x:v>4.33</x:v>
      </x:c>
      <x:c r="C609" s="12" t="n">
        <x:v>433</x:v>
      </x:c>
      <x:c r="D609" s="12" t="n">
        <x:v>8</x:v>
      </x:c>
      <x:c r="E609" s="12" t="str">
        <x:v>Archived FRED mirror (Hugging Face)</x:v>
      </x:c>
    </x:row>
    <x:row r="610" ht="18" customHeight="1">
      <x:c r="A610" s="13" t="n">
        <x:v>43425</x:v>
      </x:c>
      <x:c r="B610" s="12" t="n">
        <x:v>4.24</x:v>
      </x:c>
      <x:c r="C610" s="12" t="n">
        <x:v>424</x:v>
      </x:c>
      <x:c r="D610" s="12" t="n">
        <x:v>-9</x:v>
      </x:c>
      <x:c r="E610" s="12" t="str">
        <x:v>Archived FRED mirror (Hugging Face)</x:v>
      </x:c>
    </x:row>
    <x:row r="611" ht="18" customHeight="1">
      <x:c r="A611" s="13" t="n">
        <x:v>43426</x:v>
      </x:c>
      <x:c r="B611" s="12" t="n">
        <x:v>4.25</x:v>
      </x:c>
      <x:c r="C611" s="12" t="n">
        <x:v>425</x:v>
      </x:c>
      <x:c r="D611" s="12" t="n">
        <x:v>1</x:v>
      </x:c>
      <x:c r="E611" s="12" t="str">
        <x:v>Archived FRED mirror (Hugging Face)</x:v>
      </x:c>
    </x:row>
    <x:row r="612" ht="18" customHeight="1">
      <x:c r="A612" s="13" t="n">
        <x:v>43427</x:v>
      </x:c>
      <x:c r="B612" s="12" t="n">
        <x:v>4.29</x:v>
      </x:c>
      <x:c r="C612" s="12" t="n">
        <x:v>429</x:v>
      </x:c>
      <x:c r="D612" s="12" t="n">
        <x:v>4</x:v>
      </x:c>
      <x:c r="E612" s="12" t="str">
        <x:v>Archived FRED mirror (Hugging Face)</x:v>
      </x:c>
    </x:row>
    <x:row r="613" ht="18" customHeight="1">
      <x:c r="A613" s="13" t="n">
        <x:v>43430</x:v>
      </x:c>
      <x:c r="B613" s="12" t="n">
        <x:v>4.26</x:v>
      </x:c>
      <x:c r="C613" s="12" t="n">
        <x:v>426</x:v>
      </x:c>
      <x:c r="D613" s="12" t="n">
        <x:v>-3</x:v>
      </x:c>
      <x:c r="E613" s="12" t="str">
        <x:v>Archived FRED mirror (Hugging Face)</x:v>
      </x:c>
    </x:row>
    <x:row r="614" ht="18" customHeight="1">
      <x:c r="A614" s="13" t="n">
        <x:v>43431</x:v>
      </x:c>
      <x:c r="B614" s="12" t="n">
        <x:v>4.31</x:v>
      </x:c>
      <x:c r="C614" s="12" t="n">
        <x:v>430.99999999999994</x:v>
      </x:c>
      <x:c r="D614" s="12" t="n">
        <x:v>4.999999999999943</x:v>
      </x:c>
      <x:c r="E614" s="12" t="str">
        <x:v>Archived FRED mirror (Hugging Face)</x:v>
      </x:c>
    </x:row>
    <x:row r="615" ht="18" customHeight="1">
      <x:c r="A615" s="13" t="n">
        <x:v>43432</x:v>
      </x:c>
      <x:c r="B615" s="12" t="n">
        <x:v>4.25</x:v>
      </x:c>
      <x:c r="C615" s="12" t="n">
        <x:v>425</x:v>
      </x:c>
      <x:c r="D615" s="12" t="n">
        <x:v>-5.999999999999943</x:v>
      </x:c>
      <x:c r="E615" s="12" t="str">
        <x:v>Archived FRED mirror (Hugging Face)</x:v>
      </x:c>
    </x:row>
    <x:row r="616" ht="18" customHeight="1">
      <x:c r="A616" s="13" t="n">
        <x:v>43433</x:v>
      </x:c>
      <x:c r="B616" s="12" t="n">
        <x:v>4.22</x:v>
      </x:c>
      <x:c r="C616" s="12" t="n">
        <x:v>422</x:v>
      </x:c>
      <x:c r="D616" s="12" t="n">
        <x:v>-3</x:v>
      </x:c>
      <x:c r="E616" s="12" t="str">
        <x:v>Archived FRED mirror (Hugging Face)</x:v>
      </x:c>
    </x:row>
    <x:row r="617" ht="18" customHeight="1">
      <x:c r="A617" s="13" t="n">
        <x:v>43434</x:v>
      </x:c>
      <x:c r="B617" s="12" t="n">
        <x:v>4.29</x:v>
      </x:c>
      <x:c r="C617" s="12" t="n">
        <x:v>429</x:v>
      </x:c>
      <x:c r="D617" s="12" t="n">
        <x:v>7</x:v>
      </x:c>
      <x:c r="E617" s="12" t="str">
        <x:v>Archived FRED mirror (Hugging Face)</x:v>
      </x:c>
    </x:row>
    <x:row r="618" ht="18" customHeight="1">
      <x:c r="A618" s="13" t="n">
        <x:v>43437</x:v>
      </x:c>
      <x:c r="B618" s="12" t="n">
        <x:v>4.2</x:v>
      </x:c>
      <x:c r="C618" s="12" t="n">
        <x:v>420</x:v>
      </x:c>
      <x:c r="D618" s="12" t="n">
        <x:v>-9</x:v>
      </x:c>
      <x:c r="E618" s="12" t="str">
        <x:v>Archived FRED mirror (Hugging Face)</x:v>
      </x:c>
    </x:row>
    <x:row r="619" ht="18" customHeight="1">
      <x:c r="A619" s="13" t="n">
        <x:v>43438</x:v>
      </x:c>
      <x:c r="B619" s="12" t="n">
        <x:v>4.29</x:v>
      </x:c>
      <x:c r="C619" s="12" t="n">
        <x:v>429</x:v>
      </x:c>
      <x:c r="D619" s="12" t="n">
        <x:v>9</x:v>
      </x:c>
      <x:c r="E619" s="12" t="str">
        <x:v>Archived FRED mirror (Hugging Face)</x:v>
      </x:c>
    </x:row>
    <x:row r="620" ht="18" customHeight="1">
      <x:c r="A620" s="13" t="n">
        <x:v>43439</x:v>
      </x:c>
      <x:c r="B620" s="12" t="n">
        <x:v>4.29</x:v>
      </x:c>
      <x:c r="C620" s="12" t="n">
        <x:v>429</x:v>
      </x:c>
      <x:c r="D620" s="12" t="n">
        <x:v>0</x:v>
      </x:c>
      <x:c r="E620" s="12" t="str">
        <x:v>Archived FRED mirror (Hugging Face)</x:v>
      </x:c>
    </x:row>
    <x:row r="621" ht="18" customHeight="1">
      <x:c r="A621" s="13" t="n">
        <x:v>43440</x:v>
      </x:c>
      <x:c r="B621" s="12" t="n">
        <x:v>4.5</x:v>
      </x:c>
      <x:c r="C621" s="12" t="n">
        <x:v>450</x:v>
      </x:c>
      <x:c r="D621" s="12" t="n">
        <x:v>21</x:v>
      </x:c>
      <x:c r="E621" s="12" t="str">
        <x:v>Archived FRED mirror (Hugging Face)</x:v>
      </x:c>
    </x:row>
    <x:row r="622" ht="18" customHeight="1">
      <x:c r="A622" s="13" t="n">
        <x:v>43441</x:v>
      </x:c>
      <x:c r="B622" s="12" t="n">
        <x:v>4.5</x:v>
      </x:c>
      <x:c r="C622" s="12" t="n">
        <x:v>450</x:v>
      </x:c>
      <x:c r="D622" s="12" t="n">
        <x:v>0</x:v>
      </x:c>
      <x:c r="E622" s="12" t="str">
        <x:v>Archived FRED mirror (Hugging Face)</x:v>
      </x:c>
    </x:row>
    <x:row r="623" ht="18" customHeight="1">
      <x:c r="A623" s="13" t="n">
        <x:v>43444</x:v>
      </x:c>
      <x:c r="B623" s="12" t="n">
        <x:v>4.56</x:v>
      </x:c>
      <x:c r="C623" s="12" t="n">
        <x:v>455.99999999999994</x:v>
      </x:c>
      <x:c r="D623" s="12" t="n">
        <x:v>5.999999999999943</x:v>
      </x:c>
      <x:c r="E623" s="12" t="str">
        <x:v>Archived FRED mirror (Hugging Face)</x:v>
      </x:c>
    </x:row>
    <x:row r="624" ht="18" customHeight="1">
      <x:c r="A624" s="13" t="n">
        <x:v>43445</x:v>
      </x:c>
      <x:c r="B624" s="12" t="n">
        <x:v>4.48</x:v>
      </x:c>
      <x:c r="C624" s="12" t="n">
        <x:v>448.00000000000006</x:v>
      </x:c>
      <x:c r="D624" s="12" t="n">
        <x:v>-7.999999999999886</x:v>
      </x:c>
      <x:c r="E624" s="12" t="str">
        <x:v>Archived FRED mirror (Hugging Face)</x:v>
      </x:c>
    </x:row>
    <x:row r="625" ht="18" customHeight="1">
      <x:c r="A625" s="13" t="n">
        <x:v>43446</x:v>
      </x:c>
      <x:c r="B625" s="12" t="n">
        <x:v>4.4</x:v>
      </x:c>
      <x:c r="C625" s="12" t="n">
        <x:v>440.00000000000006</x:v>
      </x:c>
      <x:c r="D625" s="12" t="n">
        <x:v>-8</x:v>
      </x:c>
      <x:c r="E625" s="12" t="str">
        <x:v>Archived FRED mirror (Hugging Face)</x:v>
      </x:c>
    </x:row>
    <x:row r="626" ht="18" customHeight="1">
      <x:c r="A626" s="13" t="n">
        <x:v>43447</x:v>
      </x:c>
      <x:c r="B626" s="12" t="n">
        <x:v>4.39</x:v>
      </x:c>
      <x:c r="C626" s="12" t="n">
        <x:v>438.99999999999994</x:v>
      </x:c>
      <x:c r="D626" s="12" t="n">
        <x:v>-1.0000000000001137</x:v>
      </x:c>
      <x:c r="E626" s="12" t="str">
        <x:v>Archived FRED mirror (Hugging Face)</x:v>
      </x:c>
    </x:row>
    <x:row r="627" ht="18" customHeight="1">
      <x:c r="A627" s="13" t="n">
        <x:v>43448</x:v>
      </x:c>
      <x:c r="B627" s="12" t="n">
        <x:v>4.46</x:v>
      </x:c>
      <x:c r="C627" s="12" t="n">
        <x:v>446</x:v>
      </x:c>
      <x:c r="D627" s="12" t="n">
        <x:v>7.000000000000057</x:v>
      </x:c>
      <x:c r="E627" s="12" t="str">
        <x:v>Archived FRED mirror (Hugging Face)</x:v>
      </x:c>
    </x:row>
    <x:row r="628" ht="18" customHeight="1">
      <x:c r="A628" s="13" t="n">
        <x:v>43451</x:v>
      </x:c>
      <x:c r="B628" s="12" t="n">
        <x:v>4.58</x:v>
      </x:c>
      <x:c r="C628" s="12" t="n">
        <x:v>458</x:v>
      </x:c>
      <x:c r="D628" s="12" t="n">
        <x:v>12</x:v>
      </x:c>
      <x:c r="E628" s="12" t="str">
        <x:v>Archived FRED mirror (Hugging Face)</x:v>
      </x:c>
    </x:row>
    <x:row r="629" ht="18" customHeight="1">
      <x:c r="A629" s="13" t="n">
        <x:v>43452</x:v>
      </x:c>
      <x:c r="B629" s="12" t="n">
        <x:v>4.72</x:v>
      </x:c>
      <x:c r="C629" s="12" t="n">
        <x:v>472</x:v>
      </x:c>
      <x:c r="D629" s="12" t="n">
        <x:v>14</x:v>
      </x:c>
      <x:c r="E629" s="12" t="str">
        <x:v>Archived FRED mirror (Hugging Face)</x:v>
      </x:c>
    </x:row>
    <x:row r="630" ht="18" customHeight="1">
      <x:c r="A630" s="13" t="n">
        <x:v>43453</x:v>
      </x:c>
      <x:c r="B630" s="12" t="n">
        <x:v>4.84</x:v>
      </x:c>
      <x:c r="C630" s="12" t="n">
        <x:v>484</x:v>
      </x:c>
      <x:c r="D630" s="12" t="n">
        <x:v>12</x:v>
      </x:c>
      <x:c r="E630" s="12" t="str">
        <x:v>Archived FRED mirror (Hugging Face)</x:v>
      </x:c>
    </x:row>
    <x:row r="631" ht="18" customHeight="1">
      <x:c r="A631" s="13" t="n">
        <x:v>43454</x:v>
      </x:c>
      <x:c r="B631" s="12" t="n">
        <x:v>5.11</x:v>
      </x:c>
      <x:c r="C631" s="12" t="n">
        <x:v>511.00000000000006</x:v>
      </x:c>
      <x:c r="D631" s="12" t="n">
        <x:v>27.000000000000057</x:v>
      </x:c>
      <x:c r="E631" s="12" t="str">
        <x:v>Archived FRED mirror (Hugging Face)</x:v>
      </x:c>
    </x:row>
    <x:row r="632" ht="18" customHeight="1">
      <x:c r="A632" s="13" t="n">
        <x:v>43455</x:v>
      </x:c>
      <x:c r="B632" s="12" t="n">
        <x:v>5.22</x:v>
      </x:c>
      <x:c r="C632" s="12" t="n">
        <x:v>522</x:v>
      </x:c>
      <x:c r="D632" s="12" t="n">
        <x:v>10.999999999999943</x:v>
      </x:c>
      <x:c r="E632" s="12" t="str">
        <x:v>Archived FRED mirror (Hugging Face)</x:v>
      </x:c>
    </x:row>
    <x:row r="633" ht="18" customHeight="1">
      <x:c r="A633" s="13" t="n">
        <x:v>43458</x:v>
      </x:c>
      <x:c r="B633" s="12" t="n">
        <x:v>5.35</x:v>
      </x:c>
      <x:c r="C633" s="12" t="n">
        <x:v>535</x:v>
      </x:c>
      <x:c r="D633" s="12" t="n">
        <x:v>13</x:v>
      </x:c>
      <x:c r="E633" s="12" t="str">
        <x:v>Archived FRED mirror (Hugging Face)</x:v>
      </x:c>
    </x:row>
    <x:row r="634" ht="18" customHeight="1">
      <x:c r="A634" s="13" t="n">
        <x:v>43460</x:v>
      </x:c>
      <x:c r="B634" s="12" t="n">
        <x:v>5.37</x:v>
      </x:c>
      <x:c r="C634" s="12" t="n">
        <x:v>537</x:v>
      </x:c>
      <x:c r="D634" s="12" t="n">
        <x:v>2</x:v>
      </x:c>
      <x:c r="E634" s="12" t="str">
        <x:v>Archived FRED mirror (Hugging Face)</x:v>
      </x:c>
    </x:row>
    <x:row r="635" ht="18" customHeight="1">
      <x:c r="A635" s="13" t="n">
        <x:v>43461</x:v>
      </x:c>
      <x:c r="B635" s="12" t="n">
        <x:v>5.38</x:v>
      </x:c>
      <x:c r="C635" s="12" t="n">
        <x:v>538</x:v>
      </x:c>
      <x:c r="D635" s="12" t="n">
        <x:v>1</x:v>
      </x:c>
      <x:c r="E635" s="12" t="str">
        <x:v>Archived FRED mirror (Hugging Face)</x:v>
      </x:c>
    </x:row>
    <x:row r="636" ht="18" customHeight="1">
      <x:c r="A636" s="13" t="n">
        <x:v>43462</x:v>
      </x:c>
      <x:c r="B636" s="12" t="n">
        <x:v>5.3</x:v>
      </x:c>
      <x:c r="C636" s="12" t="n">
        <x:v>530</x:v>
      </x:c>
      <x:c r="D636" s="12" t="n">
        <x:v>-8</x:v>
      </x:c>
      <x:c r="E636" s="12" t="str">
        <x:v>Archived FRED mirror (Hugging Face)</x:v>
      </x:c>
    </x:row>
    <x:row r="637" ht="18" customHeight="1">
      <x:c r="A637" s="13" t="n">
        <x:v>43465</x:v>
      </x:c>
      <x:c r="B637" s="12" t="n">
        <x:v>5.33</x:v>
      </x:c>
      <x:c r="C637" s="12" t="n">
        <x:v>533</x:v>
      </x:c>
      <x:c r="D637" s="12" t="n">
        <x:v>3</x:v>
      </x:c>
      <x:c r="E637" s="12" t="str">
        <x:v>Archived FRED mirror (Hugging Face)</x:v>
      </x:c>
    </x:row>
    <x:row r="638" ht="18" customHeight="1">
      <x:c r="A638" s="13" t="n">
        <x:v>43467</x:v>
      </x:c>
      <x:c r="B638" s="12" t="n">
        <x:v>5.35</x:v>
      </x:c>
      <x:c r="C638" s="12" t="n">
        <x:v>535</x:v>
      </x:c>
      <x:c r="D638" s="12" t="n">
        <x:v>2</x:v>
      </x:c>
      <x:c r="E638" s="12" t="str">
        <x:v>Archived FRED mirror (Hugging Face)</x:v>
      </x:c>
    </x:row>
    <x:row r="639" ht="18" customHeight="1">
      <x:c r="A639" s="13" t="n">
        <x:v>43468</x:v>
      </x:c>
      <x:c r="B639" s="12" t="n">
        <x:v>5.44</x:v>
      </x:c>
      <x:c r="C639" s="12" t="n">
        <x:v>544</x:v>
      </x:c>
      <x:c r="D639" s="12" t="n">
        <x:v>9</x:v>
      </x:c>
      <x:c r="E639" s="12" t="str">
        <x:v>Archived FRED mirror (Hugging Face)</x:v>
      </x:c>
    </x:row>
    <x:row r="640" ht="18" customHeight="1">
      <x:c r="A640" s="13" t="n">
        <x:v>43469</x:v>
      </x:c>
      <x:c r="B640" s="12" t="n">
        <x:v>5.05</x:v>
      </x:c>
      <x:c r="C640" s="12" t="n">
        <x:v>505</x:v>
      </x:c>
      <x:c r="D640" s="12" t="n">
        <x:v>-39</x:v>
      </x:c>
      <x:c r="E640" s="12" t="str">
        <x:v>Archived FRED mirror (Hugging Face)</x:v>
      </x:c>
    </x:row>
    <x:row r="641" ht="18" customHeight="1">
      <x:c r="A641" s="13" t="n">
        <x:v>43472</x:v>
      </x:c>
      <x:c r="B641" s="12" t="n">
        <x:v>4.83</x:v>
      </x:c>
      <x:c r="C641" s="12" t="n">
        <x:v>483</x:v>
      </x:c>
      <x:c r="D641" s="12" t="n">
        <x:v>-22</x:v>
      </x:c>
      <x:c r="E641" s="12" t="str">
        <x:v>Archived FRED mirror (Hugging Face)</x:v>
      </x:c>
    </x:row>
    <x:row r="642" ht="18" customHeight="1">
      <x:c r="A642" s="13" t="n">
        <x:v>43473</x:v>
      </x:c>
      <x:c r="B642" s="12" t="n">
        <x:v>4.65</x:v>
      </x:c>
      <x:c r="C642" s="12" t="n">
        <x:v>465.00000000000006</x:v>
      </x:c>
      <x:c r="D642" s="12" t="n">
        <x:v>-17.999999999999943</x:v>
      </x:c>
      <x:c r="E642" s="12" t="str">
        <x:v>Archived FRED mirror (Hugging Face)</x:v>
      </x:c>
    </x:row>
    <x:row r="643" ht="18" customHeight="1">
      <x:c r="A643" s="13" t="n">
        <x:v>43474</x:v>
      </x:c>
      <x:c r="B643" s="12" t="n">
        <x:v>4.52</x:v>
      </x:c>
      <x:c r="C643" s="12" t="n">
        <x:v>451.99999999999994</x:v>
      </x:c>
      <x:c r="D643" s="12" t="n">
        <x:v>-13.000000000000114</x:v>
      </x:c>
      <x:c r="E643" s="12" t="str">
        <x:v>Archived FRED mirror (Hugging Face)</x:v>
      </x:c>
    </x:row>
    <x:row r="644" ht="18" customHeight="1">
      <x:c r="A644" s="13" t="n">
        <x:v>43475</x:v>
      </x:c>
      <x:c r="B644" s="12" t="n">
        <x:v>4.54</x:v>
      </x:c>
      <x:c r="C644" s="12" t="n">
        <x:v>454</x:v>
      </x:c>
      <x:c r="D644" s="12" t="n">
        <x:v>2.000000000000057</x:v>
      </x:c>
      <x:c r="E644" s="12" t="str">
        <x:v>Archived FRED mirror (Hugging Face)</x:v>
      </x:c>
    </x:row>
    <x:row r="645" ht="18" customHeight="1">
      <x:c r="A645" s="13" t="n">
        <x:v>43476</x:v>
      </x:c>
      <x:c r="B645" s="12" t="n">
        <x:v>4.55</x:v>
      </x:c>
      <x:c r="C645" s="12" t="n">
        <x:v>455</x:v>
      </x:c>
      <x:c r="D645" s="12" t="n">
        <x:v>1</x:v>
      </x:c>
      <x:c r="E645" s="12" t="str">
        <x:v>Archived FRED mirror (Hugging Face)</x:v>
      </x:c>
    </x:row>
    <x:row r="646" ht="18" customHeight="1">
      <x:c r="A646" s="13" t="n">
        <x:v>43479</x:v>
      </x:c>
      <x:c r="B646" s="12" t="n">
        <x:v>4.6</x:v>
      </x:c>
      <x:c r="C646" s="12" t="n">
        <x:v>459.99999999999994</x:v>
      </x:c>
      <x:c r="D646" s="12" t="n">
        <x:v>4.999999999999943</x:v>
      </x:c>
      <x:c r="E646" s="12" t="str">
        <x:v>Archived FRED mirror (Hugging Face)</x:v>
      </x:c>
    </x:row>
    <x:row r="647" ht="18" customHeight="1">
      <x:c r="A647" s="13" t="n">
        <x:v>43480</x:v>
      </x:c>
      <x:c r="B647" s="12" t="n">
        <x:v>4.55</x:v>
      </x:c>
      <x:c r="C647" s="12" t="n">
        <x:v>455</x:v>
      </x:c>
      <x:c r="D647" s="12" t="n">
        <x:v>-4.999999999999943</x:v>
      </x:c>
      <x:c r="E647" s="12" t="str">
        <x:v>Archived FRED mirror (Hugging Face)</x:v>
      </x:c>
    </x:row>
    <x:row r="648" ht="18" customHeight="1">
      <x:c r="A648" s="13" t="n">
        <x:v>43481</x:v>
      </x:c>
      <x:c r="B648" s="12" t="n">
        <x:v>4.44</x:v>
      </x:c>
      <x:c r="C648" s="12" t="n">
        <x:v>444.00000000000006</x:v>
      </x:c>
      <x:c r="D648" s="12" t="n">
        <x:v>-10.999999999999943</x:v>
      </x:c>
      <x:c r="E648" s="12" t="str">
        <x:v>Archived FRED mirror (Hugging Face)</x:v>
      </x:c>
    </x:row>
    <x:row r="649" ht="18" customHeight="1">
      <x:c r="A649" s="13" t="n">
        <x:v>43482</x:v>
      </x:c>
      <x:c r="B649" s="12" t="n">
        <x:v>4.4</x:v>
      </x:c>
      <x:c r="C649" s="12" t="n">
        <x:v>440.00000000000006</x:v>
      </x:c>
      <x:c r="D649" s="12" t="n">
        <x:v>-4</x:v>
      </x:c>
      <x:c r="E649" s="12" t="str">
        <x:v>Archived FRED mirror (Hugging Face)</x:v>
      </x:c>
    </x:row>
    <x:row r="650" ht="18" customHeight="1">
      <x:c r="A650" s="13" t="n">
        <x:v>43483</x:v>
      </x:c>
      <x:c r="B650" s="12" t="n">
        <x:v>4.27</x:v>
      </x:c>
      <x:c r="C650" s="12" t="n">
        <x:v>426.99999999999994</x:v>
      </x:c>
      <x:c r="D650" s="12" t="n">
        <x:v>-13.000000000000114</x:v>
      </x:c>
      <x:c r="E650" s="12" t="str">
        <x:v>Archived FRED mirror (Hugging Face)</x:v>
      </x:c>
    </x:row>
    <x:row r="651" ht="18" customHeight="1">
      <x:c r="A651" s="13" t="n">
        <x:v>43486</x:v>
      </x:c>
      <x:c r="B651" s="12" t="n">
        <x:v>4.27</x:v>
      </x:c>
      <x:c r="C651" s="12" t="n">
        <x:v>426.99999999999994</x:v>
      </x:c>
      <x:c r="D651" s="12" t="n">
        <x:v>0</x:v>
      </x:c>
      <x:c r="E651" s="12" t="str">
        <x:v>Archived FRED mirror (Hugging Face)</x:v>
      </x:c>
    </x:row>
    <x:row r="652" ht="18" customHeight="1">
      <x:c r="A652" s="13" t="n">
        <x:v>43487</x:v>
      </x:c>
      <x:c r="B652" s="12" t="n">
        <x:v>4.41</x:v>
      </x:c>
      <x:c r="C652" s="12" t="n">
        <x:v>441</x:v>
      </x:c>
      <x:c r="D652" s="12" t="n">
        <x:v>14.000000000000057</x:v>
      </x:c>
      <x:c r="E652" s="12" t="str">
        <x:v>Archived FRED mirror (Hugging Face)</x:v>
      </x:c>
    </x:row>
    <x:row r="653" ht="18" customHeight="1">
      <x:c r="A653" s="13" t="n">
        <x:v>43488</x:v>
      </x:c>
      <x:c r="B653" s="12" t="n">
        <x:v>4.39</x:v>
      </x:c>
      <x:c r="C653" s="12" t="n">
        <x:v>438.99999999999994</x:v>
      </x:c>
      <x:c r="D653" s="12" t="n">
        <x:v>-2.000000000000057</x:v>
      </x:c>
      <x:c r="E653" s="12" t="str">
        <x:v>Archived FRED mirror (Hugging Face)</x:v>
      </x:c>
    </x:row>
    <x:row r="654" ht="18" customHeight="1">
      <x:c r="A654" s="13" t="n">
        <x:v>43489</x:v>
      </x:c>
      <x:c r="B654" s="12" t="n">
        <x:v>4.45</x:v>
      </x:c>
      <x:c r="C654" s="12" t="n">
        <x:v>445</x:v>
      </x:c>
      <x:c r="D654" s="12" t="n">
        <x:v>6.000000000000057</x:v>
      </x:c>
      <x:c r="E654" s="12" t="str">
        <x:v>Archived FRED mirror (Hugging Face)</x:v>
      </x:c>
    </x:row>
    <x:row r="655" ht="18" customHeight="1">
      <x:c r="A655" s="13" t="n">
        <x:v>43490</x:v>
      </x:c>
      <x:c r="B655" s="12" t="n">
        <x:v>4.34</x:v>
      </x:c>
      <x:c r="C655" s="12" t="n">
        <x:v>434</x:v>
      </x:c>
      <x:c r="D655" s="12" t="n">
        <x:v>-11</x:v>
      </x:c>
      <x:c r="E655" s="12" t="str">
        <x:v>Archived FRED mirror (Hugging Face)</x:v>
      </x:c>
    </x:row>
    <x:row r="656" ht="18" customHeight="1">
      <x:c r="A656" s="13" t="n">
        <x:v>43493</x:v>
      </x:c>
      <x:c r="B656" s="12" t="n">
        <x:v>4.41</x:v>
      </x:c>
      <x:c r="C656" s="12" t="n">
        <x:v>441</x:v>
      </x:c>
      <x:c r="D656" s="12" t="n">
        <x:v>7</x:v>
      </x:c>
      <x:c r="E656" s="12" t="str">
        <x:v>Archived FRED mirror (Hugging Face)</x:v>
      </x:c>
    </x:row>
    <x:row r="657" ht="18" customHeight="1">
      <x:c r="A657" s="13" t="n">
        <x:v>43494</x:v>
      </x:c>
      <x:c r="B657" s="12" t="n">
        <x:v>4.4</x:v>
      </x:c>
      <x:c r="C657" s="12" t="n">
        <x:v>440.00000000000006</x:v>
      </x:c>
      <x:c r="D657" s="12" t="n">
        <x:v>-0.9999999999999432</x:v>
      </x:c>
      <x:c r="E657" s="12" t="str">
        <x:v>Archived FRED mirror (Hugging Face)</x:v>
      </x:c>
    </x:row>
    <x:row r="658" ht="18" customHeight="1">
      <x:c r="A658" s="13" t="n">
        <x:v>43495</x:v>
      </x:c>
      <x:c r="B658" s="12" t="n">
        <x:v>4.36</x:v>
      </x:c>
      <x:c r="C658" s="12" t="n">
        <x:v>436.00000000000006</x:v>
      </x:c>
      <x:c r="D658" s="12" t="n">
        <x:v>-4</x:v>
      </x:c>
      <x:c r="E658" s="12" t="str">
        <x:v>Archived FRED mirror (Hugging Face)</x:v>
      </x:c>
    </x:row>
    <x:row r="659" ht="18" customHeight="1">
      <x:c r="A659" s="13" t="n">
        <x:v>43496</x:v>
      </x:c>
      <x:c r="B659" s="12" t="n">
        <x:v>4.37</x:v>
      </x:c>
      <x:c r="C659" s="12" t="n">
        <x:v>437</x:v>
      </x:c>
      <x:c r="D659" s="12" t="n">
        <x:v>0.9999999999999432</x:v>
      </x:c>
      <x:c r="E659" s="12" t="str">
        <x:v>Archived FRED mirror (Hugging Face)</x:v>
      </x:c>
    </x:row>
    <x:row r="660" ht="18" customHeight="1">
      <x:c r="A660" s="13" t="n">
        <x:v>43497</x:v>
      </x:c>
      <x:c r="B660" s="12" t="n">
        <x:v>4.29</x:v>
      </x:c>
      <x:c r="C660" s="12" t="n">
        <x:v>429</x:v>
      </x:c>
      <x:c r="D660" s="12" t="n">
        <x:v>-8</x:v>
      </x:c>
      <x:c r="E660" s="12" t="str">
        <x:v>Archived FRED mirror (Hugging Face)</x:v>
      </x:c>
    </x:row>
    <x:row r="661" ht="18" customHeight="1">
      <x:c r="A661" s="13" t="n">
        <x:v>43500</x:v>
      </x:c>
      <x:c r="B661" s="12" t="n">
        <x:v>4.25</x:v>
      </x:c>
      <x:c r="C661" s="12" t="n">
        <x:v>425</x:v>
      </x:c>
      <x:c r="D661" s="12" t="n">
        <x:v>-4</x:v>
      </x:c>
      <x:c r="E661" s="12" t="str">
        <x:v>Archived FRED mirror (Hugging Face)</x:v>
      </x:c>
    </x:row>
    <x:row r="662" ht="18" customHeight="1">
      <x:c r="A662" s="13" t="n">
        <x:v>43501</x:v>
      </x:c>
      <x:c r="B662" s="12" t="n">
        <x:v>4.15</x:v>
      </x:c>
      <x:c r="C662" s="12" t="n">
        <x:v>415.00000000000006</x:v>
      </x:c>
      <x:c r="D662" s="12" t="n">
        <x:v>-9.999999999999943</x:v>
      </x:c>
      <x:c r="E662" s="12" t="str">
        <x:v>Archived FRED mirror (Hugging Face)</x:v>
      </x:c>
    </x:row>
    <x:row r="663" ht="18" customHeight="1">
      <x:c r="A663" s="13" t="n">
        <x:v>43502</x:v>
      </x:c>
      <x:c r="B663" s="12" t="n">
        <x:v>4.13</x:v>
      </x:c>
      <x:c r="C663" s="12" t="n">
        <x:v>413</x:v>
      </x:c>
      <x:c r="D663" s="12" t="n">
        <x:v>-2.000000000000057</x:v>
      </x:c>
      <x:c r="E663" s="12" t="str">
        <x:v>Archived FRED mirror (Hugging Face)</x:v>
      </x:c>
    </x:row>
    <x:row r="664" ht="18" customHeight="1">
      <x:c r="A664" s="13" t="n">
        <x:v>43503</x:v>
      </x:c>
      <x:c r="B664" s="12" t="n">
        <x:v>4.29</x:v>
      </x:c>
      <x:c r="C664" s="12" t="n">
        <x:v>429</x:v>
      </x:c>
      <x:c r="D664" s="12" t="n">
        <x:v>16</x:v>
      </x:c>
      <x:c r="E664" s="12" t="str">
        <x:v>Archived FRED mirror (Hugging Face)</x:v>
      </x:c>
    </x:row>
    <x:row r="665" ht="18" customHeight="1">
      <x:c r="A665" s="13" t="n">
        <x:v>43504</x:v>
      </x:c>
      <x:c r="B665" s="12" t="n">
        <x:v>4.32</x:v>
      </x:c>
      <x:c r="C665" s="12" t="n">
        <x:v>432</x:v>
      </x:c>
      <x:c r="D665" s="12" t="n">
        <x:v>3</x:v>
      </x:c>
      <x:c r="E665" s="12" t="str">
        <x:v>Archived FRED mirror (Hugging Face)</x:v>
      </x:c>
    </x:row>
    <x:row r="666" ht="18" customHeight="1">
      <x:c r="A666" s="13" t="n">
        <x:v>43507</x:v>
      </x:c>
      <x:c r="B666" s="12" t="n">
        <x:v>4.28</x:v>
      </x:c>
      <x:c r="C666" s="12" t="n">
        <x:v>428</x:v>
      </x:c>
      <x:c r="D666" s="12" t="n">
        <x:v>-4</x:v>
      </x:c>
      <x:c r="E666" s="12" t="str">
        <x:v>Archived FRED mirror (Hugging Face)</x:v>
      </x:c>
    </x:row>
    <x:row r="667" ht="18" customHeight="1">
      <x:c r="A667" s="13" t="n">
        <x:v>43508</x:v>
      </x:c>
      <x:c r="B667" s="12" t="n">
        <x:v>4.17</x:v>
      </x:c>
      <x:c r="C667" s="12" t="n">
        <x:v>417</x:v>
      </x:c>
      <x:c r="D667" s="12" t="n">
        <x:v>-11</x:v>
      </x:c>
      <x:c r="E667" s="12" t="str">
        <x:v>Archived FRED mirror (Hugging Face)</x:v>
      </x:c>
    </x:row>
    <x:row r="668" ht="18" customHeight="1">
      <x:c r="A668" s="13" t="n">
        <x:v>43509</x:v>
      </x:c>
      <x:c r="B668" s="12" t="n">
        <x:v>4.12</x:v>
      </x:c>
      <x:c r="C668" s="12" t="n">
        <x:v>412</x:v>
      </x:c>
      <x:c r="D668" s="12" t="n">
        <x:v>-5</x:v>
      </x:c>
      <x:c r="E668" s="12" t="str">
        <x:v>Archived FRED mirror (Hugging Face)</x:v>
      </x:c>
    </x:row>
    <x:row r="669" ht="18" customHeight="1">
      <x:c r="A669" s="13" t="n">
        <x:v>43510</x:v>
      </x:c>
      <x:c r="B669" s="12" t="n">
        <x:v>4.17</x:v>
      </x:c>
      <x:c r="C669" s="12" t="n">
        <x:v>417</x:v>
      </x:c>
      <x:c r="D669" s="12" t="n">
        <x:v>5</x:v>
      </x:c>
      <x:c r="E669" s="12" t="str">
        <x:v>Archived FRED mirror (Hugging Face)</x:v>
      </x:c>
    </x:row>
    <x:row r="670" ht="18" customHeight="1">
      <x:c r="A670" s="13" t="n">
        <x:v>43511</x:v>
      </x:c>
      <x:c r="B670" s="12" t="n">
        <x:v>4.12</x:v>
      </x:c>
      <x:c r="C670" s="12" t="n">
        <x:v>412</x:v>
      </x:c>
      <x:c r="D670" s="12" t="n">
        <x:v>-5</x:v>
      </x:c>
      <x:c r="E670" s="12" t="str">
        <x:v>Archived FRED mirror (Hugging Face)</x:v>
      </x:c>
    </x:row>
    <x:row r="671" ht="18" customHeight="1">
      <x:c r="A671" s="13" t="n">
        <x:v>43514</x:v>
      </x:c>
      <x:c r="B671" s="12" t="n">
        <x:v>4.12</x:v>
      </x:c>
      <x:c r="C671" s="12" t="n">
        <x:v>412</x:v>
      </x:c>
      <x:c r="D671" s="12" t="n">
        <x:v>0</x:v>
      </x:c>
      <x:c r="E671" s="12" t="str">
        <x:v>Archived FRED mirror (Hugging Face)</x:v>
      </x:c>
    </x:row>
    <x:row r="672" ht="18" customHeight="1">
      <x:c r="A672" s="13" t="n">
        <x:v>43515</x:v>
      </x:c>
      <x:c r="B672" s="12" t="n">
        <x:v>4.11</x:v>
      </x:c>
      <x:c r="C672" s="12" t="n">
        <x:v>411.00000000000006</x:v>
      </x:c>
      <x:c r="D672" s="12" t="n">
        <x:v>-0.9999999999999432</x:v>
      </x:c>
      <x:c r="E672" s="12" t="str">
        <x:v>Archived FRED mirror (Hugging Face)</x:v>
      </x:c>
    </x:row>
    <x:row r="673" ht="18" customHeight="1">
      <x:c r="A673" s="13" t="n">
        <x:v>43516</x:v>
      </x:c>
      <x:c r="B673" s="12" t="n">
        <x:v>4.08</x:v>
      </x:c>
      <x:c r="C673" s="12" t="n">
        <x:v>408</x:v>
      </x:c>
      <x:c r="D673" s="12" t="n">
        <x:v>-3.000000000000057</x:v>
      </x:c>
      <x:c r="E673" s="12" t="str">
        <x:v>Archived FRED mirror (Hugging Face)</x:v>
      </x:c>
    </x:row>
    <x:row r="674" ht="18" customHeight="1">
      <x:c r="A674" s="13" t="n">
        <x:v>43517</x:v>
      </x:c>
      <x:c r="B674" s="12" t="n">
        <x:v>4.04</x:v>
      </x:c>
      <x:c r="C674" s="12" t="n">
        <x:v>404</x:v>
      </x:c>
      <x:c r="D674" s="12" t="n">
        <x:v>-4</x:v>
      </x:c>
      <x:c r="E674" s="12" t="str">
        <x:v>Archived FRED mirror (Hugging Face)</x:v>
      </x:c>
    </x:row>
    <x:row r="675" ht="18" customHeight="1">
      <x:c r="A675" s="13" t="n">
        <x:v>43518</x:v>
      </x:c>
      <x:c r="B675" s="12" t="n">
        <x:v>4.05</x:v>
      </x:c>
      <x:c r="C675" s="12" t="n">
        <x:v>405</x:v>
      </x:c>
      <x:c r="D675" s="12" t="n">
        <x:v>1</x:v>
      </x:c>
      <x:c r="E675" s="12" t="str">
        <x:v>Archived FRED mirror (Hugging Face)</x:v>
      </x:c>
    </x:row>
    <x:row r="676" ht="18" customHeight="1">
      <x:c r="A676" s="13" t="n">
        <x:v>43521</x:v>
      </x:c>
      <x:c r="B676" s="12" t="n">
        <x:v>4</x:v>
      </x:c>
      <x:c r="C676" s="12" t="n">
        <x:v>400</x:v>
      </x:c>
      <x:c r="D676" s="12" t="n">
        <x:v>-5</x:v>
      </x:c>
      <x:c r="E676" s="12" t="str">
        <x:v>Archived FRED mirror (Hugging Face)</x:v>
      </x:c>
    </x:row>
    <x:row r="677" ht="18" customHeight="1">
      <x:c r="A677" s="13" t="n">
        <x:v>43522</x:v>
      </x:c>
      <x:c r="B677" s="12" t="n">
        <x:v>4.01</x:v>
      </x:c>
      <x:c r="C677" s="12" t="n">
        <x:v>401</x:v>
      </x:c>
      <x:c r="D677" s="12" t="n">
        <x:v>1</x:v>
      </x:c>
      <x:c r="E677" s="12" t="str">
        <x:v>Archived FRED mirror (Hugging Face)</x:v>
      </x:c>
    </x:row>
    <x:row r="678" ht="18" customHeight="1">
      <x:c r="A678" s="13" t="n">
        <x:v>43523</x:v>
      </x:c>
      <x:c r="B678" s="12" t="n">
        <x:v>3.94</x:v>
      </x:c>
      <x:c r="C678" s="12" t="n">
        <x:v>394</x:v>
      </x:c>
      <x:c r="D678" s="12" t="n">
        <x:v>-7</x:v>
      </x:c>
      <x:c r="E678" s="12" t="str">
        <x:v>Archived FRED mirror (Hugging Face)</x:v>
      </x:c>
    </x:row>
    <x:row r="679" ht="18" customHeight="1">
      <x:c r="A679" s="13" t="n">
        <x:v>43524</x:v>
      </x:c>
      <x:c r="B679" s="12" t="n">
        <x:v>3.92</x:v>
      </x:c>
      <x:c r="C679" s="12" t="n">
        <x:v>392</x:v>
      </x:c>
      <x:c r="D679" s="12" t="n">
        <x:v>-2</x:v>
      </x:c>
      <x:c r="E679" s="12" t="str">
        <x:v>Archived FRED mirror (Hugging Face)</x:v>
      </x:c>
    </x:row>
    <x:row r="680" ht="18" customHeight="1">
      <x:c r="A680" s="13" t="n">
        <x:v>43525</x:v>
      </x:c>
      <x:c r="B680" s="12" t="n">
        <x:v>3.86</x:v>
      </x:c>
      <x:c r="C680" s="12" t="n">
        <x:v>386</x:v>
      </x:c>
      <x:c r="D680" s="12" t="n">
        <x:v>-6</x:v>
      </x:c>
      <x:c r="E680" s="12" t="str">
        <x:v>Archived FRED mirror (Hugging Face)</x:v>
      </x:c>
    </x:row>
    <x:row r="681" ht="18" customHeight="1">
      <x:c r="A681" s="13" t="n">
        <x:v>43528</x:v>
      </x:c>
      <x:c r="B681" s="12" t="n">
        <x:v>3.9</x:v>
      </x:c>
      <x:c r="C681" s="12" t="n">
        <x:v>390</x:v>
      </x:c>
      <x:c r="D681" s="12" t="n">
        <x:v>4</x:v>
      </x:c>
      <x:c r="E681" s="12" t="str">
        <x:v>Archived FRED mirror (Hugging Face)</x:v>
      </x:c>
    </x:row>
    <x:row r="682" ht="18" customHeight="1">
      <x:c r="A682" s="13" t="n">
        <x:v>43529</x:v>
      </x:c>
      <x:c r="B682" s="12" t="n">
        <x:v>3.91</x:v>
      </x:c>
      <x:c r="C682" s="12" t="n">
        <x:v>391</x:v>
      </x:c>
      <x:c r="D682" s="12" t="n">
        <x:v>1</x:v>
      </x:c>
      <x:c r="E682" s="12" t="str">
        <x:v>Archived FRED mirror (Hugging Face)</x:v>
      </x:c>
    </x:row>
    <x:row r="683" ht="18" customHeight="1">
      <x:c r="A683" s="13" t="n">
        <x:v>43530</x:v>
      </x:c>
      <x:c r="B683" s="12" t="n">
        <x:v>3.98</x:v>
      </x:c>
      <x:c r="C683" s="12" t="n">
        <x:v>398</x:v>
      </x:c>
      <x:c r="D683" s="12" t="n">
        <x:v>7</x:v>
      </x:c>
      <x:c r="E683" s="12" t="str">
        <x:v>Archived FRED mirror (Hugging Face)</x:v>
      </x:c>
    </x:row>
    <x:row r="684" ht="18" customHeight="1">
      <x:c r="A684" s="13" t="n">
        <x:v>43531</x:v>
      </x:c>
      <x:c r="B684" s="12" t="n">
        <x:v>4.1</x:v>
      </x:c>
      <x:c r="C684" s="12" t="n">
        <x:v>409.99999999999994</x:v>
      </x:c>
      <x:c r="D684" s="12" t="n">
        <x:v>11.999999999999943</x:v>
      </x:c>
      <x:c r="E684" s="12" t="str">
        <x:v>Archived FRED mirror (Hugging Face)</x:v>
      </x:c>
    </x:row>
    <x:row r="685" ht="18" customHeight="1">
      <x:c r="A685" s="13" t="n">
        <x:v>43532</x:v>
      </x:c>
      <x:c r="B685" s="12" t="n">
        <x:v>4.18</x:v>
      </x:c>
      <x:c r="C685" s="12" t="n">
        <x:v>418</x:v>
      </x:c>
      <x:c r="D685" s="12" t="n">
        <x:v>8.000000000000057</x:v>
      </x:c>
      <x:c r="E685" s="12" t="str">
        <x:v>Archived FRED mirror (Hugging Face)</x:v>
      </x:c>
    </x:row>
    <x:row r="686" ht="18" customHeight="1">
      <x:c r="A686" s="13" t="n">
        <x:v>43535</x:v>
      </x:c>
      <x:c r="B686" s="12" t="n">
        <x:v>4.12</x:v>
      </x:c>
      <x:c r="C686" s="12" t="n">
        <x:v>412</x:v>
      </x:c>
      <x:c r="D686" s="12" t="n">
        <x:v>-6</x:v>
      </x:c>
      <x:c r="E686" s="12" t="str">
        <x:v>Archived FRED mirror (Hugging Face)</x:v>
      </x:c>
    </x:row>
    <x:row r="687" ht="18" customHeight="1">
      <x:c r="A687" s="13" t="n">
        <x:v>43536</x:v>
      </x:c>
      <x:c r="B687" s="12" t="n">
        <x:v>4.08</x:v>
      </x:c>
      <x:c r="C687" s="12" t="n">
        <x:v>408</x:v>
      </x:c>
      <x:c r="D687" s="12" t="n">
        <x:v>-4</x:v>
      </x:c>
      <x:c r="E687" s="12" t="str">
        <x:v>Archived FRED mirror (Hugging Face)</x:v>
      </x:c>
    </x:row>
    <x:row r="688" ht="18" customHeight="1">
      <x:c r="A688" s="13" t="n">
        <x:v>43537</x:v>
      </x:c>
      <x:c r="B688" s="12" t="n">
        <x:v>3.99</x:v>
      </x:c>
      <x:c r="C688" s="12" t="n">
        <x:v>399</x:v>
      </x:c>
      <x:c r="D688" s="12" t="n">
        <x:v>-9</x:v>
      </x:c>
      <x:c r="E688" s="12" t="str">
        <x:v>Archived FRED mirror (Hugging Face)</x:v>
      </x:c>
    </x:row>
    <x:row r="689" ht="18" customHeight="1">
      <x:c r="A689" s="13" t="n">
        <x:v>43538</x:v>
      </x:c>
      <x:c r="B689" s="12" t="n">
        <x:v>3.95</x:v>
      </x:c>
      <x:c r="C689" s="12" t="n">
        <x:v>395</x:v>
      </x:c>
      <x:c r="D689" s="12" t="n">
        <x:v>-4</x:v>
      </x:c>
      <x:c r="E689" s="12" t="str">
        <x:v>Archived FRED mirror (Hugging Face)</x:v>
      </x:c>
    </x:row>
    <x:row r="690" ht="18" customHeight="1">
      <x:c r="A690" s="13" t="n">
        <x:v>43539</x:v>
      </x:c>
      <x:c r="B690" s="12" t="n">
        <x:v>3.95</x:v>
      </x:c>
      <x:c r="C690" s="12" t="n">
        <x:v>395</x:v>
      </x:c>
      <x:c r="D690" s="12" t="n">
        <x:v>0</x:v>
      </x:c>
      <x:c r="E690" s="12" t="str">
        <x:v>Archived FRED mirror (Hugging Face)</x:v>
      </x:c>
    </x:row>
    <x:row r="691" ht="18" customHeight="1">
      <x:c r="A691" s="13" t="n">
        <x:v>43542</x:v>
      </x:c>
      <x:c r="B691" s="12" t="n">
        <x:v>3.95</x:v>
      </x:c>
      <x:c r="C691" s="12" t="n">
        <x:v>395</x:v>
      </x:c>
      <x:c r="D691" s="12" t="n">
        <x:v>0</x:v>
      </x:c>
      <x:c r="E691" s="12" t="str">
        <x:v>Archived FRED mirror (Hugging Face)</x:v>
      </x:c>
    </x:row>
    <x:row r="692" ht="18" customHeight="1">
      <x:c r="A692" s="13" t="n">
        <x:v>43543</x:v>
      </x:c>
      <x:c r="B692" s="12" t="n">
        <x:v>3.91</x:v>
      </x:c>
      <x:c r="C692" s="12" t="n">
        <x:v>391</x:v>
      </x:c>
      <x:c r="D692" s="12" t="n">
        <x:v>-4</x:v>
      </x:c>
      <x:c r="E692" s="12" t="str">
        <x:v>Archived FRED mirror (Hugging Face)</x:v>
      </x:c>
    </x:row>
    <x:row r="693" ht="18" customHeight="1">
      <x:c r="A693" s="13" t="n">
        <x:v>43544</x:v>
      </x:c>
      <x:c r="B693" s="12" t="n">
        <x:v>3.97</x:v>
      </x:c>
      <x:c r="C693" s="12" t="n">
        <x:v>397</x:v>
      </x:c>
      <x:c r="D693" s="12" t="n">
        <x:v>6</x:v>
      </x:c>
      <x:c r="E693" s="12" t="str">
        <x:v>Archived FRED mirror (Hugging Face)</x:v>
      </x:c>
    </x:row>
    <x:row r="694" ht="18" customHeight="1">
      <x:c r="A694" s="13" t="n">
        <x:v>43545</x:v>
      </x:c>
      <x:c r="B694" s="12" t="n">
        <x:v>3.92</x:v>
      </x:c>
      <x:c r="C694" s="12" t="n">
        <x:v>392</x:v>
      </x:c>
      <x:c r="D694" s="12" t="n">
        <x:v>-5</x:v>
      </x:c>
      <x:c r="E694" s="12" t="str">
        <x:v>Archived FRED mirror (Hugging Face)</x:v>
      </x:c>
    </x:row>
    <x:row r="695" ht="18" customHeight="1">
      <x:c r="A695" s="13" t="n">
        <x:v>43546</x:v>
      </x:c>
      <x:c r="B695" s="12" t="n">
        <x:v>4.03</x:v>
      </x:c>
      <x:c r="C695" s="12" t="n">
        <x:v>403</x:v>
      </x:c>
      <x:c r="D695" s="12" t="n">
        <x:v>11</x:v>
      </x:c>
      <x:c r="E695" s="12" t="str">
        <x:v>Archived FRED mirror (Hugging Face)</x:v>
      </x:c>
    </x:row>
    <x:row r="696" ht="18" customHeight="1">
      <x:c r="A696" s="13" t="n">
        <x:v>43549</x:v>
      </x:c>
      <x:c r="B696" s="12" t="n">
        <x:v>4.13</x:v>
      </x:c>
      <x:c r="C696" s="12" t="n">
        <x:v>413</x:v>
      </x:c>
      <x:c r="D696" s="12" t="n">
        <x:v>10</x:v>
      </x:c>
      <x:c r="E696" s="12" t="str">
        <x:v>Archived FRED mirror (Hugging Face)</x:v>
      </x:c>
    </x:row>
    <x:row r="697" ht="18" customHeight="1">
      <x:c r="A697" s="13" t="n">
        <x:v>43550</x:v>
      </x:c>
      <x:c r="B697" s="12" t="n">
        <x:v>4.09</x:v>
      </x:c>
      <x:c r="C697" s="12" t="n">
        <x:v>409</x:v>
      </x:c>
      <x:c r="D697" s="12" t="n">
        <x:v>-4</x:v>
      </x:c>
      <x:c r="E697" s="12" t="str">
        <x:v>Archived FRED mirror (Hugging Face)</x:v>
      </x:c>
    </x:row>
    <x:row r="698" ht="18" customHeight="1">
      <x:c r="A698" s="13" t="n">
        <x:v>43551</x:v>
      </x:c>
      <x:c r="B698" s="12" t="n">
        <x:v>4.09</x:v>
      </x:c>
      <x:c r="C698" s="12" t="n">
        <x:v>409</x:v>
      </x:c>
      <x:c r="D698" s="12" t="n">
        <x:v>0</x:v>
      </x:c>
      <x:c r="E698" s="12" t="str">
        <x:v>Archived FRED mirror (Hugging Face)</x:v>
      </x:c>
    </x:row>
    <x:row r="699" ht="18" customHeight="1">
      <x:c r="A699" s="13" t="n">
        <x:v>43552</x:v>
      </x:c>
      <x:c r="B699" s="12" t="n">
        <x:v>4.08</x:v>
      </x:c>
      <x:c r="C699" s="12" t="n">
        <x:v>408</x:v>
      </x:c>
      <x:c r="D699" s="12" t="n">
        <x:v>-1</x:v>
      </x:c>
      <x:c r="E699" s="12" t="str">
        <x:v>Archived FRED mirror (Hugging Face)</x:v>
      </x:c>
    </x:row>
    <x:row r="700" ht="18" customHeight="1">
      <x:c r="A700" s="13" t="n">
        <x:v>43553</x:v>
      </x:c>
      <x:c r="B700" s="12" t="n">
        <x:v>3.99</x:v>
      </x:c>
      <x:c r="C700" s="12" t="n">
        <x:v>399</x:v>
      </x:c>
      <x:c r="D700" s="12" t="n">
        <x:v>-9</x:v>
      </x:c>
      <x:c r="E700" s="12" t="str">
        <x:v>Archived FRED mirror (Hugging Face)</x:v>
      </x:c>
    </x:row>
    <x:row r="701" ht="18" customHeight="1">
      <x:c r="A701" s="13" t="n">
        <x:v>43555</x:v>
      </x:c>
      <x:c r="B701" s="12" t="n">
        <x:v>4.05</x:v>
      </x:c>
      <x:c r="C701" s="12" t="n">
        <x:v>405</x:v>
      </x:c>
      <x:c r="D701" s="12" t="n">
        <x:v>6</x:v>
      </x:c>
      <x:c r="E701" s="12" t="str">
        <x:v>Archived FRED mirror (Hugging Face)</x:v>
      </x:c>
    </x:row>
    <x:row r="702" ht="18" customHeight="1">
      <x:c r="A702" s="13" t="n">
        <x:v>43556</x:v>
      </x:c>
      <x:c r="B702" s="12" t="n">
        <x:v>3.94</x:v>
      </x:c>
      <x:c r="C702" s="12" t="n">
        <x:v>394</x:v>
      </x:c>
      <x:c r="D702" s="12" t="n">
        <x:v>-11</x:v>
      </x:c>
      <x:c r="E702" s="12" t="str">
        <x:v>Archived FRED mirror (Hugging Face)</x:v>
      </x:c>
    </x:row>
    <x:row r="703" ht="18" customHeight="1">
      <x:c r="A703" s="13" t="n">
        <x:v>43557</x:v>
      </x:c>
      <x:c r="B703" s="12" t="n">
        <x:v>3.95</x:v>
      </x:c>
      <x:c r="C703" s="12" t="n">
        <x:v>395</x:v>
      </x:c>
      <x:c r="D703" s="12" t="n">
        <x:v>1</x:v>
      </x:c>
      <x:c r="E703" s="12" t="str">
        <x:v>Archived FRED mirror (Hugging Face)</x:v>
      </x:c>
    </x:row>
    <x:row r="704" ht="18" customHeight="1">
      <x:c r="A704" s="13" t="n">
        <x:v>43558</x:v>
      </x:c>
      <x:c r="B704" s="12" t="n">
        <x:v>3.9</x:v>
      </x:c>
      <x:c r="C704" s="12" t="n">
        <x:v>390</x:v>
      </x:c>
      <x:c r="D704" s="12" t="n">
        <x:v>-5</x:v>
      </x:c>
      <x:c r="E704" s="12" t="str">
        <x:v>Archived FRED mirror (Hugging Face)</x:v>
      </x:c>
    </x:row>
    <x:row r="705" ht="18" customHeight="1">
      <x:c r="A705" s="13" t="n">
        <x:v>43559</x:v>
      </x:c>
      <x:c r="B705" s="12" t="n">
        <x:v>3.9</x:v>
      </x:c>
      <x:c r="C705" s="12" t="n">
        <x:v>390</x:v>
      </x:c>
      <x:c r="D705" s="12" t="n">
        <x:v>0</x:v>
      </x:c>
      <x:c r="E705" s="12" t="str">
        <x:v>Archived FRED mirror (Hugging Face)</x:v>
      </x:c>
    </x:row>
    <x:row r="706" ht="18" customHeight="1">
      <x:c r="A706" s="13" t="n">
        <x:v>43560</x:v>
      </x:c>
      <x:c r="B706" s="12" t="n">
        <x:v>3.86</x:v>
      </x:c>
      <x:c r="C706" s="12" t="n">
        <x:v>386</x:v>
      </x:c>
      <x:c r="D706" s="12" t="n">
        <x:v>-4</x:v>
      </x:c>
      <x:c r="E706" s="12" t="str">
        <x:v>Archived FRED mirror (Hugging Face)</x:v>
      </x:c>
    </x:row>
    <x:row r="707" ht="18" customHeight="1">
      <x:c r="A707" s="13" t="n">
        <x:v>43563</x:v>
      </x:c>
      <x:c r="B707" s="12" t="n">
        <x:v>3.84</x:v>
      </x:c>
      <x:c r="C707" s="12" t="n">
        <x:v>384</x:v>
      </x:c>
      <x:c r="D707" s="12" t="n">
        <x:v>-2</x:v>
      </x:c>
      <x:c r="E707" s="12" t="str">
        <x:v>Archived FRED mirror (Hugging Face)</x:v>
      </x:c>
    </x:row>
    <x:row r="708" ht="18" customHeight="1">
      <x:c r="A708" s="13" t="n">
        <x:v>43564</x:v>
      </x:c>
      <x:c r="B708" s="12" t="n">
        <x:v>3.86</x:v>
      </x:c>
      <x:c r="C708" s="12" t="n">
        <x:v>386</x:v>
      </x:c>
      <x:c r="D708" s="12" t="n">
        <x:v>2</x:v>
      </x:c>
      <x:c r="E708" s="12" t="str">
        <x:v>Archived FRED mirror (Hugging Face)</x:v>
      </x:c>
    </x:row>
    <x:row r="709" ht="18" customHeight="1">
      <x:c r="A709" s="13" t="n">
        <x:v>43565</x:v>
      </x:c>
      <x:c r="B709" s="12" t="n">
        <x:v>3.86</x:v>
      </x:c>
      <x:c r="C709" s="12" t="n">
        <x:v>386</x:v>
      </x:c>
      <x:c r="D709" s="12" t="n">
        <x:v>0</x:v>
      </x:c>
      <x:c r="E709" s="12" t="str">
        <x:v>Archived FRED mirror (Hugging Face)</x:v>
      </x:c>
    </x:row>
    <x:row r="710" ht="18" customHeight="1">
      <x:c r="A710" s="13" t="n">
        <x:v>43566</x:v>
      </x:c>
      <x:c r="B710" s="12" t="n">
        <x:v>3.79</x:v>
      </x:c>
      <x:c r="C710" s="12" t="n">
        <x:v>379</x:v>
      </x:c>
      <x:c r="D710" s="12" t="n">
        <x:v>-7</x:v>
      </x:c>
      <x:c r="E710" s="12" t="str">
        <x:v>Archived FRED mirror (Hugging Face)</x:v>
      </x:c>
    </x:row>
    <x:row r="711" ht="18" customHeight="1">
      <x:c r="A711" s="13" t="n">
        <x:v>43567</x:v>
      </x:c>
      <x:c r="B711" s="12" t="n">
        <x:v>3.68</x:v>
      </x:c>
      <x:c r="C711" s="12" t="n">
        <x:v>368</x:v>
      </x:c>
      <x:c r="D711" s="12" t="n">
        <x:v>-11</x:v>
      </x:c>
      <x:c r="E711" s="12" t="str">
        <x:v>Archived FRED mirror (Hugging Face)</x:v>
      </x:c>
    </x:row>
    <x:row r="712" ht="18" customHeight="1">
      <x:c r="A712" s="13" t="n">
        <x:v>43570</x:v>
      </x:c>
      <x:c r="B712" s="12" t="n">
        <x:v>3.68</x:v>
      </x:c>
      <x:c r="C712" s="12" t="n">
        <x:v>368</x:v>
      </x:c>
      <x:c r="D712" s="12" t="n">
        <x:v>0</x:v>
      </x:c>
      <x:c r="E712" s="12" t="str">
        <x:v>Archived FRED mirror (Hugging Face)</x:v>
      </x:c>
    </x:row>
    <x:row r="713" ht="18" customHeight="1">
      <x:c r="A713" s="13" t="n">
        <x:v>43571</x:v>
      </x:c>
      <x:c r="B713" s="12" t="n">
        <x:v>3.64</x:v>
      </x:c>
      <x:c r="C713" s="12" t="n">
        <x:v>364</x:v>
      </x:c>
      <x:c r="D713" s="12" t="n">
        <x:v>-4</x:v>
      </x:c>
      <x:c r="E713" s="12" t="str">
        <x:v>Archived FRED mirror (Hugging Face)</x:v>
      </x:c>
    </x:row>
    <x:row r="714" ht="18" customHeight="1">
      <x:c r="A714" s="13" t="n">
        <x:v>43572</x:v>
      </x:c>
      <x:c r="B714" s="12" t="n">
        <x:v>3.67</x:v>
      </x:c>
      <x:c r="C714" s="12" t="n">
        <x:v>367</x:v>
      </x:c>
      <x:c r="D714" s="12" t="n">
        <x:v>3</x:v>
      </x:c>
      <x:c r="E714" s="12" t="str">
        <x:v>Archived FRED mirror (Hugging Face)</x:v>
      </x:c>
    </x:row>
    <x:row r="715" ht="18" customHeight="1">
      <x:c r="A715" s="13" t="n">
        <x:v>43573</x:v>
      </x:c>
      <x:c r="B715" s="12" t="n">
        <x:v>3.73</x:v>
      </x:c>
      <x:c r="C715" s="12" t="n">
        <x:v>373</x:v>
      </x:c>
      <x:c r="D715" s="12" t="n">
        <x:v>6</x:v>
      </x:c>
      <x:c r="E715" s="12" t="str">
        <x:v>Archived FRED mirror (Hugging Face)</x:v>
      </x:c>
    </x:row>
    <x:row r="716" ht="18" customHeight="1">
      <x:c r="A716" s="13" t="n">
        <x:v>43577</x:v>
      </x:c>
      <x:c r="B716" s="12" t="n">
        <x:v>3.73</x:v>
      </x:c>
      <x:c r="C716" s="12" t="n">
        <x:v>373</x:v>
      </x:c>
      <x:c r="D716" s="12" t="n">
        <x:v>0</x:v>
      </x:c>
      <x:c r="E716" s="12" t="str">
        <x:v>Archived FRED mirror (Hugging Face)</x:v>
      </x:c>
    </x:row>
    <x:row r="717" ht="18" customHeight="1">
      <x:c r="A717" s="13" t="n">
        <x:v>43578</x:v>
      </x:c>
      <x:c r="B717" s="12" t="n">
        <x:v>3.72</x:v>
      </x:c>
      <x:c r="C717" s="12" t="n">
        <x:v>372</x:v>
      </x:c>
      <x:c r="D717" s="12" t="n">
        <x:v>-1</x:v>
      </x:c>
      <x:c r="E717" s="12" t="str">
        <x:v>Archived FRED mirror (Hugging Face)</x:v>
      </x:c>
    </x:row>
    <x:row r="718" ht="18" customHeight="1">
      <x:c r="A718" s="13" t="n">
        <x:v>43579</x:v>
      </x:c>
      <x:c r="B718" s="12" t="n">
        <x:v>3.73</x:v>
      </x:c>
      <x:c r="C718" s="12" t="n">
        <x:v>373</x:v>
      </x:c>
      <x:c r="D718" s="12" t="n">
        <x:v>1</x:v>
      </x:c>
      <x:c r="E718" s="12" t="str">
        <x:v>Archived FRED mirror (Hugging Face)</x:v>
      </x:c>
    </x:row>
    <x:row r="719" ht="18" customHeight="1">
      <x:c r="A719" s="13" t="n">
        <x:v>43580</x:v>
      </x:c>
      <x:c r="B719" s="12" t="n">
        <x:v>3.75</x:v>
      </x:c>
      <x:c r="C719" s="12" t="n">
        <x:v>375</x:v>
      </x:c>
      <x:c r="D719" s="12" t="n">
        <x:v>2</x:v>
      </x:c>
      <x:c r="E719" s="12" t="str">
        <x:v>Archived FRED mirror (Hugging Face)</x:v>
      </x:c>
    </x:row>
    <x:row r="720" ht="18" customHeight="1">
      <x:c r="A720" s="13" t="n">
        <x:v>43581</x:v>
      </x:c>
      <x:c r="B720" s="12" t="n">
        <x:v>3.76</x:v>
      </x:c>
      <x:c r="C720" s="12" t="n">
        <x:v>376</x:v>
      </x:c>
      <x:c r="D720" s="12" t="n">
        <x:v>1</x:v>
      </x:c>
      <x:c r="E720" s="12" t="str">
        <x:v>Archived FRED mirror (Hugging Face)</x:v>
      </x:c>
    </x:row>
    <x:row r="721" ht="18" customHeight="1">
      <x:c r="A721" s="13" t="n">
        <x:v>43584</x:v>
      </x:c>
      <x:c r="B721" s="12" t="n">
        <x:v>3.73</x:v>
      </x:c>
      <x:c r="C721" s="12" t="n">
        <x:v>373</x:v>
      </x:c>
      <x:c r="D721" s="12" t="n">
        <x:v>-3</x:v>
      </x:c>
      <x:c r="E721" s="12" t="str">
        <x:v>Archived FRED mirror (Hugging Face)</x:v>
      </x:c>
    </x:row>
    <x:row r="722" ht="18" customHeight="1">
      <x:c r="A722" s="13" t="n">
        <x:v>43585</x:v>
      </x:c>
      <x:c r="B722" s="12" t="n">
        <x:v>3.73</x:v>
      </x:c>
      <x:c r="C722" s="12" t="n">
        <x:v>373</x:v>
      </x:c>
      <x:c r="D722" s="12" t="n">
        <x:v>0</x:v>
      </x:c>
      <x:c r="E722" s="12" t="str">
        <x:v>Archived FRED mirror (Hugging Face)</x:v>
      </x:c>
    </x:row>
    <x:row r="723" ht="18" customHeight="1">
      <x:c r="A723" s="13" t="n">
        <x:v>43586</x:v>
      </x:c>
      <x:c r="B723" s="12" t="n">
        <x:v>3.71</x:v>
      </x:c>
      <x:c r="C723" s="12" t="n">
        <x:v>371</x:v>
      </x:c>
      <x:c r="D723" s="12" t="n">
        <x:v>-2</x:v>
      </x:c>
      <x:c r="E723" s="12" t="str">
        <x:v>Archived FRED mirror (Hugging Face)</x:v>
      </x:c>
    </x:row>
    <x:row r="724" ht="18" customHeight="1">
      <x:c r="A724" s="13" t="n">
        <x:v>43587</x:v>
      </x:c>
      <x:c r="B724" s="12" t="n">
        <x:v>3.74</x:v>
      </x:c>
      <x:c r="C724" s="12" t="n">
        <x:v>374</x:v>
      </x:c>
      <x:c r="D724" s="12" t="n">
        <x:v>3</x:v>
      </x:c>
      <x:c r="E724" s="12" t="str">
        <x:v>Archived FRED mirror (Hugging Face)</x:v>
      </x:c>
    </x:row>
    <x:row r="725" ht="18" customHeight="1">
      <x:c r="A725" s="13" t="n">
        <x:v>43588</x:v>
      </x:c>
      <x:c r="B725" s="12" t="n">
        <x:v>3.72</x:v>
      </x:c>
      <x:c r="C725" s="12" t="n">
        <x:v>372</x:v>
      </x:c>
      <x:c r="D725" s="12" t="n">
        <x:v>-2</x:v>
      </x:c>
      <x:c r="E725" s="12" t="str">
        <x:v>Archived FRED mirror (Hugging Face)</x:v>
      </x:c>
    </x:row>
    <x:row r="726" ht="18" customHeight="1">
      <x:c r="A726" s="13" t="n">
        <x:v>43591</x:v>
      </x:c>
      <x:c r="B726" s="12" t="n">
        <x:v>3.82</x:v>
      </x:c>
      <x:c r="C726" s="12" t="n">
        <x:v>382</x:v>
      </x:c>
      <x:c r="D726" s="12" t="n">
        <x:v>10</x:v>
      </x:c>
      <x:c r="E726" s="12" t="str">
        <x:v>Archived FRED mirror (Hugging Face)</x:v>
      </x:c>
    </x:row>
    <x:row r="727" ht="18" customHeight="1">
      <x:c r="A727" s="13" t="n">
        <x:v>43592</x:v>
      </x:c>
      <x:c r="B727" s="12" t="n">
        <x:v>3.89</x:v>
      </x:c>
      <x:c r="C727" s="12" t="n">
        <x:v>389</x:v>
      </x:c>
      <x:c r="D727" s="12" t="n">
        <x:v>7</x:v>
      </x:c>
      <x:c r="E727" s="12" t="str">
        <x:v>Archived FRED mirror (Hugging Face)</x:v>
      </x:c>
    </x:row>
    <x:row r="728" ht="18" customHeight="1">
      <x:c r="A728" s="13" t="n">
        <x:v>43593</x:v>
      </x:c>
      <x:c r="B728" s="12" t="n">
        <x:v>3.87</x:v>
      </x:c>
      <x:c r="C728" s="12" t="n">
        <x:v>387</x:v>
      </x:c>
      <x:c r="D728" s="12" t="n">
        <x:v>-2</x:v>
      </x:c>
      <x:c r="E728" s="12" t="str">
        <x:v>Archived FRED mirror (Hugging Face)</x:v>
      </x:c>
    </x:row>
    <x:row r="729" ht="18" customHeight="1">
      <x:c r="A729" s="13" t="n">
        <x:v>43594</x:v>
      </x:c>
      <x:c r="B729" s="12" t="n">
        <x:v>3.99</x:v>
      </x:c>
      <x:c r="C729" s="12" t="n">
        <x:v>399</x:v>
      </x:c>
      <x:c r="D729" s="12" t="n">
        <x:v>12</x:v>
      </x:c>
      <x:c r="E729" s="12" t="str">
        <x:v>Archived FRED mirror (Hugging Face)</x:v>
      </x:c>
    </x:row>
    <x:row r="730" ht="18" customHeight="1">
      <x:c r="A730" s="13" t="n">
        <x:v>43595</x:v>
      </x:c>
      <x:c r="B730" s="12" t="n">
        <x:v>4.01</x:v>
      </x:c>
      <x:c r="C730" s="12" t="n">
        <x:v>401</x:v>
      </x:c>
      <x:c r="D730" s="12" t="n">
        <x:v>2</x:v>
      </x:c>
      <x:c r="E730" s="12" t="str">
        <x:v>Archived FRED mirror (Hugging Face)</x:v>
      </x:c>
    </x:row>
    <x:row r="731" ht="18" customHeight="1">
      <x:c r="A731" s="13" t="n">
        <x:v>43598</x:v>
      </x:c>
      <x:c r="B731" s="12" t="n">
        <x:v>4.2</x:v>
      </x:c>
      <x:c r="C731" s="12" t="n">
        <x:v>420</x:v>
      </x:c>
      <x:c r="D731" s="12" t="n">
        <x:v>19</x:v>
      </x:c>
      <x:c r="E731" s="12" t="str">
        <x:v>Archived FRED mirror (Hugging Face)</x:v>
      </x:c>
    </x:row>
    <x:row r="732" ht="18" customHeight="1">
      <x:c r="A732" s="13" t="n">
        <x:v>43599</x:v>
      </x:c>
      <x:c r="B732" s="12" t="n">
        <x:v>4.13</x:v>
      </x:c>
      <x:c r="C732" s="12" t="n">
        <x:v>413</x:v>
      </x:c>
      <x:c r="D732" s="12" t="n">
        <x:v>-7</x:v>
      </x:c>
      <x:c r="E732" s="12" t="str">
        <x:v>Archived FRED mirror (Hugging Face)</x:v>
      </x:c>
    </x:row>
    <x:row r="733" ht="18" customHeight="1">
      <x:c r="A733" s="13" t="n">
        <x:v>43600</x:v>
      </x:c>
      <x:c r="B733" s="12" t="n">
        <x:v>4.17</x:v>
      </x:c>
      <x:c r="C733" s="12" t="n">
        <x:v>417</x:v>
      </x:c>
      <x:c r="D733" s="12" t="n">
        <x:v>4</x:v>
      </x:c>
      <x:c r="E733" s="12" t="str">
        <x:v>Archived FRED mirror (Hugging Face)</x:v>
      </x:c>
    </x:row>
    <x:row r="734" ht="18" customHeight="1">
      <x:c r="A734" s="13" t="n">
        <x:v>43601</x:v>
      </x:c>
      <x:c r="B734" s="12" t="n">
        <x:v>4.06</x:v>
      </x:c>
      <x:c r="C734" s="12" t="n">
        <x:v>405.99999999999994</x:v>
      </x:c>
      <x:c r="D734" s="12" t="n">
        <x:v>-11.000000000000057</x:v>
      </x:c>
      <x:c r="E734" s="12" t="str">
        <x:v>Archived FRED mirror (Hugging Face)</x:v>
      </x:c>
    </x:row>
    <x:row r="735" ht="18" customHeight="1">
      <x:c r="A735" s="13" t="n">
        <x:v>43602</x:v>
      </x:c>
      <x:c r="B735" s="12" t="n">
        <x:v>4.07</x:v>
      </x:c>
      <x:c r="C735" s="12" t="n">
        <x:v>407</x:v>
      </x:c>
      <x:c r="D735" s="12" t="n">
        <x:v>1.0000000000000568</x:v>
      </x:c>
      <x:c r="E735" s="12" t="str">
        <x:v>Archived FRED mirror (Hugging Face)</x:v>
      </x:c>
    </x:row>
    <x:row r="736" ht="18" customHeight="1">
      <x:c r="A736" s="13" t="n">
        <x:v>43605</x:v>
      </x:c>
      <x:c r="B736" s="12" t="n">
        <x:v>4.06</x:v>
      </x:c>
      <x:c r="C736" s="12" t="n">
        <x:v>405.99999999999994</x:v>
      </x:c>
      <x:c r="D736" s="12" t="n">
        <x:v>-1.0000000000000568</x:v>
      </x:c>
      <x:c r="E736" s="12" t="str">
        <x:v>Archived FRED mirror (Hugging Face)</x:v>
      </x:c>
    </x:row>
    <x:row r="737" ht="18" customHeight="1">
      <x:c r="A737" s="13" t="n">
        <x:v>43606</x:v>
      </x:c>
      <x:c r="B737" s="12" t="n">
        <x:v>3.99</x:v>
      </x:c>
      <x:c r="C737" s="12" t="n">
        <x:v>399</x:v>
      </x:c>
      <x:c r="D737" s="12" t="n">
        <x:v>-6.999999999999943</x:v>
      </x:c>
      <x:c r="E737" s="12" t="str">
        <x:v>Archived FRED mirror (Hugging Face)</x:v>
      </x:c>
    </x:row>
    <x:row r="738" ht="18" customHeight="1">
      <x:c r="A738" s="13" t="n">
        <x:v>43607</x:v>
      </x:c>
      <x:c r="B738" s="12" t="n">
        <x:v>4.03</x:v>
      </x:c>
      <x:c r="C738" s="12" t="n">
        <x:v>403</x:v>
      </x:c>
      <x:c r="D738" s="12" t="n">
        <x:v>4</x:v>
      </x:c>
      <x:c r="E738" s="12" t="str">
        <x:v>Archived FRED mirror (Hugging Face)</x:v>
      </x:c>
    </x:row>
    <x:row r="739" ht="18" customHeight="1">
      <x:c r="A739" s="13" t="n">
        <x:v>43608</x:v>
      </x:c>
      <x:c r="B739" s="12" t="n">
        <x:v>4.22</x:v>
      </x:c>
      <x:c r="C739" s="12" t="n">
        <x:v>422</x:v>
      </x:c>
      <x:c r="D739" s="12" t="n">
        <x:v>19</x:v>
      </x:c>
      <x:c r="E739" s="12" t="str">
        <x:v>Archived FRED mirror (Hugging Face)</x:v>
      </x:c>
    </x:row>
    <x:row r="740" ht="18" customHeight="1">
      <x:c r="A740" s="13" t="n">
        <x:v>43609</x:v>
      </x:c>
      <x:c r="B740" s="12" t="n">
        <x:v>4.16</x:v>
      </x:c>
      <x:c r="C740" s="12" t="n">
        <x:v>416</x:v>
      </x:c>
      <x:c r="D740" s="12" t="n">
        <x:v>-6</x:v>
      </x:c>
      <x:c r="E740" s="12" t="str">
        <x:v>Archived FRED mirror (Hugging Face)</x:v>
      </x:c>
    </x:row>
    <x:row r="741" ht="18" customHeight="1">
      <x:c r="A741" s="13" t="n">
        <x:v>43612</x:v>
      </x:c>
      <x:c r="B741" s="12" t="n">
        <x:v>4.16</x:v>
      </x:c>
      <x:c r="C741" s="12" t="n">
        <x:v>416</x:v>
      </x:c>
      <x:c r="D741" s="12" t="n">
        <x:v>0</x:v>
      </x:c>
      <x:c r="E741" s="12" t="str">
        <x:v>Archived FRED mirror (Hugging Face)</x:v>
      </x:c>
    </x:row>
    <x:row r="742" ht="18" customHeight="1">
      <x:c r="A742" s="13" t="n">
        <x:v>43613</x:v>
      </x:c>
      <x:c r="B742" s="12" t="n">
        <x:v>4.19</x:v>
      </x:c>
      <x:c r="C742" s="12" t="n">
        <x:v>419.00000000000006</x:v>
      </x:c>
      <x:c r="D742" s="12" t="n">
        <x:v>3.000000000000057</x:v>
      </x:c>
      <x:c r="E742" s="12" t="str">
        <x:v>Archived FRED mirror (Hugging Face)</x:v>
      </x:c>
    </x:row>
    <x:row r="743" ht="18" customHeight="1">
      <x:c r="A743" s="13" t="n">
        <x:v>43614</x:v>
      </x:c>
      <x:c r="B743" s="12" t="n">
        <x:v>4.36</x:v>
      </x:c>
      <x:c r="C743" s="12" t="n">
        <x:v>436.00000000000006</x:v>
      </x:c>
      <x:c r="D743" s="12" t="n">
        <x:v>17</x:v>
      </x:c>
      <x:c r="E743" s="12" t="str">
        <x:v>Archived FRED mirror (Hugging Face)</x:v>
      </x:c>
    </x:row>
    <x:row r="744" ht="18" customHeight="1">
      <x:c r="A744" s="13" t="n">
        <x:v>43615</x:v>
      </x:c>
      <x:c r="B744" s="12" t="n">
        <x:v>4.33</x:v>
      </x:c>
      <x:c r="C744" s="12" t="n">
        <x:v>433</x:v>
      </x:c>
      <x:c r="D744" s="12" t="n">
        <x:v>-3.000000000000057</x:v>
      </x:c>
      <x:c r="E744" s="12" t="str">
        <x:v>Archived FRED mirror (Hugging Face)</x:v>
      </x:c>
    </x:row>
    <x:row r="745" ht="18" customHeight="1">
      <x:c r="A745" s="13" t="n">
        <x:v>43616</x:v>
      </x:c>
      <x:c r="B745" s="12" t="n">
        <x:v>4.59</x:v>
      </x:c>
      <x:c r="C745" s="12" t="n">
        <x:v>459</x:v>
      </x:c>
      <x:c r="D745" s="12" t="n">
        <x:v>26</x:v>
      </x:c>
      <x:c r="E745" s="12" t="str">
        <x:v>Archived FRED mirror (Hugging Face)</x:v>
      </x:c>
    </x:row>
    <x:row r="746" ht="18" customHeight="1">
      <x:c r="A746" s="13" t="n">
        <x:v>43619</x:v>
      </x:c>
      <x:c r="B746" s="12" t="n">
        <x:v>4.7</x:v>
      </x:c>
      <x:c r="C746" s="12" t="n">
        <x:v>470</x:v>
      </x:c>
      <x:c r="D746" s="12" t="n">
        <x:v>11</x:v>
      </x:c>
      <x:c r="E746" s="12" t="str">
        <x:v>Archived FRED mirror (Hugging Face)</x:v>
      </x:c>
    </x:row>
    <x:row r="747" ht="18" customHeight="1">
      <x:c r="A747" s="13" t="n">
        <x:v>43620</x:v>
      </x:c>
      <x:c r="B747" s="12" t="n">
        <x:v>4.53</x:v>
      </x:c>
      <x:c r="C747" s="12" t="n">
        <x:v>453</x:v>
      </x:c>
      <x:c r="D747" s="12" t="n">
        <x:v>-17</x:v>
      </x:c>
      <x:c r="E747" s="12" t="str">
        <x:v>Archived FRED mirror (Hugging Face)</x:v>
      </x:c>
    </x:row>
    <x:row r="748" ht="18" customHeight="1">
      <x:c r="A748" s="13" t="n">
        <x:v>43621</x:v>
      </x:c>
      <x:c r="B748" s="12" t="n">
        <x:v>4.48</x:v>
      </x:c>
      <x:c r="C748" s="12" t="n">
        <x:v>448.00000000000006</x:v>
      </x:c>
      <x:c r="D748" s="12" t="n">
        <x:v>-4.999999999999943</x:v>
      </x:c>
      <x:c r="E748" s="12" t="str">
        <x:v>Archived FRED mirror (Hugging Face)</x:v>
      </x:c>
    </x:row>
    <x:row r="749" ht="18" customHeight="1">
      <x:c r="A749" s="13" t="n">
        <x:v>43622</x:v>
      </x:c>
      <x:c r="B749" s="12" t="n">
        <x:v>4.42</x:v>
      </x:c>
      <x:c r="C749" s="12" t="n">
        <x:v>442</x:v>
      </x:c>
      <x:c r="D749" s="12" t="n">
        <x:v>-6.000000000000057</x:v>
      </x:c>
      <x:c r="E749" s="12" t="str">
        <x:v>Archived FRED mirror (Hugging Face)</x:v>
      </x:c>
    </x:row>
    <x:row r="750" ht="18" customHeight="1">
      <x:c r="A750" s="13" t="n">
        <x:v>43623</x:v>
      </x:c>
      <x:c r="B750" s="12" t="n">
        <x:v>4.37</x:v>
      </x:c>
      <x:c r="C750" s="12" t="n">
        <x:v>437</x:v>
      </x:c>
      <x:c r="D750" s="12" t="n">
        <x:v>-5</x:v>
      </x:c>
      <x:c r="E750" s="12" t="str">
        <x:v>Archived FRED mirror (Hugging Face)</x:v>
      </x:c>
    </x:row>
    <x:row r="751" ht="18" customHeight="1">
      <x:c r="A751" s="13" t="n">
        <x:v>43626</x:v>
      </x:c>
      <x:c r="B751" s="12" t="n">
        <x:v>4.23</x:v>
      </x:c>
      <x:c r="C751" s="12" t="n">
        <x:v>423.00000000000006</x:v>
      </x:c>
      <x:c r="D751" s="12" t="n">
        <x:v>-13.999999999999943</x:v>
      </x:c>
      <x:c r="E751" s="12" t="str">
        <x:v>Archived FRED mirror (Hugging Face)</x:v>
      </x:c>
    </x:row>
    <x:row r="752" ht="18" customHeight="1">
      <x:c r="A752" s="13" t="n">
        <x:v>43627</x:v>
      </x:c>
      <x:c r="B752" s="12" t="n">
        <x:v>4.2</x:v>
      </x:c>
      <x:c r="C752" s="12" t="n">
        <x:v>420</x:v>
      </x:c>
      <x:c r="D752" s="12" t="n">
        <x:v>-3.000000000000057</x:v>
      </x:c>
      <x:c r="E752" s="12" t="str">
        <x:v>Archived FRED mirror (Hugging Face)</x:v>
      </x:c>
    </x:row>
    <x:row r="753" ht="18" customHeight="1">
      <x:c r="A753" s="13" t="n">
        <x:v>43628</x:v>
      </x:c>
      <x:c r="B753" s="12" t="n">
        <x:v>4.22</x:v>
      </x:c>
      <x:c r="C753" s="12" t="n">
        <x:v>422</x:v>
      </x:c>
      <x:c r="D753" s="12" t="n">
        <x:v>2</x:v>
      </x:c>
      <x:c r="E753" s="12" t="str">
        <x:v>Archived FRED mirror (Hugging Face)</x:v>
      </x:c>
    </x:row>
    <x:row r="754" ht="18" customHeight="1">
      <x:c r="A754" s="13" t="n">
        <x:v>43629</x:v>
      </x:c>
      <x:c r="B754" s="12" t="n">
        <x:v>4.24</x:v>
      </x:c>
      <x:c r="C754" s="12" t="n">
        <x:v>424</x:v>
      </x:c>
      <x:c r="D754" s="12" t="n">
        <x:v>2</x:v>
      </x:c>
      <x:c r="E754" s="12" t="str">
        <x:v>Archived FRED mirror (Hugging Face)</x:v>
      </x:c>
    </x:row>
    <x:row r="755" ht="18" customHeight="1">
      <x:c r="A755" s="13" t="n">
        <x:v>43630</x:v>
      </x:c>
      <x:c r="B755" s="12" t="n">
        <x:v>4.23</x:v>
      </x:c>
      <x:c r="C755" s="12" t="n">
        <x:v>423.00000000000006</x:v>
      </x:c>
      <x:c r="D755" s="12" t="n">
        <x:v>-0.9999999999999432</x:v>
      </x:c>
      <x:c r="E755" s="12" t="str">
        <x:v>Archived FRED mirror (Hugging Face)</x:v>
      </x:c>
    </x:row>
    <x:row r="756" ht="18" customHeight="1">
      <x:c r="A756" s="13" t="n">
        <x:v>43633</x:v>
      </x:c>
      <x:c r="B756" s="12" t="n">
        <x:v>4.23</x:v>
      </x:c>
      <x:c r="C756" s="12" t="n">
        <x:v>423.00000000000006</x:v>
      </x:c>
      <x:c r="D756" s="12" t="n">
        <x:v>0</x:v>
      </x:c>
      <x:c r="E756" s="12" t="str">
        <x:v>Archived FRED mirror (Hugging Face)</x:v>
      </x:c>
    </x:row>
    <x:row r="757" ht="18" customHeight="1">
      <x:c r="A757" s="13" t="n">
        <x:v>43634</x:v>
      </x:c>
      <x:c r="B757" s="12" t="n">
        <x:v>4.14</x:v>
      </x:c>
      <x:c r="C757" s="12" t="n">
        <x:v>413.99999999999994</x:v>
      </x:c>
      <x:c r="D757" s="12" t="n">
        <x:v>-9.000000000000114</x:v>
      </x:c>
      <x:c r="E757" s="12" t="str">
        <x:v>Archived FRED mirror (Hugging Face)</x:v>
      </x:c>
    </x:row>
    <x:row r="758" ht="18" customHeight="1">
      <x:c r="A758" s="13" t="n">
        <x:v>43635</x:v>
      </x:c>
      <x:c r="B758" s="12" t="n">
        <x:v>4.16</x:v>
      </x:c>
      <x:c r="C758" s="12" t="n">
        <x:v>416</x:v>
      </x:c>
      <x:c r="D758" s="12" t="n">
        <x:v>2.000000000000057</x:v>
      </x:c>
      <x:c r="E758" s="12" t="str">
        <x:v>Archived FRED mirror (Hugging Face)</x:v>
      </x:c>
    </x:row>
    <x:row r="759" ht="18" customHeight="1">
      <x:c r="A759" s="13" t="n">
        <x:v>43636</x:v>
      </x:c>
      <x:c r="B759" s="12" t="n">
        <x:v>4.03</x:v>
      </x:c>
      <x:c r="C759" s="12" t="n">
        <x:v>403</x:v>
      </x:c>
      <x:c r="D759" s="12" t="n">
        <x:v>-13</x:v>
      </x:c>
      <x:c r="E759" s="12" t="str">
        <x:v>Archived FRED mirror (Hugging Face)</x:v>
      </x:c>
    </x:row>
    <x:row r="760" ht="18" customHeight="1">
      <x:c r="A760" s="13" t="n">
        <x:v>43637</x:v>
      </x:c>
      <x:c r="B760" s="12" t="n">
        <x:v>3.95</x:v>
      </x:c>
      <x:c r="C760" s="12" t="n">
        <x:v>395</x:v>
      </x:c>
      <x:c r="D760" s="12" t="n">
        <x:v>-8</x:v>
      </x:c>
      <x:c r="E760" s="12" t="str">
        <x:v>Archived FRED mirror (Hugging Face)</x:v>
      </x:c>
    </x:row>
    <x:row r="761" ht="18" customHeight="1">
      <x:c r="A761" s="13" t="n">
        <x:v>43640</x:v>
      </x:c>
      <x:c r="B761" s="12" t="n">
        <x:v>4</x:v>
      </x:c>
      <x:c r="C761" s="12" t="n">
        <x:v>400</x:v>
      </x:c>
      <x:c r="D761" s="12" t="n">
        <x:v>5</x:v>
      </x:c>
      <x:c r="E761" s="12" t="str">
        <x:v>Archived FRED mirror (Hugging Face)</x:v>
      </x:c>
    </x:row>
    <x:row r="762" ht="18" customHeight="1">
      <x:c r="A762" s="13" t="n">
        <x:v>43641</x:v>
      </x:c>
      <x:c r="B762" s="12" t="n">
        <x:v>4.09</x:v>
      </x:c>
      <x:c r="C762" s="12" t="n">
        <x:v>409</x:v>
      </x:c>
      <x:c r="D762" s="12" t="n">
        <x:v>9</x:v>
      </x:c>
      <x:c r="E762" s="12" t="str">
        <x:v>Archived FRED mirror (Hugging Face)</x:v>
      </x:c>
    </x:row>
    <x:row r="763" ht="18" customHeight="1">
      <x:c r="A763" s="13" t="n">
        <x:v>43642</x:v>
      </x:c>
      <x:c r="B763" s="12" t="n">
        <x:v>4.05</x:v>
      </x:c>
      <x:c r="C763" s="12" t="n">
        <x:v>405</x:v>
      </x:c>
      <x:c r="D763" s="12" t="n">
        <x:v>-4</x:v>
      </x:c>
      <x:c r="E763" s="12" t="str">
        <x:v>Archived FRED mirror (Hugging Face)</x:v>
      </x:c>
    </x:row>
    <x:row r="764" ht="18" customHeight="1">
      <x:c r="A764" s="13" t="n">
        <x:v>43643</x:v>
      </x:c>
      <x:c r="B764" s="12" t="n">
        <x:v>4.09</x:v>
      </x:c>
      <x:c r="C764" s="12" t="n">
        <x:v>409</x:v>
      </x:c>
      <x:c r="D764" s="12" t="n">
        <x:v>4</x:v>
      </x:c>
      <x:c r="E764" s="12" t="str">
        <x:v>Archived FRED mirror (Hugging Face)</x:v>
      </x:c>
    </x:row>
    <x:row r="765" ht="18" customHeight="1">
      <x:c r="A765" s="13" t="n">
        <x:v>43644</x:v>
      </x:c>
      <x:c r="B765" s="12" t="n">
        <x:v>4.07</x:v>
      </x:c>
      <x:c r="C765" s="12" t="n">
        <x:v>407</x:v>
      </x:c>
      <x:c r="D765" s="12" t="n">
        <x:v>-2</x:v>
      </x:c>
      <x:c r="E765" s="12" t="str">
        <x:v>Archived FRED mirror (Hugging Face)</x:v>
      </x:c>
    </x:row>
    <x:row r="766" ht="18" customHeight="1">
      <x:c r="A766" s="13" t="n">
        <x:v>43646</x:v>
      </x:c>
      <x:c r="B766" s="12" t="n">
        <x:v>4.07</x:v>
      </x:c>
      <x:c r="C766" s="12" t="n">
        <x:v>407</x:v>
      </x:c>
      <x:c r="D766" s="12" t="n">
        <x:v>0</x:v>
      </x:c>
      <x:c r="E766" s="12" t="str">
        <x:v>Archived FRED mirror (Hugging Face)</x:v>
      </x:c>
    </x:row>
    <x:row r="767" ht="18" customHeight="1">
      <x:c r="A767" s="13" t="n">
        <x:v>43647</x:v>
      </x:c>
      <x:c r="B767" s="12" t="n">
        <x:v>3.99</x:v>
      </x:c>
      <x:c r="C767" s="12" t="n">
        <x:v>399</x:v>
      </x:c>
      <x:c r="D767" s="12" t="n">
        <x:v>-8</x:v>
      </x:c>
      <x:c r="E767" s="12" t="str">
        <x:v>Archived FRED mirror (Hugging Face)</x:v>
      </x:c>
    </x:row>
    <x:row r="768" ht="18" customHeight="1">
      <x:c r="A768" s="13" t="n">
        <x:v>43648</x:v>
      </x:c>
      <x:c r="B768" s="12" t="n">
        <x:v>4.04</x:v>
      </x:c>
      <x:c r="C768" s="12" t="n">
        <x:v>404</x:v>
      </x:c>
      <x:c r="D768" s="12" t="n">
        <x:v>5</x:v>
      </x:c>
      <x:c r="E768" s="12" t="str">
        <x:v>Archived FRED mirror (Hugging Face)</x:v>
      </x:c>
    </x:row>
    <x:row r="769" ht="18" customHeight="1">
      <x:c r="A769" s="13" t="n">
        <x:v>43649</x:v>
      </x:c>
      <x:c r="B769" s="12" t="n">
        <x:v>4.02</x:v>
      </x:c>
      <x:c r="C769" s="12" t="n">
        <x:v>401.99999999999994</x:v>
      </x:c>
      <x:c r="D769" s="12" t="n">
        <x:v>-2.000000000000057</x:v>
      </x:c>
      <x:c r="E769" s="12" t="str">
        <x:v>Archived FRED mirror (Hugging Face)</x:v>
      </x:c>
    </x:row>
    <x:row r="770" ht="18" customHeight="1">
      <x:c r="A770" s="13" t="n">
        <x:v>43650</x:v>
      </x:c>
      <x:c r="B770" s="12" t="n">
        <x:v>4.02</x:v>
      </x:c>
      <x:c r="C770" s="12" t="n">
        <x:v>401.99999999999994</x:v>
      </x:c>
      <x:c r="D770" s="12" t="n">
        <x:v>0</x:v>
      </x:c>
      <x:c r="E770" s="12" t="str">
        <x:v>Archived FRED mirror (Hugging Face)</x:v>
      </x:c>
    </x:row>
    <x:row r="771" ht="18" customHeight="1">
      <x:c r="A771" s="13" t="n">
        <x:v>43651</x:v>
      </x:c>
      <x:c r="B771" s="12" t="n">
        <x:v>3.98</x:v>
      </x:c>
      <x:c r="C771" s="12" t="n">
        <x:v>398</x:v>
      </x:c>
      <x:c r="D771" s="12" t="n">
        <x:v>-3.999999999999943</x:v>
      </x:c>
      <x:c r="E771" s="12" t="str">
        <x:v>Archived FRED mirror (Hugging Face)</x:v>
      </x:c>
    </x:row>
    <x:row r="772" ht="18" customHeight="1">
      <x:c r="A772" s="13" t="n">
        <x:v>43654</x:v>
      </x:c>
      <x:c r="B772" s="12" t="n">
        <x:v>4</x:v>
      </x:c>
      <x:c r="C772" s="12" t="n">
        <x:v>400</x:v>
      </x:c>
      <x:c r="D772" s="12" t="n">
        <x:v>2</x:v>
      </x:c>
      <x:c r="E772" s="12" t="str">
        <x:v>Archived FRED mirror (Hugging Face)</x:v>
      </x:c>
    </x:row>
    <x:row r="773" ht="18" customHeight="1">
      <x:c r="A773" s="13" t="n">
        <x:v>43655</x:v>
      </x:c>
      <x:c r="B773" s="12" t="n">
        <x:v>4.03</x:v>
      </x:c>
      <x:c r="C773" s="12" t="n">
        <x:v>403</x:v>
      </x:c>
      <x:c r="D773" s="12" t="n">
        <x:v>3</x:v>
      </x:c>
      <x:c r="E773" s="12" t="str">
        <x:v>Archived FRED mirror (Hugging Face)</x:v>
      </x:c>
    </x:row>
    <x:row r="774" ht="18" customHeight="1">
      <x:c r="A774" s="13" t="n">
        <x:v>43656</x:v>
      </x:c>
      <x:c r="B774" s="12" t="n">
        <x:v>4.01</x:v>
      </x:c>
      <x:c r="C774" s="12" t="n">
        <x:v>401</x:v>
      </x:c>
      <x:c r="D774" s="12" t="n">
        <x:v>-2</x:v>
      </x:c>
      <x:c r="E774" s="12" t="str">
        <x:v>Archived FRED mirror (Hugging Face)</x:v>
      </x:c>
    </x:row>
    <x:row r="775" ht="18" customHeight="1">
      <x:c r="A775" s="13" t="n">
        <x:v>43657</x:v>
      </x:c>
      <x:c r="B775" s="12" t="n">
        <x:v>4</x:v>
      </x:c>
      <x:c r="C775" s="12" t="n">
        <x:v>400</x:v>
      </x:c>
      <x:c r="D775" s="12" t="n">
        <x:v>-1</x:v>
      </x:c>
      <x:c r="E775" s="12" t="str">
        <x:v>Archived FRED mirror (Hugging Face)</x:v>
      </x:c>
    </x:row>
    <x:row r="776" ht="18" customHeight="1">
      <x:c r="A776" s="13" t="n">
        <x:v>43658</x:v>
      </x:c>
      <x:c r="B776" s="12" t="n">
        <x:v>4.02</x:v>
      </x:c>
      <x:c r="C776" s="12" t="n">
        <x:v>401.99999999999994</x:v>
      </x:c>
      <x:c r="D776" s="12" t="n">
        <x:v>1.9999999999999432</x:v>
      </x:c>
      <x:c r="E776" s="12" t="str">
        <x:v>Archived FRED mirror (Hugging Face)</x:v>
      </x:c>
    </x:row>
    <x:row r="777" ht="18" customHeight="1">
      <x:c r="A777" s="13" t="n">
        <x:v>43661</x:v>
      </x:c>
      <x:c r="B777" s="12" t="n">
        <x:v>4</x:v>
      </x:c>
      <x:c r="C777" s="12" t="n">
        <x:v>400</x:v>
      </x:c>
      <x:c r="D777" s="12" t="n">
        <x:v>-1.9999999999999432</x:v>
      </x:c>
      <x:c r="E777" s="12" t="str">
        <x:v>Archived FRED mirror (Hugging Face)</x:v>
      </x:c>
    </x:row>
    <x:row r="778" ht="18" customHeight="1">
      <x:c r="A778" s="13" t="n">
        <x:v>43662</x:v>
      </x:c>
      <x:c r="B778" s="12" t="n">
        <x:v>3.96</x:v>
      </x:c>
      <x:c r="C778" s="12" t="n">
        <x:v>396</x:v>
      </x:c>
      <x:c r="D778" s="12" t="n">
        <x:v>-4</x:v>
      </x:c>
      <x:c r="E778" s="12" t="str">
        <x:v>Archived FRED mirror (Hugging Face)</x:v>
      </x:c>
    </x:row>
    <x:row r="779" ht="18" customHeight="1">
      <x:c r="A779" s="13" t="n">
        <x:v>43663</x:v>
      </x:c>
      <x:c r="B779" s="12" t="n">
        <x:v>4.01</x:v>
      </x:c>
      <x:c r="C779" s="12" t="n">
        <x:v>401</x:v>
      </x:c>
      <x:c r="D779" s="12" t="n">
        <x:v>5</x:v>
      </x:c>
      <x:c r="E779" s="12" t="str">
        <x:v>Archived FRED mirror (Hugging Face)</x:v>
      </x:c>
    </x:row>
    <x:row r="780" ht="18" customHeight="1">
      <x:c r="A780" s="13" t="n">
        <x:v>43664</x:v>
      </x:c>
      <x:c r="B780" s="12" t="n">
        <x:v>4.11</x:v>
      </x:c>
      <x:c r="C780" s="12" t="n">
        <x:v>411.00000000000006</x:v>
      </x:c>
      <x:c r="D780" s="12" t="n">
        <x:v>10.000000000000057</x:v>
      </x:c>
      <x:c r="E780" s="12" t="str">
        <x:v>Archived FRED mirror (Hugging Face)</x:v>
      </x:c>
    </x:row>
    <x:row r="781" ht="18" customHeight="1">
      <x:c r="A781" s="13" t="n">
        <x:v>43665</x:v>
      </x:c>
      <x:c r="B781" s="12" t="n">
        <x:v>4.07</x:v>
      </x:c>
      <x:c r="C781" s="12" t="n">
        <x:v>407</x:v>
      </x:c>
      <x:c r="D781" s="12" t="n">
        <x:v>-4.000000000000057</x:v>
      </x:c>
      <x:c r="E781" s="12" t="str">
        <x:v>Archived FRED mirror (Hugging Face)</x:v>
      </x:c>
    </x:row>
    <x:row r="782" ht="18" customHeight="1">
      <x:c r="A782" s="13" t="n">
        <x:v>43668</x:v>
      </x:c>
      <x:c r="B782" s="12" t="n">
        <x:v>4.06</x:v>
      </x:c>
      <x:c r="C782" s="12" t="n">
        <x:v>405.99999999999994</x:v>
      </x:c>
      <x:c r="D782" s="12" t="n">
        <x:v>-1.0000000000000568</x:v>
      </x:c>
      <x:c r="E782" s="12" t="str">
        <x:v>Archived FRED mirror (Hugging Face)</x:v>
      </x:c>
    </x:row>
    <x:row r="783" ht="18" customHeight="1">
      <x:c r="A783" s="13" t="n">
        <x:v>43669</x:v>
      </x:c>
      <x:c r="B783" s="12" t="n">
        <x:v>3.99</x:v>
      </x:c>
      <x:c r="C783" s="12" t="n">
        <x:v>399</x:v>
      </x:c>
      <x:c r="D783" s="12" t="n">
        <x:v>-6.999999999999943</x:v>
      </x:c>
      <x:c r="E783" s="12" t="str">
        <x:v>Archived FRED mirror (Hugging Face)</x:v>
      </x:c>
    </x:row>
    <x:row r="784" ht="18" customHeight="1">
      <x:c r="A784" s="13" t="n">
        <x:v>43670</x:v>
      </x:c>
      <x:c r="B784" s="12" t="n">
        <x:v>3.98</x:v>
      </x:c>
      <x:c r="C784" s="12" t="n">
        <x:v>398</x:v>
      </x:c>
      <x:c r="D784" s="12" t="n">
        <x:v>-1</x:v>
      </x:c>
      <x:c r="E784" s="12" t="str">
        <x:v>Archived FRED mirror (Hugging Face)</x:v>
      </x:c>
    </x:row>
    <x:row r="785" ht="18" customHeight="1">
      <x:c r="A785" s="13" t="n">
        <x:v>43671</x:v>
      </x:c>
      <x:c r="B785" s="12" t="n">
        <x:v>3.93</x:v>
      </x:c>
      <x:c r="C785" s="12" t="n">
        <x:v>393</x:v>
      </x:c>
      <x:c r="D785" s="12" t="n">
        <x:v>-5</x:v>
      </x:c>
      <x:c r="E785" s="12" t="str">
        <x:v>Archived FRED mirror (Hugging Face)</x:v>
      </x:c>
    </x:row>
    <x:row r="786" ht="18" customHeight="1">
      <x:c r="A786" s="13" t="n">
        <x:v>43672</x:v>
      </x:c>
      <x:c r="B786" s="12" t="n">
        <x:v>3.89</x:v>
      </x:c>
      <x:c r="C786" s="12" t="n">
        <x:v>389</x:v>
      </x:c>
      <x:c r="D786" s="12" t="n">
        <x:v>-4</x:v>
      </x:c>
      <x:c r="E786" s="12" t="str">
        <x:v>Archived FRED mirror (Hugging Face)</x:v>
      </x:c>
    </x:row>
    <x:row r="787" ht="18" customHeight="1">
      <x:c r="A787" s="13" t="n">
        <x:v>43675</x:v>
      </x:c>
      <x:c r="B787" s="12" t="n">
        <x:v>3.93</x:v>
      </x:c>
      <x:c r="C787" s="12" t="n">
        <x:v>393</x:v>
      </x:c>
      <x:c r="D787" s="12" t="n">
        <x:v>4</x:v>
      </x:c>
      <x:c r="E787" s="12" t="str">
        <x:v>Archived FRED mirror (Hugging Face)</x:v>
      </x:c>
    </x:row>
    <x:row r="788" ht="18" customHeight="1">
      <x:c r="A788" s="13" t="n">
        <x:v>43676</x:v>
      </x:c>
      <x:c r="B788" s="12" t="n">
        <x:v>3.97</x:v>
      </x:c>
      <x:c r="C788" s="12" t="n">
        <x:v>397</x:v>
      </x:c>
      <x:c r="D788" s="12" t="n">
        <x:v>4</x:v>
      </x:c>
      <x:c r="E788" s="12" t="str">
        <x:v>Archived FRED mirror (Hugging Face)</x:v>
      </x:c>
    </x:row>
    <x:row r="789" ht="18" customHeight="1">
      <x:c r="A789" s="13" t="n">
        <x:v>43677</x:v>
      </x:c>
      <x:c r="B789" s="12" t="n">
        <x:v>3.93</x:v>
      </x:c>
      <x:c r="C789" s="12" t="n">
        <x:v>393</x:v>
      </x:c>
      <x:c r="D789" s="12" t="n">
        <x:v>-4</x:v>
      </x:c>
      <x:c r="E789" s="12" t="str">
        <x:v>Archived FRED mirror (Hugging Face)</x:v>
      </x:c>
    </x:row>
    <x:row r="790" ht="18" customHeight="1">
      <x:c r="A790" s="13" t="n">
        <x:v>43678</x:v>
      </x:c>
      <x:c r="B790" s="12" t="n">
        <x:v>4.1</x:v>
      </x:c>
      <x:c r="C790" s="12" t="n">
        <x:v>409.99999999999994</x:v>
      </x:c>
      <x:c r="D790" s="12" t="n">
        <x:v>16.999999999999943</x:v>
      </x:c>
      <x:c r="E790" s="12" t="str">
        <x:v>Archived FRED mirror (Hugging Face)</x:v>
      </x:c>
    </x:row>
    <x:row r="791" ht="18" customHeight="1">
      <x:c r="A791" s="13" t="n">
        <x:v>43679</x:v>
      </x:c>
      <x:c r="B791" s="12" t="n">
        <x:v>4.19</x:v>
      </x:c>
      <x:c r="C791" s="12" t="n">
        <x:v>419.00000000000006</x:v>
      </x:c>
      <x:c r="D791" s="12" t="n">
        <x:v>9.000000000000114</x:v>
      </x:c>
      <x:c r="E791" s="12" t="str">
        <x:v>Archived FRED mirror (Hugging Face)</x:v>
      </x:c>
    </x:row>
    <x:row r="792" ht="18" customHeight="1">
      <x:c r="A792" s="13" t="n">
        <x:v>43682</x:v>
      </x:c>
      <x:c r="B792" s="12" t="n">
        <x:v>4.53</x:v>
      </x:c>
      <x:c r="C792" s="12" t="n">
        <x:v>453</x:v>
      </x:c>
      <x:c r="D792" s="12" t="n">
        <x:v>33.99999999999994</x:v>
      </x:c>
      <x:c r="E792" s="12" t="str">
        <x:v>Archived FRED mirror (Hugging Face)</x:v>
      </x:c>
    </x:row>
    <x:row r="793" ht="18" customHeight="1">
      <x:c r="A793" s="13" t="n">
        <x:v>43683</x:v>
      </x:c>
      <x:c r="B793" s="12" t="n">
        <x:v>4.46</x:v>
      </x:c>
      <x:c r="C793" s="12" t="n">
        <x:v>446</x:v>
      </x:c>
      <x:c r="D793" s="12" t="n">
        <x:v>-7</x:v>
      </x:c>
      <x:c r="E793" s="12" t="str">
        <x:v>Archived FRED mirror (Hugging Face)</x:v>
      </x:c>
    </x:row>
    <x:row r="794" ht="18" customHeight="1">
      <x:c r="A794" s="13" t="n">
        <x:v>43684</x:v>
      </x:c>
      <x:c r="B794" s="12" t="n">
        <x:v>4.52</x:v>
      </x:c>
      <x:c r="C794" s="12" t="n">
        <x:v>451.99999999999994</x:v>
      </x:c>
      <x:c r="D794" s="12" t="n">
        <x:v>5.999999999999943</x:v>
      </x:c>
      <x:c r="E794" s="12" t="str">
        <x:v>Archived FRED mirror (Hugging Face)</x:v>
      </x:c>
    </x:row>
    <x:row r="795" ht="18" customHeight="1">
      <x:c r="A795" s="13" t="n">
        <x:v>43685</x:v>
      </x:c>
      <x:c r="B795" s="12" t="n">
        <x:v>4.31</x:v>
      </x:c>
      <x:c r="C795" s="12" t="n">
        <x:v>430.99999999999994</x:v>
      </x:c>
      <x:c r="D795" s="12" t="n">
        <x:v>-21</x:v>
      </x:c>
      <x:c r="E795" s="12" t="str">
        <x:v>Archived FRED mirror (Hugging Face)</x:v>
      </x:c>
    </x:row>
    <x:row r="796" ht="18" customHeight="1">
      <x:c r="A796" s="13" t="n">
        <x:v>43686</x:v>
      </x:c>
      <x:c r="B796" s="12" t="n">
        <x:v>4.31</x:v>
      </x:c>
      <x:c r="C796" s="12" t="n">
        <x:v>430.99999999999994</x:v>
      </x:c>
      <x:c r="D796" s="12" t="n">
        <x:v>0</x:v>
      </x:c>
      <x:c r="E796" s="12" t="str">
        <x:v>Archived FRED mirror (Hugging Face)</x:v>
      </x:c>
    </x:row>
    <x:row r="797" ht="18" customHeight="1">
      <x:c r="A797" s="13" t="n">
        <x:v>43689</x:v>
      </x:c>
      <x:c r="B797" s="12" t="n">
        <x:v>4.4</x:v>
      </x:c>
      <x:c r="C797" s="12" t="n">
        <x:v>440.00000000000006</x:v>
      </x:c>
      <x:c r="D797" s="12" t="n">
        <x:v>9.000000000000114</x:v>
      </x:c>
      <x:c r="E797" s="12" t="str">
        <x:v>Archived FRED mirror (Hugging Face)</x:v>
      </x:c>
    </x:row>
    <x:row r="798" ht="18" customHeight="1">
      <x:c r="A798" s="13" t="n">
        <x:v>43690</x:v>
      </x:c>
      <x:c r="B798" s="12" t="n">
        <x:v>4.25</x:v>
      </x:c>
      <x:c r="C798" s="12" t="n">
        <x:v>425</x:v>
      </x:c>
      <x:c r="D798" s="12" t="n">
        <x:v>-15.000000000000057</x:v>
      </x:c>
      <x:c r="E798" s="12" t="str">
        <x:v>Archived FRED mirror (Hugging Face)</x:v>
      </x:c>
    </x:row>
    <x:row r="799" ht="18" customHeight="1">
      <x:c r="A799" s="13" t="n">
        <x:v>43691</x:v>
      </x:c>
      <x:c r="B799" s="12" t="n">
        <x:v>4.49</x:v>
      </x:c>
      <x:c r="C799" s="12" t="n">
        <x:v>449</x:v>
      </x:c>
      <x:c r="D799" s="12" t="n">
        <x:v>24</x:v>
      </x:c>
      <x:c r="E799" s="12" t="str">
        <x:v>Archived FRED mirror (Hugging Face)</x:v>
      </x:c>
    </x:row>
    <x:row r="800" ht="18" customHeight="1">
      <x:c r="A800" s="13" t="n">
        <x:v>43692</x:v>
      </x:c>
      <x:c r="B800" s="12" t="n">
        <x:v>4.52</x:v>
      </x:c>
      <x:c r="C800" s="12" t="n">
        <x:v>451.99999999999994</x:v>
      </x:c>
      <x:c r="D800" s="12" t="n">
        <x:v>2.999999999999943</x:v>
      </x:c>
      <x:c r="E800" s="12" t="str">
        <x:v>Archived FRED mirror (Hugging Face)</x:v>
      </x:c>
    </x:row>
    <x:row r="801" ht="18" customHeight="1">
      <x:c r="A801" s="13" t="n">
        <x:v>43693</x:v>
      </x:c>
      <x:c r="B801" s="12" t="n">
        <x:v>4.47</x:v>
      </x:c>
      <x:c r="C801" s="12" t="n">
        <x:v>447</x:v>
      </x:c>
      <x:c r="D801" s="12" t="n">
        <x:v>-4.999999999999943</x:v>
      </x:c>
      <x:c r="E801" s="12" t="str">
        <x:v>Archived FRED mirror (Hugging Face)</x:v>
      </x:c>
    </x:row>
    <x:row r="802" ht="18" customHeight="1">
      <x:c r="A802" s="13" t="n">
        <x:v>43696</x:v>
      </x:c>
      <x:c r="B802" s="12" t="n">
        <x:v>4.36</x:v>
      </x:c>
      <x:c r="C802" s="12" t="n">
        <x:v>436.00000000000006</x:v>
      </x:c>
      <x:c r="D802" s="12" t="n">
        <x:v>-10.999999999999943</x:v>
      </x:c>
      <x:c r="E802" s="12" t="str">
        <x:v>Archived FRED mirror (Hugging Face)</x:v>
      </x:c>
    </x:row>
    <x:row r="803" ht="18" customHeight="1">
      <x:c r="A803" s="13" t="n">
        <x:v>43697</x:v>
      </x:c>
      <x:c r="B803" s="12" t="n">
        <x:v>4.35</x:v>
      </x:c>
      <x:c r="C803" s="12" t="n">
        <x:v>434.99999999999994</x:v>
      </x:c>
      <x:c r="D803" s="12" t="n">
        <x:v>-1.0000000000001137</x:v>
      </x:c>
      <x:c r="E803" s="12" t="str">
        <x:v>Archived FRED mirror (Hugging Face)</x:v>
      </x:c>
    </x:row>
    <x:row r="804" ht="18" customHeight="1">
      <x:c r="A804" s="13" t="n">
        <x:v>43698</x:v>
      </x:c>
      <x:c r="B804" s="12" t="n">
        <x:v>4.21</x:v>
      </x:c>
      <x:c r="C804" s="12" t="n">
        <x:v>421</x:v>
      </x:c>
      <x:c r="D804" s="12" t="n">
        <x:v>-13.999999999999943</x:v>
      </x:c>
      <x:c r="E804" s="12" t="str">
        <x:v>Archived FRED mirror (Hugging Face)</x:v>
      </x:c>
    </x:row>
    <x:row r="805" ht="18" customHeight="1">
      <x:c r="A805" s="13" t="n">
        <x:v>43699</x:v>
      </x:c>
      <x:c r="B805" s="12" t="n">
        <x:v>4.16</x:v>
      </x:c>
      <x:c r="C805" s="12" t="n">
        <x:v>416</x:v>
      </x:c>
      <x:c r="D805" s="12" t="n">
        <x:v>-5</x:v>
      </x:c>
      <x:c r="E805" s="12" t="str">
        <x:v>Archived FRED mirror (Hugging Face)</x:v>
      </x:c>
    </x:row>
    <x:row r="806" ht="18" customHeight="1">
      <x:c r="A806" s="13" t="n">
        <x:v>43700</x:v>
      </x:c>
      <x:c r="B806" s="12" t="n">
        <x:v>4.25</x:v>
      </x:c>
      <x:c r="C806" s="12" t="n">
        <x:v>425</x:v>
      </x:c>
      <x:c r="D806" s="12" t="n">
        <x:v>9</x:v>
      </x:c>
      <x:c r="E806" s="12" t="str">
        <x:v>Archived FRED mirror (Hugging Face)</x:v>
      </x:c>
    </x:row>
    <x:row r="807" ht="18" customHeight="1">
      <x:c r="A807" s="13" t="n">
        <x:v>43703</x:v>
      </x:c>
      <x:c r="B807" s="12" t="n">
        <x:v>4.22</x:v>
      </x:c>
      <x:c r="C807" s="12" t="n">
        <x:v>422</x:v>
      </x:c>
      <x:c r="D807" s="12" t="n">
        <x:v>-3</x:v>
      </x:c>
      <x:c r="E807" s="12" t="str">
        <x:v>Archived FRED mirror (Hugging Face)</x:v>
      </x:c>
    </x:row>
    <x:row r="808" ht="18" customHeight="1">
      <x:c r="A808" s="13" t="n">
        <x:v>43704</x:v>
      </x:c>
      <x:c r="B808" s="12" t="n">
        <x:v>4.19</x:v>
      </x:c>
      <x:c r="C808" s="12" t="n">
        <x:v>419.00000000000006</x:v>
      </x:c>
      <x:c r="D808" s="12" t="n">
        <x:v>-2.999999999999943</x:v>
      </x:c>
      <x:c r="E808" s="12" t="str">
        <x:v>Archived FRED mirror (Hugging Face)</x:v>
      </x:c>
    </x:row>
    <x:row r="809" ht="18" customHeight="1">
      <x:c r="A809" s="13" t="n">
        <x:v>43705</x:v>
      </x:c>
      <x:c r="B809" s="12" t="n">
        <x:v>4.17</x:v>
      </x:c>
      <x:c r="C809" s="12" t="n">
        <x:v>417</x:v>
      </x:c>
      <x:c r="D809" s="12" t="n">
        <x:v>-2.000000000000057</x:v>
      </x:c>
      <x:c r="E809" s="12" t="str">
        <x:v>Archived FRED mirror (Hugging Face)</x:v>
      </x:c>
    </x:row>
    <x:row r="810" ht="18" customHeight="1">
      <x:c r="A810" s="13" t="n">
        <x:v>43706</x:v>
      </x:c>
      <x:c r="B810" s="12" t="n">
        <x:v>4.08</x:v>
      </x:c>
      <x:c r="C810" s="12" t="n">
        <x:v>408</x:v>
      </x:c>
      <x:c r="D810" s="12" t="n">
        <x:v>-9</x:v>
      </x:c>
      <x:c r="E810" s="12" t="str">
        <x:v>Archived FRED mirror (Hugging Face)</x:v>
      </x:c>
    </x:row>
    <x:row r="811" ht="18" customHeight="1">
      <x:c r="A811" s="13" t="n">
        <x:v>43707</x:v>
      </x:c>
      <x:c r="B811" s="12" t="n">
        <x:v>4.09</x:v>
      </x:c>
      <x:c r="C811" s="12" t="n">
        <x:v>409</x:v>
      </x:c>
      <x:c r="D811" s="12" t="n">
        <x:v>1</x:v>
      </x:c>
      <x:c r="E811" s="12" t="str">
        <x:v>Archived FRED mirror (Hugging Face)</x:v>
      </x:c>
    </x:row>
    <x:row r="812" ht="18" customHeight="1">
      <x:c r="A812" s="13" t="n">
        <x:v>43708</x:v>
      </x:c>
      <x:c r="B812" s="12" t="n">
        <x:v>4.13</x:v>
      </x:c>
      <x:c r="C812" s="12" t="n">
        <x:v>413</x:v>
      </x:c>
      <x:c r="D812" s="12" t="n">
        <x:v>4</x:v>
      </x:c>
      <x:c r="E812" s="12" t="str">
        <x:v>Archived FRED mirror (Hugging Face)</x:v>
      </x:c>
    </x:row>
    <x:row r="813" ht="18" customHeight="1">
      <x:c r="A813" s="13" t="n">
        <x:v>43710</x:v>
      </x:c>
      <x:c r="B813" s="12" t="n">
        <x:v>4.13</x:v>
      </x:c>
      <x:c r="C813" s="12" t="n">
        <x:v>413</x:v>
      </x:c>
      <x:c r="D813" s="12" t="n">
        <x:v>0</x:v>
      </x:c>
      <x:c r="E813" s="12" t="str">
        <x:v>Archived FRED mirror (Hugging Face)</x:v>
      </x:c>
    </x:row>
    <x:row r="814" ht="18" customHeight="1">
      <x:c r="A814" s="13" t="n">
        <x:v>43711</x:v>
      </x:c>
      <x:c r="B814" s="12" t="n">
        <x:v>4.23</x:v>
      </x:c>
      <x:c r="C814" s="12" t="n">
        <x:v>423.00000000000006</x:v>
      </x:c>
      <x:c r="D814" s="12" t="n">
        <x:v>10.000000000000057</x:v>
      </x:c>
      <x:c r="E814" s="12" t="str">
        <x:v>Archived FRED mirror (Hugging Face)</x:v>
      </x:c>
    </x:row>
    <x:row r="815" ht="18" customHeight="1">
      <x:c r="A815" s="13" t="n">
        <x:v>43712</x:v>
      </x:c>
      <x:c r="B815" s="12" t="n">
        <x:v>4.23</x:v>
      </x:c>
      <x:c r="C815" s="12" t="n">
        <x:v>423.00000000000006</x:v>
      </x:c>
      <x:c r="D815" s="12" t="n">
        <x:v>0</x:v>
      </x:c>
      <x:c r="E815" s="12" t="str">
        <x:v>Archived FRED mirror (Hugging Face)</x:v>
      </x:c>
    </x:row>
    <x:row r="816" ht="18" customHeight="1">
      <x:c r="A816" s="13" t="n">
        <x:v>43713</x:v>
      </x:c>
      <x:c r="B816" s="12" t="n">
        <x:v>4.07</x:v>
      </x:c>
      <x:c r="C816" s="12" t="n">
        <x:v>407</x:v>
      </x:c>
      <x:c r="D816" s="12" t="n">
        <x:v>-16.000000000000057</x:v>
      </x:c>
      <x:c r="E816" s="12" t="str">
        <x:v>Archived FRED mirror (Hugging Face)</x:v>
      </x:c>
    </x:row>
    <x:row r="817" ht="18" customHeight="1">
      <x:c r="A817" s="13" t="n">
        <x:v>43714</x:v>
      </x:c>
      <x:c r="B817" s="12" t="n">
        <x:v>4.05</x:v>
      </x:c>
      <x:c r="C817" s="12" t="n">
        <x:v>405</x:v>
      </x:c>
      <x:c r="D817" s="12" t="n">
        <x:v>-2</x:v>
      </x:c>
      <x:c r="E817" s="12" t="str">
        <x:v>Archived FRED mirror (Hugging Face)</x:v>
      </x:c>
    </x:row>
    <x:row r="818" ht="18" customHeight="1">
      <x:c r="A818" s="13" t="n">
        <x:v>43717</x:v>
      </x:c>
      <x:c r="B818" s="12" t="n">
        <x:v>3.99</x:v>
      </x:c>
      <x:c r="C818" s="12" t="n">
        <x:v>399</x:v>
      </x:c>
      <x:c r="D818" s="12" t="n">
        <x:v>-6</x:v>
      </x:c>
      <x:c r="E818" s="12" t="str">
        <x:v>Archived FRED mirror (Hugging Face)</x:v>
      </x:c>
    </x:row>
    <x:row r="819" ht="18" customHeight="1">
      <x:c r="A819" s="13" t="n">
        <x:v>43718</x:v>
      </x:c>
      <x:c r="B819" s="12" t="n">
        <x:v>3.9</x:v>
      </x:c>
      <x:c r="C819" s="12" t="n">
        <x:v>390</x:v>
      </x:c>
      <x:c r="D819" s="12" t="n">
        <x:v>-9</x:v>
      </x:c>
      <x:c r="E819" s="12" t="str">
        <x:v>Archived FRED mirror (Hugging Face)</x:v>
      </x:c>
    </x:row>
    <x:row r="820" ht="18" customHeight="1">
      <x:c r="A820" s="13" t="n">
        <x:v>43719</x:v>
      </x:c>
      <x:c r="B820" s="12" t="n">
        <x:v>3.92</x:v>
      </x:c>
      <x:c r="C820" s="12" t="n">
        <x:v>392</x:v>
      </x:c>
      <x:c r="D820" s="12" t="n">
        <x:v>2</x:v>
      </x:c>
      <x:c r="E820" s="12" t="str">
        <x:v>Archived FRED mirror (Hugging Face)</x:v>
      </x:c>
    </x:row>
    <x:row r="821" ht="18" customHeight="1">
      <x:c r="A821" s="13" t="n">
        <x:v>43720</x:v>
      </x:c>
      <x:c r="B821" s="12" t="n">
        <x:v>3.85</x:v>
      </x:c>
      <x:c r="C821" s="12" t="n">
        <x:v>385</x:v>
      </x:c>
      <x:c r="D821" s="12" t="n">
        <x:v>-7</x:v>
      </x:c>
      <x:c r="E821" s="12" t="str">
        <x:v>Archived FRED mirror (Hugging Face)</x:v>
      </x:c>
    </x:row>
    <x:row r="822" ht="18" customHeight="1">
      <x:c r="A822" s="13" t="n">
        <x:v>43721</x:v>
      </x:c>
      <x:c r="B822" s="12" t="n">
        <x:v>3.83</x:v>
      </x:c>
      <x:c r="C822" s="12" t="n">
        <x:v>383</x:v>
      </x:c>
      <x:c r="D822" s="12" t="n">
        <x:v>-2</x:v>
      </x:c>
      <x:c r="E822" s="12" t="str">
        <x:v>Archived FRED mirror (Hugging Face)</x:v>
      </x:c>
    </x:row>
    <x:row r="823" ht="18" customHeight="1">
      <x:c r="A823" s="13" t="n">
        <x:v>43724</x:v>
      </x:c>
      <x:c r="B823" s="12" t="n">
        <x:v>3.8</x:v>
      </x:c>
      <x:c r="C823" s="12" t="n">
        <x:v>380</x:v>
      </x:c>
      <x:c r="D823" s="12" t="n">
        <x:v>-3</x:v>
      </x:c>
      <x:c r="E823" s="12" t="str">
        <x:v>Archived FRED mirror (Hugging Face)</x:v>
      </x:c>
    </x:row>
    <x:row r="824" ht="18" customHeight="1">
      <x:c r="A824" s="13" t="n">
        <x:v>43725</x:v>
      </x:c>
      <x:c r="B824" s="12" t="n">
        <x:v>3.81</x:v>
      </x:c>
      <x:c r="C824" s="12" t="n">
        <x:v>381</x:v>
      </x:c>
      <x:c r="D824" s="12" t="n">
        <x:v>1</x:v>
      </x:c>
      <x:c r="E824" s="12" t="str">
        <x:v>Archived FRED mirror (Hugging Face)</x:v>
      </x:c>
    </x:row>
    <x:row r="825" ht="18" customHeight="1">
      <x:c r="A825" s="13" t="n">
        <x:v>43726</x:v>
      </x:c>
      <x:c r="B825" s="12" t="n">
        <x:v>3.82</x:v>
      </x:c>
      <x:c r="C825" s="12" t="n">
        <x:v>382</x:v>
      </x:c>
      <x:c r="D825" s="12" t="n">
        <x:v>1</x:v>
      </x:c>
      <x:c r="E825" s="12" t="str">
        <x:v>Archived FRED mirror (Hugging Face)</x:v>
      </x:c>
    </x:row>
    <x:row r="826" ht="18" customHeight="1">
      <x:c r="A826" s="13" t="n">
        <x:v>43727</x:v>
      </x:c>
      <x:c r="B826" s="12" t="n">
        <x:v>3.77</x:v>
      </x:c>
      <x:c r="C826" s="12" t="n">
        <x:v>377</x:v>
      </x:c>
      <x:c r="D826" s="12" t="n">
        <x:v>-5</x:v>
      </x:c>
      <x:c r="E826" s="12" t="str">
        <x:v>Archived FRED mirror (Hugging Face)</x:v>
      </x:c>
    </x:row>
    <x:row r="827" ht="18" customHeight="1">
      <x:c r="A827" s="13" t="n">
        <x:v>43728</x:v>
      </x:c>
      <x:c r="B827" s="12" t="n">
        <x:v>3.81</x:v>
      </x:c>
      <x:c r="C827" s="12" t="n">
        <x:v>381</x:v>
      </x:c>
      <x:c r="D827" s="12" t="n">
        <x:v>4</x:v>
      </x:c>
      <x:c r="E827" s="12" t="str">
        <x:v>Archived FRED mirror (Hugging Face)</x:v>
      </x:c>
    </x:row>
    <x:row r="828" ht="18" customHeight="1">
      <x:c r="A828" s="13" t="n">
        <x:v>43731</x:v>
      </x:c>
      <x:c r="B828" s="12" t="n">
        <x:v>3.84</x:v>
      </x:c>
      <x:c r="C828" s="12" t="n">
        <x:v>384</x:v>
      </x:c>
      <x:c r="D828" s="12" t="n">
        <x:v>3</x:v>
      </x:c>
      <x:c r="E828" s="12" t="str">
        <x:v>Archived FRED mirror (Hugging Face)</x:v>
      </x:c>
    </x:row>
    <x:row r="829" ht="18" customHeight="1">
      <x:c r="A829" s="13" t="n">
        <x:v>43732</x:v>
      </x:c>
      <x:c r="B829" s="12" t="n">
        <x:v>3.9</x:v>
      </x:c>
      <x:c r="C829" s="12" t="n">
        <x:v>390</x:v>
      </x:c>
      <x:c r="D829" s="12" t="n">
        <x:v>6</x:v>
      </x:c>
      <x:c r="E829" s="12" t="str">
        <x:v>Archived FRED mirror (Hugging Face)</x:v>
      </x:c>
    </x:row>
    <x:row r="830" ht="18" customHeight="1">
      <x:c r="A830" s="13" t="n">
        <x:v>43733</x:v>
      </x:c>
      <x:c r="B830" s="12" t="n">
        <x:v>3.91</x:v>
      </x:c>
      <x:c r="C830" s="12" t="n">
        <x:v>391</x:v>
      </x:c>
      <x:c r="D830" s="12" t="n">
        <x:v>1</x:v>
      </x:c>
      <x:c r="E830" s="12" t="str">
        <x:v>Archived FRED mirror (Hugging Face)</x:v>
      </x:c>
    </x:row>
    <x:row r="831" ht="18" customHeight="1">
      <x:c r="A831" s="13" t="n">
        <x:v>43734</x:v>
      </x:c>
      <x:c r="B831" s="12" t="n">
        <x:v>3.95</x:v>
      </x:c>
      <x:c r="C831" s="12" t="n">
        <x:v>395</x:v>
      </x:c>
      <x:c r="D831" s="12" t="n">
        <x:v>4</x:v>
      </x:c>
      <x:c r="E831" s="12" t="str">
        <x:v>Archived FRED mirror (Hugging Face)</x:v>
      </x:c>
    </x:row>
    <x:row r="832" ht="18" customHeight="1">
      <x:c r="A832" s="13" t="n">
        <x:v>43735</x:v>
      </x:c>
      <x:c r="B832" s="12" t="n">
        <x:v>3.99</x:v>
      </x:c>
      <x:c r="C832" s="12" t="n">
        <x:v>399</x:v>
      </x:c>
      <x:c r="D832" s="12" t="n">
        <x:v>4</x:v>
      </x:c>
      <x:c r="E832" s="12" t="str">
        <x:v>Archived FRED mirror (Hugging Face)</x:v>
      </x:c>
    </x:row>
    <x:row r="833" ht="18" customHeight="1">
      <x:c r="A833" s="13" t="n">
        <x:v>43738</x:v>
      </x:c>
      <x:c r="B833" s="12" t="n">
        <x:v>4.02</x:v>
      </x:c>
      <x:c r="C833" s="12" t="n">
        <x:v>401.99999999999994</x:v>
      </x:c>
      <x:c r="D833" s="12" t="n">
        <x:v>2.999999999999943</x:v>
      </x:c>
      <x:c r="E833" s="12" t="str">
        <x:v>Archived FRED mirror (Hugging Face)</x:v>
      </x:c>
    </x:row>
    <x:row r="834" ht="18" customHeight="1">
      <x:c r="A834" s="13" t="n">
        <x:v>43739</x:v>
      </x:c>
      <x:c r="B834" s="12" t="n">
        <x:v>4.08</x:v>
      </x:c>
      <x:c r="C834" s="12" t="n">
        <x:v>408</x:v>
      </x:c>
      <x:c r="D834" s="12" t="n">
        <x:v>6.000000000000057</x:v>
      </x:c>
      <x:c r="E834" s="12" t="str">
        <x:v>Archived FRED mirror (Hugging Face)</x:v>
      </x:c>
    </x:row>
    <x:row r="835" ht="18" customHeight="1">
      <x:c r="A835" s="13" t="n">
        <x:v>43740</x:v>
      </x:c>
      <x:c r="B835" s="12" t="n">
        <x:v>4.28</x:v>
      </x:c>
      <x:c r="C835" s="12" t="n">
        <x:v>428</x:v>
      </x:c>
      <x:c r="D835" s="12" t="n">
        <x:v>20</x:v>
      </x:c>
      <x:c r="E835" s="12" t="str">
        <x:v>Archived FRED mirror (Hugging Face)</x:v>
      </x:c>
    </x:row>
    <x:row r="836" ht="18" customHeight="1">
      <x:c r="A836" s="13" t="n">
        <x:v>43741</x:v>
      </x:c>
      <x:c r="B836" s="12" t="n">
        <x:v>4.4</x:v>
      </x:c>
      <x:c r="C836" s="12" t="n">
        <x:v>440.00000000000006</x:v>
      </x:c>
      <x:c r="D836" s="12" t="n">
        <x:v>12.000000000000057</x:v>
      </x:c>
      <x:c r="E836" s="12" t="str">
        <x:v>Archived FRED mirror (Hugging Face)</x:v>
      </x:c>
    </x:row>
    <x:row r="837" ht="18" customHeight="1">
      <x:c r="A837" s="13" t="n">
        <x:v>43742</x:v>
      </x:c>
      <x:c r="B837" s="12" t="n">
        <x:v>4.38</x:v>
      </x:c>
      <x:c r="C837" s="12" t="n">
        <x:v>438</x:v>
      </x:c>
      <x:c r="D837" s="12" t="n">
        <x:v>-2.000000000000057</x:v>
      </x:c>
      <x:c r="E837" s="12" t="str">
        <x:v>Archived FRED mirror (Hugging Face)</x:v>
      </x:c>
    </x:row>
    <x:row r="838" ht="18" customHeight="1">
      <x:c r="A838" s="13" t="n">
        <x:v>43745</x:v>
      </x:c>
      <x:c r="B838" s="12" t="n">
        <x:v>4.31</x:v>
      </x:c>
      <x:c r="C838" s="12" t="n">
        <x:v>430.99999999999994</x:v>
      </x:c>
      <x:c r="D838" s="12" t="n">
        <x:v>-7.000000000000057</x:v>
      </x:c>
      <x:c r="E838" s="12" t="str">
        <x:v>Archived FRED mirror (Hugging Face)</x:v>
      </x:c>
    </x:row>
    <x:row r="839" ht="18" customHeight="1">
      <x:c r="A839" s="13" t="n">
        <x:v>43746</x:v>
      </x:c>
      <x:c r="B839" s="12" t="n">
        <x:v>4.39</x:v>
      </x:c>
      <x:c r="C839" s="12" t="n">
        <x:v>438.99999999999994</x:v>
      </x:c>
      <x:c r="D839" s="12" t="n">
        <x:v>8</x:v>
      </x:c>
      <x:c r="E839" s="12" t="str">
        <x:v>Archived FRED mirror (Hugging Face)</x:v>
      </x:c>
    </x:row>
    <x:row r="840" ht="18" customHeight="1">
      <x:c r="A840" s="13" t="n">
        <x:v>43747</x:v>
      </x:c>
      <x:c r="B840" s="12" t="n">
        <x:v>4.32</x:v>
      </x:c>
      <x:c r="C840" s="12" t="n">
        <x:v>432</x:v>
      </x:c>
      <x:c r="D840" s="12" t="n">
        <x:v>-6.999999999999943</x:v>
      </x:c>
      <x:c r="E840" s="12" t="str">
        <x:v>Archived FRED mirror (Hugging Face)</x:v>
      </x:c>
    </x:row>
    <x:row r="841" ht="18" customHeight="1">
      <x:c r="A841" s="13" t="n">
        <x:v>43748</x:v>
      </x:c>
      <x:c r="B841" s="12" t="n">
        <x:v>4.26</x:v>
      </x:c>
      <x:c r="C841" s="12" t="n">
        <x:v>426</x:v>
      </x:c>
      <x:c r="D841" s="12" t="n">
        <x:v>-6</x:v>
      </x:c>
      <x:c r="E841" s="12" t="str">
        <x:v>Archived FRED mirror (Hugging Face)</x:v>
      </x:c>
    </x:row>
    <x:row r="842" ht="18" customHeight="1">
      <x:c r="A842" s="13" t="n">
        <x:v>43749</x:v>
      </x:c>
      <x:c r="B842" s="12" t="n">
        <x:v>4.1</x:v>
      </x:c>
      <x:c r="C842" s="12" t="n">
        <x:v>409.99999999999994</x:v>
      </x:c>
      <x:c r="D842" s="12" t="n">
        <x:v>-16.000000000000057</x:v>
      </x:c>
      <x:c r="E842" s="12" t="str">
        <x:v>Archived FRED mirror (Hugging Face)</x:v>
      </x:c>
    </x:row>
    <x:row r="843" ht="18" customHeight="1">
      <x:c r="A843" s="13" t="n">
        <x:v>43752</x:v>
      </x:c>
      <x:c r="B843" s="12" t="n">
        <x:v>4.08</x:v>
      </x:c>
      <x:c r="C843" s="12" t="n">
        <x:v>408</x:v>
      </x:c>
      <x:c r="D843" s="12" t="n">
        <x:v>-1.9999999999999432</x:v>
      </x:c>
      <x:c r="E843" s="12" t="str">
        <x:v>Archived FRED mirror (Hugging Face)</x:v>
      </x:c>
    </x:row>
    <x:row r="844" ht="18" customHeight="1">
      <x:c r="A844" s="13" t="n">
        <x:v>43753</x:v>
      </x:c>
      <x:c r="B844" s="12" t="n">
        <x:v>4.01</x:v>
      </x:c>
      <x:c r="C844" s="12" t="n">
        <x:v>401</x:v>
      </x:c>
      <x:c r="D844" s="12" t="n">
        <x:v>-7</x:v>
      </x:c>
      <x:c r="E844" s="12" t="str">
        <x:v>Archived FRED mirror (Hugging Face)</x:v>
      </x:c>
    </x:row>
    <x:row r="845" ht="18" customHeight="1">
      <x:c r="A845" s="13" t="n">
        <x:v>43754</x:v>
      </x:c>
      <x:c r="B845" s="12" t="n">
        <x:v>4.01</x:v>
      </x:c>
      <x:c r="C845" s="12" t="n">
        <x:v>401</x:v>
      </x:c>
      <x:c r="D845" s="12" t="n">
        <x:v>0</x:v>
      </x:c>
      <x:c r="E845" s="12" t="str">
        <x:v>Archived FRED mirror (Hugging Face)</x:v>
      </x:c>
    </x:row>
    <x:row r="846" ht="18" customHeight="1">
      <x:c r="A846" s="13" t="n">
        <x:v>43755</x:v>
      </x:c>
      <x:c r="B846" s="12" t="n">
        <x:v>4</x:v>
      </x:c>
      <x:c r="C846" s="12" t="n">
        <x:v>400</x:v>
      </x:c>
      <x:c r="D846" s="12" t="n">
        <x:v>-1</x:v>
      </x:c>
      <x:c r="E846" s="12" t="str">
        <x:v>Archived FRED mirror (Hugging Face)</x:v>
      </x:c>
    </x:row>
    <x:row r="847" ht="18" customHeight="1">
      <x:c r="A847" s="13" t="n">
        <x:v>43756</x:v>
      </x:c>
      <x:c r="B847" s="12" t="n">
        <x:v>4.02</x:v>
      </x:c>
      <x:c r="C847" s="12" t="n">
        <x:v>401.99999999999994</x:v>
      </x:c>
      <x:c r="D847" s="12" t="n">
        <x:v>1.9999999999999432</x:v>
      </x:c>
      <x:c r="E847" s="12" t="str">
        <x:v>Archived FRED mirror (Hugging Face)</x:v>
      </x:c>
    </x:row>
    <x:row r="848" ht="18" customHeight="1">
      <x:c r="A848" s="13" t="n">
        <x:v>43759</x:v>
      </x:c>
      <x:c r="B848" s="12" t="n">
        <x:v>3.98</x:v>
      </x:c>
      <x:c r="C848" s="12" t="n">
        <x:v>398</x:v>
      </x:c>
      <x:c r="D848" s="12" t="n">
        <x:v>-3.999999999999943</x:v>
      </x:c>
      <x:c r="E848" s="12" t="str">
        <x:v>Archived FRED mirror (Hugging Face)</x:v>
      </x:c>
    </x:row>
    <x:row r="849" ht="18" customHeight="1">
      <x:c r="A849" s="13" t="n">
        <x:v>43760</x:v>
      </x:c>
      <x:c r="B849" s="12" t="n">
        <x:v>3.99</x:v>
      </x:c>
      <x:c r="C849" s="12" t="n">
        <x:v>399</x:v>
      </x:c>
      <x:c r="D849" s="12" t="n">
        <x:v>1</x:v>
      </x:c>
      <x:c r="E849" s="12" t="str">
        <x:v>Archived FRED mirror (Hugging Face)</x:v>
      </x:c>
    </x:row>
    <x:row r="850" ht="18" customHeight="1">
      <x:c r="A850" s="13" t="n">
        <x:v>43761</x:v>
      </x:c>
      <x:c r="B850" s="12" t="n">
        <x:v>3.98</x:v>
      </x:c>
      <x:c r="C850" s="12" t="n">
        <x:v>398</x:v>
      </x:c>
      <x:c r="D850" s="12" t="n">
        <x:v>-1</x:v>
      </x:c>
      <x:c r="E850" s="12" t="str">
        <x:v>Archived FRED mirror (Hugging Face)</x:v>
      </x:c>
    </x:row>
    <x:row r="851" ht="18" customHeight="1">
      <x:c r="A851" s="13" t="n">
        <x:v>43762</x:v>
      </x:c>
      <x:c r="B851" s="12" t="n">
        <x:v>3.96</x:v>
      </x:c>
      <x:c r="C851" s="12" t="n">
        <x:v>396</x:v>
      </x:c>
      <x:c r="D851" s="12" t="n">
        <x:v>-2</x:v>
      </x:c>
      <x:c r="E851" s="12" t="str">
        <x:v>Archived FRED mirror (Hugging Face)</x:v>
      </x:c>
    </x:row>
    <x:row r="852" ht="18" customHeight="1">
      <x:c r="A852" s="13" t="n">
        <x:v>43763</x:v>
      </x:c>
      <x:c r="B852" s="12" t="n">
        <x:v>3.89</x:v>
      </x:c>
      <x:c r="C852" s="12" t="n">
        <x:v>389</x:v>
      </x:c>
      <x:c r="D852" s="12" t="n">
        <x:v>-7</x:v>
      </x:c>
      <x:c r="E852" s="12" t="str">
        <x:v>Archived FRED mirror (Hugging Face)</x:v>
      </x:c>
    </x:row>
    <x:row r="853" ht="18" customHeight="1">
      <x:c r="A853" s="13" t="n">
        <x:v>43766</x:v>
      </x:c>
      <x:c r="B853" s="12" t="n">
        <x:v>3.85</x:v>
      </x:c>
      <x:c r="C853" s="12" t="n">
        <x:v>385</x:v>
      </x:c>
      <x:c r="D853" s="12" t="n">
        <x:v>-4</x:v>
      </x:c>
      <x:c r="E853" s="12" t="str">
        <x:v>Archived FRED mirror (Hugging Face)</x:v>
      </x:c>
    </x:row>
    <x:row r="854" ht="18" customHeight="1">
      <x:c r="A854" s="13" t="n">
        <x:v>43767</x:v>
      </x:c>
      <x:c r="B854" s="12" t="n">
        <x:v>3.86</x:v>
      </x:c>
      <x:c r="C854" s="12" t="n">
        <x:v>386</x:v>
      </x:c>
      <x:c r="D854" s="12" t="n">
        <x:v>1</x:v>
      </x:c>
      <x:c r="E854" s="12" t="str">
        <x:v>Archived FRED mirror (Hugging Face)</x:v>
      </x:c>
    </x:row>
    <x:row r="855" ht="18" customHeight="1">
      <x:c r="A855" s="13" t="n">
        <x:v>43768</x:v>
      </x:c>
      <x:c r="B855" s="12" t="n">
        <x:v>3.96</x:v>
      </x:c>
      <x:c r="C855" s="12" t="n">
        <x:v>396</x:v>
      </x:c>
      <x:c r="D855" s="12" t="n">
        <x:v>10</x:v>
      </x:c>
      <x:c r="E855" s="12" t="str">
        <x:v>Archived FRED mirror (Hugging Face)</x:v>
      </x:c>
    </x:row>
    <x:row r="856" ht="18" customHeight="1">
      <x:c r="A856" s="13" t="n">
        <x:v>43769</x:v>
      </x:c>
      <x:c r="B856" s="12" t="n">
        <x:v>4.15</x:v>
      </x:c>
      <x:c r="C856" s="12" t="n">
        <x:v>415.00000000000006</x:v>
      </x:c>
      <x:c r="D856" s="12" t="n">
        <x:v>19.000000000000057</x:v>
      </x:c>
      <x:c r="E856" s="12" t="str">
        <x:v>Archived FRED mirror (Hugging Face)</x:v>
      </x:c>
    </x:row>
    <x:row r="857" ht="18" customHeight="1">
      <x:c r="A857" s="13" t="n">
        <x:v>43770</x:v>
      </x:c>
      <x:c r="B857" s="12" t="n">
        <x:v>4.09</x:v>
      </x:c>
      <x:c r="C857" s="12" t="n">
        <x:v>409</x:v>
      </x:c>
      <x:c r="D857" s="12" t="n">
        <x:v>-6.000000000000057</x:v>
      </x:c>
      <x:c r="E857" s="12" t="str">
        <x:v>Archived FRED mirror (Hugging Face)</x:v>
      </x:c>
    </x:row>
    <x:row r="858" ht="18" customHeight="1">
      <x:c r="A858" s="13" t="n">
        <x:v>43773</x:v>
      </x:c>
      <x:c r="B858" s="12" t="n">
        <x:v>3.99</x:v>
      </x:c>
      <x:c r="C858" s="12" t="n">
        <x:v>399</x:v>
      </x:c>
      <x:c r="D858" s="12" t="n">
        <x:v>-10</x:v>
      </x:c>
      <x:c r="E858" s="12" t="str">
        <x:v>Archived FRED mirror (Hugging Face)</x:v>
      </x:c>
    </x:row>
    <x:row r="859" ht="18" customHeight="1">
      <x:c r="A859" s="13" t="n">
        <x:v>43774</x:v>
      </x:c>
      <x:c r="B859" s="12" t="n">
        <x:v>3.97</x:v>
      </x:c>
      <x:c r="C859" s="12" t="n">
        <x:v>397</x:v>
      </x:c>
      <x:c r="D859" s="12" t="n">
        <x:v>-2</x:v>
      </x:c>
      <x:c r="E859" s="12" t="str">
        <x:v>Archived FRED mirror (Hugging Face)</x:v>
      </x:c>
    </x:row>
    <x:row r="860" ht="18" customHeight="1">
      <x:c r="A860" s="13" t="n">
        <x:v>43775</x:v>
      </x:c>
      <x:c r="B860" s="12" t="n">
        <x:v>4.02</x:v>
      </x:c>
      <x:c r="C860" s="12" t="n">
        <x:v>401.99999999999994</x:v>
      </x:c>
      <x:c r="D860" s="12" t="n">
        <x:v>4.999999999999943</x:v>
      </x:c>
      <x:c r="E860" s="12" t="str">
        <x:v>Archived FRED mirror (Hugging Face)</x:v>
      </x:c>
    </x:row>
    <x:row r="861" ht="18" customHeight="1">
      <x:c r="A861" s="13" t="n">
        <x:v>43776</x:v>
      </x:c>
      <x:c r="B861" s="12" t="n">
        <x:v>3.96</x:v>
      </x:c>
      <x:c r="C861" s="12" t="n">
        <x:v>396</x:v>
      </x:c>
      <x:c r="D861" s="12" t="n">
        <x:v>-5.999999999999943</x:v>
      </x:c>
      <x:c r="E861" s="12" t="str">
        <x:v>Archived FRED mirror (Hugging Face)</x:v>
      </x:c>
    </x:row>
    <x:row r="862" ht="18" customHeight="1">
      <x:c r="A862" s="13" t="n">
        <x:v>43777</x:v>
      </x:c>
      <x:c r="B862" s="12" t="n">
        <x:v>4</x:v>
      </x:c>
      <x:c r="C862" s="12" t="n">
        <x:v>400</x:v>
      </x:c>
      <x:c r="D862" s="12" t="n">
        <x:v>4</x:v>
      </x:c>
      <x:c r="E862" s="12" t="str">
        <x:v>Archived FRED mirror (Hugging Face)</x:v>
      </x:c>
    </x:row>
    <x:row r="863" ht="18" customHeight="1">
      <x:c r="A863" s="13" t="n">
        <x:v>43780</x:v>
      </x:c>
      <x:c r="B863" s="12" t="n">
        <x:v>3.99</x:v>
      </x:c>
      <x:c r="C863" s="12" t="n">
        <x:v>399</x:v>
      </x:c>
      <x:c r="D863" s="12" t="n">
        <x:v>-1</x:v>
      </x:c>
      <x:c r="E863" s="12" t="str">
        <x:v>Archived FRED mirror (Hugging Face)</x:v>
      </x:c>
    </x:row>
    <x:row r="864" ht="18" customHeight="1">
      <x:c r="A864" s="13" t="n">
        <x:v>43781</x:v>
      </x:c>
      <x:c r="B864" s="12" t="n">
        <x:v>4</x:v>
      </x:c>
      <x:c r="C864" s="12" t="n">
        <x:v>400</x:v>
      </x:c>
      <x:c r="D864" s="12" t="n">
        <x:v>1</x:v>
      </x:c>
      <x:c r="E864" s="12" t="str">
        <x:v>Archived FRED mirror (Hugging Face)</x:v>
      </x:c>
    </x:row>
    <x:row r="865" ht="18" customHeight="1">
      <x:c r="A865" s="13" t="n">
        <x:v>43782</x:v>
      </x:c>
      <x:c r="B865" s="12" t="n">
        <x:v>4.05</x:v>
      </x:c>
      <x:c r="C865" s="12" t="n">
        <x:v>405</x:v>
      </x:c>
      <x:c r="D865" s="12" t="n">
        <x:v>5</x:v>
      </x:c>
      <x:c r="E865" s="12" t="str">
        <x:v>Archived FRED mirror (Hugging Face)</x:v>
      </x:c>
    </x:row>
    <x:row r="866" ht="18" customHeight="1">
      <x:c r="A866" s="13" t="n">
        <x:v>43783</x:v>
      </x:c>
      <x:c r="B866" s="12" t="n">
        <x:v>4.08</x:v>
      </x:c>
      <x:c r="C866" s="12" t="n">
        <x:v>408</x:v>
      </x:c>
      <x:c r="D866" s="12" t="n">
        <x:v>3</x:v>
      </x:c>
      <x:c r="E866" s="12" t="str">
        <x:v>Archived FRED mirror (Hugging Face)</x:v>
      </x:c>
    </x:row>
    <x:row r="867" ht="18" customHeight="1">
      <x:c r="A867" s="13" t="n">
        <x:v>43784</x:v>
      </x:c>
      <x:c r="B867" s="12" t="n">
        <x:v>4.06</x:v>
      </x:c>
      <x:c r="C867" s="12" t="n">
        <x:v>405.99999999999994</x:v>
      </x:c>
      <x:c r="D867" s="12" t="n">
        <x:v>-2.000000000000057</x:v>
      </x:c>
      <x:c r="E867" s="12" t="str">
        <x:v>Archived FRED mirror (Hugging Face)</x:v>
      </x:c>
    </x:row>
    <x:row r="868" ht="18" customHeight="1">
      <x:c r="A868" s="13" t="n">
        <x:v>43787</x:v>
      </x:c>
      <x:c r="B868" s="12" t="n">
        <x:v>4.09</x:v>
      </x:c>
      <x:c r="C868" s="12" t="n">
        <x:v>409</x:v>
      </x:c>
      <x:c r="D868" s="12" t="n">
        <x:v>3.000000000000057</x:v>
      </x:c>
      <x:c r="E868" s="12" t="str">
        <x:v>Archived FRED mirror (Hugging Face)</x:v>
      </x:c>
    </x:row>
    <x:row r="869" ht="18" customHeight="1">
      <x:c r="A869" s="13" t="n">
        <x:v>43788</x:v>
      </x:c>
      <x:c r="B869" s="12" t="n">
        <x:v>4.12</x:v>
      </x:c>
      <x:c r="C869" s="12" t="n">
        <x:v>412</x:v>
      </x:c>
      <x:c r="D869" s="12" t="n">
        <x:v>3</x:v>
      </x:c>
      <x:c r="E869" s="12" t="str">
        <x:v>Archived FRED mirror (Hugging Face)</x:v>
      </x:c>
    </x:row>
    <x:row r="870" ht="18" customHeight="1">
      <x:c r="A870" s="13" t="n">
        <x:v>43789</x:v>
      </x:c>
      <x:c r="B870" s="12" t="n">
        <x:v>4.18</x:v>
      </x:c>
      <x:c r="C870" s="12" t="n">
        <x:v>418</x:v>
      </x:c>
      <x:c r="D870" s="12" t="n">
        <x:v>6</x:v>
      </x:c>
      <x:c r="E870" s="12" t="str">
        <x:v>Archived FRED mirror (Hugging Face)</x:v>
      </x:c>
    </x:row>
    <x:row r="871" ht="18" customHeight="1">
      <x:c r="A871" s="13" t="n">
        <x:v>43790</x:v>
      </x:c>
      <x:c r="B871" s="12" t="n">
        <x:v>4.17</x:v>
      </x:c>
      <x:c r="C871" s="12" t="n">
        <x:v>417</x:v>
      </x:c>
      <x:c r="D871" s="12" t="n">
        <x:v>-1</x:v>
      </x:c>
      <x:c r="E871" s="12" t="str">
        <x:v>Archived FRED mirror (Hugging Face)</x:v>
      </x:c>
    </x:row>
    <x:row r="872" ht="18" customHeight="1">
      <x:c r="A872" s="13" t="n">
        <x:v>43791</x:v>
      </x:c>
      <x:c r="B872" s="12" t="n">
        <x:v>4.13</x:v>
      </x:c>
      <x:c r="C872" s="12" t="n">
        <x:v>413</x:v>
      </x:c>
      <x:c r="D872" s="12" t="n">
        <x:v>-4</x:v>
      </x:c>
      <x:c r="E872" s="12" t="str">
        <x:v>Archived FRED mirror (Hugging Face)</x:v>
      </x:c>
    </x:row>
    <x:row r="873" ht="18" customHeight="1">
      <x:c r="A873" s="13" t="n">
        <x:v>43794</x:v>
      </x:c>
      <x:c r="B873" s="12" t="n">
        <x:v>4.08</x:v>
      </x:c>
      <x:c r="C873" s="12" t="n">
        <x:v>408</x:v>
      </x:c>
      <x:c r="D873" s="12" t="n">
        <x:v>-5</x:v>
      </x:c>
      <x:c r="E873" s="12" t="str">
        <x:v>Archived FRED mirror (Hugging Face)</x:v>
      </x:c>
    </x:row>
    <x:row r="874" ht="18" customHeight="1">
      <x:c r="A874" s="13" t="n">
        <x:v>43795</x:v>
      </x:c>
      <x:c r="B874" s="12" t="n">
        <x:v>4.05</x:v>
      </x:c>
      <x:c r="C874" s="12" t="n">
        <x:v>405</x:v>
      </x:c>
      <x:c r="D874" s="12" t="n">
        <x:v>-3</x:v>
      </x:c>
      <x:c r="E874" s="12" t="str">
        <x:v>Archived FRED mirror (Hugging Face)</x:v>
      </x:c>
    </x:row>
    <x:row r="875" ht="18" customHeight="1">
      <x:c r="A875" s="13" t="n">
        <x:v>43796</x:v>
      </x:c>
      <x:c r="B875" s="12" t="n">
        <x:v>3.99</x:v>
      </x:c>
      <x:c r="C875" s="12" t="n">
        <x:v>399</x:v>
      </x:c>
      <x:c r="D875" s="12" t="n">
        <x:v>-6</x:v>
      </x:c>
      <x:c r="E875" s="12" t="str">
        <x:v>Archived FRED mirror (Hugging Face)</x:v>
      </x:c>
    </x:row>
    <x:row r="876" ht="18" customHeight="1">
      <x:c r="A876" s="13" t="n">
        <x:v>43798</x:v>
      </x:c>
      <x:c r="B876" s="12" t="n">
        <x:v>4.01</x:v>
      </x:c>
      <x:c r="C876" s="12" t="n">
        <x:v>401</x:v>
      </x:c>
      <x:c r="D876" s="12" t="n">
        <x:v>2</x:v>
      </x:c>
      <x:c r="E876" s="12" t="str">
        <x:v>Archived FRED mirror (Hugging Face)</x:v>
      </x:c>
    </x:row>
    <x:row r="877" ht="18" customHeight="1">
      <x:c r="A877" s="13" t="n">
        <x:v>43799</x:v>
      </x:c>
      <x:c r="B877" s="12" t="n">
        <x:v>4.02</x:v>
      </x:c>
      <x:c r="C877" s="12" t="n">
        <x:v>401.99999999999994</x:v>
      </x:c>
      <x:c r="D877" s="12" t="n">
        <x:v>0.9999999999999432</x:v>
      </x:c>
      <x:c r="E877" s="12" t="str">
        <x:v>Archived FRED mirror (Hugging Face)</x:v>
      </x:c>
    </x:row>
    <x:row r="878" ht="18" customHeight="1">
      <x:c r="A878" s="13" t="n">
        <x:v>43801</x:v>
      </x:c>
      <x:c r="B878" s="12" t="n">
        <x:v>4.03</x:v>
      </x:c>
      <x:c r="C878" s="12" t="n">
        <x:v>403</x:v>
      </x:c>
      <x:c r="D878" s="12" t="n">
        <x:v>1.0000000000000568</x:v>
      </x:c>
      <x:c r="E878" s="12" t="str">
        <x:v>Archived FRED mirror (Hugging Face)</x:v>
      </x:c>
    </x:row>
    <x:row r="879" ht="18" customHeight="1">
      <x:c r="A879" s="13" t="n">
        <x:v>43802</x:v>
      </x:c>
      <x:c r="B879" s="12" t="n">
        <x:v>4.14</x:v>
      </x:c>
      <x:c r="C879" s="12" t="n">
        <x:v>413.99999999999994</x:v>
      </x:c>
      <x:c r="D879" s="12" t="n">
        <x:v>10.999999999999943</x:v>
      </x:c>
      <x:c r="E879" s="12" t="str">
        <x:v>Archived FRED mirror (Hugging Face)</x:v>
      </x:c>
    </x:row>
    <x:row r="880" ht="18" customHeight="1">
      <x:c r="A880" s="13" t="n">
        <x:v>43803</x:v>
      </x:c>
      <x:c r="B880" s="12" t="n">
        <x:v>4.02</x:v>
      </x:c>
      <x:c r="C880" s="12" t="n">
        <x:v>401.99999999999994</x:v>
      </x:c>
      <x:c r="D880" s="12" t="n">
        <x:v>-12</x:v>
      </x:c>
      <x:c r="E880" s="12" t="str">
        <x:v>Archived FRED mirror (Hugging Face)</x:v>
      </x:c>
    </x:row>
    <x:row r="881" ht="18" customHeight="1">
      <x:c r="A881" s="13" t="n">
        <x:v>43804</x:v>
      </x:c>
      <x:c r="B881" s="12" t="n">
        <x:v>4</x:v>
      </x:c>
      <x:c r="C881" s="12" t="n">
        <x:v>400</x:v>
      </x:c>
      <x:c r="D881" s="12" t="n">
        <x:v>-1.9999999999999432</x:v>
      </x:c>
      <x:c r="E881" s="12" t="str">
        <x:v>Archived FRED mirror (Hugging Face)</x:v>
      </x:c>
    </x:row>
    <x:row r="882" ht="18" customHeight="1">
      <x:c r="A882" s="13" t="n">
        <x:v>43805</x:v>
      </x:c>
      <x:c r="B882" s="12" t="n">
        <x:v>3.89</x:v>
      </x:c>
      <x:c r="C882" s="12" t="n">
        <x:v>389</x:v>
      </x:c>
      <x:c r="D882" s="12" t="n">
        <x:v>-11</x:v>
      </x:c>
      <x:c r="E882" s="12" t="str">
        <x:v>Archived FRED mirror (Hugging Face)</x:v>
      </x:c>
    </x:row>
    <x:row r="883" ht="18" customHeight="1">
      <x:c r="A883" s="13" t="n">
        <x:v>43808</x:v>
      </x:c>
      <x:c r="B883" s="12" t="n">
        <x:v>3.88</x:v>
      </x:c>
      <x:c r="C883" s="12" t="n">
        <x:v>388</x:v>
      </x:c>
      <x:c r="D883" s="12" t="n">
        <x:v>-1</x:v>
      </x:c>
      <x:c r="E883" s="12" t="str">
        <x:v>Archived FRED mirror (Hugging Face)</x:v>
      </x:c>
    </x:row>
    <x:row r="884" ht="18" customHeight="1">
      <x:c r="A884" s="13" t="n">
        <x:v>43809</x:v>
      </x:c>
      <x:c r="B884" s="12" t="n">
        <x:v>3.84</x:v>
      </x:c>
      <x:c r="C884" s="12" t="n">
        <x:v>384</x:v>
      </x:c>
      <x:c r="D884" s="12" t="n">
        <x:v>-4</x:v>
      </x:c>
      <x:c r="E884" s="12" t="str">
        <x:v>Archived FRED mirror (Hugging Face)</x:v>
      </x:c>
    </x:row>
    <x:row r="885" ht="18" customHeight="1">
      <x:c r="A885" s="13" t="n">
        <x:v>43810</x:v>
      </x:c>
      <x:c r="B885" s="12" t="n">
        <x:v>3.83</x:v>
      </x:c>
      <x:c r="C885" s="12" t="n">
        <x:v>383</x:v>
      </x:c>
      <x:c r="D885" s="12" t="n">
        <x:v>-1</x:v>
      </x:c>
      <x:c r="E885" s="12" t="str">
        <x:v>Archived FRED mirror (Hugging Face)</x:v>
      </x:c>
    </x:row>
    <x:row r="886" ht="18" customHeight="1">
      <x:c r="A886" s="13" t="n">
        <x:v>43811</x:v>
      </x:c>
      <x:c r="B886" s="12" t="n">
        <x:v>3.7</x:v>
      </x:c>
      <x:c r="C886" s="12" t="n">
        <x:v>370</x:v>
      </x:c>
      <x:c r="D886" s="12" t="n">
        <x:v>-13</x:v>
      </x:c>
      <x:c r="E886" s="12" t="str">
        <x:v>Archived FRED mirror (Hugging Face)</x:v>
      </x:c>
    </x:row>
    <x:row r="887" ht="18" customHeight="1">
      <x:c r="A887" s="13" t="n">
        <x:v>43812</x:v>
      </x:c>
      <x:c r="B887" s="12" t="n">
        <x:v>3.71</x:v>
      </x:c>
      <x:c r="C887" s="12" t="n">
        <x:v>371</x:v>
      </x:c>
      <x:c r="D887" s="12" t="n">
        <x:v>1</x:v>
      </x:c>
      <x:c r="E887" s="12" t="str">
        <x:v>Archived FRED mirror (Hugging Face)</x:v>
      </x:c>
    </x:row>
    <x:row r="888" ht="18" customHeight="1">
      <x:c r="A888" s="13" t="n">
        <x:v>43815</x:v>
      </x:c>
      <x:c r="B888" s="12" t="n">
        <x:v>3.62</x:v>
      </x:c>
      <x:c r="C888" s="12" t="n">
        <x:v>362</x:v>
      </x:c>
      <x:c r="D888" s="12" t="n">
        <x:v>-9</x:v>
      </x:c>
      <x:c r="E888" s="12" t="str">
        <x:v>Archived FRED mirror (Hugging Face)</x:v>
      </x:c>
    </x:row>
    <x:row r="889" ht="18" customHeight="1">
      <x:c r="A889" s="13" t="n">
        <x:v>43816</x:v>
      </x:c>
      <x:c r="B889" s="12" t="n">
        <x:v>3.58</x:v>
      </x:c>
      <x:c r="C889" s="12" t="n">
        <x:v>358</x:v>
      </x:c>
      <x:c r="D889" s="12" t="n">
        <x:v>-4</x:v>
      </x:c>
      <x:c r="E889" s="12" t="str">
        <x:v>Archived FRED mirror (Hugging Face)</x:v>
      </x:c>
    </x:row>
    <x:row r="890" ht="18" customHeight="1">
      <x:c r="A890" s="13" t="n">
        <x:v>43817</x:v>
      </x:c>
      <x:c r="B890" s="12" t="n">
        <x:v>3.51</x:v>
      </x:c>
      <x:c r="C890" s="12" t="n">
        <x:v>351</x:v>
      </x:c>
      <x:c r="D890" s="12" t="n">
        <x:v>-7</x:v>
      </x:c>
      <x:c r="E890" s="12" t="str">
        <x:v>Archived FRED mirror (Hugging Face)</x:v>
      </x:c>
    </x:row>
    <x:row r="891" ht="18" customHeight="1">
      <x:c r="A891" s="13" t="n">
        <x:v>43818</x:v>
      </x:c>
      <x:c r="B891" s="12" t="n">
        <x:v>3.54</x:v>
      </x:c>
      <x:c r="C891" s="12" t="n">
        <x:v>354</x:v>
      </x:c>
      <x:c r="D891" s="12" t="n">
        <x:v>3</x:v>
      </x:c>
      <x:c r="E891" s="12" t="str">
        <x:v>Archived FRED mirror (Hugging Face)</x:v>
      </x:c>
    </x:row>
    <x:row r="892" ht="18" customHeight="1">
      <x:c r="A892" s="13" t="n">
        <x:v>43819</x:v>
      </x:c>
      <x:c r="B892" s="12" t="n">
        <x:v>3.53</x:v>
      </x:c>
      <x:c r="C892" s="12" t="n">
        <x:v>353</x:v>
      </x:c>
      <x:c r="D892" s="12" t="n">
        <x:v>-1</x:v>
      </x:c>
      <x:c r="E892" s="12" t="str">
        <x:v>Archived FRED mirror (Hugging Face)</x:v>
      </x:c>
    </x:row>
    <x:row r="893" ht="18" customHeight="1">
      <x:c r="A893" s="13" t="n">
        <x:v>43822</x:v>
      </x:c>
      <x:c r="B893" s="12" t="n">
        <x:v>3.52</x:v>
      </x:c>
      <x:c r="C893" s="12" t="n">
        <x:v>352</x:v>
      </x:c>
      <x:c r="D893" s="12" t="n">
        <x:v>-1</x:v>
      </x:c>
      <x:c r="E893" s="12" t="str">
        <x:v>Archived FRED mirror (Hugging Face)</x:v>
      </x:c>
    </x:row>
    <x:row r="894" ht="18" customHeight="1">
      <x:c r="A894" s="13" t="n">
        <x:v>43823</x:v>
      </x:c>
      <x:c r="B894" s="12" t="n">
        <x:v>3.53</x:v>
      </x:c>
      <x:c r="C894" s="12" t="n">
        <x:v>353</x:v>
      </x:c>
      <x:c r="D894" s="12" t="n">
        <x:v>1</x:v>
      </x:c>
      <x:c r="E894" s="12" t="str">
        <x:v>Archived FRED mirror (Hugging Face)</x:v>
      </x:c>
    </x:row>
    <x:row r="895" ht="18" customHeight="1">
      <x:c r="A895" s="13" t="n">
        <x:v>43825</x:v>
      </x:c>
      <x:c r="B895" s="12" t="n">
        <x:v>3.53</x:v>
      </x:c>
      <x:c r="C895" s="12" t="n">
        <x:v>353</x:v>
      </x:c>
      <x:c r="D895" s="12" t="n">
        <x:v>0</x:v>
      </x:c>
      <x:c r="E895" s="12" t="str">
        <x:v>Archived FRED mirror (Hugging Face)</x:v>
      </x:c>
    </x:row>
    <x:row r="896" ht="18" customHeight="1">
      <x:c r="A896" s="13" t="n">
        <x:v>43826</x:v>
      </x:c>
      <x:c r="B896" s="12" t="n">
        <x:v>3.56</x:v>
      </x:c>
      <x:c r="C896" s="12" t="n">
        <x:v>356</x:v>
      </x:c>
      <x:c r="D896" s="12" t="n">
        <x:v>3</x:v>
      </x:c>
      <x:c r="E896" s="12" t="str">
        <x:v>Archived FRED mirror (Hugging Face)</x:v>
      </x:c>
    </x:row>
    <x:row r="897" ht="18" customHeight="1">
      <x:c r="A897" s="13" t="n">
        <x:v>43829</x:v>
      </x:c>
      <x:c r="B897" s="12" t="n">
        <x:v>3.6</x:v>
      </x:c>
      <x:c r="C897" s="12" t="n">
        <x:v>360</x:v>
      </x:c>
      <x:c r="D897" s="12" t="n">
        <x:v>4</x:v>
      </x:c>
      <x:c r="E897" s="12" t="str">
        <x:v>Archived FRED mirror (Hugging Face)</x:v>
      </x:c>
    </x:row>
    <x:row r="898" ht="18" customHeight="1">
      <x:c r="A898" s="13" t="n">
        <x:v>43830</x:v>
      </x:c>
      <x:c r="B898" s="12" t="n">
        <x:v>3.6</x:v>
      </x:c>
      <x:c r="C898" s="12" t="n">
        <x:v>360</x:v>
      </x:c>
      <x:c r="D898" s="12" t="n">
        <x:v>0</x:v>
      </x:c>
      <x:c r="E898" s="12" t="str">
        <x:v>Archived FRED mirror (Hugging Face)</x:v>
      </x:c>
    </x:row>
    <x:row r="899" ht="18" customHeight="1">
      <x:c r="A899" s="13" t="n">
        <x:v>43832</x:v>
      </x:c>
      <x:c r="B899" s="12" t="n">
        <x:v>3.56</x:v>
      </x:c>
      <x:c r="C899" s="12" t="n">
        <x:v>356</x:v>
      </x:c>
      <x:c r="D899" s="12" t="n">
        <x:v>-4</x:v>
      </x:c>
      <x:c r="E899" s="12" t="str">
        <x:v>Archived FRED mirror (Hugging Face)</x:v>
      </x:c>
    </x:row>
    <x:row r="900" ht="18" customHeight="1">
      <x:c r="A900" s="13" t="n">
        <x:v>43833</x:v>
      </x:c>
      <x:c r="B900" s="12" t="n">
        <x:v>3.61</x:v>
      </x:c>
      <x:c r="C900" s="12" t="n">
        <x:v>361</x:v>
      </x:c>
      <x:c r="D900" s="12" t="n">
        <x:v>5</x:v>
      </x:c>
      <x:c r="E900" s="12" t="str">
        <x:v>Archived FRED mirror (Hugging Face)</x:v>
      </x:c>
    </x:row>
    <x:row r="901" ht="18" customHeight="1">
      <x:c r="A901" s="13" t="n">
        <x:v>43836</x:v>
      </x:c>
      <x:c r="B901" s="12" t="n">
        <x:v>3.57</x:v>
      </x:c>
      <x:c r="C901" s="12" t="n">
        <x:v>357</x:v>
      </x:c>
      <x:c r="D901" s="12" t="n">
        <x:v>-4</x:v>
      </x:c>
      <x:c r="E901" s="12" t="str">
        <x:v>Archived FRED mirror (Hugging Face)</x:v>
      </x:c>
    </x:row>
    <x:row r="902" ht="18" customHeight="1">
      <x:c r="A902" s="13" t="n">
        <x:v>43837</x:v>
      </x:c>
      <x:c r="B902" s="12" t="n">
        <x:v>3.54</x:v>
      </x:c>
      <x:c r="C902" s="12" t="n">
        <x:v>354</x:v>
      </x:c>
      <x:c r="D902" s="12" t="n">
        <x:v>-3</x:v>
      </x:c>
      <x:c r="E902" s="12" t="str">
        <x:v>Archived FRED mirror (Hugging Face)</x:v>
      </x:c>
    </x:row>
    <x:row r="903" ht="18" customHeight="1">
      <x:c r="A903" s="13" t="n">
        <x:v>43838</x:v>
      </x:c>
      <x:c r="B903" s="12" t="n">
        <x:v>3.5</x:v>
      </x:c>
      <x:c r="C903" s="12" t="n">
        <x:v>350</x:v>
      </x:c>
      <x:c r="D903" s="12" t="n">
        <x:v>-4</x:v>
      </x:c>
      <x:c r="E903" s="12" t="str">
        <x:v>Archived FRED mirror (Hugging Face)</x:v>
      </x:c>
    </x:row>
    <x:row r="904" ht="18" customHeight="1">
      <x:c r="A904" s="13" t="n">
        <x:v>43839</x:v>
      </x:c>
      <x:c r="B904" s="12" t="n">
        <x:v>3.49</x:v>
      </x:c>
      <x:c r="C904" s="12" t="n">
        <x:v>349</x:v>
      </x:c>
      <x:c r="D904" s="12" t="n">
        <x:v>-1</x:v>
      </x:c>
      <x:c r="E904" s="12" t="str">
        <x:v>Archived FRED mirror (Hugging Face)</x:v>
      </x:c>
    </x:row>
    <x:row r="905" ht="18" customHeight="1">
      <x:c r="A905" s="13" t="n">
        <x:v>43840</x:v>
      </x:c>
      <x:c r="B905" s="12" t="n">
        <x:v>3.48</x:v>
      </x:c>
      <x:c r="C905" s="12" t="n">
        <x:v>348</x:v>
      </x:c>
      <x:c r="D905" s="12" t="n">
        <x:v>-1</x:v>
      </x:c>
      <x:c r="E905" s="12" t="str">
        <x:v>Archived FRED mirror (Hugging Face)</x:v>
      </x:c>
    </x:row>
    <x:row r="906" ht="18" customHeight="1">
      <x:c r="A906" s="13" t="n">
        <x:v>43843</x:v>
      </x:c>
      <x:c r="B906" s="12" t="n">
        <x:v>3.48</x:v>
      </x:c>
      <x:c r="C906" s="12" t="n">
        <x:v>348</x:v>
      </x:c>
      <x:c r="D906" s="12" t="n">
        <x:v>0</x:v>
      </x:c>
      <x:c r="E906" s="12" t="str">
        <x:v>Archived FRED mirror (Hugging Face)</x:v>
      </x:c>
    </x:row>
    <x:row r="907" ht="18" customHeight="1">
      <x:c r="A907" s="13" t="n">
        <x:v>43844</x:v>
      </x:c>
      <x:c r="B907" s="12" t="n">
        <x:v>3.45</x:v>
      </x:c>
      <x:c r="C907" s="12" t="n">
        <x:v>345</x:v>
      </x:c>
      <x:c r="D907" s="12" t="n">
        <x:v>-3</x:v>
      </x:c>
      <x:c r="E907" s="12" t="str">
        <x:v>Archived FRED mirror (Hugging Face)</x:v>
      </x:c>
    </x:row>
    <x:row r="908" ht="18" customHeight="1">
      <x:c r="A908" s="13" t="n">
        <x:v>43845</x:v>
      </x:c>
      <x:c r="B908" s="12" t="n">
        <x:v>3.44</x:v>
      </x:c>
      <x:c r="C908" s="12" t="n">
        <x:v>344</x:v>
      </x:c>
      <x:c r="D908" s="12" t="n">
        <x:v>-1</x:v>
      </x:c>
      <x:c r="E908" s="12" t="str">
        <x:v>Archived FRED mirror (Hugging Face)</x:v>
      </x:c>
    </x:row>
    <x:row r="909" ht="18" customHeight="1">
      <x:c r="A909" s="13" t="n">
        <x:v>43846</x:v>
      </x:c>
      <x:c r="B909" s="12" t="n">
        <x:v>3.42</x:v>
      </x:c>
      <x:c r="C909" s="12" t="n">
        <x:v>342</x:v>
      </x:c>
      <x:c r="D909" s="12" t="n">
        <x:v>-2</x:v>
      </x:c>
      <x:c r="E909" s="12" t="str">
        <x:v>Archived FRED mirror (Hugging Face)</x:v>
      </x:c>
    </x:row>
    <x:row r="910" ht="18" customHeight="1">
      <x:c r="A910" s="13" t="n">
        <x:v>43847</x:v>
      </x:c>
      <x:c r="B910" s="12" t="n">
        <x:v>3.39</x:v>
      </x:c>
      <x:c r="C910" s="12" t="n">
        <x:v>339</x:v>
      </x:c>
      <x:c r="D910" s="12" t="n">
        <x:v>-3</x:v>
      </x:c>
      <x:c r="E910" s="12" t="str">
        <x:v>Archived FRED mirror (Hugging Face)</x:v>
      </x:c>
    </x:row>
    <x:row r="911" ht="18" customHeight="1">
      <x:c r="A911" s="13" t="n">
        <x:v>43850</x:v>
      </x:c>
      <x:c r="B911" s="12" t="n">
        <x:v>3.38</x:v>
      </x:c>
      <x:c r="C911" s="12" t="n">
        <x:v>338</x:v>
      </x:c>
      <x:c r="D911" s="12" t="n">
        <x:v>-1</x:v>
      </x:c>
      <x:c r="E911" s="12" t="str">
        <x:v>Archived FRED mirror (Hugging Face)</x:v>
      </x:c>
    </x:row>
    <x:row r="912" ht="18" customHeight="1">
      <x:c r="A912" s="13" t="n">
        <x:v>43851</x:v>
      </x:c>
      <x:c r="B912" s="12" t="n">
        <x:v>3.47</x:v>
      </x:c>
      <x:c r="C912" s="12" t="n">
        <x:v>347</x:v>
      </x:c>
      <x:c r="D912" s="12" t="n">
        <x:v>9</x:v>
      </x:c>
      <x:c r="E912" s="12" t="str">
        <x:v>Archived FRED mirror (Hugging Face)</x:v>
      </x:c>
    </x:row>
    <x:row r="913" ht="18" customHeight="1">
      <x:c r="A913" s="13" t="n">
        <x:v>43852</x:v>
      </x:c>
      <x:c r="B913" s="12" t="n">
        <x:v>3.49</x:v>
      </x:c>
      <x:c r="C913" s="12" t="n">
        <x:v>349</x:v>
      </x:c>
      <x:c r="D913" s="12" t="n">
        <x:v>2</x:v>
      </x:c>
      <x:c r="E913" s="12" t="str">
        <x:v>Archived FRED mirror (Hugging Face)</x:v>
      </x:c>
    </x:row>
    <x:row r="914" ht="18" customHeight="1">
      <x:c r="A914" s="13" t="n">
        <x:v>43853</x:v>
      </x:c>
      <x:c r="B914" s="12" t="n">
        <x:v>3.58</x:v>
      </x:c>
      <x:c r="C914" s="12" t="n">
        <x:v>358</x:v>
      </x:c>
      <x:c r="D914" s="12" t="n">
        <x:v>9</x:v>
      </x:c>
      <x:c r="E914" s="12" t="str">
        <x:v>Archived FRED mirror (Hugging Face)</x:v>
      </x:c>
    </x:row>
    <x:row r="915" ht="18" customHeight="1">
      <x:c r="A915" s="13" t="n">
        <x:v>43854</x:v>
      </x:c>
      <x:c r="B915" s="12" t="n">
        <x:v>3.68</x:v>
      </x:c>
      <x:c r="C915" s="12" t="n">
        <x:v>368</x:v>
      </x:c>
      <x:c r="D915" s="12" t="n">
        <x:v>10</x:v>
      </x:c>
      <x:c r="E915" s="12" t="str">
        <x:v>Archived FRED mirror (Hugging Face)</x:v>
      </x:c>
    </x:row>
    <x:row r="916" ht="18" customHeight="1">
      <x:c r="A916" s="13" t="n">
        <x:v>43857</x:v>
      </x:c>
      <x:c r="B916" s="12" t="n">
        <x:v>4.03</x:v>
      </x:c>
      <x:c r="C916" s="12" t="n">
        <x:v>403</x:v>
      </x:c>
      <x:c r="D916" s="12" t="n">
        <x:v>35</x:v>
      </x:c>
      <x:c r="E916" s="12" t="str">
        <x:v>Archived FRED mirror (Hugging Face)</x:v>
      </x:c>
    </x:row>
    <x:row r="917" ht="18" customHeight="1">
      <x:c r="A917" s="13" t="n">
        <x:v>43858</x:v>
      </x:c>
      <x:c r="B917" s="12" t="n">
        <x:v>3.86</x:v>
      </x:c>
      <x:c r="C917" s="12" t="n">
        <x:v>386</x:v>
      </x:c>
      <x:c r="D917" s="12" t="n">
        <x:v>-17</x:v>
      </x:c>
      <x:c r="E917" s="12" t="str">
        <x:v>Archived FRED mirror (Hugging Face)</x:v>
      </x:c>
    </x:row>
    <x:row r="918" ht="18" customHeight="1">
      <x:c r="A918" s="13" t="n">
        <x:v>43859</x:v>
      </x:c>
      <x:c r="B918" s="12" t="n">
        <x:v>3.83</x:v>
      </x:c>
      <x:c r="C918" s="12" t="n">
        <x:v>383</x:v>
      </x:c>
      <x:c r="D918" s="12" t="n">
        <x:v>-3</x:v>
      </x:c>
      <x:c r="E918" s="12" t="str">
        <x:v>Archived FRED mirror (Hugging Face)</x:v>
      </x:c>
    </x:row>
    <x:row r="919" ht="18" customHeight="1">
      <x:c r="A919" s="13" t="n">
        <x:v>43860</x:v>
      </x:c>
      <x:c r="B919" s="12" t="n">
        <x:v>3.95</x:v>
      </x:c>
      <x:c r="C919" s="12" t="n">
        <x:v>395</x:v>
      </x:c>
      <x:c r="D919" s="12" t="n">
        <x:v>12</x:v>
      </x:c>
      <x:c r="E919" s="12" t="str">
        <x:v>Archived FRED mirror (Hugging Face)</x:v>
      </x:c>
    </x:row>
    <x:row r="920" ht="18" customHeight="1">
      <x:c r="A920" s="13" t="n">
        <x:v>43861</x:v>
      </x:c>
      <x:c r="B920" s="12" t="n">
        <x:v>4.03</x:v>
      </x:c>
      <x:c r="C920" s="12" t="n">
        <x:v>403</x:v>
      </x:c>
      <x:c r="D920" s="12" t="n">
        <x:v>8</x:v>
      </x:c>
      <x:c r="E920" s="12" t="str">
        <x:v>Archived FRED mirror (Hugging Face)</x:v>
      </x:c>
    </x:row>
    <x:row r="921" ht="18" customHeight="1">
      <x:c r="A921" s="13" t="n">
        <x:v>43864</x:v>
      </x:c>
      <x:c r="B921" s="12" t="n">
        <x:v>3.97</x:v>
      </x:c>
      <x:c r="C921" s="12" t="n">
        <x:v>397</x:v>
      </x:c>
      <x:c r="D921" s="12" t="n">
        <x:v>-6</x:v>
      </x:c>
      <x:c r="E921" s="12" t="str">
        <x:v>Archived FRED mirror (Hugging Face)</x:v>
      </x:c>
    </x:row>
    <x:row r="922" ht="18" customHeight="1">
      <x:c r="A922" s="13" t="n">
        <x:v>43865</x:v>
      </x:c>
      <x:c r="B922" s="12" t="n">
        <x:v>3.85</x:v>
      </x:c>
      <x:c r="C922" s="12" t="n">
        <x:v>385</x:v>
      </x:c>
      <x:c r="D922" s="12" t="n">
        <x:v>-12</x:v>
      </x:c>
      <x:c r="E922" s="12" t="str">
        <x:v>Archived FRED mirror (Hugging Face)</x:v>
      </x:c>
    </x:row>
    <x:row r="923" ht="18" customHeight="1">
      <x:c r="A923" s="13" t="n">
        <x:v>43866</x:v>
      </x:c>
      <x:c r="B923" s="12" t="n">
        <x:v>3.75</x:v>
      </x:c>
      <x:c r="C923" s="12" t="n">
        <x:v>375</x:v>
      </x:c>
      <x:c r="D923" s="12" t="n">
        <x:v>-10</x:v>
      </x:c>
      <x:c r="E923" s="12" t="str">
        <x:v>Archived FRED mirror (Hugging Face)</x:v>
      </x:c>
    </x:row>
    <x:row r="924" ht="18" customHeight="1">
      <x:c r="A924" s="13" t="n">
        <x:v>43867</x:v>
      </x:c>
      <x:c r="B924" s="12" t="n">
        <x:v>3.7</x:v>
      </x:c>
      <x:c r="C924" s="12" t="n">
        <x:v>370</x:v>
      </x:c>
      <x:c r="D924" s="12" t="n">
        <x:v>-5</x:v>
      </x:c>
      <x:c r="E924" s="12" t="str">
        <x:v>Archived FRED mirror (Hugging Face)</x:v>
      </x:c>
    </x:row>
    <x:row r="925" ht="18" customHeight="1">
      <x:c r="A925" s="13" t="n">
        <x:v>43868</x:v>
      </x:c>
      <x:c r="B925" s="12" t="n">
        <x:v>3.75</x:v>
      </x:c>
      <x:c r="C925" s="12" t="n">
        <x:v>375</x:v>
      </x:c>
      <x:c r="D925" s="12" t="n">
        <x:v>5</x:v>
      </x:c>
      <x:c r="E925" s="12" t="str">
        <x:v>Archived FRED mirror (Hugging Face)</x:v>
      </x:c>
    </x:row>
    <x:row r="926" ht="18" customHeight="1">
      <x:c r="A926" s="13" t="n">
        <x:v>43871</x:v>
      </x:c>
      <x:c r="B926" s="12" t="n">
        <x:v>3.75</x:v>
      </x:c>
      <x:c r="C926" s="12" t="n">
        <x:v>375</x:v>
      </x:c>
      <x:c r="D926" s="12" t="n">
        <x:v>0</x:v>
      </x:c>
      <x:c r="E926" s="12" t="str">
        <x:v>Archived FRED mirror (Hugging Face)</x:v>
      </x:c>
    </x:row>
    <x:row r="927" ht="18" customHeight="1">
      <x:c r="A927" s="13" t="n">
        <x:v>43872</x:v>
      </x:c>
      <x:c r="B927" s="12" t="n">
        <x:v>3.65</x:v>
      </x:c>
      <x:c r="C927" s="12" t="n">
        <x:v>365</x:v>
      </x:c>
      <x:c r="D927" s="12" t="n">
        <x:v>-10</x:v>
      </x:c>
      <x:c r="E927" s="12" t="str">
        <x:v>Archived FRED mirror (Hugging Face)</x:v>
      </x:c>
    </x:row>
    <x:row r="928" ht="18" customHeight="1">
      <x:c r="A928" s="13" t="n">
        <x:v>43873</x:v>
      </x:c>
      <x:c r="B928" s="12" t="n">
        <x:v>3.59</x:v>
      </x:c>
      <x:c r="C928" s="12" t="n">
        <x:v>359</x:v>
      </x:c>
      <x:c r="D928" s="12" t="n">
        <x:v>-6</x:v>
      </x:c>
      <x:c r="E928" s="12" t="str">
        <x:v>Archived FRED mirror (Hugging Face)</x:v>
      </x:c>
    </x:row>
    <x:row r="929" ht="18" customHeight="1">
      <x:c r="A929" s="13" t="n">
        <x:v>43874</x:v>
      </x:c>
      <x:c r="B929" s="12" t="n">
        <x:v>3.57</x:v>
      </x:c>
      <x:c r="C929" s="12" t="n">
        <x:v>357</x:v>
      </x:c>
      <x:c r="D929" s="12" t="n">
        <x:v>-2</x:v>
      </x:c>
      <x:c r="E929" s="12" t="str">
        <x:v>Archived FRED mirror (Hugging Face)</x:v>
      </x:c>
    </x:row>
    <x:row r="930" ht="18" customHeight="1">
      <x:c r="A930" s="13" t="n">
        <x:v>43875</x:v>
      </x:c>
      <x:c r="B930" s="12" t="n">
        <x:v>3.56</x:v>
      </x:c>
      <x:c r="C930" s="12" t="n">
        <x:v>356</x:v>
      </x:c>
      <x:c r="D930" s="12" t="n">
        <x:v>-1</x:v>
      </x:c>
      <x:c r="E930" s="12" t="str">
        <x:v>Archived FRED mirror (Hugging Face)</x:v>
      </x:c>
    </x:row>
    <x:row r="931" ht="18" customHeight="1">
      <x:c r="A931" s="13" t="n">
        <x:v>43878</x:v>
      </x:c>
      <x:c r="B931" s="12" t="n">
        <x:v>3.56</x:v>
      </x:c>
      <x:c r="C931" s="12" t="n">
        <x:v>356</x:v>
      </x:c>
      <x:c r="D931" s="12" t="n">
        <x:v>0</x:v>
      </x:c>
      <x:c r="E931" s="12" t="str">
        <x:v>Archived FRED mirror (Hugging Face)</x:v>
      </x:c>
    </x:row>
    <x:row r="932" ht="18" customHeight="1">
      <x:c r="A932" s="13" t="n">
        <x:v>43879</x:v>
      </x:c>
      <x:c r="B932" s="12" t="n">
        <x:v>3.61</x:v>
      </x:c>
      <x:c r="C932" s="12" t="n">
        <x:v>361</x:v>
      </x:c>
      <x:c r="D932" s="12" t="n">
        <x:v>5</x:v>
      </x:c>
      <x:c r="E932" s="12" t="str">
        <x:v>Archived FRED mirror (Hugging Face)</x:v>
      </x:c>
    </x:row>
    <x:row r="933" ht="18" customHeight="1">
      <x:c r="A933" s="13" t="n">
        <x:v>43880</x:v>
      </x:c>
      <x:c r="B933" s="12" t="n">
        <x:v>3.57</x:v>
      </x:c>
      <x:c r="C933" s="12" t="n">
        <x:v>357</x:v>
      </x:c>
      <x:c r="D933" s="12" t="n">
        <x:v>-4</x:v>
      </x:c>
      <x:c r="E933" s="12" t="str">
        <x:v>Archived FRED mirror (Hugging Face)</x:v>
      </x:c>
    </x:row>
    <x:row r="934" ht="18" customHeight="1">
      <x:c r="A934" s="13" t="n">
        <x:v>43881</x:v>
      </x:c>
      <x:c r="B934" s="12" t="n">
        <x:v>3.62</x:v>
      </x:c>
      <x:c r="C934" s="12" t="n">
        <x:v>362</x:v>
      </x:c>
      <x:c r="D934" s="12" t="n">
        <x:v>5</x:v>
      </x:c>
      <x:c r="E934" s="12" t="str">
        <x:v>Archived FRED mirror (Hugging Face)</x:v>
      </x:c>
    </x:row>
    <x:row r="935" ht="18" customHeight="1">
      <x:c r="A935" s="13" t="n">
        <x:v>43882</x:v>
      </x:c>
      <x:c r="B935" s="12" t="n">
        <x:v>3.66</x:v>
      </x:c>
      <x:c r="C935" s="12" t="n">
        <x:v>366</x:v>
      </x:c>
      <x:c r="D935" s="12" t="n">
        <x:v>4</x:v>
      </x:c>
      <x:c r="E935" s="12" t="str">
        <x:v>Archived FRED mirror (Hugging Face)</x:v>
      </x:c>
    </x:row>
    <x:row r="936" ht="18" customHeight="1">
      <x:c r="A936" s="13" t="n">
        <x:v>43885</x:v>
      </x:c>
      <x:c r="B936" s="12" t="n">
        <x:v>4.03</x:v>
      </x:c>
      <x:c r="C936" s="12" t="n">
        <x:v>403</x:v>
      </x:c>
      <x:c r="D936" s="12" t="n">
        <x:v>37</x:v>
      </x:c>
      <x:c r="E936" s="12" t="str">
        <x:v>Archived FRED mirror (Hugging Face)</x:v>
      </x:c>
    </x:row>
    <x:row r="937" ht="18" customHeight="1">
      <x:c r="A937" s="13" t="n">
        <x:v>43886</x:v>
      </x:c>
      <x:c r="B937" s="12" t="n">
        <x:v>4.18</x:v>
      </x:c>
      <x:c r="C937" s="12" t="n">
        <x:v>418</x:v>
      </x:c>
      <x:c r="D937" s="12" t="n">
        <x:v>15</x:v>
      </x:c>
      <x:c r="E937" s="12" t="str">
        <x:v>Archived FRED mirror (Hugging Face)</x:v>
      </x:c>
    </x:row>
    <x:row r="938" ht="18" customHeight="1">
      <x:c r="A938" s="13" t="n">
        <x:v>43887</x:v>
      </x:c>
      <x:c r="B938" s="12" t="n">
        <x:v>4.27</x:v>
      </x:c>
      <x:c r="C938" s="12" t="n">
        <x:v>426.99999999999994</x:v>
      </x:c>
      <x:c r="D938" s="12" t="n">
        <x:v>8.999999999999943</x:v>
      </x:c>
      <x:c r="E938" s="12" t="str">
        <x:v>Archived FRED mirror (Hugging Face)</x:v>
      </x:c>
    </x:row>
    <x:row r="939" ht="18" customHeight="1">
      <x:c r="A939" s="13" t="n">
        <x:v>43888</x:v>
      </x:c>
      <x:c r="B939" s="12" t="n">
        <x:v>4.62</x:v>
      </x:c>
      <x:c r="C939" s="12" t="n">
        <x:v>462</x:v>
      </x:c>
      <x:c r="D939" s="12" t="n">
        <x:v>35.00000000000006</x:v>
      </x:c>
      <x:c r="E939" s="12" t="str">
        <x:v>Archived FRED mirror (Hugging Face)</x:v>
      </x:c>
    </x:row>
    <x:row r="940" ht="18" customHeight="1">
      <x:c r="A940" s="13" t="n">
        <x:v>43889</x:v>
      </x:c>
      <x:c r="B940" s="12" t="n">
        <x:v>5.04</x:v>
      </x:c>
      <x:c r="C940" s="12" t="n">
        <x:v>504</x:v>
      </x:c>
      <x:c r="D940" s="12" t="n">
        <x:v>42</x:v>
      </x:c>
      <x:c r="E940" s="12" t="str">
        <x:v>Archived FRED mirror (Hugging Face)</x:v>
      </x:c>
    </x:row>
    <x:row r="941" ht="18" customHeight="1">
      <x:c r="A941" s="13" t="n">
        <x:v>43890</x:v>
      </x:c>
      <x:c r="B941" s="12" t="n">
        <x:v>5.06</x:v>
      </x:c>
      <x:c r="C941" s="12" t="n">
        <x:v>505.99999999999994</x:v>
      </x:c>
      <x:c r="D941" s="12" t="n">
        <x:v>1.9999999999999432</x:v>
      </x:c>
      <x:c r="E941" s="12" t="str">
        <x:v>Archived FRED mirror (Hugging Face)</x:v>
      </x:c>
    </x:row>
    <x:row r="942" ht="18" customHeight="1">
      <x:c r="A942" s="13" t="n">
        <x:v>43892</x:v>
      </x:c>
      <x:c r="B942" s="12" t="n">
        <x:v>4.97</x:v>
      </x:c>
      <x:c r="C942" s="12" t="n">
        <x:v>497</x:v>
      </x:c>
      <x:c r="D942" s="12" t="n">
        <x:v>-8.999999999999943</x:v>
      </x:c>
      <x:c r="E942" s="12" t="str">
        <x:v>Archived FRED mirror (Hugging Face)</x:v>
      </x:c>
    </x:row>
    <x:row r="943" ht="18" customHeight="1">
      <x:c r="A943" s="13" t="n">
        <x:v>43893</x:v>
      </x:c>
      <x:c r="B943" s="12" t="n">
        <x:v>4.84</x:v>
      </x:c>
      <x:c r="C943" s="12" t="n">
        <x:v>484</x:v>
      </x:c>
      <x:c r="D943" s="12" t="n">
        <x:v>-13</x:v>
      </x:c>
      <x:c r="E943" s="12" t="str">
        <x:v>Archived FRED mirror (Hugging Face)</x:v>
      </x:c>
    </x:row>
    <x:row r="944" ht="18" customHeight="1">
      <x:c r="A944" s="13" t="n">
        <x:v>43894</x:v>
      </x:c>
      <x:c r="B944" s="12" t="n">
        <x:v>4.75</x:v>
      </x:c>
      <x:c r="C944" s="12" t="n">
        <x:v>475</x:v>
      </x:c>
      <x:c r="D944" s="12" t="n">
        <x:v>-9</x:v>
      </x:c>
      <x:c r="E944" s="12" t="str">
        <x:v>Archived FRED mirror (Hugging Face)</x:v>
      </x:c>
    </x:row>
    <x:row r="945" ht="18" customHeight="1">
      <x:c r="A945" s="13" t="n">
        <x:v>43895</x:v>
      </x:c>
      <x:c r="B945" s="12" t="n">
        <x:v>5.05</x:v>
      </x:c>
      <x:c r="C945" s="12" t="n">
        <x:v>505</x:v>
      </x:c>
      <x:c r="D945" s="12" t="n">
        <x:v>30</x:v>
      </x:c>
      <x:c r="E945" s="12" t="str">
        <x:v>Archived FRED mirror (Hugging Face)</x:v>
      </x:c>
    </x:row>
    <x:row r="946" ht="18" customHeight="1">
      <x:c r="A946" s="13" t="n">
        <x:v>43896</x:v>
      </x:c>
      <x:c r="B946" s="12" t="n">
        <x:v>5.64</x:v>
      </x:c>
      <x:c r="C946" s="12" t="n">
        <x:v>564</x:v>
      </x:c>
      <x:c r="D946" s="12" t="n">
        <x:v>59</x:v>
      </x:c>
      <x:c r="E946" s="12" t="str">
        <x:v>Archived FRED mirror (Hugging Face)</x:v>
      </x:c>
    </x:row>
    <x:row r="947" ht="18" customHeight="1">
      <x:c r="A947" s="13" t="n">
        <x:v>43899</x:v>
      </x:c>
      <x:c r="B947" s="12" t="n">
        <x:v>6.68</x:v>
      </x:c>
      <x:c r="C947" s="12" t="n">
        <x:v>668</x:v>
      </x:c>
      <x:c r="D947" s="12" t="n">
        <x:v>104</x:v>
      </x:c>
      <x:c r="E947" s="12" t="str">
        <x:v>Archived FRED mirror (Hugging Face)</x:v>
      </x:c>
    </x:row>
    <x:row r="948" ht="18" customHeight="1">
      <x:c r="A948" s="13" t="n">
        <x:v>43900</x:v>
      </x:c>
      <x:c r="B948" s="12" t="n">
        <x:v>6.38</x:v>
      </x:c>
      <x:c r="C948" s="12" t="n">
        <x:v>638</x:v>
      </x:c>
      <x:c r="D948" s="12" t="n">
        <x:v>-30</x:v>
      </x:c>
      <x:c r="E948" s="12" t="str">
        <x:v>Archived FRED mirror (Hugging Face)</x:v>
      </x:c>
    </x:row>
    <x:row r="949" ht="18" customHeight="1">
      <x:c r="A949" s="13" t="n">
        <x:v>43901</x:v>
      </x:c>
      <x:c r="B949" s="12" t="n">
        <x:v>6.61</x:v>
      </x:c>
      <x:c r="C949" s="12" t="n">
        <x:v>661</x:v>
      </x:c>
      <x:c r="D949" s="12" t="n">
        <x:v>23</x:v>
      </x:c>
      <x:c r="E949" s="12" t="str">
        <x:v>Archived FRED mirror (Hugging Face)</x:v>
      </x:c>
    </x:row>
    <x:row r="950" ht="18" customHeight="1">
      <x:c r="A950" s="13" t="n">
        <x:v>43902</x:v>
      </x:c>
      <x:c r="B950" s="12" t="n">
        <x:v>7.42</x:v>
      </x:c>
      <x:c r="C950" s="12" t="n">
        <x:v>742</x:v>
      </x:c>
      <x:c r="D950" s="12" t="n">
        <x:v>81</x:v>
      </x:c>
      <x:c r="E950" s="12" t="str">
        <x:v>Archived FRED mirror (Hugging Face)</x:v>
      </x:c>
    </x:row>
    <x:row r="951" ht="18" customHeight="1">
      <x:c r="A951" s="13" t="n">
        <x:v>43903</x:v>
      </x:c>
      <x:c r="B951" s="12" t="n">
        <x:v>7.31</x:v>
      </x:c>
      <x:c r="C951" s="12" t="n">
        <x:v>731</x:v>
      </x:c>
      <x:c r="D951" s="12" t="n">
        <x:v>-11</x:v>
      </x:c>
      <x:c r="E951" s="12" t="str">
        <x:v>Archived FRED mirror (Hugging Face)</x:v>
      </x:c>
    </x:row>
    <x:row r="952" ht="18" customHeight="1">
      <x:c r="A952" s="13" t="n">
        <x:v>43906</x:v>
      </x:c>
      <x:c r="B952" s="12" t="n">
        <x:v>8.38</x:v>
      </x:c>
      <x:c r="C952" s="12" t="n">
        <x:v>838.0000000000001</x:v>
      </x:c>
      <x:c r="D952" s="12" t="n">
        <x:v>107.00000000000011</x:v>
      </x:c>
      <x:c r="E952" s="12" t="str">
        <x:v>Archived FRED mirror (Hugging Face)</x:v>
      </x:c>
    </x:row>
    <x:row r="953" ht="18" customHeight="1">
      <x:c r="A953" s="13" t="n">
        <x:v>43907</x:v>
      </x:c>
      <x:c r="B953" s="12" t="n">
        <x:v>8.41</x:v>
      </x:c>
      <x:c r="C953" s="12" t="n">
        <x:v>841</x:v>
      </x:c>
      <x:c r="D953" s="12" t="n">
        <x:v>2.9999999999998863</x:v>
      </x:c>
      <x:c r="E953" s="12" t="str">
        <x:v>Archived FRED mirror (Hugging Face)</x:v>
      </x:c>
    </x:row>
    <x:row r="954" ht="18" customHeight="1">
      <x:c r="A954" s="13" t="n">
        <x:v>43908</x:v>
      </x:c>
      <x:c r="B954" s="12" t="n">
        <x:v>9.04</x:v>
      </x:c>
      <x:c r="C954" s="12" t="n">
        <x:v>903.9999999999999</x:v>
      </x:c>
      <x:c r="D954" s="12" t="n">
        <x:v>62.999999999999886</x:v>
      </x:c>
      <x:c r="E954" s="12" t="str">
        <x:v>Archived FRED mirror (Hugging Face)</x:v>
      </x:c>
    </x:row>
    <x:row r="955" ht="18" customHeight="1">
      <x:c r="A955" s="13" t="n">
        <x:v>43909</x:v>
      </x:c>
      <x:c r="B955" s="12" t="n">
        <x:v>9.82</x:v>
      </x:c>
      <x:c r="C955" s="12" t="n">
        <x:v>982</x:v>
      </x:c>
      <x:c r="D955" s="12" t="n">
        <x:v>78.00000000000011</x:v>
      </x:c>
      <x:c r="E955" s="12" t="str">
        <x:v>Archived FRED mirror (Hugging Face)</x:v>
      </x:c>
    </x:row>
    <x:row r="956" ht="18" customHeight="1">
      <x:c r="A956" s="13" t="n">
        <x:v>43910</x:v>
      </x:c>
      <x:c r="B956" s="12" t="n">
        <x:v>10.09</x:v>
      </x:c>
      <x:c r="C956" s="12" t="n">
        <x:v>1009</x:v>
      </x:c>
      <x:c r="D956" s="12" t="n">
        <x:v>27</x:v>
      </x:c>
      <x:c r="E956" s="12" t="str">
        <x:v>Archived FRED mirror (Hugging Face)</x:v>
      </x:c>
    </x:row>
    <x:row r="957" ht="18" customHeight="1">
      <x:c r="A957" s="13" t="n">
        <x:v>43913</x:v>
      </x:c>
      <x:c r="B957" s="12" t="n">
        <x:v>10.87</x:v>
      </x:c>
      <x:c r="C957" s="12" t="n">
        <x:v>1087</x:v>
      </x:c>
      <x:c r="D957" s="12" t="n">
        <x:v>78</x:v>
      </x:c>
      <x:c r="E957" s="12" t="str">
        <x:v>Archived FRED mirror (Hugging Face)</x:v>
      </x:c>
    </x:row>
    <x:row r="958" ht="18" customHeight="1">
      <x:c r="A958" s="13" t="n">
        <x:v>43914</x:v>
      </x:c>
      <x:c r="B958" s="12" t="n">
        <x:v>10.55</x:v>
      </x:c>
      <x:c r="C958" s="12" t="n">
        <x:v>1055</x:v>
      </x:c>
      <x:c r="D958" s="12" t="n">
        <x:v>-32</x:v>
      </x:c>
      <x:c r="E958" s="12" t="str">
        <x:v>Archived FRED mirror (Hugging Face)</x:v>
      </x:c>
    </x:row>
    <x:row r="959" ht="18" customHeight="1">
      <x:c r="A959" s="13" t="n">
        <x:v>43915</x:v>
      </x:c>
      <x:c r="B959" s="12" t="n">
        <x:v>10.11</x:v>
      </x:c>
      <x:c r="C959" s="12" t="n">
        <x:v>1011</x:v>
      </x:c>
      <x:c r="D959" s="12" t="n">
        <x:v>-44</x:v>
      </x:c>
      <x:c r="E959" s="12" t="str">
        <x:v>Archived FRED mirror (Hugging Face)</x:v>
      </x:c>
    </x:row>
    <x:row r="960" ht="18" customHeight="1">
      <x:c r="A960" s="13" t="n">
        <x:v>43916</x:v>
      </x:c>
      <x:c r="B960" s="12" t="n">
        <x:v>9.29</x:v>
      </x:c>
      <x:c r="C960" s="12" t="n">
        <x:v>928.9999999999999</x:v>
      </x:c>
      <x:c r="D960" s="12" t="n">
        <x:v>-82.00000000000011</x:v>
      </x:c>
      <x:c r="E960" s="12" t="str">
        <x:v>Archived FRED mirror (Hugging Face)</x:v>
      </x:c>
    </x:row>
    <x:row r="961" ht="18" customHeight="1">
      <x:c r="A961" s="13" t="n">
        <x:v>43917</x:v>
      </x:c>
      <x:c r="B961" s="12" t="n">
        <x:v>8.99</x:v>
      </x:c>
      <x:c r="C961" s="12" t="n">
        <x:v>899</x:v>
      </x:c>
      <x:c r="D961" s="12" t="n">
        <x:v>-29.999999999999886</x:v>
      </x:c>
      <x:c r="E961" s="12" t="str">
        <x:v>Archived FRED mirror (Hugging Face)</x:v>
      </x:c>
    </x:row>
    <x:row r="962" ht="18" customHeight="1">
      <x:c r="A962" s="13" t="n">
        <x:v>43920</x:v>
      </x:c>
      <x:c r="B962" s="12" t="n">
        <x:v>8.82</x:v>
      </x:c>
      <x:c r="C962" s="12" t="n">
        <x:v>882</x:v>
      </x:c>
      <x:c r="D962" s="12" t="n">
        <x:v>-17</x:v>
      </x:c>
      <x:c r="E962" s="12" t="str">
        <x:v>Archived FRED mirror (Hugging Face)</x:v>
      </x:c>
    </x:row>
    <x:row r="963" ht="18" customHeight="1">
      <x:c r="A963" s="13" t="n">
        <x:v>43921</x:v>
      </x:c>
      <x:c r="B963" s="12" t="n">
        <x:v>8.77</x:v>
      </x:c>
      <x:c r="C963" s="12" t="n">
        <x:v>877</x:v>
      </x:c>
      <x:c r="D963" s="12" t="n">
        <x:v>-5</x:v>
      </x:c>
      <x:c r="E963" s="12" t="str">
        <x:v>Archived FRED mirror (Hugging Face)</x:v>
      </x:c>
    </x:row>
    <x:row r="964" ht="18" customHeight="1">
      <x:c r="A964" s="13" t="n">
        <x:v>43922</x:v>
      </x:c>
      <x:c r="B964" s="12" t="n">
        <x:v>9.11</x:v>
      </x:c>
      <x:c r="C964" s="12" t="n">
        <x:v>911</x:v>
      </x:c>
      <x:c r="D964" s="12" t="n">
        <x:v>34</x:v>
      </x:c>
      <x:c r="E964" s="12" t="str">
        <x:v>Archived FRED mirror (Hugging Face)</x:v>
      </x:c>
    </x:row>
    <x:row r="965" ht="18" customHeight="1">
      <x:c r="A965" s="13" t="n">
        <x:v>43923</x:v>
      </x:c>
      <x:c r="B965" s="12" t="n">
        <x:v>9.17</x:v>
      </x:c>
      <x:c r="C965" s="12" t="n">
        <x:v>917</x:v>
      </x:c>
      <x:c r="D965" s="12" t="n">
        <x:v>6</x:v>
      </x:c>
      <x:c r="E965" s="12" t="str">
        <x:v>Archived FRED mirror (Hugging Face)</x:v>
      </x:c>
    </x:row>
    <x:row r="966" ht="18" customHeight="1">
      <x:c r="A966" s="13" t="n">
        <x:v>43924</x:v>
      </x:c>
      <x:c r="B966" s="12" t="n">
        <x:v>9.43</x:v>
      </x:c>
      <x:c r="C966" s="12" t="n">
        <x:v>943</x:v>
      </x:c>
      <x:c r="D966" s="12" t="n">
        <x:v>26</x:v>
      </x:c>
      <x:c r="E966" s="12" t="str">
        <x:v>Archived FRED mirror (Hugging Face)</x:v>
      </x:c>
    </x:row>
    <x:row r="967" ht="18" customHeight="1">
      <x:c r="A967" s="13" t="n">
        <x:v>43927</x:v>
      </x:c>
      <x:c r="B967" s="12" t="n">
        <x:v>9.26</x:v>
      </x:c>
      <x:c r="C967" s="12" t="n">
        <x:v>926</x:v>
      </x:c>
      <x:c r="D967" s="12" t="n">
        <x:v>-17</x:v>
      </x:c>
      <x:c r="E967" s="12" t="str">
        <x:v>Archived FRED mirror (Hugging Face)</x:v>
      </x:c>
    </x:row>
    <x:row r="968" ht="18" customHeight="1">
      <x:c r="A968" s="13" t="n">
        <x:v>43928</x:v>
      </x:c>
      <x:c r="B968" s="12" t="n">
        <x:v>8.88</x:v>
      </x:c>
      <x:c r="C968" s="12" t="n">
        <x:v>888.0000000000001</x:v>
      </x:c>
      <x:c r="D968" s="12" t="n">
        <x:v>-37.999999999999886</x:v>
      </x:c>
      <x:c r="E968" s="12" t="str">
        <x:v>Archived FRED mirror (Hugging Face)</x:v>
      </x:c>
    </x:row>
    <x:row r="969" ht="18" customHeight="1">
      <x:c r="A969" s="13" t="n">
        <x:v>43929</x:v>
      </x:c>
      <x:c r="B969" s="12" t="n">
        <x:v>8.81</x:v>
      </x:c>
      <x:c r="C969" s="12" t="n">
        <x:v>881</x:v>
      </x:c>
      <x:c r="D969" s="12" t="n">
        <x:v>-7.000000000000114</x:v>
      </x:c>
      <x:c r="E969" s="12" t="str">
        <x:v>Archived FRED mirror (Hugging Face)</x:v>
      </x:c>
    </x:row>
    <x:row r="970" ht="18" customHeight="1">
      <x:c r="A970" s="13" t="n">
        <x:v>43930</x:v>
      </x:c>
      <x:c r="B970" s="12" t="n">
        <x:v>7.96</x:v>
      </x:c>
      <x:c r="C970" s="12" t="n">
        <x:v>796</x:v>
      </x:c>
      <x:c r="D970" s="12" t="n">
        <x:v>-85</x:v>
      </x:c>
      <x:c r="E970" s="12" t="str">
        <x:v>Archived FRED mirror (Hugging Face)</x:v>
      </x:c>
    </x:row>
    <x:row r="971" ht="18" customHeight="1">
      <x:c r="A971" s="13" t="n">
        <x:v>43934</x:v>
      </x:c>
      <x:c r="B971" s="12" t="n">
        <x:v>7.7</x:v>
      </x:c>
      <x:c r="C971" s="12" t="n">
        <x:v>770</x:v>
      </x:c>
      <x:c r="D971" s="12" t="n">
        <x:v>-26</x:v>
      </x:c>
      <x:c r="E971" s="12" t="str">
        <x:v>Archived FRED mirror (Hugging Face)</x:v>
      </x:c>
    </x:row>
    <x:row r="972" ht="18" customHeight="1">
      <x:c r="A972" s="13" t="n">
        <x:v>43935</x:v>
      </x:c>
      <x:c r="B972" s="12" t="n">
        <x:v>7.35</x:v>
      </x:c>
      <x:c r="C972" s="12" t="n">
        <x:v>735</x:v>
      </x:c>
      <x:c r="D972" s="12" t="n">
        <x:v>-35</x:v>
      </x:c>
      <x:c r="E972" s="12" t="str">
        <x:v>Archived FRED mirror (Hugging Face)</x:v>
      </x:c>
    </x:row>
    <x:row r="973" ht="18" customHeight="1">
      <x:c r="A973" s="13" t="n">
        <x:v>43936</x:v>
      </x:c>
      <x:c r="B973" s="12" t="n">
        <x:v>7.64</x:v>
      </x:c>
      <x:c r="C973" s="12" t="n">
        <x:v>764</x:v>
      </x:c>
      <x:c r="D973" s="12" t="n">
        <x:v>29</x:v>
      </x:c>
      <x:c r="E973" s="12" t="str">
        <x:v>Archived FRED mirror (Hugging Face)</x:v>
      </x:c>
    </x:row>
    <x:row r="974" ht="18" customHeight="1">
      <x:c r="A974" s="13" t="n">
        <x:v>43937</x:v>
      </x:c>
      <x:c r="B974" s="12" t="n">
        <x:v>7.58</x:v>
      </x:c>
      <x:c r="C974" s="12" t="n">
        <x:v>758</x:v>
      </x:c>
      <x:c r="D974" s="12" t="n">
        <x:v>-6</x:v>
      </x:c>
      <x:c r="E974" s="12" t="str">
        <x:v>Archived FRED mirror (Hugging Face)</x:v>
      </x:c>
    </x:row>
    <x:row r="975" ht="18" customHeight="1">
      <x:c r="A975" s="13" t="n">
        <x:v>43938</x:v>
      </x:c>
      <x:c r="B975" s="12" t="n">
        <x:v>7.31</x:v>
      </x:c>
      <x:c r="C975" s="12" t="n">
        <x:v>731</x:v>
      </x:c>
      <x:c r="D975" s="12" t="n">
        <x:v>-27</x:v>
      </x:c>
      <x:c r="E975" s="12" t="str">
        <x:v>Archived FRED mirror (Hugging Face)</x:v>
      </x:c>
    </x:row>
    <x:row r="976" ht="18" customHeight="1">
      <x:c r="A976" s="13" t="n">
        <x:v>43941</x:v>
      </x:c>
      <x:c r="B976" s="12" t="n">
        <x:v>7.52</x:v>
      </x:c>
      <x:c r="C976" s="12" t="n">
        <x:v>752</x:v>
      </x:c>
      <x:c r="D976" s="12" t="n">
        <x:v>21</x:v>
      </x:c>
      <x:c r="E976" s="12" t="str">
        <x:v>Archived FRED mirror (Hugging Face)</x:v>
      </x:c>
    </x:row>
    <x:row r="977" ht="18" customHeight="1">
      <x:c r="A977" s="13" t="n">
        <x:v>43942</x:v>
      </x:c>
      <x:c r="B977" s="12" t="n">
        <x:v>7.9</x:v>
      </x:c>
      <x:c r="C977" s="12" t="n">
        <x:v>790</x:v>
      </x:c>
      <x:c r="D977" s="12" t="n">
        <x:v>38</x:v>
      </x:c>
      <x:c r="E977" s="12" t="str">
        <x:v>Archived FRED mirror (Hugging Face)</x:v>
      </x:c>
    </x:row>
    <x:row r="978" ht="18" customHeight="1">
      <x:c r="A978" s="13" t="n">
        <x:v>43943</x:v>
      </x:c>
      <x:c r="B978" s="12" t="n">
        <x:v>7.85</x:v>
      </x:c>
      <x:c r="C978" s="12" t="n">
        <x:v>785</x:v>
      </x:c>
      <x:c r="D978" s="12" t="n">
        <x:v>-5</x:v>
      </x:c>
      <x:c r="E978" s="12" t="str">
        <x:v>Archived FRED mirror (Hugging Face)</x:v>
      </x:c>
    </x:row>
    <x:row r="979" ht="18" customHeight="1">
      <x:c r="A979" s="13" t="n">
        <x:v>43944</x:v>
      </x:c>
      <x:c r="B979" s="12" t="n">
        <x:v>7.87</x:v>
      </x:c>
      <x:c r="C979" s="12" t="n">
        <x:v>787</x:v>
      </x:c>
      <x:c r="D979" s="12" t="n">
        <x:v>2</x:v>
      </x:c>
      <x:c r="E979" s="12" t="str">
        <x:v>Archived FRED mirror (Hugging Face)</x:v>
      </x:c>
    </x:row>
    <x:row r="980" ht="18" customHeight="1">
      <x:c r="A980" s="13" t="n">
        <x:v>43945</x:v>
      </x:c>
      <x:c r="B980" s="12" t="n">
        <x:v>8.03</x:v>
      </x:c>
      <x:c r="C980" s="12" t="n">
        <x:v>802.9999999999999</x:v>
      </x:c>
      <x:c r="D980" s="12" t="n">
        <x:v>15.999999999999886</x:v>
      </x:c>
      <x:c r="E980" s="12" t="str">
        <x:v>Archived FRED mirror (Hugging Face)</x:v>
      </x:c>
    </x:row>
    <x:row r="981" ht="18" customHeight="1">
      <x:c r="A981" s="13" t="n">
        <x:v>43948</x:v>
      </x:c>
      <x:c r="B981" s="12" t="n">
        <x:v>8.01</x:v>
      </x:c>
      <x:c r="C981" s="12" t="n">
        <x:v>801</x:v>
      </x:c>
      <x:c r="D981" s="12" t="n">
        <x:v>-1.9999999999998863</x:v>
      </x:c>
      <x:c r="E981" s="12" t="str">
        <x:v>Archived FRED mirror (Hugging Face)</x:v>
      </x:c>
    </x:row>
    <x:row r="982" ht="18" customHeight="1">
      <x:c r="A982" s="13" t="n">
        <x:v>43949</x:v>
      </x:c>
      <x:c r="B982" s="12" t="n">
        <x:v>8.02</x:v>
      </x:c>
      <x:c r="C982" s="12" t="n">
        <x:v>802</x:v>
      </x:c>
      <x:c r="D982" s="12" t="n">
        <x:v>1</x:v>
      </x:c>
      <x:c r="E982" s="12" t="str">
        <x:v>Archived FRED mirror (Hugging Face)</x:v>
      </x:c>
    </x:row>
    <x:row r="983" ht="18" customHeight="1">
      <x:c r="A983" s="13" t="n">
        <x:v>43950</x:v>
      </x:c>
      <x:c r="B983" s="12" t="n">
        <x:v>7.87</x:v>
      </x:c>
      <x:c r="C983" s="12" t="n">
        <x:v>787</x:v>
      </x:c>
      <x:c r="D983" s="12" t="n">
        <x:v>-15</x:v>
      </x:c>
      <x:c r="E983" s="12" t="str">
        <x:v>Archived FRED mirror (Hugging Face)</x:v>
      </x:c>
    </x:row>
    <x:row r="984" ht="18" customHeight="1">
      <x:c r="A984" s="13" t="n">
        <x:v>43951</x:v>
      </x:c>
      <x:c r="B984" s="12" t="n">
        <x:v>7.63</x:v>
      </x:c>
      <x:c r="C984" s="12" t="n">
        <x:v>763</x:v>
      </x:c>
      <x:c r="D984" s="12" t="n">
        <x:v>-24</x:v>
      </x:c>
      <x:c r="E984" s="12" t="str">
        <x:v>Archived FRED mirror (Hugging Face)</x:v>
      </x:c>
    </x:row>
    <x:row r="985" ht="18" customHeight="1">
      <x:c r="A985" s="13" t="n">
        <x:v>43952</x:v>
      </x:c>
      <x:c r="B985" s="12" t="n">
        <x:v>7.7</x:v>
      </x:c>
      <x:c r="C985" s="12" t="n">
        <x:v>770</x:v>
      </x:c>
      <x:c r="D985" s="12" t="n">
        <x:v>7</x:v>
      </x:c>
      <x:c r="E985" s="12" t="str">
        <x:v>Archived FRED mirror (Hugging Face)</x:v>
      </x:c>
    </x:row>
    <x:row r="986" ht="18" customHeight="1">
      <x:c r="A986" s="13" t="n">
        <x:v>43955</x:v>
      </x:c>
      <x:c r="B986" s="12" t="n">
        <x:v>7.79</x:v>
      </x:c>
      <x:c r="C986" s="12" t="n">
        <x:v>779</x:v>
      </x:c>
      <x:c r="D986" s="12" t="n">
        <x:v>9</x:v>
      </x:c>
      <x:c r="E986" s="12" t="str">
        <x:v>Archived FRED mirror (Hugging Face)</x:v>
      </x:c>
    </x:row>
    <x:row r="987" ht="18" customHeight="1">
      <x:c r="A987" s="13" t="n">
        <x:v>43956</x:v>
      </x:c>
      <x:c r="B987" s="12" t="n">
        <x:v>7.6</x:v>
      </x:c>
      <x:c r="C987" s="12" t="n">
        <x:v>760</x:v>
      </x:c>
      <x:c r="D987" s="12" t="n">
        <x:v>-19</x:v>
      </x:c>
      <x:c r="E987" s="12" t="str">
        <x:v>Archived FRED mirror (Hugging Face)</x:v>
      </x:c>
    </x:row>
    <x:row r="988" ht="18" customHeight="1">
      <x:c r="A988" s="13" t="n">
        <x:v>43957</x:v>
      </x:c>
      <x:c r="B988" s="12" t="n">
        <x:v>7.6</x:v>
      </x:c>
      <x:c r="C988" s="12" t="n">
        <x:v>760</x:v>
      </x:c>
      <x:c r="D988" s="12" t="n">
        <x:v>0</x:v>
      </x:c>
      <x:c r="E988" s="12" t="str">
        <x:v>Archived FRED mirror (Hugging Face)</x:v>
      </x:c>
    </x:row>
    <x:row r="989" ht="18" customHeight="1">
      <x:c r="A989" s="13" t="n">
        <x:v>43958</x:v>
      </x:c>
      <x:c r="B989" s="12" t="n">
        <x:v>7.6</x:v>
      </x:c>
      <x:c r="C989" s="12" t="n">
        <x:v>760</x:v>
      </x:c>
      <x:c r="D989" s="12" t="n">
        <x:v>0</x:v>
      </x:c>
      <x:c r="E989" s="12" t="str">
        <x:v>Archived FRED mirror (Hugging Face)</x:v>
      </x:c>
    </x:row>
    <x:row r="990" ht="18" customHeight="1">
      <x:c r="A990" s="13" t="n">
        <x:v>43959</x:v>
      </x:c>
      <x:c r="B990" s="12" t="n">
        <x:v>7.52</x:v>
      </x:c>
      <x:c r="C990" s="12" t="n">
        <x:v>752</x:v>
      </x:c>
      <x:c r="D990" s="12" t="n">
        <x:v>-8</x:v>
      </x:c>
      <x:c r="E990" s="12" t="str">
        <x:v>Archived FRED mirror (Hugging Face)</x:v>
      </x:c>
    </x:row>
    <x:row r="991" ht="18" customHeight="1">
      <x:c r="A991" s="13" t="n">
        <x:v>43962</x:v>
      </x:c>
      <x:c r="B991" s="12" t="n">
        <x:v>7.51</x:v>
      </x:c>
      <x:c r="C991" s="12" t="n">
        <x:v>751</x:v>
      </x:c>
      <x:c r="D991" s="12" t="n">
        <x:v>-1</x:v>
      </x:c>
      <x:c r="E991" s="12" t="str">
        <x:v>Archived FRED mirror (Hugging Face)</x:v>
      </x:c>
    </x:row>
    <x:row r="992" ht="18" customHeight="1">
      <x:c r="A992" s="13" t="n">
        <x:v>43963</x:v>
      </x:c>
      <x:c r="B992" s="12" t="n">
        <x:v>7.42</x:v>
      </x:c>
      <x:c r="C992" s="12" t="n">
        <x:v>742</x:v>
      </x:c>
      <x:c r="D992" s="12" t="n">
        <x:v>-9</x:v>
      </x:c>
      <x:c r="E992" s="12" t="str">
        <x:v>Archived FRED mirror (Hugging Face)</x:v>
      </x:c>
    </x:row>
    <x:row r="993" ht="18" customHeight="1">
      <x:c r="A993" s="13" t="n">
        <x:v>43964</x:v>
      </x:c>
      <x:c r="B993" s="12" t="n">
        <x:v>7.61</x:v>
      </x:c>
      <x:c r="C993" s="12" t="n">
        <x:v>761</x:v>
      </x:c>
      <x:c r="D993" s="12" t="n">
        <x:v>19</x:v>
      </x:c>
      <x:c r="E993" s="12" t="str">
        <x:v>Archived FRED mirror (Hugging Face)</x:v>
      </x:c>
    </x:row>
    <x:row r="994" ht="18" customHeight="1">
      <x:c r="A994" s="13" t="n">
        <x:v>43965</x:v>
      </x:c>
      <x:c r="B994" s="12" t="n">
        <x:v>7.77</x:v>
      </x:c>
      <x:c r="C994" s="12" t="n">
        <x:v>777</x:v>
      </x:c>
      <x:c r="D994" s="12" t="n">
        <x:v>16</x:v>
      </x:c>
      <x:c r="E994" s="12" t="str">
        <x:v>Archived FRED mirror (Hugging Face)</x:v>
      </x:c>
    </x:row>
    <x:row r="995" ht="18" customHeight="1">
      <x:c r="A995" s="13" t="n">
        <x:v>43966</x:v>
      </x:c>
      <x:c r="B995" s="12" t="n">
        <x:v>7.78</x:v>
      </x:c>
      <x:c r="C995" s="12" t="n">
        <x:v>778</x:v>
      </x:c>
      <x:c r="D995" s="12" t="n">
        <x:v>1</x:v>
      </x:c>
      <x:c r="E995" s="12" t="str">
        <x:v>Archived FRED mirror (Hugging Face)</x:v>
      </x:c>
    </x:row>
    <x:row r="996" ht="18" customHeight="1">
      <x:c r="A996" s="13" t="n">
        <x:v>43969</x:v>
      </x:c>
      <x:c r="B996" s="12" t="n">
        <x:v>7.41</x:v>
      </x:c>
      <x:c r="C996" s="12" t="n">
        <x:v>741</x:v>
      </x:c>
      <x:c r="D996" s="12" t="n">
        <x:v>-37</x:v>
      </x:c>
      <x:c r="E996" s="12" t="str">
        <x:v>Archived FRED mirror (Hugging Face)</x:v>
      </x:c>
    </x:row>
    <x:row r="997" ht="18" customHeight="1">
      <x:c r="A997" s="13" t="n">
        <x:v>43970</x:v>
      </x:c>
      <x:c r="B997" s="12" t="n">
        <x:v>7.35</x:v>
      </x:c>
      <x:c r="C997" s="12" t="n">
        <x:v>735</x:v>
      </x:c>
      <x:c r="D997" s="12" t="n">
        <x:v>-6</x:v>
      </x:c>
      <x:c r="E997" s="12" t="str">
        <x:v>Archived FRED mirror (Hugging Face)</x:v>
      </x:c>
    </x:row>
    <x:row r="998" ht="18" customHeight="1">
      <x:c r="A998" s="13" t="n">
        <x:v>43971</x:v>
      </x:c>
      <x:c r="B998" s="12" t="n">
        <x:v>7.16</x:v>
      </x:c>
      <x:c r="C998" s="12" t="n">
        <x:v>716</x:v>
      </x:c>
      <x:c r="D998" s="12" t="n">
        <x:v>-19</x:v>
      </x:c>
      <x:c r="E998" s="12" t="str">
        <x:v>Archived FRED mirror (Hugging Face)</x:v>
      </x:c>
    </x:row>
    <x:row r="999" ht="18" customHeight="1">
      <x:c r="A999" s="13" t="n">
        <x:v>43972</x:v>
      </x:c>
      <x:c r="B999" s="12" t="n">
        <x:v>7.08</x:v>
      </x:c>
      <x:c r="C999" s="12" t="n">
        <x:v>708</x:v>
      </x:c>
      <x:c r="D999" s="12" t="n">
        <x:v>-8</x:v>
      </x:c>
      <x:c r="E999" s="12" t="str">
        <x:v>Archived FRED mirror (Hugging Face)</x:v>
      </x:c>
    </x:row>
    <x:row r="1000" ht="18" customHeight="1">
      <x:c r="A1000" s="13" t="n">
        <x:v>43973</x:v>
      </x:c>
      <x:c r="B1000" s="12" t="n">
        <x:v>7.06</x:v>
      </x:c>
      <x:c r="C1000" s="12" t="n">
        <x:v>706</x:v>
      </x:c>
      <x:c r="D1000" s="12" t="n">
        <x:v>-2</x:v>
      </x:c>
      <x:c r="E1000" s="12" t="str">
        <x:v>Archived FRED mirror (Hugging Face)</x:v>
      </x:c>
    </x:row>
    <x:row r="1001" ht="18" customHeight="1">
      <x:c r="A1001" s="13" t="n">
        <x:v>43976</x:v>
      </x:c>
      <x:c r="B1001" s="12" t="n">
        <x:v>7.06</x:v>
      </x:c>
      <x:c r="C1001" s="12" t="n">
        <x:v>706</x:v>
      </x:c>
      <x:c r="D1001" s="12" t="n">
        <x:v>0</x:v>
      </x:c>
      <x:c r="E1001" s="12" t="str">
        <x:v>Archived FRED mirror (Hugging Face)</x:v>
      </x:c>
    </x:row>
    <x:row r="1002" ht="18" customHeight="1">
      <x:c r="A1002" s="13" t="n">
        <x:v>43977</x:v>
      </x:c>
      <x:c r="B1002" s="12" t="n">
        <x:v>6.75</x:v>
      </x:c>
      <x:c r="C1002" s="12" t="n">
        <x:v>675</x:v>
      </x:c>
      <x:c r="D1002" s="12" t="n">
        <x:v>-31</x:v>
      </x:c>
      <x:c r="E1002" s="12" t="str">
        <x:v>Archived FRED mirror (Hugging Face)</x:v>
      </x:c>
    </x:row>
    <x:row r="1003" ht="18" customHeight="1">
      <x:c r="A1003" s="13" t="n">
        <x:v>43978</x:v>
      </x:c>
      <x:c r="B1003" s="12" t="n">
        <x:v>6.7</x:v>
      </x:c>
      <x:c r="C1003" s="12" t="n">
        <x:v>670</x:v>
      </x:c>
      <x:c r="D1003" s="12" t="n">
        <x:v>-5</x:v>
      </x:c>
      <x:c r="E1003" s="12" t="str">
        <x:v>Archived FRED mirror (Hugging Face)</x:v>
      </x:c>
    </x:row>
    <x:row r="1004" ht="18" customHeight="1">
      <x:c r="A1004" s="13" t="n">
        <x:v>43979</x:v>
      </x:c>
      <x:c r="B1004" s="12" t="n">
        <x:v>6.6</x:v>
      </x:c>
      <x:c r="C1004" s="12" t="n">
        <x:v>660</x:v>
      </x:c>
      <x:c r="D1004" s="12" t="n">
        <x:v>-10</x:v>
      </x:c>
      <x:c r="E1004" s="12" t="str">
        <x:v>Archived FRED mirror (Hugging Face)</x:v>
      </x:c>
    </x:row>
    <x:row r="1005" ht="18" customHeight="1">
      <x:c r="A1005" s="13" t="n">
        <x:v>43980</x:v>
      </x:c>
      <x:c r="B1005" s="12" t="n">
        <x:v>6.71</x:v>
      </x:c>
      <x:c r="C1005" s="12" t="n">
        <x:v>671</x:v>
      </x:c>
      <x:c r="D1005" s="12" t="n">
        <x:v>11</x:v>
      </x:c>
      <x:c r="E1005" s="12" t="str">
        <x:v>Archived FRED mirror (Hugging Face)</x:v>
      </x:c>
    </x:row>
    <x:row r="1006" ht="18" customHeight="1">
      <x:c r="A1006" s="13" t="n">
        <x:v>43982</x:v>
      </x:c>
      <x:c r="B1006" s="12" t="n">
        <x:v>6.54</x:v>
      </x:c>
      <x:c r="C1006" s="12" t="n">
        <x:v>654</x:v>
      </x:c>
      <x:c r="D1006" s="12" t="n">
        <x:v>-17</x:v>
      </x:c>
      <x:c r="E1006" s="12" t="str">
        <x:v>Archived FRED mirror (Hugging Face)</x:v>
      </x:c>
    </x:row>
    <x:row r="1007" ht="18" customHeight="1">
      <x:c r="A1007" s="13" t="n">
        <x:v>43983</x:v>
      </x:c>
      <x:c r="B1007" s="12" t="n">
        <x:v>6.43</x:v>
      </x:c>
      <x:c r="C1007" s="12" t="n">
        <x:v>643</x:v>
      </x:c>
      <x:c r="D1007" s="12" t="n">
        <x:v>-11</x:v>
      </x:c>
      <x:c r="E1007" s="12" t="str">
        <x:v>Archived FRED mirror (Hugging Face)</x:v>
      </x:c>
    </x:row>
    <x:row r="1008" ht="18" customHeight="1">
      <x:c r="A1008" s="13" t="n">
        <x:v>43984</x:v>
      </x:c>
      <x:c r="B1008" s="12" t="n">
        <x:v>6.18</x:v>
      </x:c>
      <x:c r="C1008" s="12" t="n">
        <x:v>618</x:v>
      </x:c>
      <x:c r="D1008" s="12" t="n">
        <x:v>-25</x:v>
      </x:c>
      <x:c r="E1008" s="12" t="str">
        <x:v>Archived FRED mirror (Hugging Face)</x:v>
      </x:c>
    </x:row>
    <x:row r="1009" ht="18" customHeight="1">
      <x:c r="A1009" s="13" t="n">
        <x:v>43985</x:v>
      </x:c>
      <x:c r="B1009" s="12" t="n">
        <x:v>5.8</x:v>
      </x:c>
      <x:c r="C1009" s="12" t="n">
        <x:v>580</x:v>
      </x:c>
      <x:c r="D1009" s="12" t="n">
        <x:v>-38</x:v>
      </x:c>
      <x:c r="E1009" s="12" t="str">
        <x:v>Archived FRED mirror (Hugging Face)</x:v>
      </x:c>
    </x:row>
    <x:row r="1010" ht="18" customHeight="1">
      <x:c r="A1010" s="13" t="n">
        <x:v>43986</x:v>
      </x:c>
      <x:c r="B1010" s="12" t="n">
        <x:v>5.83</x:v>
      </x:c>
      <x:c r="C1010" s="12" t="n">
        <x:v>583</x:v>
      </x:c>
      <x:c r="D1010" s="12" t="n">
        <x:v>3</x:v>
      </x:c>
      <x:c r="E1010" s="12" t="str">
        <x:v>Archived FRED mirror (Hugging Face)</x:v>
      </x:c>
    </x:row>
    <x:row r="1011" ht="18" customHeight="1">
      <x:c r="A1011" s="13" t="n">
        <x:v>43987</x:v>
      </x:c>
      <x:c r="B1011" s="12" t="n">
        <x:v>5.5</x:v>
      </x:c>
      <x:c r="C1011" s="12" t="n">
        <x:v>550</x:v>
      </x:c>
      <x:c r="D1011" s="12" t="n">
        <x:v>-33</x:v>
      </x:c>
      <x:c r="E1011" s="12" t="str">
        <x:v>Archived FRED mirror (Hugging Face)</x:v>
      </x:c>
    </x:row>
    <x:row r="1012" ht="18" customHeight="1">
      <x:c r="A1012" s="13" t="n">
        <x:v>43990</x:v>
      </x:c>
      <x:c r="B1012" s="12" t="n">
        <x:v>5.51</x:v>
      </x:c>
      <x:c r="C1012" s="12" t="n">
        <x:v>551</x:v>
      </x:c>
      <x:c r="D1012" s="12" t="n">
        <x:v>1</x:v>
      </x:c>
      <x:c r="E1012" s="12" t="str">
        <x:v>Archived FRED mirror (Hugging Face)</x:v>
      </x:c>
    </x:row>
    <x:row r="1013" ht="18" customHeight="1">
      <x:c r="A1013" s="13" t="n">
        <x:v>43991</x:v>
      </x:c>
      <x:c r="B1013" s="12" t="n">
        <x:v>5.75</x:v>
      </x:c>
      <x:c r="C1013" s="12" t="n">
        <x:v>575</x:v>
      </x:c>
      <x:c r="D1013" s="12" t="n">
        <x:v>24</x:v>
      </x:c>
      <x:c r="E1013" s="12" t="str">
        <x:v>Archived FRED mirror (Hugging Face)</x:v>
      </x:c>
    </x:row>
    <x:row r="1014" ht="18" customHeight="1">
      <x:c r="A1014" s="13" t="n">
        <x:v>43992</x:v>
      </x:c>
      <x:c r="B1014" s="12" t="n">
        <x:v>5.92</x:v>
      </x:c>
      <x:c r="C1014" s="12" t="n">
        <x:v>592</x:v>
      </x:c>
      <x:c r="D1014" s="12" t="n">
        <x:v>17</x:v>
      </x:c>
      <x:c r="E1014" s="12" t="str">
        <x:v>Archived FRED mirror (Hugging Face)</x:v>
      </x:c>
    </x:row>
    <x:row r="1015" ht="18" customHeight="1">
      <x:c r="A1015" s="13" t="n">
        <x:v>43993</x:v>
      </x:c>
      <x:c r="B1015" s="12" t="n">
        <x:v>6.4</x:v>
      </x:c>
      <x:c r="C1015" s="12" t="n">
        <x:v>640</x:v>
      </x:c>
      <x:c r="D1015" s="12" t="n">
        <x:v>48</x:v>
      </x:c>
      <x:c r="E1015" s="12" t="str">
        <x:v>Archived FRED mirror (Hugging Face)</x:v>
      </x:c>
    </x:row>
    <x:row r="1016" ht="18" customHeight="1">
      <x:c r="A1016" s="13" t="n">
        <x:v>43994</x:v>
      </x:c>
      <x:c r="B1016" s="12" t="n">
        <x:v>6.28</x:v>
      </x:c>
      <x:c r="C1016" s="12" t="n">
        <x:v>628</x:v>
      </x:c>
      <x:c r="D1016" s="12" t="n">
        <x:v>-12</x:v>
      </x:c>
      <x:c r="E1016" s="12" t="str">
        <x:v>Archived FRED mirror (Hugging Face)</x:v>
      </x:c>
    </x:row>
    <x:row r="1017" ht="18" customHeight="1">
      <x:c r="A1017" s="13" t="n">
        <x:v>43997</x:v>
      </x:c>
      <x:c r="B1017" s="12" t="n">
        <x:v>6.25</x:v>
      </x:c>
      <x:c r="C1017" s="12" t="n">
        <x:v>625</x:v>
      </x:c>
      <x:c r="D1017" s="12" t="n">
        <x:v>-3</x:v>
      </x:c>
      <x:c r="E1017" s="12" t="str">
        <x:v>Archived FRED mirror (Hugging Face)</x:v>
      </x:c>
    </x:row>
    <x:row r="1018" ht="18" customHeight="1">
      <x:c r="A1018" s="13" t="n">
        <x:v>43998</x:v>
      </x:c>
      <x:c r="B1018" s="12" t="n">
        <x:v>5.78</x:v>
      </x:c>
      <x:c r="C1018" s="12" t="n">
        <x:v>578</x:v>
      </x:c>
      <x:c r="D1018" s="12" t="n">
        <x:v>-47</x:v>
      </x:c>
      <x:c r="E1018" s="12" t="str">
        <x:v>Archived FRED mirror (Hugging Face)</x:v>
      </x:c>
    </x:row>
    <x:row r="1019" ht="18" customHeight="1">
      <x:c r="A1019" s="13" t="n">
        <x:v>43999</x:v>
      </x:c>
      <x:c r="B1019" s="12" t="n">
        <x:v>5.85</x:v>
      </x:c>
      <x:c r="C1019" s="12" t="n">
        <x:v>585</x:v>
      </x:c>
      <x:c r="D1019" s="12" t="n">
        <x:v>7</x:v>
      </x:c>
      <x:c r="E1019" s="12" t="str">
        <x:v>Archived FRED mirror (Hugging Face)</x:v>
      </x:c>
    </x:row>
    <x:row r="1020" ht="18" customHeight="1">
      <x:c r="A1020" s="13" t="n">
        <x:v>44000</x:v>
      </x:c>
      <x:c r="B1020" s="12" t="n">
        <x:v>6.01</x:v>
      </x:c>
      <x:c r="C1020" s="12" t="n">
        <x:v>601</x:v>
      </x:c>
      <x:c r="D1020" s="12" t="n">
        <x:v>16</x:v>
      </x:c>
      <x:c r="E1020" s="12" t="str">
        <x:v>Archived FRED mirror (Hugging Face)</x:v>
      </x:c>
    </x:row>
    <x:row r="1021" ht="18" customHeight="1">
      <x:c r="A1021" s="13" t="n">
        <x:v>44001</x:v>
      </x:c>
      <x:c r="B1021" s="12" t="n">
        <x:v>6.02</x:v>
      </x:c>
      <x:c r="C1021" s="12" t="n">
        <x:v>602</x:v>
      </x:c>
      <x:c r="D1021" s="12" t="n">
        <x:v>1</x:v>
      </x:c>
      <x:c r="E1021" s="12" t="str">
        <x:v>Archived FRED mirror (Hugging Face)</x:v>
      </x:c>
    </x:row>
    <x:row r="1022" ht="18" customHeight="1">
      <x:c r="A1022" s="13" t="n">
        <x:v>44004</x:v>
      </x:c>
      <x:c r="B1022" s="12" t="n">
        <x:v>6.03</x:v>
      </x:c>
      <x:c r="C1022" s="12" t="n">
        <x:v>603</x:v>
      </x:c>
      <x:c r="D1022" s="12" t="n">
        <x:v>1</x:v>
      </x:c>
      <x:c r="E1022" s="12" t="str">
        <x:v>Archived FRED mirror (Hugging Face)</x:v>
      </x:c>
    </x:row>
    <x:row r="1023" ht="18" customHeight="1">
      <x:c r="A1023" s="13" t="n">
        <x:v>44005</x:v>
      </x:c>
      <x:c r="B1023" s="12" t="n">
        <x:v>6.02</x:v>
      </x:c>
      <x:c r="C1023" s="12" t="n">
        <x:v>602</x:v>
      </x:c>
      <x:c r="D1023" s="12" t="n">
        <x:v>-1</x:v>
      </x:c>
      <x:c r="E1023" s="12" t="str">
        <x:v>Archived FRED mirror (Hugging Face)</x:v>
      </x:c>
    </x:row>
    <x:row r="1024" ht="18" customHeight="1">
      <x:c r="A1024" s="13" t="n">
        <x:v>44006</x:v>
      </x:c>
      <x:c r="B1024" s="12" t="n">
        <x:v>6.23</x:v>
      </x:c>
      <x:c r="C1024" s="12" t="n">
        <x:v>623</x:v>
      </x:c>
      <x:c r="D1024" s="12" t="n">
        <x:v>21</x:v>
      </x:c>
      <x:c r="E1024" s="12" t="str">
        <x:v>Archived FRED mirror (Hugging Face)</x:v>
      </x:c>
    </x:row>
    <x:row r="1025" ht="18" customHeight="1">
      <x:c r="A1025" s="13" t="n">
        <x:v>44007</x:v>
      </x:c>
      <x:c r="B1025" s="12" t="n">
        <x:v>6.3</x:v>
      </x:c>
      <x:c r="C1025" s="12" t="n">
        <x:v>630</x:v>
      </x:c>
      <x:c r="D1025" s="12" t="n">
        <x:v>7</x:v>
      </x:c>
      <x:c r="E1025" s="12" t="str">
        <x:v>Archived FRED mirror (Hugging Face)</x:v>
      </x:c>
    </x:row>
    <x:row r="1026" ht="18" customHeight="1">
      <x:c r="A1026" s="13" t="n">
        <x:v>44008</x:v>
      </x:c>
      <x:c r="B1026" s="12" t="n">
        <x:v>6.41</x:v>
      </x:c>
      <x:c r="C1026" s="12" t="n">
        <x:v>641</x:v>
      </x:c>
      <x:c r="D1026" s="12" t="n">
        <x:v>11</x:v>
      </x:c>
      <x:c r="E1026" s="12" t="str">
        <x:v>Archived FRED mirror (Hugging Face)</x:v>
      </x:c>
    </x:row>
    <x:row r="1027" ht="18" customHeight="1">
      <x:c r="A1027" s="13" t="n">
        <x:v>44011</x:v>
      </x:c>
      <x:c r="B1027" s="12" t="n">
        <x:v>6.52</x:v>
      </x:c>
      <x:c r="C1027" s="12" t="n">
        <x:v>652</x:v>
      </x:c>
      <x:c r="D1027" s="12" t="n">
        <x:v>11</x:v>
      </x:c>
      <x:c r="E1027" s="12" t="str">
        <x:v>Archived FRED mirror (Hugging Face)</x:v>
      </x:c>
    </x:row>
    <x:row r="1028" ht="18" customHeight="1">
      <x:c r="A1028" s="13" t="n">
        <x:v>44012</x:v>
      </x:c>
      <x:c r="B1028" s="12" t="n">
        <x:v>6.44</x:v>
      </x:c>
      <x:c r="C1028" s="12" t="n">
        <x:v>644</x:v>
      </x:c>
      <x:c r="D1028" s="12" t="n">
        <x:v>-8</x:v>
      </x:c>
      <x:c r="E1028" s="12" t="str">
        <x:v>Archived FRED mirror (Hugging Face)</x:v>
      </x:c>
    </x:row>
    <x:row r="1029" ht="18" customHeight="1">
      <x:c r="A1029" s="13" t="n">
        <x:v>44013</x:v>
      </x:c>
      <x:c r="B1029" s="12" t="n">
        <x:v>6.33</x:v>
      </x:c>
      <x:c r="C1029" s="12" t="n">
        <x:v>633</x:v>
      </x:c>
      <x:c r="D1029" s="12" t="n">
        <x:v>-11</x:v>
      </x:c>
      <x:c r="E1029" s="12" t="str">
        <x:v>Archived FRED mirror (Hugging Face)</x:v>
      </x:c>
    </x:row>
    <x:row r="1030" ht="18" customHeight="1">
      <x:c r="A1030" s="13" t="n">
        <x:v>44014</x:v>
      </x:c>
      <x:c r="B1030" s="12" t="n">
        <x:v>6.17</x:v>
      </x:c>
      <x:c r="C1030" s="12" t="n">
        <x:v>617</x:v>
      </x:c>
      <x:c r="D1030" s="12" t="n">
        <x:v>-16</x:v>
      </x:c>
      <x:c r="E1030" s="12" t="str">
        <x:v>Archived FRED mirror (Hugging Face)</x:v>
      </x:c>
    </x:row>
    <x:row r="1031" ht="18" customHeight="1">
      <x:c r="A1031" s="13" t="n">
        <x:v>44015</x:v>
      </x:c>
      <x:c r="B1031" s="12" t="n">
        <x:v>6.17</x:v>
      </x:c>
      <x:c r="C1031" s="12" t="n">
        <x:v>617</x:v>
      </x:c>
      <x:c r="D1031" s="12" t="n">
        <x:v>0</x:v>
      </x:c>
      <x:c r="E1031" s="12" t="str">
        <x:v>Archived FRED mirror (Hugging Face)</x:v>
      </x:c>
    </x:row>
    <x:row r="1032" ht="18" customHeight="1">
      <x:c r="A1032" s="13" t="n">
        <x:v>44018</x:v>
      </x:c>
      <x:c r="B1032" s="12" t="n">
        <x:v>6.03</x:v>
      </x:c>
      <x:c r="C1032" s="12" t="n">
        <x:v>603</x:v>
      </x:c>
      <x:c r="D1032" s="12" t="n">
        <x:v>-14</x:v>
      </x:c>
      <x:c r="E1032" s="12" t="str">
        <x:v>Archived FRED mirror (Hugging Face)</x:v>
      </x:c>
    </x:row>
    <x:row r="1033" ht="18" customHeight="1">
      <x:c r="A1033" s="13" t="n">
        <x:v>44019</x:v>
      </x:c>
      <x:c r="B1033" s="12" t="n">
        <x:v>6.04</x:v>
      </x:c>
      <x:c r="C1033" s="12" t="n">
        <x:v>604</x:v>
      </x:c>
      <x:c r="D1033" s="12" t="n">
        <x:v>1</x:v>
      </x:c>
      <x:c r="E1033" s="12" t="str">
        <x:v>Archived FRED mirror (Hugging Face)</x:v>
      </x:c>
    </x:row>
    <x:row r="1034" ht="18" customHeight="1">
      <x:c r="A1034" s="13" t="n">
        <x:v>44020</x:v>
      </x:c>
      <x:c r="B1034" s="12" t="n">
        <x:v>6.06</x:v>
      </x:c>
      <x:c r="C1034" s="12" t="n">
        <x:v>606</x:v>
      </x:c>
      <x:c r="D1034" s="12" t="n">
        <x:v>2</x:v>
      </x:c>
      <x:c r="E1034" s="12" t="str">
        <x:v>Archived FRED mirror (Hugging Face)</x:v>
      </x:c>
    </x:row>
    <x:row r="1035" ht="18" customHeight="1">
      <x:c r="A1035" s="13" t="n">
        <x:v>44021</x:v>
      </x:c>
      <x:c r="B1035" s="12" t="n">
        <x:v>6.14</x:v>
      </x:c>
      <x:c r="C1035" s="12" t="n">
        <x:v>614</x:v>
      </x:c>
      <x:c r="D1035" s="12" t="n">
        <x:v>8</x:v>
      </x:c>
      <x:c r="E1035" s="12" t="str">
        <x:v>Archived FRED mirror (Hugging Face)</x:v>
      </x:c>
    </x:row>
    <x:row r="1036" ht="18" customHeight="1">
      <x:c r="A1036" s="13" t="n">
        <x:v>44022</x:v>
      </x:c>
      <x:c r="B1036" s="12" t="n">
        <x:v>6.14</x:v>
      </x:c>
      <x:c r="C1036" s="12" t="n">
        <x:v>614</x:v>
      </x:c>
      <x:c r="D1036" s="12" t="n">
        <x:v>0</x:v>
      </x:c>
      <x:c r="E1036" s="12" t="str">
        <x:v>Archived FRED mirror (Hugging Face)</x:v>
      </x:c>
    </x:row>
    <x:row r="1037" ht="18" customHeight="1">
      <x:c r="A1037" s="13" t="n">
        <x:v>44025</x:v>
      </x:c>
      <x:c r="B1037" s="12" t="n">
        <x:v>6.01</x:v>
      </x:c>
      <x:c r="C1037" s="12" t="n">
        <x:v>601</x:v>
      </x:c>
      <x:c r="D1037" s="12" t="n">
        <x:v>-13</x:v>
      </x:c>
      <x:c r="E1037" s="12" t="str">
        <x:v>Archived FRED mirror (Hugging Face)</x:v>
      </x:c>
    </x:row>
    <x:row r="1038" ht="18" customHeight="1">
      <x:c r="A1038" s="13" t="n">
        <x:v>44026</x:v>
      </x:c>
      <x:c r="B1038" s="12" t="n">
        <x:v>6.03</x:v>
      </x:c>
      <x:c r="C1038" s="12" t="n">
        <x:v>603</x:v>
      </x:c>
      <x:c r="D1038" s="12" t="n">
        <x:v>2</x:v>
      </x:c>
      <x:c r="E1038" s="12" t="str">
        <x:v>Archived FRED mirror (Hugging Face)</x:v>
      </x:c>
    </x:row>
    <x:row r="1039" ht="18" customHeight="1">
      <x:c r="A1039" s="13" t="n">
        <x:v>44027</x:v>
      </x:c>
      <x:c r="B1039" s="12" t="n">
        <x:v>5.81</x:v>
      </x:c>
      <x:c r="C1039" s="12" t="n">
        <x:v>581</x:v>
      </x:c>
      <x:c r="D1039" s="12" t="n">
        <x:v>-22</x:v>
      </x:c>
      <x:c r="E1039" s="12" t="str">
        <x:v>Archived FRED mirror (Hugging Face)</x:v>
      </x:c>
    </x:row>
    <x:row r="1040" ht="18" customHeight="1">
      <x:c r="A1040" s="13" t="n">
        <x:v>44028</x:v>
      </x:c>
      <x:c r="B1040" s="12" t="n">
        <x:v>5.76</x:v>
      </x:c>
      <x:c r="C1040" s="12" t="n">
        <x:v>576</x:v>
      </x:c>
      <x:c r="D1040" s="12" t="n">
        <x:v>-5</x:v>
      </x:c>
      <x:c r="E1040" s="12" t="str">
        <x:v>Archived FRED mirror (Hugging Face)</x:v>
      </x:c>
    </x:row>
    <x:row r="1041" ht="18" customHeight="1">
      <x:c r="A1041" s="13" t="n">
        <x:v>44029</x:v>
      </x:c>
      <x:c r="B1041" s="12" t="n">
        <x:v>5.74</x:v>
      </x:c>
      <x:c r="C1041" s="12" t="n">
        <x:v>574</x:v>
      </x:c>
      <x:c r="D1041" s="12" t="n">
        <x:v>-2</x:v>
      </x:c>
      <x:c r="E1041" s="12" t="str">
        <x:v>Archived FRED mirror (Hugging Face)</x:v>
      </x:c>
    </x:row>
    <x:row r="1042" ht="18" customHeight="1">
      <x:c r="A1042" s="13" t="n">
        <x:v>44032</x:v>
      </x:c>
      <x:c r="B1042" s="12" t="n">
        <x:v>5.54</x:v>
      </x:c>
      <x:c r="C1042" s="12" t="n">
        <x:v>554</x:v>
      </x:c>
      <x:c r="D1042" s="12" t="n">
        <x:v>-20</x:v>
      </x:c>
      <x:c r="E1042" s="12" t="str">
        <x:v>Archived FRED mirror (Hugging Face)</x:v>
      </x:c>
    </x:row>
    <x:row r="1043" ht="18" customHeight="1">
      <x:c r="A1043" s="13" t="n">
        <x:v>44033</x:v>
      </x:c>
      <x:c r="B1043" s="12" t="n">
        <x:v>5.33</x:v>
      </x:c>
      <x:c r="C1043" s="12" t="n">
        <x:v>533</x:v>
      </x:c>
      <x:c r="D1043" s="12" t="n">
        <x:v>-21</x:v>
      </x:c>
      <x:c r="E1043" s="12" t="str">
        <x:v>Archived FRED mirror (Hugging Face)</x:v>
      </x:c>
    </x:row>
    <x:row r="1044" ht="18" customHeight="1">
      <x:c r="A1044" s="13" t="n">
        <x:v>44034</x:v>
      </x:c>
      <x:c r="B1044" s="12" t="n">
        <x:v>5.28</x:v>
      </x:c>
      <x:c r="C1044" s="12" t="n">
        <x:v>528</x:v>
      </x:c>
      <x:c r="D1044" s="12" t="n">
        <x:v>-5</x:v>
      </x:c>
      <x:c r="E1044" s="12" t="str">
        <x:v>Archived FRED mirror (Hugging Face)</x:v>
      </x:c>
    </x:row>
    <x:row r="1045" ht="18" customHeight="1">
      <x:c r="A1045" s="13" t="n">
        <x:v>44035</x:v>
      </x:c>
      <x:c r="B1045" s="12" t="n">
        <x:v>5.26</x:v>
      </x:c>
      <x:c r="C1045" s="12" t="n">
        <x:v>526</x:v>
      </x:c>
      <x:c r="D1045" s="12" t="n">
        <x:v>-2</x:v>
      </x:c>
      <x:c r="E1045" s="12" t="str">
        <x:v>Archived FRED mirror (Hugging Face)</x:v>
      </x:c>
    </x:row>
    <x:row r="1046" ht="18" customHeight="1">
      <x:c r="A1046" s="13" t="n">
        <x:v>44036</x:v>
      </x:c>
      <x:c r="B1046" s="12" t="n">
        <x:v>5.29</x:v>
      </x:c>
      <x:c r="C1046" s="12" t="n">
        <x:v>529</x:v>
      </x:c>
      <x:c r="D1046" s="12" t="n">
        <x:v>3</x:v>
      </x:c>
      <x:c r="E1046" s="12" t="str">
        <x:v>Archived FRED mirror (Hugging Face)</x:v>
      </x:c>
    </x:row>
    <x:row r="1047" ht="18" customHeight="1">
      <x:c r="A1047" s="13" t="n">
        <x:v>44039</x:v>
      </x:c>
      <x:c r="B1047" s="12" t="n">
        <x:v>5.24</x:v>
      </x:c>
      <x:c r="C1047" s="12" t="n">
        <x:v>524</x:v>
      </x:c>
      <x:c r="D1047" s="12" t="n">
        <x:v>-5</x:v>
      </x:c>
      <x:c r="E1047" s="12" t="str">
        <x:v>Archived FRED mirror (Hugging Face)</x:v>
      </x:c>
    </x:row>
    <x:row r="1048" ht="18" customHeight="1">
      <x:c r="A1048" s="13" t="n">
        <x:v>44040</x:v>
      </x:c>
      <x:c r="B1048" s="12" t="n">
        <x:v>5.27</x:v>
      </x:c>
      <x:c r="C1048" s="12" t="n">
        <x:v>527</x:v>
      </x:c>
      <x:c r="D1048" s="12" t="n">
        <x:v>3</x:v>
      </x:c>
      <x:c r="E1048" s="12" t="str">
        <x:v>Archived FRED mirror (Hugging Face)</x:v>
      </x:c>
    </x:row>
    <x:row r="1049" ht="18" customHeight="1">
      <x:c r="A1049" s="13" t="n">
        <x:v>44041</x:v>
      </x:c>
      <x:c r="B1049" s="12" t="n">
        <x:v>5.15</x:v>
      </x:c>
      <x:c r="C1049" s="12" t="n">
        <x:v>515</x:v>
      </x:c>
      <x:c r="D1049" s="12" t="n">
        <x:v>-12</x:v>
      </x:c>
      <x:c r="E1049" s="12" t="str">
        <x:v>Archived FRED mirror (Hugging Face)</x:v>
      </x:c>
    </x:row>
    <x:row r="1050" ht="18" customHeight="1">
      <x:c r="A1050" s="13" t="n">
        <x:v>44042</x:v>
      </x:c>
      <x:c r="B1050" s="12" t="n">
        <x:v>5.14</x:v>
      </x:c>
      <x:c r="C1050" s="12" t="n">
        <x:v>514</x:v>
      </x:c>
      <x:c r="D1050" s="12" t="n">
        <x:v>-1</x:v>
      </x:c>
      <x:c r="E1050" s="12" t="str">
        <x:v>Archived FRED mirror (Hugging Face)</x:v>
      </x:c>
    </x:row>
    <x:row r="1051" ht="18" customHeight="1">
      <x:c r="A1051" s="13" t="n">
        <x:v>44043</x:v>
      </x:c>
      <x:c r="B1051" s="12" t="n">
        <x:v>5.16</x:v>
      </x:c>
      <x:c r="C1051" s="12" t="n">
        <x:v>516</x:v>
      </x:c>
      <x:c r="D1051" s="12" t="n">
        <x:v>2</x:v>
      </x:c>
      <x:c r="E1051" s="12" t="str">
        <x:v>Archived FRED mirror (Hugging Face)</x:v>
      </x:c>
    </x:row>
    <x:row r="1052" ht="18" customHeight="1">
      <x:c r="A1052" s="13" t="n">
        <x:v>44046</x:v>
      </x:c>
      <x:c r="B1052" s="12" t="n">
        <x:v>5.08</x:v>
      </x:c>
      <x:c r="C1052" s="12" t="n">
        <x:v>508</x:v>
      </x:c>
      <x:c r="D1052" s="12" t="n">
        <x:v>-8</x:v>
      </x:c>
      <x:c r="E1052" s="12" t="str">
        <x:v>Archived FRED mirror (Hugging Face)</x:v>
      </x:c>
    </x:row>
    <x:row r="1053" ht="18" customHeight="1">
      <x:c r="A1053" s="13" t="n">
        <x:v>44047</x:v>
      </x:c>
      <x:c r="B1053" s="12" t="n">
        <x:v>5.13</x:v>
      </x:c>
      <x:c r="C1053" s="12" t="n">
        <x:v>513</x:v>
      </x:c>
      <x:c r="D1053" s="12" t="n">
        <x:v>5</x:v>
      </x:c>
      <x:c r="E1053" s="12" t="str">
        <x:v>Archived FRED mirror (Hugging Face)</x:v>
      </x:c>
    </x:row>
    <x:row r="1054" ht="18" customHeight="1">
      <x:c r="A1054" s="13" t="n">
        <x:v>44048</x:v>
      </x:c>
      <x:c r="B1054" s="12" t="n">
        <x:v>5.04</x:v>
      </x:c>
      <x:c r="C1054" s="12" t="n">
        <x:v>504</x:v>
      </x:c>
      <x:c r="D1054" s="12" t="n">
        <x:v>-9</x:v>
      </x:c>
      <x:c r="E1054" s="12" t="str">
        <x:v>Archived FRED mirror (Hugging Face)</x:v>
      </x:c>
    </x:row>
    <x:row r="1055" ht="18" customHeight="1">
      <x:c r="A1055" s="13" t="n">
        <x:v>44049</x:v>
      </x:c>
      <x:c r="B1055" s="12" t="n">
        <x:v>5.06</x:v>
      </x:c>
      <x:c r="C1055" s="12" t="n">
        <x:v>505.99999999999994</x:v>
      </x:c>
      <x:c r="D1055" s="12" t="n">
        <x:v>1.9999999999999432</x:v>
      </x:c>
      <x:c r="E1055" s="12" t="str">
        <x:v>Archived FRED mirror (Hugging Face)</x:v>
      </x:c>
    </x:row>
    <x:row r="1056" ht="18" customHeight="1">
      <x:c r="A1056" s="13" t="n">
        <x:v>44050</x:v>
      </x:c>
      <x:c r="B1056" s="12" t="n">
        <x:v>5.06</x:v>
      </x:c>
      <x:c r="C1056" s="12" t="n">
        <x:v>505.99999999999994</x:v>
      </x:c>
      <x:c r="D1056" s="12" t="n">
        <x:v>0</x:v>
      </x:c>
      <x:c r="E1056" s="12" t="str">
        <x:v>Archived FRED mirror (Hugging Face)</x:v>
      </x:c>
    </x:row>
    <x:row r="1057" ht="18" customHeight="1">
      <x:c r="A1057" s="13" t="n">
        <x:v>44053</x:v>
      </x:c>
      <x:c r="B1057" s="12" t="n">
        <x:v>5.09</x:v>
      </x:c>
      <x:c r="C1057" s="12" t="n">
        <x:v>509</x:v>
      </x:c>
      <x:c r="D1057" s="12" t="n">
        <x:v>3.000000000000057</x:v>
      </x:c>
      <x:c r="E1057" s="12" t="str">
        <x:v>Archived FRED mirror (Hugging Face)</x:v>
      </x:c>
    </x:row>
    <x:row r="1058" ht="18" customHeight="1">
      <x:c r="A1058" s="13" t="n">
        <x:v>44054</x:v>
      </x:c>
      <x:c r="B1058" s="12" t="n">
        <x:v>5.03</x:v>
      </x:c>
      <x:c r="C1058" s="12" t="n">
        <x:v>503</x:v>
      </x:c>
      <x:c r="D1058" s="12" t="n">
        <x:v>-6</x:v>
      </x:c>
      <x:c r="E1058" s="12" t="str">
        <x:v>Archived FRED mirror (Hugging Face)</x:v>
      </x:c>
    </x:row>
    <x:row r="1059" ht="18" customHeight="1">
      <x:c r="A1059" s="13" t="n">
        <x:v>44055</x:v>
      </x:c>
      <x:c r="B1059" s="12" t="n">
        <x:v>5.1</x:v>
      </x:c>
      <x:c r="C1059" s="12" t="n">
        <x:v>509.99999999999994</x:v>
      </x:c>
      <x:c r="D1059" s="12" t="n">
        <x:v>6.999999999999943</x:v>
      </x:c>
      <x:c r="E1059" s="12" t="str">
        <x:v>Archived FRED mirror (Hugging Face)</x:v>
      </x:c>
    </x:row>
    <x:row r="1060" ht="18" customHeight="1">
      <x:c r="A1060" s="13" t="n">
        <x:v>44056</x:v>
      </x:c>
      <x:c r="B1060" s="12" t="n">
        <x:v>5.16</x:v>
      </x:c>
      <x:c r="C1060" s="12" t="n">
        <x:v>516</x:v>
      </x:c>
      <x:c r="D1060" s="12" t="n">
        <x:v>6.000000000000057</x:v>
      </x:c>
      <x:c r="E1060" s="12" t="str">
        <x:v>Archived FRED mirror (Hugging Face)</x:v>
      </x:c>
    </x:row>
    <x:row r="1061" ht="18" customHeight="1">
      <x:c r="A1061" s="13" t="n">
        <x:v>44057</x:v>
      </x:c>
      <x:c r="B1061" s="12" t="n">
        <x:v>5.26</x:v>
      </x:c>
      <x:c r="C1061" s="12" t="n">
        <x:v>526</x:v>
      </x:c>
      <x:c r="D1061" s="12" t="n">
        <x:v>10</x:v>
      </x:c>
      <x:c r="E1061" s="12" t="str">
        <x:v>Archived FRED mirror (Hugging Face)</x:v>
      </x:c>
    </x:row>
    <x:row r="1062" ht="18" customHeight="1">
      <x:c r="A1062" s="13" t="n">
        <x:v>44060</x:v>
      </x:c>
      <x:c r="B1062" s="12" t="n">
        <x:v>5.29</x:v>
      </x:c>
      <x:c r="C1062" s="12" t="n">
        <x:v>529</x:v>
      </x:c>
      <x:c r="D1062" s="12" t="n">
        <x:v>3</x:v>
      </x:c>
      <x:c r="E1062" s="12" t="str">
        <x:v>Archived FRED mirror (Hugging Face)</x:v>
      </x:c>
    </x:row>
    <x:row r="1063" ht="18" customHeight="1">
      <x:c r="A1063" s="13" t="n">
        <x:v>44061</x:v>
      </x:c>
      <x:c r="B1063" s="12" t="n">
        <x:v>5.26</x:v>
      </x:c>
      <x:c r="C1063" s="12" t="n">
        <x:v>526</x:v>
      </x:c>
      <x:c r="D1063" s="12" t="n">
        <x:v>-3</x:v>
      </x:c>
      <x:c r="E1063" s="12" t="str">
        <x:v>Archived FRED mirror (Hugging Face)</x:v>
      </x:c>
    </x:row>
    <x:row r="1064" ht="18" customHeight="1">
      <x:c r="A1064" s="13" t="n">
        <x:v>44062</x:v>
      </x:c>
      <x:c r="B1064" s="12" t="n">
        <x:v>5.25</x:v>
      </x:c>
      <x:c r="C1064" s="12" t="n">
        <x:v>525</x:v>
      </x:c>
      <x:c r="D1064" s="12" t="n">
        <x:v>-1</x:v>
      </x:c>
      <x:c r="E1064" s="12" t="str">
        <x:v>Archived FRED mirror (Hugging Face)</x:v>
      </x:c>
    </x:row>
    <x:row r="1065" ht="18" customHeight="1">
      <x:c r="A1065" s="13" t="n">
        <x:v>44063</x:v>
      </x:c>
      <x:c r="B1065" s="12" t="n">
        <x:v>5.28</x:v>
      </x:c>
      <x:c r="C1065" s="12" t="n">
        <x:v>528</x:v>
      </x:c>
      <x:c r="D1065" s="12" t="n">
        <x:v>3</x:v>
      </x:c>
      <x:c r="E1065" s="12" t="str">
        <x:v>Archived FRED mirror (Hugging Face)</x:v>
      </x:c>
    </x:row>
    <x:row r="1066" ht="18" customHeight="1">
      <x:c r="A1066" s="13" t="n">
        <x:v>44064</x:v>
      </x:c>
      <x:c r="B1066" s="12" t="n">
        <x:v>5.25</x:v>
      </x:c>
      <x:c r="C1066" s="12" t="n">
        <x:v>525</x:v>
      </x:c>
      <x:c r="D1066" s="12" t="n">
        <x:v>-3</x:v>
      </x:c>
      <x:c r="E1066" s="12" t="str">
        <x:v>Archived FRED mirror (Hugging Face)</x:v>
      </x:c>
    </x:row>
    <x:row r="1067" ht="18" customHeight="1">
      <x:c r="A1067" s="13" t="n">
        <x:v>44067</x:v>
      </x:c>
      <x:c r="B1067" s="12" t="n">
        <x:v>5.17</x:v>
      </x:c>
      <x:c r="C1067" s="12" t="n">
        <x:v>517</x:v>
      </x:c>
      <x:c r="D1067" s="12" t="n">
        <x:v>-8</x:v>
      </x:c>
      <x:c r="E1067" s="12" t="str">
        <x:v>Archived FRED mirror (Hugging Face)</x:v>
      </x:c>
    </x:row>
    <x:row r="1068" ht="18" customHeight="1">
      <x:c r="A1068" s="13" t="n">
        <x:v>44068</x:v>
      </x:c>
      <x:c r="B1068" s="12" t="n">
        <x:v>5.07</x:v>
      </x:c>
      <x:c r="C1068" s="12" t="n">
        <x:v>507</x:v>
      </x:c>
      <x:c r="D1068" s="12" t="n">
        <x:v>-10</x:v>
      </x:c>
      <x:c r="E1068" s="12" t="str">
        <x:v>Archived FRED mirror (Hugging Face)</x:v>
      </x:c>
    </x:row>
    <x:row r="1069" ht="18" customHeight="1">
      <x:c r="A1069" s="13" t="n">
        <x:v>44069</x:v>
      </x:c>
      <x:c r="B1069" s="12" t="n">
        <x:v>5.02</x:v>
      </x:c>
      <x:c r="C1069" s="12" t="n">
        <x:v>501.99999999999994</x:v>
      </x:c>
      <x:c r="D1069" s="12" t="n">
        <x:v>-5.000000000000057</x:v>
      </x:c>
      <x:c r="E1069" s="12" t="str">
        <x:v>Archived FRED mirror (Hugging Face)</x:v>
      </x:c>
    </x:row>
    <x:row r="1070" ht="18" customHeight="1">
      <x:c r="A1070" s="13" t="n">
        <x:v>44070</x:v>
      </x:c>
      <x:c r="B1070" s="12" t="n">
        <x:v>4.98</x:v>
      </x:c>
      <x:c r="C1070" s="12" t="n">
        <x:v>498.00000000000006</x:v>
      </x:c>
      <x:c r="D1070" s="12" t="n">
        <x:v>-3.9999999999998863</x:v>
      </x:c>
      <x:c r="E1070" s="12" t="str">
        <x:v>Archived FRED mirror (Hugging Face)</x:v>
      </x:c>
    </x:row>
    <x:row r="1071" ht="18" customHeight="1">
      <x:c r="A1071" s="13" t="n">
        <x:v>44071</x:v>
      </x:c>
      <x:c r="B1071" s="12" t="n">
        <x:v>5</x:v>
      </x:c>
      <x:c r="C1071" s="12" t="n">
        <x:v>500</x:v>
      </x:c>
      <x:c r="D1071" s="12" t="n">
        <x:v>1.9999999999999432</x:v>
      </x:c>
      <x:c r="E1071" s="12" t="str">
        <x:v>Archived FRED mirror (Hugging Face)</x:v>
      </x:c>
    </x:row>
    <x:row r="1072" ht="18" customHeight="1">
      <x:c r="A1072" s="13" t="n">
        <x:v>44074</x:v>
      </x:c>
      <x:c r="B1072" s="12" t="n">
        <x:v>5.02</x:v>
      </x:c>
      <x:c r="C1072" s="12" t="n">
        <x:v>501.99999999999994</x:v>
      </x:c>
      <x:c r="D1072" s="12" t="n">
        <x:v>1.9999999999999432</x:v>
      </x:c>
      <x:c r="E1072" s="12" t="str">
        <x:v>Archived FRED mirror (Hugging Face)</x:v>
      </x:c>
    </x:row>
    <x:row r="1073" ht="18" customHeight="1">
      <x:c r="A1073" s="13" t="n">
        <x:v>44075</x:v>
      </x:c>
      <x:c r="B1073" s="12" t="n">
        <x:v>4.97</x:v>
      </x:c>
      <x:c r="C1073" s="12" t="n">
        <x:v>497</x:v>
      </x:c>
      <x:c r="D1073" s="12" t="n">
        <x:v>-4.999999999999943</x:v>
      </x:c>
      <x:c r="E1073" s="12" t="str">
        <x:v>Archived FRED mirror (Hugging Face)</x:v>
      </x:c>
    </x:row>
    <x:row r="1074" ht="18" customHeight="1">
      <x:c r="A1074" s="13" t="n">
        <x:v>44076</x:v>
      </x:c>
      <x:c r="B1074" s="12" t="n">
        <x:v>4.93</x:v>
      </x:c>
      <x:c r="C1074" s="12" t="n">
        <x:v>493</x:v>
      </x:c>
      <x:c r="D1074" s="12" t="n">
        <x:v>-4</x:v>
      </x:c>
      <x:c r="E1074" s="12" t="str">
        <x:v>Archived FRED mirror (Hugging Face)</x:v>
      </x:c>
    </x:row>
    <x:row r="1075" ht="18" customHeight="1">
      <x:c r="A1075" s="13" t="n">
        <x:v>44077</x:v>
      </x:c>
      <x:c r="B1075" s="12" t="n">
        <x:v>5.04</x:v>
      </x:c>
      <x:c r="C1075" s="12" t="n">
        <x:v>504</x:v>
      </x:c>
      <x:c r="D1075" s="12" t="n">
        <x:v>11</x:v>
      </x:c>
      <x:c r="E1075" s="12" t="str">
        <x:v>Archived FRED mirror (Hugging Face)</x:v>
      </x:c>
    </x:row>
    <x:row r="1076" ht="18" customHeight="1">
      <x:c r="A1076" s="13" t="n">
        <x:v>44078</x:v>
      </x:c>
      <x:c r="B1076" s="12" t="n">
        <x:v>5.13</x:v>
      </x:c>
      <x:c r="C1076" s="12" t="n">
        <x:v>513</x:v>
      </x:c>
      <x:c r="D1076" s="12" t="n">
        <x:v>9</x:v>
      </x:c>
      <x:c r="E1076" s="12" t="str">
        <x:v>Archived FRED mirror (Hugging Face)</x:v>
      </x:c>
    </x:row>
    <x:row r="1077" ht="18" customHeight="1">
      <x:c r="A1077" s="13" t="n">
        <x:v>44081</x:v>
      </x:c>
      <x:c r="B1077" s="12" t="n">
        <x:v>5.13</x:v>
      </x:c>
      <x:c r="C1077" s="12" t="n">
        <x:v>513</x:v>
      </x:c>
      <x:c r="D1077" s="12" t="n">
        <x:v>0</x:v>
      </x:c>
      <x:c r="E1077" s="12" t="str">
        <x:v>Archived FRED mirror (Hugging Face)</x:v>
      </x:c>
    </x:row>
    <x:row r="1078" ht="18" customHeight="1">
      <x:c r="A1078" s="13" t="n">
        <x:v>44082</x:v>
      </x:c>
      <x:c r="B1078" s="12" t="n">
        <x:v>5.25</x:v>
      </x:c>
      <x:c r="C1078" s="12" t="n">
        <x:v>525</x:v>
      </x:c>
      <x:c r="D1078" s="12" t="n">
        <x:v>12</x:v>
      </x:c>
      <x:c r="E1078" s="12" t="str">
        <x:v>Archived FRED mirror (Hugging Face)</x:v>
      </x:c>
    </x:row>
    <x:row r="1079" ht="18" customHeight="1">
      <x:c r="A1079" s="13" t="n">
        <x:v>44083</x:v>
      </x:c>
      <x:c r="B1079" s="12" t="n">
        <x:v>5.16</x:v>
      </x:c>
      <x:c r="C1079" s="12" t="n">
        <x:v>516</x:v>
      </x:c>
      <x:c r="D1079" s="12" t="n">
        <x:v>-9</x:v>
      </x:c>
      <x:c r="E1079" s="12" t="str">
        <x:v>Archived FRED mirror (Hugging Face)</x:v>
      </x:c>
    </x:row>
    <x:row r="1080" ht="18" customHeight="1">
      <x:c r="A1080" s="13" t="n">
        <x:v>44084</x:v>
      </x:c>
      <x:c r="B1080" s="12" t="n">
        <x:v>5.16</x:v>
      </x:c>
      <x:c r="C1080" s="12" t="n">
        <x:v>516</x:v>
      </x:c>
      <x:c r="D1080" s="12" t="n">
        <x:v>0</x:v>
      </x:c>
      <x:c r="E1080" s="12" t="str">
        <x:v>Archived FRED mirror (Hugging Face)</x:v>
      </x:c>
    </x:row>
    <x:row r="1081" ht="18" customHeight="1">
      <x:c r="A1081" s="13" t="n">
        <x:v>44085</x:v>
      </x:c>
      <x:c r="B1081" s="12" t="n">
        <x:v>5.21</x:v>
      </x:c>
      <x:c r="C1081" s="12" t="n">
        <x:v>521</x:v>
      </x:c>
      <x:c r="D1081" s="12" t="n">
        <x:v>5</x:v>
      </x:c>
      <x:c r="E1081" s="12" t="str">
        <x:v>Archived FRED mirror (Hugging Face)</x:v>
      </x:c>
    </x:row>
    <x:row r="1082" ht="18" customHeight="1">
      <x:c r="A1082" s="13" t="n">
        <x:v>44088</x:v>
      </x:c>
      <x:c r="B1082" s="12" t="n">
        <x:v>5.18</x:v>
      </x:c>
      <x:c r="C1082" s="12" t="n">
        <x:v>518</x:v>
      </x:c>
      <x:c r="D1082" s="12" t="n">
        <x:v>-3</x:v>
      </x:c>
      <x:c r="E1082" s="12" t="str">
        <x:v>Archived FRED mirror (Hugging Face)</x:v>
      </x:c>
    </x:row>
    <x:row r="1083" ht="18" customHeight="1">
      <x:c r="A1083" s="13" t="n">
        <x:v>44089</x:v>
      </x:c>
      <x:c r="B1083" s="12" t="n">
        <x:v>5.14</x:v>
      </x:c>
      <x:c r="C1083" s="12" t="n">
        <x:v>514</x:v>
      </x:c>
      <x:c r="D1083" s="12" t="n">
        <x:v>-4</x:v>
      </x:c>
      <x:c r="E1083" s="12" t="str">
        <x:v>Archived FRED mirror (Hugging Face)</x:v>
      </x:c>
    </x:row>
    <x:row r="1084" ht="18" customHeight="1">
      <x:c r="A1084" s="13" t="n">
        <x:v>44090</x:v>
      </x:c>
      <x:c r="B1084" s="12" t="n">
        <x:v>5.07</x:v>
      </x:c>
      <x:c r="C1084" s="12" t="n">
        <x:v>507</x:v>
      </x:c>
      <x:c r="D1084" s="12" t="n">
        <x:v>-7</x:v>
      </x:c>
      <x:c r="E1084" s="12" t="str">
        <x:v>Archived FRED mirror (Hugging Face)</x:v>
      </x:c>
    </x:row>
    <x:row r="1085" ht="18" customHeight="1">
      <x:c r="A1085" s="13" t="n">
        <x:v>44091</x:v>
      </x:c>
      <x:c r="B1085" s="12" t="n">
        <x:v>5.14</x:v>
      </x:c>
      <x:c r="C1085" s="12" t="n">
        <x:v>514</x:v>
      </x:c>
      <x:c r="D1085" s="12" t="n">
        <x:v>7</x:v>
      </x:c>
      <x:c r="E1085" s="12" t="str">
        <x:v>Archived FRED mirror (Hugging Face)</x:v>
      </x:c>
    </x:row>
    <x:row r="1086" ht="18" customHeight="1">
      <x:c r="A1086" s="13" t="n">
        <x:v>44092</x:v>
      </x:c>
      <x:c r="B1086" s="12" t="n">
        <x:v>5.16</x:v>
      </x:c>
      <x:c r="C1086" s="12" t="n">
        <x:v>516</x:v>
      </x:c>
      <x:c r="D1086" s="12" t="n">
        <x:v>2</x:v>
      </x:c>
      <x:c r="E1086" s="12" t="str">
        <x:v>Archived FRED mirror (Hugging Face)</x:v>
      </x:c>
    </x:row>
    <x:row r="1087" ht="18" customHeight="1">
      <x:c r="A1087" s="13" t="n">
        <x:v>44095</x:v>
      </x:c>
      <x:c r="B1087" s="12" t="n">
        <x:v>5.42</x:v>
      </x:c>
      <x:c r="C1087" s="12" t="n">
        <x:v>542</x:v>
      </x:c>
      <x:c r="D1087" s="12" t="n">
        <x:v>26</x:v>
      </x:c>
      <x:c r="E1087" s="12" t="str">
        <x:v>Archived FRED mirror (Hugging Face)</x:v>
      </x:c>
    </x:row>
    <x:row r="1088" ht="18" customHeight="1">
      <x:c r="A1088" s="13" t="n">
        <x:v>44096</x:v>
      </x:c>
      <x:c r="B1088" s="12" t="n">
        <x:v>5.45</x:v>
      </x:c>
      <x:c r="C1088" s="12" t="n">
        <x:v>545</x:v>
      </x:c>
      <x:c r="D1088" s="12" t="n">
        <x:v>3</x:v>
      </x:c>
      <x:c r="E1088" s="12" t="str">
        <x:v>Archived FRED mirror (Hugging Face)</x:v>
      </x:c>
    </x:row>
    <x:row r="1089" ht="18" customHeight="1">
      <x:c r="A1089" s="13" t="n">
        <x:v>44097</x:v>
      </x:c>
      <x:c r="B1089" s="12" t="n">
        <x:v>5.47</x:v>
      </x:c>
      <x:c r="C1089" s="12" t="n">
        <x:v>547</x:v>
      </x:c>
      <x:c r="D1089" s="12" t="n">
        <x:v>2</x:v>
      </x:c>
      <x:c r="E1089" s="12" t="str">
        <x:v>Archived FRED mirror (Hugging Face)</x:v>
      </x:c>
    </x:row>
    <x:row r="1090" ht="18" customHeight="1">
      <x:c r="A1090" s="13" t="n">
        <x:v>44098</x:v>
      </x:c>
      <x:c r="B1090" s="12" t="n">
        <x:v>5.64</x:v>
      </x:c>
      <x:c r="C1090" s="12" t="n">
        <x:v>564</x:v>
      </x:c>
      <x:c r="D1090" s="12" t="n">
        <x:v>17</x:v>
      </x:c>
      <x:c r="E1090" s="12" t="str">
        <x:v>Archived FRED mirror (Hugging Face)</x:v>
      </x:c>
    </x:row>
    <x:row r="1091" ht="18" customHeight="1">
      <x:c r="A1091" s="13" t="n">
        <x:v>44099</x:v>
      </x:c>
      <x:c r="B1091" s="12" t="n">
        <x:v>5.64</x:v>
      </x:c>
      <x:c r="C1091" s="12" t="n">
        <x:v>564</x:v>
      </x:c>
      <x:c r="D1091" s="12" t="n">
        <x:v>0</x:v>
      </x:c>
      <x:c r="E1091" s="12" t="str">
        <x:v>Archived FRED mirror (Hugging Face)</x:v>
      </x:c>
    </x:row>
    <x:row r="1092" ht="18" customHeight="1">
      <x:c r="A1092" s="13" t="n">
        <x:v>44102</x:v>
      </x:c>
      <x:c r="B1092" s="12" t="n">
        <x:v>5.52</x:v>
      </x:c>
      <x:c r="C1092" s="12" t="n">
        <x:v>552</x:v>
      </x:c>
      <x:c r="D1092" s="12" t="n">
        <x:v>-12</x:v>
      </x:c>
      <x:c r="E1092" s="12" t="str">
        <x:v>Archived FRED mirror (Hugging Face)</x:v>
      </x:c>
    </x:row>
    <x:row r="1093" ht="18" customHeight="1">
      <x:c r="A1093" s="13" t="n">
        <x:v>44103</x:v>
      </x:c>
      <x:c r="B1093" s="12" t="n">
        <x:v>5.5</x:v>
      </x:c>
      <x:c r="C1093" s="12" t="n">
        <x:v>550</x:v>
      </x:c>
      <x:c r="D1093" s="12" t="n">
        <x:v>-2</x:v>
      </x:c>
      <x:c r="E1093" s="12" t="str">
        <x:v>Archived FRED mirror (Hugging Face)</x:v>
      </x:c>
    </x:row>
    <x:row r="1094" ht="18" customHeight="1">
      <x:c r="A1094" s="13" t="n">
        <x:v>44104</x:v>
      </x:c>
      <x:c r="B1094" s="12" t="n">
        <x:v>5.41</x:v>
      </x:c>
      <x:c r="C1094" s="12" t="n">
        <x:v>541</x:v>
      </x:c>
      <x:c r="D1094" s="12" t="n">
        <x:v>-9</x:v>
      </x:c>
      <x:c r="E1094" s="12" t="str">
        <x:v>Archived FRED mirror (Hugging Face)</x:v>
      </x:c>
    </x:row>
    <x:row r="1095" ht="18" customHeight="1">
      <x:c r="A1095" s="13" t="n">
        <x:v>44105</x:v>
      </x:c>
      <x:c r="B1095" s="12" t="n">
        <x:v>5.36</x:v>
      </x:c>
      <x:c r="C1095" s="12" t="n">
        <x:v>536</x:v>
      </x:c>
      <x:c r="D1095" s="12" t="n">
        <x:v>-5</x:v>
      </x:c>
      <x:c r="E1095" s="12" t="str">
        <x:v>Archived FRED mirror (Hugging Face)</x:v>
      </x:c>
    </x:row>
    <x:row r="1096" ht="18" customHeight="1">
      <x:c r="A1096" s="13" t="n">
        <x:v>44106</x:v>
      </x:c>
      <x:c r="B1096" s="12" t="n">
        <x:v>5.38</x:v>
      </x:c>
      <x:c r="C1096" s="12" t="n">
        <x:v>538</x:v>
      </x:c>
      <x:c r="D1096" s="12" t="n">
        <x:v>2</x:v>
      </x:c>
      <x:c r="E1096" s="12" t="str">
        <x:v>Archived FRED mirror (Hugging Face)</x:v>
      </x:c>
    </x:row>
    <x:row r="1097" ht="18" customHeight="1">
      <x:c r="A1097" s="13" t="n">
        <x:v>44109</x:v>
      </x:c>
      <x:c r="B1097" s="12" t="n">
        <x:v>5.18</x:v>
      </x:c>
      <x:c r="C1097" s="12" t="n">
        <x:v>518</x:v>
      </x:c>
      <x:c r="D1097" s="12" t="n">
        <x:v>-20</x:v>
      </x:c>
      <x:c r="E1097" s="12" t="str">
        <x:v>Archived FRED mirror (Hugging Face)</x:v>
      </x:c>
    </x:row>
    <x:row r="1098" ht="18" customHeight="1">
      <x:c r="A1098" s="13" t="n">
        <x:v>44110</x:v>
      </x:c>
      <x:c r="B1098" s="12" t="n">
        <x:v>5.06</x:v>
      </x:c>
      <x:c r="C1098" s="12" t="n">
        <x:v>505.99999999999994</x:v>
      </x:c>
      <x:c r="D1098" s="12" t="n">
        <x:v>-12.000000000000057</x:v>
      </x:c>
      <x:c r="E1098" s="12" t="str">
        <x:v>Archived FRED mirror (Hugging Face)</x:v>
      </x:c>
    </x:row>
    <x:row r="1099" ht="18" customHeight="1">
      <x:c r="A1099" s="13" t="n">
        <x:v>44111</x:v>
      </x:c>
      <x:c r="B1099" s="12" t="n">
        <x:v>5.02</x:v>
      </x:c>
      <x:c r="C1099" s="12" t="n">
        <x:v>501.99999999999994</x:v>
      </x:c>
      <x:c r="D1099" s="12" t="n">
        <x:v>-4</x:v>
      </x:c>
      <x:c r="E1099" s="12" t="str">
        <x:v>Archived FRED mirror (Hugging Face)</x:v>
      </x:c>
    </x:row>
    <x:row r="1100" ht="18" customHeight="1">
      <x:c r="A1100" s="13" t="n">
        <x:v>44112</x:v>
      </x:c>
      <x:c r="B1100" s="12" t="n">
        <x:v>4.97</x:v>
      </x:c>
      <x:c r="C1100" s="12" t="n">
        <x:v>497</x:v>
      </x:c>
      <x:c r="D1100" s="12" t="n">
        <x:v>-4.999999999999943</x:v>
      </x:c>
      <x:c r="E1100" s="12" t="str">
        <x:v>Archived FRED mirror (Hugging Face)</x:v>
      </x:c>
    </x:row>
    <x:row r="1101" ht="18" customHeight="1">
      <x:c r="A1101" s="13" t="n">
        <x:v>44113</x:v>
      </x:c>
      <x:c r="B1101" s="12" t="n">
        <x:v>4.92</x:v>
      </x:c>
      <x:c r="C1101" s="12" t="n">
        <x:v>492</x:v>
      </x:c>
      <x:c r="D1101" s="12" t="n">
        <x:v>-5</x:v>
      </x:c>
      <x:c r="E1101" s="12" t="str">
        <x:v>Archived FRED mirror (Hugging Face)</x:v>
      </x:c>
    </x:row>
    <x:row r="1102" ht="18" customHeight="1">
      <x:c r="A1102" s="13" t="n">
        <x:v>44116</x:v>
      </x:c>
      <x:c r="B1102" s="12" t="n">
        <x:v>4.92</x:v>
      </x:c>
      <x:c r="C1102" s="12" t="n">
        <x:v>492</x:v>
      </x:c>
      <x:c r="D1102" s="12" t="n">
        <x:v>0</x:v>
      </x:c>
      <x:c r="E1102" s="12" t="str">
        <x:v>Archived FRED mirror (Hugging Face)</x:v>
      </x:c>
    </x:row>
    <x:row r="1103" ht="18" customHeight="1">
      <x:c r="A1103" s="13" t="n">
        <x:v>44117</x:v>
      </x:c>
      <x:c r="B1103" s="12" t="n">
        <x:v>4.88</x:v>
      </x:c>
      <x:c r="C1103" s="12" t="n">
        <x:v>488</x:v>
      </x:c>
      <x:c r="D1103" s="12" t="n">
        <x:v>-4</x:v>
      </x:c>
      <x:c r="E1103" s="12" t="str">
        <x:v>Archived FRED mirror (Hugging Face)</x:v>
      </x:c>
    </x:row>
    <x:row r="1104" ht="18" customHeight="1">
      <x:c r="A1104" s="13" t="n">
        <x:v>44118</x:v>
      </x:c>
      <x:c r="B1104" s="12" t="n">
        <x:v>4.89</x:v>
      </x:c>
      <x:c r="C1104" s="12" t="n">
        <x:v>488.99999999999994</x:v>
      </x:c>
      <x:c r="D1104" s="12" t="n">
        <x:v>0.9999999999999432</x:v>
      </x:c>
      <x:c r="E1104" s="12" t="str">
        <x:v>Archived FRED mirror (Hugging Face)</x:v>
      </x:c>
    </x:row>
    <x:row r="1105" ht="18" customHeight="1">
      <x:c r="A1105" s="13" t="n">
        <x:v>44119</x:v>
      </x:c>
      <x:c r="B1105" s="12" t="n">
        <x:v>5.01</x:v>
      </x:c>
      <x:c r="C1105" s="12" t="n">
        <x:v>501</x:v>
      </x:c>
      <x:c r="D1105" s="12" t="n">
        <x:v>12.000000000000057</x:v>
      </x:c>
      <x:c r="E1105" s="12" t="str">
        <x:v>Archived FRED mirror (Hugging Face)</x:v>
      </x:c>
    </x:row>
    <x:row r="1106" ht="18" customHeight="1">
      <x:c r="A1106" s="13" t="n">
        <x:v>44120</x:v>
      </x:c>
      <x:c r="B1106" s="12" t="n">
        <x:v>4.94</x:v>
      </x:c>
      <x:c r="C1106" s="12" t="n">
        <x:v>494.00000000000006</x:v>
      </x:c>
      <x:c r="D1106" s="12" t="n">
        <x:v>-6.999999999999943</x:v>
      </x:c>
      <x:c r="E1106" s="12" t="str">
        <x:v>Archived FRED mirror (Hugging Face)</x:v>
      </x:c>
    </x:row>
    <x:row r="1107" ht="18" customHeight="1">
      <x:c r="A1107" s="13" t="n">
        <x:v>44123</x:v>
      </x:c>
      <x:c r="B1107" s="12" t="n">
        <x:v>4.91</x:v>
      </x:c>
      <x:c r="C1107" s="12" t="n">
        <x:v>491</x:v>
      </x:c>
      <x:c r="D1107" s="12" t="n">
        <x:v>-3.000000000000057</x:v>
      </x:c>
      <x:c r="E1107" s="12" t="str">
        <x:v>Archived FRED mirror (Hugging Face)</x:v>
      </x:c>
    </x:row>
    <x:row r="1108" ht="18" customHeight="1">
      <x:c r="A1108" s="13" t="n">
        <x:v>44124</x:v>
      </x:c>
      <x:c r="B1108" s="12" t="n">
        <x:v>4.9</x:v>
      </x:c>
      <x:c r="C1108" s="12" t="n">
        <x:v>490.00000000000006</x:v>
      </x:c>
      <x:c r="D1108" s="12" t="n">
        <x:v>-0.9999999999999432</x:v>
      </x:c>
      <x:c r="E1108" s="12" t="str">
        <x:v>Archived FRED mirror (Hugging Face)</x:v>
      </x:c>
    </x:row>
    <x:row r="1109" ht="18" customHeight="1">
      <x:c r="A1109" s="13" t="n">
        <x:v>44125</x:v>
      </x:c>
      <x:c r="B1109" s="12" t="n">
        <x:v>4.91</x:v>
      </x:c>
      <x:c r="C1109" s="12" t="n">
        <x:v>491</x:v>
      </x:c>
      <x:c r="D1109" s="12" t="n">
        <x:v>0.9999999999999432</x:v>
      </x:c>
      <x:c r="E1109" s="12" t="str">
        <x:v>Archived FRED mirror (Hugging Face)</x:v>
      </x:c>
    </x:row>
    <x:row r="1110" ht="18" customHeight="1">
      <x:c r="A1110" s="13" t="n">
        <x:v>44126</x:v>
      </x:c>
      <x:c r="B1110" s="12" t="n">
        <x:v>4.88</x:v>
      </x:c>
      <x:c r="C1110" s="12" t="n">
        <x:v>488</x:v>
      </x:c>
      <x:c r="D1110" s="12" t="n">
        <x:v>-3</x:v>
      </x:c>
      <x:c r="E1110" s="12" t="str">
        <x:v>Archived FRED mirror (Hugging Face)</x:v>
      </x:c>
    </x:row>
    <x:row r="1111" ht="18" customHeight="1">
      <x:c r="A1111" s="13" t="n">
        <x:v>44127</x:v>
      </x:c>
      <x:c r="B1111" s="12" t="n">
        <x:v>4.87</x:v>
      </x:c>
      <x:c r="C1111" s="12" t="n">
        <x:v>487</x:v>
      </x:c>
      <x:c r="D1111" s="12" t="n">
        <x:v>-1</x:v>
      </x:c>
      <x:c r="E1111" s="12" t="str">
        <x:v>Archived FRED mirror (Hugging Face)</x:v>
      </x:c>
    </x:row>
    <x:row r="1112" ht="18" customHeight="1">
      <x:c r="A1112" s="13" t="n">
        <x:v>44130</x:v>
      </x:c>
      <x:c r="B1112" s="12" t="n">
        <x:v>5.03</x:v>
      </x:c>
      <x:c r="C1112" s="12" t="n">
        <x:v>503</x:v>
      </x:c>
      <x:c r="D1112" s="12" t="n">
        <x:v>16</x:v>
      </x:c>
      <x:c r="E1112" s="12" t="str">
        <x:v>Archived FRED mirror (Hugging Face)</x:v>
      </x:c>
    </x:row>
    <x:row r="1113" ht="18" customHeight="1">
      <x:c r="A1113" s="13" t="n">
        <x:v>44131</x:v>
      </x:c>
      <x:c r="B1113" s="12" t="n">
        <x:v>5.06</x:v>
      </x:c>
      <x:c r="C1113" s="12" t="n">
        <x:v>505.99999999999994</x:v>
      </x:c>
      <x:c r="D1113" s="12" t="n">
        <x:v>2.999999999999943</x:v>
      </x:c>
      <x:c r="E1113" s="12" t="str">
        <x:v>Archived FRED mirror (Hugging Face)</x:v>
      </x:c>
    </x:row>
    <x:row r="1114" ht="18" customHeight="1">
      <x:c r="A1114" s="13" t="n">
        <x:v>44132</x:v>
      </x:c>
      <x:c r="B1114" s="12" t="n">
        <x:v>5.29</x:v>
      </x:c>
      <x:c r="C1114" s="12" t="n">
        <x:v>529</x:v>
      </x:c>
      <x:c r="D1114" s="12" t="n">
        <x:v>23.000000000000057</x:v>
      </x:c>
      <x:c r="E1114" s="12" t="str">
        <x:v>Archived FRED mirror (Hugging Face)</x:v>
      </x:c>
    </x:row>
    <x:row r="1115" ht="18" customHeight="1">
      <x:c r="A1115" s="13" t="n">
        <x:v>44133</x:v>
      </x:c>
      <x:c r="B1115" s="12" t="n">
        <x:v>5.25</x:v>
      </x:c>
      <x:c r="C1115" s="12" t="n">
        <x:v>525</x:v>
      </x:c>
      <x:c r="D1115" s="12" t="n">
        <x:v>-4</x:v>
      </x:c>
      <x:c r="E1115" s="12" t="str">
        <x:v>Archived FRED mirror (Hugging Face)</x:v>
      </x:c>
    </x:row>
    <x:row r="1116" ht="18" customHeight="1">
      <x:c r="A1116" s="13" t="n">
        <x:v>44134</x:v>
      </x:c>
      <x:c r="B1116" s="12" t="n">
        <x:v>5.25</x:v>
      </x:c>
      <x:c r="C1116" s="12" t="n">
        <x:v>525</x:v>
      </x:c>
      <x:c r="D1116" s="12" t="n">
        <x:v>0</x:v>
      </x:c>
      <x:c r="E1116" s="12" t="str">
        <x:v>Archived FRED mirror (Hugging Face)</x:v>
      </x:c>
    </x:row>
    <x:row r="1117" ht="18" customHeight="1">
      <x:c r="A1117" s="13" t="n">
        <x:v>44135</x:v>
      </x:c>
      <x:c r="B1117" s="12" t="n">
        <x:v>5.32</x:v>
      </x:c>
      <x:c r="C1117" s="12" t="n">
        <x:v>532</x:v>
      </x:c>
      <x:c r="D1117" s="12" t="n">
        <x:v>7</x:v>
      </x:c>
      <x:c r="E1117" s="12" t="str">
        <x:v>Archived FRED mirror (Hugging Face)</x:v>
      </x:c>
    </x:row>
    <x:row r="1118" ht="18" customHeight="1">
      <x:c r="A1118" s="13" t="n">
        <x:v>44137</x:v>
      </x:c>
      <x:c r="B1118" s="12" t="n">
        <x:v>5.25</x:v>
      </x:c>
      <x:c r="C1118" s="12" t="n">
        <x:v>525</x:v>
      </x:c>
      <x:c r="D1118" s="12" t="n">
        <x:v>-7</x:v>
      </x:c>
      <x:c r="E1118" s="12" t="str">
        <x:v>Archived FRED mirror (Hugging Face)</x:v>
      </x:c>
    </x:row>
    <x:row r="1119" ht="18" customHeight="1">
      <x:c r="A1119" s="13" t="n">
        <x:v>44138</x:v>
      </x:c>
      <x:c r="B1119" s="12" t="n">
        <x:v>5.07</x:v>
      </x:c>
      <x:c r="C1119" s="12" t="n">
        <x:v>507</x:v>
      </x:c>
      <x:c r="D1119" s="12" t="n">
        <x:v>-18</x:v>
      </x:c>
      <x:c r="E1119" s="12" t="str">
        <x:v>Archived FRED mirror (Hugging Face)</x:v>
      </x:c>
    </x:row>
    <x:row r="1120" ht="18" customHeight="1">
      <x:c r="A1120" s="13" t="n">
        <x:v>44139</x:v>
      </x:c>
      <x:c r="B1120" s="12" t="n">
        <x:v>4.79</x:v>
      </x:c>
      <x:c r="C1120" s="12" t="n">
        <x:v>479</x:v>
      </x:c>
      <x:c r="D1120" s="12" t="n">
        <x:v>-28</x:v>
      </x:c>
      <x:c r="E1120" s="12" t="str">
        <x:v>Archived FRED mirror (Hugging Face)</x:v>
      </x:c>
    </x:row>
    <x:row r="1121" ht="18" customHeight="1">
      <x:c r="A1121" s="13" t="n">
        <x:v>44140</x:v>
      </x:c>
      <x:c r="B1121" s="12" t="n">
        <x:v>4.59</x:v>
      </x:c>
      <x:c r="C1121" s="12" t="n">
        <x:v>459</x:v>
      </x:c>
      <x:c r="D1121" s="12" t="n">
        <x:v>-20</x:v>
      </x:c>
      <x:c r="E1121" s="12" t="str">
        <x:v>Archived FRED mirror (Hugging Face)</x:v>
      </x:c>
    </x:row>
    <x:row r="1122" ht="18" customHeight="1">
      <x:c r="A1122" s="13" t="n">
        <x:v>44141</x:v>
      </x:c>
      <x:c r="B1122" s="12" t="n">
        <x:v>4.67</x:v>
      </x:c>
      <x:c r="C1122" s="12" t="n">
        <x:v>467</x:v>
      </x:c>
      <x:c r="D1122" s="12" t="n">
        <x:v>8</x:v>
      </x:c>
      <x:c r="E1122" s="12" t="str">
        <x:v>Archived FRED mirror (Hugging Face)</x:v>
      </x:c>
    </x:row>
    <x:row r="1123" ht="18" customHeight="1">
      <x:c r="A1123" s="13" t="n">
        <x:v>44144</x:v>
      </x:c>
      <x:c r="B1123" s="12" t="n">
        <x:v>4.22</x:v>
      </x:c>
      <x:c r="C1123" s="12" t="n">
        <x:v>422</x:v>
      </x:c>
      <x:c r="D1123" s="12" t="n">
        <x:v>-45</x:v>
      </x:c>
      <x:c r="E1123" s="12" t="str">
        <x:v>Archived FRED mirror (Hugging Face)</x:v>
      </x:c>
    </x:row>
    <x:row r="1124" ht="18" customHeight="1">
      <x:c r="A1124" s="13" t="n">
        <x:v>44145</x:v>
      </x:c>
      <x:c r="B1124" s="12" t="n">
        <x:v>4.37</x:v>
      </x:c>
      <x:c r="C1124" s="12" t="n">
        <x:v>437</x:v>
      </x:c>
      <x:c r="D1124" s="12" t="n">
        <x:v>15</x:v>
      </x:c>
      <x:c r="E1124" s="12" t="str">
        <x:v>Archived FRED mirror (Hugging Face)</x:v>
      </x:c>
    </x:row>
    <x:row r="1125" ht="18" customHeight="1">
      <x:c r="A1125" s="13" t="n">
        <x:v>44146</x:v>
      </x:c>
      <x:c r="B1125" s="12" t="n">
        <x:v>4.37</x:v>
      </x:c>
      <x:c r="C1125" s="12" t="n">
        <x:v>437</x:v>
      </x:c>
      <x:c r="D1125" s="12" t="n">
        <x:v>0</x:v>
      </x:c>
      <x:c r="E1125" s="12" t="str">
        <x:v>Archived FRED mirror (Hugging Face)</x:v>
      </x:c>
    </x:row>
    <x:row r="1126" ht="18" customHeight="1">
      <x:c r="A1126" s="13" t="n">
        <x:v>44147</x:v>
      </x:c>
      <x:c r="B1126" s="12" t="n">
        <x:v>4.62</x:v>
      </x:c>
      <x:c r="C1126" s="12" t="n">
        <x:v>462</x:v>
      </x:c>
      <x:c r="D1126" s="12" t="n">
        <x:v>25</x:v>
      </x:c>
      <x:c r="E1126" s="12" t="str">
        <x:v>Archived FRED mirror (Hugging Face)</x:v>
      </x:c>
    </x:row>
    <x:row r="1127" ht="18" customHeight="1">
      <x:c r="A1127" s="13" t="n">
        <x:v>44148</x:v>
      </x:c>
      <x:c r="B1127" s="12" t="n">
        <x:v>4.63</x:v>
      </x:c>
      <x:c r="C1127" s="12" t="n">
        <x:v>463</x:v>
      </x:c>
      <x:c r="D1127" s="12" t="n">
        <x:v>1</x:v>
      </x:c>
      <x:c r="E1127" s="12" t="str">
        <x:v>Archived FRED mirror (Hugging Face)</x:v>
      </x:c>
    </x:row>
    <x:row r="1128" ht="18" customHeight="1">
      <x:c r="A1128" s="13" t="n">
        <x:v>44151</x:v>
      </x:c>
      <x:c r="B1128" s="12" t="n">
        <x:v>4.5</x:v>
      </x:c>
      <x:c r="C1128" s="12" t="n">
        <x:v>450</x:v>
      </x:c>
      <x:c r="D1128" s="12" t="n">
        <x:v>-13</x:v>
      </x:c>
      <x:c r="E1128" s="12" t="str">
        <x:v>Archived FRED mirror (Hugging Face)</x:v>
      </x:c>
    </x:row>
    <x:row r="1129" ht="18" customHeight="1">
      <x:c r="A1129" s="13" t="n">
        <x:v>44152</x:v>
      </x:c>
      <x:c r="B1129" s="12" t="n">
        <x:v>4.48</x:v>
      </x:c>
      <x:c r="C1129" s="12" t="n">
        <x:v>448.00000000000006</x:v>
      </x:c>
      <x:c r="D1129" s="12" t="n">
        <x:v>-1.9999999999999432</x:v>
      </x:c>
      <x:c r="E1129" s="12" t="str">
        <x:v>Archived FRED mirror (Hugging Face)</x:v>
      </x:c>
    </x:row>
    <x:row r="1130" ht="18" customHeight="1">
      <x:c r="A1130" s="13" t="n">
        <x:v>44153</x:v>
      </x:c>
      <x:c r="B1130" s="12" t="n">
        <x:v>4.42</x:v>
      </x:c>
      <x:c r="C1130" s="12" t="n">
        <x:v>442</x:v>
      </x:c>
      <x:c r="D1130" s="12" t="n">
        <x:v>-6.000000000000057</x:v>
      </x:c>
      <x:c r="E1130" s="12" t="str">
        <x:v>Archived FRED mirror (Hugging Face)</x:v>
      </x:c>
    </x:row>
    <x:row r="1131" ht="18" customHeight="1">
      <x:c r="A1131" s="13" t="n">
        <x:v>44154</x:v>
      </x:c>
      <x:c r="B1131" s="12" t="n">
        <x:v>4.48</x:v>
      </x:c>
      <x:c r="C1131" s="12" t="n">
        <x:v>448.00000000000006</x:v>
      </x:c>
      <x:c r="D1131" s="12" t="n">
        <x:v>6.000000000000057</x:v>
      </x:c>
      <x:c r="E1131" s="12" t="str">
        <x:v>Archived FRED mirror (Hugging Face)</x:v>
      </x:c>
    </x:row>
    <x:row r="1132" ht="18" customHeight="1">
      <x:c r="A1132" s="13" t="n">
        <x:v>44155</x:v>
      </x:c>
      <x:c r="B1132" s="12" t="n">
        <x:v>4.49</x:v>
      </x:c>
      <x:c r="C1132" s="12" t="n">
        <x:v>449</x:v>
      </x:c>
      <x:c r="D1132" s="12" t="n">
        <x:v>0.9999999999999432</x:v>
      </x:c>
      <x:c r="E1132" s="12" t="str">
        <x:v>Archived FRED mirror (Hugging Face)</x:v>
      </x:c>
    </x:row>
    <x:row r="1133" ht="18" customHeight="1">
      <x:c r="A1133" s="13" t="n">
        <x:v>44158</x:v>
      </x:c>
      <x:c r="B1133" s="12" t="n">
        <x:v>4.43</x:v>
      </x:c>
      <x:c r="C1133" s="12" t="n">
        <x:v>443</x:v>
      </x:c>
      <x:c r="D1133" s="12" t="n">
        <x:v>-6</x:v>
      </x:c>
      <x:c r="E1133" s="12" t="str">
        <x:v>Archived FRED mirror (Hugging Face)</x:v>
      </x:c>
    </x:row>
    <x:row r="1134" ht="18" customHeight="1">
      <x:c r="A1134" s="13" t="n">
        <x:v>44159</x:v>
      </x:c>
      <x:c r="B1134" s="12" t="n">
        <x:v>4.31</x:v>
      </x:c>
      <x:c r="C1134" s="12" t="n">
        <x:v>430.99999999999994</x:v>
      </x:c>
      <x:c r="D1134" s="12" t="n">
        <x:v>-12.000000000000057</x:v>
      </x:c>
      <x:c r="E1134" s="12" t="str">
        <x:v>Archived FRED mirror (Hugging Face)</x:v>
      </x:c>
    </x:row>
    <x:row r="1135" ht="18" customHeight="1">
      <x:c r="A1135" s="13" t="n">
        <x:v>44160</x:v>
      </x:c>
      <x:c r="B1135" s="12" t="n">
        <x:v>4.33</x:v>
      </x:c>
      <x:c r="C1135" s="12" t="n">
        <x:v>433</x:v>
      </x:c>
      <x:c r="D1135" s="12" t="n">
        <x:v>2.000000000000057</x:v>
      </x:c>
      <x:c r="E1135" s="12" t="str">
        <x:v>Archived FRED mirror (Hugging Face)</x:v>
      </x:c>
    </x:row>
    <x:row r="1136" ht="18" customHeight="1">
      <x:c r="A1136" s="13" t="n">
        <x:v>44161</x:v>
      </x:c>
      <x:c r="B1136" s="12" t="n">
        <x:v>4.33</x:v>
      </x:c>
      <x:c r="C1136" s="12" t="n">
        <x:v>433</x:v>
      </x:c>
      <x:c r="D1136" s="12" t="n">
        <x:v>0</x:v>
      </x:c>
      <x:c r="E1136" s="12" t="str">
        <x:v>Archived FRED mirror (Hugging Face)</x:v>
      </x:c>
    </x:row>
    <x:row r="1137" ht="18" customHeight="1">
      <x:c r="A1137" s="13" t="n">
        <x:v>44162</x:v>
      </x:c>
      <x:c r="B1137" s="12" t="n">
        <x:v>4.35</x:v>
      </x:c>
      <x:c r="C1137" s="12" t="n">
        <x:v>434.99999999999994</x:v>
      </x:c>
      <x:c r="D1137" s="12" t="n">
        <x:v>1.9999999999999432</x:v>
      </x:c>
      <x:c r="E1137" s="12" t="str">
        <x:v>Archived FRED mirror (Hugging Face)</x:v>
      </x:c>
    </x:row>
    <x:row r="1138" ht="18" customHeight="1">
      <x:c r="A1138" s="13" t="n">
        <x:v>44165</x:v>
      </x:c>
      <x:c r="B1138" s="12" t="n">
        <x:v>4.33</x:v>
      </x:c>
      <x:c r="C1138" s="12" t="n">
        <x:v>433</x:v>
      </x:c>
      <x:c r="D1138" s="12" t="n">
        <x:v>-1.9999999999999432</x:v>
      </x:c>
      <x:c r="E1138" s="12" t="str">
        <x:v>Archived FRED mirror (Hugging Face)</x:v>
      </x:c>
    </x:row>
    <x:row r="1139" ht="18" customHeight="1">
      <x:c r="A1139" s="13" t="n">
        <x:v>44166</x:v>
      </x:c>
      <x:c r="B1139" s="12" t="n">
        <x:v>4.21</x:v>
      </x:c>
      <x:c r="C1139" s="12" t="n">
        <x:v>421</x:v>
      </x:c>
      <x:c r="D1139" s="12" t="n">
        <x:v>-12</x:v>
      </x:c>
      <x:c r="E1139" s="12" t="str">
        <x:v>Archived FRED mirror (Hugging Face)</x:v>
      </x:c>
    </x:row>
    <x:row r="1140" ht="18" customHeight="1">
      <x:c r="A1140" s="13" t="n">
        <x:v>44167</x:v>
      </x:c>
      <x:c r="B1140" s="12" t="n">
        <x:v>4.17</x:v>
      </x:c>
      <x:c r="C1140" s="12" t="n">
        <x:v>417</x:v>
      </x:c>
      <x:c r="D1140" s="12" t="n">
        <x:v>-4</x:v>
      </x:c>
      <x:c r="E1140" s="12" t="str">
        <x:v>Archived FRED mirror (Hugging Face)</x:v>
      </x:c>
    </x:row>
    <x:row r="1141" ht="18" customHeight="1">
      <x:c r="A1141" s="13" t="n">
        <x:v>44168</x:v>
      </x:c>
      <x:c r="B1141" s="12" t="n">
        <x:v>4.1</x:v>
      </x:c>
      <x:c r="C1141" s="12" t="n">
        <x:v>409.99999999999994</x:v>
      </x:c>
      <x:c r="D1141" s="12" t="n">
        <x:v>-7.000000000000057</x:v>
      </x:c>
      <x:c r="E1141" s="12" t="str">
        <x:v>Archived FRED mirror (Hugging Face)</x:v>
      </x:c>
    </x:row>
    <x:row r="1142" ht="18" customHeight="1">
      <x:c r="A1142" s="13" t="n">
        <x:v>44169</x:v>
      </x:c>
      <x:c r="B1142" s="12" t="n">
        <x:v>4.03</x:v>
      </x:c>
      <x:c r="C1142" s="12" t="n">
        <x:v>403</x:v>
      </x:c>
      <x:c r="D1142" s="12" t="n">
        <x:v>-6.999999999999943</x:v>
      </x:c>
      <x:c r="E1142" s="12" t="str">
        <x:v>Archived FRED mirror (Hugging Face)</x:v>
      </x:c>
    </x:row>
    <x:row r="1143" ht="18" customHeight="1">
      <x:c r="A1143" s="13" t="n">
        <x:v>44172</x:v>
      </x:c>
      <x:c r="B1143" s="12" t="n">
        <x:v>4.03</x:v>
      </x:c>
      <x:c r="C1143" s="12" t="n">
        <x:v>403</x:v>
      </x:c>
      <x:c r="D1143" s="12" t="n">
        <x:v>0</x:v>
      </x:c>
      <x:c r="E1143" s="12" t="str">
        <x:v>Archived FRED mirror (Hugging Face)</x:v>
      </x:c>
    </x:row>
    <x:row r="1144" ht="18" customHeight="1">
      <x:c r="A1144" s="13" t="n">
        <x:v>44173</x:v>
      </x:c>
      <x:c r="B1144" s="12" t="n">
        <x:v>4.03</x:v>
      </x:c>
      <x:c r="C1144" s="12" t="n">
        <x:v>403</x:v>
      </x:c>
      <x:c r="D1144" s="12" t="n">
        <x:v>0</x:v>
      </x:c>
      <x:c r="E1144" s="12" t="str">
        <x:v>Archived FRED mirror (Hugging Face)</x:v>
      </x:c>
    </x:row>
    <x:row r="1145" ht="18" customHeight="1">
      <x:c r="A1145" s="13" t="n">
        <x:v>44174</x:v>
      </x:c>
      <x:c r="B1145" s="12" t="n">
        <x:v>4.04</x:v>
      </x:c>
      <x:c r="C1145" s="12" t="n">
        <x:v>404</x:v>
      </x:c>
      <x:c r="D1145" s="12" t="n">
        <x:v>1</x:v>
      </x:c>
      <x:c r="E1145" s="12" t="str">
        <x:v>Archived FRED mirror (Hugging Face)</x:v>
      </x:c>
    </x:row>
    <x:row r="1146" ht="18" customHeight="1">
      <x:c r="A1146" s="13" t="n">
        <x:v>44175</x:v>
      </x:c>
      <x:c r="B1146" s="12" t="n">
        <x:v>4.08</x:v>
      </x:c>
      <x:c r="C1146" s="12" t="n">
        <x:v>408</x:v>
      </x:c>
      <x:c r="D1146" s="12" t="n">
        <x:v>4</x:v>
      </x:c>
      <x:c r="E1146" s="12" t="str">
        <x:v>Archived FRED mirror (Hugging Face)</x:v>
      </x:c>
    </x:row>
    <x:row r="1147" ht="18" customHeight="1">
      <x:c r="A1147" s="13" t="n">
        <x:v>44176</x:v>
      </x:c>
      <x:c r="B1147" s="12" t="n">
        <x:v>4.13</x:v>
      </x:c>
      <x:c r="C1147" s="12" t="n">
        <x:v>413</x:v>
      </x:c>
      <x:c r="D1147" s="12" t="n">
        <x:v>5</x:v>
      </x:c>
      <x:c r="E1147" s="12" t="str">
        <x:v>Archived FRED mirror (Hugging Face)</x:v>
      </x:c>
    </x:row>
    <x:row r="1148" ht="18" customHeight="1">
      <x:c r="A1148" s="13" t="n">
        <x:v>44179</x:v>
      </x:c>
      <x:c r="B1148" s="12" t="n">
        <x:v>4.07</x:v>
      </x:c>
      <x:c r="C1148" s="12" t="n">
        <x:v>407</x:v>
      </x:c>
      <x:c r="D1148" s="12" t="n">
        <x:v>-6</x:v>
      </x:c>
      <x:c r="E1148" s="12" t="str">
        <x:v>Archived FRED mirror (Hugging Face)</x:v>
      </x:c>
    </x:row>
    <x:row r="1149" ht="18" customHeight="1">
      <x:c r="A1149" s="13" t="n">
        <x:v>44180</x:v>
      </x:c>
      <x:c r="B1149" s="12" t="n">
        <x:v>4.06</x:v>
      </x:c>
      <x:c r="C1149" s="12" t="n">
        <x:v>405.99999999999994</x:v>
      </x:c>
      <x:c r="D1149" s="12" t="n">
        <x:v>-1.0000000000000568</x:v>
      </x:c>
      <x:c r="E1149" s="12" t="str">
        <x:v>Archived FRED mirror (Hugging Face)</x:v>
      </x:c>
    </x:row>
    <x:row r="1150" ht="18" customHeight="1">
      <x:c r="A1150" s="13" t="n">
        <x:v>44181</x:v>
      </x:c>
      <x:c r="B1150" s="12" t="n">
        <x:v>4.06</x:v>
      </x:c>
      <x:c r="C1150" s="12" t="n">
        <x:v>405.99999999999994</x:v>
      </x:c>
      <x:c r="D1150" s="12" t="n">
        <x:v>0</x:v>
      </x:c>
      <x:c r="E1150" s="12" t="str">
        <x:v>Archived FRED mirror (Hugging Face)</x:v>
      </x:c>
    </x:row>
    <x:row r="1151" ht="18" customHeight="1">
      <x:c r="A1151" s="13" t="n">
        <x:v>44182</x:v>
      </x:c>
      <x:c r="B1151" s="12" t="n">
        <x:v>4.05</x:v>
      </x:c>
      <x:c r="C1151" s="12" t="n">
        <x:v>405</x:v>
      </x:c>
      <x:c r="D1151" s="12" t="n">
        <x:v>-0.9999999999999432</x:v>
      </x:c>
      <x:c r="E1151" s="12" t="str">
        <x:v>Archived FRED mirror (Hugging Face)</x:v>
      </x:c>
    </x:row>
    <x:row r="1152" ht="18" customHeight="1">
      <x:c r="A1152" s="13" t="n">
        <x:v>44183</x:v>
      </x:c>
      <x:c r="B1152" s="12" t="n">
        <x:v>4.03</x:v>
      </x:c>
      <x:c r="C1152" s="12" t="n">
        <x:v>403</x:v>
      </x:c>
      <x:c r="D1152" s="12" t="n">
        <x:v>-2</x:v>
      </x:c>
      <x:c r="E1152" s="12" t="str">
        <x:v>Archived FRED mirror (Hugging Face)</x:v>
      </x:c>
    </x:row>
    <x:row r="1153" ht="18" customHeight="1">
      <x:c r="A1153" s="13" t="n">
        <x:v>44186</x:v>
      </x:c>
      <x:c r="B1153" s="12" t="n">
        <x:v>4.18</x:v>
      </x:c>
      <x:c r="C1153" s="12" t="n">
        <x:v>418</x:v>
      </x:c>
      <x:c r="D1153" s="12" t="n">
        <x:v>15</x:v>
      </x:c>
      <x:c r="E1153" s="12" t="str">
        <x:v>Archived FRED mirror (Hugging Face)</x:v>
      </x:c>
    </x:row>
    <x:row r="1154" ht="18" customHeight="1">
      <x:c r="A1154" s="13" t="n">
        <x:v>44187</x:v>
      </x:c>
      <x:c r="B1154" s="12" t="n">
        <x:v>4.12</x:v>
      </x:c>
      <x:c r="C1154" s="12" t="n">
        <x:v>412</x:v>
      </x:c>
      <x:c r="D1154" s="12" t="n">
        <x:v>-6</x:v>
      </x:c>
      <x:c r="E1154" s="12" t="str">
        <x:v>Archived FRED mirror (Hugging Face)</x:v>
      </x:c>
    </x:row>
    <x:row r="1155" ht="18" customHeight="1">
      <x:c r="A1155" s="13" t="n">
        <x:v>44188</x:v>
      </x:c>
      <x:c r="B1155" s="12" t="n">
        <x:v>4.07</x:v>
      </x:c>
      <x:c r="C1155" s="12" t="n">
        <x:v>407</x:v>
      </x:c>
      <x:c r="D1155" s="12" t="n">
        <x:v>-5</x:v>
      </x:c>
      <x:c r="E1155" s="12" t="str">
        <x:v>Archived FRED mirror (Hugging Face)</x:v>
      </x:c>
    </x:row>
    <x:row r="1156" ht="18" customHeight="1">
      <x:c r="A1156" s="13" t="n">
        <x:v>44189</x:v>
      </x:c>
      <x:c r="B1156" s="12" t="n">
        <x:v>4.05</x:v>
      </x:c>
      <x:c r="C1156" s="12" t="n">
        <x:v>405</x:v>
      </x:c>
      <x:c r="D1156" s="12" t="n">
        <x:v>-2</x:v>
      </x:c>
      <x:c r="E1156" s="12" t="str">
        <x:v>Archived FRED mirror (Hugging Face)</x:v>
      </x:c>
    </x:row>
    <x:row r="1157" ht="18" customHeight="1">
      <x:c r="A1157" s="13" t="n">
        <x:v>44193</x:v>
      </x:c>
      <x:c r="B1157" s="12" t="n">
        <x:v>3.89</x:v>
      </x:c>
      <x:c r="C1157" s="12" t="n">
        <x:v>389</x:v>
      </x:c>
      <x:c r="D1157" s="12" t="n">
        <x:v>-16</x:v>
      </x:c>
      <x:c r="E1157" s="12" t="str">
        <x:v>Archived FRED mirror (Hugging Face)</x:v>
      </x:c>
    </x:row>
    <x:row r="1158" ht="18" customHeight="1">
      <x:c r="A1158" s="13" t="n">
        <x:v>44194</x:v>
      </x:c>
      <x:c r="B1158" s="12" t="n">
        <x:v>3.85</x:v>
      </x:c>
      <x:c r="C1158" s="12" t="n">
        <x:v>385</x:v>
      </x:c>
      <x:c r="D1158" s="12" t="n">
        <x:v>-4</x:v>
      </x:c>
      <x:c r="E1158" s="12" t="str">
        <x:v>Archived FRED mirror (Hugging Face)</x:v>
      </x:c>
    </x:row>
    <x:row r="1159" ht="18" customHeight="1">
      <x:c r="A1159" s="13" t="n">
        <x:v>44195</x:v>
      </x:c>
      <x:c r="B1159" s="12" t="n">
        <x:v>3.87</x:v>
      </x:c>
      <x:c r="C1159" s="12" t="n">
        <x:v>387</x:v>
      </x:c>
      <x:c r="D1159" s="12" t="n">
        <x:v>2</x:v>
      </x:c>
      <x:c r="E1159" s="12" t="str">
        <x:v>Archived FRED mirror (Hugging Face)</x:v>
      </x:c>
    </x:row>
    <x:row r="1160" ht="18" customHeight="1">
      <x:c r="A1160" s="13" t="n">
        <x:v>44196</x:v>
      </x:c>
      <x:c r="B1160" s="12" t="n">
        <x:v>3.86</x:v>
      </x:c>
      <x:c r="C1160" s="12" t="n">
        <x:v>386</x:v>
      </x:c>
      <x:c r="D1160" s="12" t="n">
        <x:v>-1</x:v>
      </x:c>
      <x:c r="E1160" s="12" t="str">
        <x:v>Archived FRED mirror (Hugging Face)</x:v>
      </x:c>
    </x:row>
    <x:row r="1161" ht="18" customHeight="1">
      <x:c r="A1161" s="13" t="n">
        <x:v>44200</x:v>
      </x:c>
      <x:c r="B1161" s="12" t="n">
        <x:v>3.93</x:v>
      </x:c>
      <x:c r="C1161" s="12" t="n">
        <x:v>393</x:v>
      </x:c>
      <x:c r="D1161" s="12" t="n">
        <x:v>7</x:v>
      </x:c>
      <x:c r="E1161" s="12" t="str">
        <x:v>Archived FRED mirror (Hugging Face)</x:v>
      </x:c>
    </x:row>
    <x:row r="1162" ht="18" customHeight="1">
      <x:c r="A1162" s="13" t="n">
        <x:v>44201</x:v>
      </x:c>
      <x:c r="B1162" s="12" t="n">
        <x:v>3.92</x:v>
      </x:c>
      <x:c r="C1162" s="12" t="n">
        <x:v>392</x:v>
      </x:c>
      <x:c r="D1162" s="12" t="n">
        <x:v>-1</x:v>
      </x:c>
      <x:c r="E1162" s="12" t="str">
        <x:v>Archived FRED mirror (Hugging Face)</x:v>
      </x:c>
    </x:row>
    <x:row r="1163" ht="18" customHeight="1">
      <x:c r="A1163" s="13" t="n">
        <x:v>44202</x:v>
      </x:c>
      <x:c r="B1163" s="12" t="n">
        <x:v>3.8</x:v>
      </x:c>
      <x:c r="C1163" s="12" t="n">
        <x:v>380</x:v>
      </x:c>
      <x:c r="D1163" s="12" t="n">
        <x:v>-12</x:v>
      </x:c>
      <x:c r="E1163" s="12" t="str">
        <x:v>Archived FRED mirror (Hugging Face)</x:v>
      </x:c>
    </x:row>
    <x:row r="1164" ht="18" customHeight="1">
      <x:c r="A1164" s="13" t="n">
        <x:v>44203</x:v>
      </x:c>
      <x:c r="B1164" s="12" t="n">
        <x:v>3.78</x:v>
      </x:c>
      <x:c r="C1164" s="12" t="n">
        <x:v>378</x:v>
      </x:c>
      <x:c r="D1164" s="12" t="n">
        <x:v>-2</x:v>
      </x:c>
      <x:c r="E1164" s="12" t="str">
        <x:v>Archived FRED mirror (Hugging Face)</x:v>
      </x:c>
    </x:row>
    <x:row r="1165" ht="18" customHeight="1">
      <x:c r="A1165" s="13" t="n">
        <x:v>44204</x:v>
      </x:c>
      <x:c r="B1165" s="12" t="n">
        <x:v>3.76</x:v>
      </x:c>
      <x:c r="C1165" s="12" t="n">
        <x:v>376</x:v>
      </x:c>
      <x:c r="D1165" s="12" t="n">
        <x:v>-2</x:v>
      </x:c>
      <x:c r="E1165" s="12" t="str">
        <x:v>Archived FRED mirror (Hugging Face)</x:v>
      </x:c>
    </x:row>
    <x:row r="1166" ht="18" customHeight="1">
      <x:c r="A1166" s="13" t="n">
        <x:v>44207</x:v>
      </x:c>
      <x:c r="B1166" s="12" t="n">
        <x:v>3.82</x:v>
      </x:c>
      <x:c r="C1166" s="12" t="n">
        <x:v>382</x:v>
      </x:c>
      <x:c r="D1166" s="12" t="n">
        <x:v>6</x:v>
      </x:c>
      <x:c r="E1166" s="12" t="str">
        <x:v>Archived FRED mirror (Hugging Face)</x:v>
      </x:c>
    </x:row>
    <x:row r="1167" ht="18" customHeight="1">
      <x:c r="A1167" s="13" t="n">
        <x:v>44208</x:v>
      </x:c>
      <x:c r="B1167" s="12" t="n">
        <x:v>3.85</x:v>
      </x:c>
      <x:c r="C1167" s="12" t="n">
        <x:v>385</x:v>
      </x:c>
      <x:c r="D1167" s="12" t="n">
        <x:v>3</x:v>
      </x:c>
      <x:c r="E1167" s="12" t="str">
        <x:v>Archived FRED mirror (Hugging Face)</x:v>
      </x:c>
    </x:row>
    <x:row r="1168" ht="18" customHeight="1">
      <x:c r="A1168" s="13" t="n">
        <x:v>44209</x:v>
      </x:c>
      <x:c r="B1168" s="12" t="n">
        <x:v>3.82</x:v>
      </x:c>
      <x:c r="C1168" s="12" t="n">
        <x:v>382</x:v>
      </x:c>
      <x:c r="D1168" s="12" t="n">
        <x:v>-3</x:v>
      </x:c>
      <x:c r="E1168" s="12" t="str">
        <x:v>Archived FRED mirror (Hugging Face)</x:v>
      </x:c>
    </x:row>
    <x:row r="1169" ht="18" customHeight="1">
      <x:c r="A1169" s="13" t="n">
        <x:v>44210</x:v>
      </x:c>
      <x:c r="B1169" s="12" t="n">
        <x:v>3.73</x:v>
      </x:c>
      <x:c r="C1169" s="12" t="n">
        <x:v>373</x:v>
      </x:c>
      <x:c r="D1169" s="12" t="n">
        <x:v>-9</x:v>
      </x:c>
      <x:c r="E1169" s="12" t="str">
        <x:v>Archived FRED mirror (Hugging Face)</x:v>
      </x:c>
    </x:row>
    <x:row r="1170" ht="18" customHeight="1">
      <x:c r="A1170" s="13" t="n">
        <x:v>44211</x:v>
      </x:c>
      <x:c r="B1170" s="12" t="n">
        <x:v>3.74</x:v>
      </x:c>
      <x:c r="C1170" s="12" t="n">
        <x:v>374</x:v>
      </x:c>
      <x:c r="D1170" s="12" t="n">
        <x:v>1</x:v>
      </x:c>
      <x:c r="E1170" s="12" t="str">
        <x:v>Archived FRED mirror (Hugging Face)</x:v>
      </x:c>
    </x:row>
    <x:row r="1171" ht="18" customHeight="1">
      <x:c r="A1171" s="13" t="n">
        <x:v>44214</x:v>
      </x:c>
      <x:c r="B1171" s="12" t="n">
        <x:v>3.73</x:v>
      </x:c>
      <x:c r="C1171" s="12" t="n">
        <x:v>373</x:v>
      </x:c>
      <x:c r="D1171" s="12" t="n">
        <x:v>-1</x:v>
      </x:c>
      <x:c r="E1171" s="12" t="str">
        <x:v>Archived FRED mirror (Hugging Face)</x:v>
      </x:c>
    </x:row>
    <x:row r="1172" ht="18" customHeight="1">
      <x:c r="A1172" s="13" t="n">
        <x:v>44215</x:v>
      </x:c>
      <x:c r="B1172" s="12" t="n">
        <x:v>3.71</x:v>
      </x:c>
      <x:c r="C1172" s="12" t="n">
        <x:v>371</x:v>
      </x:c>
      <x:c r="D1172" s="12" t="n">
        <x:v>-2</x:v>
      </x:c>
      <x:c r="E1172" s="12" t="str">
        <x:v>Archived FRED mirror (Hugging Face)</x:v>
      </x:c>
    </x:row>
    <x:row r="1173" ht="18" customHeight="1">
      <x:c r="A1173" s="13" t="n">
        <x:v>44216</x:v>
      </x:c>
      <x:c r="B1173" s="12" t="n">
        <x:v>3.67</x:v>
      </x:c>
      <x:c r="C1173" s="12" t="n">
        <x:v>367</x:v>
      </x:c>
      <x:c r="D1173" s="12" t="n">
        <x:v>-4</x:v>
      </x:c>
      <x:c r="E1173" s="12" t="str">
        <x:v>Archived FRED mirror (Hugging Face)</x:v>
      </x:c>
    </x:row>
    <x:row r="1174" ht="18" customHeight="1">
      <x:c r="A1174" s="13" t="n">
        <x:v>44217</x:v>
      </x:c>
      <x:c r="B1174" s="12" t="n">
        <x:v>3.65</x:v>
      </x:c>
      <x:c r="C1174" s="12" t="n">
        <x:v>365</x:v>
      </x:c>
      <x:c r="D1174" s="12" t="n">
        <x:v>-2</x:v>
      </x:c>
      <x:c r="E1174" s="12" t="str">
        <x:v>Archived FRED mirror (Hugging Face)</x:v>
      </x:c>
    </x:row>
    <x:row r="1175" ht="18" customHeight="1">
      <x:c r="A1175" s="13" t="n">
        <x:v>44218</x:v>
      </x:c>
      <x:c r="B1175" s="12" t="n">
        <x:v>3.75</x:v>
      </x:c>
      <x:c r="C1175" s="12" t="n">
        <x:v>375</x:v>
      </x:c>
      <x:c r="D1175" s="12" t="n">
        <x:v>10</x:v>
      </x:c>
      <x:c r="E1175" s="12" t="str">
        <x:v>Archived FRED mirror (Hugging Face)</x:v>
      </x:c>
    </x:row>
    <x:row r="1176" ht="18" customHeight="1">
      <x:c r="A1176" s="13" t="n">
        <x:v>44221</x:v>
      </x:c>
      <x:c r="B1176" s="12" t="n">
        <x:v>3.75</x:v>
      </x:c>
      <x:c r="C1176" s="12" t="n">
        <x:v>375</x:v>
      </x:c>
      <x:c r="D1176" s="12" t="n">
        <x:v>0</x:v>
      </x:c>
      <x:c r="E1176" s="12" t="str">
        <x:v>Archived FRED mirror (Hugging Face)</x:v>
      </x:c>
    </x:row>
    <x:row r="1177" ht="18" customHeight="1">
      <x:c r="A1177" s="13" t="n">
        <x:v>44222</x:v>
      </x:c>
      <x:c r="B1177" s="12" t="n">
        <x:v>3.74</x:v>
      </x:c>
      <x:c r="C1177" s="12" t="n">
        <x:v>374</x:v>
      </x:c>
      <x:c r="D1177" s="12" t="n">
        <x:v>-1</x:v>
      </x:c>
      <x:c r="E1177" s="12" t="str">
        <x:v>Archived FRED mirror (Hugging Face)</x:v>
      </x:c>
    </x:row>
    <x:row r="1178" ht="18" customHeight="1">
      <x:c r="A1178" s="13" t="n">
        <x:v>44223</x:v>
      </x:c>
      <x:c r="B1178" s="12" t="n">
        <x:v>3.85</x:v>
      </x:c>
      <x:c r="C1178" s="12" t="n">
        <x:v>385</x:v>
      </x:c>
      <x:c r="D1178" s="12" t="n">
        <x:v>11</x:v>
      </x:c>
      <x:c r="E1178" s="12" t="str">
        <x:v>Archived FRED mirror (Hugging Face)</x:v>
      </x:c>
    </x:row>
    <x:row r="1179" ht="18" customHeight="1">
      <x:c r="A1179" s="13" t="n">
        <x:v>44224</x:v>
      </x:c>
      <x:c r="B1179" s="12" t="n">
        <x:v>3.76</x:v>
      </x:c>
      <x:c r="C1179" s="12" t="n">
        <x:v>376</x:v>
      </x:c>
      <x:c r="D1179" s="12" t="n">
        <x:v>-9</x:v>
      </x:c>
      <x:c r="E1179" s="12" t="str">
        <x:v>Archived FRED mirror (Hugging Face)</x:v>
      </x:c>
    </x:row>
    <x:row r="1180" ht="18" customHeight="1">
      <x:c r="A1180" s="13" t="n">
        <x:v>44225</x:v>
      </x:c>
      <x:c r="B1180" s="12" t="n">
        <x:v>3.79</x:v>
      </x:c>
      <x:c r="C1180" s="12" t="n">
        <x:v>379</x:v>
      </x:c>
      <x:c r="D1180" s="12" t="n">
        <x:v>3</x:v>
      </x:c>
      <x:c r="E1180" s="12" t="str">
        <x:v>Archived FRED mirror (Hugging Face)</x:v>
      </x:c>
    </x:row>
    <x:row r="1181" ht="18" customHeight="1">
      <x:c r="A1181" s="13" t="n">
        <x:v>44227</x:v>
      </x:c>
      <x:c r="B1181" s="12" t="n">
        <x:v>3.84</x:v>
      </x:c>
      <x:c r="C1181" s="12" t="n">
        <x:v>384</x:v>
      </x:c>
      <x:c r="D1181" s="12" t="n">
        <x:v>5</x:v>
      </x:c>
      <x:c r="E1181" s="12" t="str">
        <x:v>Archived FRED mirror (Hugging Face)</x:v>
      </x:c>
    </x:row>
    <x:row r="1182" ht="18" customHeight="1">
      <x:c r="A1182" s="13" t="n">
        <x:v>44228</x:v>
      </x:c>
      <x:c r="B1182" s="12" t="n">
        <x:v>3.83</x:v>
      </x:c>
      <x:c r="C1182" s="12" t="n">
        <x:v>383</x:v>
      </x:c>
      <x:c r="D1182" s="12" t="n">
        <x:v>-1</x:v>
      </x:c>
      <x:c r="E1182" s="12" t="str">
        <x:v>Archived FRED mirror (Hugging Face)</x:v>
      </x:c>
    </x:row>
    <x:row r="1183" ht="18" customHeight="1">
      <x:c r="A1183" s="13" t="n">
        <x:v>44229</x:v>
      </x:c>
      <x:c r="B1183" s="12" t="n">
        <x:v>3.75</x:v>
      </x:c>
      <x:c r="C1183" s="12" t="n">
        <x:v>375</x:v>
      </x:c>
      <x:c r="D1183" s="12" t="n">
        <x:v>-8</x:v>
      </x:c>
      <x:c r="E1183" s="12" t="str">
        <x:v>Archived FRED mirror (Hugging Face)</x:v>
      </x:c>
    </x:row>
    <x:row r="1184" ht="18" customHeight="1">
      <x:c r="A1184" s="13" t="n">
        <x:v>44230</x:v>
      </x:c>
      <x:c r="B1184" s="12" t="n">
        <x:v>3.68</x:v>
      </x:c>
      <x:c r="C1184" s="12" t="n">
        <x:v>368</x:v>
      </x:c>
      <x:c r="D1184" s="12" t="n">
        <x:v>-7</x:v>
      </x:c>
      <x:c r="E1184" s="12" t="str">
        <x:v>Archived FRED mirror (Hugging Face)</x:v>
      </x:c>
    </x:row>
    <x:row r="1185" ht="18" customHeight="1">
      <x:c r="A1185" s="13" t="n">
        <x:v>44231</x:v>
      </x:c>
      <x:c r="B1185" s="12" t="n">
        <x:v>3.64</x:v>
      </x:c>
      <x:c r="C1185" s="12" t="n">
        <x:v>364</x:v>
      </x:c>
      <x:c r="D1185" s="12" t="n">
        <x:v>-4</x:v>
      </x:c>
      <x:c r="E1185" s="12" t="str">
        <x:v>Archived FRED mirror (Hugging Face)</x:v>
      </x:c>
    </x:row>
    <x:row r="1186" ht="18" customHeight="1">
      <x:c r="A1186" s="13" t="n">
        <x:v>44232</x:v>
      </x:c>
      <x:c r="B1186" s="12" t="n">
        <x:v>3.58</x:v>
      </x:c>
      <x:c r="C1186" s="12" t="n">
        <x:v>358</x:v>
      </x:c>
      <x:c r="D1186" s="12" t="n">
        <x:v>-6</x:v>
      </x:c>
      <x:c r="E1186" s="12" t="str">
        <x:v>Archived FRED mirror (Hugging Face)</x:v>
      </x:c>
    </x:row>
    <x:row r="1187" ht="18" customHeight="1">
      <x:c r="A1187" s="13" t="n">
        <x:v>44235</x:v>
      </x:c>
      <x:c r="B1187" s="12" t="n">
        <x:v>3.54</x:v>
      </x:c>
      <x:c r="C1187" s="12" t="n">
        <x:v>354</x:v>
      </x:c>
      <x:c r="D1187" s="12" t="n">
        <x:v>-4</x:v>
      </x:c>
      <x:c r="E1187" s="12" t="str">
        <x:v>Archived FRED mirror (Hugging Face)</x:v>
      </x:c>
    </x:row>
    <x:row r="1188" ht="18" customHeight="1">
      <x:c r="A1188" s="13" t="n">
        <x:v>44236</x:v>
      </x:c>
      <x:c r="B1188" s="12" t="n">
        <x:v>3.51</x:v>
      </x:c>
      <x:c r="C1188" s="12" t="n">
        <x:v>351</x:v>
      </x:c>
      <x:c r="D1188" s="12" t="n">
        <x:v>-3</x:v>
      </x:c>
      <x:c r="E1188" s="12" t="str">
        <x:v>Archived FRED mirror (Hugging Face)</x:v>
      </x:c>
    </x:row>
    <x:row r="1189" ht="18" customHeight="1">
      <x:c r="A1189" s="13" t="n">
        <x:v>44237</x:v>
      </x:c>
      <x:c r="B1189" s="12" t="n">
        <x:v>3.51</x:v>
      </x:c>
      <x:c r="C1189" s="12" t="n">
        <x:v>351</x:v>
      </x:c>
      <x:c r="D1189" s="12" t="n">
        <x:v>0</x:v>
      </x:c>
      <x:c r="E1189" s="12" t="str">
        <x:v>Archived FRED mirror (Hugging Face)</x:v>
      </x:c>
    </x:row>
    <x:row r="1190" ht="18" customHeight="1">
      <x:c r="A1190" s="13" t="n">
        <x:v>44238</x:v>
      </x:c>
      <x:c r="B1190" s="12" t="n">
        <x:v>3.5</x:v>
      </x:c>
      <x:c r="C1190" s="12" t="n">
        <x:v>350</x:v>
      </x:c>
      <x:c r="D1190" s="12" t="n">
        <x:v>-1</x:v>
      </x:c>
      <x:c r="E1190" s="12" t="str">
        <x:v>Archived FRED mirror (Hugging Face)</x:v>
      </x:c>
    </x:row>
    <x:row r="1191" ht="18" customHeight="1">
      <x:c r="A1191" s="13" t="n">
        <x:v>44239</x:v>
      </x:c>
      <x:c r="B1191" s="12" t="n">
        <x:v>3.48</x:v>
      </x:c>
      <x:c r="C1191" s="12" t="n">
        <x:v>348</x:v>
      </x:c>
      <x:c r="D1191" s="12" t="n">
        <x:v>-2</x:v>
      </x:c>
      <x:c r="E1191" s="12" t="str">
        <x:v>Archived FRED mirror (Hugging Face)</x:v>
      </x:c>
    </x:row>
    <x:row r="1192" ht="18" customHeight="1">
      <x:c r="A1192" s="13" t="n">
        <x:v>44242</x:v>
      </x:c>
      <x:c r="B1192" s="12" t="n">
        <x:v>3.47</x:v>
      </x:c>
      <x:c r="C1192" s="12" t="n">
        <x:v>347</x:v>
      </x:c>
      <x:c r="D1192" s="12" t="n">
        <x:v>-1</x:v>
      </x:c>
      <x:c r="E1192" s="12" t="str">
        <x:v>Archived FRED mirror (Hugging Face)</x:v>
      </x:c>
    </x:row>
    <x:row r="1193" ht="18" customHeight="1">
      <x:c r="A1193" s="13" t="n">
        <x:v>44243</x:v>
      </x:c>
      <x:c r="B1193" s="12" t="n">
        <x:v>3.41</x:v>
      </x:c>
      <x:c r="C1193" s="12" t="n">
        <x:v>341</x:v>
      </x:c>
      <x:c r="D1193" s="12" t="n">
        <x:v>-6</x:v>
      </x:c>
      <x:c r="E1193" s="12" t="str">
        <x:v>Archived FRED mirror (Hugging Face)</x:v>
      </x:c>
    </x:row>
    <x:row r="1194" ht="18" customHeight="1">
      <x:c r="A1194" s="13" t="n">
        <x:v>44244</x:v>
      </x:c>
      <x:c r="B1194" s="12" t="n">
        <x:v>3.44</x:v>
      </x:c>
      <x:c r="C1194" s="12" t="n">
        <x:v>344</x:v>
      </x:c>
      <x:c r="D1194" s="12" t="n">
        <x:v>3</x:v>
      </x:c>
      <x:c r="E1194" s="12" t="str">
        <x:v>Archived FRED mirror (Hugging Face)</x:v>
      </x:c>
    </x:row>
    <x:row r="1195" ht="18" customHeight="1">
      <x:c r="A1195" s="13" t="n">
        <x:v>44245</x:v>
      </x:c>
      <x:c r="B1195" s="12" t="n">
        <x:v>3.46</x:v>
      </x:c>
      <x:c r="C1195" s="12" t="n">
        <x:v>346</x:v>
      </x:c>
      <x:c r="D1195" s="12" t="n">
        <x:v>2</x:v>
      </x:c>
      <x:c r="E1195" s="12" t="str">
        <x:v>Archived FRED mirror (Hugging Face)</x:v>
      </x:c>
    </x:row>
    <x:row r="1196" ht="18" customHeight="1">
      <x:c r="A1196" s="13" t="n">
        <x:v>44246</x:v>
      </x:c>
      <x:c r="B1196" s="12" t="n">
        <x:v>3.41</x:v>
      </x:c>
      <x:c r="C1196" s="12" t="n">
        <x:v>341</x:v>
      </x:c>
      <x:c r="D1196" s="12" t="n">
        <x:v>-5</x:v>
      </x:c>
      <x:c r="E1196" s="12" t="str">
        <x:v>Archived FRED mirror (Hugging Face)</x:v>
      </x:c>
    </x:row>
    <x:row r="1197" ht="18" customHeight="1">
      <x:c r="A1197" s="13" t="n">
        <x:v>44249</x:v>
      </x:c>
      <x:c r="B1197" s="12" t="n">
        <x:v>3.44</x:v>
      </x:c>
      <x:c r="C1197" s="12" t="n">
        <x:v>344</x:v>
      </x:c>
      <x:c r="D1197" s="12" t="n">
        <x:v>3</x:v>
      </x:c>
      <x:c r="E1197" s="12" t="str">
        <x:v>Archived FRED mirror (Hugging Face)</x:v>
      </x:c>
    </x:row>
    <x:row r="1198" ht="18" customHeight="1">
      <x:c r="A1198" s="13" t="n">
        <x:v>44250</x:v>
      </x:c>
      <x:c r="B1198" s="12" t="n">
        <x:v>3.47</x:v>
      </x:c>
      <x:c r="C1198" s="12" t="n">
        <x:v>347</x:v>
      </x:c>
      <x:c r="D1198" s="12" t="n">
        <x:v>3</x:v>
      </x:c>
      <x:c r="E1198" s="12" t="str">
        <x:v>Archived FRED mirror (Hugging Face)</x:v>
      </x:c>
    </x:row>
    <x:row r="1199" ht="18" customHeight="1">
      <x:c r="A1199" s="13" t="n">
        <x:v>44251</x:v>
      </x:c>
      <x:c r="B1199" s="12" t="n">
        <x:v>3.42</x:v>
      </x:c>
      <x:c r="C1199" s="12" t="n">
        <x:v>342</x:v>
      </x:c>
      <x:c r="D1199" s="12" t="n">
        <x:v>-5</x:v>
      </x:c>
      <x:c r="E1199" s="12" t="str">
        <x:v>Archived FRED mirror (Hugging Face)</x:v>
      </x:c>
    </x:row>
    <x:row r="1200" ht="18" customHeight="1">
      <x:c r="A1200" s="13" t="n">
        <x:v>44252</x:v>
      </x:c>
      <x:c r="B1200" s="12" t="n">
        <x:v>3.42</x:v>
      </x:c>
      <x:c r="C1200" s="12" t="n">
        <x:v>342</x:v>
      </x:c>
      <x:c r="D1200" s="12" t="n">
        <x:v>0</x:v>
      </x:c>
      <x:c r="E1200" s="12" t="str">
        <x:v>Archived FRED mirror (Hugging Face)</x:v>
      </x:c>
    </x:row>
    <x:row r="1201" ht="18" customHeight="1">
      <x:c r="A1201" s="13" t="n">
        <x:v>44253</x:v>
      </x:c>
      <x:c r="B1201" s="12" t="n">
        <x:v>3.52</x:v>
      </x:c>
      <x:c r="C1201" s="12" t="n">
        <x:v>352</x:v>
      </x:c>
      <x:c r="D1201" s="12" t="n">
        <x:v>10</x:v>
      </x:c>
      <x:c r="E1201" s="12" t="str">
        <x:v>Archived FRED mirror (Hugging Face)</x:v>
      </x:c>
    </x:row>
    <x:row r="1202" ht="18" customHeight="1">
      <x:c r="A1202" s="13" t="n">
        <x:v>44255</x:v>
      </x:c>
      <x:c r="B1202" s="12" t="n">
        <x:v>3.57</x:v>
      </x:c>
      <x:c r="C1202" s="12" t="n">
        <x:v>357</x:v>
      </x:c>
      <x:c r="D1202" s="12" t="n">
        <x:v>5</x:v>
      </x:c>
      <x:c r="E1202" s="12" t="str">
        <x:v>Archived FRED mirror (Hugging Face)</x:v>
      </x:c>
    </x:row>
    <x:row r="1203" ht="18" customHeight="1">
      <x:c r="A1203" s="13" t="n">
        <x:v>44256</x:v>
      </x:c>
      <x:c r="B1203" s="12" t="n">
        <x:v>3.54</x:v>
      </x:c>
      <x:c r="C1203" s="12" t="n">
        <x:v>354</x:v>
      </x:c>
      <x:c r="D1203" s="12" t="n">
        <x:v>-3</x:v>
      </x:c>
      <x:c r="E1203" s="12" t="str">
        <x:v>Archived FRED mirror (Hugging Face)</x:v>
      </x:c>
    </x:row>
    <x:row r="1204" ht="18" customHeight="1">
      <x:c r="A1204" s="13" t="n">
        <x:v>44257</x:v>
      </x:c>
      <x:c r="B1204" s="12" t="n">
        <x:v>3.53</x:v>
      </x:c>
      <x:c r="C1204" s="12" t="n">
        <x:v>353</x:v>
      </x:c>
      <x:c r="D1204" s="12" t="n">
        <x:v>-1</x:v>
      </x:c>
      <x:c r="E1204" s="12" t="str">
        <x:v>Archived FRED mirror (Hugging Face)</x:v>
      </x:c>
    </x:row>
    <x:row r="1205" ht="18" customHeight="1">
      <x:c r="A1205" s="13" t="n">
        <x:v>44258</x:v>
      </x:c>
      <x:c r="B1205" s="12" t="n">
        <x:v>3.51</x:v>
      </x:c>
      <x:c r="C1205" s="12" t="n">
        <x:v>351</x:v>
      </x:c>
      <x:c r="D1205" s="12" t="n">
        <x:v>-2</x:v>
      </x:c>
      <x:c r="E1205" s="12" t="str">
        <x:v>Archived FRED mirror (Hugging Face)</x:v>
      </x:c>
    </x:row>
    <x:row r="1206" ht="18" customHeight="1">
      <x:c r="A1206" s="13" t="n">
        <x:v>44259</x:v>
      </x:c>
      <x:c r="B1206" s="12" t="n">
        <x:v>3.54</x:v>
      </x:c>
      <x:c r="C1206" s="12" t="n">
        <x:v>354</x:v>
      </x:c>
      <x:c r="D1206" s="12" t="n">
        <x:v>3</x:v>
      </x:c>
      <x:c r="E1206" s="12" t="str">
        <x:v>Archived FRED mirror (Hugging Face)</x:v>
      </x:c>
    </x:row>
    <x:row r="1207" ht="18" customHeight="1">
      <x:c r="A1207" s="13" t="n">
        <x:v>44260</x:v>
      </x:c>
      <x:c r="B1207" s="12" t="n">
        <x:v>3.6</x:v>
      </x:c>
      <x:c r="C1207" s="12" t="n">
        <x:v>360</x:v>
      </x:c>
      <x:c r="D1207" s="12" t="n">
        <x:v>6</x:v>
      </x:c>
      <x:c r="E1207" s="12" t="str">
        <x:v>Archived FRED mirror (Hugging Face)</x:v>
      </x:c>
    </x:row>
    <x:row r="1208" ht="18" customHeight="1">
      <x:c r="A1208" s="13" t="n">
        <x:v>44263</x:v>
      </x:c>
      <x:c r="B1208" s="12" t="n">
        <x:v>3.57</x:v>
      </x:c>
      <x:c r="C1208" s="12" t="n">
        <x:v>357</x:v>
      </x:c>
      <x:c r="D1208" s="12" t="n">
        <x:v>-3</x:v>
      </x:c>
      <x:c r="E1208" s="12" t="str">
        <x:v>Archived FRED mirror (Hugging Face)</x:v>
      </x:c>
    </x:row>
    <x:row r="1209" ht="18" customHeight="1">
      <x:c r="A1209" s="13" t="n">
        <x:v>44264</x:v>
      </x:c>
      <x:c r="B1209" s="12" t="n">
        <x:v>3.62</x:v>
      </x:c>
      <x:c r="C1209" s="12" t="n">
        <x:v>362</x:v>
      </x:c>
      <x:c r="D1209" s="12" t="n">
        <x:v>5</x:v>
      </x:c>
      <x:c r="E1209" s="12" t="str">
        <x:v>Archived FRED mirror (Hugging Face)</x:v>
      </x:c>
    </x:row>
    <x:row r="1210" ht="18" customHeight="1">
      <x:c r="A1210" s="13" t="n">
        <x:v>44265</x:v>
      </x:c>
      <x:c r="B1210" s="12" t="n">
        <x:v>3.63</x:v>
      </x:c>
      <x:c r="C1210" s="12" t="n">
        <x:v>363</x:v>
      </x:c>
      <x:c r="D1210" s="12" t="n">
        <x:v>1</x:v>
      </x:c>
      <x:c r="E1210" s="12" t="str">
        <x:v>Archived FRED mirror (Hugging Face)</x:v>
      </x:c>
    </x:row>
    <x:row r="1211" ht="18" customHeight="1">
      <x:c r="A1211" s="13" t="n">
        <x:v>44266</x:v>
      </x:c>
      <x:c r="B1211" s="12" t="n">
        <x:v>3.52</x:v>
      </x:c>
      <x:c r="C1211" s="12" t="n">
        <x:v>352</x:v>
      </x:c>
      <x:c r="D1211" s="12" t="n">
        <x:v>-11</x:v>
      </x:c>
      <x:c r="E1211" s="12" t="str">
        <x:v>Archived FRED mirror (Hugging Face)</x:v>
      </x:c>
    </x:row>
    <x:row r="1212" ht="18" customHeight="1">
      <x:c r="A1212" s="13" t="n">
        <x:v>44267</x:v>
      </x:c>
      <x:c r="B1212" s="12" t="n">
        <x:v>3.55</x:v>
      </x:c>
      <x:c r="C1212" s="12" t="n">
        <x:v>355</x:v>
      </x:c>
      <x:c r="D1212" s="12" t="n">
        <x:v>3</x:v>
      </x:c>
      <x:c r="E1212" s="12" t="str">
        <x:v>Archived FRED mirror (Hugging Face)</x:v>
      </x:c>
    </x:row>
    <x:row r="1213" ht="18" customHeight="1">
      <x:c r="A1213" s="13" t="n">
        <x:v>44270</x:v>
      </x:c>
      <x:c r="B1213" s="12" t="n">
        <x:v>3.55</x:v>
      </x:c>
      <x:c r="C1213" s="12" t="n">
        <x:v>355</x:v>
      </x:c>
      <x:c r="D1213" s="12" t="n">
        <x:v>0</x:v>
      </x:c>
      <x:c r="E1213" s="12" t="str">
        <x:v>Archived FRED mirror (Hugging Face)</x:v>
      </x:c>
    </x:row>
    <x:row r="1214" ht="18" customHeight="1">
      <x:c r="A1214" s="13" t="n">
        <x:v>44271</x:v>
      </x:c>
      <x:c r="B1214" s="12" t="n">
        <x:v>3.55</x:v>
      </x:c>
      <x:c r="C1214" s="12" t="n">
        <x:v>355</x:v>
      </x:c>
      <x:c r="D1214" s="12" t="n">
        <x:v>0</x:v>
      </x:c>
      <x:c r="E1214" s="12" t="str">
        <x:v>Archived FRED mirror (Hugging Face)</x:v>
      </x:c>
    </x:row>
    <x:row r="1215" ht="18" customHeight="1">
      <x:c r="A1215" s="13" t="n">
        <x:v>44272</x:v>
      </x:c>
      <x:c r="B1215" s="12" t="n">
        <x:v>3.65</x:v>
      </x:c>
      <x:c r="C1215" s="12" t="n">
        <x:v>365</x:v>
      </x:c>
      <x:c r="D1215" s="12" t="n">
        <x:v>10</x:v>
      </x:c>
      <x:c r="E1215" s="12" t="str">
        <x:v>Archived FRED mirror (Hugging Face)</x:v>
      </x:c>
    </x:row>
    <x:row r="1216" ht="18" customHeight="1">
      <x:c r="A1216" s="13" t="n">
        <x:v>44273</x:v>
      </x:c>
      <x:c r="B1216" s="12" t="n">
        <x:v>3.66</x:v>
      </x:c>
      <x:c r="C1216" s="12" t="n">
        <x:v>366</x:v>
      </x:c>
      <x:c r="D1216" s="12" t="n">
        <x:v>1</x:v>
      </x:c>
      <x:c r="E1216" s="12" t="str">
        <x:v>Archived FRED mirror (Hugging Face)</x:v>
      </x:c>
    </x:row>
    <x:row r="1217" ht="18" customHeight="1">
      <x:c r="A1217" s="13" t="n">
        <x:v>44274</x:v>
      </x:c>
      <x:c r="B1217" s="12" t="n">
        <x:v>3.67</x:v>
      </x:c>
      <x:c r="C1217" s="12" t="n">
        <x:v>367</x:v>
      </x:c>
      <x:c r="D1217" s="12" t="n">
        <x:v>1</x:v>
      </x:c>
      <x:c r="E1217" s="12" t="str">
        <x:v>Archived FRED mirror (Hugging Face)</x:v>
      </x:c>
    </x:row>
    <x:row r="1218" ht="18" customHeight="1">
      <x:c r="A1218" s="13" t="n">
        <x:v>44277</x:v>
      </x:c>
      <x:c r="B1218" s="12" t="n">
        <x:v>3.58</x:v>
      </x:c>
      <x:c r="C1218" s="12" t="n">
        <x:v>358</x:v>
      </x:c>
      <x:c r="D1218" s="12" t="n">
        <x:v>-9</x:v>
      </x:c>
      <x:c r="E1218" s="12" t="str">
        <x:v>Archived FRED mirror (Hugging Face)</x:v>
      </x:c>
    </x:row>
    <x:row r="1219" ht="18" customHeight="1">
      <x:c r="A1219" s="13" t="n">
        <x:v>44278</x:v>
      </x:c>
      <x:c r="B1219" s="12" t="n">
        <x:v>3.57</x:v>
      </x:c>
      <x:c r="C1219" s="12" t="n">
        <x:v>357</x:v>
      </x:c>
      <x:c r="D1219" s="12" t="n">
        <x:v>-1</x:v>
      </x:c>
      <x:c r="E1219" s="12" t="str">
        <x:v>Archived FRED mirror (Hugging Face)</x:v>
      </x:c>
    </x:row>
    <x:row r="1220" ht="18" customHeight="1">
      <x:c r="A1220" s="13" t="n">
        <x:v>44279</x:v>
      </x:c>
      <x:c r="B1220" s="12" t="n">
        <x:v>3.51</x:v>
      </x:c>
      <x:c r="C1220" s="12" t="n">
        <x:v>351</x:v>
      </x:c>
      <x:c r="D1220" s="12" t="n">
        <x:v>-6</x:v>
      </x:c>
      <x:c r="E1220" s="12" t="str">
        <x:v>Archived FRED mirror (Hugging Face)</x:v>
      </x:c>
    </x:row>
    <x:row r="1221" ht="18" customHeight="1">
      <x:c r="A1221" s="13" t="n">
        <x:v>44280</x:v>
      </x:c>
      <x:c r="B1221" s="12" t="n">
        <x:v>3.53</x:v>
      </x:c>
      <x:c r="C1221" s="12" t="n">
        <x:v>353</x:v>
      </x:c>
      <x:c r="D1221" s="12" t="n">
        <x:v>2</x:v>
      </x:c>
      <x:c r="E1221" s="12" t="str">
        <x:v>Archived FRED mirror (Hugging Face)</x:v>
      </x:c>
    </x:row>
    <x:row r="1222" ht="18" customHeight="1">
      <x:c r="A1222" s="13" t="n">
        <x:v>44281</x:v>
      </x:c>
      <x:c r="B1222" s="12" t="n">
        <x:v>3.48</x:v>
      </x:c>
      <x:c r="C1222" s="12" t="n">
        <x:v>348</x:v>
      </x:c>
      <x:c r="D1222" s="12" t="n">
        <x:v>-5</x:v>
      </x:c>
      <x:c r="E1222" s="12" t="str">
        <x:v>Archived FRED mirror (Hugging Face)</x:v>
      </x:c>
    </x:row>
    <x:row r="1223" ht="18" customHeight="1">
      <x:c r="A1223" s="13" t="n">
        <x:v>44284</x:v>
      </x:c>
      <x:c r="B1223" s="12" t="n">
        <x:v>3.43</x:v>
      </x:c>
      <x:c r="C1223" s="12" t="n">
        <x:v>343</x:v>
      </x:c>
      <x:c r="D1223" s="12" t="n">
        <x:v>-5</x:v>
      </x:c>
      <x:c r="E1223" s="12" t="str">
        <x:v>Archived FRED mirror (Hugging Face)</x:v>
      </x:c>
    </x:row>
    <x:row r="1224" ht="18" customHeight="1">
      <x:c r="A1224" s="13" t="n">
        <x:v>44285</x:v>
      </x:c>
      <x:c r="B1224" s="12" t="n">
        <x:v>3.44</x:v>
      </x:c>
      <x:c r="C1224" s="12" t="n">
        <x:v>344</x:v>
      </x:c>
      <x:c r="D1224" s="12" t="n">
        <x:v>1</x:v>
      </x:c>
      <x:c r="E1224" s="12" t="str">
        <x:v>Archived FRED mirror (Hugging Face)</x:v>
      </x:c>
    </x:row>
    <x:row r="1225" ht="18" customHeight="1">
      <x:c r="A1225" s="13" t="n">
        <x:v>44286</x:v>
      </x:c>
      <x:c r="B1225" s="12" t="n">
        <x:v>3.36</x:v>
      </x:c>
      <x:c r="C1225" s="12" t="n">
        <x:v>336</x:v>
      </x:c>
      <x:c r="D1225" s="12" t="n">
        <x:v>-8</x:v>
      </x:c>
      <x:c r="E1225" s="12" t="str">
        <x:v>Archived FRED mirror (Hugging Face)</x:v>
      </x:c>
    </x:row>
    <x:row r="1226" ht="18" customHeight="1">
      <x:c r="A1226" s="13" t="n">
        <x:v>44287</x:v>
      </x:c>
      <x:c r="B1226" s="12" t="n">
        <x:v>3.33</x:v>
      </x:c>
      <x:c r="C1226" s="12" t="n">
        <x:v>333</x:v>
      </x:c>
      <x:c r="D1226" s="12" t="n">
        <x:v>-3</x:v>
      </x:c>
      <x:c r="E1226" s="12" t="str">
        <x:v>Archived FRED mirror (Hugging Face)</x:v>
      </x:c>
    </x:row>
    <x:row r="1227" ht="18" customHeight="1">
      <x:c r="A1227" s="13" t="n">
        <x:v>44291</x:v>
      </x:c>
      <x:c r="B1227" s="12" t="n">
        <x:v>3.25</x:v>
      </x:c>
      <x:c r="C1227" s="12" t="n">
        <x:v>325</x:v>
      </x:c>
      <x:c r="D1227" s="12" t="n">
        <x:v>-8</x:v>
      </x:c>
      <x:c r="E1227" s="12" t="str">
        <x:v>Archived FRED mirror (Hugging Face)</x:v>
      </x:c>
    </x:row>
    <x:row r="1228" ht="18" customHeight="1">
      <x:c r="A1228" s="13" t="n">
        <x:v>44292</x:v>
      </x:c>
      <x:c r="B1228" s="12" t="n">
        <x:v>3.25</x:v>
      </x:c>
      <x:c r="C1228" s="12" t="n">
        <x:v>325</x:v>
      </x:c>
      <x:c r="D1228" s="12" t="n">
        <x:v>0</x:v>
      </x:c>
      <x:c r="E1228" s="12" t="str">
        <x:v>Archived FRED mirror (Hugging Face)</x:v>
      </x:c>
    </x:row>
    <x:row r="1229" ht="18" customHeight="1">
      <x:c r="A1229" s="13" t="n">
        <x:v>44293</x:v>
      </x:c>
      <x:c r="B1229" s="12" t="n">
        <x:v>3.22</x:v>
      </x:c>
      <x:c r="C1229" s="12" t="n">
        <x:v>322</x:v>
      </x:c>
      <x:c r="D1229" s="12" t="n">
        <x:v>-3</x:v>
      </x:c>
      <x:c r="E1229" s="12" t="str">
        <x:v>Archived FRED mirror (Hugging Face)</x:v>
      </x:c>
    </x:row>
    <x:row r="1230" ht="18" customHeight="1">
      <x:c r="A1230" s="13" t="n">
        <x:v>44294</x:v>
      </x:c>
      <x:c r="B1230" s="12" t="n">
        <x:v>3.21</x:v>
      </x:c>
      <x:c r="C1230" s="12" t="n">
        <x:v>321</x:v>
      </x:c>
      <x:c r="D1230" s="12" t="n">
        <x:v>-1</x:v>
      </x:c>
      <x:c r="E1230" s="12" t="str">
        <x:v>Archived FRED mirror (Hugging Face)</x:v>
      </x:c>
    </x:row>
    <x:row r="1231" ht="18" customHeight="1">
      <x:c r="A1231" s="13" t="n">
        <x:v>44295</x:v>
      </x:c>
      <x:c r="B1231" s="12" t="n">
        <x:v>3.24</x:v>
      </x:c>
      <x:c r="C1231" s="12" t="n">
        <x:v>324</x:v>
      </x:c>
      <x:c r="D1231" s="12" t="n">
        <x:v>3</x:v>
      </x:c>
      <x:c r="E1231" s="12" t="str">
        <x:v>Archived FRED mirror (Hugging Face)</x:v>
      </x:c>
    </x:row>
    <x:row r="1232" ht="18" customHeight="1">
      <x:c r="A1232" s="13" t="n">
        <x:v>44298</x:v>
      </x:c>
      <x:c r="B1232" s="12" t="n">
        <x:v>3.24</x:v>
      </x:c>
      <x:c r="C1232" s="12" t="n">
        <x:v>324</x:v>
      </x:c>
      <x:c r="D1232" s="12" t="n">
        <x:v>0</x:v>
      </x:c>
      <x:c r="E1232" s="12" t="str">
        <x:v>Archived FRED mirror (Hugging Face)</x:v>
      </x:c>
    </x:row>
    <x:row r="1233" ht="18" customHeight="1">
      <x:c r="A1233" s="13" t="n">
        <x:v>44299</x:v>
      </x:c>
      <x:c r="B1233" s="12" t="n">
        <x:v>3.32</x:v>
      </x:c>
      <x:c r="C1233" s="12" t="n">
        <x:v>332</x:v>
      </x:c>
      <x:c r="D1233" s="12" t="n">
        <x:v>8</x:v>
      </x:c>
      <x:c r="E1233" s="12" t="str">
        <x:v>Archived FRED mirror (Hugging Face)</x:v>
      </x:c>
    </x:row>
    <x:row r="1234" ht="18" customHeight="1">
      <x:c r="A1234" s="13" t="n">
        <x:v>44300</x:v>
      </x:c>
      <x:c r="B1234" s="12" t="n">
        <x:v>3.25</x:v>
      </x:c>
      <x:c r="C1234" s="12" t="n">
        <x:v>325</x:v>
      </x:c>
      <x:c r="D1234" s="12" t="n">
        <x:v>-7</x:v>
      </x:c>
      <x:c r="E1234" s="12" t="str">
        <x:v>Archived FRED mirror (Hugging Face)</x:v>
      </x:c>
    </x:row>
    <x:row r="1235" ht="18" customHeight="1">
      <x:c r="A1235" s="13" t="n">
        <x:v>44301</x:v>
      </x:c>
      <x:c r="B1235" s="12" t="n">
        <x:v>3.25</x:v>
      </x:c>
      <x:c r="C1235" s="12" t="n">
        <x:v>325</x:v>
      </x:c>
      <x:c r="D1235" s="12" t="n">
        <x:v>0</x:v>
      </x:c>
      <x:c r="E1235" s="12" t="str">
        <x:v>Archived FRED mirror (Hugging Face)</x:v>
      </x:c>
    </x:row>
    <x:row r="1236" ht="18" customHeight="1">
      <x:c r="A1236" s="13" t="n">
        <x:v>44302</x:v>
      </x:c>
      <x:c r="B1236" s="12" t="n">
        <x:v>3.22</x:v>
      </x:c>
      <x:c r="C1236" s="12" t="n">
        <x:v>322</x:v>
      </x:c>
      <x:c r="D1236" s="12" t="n">
        <x:v>-3</x:v>
      </x:c>
      <x:c r="E1236" s="12" t="str">
        <x:v>Archived FRED mirror (Hugging Face)</x:v>
      </x:c>
    </x:row>
    <x:row r="1237" ht="18" customHeight="1">
      <x:c r="A1237" s="13" t="n">
        <x:v>44305</x:v>
      </x:c>
      <x:c r="B1237" s="12" t="n">
        <x:v>3.25</x:v>
      </x:c>
      <x:c r="C1237" s="12" t="n">
        <x:v>325</x:v>
      </x:c>
      <x:c r="D1237" s="12" t="n">
        <x:v>3</x:v>
      </x:c>
      <x:c r="E1237" s="12" t="str">
        <x:v>Archived FRED mirror (Hugging Face)</x:v>
      </x:c>
    </x:row>
    <x:row r="1238" ht="18" customHeight="1">
      <x:c r="A1238" s="13" t="n">
        <x:v>44306</x:v>
      </x:c>
      <x:c r="B1238" s="12" t="n">
        <x:v>3.35</x:v>
      </x:c>
      <x:c r="C1238" s="12" t="n">
        <x:v>335</x:v>
      </x:c>
      <x:c r="D1238" s="12" t="n">
        <x:v>10</x:v>
      </x:c>
      <x:c r="E1238" s="12" t="str">
        <x:v>Archived FRED mirror (Hugging Face)</x:v>
      </x:c>
    </x:row>
    <x:row r="1239" ht="18" customHeight="1">
      <x:c r="A1239" s="13" t="n">
        <x:v>44307</x:v>
      </x:c>
      <x:c r="B1239" s="12" t="n">
        <x:v>3.34</x:v>
      </x:c>
      <x:c r="C1239" s="12" t="n">
        <x:v>334</x:v>
      </x:c>
      <x:c r="D1239" s="12" t="n">
        <x:v>-1</x:v>
      </x:c>
      <x:c r="E1239" s="12" t="str">
        <x:v>Archived FRED mirror (Hugging Face)</x:v>
      </x:c>
    </x:row>
    <x:row r="1240" ht="18" customHeight="1">
      <x:c r="A1240" s="13" t="n">
        <x:v>44308</x:v>
      </x:c>
      <x:c r="B1240" s="12" t="n">
        <x:v>3.34</x:v>
      </x:c>
      <x:c r="C1240" s="12" t="n">
        <x:v>334</x:v>
      </x:c>
      <x:c r="D1240" s="12" t="n">
        <x:v>0</x:v>
      </x:c>
      <x:c r="E1240" s="12" t="str">
        <x:v>Archived FRED mirror (Hugging Face)</x:v>
      </x:c>
    </x:row>
    <x:row r="1241" ht="18" customHeight="1">
      <x:c r="A1241" s="13" t="n">
        <x:v>44309</x:v>
      </x:c>
      <x:c r="B1241" s="12" t="n">
        <x:v>3.29</x:v>
      </x:c>
      <x:c r="C1241" s="12" t="n">
        <x:v>329</x:v>
      </x:c>
      <x:c r="D1241" s="12" t="n">
        <x:v>-5</x:v>
      </x:c>
      <x:c r="E1241" s="12" t="str">
        <x:v>Archived FRED mirror (Hugging Face)</x:v>
      </x:c>
    </x:row>
    <x:row r="1242" ht="18" customHeight="1">
      <x:c r="A1242" s="13" t="n">
        <x:v>44312</x:v>
      </x:c>
      <x:c r="B1242" s="12" t="n">
        <x:v>3.26</x:v>
      </x:c>
      <x:c r="C1242" s="12" t="n">
        <x:v>326</x:v>
      </x:c>
      <x:c r="D1242" s="12" t="n">
        <x:v>-3</x:v>
      </x:c>
      <x:c r="E1242" s="12" t="str">
        <x:v>Archived FRED mirror (Hugging Face)</x:v>
      </x:c>
    </x:row>
    <x:row r="1243" ht="18" customHeight="1">
      <x:c r="A1243" s="13" t="n">
        <x:v>44313</x:v>
      </x:c>
      <x:c r="B1243" s="12" t="n">
        <x:v>3.24</x:v>
      </x:c>
      <x:c r="C1243" s="12" t="n">
        <x:v>324</x:v>
      </x:c>
      <x:c r="D1243" s="12" t="n">
        <x:v>-2</x:v>
      </x:c>
      <x:c r="E1243" s="12" t="str">
        <x:v>Archived FRED mirror (Hugging Face)</x:v>
      </x:c>
    </x:row>
    <x:row r="1244" ht="18" customHeight="1">
      <x:c r="A1244" s="13" t="n">
        <x:v>44314</x:v>
      </x:c>
      <x:c r="B1244" s="12" t="n">
        <x:v>3.26</x:v>
      </x:c>
      <x:c r="C1244" s="12" t="n">
        <x:v>326</x:v>
      </x:c>
      <x:c r="D1244" s="12" t="n">
        <x:v>2</x:v>
      </x:c>
      <x:c r="E1244" s="12" t="str">
        <x:v>Archived FRED mirror (Hugging Face)</x:v>
      </x:c>
    </x:row>
    <x:row r="1245" ht="18" customHeight="1">
      <x:c r="A1245" s="13" t="n">
        <x:v>44315</x:v>
      </x:c>
      <x:c r="B1245" s="12" t="n">
        <x:v>3.24</x:v>
      </x:c>
      <x:c r="C1245" s="12" t="n">
        <x:v>324</x:v>
      </x:c>
      <x:c r="D1245" s="12" t="n">
        <x:v>-2</x:v>
      </x:c>
      <x:c r="E1245" s="12" t="str">
        <x:v>Archived FRED mirror (Hugging Face)</x:v>
      </x:c>
    </x:row>
    <x:row r="1246" ht="18" customHeight="1">
      <x:c r="A1246" s="13" t="n">
        <x:v>44316</x:v>
      </x:c>
      <x:c r="B1246" s="12" t="n">
        <x:v>3.28</x:v>
      </x:c>
      <x:c r="C1246" s="12" t="n">
        <x:v>328</x:v>
      </x:c>
      <x:c r="D1246" s="12" t="n">
        <x:v>4</x:v>
      </x:c>
      <x:c r="E1246" s="12" t="str">
        <x:v>Archived FRED mirror (Hugging Face)</x:v>
      </x:c>
    </x:row>
    <x:row r="1247" ht="18" customHeight="1">
      <x:c r="A1247" s="13" t="n">
        <x:v>44319</x:v>
      </x:c>
      <x:c r="B1247" s="12" t="n">
        <x:v>3.27</x:v>
      </x:c>
      <x:c r="C1247" s="12" t="n">
        <x:v>327</x:v>
      </x:c>
      <x:c r="D1247" s="12" t="n">
        <x:v>-1</x:v>
      </x:c>
      <x:c r="E1247" s="12" t="str">
        <x:v>Archived FRED mirror (Hugging Face)</x:v>
      </x:c>
    </x:row>
    <x:row r="1248" ht="18" customHeight="1">
      <x:c r="A1248" s="13" t="n">
        <x:v>44320</x:v>
      </x:c>
      <x:c r="B1248" s="12" t="n">
        <x:v>3.32</x:v>
      </x:c>
      <x:c r="C1248" s="12" t="n">
        <x:v>332</x:v>
      </x:c>
      <x:c r="D1248" s="12" t="n">
        <x:v>5</x:v>
      </x:c>
      <x:c r="E1248" s="12" t="str">
        <x:v>Archived FRED mirror (Hugging Face)</x:v>
      </x:c>
    </x:row>
    <x:row r="1249" ht="18" customHeight="1">
      <x:c r="A1249" s="13" t="n">
        <x:v>44321</x:v>
      </x:c>
      <x:c r="B1249" s="12" t="n">
        <x:v>3.29</x:v>
      </x:c>
      <x:c r="C1249" s="12" t="n">
        <x:v>329</x:v>
      </x:c>
      <x:c r="D1249" s="12" t="n">
        <x:v>-3</x:v>
      </x:c>
      <x:c r="E1249" s="12" t="str">
        <x:v>Archived FRED mirror (Hugging Face)</x:v>
      </x:c>
    </x:row>
    <x:row r="1250" ht="18" customHeight="1">
      <x:c r="A1250" s="13" t="n">
        <x:v>44322</x:v>
      </x:c>
      <x:c r="B1250" s="12" t="n">
        <x:v>3.3</x:v>
      </x:c>
      <x:c r="C1250" s="12" t="n">
        <x:v>330</x:v>
      </x:c>
      <x:c r="D1250" s="12" t="n">
        <x:v>1</x:v>
      </x:c>
      <x:c r="E1250" s="12" t="str">
        <x:v>Archived FRED mirror (Hugging Face)</x:v>
      </x:c>
    </x:row>
    <x:row r="1251" ht="18" customHeight="1">
      <x:c r="A1251" s="13" t="n">
        <x:v>44323</x:v>
      </x:c>
      <x:c r="B1251" s="12" t="n">
        <x:v>3.27</x:v>
      </x:c>
      <x:c r="C1251" s="12" t="n">
        <x:v>327</x:v>
      </x:c>
      <x:c r="D1251" s="12" t="n">
        <x:v>-3</x:v>
      </x:c>
      <x:c r="E1251" s="12" t="str">
        <x:v>Archived FRED mirror (Hugging Face)</x:v>
      </x:c>
    </x:row>
    <x:row r="1252" ht="18" customHeight="1">
      <x:c r="A1252" s="13" t="n">
        <x:v>44326</x:v>
      </x:c>
      <x:c r="B1252" s="12" t="n">
        <x:v>3.26</x:v>
      </x:c>
      <x:c r="C1252" s="12" t="n">
        <x:v>326</x:v>
      </x:c>
      <x:c r="D1252" s="12" t="n">
        <x:v>-1</x:v>
      </x:c>
      <x:c r="E1252" s="12" t="str">
        <x:v>Archived FRED mirror (Hugging Face)</x:v>
      </x:c>
    </x:row>
    <x:row r="1253" ht="18" customHeight="1">
      <x:c r="A1253" s="13" t="n">
        <x:v>44327</x:v>
      </x:c>
      <x:c r="B1253" s="12" t="n">
        <x:v>3.36</x:v>
      </x:c>
      <x:c r="C1253" s="12" t="n">
        <x:v>336</x:v>
      </x:c>
      <x:c r="D1253" s="12" t="n">
        <x:v>10</x:v>
      </x:c>
      <x:c r="E1253" s="12" t="str">
        <x:v>Archived FRED mirror (Hugging Face)</x:v>
      </x:c>
    </x:row>
    <x:row r="1254" ht="18" customHeight="1">
      <x:c r="A1254" s="13" t="n">
        <x:v>44328</x:v>
      </x:c>
      <x:c r="B1254" s="12" t="n">
        <x:v>3.34</x:v>
      </x:c>
      <x:c r="C1254" s="12" t="n">
        <x:v>334</x:v>
      </x:c>
      <x:c r="D1254" s="12" t="n">
        <x:v>-2</x:v>
      </x:c>
      <x:c r="E1254" s="12" t="str">
        <x:v>Archived FRED mirror (Hugging Face)</x:v>
      </x:c>
    </x:row>
    <x:row r="1255" ht="18" customHeight="1">
      <x:c r="A1255" s="13" t="n">
        <x:v>44329</x:v>
      </x:c>
      <x:c r="B1255" s="12" t="n">
        <x:v>3.37</x:v>
      </x:c>
      <x:c r="C1255" s="12" t="n">
        <x:v>337</x:v>
      </x:c>
      <x:c r="D1255" s="12" t="n">
        <x:v>3</x:v>
      </x:c>
      <x:c r="E1255" s="12" t="str">
        <x:v>Archived FRED mirror (Hugging Face)</x:v>
      </x:c>
    </x:row>
    <x:row r="1256" ht="18" customHeight="1">
      <x:c r="A1256" s="13" t="n">
        <x:v>44330</x:v>
      </x:c>
      <x:c r="B1256" s="12" t="n">
        <x:v>3.35</x:v>
      </x:c>
      <x:c r="C1256" s="12" t="n">
        <x:v>335</x:v>
      </x:c>
      <x:c r="D1256" s="12" t="n">
        <x:v>-2</x:v>
      </x:c>
      <x:c r="E1256" s="12" t="str">
        <x:v>Archived FRED mirror (Hugging Face)</x:v>
      </x:c>
    </x:row>
    <x:row r="1257" ht="18" customHeight="1">
      <x:c r="A1257" s="13" t="n">
        <x:v>44333</x:v>
      </x:c>
      <x:c r="B1257" s="12" t="n">
        <x:v>3.35</x:v>
      </x:c>
      <x:c r="C1257" s="12" t="n">
        <x:v>335</x:v>
      </x:c>
      <x:c r="D1257" s="12" t="n">
        <x:v>0</x:v>
      </x:c>
      <x:c r="E1257" s="12" t="str">
        <x:v>Archived FRED mirror (Hugging Face)</x:v>
      </x:c>
    </x:row>
    <x:row r="1258" ht="18" customHeight="1">
      <x:c r="A1258" s="13" t="n">
        <x:v>44334</x:v>
      </x:c>
      <x:c r="B1258" s="12" t="n">
        <x:v>3.35</x:v>
      </x:c>
      <x:c r="C1258" s="12" t="n">
        <x:v>335</x:v>
      </x:c>
      <x:c r="D1258" s="12" t="n">
        <x:v>0</x:v>
      </x:c>
      <x:c r="E1258" s="12" t="str">
        <x:v>Archived FRED mirror (Hugging Face)</x:v>
      </x:c>
    </x:row>
    <x:row r="1259" ht="18" customHeight="1">
      <x:c r="A1259" s="13" t="n">
        <x:v>44335</x:v>
      </x:c>
      <x:c r="B1259" s="12" t="n">
        <x:v>3.4</x:v>
      </x:c>
      <x:c r="C1259" s="12" t="n">
        <x:v>340</x:v>
      </x:c>
      <x:c r="D1259" s="12" t="n">
        <x:v>5</x:v>
      </x:c>
      <x:c r="E1259" s="12" t="str">
        <x:v>Archived FRED mirror (Hugging Face)</x:v>
      </x:c>
    </x:row>
    <x:row r="1260" ht="18" customHeight="1">
      <x:c r="A1260" s="13" t="n">
        <x:v>44336</x:v>
      </x:c>
      <x:c r="B1260" s="12" t="n">
        <x:v>3.42</x:v>
      </x:c>
      <x:c r="C1260" s="12" t="n">
        <x:v>342</x:v>
      </x:c>
      <x:c r="D1260" s="12" t="n">
        <x:v>2</x:v>
      </x:c>
      <x:c r="E1260" s="12" t="str">
        <x:v>Archived FRED mirror (Hugging Face)</x:v>
      </x:c>
    </x:row>
    <x:row r="1261" ht="18" customHeight="1">
      <x:c r="A1261" s="13" t="n">
        <x:v>44337</x:v>
      </x:c>
      <x:c r="B1261" s="12" t="n">
        <x:v>3.37</x:v>
      </x:c>
      <x:c r="C1261" s="12" t="n">
        <x:v>337</x:v>
      </x:c>
      <x:c r="D1261" s="12" t="n">
        <x:v>-5</x:v>
      </x:c>
      <x:c r="E1261" s="12" t="str">
        <x:v>Archived FRED mirror (Hugging Face)</x:v>
      </x:c>
    </x:row>
    <x:row r="1262" ht="18" customHeight="1">
      <x:c r="A1262" s="13" t="n">
        <x:v>44340</x:v>
      </x:c>
      <x:c r="B1262" s="12" t="n">
        <x:v>3.37</x:v>
      </x:c>
      <x:c r="C1262" s="12" t="n">
        <x:v>337</x:v>
      </x:c>
      <x:c r="D1262" s="12" t="n">
        <x:v>0</x:v>
      </x:c>
      <x:c r="E1262" s="12" t="str">
        <x:v>Archived FRED mirror (Hugging Face)</x:v>
      </x:c>
    </x:row>
    <x:row r="1263" ht="18" customHeight="1">
      <x:c r="A1263" s="13" t="n">
        <x:v>44341</x:v>
      </x:c>
      <x:c r="B1263" s="12" t="n">
        <x:v>3.34</x:v>
      </x:c>
      <x:c r="C1263" s="12" t="n">
        <x:v>334</x:v>
      </x:c>
      <x:c r="D1263" s="12" t="n">
        <x:v>-3</x:v>
      </x:c>
      <x:c r="E1263" s="12" t="str">
        <x:v>Archived FRED mirror (Hugging Face)</x:v>
      </x:c>
    </x:row>
    <x:row r="1264" ht="18" customHeight="1">
      <x:c r="A1264" s="13" t="n">
        <x:v>44342</x:v>
      </x:c>
      <x:c r="B1264" s="12" t="n">
        <x:v>3.35</x:v>
      </x:c>
      <x:c r="C1264" s="12" t="n">
        <x:v>335</x:v>
      </x:c>
      <x:c r="D1264" s="12" t="n">
        <x:v>1</x:v>
      </x:c>
      <x:c r="E1264" s="12" t="str">
        <x:v>Archived FRED mirror (Hugging Face)</x:v>
      </x:c>
    </x:row>
    <x:row r="1265" ht="18" customHeight="1">
      <x:c r="A1265" s="13" t="n">
        <x:v>44343</x:v>
      </x:c>
      <x:c r="B1265" s="12" t="n">
        <x:v>3.3</x:v>
      </x:c>
      <x:c r="C1265" s="12" t="n">
        <x:v>330</x:v>
      </x:c>
      <x:c r="D1265" s="12" t="n">
        <x:v>-5</x:v>
      </x:c>
      <x:c r="E1265" s="12" t="str">
        <x:v>Archived FRED mirror (Hugging Face)</x:v>
      </x:c>
    </x:row>
    <x:row r="1266" ht="18" customHeight="1">
      <x:c r="A1266" s="13" t="n">
        <x:v>44344</x:v>
      </x:c>
      <x:c r="B1266" s="12" t="n">
        <x:v>3.29</x:v>
      </x:c>
      <x:c r="C1266" s="12" t="n">
        <x:v>329</x:v>
      </x:c>
      <x:c r="D1266" s="12" t="n">
        <x:v>-1</x:v>
      </x:c>
      <x:c r="E1266" s="12" t="str">
        <x:v>Archived FRED mirror (Hugging Face)</x:v>
      </x:c>
    </x:row>
    <x:row r="1267" ht="18" customHeight="1">
      <x:c r="A1267" s="13" t="n">
        <x:v>44347</x:v>
      </x:c>
      <x:c r="B1267" s="12" t="n">
        <x:v>3.34</x:v>
      </x:c>
      <x:c r="C1267" s="12" t="n">
        <x:v>334</x:v>
      </x:c>
      <x:c r="D1267" s="12" t="n">
        <x:v>5</x:v>
      </x:c>
      <x:c r="E1267" s="12" t="str">
        <x:v>Archived FRED mirror (Hugging Face)</x:v>
      </x:c>
    </x:row>
    <x:row r="1268" ht="18" customHeight="1">
      <x:c r="A1268" s="13" t="n">
        <x:v>44348</x:v>
      </x:c>
      <x:c r="B1268" s="12" t="n">
        <x:v>3.33</x:v>
      </x:c>
      <x:c r="C1268" s="12" t="n">
        <x:v>333</x:v>
      </x:c>
      <x:c r="D1268" s="12" t="n">
        <x:v>-1</x:v>
      </x:c>
      <x:c r="E1268" s="12" t="str">
        <x:v>Archived FRED mirror (Hugging Face)</x:v>
      </x:c>
    </x:row>
    <x:row r="1269" ht="18" customHeight="1">
      <x:c r="A1269" s="13" t="n">
        <x:v>44349</x:v>
      </x:c>
      <x:c r="B1269" s="12" t="n">
        <x:v>3.31</x:v>
      </x:c>
      <x:c r="C1269" s="12" t="n">
        <x:v>331</x:v>
      </x:c>
      <x:c r="D1269" s="12" t="n">
        <x:v>-2</x:v>
      </x:c>
      <x:c r="E1269" s="12" t="str">
        <x:v>Archived FRED mirror (Hugging Face)</x:v>
      </x:c>
    </x:row>
    <x:row r="1270" ht="18" customHeight="1">
      <x:c r="A1270" s="13" t="n">
        <x:v>44350</x:v>
      </x:c>
      <x:c r="B1270" s="12" t="n">
        <x:v>3.28</x:v>
      </x:c>
      <x:c r="C1270" s="12" t="n">
        <x:v>328</x:v>
      </x:c>
      <x:c r="D1270" s="12" t="n">
        <x:v>-3</x:v>
      </x:c>
      <x:c r="E1270" s="12" t="str">
        <x:v>Archived FRED mirror (Hugging Face)</x:v>
      </x:c>
    </x:row>
    <x:row r="1271" ht="18" customHeight="1">
      <x:c r="A1271" s="13" t="n">
        <x:v>44351</x:v>
      </x:c>
      <x:c r="B1271" s="12" t="n">
        <x:v>3.28</x:v>
      </x:c>
      <x:c r="C1271" s="12" t="n">
        <x:v>328</x:v>
      </x:c>
      <x:c r="D1271" s="12" t="n">
        <x:v>0</x:v>
      </x:c>
      <x:c r="E1271" s="12" t="str">
        <x:v>Archived FRED mirror (Hugging Face)</x:v>
      </x:c>
    </x:row>
    <x:row r="1272" ht="18" customHeight="1">
      <x:c r="A1272" s="13" t="n">
        <x:v>44354</x:v>
      </x:c>
      <x:c r="B1272" s="12" t="n">
        <x:v>3.27</x:v>
      </x:c>
      <x:c r="C1272" s="12" t="n">
        <x:v>327</x:v>
      </x:c>
      <x:c r="D1272" s="12" t="n">
        <x:v>-1</x:v>
      </x:c>
      <x:c r="E1272" s="12" t="str">
        <x:v>Archived FRED mirror (Hugging Face)</x:v>
      </x:c>
    </x:row>
    <x:row r="1273" ht="18" customHeight="1">
      <x:c r="A1273" s="13" t="n">
        <x:v>44355</x:v>
      </x:c>
      <x:c r="B1273" s="12" t="n">
        <x:v>3.26</x:v>
      </x:c>
      <x:c r="C1273" s="12" t="n">
        <x:v>326</x:v>
      </x:c>
      <x:c r="D1273" s="12" t="n">
        <x:v>-1</x:v>
      </x:c>
      <x:c r="E1273" s="12" t="str">
        <x:v>Archived FRED mirror (Hugging Face)</x:v>
      </x:c>
    </x:row>
    <x:row r="1274" ht="18" customHeight="1">
      <x:c r="A1274" s="13" t="n">
        <x:v>44356</x:v>
      </x:c>
      <x:c r="B1274" s="12" t="n">
        <x:v>3.22</x:v>
      </x:c>
      <x:c r="C1274" s="12" t="n">
        <x:v>322</x:v>
      </x:c>
      <x:c r="D1274" s="12" t="n">
        <x:v>-4</x:v>
      </x:c>
      <x:c r="E1274" s="12" t="str">
        <x:v>Archived FRED mirror (Hugging Face)</x:v>
      </x:c>
    </x:row>
    <x:row r="1275" ht="18" customHeight="1">
      <x:c r="A1275" s="13" t="n">
        <x:v>44357</x:v>
      </x:c>
      <x:c r="B1275" s="12" t="n">
        <x:v>3.23</x:v>
      </x:c>
      <x:c r="C1275" s="12" t="n">
        <x:v>323</x:v>
      </x:c>
      <x:c r="D1275" s="12" t="n">
        <x:v>1</x:v>
      </x:c>
      <x:c r="E1275" s="12" t="str">
        <x:v>Archived FRED mirror (Hugging Face)</x:v>
      </x:c>
    </x:row>
    <x:row r="1276" ht="18" customHeight="1">
      <x:c r="A1276" s="13" t="n">
        <x:v>44358</x:v>
      </x:c>
      <x:c r="B1276" s="12" t="n">
        <x:v>3.21</x:v>
      </x:c>
      <x:c r="C1276" s="12" t="n">
        <x:v>321</x:v>
      </x:c>
      <x:c r="D1276" s="12" t="n">
        <x:v>-2</x:v>
      </x:c>
      <x:c r="E1276" s="12" t="str">
        <x:v>Archived FRED mirror (Hugging Face)</x:v>
      </x:c>
    </x:row>
    <x:row r="1277" ht="18" customHeight="1">
      <x:c r="A1277" s="13" t="n">
        <x:v>44361</x:v>
      </x:c>
      <x:c r="B1277" s="12" t="n">
        <x:v>3.17</x:v>
      </x:c>
      <x:c r="C1277" s="12" t="n">
        <x:v>317</x:v>
      </x:c>
      <x:c r="D1277" s="12" t="n">
        <x:v>-4</x:v>
      </x:c>
      <x:c r="E1277" s="12" t="str">
        <x:v>Archived FRED mirror (Hugging Face)</x:v>
      </x:c>
    </x:row>
    <x:row r="1278" ht="18" customHeight="1">
      <x:c r="A1278" s="13" t="n">
        <x:v>44362</x:v>
      </x:c>
      <x:c r="B1278" s="12" t="n">
        <x:v>3.17</x:v>
      </x:c>
      <x:c r="C1278" s="12" t="n">
        <x:v>317</x:v>
      </x:c>
      <x:c r="D1278" s="12" t="n">
        <x:v>0</x:v>
      </x:c>
      <x:c r="E1278" s="12" t="str">
        <x:v>Archived FRED mirror (Hugging Face)</x:v>
      </x:c>
    </x:row>
    <x:row r="1279" ht="18" customHeight="1">
      <x:c r="A1279" s="13" t="n">
        <x:v>44363</x:v>
      </x:c>
      <x:c r="B1279" s="12" t="n">
        <x:v>3.12</x:v>
      </x:c>
      <x:c r="C1279" s="12" t="n">
        <x:v>312</x:v>
      </x:c>
      <x:c r="D1279" s="12" t="n">
        <x:v>-5</x:v>
      </x:c>
      <x:c r="E1279" s="12" t="str">
        <x:v>Archived FRED mirror (Hugging Face)</x:v>
      </x:c>
    </x:row>
    <x:row r="1280" ht="18" customHeight="1">
      <x:c r="A1280" s="13" t="n">
        <x:v>44364</x:v>
      </x:c>
      <x:c r="B1280" s="12" t="n">
        <x:v>3.15</x:v>
      </x:c>
      <x:c r="C1280" s="12" t="n">
        <x:v>315</x:v>
      </x:c>
      <x:c r="D1280" s="12" t="n">
        <x:v>3</x:v>
      </x:c>
      <x:c r="E1280" s="12" t="str">
        <x:v>Archived FRED mirror (Hugging Face)</x:v>
      </x:c>
    </x:row>
    <x:row r="1281" ht="18" customHeight="1">
      <x:c r="A1281" s="13" t="n">
        <x:v>44365</x:v>
      </x:c>
      <x:c r="B1281" s="12" t="n">
        <x:v>3.18</x:v>
      </x:c>
      <x:c r="C1281" s="12" t="n">
        <x:v>318</x:v>
      </x:c>
      <x:c r="D1281" s="12" t="n">
        <x:v>3</x:v>
      </x:c>
      <x:c r="E1281" s="12" t="str">
        <x:v>Archived FRED mirror (Hugging Face)</x:v>
      </x:c>
    </x:row>
    <x:row r="1282" ht="18" customHeight="1">
      <x:c r="A1282" s="13" t="n">
        <x:v>44368</x:v>
      </x:c>
      <x:c r="B1282" s="12" t="n">
        <x:v>3.14</x:v>
      </x:c>
      <x:c r="C1282" s="12" t="n">
        <x:v>314</x:v>
      </x:c>
      <x:c r="D1282" s="12" t="n">
        <x:v>-4</x:v>
      </x:c>
      <x:c r="E1282" s="12" t="str">
        <x:v>Archived FRED mirror (Hugging Face)</x:v>
      </x:c>
    </x:row>
    <x:row r="1283" ht="18" customHeight="1">
      <x:c r="A1283" s="13" t="n">
        <x:v>44369</x:v>
      </x:c>
      <x:c r="B1283" s="12" t="n">
        <x:v>3.15</x:v>
      </x:c>
      <x:c r="C1283" s="12" t="n">
        <x:v>315</x:v>
      </x:c>
      <x:c r="D1283" s="12" t="n">
        <x:v>1</x:v>
      </x:c>
      <x:c r="E1283" s="12" t="str">
        <x:v>Archived FRED mirror (Hugging Face)</x:v>
      </x:c>
    </x:row>
    <x:row r="1284" ht="18" customHeight="1">
      <x:c r="A1284" s="13" t="n">
        <x:v>44370</x:v>
      </x:c>
      <x:c r="B1284" s="12" t="n">
        <x:v>3.13</x:v>
      </x:c>
      <x:c r="C1284" s="12" t="n">
        <x:v>313</x:v>
      </x:c>
      <x:c r="D1284" s="12" t="n">
        <x:v>-2</x:v>
      </x:c>
      <x:c r="E1284" s="12" t="str">
        <x:v>Archived FRED mirror (Hugging Face)</x:v>
      </x:c>
    </x:row>
    <x:row r="1285" ht="18" customHeight="1">
      <x:c r="A1285" s="13" t="n">
        <x:v>44371</x:v>
      </x:c>
      <x:c r="B1285" s="12" t="n">
        <x:v>3.08</x:v>
      </x:c>
      <x:c r="C1285" s="12" t="n">
        <x:v>308</x:v>
      </x:c>
      <x:c r="D1285" s="12" t="n">
        <x:v>-5</x:v>
      </x:c>
      <x:c r="E1285" s="12" t="str">
        <x:v>Archived FRED mirror (Hugging Face)</x:v>
      </x:c>
    </x:row>
    <x:row r="1286" ht="18" customHeight="1">
      <x:c r="A1286" s="13" t="n">
        <x:v>44372</x:v>
      </x:c>
      <x:c r="B1286" s="12" t="n">
        <x:v>3.04</x:v>
      </x:c>
      <x:c r="C1286" s="12" t="n">
        <x:v>304</x:v>
      </x:c>
      <x:c r="D1286" s="12" t="n">
        <x:v>-4</x:v>
      </x:c>
      <x:c r="E1286" s="12" t="str">
        <x:v>Archived FRED mirror (Hugging Face)</x:v>
      </x:c>
    </x:row>
    <x:row r="1287" ht="18" customHeight="1">
      <x:c r="A1287" s="13" t="n">
        <x:v>44375</x:v>
      </x:c>
      <x:c r="B1287" s="12" t="n">
        <x:v>3.05</x:v>
      </x:c>
      <x:c r="C1287" s="12" t="n">
        <x:v>305</x:v>
      </x:c>
      <x:c r="D1287" s="12" t="n">
        <x:v>1</x:v>
      </x:c>
      <x:c r="E1287" s="12" t="str">
        <x:v>Archived FRED mirror (Hugging Face)</x:v>
      </x:c>
    </x:row>
    <x:row r="1288" ht="18" customHeight="1">
      <x:c r="A1288" s="13" t="n">
        <x:v>44376</x:v>
      </x:c>
      <x:c r="B1288" s="12" t="n">
        <x:v>3.03</x:v>
      </x:c>
      <x:c r="C1288" s="12" t="n">
        <x:v>303</x:v>
      </x:c>
      <x:c r="D1288" s="12" t="n">
        <x:v>-2</x:v>
      </x:c>
      <x:c r="E1288" s="12" t="str">
        <x:v>Archived FRED mirror (Hugging Face)</x:v>
      </x:c>
    </x:row>
    <x:row r="1289" ht="18" customHeight="1">
      <x:c r="A1289" s="13" t="n">
        <x:v>44377</x:v>
      </x:c>
      <x:c r="B1289" s="12" t="n">
        <x:v>3.04</x:v>
      </x:c>
      <x:c r="C1289" s="12" t="n">
        <x:v>304</x:v>
      </x:c>
      <x:c r="D1289" s="12" t="n">
        <x:v>1</x:v>
      </x:c>
      <x:c r="E1289" s="12" t="str">
        <x:v>Archived FRED mirror (Hugging Face)</x:v>
      </x:c>
    </x:row>
    <x:row r="1290" ht="18" customHeight="1">
      <x:c r="A1290" s="13" t="n">
        <x:v>44378</x:v>
      </x:c>
      <x:c r="B1290" s="12" t="n">
        <x:v>3.02</x:v>
      </x:c>
      <x:c r="C1290" s="12" t="n">
        <x:v>302</x:v>
      </x:c>
      <x:c r="D1290" s="12" t="n">
        <x:v>-2</x:v>
      </x:c>
      <x:c r="E1290" s="12" t="str">
        <x:v>Archived FRED mirror (Hugging Face)</x:v>
      </x:c>
    </x:row>
    <x:row r="1291" ht="18" customHeight="1">
      <x:c r="A1291" s="13" t="n">
        <x:v>44379</x:v>
      </x:c>
      <x:c r="B1291" s="12" t="n">
        <x:v>3.04</x:v>
      </x:c>
      <x:c r="C1291" s="12" t="n">
        <x:v>304</x:v>
      </x:c>
      <x:c r="D1291" s="12" t="n">
        <x:v>2</x:v>
      </x:c>
      <x:c r="E1291" s="12" t="str">
        <x:v>Archived FRED mirror (Hugging Face)</x:v>
      </x:c>
    </x:row>
    <x:row r="1292" ht="18" customHeight="1">
      <x:c r="A1292" s="13" t="n">
        <x:v>44382</x:v>
      </x:c>
      <x:c r="B1292" s="12" t="n">
        <x:v>3.03</x:v>
      </x:c>
      <x:c r="C1292" s="12" t="n">
        <x:v>303</x:v>
      </x:c>
      <x:c r="D1292" s="12" t="n">
        <x:v>-1</x:v>
      </x:c>
      <x:c r="E1292" s="12" t="str">
        <x:v>Archived FRED mirror (Hugging Face)</x:v>
      </x:c>
    </x:row>
    <x:row r="1293" ht="18" customHeight="1">
      <x:c r="A1293" s="13" t="n">
        <x:v>44383</x:v>
      </x:c>
      <x:c r="B1293" s="12" t="n">
        <x:v>3.05</x:v>
      </x:c>
      <x:c r="C1293" s="12" t="n">
        <x:v>305</x:v>
      </x:c>
      <x:c r="D1293" s="12" t="n">
        <x:v>2</x:v>
      </x:c>
      <x:c r="E1293" s="12" t="str">
        <x:v>Archived FRED mirror (Hugging Face)</x:v>
      </x:c>
    </x:row>
    <x:row r="1294" ht="18" customHeight="1">
      <x:c r="A1294" s="13" t="n">
        <x:v>44384</x:v>
      </x:c>
      <x:c r="B1294" s="12" t="n">
        <x:v>3.05</x:v>
      </x:c>
      <x:c r="C1294" s="12" t="n">
        <x:v>305</x:v>
      </x:c>
      <x:c r="D1294" s="12" t="n">
        <x:v>0</x:v>
      </x:c>
      <x:c r="E1294" s="12" t="str">
        <x:v>Archived FRED mirror (Hugging Face)</x:v>
      </x:c>
    </x:row>
    <x:row r="1295" ht="18" customHeight="1">
      <x:c r="A1295" s="13" t="n">
        <x:v>44385</x:v>
      </x:c>
      <x:c r="B1295" s="12" t="n">
        <x:v>3.14</x:v>
      </x:c>
      <x:c r="C1295" s="12" t="n">
        <x:v>314</x:v>
      </x:c>
      <x:c r="D1295" s="12" t="n">
        <x:v>9</x:v>
      </x:c>
      <x:c r="E1295" s="12" t="str">
        <x:v>Archived FRED mirror (Hugging Face)</x:v>
      </x:c>
    </x:row>
    <x:row r="1296" ht="18" customHeight="1">
      <x:c r="A1296" s="13" t="n">
        <x:v>44386</x:v>
      </x:c>
      <x:c r="B1296" s="12" t="n">
        <x:v>3.07</x:v>
      </x:c>
      <x:c r="C1296" s="12" t="n">
        <x:v>307</x:v>
      </x:c>
      <x:c r="D1296" s="12" t="n">
        <x:v>-7</x:v>
      </x:c>
      <x:c r="E1296" s="12" t="str">
        <x:v>Archived FRED mirror (Hugging Face)</x:v>
      </x:c>
    </x:row>
    <x:row r="1297" ht="18" customHeight="1">
      <x:c r="A1297" s="13" t="n">
        <x:v>44389</x:v>
      </x:c>
      <x:c r="B1297" s="12" t="n">
        <x:v>3.05</x:v>
      </x:c>
      <x:c r="C1297" s="12" t="n">
        <x:v>305</x:v>
      </x:c>
      <x:c r="D1297" s="12" t="n">
        <x:v>-2</x:v>
      </x:c>
      <x:c r="E1297" s="12" t="str">
        <x:v>Archived FRED mirror (Hugging Face)</x:v>
      </x:c>
    </x:row>
    <x:row r="1298" ht="18" customHeight="1">
      <x:c r="A1298" s="13" t="n">
        <x:v>44390</x:v>
      </x:c>
      <x:c r="B1298" s="12" t="n">
        <x:v>3.04</x:v>
      </x:c>
      <x:c r="C1298" s="12" t="n">
        <x:v>304</x:v>
      </x:c>
      <x:c r="D1298" s="12" t="n">
        <x:v>-1</x:v>
      </x:c>
      <x:c r="E1298" s="12" t="str">
        <x:v>Archived FRED mirror (Hugging Face)</x:v>
      </x:c>
    </x:row>
    <x:row r="1299" ht="18" customHeight="1">
      <x:c r="A1299" s="13" t="n">
        <x:v>44391</x:v>
      </x:c>
      <x:c r="B1299" s="12" t="n">
        <x:v>3.1</x:v>
      </x:c>
      <x:c r="C1299" s="12" t="n">
        <x:v>310</x:v>
      </x:c>
      <x:c r="D1299" s="12" t="n">
        <x:v>6</x:v>
      </x:c>
      <x:c r="E1299" s="12" t="str">
        <x:v>Archived FRED mirror (Hugging Face)</x:v>
      </x:c>
    </x:row>
    <x:row r="1300" ht="18" customHeight="1">
      <x:c r="A1300" s="13" t="n">
        <x:v>44392</x:v>
      </x:c>
      <x:c r="B1300" s="12" t="n">
        <x:v>3.14</x:v>
      </x:c>
      <x:c r="C1300" s="12" t="n">
        <x:v>314</x:v>
      </x:c>
      <x:c r="D1300" s="12" t="n">
        <x:v>4</x:v>
      </x:c>
      <x:c r="E1300" s="12" t="str">
        <x:v>Archived FRED mirror (Hugging Face)</x:v>
      </x:c>
    </x:row>
    <x:row r="1301" ht="18" customHeight="1">
      <x:c r="A1301" s="13" t="n">
        <x:v>44393</x:v>
      </x:c>
      <x:c r="B1301" s="12" t="n">
        <x:v>3.18</x:v>
      </x:c>
      <x:c r="C1301" s="12" t="n">
        <x:v>318</x:v>
      </x:c>
      <x:c r="D1301" s="12" t="n">
        <x:v>4</x:v>
      </x:c>
      <x:c r="E1301" s="12" t="str">
        <x:v>Archived FRED mirror (Hugging Face)</x:v>
      </x:c>
    </x:row>
    <x:row r="1302" ht="18" customHeight="1">
      <x:c r="A1302" s="13" t="n">
        <x:v>44396</x:v>
      </x:c>
      <x:c r="B1302" s="12" t="n">
        <x:v>3.44</x:v>
      </x:c>
      <x:c r="C1302" s="12" t="n">
        <x:v>344</x:v>
      </x:c>
      <x:c r="D1302" s="12" t="n">
        <x:v>26</x:v>
      </x:c>
      <x:c r="E1302" s="12" t="str">
        <x:v>Archived FRED mirror (Hugging Face)</x:v>
      </x:c>
    </x:row>
    <x:row r="1303" ht="18" customHeight="1">
      <x:c r="A1303" s="13" t="n">
        <x:v>44397</x:v>
      </x:c>
      <x:c r="B1303" s="12" t="n">
        <x:v>3.38</x:v>
      </x:c>
      <x:c r="C1303" s="12" t="n">
        <x:v>338</x:v>
      </x:c>
      <x:c r="D1303" s="12" t="n">
        <x:v>-6</x:v>
      </x:c>
      <x:c r="E1303" s="12" t="str">
        <x:v>Archived FRED mirror (Hugging Face)</x:v>
      </x:c>
    </x:row>
    <x:row r="1304" ht="18" customHeight="1">
      <x:c r="A1304" s="13" t="n">
        <x:v>44398</x:v>
      </x:c>
      <x:c r="B1304" s="12" t="n">
        <x:v>3.24</x:v>
      </x:c>
      <x:c r="C1304" s="12" t="n">
        <x:v>324</x:v>
      </x:c>
      <x:c r="D1304" s="12" t="n">
        <x:v>-14</x:v>
      </x:c>
      <x:c r="E1304" s="12" t="str">
        <x:v>Archived FRED mirror (Hugging Face)</x:v>
      </x:c>
    </x:row>
    <x:row r="1305" ht="18" customHeight="1">
      <x:c r="A1305" s="13" t="n">
        <x:v>44399</x:v>
      </x:c>
      <x:c r="B1305" s="12" t="n">
        <x:v>3.24</x:v>
      </x:c>
      <x:c r="C1305" s="12" t="n">
        <x:v>324</x:v>
      </x:c>
      <x:c r="D1305" s="12" t="n">
        <x:v>0</x:v>
      </x:c>
      <x:c r="E1305" s="12" t="str">
        <x:v>Archived FRED mirror (Hugging Face)</x:v>
      </x:c>
    </x:row>
    <x:row r="1306" ht="18" customHeight="1">
      <x:c r="A1306" s="13" t="n">
        <x:v>44400</x:v>
      </x:c>
      <x:c r="B1306" s="12" t="n">
        <x:v>3.22</x:v>
      </x:c>
      <x:c r="C1306" s="12" t="n">
        <x:v>322</x:v>
      </x:c>
      <x:c r="D1306" s="12" t="n">
        <x:v>-2</x:v>
      </x:c>
      <x:c r="E1306" s="12" t="str">
        <x:v>Archived FRED mirror (Hugging Face)</x:v>
      </x:c>
    </x:row>
    <x:row r="1307" ht="18" customHeight="1">
      <x:c r="A1307" s="13" t="n">
        <x:v>44403</x:v>
      </x:c>
      <x:c r="B1307" s="12" t="n">
        <x:v>3.21</x:v>
      </x:c>
      <x:c r="C1307" s="12" t="n">
        <x:v>321</x:v>
      </x:c>
      <x:c r="D1307" s="12" t="n">
        <x:v>-1</x:v>
      </x:c>
      <x:c r="E1307" s="12" t="str">
        <x:v>Archived FRED mirror (Hugging Face)</x:v>
      </x:c>
    </x:row>
    <x:row r="1308" ht="18" customHeight="1">
      <x:c r="A1308" s="13" t="n">
        <x:v>44404</x:v>
      </x:c>
      <x:c r="B1308" s="12" t="n">
        <x:v>3.27</x:v>
      </x:c>
      <x:c r="C1308" s="12" t="n">
        <x:v>327</x:v>
      </x:c>
      <x:c r="D1308" s="12" t="n">
        <x:v>6</x:v>
      </x:c>
      <x:c r="E1308" s="12" t="str">
        <x:v>Archived FRED mirror (Hugging Face)</x:v>
      </x:c>
    </x:row>
    <x:row r="1309" ht="18" customHeight="1">
      <x:c r="A1309" s="13" t="n">
        <x:v>44405</x:v>
      </x:c>
      <x:c r="B1309" s="12" t="n">
        <x:v>3.26</x:v>
      </x:c>
      <x:c r="C1309" s="12" t="n">
        <x:v>326</x:v>
      </x:c>
      <x:c r="D1309" s="12" t="n">
        <x:v>-1</x:v>
      </x:c>
      <x:c r="E1309" s="12" t="str">
        <x:v>Archived FRED mirror (Hugging Face)</x:v>
      </x:c>
    </x:row>
    <x:row r="1310" ht="18" customHeight="1">
      <x:c r="A1310" s="13" t="n">
        <x:v>44406</x:v>
      </x:c>
      <x:c r="B1310" s="12" t="n">
        <x:v>3.23</x:v>
      </x:c>
      <x:c r="C1310" s="12" t="n">
        <x:v>323</x:v>
      </x:c>
      <x:c r="D1310" s="12" t="n">
        <x:v>-3</x:v>
      </x:c>
      <x:c r="E1310" s="12" t="str">
        <x:v>Archived FRED mirror (Hugging Face)</x:v>
      </x:c>
    </x:row>
    <x:row r="1311" ht="18" customHeight="1">
      <x:c r="A1311" s="13" t="n">
        <x:v>44407</x:v>
      </x:c>
      <x:c r="B1311" s="12" t="n">
        <x:v>3.26</x:v>
      </x:c>
      <x:c r="C1311" s="12" t="n">
        <x:v>326</x:v>
      </x:c>
      <x:c r="D1311" s="12" t="n">
        <x:v>3</x:v>
      </x:c>
      <x:c r="E1311" s="12" t="str">
        <x:v>Archived FRED mirror (Hugging Face)</x:v>
      </x:c>
    </x:row>
    <x:row r="1312" ht="18" customHeight="1">
      <x:c r="A1312" s="13" t="n">
        <x:v>44408</x:v>
      </x:c>
      <x:c r="B1312" s="12" t="n">
        <x:v>3.32</x:v>
      </x:c>
      <x:c r="C1312" s="12" t="n">
        <x:v>332</x:v>
      </x:c>
      <x:c r="D1312" s="12" t="n">
        <x:v>6</x:v>
      </x:c>
      <x:c r="E1312" s="12" t="str">
        <x:v>Archived FRED mirror (Hugging Face)</x:v>
      </x:c>
    </x:row>
    <x:row r="1313" ht="18" customHeight="1">
      <x:c r="A1313" s="13" t="n">
        <x:v>44410</x:v>
      </x:c>
      <x:c r="B1313" s="12" t="n">
        <x:v>3.36</x:v>
      </x:c>
      <x:c r="C1313" s="12" t="n">
        <x:v>336</x:v>
      </x:c>
      <x:c r="D1313" s="12" t="n">
        <x:v>4</x:v>
      </x:c>
      <x:c r="E1313" s="12" t="str">
        <x:v>Archived FRED mirror (Hugging Face)</x:v>
      </x:c>
    </x:row>
    <x:row r="1314" ht="18" customHeight="1">
      <x:c r="A1314" s="13" t="n">
        <x:v>44411</x:v>
      </x:c>
      <x:c r="B1314" s="12" t="n">
        <x:v>3.42</x:v>
      </x:c>
      <x:c r="C1314" s="12" t="n">
        <x:v>342</x:v>
      </x:c>
      <x:c r="D1314" s="12" t="n">
        <x:v>6</x:v>
      </x:c>
      <x:c r="E1314" s="12" t="str">
        <x:v>Archived FRED mirror (Hugging Face)</x:v>
      </x:c>
    </x:row>
    <x:row r="1315" ht="18" customHeight="1">
      <x:c r="A1315" s="13" t="n">
        <x:v>44412</x:v>
      </x:c>
      <x:c r="B1315" s="12" t="n">
        <x:v>3.42</x:v>
      </x:c>
      <x:c r="C1315" s="12" t="n">
        <x:v>342</x:v>
      </x:c>
      <x:c r="D1315" s="12" t="n">
        <x:v>0</x:v>
      </x:c>
      <x:c r="E1315" s="12" t="str">
        <x:v>Archived FRED mirror (Hugging Face)</x:v>
      </x:c>
    </x:row>
    <x:row r="1316" ht="18" customHeight="1">
      <x:c r="A1316" s="13" t="n">
        <x:v>44413</x:v>
      </x:c>
      <x:c r="B1316" s="12" t="n">
        <x:v>3.37</x:v>
      </x:c>
      <x:c r="C1316" s="12" t="n">
        <x:v>337</x:v>
      </x:c>
      <x:c r="D1316" s="12" t="n">
        <x:v>-5</x:v>
      </x:c>
      <x:c r="E1316" s="12" t="str">
        <x:v>Archived FRED mirror (Hugging Face)</x:v>
      </x:c>
    </x:row>
    <x:row r="1317" ht="18" customHeight="1">
      <x:c r="A1317" s="13" t="n">
        <x:v>44414</x:v>
      </x:c>
      <x:c r="B1317" s="12" t="n">
        <x:v>3.32</x:v>
      </x:c>
      <x:c r="C1317" s="12" t="n">
        <x:v>332</x:v>
      </x:c>
      <x:c r="D1317" s="12" t="n">
        <x:v>-5</x:v>
      </x:c>
      <x:c r="E1317" s="12" t="str">
        <x:v>Archived FRED mirror (Hugging Face)</x:v>
      </x:c>
    </x:row>
    <x:row r="1318" ht="18" customHeight="1">
      <x:c r="A1318" s="13" t="n">
        <x:v>44417</x:v>
      </x:c>
      <x:c r="B1318" s="12" t="n">
        <x:v>3.34</x:v>
      </x:c>
      <x:c r="C1318" s="12" t="n">
        <x:v>334</x:v>
      </x:c>
      <x:c r="D1318" s="12" t="n">
        <x:v>2</x:v>
      </x:c>
      <x:c r="E1318" s="12" t="str">
        <x:v>Archived FRED mirror (Hugging Face)</x:v>
      </x:c>
    </x:row>
    <x:row r="1319" ht="18" customHeight="1">
      <x:c r="A1319" s="13" t="n">
        <x:v>44418</x:v>
      </x:c>
      <x:c r="B1319" s="12" t="n">
        <x:v>3.32</x:v>
      </x:c>
      <x:c r="C1319" s="12" t="n">
        <x:v>332</x:v>
      </x:c>
      <x:c r="D1319" s="12" t="n">
        <x:v>-2</x:v>
      </x:c>
      <x:c r="E1319" s="12" t="str">
        <x:v>Archived FRED mirror (Hugging Face)</x:v>
      </x:c>
    </x:row>
    <x:row r="1320" ht="18" customHeight="1">
      <x:c r="A1320" s="13" t="n">
        <x:v>44419</x:v>
      </x:c>
      <x:c r="B1320" s="12" t="n">
        <x:v>3.37</x:v>
      </x:c>
      <x:c r="C1320" s="12" t="n">
        <x:v>337</x:v>
      </x:c>
      <x:c r="D1320" s="12" t="n">
        <x:v>5</x:v>
      </x:c>
      <x:c r="E1320" s="12" t="str">
        <x:v>Archived FRED mirror (Hugging Face)</x:v>
      </x:c>
    </x:row>
    <x:row r="1321" ht="18" customHeight="1">
      <x:c r="A1321" s="13" t="n">
        <x:v>44420</x:v>
      </x:c>
      <x:c r="B1321" s="12" t="n">
        <x:v>3.34</x:v>
      </x:c>
      <x:c r="C1321" s="12" t="n">
        <x:v>334</x:v>
      </x:c>
      <x:c r="D1321" s="12" t="n">
        <x:v>-3</x:v>
      </x:c>
      <x:c r="E1321" s="12" t="str">
        <x:v>Archived FRED mirror (Hugging Face)</x:v>
      </x:c>
    </x:row>
    <x:row r="1322" ht="18" customHeight="1">
      <x:c r="A1322" s="13" t="n">
        <x:v>44421</x:v>
      </x:c>
      <x:c r="B1322" s="12" t="n">
        <x:v>3.36</x:v>
      </x:c>
      <x:c r="C1322" s="12" t="n">
        <x:v>336</x:v>
      </x:c>
      <x:c r="D1322" s="12" t="n">
        <x:v>2</x:v>
      </x:c>
      <x:c r="E1322" s="12" t="str">
        <x:v>Archived FRED mirror (Hugging Face)</x:v>
      </x:c>
    </x:row>
    <x:row r="1323" ht="18" customHeight="1">
      <x:c r="A1323" s="13" t="n">
        <x:v>44424</x:v>
      </x:c>
      <x:c r="B1323" s="12" t="n">
        <x:v>3.38</x:v>
      </x:c>
      <x:c r="C1323" s="12" t="n">
        <x:v>338</x:v>
      </x:c>
      <x:c r="D1323" s="12" t="n">
        <x:v>2</x:v>
      </x:c>
      <x:c r="E1323" s="12" t="str">
        <x:v>Archived FRED mirror (Hugging Face)</x:v>
      </x:c>
    </x:row>
    <x:row r="1324" ht="18" customHeight="1">
      <x:c r="A1324" s="13" t="n">
        <x:v>44425</x:v>
      </x:c>
      <x:c r="B1324" s="12" t="n">
        <x:v>3.37</x:v>
      </x:c>
      <x:c r="C1324" s="12" t="n">
        <x:v>337</x:v>
      </x:c>
      <x:c r="D1324" s="12" t="n">
        <x:v>-1</x:v>
      </x:c>
      <x:c r="E1324" s="12" t="str">
        <x:v>Archived FRED mirror (Hugging Face)</x:v>
      </x:c>
    </x:row>
    <x:row r="1325" ht="18" customHeight="1">
      <x:c r="A1325" s="13" t="n">
        <x:v>44426</x:v>
      </x:c>
      <x:c r="B1325" s="12" t="n">
        <x:v>3.35</x:v>
      </x:c>
      <x:c r="C1325" s="12" t="n">
        <x:v>335</x:v>
      </x:c>
      <x:c r="D1325" s="12" t="n">
        <x:v>-2</x:v>
      </x:c>
      <x:c r="E1325" s="12" t="str">
        <x:v>Archived FRED mirror (Hugging Face)</x:v>
      </x:c>
    </x:row>
    <x:row r="1326" ht="18" customHeight="1">
      <x:c r="A1326" s="13" t="n">
        <x:v>44427</x:v>
      </x:c>
      <x:c r="B1326" s="12" t="n">
        <x:v>3.42</x:v>
      </x:c>
      <x:c r="C1326" s="12" t="n">
        <x:v>342</x:v>
      </x:c>
      <x:c r="D1326" s="12" t="n">
        <x:v>7</x:v>
      </x:c>
      <x:c r="E1326" s="12" t="str">
        <x:v>Archived FRED mirror (Hugging Face)</x:v>
      </x:c>
    </x:row>
    <x:row r="1327" ht="18" customHeight="1">
      <x:c r="A1327" s="13" t="n">
        <x:v>44428</x:v>
      </x:c>
      <x:c r="B1327" s="12" t="n">
        <x:v>3.37</x:v>
      </x:c>
      <x:c r="C1327" s="12" t="n">
        <x:v>337</x:v>
      </x:c>
      <x:c r="D1327" s="12" t="n">
        <x:v>-5</x:v>
      </x:c>
      <x:c r="E1327" s="12" t="str">
        <x:v>Archived FRED mirror (Hugging Face)</x:v>
      </x:c>
    </x:row>
    <x:row r="1328" ht="18" customHeight="1">
      <x:c r="A1328" s="13" t="n">
        <x:v>44431</x:v>
      </x:c>
      <x:c r="B1328" s="12" t="n">
        <x:v>3.34</x:v>
      </x:c>
      <x:c r="C1328" s="12" t="n">
        <x:v>334</x:v>
      </x:c>
      <x:c r="D1328" s="12" t="n">
        <x:v>-3</x:v>
      </x:c>
      <x:c r="E1328" s="12" t="str">
        <x:v>Archived FRED mirror (Hugging Face)</x:v>
      </x:c>
    </x:row>
    <x:row r="1329" ht="18" customHeight="1">
      <x:c r="A1329" s="13" t="n">
        <x:v>44432</x:v>
      </x:c>
      <x:c r="B1329" s="12" t="n">
        <x:v>3.26</x:v>
      </x:c>
      <x:c r="C1329" s="12" t="n">
        <x:v>326</x:v>
      </x:c>
      <x:c r="D1329" s="12" t="n">
        <x:v>-8</x:v>
      </x:c>
      <x:c r="E1329" s="12" t="str">
        <x:v>Archived FRED mirror (Hugging Face)</x:v>
      </x:c>
    </x:row>
    <x:row r="1330" ht="18" customHeight="1">
      <x:c r="A1330" s="13" t="n">
        <x:v>44433</x:v>
      </x:c>
      <x:c r="B1330" s="12" t="n">
        <x:v>3.22</x:v>
      </x:c>
      <x:c r="C1330" s="12" t="n">
        <x:v>322</x:v>
      </x:c>
      <x:c r="D1330" s="12" t="n">
        <x:v>-4</x:v>
      </x:c>
      <x:c r="E1330" s="12" t="str">
        <x:v>Archived FRED mirror (Hugging Face)</x:v>
      </x:c>
    </x:row>
    <x:row r="1331" ht="18" customHeight="1">
      <x:c r="A1331" s="13" t="n">
        <x:v>44434</x:v>
      </x:c>
      <x:c r="B1331" s="12" t="n">
        <x:v>3.2</x:v>
      </x:c>
      <x:c r="C1331" s="12" t="n">
        <x:v>320</x:v>
      </x:c>
      <x:c r="D1331" s="12" t="n">
        <x:v>-2</x:v>
      </x:c>
      <x:c r="E1331" s="12" t="str">
        <x:v>Archived FRED mirror (Hugging Face)</x:v>
      </x:c>
    </x:row>
    <x:row r="1332" ht="18" customHeight="1">
      <x:c r="A1332" s="13" t="n">
        <x:v>44435</x:v>
      </x:c>
      <x:c r="B1332" s="12" t="n">
        <x:v>3.17</x:v>
      </x:c>
      <x:c r="C1332" s="12" t="n">
        <x:v>317</x:v>
      </x:c>
      <x:c r="D1332" s="12" t="n">
        <x:v>-3</x:v>
      </x:c>
      <x:c r="E1332" s="12" t="str">
        <x:v>Archived FRED mirror (Hugging Face)</x:v>
      </x:c>
    </x:row>
    <x:row r="1333" ht="18" customHeight="1">
      <x:c r="A1333" s="13" t="n">
        <x:v>44438</x:v>
      </x:c>
      <x:c r="B1333" s="12" t="n">
        <x:v>3.16</x:v>
      </x:c>
      <x:c r="C1333" s="12" t="n">
        <x:v>316</x:v>
      </x:c>
      <x:c r="D1333" s="12" t="n">
        <x:v>-1</x:v>
      </x:c>
      <x:c r="E1333" s="12" t="str">
        <x:v>Archived FRED mirror (Hugging Face)</x:v>
      </x:c>
    </x:row>
    <x:row r="1334" ht="18" customHeight="1">
      <x:c r="A1334" s="13" t="n">
        <x:v>44439</x:v>
      </x:c>
      <x:c r="B1334" s="12" t="n">
        <x:v>3.21</x:v>
      </x:c>
      <x:c r="C1334" s="12" t="n">
        <x:v>321</x:v>
      </x:c>
      <x:c r="D1334" s="12" t="n">
        <x:v>5</x:v>
      </x:c>
      <x:c r="E1334" s="12" t="str">
        <x:v>Archived FRED mirror (Hugging Face)</x:v>
      </x:c>
    </x:row>
    <x:row r="1335" ht="18" customHeight="1">
      <x:c r="A1335" s="13" t="n">
        <x:v>44440</x:v>
      </x:c>
      <x:c r="B1335" s="12" t="n">
        <x:v>3.19</x:v>
      </x:c>
      <x:c r="C1335" s="12" t="n">
        <x:v>319</x:v>
      </x:c>
      <x:c r="D1335" s="12" t="n">
        <x:v>-2</x:v>
      </x:c>
      <x:c r="E1335" s="12" t="str">
        <x:v>Archived FRED mirror (Hugging Face)</x:v>
      </x:c>
    </x:row>
    <x:row r="1336" ht="18" customHeight="1">
      <x:c r="A1336" s="13" t="n">
        <x:v>44441</x:v>
      </x:c>
      <x:c r="B1336" s="12" t="n">
        <x:v>3.16</x:v>
      </x:c>
      <x:c r="C1336" s="12" t="n">
        <x:v>316</x:v>
      </x:c>
      <x:c r="D1336" s="12" t="n">
        <x:v>-3</x:v>
      </x:c>
      <x:c r="E1336" s="12" t="str">
        <x:v>Archived FRED mirror (Hugging Face)</x:v>
      </x:c>
    </x:row>
    <x:row r="1337" ht="18" customHeight="1">
      <x:c r="A1337" s="13" t="n">
        <x:v>44442</x:v>
      </x:c>
      <x:c r="B1337" s="12" t="n">
        <x:v>3.14</x:v>
      </x:c>
      <x:c r="C1337" s="12" t="n">
        <x:v>314</x:v>
      </x:c>
      <x:c r="D1337" s="12" t="n">
        <x:v>-2</x:v>
      </x:c>
      <x:c r="E1337" s="12" t="str">
        <x:v>Archived FRED mirror (Hugging Face)</x:v>
      </x:c>
    </x:row>
    <x:row r="1338" ht="18" customHeight="1">
      <x:c r="A1338" s="13" t="n">
        <x:v>44445</x:v>
      </x:c>
      <x:c r="B1338" s="12" t="n">
        <x:v>3.13</x:v>
      </x:c>
      <x:c r="C1338" s="12" t="n">
        <x:v>313</x:v>
      </x:c>
      <x:c r="D1338" s="12" t="n">
        <x:v>-1</x:v>
      </x:c>
      <x:c r="E1338" s="12" t="str">
        <x:v>Archived FRED mirror (Hugging Face)</x:v>
      </x:c>
    </x:row>
    <x:row r="1339" ht="18" customHeight="1">
      <x:c r="A1339" s="13" t="n">
        <x:v>44446</x:v>
      </x:c>
      <x:c r="B1339" s="12" t="n">
        <x:v>3.16</x:v>
      </x:c>
      <x:c r="C1339" s="12" t="n">
        <x:v>316</x:v>
      </x:c>
      <x:c r="D1339" s="12" t="n">
        <x:v>3</x:v>
      </x:c>
      <x:c r="E1339" s="12" t="str">
        <x:v>Archived FRED mirror (Hugging Face)</x:v>
      </x:c>
    </x:row>
    <x:row r="1340" ht="18" customHeight="1">
      <x:c r="A1340" s="13" t="n">
        <x:v>44447</x:v>
      </x:c>
      <x:c r="B1340" s="12" t="n">
        <x:v>3.16</x:v>
      </x:c>
      <x:c r="C1340" s="12" t="n">
        <x:v>316</x:v>
      </x:c>
      <x:c r="D1340" s="12" t="n">
        <x:v>0</x:v>
      </x:c>
      <x:c r="E1340" s="12" t="str">
        <x:v>Archived FRED mirror (Hugging Face)</x:v>
      </x:c>
    </x:row>
    <x:row r="1341" ht="18" customHeight="1">
      <x:c r="A1341" s="13" t="n">
        <x:v>44448</x:v>
      </x:c>
      <x:c r="B1341" s="12" t="n">
        <x:v>3.15</x:v>
      </x:c>
      <x:c r="C1341" s="12" t="n">
        <x:v>315</x:v>
      </x:c>
      <x:c r="D1341" s="12" t="n">
        <x:v>-1</x:v>
      </x:c>
      <x:c r="E1341" s="12" t="str">
        <x:v>Archived FRED mirror (Hugging Face)</x:v>
      </x:c>
    </x:row>
    <x:row r="1342" ht="18" customHeight="1">
      <x:c r="A1342" s="13" t="n">
        <x:v>44449</x:v>
      </x:c>
      <x:c r="B1342" s="12" t="n">
        <x:v>3.11</x:v>
      </x:c>
      <x:c r="C1342" s="12" t="n">
        <x:v>311</x:v>
      </x:c>
      <x:c r="D1342" s="12" t="n">
        <x:v>-4</x:v>
      </x:c>
      <x:c r="E1342" s="12" t="str">
        <x:v>Archived FRED mirror (Hugging Face)</x:v>
      </x:c>
    </x:row>
    <x:row r="1343" ht="18" customHeight="1">
      <x:c r="A1343" s="13" t="n">
        <x:v>44452</x:v>
      </x:c>
      <x:c r="B1343" s="12" t="n">
        <x:v>3.09</x:v>
      </x:c>
      <x:c r="C1343" s="12" t="n">
        <x:v>309</x:v>
      </x:c>
      <x:c r="D1343" s="12" t="n">
        <x:v>-2</x:v>
      </x:c>
      <x:c r="E1343" s="12" t="str">
        <x:v>Archived FRED mirror (Hugging Face)</x:v>
      </x:c>
    </x:row>
    <x:row r="1344" ht="18" customHeight="1">
      <x:c r="A1344" s="13" t="n">
        <x:v>44453</x:v>
      </x:c>
      <x:c r="B1344" s="12" t="n">
        <x:v>3.11</x:v>
      </x:c>
      <x:c r="C1344" s="12" t="n">
        <x:v>311</x:v>
      </x:c>
      <x:c r="D1344" s="12" t="n">
        <x:v>2</x:v>
      </x:c>
      <x:c r="E1344" s="12" t="str">
        <x:v>Archived FRED mirror (Hugging Face)</x:v>
      </x:c>
    </x:row>
    <x:row r="1345" ht="18" customHeight="1">
      <x:c r="A1345" s="13" t="n">
        <x:v>44454</x:v>
      </x:c>
      <x:c r="B1345" s="12" t="n">
        <x:v>3.08</x:v>
      </x:c>
      <x:c r="C1345" s="12" t="n">
        <x:v>308</x:v>
      </x:c>
      <x:c r="D1345" s="12" t="n">
        <x:v>-3</x:v>
      </x:c>
      <x:c r="E1345" s="12" t="str">
        <x:v>Archived FRED mirror (Hugging Face)</x:v>
      </x:c>
    </x:row>
    <x:row r="1346" ht="18" customHeight="1">
      <x:c r="A1346" s="13" t="n">
        <x:v>44455</x:v>
      </x:c>
      <x:c r="B1346" s="12" t="n">
        <x:v>3.06</x:v>
      </x:c>
      <x:c r="C1346" s="12" t="n">
        <x:v>306</x:v>
      </x:c>
      <x:c r="D1346" s="12" t="n">
        <x:v>-2</x:v>
      </x:c>
      <x:c r="E1346" s="12" t="str">
        <x:v>Archived FRED mirror (Hugging Face)</x:v>
      </x:c>
    </x:row>
    <x:row r="1347" ht="18" customHeight="1">
      <x:c r="A1347" s="13" t="n">
        <x:v>44456</x:v>
      </x:c>
      <x:c r="B1347" s="12" t="n">
        <x:v>3.04</x:v>
      </x:c>
      <x:c r="C1347" s="12" t="n">
        <x:v>304</x:v>
      </x:c>
      <x:c r="D1347" s="12" t="n">
        <x:v>-2</x:v>
      </x:c>
      <x:c r="E1347" s="12" t="str">
        <x:v>Archived FRED mirror (Hugging Face)</x:v>
      </x:c>
    </x:row>
    <x:row r="1348" ht="18" customHeight="1">
      <x:c r="A1348" s="13" t="n">
        <x:v>44459</x:v>
      </x:c>
      <x:c r="B1348" s="12" t="n">
        <x:v>3.23</x:v>
      </x:c>
      <x:c r="C1348" s="12" t="n">
        <x:v>323</x:v>
      </x:c>
      <x:c r="D1348" s="12" t="n">
        <x:v>19</x:v>
      </x:c>
      <x:c r="E1348" s="12" t="str">
        <x:v>Archived FRED mirror (Hugging Face)</x:v>
      </x:c>
    </x:row>
    <x:row r="1349" ht="18" customHeight="1">
      <x:c r="A1349" s="13" t="n">
        <x:v>44460</x:v>
      </x:c>
      <x:c r="B1349" s="12" t="n">
        <x:v>3.17</x:v>
      </x:c>
      <x:c r="C1349" s="12" t="n">
        <x:v>317</x:v>
      </x:c>
      <x:c r="D1349" s="12" t="n">
        <x:v>-6</x:v>
      </x:c>
      <x:c r="E1349" s="12" t="str">
        <x:v>Archived FRED mirror (Hugging Face)</x:v>
      </x:c>
    </x:row>
    <x:row r="1350" ht="18" customHeight="1">
      <x:c r="A1350" s="13" t="n">
        <x:v>44461</x:v>
      </x:c>
      <x:c r="B1350" s="12" t="n">
        <x:v>3.09</x:v>
      </x:c>
      <x:c r="C1350" s="12" t="n">
        <x:v>309</x:v>
      </x:c>
      <x:c r="D1350" s="12" t="n">
        <x:v>-8</x:v>
      </x:c>
      <x:c r="E1350" s="12" t="str">
        <x:v>Archived FRED mirror (Hugging Face)</x:v>
      </x:c>
    </x:row>
    <x:row r="1351" ht="18" customHeight="1">
      <x:c r="A1351" s="13" t="n">
        <x:v>44462</x:v>
      </x:c>
      <x:c r="B1351" s="12" t="n">
        <x:v>3.03</x:v>
      </x:c>
      <x:c r="C1351" s="12" t="n">
        <x:v>303</x:v>
      </x:c>
      <x:c r="D1351" s="12" t="n">
        <x:v>-6</x:v>
      </x:c>
      <x:c r="E1351" s="12" t="str">
        <x:v>Archived FRED mirror (Hugging Face)</x:v>
      </x:c>
    </x:row>
    <x:row r="1352" ht="18" customHeight="1">
      <x:c r="A1352" s="13" t="n">
        <x:v>44463</x:v>
      </x:c>
      <x:c r="B1352" s="12" t="n">
        <x:v>3.05</x:v>
      </x:c>
      <x:c r="C1352" s="12" t="n">
        <x:v>305</x:v>
      </x:c>
      <x:c r="D1352" s="12" t="n">
        <x:v>2</x:v>
      </x:c>
      <x:c r="E1352" s="12" t="str">
        <x:v>Archived FRED mirror (Hugging Face)</x:v>
      </x:c>
    </x:row>
    <x:row r="1353" ht="18" customHeight="1">
      <x:c r="A1353" s="13" t="n">
        <x:v>44466</x:v>
      </x:c>
      <x:c r="B1353" s="12" t="n">
        <x:v>3.06</x:v>
      </x:c>
      <x:c r="C1353" s="12" t="n">
        <x:v>306</x:v>
      </x:c>
      <x:c r="D1353" s="12" t="n">
        <x:v>1</x:v>
      </x:c>
      <x:c r="E1353" s="12" t="str">
        <x:v>Archived FRED mirror (Hugging Face)</x:v>
      </x:c>
    </x:row>
    <x:row r="1354" ht="18" customHeight="1">
      <x:c r="A1354" s="13" t="n">
        <x:v>44467</x:v>
      </x:c>
      <x:c r="B1354" s="12" t="n">
        <x:v>3.13</x:v>
      </x:c>
      <x:c r="C1354" s="12" t="n">
        <x:v>313</x:v>
      </x:c>
      <x:c r="D1354" s="12" t="n">
        <x:v>7</x:v>
      </x:c>
      <x:c r="E1354" s="12" t="str">
        <x:v>Archived FRED mirror (Hugging Face)</x:v>
      </x:c>
    </x:row>
    <x:row r="1355" ht="18" customHeight="1">
      <x:c r="A1355" s="13" t="n">
        <x:v>44468</x:v>
      </x:c>
      <x:c r="B1355" s="12" t="n">
        <x:v>3.09</x:v>
      </x:c>
      <x:c r="C1355" s="12" t="n">
        <x:v>309</x:v>
      </x:c>
      <x:c r="D1355" s="12" t="n">
        <x:v>-4</x:v>
      </x:c>
      <x:c r="E1355" s="12" t="str">
        <x:v>Archived FRED mirror (Hugging Face)</x:v>
      </x:c>
    </x:row>
    <x:row r="1356" ht="18" customHeight="1">
      <x:c r="A1356" s="13" t="n">
        <x:v>44469</x:v>
      </x:c>
      <x:c r="B1356" s="12" t="n">
        <x:v>3.15</x:v>
      </x:c>
      <x:c r="C1356" s="12" t="n">
        <x:v>315</x:v>
      </x:c>
      <x:c r="D1356" s="12" t="n">
        <x:v>6</x:v>
      </x:c>
      <x:c r="E1356" s="12" t="str">
        <x:v>Archived FRED mirror (Hugging Face)</x:v>
      </x:c>
    </x:row>
    <x:row r="1357" ht="18" customHeight="1">
      <x:c r="A1357" s="13" t="n">
        <x:v>44470</x:v>
      </x:c>
      <x:c r="B1357" s="12" t="n">
        <x:v>3.2</x:v>
      </x:c>
      <x:c r="C1357" s="12" t="n">
        <x:v>320</x:v>
      </x:c>
      <x:c r="D1357" s="12" t="n">
        <x:v>5</x:v>
      </x:c>
      <x:c r="E1357" s="12" t="str">
        <x:v>Archived FRED mirror (Hugging Face)</x:v>
      </x:c>
    </x:row>
    <x:row r="1358" ht="18" customHeight="1">
      <x:c r="A1358" s="13" t="n">
        <x:v>44473</x:v>
      </x:c>
      <x:c r="B1358" s="12" t="n">
        <x:v>3.21</x:v>
      </x:c>
      <x:c r="C1358" s="12" t="n">
        <x:v>321</x:v>
      </x:c>
      <x:c r="D1358" s="12" t="n">
        <x:v>1</x:v>
      </x:c>
      <x:c r="E1358" s="12" t="str">
        <x:v>Archived FRED mirror (Hugging Face)</x:v>
      </x:c>
    </x:row>
    <x:row r="1359" ht="18" customHeight="1">
      <x:c r="A1359" s="13" t="n">
        <x:v>44474</x:v>
      </x:c>
      <x:c r="B1359" s="12" t="n">
        <x:v>3.17</x:v>
      </x:c>
      <x:c r="C1359" s="12" t="n">
        <x:v>317</x:v>
      </x:c>
      <x:c r="D1359" s="12" t="n">
        <x:v>-4</x:v>
      </x:c>
      <x:c r="E1359" s="12" t="str">
        <x:v>Archived FRED mirror (Hugging Face)</x:v>
      </x:c>
    </x:row>
    <x:row r="1360" ht="18" customHeight="1">
      <x:c r="A1360" s="13" t="n">
        <x:v>44475</x:v>
      </x:c>
      <x:c r="B1360" s="12" t="n">
        <x:v>3.29</x:v>
      </x:c>
      <x:c r="C1360" s="12" t="n">
        <x:v>329</x:v>
      </x:c>
      <x:c r="D1360" s="12" t="n">
        <x:v>12</x:v>
      </x:c>
      <x:c r="E1360" s="12" t="str">
        <x:v>Archived FRED mirror (Hugging Face)</x:v>
      </x:c>
    </x:row>
    <x:row r="1361" ht="18" customHeight="1">
      <x:c r="A1361" s="13" t="n">
        <x:v>44476</x:v>
      </x:c>
      <x:c r="B1361" s="12" t="n">
        <x:v>3.19</x:v>
      </x:c>
      <x:c r="C1361" s="12" t="n">
        <x:v>319</x:v>
      </x:c>
      <x:c r="D1361" s="12" t="n">
        <x:v>-10</x:v>
      </x:c>
      <x:c r="E1361" s="12" t="str">
        <x:v>Archived FRED mirror (Hugging Face)</x:v>
      </x:c>
    </x:row>
    <x:row r="1362" ht="18" customHeight="1">
      <x:c r="A1362" s="13" t="n">
        <x:v>44477</x:v>
      </x:c>
      <x:c r="B1362" s="12" t="n">
        <x:v>3.2</x:v>
      </x:c>
      <x:c r="C1362" s="12" t="n">
        <x:v>320</x:v>
      </x:c>
      <x:c r="D1362" s="12" t="n">
        <x:v>1</x:v>
      </x:c>
      <x:c r="E1362" s="12" t="str">
        <x:v>Archived FRED mirror (Hugging Face)</x:v>
      </x:c>
    </x:row>
    <x:row r="1363" ht="18" customHeight="1">
      <x:c r="A1363" s="13" t="n">
        <x:v>44480</x:v>
      </x:c>
      <x:c r="B1363" s="12" t="n">
        <x:v>3.2</x:v>
      </x:c>
      <x:c r="C1363" s="12" t="n">
        <x:v>320</x:v>
      </x:c>
      <x:c r="D1363" s="12" t="n">
        <x:v>0</x:v>
      </x:c>
      <x:c r="E1363" s="12" t="str">
        <x:v>Archived FRED mirror (Hugging Face)</x:v>
      </x:c>
    </x:row>
    <x:row r="1364" ht="18" customHeight="1">
      <x:c r="A1364" s="13" t="n">
        <x:v>44481</x:v>
      </x:c>
      <x:c r="B1364" s="12" t="n">
        <x:v>3.28</x:v>
      </x:c>
      <x:c r="C1364" s="12" t="n">
        <x:v>328</x:v>
      </x:c>
      <x:c r="D1364" s="12" t="n">
        <x:v>8</x:v>
      </x:c>
      <x:c r="E1364" s="12" t="str">
        <x:v>Archived FRED mirror (Hugging Face)</x:v>
      </x:c>
    </x:row>
    <x:row r="1365" ht="18" customHeight="1">
      <x:c r="A1365" s="13" t="n">
        <x:v>44482</x:v>
      </x:c>
      <x:c r="B1365" s="12" t="n">
        <x:v>3.25</x:v>
      </x:c>
      <x:c r="C1365" s="12" t="n">
        <x:v>325</x:v>
      </x:c>
      <x:c r="D1365" s="12" t="n">
        <x:v>-3</x:v>
      </x:c>
      <x:c r="E1365" s="12" t="str">
        <x:v>Archived FRED mirror (Hugging Face)</x:v>
      </x:c>
    </x:row>
    <x:row r="1366" ht="18" customHeight="1">
      <x:c r="A1366" s="13" t="n">
        <x:v>44483</x:v>
      </x:c>
      <x:c r="B1366" s="12" t="n">
        <x:v>3.18</x:v>
      </x:c>
      <x:c r="C1366" s="12" t="n">
        <x:v>318</x:v>
      </x:c>
      <x:c r="D1366" s="12" t="n">
        <x:v>-7</x:v>
      </x:c>
      <x:c r="E1366" s="12" t="str">
        <x:v>Archived FRED mirror (Hugging Face)</x:v>
      </x:c>
    </x:row>
    <x:row r="1367" ht="18" customHeight="1">
      <x:c r="A1367" s="13" t="n">
        <x:v>44484</x:v>
      </x:c>
      <x:c r="B1367" s="12" t="n">
        <x:v>3.12</x:v>
      </x:c>
      <x:c r="C1367" s="12" t="n">
        <x:v>312</x:v>
      </x:c>
      <x:c r="D1367" s="12" t="n">
        <x:v>-6</x:v>
      </x:c>
      <x:c r="E1367" s="12" t="str">
        <x:v>Archived FRED mirror (Hugging Face)</x:v>
      </x:c>
    </x:row>
    <x:row r="1368" ht="18" customHeight="1">
      <x:c r="A1368" s="13" t="n">
        <x:v>44487</x:v>
      </x:c>
      <x:c r="B1368" s="12" t="n">
        <x:v>3.11</x:v>
      </x:c>
      <x:c r="C1368" s="12" t="n">
        <x:v>311</x:v>
      </x:c>
      <x:c r="D1368" s="12" t="n">
        <x:v>-1</x:v>
      </x:c>
      <x:c r="E1368" s="12" t="str">
        <x:v>Archived FRED mirror (Hugging Face)</x:v>
      </x:c>
    </x:row>
    <x:row r="1369" ht="18" customHeight="1">
      <x:c r="A1369" s="13" t="n">
        <x:v>44488</x:v>
      </x:c>
      <x:c r="B1369" s="12" t="n">
        <x:v>3.09</x:v>
      </x:c>
      <x:c r="C1369" s="12" t="n">
        <x:v>309</x:v>
      </x:c>
      <x:c r="D1369" s="12" t="n">
        <x:v>-2</x:v>
      </x:c>
      <x:c r="E1369" s="12" t="str">
        <x:v>Archived FRED mirror (Hugging Face)</x:v>
      </x:c>
    </x:row>
    <x:row r="1370" ht="18" customHeight="1">
      <x:c r="A1370" s="13" t="n">
        <x:v>44489</x:v>
      </x:c>
      <x:c r="B1370" s="12" t="n">
        <x:v>3.07</x:v>
      </x:c>
      <x:c r="C1370" s="12" t="n">
        <x:v>307</x:v>
      </x:c>
      <x:c r="D1370" s="12" t="n">
        <x:v>-2</x:v>
      </x:c>
      <x:c r="E1370" s="12" t="str">
        <x:v>Archived FRED mirror (Hugging Face)</x:v>
      </x:c>
    </x:row>
    <x:row r="1371" ht="18" customHeight="1">
      <x:c r="A1371" s="13" t="n">
        <x:v>44490</x:v>
      </x:c>
      <x:c r="B1371" s="12" t="n">
        <x:v>3.03</x:v>
      </x:c>
      <x:c r="C1371" s="12" t="n">
        <x:v>303</x:v>
      </x:c>
      <x:c r="D1371" s="12" t="n">
        <x:v>-4</x:v>
      </x:c>
      <x:c r="E1371" s="12" t="str">
        <x:v>Archived FRED mirror (Hugging Face)</x:v>
      </x:c>
    </x:row>
    <x:row r="1372" ht="18" customHeight="1">
      <x:c r="A1372" s="13" t="n">
        <x:v>44491</x:v>
      </x:c>
      <x:c r="B1372" s="12" t="n">
        <x:v>3.07</x:v>
      </x:c>
      <x:c r="C1372" s="12" t="n">
        <x:v>307</x:v>
      </x:c>
      <x:c r="D1372" s="12" t="n">
        <x:v>4</x:v>
      </x:c>
      <x:c r="E1372" s="12" t="str">
        <x:v>Archived FRED mirror (Hugging Face)</x:v>
      </x:c>
    </x:row>
    <x:row r="1373" ht="18" customHeight="1">
      <x:c r="A1373" s="13" t="n">
        <x:v>44494</x:v>
      </x:c>
      <x:c r="B1373" s="12" t="n">
        <x:v>3.11</x:v>
      </x:c>
      <x:c r="C1373" s="12" t="n">
        <x:v>311</x:v>
      </x:c>
      <x:c r="D1373" s="12" t="n">
        <x:v>4</x:v>
      </x:c>
      <x:c r="E1373" s="12" t="str">
        <x:v>Archived FRED mirror (Hugging Face)</x:v>
      </x:c>
    </x:row>
    <x:row r="1374" ht="18" customHeight="1">
      <x:c r="A1374" s="13" t="n">
        <x:v>44495</x:v>
      </x:c>
      <x:c r="B1374" s="12" t="n">
        <x:v>3.09</x:v>
      </x:c>
      <x:c r="C1374" s="12" t="n">
        <x:v>309</x:v>
      </x:c>
      <x:c r="D1374" s="12" t="n">
        <x:v>-2</x:v>
      </x:c>
      <x:c r="E1374" s="12" t="str">
        <x:v>Archived FRED mirror (Hugging Face)</x:v>
      </x:c>
    </x:row>
    <x:row r="1375" ht="18" customHeight="1">
      <x:c r="A1375" s="13" t="n">
        <x:v>44496</x:v>
      </x:c>
      <x:c r="B1375" s="12" t="n">
        <x:v>3.11</x:v>
      </x:c>
      <x:c r="C1375" s="12" t="n">
        <x:v>311</x:v>
      </x:c>
      <x:c r="D1375" s="12" t="n">
        <x:v>2</x:v>
      </x:c>
      <x:c r="E1375" s="12" t="str">
        <x:v>Archived FRED mirror (Hugging Face)</x:v>
      </x:c>
    </x:row>
    <x:row r="1376" ht="18" customHeight="1">
      <x:c r="A1376" s="13" t="n">
        <x:v>44497</x:v>
      </x:c>
      <x:c r="B1376" s="12" t="n">
        <x:v>3.08</x:v>
      </x:c>
      <x:c r="C1376" s="12" t="n">
        <x:v>308</x:v>
      </x:c>
      <x:c r="D1376" s="12" t="n">
        <x:v>-3</x:v>
      </x:c>
      <x:c r="E1376" s="12" t="str">
        <x:v>Archived FRED mirror (Hugging Face)</x:v>
      </x:c>
    </x:row>
    <x:row r="1377" ht="18" customHeight="1">
      <x:c r="A1377" s="13" t="n">
        <x:v>44498</x:v>
      </x:c>
      <x:c r="B1377" s="12" t="n">
        <x:v>3.08</x:v>
      </x:c>
      <x:c r="C1377" s="12" t="n">
        <x:v>308</x:v>
      </x:c>
      <x:c r="D1377" s="12" t="n">
        <x:v>0</x:v>
      </x:c>
      <x:c r="E1377" s="12" t="str">
        <x:v>Archived FRED mirror (Hugging Face)</x:v>
      </x:c>
    </x:row>
    <x:row r="1378" ht="18" customHeight="1">
      <x:c r="A1378" s="13" t="n">
        <x:v>44500</x:v>
      </x:c>
      <x:c r="B1378" s="12" t="n">
        <x:v>3.15</x:v>
      </x:c>
      <x:c r="C1378" s="12" t="n">
        <x:v>315</x:v>
      </x:c>
      <x:c r="D1378" s="12" t="n">
        <x:v>7</x:v>
      </x:c>
      <x:c r="E1378" s="12" t="str">
        <x:v>Archived FRED mirror (Hugging Face)</x:v>
      </x:c>
    </x:row>
    <x:row r="1379" ht="18" customHeight="1">
      <x:c r="A1379" s="13" t="n">
        <x:v>44501</x:v>
      </x:c>
      <x:c r="B1379" s="12" t="n">
        <x:v>3.16</x:v>
      </x:c>
      <x:c r="C1379" s="12" t="n">
        <x:v>316</x:v>
      </x:c>
      <x:c r="D1379" s="12" t="n">
        <x:v>1</x:v>
      </x:c>
      <x:c r="E1379" s="12" t="str">
        <x:v>Archived FRED mirror (Hugging Face)</x:v>
      </x:c>
    </x:row>
    <x:row r="1380" ht="18" customHeight="1">
      <x:c r="A1380" s="13" t="n">
        <x:v>44502</x:v>
      </x:c>
      <x:c r="B1380" s="12" t="n">
        <x:v>3.21</x:v>
      </x:c>
      <x:c r="C1380" s="12" t="n">
        <x:v>321</x:v>
      </x:c>
      <x:c r="D1380" s="12" t="n">
        <x:v>5</x:v>
      </x:c>
      <x:c r="E1380" s="12" t="str">
        <x:v>Archived FRED mirror (Hugging Face)</x:v>
      </x:c>
    </x:row>
    <x:row r="1381" ht="18" customHeight="1">
      <x:c r="A1381" s="13" t="n">
        <x:v>44503</x:v>
      </x:c>
      <x:c r="B1381" s="12" t="n">
        <x:v>3.18</x:v>
      </x:c>
      <x:c r="C1381" s="12" t="n">
        <x:v>318</x:v>
      </x:c>
      <x:c r="D1381" s="12" t="n">
        <x:v>-3</x:v>
      </x:c>
      <x:c r="E1381" s="12" t="str">
        <x:v>Archived FRED mirror (Hugging Face)</x:v>
      </x:c>
    </x:row>
    <x:row r="1382" ht="18" customHeight="1">
      <x:c r="A1382" s="13" t="n">
        <x:v>44504</x:v>
      </x:c>
      <x:c r="B1382" s="12" t="n">
        <x:v>3.19</x:v>
      </x:c>
      <x:c r="C1382" s="12" t="n">
        <x:v>319</x:v>
      </x:c>
      <x:c r="D1382" s="12" t="n">
        <x:v>1</x:v>
      </x:c>
      <x:c r="E1382" s="12" t="str">
        <x:v>Archived FRED mirror (Hugging Face)</x:v>
      </x:c>
    </x:row>
    <x:row r="1383" ht="18" customHeight="1">
      <x:c r="A1383" s="13" t="n">
        <x:v>44505</x:v>
      </x:c>
      <x:c r="B1383" s="12" t="n">
        <x:v>3.12</x:v>
      </x:c>
      <x:c r="C1383" s="12" t="n">
        <x:v>312</x:v>
      </x:c>
      <x:c r="D1383" s="12" t="n">
        <x:v>-7</x:v>
      </x:c>
      <x:c r="E1383" s="12" t="str">
        <x:v>Archived FRED mirror (Hugging Face)</x:v>
      </x:c>
    </x:row>
    <x:row r="1384" ht="18" customHeight="1">
      <x:c r="A1384" s="13" t="n">
        <x:v>44508</x:v>
      </x:c>
      <x:c r="B1384" s="12" t="n">
        <x:v>3.03</x:v>
      </x:c>
      <x:c r="C1384" s="12" t="n">
        <x:v>303</x:v>
      </x:c>
      <x:c r="D1384" s="12" t="n">
        <x:v>-9</x:v>
      </x:c>
      <x:c r="E1384" s="12" t="str">
        <x:v>Archived FRED mirror (Hugging Face)</x:v>
      </x:c>
    </x:row>
    <x:row r="1385" ht="18" customHeight="1">
      <x:c r="A1385" s="13" t="n">
        <x:v>44509</x:v>
      </x:c>
      <x:c r="B1385" s="12" t="n">
        <x:v>3.08</x:v>
      </x:c>
      <x:c r="C1385" s="12" t="n">
        <x:v>308</x:v>
      </x:c>
      <x:c r="D1385" s="12" t="n">
        <x:v>5</x:v>
      </x:c>
      <x:c r="E1385" s="12" t="str">
        <x:v>Archived FRED mirror (Hugging Face)</x:v>
      </x:c>
    </x:row>
    <x:row r="1386" ht="18" customHeight="1">
      <x:c r="A1386" s="13" t="n">
        <x:v>44510</x:v>
      </x:c>
      <x:c r="B1386" s="12" t="n">
        <x:v>3.06</x:v>
      </x:c>
      <x:c r="C1386" s="12" t="n">
        <x:v>306</x:v>
      </x:c>
      <x:c r="D1386" s="12" t="n">
        <x:v>-2</x:v>
      </x:c>
      <x:c r="E1386" s="12" t="str">
        <x:v>Archived FRED mirror (Hugging Face)</x:v>
      </x:c>
    </x:row>
    <x:row r="1387" ht="18" customHeight="1">
      <x:c r="A1387" s="13" t="n">
        <x:v>44511</x:v>
      </x:c>
      <x:c r="B1387" s="12" t="n">
        <x:v>3.06</x:v>
      </x:c>
      <x:c r="C1387" s="12" t="n">
        <x:v>306</x:v>
      </x:c>
      <x:c r="D1387" s="12" t="n">
        <x:v>0</x:v>
      </x:c>
      <x:c r="E1387" s="12" t="str">
        <x:v>Archived FRED mirror (Hugging Face)</x:v>
      </x:c>
    </x:row>
    <x:row r="1388" ht="18" customHeight="1">
      <x:c r="A1388" s="13" t="n">
        <x:v>44512</x:v>
      </x:c>
      <x:c r="B1388" s="12" t="n">
        <x:v>3.09</x:v>
      </x:c>
      <x:c r="C1388" s="12" t="n">
        <x:v>309</x:v>
      </x:c>
      <x:c r="D1388" s="12" t="n">
        <x:v>3</x:v>
      </x:c>
      <x:c r="E1388" s="12" t="str">
        <x:v>Archived FRED mirror (Hugging Face)</x:v>
      </x:c>
    </x:row>
    <x:row r="1389" ht="18" customHeight="1">
      <x:c r="A1389" s="13" t="n">
        <x:v>44515</x:v>
      </x:c>
      <x:c r="B1389" s="12" t="n">
        <x:v>3.1</x:v>
      </x:c>
      <x:c r="C1389" s="12" t="n">
        <x:v>310</x:v>
      </x:c>
      <x:c r="D1389" s="12" t="n">
        <x:v>1</x:v>
      </x:c>
      <x:c r="E1389" s="12" t="str">
        <x:v>Archived FRED mirror (Hugging Face)</x:v>
      </x:c>
    </x:row>
    <x:row r="1390" ht="18" customHeight="1">
      <x:c r="A1390" s="13" t="n">
        <x:v>44516</x:v>
      </x:c>
      <x:c r="B1390" s="12" t="n">
        <x:v>3.12</x:v>
      </x:c>
      <x:c r="C1390" s="12" t="n">
        <x:v>312</x:v>
      </x:c>
      <x:c r="D1390" s="12" t="n">
        <x:v>2</x:v>
      </x:c>
      <x:c r="E1390" s="12" t="str">
        <x:v>Archived FRED mirror (Hugging Face)</x:v>
      </x:c>
    </x:row>
    <x:row r="1391" ht="18" customHeight="1">
      <x:c r="A1391" s="13" t="n">
        <x:v>44517</x:v>
      </x:c>
      <x:c r="B1391" s="12" t="n">
        <x:v>3.17</x:v>
      </x:c>
      <x:c r="C1391" s="12" t="n">
        <x:v>317</x:v>
      </x:c>
      <x:c r="D1391" s="12" t="n">
        <x:v>5</x:v>
      </x:c>
      <x:c r="E1391" s="12" t="str">
        <x:v>Archived FRED mirror (Hugging Face)</x:v>
      </x:c>
    </x:row>
    <x:row r="1392" ht="18" customHeight="1">
      <x:c r="A1392" s="13" t="n">
        <x:v>44518</x:v>
      </x:c>
      <x:c r="B1392" s="12" t="n">
        <x:v>3.19</x:v>
      </x:c>
      <x:c r="C1392" s="12" t="n">
        <x:v>319</x:v>
      </x:c>
      <x:c r="D1392" s="12" t="n">
        <x:v>2</x:v>
      </x:c>
      <x:c r="E1392" s="12" t="str">
        <x:v>Archived FRED mirror (Hugging Face)</x:v>
      </x:c>
    </x:row>
    <x:row r="1393" ht="18" customHeight="1">
      <x:c r="A1393" s="13" t="n">
        <x:v>44519</x:v>
      </x:c>
      <x:c r="B1393" s="12" t="n">
        <x:v>3.24</x:v>
      </x:c>
      <x:c r="C1393" s="12" t="n">
        <x:v>324</x:v>
      </x:c>
      <x:c r="D1393" s="12" t="n">
        <x:v>5</x:v>
      </x:c>
      <x:c r="E1393" s="12" t="str">
        <x:v>Archived FRED mirror (Hugging Face)</x:v>
      </x:c>
    </x:row>
    <x:row r="1394" ht="18" customHeight="1">
      <x:c r="A1394" s="13" t="n">
        <x:v>44522</x:v>
      </x:c>
      <x:c r="B1394" s="12" t="n">
        <x:v>3.18</x:v>
      </x:c>
      <x:c r="C1394" s="12" t="n">
        <x:v>318</x:v>
      </x:c>
      <x:c r="D1394" s="12" t="n">
        <x:v>-6</x:v>
      </x:c>
      <x:c r="E1394" s="12" t="str">
        <x:v>Archived FRED mirror (Hugging Face)</x:v>
      </x:c>
    </x:row>
    <x:row r="1395" ht="18" customHeight="1">
      <x:c r="A1395" s="13" t="n">
        <x:v>44523</x:v>
      </x:c>
      <x:c r="B1395" s="12" t="n">
        <x:v>3.3</x:v>
      </x:c>
      <x:c r="C1395" s="12" t="n">
        <x:v>330</x:v>
      </x:c>
      <x:c r="D1395" s="12" t="n">
        <x:v>12</x:v>
      </x:c>
      <x:c r="E1395" s="12" t="str">
        <x:v>Archived FRED mirror (Hugging Face)</x:v>
      </x:c>
    </x:row>
    <x:row r="1396" ht="18" customHeight="1">
      <x:c r="A1396" s="13" t="n">
        <x:v>44524</x:v>
      </x:c>
      <x:c r="B1396" s="12" t="n">
        <x:v>3.32</x:v>
      </x:c>
      <x:c r="C1396" s="12" t="n">
        <x:v>332</x:v>
      </x:c>
      <x:c r="D1396" s="12" t="n">
        <x:v>2</x:v>
      </x:c>
      <x:c r="E1396" s="12" t="str">
        <x:v>Archived FRED mirror (Hugging Face)</x:v>
      </x:c>
    </x:row>
    <x:row r="1397" ht="18" customHeight="1">
      <x:c r="A1397" s="13" t="n">
        <x:v>44525</x:v>
      </x:c>
      <x:c r="B1397" s="12" t="n">
        <x:v>3.32</x:v>
      </x:c>
      <x:c r="C1397" s="12" t="n">
        <x:v>332</x:v>
      </x:c>
      <x:c r="D1397" s="12" t="n">
        <x:v>0</x:v>
      </x:c>
      <x:c r="E1397" s="12" t="str">
        <x:v>Archived FRED mirror (Hugging Face)</x:v>
      </x:c>
    </x:row>
    <x:row r="1398" ht="18" customHeight="1">
      <x:c r="A1398" s="13" t="n">
        <x:v>44526</x:v>
      </x:c>
      <x:c r="B1398" s="12" t="n">
        <x:v>3.62</x:v>
      </x:c>
      <x:c r="C1398" s="12" t="n">
        <x:v>362</x:v>
      </x:c>
      <x:c r="D1398" s="12" t="n">
        <x:v>30</x:v>
      </x:c>
      <x:c r="E1398" s="12" t="str">
        <x:v>Archived FRED mirror (Hugging Face)</x:v>
      </x:c>
    </x:row>
    <x:row r="1399" ht="18" customHeight="1">
      <x:c r="A1399" s="13" t="n">
        <x:v>44529</x:v>
      </x:c>
      <x:c r="B1399" s="12" t="n">
        <x:v>3.53</x:v>
      </x:c>
      <x:c r="C1399" s="12" t="n">
        <x:v>353</x:v>
      </x:c>
      <x:c r="D1399" s="12" t="n">
        <x:v>-9</x:v>
      </x:c>
      <x:c r="E1399" s="12" t="str">
        <x:v>Archived FRED mirror (Hugging Face)</x:v>
      </x:c>
    </x:row>
    <x:row r="1400" ht="18" customHeight="1">
      <x:c r="A1400" s="13" t="n">
        <x:v>44530</x:v>
      </x:c>
      <x:c r="B1400" s="12" t="n">
        <x:v>3.67</x:v>
      </x:c>
      <x:c r="C1400" s="12" t="n">
        <x:v>367</x:v>
      </x:c>
      <x:c r="D1400" s="12" t="n">
        <x:v>14</x:v>
      </x:c>
      <x:c r="E1400" s="12" t="str">
        <x:v>Archived FRED mirror (Hugging Face)</x:v>
      </x:c>
    </x:row>
    <x:row r="1401" ht="18" customHeight="1">
      <x:c r="A1401" s="13" t="n">
        <x:v>44531</x:v>
      </x:c>
      <x:c r="B1401" s="12" t="n">
        <x:v>3.58</x:v>
      </x:c>
      <x:c r="C1401" s="12" t="n">
        <x:v>358</x:v>
      </x:c>
      <x:c r="D1401" s="12" t="n">
        <x:v>-9</x:v>
      </x:c>
      <x:c r="E1401" s="12" t="str">
        <x:v>Archived FRED mirror (Hugging Face)</x:v>
      </x:c>
    </x:row>
    <x:row r="1402" ht="18" customHeight="1">
      <x:c r="A1402" s="13" t="n">
        <x:v>44532</x:v>
      </x:c>
      <x:c r="B1402" s="12" t="n">
        <x:v>3.54</x:v>
      </x:c>
      <x:c r="C1402" s="12" t="n">
        <x:v>354</x:v>
      </x:c>
      <x:c r="D1402" s="12" t="n">
        <x:v>-4</x:v>
      </x:c>
      <x:c r="E1402" s="12" t="str">
        <x:v>Archived FRED mirror (Hugging Face)</x:v>
      </x:c>
    </x:row>
    <x:row r="1403" ht="18" customHeight="1">
      <x:c r="A1403" s="13" t="n">
        <x:v>44533</x:v>
      </x:c>
      <x:c r="B1403" s="12" t="n">
        <x:v>3.56</x:v>
      </x:c>
      <x:c r="C1403" s="12" t="n">
        <x:v>356</x:v>
      </x:c>
      <x:c r="D1403" s="12" t="n">
        <x:v>2</x:v>
      </x:c>
      <x:c r="E1403" s="12" t="str">
        <x:v>Archived FRED mirror (Hugging Face)</x:v>
      </x:c>
    </x:row>
    <x:row r="1404" ht="18" customHeight="1">
      <x:c r="A1404" s="13" t="n">
        <x:v>44536</x:v>
      </x:c>
      <x:c r="B1404" s="12" t="n">
        <x:v>3.41</x:v>
      </x:c>
      <x:c r="C1404" s="12" t="n">
        <x:v>341</x:v>
      </x:c>
      <x:c r="D1404" s="12" t="n">
        <x:v>-15</x:v>
      </x:c>
      <x:c r="E1404" s="12" t="str">
        <x:v>Archived FRED mirror (Hugging Face)</x:v>
      </x:c>
    </x:row>
    <x:row r="1405" ht="18" customHeight="1">
      <x:c r="A1405" s="13" t="n">
        <x:v>44537</x:v>
      </x:c>
      <x:c r="B1405" s="12" t="n">
        <x:v>3.16</x:v>
      </x:c>
      <x:c r="C1405" s="12" t="n">
        <x:v>316</x:v>
      </x:c>
      <x:c r="D1405" s="12" t="n">
        <x:v>-25</x:v>
      </x:c>
      <x:c r="E1405" s="12" t="str">
        <x:v>Archived FRED mirror (Hugging Face)</x:v>
      </x:c>
    </x:row>
    <x:row r="1406" ht="18" customHeight="1">
      <x:c r="A1406" s="13" t="n">
        <x:v>44538</x:v>
      </x:c>
      <x:c r="B1406" s="12" t="n">
        <x:v>3.21</x:v>
      </x:c>
      <x:c r="C1406" s="12" t="n">
        <x:v>321</x:v>
      </x:c>
      <x:c r="D1406" s="12" t="n">
        <x:v>5</x:v>
      </x:c>
      <x:c r="E1406" s="12" t="str">
        <x:v>Archived FRED mirror (Hugging Face)</x:v>
      </x:c>
    </x:row>
    <x:row r="1407" ht="18" customHeight="1">
      <x:c r="A1407" s="13" t="n">
        <x:v>44539</x:v>
      </x:c>
      <x:c r="B1407" s="12" t="n">
        <x:v>3.25</x:v>
      </x:c>
      <x:c r="C1407" s="12" t="n">
        <x:v>325</x:v>
      </x:c>
      <x:c r="D1407" s="12" t="n">
        <x:v>4</x:v>
      </x:c>
      <x:c r="E1407" s="12" t="str">
        <x:v>Archived FRED mirror (Hugging Face)</x:v>
      </x:c>
    </x:row>
    <x:row r="1408" ht="18" customHeight="1">
      <x:c r="A1408" s="13" t="n">
        <x:v>44540</x:v>
      </x:c>
      <x:c r="B1408" s="12" t="n">
        <x:v>3.29</x:v>
      </x:c>
      <x:c r="C1408" s="12" t="n">
        <x:v>329</x:v>
      </x:c>
      <x:c r="D1408" s="12" t="n">
        <x:v>4</x:v>
      </x:c>
      <x:c r="E1408" s="12" t="str">
        <x:v>Archived FRED mirror (Hugging Face)</x:v>
      </x:c>
    </x:row>
    <x:row r="1409" ht="18" customHeight="1">
      <x:c r="A1409" s="13" t="n">
        <x:v>44543</x:v>
      </x:c>
      <x:c r="B1409" s="12" t="n">
        <x:v>3.33</x:v>
      </x:c>
      <x:c r="C1409" s="12" t="n">
        <x:v>333</x:v>
      </x:c>
      <x:c r="D1409" s="12" t="n">
        <x:v>4</x:v>
      </x:c>
      <x:c r="E1409" s="12" t="str">
        <x:v>Archived FRED mirror (Hugging Face)</x:v>
      </x:c>
    </x:row>
    <x:row r="1410" ht="18" customHeight="1">
      <x:c r="A1410" s="13" t="n">
        <x:v>44544</x:v>
      </x:c>
      <x:c r="B1410" s="12" t="n">
        <x:v>3.35</x:v>
      </x:c>
      <x:c r="C1410" s="12" t="n">
        <x:v>335</x:v>
      </x:c>
      <x:c r="D1410" s="12" t="n">
        <x:v>2</x:v>
      </x:c>
      <x:c r="E1410" s="12" t="str">
        <x:v>Archived FRED mirror (Hugging Face)</x:v>
      </x:c>
    </x:row>
    <x:row r="1411" ht="18" customHeight="1">
      <x:c r="A1411" s="13" t="n">
        <x:v>44545</x:v>
      </x:c>
      <x:c r="B1411" s="12" t="n">
        <x:v>3.33</x:v>
      </x:c>
      <x:c r="C1411" s="12" t="n">
        <x:v>333</x:v>
      </x:c>
      <x:c r="D1411" s="12" t="n">
        <x:v>-2</x:v>
      </x:c>
      <x:c r="E1411" s="12" t="str">
        <x:v>Archived FRED mirror (Hugging Face)</x:v>
      </x:c>
    </x:row>
    <x:row r="1412" ht="18" customHeight="1">
      <x:c r="A1412" s="13" t="n">
        <x:v>44546</x:v>
      </x:c>
      <x:c r="B1412" s="12" t="n">
        <x:v>3.32</x:v>
      </x:c>
      <x:c r="C1412" s="12" t="n">
        <x:v>332</x:v>
      </x:c>
      <x:c r="D1412" s="12" t="n">
        <x:v>-1</x:v>
      </x:c>
      <x:c r="E1412" s="12" t="str">
        <x:v>Archived FRED mirror (Hugging Face)</x:v>
      </x:c>
    </x:row>
    <x:row r="1413" ht="18" customHeight="1">
      <x:c r="A1413" s="13" t="n">
        <x:v>44547</x:v>
      </x:c>
      <x:c r="B1413" s="12" t="n">
        <x:v>3.36</x:v>
      </x:c>
      <x:c r="C1413" s="12" t="n">
        <x:v>336</x:v>
      </x:c>
      <x:c r="D1413" s="12" t="n">
        <x:v>4</x:v>
      </x:c>
      <x:c r="E1413" s="12" t="str">
        <x:v>Archived FRED mirror (Hugging Face)</x:v>
      </x:c>
    </x:row>
    <x:row r="1414" ht="18" customHeight="1">
      <x:c r="A1414" s="13" t="n">
        <x:v>44550</x:v>
      </x:c>
      <x:c r="B1414" s="12" t="n">
        <x:v>3.41</x:v>
      </x:c>
      <x:c r="C1414" s="12" t="n">
        <x:v>341</x:v>
      </x:c>
      <x:c r="D1414" s="12" t="n">
        <x:v>5</x:v>
      </x:c>
      <x:c r="E1414" s="12" t="str">
        <x:v>Archived FRED mirror (Hugging Face)</x:v>
      </x:c>
    </x:row>
    <x:row r="1415" ht="18" customHeight="1">
      <x:c r="A1415" s="13" t="n">
        <x:v>44551</x:v>
      </x:c>
      <x:c r="B1415" s="12" t="n">
        <x:v>3.25</x:v>
      </x:c>
      <x:c r="C1415" s="12" t="n">
        <x:v>325</x:v>
      </x:c>
      <x:c r="D1415" s="12" t="n">
        <x:v>-16</x:v>
      </x:c>
      <x:c r="E1415" s="12" t="str">
        <x:v>Archived FRED mirror (Hugging Face)</x:v>
      </x:c>
    </x:row>
    <x:row r="1416" ht="18" customHeight="1">
      <x:c r="A1416" s="13" t="n">
        <x:v>44552</x:v>
      </x:c>
      <x:c r="B1416" s="12" t="n">
        <x:v>3.21</x:v>
      </x:c>
      <x:c r="C1416" s="12" t="n">
        <x:v>321</x:v>
      </x:c>
      <x:c r="D1416" s="12" t="n">
        <x:v>-4</x:v>
      </x:c>
      <x:c r="E1416" s="12" t="str">
        <x:v>Archived FRED mirror (Hugging Face)</x:v>
      </x:c>
    </x:row>
    <x:row r="1417" ht="18" customHeight="1">
      <x:c r="A1417" s="13" t="n">
        <x:v>44553</x:v>
      </x:c>
      <x:c r="B1417" s="12" t="n">
        <x:v>3.12</x:v>
      </x:c>
      <x:c r="C1417" s="12" t="n">
        <x:v>312</x:v>
      </x:c>
      <x:c r="D1417" s="12" t="n">
        <x:v>-9</x:v>
      </x:c>
      <x:c r="E1417" s="12" t="str">
        <x:v>Archived FRED mirror (Hugging Face)</x:v>
      </x:c>
    </x:row>
    <x:row r="1418" ht="18" customHeight="1">
      <x:c r="A1418" s="13" t="n">
        <x:v>44557</x:v>
      </x:c>
      <x:c r="B1418" s="12" t="n">
        <x:v>3.02</x:v>
      </x:c>
      <x:c r="C1418" s="12" t="n">
        <x:v>302</x:v>
      </x:c>
      <x:c r="D1418" s="12" t="n">
        <x:v>-10</x:v>
      </x:c>
      <x:c r="E1418" s="12" t="str">
        <x:v>Archived FRED mirror (Hugging Face)</x:v>
      </x:c>
    </x:row>
    <x:row r="1419" ht="18" customHeight="1">
      <x:c r="A1419" s="13" t="n">
        <x:v>44558</x:v>
      </x:c>
      <x:c r="B1419" s="12" t="n">
        <x:v>3.01</x:v>
      </x:c>
      <x:c r="C1419" s="12" t="n">
        <x:v>301</x:v>
      </x:c>
      <x:c r="D1419" s="12" t="n">
        <x:v>-1</x:v>
      </x:c>
      <x:c r="E1419" s="12" t="str">
        <x:v>Archived FRED mirror (Hugging Face)</x:v>
      </x:c>
    </x:row>
    <x:row r="1420" ht="18" customHeight="1">
      <x:c r="A1420" s="13" t="n">
        <x:v>44559</x:v>
      </x:c>
      <x:c r="B1420" s="12" t="n">
        <x:v>3.03</x:v>
      </x:c>
      <x:c r="C1420" s="12" t="n">
        <x:v>303</x:v>
      </x:c>
      <x:c r="D1420" s="12" t="n">
        <x:v>2</x:v>
      </x:c>
      <x:c r="E1420" s="12" t="str">
        <x:v>Archived FRED mirror (Hugging Face)</x:v>
      </x:c>
    </x:row>
    <x:row r="1421" ht="18" customHeight="1">
      <x:c r="A1421" s="13" t="n">
        <x:v>44560</x:v>
      </x:c>
      <x:c r="B1421" s="12" t="n">
        <x:v>3.09</x:v>
      </x:c>
      <x:c r="C1421" s="12" t="n">
        <x:v>309</x:v>
      </x:c>
      <x:c r="D1421" s="12" t="n">
        <x:v>6</x:v>
      </x:c>
      <x:c r="E1421" s="12" t="str">
        <x:v>Archived FRED mirror (Hugging Face)</x:v>
      </x:c>
    </x:row>
    <x:row r="1422" ht="18" customHeight="1">
      <x:c r="A1422" s="13" t="n">
        <x:v>44561</x:v>
      </x:c>
      <x:c r="B1422" s="12" t="n">
        <x:v>3.1</x:v>
      </x:c>
      <x:c r="C1422" s="12" t="n">
        <x:v>310</x:v>
      </x:c>
      <x:c r="D1422" s="12" t="n">
        <x:v>1</x:v>
      </x:c>
      <x:c r="E1422" s="12" t="str">
        <x:v>Archived FRED mirror (Hugging Face)</x:v>
      </x:c>
    </x:row>
    <x:row r="1423" ht="18" customHeight="1">
      <x:c r="A1423" s="13" t="n">
        <x:v>44564</x:v>
      </x:c>
      <x:c r="B1423" s="12" t="n">
        <x:v>3.05</x:v>
      </x:c>
      <x:c r="C1423" s="12" t="n">
        <x:v>305</x:v>
      </x:c>
      <x:c r="D1423" s="12" t="n">
        <x:v>-5</x:v>
      </x:c>
      <x:c r="E1423" s="12" t="str">
        <x:v>Archived FRED mirror (Hugging Face)</x:v>
      </x:c>
    </x:row>
    <x:row r="1424" ht="18" customHeight="1">
      <x:c r="A1424" s="13" t="n">
        <x:v>44565</x:v>
      </x:c>
      <x:c r="B1424" s="12" t="n">
        <x:v>3.09</x:v>
      </x:c>
      <x:c r="C1424" s="12" t="n">
        <x:v>309</x:v>
      </x:c>
      <x:c r="D1424" s="12" t="n">
        <x:v>4</x:v>
      </x:c>
      <x:c r="E1424" s="12" t="str">
        <x:v>Archived FRED mirror (Hugging Face)</x:v>
      </x:c>
    </x:row>
    <x:row r="1425" ht="18" customHeight="1">
      <x:c r="A1425" s="13" t="n">
        <x:v>44566</x:v>
      </x:c>
      <x:c r="B1425" s="12" t="n">
        <x:v>3.07</x:v>
      </x:c>
      <x:c r="C1425" s="12" t="n">
        <x:v>307</x:v>
      </x:c>
      <x:c r="D1425" s="12" t="n">
        <x:v>-2</x:v>
      </x:c>
      <x:c r="E1425" s="12" t="str">
        <x:v>Archived FRED mirror (Hugging Face)</x:v>
      </x:c>
    </x:row>
    <x:row r="1426" ht="18" customHeight="1">
      <x:c r="A1426" s="13" t="n">
        <x:v>44567</x:v>
      </x:c>
      <x:c r="B1426" s="12" t="n">
        <x:v>3.15</x:v>
      </x:c>
      <x:c r="C1426" s="12" t="n">
        <x:v>315</x:v>
      </x:c>
      <x:c r="D1426" s="12" t="n">
        <x:v>8</x:v>
      </x:c>
      <x:c r="E1426" s="12" t="str">
        <x:v>Archived FRED mirror (Hugging Face)</x:v>
      </x:c>
    </x:row>
    <x:row r="1427" ht="18" customHeight="1">
      <x:c r="A1427" s="13" t="n">
        <x:v>44568</x:v>
      </x:c>
      <x:c r="B1427" s="12" t="n">
        <x:v>3.2</x:v>
      </x:c>
      <x:c r="C1427" s="12" t="n">
        <x:v>320</x:v>
      </x:c>
      <x:c r="D1427" s="12" t="n">
        <x:v>5</x:v>
      </x:c>
      <x:c r="E1427" s="12" t="str">
        <x:v>Archived FRED mirror (Hugging Face)</x:v>
      </x:c>
    </x:row>
    <x:row r="1428" ht="18" customHeight="1">
      <x:c r="A1428" s="13" t="n">
        <x:v>44571</x:v>
      </x:c>
      <x:c r="B1428" s="12" t="n">
        <x:v>3.24</x:v>
      </x:c>
      <x:c r="C1428" s="12" t="n">
        <x:v>324</x:v>
      </x:c>
      <x:c r="D1428" s="12" t="n">
        <x:v>4</x:v>
      </x:c>
      <x:c r="E1428" s="12" t="str">
        <x:v>Archived FRED mirror (Hugging Face)</x:v>
      </x:c>
    </x:row>
    <x:row r="1429" ht="18" customHeight="1">
      <x:c r="A1429" s="13" t="n">
        <x:v>44572</x:v>
      </x:c>
      <x:c r="B1429" s="12" t="n">
        <x:v>3.18</x:v>
      </x:c>
      <x:c r="C1429" s="12" t="n">
        <x:v>318</x:v>
      </x:c>
      <x:c r="D1429" s="12" t="n">
        <x:v>-6</x:v>
      </x:c>
      <x:c r="E1429" s="12" t="str">
        <x:v>Archived FRED mirror (Hugging Face)</x:v>
      </x:c>
    </x:row>
    <x:row r="1430" ht="18" customHeight="1">
      <x:c r="A1430" s="13" t="n">
        <x:v>44573</x:v>
      </x:c>
      <x:c r="B1430" s="12" t="n">
        <x:v>3.06</x:v>
      </x:c>
      <x:c r="C1430" s="12" t="n">
        <x:v>306</x:v>
      </x:c>
      <x:c r="D1430" s="12" t="n">
        <x:v>-12</x:v>
      </x:c>
      <x:c r="E1430" s="12" t="str">
        <x:v>Archived FRED mirror (Hugging Face)</x:v>
      </x:c>
    </x:row>
    <x:row r="1431" ht="18" customHeight="1">
      <x:c r="A1431" s="13" t="n">
        <x:v>44574</x:v>
      </x:c>
      <x:c r="B1431" s="12" t="n">
        <x:v>3.1</x:v>
      </x:c>
      <x:c r="C1431" s="12" t="n">
        <x:v>310</x:v>
      </x:c>
      <x:c r="D1431" s="12" t="n">
        <x:v>4</x:v>
      </x:c>
      <x:c r="E1431" s="12" t="str">
        <x:v>Archived FRED mirror (Hugging Face)</x:v>
      </x:c>
    </x:row>
    <x:row r="1432" ht="18" customHeight="1">
      <x:c r="A1432" s="13" t="n">
        <x:v>44575</x:v>
      </x:c>
      <x:c r="B1432" s="12" t="n">
        <x:v>3.09</x:v>
      </x:c>
      <x:c r="C1432" s="12" t="n">
        <x:v>309</x:v>
      </x:c>
      <x:c r="D1432" s="12" t="n">
        <x:v>-1</x:v>
      </x:c>
      <x:c r="E1432" s="12" t="str">
        <x:v>Archived FRED mirror (Hugging Face)</x:v>
      </x:c>
    </x:row>
    <x:row r="1433" ht="18" customHeight="1">
      <x:c r="A1433" s="13" t="n">
        <x:v>44578</x:v>
      </x:c>
      <x:c r="B1433" s="12" t="n">
        <x:v>3.09</x:v>
      </x:c>
      <x:c r="C1433" s="12" t="n">
        <x:v>309</x:v>
      </x:c>
      <x:c r="D1433" s="12" t="n">
        <x:v>0</x:v>
      </x:c>
      <x:c r="E1433" s="12" t="str">
        <x:v>Archived FRED mirror (Hugging Face)</x:v>
      </x:c>
    </x:row>
    <x:row r="1434" ht="18" customHeight="1">
      <x:c r="A1434" s="13" t="n">
        <x:v>44579</x:v>
      </x:c>
      <x:c r="B1434" s="12" t="n">
        <x:v>3.12</x:v>
      </x:c>
      <x:c r="C1434" s="12" t="n">
        <x:v>312</x:v>
      </x:c>
      <x:c r="D1434" s="12" t="n">
        <x:v>3</x:v>
      </x:c>
      <x:c r="E1434" s="12" t="str">
        <x:v>Archived FRED mirror (Hugging Face)</x:v>
      </x:c>
    </x:row>
    <x:row r="1435" ht="18" customHeight="1">
      <x:c r="A1435" s="13" t="n">
        <x:v>44580</x:v>
      </x:c>
      <x:c r="B1435" s="12" t="n">
        <x:v>3.11</x:v>
      </x:c>
      <x:c r="C1435" s="12" t="n">
        <x:v>311</x:v>
      </x:c>
      <x:c r="D1435" s="12" t="n">
        <x:v>-1</x:v>
      </x:c>
      <x:c r="E1435" s="12" t="str">
        <x:v>Archived FRED mirror (Hugging Face)</x:v>
      </x:c>
    </x:row>
    <x:row r="1436" ht="18" customHeight="1">
      <x:c r="A1436" s="13" t="n">
        <x:v>44581</x:v>
      </x:c>
      <x:c r="B1436" s="12" t="n">
        <x:v>3.1</x:v>
      </x:c>
      <x:c r="C1436" s="12" t="n">
        <x:v>310</x:v>
      </x:c>
      <x:c r="D1436" s="12" t="n">
        <x:v>-1</x:v>
      </x:c>
      <x:c r="E1436" s="12" t="str">
        <x:v>Archived FRED mirror (Hugging Face)</x:v>
      </x:c>
    </x:row>
    <x:row r="1437" ht="18" customHeight="1">
      <x:c r="A1437" s="13" t="n">
        <x:v>44582</x:v>
      </x:c>
      <x:c r="B1437" s="12" t="n">
        <x:v>3.29</x:v>
      </x:c>
      <x:c r="C1437" s="12" t="n">
        <x:v>329</x:v>
      </x:c>
      <x:c r="D1437" s="12" t="n">
        <x:v>19</x:v>
      </x:c>
      <x:c r="E1437" s="12" t="str">
        <x:v>Archived FRED mirror (Hugging Face)</x:v>
      </x:c>
    </x:row>
    <x:row r="1438" ht="18" customHeight="1">
      <x:c r="A1438" s="13" t="n">
        <x:v>44585</x:v>
      </x:c>
      <x:c r="B1438" s="12" t="n">
        <x:v>3.44</x:v>
      </x:c>
      <x:c r="C1438" s="12" t="n">
        <x:v>344</x:v>
      </x:c>
      <x:c r="D1438" s="12" t="n">
        <x:v>15</x:v>
      </x:c>
      <x:c r="E1438" s="12" t="str">
        <x:v>Archived FRED mirror (Hugging Face)</x:v>
      </x:c>
    </x:row>
    <x:row r="1439" ht="18" customHeight="1">
      <x:c r="A1439" s="13" t="n">
        <x:v>44586</x:v>
      </x:c>
      <x:c r="B1439" s="12" t="n">
        <x:v>3.39</x:v>
      </x:c>
      <x:c r="C1439" s="12" t="n">
        <x:v>339</x:v>
      </x:c>
      <x:c r="D1439" s="12" t="n">
        <x:v>-5</x:v>
      </x:c>
      <x:c r="E1439" s="12" t="str">
        <x:v>Archived FRED mirror (Hugging Face)</x:v>
      </x:c>
    </x:row>
    <x:row r="1440" ht="18" customHeight="1">
      <x:c r="A1440" s="13" t="n">
        <x:v>44587</x:v>
      </x:c>
      <x:c r="B1440" s="12" t="n">
        <x:v>3.25</x:v>
      </x:c>
      <x:c r="C1440" s="12" t="n">
        <x:v>325</x:v>
      </x:c>
      <x:c r="D1440" s="12" t="n">
        <x:v>-14</x:v>
      </x:c>
      <x:c r="E1440" s="12" t="str">
        <x:v>Archived FRED mirror (Hugging Face)</x:v>
      </x:c>
    </x:row>
    <x:row r="1441" ht="18" customHeight="1">
      <x:c r="A1441" s="13" t="n">
        <x:v>44588</x:v>
      </x:c>
      <x:c r="B1441" s="12" t="n">
        <x:v>3.46</x:v>
      </x:c>
      <x:c r="C1441" s="12" t="n">
        <x:v>346</x:v>
      </x:c>
      <x:c r="D1441" s="12" t="n">
        <x:v>21</x:v>
      </x:c>
      <x:c r="E1441" s="12" t="str">
        <x:v>Archived FRED mirror (Hugging Face)</x:v>
      </x:c>
    </x:row>
    <x:row r="1442" ht="18" customHeight="1">
      <x:c r="A1442" s="13" t="n">
        <x:v>44589</x:v>
      </x:c>
      <x:c r="B1442" s="12" t="n">
        <x:v>3.61</x:v>
      </x:c>
      <x:c r="C1442" s="12" t="n">
        <x:v>361</x:v>
      </x:c>
      <x:c r="D1442" s="12" t="n">
        <x:v>15</x:v>
      </x:c>
      <x:c r="E1442" s="12" t="str">
        <x:v>Archived FRED mirror (Hugging Face)</x:v>
      </x:c>
    </x:row>
    <x:row r="1443" ht="18" customHeight="1">
      <x:c r="A1443" s="13" t="n">
        <x:v>44592</x:v>
      </x:c>
      <x:c r="B1443" s="12" t="n">
        <x:v>3.63</x:v>
      </x:c>
      <x:c r="C1443" s="12" t="n">
        <x:v>363</x:v>
      </x:c>
      <x:c r="D1443" s="12" t="n">
        <x:v>2</x:v>
      </x:c>
      <x:c r="E1443" s="12" t="str">
        <x:v>Archived FRED mirror (Hugging Face)</x:v>
      </x:c>
    </x:row>
    <x:row r="1444" ht="18" customHeight="1">
      <x:c r="A1444" s="13" t="n">
        <x:v>44593</x:v>
      </x:c>
      <x:c r="B1444" s="12" t="n">
        <x:v>3.51</x:v>
      </x:c>
      <x:c r="C1444" s="12" t="n">
        <x:v>351</x:v>
      </x:c>
      <x:c r="D1444" s="12" t="n">
        <x:v>-12</x:v>
      </x:c>
      <x:c r="E1444" s="12" t="str">
        <x:v>Archived FRED mirror (Hugging Face)</x:v>
      </x:c>
    </x:row>
    <x:row r="1445" ht="18" customHeight="1">
      <x:c r="A1445" s="13" t="n">
        <x:v>44594</x:v>
      </x:c>
      <x:c r="B1445" s="12" t="n">
        <x:v>3.45</x:v>
      </x:c>
      <x:c r="C1445" s="12" t="n">
        <x:v>345</x:v>
      </x:c>
      <x:c r="D1445" s="12" t="n">
        <x:v>-6</x:v>
      </x:c>
      <x:c r="E1445" s="12" t="str">
        <x:v>Archived FRED mirror (Hugging Face)</x:v>
      </x:c>
    </x:row>
    <x:row r="1446" ht="18" customHeight="1">
      <x:c r="A1446" s="13" t="n">
        <x:v>44595</x:v>
      </x:c>
      <x:c r="B1446" s="12" t="n">
        <x:v>3.51</x:v>
      </x:c>
      <x:c r="C1446" s="12" t="n">
        <x:v>351</x:v>
      </x:c>
      <x:c r="D1446" s="12" t="n">
        <x:v>6</x:v>
      </x:c>
      <x:c r="E1446" s="12" t="str">
        <x:v>Archived FRED mirror (Hugging Face)</x:v>
      </x:c>
    </x:row>
    <x:row r="1447" ht="18" customHeight="1">
      <x:c r="A1447" s="13" t="n">
        <x:v>44596</x:v>
      </x:c>
      <x:c r="B1447" s="12" t="n">
        <x:v>3.56</x:v>
      </x:c>
      <x:c r="C1447" s="12" t="n">
        <x:v>356</x:v>
      </x:c>
      <x:c r="D1447" s="12" t="n">
        <x:v>5</x:v>
      </x:c>
      <x:c r="E1447" s="12" t="str">
        <x:v>Archived FRED mirror (Hugging Face)</x:v>
      </x:c>
    </x:row>
    <x:row r="1448" ht="18" customHeight="1">
      <x:c r="A1448" s="13" t="n">
        <x:v>44599</x:v>
      </x:c>
      <x:c r="B1448" s="12" t="n">
        <x:v>3.6</x:v>
      </x:c>
      <x:c r="C1448" s="12" t="n">
        <x:v>360</x:v>
      </x:c>
      <x:c r="D1448" s="12" t="n">
        <x:v>4</x:v>
      </x:c>
      <x:c r="E1448" s="12" t="str">
        <x:v>Archived FRED mirror (Hugging Face)</x:v>
      </x:c>
    </x:row>
    <x:row r="1449" ht="18" customHeight="1">
      <x:c r="A1449" s="13" t="n">
        <x:v>44600</x:v>
      </x:c>
      <x:c r="B1449" s="12" t="n">
        <x:v>3.55</x:v>
      </x:c>
      <x:c r="C1449" s="12" t="n">
        <x:v>355</x:v>
      </x:c>
      <x:c r="D1449" s="12" t="n">
        <x:v>-5</x:v>
      </x:c>
      <x:c r="E1449" s="12" t="str">
        <x:v>Archived FRED mirror (Hugging Face)</x:v>
      </x:c>
    </x:row>
    <x:row r="1450" ht="18" customHeight="1">
      <x:c r="A1450" s="13" t="n">
        <x:v>44601</x:v>
      </x:c>
      <x:c r="B1450" s="12" t="n">
        <x:v>3.46</x:v>
      </x:c>
      <x:c r="C1450" s="12" t="n">
        <x:v>346</x:v>
      </x:c>
      <x:c r="D1450" s="12" t="n">
        <x:v>-9</x:v>
      </x:c>
      <x:c r="E1450" s="12" t="str">
        <x:v>Archived FRED mirror (Hugging Face)</x:v>
      </x:c>
    </x:row>
    <x:row r="1451" ht="18" customHeight="1">
      <x:c r="A1451" s="13" t="n">
        <x:v>44602</x:v>
      </x:c>
      <x:c r="B1451" s="12" t="n">
        <x:v>3.44</x:v>
      </x:c>
      <x:c r="C1451" s="12" t="n">
        <x:v>344</x:v>
      </x:c>
      <x:c r="D1451" s="12" t="n">
        <x:v>-2</x:v>
      </x:c>
      <x:c r="E1451" s="12" t="str">
        <x:v>Archived FRED mirror (Hugging Face)</x:v>
      </x:c>
    </x:row>
    <x:row r="1452" ht="18" customHeight="1">
      <x:c r="A1452" s="13" t="n">
        <x:v>44603</x:v>
      </x:c>
      <x:c r="B1452" s="12" t="n">
        <x:v>3.66</x:v>
      </x:c>
      <x:c r="C1452" s="12" t="n">
        <x:v>366</x:v>
      </x:c>
      <x:c r="D1452" s="12" t="n">
        <x:v>22</x:v>
      </x:c>
      <x:c r="E1452" s="12" t="str">
        <x:v>Archived FRED mirror (Hugging Face)</x:v>
      </x:c>
    </x:row>
    <x:row r="1453" ht="18" customHeight="1">
      <x:c r="A1453" s="13" t="n">
        <x:v>44606</x:v>
      </x:c>
      <x:c r="B1453" s="12" t="n">
        <x:v>3.74</x:v>
      </x:c>
      <x:c r="C1453" s="12" t="n">
        <x:v>374</x:v>
      </x:c>
      <x:c r="D1453" s="12" t="n">
        <x:v>8</x:v>
      </x:c>
      <x:c r="E1453" s="12" t="str">
        <x:v>Archived FRED mirror (Hugging Face)</x:v>
      </x:c>
    </x:row>
    <x:row r="1454" ht="18" customHeight="1">
      <x:c r="A1454" s="13" t="n">
        <x:v>44607</x:v>
      </x:c>
      <x:c r="B1454" s="12" t="n">
        <x:v>3.67</x:v>
      </x:c>
      <x:c r="C1454" s="12" t="n">
        <x:v>367</x:v>
      </x:c>
      <x:c r="D1454" s="12" t="n">
        <x:v>-7</x:v>
      </x:c>
      <x:c r="E1454" s="12" t="str">
        <x:v>Archived FRED mirror (Hugging Face)</x:v>
      </x:c>
    </x:row>
    <x:row r="1455" ht="18" customHeight="1">
      <x:c r="A1455" s="13" t="n">
        <x:v>44608</x:v>
      </x:c>
      <x:c r="B1455" s="12" t="n">
        <x:v>3.68</x:v>
      </x:c>
      <x:c r="C1455" s="12" t="n">
        <x:v>368</x:v>
      </x:c>
      <x:c r="D1455" s="12" t="n">
        <x:v>1</x:v>
      </x:c>
      <x:c r="E1455" s="12" t="str">
        <x:v>Archived FRED mirror (Hugging Face)</x:v>
      </x:c>
    </x:row>
    <x:row r="1456" ht="18" customHeight="1">
      <x:c r="A1456" s="13" t="n">
        <x:v>44609</x:v>
      </x:c>
      <x:c r="B1456" s="12" t="n">
        <x:v>3.74</x:v>
      </x:c>
      <x:c r="C1456" s="12" t="n">
        <x:v>374</x:v>
      </x:c>
      <x:c r="D1456" s="12" t="n">
        <x:v>6</x:v>
      </x:c>
      <x:c r="E1456" s="12" t="str">
        <x:v>Archived FRED mirror (Hugging Face)</x:v>
      </x:c>
    </x:row>
    <x:row r="1457" ht="18" customHeight="1">
      <x:c r="A1457" s="13" t="n">
        <x:v>44610</x:v>
      </x:c>
      <x:c r="B1457" s="12" t="n">
        <x:v>3.78</x:v>
      </x:c>
      <x:c r="C1457" s="12" t="n">
        <x:v>378</x:v>
      </x:c>
      <x:c r="D1457" s="12" t="n">
        <x:v>4</x:v>
      </x:c>
      <x:c r="E1457" s="12" t="str">
        <x:v>Archived FRED mirror (Hugging Face)</x:v>
      </x:c>
    </x:row>
    <x:row r="1458" ht="18" customHeight="1">
      <x:c r="A1458" s="13" t="n">
        <x:v>44613</x:v>
      </x:c>
      <x:c r="B1458" s="12" t="n">
        <x:v>3.78</x:v>
      </x:c>
      <x:c r="C1458" s="12" t="n">
        <x:v>378</x:v>
      </x:c>
      <x:c r="D1458" s="12" t="n">
        <x:v>0</x:v>
      </x:c>
      <x:c r="E1458" s="12" t="str">
        <x:v>Archived FRED mirror (Hugging Face)</x:v>
      </x:c>
    </x:row>
    <x:row r="1459" ht="18" customHeight="1">
      <x:c r="A1459" s="13" t="n">
        <x:v>44614</x:v>
      </x:c>
      <x:c r="B1459" s="12" t="n">
        <x:v>3.75</x:v>
      </x:c>
      <x:c r="C1459" s="12" t="n">
        <x:v>375</x:v>
      </x:c>
      <x:c r="D1459" s="12" t="n">
        <x:v>-3</x:v>
      </x:c>
      <x:c r="E1459" s="12" t="str">
        <x:v>Archived FRED mirror (Hugging Face)</x:v>
      </x:c>
    </x:row>
    <x:row r="1460" ht="18" customHeight="1">
      <x:c r="A1460" s="13" t="n">
        <x:v>44615</x:v>
      </x:c>
      <x:c r="B1460" s="12" t="n">
        <x:v>3.72</x:v>
      </x:c>
      <x:c r="C1460" s="12" t="n">
        <x:v>372</x:v>
      </x:c>
      <x:c r="D1460" s="12" t="n">
        <x:v>-3</x:v>
      </x:c>
      <x:c r="E1460" s="12" t="str">
        <x:v>Archived FRED mirror (Hugging Face)</x:v>
      </x:c>
    </x:row>
    <x:row r="1461" ht="18" customHeight="1">
      <x:c r="A1461" s="13" t="n">
        <x:v>44616</x:v>
      </x:c>
      <x:c r="B1461" s="12" t="n">
        <x:v>3.93</x:v>
      </x:c>
      <x:c r="C1461" s="12" t="n">
        <x:v>393</x:v>
      </x:c>
      <x:c r="D1461" s="12" t="n">
        <x:v>21</x:v>
      </x:c>
      <x:c r="E1461" s="12" t="str">
        <x:v>Archived FRED mirror (Hugging Face)</x:v>
      </x:c>
    </x:row>
    <x:row r="1462" ht="18" customHeight="1">
      <x:c r="A1462" s="13" t="n">
        <x:v>44617</x:v>
      </x:c>
      <x:c r="B1462" s="12" t="n">
        <x:v>3.62</x:v>
      </x:c>
      <x:c r="C1462" s="12" t="n">
        <x:v>362</x:v>
      </x:c>
      <x:c r="D1462" s="12" t="n">
        <x:v>-31</x:v>
      </x:c>
      <x:c r="E1462" s="12" t="str">
        <x:v>Archived FRED mirror (Hugging Face)</x:v>
      </x:c>
    </x:row>
    <x:row r="1463" ht="18" customHeight="1">
      <x:c r="A1463" s="13" t="n">
        <x:v>44620</x:v>
      </x:c>
      <x:c r="B1463" s="12" t="n">
        <x:v>3.77</x:v>
      </x:c>
      <x:c r="C1463" s="12" t="n">
        <x:v>377</x:v>
      </x:c>
      <x:c r="D1463" s="12" t="n">
        <x:v>15</x:v>
      </x:c>
      <x:c r="E1463" s="12" t="str">
        <x:v>Archived FRED mirror (Hugging Face)</x:v>
      </x:c>
    </x:row>
    <x:row r="1464" ht="18" customHeight="1">
      <x:c r="A1464" s="13" t="n">
        <x:v>44621</x:v>
      </x:c>
      <x:c r="B1464" s="12" t="n">
        <x:v>3.89</x:v>
      </x:c>
      <x:c r="C1464" s="12" t="n">
        <x:v>389</x:v>
      </x:c>
      <x:c r="D1464" s="12" t="n">
        <x:v>12</x:v>
      </x:c>
      <x:c r="E1464" s="12" t="str">
        <x:v>Archived FRED mirror (Hugging Face)</x:v>
      </x:c>
    </x:row>
    <x:row r="1465" ht="18" customHeight="1">
      <x:c r="A1465" s="13" t="n">
        <x:v>44622</x:v>
      </x:c>
      <x:c r="B1465" s="12" t="n">
        <x:v>3.71</x:v>
      </x:c>
      <x:c r="C1465" s="12" t="n">
        <x:v>371</x:v>
      </x:c>
      <x:c r="D1465" s="12" t="n">
        <x:v>-18</x:v>
      </x:c>
      <x:c r="E1465" s="12" t="str">
        <x:v>Archived FRED mirror (Hugging Face)</x:v>
      </x:c>
    </x:row>
    <x:row r="1466" ht="18" customHeight="1">
      <x:c r="A1466" s="13" t="n">
        <x:v>44623</x:v>
      </x:c>
      <x:c r="B1466" s="12" t="n">
        <x:v>3.71</x:v>
      </x:c>
      <x:c r="C1466" s="12" t="n">
        <x:v>371</x:v>
      </x:c>
      <x:c r="D1466" s="12" t="n">
        <x:v>0</x:v>
      </x:c>
      <x:c r="E1466" s="12" t="str">
        <x:v>Archived FRED mirror (Hugging Face)</x:v>
      </x:c>
    </x:row>
    <x:row r="1467" ht="18" customHeight="1">
      <x:c r="A1467" s="13" t="n">
        <x:v>44624</x:v>
      </x:c>
      <x:c r="B1467" s="12" t="n">
        <x:v>3.9</x:v>
      </x:c>
      <x:c r="C1467" s="12" t="n">
        <x:v>390</x:v>
      </x:c>
      <x:c r="D1467" s="12" t="n">
        <x:v>19</x:v>
      </x:c>
      <x:c r="E1467" s="12" t="str">
        <x:v>Archived FRED mirror (Hugging Face)</x:v>
      </x:c>
    </x:row>
    <x:row r="1468" ht="18" customHeight="1">
      <x:c r="A1468" s="13" t="n">
        <x:v>44627</x:v>
      </x:c>
      <x:c r="B1468" s="12" t="n">
        <x:v>4.01</x:v>
      </x:c>
      <x:c r="C1468" s="12" t="n">
        <x:v>401</x:v>
      </x:c>
      <x:c r="D1468" s="12" t="n">
        <x:v>11</x:v>
      </x:c>
      <x:c r="E1468" s="12" t="str">
        <x:v>Archived FRED mirror (Hugging Face)</x:v>
      </x:c>
    </x:row>
    <x:row r="1469" ht="18" customHeight="1">
      <x:c r="A1469" s="13" t="n">
        <x:v>44628</x:v>
      </x:c>
      <x:c r="B1469" s="12" t="n">
        <x:v>4.03</x:v>
      </x:c>
      <x:c r="C1469" s="12" t="n">
        <x:v>403</x:v>
      </x:c>
      <x:c r="D1469" s="12" t="n">
        <x:v>2</x:v>
      </x:c>
      <x:c r="E1469" s="12" t="str">
        <x:v>Archived FRED mirror (Hugging Face)</x:v>
      </x:c>
    </x:row>
    <x:row r="1470" ht="18" customHeight="1">
      <x:c r="A1470" s="13" t="n">
        <x:v>44629</x:v>
      </x:c>
      <x:c r="B1470" s="12" t="n">
        <x:v>3.94</x:v>
      </x:c>
      <x:c r="C1470" s="12" t="n">
        <x:v>394</x:v>
      </x:c>
      <x:c r="D1470" s="12" t="n">
        <x:v>-9</x:v>
      </x:c>
      <x:c r="E1470" s="12" t="str">
        <x:v>Archived FRED mirror (Hugging Face)</x:v>
      </x:c>
    </x:row>
    <x:row r="1471" ht="18" customHeight="1">
      <x:c r="A1471" s="13" t="n">
        <x:v>44630</x:v>
      </x:c>
      <x:c r="B1471" s="12" t="n">
        <x:v>4</x:v>
      </x:c>
      <x:c r="C1471" s="12" t="n">
        <x:v>400</x:v>
      </x:c>
      <x:c r="D1471" s="12" t="n">
        <x:v>6</x:v>
      </x:c>
      <x:c r="E1471" s="12" t="str">
        <x:v>Archived FRED mirror (Hugging Face)</x:v>
      </x:c>
    </x:row>
    <x:row r="1472" ht="18" customHeight="1">
      <x:c r="A1472" s="13" t="n">
        <x:v>44631</x:v>
      </x:c>
      <x:c r="B1472" s="12" t="n">
        <x:v>4.05</x:v>
      </x:c>
      <x:c r="C1472" s="12" t="n">
        <x:v>405</x:v>
      </x:c>
      <x:c r="D1472" s="12" t="n">
        <x:v>5</x:v>
      </x:c>
      <x:c r="E1472" s="12" t="str">
        <x:v>Archived FRED mirror (Hugging Face)</x:v>
      </x:c>
    </x:row>
    <x:row r="1473" ht="18" customHeight="1">
      <x:c r="A1473" s="13" t="n">
        <x:v>44634</x:v>
      </x:c>
      <x:c r="B1473" s="12" t="n">
        <x:v>4.16</x:v>
      </x:c>
      <x:c r="C1473" s="12" t="n">
        <x:v>416</x:v>
      </x:c>
      <x:c r="D1473" s="12" t="n">
        <x:v>11</x:v>
      </x:c>
      <x:c r="E1473" s="12" t="str">
        <x:v>Archived FRED mirror (Hugging Face)</x:v>
      </x:c>
    </x:row>
    <x:row r="1474" ht="18" customHeight="1">
      <x:c r="A1474" s="13" t="n">
        <x:v>44635</x:v>
      </x:c>
      <x:c r="B1474" s="12" t="n">
        <x:v>4.21</x:v>
      </x:c>
      <x:c r="C1474" s="12" t="n">
        <x:v>421</x:v>
      </x:c>
      <x:c r="D1474" s="12" t="n">
        <x:v>5</x:v>
      </x:c>
      <x:c r="E1474" s="12" t="str">
        <x:v>Archived FRED mirror (Hugging Face)</x:v>
      </x:c>
    </x:row>
    <x:row r="1475" ht="18" customHeight="1">
      <x:c r="A1475" s="13" t="n">
        <x:v>44636</x:v>
      </x:c>
      <x:c r="B1475" s="12" t="n">
        <x:v>3.96</x:v>
      </x:c>
      <x:c r="C1475" s="12" t="n">
        <x:v>396</x:v>
      </x:c>
      <x:c r="D1475" s="12" t="n">
        <x:v>-25</x:v>
      </x:c>
      <x:c r="E1475" s="12" t="str">
        <x:v>Archived FRED mirror (Hugging Face)</x:v>
      </x:c>
    </x:row>
    <x:row r="1476" ht="18" customHeight="1">
      <x:c r="A1476" s="13" t="n">
        <x:v>44637</x:v>
      </x:c>
      <x:c r="B1476" s="12" t="n">
        <x:v>3.81</x:v>
      </x:c>
      <x:c r="C1476" s="12" t="n">
        <x:v>381</x:v>
      </x:c>
      <x:c r="D1476" s="12" t="n">
        <x:v>-15</x:v>
      </x:c>
      <x:c r="E1476" s="12" t="str">
        <x:v>Archived FRED mirror (Hugging Face)</x:v>
      </x:c>
    </x:row>
    <x:row r="1477" ht="18" customHeight="1">
      <x:c r="A1477" s="13" t="n">
        <x:v>44638</x:v>
      </x:c>
      <x:c r="B1477" s="12" t="n">
        <x:v>3.81</x:v>
      </x:c>
      <x:c r="C1477" s="12" t="n">
        <x:v>381</x:v>
      </x:c>
      <x:c r="D1477" s="12" t="n">
        <x:v>0</x:v>
      </x:c>
      <x:c r="E1477" s="12" t="str">
        <x:v>Archived FRED mirror (Hugging Face)</x:v>
      </x:c>
    </x:row>
    <x:row r="1478" ht="18" customHeight="1">
      <x:c r="A1478" s="13" t="n">
        <x:v>44641</x:v>
      </x:c>
      <x:c r="B1478" s="12" t="n">
        <x:v>3.67</x:v>
      </x:c>
      <x:c r="C1478" s="12" t="n">
        <x:v>367</x:v>
      </x:c>
      <x:c r="D1478" s="12" t="n">
        <x:v>-14</x:v>
      </x:c>
      <x:c r="E1478" s="12" t="str">
        <x:v>Archived FRED mirror (Hugging Face)</x:v>
      </x:c>
    </x:row>
    <x:row r="1479" ht="18" customHeight="1">
      <x:c r="A1479" s="13" t="n">
        <x:v>44642</x:v>
      </x:c>
      <x:c r="B1479" s="12" t="n">
        <x:v>3.7</x:v>
      </x:c>
      <x:c r="C1479" s="12" t="n">
        <x:v>370</x:v>
      </x:c>
      <x:c r="D1479" s="12" t="n">
        <x:v>3</x:v>
      </x:c>
      <x:c r="E1479" s="12" t="str">
        <x:v>Archived FRED mirror (Hugging Face)</x:v>
      </x:c>
    </x:row>
    <x:row r="1480" ht="18" customHeight="1">
      <x:c r="A1480" s="13" t="n">
        <x:v>44643</x:v>
      </x:c>
      <x:c r="B1480" s="12" t="n">
        <x:v>3.72</x:v>
      </x:c>
      <x:c r="C1480" s="12" t="n">
        <x:v>372</x:v>
      </x:c>
      <x:c r="D1480" s="12" t="n">
        <x:v>2</x:v>
      </x:c>
      <x:c r="E1480" s="12" t="str">
        <x:v>Archived FRED mirror (Hugging Face)</x:v>
      </x:c>
    </x:row>
    <x:row r="1481" ht="18" customHeight="1">
      <x:c r="A1481" s="13" t="n">
        <x:v>44644</x:v>
      </x:c>
      <x:c r="B1481" s="12" t="n">
        <x:v>3.67</x:v>
      </x:c>
      <x:c r="C1481" s="12" t="n">
        <x:v>367</x:v>
      </x:c>
      <x:c r="D1481" s="12" t="n">
        <x:v>-5</x:v>
      </x:c>
      <x:c r="E1481" s="12" t="str">
        <x:v>Archived FRED mirror (Hugging Face)</x:v>
      </x:c>
    </x:row>
    <x:row r="1482" ht="18" customHeight="1">
      <x:c r="A1482" s="13" t="n">
        <x:v>44645</x:v>
      </x:c>
      <x:c r="B1482" s="12" t="n">
        <x:v>3.51</x:v>
      </x:c>
      <x:c r="C1482" s="12" t="n">
        <x:v>351</x:v>
      </x:c>
      <x:c r="D1482" s="12" t="n">
        <x:v>-16</x:v>
      </x:c>
      <x:c r="E1482" s="12" t="str">
        <x:v>Archived FRED mirror (Hugging Face)</x:v>
      </x:c>
    </x:row>
    <x:row r="1483" ht="18" customHeight="1">
      <x:c r="A1483" s="13" t="n">
        <x:v>44648</x:v>
      </x:c>
      <x:c r="B1483" s="12" t="n">
        <x:v>3.54</x:v>
      </x:c>
      <x:c r="C1483" s="12" t="n">
        <x:v>354</x:v>
      </x:c>
      <x:c r="D1483" s="12" t="n">
        <x:v>3</x:v>
      </x:c>
      <x:c r="E1483" s="12" t="str">
        <x:v>Archived FRED mirror (Hugging Face)</x:v>
      </x:c>
    </x:row>
    <x:row r="1484" ht="18" customHeight="1">
      <x:c r="A1484" s="13" t="n">
        <x:v>44649</x:v>
      </x:c>
      <x:c r="B1484" s="12" t="n">
        <x:v>3.38</x:v>
      </x:c>
      <x:c r="C1484" s="12" t="n">
        <x:v>338</x:v>
      </x:c>
      <x:c r="D1484" s="12" t="n">
        <x:v>-16</x:v>
      </x:c>
      <x:c r="E1484" s="12" t="str">
        <x:v>Archived FRED mirror (Hugging Face)</x:v>
      </x:c>
    </x:row>
    <x:row r="1485" ht="18" customHeight="1">
      <x:c r="A1485" s="13" t="n">
        <x:v>44650</x:v>
      </x:c>
      <x:c r="B1485" s="12" t="n">
        <x:v>3.33</x:v>
      </x:c>
      <x:c r="C1485" s="12" t="n">
        <x:v>333</x:v>
      </x:c>
      <x:c r="D1485" s="12" t="n">
        <x:v>-5</x:v>
      </x:c>
      <x:c r="E1485" s="12" t="str">
        <x:v>Archived FRED mirror (Hugging Face)</x:v>
      </x:c>
    </x:row>
    <x:row r="1486" ht="18" customHeight="1">
      <x:c r="A1486" s="13" t="n">
        <x:v>44651</x:v>
      </x:c>
      <x:c r="B1486" s="12" t="n">
        <x:v>3.43</x:v>
      </x:c>
      <x:c r="C1486" s="12" t="n">
        <x:v>343</x:v>
      </x:c>
      <x:c r="D1486" s="12" t="n">
        <x:v>10</x:v>
      </x:c>
      <x:c r="E1486" s="12" t="str">
        <x:v>Archived FRED mirror (Hugging Face)</x:v>
      </x:c>
    </x:row>
    <x:row r="1487" ht="18" customHeight="1">
      <x:c r="A1487" s="13" t="n">
        <x:v>44652</x:v>
      </x:c>
      <x:c r="B1487" s="12" t="n">
        <x:v>3.4</x:v>
      </x:c>
      <x:c r="C1487" s="12" t="n">
        <x:v>340</x:v>
      </x:c>
      <x:c r="D1487" s="12" t="n">
        <x:v>-3</x:v>
      </x:c>
      <x:c r="E1487" s="12" t="str">
        <x:v>Archived FRED mirror (Hugging Face)</x:v>
      </x:c>
    </x:row>
    <x:row r="1488" ht="18" customHeight="1">
      <x:c r="A1488" s="13" t="n">
        <x:v>44655</x:v>
      </x:c>
      <x:c r="B1488" s="12" t="n">
        <x:v>3.33</x:v>
      </x:c>
      <x:c r="C1488" s="12" t="n">
        <x:v>333</x:v>
      </x:c>
      <x:c r="D1488" s="12" t="n">
        <x:v>-7</x:v>
      </x:c>
      <x:c r="E1488" s="12" t="str">
        <x:v>Archived FRED mirror (Hugging Face)</x:v>
      </x:c>
    </x:row>
    <x:row r="1489" ht="18" customHeight="1">
      <x:c r="A1489" s="13" t="n">
        <x:v>44656</x:v>
      </x:c>
      <x:c r="B1489" s="12" t="n">
        <x:v>3.27</x:v>
      </x:c>
      <x:c r="C1489" s="12" t="n">
        <x:v>327</x:v>
      </x:c>
      <x:c r="D1489" s="12" t="n">
        <x:v>-6</x:v>
      </x:c>
      <x:c r="E1489" s="12" t="str">
        <x:v>Archived FRED mirror (Hugging Face)</x:v>
      </x:c>
    </x:row>
    <x:row r="1490" ht="18" customHeight="1">
      <x:c r="A1490" s="13" t="n">
        <x:v>44657</x:v>
      </x:c>
      <x:c r="B1490" s="12" t="n">
        <x:v>3.48</x:v>
      </x:c>
      <x:c r="C1490" s="12" t="n">
        <x:v>348</x:v>
      </x:c>
      <x:c r="D1490" s="12" t="n">
        <x:v>21</x:v>
      </x:c>
      <x:c r="E1490" s="12" t="str">
        <x:v>Archived FRED mirror (Hugging Face)</x:v>
      </x:c>
    </x:row>
    <x:row r="1491" ht="18" customHeight="1">
      <x:c r="A1491" s="13" t="n">
        <x:v>44658</x:v>
      </x:c>
      <x:c r="B1491" s="12" t="n">
        <x:v>3.54</x:v>
      </x:c>
      <x:c r="C1491" s="12" t="n">
        <x:v>354</x:v>
      </x:c>
      <x:c r="D1491" s="12" t="n">
        <x:v>6</x:v>
      </x:c>
      <x:c r="E1491" s="12" t="str">
        <x:v>Archived FRED mirror (Hugging Face)</x:v>
      </x:c>
    </x:row>
    <x:row r="1492" ht="18" customHeight="1">
      <x:c r="A1492" s="13" t="n">
        <x:v>44659</x:v>
      </x:c>
      <x:c r="B1492" s="12" t="n">
        <x:v>3.57</x:v>
      </x:c>
      <x:c r="C1492" s="12" t="n">
        <x:v>357</x:v>
      </x:c>
      <x:c r="D1492" s="12" t="n">
        <x:v>3</x:v>
      </x:c>
      <x:c r="E1492" s="12" t="str">
        <x:v>Archived FRED mirror (Hugging Face)</x:v>
      </x:c>
    </x:row>
    <x:row r="1493" ht="18" customHeight="1">
      <x:c r="A1493" s="13" t="n">
        <x:v>44662</x:v>
      </x:c>
      <x:c r="B1493" s="12" t="n">
        <x:v>3.73</x:v>
      </x:c>
      <x:c r="C1493" s="12" t="n">
        <x:v>373</x:v>
      </x:c>
      <x:c r="D1493" s="12" t="n">
        <x:v>16</x:v>
      </x:c>
      <x:c r="E1493" s="12" t="str">
        <x:v>Archived FRED mirror (Hugging Face)</x:v>
      </x:c>
    </x:row>
    <x:row r="1494" ht="18" customHeight="1">
      <x:c r="A1494" s="13" t="n">
        <x:v>44663</x:v>
      </x:c>
      <x:c r="B1494" s="12" t="n">
        <x:v>3.75</x:v>
      </x:c>
      <x:c r="C1494" s="12" t="n">
        <x:v>375</x:v>
      </x:c>
      <x:c r="D1494" s="12" t="n">
        <x:v>2</x:v>
      </x:c>
      <x:c r="E1494" s="12" t="str">
        <x:v>Archived FRED mirror (Hugging Face)</x:v>
      </x:c>
    </x:row>
    <x:row r="1495" ht="18" customHeight="1">
      <x:c r="A1495" s="13" t="n">
        <x:v>44664</x:v>
      </x:c>
      <x:c r="B1495" s="12" t="n">
        <x:v>3.77</x:v>
      </x:c>
      <x:c r="C1495" s="12" t="n">
        <x:v>377</x:v>
      </x:c>
      <x:c r="D1495" s="12" t="n">
        <x:v>2</x:v>
      </x:c>
      <x:c r="E1495" s="12" t="str">
        <x:v>Archived FRED mirror (Hugging Face)</x:v>
      </x:c>
    </x:row>
    <x:row r="1496" ht="18" customHeight="1">
      <x:c r="A1496" s="13" t="n">
        <x:v>44665</x:v>
      </x:c>
      <x:c r="B1496" s="12" t="n">
        <x:v>3.68</x:v>
      </x:c>
      <x:c r="C1496" s="12" t="n">
        <x:v>368</x:v>
      </x:c>
      <x:c r="D1496" s="12" t="n">
        <x:v>-9</x:v>
      </x:c>
      <x:c r="E1496" s="12" t="str">
        <x:v>Archived FRED mirror (Hugging Face)</x:v>
      </x:c>
    </x:row>
    <x:row r="1497" ht="18" customHeight="1">
      <x:c r="A1497" s="13" t="n">
        <x:v>44669</x:v>
      </x:c>
      <x:c r="B1497" s="12" t="n">
        <x:v>3.64</x:v>
      </x:c>
      <x:c r="C1497" s="12" t="n">
        <x:v>364</x:v>
      </x:c>
      <x:c r="D1497" s="12" t="n">
        <x:v>-4</x:v>
      </x:c>
      <x:c r="E1497" s="12" t="str">
        <x:v>Archived FRED mirror (Hugging Face)</x:v>
      </x:c>
    </x:row>
    <x:row r="1498" ht="18" customHeight="1">
      <x:c r="A1498" s="13" t="n">
        <x:v>44670</x:v>
      </x:c>
      <x:c r="B1498" s="12" t="n">
        <x:v>3.58</x:v>
      </x:c>
      <x:c r="C1498" s="12" t="n">
        <x:v>358</x:v>
      </x:c>
      <x:c r="D1498" s="12" t="n">
        <x:v>-6</x:v>
      </x:c>
      <x:c r="E1498" s="12" t="str">
        <x:v>Archived FRED mirror (Hugging Face)</x:v>
      </x:c>
    </x:row>
    <x:row r="1499" ht="18" customHeight="1">
      <x:c r="A1499" s="13" t="n">
        <x:v>44671</x:v>
      </x:c>
      <x:c r="B1499" s="12" t="n">
        <x:v>3.56</x:v>
      </x:c>
      <x:c r="C1499" s="12" t="n">
        <x:v>356</x:v>
      </x:c>
      <x:c r="D1499" s="12" t="n">
        <x:v>-2</x:v>
      </x:c>
      <x:c r="E1499" s="12" t="str">
        <x:v>Archived FRED mirror (Hugging Face)</x:v>
      </x:c>
    </x:row>
    <x:row r="1500" ht="18" customHeight="1">
      <x:c r="A1500" s="13" t="n">
        <x:v>44672</x:v>
      </x:c>
      <x:c r="B1500" s="12" t="n">
        <x:v>3.5</x:v>
      </x:c>
      <x:c r="C1500" s="12" t="n">
        <x:v>350</x:v>
      </x:c>
      <x:c r="D1500" s="12" t="n">
        <x:v>-6</x:v>
      </x:c>
      <x:c r="E1500" s="12" t="str">
        <x:v>Archived FRED mirror (Hugging Face)</x:v>
      </x:c>
    </x:row>
    <x:row r="1501" ht="18" customHeight="1">
      <x:c r="A1501" s="13" t="n">
        <x:v>44673</x:v>
      </x:c>
      <x:c r="B1501" s="12" t="n">
        <x:v>3.65</x:v>
      </x:c>
      <x:c r="C1501" s="12" t="n">
        <x:v>365</x:v>
      </x:c>
      <x:c r="D1501" s="12" t="n">
        <x:v>15</x:v>
      </x:c>
      <x:c r="E1501" s="12" t="str">
        <x:v>Archived FRED mirror (Hugging Face)</x:v>
      </x:c>
    </x:row>
    <x:row r="1502" ht="18" customHeight="1">
      <x:c r="A1502" s="13" t="n">
        <x:v>44676</x:v>
      </x:c>
      <x:c r="B1502" s="12" t="n">
        <x:v>3.8</x:v>
      </x:c>
      <x:c r="C1502" s="12" t="n">
        <x:v>380</x:v>
      </x:c>
      <x:c r="D1502" s="12" t="n">
        <x:v>15</x:v>
      </x:c>
      <x:c r="E1502" s="12" t="str">
        <x:v>Archived FRED mirror (Hugging Face)</x:v>
      </x:c>
    </x:row>
    <x:row r="1503" ht="18" customHeight="1">
      <x:c r="A1503" s="13" t="n">
        <x:v>44677</x:v>
      </x:c>
      <x:c r="B1503" s="12" t="n">
        <x:v>3.83</x:v>
      </x:c>
      <x:c r="C1503" s="12" t="n">
        <x:v>383</x:v>
      </x:c>
      <x:c r="D1503" s="12" t="n">
        <x:v>3</x:v>
      </x:c>
      <x:c r="E1503" s="12" t="str">
        <x:v>Archived FRED mirror (Hugging Face)</x:v>
      </x:c>
    </x:row>
    <x:row r="1504" ht="18" customHeight="1">
      <x:c r="A1504" s="13" t="n">
        <x:v>44678</x:v>
      </x:c>
      <x:c r="B1504" s="12" t="n">
        <x:v>3.89</x:v>
      </x:c>
      <x:c r="C1504" s="12" t="n">
        <x:v>389</x:v>
      </x:c>
      <x:c r="D1504" s="12" t="n">
        <x:v>6</x:v>
      </x:c>
      <x:c r="E1504" s="12" t="str">
        <x:v>Archived FRED mirror (Hugging Face)</x:v>
      </x:c>
    </x:row>
    <x:row r="1505" ht="18" customHeight="1">
      <x:c r="A1505" s="13" t="n">
        <x:v>44679</x:v>
      </x:c>
      <x:c r="B1505" s="12" t="n">
        <x:v>3.83</x:v>
      </x:c>
      <x:c r="C1505" s="12" t="n">
        <x:v>383</x:v>
      </x:c>
      <x:c r="D1505" s="12" t="n">
        <x:v>-6</x:v>
      </x:c>
      <x:c r="E1505" s="12" t="str">
        <x:v>Archived FRED mirror (Hugging Face)</x:v>
      </x:c>
    </x:row>
    <x:row r="1506" ht="18" customHeight="1">
      <x:c r="A1506" s="13" t="n">
        <x:v>44680</x:v>
      </x:c>
      <x:c r="B1506" s="12" t="n">
        <x:v>3.93</x:v>
      </x:c>
      <x:c r="C1506" s="12" t="n">
        <x:v>393</x:v>
      </x:c>
      <x:c r="D1506" s="12" t="n">
        <x:v>10</x:v>
      </x:c>
      <x:c r="E1506" s="12" t="str">
        <x:v>Archived FRED mirror (Hugging Face)</x:v>
      </x:c>
    </x:row>
    <x:row r="1507" ht="18" customHeight="1">
      <x:c r="A1507" s="13" t="n">
        <x:v>44681</x:v>
      </x:c>
      <x:c r="B1507" s="12" t="n">
        <x:v>3.97</x:v>
      </x:c>
      <x:c r="C1507" s="12" t="n">
        <x:v>397</x:v>
      </x:c>
      <x:c r="D1507" s="12" t="n">
        <x:v>4</x:v>
      </x:c>
      <x:c r="E1507" s="12" t="str">
        <x:v>Archived FRED mirror (Hugging Face)</x:v>
      </x:c>
    </x:row>
    <x:row r="1508" ht="18" customHeight="1">
      <x:c r="A1508" s="13" t="n">
        <x:v>44683</x:v>
      </x:c>
      <x:c r="B1508" s="12" t="n">
        <x:v>4.05</x:v>
      </x:c>
      <x:c r="C1508" s="12" t="n">
        <x:v>405</x:v>
      </x:c>
      <x:c r="D1508" s="12" t="n">
        <x:v>8</x:v>
      </x:c>
      <x:c r="E1508" s="12" t="str">
        <x:v>Archived FRED mirror (Hugging Face)</x:v>
      </x:c>
    </x:row>
    <x:row r="1509" ht="18" customHeight="1">
      <x:c r="A1509" s="13" t="n">
        <x:v>44684</x:v>
      </x:c>
      <x:c r="B1509" s="12" t="n">
        <x:v>3.97</x:v>
      </x:c>
      <x:c r="C1509" s="12" t="n">
        <x:v>397</x:v>
      </x:c>
      <x:c r="D1509" s="12" t="n">
        <x:v>-8</x:v>
      </x:c>
      <x:c r="E1509" s="12" t="str">
        <x:v>Archived FRED mirror (Hugging Face)</x:v>
      </x:c>
    </x:row>
    <x:row r="1510" ht="18" customHeight="1">
      <x:c r="A1510" s="13" t="n">
        <x:v>44685</x:v>
      </x:c>
      <x:c r="B1510" s="12" t="n">
        <x:v>4.1</x:v>
      </x:c>
      <x:c r="C1510" s="12" t="n">
        <x:v>409.99999999999994</x:v>
      </x:c>
      <x:c r="D1510" s="12" t="n">
        <x:v>12.999999999999943</x:v>
      </x:c>
      <x:c r="E1510" s="12" t="str">
        <x:v>Archived FRED mirror (Hugging Face)</x:v>
      </x:c>
    </x:row>
    <x:row r="1511" ht="18" customHeight="1">
      <x:c r="A1511" s="13" t="n">
        <x:v>44686</x:v>
      </x:c>
      <x:c r="B1511" s="12" t="n">
        <x:v>4.03</x:v>
      </x:c>
      <x:c r="C1511" s="12" t="n">
        <x:v>403</x:v>
      </x:c>
      <x:c r="D1511" s="12" t="n">
        <x:v>-6.999999999999943</x:v>
      </x:c>
      <x:c r="E1511" s="12" t="str">
        <x:v>Archived FRED mirror (Hugging Face)</x:v>
      </x:c>
    </x:row>
    <x:row r="1512" ht="18" customHeight="1">
      <x:c r="A1512" s="13" t="n">
        <x:v>44687</x:v>
      </x:c>
      <x:c r="B1512" s="12" t="n">
        <x:v>4.18</x:v>
      </x:c>
      <x:c r="C1512" s="12" t="n">
        <x:v>418</x:v>
      </x:c>
      <x:c r="D1512" s="12" t="n">
        <x:v>15</x:v>
      </x:c>
      <x:c r="E1512" s="12" t="str">
        <x:v>Archived FRED mirror (Hugging Face)</x:v>
      </x:c>
    </x:row>
    <x:row r="1513" ht="18" customHeight="1">
      <x:c r="A1513" s="13" t="n">
        <x:v>44690</x:v>
      </x:c>
      <x:c r="B1513" s="12" t="n">
        <x:v>4.47</x:v>
      </x:c>
      <x:c r="C1513" s="12" t="n">
        <x:v>447</x:v>
      </x:c>
      <x:c r="D1513" s="12" t="n">
        <x:v>29</x:v>
      </x:c>
      <x:c r="E1513" s="12" t="str">
        <x:v>Archived FRED mirror (Hugging Face)</x:v>
      </x:c>
    </x:row>
    <x:row r="1514" ht="18" customHeight="1">
      <x:c r="A1514" s="13" t="n">
        <x:v>44691</x:v>
      </x:c>
      <x:c r="B1514" s="12" t="n">
        <x:v>4.52</x:v>
      </x:c>
      <x:c r="C1514" s="12" t="n">
        <x:v>451.99999999999994</x:v>
      </x:c>
      <x:c r="D1514" s="12" t="n">
        <x:v>4.999999999999943</x:v>
      </x:c>
      <x:c r="E1514" s="12" t="str">
        <x:v>Archived FRED mirror (Hugging Face)</x:v>
      </x:c>
    </x:row>
    <x:row r="1515" ht="18" customHeight="1">
      <x:c r="A1515" s="13" t="n">
        <x:v>44692</x:v>
      </x:c>
      <x:c r="B1515" s="12" t="n">
        <x:v>4.55</x:v>
      </x:c>
      <x:c r="C1515" s="12" t="n">
        <x:v>455</x:v>
      </x:c>
      <x:c r="D1515" s="12" t="n">
        <x:v>3.000000000000057</x:v>
      </x:c>
      <x:c r="E1515" s="12" t="str">
        <x:v>Archived FRED mirror (Hugging Face)</x:v>
      </x:c>
    </x:row>
    <x:row r="1516" ht="18" customHeight="1">
      <x:c r="A1516" s="13" t="n">
        <x:v>44693</x:v>
      </x:c>
      <x:c r="B1516" s="12" t="n">
        <x:v>4.77</x:v>
      </x:c>
      <x:c r="C1516" s="12" t="n">
        <x:v>476.99999999999994</x:v>
      </x:c>
      <x:c r="D1516" s="12" t="n">
        <x:v>21.999999999999943</x:v>
      </x:c>
      <x:c r="E1516" s="12" t="str">
        <x:v>Archived FRED mirror (Hugging Face)</x:v>
      </x:c>
    </x:row>
    <x:row r="1517" ht="18" customHeight="1">
      <x:c r="A1517" s="13" t="n">
        <x:v>44694</x:v>
      </x:c>
      <x:c r="B1517" s="12" t="n">
        <x:v>4.63</x:v>
      </x:c>
      <x:c r="C1517" s="12" t="n">
        <x:v>463</x:v>
      </x:c>
      <x:c r="D1517" s="12" t="n">
        <x:v>-13.999999999999943</x:v>
      </x:c>
      <x:c r="E1517" s="12" t="str">
        <x:v>Archived FRED mirror (Hugging Face)</x:v>
      </x:c>
    </x:row>
    <x:row r="1518" ht="18" customHeight="1">
      <x:c r="A1518" s="13" t="n">
        <x:v>44697</x:v>
      </x:c>
      <x:c r="B1518" s="12" t="n">
        <x:v>4.71</x:v>
      </x:c>
      <x:c r="C1518" s="12" t="n">
        <x:v>471</x:v>
      </x:c>
      <x:c r="D1518" s="12" t="n">
        <x:v>8</x:v>
      </x:c>
      <x:c r="E1518" s="12" t="str">
        <x:v>Archived FRED mirror (Hugging Face)</x:v>
      </x:c>
    </x:row>
    <x:row r="1519" ht="18" customHeight="1">
      <x:c r="A1519" s="13" t="n">
        <x:v>44698</x:v>
      </x:c>
      <x:c r="B1519" s="12" t="n">
        <x:v>4.6</x:v>
      </x:c>
      <x:c r="C1519" s="12" t="n">
        <x:v>459.99999999999994</x:v>
      </x:c>
      <x:c r="D1519" s="12" t="n">
        <x:v>-11.000000000000057</x:v>
      </x:c>
      <x:c r="E1519" s="12" t="str">
        <x:v>Archived FRED mirror (Hugging Face)</x:v>
      </x:c>
    </x:row>
    <x:row r="1520" ht="18" customHeight="1">
      <x:c r="A1520" s="13" t="n">
        <x:v>44699</x:v>
      </x:c>
      <x:c r="B1520" s="12" t="n">
        <x:v>4.84</x:v>
      </x:c>
      <x:c r="C1520" s="12" t="n">
        <x:v>484</x:v>
      </x:c>
      <x:c r="D1520" s="12" t="n">
        <x:v>24.000000000000057</x:v>
      </x:c>
      <x:c r="E1520" s="12" t="str">
        <x:v>Archived FRED mirror (Hugging Face)</x:v>
      </x:c>
    </x:row>
    <x:row r="1521" ht="18" customHeight="1">
      <x:c r="A1521" s="13" t="n">
        <x:v>44700</x:v>
      </x:c>
      <x:c r="B1521" s="12" t="n">
        <x:v>4.92</x:v>
      </x:c>
      <x:c r="C1521" s="12" t="n">
        <x:v>492</x:v>
      </x:c>
      <x:c r="D1521" s="12" t="n">
        <x:v>8</x:v>
      </x:c>
      <x:c r="E1521" s="12" t="str">
        <x:v>Archived FRED mirror (Hugging Face)</x:v>
      </x:c>
    </x:row>
    <x:row r="1522" ht="18" customHeight="1">
      <x:c r="A1522" s="13" t="n">
        <x:v>44701</x:v>
      </x:c>
      <x:c r="B1522" s="12" t="n">
        <x:v>4.91</x:v>
      </x:c>
      <x:c r="C1522" s="12" t="n">
        <x:v>491</x:v>
      </x:c>
      <x:c r="D1522" s="12" t="n">
        <x:v>-1</x:v>
      </x:c>
      <x:c r="E1522" s="12" t="str">
        <x:v>Archived FRED mirror (Hugging Face)</x:v>
      </x:c>
    </x:row>
    <x:row r="1523" ht="18" customHeight="1">
      <x:c r="A1523" s="13" t="n">
        <x:v>44704</x:v>
      </x:c>
      <x:c r="B1523" s="12" t="n">
        <x:v>4.82</x:v>
      </x:c>
      <x:c r="C1523" s="12" t="n">
        <x:v>482</x:v>
      </x:c>
      <x:c r="D1523" s="12" t="n">
        <x:v>-9</x:v>
      </x:c>
      <x:c r="E1523" s="12" t="str">
        <x:v>Archived FRED mirror (Hugging Face)</x:v>
      </x:c>
    </x:row>
    <x:row r="1524" ht="18" customHeight="1">
      <x:c r="A1524" s="13" t="n">
        <x:v>44705</x:v>
      </x:c>
      <x:c r="B1524" s="12" t="n">
        <x:v>4.94</x:v>
      </x:c>
      <x:c r="C1524" s="12" t="n">
        <x:v>494.00000000000006</x:v>
      </x:c>
      <x:c r="D1524" s="12" t="n">
        <x:v>12.000000000000057</x:v>
      </x:c>
      <x:c r="E1524" s="12" t="str">
        <x:v>Archived FRED mirror (Hugging Face)</x:v>
      </x:c>
    </x:row>
    <x:row r="1525" ht="18" customHeight="1">
      <x:c r="A1525" s="13" t="n">
        <x:v>44706</x:v>
      </x:c>
      <x:c r="B1525" s="12" t="n">
        <x:v>4.74</x:v>
      </x:c>
      <x:c r="C1525" s="12" t="n">
        <x:v>474</x:v>
      </x:c>
      <x:c r="D1525" s="12" t="n">
        <x:v>-20.000000000000057</x:v>
      </x:c>
      <x:c r="E1525" s="12" t="str">
        <x:v>Archived FRED mirror (Hugging Face)</x:v>
      </x:c>
    </x:row>
    <x:row r="1526" ht="18" customHeight="1">
      <x:c r="A1526" s="13" t="n">
        <x:v>44707</x:v>
      </x:c>
      <x:c r="B1526" s="12" t="n">
        <x:v>4.38</x:v>
      </x:c>
      <x:c r="C1526" s="12" t="n">
        <x:v>438</x:v>
      </x:c>
      <x:c r="D1526" s="12" t="n">
        <x:v>-36</x:v>
      </x:c>
      <x:c r="E1526" s="12" t="str">
        <x:v>Archived FRED mirror (Hugging Face)</x:v>
      </x:c>
    </x:row>
    <x:row r="1527" ht="18" customHeight="1">
      <x:c r="A1527" s="13" t="n">
        <x:v>44708</x:v>
      </x:c>
      <x:c r="B1527" s="12" t="n">
        <x:v>4.19</x:v>
      </x:c>
      <x:c r="C1527" s="12" t="n">
        <x:v>419.00000000000006</x:v>
      </x:c>
      <x:c r="D1527" s="12" t="n">
        <x:v>-18.999999999999943</x:v>
      </x:c>
      <x:c r="E1527" s="12" t="str">
        <x:v>Archived FRED mirror (Hugging Face)</x:v>
      </x:c>
    </x:row>
    <x:row r="1528" ht="18" customHeight="1">
      <x:c r="A1528" s="13" t="n">
        <x:v>44711</x:v>
      </x:c>
      <x:c r="B1528" s="12" t="n">
        <x:v>4.19</x:v>
      </x:c>
      <x:c r="C1528" s="12" t="n">
        <x:v>419.00000000000006</x:v>
      </x:c>
      <x:c r="D1528" s="12" t="n">
        <x:v>0</x:v>
      </x:c>
      <x:c r="E1528" s="12" t="str">
        <x:v>Archived FRED mirror (Hugging Face)</x:v>
      </x:c>
    </x:row>
    <x:row r="1529" ht="18" customHeight="1">
      <x:c r="A1529" s="13" t="n">
        <x:v>44712</x:v>
      </x:c>
      <x:c r="B1529" s="12" t="n">
        <x:v>4.22</x:v>
      </x:c>
      <x:c r="C1529" s="12" t="n">
        <x:v>422</x:v>
      </x:c>
      <x:c r="D1529" s="12" t="n">
        <x:v>2.999999999999943</x:v>
      </x:c>
      <x:c r="E1529" s="12" t="str">
        <x:v>Archived FRED mirror (Hugging Face)</x:v>
      </x:c>
    </x:row>
    <x:row r="1530" ht="18" customHeight="1">
      <x:c r="A1530" s="13" t="n">
        <x:v>44713</x:v>
      </x:c>
      <x:c r="B1530" s="12" t="n">
        <x:v>4.13</x:v>
      </x:c>
      <x:c r="C1530" s="12" t="n">
        <x:v>413</x:v>
      </x:c>
      <x:c r="D1530" s="12" t="n">
        <x:v>-9</x:v>
      </x:c>
      <x:c r="E1530" s="12" t="str">
        <x:v>Archived FRED mirror (Hugging Face)</x:v>
      </x:c>
    </x:row>
    <x:row r="1531" ht="18" customHeight="1">
      <x:c r="A1531" s="13" t="n">
        <x:v>44714</x:v>
      </x:c>
      <x:c r="B1531" s="12" t="n">
        <x:v>4.15</x:v>
      </x:c>
      <x:c r="C1531" s="12" t="n">
        <x:v>415.00000000000006</x:v>
      </x:c>
      <x:c r="D1531" s="12" t="n">
        <x:v>2.000000000000057</x:v>
      </x:c>
      <x:c r="E1531" s="12" t="str">
        <x:v>Archived FRED mirror (Hugging Face)</x:v>
      </x:c>
    </x:row>
    <x:row r="1532" ht="18" customHeight="1">
      <x:c r="A1532" s="13" t="n">
        <x:v>44715</x:v>
      </x:c>
      <x:c r="B1532" s="12" t="n">
        <x:v>4.21</x:v>
      </x:c>
      <x:c r="C1532" s="12" t="n">
        <x:v>421</x:v>
      </x:c>
      <x:c r="D1532" s="12" t="n">
        <x:v>5.999999999999943</x:v>
      </x:c>
      <x:c r="E1532" s="12" t="str">
        <x:v>Archived FRED mirror (Hugging Face)</x:v>
      </x:c>
    </x:row>
    <x:row r="1533" ht="18" customHeight="1">
      <x:c r="A1533" s="13" t="n">
        <x:v>44718</x:v>
      </x:c>
      <x:c r="B1533" s="12" t="n">
        <x:v>4.19</x:v>
      </x:c>
      <x:c r="C1533" s="12" t="n">
        <x:v>419.00000000000006</x:v>
      </x:c>
      <x:c r="D1533" s="12" t="n">
        <x:v>-1.9999999999999432</x:v>
      </x:c>
      <x:c r="E1533" s="12" t="str">
        <x:v>Archived FRED mirror (Hugging Face)</x:v>
      </x:c>
    </x:row>
    <x:row r="1534" ht="18" customHeight="1">
      <x:c r="A1534" s="13" t="n">
        <x:v>44719</x:v>
      </x:c>
      <x:c r="B1534" s="12" t="n">
        <x:v>4.34</x:v>
      </x:c>
      <x:c r="C1534" s="12" t="n">
        <x:v>434</x:v>
      </x:c>
      <x:c r="D1534" s="12" t="n">
        <x:v>14.999999999999943</x:v>
      </x:c>
      <x:c r="E1534" s="12" t="str">
        <x:v>Archived FRED mirror (Hugging Face)</x:v>
      </x:c>
    </x:row>
    <x:row r="1535" ht="18" customHeight="1">
      <x:c r="A1535" s="13" t="n">
        <x:v>44720</x:v>
      </x:c>
      <x:c r="B1535" s="12" t="n">
        <x:v>4.34</x:v>
      </x:c>
      <x:c r="C1535" s="12" t="n">
        <x:v>434</x:v>
      </x:c>
      <x:c r="D1535" s="12" t="n">
        <x:v>0</x:v>
      </x:c>
      <x:c r="E1535" s="12" t="str">
        <x:v>Archived FRED mirror (Hugging Face)</x:v>
      </x:c>
    </x:row>
    <x:row r="1536" ht="18" customHeight="1">
      <x:c r="A1536" s="13" t="n">
        <x:v>44721</x:v>
      </x:c>
      <x:c r="B1536" s="12" t="n">
        <x:v>4.42</x:v>
      </x:c>
      <x:c r="C1536" s="12" t="n">
        <x:v>442</x:v>
      </x:c>
      <x:c r="D1536" s="12" t="n">
        <x:v>8</x:v>
      </x:c>
      <x:c r="E1536" s="12" t="str">
        <x:v>Archived FRED mirror (Hugging Face)</x:v>
      </x:c>
    </x:row>
    <x:row r="1537" ht="18" customHeight="1">
      <x:c r="A1537" s="13" t="n">
        <x:v>44722</x:v>
      </x:c>
      <x:c r="B1537" s="12" t="n">
        <x:v>4.51</x:v>
      </x:c>
      <x:c r="C1537" s="12" t="n">
        <x:v>451</x:v>
      </x:c>
      <x:c r="D1537" s="12" t="n">
        <x:v>9</x:v>
      </x:c>
      <x:c r="E1537" s="12" t="str">
        <x:v>Archived FRED mirror (Hugging Face)</x:v>
      </x:c>
    </x:row>
    <x:row r="1538" ht="18" customHeight="1">
      <x:c r="A1538" s="13" t="n">
        <x:v>44725</x:v>
      </x:c>
      <x:c r="B1538" s="12" t="n">
        <x:v>4.87</x:v>
      </x:c>
      <x:c r="C1538" s="12" t="n">
        <x:v>487</x:v>
      </x:c>
      <x:c r="D1538" s="12" t="n">
        <x:v>36</x:v>
      </x:c>
      <x:c r="E1538" s="12" t="str">
        <x:v>Archived FRED mirror (Hugging Face)</x:v>
      </x:c>
    </x:row>
    <x:row r="1539" ht="18" customHeight="1">
      <x:c r="A1539" s="13" t="n">
        <x:v>44726</x:v>
      </x:c>
      <x:c r="B1539" s="12" t="n">
        <x:v>4.9</x:v>
      </x:c>
      <x:c r="C1539" s="12" t="n">
        <x:v>490.00000000000006</x:v>
      </x:c>
      <x:c r="D1539" s="12" t="n">
        <x:v>3.000000000000057</x:v>
      </x:c>
      <x:c r="E1539" s="12" t="str">
        <x:v>Archived FRED mirror (Hugging Face)</x:v>
      </x:c>
    </x:row>
    <x:row r="1540" ht="18" customHeight="1">
      <x:c r="A1540" s="13" t="n">
        <x:v>44727</x:v>
      </x:c>
      <x:c r="B1540" s="12" t="n">
        <x:v>4.82</x:v>
      </x:c>
      <x:c r="C1540" s="12" t="n">
        <x:v>482</x:v>
      </x:c>
      <x:c r="D1540" s="12" t="n">
        <x:v>-8.000000000000057</x:v>
      </x:c>
      <x:c r="E1540" s="12" t="str">
        <x:v>Archived FRED mirror (Hugging Face)</x:v>
      </x:c>
    </x:row>
    <x:row r="1541" ht="18" customHeight="1">
      <x:c r="A1541" s="13" t="n">
        <x:v>44728</x:v>
      </x:c>
      <x:c r="B1541" s="12" t="n">
        <x:v>5.17</x:v>
      </x:c>
      <x:c r="C1541" s="12" t="n">
        <x:v>517</x:v>
      </x:c>
      <x:c r="D1541" s="12" t="n">
        <x:v>35</x:v>
      </x:c>
      <x:c r="E1541" s="12" t="str">
        <x:v>Archived FRED mirror (Hugging Face)</x:v>
      </x:c>
    </x:row>
    <x:row r="1542" ht="18" customHeight="1">
      <x:c r="A1542" s="13" t="n">
        <x:v>44729</x:v>
      </x:c>
      <x:c r="B1542" s="12" t="n">
        <x:v>5.15</x:v>
      </x:c>
      <x:c r="C1542" s="12" t="n">
        <x:v>515</x:v>
      </x:c>
      <x:c r="D1542" s="12" t="n">
        <x:v>-2</x:v>
      </x:c>
      <x:c r="E1542" s="12" t="str">
        <x:v>Archived FRED mirror (Hugging Face)</x:v>
      </x:c>
    </x:row>
    <x:row r="1543" ht="18" customHeight="1">
      <x:c r="A1543" s="13" t="n">
        <x:v>44732</x:v>
      </x:c>
      <x:c r="B1543" s="12" t="n">
        <x:v>5.15</x:v>
      </x:c>
      <x:c r="C1543" s="12" t="n">
        <x:v>515</x:v>
      </x:c>
      <x:c r="D1543" s="12" t="n">
        <x:v>0</x:v>
      </x:c>
      <x:c r="E1543" s="12" t="str">
        <x:v>Archived FRED mirror (Hugging Face)</x:v>
      </x:c>
    </x:row>
    <x:row r="1544" ht="18" customHeight="1">
      <x:c r="A1544" s="13" t="n">
        <x:v>44733</x:v>
      </x:c>
      <x:c r="B1544" s="12" t="n">
        <x:v>5.05</x:v>
      </x:c>
      <x:c r="C1544" s="12" t="n">
        <x:v>505</x:v>
      </x:c>
      <x:c r="D1544" s="12" t="n">
        <x:v>-10</x:v>
      </x:c>
      <x:c r="E1544" s="12" t="str">
        <x:v>Archived FRED mirror (Hugging Face)</x:v>
      </x:c>
    </x:row>
    <x:row r="1545" ht="18" customHeight="1">
      <x:c r="A1545" s="13" t="n">
        <x:v>44734</x:v>
      </x:c>
      <x:c r="B1545" s="12" t="n">
        <x:v>5.32</x:v>
      </x:c>
      <x:c r="C1545" s="12" t="n">
        <x:v>532</x:v>
      </x:c>
      <x:c r="D1545" s="12" t="n">
        <x:v>27</x:v>
      </x:c>
      <x:c r="E1545" s="12" t="str">
        <x:v>Archived FRED mirror (Hugging Face)</x:v>
      </x:c>
    </x:row>
    <x:row r="1546" ht="18" customHeight="1">
      <x:c r="A1546" s="13" t="n">
        <x:v>44735</x:v>
      </x:c>
      <x:c r="B1546" s="12" t="n">
        <x:v>5.38</x:v>
      </x:c>
      <x:c r="C1546" s="12" t="n">
        <x:v>538</x:v>
      </x:c>
      <x:c r="D1546" s="12" t="n">
        <x:v>6</x:v>
      </x:c>
      <x:c r="E1546" s="12" t="str">
        <x:v>Archived FRED mirror (Hugging Face)</x:v>
      </x:c>
    </x:row>
    <x:row r="1547" ht="18" customHeight="1">
      <x:c r="A1547" s="13" t="n">
        <x:v>44736</x:v>
      </x:c>
      <x:c r="B1547" s="12" t="n">
        <x:v>5.18</x:v>
      </x:c>
      <x:c r="C1547" s="12" t="n">
        <x:v>518</x:v>
      </x:c>
      <x:c r="D1547" s="12" t="n">
        <x:v>-20</x:v>
      </x:c>
      <x:c r="E1547" s="12" t="str">
        <x:v>Archived FRED mirror (Hugging Face)</x:v>
      </x:c>
    </x:row>
    <x:row r="1548" ht="18" customHeight="1">
      <x:c r="A1548" s="13" t="n">
        <x:v>44739</x:v>
      </x:c>
      <x:c r="B1548" s="12" t="n">
        <x:v>5.11</x:v>
      </x:c>
      <x:c r="C1548" s="12" t="n">
        <x:v>511.00000000000006</x:v>
      </x:c>
      <x:c r="D1548" s="12" t="n">
        <x:v>-6.999999999999943</x:v>
      </x:c>
      <x:c r="E1548" s="12" t="str">
        <x:v>Archived FRED mirror (Hugging Face)</x:v>
      </x:c>
    </x:row>
    <x:row r="1549" ht="18" customHeight="1">
      <x:c r="A1549" s="13" t="n">
        <x:v>44740</x:v>
      </x:c>
      <x:c r="B1549" s="12" t="n">
        <x:v>5.26</x:v>
      </x:c>
      <x:c r="C1549" s="12" t="n">
        <x:v>526</x:v>
      </x:c>
      <x:c r="D1549" s="12" t="n">
        <x:v>14.999999999999943</x:v>
      </x:c>
      <x:c r="E1549" s="12" t="str">
        <x:v>Archived FRED mirror (Hugging Face)</x:v>
      </x:c>
    </x:row>
    <x:row r="1550" ht="18" customHeight="1">
      <x:c r="A1550" s="13" t="n">
        <x:v>44741</x:v>
      </x:c>
      <x:c r="B1550" s="12" t="n">
        <x:v>5.62</x:v>
      </x:c>
      <x:c r="C1550" s="12" t="n">
        <x:v>562</x:v>
      </x:c>
      <x:c r="D1550" s="12" t="n">
        <x:v>36</x:v>
      </x:c>
      <x:c r="E1550" s="12" t="str">
        <x:v>Archived FRED mirror (Hugging Face)</x:v>
      </x:c>
    </x:row>
    <x:row r="1551" ht="18" customHeight="1">
      <x:c r="A1551" s="13" t="n">
        <x:v>44742</x:v>
      </x:c>
      <x:c r="B1551" s="12" t="n">
        <x:v>5.87</x:v>
      </x:c>
      <x:c r="C1551" s="12" t="n">
        <x:v>587</x:v>
      </x:c>
      <x:c r="D1551" s="12" t="n">
        <x:v>25</x:v>
      </x:c>
      <x:c r="E1551" s="12" t="str">
        <x:v>Archived FRED mirror (Hugging Face)</x:v>
      </x:c>
    </x:row>
    <x:row r="1552" ht="18" customHeight="1">
      <x:c r="A1552" s="13" t="n">
        <x:v>44743</x:v>
      </x:c>
      <x:c r="B1552" s="12" t="n">
        <x:v>5.92</x:v>
      </x:c>
      <x:c r="C1552" s="12" t="n">
        <x:v>592</x:v>
      </x:c>
      <x:c r="D1552" s="12" t="n">
        <x:v>5</x:v>
      </x:c>
      <x:c r="E1552" s="12" t="str">
        <x:v>Archived FRED mirror (Hugging Face)</x:v>
      </x:c>
    </x:row>
    <x:row r="1553" ht="18" customHeight="1">
      <x:c r="A1553" s="13" t="n">
        <x:v>44746</x:v>
      </x:c>
      <x:c r="B1553" s="12" t="n">
        <x:v>5.93</x:v>
      </x:c>
      <x:c r="C1553" s="12" t="n">
        <x:v>593</x:v>
      </x:c>
      <x:c r="D1553" s="12" t="n">
        <x:v>1</x:v>
      </x:c>
      <x:c r="E1553" s="12" t="str">
        <x:v>Archived FRED mirror (Hugging Face)</x:v>
      </x:c>
    </x:row>
    <x:row r="1554" ht="18" customHeight="1">
      <x:c r="A1554" s="13" t="n">
        <x:v>44747</x:v>
      </x:c>
      <x:c r="B1554" s="12" t="n">
        <x:v>5.99</x:v>
      </x:c>
      <x:c r="C1554" s="12" t="n">
        <x:v>599</x:v>
      </x:c>
      <x:c r="D1554" s="12" t="n">
        <x:v>6</x:v>
      </x:c>
      <x:c r="E1554" s="12" t="str">
        <x:v>Archived FRED mirror (Hugging Face)</x:v>
      </x:c>
    </x:row>
    <x:row r="1555" ht="18" customHeight="1">
      <x:c r="A1555" s="13" t="n">
        <x:v>44748</x:v>
      </x:c>
      <x:c r="B1555" s="12" t="n">
        <x:v>5.8</x:v>
      </x:c>
      <x:c r="C1555" s="12" t="n">
        <x:v>580</x:v>
      </x:c>
      <x:c r="D1555" s="12" t="n">
        <x:v>-19</x:v>
      </x:c>
      <x:c r="E1555" s="12" t="str">
        <x:v>Archived FRED mirror (Hugging Face)</x:v>
      </x:c>
    </x:row>
    <x:row r="1556" ht="18" customHeight="1">
      <x:c r="A1556" s="13" t="n">
        <x:v>44749</x:v>
      </x:c>
      <x:c r="B1556" s="12" t="n">
        <x:v>5.5</x:v>
      </x:c>
      <x:c r="C1556" s="12" t="n">
        <x:v>550</x:v>
      </x:c>
      <x:c r="D1556" s="12" t="n">
        <x:v>-30</x:v>
      </x:c>
      <x:c r="E1556" s="12" t="str">
        <x:v>Archived FRED mirror (Hugging Face)</x:v>
      </x:c>
    </x:row>
    <x:row r="1557" ht="18" customHeight="1">
      <x:c r="A1557" s="13" t="n">
        <x:v>44750</x:v>
      </x:c>
      <x:c r="B1557" s="12" t="n">
        <x:v>5.36</x:v>
      </x:c>
      <x:c r="C1557" s="12" t="n">
        <x:v>536</x:v>
      </x:c>
      <x:c r="D1557" s="12" t="n">
        <x:v>-14</x:v>
      </x:c>
      <x:c r="E1557" s="12" t="str">
        <x:v>Archived FRED mirror (Hugging Face)</x:v>
      </x:c>
    </x:row>
    <x:row r="1558" ht="18" customHeight="1">
      <x:c r="A1558" s="13" t="n">
        <x:v>44753</x:v>
      </x:c>
      <x:c r="B1558" s="12" t="n">
        <x:v>5.44</x:v>
      </x:c>
      <x:c r="C1558" s="12" t="n">
        <x:v>544</x:v>
      </x:c>
      <x:c r="D1558" s="12" t="n">
        <x:v>8</x:v>
      </x:c>
      <x:c r="E1558" s="12" t="str">
        <x:v>Archived FRED mirror (Hugging Face)</x:v>
      </x:c>
    </x:row>
    <x:row r="1559" ht="18" customHeight="1">
      <x:c r="A1559" s="13" t="n">
        <x:v>44754</x:v>
      </x:c>
      <x:c r="B1559" s="12" t="n">
        <x:v>5.43</x:v>
      </x:c>
      <x:c r="C1559" s="12" t="n">
        <x:v>543</x:v>
      </x:c>
      <x:c r="D1559" s="12" t="n">
        <x:v>-1</x:v>
      </x:c>
      <x:c r="E1559" s="12" t="str">
        <x:v>Archived FRED mirror (Hugging Face)</x:v>
      </x:c>
    </x:row>
    <x:row r="1560" ht="18" customHeight="1">
      <x:c r="A1560" s="13" t="n">
        <x:v>44755</x:v>
      </x:c>
      <x:c r="B1560" s="12" t="n">
        <x:v>5.47</x:v>
      </x:c>
      <x:c r="C1560" s="12" t="n">
        <x:v>547</x:v>
      </x:c>
      <x:c r="D1560" s="12" t="n">
        <x:v>4</x:v>
      </x:c>
      <x:c r="E1560" s="12" t="str">
        <x:v>Archived FRED mirror (Hugging Face)</x:v>
      </x:c>
    </x:row>
    <x:row r="1561" ht="18" customHeight="1">
      <x:c r="A1561" s="13" t="n">
        <x:v>44756</x:v>
      </x:c>
      <x:c r="B1561" s="12" t="n">
        <x:v>5.53</x:v>
      </x:c>
      <x:c r="C1561" s="12" t="n">
        <x:v>553</x:v>
      </x:c>
      <x:c r="D1561" s="12" t="n">
        <x:v>6</x:v>
      </x:c>
      <x:c r="E1561" s="12" t="str">
        <x:v>Archived FRED mirror (Hugging Face)</x:v>
      </x:c>
    </x:row>
    <x:row r="1562" ht="18" customHeight="1">
      <x:c r="A1562" s="13" t="n">
        <x:v>44757</x:v>
      </x:c>
      <x:c r="B1562" s="12" t="n">
        <x:v>5.39</x:v>
      </x:c>
      <x:c r="C1562" s="12" t="n">
        <x:v>539</x:v>
      </x:c>
      <x:c r="D1562" s="12" t="n">
        <x:v>-14</x:v>
      </x:c>
      <x:c r="E1562" s="12" t="str">
        <x:v>Archived FRED mirror (Hugging Face)</x:v>
      </x:c>
    </x:row>
    <x:row r="1563" ht="18" customHeight="1">
      <x:c r="A1563" s="13" t="n">
        <x:v>44760</x:v>
      </x:c>
      <x:c r="B1563" s="12" t="n">
        <x:v>5.25</x:v>
      </x:c>
      <x:c r="C1563" s="12" t="n">
        <x:v>525</x:v>
      </x:c>
      <x:c r="D1563" s="12" t="n">
        <x:v>-14</x:v>
      </x:c>
      <x:c r="E1563" s="12" t="str">
        <x:v>Archived FRED mirror (Hugging Face)</x:v>
      </x:c>
    </x:row>
    <x:row r="1564" ht="18" customHeight="1">
      <x:c r="A1564" s="13" t="n">
        <x:v>44761</x:v>
      </x:c>
      <x:c r="B1564" s="12" t="n">
        <x:v>5.1</x:v>
      </x:c>
      <x:c r="C1564" s="12" t="n">
        <x:v>509.99999999999994</x:v>
      </x:c>
      <x:c r="D1564" s="12" t="n">
        <x:v>-15.000000000000057</x:v>
      </x:c>
      <x:c r="E1564" s="12" t="str">
        <x:v>Archived FRED mirror (Hugging Face)</x:v>
      </x:c>
    </x:row>
    <x:row r="1565" ht="18" customHeight="1">
      <x:c r="A1565" s="13" t="n">
        <x:v>44762</x:v>
      </x:c>
      <x:c r="B1565" s="12" t="n">
        <x:v>4.9</x:v>
      </x:c>
      <x:c r="C1565" s="12" t="n">
        <x:v>490.00000000000006</x:v>
      </x:c>
      <x:c r="D1565" s="12" t="n">
        <x:v>-19.999999999999886</x:v>
      </x:c>
      <x:c r="E1565" s="12" t="str">
        <x:v>Archived FRED mirror (Hugging Face)</x:v>
      </x:c>
    </x:row>
    <x:row r="1566" ht="18" customHeight="1">
      <x:c r="A1566" s="13" t="n">
        <x:v>44763</x:v>
      </x:c>
      <x:c r="B1566" s="12" t="n">
        <x:v>4.99</x:v>
      </x:c>
      <x:c r="C1566" s="12" t="n">
        <x:v>499</x:v>
      </x:c>
      <x:c r="D1566" s="12" t="n">
        <x:v>8.999999999999943</x:v>
      </x:c>
      <x:c r="E1566" s="12" t="str">
        <x:v>Archived FRED mirror (Hugging Face)</x:v>
      </x:c>
    </x:row>
    <x:row r="1567" ht="18" customHeight="1">
      <x:c r="A1567" s="13" t="n">
        <x:v>44764</x:v>
      </x:c>
      <x:c r="B1567" s="12" t="n">
        <x:v>4.96</x:v>
      </x:c>
      <x:c r="C1567" s="12" t="n">
        <x:v>496</x:v>
      </x:c>
      <x:c r="D1567" s="12" t="n">
        <x:v>-3</x:v>
      </x:c>
      <x:c r="E1567" s="12" t="str">
        <x:v>Archived FRED mirror (Hugging Face)</x:v>
      </x:c>
    </x:row>
    <x:row r="1568" ht="18" customHeight="1">
      <x:c r="A1568" s="13" t="n">
        <x:v>44767</x:v>
      </x:c>
      <x:c r="B1568" s="12" t="n">
        <x:v>4.95</x:v>
      </x:c>
      <x:c r="C1568" s="12" t="n">
        <x:v>495</x:v>
      </x:c>
      <x:c r="D1568" s="12" t="n">
        <x:v>-1</x:v>
      </x:c>
      <x:c r="E1568" s="12" t="str">
        <x:v>Archived FRED mirror (Hugging Face)</x:v>
      </x:c>
    </x:row>
    <x:row r="1569" ht="18" customHeight="1">
      <x:c r="A1569" s="13" t="n">
        <x:v>44768</x:v>
      </x:c>
      <x:c r="B1569" s="12" t="n">
        <x:v>5.06</x:v>
      </x:c>
      <x:c r="C1569" s="12" t="n">
        <x:v>505.99999999999994</x:v>
      </x:c>
      <x:c r="D1569" s="12" t="n">
        <x:v>10.999999999999943</x:v>
      </x:c>
      <x:c r="E1569" s="12" t="str">
        <x:v>Archived FRED mirror (Hugging Face)</x:v>
      </x:c>
    </x:row>
    <x:row r="1570" ht="18" customHeight="1">
      <x:c r="A1570" s="13" t="n">
        <x:v>44769</x:v>
      </x:c>
      <x:c r="B1570" s="12" t="n">
        <x:v>5.07</x:v>
      </x:c>
      <x:c r="C1570" s="12" t="n">
        <x:v>507</x:v>
      </x:c>
      <x:c r="D1570" s="12" t="n">
        <x:v>1.0000000000000568</x:v>
      </x:c>
      <x:c r="E1570" s="12" t="str">
        <x:v>Archived FRED mirror (Hugging Face)</x:v>
      </x:c>
    </x:row>
    <x:row r="1571" ht="18" customHeight="1">
      <x:c r="A1571" s="13" t="n">
        <x:v>44770</x:v>
      </x:c>
      <x:c r="B1571" s="12" t="n">
        <x:v>4.98</x:v>
      </x:c>
      <x:c r="C1571" s="12" t="n">
        <x:v>498.00000000000006</x:v>
      </x:c>
      <x:c r="D1571" s="12" t="n">
        <x:v>-8.999999999999943</x:v>
      </x:c>
      <x:c r="E1571" s="12" t="str">
        <x:v>Archived FRED mirror (Hugging Face)</x:v>
      </x:c>
    </x:row>
    <x:row r="1572" ht="18" customHeight="1">
      <x:c r="A1572" s="13" t="n">
        <x:v>44771</x:v>
      </x:c>
      <x:c r="B1572" s="12" t="n">
        <x:v>4.77</x:v>
      </x:c>
      <x:c r="C1572" s="12" t="n">
        <x:v>476.99999999999994</x:v>
      </x:c>
      <x:c r="D1572" s="12" t="n">
        <x:v>-21.000000000000114</x:v>
      </x:c>
      <x:c r="E1572" s="12" t="str">
        <x:v>Archived FRED mirror (Hugging Face)</x:v>
      </x:c>
    </x:row>
    <x:row r="1573" ht="18" customHeight="1">
      <x:c r="A1573" s="13" t="n">
        <x:v>44773</x:v>
      </x:c>
      <x:c r="B1573" s="12" t="n">
        <x:v>4.83</x:v>
      </x:c>
      <x:c r="C1573" s="12" t="n">
        <x:v>483</x:v>
      </x:c>
      <x:c r="D1573" s="12" t="n">
        <x:v>6.000000000000057</x:v>
      </x:c>
      <x:c r="E1573" s="12" t="str">
        <x:v>Archived FRED mirror (Hugging Face)</x:v>
      </x:c>
    </x:row>
    <x:row r="1574" ht="18" customHeight="1">
      <x:c r="A1574" s="13" t="n">
        <x:v>44774</x:v>
      </x:c>
      <x:c r="B1574" s="12" t="n">
        <x:v>4.8</x:v>
      </x:c>
      <x:c r="C1574" s="12" t="n">
        <x:v>480</x:v>
      </x:c>
      <x:c r="D1574" s="12" t="n">
        <x:v>-3</x:v>
      </x:c>
      <x:c r="E1574" s="12" t="str">
        <x:v>Archived FRED mirror (Hugging Face)</x:v>
      </x:c>
    </x:row>
    <x:row r="1575" ht="18" customHeight="1">
      <x:c r="A1575" s="13" t="n">
        <x:v>44775</x:v>
      </x:c>
      <x:c r="B1575" s="12" t="n">
        <x:v>4.61</x:v>
      </x:c>
      <x:c r="C1575" s="12" t="n">
        <x:v>461.00000000000006</x:v>
      </x:c>
      <x:c r="D1575" s="12" t="n">
        <x:v>-18.999999999999943</x:v>
      </x:c>
      <x:c r="E1575" s="12" t="str">
        <x:v>Archived FRED mirror (Hugging Face)</x:v>
      </x:c>
    </x:row>
    <x:row r="1576" ht="18" customHeight="1">
      <x:c r="A1576" s="13" t="n">
        <x:v>44776</x:v>
      </x:c>
      <x:c r="B1576" s="12" t="n">
        <x:v>4.54</x:v>
      </x:c>
      <x:c r="C1576" s="12" t="n">
        <x:v>454</x:v>
      </x:c>
      <x:c r="D1576" s="12" t="n">
        <x:v>-7.000000000000057</x:v>
      </x:c>
      <x:c r="E1576" s="12" t="str">
        <x:v>Archived FRED mirror (Hugging Face)</x:v>
      </x:c>
    </x:row>
    <x:row r="1577" ht="18" customHeight="1">
      <x:c r="A1577" s="13" t="n">
        <x:v>44777</x:v>
      </x:c>
      <x:c r="B1577" s="12" t="n">
        <x:v>4.55</x:v>
      </x:c>
      <x:c r="C1577" s="12" t="n">
        <x:v>455</x:v>
      </x:c>
      <x:c r="D1577" s="12" t="n">
        <x:v>1</x:v>
      </x:c>
      <x:c r="E1577" s="12" t="str">
        <x:v>Archived FRED mirror (Hugging Face)</x:v>
      </x:c>
    </x:row>
    <x:row r="1578" ht="18" customHeight="1">
      <x:c r="A1578" s="13" t="n">
        <x:v>44778</x:v>
      </x:c>
      <x:c r="B1578" s="12" t="n">
        <x:v>4.44</x:v>
      </x:c>
      <x:c r="C1578" s="12" t="n">
        <x:v>444.00000000000006</x:v>
      </x:c>
      <x:c r="D1578" s="12" t="n">
        <x:v>-10.999999999999943</x:v>
      </x:c>
      <x:c r="E1578" s="12" t="str">
        <x:v>Archived FRED mirror (Hugging Face)</x:v>
      </x:c>
    </x:row>
    <x:row r="1579" ht="18" customHeight="1">
      <x:c r="A1579" s="13" t="n">
        <x:v>44781</x:v>
      </x:c>
      <x:c r="B1579" s="12" t="n">
        <x:v>4.41</x:v>
      </x:c>
      <x:c r="C1579" s="12" t="n">
        <x:v>441</x:v>
      </x:c>
      <x:c r="D1579" s="12" t="n">
        <x:v>-3.000000000000057</x:v>
      </x:c>
      <x:c r="E1579" s="12" t="str">
        <x:v>Archived FRED mirror (Hugging Face)</x:v>
      </x:c>
    </x:row>
    <x:row r="1580" ht="18" customHeight="1">
      <x:c r="A1580" s="13" t="n">
        <x:v>44782</x:v>
      </x:c>
      <x:c r="B1580" s="12" t="n">
        <x:v>4.46</x:v>
      </x:c>
      <x:c r="C1580" s="12" t="n">
        <x:v>446</x:v>
      </x:c>
      <x:c r="D1580" s="12" t="n">
        <x:v>5</x:v>
      </x:c>
      <x:c r="E1580" s="12" t="str">
        <x:v>Archived FRED mirror (Hugging Face)</x:v>
      </x:c>
    </x:row>
    <x:row r="1581" ht="18" customHeight="1">
      <x:c r="A1581" s="13" t="n">
        <x:v>44783</x:v>
      </x:c>
      <x:c r="B1581" s="12" t="n">
        <x:v>4.33</x:v>
      </x:c>
      <x:c r="C1581" s="12" t="n">
        <x:v>433</x:v>
      </x:c>
      <x:c r="D1581" s="12" t="n">
        <x:v>-13</x:v>
      </x:c>
      <x:c r="E1581" s="12" t="str">
        <x:v>Archived FRED mirror (Hugging Face)</x:v>
      </x:c>
    </x:row>
    <x:row r="1582" ht="18" customHeight="1">
      <x:c r="A1582" s="13" t="n">
        <x:v>44784</x:v>
      </x:c>
      <x:c r="B1582" s="12" t="n">
        <x:v>4.21</x:v>
      </x:c>
      <x:c r="C1582" s="12" t="n">
        <x:v>421</x:v>
      </x:c>
      <x:c r="D1582" s="12" t="n">
        <x:v>-12</x:v>
      </x:c>
      <x:c r="E1582" s="12" t="str">
        <x:v>Archived FRED mirror (Hugging Face)</x:v>
      </x:c>
    </x:row>
    <x:row r="1583" ht="18" customHeight="1">
      <x:c r="A1583" s="13" t="n">
        <x:v>44785</x:v>
      </x:c>
      <x:c r="B1583" s="12" t="n">
        <x:v>4.25</x:v>
      </x:c>
      <x:c r="C1583" s="12" t="n">
        <x:v>425</x:v>
      </x:c>
      <x:c r="D1583" s="12" t="n">
        <x:v>4</x:v>
      </x:c>
      <x:c r="E1583" s="12" t="str">
        <x:v>Archived FRED mirror (Hugging Face)</x:v>
      </x:c>
    </x:row>
    <x:row r="1584" ht="18" customHeight="1">
      <x:c r="A1584" s="13" t="n">
        <x:v>44788</x:v>
      </x:c>
      <x:c r="B1584" s="12" t="n">
        <x:v>4.24</x:v>
      </x:c>
      <x:c r="C1584" s="12" t="n">
        <x:v>424</x:v>
      </x:c>
      <x:c r="D1584" s="12" t="n">
        <x:v>-1</x:v>
      </x:c>
      <x:c r="E1584" s="12" t="str">
        <x:v>Archived FRED mirror (Hugging Face)</x:v>
      </x:c>
    </x:row>
    <x:row r="1585" ht="18" customHeight="1">
      <x:c r="A1585" s="13" t="n">
        <x:v>44789</x:v>
      </x:c>
      <x:c r="B1585" s="12" t="n">
        <x:v>4.25</x:v>
      </x:c>
      <x:c r="C1585" s="12" t="n">
        <x:v>425</x:v>
      </x:c>
      <x:c r="D1585" s="12" t="n">
        <x:v>1</x:v>
      </x:c>
      <x:c r="E1585" s="12" t="str">
        <x:v>Archived FRED mirror (Hugging Face)</x:v>
      </x:c>
    </x:row>
    <x:row r="1586" ht="18" customHeight="1">
      <x:c r="A1586" s="13" t="n">
        <x:v>44790</x:v>
      </x:c>
      <x:c r="B1586" s="12" t="n">
        <x:v>4.33</x:v>
      </x:c>
      <x:c r="C1586" s="12" t="n">
        <x:v>433</x:v>
      </x:c>
      <x:c r="D1586" s="12" t="n">
        <x:v>8</x:v>
      </x:c>
      <x:c r="E1586" s="12" t="str">
        <x:v>Archived FRED mirror (Hugging Face)</x:v>
      </x:c>
    </x:row>
    <x:row r="1587" ht="18" customHeight="1">
      <x:c r="A1587" s="13" t="n">
        <x:v>44791</x:v>
      </x:c>
      <x:c r="B1587" s="12" t="n">
        <x:v>4.37</x:v>
      </x:c>
      <x:c r="C1587" s="12" t="n">
        <x:v>437</x:v>
      </x:c>
      <x:c r="D1587" s="12" t="n">
        <x:v>4</x:v>
      </x:c>
      <x:c r="E1587" s="12" t="str">
        <x:v>Archived FRED mirror (Hugging Face)</x:v>
      </x:c>
    </x:row>
    <x:row r="1588" ht="18" customHeight="1">
      <x:c r="A1588" s="13" t="n">
        <x:v>44792</x:v>
      </x:c>
      <x:c r="B1588" s="12" t="n">
        <x:v>4.45</x:v>
      </x:c>
      <x:c r="C1588" s="12" t="n">
        <x:v>445</x:v>
      </x:c>
      <x:c r="D1588" s="12" t="n">
        <x:v>8</x:v>
      </x:c>
      <x:c r="E1588" s="12" t="str">
        <x:v>Archived FRED mirror (Hugging Face)</x:v>
      </x:c>
    </x:row>
    <x:row r="1589" ht="18" customHeight="1">
      <x:c r="A1589" s="13" t="n">
        <x:v>44795</x:v>
      </x:c>
      <x:c r="B1589" s="12" t="n">
        <x:v>4.62</x:v>
      </x:c>
      <x:c r="C1589" s="12" t="n">
        <x:v>462</x:v>
      </x:c>
      <x:c r="D1589" s="12" t="n">
        <x:v>17</x:v>
      </x:c>
      <x:c r="E1589" s="12" t="str">
        <x:v>Archived FRED mirror (Hugging Face)</x:v>
      </x:c>
    </x:row>
    <x:row r="1590" ht="18" customHeight="1">
      <x:c r="A1590" s="13" t="n">
        <x:v>44796</x:v>
      </x:c>
      <x:c r="B1590" s="12" t="n">
        <x:v>4.68</x:v>
      </x:c>
      <x:c r="C1590" s="12" t="n">
        <x:v>468</x:v>
      </x:c>
      <x:c r="D1590" s="12" t="n">
        <x:v>6</x:v>
      </x:c>
      <x:c r="E1590" s="12" t="str">
        <x:v>Archived FRED mirror (Hugging Face)</x:v>
      </x:c>
    </x:row>
    <x:row r="1591" ht="18" customHeight="1">
      <x:c r="A1591" s="13" t="n">
        <x:v>44797</x:v>
      </x:c>
      <x:c r="B1591" s="12" t="n">
        <x:v>4.61</x:v>
      </x:c>
      <x:c r="C1591" s="12" t="n">
        <x:v>461.00000000000006</x:v>
      </x:c>
      <x:c r="D1591" s="12" t="n">
        <x:v>-6.999999999999943</x:v>
      </x:c>
      <x:c r="E1591" s="12" t="str">
        <x:v>Archived FRED mirror (Hugging Face)</x:v>
      </x:c>
    </x:row>
    <x:row r="1592" ht="18" customHeight="1">
      <x:c r="A1592" s="13" t="n">
        <x:v>44798</x:v>
      </x:c>
      <x:c r="B1592" s="12" t="n">
        <x:v>4.6</x:v>
      </x:c>
      <x:c r="C1592" s="12" t="n">
        <x:v>459.99999999999994</x:v>
      </x:c>
      <x:c r="D1592" s="12" t="n">
        <x:v>-1.0000000000001137</x:v>
      </x:c>
      <x:c r="E1592" s="12" t="str">
        <x:v>Archived FRED mirror (Hugging Face)</x:v>
      </x:c>
    </x:row>
    <x:row r="1593" ht="18" customHeight="1">
      <x:c r="A1593" s="13" t="n">
        <x:v>44799</x:v>
      </x:c>
      <x:c r="B1593" s="12" t="n">
        <x:v>4.65</x:v>
      </x:c>
      <x:c r="C1593" s="12" t="n">
        <x:v>465.00000000000006</x:v>
      </x:c>
      <x:c r="D1593" s="12" t="n">
        <x:v>5.000000000000114</x:v>
      </x:c>
      <x:c r="E1593" s="12" t="str">
        <x:v>Archived FRED mirror (Hugging Face)</x:v>
      </x:c>
    </x:row>
    <x:row r="1594" ht="18" customHeight="1">
      <x:c r="A1594" s="13" t="n">
        <x:v>44802</x:v>
      </x:c>
      <x:c r="B1594" s="12" t="n">
        <x:v>4.78</x:v>
      </x:c>
      <x:c r="C1594" s="12" t="n">
        <x:v>478</x:v>
      </x:c>
      <x:c r="D1594" s="12" t="n">
        <x:v>12.999999999999943</x:v>
      </x:c>
      <x:c r="E1594" s="12" t="str">
        <x:v>Archived FRED mirror (Hugging Face)</x:v>
      </x:c>
    </x:row>
    <x:row r="1595" ht="18" customHeight="1">
      <x:c r="A1595" s="13" t="n">
        <x:v>44803</x:v>
      </x:c>
      <x:c r="B1595" s="12" t="n">
        <x:v>4.9</x:v>
      </x:c>
      <x:c r="C1595" s="12" t="n">
        <x:v>490.00000000000006</x:v>
      </x:c>
      <x:c r="D1595" s="12" t="n">
        <x:v>12.000000000000057</x:v>
      </x:c>
      <x:c r="E1595" s="12" t="str">
        <x:v>Archived FRED mirror (Hugging Face)</x:v>
      </x:c>
    </x:row>
    <x:row r="1596" ht="18" customHeight="1">
      <x:c r="A1596" s="13" t="n">
        <x:v>44804</x:v>
      </x:c>
      <x:c r="B1596" s="12" t="n">
        <x:v>5.03</x:v>
      </x:c>
      <x:c r="C1596" s="12" t="n">
        <x:v>503</x:v>
      </x:c>
      <x:c r="D1596" s="12" t="n">
        <x:v>12.999999999999943</x:v>
      </x:c>
      <x:c r="E1596" s="12" t="str">
        <x:v>Archived FRED mirror (Hugging Face)</x:v>
      </x:c>
    </x:row>
    <x:row r="1597" ht="18" customHeight="1">
      <x:c r="A1597" s="13" t="n">
        <x:v>44805</x:v>
      </x:c>
      <x:c r="B1597" s="12" t="n">
        <x:v>5.08</x:v>
      </x:c>
      <x:c r="C1597" s="12" t="n">
        <x:v>508</x:v>
      </x:c>
      <x:c r="D1597" s="12" t="n">
        <x:v>5</x:v>
      </x:c>
      <x:c r="E1597" s="12" t="str">
        <x:v>Archived FRED mirror (Hugging Face)</x:v>
      </x:c>
    </x:row>
    <x:row r="1598" ht="18" customHeight="1">
      <x:c r="A1598" s="13" t="n">
        <x:v>44806</x:v>
      </x:c>
      <x:c r="B1598" s="12" t="n">
        <x:v>5.06</x:v>
      </x:c>
      <x:c r="C1598" s="12" t="n">
        <x:v>505.99999999999994</x:v>
      </x:c>
      <x:c r="D1598" s="12" t="n">
        <x:v>-2.000000000000057</x:v>
      </x:c>
      <x:c r="E1598" s="12" t="str">
        <x:v>Archived FRED mirror (Hugging Face)</x:v>
      </x:c>
    </x:row>
    <x:row r="1599" ht="18" customHeight="1">
      <x:c r="A1599" s="13" t="n">
        <x:v>44809</x:v>
      </x:c>
      <x:c r="B1599" s="12" t="n">
        <x:v>5.07</x:v>
      </x:c>
      <x:c r="C1599" s="12" t="n">
        <x:v>507</x:v>
      </x:c>
      <x:c r="D1599" s="12" t="n">
        <x:v>1.0000000000000568</x:v>
      </x:c>
      <x:c r="E1599" s="12" t="str">
        <x:v>Archived FRED mirror (Hugging Face)</x:v>
      </x:c>
    </x:row>
    <x:row r="1600" ht="18" customHeight="1">
      <x:c r="A1600" s="13" t="n">
        <x:v>44810</x:v>
      </x:c>
      <x:c r="B1600" s="12" t="n">
        <x:v>4.98</x:v>
      </x:c>
      <x:c r="C1600" s="12" t="n">
        <x:v>498.00000000000006</x:v>
      </x:c>
      <x:c r="D1600" s="12" t="n">
        <x:v>-8.999999999999943</x:v>
      </x:c>
      <x:c r="E1600" s="12" t="str">
        <x:v>Archived FRED mirror (Hugging Face)</x:v>
      </x:c>
    </x:row>
    <x:row r="1601" ht="18" customHeight="1">
      <x:c r="A1601" s="13" t="n">
        <x:v>44811</x:v>
      </x:c>
      <x:c r="B1601" s="12" t="n">
        <x:v>4.97</x:v>
      </x:c>
      <x:c r="C1601" s="12" t="n">
        <x:v>497</x:v>
      </x:c>
      <x:c r="D1601" s="12" t="n">
        <x:v>-1.0000000000000568</x:v>
      </x:c>
      <x:c r="E1601" s="12" t="str">
        <x:v>Archived FRED mirror (Hugging Face)</x:v>
      </x:c>
    </x:row>
    <x:row r="1602" ht="18" customHeight="1">
      <x:c r="A1602" s="13" t="n">
        <x:v>44812</x:v>
      </x:c>
      <x:c r="B1602" s="12" t="n">
        <x:v>4.8</x:v>
      </x:c>
      <x:c r="C1602" s="12" t="n">
        <x:v>480</x:v>
      </x:c>
      <x:c r="D1602" s="12" t="n">
        <x:v>-17</x:v>
      </x:c>
      <x:c r="E1602" s="12" t="str">
        <x:v>Archived FRED mirror (Hugging Face)</x:v>
      </x:c>
    </x:row>
    <x:row r="1603" ht="18" customHeight="1">
      <x:c r="A1603" s="13" t="n">
        <x:v>44813</x:v>
      </x:c>
      <x:c r="B1603" s="12" t="n">
        <x:v>4.57</x:v>
      </x:c>
      <x:c r="C1603" s="12" t="n">
        <x:v>457</x:v>
      </x:c>
      <x:c r="D1603" s="12" t="n">
        <x:v>-23</x:v>
      </x:c>
      <x:c r="E1603" s="12" t="str">
        <x:v>Archived FRED mirror (Hugging Face)</x:v>
      </x:c>
    </x:row>
    <x:row r="1604" ht="18" customHeight="1">
      <x:c r="A1604" s="13" t="n">
        <x:v>44816</x:v>
      </x:c>
      <x:c r="B1604" s="12" t="n">
        <x:v>4.5</x:v>
      </x:c>
      <x:c r="C1604" s="12" t="n">
        <x:v>450</x:v>
      </x:c>
      <x:c r="D1604" s="12" t="n">
        <x:v>-7</x:v>
      </x:c>
      <x:c r="E1604" s="12" t="str">
        <x:v>Archived FRED mirror (Hugging Face)</x:v>
      </x:c>
    </x:row>
    <x:row r="1605" ht="18" customHeight="1">
      <x:c r="A1605" s="13" t="n">
        <x:v>44817</x:v>
      </x:c>
      <x:c r="B1605" s="12" t="n">
        <x:v>4.68</x:v>
      </x:c>
      <x:c r="C1605" s="12" t="n">
        <x:v>468</x:v>
      </x:c>
      <x:c r="D1605" s="12" t="n">
        <x:v>18</x:v>
      </x:c>
      <x:c r="E1605" s="12" t="str">
        <x:v>Archived FRED mirror (Hugging Face)</x:v>
      </x:c>
    </x:row>
    <x:row r="1606" ht="18" customHeight="1">
      <x:c r="A1606" s="13" t="n">
        <x:v>44818</x:v>
      </x:c>
      <x:c r="B1606" s="12" t="n">
        <x:v>4.74</x:v>
      </x:c>
      <x:c r="C1606" s="12" t="n">
        <x:v>474</x:v>
      </x:c>
      <x:c r="D1606" s="12" t="n">
        <x:v>6</x:v>
      </x:c>
      <x:c r="E1606" s="12" t="str">
        <x:v>Archived FRED mirror (Hugging Face)</x:v>
      </x:c>
    </x:row>
    <x:row r="1607" ht="18" customHeight="1">
      <x:c r="A1607" s="13" t="n">
        <x:v>44819</x:v>
      </x:c>
      <x:c r="B1607" s="12" t="n">
        <x:v>4.77</x:v>
      </x:c>
      <x:c r="C1607" s="12" t="n">
        <x:v>476.99999999999994</x:v>
      </x:c>
      <x:c r="D1607" s="12" t="n">
        <x:v>2.999999999999943</x:v>
      </x:c>
      <x:c r="E1607" s="12" t="str">
        <x:v>Archived FRED mirror (Hugging Face)</x:v>
      </x:c>
    </x:row>
    <x:row r="1608" ht="18" customHeight="1">
      <x:c r="A1608" s="13" t="n">
        <x:v>44820</x:v>
      </x:c>
      <x:c r="B1608" s="12" t="n">
        <x:v>5</x:v>
      </x:c>
      <x:c r="C1608" s="12" t="n">
        <x:v>500</x:v>
      </x:c>
      <x:c r="D1608" s="12" t="n">
        <x:v>23.000000000000057</x:v>
      </x:c>
      <x:c r="E1608" s="12" t="str">
        <x:v>Archived FRED mirror (Hugging Face)</x:v>
      </x:c>
    </x:row>
    <x:row r="1609" ht="18" customHeight="1">
      <x:c r="A1609" s="13" t="n">
        <x:v>44823</x:v>
      </x:c>
      <x:c r="B1609" s="12" t="n">
        <x:v>4.88</x:v>
      </x:c>
      <x:c r="C1609" s="12" t="n">
        <x:v>488</x:v>
      </x:c>
      <x:c r="D1609" s="12" t="n">
        <x:v>-12</x:v>
      </x:c>
      <x:c r="E1609" s="12" t="str">
        <x:v>Archived FRED mirror (Hugging Face)</x:v>
      </x:c>
    </x:row>
    <x:row r="1610" ht="18" customHeight="1">
      <x:c r="A1610" s="13" t="n">
        <x:v>44824</x:v>
      </x:c>
      <x:c r="B1610" s="12" t="n">
        <x:v>4.88</x:v>
      </x:c>
      <x:c r="C1610" s="12" t="n">
        <x:v>488</x:v>
      </x:c>
      <x:c r="D1610" s="12" t="n">
        <x:v>0</x:v>
      </x:c>
      <x:c r="E1610" s="12" t="str">
        <x:v>Archived FRED mirror (Hugging Face)</x:v>
      </x:c>
    </x:row>
    <x:row r="1611" ht="18" customHeight="1">
      <x:c r="A1611" s="13" t="n">
        <x:v>44825</x:v>
      </x:c>
      <x:c r="B1611" s="12" t="n">
        <x:v>4.87</x:v>
      </x:c>
      <x:c r="C1611" s="12" t="n">
        <x:v>487</x:v>
      </x:c>
      <x:c r="D1611" s="12" t="n">
        <x:v>-1</x:v>
      </x:c>
      <x:c r="E1611" s="12" t="str">
        <x:v>Archived FRED mirror (Hugging Face)</x:v>
      </x:c>
    </x:row>
    <x:row r="1612" ht="18" customHeight="1">
      <x:c r="A1612" s="13" t="n">
        <x:v>44826</x:v>
      </x:c>
      <x:c r="B1612" s="12" t="n">
        <x:v>4.91</x:v>
      </x:c>
      <x:c r="C1612" s="12" t="n">
        <x:v>491</x:v>
      </x:c>
      <x:c r="D1612" s="12" t="n">
        <x:v>4</x:v>
      </x:c>
      <x:c r="E1612" s="12" t="str">
        <x:v>Archived FRED mirror (Hugging Face)</x:v>
      </x:c>
    </x:row>
    <x:row r="1613" ht="18" customHeight="1">
      <x:c r="A1613" s="13" t="n">
        <x:v>44827</x:v>
      </x:c>
      <x:c r="B1613" s="12" t="n">
        <x:v>5.12</x:v>
      </x:c>
      <x:c r="C1613" s="12" t="n">
        <x:v>512</x:v>
      </x:c>
      <x:c r="D1613" s="12" t="n">
        <x:v>21</x:v>
      </x:c>
      <x:c r="E1613" s="12" t="str">
        <x:v>Archived FRED mirror (Hugging Face)</x:v>
      </x:c>
    </x:row>
    <x:row r="1614" ht="18" customHeight="1">
      <x:c r="A1614" s="13" t="n">
        <x:v>44830</x:v>
      </x:c>
      <x:c r="B1614" s="12" t="n">
        <x:v>5.18</x:v>
      </x:c>
      <x:c r="C1614" s="12" t="n">
        <x:v>518</x:v>
      </x:c>
      <x:c r="D1614" s="12" t="n">
        <x:v>6</x:v>
      </x:c>
      <x:c r="E1614" s="12" t="str">
        <x:v>Archived FRED mirror (Hugging Face)</x:v>
      </x:c>
    </x:row>
    <x:row r="1615" ht="18" customHeight="1">
      <x:c r="A1615" s="13" t="n">
        <x:v>44831</x:v>
      </x:c>
      <x:c r="B1615" s="12" t="n">
        <x:v>5.22</x:v>
      </x:c>
      <x:c r="C1615" s="12" t="n">
        <x:v>522</x:v>
      </x:c>
      <x:c r="D1615" s="12" t="n">
        <x:v>4</x:v>
      </x:c>
      <x:c r="E1615" s="12" t="str">
        <x:v>Archived FRED mirror (Hugging Face)</x:v>
      </x:c>
    </x:row>
    <x:row r="1616" ht="18" customHeight="1">
      <x:c r="A1616" s="13" t="n">
        <x:v>44832</x:v>
      </x:c>
      <x:c r="B1616" s="12" t="n">
        <x:v>5.47</x:v>
      </x:c>
      <x:c r="C1616" s="12" t="n">
        <x:v>547</x:v>
      </x:c>
      <x:c r="D1616" s="12" t="n">
        <x:v>25</x:v>
      </x:c>
      <x:c r="E1616" s="12" t="str">
        <x:v>Archived FRED mirror (Hugging Face)</x:v>
      </x:c>
    </x:row>
    <x:row r="1617" ht="18" customHeight="1">
      <x:c r="A1617" s="13" t="n">
        <x:v>44833</x:v>
      </x:c>
      <x:c r="B1617" s="12" t="n">
        <x:v>5.5</x:v>
      </x:c>
      <x:c r="C1617" s="12" t="n">
        <x:v>550</x:v>
      </x:c>
      <x:c r="D1617" s="12" t="n">
        <x:v>3</x:v>
      </x:c>
      <x:c r="E1617" s="12" t="str">
        <x:v>Archived FRED mirror (Hugging Face)</x:v>
      </x:c>
    </x:row>
    <x:row r="1618" ht="18" customHeight="1">
      <x:c r="A1618" s="13" t="n">
        <x:v>44834</x:v>
      </x:c>
      <x:c r="B1618" s="12" t="n">
        <x:v>5.43</x:v>
      </x:c>
      <x:c r="C1618" s="12" t="n">
        <x:v>543</x:v>
      </x:c>
      <x:c r="D1618" s="12" t="n">
        <x:v>-7</x:v>
      </x:c>
      <x:c r="E1618" s="12" t="str">
        <x:v>Archived FRED mirror (Hugging Face)</x:v>
      </x:c>
    </x:row>
    <x:row r="1619" ht="18" customHeight="1">
      <x:c r="A1619" s="13" t="n">
        <x:v>44837</x:v>
      </x:c>
      <x:c r="B1619" s="12" t="n">
        <x:v>5.43</x:v>
      </x:c>
      <x:c r="C1619" s="12" t="n">
        <x:v>543</x:v>
      </x:c>
      <x:c r="D1619" s="12" t="n">
        <x:v>0</x:v>
      </x:c>
      <x:c r="E1619" s="12" t="str">
        <x:v>Archived FRED mirror (Hugging Face)</x:v>
      </x:c>
    </x:row>
    <x:row r="1620" ht="18" customHeight="1">
      <x:c r="A1620" s="13" t="n">
        <x:v>44838</x:v>
      </x:c>
      <x:c r="B1620" s="12" t="n">
        <x:v>5.12</x:v>
      </x:c>
      <x:c r="C1620" s="12" t="n">
        <x:v>512</x:v>
      </x:c>
      <x:c r="D1620" s="12" t="n">
        <x:v>-31</x:v>
      </x:c>
      <x:c r="E1620" s="12" t="str">
        <x:v>Archived FRED mirror (Hugging Face)</x:v>
      </x:c>
    </x:row>
    <x:row r="1621" ht="18" customHeight="1">
      <x:c r="A1621" s="13" t="n">
        <x:v>44839</x:v>
      </x:c>
      <x:c r="B1621" s="12" t="n">
        <x:v>5.09</x:v>
      </x:c>
      <x:c r="C1621" s="12" t="n">
        <x:v>509</x:v>
      </x:c>
      <x:c r="D1621" s="12" t="n">
        <x:v>-3</x:v>
      </x:c>
      <x:c r="E1621" s="12" t="str">
        <x:v>Archived FRED mirror (Hugging Face)</x:v>
      </x:c>
    </x:row>
    <x:row r="1622" ht="18" customHeight="1">
      <x:c r="A1622" s="13" t="n">
        <x:v>44840</x:v>
      </x:c>
      <x:c r="B1622" s="12" t="n">
        <x:v>4.95</x:v>
      </x:c>
      <x:c r="C1622" s="12" t="n">
        <x:v>495</x:v>
      </x:c>
      <x:c r="D1622" s="12" t="n">
        <x:v>-14</x:v>
      </x:c>
      <x:c r="E1622" s="12" t="str">
        <x:v>Archived FRED mirror (Hugging Face)</x:v>
      </x:c>
    </x:row>
    <x:row r="1623" ht="18" customHeight="1">
      <x:c r="A1623" s="13" t="n">
        <x:v>44841</x:v>
      </x:c>
      <x:c r="B1623" s="12" t="n">
        <x:v>5.02</x:v>
      </x:c>
      <x:c r="C1623" s="12" t="n">
        <x:v>501.99999999999994</x:v>
      </x:c>
      <x:c r="D1623" s="12" t="n">
        <x:v>6.999999999999943</x:v>
      </x:c>
      <x:c r="E1623" s="12" t="str">
        <x:v>Archived FRED mirror (Hugging Face)</x:v>
      </x:c>
    </x:row>
    <x:row r="1624" ht="18" customHeight="1">
      <x:c r="A1624" s="13" t="n">
        <x:v>44844</x:v>
      </x:c>
      <x:c r="B1624" s="12" t="n">
        <x:v>5.03</x:v>
      </x:c>
      <x:c r="C1624" s="12" t="n">
        <x:v>503</x:v>
      </x:c>
      <x:c r="D1624" s="12" t="n">
        <x:v>1.0000000000000568</x:v>
      </x:c>
      <x:c r="E1624" s="12" t="str">
        <x:v>Archived FRED mirror (Hugging Face)</x:v>
      </x:c>
    </x:row>
    <x:row r="1625" ht="18" customHeight="1">
      <x:c r="A1625" s="13" t="n">
        <x:v>44845</x:v>
      </x:c>
      <x:c r="B1625" s="12" t="n">
        <x:v>5.25</x:v>
      </x:c>
      <x:c r="C1625" s="12" t="n">
        <x:v>525</x:v>
      </x:c>
      <x:c r="D1625" s="12" t="n">
        <x:v>22</x:v>
      </x:c>
      <x:c r="E1625" s="12" t="str">
        <x:v>Archived FRED mirror (Hugging Face)</x:v>
      </x:c>
    </x:row>
    <x:row r="1626" ht="18" customHeight="1">
      <x:c r="A1626" s="13" t="n">
        <x:v>44846</x:v>
      </x:c>
      <x:c r="B1626" s="12" t="n">
        <x:v>5.31</x:v>
      </x:c>
      <x:c r="C1626" s="12" t="n">
        <x:v>531</x:v>
      </x:c>
      <x:c r="D1626" s="12" t="n">
        <x:v>6</x:v>
      </x:c>
      <x:c r="E1626" s="12" t="str">
        <x:v>Archived FRED mirror (Hugging Face)</x:v>
      </x:c>
    </x:row>
    <x:row r="1627" ht="18" customHeight="1">
      <x:c r="A1627" s="13" t="n">
        <x:v>44847</x:v>
      </x:c>
      <x:c r="B1627" s="12" t="n">
        <x:v>5.25</x:v>
      </x:c>
      <x:c r="C1627" s="12" t="n">
        <x:v>525</x:v>
      </x:c>
      <x:c r="D1627" s="12" t="n">
        <x:v>-6</x:v>
      </x:c>
      <x:c r="E1627" s="12" t="str">
        <x:v>Archived FRED mirror (Hugging Face)</x:v>
      </x:c>
    </x:row>
    <x:row r="1628" ht="18" customHeight="1">
      <x:c r="A1628" s="13" t="n">
        <x:v>44848</x:v>
      </x:c>
      <x:c r="B1628" s="12" t="n">
        <x:v>5.15</x:v>
      </x:c>
      <x:c r="C1628" s="12" t="n">
        <x:v>515</x:v>
      </x:c>
      <x:c r="D1628" s="12" t="n">
        <x:v>-10</x:v>
      </x:c>
      <x:c r="E1628" s="12" t="str">
        <x:v>Archived FRED mirror (Hugging Face)</x:v>
      </x:c>
    </x:row>
    <x:row r="1629" ht="18" customHeight="1">
      <x:c r="A1629" s="13" t="n">
        <x:v>44851</x:v>
      </x:c>
      <x:c r="B1629" s="12" t="n">
        <x:v>5.04</x:v>
      </x:c>
      <x:c r="C1629" s="12" t="n">
        <x:v>504</x:v>
      </x:c>
      <x:c r="D1629" s="12" t="n">
        <x:v>-11</x:v>
      </x:c>
      <x:c r="E1629" s="12" t="str">
        <x:v>Archived FRED mirror (Hugging Face)</x:v>
      </x:c>
    </x:row>
    <x:row r="1630" ht="18" customHeight="1">
      <x:c r="A1630" s="13" t="n">
        <x:v>44852</x:v>
      </x:c>
      <x:c r="B1630" s="12" t="n">
        <x:v>4.95</x:v>
      </x:c>
      <x:c r="C1630" s="12" t="n">
        <x:v>495</x:v>
      </x:c>
      <x:c r="D1630" s="12" t="n">
        <x:v>-9</x:v>
      </x:c>
      <x:c r="E1630" s="12" t="str">
        <x:v>Archived FRED mirror (Hugging Face)</x:v>
      </x:c>
    </x:row>
    <x:row r="1631" ht="18" customHeight="1">
      <x:c r="A1631" s="13" t="n">
        <x:v>44853</x:v>
      </x:c>
      <x:c r="B1631" s="12" t="n">
        <x:v>4.97</x:v>
      </x:c>
      <x:c r="C1631" s="12" t="n">
        <x:v>497</x:v>
      </x:c>
      <x:c r="D1631" s="12" t="n">
        <x:v>2</x:v>
      </x:c>
      <x:c r="E1631" s="12" t="str">
        <x:v>Archived FRED mirror (Hugging Face)</x:v>
      </x:c>
    </x:row>
    <x:row r="1632" ht="18" customHeight="1">
      <x:c r="A1632" s="13" t="n">
        <x:v>44854</x:v>
      </x:c>
      <x:c r="B1632" s="12" t="n">
        <x:v>4.89</x:v>
      </x:c>
      <x:c r="C1632" s="12" t="n">
        <x:v>488.99999999999994</x:v>
      </x:c>
      <x:c r="D1632" s="12" t="n">
        <x:v>-8.000000000000057</x:v>
      </x:c>
      <x:c r="E1632" s="12" t="str">
        <x:v>Archived FRED mirror (Hugging Face)</x:v>
      </x:c>
    </x:row>
    <x:row r="1633" ht="18" customHeight="1">
      <x:c r="A1633" s="13" t="n">
        <x:v>44855</x:v>
      </x:c>
      <x:c r="B1633" s="12" t="n">
        <x:v>4.99</x:v>
      </x:c>
      <x:c r="C1633" s="12" t="n">
        <x:v>499</x:v>
      </x:c>
      <x:c r="D1633" s="12" t="n">
        <x:v>10.000000000000057</x:v>
      </x:c>
      <x:c r="E1633" s="12" t="str">
        <x:v>Archived FRED mirror (Hugging Face)</x:v>
      </x:c>
    </x:row>
    <x:row r="1634" ht="18" customHeight="1">
      <x:c r="A1634" s="13" t="n">
        <x:v>44858</x:v>
      </x:c>
      <x:c r="B1634" s="12" t="n">
        <x:v>4.91</x:v>
      </x:c>
      <x:c r="C1634" s="12" t="n">
        <x:v>491</x:v>
      </x:c>
      <x:c r="D1634" s="12" t="n">
        <x:v>-8</x:v>
      </x:c>
      <x:c r="E1634" s="12" t="str">
        <x:v>Archived FRED mirror (Hugging Face)</x:v>
      </x:c>
    </x:row>
    <x:row r="1635" ht="18" customHeight="1">
      <x:c r="A1635" s="13" t="n">
        <x:v>44859</x:v>
      </x:c>
      <x:c r="B1635" s="12" t="n">
        <x:v>4.88</x:v>
      </x:c>
      <x:c r="C1635" s="12" t="n">
        <x:v>488</x:v>
      </x:c>
      <x:c r="D1635" s="12" t="n">
        <x:v>-3</x:v>
      </x:c>
      <x:c r="E1635" s="12" t="str">
        <x:v>Archived FRED mirror (Hugging Face)</x:v>
      </x:c>
    </x:row>
    <x:row r="1636" ht="18" customHeight="1">
      <x:c r="A1636" s="13" t="n">
        <x:v>44860</x:v>
      </x:c>
      <x:c r="B1636" s="12" t="n">
        <x:v>4.8</x:v>
      </x:c>
      <x:c r="C1636" s="12" t="n">
        <x:v>480</x:v>
      </x:c>
      <x:c r="D1636" s="12" t="n">
        <x:v>-8</x:v>
      </x:c>
      <x:c r="E1636" s="12" t="str">
        <x:v>Archived FRED mirror (Hugging Face)</x:v>
      </x:c>
    </x:row>
    <x:row r="1637" ht="18" customHeight="1">
      <x:c r="A1637" s="13" t="n">
        <x:v>44861</x:v>
      </x:c>
      <x:c r="B1637" s="12" t="n">
        <x:v>4.76</x:v>
      </x:c>
      <x:c r="C1637" s="12" t="n">
        <x:v>476</x:v>
      </x:c>
      <x:c r="D1637" s="12" t="n">
        <x:v>-4</x:v>
      </x:c>
      <x:c r="E1637" s="12" t="str">
        <x:v>Archived FRED mirror (Hugging Face)</x:v>
      </x:c>
    </x:row>
    <x:row r="1638" ht="18" customHeight="1">
      <x:c r="A1638" s="13" t="n">
        <x:v>44862</x:v>
      </x:c>
      <x:c r="B1638" s="12" t="n">
        <x:v>4.54</x:v>
      </x:c>
      <x:c r="C1638" s="12" t="n">
        <x:v>454</x:v>
      </x:c>
      <x:c r="D1638" s="12" t="n">
        <x:v>-22</x:v>
      </x:c>
      <x:c r="E1638" s="12" t="str">
        <x:v>Archived FRED mirror (Hugging Face)</x:v>
      </x:c>
    </x:row>
    <x:row r="1639" ht="18" customHeight="1">
      <x:c r="A1639" s="13" t="n">
        <x:v>44865</x:v>
      </x:c>
      <x:c r="B1639" s="12" t="n">
        <x:v>4.63</x:v>
      </x:c>
      <x:c r="C1639" s="12" t="n">
        <x:v>463</x:v>
      </x:c>
      <x:c r="D1639" s="12" t="n">
        <x:v>9</x:v>
      </x:c>
      <x:c r="E1639" s="12" t="str">
        <x:v>Archived FRED mirror (Hugging Face)</x:v>
      </x:c>
    </x:row>
    <x:row r="1640" ht="18" customHeight="1">
      <x:c r="A1640" s="13" t="n">
        <x:v>44866</x:v>
      </x:c>
      <x:c r="B1640" s="12" t="n">
        <x:v>4.61</x:v>
      </x:c>
      <x:c r="C1640" s="12" t="n">
        <x:v>461.00000000000006</x:v>
      </x:c>
      <x:c r="D1640" s="12" t="n">
        <x:v>-1.9999999999999432</x:v>
      </x:c>
      <x:c r="E1640" s="12" t="str">
        <x:v>Archived FRED mirror (Hugging Face)</x:v>
      </x:c>
    </x:row>
    <x:row r="1641" ht="18" customHeight="1">
      <x:c r="A1641" s="13" t="n">
        <x:v>44867</x:v>
      </x:c>
      <x:c r="B1641" s="12" t="n">
        <x:v>4.62</x:v>
      </x:c>
      <x:c r="C1641" s="12" t="n">
        <x:v>462</x:v>
      </x:c>
      <x:c r="D1641" s="12" t="n">
        <x:v>0.9999999999999432</x:v>
      </x:c>
      <x:c r="E1641" s="12" t="str">
        <x:v>Archived FRED mirror (Hugging Face)</x:v>
      </x:c>
    </x:row>
    <x:row r="1642" ht="18" customHeight="1">
      <x:c r="A1642" s="13" t="n">
        <x:v>44868</x:v>
      </x:c>
      <x:c r="B1642" s="12" t="n">
        <x:v>4.81</x:v>
      </x:c>
      <x:c r="C1642" s="12" t="n">
        <x:v>480.99999999999994</x:v>
      </x:c>
      <x:c r="D1642" s="12" t="n">
        <x:v>18.999999999999943</x:v>
      </x:c>
      <x:c r="E1642" s="12" t="str">
        <x:v>Archived FRED mirror (Hugging Face)</x:v>
      </x:c>
    </x:row>
    <x:row r="1643" ht="18" customHeight="1">
      <x:c r="A1643" s="13" t="n">
        <x:v>44869</x:v>
      </x:c>
      <x:c r="B1643" s="12" t="n">
        <x:v>4.77</x:v>
      </x:c>
      <x:c r="C1643" s="12" t="n">
        <x:v>476.99999999999994</x:v>
      </x:c>
      <x:c r="D1643" s="12" t="n">
        <x:v>-4</x:v>
      </x:c>
      <x:c r="E1643" s="12" t="str">
        <x:v>Archived FRED mirror (Hugging Face)</x:v>
      </x:c>
    </x:row>
    <x:row r="1644" ht="18" customHeight="1">
      <x:c r="A1644" s="13" t="n">
        <x:v>44872</x:v>
      </x:c>
      <x:c r="B1644" s="12" t="n">
        <x:v>4.71</x:v>
      </x:c>
      <x:c r="C1644" s="12" t="n">
        <x:v>471</x:v>
      </x:c>
      <x:c r="D1644" s="12" t="n">
        <x:v>-5.999999999999943</x:v>
      </x:c>
      <x:c r="E1644" s="12" t="str">
        <x:v>Archived FRED mirror (Hugging Face)</x:v>
      </x:c>
    </x:row>
    <x:row r="1645" ht="18" customHeight="1">
      <x:c r="A1645" s="13" t="n">
        <x:v>44873</x:v>
      </x:c>
      <x:c r="B1645" s="12" t="n">
        <x:v>4.79</x:v>
      </x:c>
      <x:c r="C1645" s="12" t="n">
        <x:v>479</x:v>
      </x:c>
      <x:c r="D1645" s="12" t="n">
        <x:v>8</x:v>
      </x:c>
      <x:c r="E1645" s="12" t="str">
        <x:v>Archived FRED mirror (Hugging Face)</x:v>
      </x:c>
    </x:row>
    <x:row r="1646" ht="18" customHeight="1">
      <x:c r="A1646" s="13" t="n">
        <x:v>44874</x:v>
      </x:c>
      <x:c r="B1646" s="12" t="n">
        <x:v>4.99</x:v>
      </x:c>
      <x:c r="C1646" s="12" t="n">
        <x:v>499</x:v>
      </x:c>
      <x:c r="D1646" s="12" t="n">
        <x:v>20</x:v>
      </x:c>
      <x:c r="E1646" s="12" t="str">
        <x:v>Archived FRED mirror (Hugging Face)</x:v>
      </x:c>
    </x:row>
    <x:row r="1647" ht="18" customHeight="1">
      <x:c r="A1647" s="13" t="n">
        <x:v>44875</x:v>
      </x:c>
      <x:c r="B1647" s="12" t="n">
        <x:v>4.8</x:v>
      </x:c>
      <x:c r="C1647" s="12" t="n">
        <x:v>480</x:v>
      </x:c>
      <x:c r="D1647" s="12" t="n">
        <x:v>-19</x:v>
      </x:c>
      <x:c r="E1647" s="12" t="str">
        <x:v>Archived FRED mirror (Hugging Face)</x:v>
      </x:c>
    </x:row>
    <x:row r="1648" ht="18" customHeight="1">
      <x:c r="A1648" s="13" t="n">
        <x:v>44876</x:v>
      </x:c>
      <x:c r="B1648" s="12" t="n">
        <x:v>4.81</x:v>
      </x:c>
      <x:c r="C1648" s="12" t="n">
        <x:v>480.99999999999994</x:v>
      </x:c>
      <x:c r="D1648" s="12" t="n">
        <x:v>0.9999999999999432</x:v>
      </x:c>
      <x:c r="E1648" s="12" t="str">
        <x:v>Archived FRED mirror (Hugging Face)</x:v>
      </x:c>
    </x:row>
    <x:row r="1649" ht="18" customHeight="1">
      <x:c r="A1649" s="13" t="n">
        <x:v>44879</x:v>
      </x:c>
      <x:c r="B1649" s="12" t="n">
        <x:v>4.67</x:v>
      </x:c>
      <x:c r="C1649" s="12" t="n">
        <x:v>467</x:v>
      </x:c>
      <x:c r="D1649" s="12" t="n">
        <x:v>-13.999999999999943</x:v>
      </x:c>
      <x:c r="E1649" s="12" t="str">
        <x:v>Archived FRED mirror (Hugging Face)</x:v>
      </x:c>
    </x:row>
    <x:row r="1650" ht="18" customHeight="1">
      <x:c r="A1650" s="13" t="n">
        <x:v>44880</x:v>
      </x:c>
      <x:c r="B1650" s="12" t="n">
        <x:v>4.64</x:v>
      </x:c>
      <x:c r="C1650" s="12" t="n">
        <x:v>463.99999999999994</x:v>
      </x:c>
      <x:c r="D1650" s="12" t="n">
        <x:v>-3.000000000000057</x:v>
      </x:c>
      <x:c r="E1650" s="12" t="str">
        <x:v>Archived FRED mirror (Hugging Face)</x:v>
      </x:c>
    </x:row>
    <x:row r="1651" ht="18" customHeight="1">
      <x:c r="A1651" s="13" t="n">
        <x:v>44881</x:v>
      </x:c>
      <x:c r="B1651" s="12" t="n">
        <x:v>4.71</x:v>
      </x:c>
      <x:c r="C1651" s="12" t="n">
        <x:v>471</x:v>
      </x:c>
      <x:c r="D1651" s="12" t="n">
        <x:v>7.000000000000057</x:v>
      </x:c>
      <x:c r="E1651" s="12" t="str">
        <x:v>Archived FRED mirror (Hugging Face)</x:v>
      </x:c>
    </x:row>
    <x:row r="1652" ht="18" customHeight="1">
      <x:c r="A1652" s="13" t="n">
        <x:v>44882</x:v>
      </x:c>
      <x:c r="B1652" s="12" t="n">
        <x:v>4.75</x:v>
      </x:c>
      <x:c r="C1652" s="12" t="n">
        <x:v>475</x:v>
      </x:c>
      <x:c r="D1652" s="12" t="n">
        <x:v>4</x:v>
      </x:c>
      <x:c r="E1652" s="12" t="str">
        <x:v>Archived FRED mirror (Hugging Face)</x:v>
      </x:c>
    </x:row>
    <x:row r="1653" ht="18" customHeight="1">
      <x:c r="A1653" s="13" t="n">
        <x:v>44883</x:v>
      </x:c>
      <x:c r="B1653" s="12" t="n">
        <x:v>4.65</x:v>
      </x:c>
      <x:c r="C1653" s="12" t="n">
        <x:v>465.00000000000006</x:v>
      </x:c>
      <x:c r="D1653" s="12" t="n">
        <x:v>-9.999999999999943</x:v>
      </x:c>
      <x:c r="E1653" s="12" t="str">
        <x:v>Archived FRED mirror (Hugging Face)</x:v>
      </x:c>
    </x:row>
    <x:row r="1654" ht="18" customHeight="1">
      <x:c r="A1654" s="13" t="n">
        <x:v>44886</x:v>
      </x:c>
      <x:c r="B1654" s="12" t="n">
        <x:v>4.64</x:v>
      </x:c>
      <x:c r="C1654" s="12" t="n">
        <x:v>463.99999999999994</x:v>
      </x:c>
      <x:c r="D1654" s="12" t="n">
        <x:v>-1.0000000000001137</x:v>
      </x:c>
      <x:c r="E1654" s="12" t="str">
        <x:v>Archived FRED mirror (Hugging Face)</x:v>
      </x:c>
    </x:row>
    <x:row r="1655" ht="18" customHeight="1">
      <x:c r="A1655" s="13" t="n">
        <x:v>44887</x:v>
      </x:c>
      <x:c r="B1655" s="12" t="n">
        <x:v>4.57</x:v>
      </x:c>
      <x:c r="C1655" s="12" t="n">
        <x:v>457</x:v>
      </x:c>
      <x:c r="D1655" s="12" t="n">
        <x:v>-6.999999999999943</x:v>
      </x:c>
      <x:c r="E1655" s="12" t="str">
        <x:v>Archived FRED mirror (Hugging Face)</x:v>
      </x:c>
    </x:row>
    <x:row r="1656" ht="18" customHeight="1">
      <x:c r="A1656" s="13" t="n">
        <x:v>44888</x:v>
      </x:c>
      <x:c r="B1656" s="12" t="n">
        <x:v>4.51</x:v>
      </x:c>
      <x:c r="C1656" s="12" t="n">
        <x:v>451</x:v>
      </x:c>
      <x:c r="D1656" s="12" t="n">
        <x:v>-6</x:v>
      </x:c>
      <x:c r="E1656" s="12" t="str">
        <x:v>Archived FRED mirror (Hugging Face)</x:v>
      </x:c>
    </x:row>
    <x:row r="1657" ht="18" customHeight="1">
      <x:c r="A1657" s="13" t="n">
        <x:v>44889</x:v>
      </x:c>
      <x:c r="B1657" s="12" t="n">
        <x:v>4.51</x:v>
      </x:c>
      <x:c r="C1657" s="12" t="n">
        <x:v>451</x:v>
      </x:c>
      <x:c r="D1657" s="12" t="n">
        <x:v>0</x:v>
      </x:c>
      <x:c r="E1657" s="12" t="str">
        <x:v>Archived FRED mirror (Hugging Face)</x:v>
      </x:c>
    </x:row>
    <x:row r="1658" ht="18" customHeight="1">
      <x:c r="A1658" s="13" t="n">
        <x:v>44890</x:v>
      </x:c>
      <x:c r="B1658" s="12" t="n">
        <x:v>4.52</x:v>
      </x:c>
      <x:c r="C1658" s="12" t="n">
        <x:v>451.99999999999994</x:v>
      </x:c>
      <x:c r="D1658" s="12" t="n">
        <x:v>0.9999999999999432</x:v>
      </x:c>
      <x:c r="E1658" s="12" t="str">
        <x:v>Archived FRED mirror (Hugging Face)</x:v>
      </x:c>
    </x:row>
    <x:row r="1659" ht="18" customHeight="1">
      <x:c r="A1659" s="13" t="n">
        <x:v>44893</x:v>
      </x:c>
      <x:c r="B1659" s="12" t="n">
        <x:v>4.63</x:v>
      </x:c>
      <x:c r="C1659" s="12" t="n">
        <x:v>463</x:v>
      </x:c>
      <x:c r="D1659" s="12" t="n">
        <x:v>11.000000000000057</x:v>
      </x:c>
      <x:c r="E1659" s="12" t="str">
        <x:v>Archived FRED mirror (Hugging Face)</x:v>
      </x:c>
    </x:row>
    <x:row r="1660" ht="18" customHeight="1">
      <x:c r="A1660" s="13" t="n">
        <x:v>44894</x:v>
      </x:c>
      <x:c r="B1660" s="12" t="n">
        <x:v>4.63</x:v>
      </x:c>
      <x:c r="C1660" s="12" t="n">
        <x:v>463</x:v>
      </x:c>
      <x:c r="D1660" s="12" t="n">
        <x:v>0</x:v>
      </x:c>
      <x:c r="E1660" s="12" t="str">
        <x:v>Archived FRED mirror (Hugging Face)</x:v>
      </x:c>
    </x:row>
    <x:row r="1661" ht="18" customHeight="1">
      <x:c r="A1661" s="13" t="n">
        <x:v>44895</x:v>
      </x:c>
      <x:c r="B1661" s="12" t="n">
        <x:v>4.55</x:v>
      </x:c>
      <x:c r="C1661" s="12" t="n">
        <x:v>455</x:v>
      </x:c>
      <x:c r="D1661" s="12" t="n">
        <x:v>-8</x:v>
      </x:c>
      <x:c r="E1661" s="12" t="str">
        <x:v>Archived FRED mirror (Hugging Face)</x:v>
      </x:c>
    </x:row>
    <x:row r="1662" ht="18" customHeight="1">
      <x:c r="A1662" s="13" t="n">
        <x:v>44896</x:v>
      </x:c>
      <x:c r="B1662" s="12" t="n">
        <x:v>4.48</x:v>
      </x:c>
      <x:c r="C1662" s="12" t="n">
        <x:v>448.00000000000006</x:v>
      </x:c>
      <x:c r="D1662" s="12" t="n">
        <x:v>-6.999999999999943</x:v>
      </x:c>
      <x:c r="E1662" s="12" t="str">
        <x:v>Archived FRED mirror (Hugging Face)</x:v>
      </x:c>
    </x:row>
    <x:row r="1663" ht="18" customHeight="1">
      <x:c r="A1663" s="13" t="n">
        <x:v>44897</x:v>
      </x:c>
      <x:c r="B1663" s="12" t="n">
        <x:v>4.5</x:v>
      </x:c>
      <x:c r="C1663" s="12" t="n">
        <x:v>450</x:v>
      </x:c>
      <x:c r="D1663" s="12" t="n">
        <x:v>1.9999999999999432</x:v>
      </x:c>
      <x:c r="E1663" s="12" t="str">
        <x:v>Archived FRED mirror (Hugging Face)</x:v>
      </x:c>
    </x:row>
    <x:row r="1664" ht="18" customHeight="1">
      <x:c r="A1664" s="13" t="n">
        <x:v>44900</x:v>
      </x:c>
      <x:c r="B1664" s="12" t="n">
        <x:v>4.43</x:v>
      </x:c>
      <x:c r="C1664" s="12" t="n">
        <x:v>443</x:v>
      </x:c>
      <x:c r="D1664" s="12" t="n">
        <x:v>-7</x:v>
      </x:c>
      <x:c r="E1664" s="12" t="str">
        <x:v>Archived FRED mirror (Hugging Face)</x:v>
      </x:c>
    </x:row>
    <x:row r="1665" ht="18" customHeight="1">
      <x:c r="A1665" s="13" t="n">
        <x:v>44901</x:v>
      </x:c>
      <x:c r="B1665" s="12" t="n">
        <x:v>4.57</x:v>
      </x:c>
      <x:c r="C1665" s="12" t="n">
        <x:v>457</x:v>
      </x:c>
      <x:c r="D1665" s="12" t="n">
        <x:v>14</x:v>
      </x:c>
      <x:c r="E1665" s="12" t="str">
        <x:v>Archived FRED mirror (Hugging Face)</x:v>
      </x:c>
    </x:row>
    <x:row r="1666" ht="18" customHeight="1">
      <x:c r="A1666" s="13" t="n">
        <x:v>44902</x:v>
      </x:c>
      <x:c r="B1666" s="12" t="n">
        <x:v>4.68</x:v>
      </x:c>
      <x:c r="C1666" s="12" t="n">
        <x:v>468</x:v>
      </x:c>
      <x:c r="D1666" s="12" t="n">
        <x:v>11</x:v>
      </x:c>
      <x:c r="E1666" s="12" t="str">
        <x:v>Archived FRED mirror (Hugging Face)</x:v>
      </x:c>
    </x:row>
    <x:row r="1667" ht="18" customHeight="1">
      <x:c r="A1667" s="13" t="n">
        <x:v>44903</x:v>
      </x:c>
      <x:c r="B1667" s="12" t="n">
        <x:v>4.55</x:v>
      </x:c>
      <x:c r="C1667" s="12" t="n">
        <x:v>455</x:v>
      </x:c>
      <x:c r="D1667" s="12" t="n">
        <x:v>-13</x:v>
      </x:c>
      <x:c r="E1667" s="12" t="str">
        <x:v>Archived FRED mirror (Hugging Face)</x:v>
      </x:c>
    </x:row>
    <x:row r="1668" ht="18" customHeight="1">
      <x:c r="A1668" s="13" t="n">
        <x:v>44904</x:v>
      </x:c>
      <x:c r="B1668" s="12" t="n">
        <x:v>4.46</x:v>
      </x:c>
      <x:c r="C1668" s="12" t="n">
        <x:v>446</x:v>
      </x:c>
      <x:c r="D1668" s="12" t="n">
        <x:v>-9</x:v>
      </x:c>
      <x:c r="E1668" s="12" t="str">
        <x:v>Archived FRED mirror (Hugging Face)</x:v>
      </x:c>
    </x:row>
    <x:row r="1669" ht="18" customHeight="1">
      <x:c r="A1669" s="13" t="n">
        <x:v>44907</x:v>
      </x:c>
      <x:c r="B1669" s="12" t="n">
        <x:v>4.4</x:v>
      </x:c>
      <x:c r="C1669" s="12" t="n">
        <x:v>440.00000000000006</x:v>
      </x:c>
      <x:c r="D1669" s="12" t="n">
        <x:v>-5.999999999999943</x:v>
      </x:c>
      <x:c r="E1669" s="12" t="str">
        <x:v>Archived FRED mirror (Hugging Face)</x:v>
      </x:c>
    </x:row>
    <x:row r="1670" ht="18" customHeight="1">
      <x:c r="A1670" s="13" t="n">
        <x:v>44908</x:v>
      </x:c>
      <x:c r="B1670" s="12" t="n">
        <x:v>4.34</x:v>
      </x:c>
      <x:c r="C1670" s="12" t="n">
        <x:v>434</x:v>
      </x:c>
      <x:c r="D1670" s="12" t="n">
        <x:v>-6.000000000000057</x:v>
      </x:c>
      <x:c r="E1670" s="12" t="str">
        <x:v>Archived FRED mirror (Hugging Face)</x:v>
      </x:c>
    </x:row>
    <x:row r="1671" ht="18" customHeight="1">
      <x:c r="A1671" s="13" t="n">
        <x:v>44909</x:v>
      </x:c>
      <x:c r="B1671" s="12" t="n">
        <x:v>4.37</x:v>
      </x:c>
      <x:c r="C1671" s="12" t="n">
        <x:v>437</x:v>
      </x:c>
      <x:c r="D1671" s="12" t="n">
        <x:v>3</x:v>
      </x:c>
      <x:c r="E1671" s="12" t="str">
        <x:v>Archived FRED mirror (Hugging Face)</x:v>
      </x:c>
    </x:row>
    <x:row r="1672" ht="18" customHeight="1">
      <x:c r="A1672" s="13" t="n">
        <x:v>44910</x:v>
      </x:c>
      <x:c r="B1672" s="12" t="n">
        <x:v>4.54</x:v>
      </x:c>
      <x:c r="C1672" s="12" t="n">
        <x:v>454</x:v>
      </x:c>
      <x:c r="D1672" s="12" t="n">
        <x:v>17</x:v>
      </x:c>
      <x:c r="E1672" s="12" t="str">
        <x:v>Archived FRED mirror (Hugging Face)</x:v>
      </x:c>
    </x:row>
    <x:row r="1673" ht="18" customHeight="1">
      <x:c r="A1673" s="13" t="n">
        <x:v>44911</x:v>
      </x:c>
      <x:c r="B1673" s="12" t="n">
        <x:v>4.67</x:v>
      </x:c>
      <x:c r="C1673" s="12" t="n">
        <x:v>467</x:v>
      </x:c>
      <x:c r="D1673" s="12" t="n">
        <x:v>13</x:v>
      </x:c>
      <x:c r="E1673" s="12" t="str">
        <x:v>Archived FRED mirror (Hugging Face)</x:v>
      </x:c>
    </x:row>
    <x:row r="1674" ht="18" customHeight="1">
      <x:c r="A1674" s="13" t="n">
        <x:v>44914</x:v>
      </x:c>
      <x:c r="B1674" s="12" t="n">
        <x:v>4.67</x:v>
      </x:c>
      <x:c r="C1674" s="12" t="n">
        <x:v>467</x:v>
      </x:c>
      <x:c r="D1674" s="12" t="n">
        <x:v>0</x:v>
      </x:c>
      <x:c r="E1674" s="12" t="str">
        <x:v>Archived FRED mirror (Hugging Face)</x:v>
      </x:c>
    </x:row>
    <x:row r="1675" ht="18" customHeight="1">
      <x:c r="A1675" s="13" t="n">
        <x:v>44915</x:v>
      </x:c>
      <x:c r="B1675" s="12" t="n">
        <x:v>4.68</x:v>
      </x:c>
      <x:c r="C1675" s="12" t="n">
        <x:v>468</x:v>
      </x:c>
      <x:c r="D1675" s="12" t="n">
        <x:v>1</x:v>
      </x:c>
      <x:c r="E1675" s="12" t="str">
        <x:v>Archived FRED mirror (Hugging Face)</x:v>
      </x:c>
    </x:row>
    <x:row r="1676" ht="18" customHeight="1">
      <x:c r="A1676" s="13" t="n">
        <x:v>44916</x:v>
      </x:c>
      <x:c r="B1676" s="12" t="n">
        <x:v>4.56</x:v>
      </x:c>
      <x:c r="C1676" s="12" t="n">
        <x:v>455.99999999999994</x:v>
      </x:c>
      <x:c r="D1676" s="12" t="n">
        <x:v>-12.000000000000057</x:v>
      </x:c>
      <x:c r="E1676" s="12" t="str">
        <x:v>Archived FRED mirror (Hugging Face)</x:v>
      </x:c>
    </x:row>
    <x:row r="1677" ht="18" customHeight="1">
      <x:c r="A1677" s="13" t="n">
        <x:v>44917</x:v>
      </x:c>
      <x:c r="B1677" s="12" t="n">
        <x:v>4.61</x:v>
      </x:c>
      <x:c r="C1677" s="12" t="n">
        <x:v>461.00000000000006</x:v>
      </x:c>
      <x:c r="D1677" s="12" t="n">
        <x:v>5.000000000000114</x:v>
      </x:c>
      <x:c r="E1677" s="12" t="str">
        <x:v>Archived FRED mirror (Hugging Face)</x:v>
      </x:c>
    </x:row>
    <x:row r="1678" ht="18" customHeight="1">
      <x:c r="A1678" s="13" t="n">
        <x:v>44918</x:v>
      </x:c>
      <x:c r="B1678" s="12" t="n">
        <x:v>4.59</x:v>
      </x:c>
      <x:c r="C1678" s="12" t="n">
        <x:v>459</x:v>
      </x:c>
      <x:c r="D1678" s="12" t="n">
        <x:v>-2.000000000000057</x:v>
      </x:c>
      <x:c r="E1678" s="12" t="str">
        <x:v>Archived FRED mirror (Hugging Face)</x:v>
      </x:c>
    </x:row>
    <x:row r="1679" ht="18" customHeight="1">
      <x:c r="A1679" s="13" t="n">
        <x:v>44922</x:v>
      </x:c>
      <x:c r="B1679" s="12" t="n">
        <x:v>4.55</x:v>
      </x:c>
      <x:c r="C1679" s="12" t="n">
        <x:v>455</x:v>
      </x:c>
      <x:c r="D1679" s="12" t="n">
        <x:v>-4</x:v>
      </x:c>
      <x:c r="E1679" s="12" t="str">
        <x:v>Archived FRED mirror (Hugging Face)</x:v>
      </x:c>
    </x:row>
    <x:row r="1680" ht="18" customHeight="1">
      <x:c r="A1680" s="13" t="n">
        <x:v>44923</x:v>
      </x:c>
      <x:c r="B1680" s="12" t="n">
        <x:v>4.77</x:v>
      </x:c>
      <x:c r="C1680" s="12" t="n">
        <x:v>476.99999999999994</x:v>
      </x:c>
      <x:c r="D1680" s="12" t="n">
        <x:v>21.999999999999943</x:v>
      </x:c>
      <x:c r="E1680" s="12" t="str">
        <x:v>Archived FRED mirror (Hugging Face)</x:v>
      </x:c>
    </x:row>
    <x:row r="1681" ht="18" customHeight="1">
      <x:c r="A1681" s="13" t="n">
        <x:v>44924</x:v>
      </x:c>
      <x:c r="B1681" s="12" t="n">
        <x:v>4.81</x:v>
      </x:c>
      <x:c r="C1681" s="12" t="n">
        <x:v>480.99999999999994</x:v>
      </x:c>
      <x:c r="D1681" s="12" t="n">
        <x:v>4</x:v>
      </x:c>
      <x:c r="E1681" s="12" t="str">
        <x:v>Archived FRED mirror (Hugging Face)</x:v>
      </x:c>
    </x:row>
    <x:row r="1682" ht="18" customHeight="1">
      <x:c r="A1682" s="13" t="n">
        <x:v>44925</x:v>
      </x:c>
      <x:c r="B1682" s="12" t="n">
        <x:v>4.79</x:v>
      </x:c>
      <x:c r="C1682" s="12" t="n">
        <x:v>479</x:v>
      </x:c>
      <x:c r="D1682" s="12" t="n">
        <x:v>-1.9999999999999432</x:v>
      </x:c>
      <x:c r="E1682" s="12" t="str">
        <x:v>Archived FRED mirror (Hugging Face)</x:v>
      </x:c>
    </x:row>
    <x:row r="1683" ht="18" customHeight="1">
      <x:c r="A1683" s="13" t="n">
        <x:v>44926</x:v>
      </x:c>
      <x:c r="B1683" s="12" t="n">
        <x:v>4.81</x:v>
      </x:c>
      <x:c r="C1683" s="12" t="n">
        <x:v>480.99999999999994</x:v>
      </x:c>
      <x:c r="D1683" s="12" t="n">
        <x:v>1.9999999999999432</x:v>
      </x:c>
      <x:c r="E1683" s="12" t="str">
        <x:v>Archived FRED mirror (Hugging Face)</x:v>
      </x:c>
    </x:row>
    <x:row r="1684" ht="18" customHeight="1">
      <x:c r="A1684" s="13" t="n">
        <x:v>44929</x:v>
      </x:c>
      <x:c r="B1684" s="12" t="n">
        <x:v>4.7</x:v>
      </x:c>
      <x:c r="C1684" s="12" t="n">
        <x:v>470</x:v>
      </x:c>
      <x:c r="D1684" s="12" t="n">
        <x:v>-10.999999999999943</x:v>
      </x:c>
      <x:c r="E1684" s="12" t="str">
        <x:v>Archived FRED mirror (Hugging Face)</x:v>
      </x:c>
    </x:row>
    <x:row r="1685" ht="18" customHeight="1">
      <x:c r="A1685" s="13" t="n">
        <x:v>44930</x:v>
      </x:c>
      <x:c r="B1685" s="12" t="n">
        <x:v>4.62</x:v>
      </x:c>
      <x:c r="C1685" s="12" t="n">
        <x:v>462</x:v>
      </x:c>
      <x:c r="D1685" s="12" t="n">
        <x:v>-8</x:v>
      </x:c>
      <x:c r="E1685" s="12" t="str">
        <x:v>Archived FRED mirror (Hugging Face)</x:v>
      </x:c>
    </x:row>
    <x:row r="1686" ht="18" customHeight="1">
      <x:c r="A1686" s="13" t="n">
        <x:v>44931</x:v>
      </x:c>
      <x:c r="B1686" s="12" t="n">
        <x:v>4.58</x:v>
      </x:c>
      <x:c r="C1686" s="12" t="n">
        <x:v>458</x:v>
      </x:c>
      <x:c r="D1686" s="12" t="n">
        <x:v>-4</x:v>
      </x:c>
      <x:c r="E1686" s="12" t="str">
        <x:v>Archived FRED mirror (Hugging Face)</x:v>
      </x:c>
    </x:row>
    <x:row r="1687" ht="18" customHeight="1">
      <x:c r="A1687" s="13" t="n">
        <x:v>44932</x:v>
      </x:c>
      <x:c r="B1687" s="12" t="n">
        <x:v>4.47</x:v>
      </x:c>
      <x:c r="C1687" s="12" t="n">
        <x:v>447</x:v>
      </x:c>
      <x:c r="D1687" s="12" t="n">
        <x:v>-11</x:v>
      </x:c>
      <x:c r="E1687" s="12" t="str">
        <x:v>Archived FRED mirror (Hugging Face)</x:v>
      </x:c>
    </x:row>
    <x:row r="1688" ht="18" customHeight="1">
      <x:c r="A1688" s="13" t="n">
        <x:v>44935</x:v>
      </x:c>
      <x:c r="B1688" s="12" t="n">
        <x:v>4.37</x:v>
      </x:c>
      <x:c r="C1688" s="12" t="n">
        <x:v>437</x:v>
      </x:c>
      <x:c r="D1688" s="12" t="n">
        <x:v>-10</x:v>
      </x:c>
      <x:c r="E1688" s="12" t="str">
        <x:v>Archived FRED mirror (Hugging Face)</x:v>
      </x:c>
    </x:row>
    <x:row r="1689" ht="18" customHeight="1">
      <x:c r="A1689" s="13" t="n">
        <x:v>44936</x:v>
      </x:c>
      <x:c r="B1689" s="12" t="n">
        <x:v>4.33</x:v>
      </x:c>
      <x:c r="C1689" s="12" t="n">
        <x:v>433</x:v>
      </x:c>
      <x:c r="D1689" s="12" t="n">
        <x:v>-4</x:v>
      </x:c>
      <x:c r="E1689" s="12" t="str">
        <x:v>Archived FRED mirror (Hugging Face)</x:v>
      </x:c>
    </x:row>
    <x:row r="1690" ht="18" customHeight="1">
      <x:c r="A1690" s="13" t="n">
        <x:v>44937</x:v>
      </x:c>
      <x:c r="B1690" s="12" t="n">
        <x:v>4.3</x:v>
      </x:c>
      <x:c r="C1690" s="12" t="n">
        <x:v>430</x:v>
      </x:c>
      <x:c r="D1690" s="12" t="n">
        <x:v>-3</x:v>
      </x:c>
      <x:c r="E1690" s="12" t="str">
        <x:v>Archived FRED mirror (Hugging Face)</x:v>
      </x:c>
    </x:row>
    <x:row r="1691" ht="18" customHeight="1">
      <x:c r="A1691" s="13" t="n">
        <x:v>44938</x:v>
      </x:c>
      <x:c r="B1691" s="12" t="n">
        <x:v>4.29</x:v>
      </x:c>
      <x:c r="C1691" s="12" t="n">
        <x:v>429</x:v>
      </x:c>
      <x:c r="D1691" s="12" t="n">
        <x:v>-1</x:v>
      </x:c>
      <x:c r="E1691" s="12" t="str">
        <x:v>Archived FRED mirror (Hugging Face)</x:v>
      </x:c>
    </x:row>
    <x:row r="1692" ht="18" customHeight="1">
      <x:c r="A1692" s="13" t="n">
        <x:v>44939</x:v>
      </x:c>
      <x:c r="B1692" s="12" t="n">
        <x:v>4.21</x:v>
      </x:c>
      <x:c r="C1692" s="12" t="n">
        <x:v>421</x:v>
      </x:c>
      <x:c r="D1692" s="12" t="n">
        <x:v>-8</x:v>
      </x:c>
      <x:c r="E1692" s="12" t="str">
        <x:v>Archived FRED mirror (Hugging Face)</x:v>
      </x:c>
    </x:row>
    <x:row r="1693" ht="18" customHeight="1">
      <x:c r="A1693" s="13" t="n">
        <x:v>44942</x:v>
      </x:c>
      <x:c r="B1693" s="12" t="n">
        <x:v>4.19</x:v>
      </x:c>
      <x:c r="C1693" s="12" t="n">
        <x:v>419.00000000000006</x:v>
      </x:c>
      <x:c r="D1693" s="12" t="n">
        <x:v>-1.9999999999999432</x:v>
      </x:c>
      <x:c r="E1693" s="12" t="str">
        <x:v>Archived FRED mirror (Hugging Face)</x:v>
      </x:c>
    </x:row>
    <x:row r="1694" ht="18" customHeight="1">
      <x:c r="A1694" s="13" t="n">
        <x:v>44943</x:v>
      </x:c>
      <x:c r="B1694" s="12" t="n">
        <x:v>4.19</x:v>
      </x:c>
      <x:c r="C1694" s="12" t="n">
        <x:v>419.00000000000006</x:v>
      </x:c>
      <x:c r="D1694" s="12" t="n">
        <x:v>0</x:v>
      </x:c>
      <x:c r="E1694" s="12" t="str">
        <x:v>Archived FRED mirror (Hugging Face)</x:v>
      </x:c>
    </x:row>
    <x:row r="1695" ht="18" customHeight="1">
      <x:c r="A1695" s="13" t="n">
        <x:v>44944</x:v>
      </x:c>
      <x:c r="B1695" s="12" t="n">
        <x:v>4.25</x:v>
      </x:c>
      <x:c r="C1695" s="12" t="n">
        <x:v>425</x:v>
      </x:c>
      <x:c r="D1695" s="12" t="n">
        <x:v>5.999999999999943</x:v>
      </x:c>
      <x:c r="E1695" s="12" t="str">
        <x:v>Archived FRED mirror (Hugging Face)</x:v>
      </x:c>
    </x:row>
    <x:row r="1696" ht="18" customHeight="1">
      <x:c r="A1696" s="13" t="n">
        <x:v>44945</x:v>
      </x:c>
      <x:c r="B1696" s="12" t="n">
        <x:v>4.39</x:v>
      </x:c>
      <x:c r="C1696" s="12" t="n">
        <x:v>438.99999999999994</x:v>
      </x:c>
      <x:c r="D1696" s="12" t="n">
        <x:v>13.999999999999943</x:v>
      </x:c>
      <x:c r="E1696" s="12" t="str">
        <x:v>Archived FRED mirror (Hugging Face)</x:v>
      </x:c>
    </x:row>
    <x:row r="1697" ht="18" customHeight="1">
      <x:c r="A1697" s="13" t="n">
        <x:v>44946</x:v>
      </x:c>
      <x:c r="B1697" s="12" t="n">
        <x:v>4.35</x:v>
      </x:c>
      <x:c r="C1697" s="12" t="n">
        <x:v>434.99999999999994</x:v>
      </x:c>
      <x:c r="D1697" s="12" t="n">
        <x:v>-4</x:v>
      </x:c>
      <x:c r="E1697" s="12" t="str">
        <x:v>Archived FRED mirror (Hugging Face)</x:v>
      </x:c>
    </x:row>
    <x:row r="1698" ht="18" customHeight="1">
      <x:c r="A1698" s="13" t="n">
        <x:v>44949</x:v>
      </x:c>
      <x:c r="B1698" s="12" t="n">
        <x:v>4.27</x:v>
      </x:c>
      <x:c r="C1698" s="12" t="n">
        <x:v>426.99999999999994</x:v>
      </x:c>
      <x:c r="D1698" s="12" t="n">
        <x:v>-8</x:v>
      </x:c>
      <x:c r="E1698" s="12" t="str">
        <x:v>Archived FRED mirror (Hugging Face)</x:v>
      </x:c>
    </x:row>
    <x:row r="1699" ht="18" customHeight="1">
      <x:c r="A1699" s="13" t="n">
        <x:v>44950</x:v>
      </x:c>
      <x:c r="B1699" s="12" t="n">
        <x:v>4.33</x:v>
      </x:c>
      <x:c r="C1699" s="12" t="n">
        <x:v>433</x:v>
      </x:c>
      <x:c r="D1699" s="12" t="n">
        <x:v>6.000000000000057</x:v>
      </x:c>
      <x:c r="E1699" s="12" t="str">
        <x:v>Archived FRED mirror (Hugging Face)</x:v>
      </x:c>
    </x:row>
    <x:row r="1700" ht="18" customHeight="1">
      <x:c r="A1700" s="13" t="n">
        <x:v>44951</x:v>
      </x:c>
      <x:c r="B1700" s="12" t="n">
        <x:v>4.35</x:v>
      </x:c>
      <x:c r="C1700" s="12" t="n">
        <x:v>434.99999999999994</x:v>
      </x:c>
      <x:c r="D1700" s="12" t="n">
        <x:v>1.9999999999999432</x:v>
      </x:c>
      <x:c r="E1700" s="12" t="str">
        <x:v>Archived FRED mirror (Hugging Face)</x:v>
      </x:c>
    </x:row>
    <x:row r="1701" ht="18" customHeight="1">
      <x:c r="A1701" s="13" t="n">
        <x:v>44952</x:v>
      </x:c>
      <x:c r="B1701" s="12" t="n">
        <x:v>4.24</x:v>
      </x:c>
      <x:c r="C1701" s="12" t="n">
        <x:v>424</x:v>
      </x:c>
      <x:c r="D1701" s="12" t="n">
        <x:v>-10.999999999999943</x:v>
      </x:c>
      <x:c r="E1701" s="12" t="str">
        <x:v>Archived FRED mirror (Hugging Face)</x:v>
      </x:c>
    </x:row>
    <x:row r="1702" ht="18" customHeight="1">
      <x:c r="A1702" s="13" t="n">
        <x:v>44953</x:v>
      </x:c>
      <x:c r="B1702" s="12" t="n">
        <x:v>4.23</x:v>
      </x:c>
      <x:c r="C1702" s="12" t="n">
        <x:v>423.00000000000006</x:v>
      </x:c>
      <x:c r="D1702" s="12" t="n">
        <x:v>-0.9999999999999432</x:v>
      </x:c>
      <x:c r="E1702" s="12" t="str">
        <x:v>Archived FRED mirror (Hugging Face)</x:v>
      </x:c>
    </x:row>
    <x:row r="1703" ht="18" customHeight="1">
      <x:c r="A1703" s="13" t="n">
        <x:v>44956</x:v>
      </x:c>
      <x:c r="B1703" s="12" t="n">
        <x:v>4.26</x:v>
      </x:c>
      <x:c r="C1703" s="12" t="n">
        <x:v>426</x:v>
      </x:c>
      <x:c r="D1703" s="12" t="n">
        <x:v>2.999999999999943</x:v>
      </x:c>
      <x:c r="E1703" s="12" t="str">
        <x:v>Archived FRED mirror (Hugging Face)</x:v>
      </x:c>
    </x:row>
    <x:row r="1704" ht="18" customHeight="1">
      <x:c r="A1704" s="13" t="n">
        <x:v>44957</x:v>
      </x:c>
      <x:c r="B1704" s="12" t="n">
        <x:v>4.3</x:v>
      </x:c>
      <x:c r="C1704" s="12" t="n">
        <x:v>430</x:v>
      </x:c>
      <x:c r="D1704" s="12" t="n">
        <x:v>4</x:v>
      </x:c>
      <x:c r="E1704" s="12" t="str">
        <x:v>Archived FRED mirror (Hugging Face)</x:v>
      </x:c>
    </x:row>
    <x:row r="1705" ht="18" customHeight="1">
      <x:c r="A1705" s="13" t="n">
        <x:v>44958</x:v>
      </x:c>
      <x:c r="B1705" s="12" t="n">
        <x:v>4.31</x:v>
      </x:c>
      <x:c r="C1705" s="12" t="n">
        <x:v>430.99999999999994</x:v>
      </x:c>
      <x:c r="D1705" s="12" t="n">
        <x:v>0.9999999999999432</x:v>
      </x:c>
      <x:c r="E1705" s="12" t="str">
        <x:v>Archived FRED mirror (Hugging Face)</x:v>
      </x:c>
    </x:row>
    <x:row r="1706" ht="18" customHeight="1">
      <x:c r="A1706" s="13" t="n">
        <x:v>44959</x:v>
      </x:c>
      <x:c r="B1706" s="12" t="n">
        <x:v>3.94</x:v>
      </x:c>
      <x:c r="C1706" s="12" t="n">
        <x:v>394</x:v>
      </x:c>
      <x:c r="D1706" s="12" t="n">
        <x:v>-36.99999999999994</x:v>
      </x:c>
      <x:c r="E1706" s="12" t="str">
        <x:v>Archived FRED mirror (Hugging Face)</x:v>
      </x:c>
    </x:row>
    <x:row r="1707" ht="18" customHeight="1">
      <x:c r="A1707" s="13" t="n">
        <x:v>44960</x:v>
      </x:c>
      <x:c r="B1707" s="12" t="n">
        <x:v>3.95</x:v>
      </x:c>
      <x:c r="C1707" s="12" t="n">
        <x:v>395</x:v>
      </x:c>
      <x:c r="D1707" s="12" t="n">
        <x:v>1</x:v>
      </x:c>
      <x:c r="E1707" s="12" t="str">
        <x:v>Archived FRED mirror (Hugging Face)</x:v>
      </x:c>
    </x:row>
    <x:row r="1708" ht="18" customHeight="1">
      <x:c r="A1708" s="13" t="n">
        <x:v>44963</x:v>
      </x:c>
      <x:c r="B1708" s="12" t="n">
        <x:v>3.99</x:v>
      </x:c>
      <x:c r="C1708" s="12" t="n">
        <x:v>399</x:v>
      </x:c>
      <x:c r="D1708" s="12" t="n">
        <x:v>4</x:v>
      </x:c>
      <x:c r="E1708" s="12" t="str">
        <x:v>Archived FRED mirror (Hugging Face)</x:v>
      </x:c>
    </x:row>
    <x:row r="1709" ht="18" customHeight="1">
      <x:c r="A1709" s="13" t="n">
        <x:v>44964</x:v>
      </x:c>
      <x:c r="B1709" s="12" t="n">
        <x:v>3.99</x:v>
      </x:c>
      <x:c r="C1709" s="12" t="n">
        <x:v>399</x:v>
      </x:c>
      <x:c r="D1709" s="12" t="n">
        <x:v>0</x:v>
      </x:c>
      <x:c r="E1709" s="12" t="str">
        <x:v>Archived FRED mirror (Hugging Face)</x:v>
      </x:c>
    </x:row>
    <x:row r="1710" ht="18" customHeight="1">
      <x:c r="A1710" s="13" t="n">
        <x:v>44965</x:v>
      </x:c>
      <x:c r="B1710" s="12" t="n">
        <x:v>4.07</x:v>
      </x:c>
      <x:c r="C1710" s="12" t="n">
        <x:v>407</x:v>
      </x:c>
      <x:c r="D1710" s="12" t="n">
        <x:v>8</x:v>
      </x:c>
      <x:c r="E1710" s="12" t="str">
        <x:v>Archived FRED mirror (Hugging Face)</x:v>
      </x:c>
    </x:row>
    <x:row r="1711" ht="18" customHeight="1">
      <x:c r="A1711" s="13" t="n">
        <x:v>44966</x:v>
      </x:c>
      <x:c r="B1711" s="12" t="n">
        <x:v>4.05</x:v>
      </x:c>
      <x:c r="C1711" s="12" t="n">
        <x:v>405</x:v>
      </x:c>
      <x:c r="D1711" s="12" t="n">
        <x:v>-2</x:v>
      </x:c>
      <x:c r="E1711" s="12" t="str">
        <x:v>Archived FRED mirror (Hugging Face)</x:v>
      </x:c>
    </x:row>
    <x:row r="1712" ht="18" customHeight="1">
      <x:c r="A1712" s="13" t="n">
        <x:v>44967</x:v>
      </x:c>
      <x:c r="B1712" s="12" t="n">
        <x:v>4.24</x:v>
      </x:c>
      <x:c r="C1712" s="12" t="n">
        <x:v>424</x:v>
      </x:c>
      <x:c r="D1712" s="12" t="n">
        <x:v>19</x:v>
      </x:c>
      <x:c r="E1712" s="12" t="str">
        <x:v>Archived FRED mirror (Hugging Face)</x:v>
      </x:c>
    </x:row>
    <x:row r="1713" ht="18" customHeight="1">
      <x:c r="A1713" s="13" t="n">
        <x:v>44970</x:v>
      </x:c>
      <x:c r="B1713" s="12" t="n">
        <x:v>4.23</x:v>
      </x:c>
      <x:c r="C1713" s="12" t="n">
        <x:v>423.00000000000006</x:v>
      </x:c>
      <x:c r="D1713" s="12" t="n">
        <x:v>-0.9999999999999432</x:v>
      </x:c>
      <x:c r="E1713" s="12" t="str">
        <x:v>Archived FRED mirror (Hugging Face)</x:v>
      </x:c>
    </x:row>
    <x:row r="1714" ht="18" customHeight="1">
      <x:c r="A1714" s="13" t="n">
        <x:v>44971</x:v>
      </x:c>
      <x:c r="B1714" s="12" t="n">
        <x:v>4.15</x:v>
      </x:c>
      <x:c r="C1714" s="12" t="n">
        <x:v>415.00000000000006</x:v>
      </x:c>
      <x:c r="D1714" s="12" t="n">
        <x:v>-8</x:v>
      </x:c>
      <x:c r="E1714" s="12" t="str">
        <x:v>Archived FRED mirror (Hugging Face)</x:v>
      </x:c>
    </x:row>
    <x:row r="1715" ht="18" customHeight="1">
      <x:c r="A1715" s="13" t="n">
        <x:v>44972</x:v>
      </x:c>
      <x:c r="B1715" s="12" t="n">
        <x:v>4.18</x:v>
      </x:c>
      <x:c r="C1715" s="12" t="n">
        <x:v>418</x:v>
      </x:c>
      <x:c r="D1715" s="12" t="n">
        <x:v>2.999999999999943</x:v>
      </x:c>
      <x:c r="E1715" s="12" t="str">
        <x:v>Archived FRED mirror (Hugging Face)</x:v>
      </x:c>
    </x:row>
    <x:row r="1716" ht="18" customHeight="1">
      <x:c r="A1716" s="13" t="n">
        <x:v>44973</x:v>
      </x:c>
      <x:c r="B1716" s="12" t="n">
        <x:v>4.24</x:v>
      </x:c>
      <x:c r="C1716" s="12" t="n">
        <x:v>424</x:v>
      </x:c>
      <x:c r="D1716" s="12" t="n">
        <x:v>6</x:v>
      </x:c>
      <x:c r="E1716" s="12" t="str">
        <x:v>Archived FRED mirror (Hugging Face)</x:v>
      </x:c>
    </x:row>
    <x:row r="1717" ht="18" customHeight="1">
      <x:c r="A1717" s="13" t="n">
        <x:v>44974</x:v>
      </x:c>
      <x:c r="B1717" s="12" t="n">
        <x:v>4.38</x:v>
      </x:c>
      <x:c r="C1717" s="12" t="n">
        <x:v>438</x:v>
      </x:c>
      <x:c r="D1717" s="12" t="n">
        <x:v>14</x:v>
      </x:c>
      <x:c r="E1717" s="12" t="str">
        <x:v>Archived FRED mirror (Hugging Face)</x:v>
      </x:c>
    </x:row>
    <x:row r="1718" ht="18" customHeight="1">
      <x:c r="A1718" s="13" t="n">
        <x:v>44977</x:v>
      </x:c>
      <x:c r="B1718" s="12" t="n">
        <x:v>4.38</x:v>
      </x:c>
      <x:c r="C1718" s="12" t="n">
        <x:v>438</x:v>
      </x:c>
      <x:c r="D1718" s="12" t="n">
        <x:v>0</x:v>
      </x:c>
      <x:c r="E1718" s="12" t="str">
        <x:v>Archived FRED mirror (Hugging Face)</x:v>
      </x:c>
    </x:row>
    <x:row r="1719" ht="18" customHeight="1">
      <x:c r="A1719" s="13" t="n">
        <x:v>44978</x:v>
      </x:c>
      <x:c r="B1719" s="12" t="n">
        <x:v>4.49</x:v>
      </x:c>
      <x:c r="C1719" s="12" t="n">
        <x:v>449</x:v>
      </x:c>
      <x:c r="D1719" s="12" t="n">
        <x:v>11</x:v>
      </x:c>
      <x:c r="E1719" s="12" t="str">
        <x:v>Archived FRED mirror (Hugging Face)</x:v>
      </x:c>
    </x:row>
    <x:row r="1720" ht="18" customHeight="1">
      <x:c r="A1720" s="13" t="n">
        <x:v>44979</x:v>
      </x:c>
      <x:c r="B1720" s="12" t="n">
        <x:v>4.41</x:v>
      </x:c>
      <x:c r="C1720" s="12" t="n">
        <x:v>441</x:v>
      </x:c>
      <x:c r="D1720" s="12" t="n">
        <x:v>-8</x:v>
      </x:c>
      <x:c r="E1720" s="12" t="str">
        <x:v>Archived FRED mirror (Hugging Face)</x:v>
      </x:c>
    </x:row>
    <x:row r="1721" ht="18" customHeight="1">
      <x:c r="A1721" s="13" t="n">
        <x:v>44980</x:v>
      </x:c>
      <x:c r="B1721" s="12" t="n">
        <x:v>4.3</x:v>
      </x:c>
      <x:c r="C1721" s="12" t="n">
        <x:v>430</x:v>
      </x:c>
      <x:c r="D1721" s="12" t="n">
        <x:v>-11</x:v>
      </x:c>
      <x:c r="E1721" s="12" t="str">
        <x:v>Archived FRED mirror (Hugging Face)</x:v>
      </x:c>
    </x:row>
    <x:row r="1722" ht="18" customHeight="1">
      <x:c r="A1722" s="13" t="n">
        <x:v>44981</x:v>
      </x:c>
      <x:c r="B1722" s="12" t="n">
        <x:v>4.28</x:v>
      </x:c>
      <x:c r="C1722" s="12" t="n">
        <x:v>428</x:v>
      </x:c>
      <x:c r="D1722" s="12" t="n">
        <x:v>-2</x:v>
      </x:c>
      <x:c r="E1722" s="12" t="str">
        <x:v>Archived FRED mirror (Hugging Face)</x:v>
      </x:c>
    </x:row>
    <x:row r="1723" ht="18" customHeight="1">
      <x:c r="A1723" s="13" t="n">
        <x:v>44984</x:v>
      </x:c>
      <x:c r="B1723" s="12" t="n">
        <x:v>4.21</x:v>
      </x:c>
      <x:c r="C1723" s="12" t="n">
        <x:v>421</x:v>
      </x:c>
      <x:c r="D1723" s="12" t="n">
        <x:v>-7</x:v>
      </x:c>
      <x:c r="E1723" s="12" t="str">
        <x:v>Archived FRED mirror (Hugging Face)</x:v>
      </x:c>
    </x:row>
    <x:row r="1724" ht="18" customHeight="1">
      <x:c r="A1724" s="13" t="n">
        <x:v>44985</x:v>
      </x:c>
      <x:c r="B1724" s="12" t="n">
        <x:v>4.22</x:v>
      </x:c>
      <x:c r="C1724" s="12" t="n">
        <x:v>422</x:v>
      </x:c>
      <x:c r="D1724" s="12" t="n">
        <x:v>1</x:v>
      </x:c>
      <x:c r="E1724" s="12" t="str">
        <x:v>Archived FRED mirror (Hugging Face)</x:v>
      </x:c>
    </x:row>
    <x:row r="1725" ht="18" customHeight="1">
      <x:c r="A1725" s="13" t="n">
        <x:v>44986</x:v>
      </x:c>
      <x:c r="B1725" s="12" t="n">
        <x:v>4.17</x:v>
      </x:c>
      <x:c r="C1725" s="12" t="n">
        <x:v>417</x:v>
      </x:c>
      <x:c r="D1725" s="12" t="n">
        <x:v>-5</x:v>
      </x:c>
      <x:c r="E1725" s="12" t="str">
        <x:v>Archived FRED mirror (Hugging Face)</x:v>
      </x:c>
    </x:row>
    <x:row r="1726" ht="18" customHeight="1">
      <x:c r="A1726" s="13" t="n">
        <x:v>44987</x:v>
      </x:c>
      <x:c r="B1726" s="12" t="n">
        <x:v>4.18</x:v>
      </x:c>
      <x:c r="C1726" s="12" t="n">
        <x:v>418</x:v>
      </x:c>
      <x:c r="D1726" s="12" t="n">
        <x:v>1</x:v>
      </x:c>
      <x:c r="E1726" s="12" t="str">
        <x:v>Archived FRED mirror (Hugging Face)</x:v>
      </x:c>
    </x:row>
    <x:row r="1727" ht="18" customHeight="1">
      <x:c r="A1727" s="13" t="n">
        <x:v>44988</x:v>
      </x:c>
      <x:c r="B1727" s="12" t="n">
        <x:v>4.05</x:v>
      </x:c>
      <x:c r="C1727" s="12" t="n">
        <x:v>405</x:v>
      </x:c>
      <x:c r="D1727" s="12" t="n">
        <x:v>-13</x:v>
      </x:c>
      <x:c r="E1727" s="12" t="str">
        <x:v>Archived FRED mirror (Hugging Face)</x:v>
      </x:c>
    </x:row>
    <x:row r="1728" ht="18" customHeight="1">
      <x:c r="A1728" s="13" t="n">
        <x:v>44991</x:v>
      </x:c>
      <x:c r="B1728" s="12" t="n">
        <x:v>3.97</x:v>
      </x:c>
      <x:c r="C1728" s="12" t="n">
        <x:v>397</x:v>
      </x:c>
      <x:c r="D1728" s="12" t="n">
        <x:v>-8</x:v>
      </x:c>
      <x:c r="E1728" s="12" t="str">
        <x:v>Archived FRED mirror (Hugging Face)</x:v>
      </x:c>
    </x:row>
    <x:row r="1729" ht="18" customHeight="1">
      <x:c r="A1729" s="13" t="n">
        <x:v>44992</x:v>
      </x:c>
      <x:c r="B1729" s="12" t="n">
        <x:v>3.98</x:v>
      </x:c>
      <x:c r="C1729" s="12" t="n">
        <x:v>398</x:v>
      </x:c>
      <x:c r="D1729" s="12" t="n">
        <x:v>1</x:v>
      </x:c>
      <x:c r="E1729" s="12" t="str">
        <x:v>Archived FRED mirror (Hugging Face)</x:v>
      </x:c>
    </x:row>
    <x:row r="1730" ht="18" customHeight="1">
      <x:c r="A1730" s="13" t="n">
        <x:v>44993</x:v>
      </x:c>
      <x:c r="B1730" s="12" t="n">
        <x:v>4.09</x:v>
      </x:c>
      <x:c r="C1730" s="12" t="n">
        <x:v>409</x:v>
      </x:c>
      <x:c r="D1730" s="12" t="n">
        <x:v>11</x:v>
      </x:c>
      <x:c r="E1730" s="12" t="str">
        <x:v>Archived FRED mirror (Hugging Face)</x:v>
      </x:c>
    </x:row>
    <x:row r="1731" ht="18" customHeight="1">
      <x:c r="A1731" s="13" t="n">
        <x:v>44994</x:v>
      </x:c>
      <x:c r="B1731" s="12" t="n">
        <x:v>4.27</x:v>
      </x:c>
      <x:c r="C1731" s="12" t="n">
        <x:v>426.99999999999994</x:v>
      </x:c>
      <x:c r="D1731" s="12" t="n">
        <x:v>17.999999999999943</x:v>
      </x:c>
      <x:c r="E1731" s="12" t="str">
        <x:v>Archived FRED mirror (Hugging Face)</x:v>
      </x:c>
    </x:row>
    <x:row r="1732" ht="18" customHeight="1">
      <x:c r="A1732" s="13" t="n">
        <x:v>44995</x:v>
      </x:c>
      <x:c r="B1732" s="12" t="n">
        <x:v>4.61</x:v>
      </x:c>
      <x:c r="C1732" s="12" t="n">
        <x:v>461.00000000000006</x:v>
      </x:c>
      <x:c r="D1732" s="12" t="n">
        <x:v>34.000000000000114</x:v>
      </x:c>
      <x:c r="E1732" s="12" t="str">
        <x:v>Archived FRED mirror (Hugging Face)</x:v>
      </x:c>
    </x:row>
    <x:row r="1733" ht="18" customHeight="1">
      <x:c r="A1733" s="13" t="n">
        <x:v>44998</x:v>
      </x:c>
      <x:c r="B1733" s="12" t="n">
        <x:v>5.03</x:v>
      </x:c>
      <x:c r="C1733" s="12" t="n">
        <x:v>503</x:v>
      </x:c>
      <x:c r="D1733" s="12" t="n">
        <x:v>41.99999999999994</x:v>
      </x:c>
      <x:c r="E1733" s="12" t="str">
        <x:v>Archived FRED mirror (Hugging Face)</x:v>
      </x:c>
    </x:row>
    <x:row r="1734" ht="18" customHeight="1">
      <x:c r="A1734" s="13" t="n">
        <x:v>44999</x:v>
      </x:c>
      <x:c r="B1734" s="12" t="n">
        <x:v>4.74</x:v>
      </x:c>
      <x:c r="C1734" s="12" t="n">
        <x:v>474</x:v>
      </x:c>
      <x:c r="D1734" s="12" t="n">
        <x:v>-29</x:v>
      </x:c>
      <x:c r="E1734" s="12" t="str">
        <x:v>Archived FRED mirror (Hugging Face)</x:v>
      </x:c>
    </x:row>
    <x:row r="1735" ht="18" customHeight="1">
      <x:c r="A1735" s="13" t="n">
        <x:v>45000</x:v>
      </x:c>
      <x:c r="B1735" s="12" t="n">
        <x:v>5.2</x:v>
      </x:c>
      <x:c r="C1735" s="12" t="n">
        <x:v>520</x:v>
      </x:c>
      <x:c r="D1735" s="12" t="n">
        <x:v>46</x:v>
      </x:c>
      <x:c r="E1735" s="12" t="str">
        <x:v>Archived FRED mirror (Hugging Face)</x:v>
      </x:c>
    </x:row>
    <x:row r="1736" ht="18" customHeight="1">
      <x:c r="A1736" s="13" t="n">
        <x:v>45001</x:v>
      </x:c>
      <x:c r="B1736" s="12" t="n">
        <x:v>4.93</x:v>
      </x:c>
      <x:c r="C1736" s="12" t="n">
        <x:v>493</x:v>
      </x:c>
      <x:c r="D1736" s="12" t="n">
        <x:v>-27</x:v>
      </x:c>
      <x:c r="E1736" s="12" t="str">
        <x:v>Archived FRED mirror (Hugging Face)</x:v>
      </x:c>
    </x:row>
    <x:row r="1737" ht="18" customHeight="1">
      <x:c r="A1737" s="13" t="n">
        <x:v>45002</x:v>
      </x:c>
      <x:c r="B1737" s="12" t="n">
        <x:v>5.17</x:v>
      </x:c>
      <x:c r="C1737" s="12" t="n">
        <x:v>517</x:v>
      </x:c>
      <x:c r="D1737" s="12" t="n">
        <x:v>24</x:v>
      </x:c>
      <x:c r="E1737" s="12" t="str">
        <x:v>Archived FRED mirror (Hugging Face)</x:v>
      </x:c>
    </x:row>
    <x:row r="1738" ht="18" customHeight="1">
      <x:c r="A1738" s="13" t="n">
        <x:v>45005</x:v>
      </x:c>
      <x:c r="B1738" s="12" t="n">
        <x:v>5.15</x:v>
      </x:c>
      <x:c r="C1738" s="12" t="n">
        <x:v>515</x:v>
      </x:c>
      <x:c r="D1738" s="12" t="n">
        <x:v>-2</x:v>
      </x:c>
      <x:c r="E1738" s="12" t="str">
        <x:v>Archived FRED mirror (Hugging Face)</x:v>
      </x:c>
    </x:row>
    <x:row r="1739" ht="18" customHeight="1">
      <x:c r="A1739" s="13" t="n">
        <x:v>45006</x:v>
      </x:c>
      <x:c r="B1739" s="12" t="n">
        <x:v>4.85</x:v>
      </x:c>
      <x:c r="C1739" s="12" t="n">
        <x:v>484.99999999999994</x:v>
      </x:c>
      <x:c r="D1739" s="12" t="n">
        <x:v>-30.000000000000057</x:v>
      </x:c>
      <x:c r="E1739" s="12" t="str">
        <x:v>Archived FRED mirror (Hugging Face)</x:v>
      </x:c>
    </x:row>
    <x:row r="1740" ht="18" customHeight="1">
      <x:c r="A1740" s="13" t="n">
        <x:v>45007</x:v>
      </x:c>
      <x:c r="B1740" s="12" t="n">
        <x:v>5</x:v>
      </x:c>
      <x:c r="C1740" s="12" t="n">
        <x:v>500</x:v>
      </x:c>
      <x:c r="D1740" s="12" t="n">
        <x:v>15.000000000000057</x:v>
      </x:c>
      <x:c r="E1740" s="12" t="str">
        <x:v>Archived FRED mirror (Hugging Face)</x:v>
      </x:c>
    </x:row>
    <x:row r="1741" ht="18" customHeight="1">
      <x:c r="A1741" s="13" t="n">
        <x:v>45008</x:v>
      </x:c>
      <x:c r="B1741" s="12" t="n">
        <x:v>5.1</x:v>
      </x:c>
      <x:c r="C1741" s="12" t="n">
        <x:v>509.99999999999994</x:v>
      </x:c>
      <x:c r="D1741" s="12" t="n">
        <x:v>9.999999999999943</x:v>
      </x:c>
      <x:c r="E1741" s="12" t="str">
        <x:v>Archived FRED mirror (Hugging Face)</x:v>
      </x:c>
    </x:row>
    <x:row r="1742" ht="18" customHeight="1">
      <x:c r="A1742" s="13" t="n">
        <x:v>45009</x:v>
      </x:c>
      <x:c r="B1742" s="12" t="n">
        <x:v>5.22</x:v>
      </x:c>
      <x:c r="C1742" s="12" t="n">
        <x:v>522</x:v>
      </x:c>
      <x:c r="D1742" s="12" t="n">
        <x:v>12.000000000000057</x:v>
      </x:c>
      <x:c r="E1742" s="12" t="str">
        <x:v>Archived FRED mirror (Hugging Face)</x:v>
      </x:c>
    </x:row>
    <x:row r="1743" ht="18" customHeight="1">
      <x:c r="A1743" s="13" t="n">
        <x:v>45012</x:v>
      </x:c>
      <x:c r="B1743" s="12" t="n">
        <x:v>5.03</x:v>
      </x:c>
      <x:c r="C1743" s="12" t="n">
        <x:v>503</x:v>
      </x:c>
      <x:c r="D1743" s="12" t="n">
        <x:v>-19</x:v>
      </x:c>
      <x:c r="E1743" s="12" t="str">
        <x:v>Archived FRED mirror (Hugging Face)</x:v>
      </x:c>
    </x:row>
    <x:row r="1744" ht="18" customHeight="1">
      <x:c r="A1744" s="13" t="n">
        <x:v>45013</x:v>
      </x:c>
      <x:c r="B1744" s="12" t="n">
        <x:v>5.01</x:v>
      </x:c>
      <x:c r="C1744" s="12" t="n">
        <x:v>501</x:v>
      </x:c>
      <x:c r="D1744" s="12" t="n">
        <x:v>-2</x:v>
      </x:c>
      <x:c r="E1744" s="12" t="str">
        <x:v>Archived FRED mirror (Hugging Face)</x:v>
      </x:c>
    </x:row>
    <x:row r="1745" ht="18" customHeight="1">
      <x:c r="A1745" s="13" t="n">
        <x:v>45014</x:v>
      </x:c>
      <x:c r="B1745" s="12" t="n">
        <x:v>4.83</x:v>
      </x:c>
      <x:c r="C1745" s="12" t="n">
        <x:v>483</x:v>
      </x:c>
      <x:c r="D1745" s="12" t="n">
        <x:v>-18</x:v>
      </x:c>
      <x:c r="E1745" s="12" t="str">
        <x:v>Archived FRED mirror (Hugging Face)</x:v>
      </x:c>
    </x:row>
    <x:row r="1746" ht="18" customHeight="1">
      <x:c r="A1746" s="13" t="n">
        <x:v>45015</x:v>
      </x:c>
      <x:c r="B1746" s="12" t="n">
        <x:v>4.74</x:v>
      </x:c>
      <x:c r="C1746" s="12" t="n">
        <x:v>474</x:v>
      </x:c>
      <x:c r="D1746" s="12" t="n">
        <x:v>-9</x:v>
      </x:c>
      <x:c r="E1746" s="12" t="str">
        <x:v>Archived FRED mirror (Hugging Face)</x:v>
      </x:c>
    </x:row>
    <x:row r="1747" ht="18" customHeight="1">
      <x:c r="A1747" s="13" t="n">
        <x:v>45016</x:v>
      </x:c>
      <x:c r="B1747" s="12" t="n">
        <x:v>4.58</x:v>
      </x:c>
      <x:c r="C1747" s="12" t="n">
        <x:v>458</x:v>
      </x:c>
      <x:c r="D1747" s="12" t="n">
        <x:v>-16</x:v>
      </x:c>
      <x:c r="E1747" s="12" t="str">
        <x:v>Archived FRED mirror (Hugging Face)</x:v>
      </x:c>
    </x:row>
    <x:row r="1748" ht="18" customHeight="1">
      <x:c r="A1748" s="13" t="n">
        <x:v>45019</x:v>
      </x:c>
      <x:c r="B1748" s="12" t="n">
        <x:v>4.58</x:v>
      </x:c>
      <x:c r="C1748" s="12" t="n">
        <x:v>458</x:v>
      </x:c>
      <x:c r="D1748" s="12" t="n">
        <x:v>0</x:v>
      </x:c>
      <x:c r="E1748" s="12" t="str">
        <x:v>Archived FRED mirror (Hugging Face)</x:v>
      </x:c>
    </x:row>
    <x:row r="1749" ht="18" customHeight="1">
      <x:c r="A1749" s="13" t="n">
        <x:v>45020</x:v>
      </x:c>
      <x:c r="B1749" s="12" t="n">
        <x:v>4.73</x:v>
      </x:c>
      <x:c r="C1749" s="12" t="n">
        <x:v>473.00000000000006</x:v>
      </x:c>
      <x:c r="D1749" s="12" t="n">
        <x:v>15.000000000000057</x:v>
      </x:c>
      <x:c r="E1749" s="12" t="str">
        <x:v>Archived FRED mirror (Hugging Face)</x:v>
      </x:c>
    </x:row>
    <x:row r="1750" ht="18" customHeight="1">
      <x:c r="A1750" s="13" t="n">
        <x:v>45021</x:v>
      </x:c>
      <x:c r="B1750" s="12" t="n">
        <x:v>4.84</x:v>
      </x:c>
      <x:c r="C1750" s="12" t="n">
        <x:v>484</x:v>
      </x:c>
      <x:c r="D1750" s="12" t="n">
        <x:v>10.999999999999943</x:v>
      </x:c>
      <x:c r="E1750" s="12" t="str">
        <x:v>Archived FRED mirror (Hugging Face)</x:v>
      </x:c>
    </x:row>
    <x:row r="1751" ht="18" customHeight="1">
      <x:c r="A1751" s="13" t="n">
        <x:v>45022</x:v>
      </x:c>
      <x:c r="B1751" s="12" t="n">
        <x:v>4.84</x:v>
      </x:c>
      <x:c r="C1751" s="12" t="n">
        <x:v>484</x:v>
      </x:c>
      <x:c r="D1751" s="12" t="n">
        <x:v>0</x:v>
      </x:c>
      <x:c r="E1751" s="12" t="str">
        <x:v>Archived FRED mirror (Hugging Face)</x:v>
      </x:c>
    </x:row>
    <x:row r="1752" ht="18" customHeight="1">
      <x:c r="A1752" s="13" t="n">
        <x:v>45026</x:v>
      </x:c>
      <x:c r="B1752" s="12" t="n">
        <x:v>4.7</x:v>
      </x:c>
      <x:c r="C1752" s="12" t="n">
        <x:v>470</x:v>
      </x:c>
      <x:c r="D1752" s="12" t="n">
        <x:v>-14</x:v>
      </x:c>
      <x:c r="E1752" s="12" t="str">
        <x:v>Archived FRED mirror (Hugging Face)</x:v>
      </x:c>
    </x:row>
    <x:row r="1753" ht="18" customHeight="1">
      <x:c r="A1753" s="13" t="n">
        <x:v>45027</x:v>
      </x:c>
      <x:c r="B1753" s="12" t="n">
        <x:v>4.63</x:v>
      </x:c>
      <x:c r="C1753" s="12" t="n">
        <x:v>463</x:v>
      </x:c>
      <x:c r="D1753" s="12" t="n">
        <x:v>-7</x:v>
      </x:c>
      <x:c r="E1753" s="12" t="str">
        <x:v>Archived FRED mirror (Hugging Face)</x:v>
      </x:c>
    </x:row>
    <x:row r="1754" ht="18" customHeight="1">
      <x:c r="A1754" s="13" t="n">
        <x:v>45028</x:v>
      </x:c>
      <x:c r="B1754" s="12" t="n">
        <x:v>4.62</x:v>
      </x:c>
      <x:c r="C1754" s="12" t="n">
        <x:v>462</x:v>
      </x:c>
      <x:c r="D1754" s="12" t="n">
        <x:v>-1</x:v>
      </x:c>
      <x:c r="E1754" s="12" t="str">
        <x:v>Archived FRED mirror (Hugging Face)</x:v>
      </x:c>
    </x:row>
    <x:row r="1755" ht="18" customHeight="1">
      <x:c r="A1755" s="13" t="n">
        <x:v>45029</x:v>
      </x:c>
      <x:c r="B1755" s="12" t="n">
        <x:v>4.49</x:v>
      </x:c>
      <x:c r="C1755" s="12" t="n">
        <x:v>449</x:v>
      </x:c>
      <x:c r="D1755" s="12" t="n">
        <x:v>-13</x:v>
      </x:c>
      <x:c r="E1755" s="12" t="str">
        <x:v>Archived FRED mirror (Hugging Face)</x:v>
      </x:c>
    </x:row>
    <x:row r="1756" ht="18" customHeight="1">
      <x:c r="A1756" s="13" t="n">
        <x:v>45030</x:v>
      </x:c>
      <x:c r="B1756" s="12" t="n">
        <x:v>4.43</x:v>
      </x:c>
      <x:c r="C1756" s="12" t="n">
        <x:v>443</x:v>
      </x:c>
      <x:c r="D1756" s="12" t="n">
        <x:v>-6</x:v>
      </x:c>
      <x:c r="E1756" s="12" t="str">
        <x:v>Archived FRED mirror (Hugging Face)</x:v>
      </x:c>
    </x:row>
    <x:row r="1757" ht="18" customHeight="1">
      <x:c r="A1757" s="13" t="n">
        <x:v>45033</x:v>
      </x:c>
      <x:c r="B1757" s="12" t="n">
        <x:v>4.41</x:v>
      </x:c>
      <x:c r="C1757" s="12" t="n">
        <x:v>441</x:v>
      </x:c>
      <x:c r="D1757" s="12" t="n">
        <x:v>-2</x:v>
      </x:c>
      <x:c r="E1757" s="12" t="str">
        <x:v>Archived FRED mirror (Hugging Face)</x:v>
      </x:c>
    </x:row>
    <x:row r="1758" ht="18" customHeight="1">
      <x:c r="A1758" s="13" t="n">
        <x:v>45034</x:v>
      </x:c>
      <x:c r="B1758" s="12" t="n">
        <x:v>4.37</x:v>
      </x:c>
      <x:c r="C1758" s="12" t="n">
        <x:v>437</x:v>
      </x:c>
      <x:c r="D1758" s="12" t="n">
        <x:v>-4</x:v>
      </x:c>
      <x:c r="E1758" s="12" t="str">
        <x:v>Archived FRED mirror (Hugging Face)</x:v>
      </x:c>
    </x:row>
    <x:row r="1759" ht="18" customHeight="1">
      <x:c r="A1759" s="13" t="n">
        <x:v>45035</x:v>
      </x:c>
      <x:c r="B1759" s="12" t="n">
        <x:v>4.41</x:v>
      </x:c>
      <x:c r="C1759" s="12" t="n">
        <x:v>441</x:v>
      </x:c>
      <x:c r="D1759" s="12" t="n">
        <x:v>4</x:v>
      </x:c>
      <x:c r="E1759" s="12" t="str">
        <x:v>Archived FRED mirror (Hugging Face)</x:v>
      </x:c>
    </x:row>
    <x:row r="1760" ht="18" customHeight="1">
      <x:c r="A1760" s="13" t="n">
        <x:v>45036</x:v>
      </x:c>
      <x:c r="B1760" s="12" t="n">
        <x:v>4.54</x:v>
      </x:c>
      <x:c r="C1760" s="12" t="n">
        <x:v>454</x:v>
      </x:c>
      <x:c r="D1760" s="12" t="n">
        <x:v>13</x:v>
      </x:c>
      <x:c r="E1760" s="12" t="str">
        <x:v>Archived FRED mirror (Hugging Face)</x:v>
      </x:c>
    </x:row>
    <x:row r="1761" ht="18" customHeight="1">
      <x:c r="A1761" s="13" t="n">
        <x:v>45037</x:v>
      </x:c>
      <x:c r="B1761" s="12" t="n">
        <x:v>4.46</x:v>
      </x:c>
      <x:c r="C1761" s="12" t="n">
        <x:v>446</x:v>
      </x:c>
      <x:c r="D1761" s="12" t="n">
        <x:v>-8</x:v>
      </x:c>
      <x:c r="E1761" s="12" t="str">
        <x:v>Archived FRED mirror (Hugging Face)</x:v>
      </x:c>
    </x:row>
    <x:row r="1762" ht="18" customHeight="1">
      <x:c r="A1762" s="13" t="n">
        <x:v>45040</x:v>
      </x:c>
      <x:c r="B1762" s="12" t="n">
        <x:v>4.48</x:v>
      </x:c>
      <x:c r="C1762" s="12" t="n">
        <x:v>448.00000000000006</x:v>
      </x:c>
      <x:c r="D1762" s="12" t="n">
        <x:v>2.000000000000057</x:v>
      </x:c>
      <x:c r="E1762" s="12" t="str">
        <x:v>Archived FRED mirror (Hugging Face)</x:v>
      </x:c>
    </x:row>
    <x:row r="1763" ht="18" customHeight="1">
      <x:c r="A1763" s="13" t="n">
        <x:v>45041</x:v>
      </x:c>
      <x:c r="B1763" s="12" t="n">
        <x:v>4.64</x:v>
      </x:c>
      <x:c r="C1763" s="12" t="n">
        <x:v>463.99999999999994</x:v>
      </x:c>
      <x:c r="D1763" s="12" t="n">
        <x:v>15.999999999999886</x:v>
      </x:c>
      <x:c r="E1763" s="12" t="str">
        <x:v>Archived FRED mirror (Hugging Face)</x:v>
      </x:c>
    </x:row>
    <x:row r="1764" ht="18" customHeight="1">
      <x:c r="A1764" s="13" t="n">
        <x:v>45042</x:v>
      </x:c>
      <x:c r="B1764" s="12" t="n">
        <x:v>4.63</x:v>
      </x:c>
      <x:c r="C1764" s="12" t="n">
        <x:v>463</x:v>
      </x:c>
      <x:c r="D1764" s="12" t="n">
        <x:v>-0.9999999999999432</x:v>
      </x:c>
      <x:c r="E1764" s="12" t="str">
        <x:v>Archived FRED mirror (Hugging Face)</x:v>
      </x:c>
    </x:row>
    <x:row r="1765" ht="18" customHeight="1">
      <x:c r="A1765" s="13" t="n">
        <x:v>45043</x:v>
      </x:c>
      <x:c r="B1765" s="12" t="n">
        <x:v>4.48</x:v>
      </x:c>
      <x:c r="C1765" s="12" t="n">
        <x:v>448.00000000000006</x:v>
      </x:c>
      <x:c r="D1765" s="12" t="n">
        <x:v>-14.999999999999943</x:v>
      </x:c>
      <x:c r="E1765" s="12" t="str">
        <x:v>Archived FRED mirror (Hugging Face)</x:v>
      </x:c>
    </x:row>
    <x:row r="1766" ht="18" customHeight="1">
      <x:c r="A1766" s="13" t="n">
        <x:v>45044</x:v>
      </x:c>
      <x:c r="B1766" s="12" t="n">
        <x:v>4.5</x:v>
      </x:c>
      <x:c r="C1766" s="12" t="n">
        <x:v>450</x:v>
      </x:c>
      <x:c r="D1766" s="12" t="n">
        <x:v>1.9999999999999432</x:v>
      </x:c>
      <x:c r="E1766" s="12" t="str">
        <x:v>Archived FRED mirror (Hugging Face)</x:v>
      </x:c>
    </x:row>
    <x:row r="1767" ht="18" customHeight="1">
      <x:c r="A1767" s="13" t="n">
        <x:v>45046</x:v>
      </x:c>
      <x:c r="B1767" s="12" t="n">
        <x:v>4.53</x:v>
      </x:c>
      <x:c r="C1767" s="12" t="n">
        <x:v>453</x:v>
      </x:c>
      <x:c r="D1767" s="12" t="n">
        <x:v>3</x:v>
      </x:c>
      <x:c r="E1767" s="12" t="str">
        <x:v>Archived FRED mirror (Hugging Face)</x:v>
      </x:c>
    </x:row>
    <x:row r="1768" ht="18" customHeight="1">
      <x:c r="A1768" s="13" t="n">
        <x:v>45047</x:v>
      </x:c>
      <x:c r="B1768" s="12" t="n">
        <x:v>4.45</x:v>
      </x:c>
      <x:c r="C1768" s="12" t="n">
        <x:v>445</x:v>
      </x:c>
      <x:c r="D1768" s="12" t="n">
        <x:v>-8</x:v>
      </x:c>
      <x:c r="E1768" s="12" t="str">
        <x:v>Archived FRED mirror (Hugging Face)</x:v>
      </x:c>
    </x:row>
    <x:row r="1769" ht="18" customHeight="1">
      <x:c r="A1769" s="13" t="n">
        <x:v>45048</x:v>
      </x:c>
      <x:c r="B1769" s="12" t="n">
        <x:v>4.7</x:v>
      </x:c>
      <x:c r="C1769" s="12" t="n">
        <x:v>470</x:v>
      </x:c>
      <x:c r="D1769" s="12" t="n">
        <x:v>25</x:v>
      </x:c>
      <x:c r="E1769" s="12" t="str">
        <x:v>Archived FRED mirror (Hugging Face)</x:v>
      </x:c>
    </x:row>
    <x:row r="1770" ht="18" customHeight="1">
      <x:c r="A1770" s="13" t="n">
        <x:v>45049</x:v>
      </x:c>
      <x:c r="B1770" s="12" t="n">
        <x:v>4.79</x:v>
      </x:c>
      <x:c r="C1770" s="12" t="n">
        <x:v>479</x:v>
      </x:c>
      <x:c r="D1770" s="12" t="n">
        <x:v>9</x:v>
      </x:c>
      <x:c r="E1770" s="12" t="str">
        <x:v>Archived FRED mirror (Hugging Face)</x:v>
      </x:c>
    </x:row>
    <x:row r="1771" ht="18" customHeight="1">
      <x:c r="A1771" s="13" t="n">
        <x:v>45050</x:v>
      </x:c>
      <x:c r="B1771" s="12" t="n">
        <x:v>4.95</x:v>
      </x:c>
      <x:c r="C1771" s="12" t="n">
        <x:v>495</x:v>
      </x:c>
      <x:c r="D1771" s="12" t="n">
        <x:v>16</x:v>
      </x:c>
      <x:c r="E1771" s="12" t="str">
        <x:v>Archived FRED mirror (Hugging Face)</x:v>
      </x:c>
    </x:row>
    <x:row r="1772" ht="18" customHeight="1">
      <x:c r="A1772" s="13" t="n">
        <x:v>45051</x:v>
      </x:c>
      <x:c r="B1772" s="12" t="n">
        <x:v>4.77</x:v>
      </x:c>
      <x:c r="C1772" s="12" t="n">
        <x:v>476.99999999999994</x:v>
      </x:c>
      <x:c r="D1772" s="12" t="n">
        <x:v>-18.000000000000057</x:v>
      </x:c>
      <x:c r="E1772" s="12" t="str">
        <x:v>Archived FRED mirror (Hugging Face)</x:v>
      </x:c>
    </x:row>
    <x:row r="1773" ht="18" customHeight="1">
      <x:c r="A1773" s="13" t="n">
        <x:v>45054</x:v>
      </x:c>
      <x:c r="B1773" s="12" t="n">
        <x:v>4.72</x:v>
      </x:c>
      <x:c r="C1773" s="12" t="n">
        <x:v>472</x:v>
      </x:c>
      <x:c r="D1773" s="12" t="n">
        <x:v>-4.999999999999943</x:v>
      </x:c>
      <x:c r="E1773" s="12" t="str">
        <x:v>Archived FRED mirror (Hugging Face)</x:v>
      </x:c>
    </x:row>
    <x:row r="1774" ht="18" customHeight="1">
      <x:c r="A1774" s="13" t="n">
        <x:v>45055</x:v>
      </x:c>
      <x:c r="B1774" s="12" t="n">
        <x:v>4.74</x:v>
      </x:c>
      <x:c r="C1774" s="12" t="n">
        <x:v>474</x:v>
      </x:c>
      <x:c r="D1774" s="12" t="n">
        <x:v>2</x:v>
      </x:c>
      <x:c r="E1774" s="12" t="str">
        <x:v>Archived FRED mirror (Hugging Face)</x:v>
      </x:c>
    </x:row>
    <x:row r="1775" ht="18" customHeight="1">
      <x:c r="A1775" s="13" t="n">
        <x:v>45056</x:v>
      </x:c>
      <x:c r="B1775" s="12" t="n">
        <x:v>4.78</x:v>
      </x:c>
      <x:c r="C1775" s="12" t="n">
        <x:v>478</x:v>
      </x:c>
      <x:c r="D1775" s="12" t="n">
        <x:v>4</x:v>
      </x:c>
      <x:c r="E1775" s="12" t="str">
        <x:v>Archived FRED mirror (Hugging Face)</x:v>
      </x:c>
    </x:row>
    <x:row r="1776" ht="18" customHeight="1">
      <x:c r="A1776" s="13" t="n">
        <x:v>45057</x:v>
      </x:c>
      <x:c r="B1776" s="12" t="n">
        <x:v>4.81</x:v>
      </x:c>
      <x:c r="C1776" s="12" t="n">
        <x:v>480.99999999999994</x:v>
      </x:c>
      <x:c r="D1776" s="12" t="n">
        <x:v>2.999999999999943</x:v>
      </x:c>
      <x:c r="E1776" s="12" t="str">
        <x:v>Archived FRED mirror (Hugging Face)</x:v>
      </x:c>
    </x:row>
    <x:row r="1777" ht="18" customHeight="1">
      <x:c r="A1777" s="13" t="n">
        <x:v>45058</x:v>
      </x:c>
      <x:c r="B1777" s="12" t="n">
        <x:v>4.76</x:v>
      </x:c>
      <x:c r="C1777" s="12" t="n">
        <x:v>476</x:v>
      </x:c>
      <x:c r="D1777" s="12" t="n">
        <x:v>-4.999999999999943</x:v>
      </x:c>
      <x:c r="E1777" s="12" t="str">
        <x:v>Archived FRED mirror (Hugging Face)</x:v>
      </x:c>
    </x:row>
    <x:row r="1778" ht="18" customHeight="1">
      <x:c r="A1778" s="13" t="n">
        <x:v>45061</x:v>
      </x:c>
      <x:c r="B1778" s="12" t="n">
        <x:v>4.77</x:v>
      </x:c>
      <x:c r="C1778" s="12" t="n">
        <x:v>476.99999999999994</x:v>
      </x:c>
      <x:c r="D1778" s="12" t="n">
        <x:v>0.9999999999999432</x:v>
      </x:c>
      <x:c r="E1778" s="12" t="str">
        <x:v>Archived FRED mirror (Hugging Face)</x:v>
      </x:c>
    </x:row>
    <x:row r="1779" ht="18" customHeight="1">
      <x:c r="A1779" s="13" t="n">
        <x:v>45062</x:v>
      </x:c>
      <x:c r="B1779" s="12" t="n">
        <x:v>4.79</x:v>
      </x:c>
      <x:c r="C1779" s="12" t="n">
        <x:v>479</x:v>
      </x:c>
      <x:c r="D1779" s="12" t="n">
        <x:v>2.000000000000057</x:v>
      </x:c>
      <x:c r="E1779" s="12" t="str">
        <x:v>Archived FRED mirror (Hugging Face)</x:v>
      </x:c>
    </x:row>
    <x:row r="1780" ht="18" customHeight="1">
      <x:c r="A1780" s="13" t="n">
        <x:v>45063</x:v>
      </x:c>
      <x:c r="B1780" s="12" t="n">
        <x:v>4.75</x:v>
      </x:c>
      <x:c r="C1780" s="12" t="n">
        <x:v>475</x:v>
      </x:c>
      <x:c r="D1780" s="12" t="n">
        <x:v>-4</x:v>
      </x:c>
      <x:c r="E1780" s="12" t="str">
        <x:v>Archived FRED mirror (Hugging Face)</x:v>
      </x:c>
    </x:row>
    <x:row r="1781" ht="18" customHeight="1">
      <x:c r="A1781" s="13" t="n">
        <x:v>45064</x:v>
      </x:c>
      <x:c r="B1781" s="12" t="n">
        <x:v>4.69</x:v>
      </x:c>
      <x:c r="C1781" s="12" t="n">
        <x:v>469.00000000000006</x:v>
      </x:c>
      <x:c r="D1781" s="12" t="n">
        <x:v>-5.999999999999943</x:v>
      </x:c>
      <x:c r="E1781" s="12" t="str">
        <x:v>Archived FRED mirror (Hugging Face)</x:v>
      </x:c>
    </x:row>
    <x:row r="1782" ht="18" customHeight="1">
      <x:c r="A1782" s="13" t="n">
        <x:v>45065</x:v>
      </x:c>
      <x:c r="B1782" s="12" t="n">
        <x:v>4.62</x:v>
      </x:c>
      <x:c r="C1782" s="12" t="n">
        <x:v>462</x:v>
      </x:c>
      <x:c r="D1782" s="12" t="n">
        <x:v>-7.000000000000057</x:v>
      </x:c>
      <x:c r="E1782" s="12" t="str">
        <x:v>Archived FRED mirror (Hugging Face)</x:v>
      </x:c>
    </x:row>
    <x:row r="1783" ht="18" customHeight="1">
      <x:c r="A1783" s="13" t="n">
        <x:v>45068</x:v>
      </x:c>
      <x:c r="B1783" s="12" t="n">
        <x:v>4.54</x:v>
      </x:c>
      <x:c r="C1783" s="12" t="n">
        <x:v>454</x:v>
      </x:c>
      <x:c r="D1783" s="12" t="n">
        <x:v>-8</x:v>
      </x:c>
      <x:c r="E1783" s="12" t="str">
        <x:v>Archived FRED mirror (Hugging Face)</x:v>
      </x:c>
    </x:row>
    <x:row r="1784" ht="18" customHeight="1">
      <x:c r="A1784" s="13" t="n">
        <x:v>45069</x:v>
      </x:c>
      <x:c r="B1784" s="12" t="n">
        <x:v>4.6</x:v>
      </x:c>
      <x:c r="C1784" s="12" t="n">
        <x:v>459.99999999999994</x:v>
      </x:c>
      <x:c r="D1784" s="12" t="n">
        <x:v>5.999999999999943</x:v>
      </x:c>
      <x:c r="E1784" s="12" t="str">
        <x:v>Archived FRED mirror (Hugging Face)</x:v>
      </x:c>
    </x:row>
    <x:row r="1785" ht="18" customHeight="1">
      <x:c r="A1785" s="13" t="n">
        <x:v>45070</x:v>
      </x:c>
      <x:c r="B1785" s="12" t="n">
        <x:v>4.68</x:v>
      </x:c>
      <x:c r="C1785" s="12" t="n">
        <x:v>468</x:v>
      </x:c>
      <x:c r="D1785" s="12" t="n">
        <x:v>8.000000000000057</x:v>
      </x:c>
      <x:c r="E1785" s="12" t="str">
        <x:v>Archived FRED mirror (Hugging Face)</x:v>
      </x:c>
    </x:row>
    <x:row r="1786" ht="18" customHeight="1">
      <x:c r="A1786" s="13" t="n">
        <x:v>45071</x:v>
      </x:c>
      <x:c r="B1786" s="12" t="n">
        <x:v>4.58</x:v>
      </x:c>
      <x:c r="C1786" s="12" t="n">
        <x:v>458</x:v>
      </x:c>
      <x:c r="D1786" s="12" t="n">
        <x:v>-10</x:v>
      </x:c>
      <x:c r="E1786" s="12" t="str">
        <x:v>Archived FRED mirror (Hugging Face)</x:v>
      </x:c>
    </x:row>
    <x:row r="1787" ht="18" customHeight="1">
      <x:c r="A1787" s="13" t="n">
        <x:v>45072</x:v>
      </x:c>
      <x:c r="B1787" s="12" t="n">
        <x:v>4.53</x:v>
      </x:c>
      <x:c r="C1787" s="12" t="n">
        <x:v>453</x:v>
      </x:c>
      <x:c r="D1787" s="12" t="n">
        <x:v>-5</x:v>
      </x:c>
      <x:c r="E1787" s="12" t="str">
        <x:v>Archived FRED mirror (Hugging Face)</x:v>
      </x:c>
    </x:row>
    <x:row r="1788" ht="18" customHeight="1">
      <x:c r="A1788" s="13" t="n">
        <x:v>45075</x:v>
      </x:c>
      <x:c r="B1788" s="12" t="n">
        <x:v>4.54</x:v>
      </x:c>
      <x:c r="C1788" s="12" t="n">
        <x:v>454</x:v>
      </x:c>
      <x:c r="D1788" s="12" t="n">
        <x:v>1</x:v>
      </x:c>
      <x:c r="E1788" s="12" t="str">
        <x:v>Archived FRED mirror (Hugging Face)</x:v>
      </x:c>
    </x:row>
    <x:row r="1789" ht="18" customHeight="1">
      <x:c r="A1789" s="13" t="n">
        <x:v>45076</x:v>
      </x:c>
      <x:c r="B1789" s="12" t="n">
        <x:v>4.58</x:v>
      </x:c>
      <x:c r="C1789" s="12" t="n">
        <x:v>458</x:v>
      </x:c>
      <x:c r="D1789" s="12" t="n">
        <x:v>4</x:v>
      </x:c>
      <x:c r="E1789" s="12" t="str">
        <x:v>Archived FRED mirror (Hugging Face)</x:v>
      </x:c>
    </x:row>
    <x:row r="1790" ht="18" customHeight="1">
      <x:c r="A1790" s="13" t="n">
        <x:v>45077</x:v>
      </x:c>
      <x:c r="B1790" s="12" t="n">
        <x:v>4.69</x:v>
      </x:c>
      <x:c r="C1790" s="12" t="n">
        <x:v>469.00000000000006</x:v>
      </x:c>
      <x:c r="D1790" s="12" t="n">
        <x:v>11.000000000000057</x:v>
      </x:c>
      <x:c r="E1790" s="12" t="str">
        <x:v>Archived FRED mirror (Hugging Face)</x:v>
      </x:c>
    </x:row>
    <x:row r="1791" ht="18" customHeight="1">
      <x:c r="A1791" s="13" t="n">
        <x:v>45078</x:v>
      </x:c>
      <x:c r="B1791" s="12" t="n">
        <x:v>4.65</x:v>
      </x:c>
      <x:c r="C1791" s="12" t="n">
        <x:v>465.00000000000006</x:v>
      </x:c>
      <x:c r="D1791" s="12" t="n">
        <x:v>-4</x:v>
      </x:c>
      <x:c r="E1791" s="12" t="str">
        <x:v>Archived FRED mirror (Hugging Face)</x:v>
      </x:c>
    </x:row>
    <x:row r="1792" ht="18" customHeight="1">
      <x:c r="A1792" s="13" t="n">
        <x:v>45079</x:v>
      </x:c>
      <x:c r="B1792" s="12" t="n">
        <x:v>4.37</x:v>
      </x:c>
      <x:c r="C1792" s="12" t="n">
        <x:v>437</x:v>
      </x:c>
      <x:c r="D1792" s="12" t="n">
        <x:v>-28.000000000000057</x:v>
      </x:c>
      <x:c r="E1792" s="12" t="str">
        <x:v>Archived FRED mirror (Hugging Face)</x:v>
      </x:c>
    </x:row>
    <x:row r="1793" ht="18" customHeight="1">
      <x:c r="A1793" s="13" t="n">
        <x:v>45082</x:v>
      </x:c>
      <x:c r="B1793" s="12" t="n">
        <x:v>4.39</x:v>
      </x:c>
      <x:c r="C1793" s="12" t="n">
        <x:v>438.99999999999994</x:v>
      </x:c>
      <x:c r="D1793" s="12" t="n">
        <x:v>1.9999999999999432</x:v>
      </x:c>
      <x:c r="E1793" s="12" t="str">
        <x:v>Archived FRED mirror (Hugging Face)</x:v>
      </x:c>
    </x:row>
    <x:row r="1794" ht="18" customHeight="1">
      <x:c r="A1794" s="13" t="n">
        <x:v>45083</x:v>
      </x:c>
      <x:c r="B1794" s="12" t="n">
        <x:v>4.39</x:v>
      </x:c>
      <x:c r="C1794" s="12" t="n">
        <x:v>438.99999999999994</x:v>
      </x:c>
      <x:c r="D1794" s="12" t="n">
        <x:v>0</x:v>
      </x:c>
      <x:c r="E1794" s="12" t="str">
        <x:v>Archived FRED mirror (Hugging Face)</x:v>
      </x:c>
    </x:row>
    <x:row r="1795" ht="18" customHeight="1">
      <x:c r="A1795" s="13" t="n">
        <x:v>45084</x:v>
      </x:c>
      <x:c r="B1795" s="12" t="n">
        <x:v>4.33</x:v>
      </x:c>
      <x:c r="C1795" s="12" t="n">
        <x:v>433</x:v>
      </x:c>
      <x:c r="D1795" s="12" t="n">
        <x:v>-5.999999999999943</x:v>
      </x:c>
      <x:c r="E1795" s="12" t="str">
        <x:v>Archived FRED mirror (Hugging Face)</x:v>
      </x:c>
    </x:row>
    <x:row r="1796" ht="18" customHeight="1">
      <x:c r="A1796" s="13" t="n">
        <x:v>45085</x:v>
      </x:c>
      <x:c r="B1796" s="12" t="n">
        <x:v>4.39</x:v>
      </x:c>
      <x:c r="C1796" s="12" t="n">
        <x:v>438.99999999999994</x:v>
      </x:c>
      <x:c r="D1796" s="12" t="n">
        <x:v>5.999999999999943</x:v>
      </x:c>
      <x:c r="E1796" s="12" t="str">
        <x:v>Archived FRED mirror (Hugging Face)</x:v>
      </x:c>
    </x:row>
    <x:row r="1797" ht="18" customHeight="1">
      <x:c r="A1797" s="13" t="n">
        <x:v>45086</x:v>
      </x:c>
      <x:c r="B1797" s="12" t="n">
        <x:v>4.29</x:v>
      </x:c>
      <x:c r="C1797" s="12" t="n">
        <x:v>429</x:v>
      </x:c>
      <x:c r="D1797" s="12" t="n">
        <x:v>-9.999999999999943</x:v>
      </x:c>
      <x:c r="E1797" s="12" t="str">
        <x:v>Archived FRED mirror (Hugging Face)</x:v>
      </x:c>
    </x:row>
    <x:row r="1798" ht="18" customHeight="1">
      <x:c r="A1798" s="13" t="n">
        <x:v>45089</x:v>
      </x:c>
      <x:c r="B1798" s="12" t="n">
        <x:v>4.34</x:v>
      </x:c>
      <x:c r="C1798" s="12" t="n">
        <x:v>434</x:v>
      </x:c>
      <x:c r="D1798" s="12" t="n">
        <x:v>5</x:v>
      </x:c>
      <x:c r="E1798" s="12" t="str">
        <x:v>Archived FRED mirror (Hugging Face)</x:v>
      </x:c>
    </x:row>
    <x:row r="1799" ht="18" customHeight="1">
      <x:c r="A1799" s="13" t="n">
        <x:v>45090</x:v>
      </x:c>
      <x:c r="B1799" s="12" t="n">
        <x:v>4.18</x:v>
      </x:c>
      <x:c r="C1799" s="12" t="n">
        <x:v>418</x:v>
      </x:c>
      <x:c r="D1799" s="12" t="n">
        <x:v>-16</x:v>
      </x:c>
      <x:c r="E1799" s="12" t="str">
        <x:v>Archived FRED mirror (Hugging Face)</x:v>
      </x:c>
    </x:row>
    <x:row r="1800" ht="18" customHeight="1">
      <x:c r="A1800" s="13" t="n">
        <x:v>45091</x:v>
      </x:c>
      <x:c r="B1800" s="12" t="n">
        <x:v>4.18</x:v>
      </x:c>
      <x:c r="C1800" s="12" t="n">
        <x:v>418</x:v>
      </x:c>
      <x:c r="D1800" s="12" t="n">
        <x:v>0</x:v>
      </x:c>
      <x:c r="E1800" s="12" t="str">
        <x:v>Archived FRED mirror (Hugging Face)</x:v>
      </x:c>
    </x:row>
    <x:row r="1801" ht="18" customHeight="1">
      <x:c r="A1801" s="13" t="n">
        <x:v>45092</x:v>
      </x:c>
      <x:c r="B1801" s="12" t="n">
        <x:v>4.21</x:v>
      </x:c>
      <x:c r="C1801" s="12" t="n">
        <x:v>421</x:v>
      </x:c>
      <x:c r="D1801" s="12" t="n">
        <x:v>3</x:v>
      </x:c>
      <x:c r="E1801" s="12" t="str">
        <x:v>Archived FRED mirror (Hugging Face)</x:v>
      </x:c>
    </x:row>
    <x:row r="1802" ht="18" customHeight="1">
      <x:c r="A1802" s="13" t="n">
        <x:v>45093</x:v>
      </x:c>
      <x:c r="B1802" s="12" t="n">
        <x:v>4.15</x:v>
      </x:c>
      <x:c r="C1802" s="12" t="n">
        <x:v>415.00000000000006</x:v>
      </x:c>
      <x:c r="D1802" s="12" t="n">
        <x:v>-5.999999999999943</x:v>
      </x:c>
      <x:c r="E1802" s="12" t="str">
        <x:v>Archived FRED mirror (Hugging Face)</x:v>
      </x:c>
    </x:row>
    <x:row r="1803" ht="18" customHeight="1">
      <x:c r="A1803" s="13" t="n">
        <x:v>45096</x:v>
      </x:c>
      <x:c r="B1803" s="12" t="n">
        <x:v>4.15</x:v>
      </x:c>
      <x:c r="C1803" s="12" t="n">
        <x:v>415.00000000000006</x:v>
      </x:c>
      <x:c r="D1803" s="12" t="n">
        <x:v>0</x:v>
      </x:c>
      <x:c r="E1803" s="12" t="str">
        <x:v>Archived FRED mirror (Hugging Face)</x:v>
      </x:c>
    </x:row>
    <x:row r="1804" ht="18" customHeight="1">
      <x:c r="A1804" s="13" t="n">
        <x:v>45097</x:v>
      </x:c>
      <x:c r="B1804" s="12" t="n">
        <x:v>4.22</x:v>
      </x:c>
      <x:c r="C1804" s="12" t="n">
        <x:v>422</x:v>
      </x:c>
      <x:c r="D1804" s="12" t="n">
        <x:v>6.999999999999943</x:v>
      </x:c>
      <x:c r="E1804" s="12" t="str">
        <x:v>Archived FRED mirror (Hugging Face)</x:v>
      </x:c>
    </x:row>
    <x:row r="1805" ht="18" customHeight="1">
      <x:c r="A1805" s="13" t="n">
        <x:v>45098</x:v>
      </x:c>
      <x:c r="B1805" s="12" t="n">
        <x:v>4.32</x:v>
      </x:c>
      <x:c r="C1805" s="12" t="n">
        <x:v>432</x:v>
      </x:c>
      <x:c r="D1805" s="12" t="n">
        <x:v>10</x:v>
      </x:c>
      <x:c r="E1805" s="12" t="str">
        <x:v>Archived FRED mirror (Hugging Face)</x:v>
      </x:c>
    </x:row>
    <x:row r="1806" ht="18" customHeight="1">
      <x:c r="A1806" s="13" t="n">
        <x:v>45099</x:v>
      </x:c>
      <x:c r="B1806" s="12" t="n">
        <x:v>4.3</x:v>
      </x:c>
      <x:c r="C1806" s="12" t="n">
        <x:v>430</x:v>
      </x:c>
      <x:c r="D1806" s="12" t="n">
        <x:v>-2</x:v>
      </x:c>
      <x:c r="E1806" s="12" t="str">
        <x:v>Archived FRED mirror (Hugging Face)</x:v>
      </x:c>
    </x:row>
    <x:row r="1807" ht="18" customHeight="1">
      <x:c r="A1807" s="13" t="n">
        <x:v>45100</x:v>
      </x:c>
      <x:c r="B1807" s="12" t="n">
        <x:v>4.4</x:v>
      </x:c>
      <x:c r="C1807" s="12" t="n">
        <x:v>440.00000000000006</x:v>
      </x:c>
      <x:c r="D1807" s="12" t="n">
        <x:v>10.000000000000057</x:v>
      </x:c>
      <x:c r="E1807" s="12" t="str">
        <x:v>Archived FRED mirror (Hugging Face)</x:v>
      </x:c>
    </x:row>
    <x:row r="1808" ht="18" customHeight="1">
      <x:c r="A1808" s="13" t="n">
        <x:v>45103</x:v>
      </x:c>
      <x:c r="B1808" s="12" t="n">
        <x:v>4.45</x:v>
      </x:c>
      <x:c r="C1808" s="12" t="n">
        <x:v>445</x:v>
      </x:c>
      <x:c r="D1808" s="12" t="n">
        <x:v>4.999999999999943</x:v>
      </x:c>
      <x:c r="E1808" s="12" t="str">
        <x:v>Archived FRED mirror (Hugging Face)</x:v>
      </x:c>
    </x:row>
    <x:row r="1809" ht="18" customHeight="1">
      <x:c r="A1809" s="13" t="n">
        <x:v>45104</x:v>
      </x:c>
      <x:c r="B1809" s="12" t="n">
        <x:v>4.3</x:v>
      </x:c>
      <x:c r="C1809" s="12" t="n">
        <x:v>430</x:v>
      </x:c>
      <x:c r="D1809" s="12" t="n">
        <x:v>-15</x:v>
      </x:c>
      <x:c r="E1809" s="12" t="str">
        <x:v>Archived FRED mirror (Hugging Face)</x:v>
      </x:c>
    </x:row>
    <x:row r="1810" ht="18" customHeight="1">
      <x:c r="A1810" s="13" t="n">
        <x:v>45105</x:v>
      </x:c>
      <x:c r="B1810" s="12" t="n">
        <x:v>4.27</x:v>
      </x:c>
      <x:c r="C1810" s="12" t="n">
        <x:v>426.99999999999994</x:v>
      </x:c>
      <x:c r="D1810" s="12" t="n">
        <x:v>-3.000000000000057</x:v>
      </x:c>
      <x:c r="E1810" s="12" t="str">
        <x:v>Archived FRED mirror (Hugging Face)</x:v>
      </x:c>
    </x:row>
    <x:row r="1811" ht="18" customHeight="1">
      <x:c r="A1811" s="13" t="n">
        <x:v>45106</x:v>
      </x:c>
      <x:c r="B1811" s="12" t="n">
        <x:v>4.14</x:v>
      </x:c>
      <x:c r="C1811" s="12" t="n">
        <x:v>413.99999999999994</x:v>
      </x:c>
      <x:c r="D1811" s="12" t="n">
        <x:v>-13</x:v>
      </x:c>
      <x:c r="E1811" s="12" t="str">
        <x:v>Archived FRED mirror (Hugging Face)</x:v>
      </x:c>
    </x:row>
    <x:row r="1812" ht="18" customHeight="1">
      <x:c r="A1812" s="13" t="n">
        <x:v>45107</x:v>
      </x:c>
      <x:c r="B1812" s="12" t="n">
        <x:v>4.05</x:v>
      </x:c>
      <x:c r="C1812" s="12" t="n">
        <x:v>405</x:v>
      </x:c>
      <x:c r="D1812" s="12" t="n">
        <x:v>-8.999999999999943</x:v>
      </x:c>
      <x:c r="E1812" s="12" t="str">
        <x:v>Archived FRED mirror (Hugging Face)</x:v>
      </x:c>
    </x:row>
    <x:row r="1813" ht="18" customHeight="1">
      <x:c r="A1813" s="13" t="n">
        <x:v>45110</x:v>
      </x:c>
      <x:c r="B1813" s="12" t="n">
        <x:v>3.99</x:v>
      </x:c>
      <x:c r="C1813" s="12" t="n">
        <x:v>399</x:v>
      </x:c>
      <x:c r="D1813" s="12" t="n">
        <x:v>-6</x:v>
      </x:c>
      <x:c r="E1813" s="12" t="str">
        <x:v>Archived FRED mirror (Hugging Face)</x:v>
      </x:c>
    </x:row>
    <x:row r="1814" ht="18" customHeight="1">
      <x:c r="A1814" s="13" t="n">
        <x:v>45111</x:v>
      </x:c>
      <x:c r="B1814" s="12" t="n">
        <x:v>3.99</x:v>
      </x:c>
      <x:c r="C1814" s="12" t="n">
        <x:v>399</x:v>
      </x:c>
      <x:c r="D1814" s="12" t="n">
        <x:v>0</x:v>
      </x:c>
      <x:c r="E1814" s="12" t="str">
        <x:v>Archived FRED mirror (Hugging Face)</x:v>
      </x:c>
    </x:row>
    <x:row r="1815" ht="18" customHeight="1">
      <x:c r="A1815" s="13" t="n">
        <x:v>45112</x:v>
      </x:c>
      <x:c r="B1815" s="12" t="n">
        <x:v>4.01</x:v>
      </x:c>
      <x:c r="C1815" s="12" t="n">
        <x:v>401</x:v>
      </x:c>
      <x:c r="D1815" s="12" t="n">
        <x:v>2</x:v>
      </x:c>
      <x:c r="E1815" s="12" t="str">
        <x:v>Archived FRED mirror (Hugging Face)</x:v>
      </x:c>
    </x:row>
    <x:row r="1816" ht="18" customHeight="1">
      <x:c r="A1816" s="13" t="n">
        <x:v>45113</x:v>
      </x:c>
      <x:c r="B1816" s="12" t="n">
        <x:v>4.1</x:v>
      </x:c>
      <x:c r="C1816" s="12" t="n">
        <x:v>409.99999999999994</x:v>
      </x:c>
      <x:c r="D1816" s="12" t="n">
        <x:v>8.999999999999943</x:v>
      </x:c>
      <x:c r="E1816" s="12" t="str">
        <x:v>Archived FRED mirror (Hugging Face)</x:v>
      </x:c>
    </x:row>
    <x:row r="1817" ht="18" customHeight="1">
      <x:c r="A1817" s="13" t="n">
        <x:v>45114</x:v>
      </x:c>
      <x:c r="B1817" s="12" t="n">
        <x:v>4.08</x:v>
      </x:c>
      <x:c r="C1817" s="12" t="n">
        <x:v>408</x:v>
      </x:c>
      <x:c r="D1817" s="12" t="n">
        <x:v>-1.9999999999999432</x:v>
      </x:c>
      <x:c r="E1817" s="12" t="str">
        <x:v>Archived FRED mirror (Hugging Face)</x:v>
      </x:c>
    </x:row>
    <x:row r="1818" ht="18" customHeight="1">
      <x:c r="A1818" s="13" t="n">
        <x:v>45117</x:v>
      </x:c>
      <x:c r="B1818" s="12" t="n">
        <x:v>4.13</x:v>
      </x:c>
      <x:c r="C1818" s="12" t="n">
        <x:v>413</x:v>
      </x:c>
      <x:c r="D1818" s="12" t="n">
        <x:v>5</x:v>
      </x:c>
      <x:c r="E1818" s="12" t="str">
        <x:v>Archived FRED mirror (Hugging Face)</x:v>
      </x:c>
    </x:row>
    <x:row r="1819" ht="18" customHeight="1">
      <x:c r="A1819" s="13" t="n">
        <x:v>45118</x:v>
      </x:c>
      <x:c r="B1819" s="12" t="n">
        <x:v>4.05</x:v>
      </x:c>
      <x:c r="C1819" s="12" t="n">
        <x:v>405</x:v>
      </x:c>
      <x:c r="D1819" s="12" t="n">
        <x:v>-8</x:v>
      </x:c>
      <x:c r="E1819" s="12" t="str">
        <x:v>Archived FRED mirror (Hugging Face)</x:v>
      </x:c>
    </x:row>
    <x:row r="1820" ht="18" customHeight="1">
      <x:c r="A1820" s="13" t="n">
        <x:v>45119</x:v>
      </x:c>
      <x:c r="B1820" s="12" t="n">
        <x:v>3.95</x:v>
      </x:c>
      <x:c r="C1820" s="12" t="n">
        <x:v>395</x:v>
      </x:c>
      <x:c r="D1820" s="12" t="n">
        <x:v>-10</x:v>
      </x:c>
      <x:c r="E1820" s="12" t="str">
        <x:v>Archived FRED mirror (Hugging Face)</x:v>
      </x:c>
    </x:row>
    <x:row r="1821" ht="18" customHeight="1">
      <x:c r="A1821" s="13" t="n">
        <x:v>45120</x:v>
      </x:c>
      <x:c r="B1821" s="12" t="n">
        <x:v>3.97</x:v>
      </x:c>
      <x:c r="C1821" s="12" t="n">
        <x:v>397</x:v>
      </x:c>
      <x:c r="D1821" s="12" t="n">
        <x:v>2</x:v>
      </x:c>
      <x:c r="E1821" s="12" t="str">
        <x:v>Archived FRED mirror (Hugging Face)</x:v>
      </x:c>
    </x:row>
    <x:row r="1822" ht="18" customHeight="1">
      <x:c r="A1822" s="13" t="n">
        <x:v>45121</x:v>
      </x:c>
      <x:c r="B1822" s="12" t="n">
        <x:v>3.9</x:v>
      </x:c>
      <x:c r="C1822" s="12" t="n">
        <x:v>390</x:v>
      </x:c>
      <x:c r="D1822" s="12" t="n">
        <x:v>-7</x:v>
      </x:c>
      <x:c r="E1822" s="12" t="str">
        <x:v>Archived FRED mirror (Hugging Face)</x:v>
      </x:c>
    </x:row>
    <x:row r="1823" ht="18" customHeight="1">
      <x:c r="A1823" s="13" t="n">
        <x:v>45124</x:v>
      </x:c>
      <x:c r="B1823" s="12" t="n">
        <x:v>3.97</x:v>
      </x:c>
      <x:c r="C1823" s="12" t="n">
        <x:v>397</x:v>
      </x:c>
      <x:c r="D1823" s="12" t="n">
        <x:v>7</x:v>
      </x:c>
      <x:c r="E1823" s="12" t="str">
        <x:v>Archived FRED mirror (Hugging Face)</x:v>
      </x:c>
    </x:row>
    <x:row r="1824" ht="18" customHeight="1">
      <x:c r="A1824" s="13" t="n">
        <x:v>45125</x:v>
      </x:c>
      <x:c r="B1824" s="12" t="n">
        <x:v>3.9</x:v>
      </x:c>
      <x:c r="C1824" s="12" t="n">
        <x:v>390</x:v>
      </x:c>
      <x:c r="D1824" s="12" t="n">
        <x:v>-7</x:v>
      </x:c>
      <x:c r="E1824" s="12" t="str">
        <x:v>Archived FRED mirror (Hugging Face)</x:v>
      </x:c>
    </x:row>
    <x:row r="1825" ht="18" customHeight="1">
      <x:c r="A1825" s="13" t="n">
        <x:v>45126</x:v>
      </x:c>
      <x:c r="B1825" s="12" t="n">
        <x:v>3.89</x:v>
      </x:c>
      <x:c r="C1825" s="12" t="n">
        <x:v>389</x:v>
      </x:c>
      <x:c r="D1825" s="12" t="n">
        <x:v>-1</x:v>
      </x:c>
      <x:c r="E1825" s="12" t="str">
        <x:v>Archived FRED mirror (Hugging Face)</x:v>
      </x:c>
    </x:row>
    <x:row r="1826" ht="18" customHeight="1">
      <x:c r="A1826" s="13" t="n">
        <x:v>45127</x:v>
      </x:c>
      <x:c r="B1826" s="12" t="n">
        <x:v>3.9</x:v>
      </x:c>
      <x:c r="C1826" s="12" t="n">
        <x:v>390</x:v>
      </x:c>
      <x:c r="D1826" s="12" t="n">
        <x:v>1</x:v>
      </x:c>
      <x:c r="E1826" s="12" t="str">
        <x:v>Archived FRED mirror (Hugging Face)</x:v>
      </x:c>
    </x:row>
    <x:row r="1827" ht="18" customHeight="1">
      <x:c r="A1827" s="13" t="n">
        <x:v>45128</x:v>
      </x:c>
      <x:c r="B1827" s="12" t="n">
        <x:v>3.89</x:v>
      </x:c>
      <x:c r="C1827" s="12" t="n">
        <x:v>389</x:v>
      </x:c>
      <x:c r="D1827" s="12" t="n">
        <x:v>-1</x:v>
      </x:c>
      <x:c r="E1827" s="12" t="str">
        <x:v>Archived FRED mirror (Hugging Face)</x:v>
      </x:c>
    </x:row>
    <x:row r="1828" ht="18" customHeight="1">
      <x:c r="A1828" s="13" t="n">
        <x:v>45131</x:v>
      </x:c>
      <x:c r="B1828" s="12" t="n">
        <x:v>3.82</x:v>
      </x:c>
      <x:c r="C1828" s="12" t="n">
        <x:v>382</x:v>
      </x:c>
      <x:c r="D1828" s="12" t="n">
        <x:v>-7</x:v>
      </x:c>
      <x:c r="E1828" s="12" t="str">
        <x:v>Archived FRED mirror (Hugging Face)</x:v>
      </x:c>
    </x:row>
    <x:row r="1829" ht="18" customHeight="1">
      <x:c r="A1829" s="13" t="n">
        <x:v>45132</x:v>
      </x:c>
      <x:c r="B1829" s="12" t="n">
        <x:v>3.84</x:v>
      </x:c>
      <x:c r="C1829" s="12" t="n">
        <x:v>384</x:v>
      </x:c>
      <x:c r="D1829" s="12" t="n">
        <x:v>2</x:v>
      </x:c>
      <x:c r="E1829" s="12" t="str">
        <x:v>FRED current rolling window</x:v>
      </x:c>
    </x:row>
    <x:row r="1830" ht="18" customHeight="1">
      <x:c r="A1830" s="13" t="n">
        <x:v>45133</x:v>
      </x:c>
      <x:c r="B1830" s="12" t="n">
        <x:v>3.91</x:v>
      </x:c>
      <x:c r="C1830" s="12" t="n">
        <x:v>391</x:v>
      </x:c>
      <x:c r="D1830" s="12" t="n">
        <x:v>7</x:v>
      </x:c>
      <x:c r="E1830" s="12" t="str">
        <x:v>FRED current rolling window</x:v>
      </x:c>
    </x:row>
    <x:row r="1831" ht="18" customHeight="1">
      <x:c r="A1831" s="13" t="n">
        <x:v>45134</x:v>
      </x:c>
      <x:c r="B1831" s="12" t="n">
        <x:v>3.78</x:v>
      </x:c>
      <x:c r="C1831" s="12" t="n">
        <x:v>378</x:v>
      </x:c>
      <x:c r="D1831" s="12" t="n">
        <x:v>-13</x:v>
      </x:c>
      <x:c r="E1831" s="12" t="str">
        <x:v>FRED current rolling window</x:v>
      </x:c>
    </x:row>
    <x:row r="1832" ht="18" customHeight="1">
      <x:c r="A1832" s="13" t="n">
        <x:v>45135</x:v>
      </x:c>
      <x:c r="B1832" s="12" t="n">
        <x:v>3.82</x:v>
      </x:c>
      <x:c r="C1832" s="12" t="n">
        <x:v>382</x:v>
      </x:c>
      <x:c r="D1832" s="12" t="n">
        <x:v>4</x:v>
      </x:c>
      <x:c r="E1832" s="12" t="str">
        <x:v>FRED current rolling window</x:v>
      </x:c>
    </x:row>
    <x:row r="1833" ht="18" customHeight="1">
      <x:c r="A1833" s="13" t="n">
        <x:v>45138</x:v>
      </x:c>
      <x:c r="B1833" s="12" t="n">
        <x:v>3.79</x:v>
      </x:c>
      <x:c r="C1833" s="12" t="n">
        <x:v>379</x:v>
      </x:c>
      <x:c r="D1833" s="12" t="n">
        <x:v>-3</x:v>
      </x:c>
      <x:c r="E1833" s="12" t="str">
        <x:v>FRED current rolling window</x:v>
      </x:c>
    </x:row>
    <x:row r="1834" ht="18" customHeight="1">
      <x:c r="A1834" s="13" t="n">
        <x:v>45139</x:v>
      </x:c>
      <x:c r="B1834" s="12" t="n">
        <x:v>3.82</x:v>
      </x:c>
      <x:c r="C1834" s="12" t="n">
        <x:v>382</x:v>
      </x:c>
      <x:c r="D1834" s="12" t="n">
        <x:v>3</x:v>
      </x:c>
      <x:c r="E1834" s="12" t="str">
        <x:v>FRED current rolling window</x:v>
      </x:c>
    </x:row>
    <x:row r="1835" ht="18" customHeight="1">
      <x:c r="A1835" s="13" t="n">
        <x:v>45140</x:v>
      </x:c>
      <x:c r="B1835" s="12" t="n">
        <x:v>3.96</x:v>
      </x:c>
      <x:c r="C1835" s="12" t="n">
        <x:v>396</x:v>
      </x:c>
      <x:c r="D1835" s="12" t="n">
        <x:v>14</x:v>
      </x:c>
      <x:c r="E1835" s="12" t="str">
        <x:v>FRED current rolling window</x:v>
      </x:c>
    </x:row>
    <x:row r="1836" ht="18" customHeight="1">
      <x:c r="A1836" s="13" t="n">
        <x:v>45141</x:v>
      </x:c>
      <x:c r="B1836" s="12" t="n">
        <x:v>3.98</x:v>
      </x:c>
      <x:c r="C1836" s="12" t="n">
        <x:v>398</x:v>
      </x:c>
      <x:c r="D1836" s="12" t="n">
        <x:v>2</x:v>
      </x:c>
      <x:c r="E1836" s="12" t="str">
        <x:v>FRED current rolling window</x:v>
      </x:c>
    </x:row>
    <x:row r="1837" ht="18" customHeight="1">
      <x:c r="A1837" s="13" t="n">
        <x:v>45142</x:v>
      </x:c>
      <x:c r="B1837" s="12" t="n">
        <x:v>4.01</x:v>
      </x:c>
      <x:c r="C1837" s="12" t="n">
        <x:v>401</x:v>
      </x:c>
      <x:c r="D1837" s="12" t="n">
        <x:v>3</x:v>
      </x:c>
      <x:c r="E1837" s="12" t="str">
        <x:v>FRED current rolling window</x:v>
      </x:c>
    </x:row>
    <x:row r="1838" ht="18" customHeight="1">
      <x:c r="A1838" s="13" t="n">
        <x:v>45145</x:v>
      </x:c>
      <x:c r="B1838" s="12" t="n">
        <x:v>3.97</x:v>
      </x:c>
      <x:c r="C1838" s="12" t="n">
        <x:v>397</x:v>
      </x:c>
      <x:c r="D1838" s="12" t="n">
        <x:v>-4</x:v>
      </x:c>
      <x:c r="E1838" s="12" t="str">
        <x:v>FRED current rolling window</x:v>
      </x:c>
    </x:row>
    <x:row r="1839" ht="18" customHeight="1">
      <x:c r="A1839" s="13" t="n">
        <x:v>45146</x:v>
      </x:c>
      <x:c r="B1839" s="12" t="n">
        <x:v>4</x:v>
      </x:c>
      <x:c r="C1839" s="12" t="n">
        <x:v>400</x:v>
      </x:c>
      <x:c r="D1839" s="12" t="n">
        <x:v>3</x:v>
      </x:c>
      <x:c r="E1839" s="12" t="str">
        <x:v>FRED current rolling window</x:v>
      </x:c>
    </x:row>
    <x:row r="1840" ht="18" customHeight="1">
      <x:c r="A1840" s="13" t="n">
        <x:v>45147</x:v>
      </x:c>
      <x:c r="B1840" s="12" t="n">
        <x:v>3.94</x:v>
      </x:c>
      <x:c r="C1840" s="12" t="n">
        <x:v>394</x:v>
      </x:c>
      <x:c r="D1840" s="12" t="n">
        <x:v>-6</x:v>
      </x:c>
      <x:c r="E1840" s="12" t="str">
        <x:v>FRED current rolling window</x:v>
      </x:c>
    </x:row>
    <x:row r="1841" ht="18" customHeight="1">
      <x:c r="A1841" s="13" t="n">
        <x:v>45148</x:v>
      </x:c>
      <x:c r="B1841" s="12" t="n">
        <x:v>3.83</x:v>
      </x:c>
      <x:c r="C1841" s="12" t="n">
        <x:v>383</x:v>
      </x:c>
      <x:c r="D1841" s="12" t="n">
        <x:v>-11</x:v>
      </x:c>
      <x:c r="E1841" s="12" t="str">
        <x:v>FRED current rolling window</x:v>
      </x:c>
    </x:row>
    <x:row r="1842" ht="18" customHeight="1">
      <x:c r="A1842" s="13" t="n">
        <x:v>45149</x:v>
      </x:c>
      <x:c r="B1842" s="12" t="n">
        <x:v>3.83</x:v>
      </x:c>
      <x:c r="C1842" s="12" t="n">
        <x:v>383</x:v>
      </x:c>
      <x:c r="D1842" s="12" t="n">
        <x:v>0</x:v>
      </x:c>
      <x:c r="E1842" s="12" t="str">
        <x:v>FRED current rolling window</x:v>
      </x:c>
    </x:row>
    <x:row r="1843" ht="18" customHeight="1">
      <x:c r="A1843" s="13" t="n">
        <x:v>45152</x:v>
      </x:c>
      <x:c r="B1843" s="12" t="n">
        <x:v>3.79</x:v>
      </x:c>
      <x:c r="C1843" s="12" t="n">
        <x:v>379</x:v>
      </x:c>
      <x:c r="D1843" s="12" t="n">
        <x:v>-4</x:v>
      </x:c>
      <x:c r="E1843" s="12" t="str">
        <x:v>FRED current rolling window</x:v>
      </x:c>
    </x:row>
    <x:row r="1844" ht="18" customHeight="1">
      <x:c r="A1844" s="13" t="n">
        <x:v>45153</x:v>
      </x:c>
      <x:c r="B1844" s="12" t="n">
        <x:v>3.85</x:v>
      </x:c>
      <x:c r="C1844" s="12" t="n">
        <x:v>385</x:v>
      </x:c>
      <x:c r="D1844" s="12" t="n">
        <x:v>6</x:v>
      </x:c>
      <x:c r="E1844" s="12" t="str">
        <x:v>FRED current rolling window</x:v>
      </x:c>
    </x:row>
    <x:row r="1845" ht="18" customHeight="1">
      <x:c r="A1845" s="13" t="n">
        <x:v>45154</x:v>
      </x:c>
      <x:c r="B1845" s="12" t="n">
        <x:v>3.81</x:v>
      </x:c>
      <x:c r="C1845" s="12" t="n">
        <x:v>381</x:v>
      </x:c>
      <x:c r="D1845" s="12" t="n">
        <x:v>-4</x:v>
      </x:c>
      <x:c r="E1845" s="12" t="str">
        <x:v>FRED current rolling window</x:v>
      </x:c>
    </x:row>
    <x:row r="1846" ht="18" customHeight="1">
      <x:c r="A1846" s="13" t="n">
        <x:v>45155</x:v>
      </x:c>
      <x:c r="B1846" s="12" t="n">
        <x:v>3.95</x:v>
      </x:c>
      <x:c r="C1846" s="12" t="n">
        <x:v>395</x:v>
      </x:c>
      <x:c r="D1846" s="12" t="n">
        <x:v>14</x:v>
      </x:c>
      <x:c r="E1846" s="12" t="str">
        <x:v>FRED current rolling window</x:v>
      </x:c>
    </x:row>
    <x:row r="1847" ht="18" customHeight="1">
      <x:c r="A1847" s="13" t="n">
        <x:v>45156</x:v>
      </x:c>
      <x:c r="B1847" s="12" t="n">
        <x:v>4.02</x:v>
      </x:c>
      <x:c r="C1847" s="12" t="n">
        <x:v>401.99999999999994</x:v>
      </x:c>
      <x:c r="D1847" s="12" t="n">
        <x:v>6.999999999999943</x:v>
      </x:c>
      <x:c r="E1847" s="12" t="str">
        <x:v>FRED current rolling window</x:v>
      </x:c>
    </x:row>
    <x:row r="1848" ht="18" customHeight="1">
      <x:c r="A1848" s="13" t="n">
        <x:v>45159</x:v>
      </x:c>
      <x:c r="B1848" s="12" t="n">
        <x:v>3.97</x:v>
      </x:c>
      <x:c r="C1848" s="12" t="n">
        <x:v>397</x:v>
      </x:c>
      <x:c r="D1848" s="12" t="n">
        <x:v>-4.999999999999943</x:v>
      </x:c>
      <x:c r="E1848" s="12" t="str">
        <x:v>FRED current rolling window</x:v>
      </x:c>
    </x:row>
    <x:row r="1849" ht="18" customHeight="1">
      <x:c r="A1849" s="13" t="n">
        <x:v>45160</x:v>
      </x:c>
      <x:c r="B1849" s="12" t="n">
        <x:v>3.93</x:v>
      </x:c>
      <x:c r="C1849" s="12" t="n">
        <x:v>393</x:v>
      </x:c>
      <x:c r="D1849" s="12" t="n">
        <x:v>-4</x:v>
      </x:c>
      <x:c r="E1849" s="12" t="str">
        <x:v>FRED current rolling window</x:v>
      </x:c>
    </x:row>
    <x:row r="1850" ht="18" customHeight="1">
      <x:c r="A1850" s="13" t="n">
        <x:v>45161</x:v>
      </x:c>
      <x:c r="B1850" s="12" t="n">
        <x:v>3.92</x:v>
      </x:c>
      <x:c r="C1850" s="12" t="n">
        <x:v>392</x:v>
      </x:c>
      <x:c r="D1850" s="12" t="n">
        <x:v>-1</x:v>
      </x:c>
      <x:c r="E1850" s="12" t="str">
        <x:v>FRED current rolling window</x:v>
      </x:c>
    </x:row>
    <x:row r="1851" ht="18" customHeight="1">
      <x:c r="A1851" s="13" t="n">
        <x:v>45162</x:v>
      </x:c>
      <x:c r="B1851" s="12" t="n">
        <x:v>3.91</x:v>
      </x:c>
      <x:c r="C1851" s="12" t="n">
        <x:v>391</x:v>
      </x:c>
      <x:c r="D1851" s="12" t="n">
        <x:v>-1</x:v>
      </x:c>
      <x:c r="E1851" s="12" t="str">
        <x:v>FRED current rolling window</x:v>
      </x:c>
    </x:row>
    <x:row r="1852" ht="18" customHeight="1">
      <x:c r="A1852" s="13" t="n">
        <x:v>45163</x:v>
      </x:c>
      <x:c r="B1852" s="12" t="n">
        <x:v>3.9</x:v>
      </x:c>
      <x:c r="C1852" s="12" t="n">
        <x:v>390</x:v>
      </x:c>
      <x:c r="D1852" s="12" t="n">
        <x:v>-1</x:v>
      </x:c>
      <x:c r="E1852" s="12" t="str">
        <x:v>FRED current rolling window</x:v>
      </x:c>
    </x:row>
    <x:row r="1853" ht="18" customHeight="1">
      <x:c r="A1853" s="13" t="n">
        <x:v>45166</x:v>
      </x:c>
      <x:c r="B1853" s="12" t="n">
        <x:v>3.86</x:v>
      </x:c>
      <x:c r="C1853" s="12" t="n">
        <x:v>386</x:v>
      </x:c>
      <x:c r="D1853" s="12" t="n">
        <x:v>-4</x:v>
      </x:c>
      <x:c r="E1853" s="12" t="str">
        <x:v>FRED current rolling window</x:v>
      </x:c>
    </x:row>
    <x:row r="1854" ht="18" customHeight="1">
      <x:c r="A1854" s="13" t="n">
        <x:v>45167</x:v>
      </x:c>
      <x:c r="B1854" s="12" t="n">
        <x:v>3.87</x:v>
      </x:c>
      <x:c r="C1854" s="12" t="n">
        <x:v>387</x:v>
      </x:c>
      <x:c r="D1854" s="12" t="n">
        <x:v>1</x:v>
      </x:c>
      <x:c r="E1854" s="12" t="str">
        <x:v>FRED current rolling window</x:v>
      </x:c>
    </x:row>
    <x:row r="1855" ht="18" customHeight="1">
      <x:c r="A1855" s="13" t="n">
        <x:v>45168</x:v>
      </x:c>
      <x:c r="B1855" s="12" t="n">
        <x:v>3.8</x:v>
      </x:c>
      <x:c r="C1855" s="12" t="n">
        <x:v>380</x:v>
      </x:c>
      <x:c r="D1855" s="12" t="n">
        <x:v>-7</x:v>
      </x:c>
      <x:c r="E1855" s="12" t="str">
        <x:v>FRED current rolling window</x:v>
      </x:c>
    </x:row>
    <x:row r="1856" ht="18" customHeight="1">
      <x:c r="A1856" s="13" t="n">
        <x:v>45169</x:v>
      </x:c>
      <x:c r="B1856" s="12" t="n">
        <x:v>3.85</x:v>
      </x:c>
      <x:c r="C1856" s="12" t="n">
        <x:v>385</x:v>
      </x:c>
      <x:c r="D1856" s="12" t="n">
        <x:v>5</x:v>
      </x:c>
      <x:c r="E1856" s="12" t="str">
        <x:v>FRED current rolling window</x:v>
      </x:c>
    </x:row>
    <x:row r="1857" ht="18" customHeight="1">
      <x:c r="A1857" s="13" t="n">
        <x:v>45170</x:v>
      </x:c>
      <x:c r="B1857" s="12" t="n">
        <x:v>3.81</x:v>
      </x:c>
      <x:c r="C1857" s="12" t="n">
        <x:v>381</x:v>
      </x:c>
      <x:c r="D1857" s="12" t="n">
        <x:v>-4</x:v>
      </x:c>
      <x:c r="E1857" s="12" t="str">
        <x:v>FRED current rolling window</x:v>
      </x:c>
    </x:row>
    <x:row r="1858" ht="18" customHeight="1">
      <x:c r="A1858" s="13" t="n">
        <x:v>45173</x:v>
      </x:c>
      <x:c r="B1858" s="12" t="n">
        <x:v>3.81</x:v>
      </x:c>
      <x:c r="C1858" s="12" t="n">
        <x:v>381</x:v>
      </x:c>
      <x:c r="D1858" s="12" t="n">
        <x:v>0</x:v>
      </x:c>
      <x:c r="E1858" s="12" t="str">
        <x:v>FRED current rolling window</x:v>
      </x:c>
    </x:row>
    <x:row r="1859" ht="18" customHeight="1">
      <x:c r="A1859" s="13" t="n">
        <x:v>45174</x:v>
      </x:c>
      <x:c r="B1859" s="12" t="n">
        <x:v>3.83</x:v>
      </x:c>
      <x:c r="C1859" s="12" t="n">
        <x:v>383</x:v>
      </x:c>
      <x:c r="D1859" s="12" t="n">
        <x:v>2</x:v>
      </x:c>
      <x:c r="E1859" s="12" t="str">
        <x:v>FRED current rolling window</x:v>
      </x:c>
    </x:row>
    <x:row r="1860" ht="18" customHeight="1">
      <x:c r="A1860" s="13" t="n">
        <x:v>45175</x:v>
      </x:c>
      <x:c r="B1860" s="12" t="n">
        <x:v>3.86</x:v>
      </x:c>
      <x:c r="C1860" s="12" t="n">
        <x:v>386</x:v>
      </x:c>
      <x:c r="D1860" s="12" t="n">
        <x:v>3</x:v>
      </x:c>
      <x:c r="E1860" s="12" t="str">
        <x:v>FRED current rolling window</x:v>
      </x:c>
    </x:row>
    <x:row r="1861" ht="18" customHeight="1">
      <x:c r="A1861" s="13" t="n">
        <x:v>45176</x:v>
      </x:c>
      <x:c r="B1861" s="12" t="n">
        <x:v>3.9</x:v>
      </x:c>
      <x:c r="C1861" s="12" t="n">
        <x:v>390</x:v>
      </x:c>
      <x:c r="D1861" s="12" t="n">
        <x:v>4</x:v>
      </x:c>
      <x:c r="E1861" s="12" t="str">
        <x:v>FRED current rolling window</x:v>
      </x:c>
    </x:row>
    <x:row r="1862" ht="18" customHeight="1">
      <x:c r="A1862" s="13" t="n">
        <x:v>45177</x:v>
      </x:c>
      <x:c r="B1862" s="12" t="n">
        <x:v>3.85</x:v>
      </x:c>
      <x:c r="C1862" s="12" t="n">
        <x:v>385</x:v>
      </x:c>
      <x:c r="D1862" s="12" t="n">
        <x:v>-5</x:v>
      </x:c>
      <x:c r="E1862" s="12" t="str">
        <x:v>FRED current rolling window</x:v>
      </x:c>
    </x:row>
    <x:row r="1863" ht="18" customHeight="1">
      <x:c r="A1863" s="13" t="n">
        <x:v>45180</x:v>
      </x:c>
      <x:c r="B1863" s="12" t="n">
        <x:v>3.82</x:v>
      </x:c>
      <x:c r="C1863" s="12" t="n">
        <x:v>382</x:v>
      </x:c>
      <x:c r="D1863" s="12" t="n">
        <x:v>-3</x:v>
      </x:c>
      <x:c r="E1863" s="12" t="str">
        <x:v>FRED current rolling window</x:v>
      </x:c>
    </x:row>
    <x:row r="1864" ht="18" customHeight="1">
      <x:c r="A1864" s="13" t="n">
        <x:v>45181</x:v>
      </x:c>
      <x:c r="B1864" s="12" t="n">
        <x:v>3.84</x:v>
      </x:c>
      <x:c r="C1864" s="12" t="n">
        <x:v>384</x:v>
      </x:c>
      <x:c r="D1864" s="12" t="n">
        <x:v>2</x:v>
      </x:c>
      <x:c r="E1864" s="12" t="str">
        <x:v>FRED current rolling window</x:v>
      </x:c>
    </x:row>
    <x:row r="1865" ht="18" customHeight="1">
      <x:c r="A1865" s="13" t="n">
        <x:v>45182</x:v>
      </x:c>
      <x:c r="B1865" s="12" t="n">
        <x:v>3.85</x:v>
      </x:c>
      <x:c r="C1865" s="12" t="n">
        <x:v>385</x:v>
      </x:c>
      <x:c r="D1865" s="12" t="n">
        <x:v>1</x:v>
      </x:c>
      <x:c r="E1865" s="12" t="str">
        <x:v>FRED current rolling window</x:v>
      </x:c>
    </x:row>
    <x:row r="1866" ht="18" customHeight="1">
      <x:c r="A1866" s="13" t="n">
        <x:v>45183</x:v>
      </x:c>
      <x:c r="B1866" s="12" t="n">
        <x:v>3.78</x:v>
      </x:c>
      <x:c r="C1866" s="12" t="n">
        <x:v>378</x:v>
      </x:c>
      <x:c r="D1866" s="12" t="n">
        <x:v>-7</x:v>
      </x:c>
      <x:c r="E1866" s="12" t="str">
        <x:v>FRED current rolling window</x:v>
      </x:c>
    </x:row>
    <x:row r="1867" ht="18" customHeight="1">
      <x:c r="A1867" s="13" t="n">
        <x:v>45184</x:v>
      </x:c>
      <x:c r="B1867" s="12" t="n">
        <x:v>3.79</x:v>
      </x:c>
      <x:c r="C1867" s="12" t="n">
        <x:v>379</x:v>
      </x:c>
      <x:c r="D1867" s="12" t="n">
        <x:v>1</x:v>
      </x:c>
      <x:c r="E1867" s="12" t="str">
        <x:v>FRED current rolling window</x:v>
      </x:c>
    </x:row>
    <x:row r="1868" ht="18" customHeight="1">
      <x:c r="A1868" s="13" t="n">
        <x:v>45187</x:v>
      </x:c>
      <x:c r="B1868" s="12" t="n">
        <x:v>3.82</x:v>
      </x:c>
      <x:c r="C1868" s="12" t="n">
        <x:v>382</x:v>
      </x:c>
      <x:c r="D1868" s="12" t="n">
        <x:v>3</x:v>
      </x:c>
      <x:c r="E1868" s="12" t="str">
        <x:v>FRED current rolling window</x:v>
      </x:c>
    </x:row>
    <x:row r="1869" ht="18" customHeight="1">
      <x:c r="A1869" s="13" t="n">
        <x:v>45188</x:v>
      </x:c>
      <x:c r="B1869" s="12" t="n">
        <x:v>3.82</x:v>
      </x:c>
      <x:c r="C1869" s="12" t="n">
        <x:v>382</x:v>
      </x:c>
      <x:c r="D1869" s="12" t="n">
        <x:v>0</x:v>
      </x:c>
      <x:c r="E1869" s="12" t="str">
        <x:v>FRED current rolling window</x:v>
      </x:c>
    </x:row>
    <x:row r="1870" ht="18" customHeight="1">
      <x:c r="A1870" s="13" t="n">
        <x:v>45189</x:v>
      </x:c>
      <x:c r="B1870" s="12" t="n">
        <x:v>3.77</x:v>
      </x:c>
      <x:c r="C1870" s="12" t="n">
        <x:v>377</x:v>
      </x:c>
      <x:c r="D1870" s="12" t="n">
        <x:v>-5</x:v>
      </x:c>
      <x:c r="E1870" s="12" t="str">
        <x:v>FRED current rolling window</x:v>
      </x:c>
    </x:row>
    <x:row r="1871" ht="18" customHeight="1">
      <x:c r="A1871" s="13" t="n">
        <x:v>45190</x:v>
      </x:c>
      <x:c r="B1871" s="12" t="n">
        <x:v>3.89</x:v>
      </x:c>
      <x:c r="C1871" s="12" t="n">
        <x:v>389</x:v>
      </x:c>
      <x:c r="D1871" s="12" t="n">
        <x:v>12</x:v>
      </x:c>
      <x:c r="E1871" s="12" t="str">
        <x:v>FRED current rolling window</x:v>
      </x:c>
    </x:row>
    <x:row r="1872" ht="18" customHeight="1">
      <x:c r="A1872" s="13" t="n">
        <x:v>45191</x:v>
      </x:c>
      <x:c r="B1872" s="12" t="n">
        <x:v>3.93</x:v>
      </x:c>
      <x:c r="C1872" s="12" t="n">
        <x:v>393</x:v>
      </x:c>
      <x:c r="D1872" s="12" t="n">
        <x:v>4</x:v>
      </x:c>
      <x:c r="E1872" s="12" t="str">
        <x:v>FRED current rolling window</x:v>
      </x:c>
    </x:row>
    <x:row r="1873" ht="18" customHeight="1">
      <x:c r="A1873" s="13" t="n">
        <x:v>45194</x:v>
      </x:c>
      <x:c r="B1873" s="12" t="n">
        <x:v>3.97</x:v>
      </x:c>
      <x:c r="C1873" s="12" t="n">
        <x:v>397</x:v>
      </x:c>
      <x:c r="D1873" s="12" t="n">
        <x:v>4</x:v>
      </x:c>
      <x:c r="E1873" s="12" t="str">
        <x:v>FRED current rolling window</x:v>
      </x:c>
    </x:row>
    <x:row r="1874" ht="18" customHeight="1">
      <x:c r="A1874" s="13" t="n">
        <x:v>45195</x:v>
      </x:c>
      <x:c r="B1874" s="12" t="n">
        <x:v>4.04</x:v>
      </x:c>
      <x:c r="C1874" s="12" t="n">
        <x:v>404</x:v>
      </x:c>
      <x:c r="D1874" s="12" t="n">
        <x:v>7</x:v>
      </x:c>
      <x:c r="E1874" s="12" t="str">
        <x:v>FRED current rolling window</x:v>
      </x:c>
    </x:row>
    <x:row r="1875" ht="18" customHeight="1">
      <x:c r="A1875" s="13" t="n">
        <x:v>45196</x:v>
      </x:c>
      <x:c r="B1875" s="12" t="n">
        <x:v>4.03</x:v>
      </x:c>
      <x:c r="C1875" s="12" t="n">
        <x:v>403</x:v>
      </x:c>
      <x:c r="D1875" s="12" t="n">
        <x:v>-1</x:v>
      </x:c>
      <x:c r="E1875" s="12" t="str">
        <x:v>FRED current rolling window</x:v>
      </x:c>
    </x:row>
    <x:row r="1876" ht="18" customHeight="1">
      <x:c r="A1876" s="13" t="n">
        <x:v>45197</x:v>
      </x:c>
      <x:c r="B1876" s="12" t="n">
        <x:v>4.09</x:v>
      </x:c>
      <x:c r="C1876" s="12" t="n">
        <x:v>409</x:v>
      </x:c>
      <x:c r="D1876" s="12" t="n">
        <x:v>6</x:v>
      </x:c>
      <x:c r="E1876" s="12" t="str">
        <x:v>FRED current rolling window</x:v>
      </x:c>
    </x:row>
    <x:row r="1877" ht="18" customHeight="1">
      <x:c r="A1877" s="13" t="n">
        <x:v>45198</x:v>
      </x:c>
      <x:c r="B1877" s="12" t="n">
        <x:v>4.03</x:v>
      </x:c>
      <x:c r="C1877" s="12" t="n">
        <x:v>403</x:v>
      </x:c>
      <x:c r="D1877" s="12" t="n">
        <x:v>-6</x:v>
      </x:c>
      <x:c r="E1877" s="12" t="str">
        <x:v>FRED current rolling window</x:v>
      </x:c>
    </x:row>
    <x:row r="1878" ht="18" customHeight="1">
      <x:c r="A1878" s="13" t="n">
        <x:v>45199</x:v>
      </x:c>
      <x:c r="B1878" s="12" t="n">
        <x:v>4.03</x:v>
      </x:c>
      <x:c r="C1878" s="12" t="n">
        <x:v>403</x:v>
      </x:c>
      <x:c r="D1878" s="12" t="n">
        <x:v>0</x:v>
      </x:c>
      <x:c r="E1878" s="12" t="str">
        <x:v>FRED current rolling window</x:v>
      </x:c>
    </x:row>
    <x:row r="1879" ht="18" customHeight="1">
      <x:c r="A1879" s="13" t="n">
        <x:v>45201</x:v>
      </x:c>
      <x:c r="B1879" s="12" t="n">
        <x:v>4.11</x:v>
      </x:c>
      <x:c r="C1879" s="12" t="n">
        <x:v>411.00000000000006</x:v>
      </x:c>
      <x:c r="D1879" s="12" t="n">
        <x:v>8.000000000000057</x:v>
      </x:c>
      <x:c r="E1879" s="12" t="str">
        <x:v>FRED current rolling window</x:v>
      </x:c>
    </x:row>
    <x:row r="1880" ht="18" customHeight="1">
      <x:c r="A1880" s="13" t="n">
        <x:v>45202</x:v>
      </x:c>
      <x:c r="B1880" s="12" t="n">
        <x:v>4.26</x:v>
      </x:c>
      <x:c r="C1880" s="12" t="n">
        <x:v>426</x:v>
      </x:c>
      <x:c r="D1880" s="12" t="n">
        <x:v>14.999999999999943</x:v>
      </x:c>
      <x:c r="E1880" s="12" t="str">
        <x:v>FRED current rolling window</x:v>
      </x:c>
    </x:row>
    <x:row r="1881" ht="18" customHeight="1">
      <x:c r="A1881" s="13" t="n">
        <x:v>45203</x:v>
      </x:c>
      <x:c r="B1881" s="12" t="n">
        <x:v>4.37</x:v>
      </x:c>
      <x:c r="C1881" s="12" t="n">
        <x:v>437</x:v>
      </x:c>
      <x:c r="D1881" s="12" t="n">
        <x:v>11</x:v>
      </x:c>
      <x:c r="E1881" s="12" t="str">
        <x:v>FRED current rolling window</x:v>
      </x:c>
    </x:row>
    <x:row r="1882" ht="18" customHeight="1">
      <x:c r="A1882" s="13" t="n">
        <x:v>45204</x:v>
      </x:c>
      <x:c r="B1882" s="12" t="n">
        <x:v>4.38</x:v>
      </x:c>
      <x:c r="C1882" s="12" t="n">
        <x:v>438</x:v>
      </x:c>
      <x:c r="D1882" s="12" t="n">
        <x:v>1</x:v>
      </x:c>
      <x:c r="E1882" s="12" t="str">
        <x:v>FRED current rolling window</x:v>
      </x:c>
    </x:row>
    <x:row r="1883" ht="18" customHeight="1">
      <x:c r="A1883" s="13" t="n">
        <x:v>45205</x:v>
      </x:c>
      <x:c r="B1883" s="12" t="n">
        <x:v>4.33</x:v>
      </x:c>
      <x:c r="C1883" s="12" t="n">
        <x:v>433</x:v>
      </x:c>
      <x:c r="D1883" s="12" t="n">
        <x:v>-5</x:v>
      </x:c>
      <x:c r="E1883" s="12" t="str">
        <x:v>FRED current rolling window</x:v>
      </x:c>
    </x:row>
    <x:row r="1884" ht="18" customHeight="1">
      <x:c r="A1884" s="13" t="n">
        <x:v>45208</x:v>
      </x:c>
      <x:c r="B1884" s="12" t="n">
        <x:v>4.34</x:v>
      </x:c>
      <x:c r="C1884" s="12" t="n">
        <x:v>434</x:v>
      </x:c>
      <x:c r="D1884" s="12" t="n">
        <x:v>1</x:v>
      </x:c>
      <x:c r="E1884" s="12" t="str">
        <x:v>FRED current rolling window</x:v>
      </x:c>
    </x:row>
    <x:row r="1885" ht="18" customHeight="1">
      <x:c r="A1885" s="13" t="n">
        <x:v>45209</x:v>
      </x:c>
      <x:c r="B1885" s="12" t="n">
        <x:v>4.26</x:v>
      </x:c>
      <x:c r="C1885" s="12" t="n">
        <x:v>426</x:v>
      </x:c>
      <x:c r="D1885" s="12" t="n">
        <x:v>-8</x:v>
      </x:c>
      <x:c r="E1885" s="12" t="str">
        <x:v>FRED current rolling window</x:v>
      </x:c>
    </x:row>
    <x:row r="1886" ht="18" customHeight="1">
      <x:c r="A1886" s="13" t="n">
        <x:v>45210</x:v>
      </x:c>
      <x:c r="B1886" s="12" t="n">
        <x:v>4.25</x:v>
      </x:c>
      <x:c r="C1886" s="12" t="n">
        <x:v>425</x:v>
      </x:c>
      <x:c r="D1886" s="12" t="n">
        <x:v>-1</x:v>
      </x:c>
      <x:c r="E1886" s="12" t="str">
        <x:v>FRED current rolling window</x:v>
      </x:c>
    </x:row>
    <x:row r="1887" ht="18" customHeight="1">
      <x:c r="A1887" s="13" t="n">
        <x:v>45211</x:v>
      </x:c>
      <x:c r="B1887" s="12" t="n">
        <x:v>4.25</x:v>
      </x:c>
      <x:c r="C1887" s="12" t="n">
        <x:v>425</x:v>
      </x:c>
      <x:c r="D1887" s="12" t="n">
        <x:v>0</x:v>
      </x:c>
      <x:c r="E1887" s="12" t="str">
        <x:v>FRED current rolling window</x:v>
      </x:c>
    </x:row>
    <x:row r="1888" ht="18" customHeight="1">
      <x:c r="A1888" s="13" t="n">
        <x:v>45212</x:v>
      </x:c>
      <x:c r="B1888" s="12" t="n">
        <x:v>4.3</x:v>
      </x:c>
      <x:c r="C1888" s="12" t="n">
        <x:v>430</x:v>
      </x:c>
      <x:c r="D1888" s="12" t="n">
        <x:v>5</x:v>
      </x:c>
      <x:c r="E1888" s="12" t="str">
        <x:v>FRED current rolling window</x:v>
      </x:c>
    </x:row>
    <x:row r="1889" ht="18" customHeight="1">
      <x:c r="A1889" s="13" t="n">
        <x:v>45215</x:v>
      </x:c>
      <x:c r="B1889" s="12" t="n">
        <x:v>4.27</x:v>
      </x:c>
      <x:c r="C1889" s="12" t="n">
        <x:v>426.99999999999994</x:v>
      </x:c>
      <x:c r="D1889" s="12" t="n">
        <x:v>-3.000000000000057</x:v>
      </x:c>
      <x:c r="E1889" s="12" t="str">
        <x:v>FRED current rolling window</x:v>
      </x:c>
    </x:row>
    <x:row r="1890" ht="18" customHeight="1">
      <x:c r="A1890" s="13" t="n">
        <x:v>45216</x:v>
      </x:c>
      <x:c r="B1890" s="12" t="n">
        <x:v>4.25</x:v>
      </x:c>
      <x:c r="C1890" s="12" t="n">
        <x:v>425</x:v>
      </x:c>
      <x:c r="D1890" s="12" t="n">
        <x:v>-1.9999999999999432</x:v>
      </x:c>
      <x:c r="E1890" s="12" t="str">
        <x:v>FRED current rolling window</x:v>
      </x:c>
    </x:row>
    <x:row r="1891" ht="18" customHeight="1">
      <x:c r="A1891" s="13" t="n">
        <x:v>45217</x:v>
      </x:c>
      <x:c r="B1891" s="12" t="n">
        <x:v>4.32</x:v>
      </x:c>
      <x:c r="C1891" s="12" t="n">
        <x:v>432</x:v>
      </x:c>
      <x:c r="D1891" s="12" t="n">
        <x:v>7</x:v>
      </x:c>
      <x:c r="E1891" s="12" t="str">
        <x:v>FRED current rolling window</x:v>
      </x:c>
    </x:row>
    <x:row r="1892" ht="18" customHeight="1">
      <x:c r="A1892" s="13" t="n">
        <x:v>45218</x:v>
      </x:c>
      <x:c r="B1892" s="12" t="n">
        <x:v>4.37</x:v>
      </x:c>
      <x:c r="C1892" s="12" t="n">
        <x:v>437</x:v>
      </x:c>
      <x:c r="D1892" s="12" t="n">
        <x:v>5</x:v>
      </x:c>
      <x:c r="E1892" s="12" t="str">
        <x:v>FRED current rolling window</x:v>
      </x:c>
    </x:row>
    <x:row r="1893" ht="18" customHeight="1">
      <x:c r="A1893" s="13" t="n">
        <x:v>45219</x:v>
      </x:c>
      <x:c r="B1893" s="12" t="n">
        <x:v>4.52</x:v>
      </x:c>
      <x:c r="C1893" s="12" t="n">
        <x:v>451.99999999999994</x:v>
      </x:c>
      <x:c r="D1893" s="12" t="n">
        <x:v>14.999999999999943</x:v>
      </x:c>
      <x:c r="E1893" s="12" t="str">
        <x:v>FRED current rolling window</x:v>
      </x:c>
    </x:row>
    <x:row r="1894" ht="18" customHeight="1">
      <x:c r="A1894" s="13" t="n">
        <x:v>45222</x:v>
      </x:c>
      <x:c r="B1894" s="12" t="n">
        <x:v>4.51</x:v>
      </x:c>
      <x:c r="C1894" s="12" t="n">
        <x:v>451</x:v>
      </x:c>
      <x:c r="D1894" s="12" t="n">
        <x:v>-0.9999999999999432</x:v>
      </x:c>
      <x:c r="E1894" s="12" t="str">
        <x:v>FRED current rolling window</x:v>
      </x:c>
    </x:row>
    <x:row r="1895" ht="18" customHeight="1">
      <x:c r="A1895" s="13" t="n">
        <x:v>45223</x:v>
      </x:c>
      <x:c r="B1895" s="12" t="n">
        <x:v>4.41</x:v>
      </x:c>
      <x:c r="C1895" s="12" t="n">
        <x:v>441</x:v>
      </x:c>
      <x:c r="D1895" s="12" t="n">
        <x:v>-10</x:v>
      </x:c>
      <x:c r="E1895" s="12" t="str">
        <x:v>FRED current rolling window</x:v>
      </x:c>
    </x:row>
    <x:row r="1896" ht="18" customHeight="1">
      <x:c r="A1896" s="13" t="n">
        <x:v>45224</x:v>
      </x:c>
      <x:c r="B1896" s="12" t="n">
        <x:v>4.37</x:v>
      </x:c>
      <x:c r="C1896" s="12" t="n">
        <x:v>437</x:v>
      </x:c>
      <x:c r="D1896" s="12" t="n">
        <x:v>-4</x:v>
      </x:c>
      <x:c r="E1896" s="12" t="str">
        <x:v>FRED current rolling window</x:v>
      </x:c>
    </x:row>
    <x:row r="1897" ht="18" customHeight="1">
      <x:c r="A1897" s="13" t="n">
        <x:v>45225</x:v>
      </x:c>
      <x:c r="B1897" s="12" t="n">
        <x:v>4.5</x:v>
      </x:c>
      <x:c r="C1897" s="12" t="n">
        <x:v>450</x:v>
      </x:c>
      <x:c r="D1897" s="12" t="n">
        <x:v>13</x:v>
      </x:c>
      <x:c r="E1897" s="12" t="str">
        <x:v>FRED current rolling window</x:v>
      </x:c>
    </x:row>
    <x:row r="1898" ht="18" customHeight="1">
      <x:c r="A1898" s="13" t="n">
        <x:v>45226</x:v>
      </x:c>
      <x:c r="B1898" s="12" t="n">
        <x:v>4.53</x:v>
      </x:c>
      <x:c r="C1898" s="12" t="n">
        <x:v>453</x:v>
      </x:c>
      <x:c r="D1898" s="12" t="n">
        <x:v>3</x:v>
      </x:c>
      <x:c r="E1898" s="12" t="str">
        <x:v>FRED current rolling window</x:v>
      </x:c>
    </x:row>
    <x:row r="1899" ht="18" customHeight="1">
      <x:c r="A1899" s="13" t="n">
        <x:v>45229</x:v>
      </x:c>
      <x:c r="B1899" s="12" t="n">
        <x:v>4.5</x:v>
      </x:c>
      <x:c r="C1899" s="12" t="n">
        <x:v>450</x:v>
      </x:c>
      <x:c r="D1899" s="12" t="n">
        <x:v>-3</x:v>
      </x:c>
      <x:c r="E1899" s="12" t="str">
        <x:v>FRED current rolling window</x:v>
      </x:c>
    </x:row>
    <x:row r="1900" ht="18" customHeight="1">
      <x:c r="A1900" s="13" t="n">
        <x:v>45230</x:v>
      </x:c>
      <x:c r="B1900" s="12" t="n">
        <x:v>4.42</x:v>
      </x:c>
      <x:c r="C1900" s="12" t="n">
        <x:v>442</x:v>
      </x:c>
      <x:c r="D1900" s="12" t="n">
        <x:v>-8</x:v>
      </x:c>
      <x:c r="E1900" s="12" t="str">
        <x:v>FRED current rolling window</x:v>
      </x:c>
    </x:row>
    <x:row r="1901" ht="18" customHeight="1">
      <x:c r="A1901" s="13" t="n">
        <x:v>45231</x:v>
      </x:c>
      <x:c r="B1901" s="12" t="n">
        <x:v>4.47</x:v>
      </x:c>
      <x:c r="C1901" s="12" t="n">
        <x:v>447</x:v>
      </x:c>
      <x:c r="D1901" s="12" t="n">
        <x:v>5</x:v>
      </x:c>
      <x:c r="E1901" s="12" t="str">
        <x:v>FRED current rolling window</x:v>
      </x:c>
    </x:row>
    <x:row r="1902" ht="18" customHeight="1">
      <x:c r="A1902" s="13" t="n">
        <x:v>45232</x:v>
      </x:c>
      <x:c r="B1902" s="12" t="n">
        <x:v>4.15</x:v>
      </x:c>
      <x:c r="C1902" s="12" t="n">
        <x:v>415.00000000000006</x:v>
      </x:c>
      <x:c r="D1902" s="12" t="n">
        <x:v>-31.999999999999943</x:v>
      </x:c>
      <x:c r="E1902" s="12" t="str">
        <x:v>FRED current rolling window</x:v>
      </x:c>
    </x:row>
    <x:row r="1903" ht="18" customHeight="1">
      <x:c r="A1903" s="13" t="n">
        <x:v>45233</x:v>
      </x:c>
      <x:c r="B1903" s="12" t="n">
        <x:v>4.04</x:v>
      </x:c>
      <x:c r="C1903" s="12" t="n">
        <x:v>404</x:v>
      </x:c>
      <x:c r="D1903" s="12" t="n">
        <x:v>-11.000000000000057</x:v>
      </x:c>
      <x:c r="E1903" s="12" t="str">
        <x:v>FRED current rolling window</x:v>
      </x:c>
    </x:row>
    <x:row r="1904" ht="18" customHeight="1">
      <x:c r="A1904" s="13" t="n">
        <x:v>45236</x:v>
      </x:c>
      <x:c r="B1904" s="12" t="n">
        <x:v>4</x:v>
      </x:c>
      <x:c r="C1904" s="12" t="n">
        <x:v>400</x:v>
      </x:c>
      <x:c r="D1904" s="12" t="n">
        <x:v>-4</x:v>
      </x:c>
      <x:c r="E1904" s="12" t="str">
        <x:v>FRED current rolling window</x:v>
      </x:c>
    </x:row>
    <x:row r="1905" ht="18" customHeight="1">
      <x:c r="A1905" s="13" t="n">
        <x:v>45237</x:v>
      </x:c>
      <x:c r="B1905" s="12" t="n">
        <x:v>4.08</x:v>
      </x:c>
      <x:c r="C1905" s="12" t="n">
        <x:v>408</x:v>
      </x:c>
      <x:c r="D1905" s="12" t="n">
        <x:v>8</x:v>
      </x:c>
      <x:c r="E1905" s="12" t="str">
        <x:v>FRED current rolling window</x:v>
      </x:c>
    </x:row>
    <x:row r="1906" ht="18" customHeight="1">
      <x:c r="A1906" s="13" t="n">
        <x:v>45238</x:v>
      </x:c>
      <x:c r="B1906" s="12" t="n">
        <x:v>4.08</x:v>
      </x:c>
      <x:c r="C1906" s="12" t="n">
        <x:v>408</x:v>
      </x:c>
      <x:c r="D1906" s="12" t="n">
        <x:v>0</x:v>
      </x:c>
      <x:c r="E1906" s="12" t="str">
        <x:v>FRED current rolling window</x:v>
      </x:c>
    </x:row>
    <x:row r="1907" ht="18" customHeight="1">
      <x:c r="A1907" s="13" t="n">
        <x:v>45239</x:v>
      </x:c>
      <x:c r="B1907" s="12" t="n">
        <x:v>4.04</x:v>
      </x:c>
      <x:c r="C1907" s="12" t="n">
        <x:v>404</x:v>
      </x:c>
      <x:c r="D1907" s="12" t="n">
        <x:v>-4</x:v>
      </x:c>
      <x:c r="E1907" s="12" t="str">
        <x:v>FRED current rolling window</x:v>
      </x:c>
    </x:row>
    <x:row r="1908" ht="18" customHeight="1">
      <x:c r="A1908" s="13" t="n">
        <x:v>45240</x:v>
      </x:c>
      <x:c r="B1908" s="12" t="n">
        <x:v>4.03</x:v>
      </x:c>
      <x:c r="C1908" s="12" t="n">
        <x:v>403</x:v>
      </x:c>
      <x:c r="D1908" s="12" t="n">
        <x:v>-1</x:v>
      </x:c>
      <x:c r="E1908" s="12" t="str">
        <x:v>FRED current rolling window</x:v>
      </x:c>
    </x:row>
    <x:row r="1909" ht="18" customHeight="1">
      <x:c r="A1909" s="13" t="n">
        <x:v>45243</x:v>
      </x:c>
      <x:c r="B1909" s="12" t="n">
        <x:v>4.03</x:v>
      </x:c>
      <x:c r="C1909" s="12" t="n">
        <x:v>403</x:v>
      </x:c>
      <x:c r="D1909" s="12" t="n">
        <x:v>0</x:v>
      </x:c>
      <x:c r="E1909" s="12" t="str">
        <x:v>FRED current rolling window</x:v>
      </x:c>
    </x:row>
    <x:row r="1910" ht="18" customHeight="1">
      <x:c r="A1910" s="13" t="n">
        <x:v>45244</x:v>
      </x:c>
      <x:c r="B1910" s="12" t="n">
        <x:v>3.92</x:v>
      </x:c>
      <x:c r="C1910" s="12" t="n">
        <x:v>392</x:v>
      </x:c>
      <x:c r="D1910" s="12" t="n">
        <x:v>-11</x:v>
      </x:c>
      <x:c r="E1910" s="12" t="str">
        <x:v>FRED current rolling window</x:v>
      </x:c>
    </x:row>
    <x:row r="1911" ht="18" customHeight="1">
      <x:c r="A1911" s="13" t="n">
        <x:v>45245</x:v>
      </x:c>
      <x:c r="B1911" s="12" t="n">
        <x:v>3.89</x:v>
      </x:c>
      <x:c r="C1911" s="12" t="n">
        <x:v>389</x:v>
      </x:c>
      <x:c r="D1911" s="12" t="n">
        <x:v>-3</x:v>
      </x:c>
      <x:c r="E1911" s="12" t="str">
        <x:v>FRED current rolling window</x:v>
      </x:c>
    </x:row>
    <x:row r="1912" ht="18" customHeight="1">
      <x:c r="A1912" s="13" t="n">
        <x:v>45246</x:v>
      </x:c>
      <x:c r="B1912" s="12" t="n">
        <x:v>4.02</x:v>
      </x:c>
      <x:c r="C1912" s="12" t="n">
        <x:v>401.99999999999994</x:v>
      </x:c>
      <x:c r="D1912" s="12" t="n">
        <x:v>12.999999999999943</x:v>
      </x:c>
      <x:c r="E1912" s="12" t="str">
        <x:v>FRED current rolling window</x:v>
      </x:c>
    </x:row>
    <x:row r="1913" ht="18" customHeight="1">
      <x:c r="A1913" s="13" t="n">
        <x:v>45247</x:v>
      </x:c>
      <x:c r="B1913" s="12" t="n">
        <x:v>3.99</x:v>
      </x:c>
      <x:c r="C1913" s="12" t="n">
        <x:v>399</x:v>
      </x:c>
      <x:c r="D1913" s="12" t="n">
        <x:v>-2.999999999999943</x:v>
      </x:c>
      <x:c r="E1913" s="12" t="str">
        <x:v>FRED current rolling window</x:v>
      </x:c>
    </x:row>
    <x:row r="1914" ht="18" customHeight="1">
      <x:c r="A1914" s="13" t="n">
        <x:v>45250</x:v>
      </x:c>
      <x:c r="B1914" s="12" t="n">
        <x:v>3.92</x:v>
      </x:c>
      <x:c r="C1914" s="12" t="n">
        <x:v>392</x:v>
      </x:c>
      <x:c r="D1914" s="12" t="n">
        <x:v>-7</x:v>
      </x:c>
      <x:c r="E1914" s="12" t="str">
        <x:v>FRED current rolling window</x:v>
      </x:c>
    </x:row>
    <x:row r="1915" ht="18" customHeight="1">
      <x:c r="A1915" s="13" t="n">
        <x:v>45251</x:v>
      </x:c>
      <x:c r="B1915" s="12" t="n">
        <x:v>3.95</x:v>
      </x:c>
      <x:c r="C1915" s="12" t="n">
        <x:v>395</x:v>
      </x:c>
      <x:c r="D1915" s="12" t="n">
        <x:v>3</x:v>
      </x:c>
      <x:c r="E1915" s="12" t="str">
        <x:v>FRED current rolling window</x:v>
      </x:c>
    </x:row>
    <x:row r="1916" ht="18" customHeight="1">
      <x:c r="A1916" s="13" t="n">
        <x:v>45252</x:v>
      </x:c>
      <x:c r="B1916" s="12" t="n">
        <x:v>3.9</x:v>
      </x:c>
      <x:c r="C1916" s="12" t="n">
        <x:v>390</x:v>
      </x:c>
      <x:c r="D1916" s="12" t="n">
        <x:v>-5</x:v>
      </x:c>
      <x:c r="E1916" s="12" t="str">
        <x:v>FRED current rolling window</x:v>
      </x:c>
    </x:row>
    <x:row r="1917" ht="18" customHeight="1">
      <x:c r="A1917" s="13" t="n">
        <x:v>45253</x:v>
      </x:c>
      <x:c r="B1917" s="12" t="n">
        <x:v>3.9</x:v>
      </x:c>
      <x:c r="C1917" s="12" t="n">
        <x:v>390</x:v>
      </x:c>
      <x:c r="D1917" s="12" t="n">
        <x:v>0</x:v>
      </x:c>
      <x:c r="E1917" s="12" t="str">
        <x:v>FRED current rolling window</x:v>
      </x:c>
    </x:row>
    <x:row r="1918" ht="18" customHeight="1">
      <x:c r="A1918" s="13" t="n">
        <x:v>45254</x:v>
      </x:c>
      <x:c r="B1918" s="12" t="n">
        <x:v>3.85</x:v>
      </x:c>
      <x:c r="C1918" s="12" t="n">
        <x:v>385</x:v>
      </x:c>
      <x:c r="D1918" s="12" t="n">
        <x:v>-5</x:v>
      </x:c>
      <x:c r="E1918" s="12" t="str">
        <x:v>FRED current rolling window</x:v>
      </x:c>
    </x:row>
    <x:row r="1919" ht="18" customHeight="1">
      <x:c r="A1919" s="13" t="n">
        <x:v>45257</x:v>
      </x:c>
      <x:c r="B1919" s="12" t="n">
        <x:v>3.89</x:v>
      </x:c>
      <x:c r="C1919" s="12" t="n">
        <x:v>389</x:v>
      </x:c>
      <x:c r="D1919" s="12" t="n">
        <x:v>4</x:v>
      </x:c>
      <x:c r="E1919" s="12" t="str">
        <x:v>FRED current rolling window</x:v>
      </x:c>
    </x:row>
    <x:row r="1920" ht="18" customHeight="1">
      <x:c r="A1920" s="13" t="n">
        <x:v>45258</x:v>
      </x:c>
      <x:c r="B1920" s="12" t="n">
        <x:v>3.9</x:v>
      </x:c>
      <x:c r="C1920" s="12" t="n">
        <x:v>390</x:v>
      </x:c>
      <x:c r="D1920" s="12" t="n">
        <x:v>1</x:v>
      </x:c>
      <x:c r="E1920" s="12" t="str">
        <x:v>FRED current rolling window</x:v>
      </x:c>
    </x:row>
    <x:row r="1921" ht="18" customHeight="1">
      <x:c r="A1921" s="13" t="n">
        <x:v>45259</x:v>
      </x:c>
      <x:c r="B1921" s="12" t="n">
        <x:v>3.8</x:v>
      </x:c>
      <x:c r="C1921" s="12" t="n">
        <x:v>380</x:v>
      </x:c>
      <x:c r="D1921" s="12" t="n">
        <x:v>-10</x:v>
      </x:c>
      <x:c r="E1921" s="12" t="str">
        <x:v>FRED current rolling window</x:v>
      </x:c>
    </x:row>
    <x:row r="1922" ht="18" customHeight="1">
      <x:c r="A1922" s="13" t="n">
        <x:v>45260</x:v>
      </x:c>
      <x:c r="B1922" s="12" t="n">
        <x:v>3.84</x:v>
      </x:c>
      <x:c r="C1922" s="12" t="n">
        <x:v>384</x:v>
      </x:c>
      <x:c r="D1922" s="12" t="n">
        <x:v>4</x:v>
      </x:c>
      <x:c r="E1922" s="12" t="str">
        <x:v>FRED current rolling window</x:v>
      </x:c>
    </x:row>
    <x:row r="1923" ht="18" customHeight="1">
      <x:c r="A1923" s="13" t="n">
        <x:v>45261</x:v>
      </x:c>
      <x:c r="B1923" s="12" t="n">
        <x:v>3.87</x:v>
      </x:c>
      <x:c r="C1923" s="12" t="n">
        <x:v>387</x:v>
      </x:c>
      <x:c r="D1923" s="12" t="n">
        <x:v>3</x:v>
      </x:c>
      <x:c r="E1923" s="12" t="str">
        <x:v>FRED current rolling window</x:v>
      </x:c>
    </x:row>
    <x:row r="1924" ht="18" customHeight="1">
      <x:c r="A1924" s="13" t="n">
        <x:v>45264</x:v>
      </x:c>
      <x:c r="B1924" s="12" t="n">
        <x:v>3.8</x:v>
      </x:c>
      <x:c r="C1924" s="12" t="n">
        <x:v>380</x:v>
      </x:c>
      <x:c r="D1924" s="12" t="n">
        <x:v>-7</x:v>
      </x:c>
      <x:c r="E1924" s="12" t="str">
        <x:v>FRED current rolling window</x:v>
      </x:c>
    </x:row>
    <x:row r="1925" ht="18" customHeight="1">
      <x:c r="A1925" s="13" t="n">
        <x:v>45265</x:v>
      </x:c>
      <x:c r="B1925" s="12" t="n">
        <x:v>3.8</x:v>
      </x:c>
      <x:c r="C1925" s="12" t="n">
        <x:v>380</x:v>
      </x:c>
      <x:c r="D1925" s="12" t="n">
        <x:v>0</x:v>
      </x:c>
      <x:c r="E1925" s="12" t="str">
        <x:v>FRED current rolling window</x:v>
      </x:c>
    </x:row>
    <x:row r="1926" ht="18" customHeight="1">
      <x:c r="A1926" s="13" t="n">
        <x:v>45266</x:v>
      </x:c>
      <x:c r="B1926" s="12" t="n">
        <x:v>3.79</x:v>
      </x:c>
      <x:c r="C1926" s="12" t="n">
        <x:v>379</x:v>
      </x:c>
      <x:c r="D1926" s="12" t="n">
        <x:v>-1</x:v>
      </x:c>
      <x:c r="E1926" s="12" t="str">
        <x:v>FRED current rolling window</x:v>
      </x:c>
    </x:row>
    <x:row r="1927" ht="18" customHeight="1">
      <x:c r="A1927" s="13" t="n">
        <x:v>45267</x:v>
      </x:c>
      <x:c r="B1927" s="12" t="n">
        <x:v>3.77</x:v>
      </x:c>
      <x:c r="C1927" s="12" t="n">
        <x:v>377</x:v>
      </x:c>
      <x:c r="D1927" s="12" t="n">
        <x:v>-2</x:v>
      </x:c>
      <x:c r="E1927" s="12" t="str">
        <x:v>FRED current rolling window</x:v>
      </x:c>
    </x:row>
    <x:row r="1928" ht="18" customHeight="1">
      <x:c r="A1928" s="13" t="n">
        <x:v>45268</x:v>
      </x:c>
      <x:c r="B1928" s="12" t="n">
        <x:v>3.75</x:v>
      </x:c>
      <x:c r="C1928" s="12" t="n">
        <x:v>375</x:v>
      </x:c>
      <x:c r="D1928" s="12" t="n">
        <x:v>-2</x:v>
      </x:c>
      <x:c r="E1928" s="12" t="str">
        <x:v>FRED current rolling window</x:v>
      </x:c>
    </x:row>
    <x:row r="1929" ht="18" customHeight="1">
      <x:c r="A1929" s="13" t="n">
        <x:v>45271</x:v>
      </x:c>
      <x:c r="B1929" s="12" t="n">
        <x:v>3.79</x:v>
      </x:c>
      <x:c r="C1929" s="12" t="n">
        <x:v>379</x:v>
      </x:c>
      <x:c r="D1929" s="12" t="n">
        <x:v>4</x:v>
      </x:c>
      <x:c r="E1929" s="12" t="str">
        <x:v>FRED current rolling window</x:v>
      </x:c>
    </x:row>
    <x:row r="1930" ht="18" customHeight="1">
      <x:c r="A1930" s="13" t="n">
        <x:v>45272</x:v>
      </x:c>
      <x:c r="B1930" s="12" t="n">
        <x:v>3.76</x:v>
      </x:c>
      <x:c r="C1930" s="12" t="n">
        <x:v>376</x:v>
      </x:c>
      <x:c r="D1930" s="12" t="n">
        <x:v>-3</x:v>
      </x:c>
      <x:c r="E1930" s="12" t="str">
        <x:v>FRED current rolling window</x:v>
      </x:c>
    </x:row>
    <x:row r="1931" ht="18" customHeight="1">
      <x:c r="A1931" s="13" t="n">
        <x:v>45273</x:v>
      </x:c>
      <x:c r="B1931" s="12" t="n">
        <x:v>3.79</x:v>
      </x:c>
      <x:c r="C1931" s="12" t="n">
        <x:v>379</x:v>
      </x:c>
      <x:c r="D1931" s="12" t="n">
        <x:v>3</x:v>
      </x:c>
      <x:c r="E1931" s="12" t="str">
        <x:v>FRED current rolling window</x:v>
      </x:c>
    </x:row>
    <x:row r="1932" ht="18" customHeight="1">
      <x:c r="A1932" s="13" t="n">
        <x:v>45274</x:v>
      </x:c>
      <x:c r="B1932" s="12" t="n">
        <x:v>3.47</x:v>
      </x:c>
      <x:c r="C1932" s="12" t="n">
        <x:v>347</x:v>
      </x:c>
      <x:c r="D1932" s="12" t="n">
        <x:v>-32</x:v>
      </x:c>
      <x:c r="E1932" s="12" t="str">
        <x:v>FRED current rolling window</x:v>
      </x:c>
    </x:row>
    <x:row r="1933" ht="18" customHeight="1">
      <x:c r="A1933" s="13" t="n">
        <x:v>45275</x:v>
      </x:c>
      <x:c r="B1933" s="12" t="n">
        <x:v>3.51</x:v>
      </x:c>
      <x:c r="C1933" s="12" t="n">
        <x:v>351</x:v>
      </x:c>
      <x:c r="D1933" s="12" t="n">
        <x:v>4</x:v>
      </x:c>
      <x:c r="E1933" s="12" t="str">
        <x:v>FRED current rolling window</x:v>
      </x:c>
    </x:row>
    <x:row r="1934" ht="18" customHeight="1">
      <x:c r="A1934" s="13" t="n">
        <x:v>45278</x:v>
      </x:c>
      <x:c r="B1934" s="12" t="n">
        <x:v>3.51</x:v>
      </x:c>
      <x:c r="C1934" s="12" t="n">
        <x:v>351</x:v>
      </x:c>
      <x:c r="D1934" s="12" t="n">
        <x:v>0</x:v>
      </x:c>
      <x:c r="E1934" s="12" t="str">
        <x:v>FRED current rolling window</x:v>
      </x:c>
    </x:row>
    <x:row r="1935" ht="18" customHeight="1">
      <x:c r="A1935" s="13" t="n">
        <x:v>45279</x:v>
      </x:c>
      <x:c r="B1935" s="12" t="n">
        <x:v>3.46</x:v>
      </x:c>
      <x:c r="C1935" s="12" t="n">
        <x:v>346</x:v>
      </x:c>
      <x:c r="D1935" s="12" t="n">
        <x:v>-5</x:v>
      </x:c>
      <x:c r="E1935" s="12" t="str">
        <x:v>FRED current rolling window</x:v>
      </x:c>
    </x:row>
    <x:row r="1936" ht="18" customHeight="1">
      <x:c r="A1936" s="13" t="n">
        <x:v>45280</x:v>
      </x:c>
      <x:c r="B1936" s="12" t="n">
        <x:v>3.43</x:v>
      </x:c>
      <x:c r="C1936" s="12" t="n">
        <x:v>343</x:v>
      </x:c>
      <x:c r="D1936" s="12" t="n">
        <x:v>-3</x:v>
      </x:c>
      <x:c r="E1936" s="12" t="str">
        <x:v>FRED current rolling window</x:v>
      </x:c>
    </x:row>
    <x:row r="1937" ht="18" customHeight="1">
      <x:c r="A1937" s="13" t="n">
        <x:v>45281</x:v>
      </x:c>
      <x:c r="B1937" s="12" t="n">
        <x:v>3.41</x:v>
      </x:c>
      <x:c r="C1937" s="12" t="n">
        <x:v>341</x:v>
      </x:c>
      <x:c r="D1937" s="12" t="n">
        <x:v>-2</x:v>
      </x:c>
      <x:c r="E1937" s="12" t="str">
        <x:v>FRED current rolling window</x:v>
      </x:c>
    </x:row>
    <x:row r="1938" ht="18" customHeight="1">
      <x:c r="A1938" s="13" t="n">
        <x:v>45282</x:v>
      </x:c>
      <x:c r="B1938" s="12" t="n">
        <x:v>3.39</x:v>
      </x:c>
      <x:c r="C1938" s="12" t="n">
        <x:v>339</x:v>
      </x:c>
      <x:c r="D1938" s="12" t="n">
        <x:v>-2</x:v>
      </x:c>
      <x:c r="E1938" s="12" t="str">
        <x:v>FRED current rolling window</x:v>
      </x:c>
    </x:row>
    <x:row r="1939" ht="18" customHeight="1">
      <x:c r="A1939" s="13" t="n">
        <x:v>45286</x:v>
      </x:c>
      <x:c r="B1939" s="12" t="n">
        <x:v>3.37</x:v>
      </x:c>
      <x:c r="C1939" s="12" t="n">
        <x:v>337</x:v>
      </x:c>
      <x:c r="D1939" s="12" t="n">
        <x:v>-2</x:v>
      </x:c>
      <x:c r="E1939" s="12" t="str">
        <x:v>FRED current rolling window</x:v>
      </x:c>
    </x:row>
    <x:row r="1940" ht="18" customHeight="1">
      <x:c r="A1940" s="13" t="n">
        <x:v>45287</x:v>
      </x:c>
      <x:c r="B1940" s="12" t="n">
        <x:v>3.34</x:v>
      </x:c>
      <x:c r="C1940" s="12" t="n">
        <x:v>334</x:v>
      </x:c>
      <x:c r="D1940" s="12" t="n">
        <x:v>-3</x:v>
      </x:c>
      <x:c r="E1940" s="12" t="str">
        <x:v>FRED current rolling window</x:v>
      </x:c>
    </x:row>
    <x:row r="1941" ht="18" customHeight="1">
      <x:c r="A1941" s="13" t="n">
        <x:v>45288</x:v>
      </x:c>
      <x:c r="B1941" s="12" t="n">
        <x:v>3.32</x:v>
      </x:c>
      <x:c r="C1941" s="12" t="n">
        <x:v>332</x:v>
      </x:c>
      <x:c r="D1941" s="12" t="n">
        <x:v>-2</x:v>
      </x:c>
      <x:c r="E1941" s="12" t="str">
        <x:v>FRED current rolling window</x:v>
      </x:c>
    </x:row>
    <x:row r="1942" ht="18" customHeight="1">
      <x:c r="A1942" s="13" t="n">
        <x:v>45289</x:v>
      </x:c>
      <x:c r="B1942" s="12" t="n">
        <x:v>3.34</x:v>
      </x:c>
      <x:c r="C1942" s="12" t="n">
        <x:v>334</x:v>
      </x:c>
      <x:c r="D1942" s="12" t="n">
        <x:v>2</x:v>
      </x:c>
      <x:c r="E1942" s="12" t="str">
        <x:v>FRED current rolling window</x:v>
      </x:c>
    </x:row>
    <x:row r="1943" ht="18" customHeight="1">
      <x:c r="A1943" s="13" t="n">
        <x:v>45291</x:v>
      </x:c>
      <x:c r="B1943" s="12" t="n">
        <x:v>3.39</x:v>
      </x:c>
      <x:c r="C1943" s="12" t="n">
        <x:v>339</x:v>
      </x:c>
      <x:c r="D1943" s="12" t="n">
        <x:v>5</x:v>
      </x:c>
      <x:c r="E1943" s="12" t="str">
        <x:v>FRED current rolling window</x:v>
      </x:c>
    </x:row>
    <x:row r="1944" ht="18" customHeight="1">
      <x:c r="A1944" s="13" t="n">
        <x:v>45293</x:v>
      </x:c>
      <x:c r="B1944" s="12" t="n">
        <x:v>3.54</x:v>
      </x:c>
      <x:c r="C1944" s="12" t="n">
        <x:v>354</x:v>
      </x:c>
      <x:c r="D1944" s="12" t="n">
        <x:v>15</x:v>
      </x:c>
      <x:c r="E1944" s="12" t="str">
        <x:v>FRED current rolling window</x:v>
      </x:c>
    </x:row>
    <x:row r="1945" ht="18" customHeight="1">
      <x:c r="A1945" s="13" t="n">
        <x:v>45294</x:v>
      </x:c>
      <x:c r="B1945" s="12" t="n">
        <x:v>3.71</x:v>
      </x:c>
      <x:c r="C1945" s="12" t="n">
        <x:v>371</x:v>
      </x:c>
      <x:c r="D1945" s="12" t="n">
        <x:v>17</x:v>
      </x:c>
      <x:c r="E1945" s="12" t="str">
        <x:v>FRED current rolling window</x:v>
      </x:c>
    </x:row>
    <x:row r="1946" ht="18" customHeight="1">
      <x:c r="A1946" s="13" t="n">
        <x:v>45295</x:v>
      </x:c>
      <x:c r="B1946" s="12" t="n">
        <x:v>3.69</x:v>
      </x:c>
      <x:c r="C1946" s="12" t="n">
        <x:v>369</x:v>
      </x:c>
      <x:c r="D1946" s="12" t="n">
        <x:v>-2</x:v>
      </x:c>
      <x:c r="E1946" s="12" t="str">
        <x:v>FRED current rolling window</x:v>
      </x:c>
    </x:row>
    <x:row r="1947" ht="18" customHeight="1">
      <x:c r="A1947" s="13" t="n">
        <x:v>45296</x:v>
      </x:c>
      <x:c r="B1947" s="12" t="n">
        <x:v>3.68</x:v>
      </x:c>
      <x:c r="C1947" s="12" t="n">
        <x:v>368</x:v>
      </x:c>
      <x:c r="D1947" s="12" t="n">
        <x:v>-1</x:v>
      </x:c>
      <x:c r="E1947" s="12" t="str">
        <x:v>FRED current rolling window</x:v>
      </x:c>
    </x:row>
    <x:row r="1948" ht="18" customHeight="1">
      <x:c r="A1948" s="13" t="n">
        <x:v>45299</x:v>
      </x:c>
      <x:c r="B1948" s="12" t="n">
        <x:v>3.63</x:v>
      </x:c>
      <x:c r="C1948" s="12" t="n">
        <x:v>363</x:v>
      </x:c>
      <x:c r="D1948" s="12" t="n">
        <x:v>-5</x:v>
      </x:c>
      <x:c r="E1948" s="12" t="str">
        <x:v>FRED current rolling window</x:v>
      </x:c>
    </x:row>
    <x:row r="1949" ht="18" customHeight="1">
      <x:c r="A1949" s="13" t="n">
        <x:v>45300</x:v>
      </x:c>
      <x:c r="B1949" s="12" t="n">
        <x:v>3.59</x:v>
      </x:c>
      <x:c r="C1949" s="12" t="n">
        <x:v>359</x:v>
      </x:c>
      <x:c r="D1949" s="12" t="n">
        <x:v>-4</x:v>
      </x:c>
      <x:c r="E1949" s="12" t="str">
        <x:v>FRED current rolling window</x:v>
      </x:c>
    </x:row>
    <x:row r="1950" ht="18" customHeight="1">
      <x:c r="A1950" s="13" t="n">
        <x:v>45301</x:v>
      </x:c>
      <x:c r="B1950" s="12" t="n">
        <x:v>3.5</x:v>
      </x:c>
      <x:c r="C1950" s="12" t="n">
        <x:v>350</x:v>
      </x:c>
      <x:c r="D1950" s="12" t="n">
        <x:v>-9</x:v>
      </x:c>
      <x:c r="E1950" s="12" t="str">
        <x:v>FRED current rolling window</x:v>
      </x:c>
    </x:row>
    <x:row r="1951" ht="18" customHeight="1">
      <x:c r="A1951" s="13" t="n">
        <x:v>45302</x:v>
      </x:c>
      <x:c r="B1951" s="12" t="n">
        <x:v>3.55</x:v>
      </x:c>
      <x:c r="C1951" s="12" t="n">
        <x:v>355</x:v>
      </x:c>
      <x:c r="D1951" s="12" t="n">
        <x:v>5</x:v>
      </x:c>
      <x:c r="E1951" s="12" t="str">
        <x:v>FRED current rolling window</x:v>
      </x:c>
    </x:row>
    <x:row r="1952" ht="18" customHeight="1">
      <x:c r="A1952" s="13" t="n">
        <x:v>45303</x:v>
      </x:c>
      <x:c r="B1952" s="12" t="n">
        <x:v>3.56</x:v>
      </x:c>
      <x:c r="C1952" s="12" t="n">
        <x:v>356</x:v>
      </x:c>
      <x:c r="D1952" s="12" t="n">
        <x:v>1</x:v>
      </x:c>
      <x:c r="E1952" s="12" t="str">
        <x:v>FRED current rolling window</x:v>
      </x:c>
    </x:row>
    <x:row r="1953" ht="18" customHeight="1">
      <x:c r="A1953" s="13" t="n">
        <x:v>45306</x:v>
      </x:c>
      <x:c r="B1953" s="12" t="n">
        <x:v>3.54</x:v>
      </x:c>
      <x:c r="C1953" s="12" t="n">
        <x:v>354</x:v>
      </x:c>
      <x:c r="D1953" s="12" t="n">
        <x:v>-2</x:v>
      </x:c>
      <x:c r="E1953" s="12" t="str">
        <x:v>FRED current rolling window</x:v>
      </x:c>
    </x:row>
    <x:row r="1954" ht="18" customHeight="1">
      <x:c r="A1954" s="13" t="n">
        <x:v>45307</x:v>
      </x:c>
      <x:c r="B1954" s="12" t="n">
        <x:v>3.58</x:v>
      </x:c>
      <x:c r="C1954" s="12" t="n">
        <x:v>358</x:v>
      </x:c>
      <x:c r="D1954" s="12" t="n">
        <x:v>4</x:v>
      </x:c>
      <x:c r="E1954" s="12" t="str">
        <x:v>FRED current rolling window</x:v>
      </x:c>
    </x:row>
    <x:row r="1955" ht="18" customHeight="1">
      <x:c r="A1955" s="13" t="n">
        <x:v>45308</x:v>
      </x:c>
      <x:c r="B1955" s="12" t="n">
        <x:v>3.62</x:v>
      </x:c>
      <x:c r="C1955" s="12" t="n">
        <x:v>362</x:v>
      </x:c>
      <x:c r="D1955" s="12" t="n">
        <x:v>4</x:v>
      </x:c>
      <x:c r="E1955" s="12" t="str">
        <x:v>FRED current rolling window</x:v>
      </x:c>
    </x:row>
    <x:row r="1956" ht="18" customHeight="1">
      <x:c r="A1956" s="13" t="n">
        <x:v>45309</x:v>
      </x:c>
      <x:c r="B1956" s="12" t="n">
        <x:v>3.58</x:v>
      </x:c>
      <x:c r="C1956" s="12" t="n">
        <x:v>358</x:v>
      </x:c>
      <x:c r="D1956" s="12" t="n">
        <x:v>-4</x:v>
      </x:c>
      <x:c r="E1956" s="12" t="str">
        <x:v>FRED current rolling window</x:v>
      </x:c>
    </x:row>
    <x:row r="1957" ht="18" customHeight="1">
      <x:c r="A1957" s="13" t="n">
        <x:v>45310</x:v>
      </x:c>
      <x:c r="B1957" s="12" t="n">
        <x:v>3.54</x:v>
      </x:c>
      <x:c r="C1957" s="12" t="n">
        <x:v>354</x:v>
      </x:c>
      <x:c r="D1957" s="12" t="n">
        <x:v>-4</x:v>
      </x:c>
      <x:c r="E1957" s="12" t="str">
        <x:v>FRED current rolling window</x:v>
      </x:c>
    </x:row>
    <x:row r="1958" ht="18" customHeight="1">
      <x:c r="A1958" s="13" t="n">
        <x:v>45313</x:v>
      </x:c>
      <x:c r="B1958" s="12" t="n">
        <x:v>3.49</x:v>
      </x:c>
      <x:c r="C1958" s="12" t="n">
        <x:v>349</x:v>
      </x:c>
      <x:c r="D1958" s="12" t="n">
        <x:v>-5</x:v>
      </x:c>
      <x:c r="E1958" s="12" t="str">
        <x:v>FRED current rolling window</x:v>
      </x:c>
    </x:row>
    <x:row r="1959" ht="18" customHeight="1">
      <x:c r="A1959" s="13" t="n">
        <x:v>45314</x:v>
      </x:c>
      <x:c r="B1959" s="12" t="n">
        <x:v>3.51</x:v>
      </x:c>
      <x:c r="C1959" s="12" t="n">
        <x:v>351</x:v>
      </x:c>
      <x:c r="D1959" s="12" t="n">
        <x:v>2</x:v>
      </x:c>
      <x:c r="E1959" s="12" t="str">
        <x:v>FRED current rolling window</x:v>
      </x:c>
    </x:row>
    <x:row r="1960" ht="18" customHeight="1">
      <x:c r="A1960" s="13" t="n">
        <x:v>45315</x:v>
      </x:c>
      <x:c r="B1960" s="12" t="n">
        <x:v>3.44</x:v>
      </x:c>
      <x:c r="C1960" s="12" t="n">
        <x:v>344</x:v>
      </x:c>
      <x:c r="D1960" s="12" t="n">
        <x:v>-7</x:v>
      </x:c>
      <x:c r="E1960" s="12" t="str">
        <x:v>FRED current rolling window</x:v>
      </x:c>
    </x:row>
    <x:row r="1961" ht="18" customHeight="1">
      <x:c r="A1961" s="13" t="n">
        <x:v>45316</x:v>
      </x:c>
      <x:c r="B1961" s="12" t="n">
        <x:v>3.45</x:v>
      </x:c>
      <x:c r="C1961" s="12" t="n">
        <x:v>345</x:v>
      </x:c>
      <x:c r="D1961" s="12" t="n">
        <x:v>1</x:v>
      </x:c>
      <x:c r="E1961" s="12" t="str">
        <x:v>FRED current rolling window</x:v>
      </x:c>
    </x:row>
    <x:row r="1962" ht="18" customHeight="1">
      <x:c r="A1962" s="13" t="n">
        <x:v>45317</x:v>
      </x:c>
      <x:c r="B1962" s="12" t="n">
        <x:v>3.39</x:v>
      </x:c>
      <x:c r="C1962" s="12" t="n">
        <x:v>339</x:v>
      </x:c>
      <x:c r="D1962" s="12" t="n">
        <x:v>-6</x:v>
      </x:c>
      <x:c r="E1962" s="12" t="str">
        <x:v>FRED current rolling window</x:v>
      </x:c>
    </x:row>
    <x:row r="1963" ht="18" customHeight="1">
      <x:c r="A1963" s="13" t="n">
        <x:v>45320</x:v>
      </x:c>
      <x:c r="B1963" s="12" t="n">
        <x:v>3.41</x:v>
      </x:c>
      <x:c r="C1963" s="12" t="n">
        <x:v>341</x:v>
      </x:c>
      <x:c r="D1963" s="12" t="n">
        <x:v>2</x:v>
      </x:c>
      <x:c r="E1963" s="12" t="str">
        <x:v>FRED current rolling window</x:v>
      </x:c>
    </x:row>
    <x:row r="1964" ht="18" customHeight="1">
      <x:c r="A1964" s="13" t="n">
        <x:v>45321</x:v>
      </x:c>
      <x:c r="B1964" s="12" t="n">
        <x:v>3.42</x:v>
      </x:c>
      <x:c r="C1964" s="12" t="n">
        <x:v>342</x:v>
      </x:c>
      <x:c r="D1964" s="12" t="n">
        <x:v>1</x:v>
      </x:c>
      <x:c r="E1964" s="12" t="str">
        <x:v>FRED current rolling window</x:v>
      </x:c>
    </x:row>
    <x:row r="1965" ht="18" customHeight="1">
      <x:c r="A1965" s="13" t="n">
        <x:v>45322</x:v>
      </x:c>
      <x:c r="B1965" s="12" t="n">
        <x:v>3.59</x:v>
      </x:c>
      <x:c r="C1965" s="12" t="n">
        <x:v>359</x:v>
      </x:c>
      <x:c r="D1965" s="12" t="n">
        <x:v>17</x:v>
      </x:c>
      <x:c r="E1965" s="12" t="str">
        <x:v>FRED current rolling window</x:v>
      </x:c>
    </x:row>
    <x:row r="1966" ht="18" customHeight="1">
      <x:c r="A1966" s="13" t="n">
        <x:v>45323</x:v>
      </x:c>
      <x:c r="B1966" s="12" t="n">
        <x:v>3.56</x:v>
      </x:c>
      <x:c r="C1966" s="12" t="n">
        <x:v>356</x:v>
      </x:c>
      <x:c r="D1966" s="12" t="n">
        <x:v>-3</x:v>
      </x:c>
      <x:c r="E1966" s="12" t="str">
        <x:v>FRED current rolling window</x:v>
      </x:c>
    </x:row>
    <x:row r="1967" ht="18" customHeight="1">
      <x:c r="A1967" s="13" t="n">
        <x:v>45324</x:v>
      </x:c>
      <x:c r="B1967" s="12" t="n">
        <x:v>3.47</x:v>
      </x:c>
      <x:c r="C1967" s="12" t="n">
        <x:v>347</x:v>
      </x:c>
      <x:c r="D1967" s="12" t="n">
        <x:v>-9</x:v>
      </x:c>
      <x:c r="E1967" s="12" t="str">
        <x:v>FRED current rolling window</x:v>
      </x:c>
    </x:row>
    <x:row r="1968" ht="18" customHeight="1">
      <x:c r="A1968" s="13" t="n">
        <x:v>45327</x:v>
      </x:c>
      <x:c r="B1968" s="12" t="n">
        <x:v>3.5</x:v>
      </x:c>
      <x:c r="C1968" s="12" t="n">
        <x:v>350</x:v>
      </x:c>
      <x:c r="D1968" s="12" t="n">
        <x:v>3</x:v>
      </x:c>
      <x:c r="E1968" s="12" t="str">
        <x:v>FRED current rolling window</x:v>
      </x:c>
    </x:row>
    <x:row r="1969" ht="18" customHeight="1">
      <x:c r="A1969" s="13" t="n">
        <x:v>45328</x:v>
      </x:c>
      <x:c r="B1969" s="12" t="n">
        <x:v>3.52</x:v>
      </x:c>
      <x:c r="C1969" s="12" t="n">
        <x:v>352</x:v>
      </x:c>
      <x:c r="D1969" s="12" t="n">
        <x:v>2</x:v>
      </x:c>
      <x:c r="E1969" s="12" t="str">
        <x:v>FRED current rolling window</x:v>
      </x:c>
    </x:row>
    <x:row r="1970" ht="18" customHeight="1">
      <x:c r="A1970" s="13" t="n">
        <x:v>45329</x:v>
      </x:c>
      <x:c r="B1970" s="12" t="n">
        <x:v>3.43</x:v>
      </x:c>
      <x:c r="C1970" s="12" t="n">
        <x:v>343</x:v>
      </x:c>
      <x:c r="D1970" s="12" t="n">
        <x:v>-9</x:v>
      </x:c>
      <x:c r="E1970" s="12" t="str">
        <x:v>FRED current rolling window</x:v>
      </x:c>
    </x:row>
    <x:row r="1971" ht="18" customHeight="1">
      <x:c r="A1971" s="13" t="n">
        <x:v>45330</x:v>
      </x:c>
      <x:c r="B1971" s="12" t="n">
        <x:v>3.38</x:v>
      </x:c>
      <x:c r="C1971" s="12" t="n">
        <x:v>338</x:v>
      </x:c>
      <x:c r="D1971" s="12" t="n">
        <x:v>-5</x:v>
      </x:c>
      <x:c r="E1971" s="12" t="str">
        <x:v>FRED current rolling window</x:v>
      </x:c>
    </x:row>
    <x:row r="1972" ht="18" customHeight="1">
      <x:c r="A1972" s="13" t="n">
        <x:v>45331</x:v>
      </x:c>
      <x:c r="B1972" s="12" t="n">
        <x:v>3.33</x:v>
      </x:c>
      <x:c r="C1972" s="12" t="n">
        <x:v>333</x:v>
      </x:c>
      <x:c r="D1972" s="12" t="n">
        <x:v>-5</x:v>
      </x:c>
      <x:c r="E1972" s="12" t="str">
        <x:v>FRED current rolling window</x:v>
      </x:c>
    </x:row>
    <x:row r="1973" ht="18" customHeight="1">
      <x:c r="A1973" s="13" t="n">
        <x:v>45334</x:v>
      </x:c>
      <x:c r="B1973" s="12" t="n">
        <x:v>3.35</x:v>
      </x:c>
      <x:c r="C1973" s="12" t="n">
        <x:v>335</x:v>
      </x:c>
      <x:c r="D1973" s="12" t="n">
        <x:v>2</x:v>
      </x:c>
      <x:c r="E1973" s="12" t="str">
        <x:v>FRED current rolling window</x:v>
      </x:c>
    </x:row>
    <x:row r="1974" ht="18" customHeight="1">
      <x:c r="A1974" s="13" t="n">
        <x:v>45335</x:v>
      </x:c>
      <x:c r="B1974" s="12" t="n">
        <x:v>3.36</x:v>
      </x:c>
      <x:c r="C1974" s="12" t="n">
        <x:v>336</x:v>
      </x:c>
      <x:c r="D1974" s="12" t="n">
        <x:v>1</x:v>
      </x:c>
      <x:c r="E1974" s="12" t="str">
        <x:v>FRED current rolling window</x:v>
      </x:c>
    </x:row>
    <x:row r="1975" ht="18" customHeight="1">
      <x:c r="A1975" s="13" t="n">
        <x:v>45336</x:v>
      </x:c>
      <x:c r="B1975" s="12" t="n">
        <x:v>3.38</x:v>
      </x:c>
      <x:c r="C1975" s="12" t="n">
        <x:v>338</x:v>
      </x:c>
      <x:c r="D1975" s="12" t="n">
        <x:v>2</x:v>
      </x:c>
      <x:c r="E1975" s="12" t="str">
        <x:v>FRED current rolling window</x:v>
      </x:c>
    </x:row>
    <x:row r="1976" ht="18" customHeight="1">
      <x:c r="A1976" s="13" t="n">
        <x:v>45337</x:v>
      </x:c>
      <x:c r="B1976" s="12" t="n">
        <x:v>3.35</x:v>
      </x:c>
      <x:c r="C1976" s="12" t="n">
        <x:v>335</x:v>
      </x:c>
      <x:c r="D1976" s="12" t="n">
        <x:v>-3</x:v>
      </x:c>
      <x:c r="E1976" s="12" t="str">
        <x:v>FRED current rolling window</x:v>
      </x:c>
    </x:row>
    <x:row r="1977" ht="18" customHeight="1">
      <x:c r="A1977" s="13" t="n">
        <x:v>45338</x:v>
      </x:c>
      <x:c r="B1977" s="12" t="n">
        <x:v>3.34</x:v>
      </x:c>
      <x:c r="C1977" s="12" t="n">
        <x:v>334</x:v>
      </x:c>
      <x:c r="D1977" s="12" t="n">
        <x:v>-1</x:v>
      </x:c>
      <x:c r="E1977" s="12" t="str">
        <x:v>FRED current rolling window</x:v>
      </x:c>
    </x:row>
    <x:row r="1978" ht="18" customHeight="1">
      <x:c r="A1978" s="13" t="n">
        <x:v>45341</x:v>
      </x:c>
      <x:c r="B1978" s="12" t="n">
        <x:v>3.34</x:v>
      </x:c>
      <x:c r="C1978" s="12" t="n">
        <x:v>334</x:v>
      </x:c>
      <x:c r="D1978" s="12" t="n">
        <x:v>0</x:v>
      </x:c>
      <x:c r="E1978" s="12" t="str">
        <x:v>FRED current rolling window</x:v>
      </x:c>
    </x:row>
    <x:row r="1979" ht="18" customHeight="1">
      <x:c r="A1979" s="13" t="n">
        <x:v>45342</x:v>
      </x:c>
      <x:c r="B1979" s="12" t="n">
        <x:v>3.37</x:v>
      </x:c>
      <x:c r="C1979" s="12" t="n">
        <x:v>337</x:v>
      </x:c>
      <x:c r="D1979" s="12" t="n">
        <x:v>3</x:v>
      </x:c>
      <x:c r="E1979" s="12" t="str">
        <x:v>FRED current rolling window</x:v>
      </x:c>
    </x:row>
    <x:row r="1980" ht="18" customHeight="1">
      <x:c r="A1980" s="13" t="n">
        <x:v>45343</x:v>
      </x:c>
      <x:c r="B1980" s="12" t="n">
        <x:v>3.34</x:v>
      </x:c>
      <x:c r="C1980" s="12" t="n">
        <x:v>334</x:v>
      </x:c>
      <x:c r="D1980" s="12" t="n">
        <x:v>-3</x:v>
      </x:c>
      <x:c r="E1980" s="12" t="str">
        <x:v>FRED current rolling window</x:v>
      </x:c>
    </x:row>
    <x:row r="1981" ht="18" customHeight="1">
      <x:c r="A1981" s="13" t="n">
        <x:v>45344</x:v>
      </x:c>
      <x:c r="B1981" s="12" t="n">
        <x:v>3.22</x:v>
      </x:c>
      <x:c r="C1981" s="12" t="n">
        <x:v>322</x:v>
      </x:c>
      <x:c r="D1981" s="12" t="n">
        <x:v>-12</x:v>
      </x:c>
      <x:c r="E1981" s="12" t="str">
        <x:v>FRED current rolling window</x:v>
      </x:c>
    </x:row>
    <x:row r="1982" ht="18" customHeight="1">
      <x:c r="A1982" s="13" t="n">
        <x:v>45345</x:v>
      </x:c>
      <x:c r="B1982" s="12" t="n">
        <x:v>3.23</x:v>
      </x:c>
      <x:c r="C1982" s="12" t="n">
        <x:v>323</x:v>
      </x:c>
      <x:c r="D1982" s="12" t="n">
        <x:v>1</x:v>
      </x:c>
      <x:c r="E1982" s="12" t="str">
        <x:v>FRED current rolling window</x:v>
      </x:c>
    </x:row>
    <x:row r="1983" ht="18" customHeight="1">
      <x:c r="A1983" s="13" t="n">
        <x:v>45348</x:v>
      </x:c>
      <x:c r="B1983" s="12" t="n">
        <x:v>3.23</x:v>
      </x:c>
      <x:c r="C1983" s="12" t="n">
        <x:v>323</x:v>
      </x:c>
      <x:c r="D1983" s="12" t="n">
        <x:v>0</x:v>
      </x:c>
      <x:c r="E1983" s="12" t="str">
        <x:v>FRED current rolling window</x:v>
      </x:c>
    </x:row>
    <x:row r="1984" ht="18" customHeight="1">
      <x:c r="A1984" s="13" t="n">
        <x:v>45349</x:v>
      </x:c>
      <x:c r="B1984" s="12" t="n">
        <x:v>3.26</x:v>
      </x:c>
      <x:c r="C1984" s="12" t="n">
        <x:v>326</x:v>
      </x:c>
      <x:c r="D1984" s="12" t="n">
        <x:v>3</x:v>
      </x:c>
      <x:c r="E1984" s="12" t="str">
        <x:v>FRED current rolling window</x:v>
      </x:c>
    </x:row>
    <x:row r="1985" ht="18" customHeight="1">
      <x:c r="A1985" s="13" t="n">
        <x:v>45350</x:v>
      </x:c>
      <x:c r="B1985" s="12" t="n">
        <x:v>3.31</x:v>
      </x:c>
      <x:c r="C1985" s="12" t="n">
        <x:v>331</x:v>
      </x:c>
      <x:c r="D1985" s="12" t="n">
        <x:v>5</x:v>
      </x:c>
      <x:c r="E1985" s="12" t="str">
        <x:v>FRED current rolling window</x:v>
      </x:c>
    </x:row>
    <x:row r="1986" ht="18" customHeight="1">
      <x:c r="A1986" s="13" t="n">
        <x:v>45351</x:v>
      </x:c>
      <x:c r="B1986" s="12" t="n">
        <x:v>3.29</x:v>
      </x:c>
      <x:c r="C1986" s="12" t="n">
        <x:v>329</x:v>
      </x:c>
      <x:c r="D1986" s="12" t="n">
        <x:v>-2</x:v>
      </x:c>
      <x:c r="E1986" s="12" t="str">
        <x:v>FRED current rolling window</x:v>
      </x:c>
    </x:row>
    <x:row r="1987" ht="18" customHeight="1">
      <x:c r="A1987" s="13" t="n">
        <x:v>45352</x:v>
      </x:c>
      <x:c r="B1987" s="12" t="n">
        <x:v>3.32</x:v>
      </x:c>
      <x:c r="C1987" s="12" t="n">
        <x:v>332</x:v>
      </x:c>
      <x:c r="D1987" s="12" t="n">
        <x:v>3</x:v>
      </x:c>
      <x:c r="E1987" s="12" t="str">
        <x:v>FRED current rolling window</x:v>
      </x:c>
    </x:row>
    <x:row r="1988" ht="18" customHeight="1">
      <x:c r="A1988" s="13" t="n">
        <x:v>45355</x:v>
      </x:c>
      <x:c r="B1988" s="12" t="n">
        <x:v>3.26</x:v>
      </x:c>
      <x:c r="C1988" s="12" t="n">
        <x:v>326</x:v>
      </x:c>
      <x:c r="D1988" s="12" t="n">
        <x:v>-6</x:v>
      </x:c>
      <x:c r="E1988" s="12" t="str">
        <x:v>FRED current rolling window</x:v>
      </x:c>
    </x:row>
    <x:row r="1989" ht="18" customHeight="1">
      <x:c r="A1989" s="13" t="n">
        <x:v>45356</x:v>
      </x:c>
      <x:c r="B1989" s="12" t="n">
        <x:v>3.31</x:v>
      </x:c>
      <x:c r="C1989" s="12" t="n">
        <x:v>331</x:v>
      </x:c>
      <x:c r="D1989" s="12" t="n">
        <x:v>5</x:v>
      </x:c>
      <x:c r="E1989" s="12" t="str">
        <x:v>FRED current rolling window</x:v>
      </x:c>
    </x:row>
    <x:row r="1990" ht="18" customHeight="1">
      <x:c r="A1990" s="13" t="n">
        <x:v>45357</x:v>
      </x:c>
      <x:c r="B1990" s="12" t="n">
        <x:v>3.27</x:v>
      </x:c>
      <x:c r="C1990" s="12" t="n">
        <x:v>327</x:v>
      </x:c>
      <x:c r="D1990" s="12" t="n">
        <x:v>-4</x:v>
      </x:c>
      <x:c r="E1990" s="12" t="str">
        <x:v>FRED current rolling window</x:v>
      </x:c>
    </x:row>
    <x:row r="1991" ht="18" customHeight="1">
      <x:c r="A1991" s="13" t="n">
        <x:v>45358</x:v>
      </x:c>
      <x:c r="B1991" s="12" t="n">
        <x:v>3.27</x:v>
      </x:c>
      <x:c r="C1991" s="12" t="n">
        <x:v>327</x:v>
      </x:c>
      <x:c r="D1991" s="12" t="n">
        <x:v>0</x:v>
      </x:c>
      <x:c r="E1991" s="12" t="str">
        <x:v>FRED current rolling window</x:v>
      </x:c>
    </x:row>
    <x:row r="1992" ht="18" customHeight="1">
      <x:c r="A1992" s="13" t="n">
        <x:v>45359</x:v>
      </x:c>
      <x:c r="B1992" s="12" t="n">
        <x:v>3.26</x:v>
      </x:c>
      <x:c r="C1992" s="12" t="n">
        <x:v>326</x:v>
      </x:c>
      <x:c r="D1992" s="12" t="n">
        <x:v>-1</x:v>
      </x:c>
      <x:c r="E1992" s="12" t="str">
        <x:v>FRED current rolling window</x:v>
      </x:c>
    </x:row>
    <x:row r="1993" ht="18" customHeight="1">
      <x:c r="A1993" s="13" t="n">
        <x:v>45362</x:v>
      </x:c>
      <x:c r="B1993" s="12" t="n">
        <x:v>3.26</x:v>
      </x:c>
      <x:c r="C1993" s="12" t="n">
        <x:v>326</x:v>
      </x:c>
      <x:c r="D1993" s="12" t="n">
        <x:v>0</x:v>
      </x:c>
      <x:c r="E1993" s="12" t="str">
        <x:v>FRED current rolling window</x:v>
      </x:c>
    </x:row>
    <x:row r="1994" ht="18" customHeight="1">
      <x:c r="A1994" s="13" t="n">
        <x:v>45363</x:v>
      </x:c>
      <x:c r="B1994" s="12" t="n">
        <x:v>3.2</x:v>
      </x:c>
      <x:c r="C1994" s="12" t="n">
        <x:v>320</x:v>
      </x:c>
      <x:c r="D1994" s="12" t="n">
        <x:v>-6</x:v>
      </x:c>
      <x:c r="E1994" s="12" t="str">
        <x:v>FRED current rolling window</x:v>
      </x:c>
    </x:row>
    <x:row r="1995" ht="18" customHeight="1">
      <x:c r="A1995" s="13" t="n">
        <x:v>45364</x:v>
      </x:c>
      <x:c r="B1995" s="12" t="n">
        <x:v>3.15</x:v>
      </x:c>
      <x:c r="C1995" s="12" t="n">
        <x:v>315</x:v>
      </x:c>
      <x:c r="D1995" s="12" t="n">
        <x:v>-5</x:v>
      </x:c>
      <x:c r="E1995" s="12" t="str">
        <x:v>FRED current rolling window</x:v>
      </x:c>
    </x:row>
    <x:row r="1996" ht="18" customHeight="1">
      <x:c r="A1996" s="13" t="n">
        <x:v>45365</x:v>
      </x:c>
      <x:c r="B1996" s="12" t="n">
        <x:v>3.15</x:v>
      </x:c>
      <x:c r="C1996" s="12" t="n">
        <x:v>315</x:v>
      </x:c>
      <x:c r="D1996" s="12" t="n">
        <x:v>0</x:v>
      </x:c>
      <x:c r="E1996" s="12" t="str">
        <x:v>FRED current rolling window</x:v>
      </x:c>
    </x:row>
    <x:row r="1997" ht="18" customHeight="1">
      <x:c r="A1997" s="13" t="n">
        <x:v>45366</x:v>
      </x:c>
      <x:c r="B1997" s="12" t="n">
        <x:v>3.16</x:v>
      </x:c>
      <x:c r="C1997" s="12" t="n">
        <x:v>316</x:v>
      </x:c>
      <x:c r="D1997" s="12" t="n">
        <x:v>1</x:v>
      </x:c>
      <x:c r="E1997" s="12" t="str">
        <x:v>FRED current rolling window</x:v>
      </x:c>
    </x:row>
    <x:row r="1998" ht="18" customHeight="1">
      <x:c r="A1998" s="13" t="n">
        <x:v>45369</x:v>
      </x:c>
      <x:c r="B1998" s="12" t="n">
        <x:v>3.13</x:v>
      </x:c>
      <x:c r="C1998" s="12" t="n">
        <x:v>313</x:v>
      </x:c>
      <x:c r="D1998" s="12" t="n">
        <x:v>-3</x:v>
      </x:c>
      <x:c r="E1998" s="12" t="str">
        <x:v>FRED current rolling window</x:v>
      </x:c>
    </x:row>
    <x:row r="1999" ht="18" customHeight="1">
      <x:c r="A1999" s="13" t="n">
        <x:v>45370</x:v>
      </x:c>
      <x:c r="B1999" s="12" t="n">
        <x:v>3.1</x:v>
      </x:c>
      <x:c r="C1999" s="12" t="n">
        <x:v>310</x:v>
      </x:c>
      <x:c r="D1999" s="12" t="n">
        <x:v>-3</x:v>
      </x:c>
      <x:c r="E1999" s="12" t="str">
        <x:v>FRED current rolling window</x:v>
      </x:c>
    </x:row>
    <x:row r="2000" ht="18" customHeight="1">
      <x:c r="A2000" s="13" t="n">
        <x:v>45371</x:v>
      </x:c>
      <x:c r="B2000" s="12" t="n">
        <x:v>3.14</x:v>
      </x:c>
      <x:c r="C2000" s="12" t="n">
        <x:v>314</x:v>
      </x:c>
      <x:c r="D2000" s="12" t="n">
        <x:v>4</x:v>
      </x:c>
      <x:c r="E2000" s="12" t="str">
        <x:v>FRED current rolling window</x:v>
      </x:c>
    </x:row>
    <x:row r="2001" ht="18" customHeight="1">
      <x:c r="A2001" s="13" t="n">
        <x:v>45372</x:v>
      </x:c>
      <x:c r="B2001" s="12" t="n">
        <x:v>3.05</x:v>
      </x:c>
      <x:c r="C2001" s="12" t="n">
        <x:v>305</x:v>
      </x:c>
      <x:c r="D2001" s="12" t="n">
        <x:v>-9</x:v>
      </x:c>
      <x:c r="E2001" s="12" t="str">
        <x:v>FRED current rolling window</x:v>
      </x:c>
    </x:row>
    <x:row r="2002" ht="18" customHeight="1">
      <x:c r="A2002" s="13" t="n">
        <x:v>45373</x:v>
      </x:c>
      <x:c r="B2002" s="12" t="n">
        <x:v>3.08</x:v>
      </x:c>
      <x:c r="C2002" s="12" t="n">
        <x:v>308</x:v>
      </x:c>
      <x:c r="D2002" s="12" t="n">
        <x:v>3</x:v>
      </x:c>
      <x:c r="E2002" s="12" t="str">
        <x:v>FRED current rolling window</x:v>
      </x:c>
    </x:row>
    <x:row r="2003" ht="18" customHeight="1">
      <x:c r="A2003" s="13" t="n">
        <x:v>45376</x:v>
      </x:c>
      <x:c r="B2003" s="12" t="n">
        <x:v>3.11</x:v>
      </x:c>
      <x:c r="C2003" s="12" t="n">
        <x:v>311</x:v>
      </x:c>
      <x:c r="D2003" s="12" t="n">
        <x:v>3</x:v>
      </x:c>
      <x:c r="E2003" s="12" t="str">
        <x:v>FRED current rolling window</x:v>
      </x:c>
    </x:row>
    <x:row r="2004" ht="18" customHeight="1">
      <x:c r="A2004" s="13" t="n">
        <x:v>45377</x:v>
      </x:c>
      <x:c r="B2004" s="12" t="n">
        <x:v>3.15</x:v>
      </x:c>
      <x:c r="C2004" s="12" t="n">
        <x:v>315</x:v>
      </x:c>
      <x:c r="D2004" s="12" t="n">
        <x:v>4</x:v>
      </x:c>
      <x:c r="E2004" s="12" t="str">
        <x:v>FRED current rolling window</x:v>
      </x:c>
    </x:row>
    <x:row r="2005" ht="18" customHeight="1">
      <x:c r="A2005" s="13" t="n">
        <x:v>45378</x:v>
      </x:c>
      <x:c r="B2005" s="12" t="n">
        <x:v>3.15</x:v>
      </x:c>
      <x:c r="C2005" s="12" t="n">
        <x:v>315</x:v>
      </x:c>
      <x:c r="D2005" s="12" t="n">
        <x:v>0</x:v>
      </x:c>
      <x:c r="E2005" s="12" t="str">
        <x:v>FRED current rolling window</x:v>
      </x:c>
    </x:row>
    <x:row r="2006" ht="18" customHeight="1">
      <x:c r="A2006" s="13" t="n">
        <x:v>45379</x:v>
      </x:c>
      <x:c r="B2006" s="12" t="n">
        <x:v>3.12</x:v>
      </x:c>
      <x:c r="C2006" s="12" t="n">
        <x:v>312</x:v>
      </x:c>
      <x:c r="D2006" s="12" t="n">
        <x:v>-3</x:v>
      </x:c>
      <x:c r="E2006" s="12" t="str">
        <x:v>FRED current rolling window</x:v>
      </x:c>
    </x:row>
    <x:row r="2007" ht="18" customHeight="1">
      <x:c r="A2007" s="13" t="n">
        <x:v>45382</x:v>
      </x:c>
      <x:c r="B2007" s="12" t="n">
        <x:v>3.15</x:v>
      </x:c>
      <x:c r="C2007" s="12" t="n">
        <x:v>315</x:v>
      </x:c>
      <x:c r="D2007" s="12" t="n">
        <x:v>3</x:v>
      </x:c>
      <x:c r="E2007" s="12" t="str">
        <x:v>FRED current rolling window</x:v>
      </x:c>
    </x:row>
    <x:row r="2008" ht="18" customHeight="1">
      <x:c r="A2008" s="13" t="n">
        <x:v>45383</x:v>
      </x:c>
      <x:c r="B2008" s="12" t="n">
        <x:v>3.12</x:v>
      </x:c>
      <x:c r="C2008" s="12" t="n">
        <x:v>312</x:v>
      </x:c>
      <x:c r="D2008" s="12" t="n">
        <x:v>-3</x:v>
      </x:c>
      <x:c r="E2008" s="12" t="str">
        <x:v>FRED current rolling window</x:v>
      </x:c>
    </x:row>
    <x:row r="2009" ht="18" customHeight="1">
      <x:c r="A2009" s="13" t="n">
        <x:v>45384</x:v>
      </x:c>
      <x:c r="B2009" s="12" t="n">
        <x:v>3.23</x:v>
      </x:c>
      <x:c r="C2009" s="12" t="n">
        <x:v>323</x:v>
      </x:c>
      <x:c r="D2009" s="12" t="n">
        <x:v>11</x:v>
      </x:c>
      <x:c r="E2009" s="12" t="str">
        <x:v>FRED current rolling window</x:v>
      </x:c>
    </x:row>
    <x:row r="2010" ht="18" customHeight="1">
      <x:c r="A2010" s="13" t="n">
        <x:v>45385</x:v>
      </x:c>
      <x:c r="B2010" s="12" t="n">
        <x:v>3.23</x:v>
      </x:c>
      <x:c r="C2010" s="12" t="n">
        <x:v>323</x:v>
      </x:c>
      <x:c r="D2010" s="12" t="n">
        <x:v>0</x:v>
      </x:c>
      <x:c r="E2010" s="12" t="str">
        <x:v>FRED current rolling window</x:v>
      </x:c>
    </x:row>
    <x:row r="2011" ht="18" customHeight="1">
      <x:c r="A2011" s="13" t="n">
        <x:v>45386</x:v>
      </x:c>
      <x:c r="B2011" s="12" t="n">
        <x:v>3.24</x:v>
      </x:c>
      <x:c r="C2011" s="12" t="n">
        <x:v>324</x:v>
      </x:c>
      <x:c r="D2011" s="12" t="n">
        <x:v>1</x:v>
      </x:c>
      <x:c r="E2011" s="12" t="str">
        <x:v>FRED current rolling window</x:v>
      </x:c>
    </x:row>
    <x:row r="2012" ht="18" customHeight="1">
      <x:c r="A2012" s="13" t="n">
        <x:v>45387</x:v>
      </x:c>
      <x:c r="B2012" s="12" t="n">
        <x:v>3.18</x:v>
      </x:c>
      <x:c r="C2012" s="12" t="n">
        <x:v>318</x:v>
      </x:c>
      <x:c r="D2012" s="12" t="n">
        <x:v>-6</x:v>
      </x:c>
      <x:c r="E2012" s="12" t="str">
        <x:v>FRED current rolling window</x:v>
      </x:c>
    </x:row>
    <x:row r="2013" ht="18" customHeight="1">
      <x:c r="A2013" s="13" t="n">
        <x:v>45390</x:v>
      </x:c>
      <x:c r="B2013" s="12" t="n">
        <x:v>3.15</x:v>
      </x:c>
      <x:c r="C2013" s="12" t="n">
        <x:v>315</x:v>
      </x:c>
      <x:c r="D2013" s="12" t="n">
        <x:v>-3</x:v>
      </x:c>
      <x:c r="E2013" s="12" t="str">
        <x:v>FRED current rolling window</x:v>
      </x:c>
    </x:row>
    <x:row r="2014" ht="18" customHeight="1">
      <x:c r="A2014" s="13" t="n">
        <x:v>45391</x:v>
      </x:c>
      <x:c r="B2014" s="12" t="n">
        <x:v>3.14</x:v>
      </x:c>
      <x:c r="C2014" s="12" t="n">
        <x:v>314</x:v>
      </x:c>
      <x:c r="D2014" s="12" t="n">
        <x:v>-1</x:v>
      </x:c>
      <x:c r="E2014" s="12" t="str">
        <x:v>FRED current rolling window</x:v>
      </x:c>
    </x:row>
    <x:row r="2015" ht="18" customHeight="1">
      <x:c r="A2015" s="13" t="n">
        <x:v>45392</x:v>
      </x:c>
      <x:c r="B2015" s="12" t="n">
        <x:v>3.1</x:v>
      </x:c>
      <x:c r="C2015" s="12" t="n">
        <x:v>310</x:v>
      </x:c>
      <x:c r="D2015" s="12" t="n">
        <x:v>-4</x:v>
      </x:c>
      <x:c r="E2015" s="12" t="str">
        <x:v>FRED current rolling window</x:v>
      </x:c>
    </x:row>
    <x:row r="2016" ht="18" customHeight="1">
      <x:c r="A2016" s="13" t="n">
        <x:v>45393</x:v>
      </x:c>
      <x:c r="B2016" s="12" t="n">
        <x:v>3.16</x:v>
      </x:c>
      <x:c r="C2016" s="12" t="n">
        <x:v>316</x:v>
      </x:c>
      <x:c r="D2016" s="12" t="n">
        <x:v>6</x:v>
      </x:c>
      <x:c r="E2016" s="12" t="str">
        <x:v>FRED current rolling window</x:v>
      </x:c>
    </x:row>
    <x:row r="2017" ht="18" customHeight="1">
      <x:c r="A2017" s="13" t="n">
        <x:v>45394</x:v>
      </x:c>
      <x:c r="B2017" s="12" t="n">
        <x:v>3.25</x:v>
      </x:c>
      <x:c r="C2017" s="12" t="n">
        <x:v>325</x:v>
      </x:c>
      <x:c r="D2017" s="12" t="n">
        <x:v>9</x:v>
      </x:c>
      <x:c r="E2017" s="12" t="str">
        <x:v>FRED current rolling window</x:v>
      </x:c>
    </x:row>
    <x:row r="2018" ht="18" customHeight="1">
      <x:c r="A2018" s="13" t="n">
        <x:v>45397</x:v>
      </x:c>
      <x:c r="B2018" s="12" t="n">
        <x:v>3.28</x:v>
      </x:c>
      <x:c r="C2018" s="12" t="n">
        <x:v>328</x:v>
      </x:c>
      <x:c r="D2018" s="12" t="n">
        <x:v>3</x:v>
      </x:c>
      <x:c r="E2018" s="12" t="str">
        <x:v>FRED current rolling window</x:v>
      </x:c>
    </x:row>
    <x:row r="2019" ht="18" customHeight="1">
      <x:c r="A2019" s="13" t="n">
        <x:v>45398</x:v>
      </x:c>
      <x:c r="B2019" s="12" t="n">
        <x:v>3.36</x:v>
      </x:c>
      <x:c r="C2019" s="12" t="n">
        <x:v>336</x:v>
      </x:c>
      <x:c r="D2019" s="12" t="n">
        <x:v>8</x:v>
      </x:c>
      <x:c r="E2019" s="12" t="str">
        <x:v>FRED current rolling window</x:v>
      </x:c>
    </x:row>
    <x:row r="2020" ht="18" customHeight="1">
      <x:c r="A2020" s="13" t="n">
        <x:v>45399</x:v>
      </x:c>
      <x:c r="B2020" s="12" t="n">
        <x:v>3.42</x:v>
      </x:c>
      <x:c r="C2020" s="12" t="n">
        <x:v>342</x:v>
      </x:c>
      <x:c r="D2020" s="12" t="n">
        <x:v>6</x:v>
      </x:c>
      <x:c r="E2020" s="12" t="str">
        <x:v>FRED current rolling window</x:v>
      </x:c>
    </x:row>
    <x:row r="2021" ht="18" customHeight="1">
      <x:c r="A2021" s="13" t="n">
        <x:v>45400</x:v>
      </x:c>
      <x:c r="B2021" s="12" t="n">
        <x:v>3.39</x:v>
      </x:c>
      <x:c r="C2021" s="12" t="n">
        <x:v>339</x:v>
      </x:c>
      <x:c r="D2021" s="12" t="n">
        <x:v>-3</x:v>
      </x:c>
      <x:c r="E2021" s="12" t="str">
        <x:v>FRED current rolling window</x:v>
      </x:c>
    </x:row>
    <x:row r="2022" ht="18" customHeight="1">
      <x:c r="A2022" s="13" t="n">
        <x:v>45401</x:v>
      </x:c>
      <x:c r="B2022" s="12" t="n">
        <x:v>3.37</x:v>
      </x:c>
      <x:c r="C2022" s="12" t="n">
        <x:v>337</x:v>
      </x:c>
      <x:c r="D2022" s="12" t="n">
        <x:v>-2</x:v>
      </x:c>
      <x:c r="E2022" s="12" t="str">
        <x:v>FRED current rolling window</x:v>
      </x:c>
    </x:row>
    <x:row r="2023" ht="18" customHeight="1">
      <x:c r="A2023" s="13" t="n">
        <x:v>45404</x:v>
      </x:c>
      <x:c r="B2023" s="12" t="n">
        <x:v>3.29</x:v>
      </x:c>
      <x:c r="C2023" s="12" t="n">
        <x:v>329</x:v>
      </x:c>
      <x:c r="D2023" s="12" t="n">
        <x:v>-8</x:v>
      </x:c>
      <x:c r="E2023" s="12" t="str">
        <x:v>FRED current rolling window</x:v>
      </x:c>
    </x:row>
    <x:row r="2024" ht="18" customHeight="1">
      <x:c r="A2024" s="13" t="n">
        <x:v>45405</x:v>
      </x:c>
      <x:c r="B2024" s="12" t="n">
        <x:v>3.2</x:v>
      </x:c>
      <x:c r="C2024" s="12" t="n">
        <x:v>320</x:v>
      </x:c>
      <x:c r="D2024" s="12" t="n">
        <x:v>-9</x:v>
      </x:c>
      <x:c r="E2024" s="12" t="str">
        <x:v>FRED current rolling window</x:v>
      </x:c>
    </x:row>
    <x:row r="2025" ht="18" customHeight="1">
      <x:c r="A2025" s="13" t="n">
        <x:v>45406</x:v>
      </x:c>
      <x:c r="B2025" s="12" t="n">
        <x:v>3.19</x:v>
      </x:c>
      <x:c r="C2025" s="12" t="n">
        <x:v>319</x:v>
      </x:c>
      <x:c r="D2025" s="12" t="n">
        <x:v>-1</x:v>
      </x:c>
      <x:c r="E2025" s="12" t="str">
        <x:v>FRED current rolling window</x:v>
      </x:c>
    </x:row>
    <x:row r="2026" ht="18" customHeight="1">
      <x:c r="A2026" s="13" t="n">
        <x:v>45407</x:v>
      </x:c>
      <x:c r="B2026" s="12" t="n">
        <x:v>3.24</x:v>
      </x:c>
      <x:c r="C2026" s="12" t="n">
        <x:v>324</x:v>
      </x:c>
      <x:c r="D2026" s="12" t="n">
        <x:v>5</x:v>
      </x:c>
      <x:c r="E2026" s="12" t="str">
        <x:v>FRED current rolling window</x:v>
      </x:c>
    </x:row>
    <x:row r="2027" ht="18" customHeight="1">
      <x:c r="A2027" s="13" t="n">
        <x:v>45408</x:v>
      </x:c>
      <x:c r="B2027" s="12" t="n">
        <x:v>3.16</x:v>
      </x:c>
      <x:c r="C2027" s="12" t="n">
        <x:v>316</x:v>
      </x:c>
      <x:c r="D2027" s="12" t="n">
        <x:v>-8</x:v>
      </x:c>
      <x:c r="E2027" s="12" t="str">
        <x:v>FRED current rolling window</x:v>
      </x:c>
    </x:row>
    <x:row r="2028" ht="18" customHeight="1">
      <x:c r="A2028" s="13" t="n">
        <x:v>45411</x:v>
      </x:c>
      <x:c r="B2028" s="12" t="n">
        <x:v>3.12</x:v>
      </x:c>
      <x:c r="C2028" s="12" t="n">
        <x:v>312</x:v>
      </x:c>
      <x:c r="D2028" s="12" t="n">
        <x:v>-4</x:v>
      </x:c>
      <x:c r="E2028" s="12" t="str">
        <x:v>FRED current rolling window</x:v>
      </x:c>
    </x:row>
    <x:row r="2029" ht="18" customHeight="1">
      <x:c r="A2029" s="13" t="n">
        <x:v>45412</x:v>
      </x:c>
      <x:c r="B2029" s="12" t="n">
        <x:v>3.18</x:v>
      </x:c>
      <x:c r="C2029" s="12" t="n">
        <x:v>318</x:v>
      </x:c>
      <x:c r="D2029" s="12" t="n">
        <x:v>6</x:v>
      </x:c>
      <x:c r="E2029" s="12" t="str">
        <x:v>FRED current rolling window</x:v>
      </x:c>
    </x:row>
    <x:row r="2030" ht="18" customHeight="1">
      <x:c r="A2030" s="13" t="n">
        <x:v>45413</x:v>
      </x:c>
      <x:c r="B2030" s="12" t="n">
        <x:v>3.21</x:v>
      </x:c>
      <x:c r="C2030" s="12" t="n">
        <x:v>321</x:v>
      </x:c>
      <x:c r="D2030" s="12" t="n">
        <x:v>3</x:v>
      </x:c>
      <x:c r="E2030" s="12" t="str">
        <x:v>FRED current rolling window</x:v>
      </x:c>
    </x:row>
    <x:row r="2031" ht="18" customHeight="1">
      <x:c r="A2031" s="13" t="n">
        <x:v>45414</x:v>
      </x:c>
      <x:c r="B2031" s="12" t="n">
        <x:v>3.16</x:v>
      </x:c>
      <x:c r="C2031" s="12" t="n">
        <x:v>316</x:v>
      </x:c>
      <x:c r="D2031" s="12" t="n">
        <x:v>-5</x:v>
      </x:c>
      <x:c r="E2031" s="12" t="str">
        <x:v>FRED current rolling window</x:v>
      </x:c>
    </x:row>
    <x:row r="2032" ht="18" customHeight="1">
      <x:c r="A2032" s="13" t="n">
        <x:v>45415</x:v>
      </x:c>
      <x:c r="B2032" s="12" t="n">
        <x:v>3.08</x:v>
      </x:c>
      <x:c r="C2032" s="12" t="n">
        <x:v>308</x:v>
      </x:c>
      <x:c r="D2032" s="12" t="n">
        <x:v>-8</x:v>
      </x:c>
      <x:c r="E2032" s="12" t="str">
        <x:v>FRED current rolling window</x:v>
      </x:c>
    </x:row>
    <x:row r="2033" ht="18" customHeight="1">
      <x:c r="A2033" s="13" t="n">
        <x:v>45418</x:v>
      </x:c>
      <x:c r="B2033" s="12" t="n">
        <x:v>3.03</x:v>
      </x:c>
      <x:c r="C2033" s="12" t="n">
        <x:v>303</x:v>
      </x:c>
      <x:c r="D2033" s="12" t="n">
        <x:v>-5</x:v>
      </x:c>
      <x:c r="E2033" s="12" t="str">
        <x:v>FRED current rolling window</x:v>
      </x:c>
    </x:row>
    <x:row r="2034" ht="18" customHeight="1">
      <x:c r="A2034" s="13" t="n">
        <x:v>45419</x:v>
      </x:c>
      <x:c r="B2034" s="12" t="n">
        <x:v>3.06</x:v>
      </x:c>
      <x:c r="C2034" s="12" t="n">
        <x:v>306</x:v>
      </x:c>
      <x:c r="D2034" s="12" t="n">
        <x:v>3</x:v>
      </x:c>
      <x:c r="E2034" s="12" t="str">
        <x:v>FRED current rolling window</x:v>
      </x:c>
    </x:row>
    <x:row r="2035" ht="18" customHeight="1">
      <x:c r="A2035" s="13" t="n">
        <x:v>45420</x:v>
      </x:c>
      <x:c r="B2035" s="12" t="n">
        <x:v>3.1</x:v>
      </x:c>
      <x:c r="C2035" s="12" t="n">
        <x:v>310</x:v>
      </x:c>
      <x:c r="D2035" s="12" t="n">
        <x:v>4</x:v>
      </x:c>
      <x:c r="E2035" s="12" t="str">
        <x:v>FRED current rolling window</x:v>
      </x:c>
    </x:row>
    <x:row r="2036" ht="18" customHeight="1">
      <x:c r="A2036" s="13" t="n">
        <x:v>45421</x:v>
      </x:c>
      <x:c r="B2036" s="12" t="n">
        <x:v>3.14</x:v>
      </x:c>
      <x:c r="C2036" s="12" t="n">
        <x:v>314</x:v>
      </x:c>
      <x:c r="D2036" s="12" t="n">
        <x:v>4</x:v>
      </x:c>
      <x:c r="E2036" s="12" t="str">
        <x:v>FRED current rolling window</x:v>
      </x:c>
    </x:row>
    <x:row r="2037" ht="18" customHeight="1">
      <x:c r="A2037" s="13" t="n">
        <x:v>45422</x:v>
      </x:c>
      <x:c r="B2037" s="12" t="n">
        <x:v>3.12</x:v>
      </x:c>
      <x:c r="C2037" s="12" t="n">
        <x:v>312</x:v>
      </x:c>
      <x:c r="D2037" s="12" t="n">
        <x:v>-2</x:v>
      </x:c>
      <x:c r="E2037" s="12" t="str">
        <x:v>FRED current rolling window</x:v>
      </x:c>
    </x:row>
    <x:row r="2038" ht="18" customHeight="1">
      <x:c r="A2038" s="13" t="n">
        <x:v>45425</x:v>
      </x:c>
      <x:c r="B2038" s="12" t="n">
        <x:v>3.14</x:v>
      </x:c>
      <x:c r="C2038" s="12" t="n">
        <x:v>314</x:v>
      </x:c>
      <x:c r="D2038" s="12" t="n">
        <x:v>2</x:v>
      </x:c>
      <x:c r="E2038" s="12" t="str">
        <x:v>FRED current rolling window</x:v>
      </x:c>
    </x:row>
    <x:row r="2039" ht="18" customHeight="1">
      <x:c r="A2039" s="13" t="n">
        <x:v>45426</x:v>
      </x:c>
      <x:c r="B2039" s="12" t="n">
        <x:v>3.14</x:v>
      </x:c>
      <x:c r="C2039" s="12" t="n">
        <x:v>314</x:v>
      </x:c>
      <x:c r="D2039" s="12" t="n">
        <x:v>0</x:v>
      </x:c>
      <x:c r="E2039" s="12" t="str">
        <x:v>FRED current rolling window</x:v>
      </x:c>
    </x:row>
    <x:row r="2040" ht="18" customHeight="1">
      <x:c r="A2040" s="13" t="n">
        <x:v>45427</x:v>
      </x:c>
      <x:c r="B2040" s="12" t="n">
        <x:v>3.13</x:v>
      </x:c>
      <x:c r="C2040" s="12" t="n">
        <x:v>313</x:v>
      </x:c>
      <x:c r="D2040" s="12" t="n">
        <x:v>-1</x:v>
      </x:c>
      <x:c r="E2040" s="12" t="str">
        <x:v>FRED current rolling window</x:v>
      </x:c>
    </x:row>
    <x:row r="2041" ht="18" customHeight="1">
      <x:c r="A2041" s="13" t="n">
        <x:v>45428</x:v>
      </x:c>
      <x:c r="B2041" s="12" t="n">
        <x:v>3.08</x:v>
      </x:c>
      <x:c r="C2041" s="12" t="n">
        <x:v>308</x:v>
      </x:c>
      <x:c r="D2041" s="12" t="n">
        <x:v>-5</x:v>
      </x:c>
      <x:c r="E2041" s="12" t="str">
        <x:v>FRED current rolling window</x:v>
      </x:c>
    </x:row>
    <x:row r="2042" ht="18" customHeight="1">
      <x:c r="A2042" s="13" t="n">
        <x:v>45429</x:v>
      </x:c>
      <x:c r="B2042" s="12" t="n">
        <x:v>3.09</x:v>
      </x:c>
      <x:c r="C2042" s="12" t="n">
        <x:v>309</x:v>
      </x:c>
      <x:c r="D2042" s="12" t="n">
        <x:v>1</x:v>
      </x:c>
      <x:c r="E2042" s="12" t="str">
        <x:v>FRED current rolling window</x:v>
      </x:c>
    </x:row>
    <x:row r="2043" ht="18" customHeight="1">
      <x:c r="A2043" s="13" t="n">
        <x:v>45432</x:v>
      </x:c>
      <x:c r="B2043" s="12" t="n">
        <x:v>3.07</x:v>
      </x:c>
      <x:c r="C2043" s="12" t="n">
        <x:v>307</x:v>
      </x:c>
      <x:c r="D2043" s="12" t="n">
        <x:v>-2</x:v>
      </x:c>
      <x:c r="E2043" s="12" t="str">
        <x:v>FRED current rolling window</x:v>
      </x:c>
    </x:row>
    <x:row r="2044" ht="18" customHeight="1">
      <x:c r="A2044" s="13" t="n">
        <x:v>45433</x:v>
      </x:c>
      <x:c r="B2044" s="12" t="n">
        <x:v>3.07</x:v>
      </x:c>
      <x:c r="C2044" s="12" t="n">
        <x:v>307</x:v>
      </x:c>
      <x:c r="D2044" s="12" t="n">
        <x:v>0</x:v>
      </x:c>
      <x:c r="E2044" s="12" t="str">
        <x:v>FRED current rolling window</x:v>
      </x:c>
    </x:row>
    <x:row r="2045" ht="18" customHeight="1">
      <x:c r="A2045" s="13" t="n">
        <x:v>45434</x:v>
      </x:c>
      <x:c r="B2045" s="12" t="n">
        <x:v>3.11</x:v>
      </x:c>
      <x:c r="C2045" s="12" t="n">
        <x:v>311</x:v>
      </x:c>
      <x:c r="D2045" s="12" t="n">
        <x:v>4</x:v>
      </x:c>
      <x:c r="E2045" s="12" t="str">
        <x:v>FRED current rolling window</x:v>
      </x:c>
    </x:row>
    <x:row r="2046" ht="18" customHeight="1">
      <x:c r="A2046" s="13" t="n">
        <x:v>45435</x:v>
      </x:c>
      <x:c r="B2046" s="12" t="n">
        <x:v>3.1</x:v>
      </x:c>
      <x:c r="C2046" s="12" t="n">
        <x:v>310</x:v>
      </x:c>
      <x:c r="D2046" s="12" t="n">
        <x:v>-1</x:v>
      </x:c>
      <x:c r="E2046" s="12" t="str">
        <x:v>FRED current rolling window</x:v>
      </x:c>
    </x:row>
    <x:row r="2047" ht="18" customHeight="1">
      <x:c r="A2047" s="13" t="n">
        <x:v>45436</x:v>
      </x:c>
      <x:c r="B2047" s="12" t="n">
        <x:v>3.11</x:v>
      </x:c>
      <x:c r="C2047" s="12" t="n">
        <x:v>311</x:v>
      </x:c>
      <x:c r="D2047" s="12" t="n">
        <x:v>1</x:v>
      </x:c>
      <x:c r="E2047" s="12" t="str">
        <x:v>FRED current rolling window</x:v>
      </x:c>
    </x:row>
    <x:row r="2048" ht="18" customHeight="1">
      <x:c r="A2048" s="13" t="n">
        <x:v>45439</x:v>
      </x:c>
      <x:c r="B2048" s="12" t="n">
        <x:v>3.12</x:v>
      </x:c>
      <x:c r="C2048" s="12" t="n">
        <x:v>312</x:v>
      </x:c>
      <x:c r="D2048" s="12" t="n">
        <x:v>1</x:v>
      </x:c>
      <x:c r="E2048" s="12" t="str">
        <x:v>FRED current rolling window</x:v>
      </x:c>
    </x:row>
    <x:row r="2049" ht="18" customHeight="1">
      <x:c r="A2049" s="13" t="n">
        <x:v>45440</x:v>
      </x:c>
      <x:c r="B2049" s="12" t="n">
        <x:v>3.09</x:v>
      </x:c>
      <x:c r="C2049" s="12" t="n">
        <x:v>309</x:v>
      </x:c>
      <x:c r="D2049" s="12" t="n">
        <x:v>-3</x:v>
      </x:c>
      <x:c r="E2049" s="12" t="str">
        <x:v>FRED current rolling window</x:v>
      </x:c>
    </x:row>
    <x:row r="2050" ht="18" customHeight="1">
      <x:c r="A2050" s="13" t="n">
        <x:v>45441</x:v>
      </x:c>
      <x:c r="B2050" s="12" t="n">
        <x:v>3.15</x:v>
      </x:c>
      <x:c r="C2050" s="12" t="n">
        <x:v>315</x:v>
      </x:c>
      <x:c r="D2050" s="12" t="n">
        <x:v>6</x:v>
      </x:c>
      <x:c r="E2050" s="12" t="str">
        <x:v>FRED current rolling window</x:v>
      </x:c>
    </x:row>
    <x:row r="2051" ht="18" customHeight="1">
      <x:c r="A2051" s="13" t="n">
        <x:v>45442</x:v>
      </x:c>
      <x:c r="B2051" s="12" t="n">
        <x:v>3.19</x:v>
      </x:c>
      <x:c r="C2051" s="12" t="n">
        <x:v>319</x:v>
      </x:c>
      <x:c r="D2051" s="12" t="n">
        <x:v>4</x:v>
      </x:c>
      <x:c r="E2051" s="12" t="str">
        <x:v>FRED current rolling window</x:v>
      </x:c>
    </x:row>
    <x:row r="2052" ht="18" customHeight="1">
      <x:c r="A2052" s="13" t="n">
        <x:v>45443</x:v>
      </x:c>
      <x:c r="B2052" s="12" t="n">
        <x:v>3.2</x:v>
      </x:c>
      <x:c r="C2052" s="12" t="n">
        <x:v>320</x:v>
      </x:c>
      <x:c r="D2052" s="12" t="n">
        <x:v>1</x:v>
      </x:c>
      <x:c r="E2052" s="12" t="str">
        <x:v>FRED current rolling window</x:v>
      </x:c>
    </x:row>
    <x:row r="2053" ht="18" customHeight="1">
      <x:c r="A2053" s="13" t="n">
        <x:v>45446</x:v>
      </x:c>
      <x:c r="B2053" s="12" t="n">
        <x:v>3.17</x:v>
      </x:c>
      <x:c r="C2053" s="12" t="n">
        <x:v>317</x:v>
      </x:c>
      <x:c r="D2053" s="12" t="n">
        <x:v>-3</x:v>
      </x:c>
      <x:c r="E2053" s="12" t="str">
        <x:v>FRED current rolling window</x:v>
      </x:c>
    </x:row>
    <x:row r="2054" ht="18" customHeight="1">
      <x:c r="A2054" s="13" t="n">
        <x:v>45447</x:v>
      </x:c>
      <x:c r="B2054" s="12" t="n">
        <x:v>3.22</x:v>
      </x:c>
      <x:c r="C2054" s="12" t="n">
        <x:v>322</x:v>
      </x:c>
      <x:c r="D2054" s="12" t="n">
        <x:v>5</x:v>
      </x:c>
      <x:c r="E2054" s="12" t="str">
        <x:v>FRED current rolling window</x:v>
      </x:c>
    </x:row>
    <x:row r="2055" ht="18" customHeight="1">
      <x:c r="A2055" s="13" t="n">
        <x:v>45448</x:v>
      </x:c>
      <x:c r="B2055" s="12" t="n">
        <x:v>3.2</x:v>
      </x:c>
      <x:c r="C2055" s="12" t="n">
        <x:v>320</x:v>
      </x:c>
      <x:c r="D2055" s="12" t="n">
        <x:v>-2</x:v>
      </x:c>
      <x:c r="E2055" s="12" t="str">
        <x:v>FRED current rolling window</x:v>
      </x:c>
    </x:row>
    <x:row r="2056" ht="18" customHeight="1">
      <x:c r="A2056" s="13" t="n">
        <x:v>45449</x:v>
      </x:c>
      <x:c r="B2056" s="12" t="n">
        <x:v>3.2</x:v>
      </x:c>
      <x:c r="C2056" s="12" t="n">
        <x:v>320</x:v>
      </x:c>
      <x:c r="D2056" s="12" t="n">
        <x:v>0</x:v>
      </x:c>
      <x:c r="E2056" s="12" t="str">
        <x:v>FRED current rolling window</x:v>
      </x:c>
    </x:row>
    <x:row r="2057" ht="18" customHeight="1">
      <x:c r="A2057" s="13" t="n">
        <x:v>45450</x:v>
      </x:c>
      <x:c r="B2057" s="12" t="n">
        <x:v>3.15</x:v>
      </x:c>
      <x:c r="C2057" s="12" t="n">
        <x:v>315</x:v>
      </x:c>
      <x:c r="D2057" s="12" t="n">
        <x:v>-5</x:v>
      </x:c>
      <x:c r="E2057" s="12" t="str">
        <x:v>FRED current rolling window</x:v>
      </x:c>
    </x:row>
    <x:row r="2058" ht="18" customHeight="1">
      <x:c r="A2058" s="13" t="n">
        <x:v>45453</x:v>
      </x:c>
      <x:c r="B2058" s="12" t="n">
        <x:v>3.15</x:v>
      </x:c>
      <x:c r="C2058" s="12" t="n">
        <x:v>315</x:v>
      </x:c>
      <x:c r="D2058" s="12" t="n">
        <x:v>0</x:v>
      </x:c>
      <x:c r="E2058" s="12" t="str">
        <x:v>FRED current rolling window</x:v>
      </x:c>
    </x:row>
    <x:row r="2059" ht="18" customHeight="1">
      <x:c r="A2059" s="13" t="n">
        <x:v>45454</x:v>
      </x:c>
      <x:c r="B2059" s="12" t="n">
        <x:v>3.19</x:v>
      </x:c>
      <x:c r="C2059" s="12" t="n">
        <x:v>319</x:v>
      </x:c>
      <x:c r="D2059" s="12" t="n">
        <x:v>4</x:v>
      </x:c>
      <x:c r="E2059" s="12" t="str">
        <x:v>FRED current rolling window</x:v>
      </x:c>
    </x:row>
    <x:row r="2060" ht="18" customHeight="1">
      <x:c r="A2060" s="13" t="n">
        <x:v>45455</x:v>
      </x:c>
      <x:c r="B2060" s="12" t="n">
        <x:v>3.09</x:v>
      </x:c>
      <x:c r="C2060" s="12" t="n">
        <x:v>309</x:v>
      </x:c>
      <x:c r="D2060" s="12" t="n">
        <x:v>-10</x:v>
      </x:c>
      <x:c r="E2060" s="12" t="str">
        <x:v>FRED current rolling window</x:v>
      </x:c>
    </x:row>
    <x:row r="2061" ht="18" customHeight="1">
      <x:c r="A2061" s="13" t="n">
        <x:v>45456</x:v>
      </x:c>
      <x:c r="B2061" s="12" t="n">
        <x:v>3.2</x:v>
      </x:c>
      <x:c r="C2061" s="12" t="n">
        <x:v>320</x:v>
      </x:c>
      <x:c r="D2061" s="12" t="n">
        <x:v>11</x:v>
      </x:c>
      <x:c r="E2061" s="12" t="str">
        <x:v>FRED current rolling window</x:v>
      </x:c>
    </x:row>
    <x:row r="2062" ht="18" customHeight="1">
      <x:c r="A2062" s="13" t="n">
        <x:v>45457</x:v>
      </x:c>
      <x:c r="B2062" s="12" t="n">
        <x:v>3.29</x:v>
      </x:c>
      <x:c r="C2062" s="12" t="n">
        <x:v>329</x:v>
      </x:c>
      <x:c r="D2062" s="12" t="n">
        <x:v>9</x:v>
      </x:c>
      <x:c r="E2062" s="12" t="str">
        <x:v>FRED current rolling window</x:v>
      </x:c>
    </x:row>
    <x:row r="2063" ht="18" customHeight="1">
      <x:c r="A2063" s="13" t="n">
        <x:v>45460</x:v>
      </x:c>
      <x:c r="B2063" s="12" t="n">
        <x:v>3.26</x:v>
      </x:c>
      <x:c r="C2063" s="12" t="n">
        <x:v>326</x:v>
      </x:c>
      <x:c r="D2063" s="12" t="n">
        <x:v>-3</x:v>
      </x:c>
      <x:c r="E2063" s="12" t="str">
        <x:v>FRED current rolling window</x:v>
      </x:c>
    </x:row>
    <x:row r="2064" ht="18" customHeight="1">
      <x:c r="A2064" s="13" t="n">
        <x:v>45461</x:v>
      </x:c>
      <x:c r="B2064" s="12" t="n">
        <x:v>3.24</x:v>
      </x:c>
      <x:c r="C2064" s="12" t="n">
        <x:v>324</x:v>
      </x:c>
      <x:c r="D2064" s="12" t="n">
        <x:v>-2</x:v>
      </x:c>
      <x:c r="E2064" s="12" t="str">
        <x:v>FRED current rolling window</x:v>
      </x:c>
    </x:row>
    <x:row r="2065" ht="18" customHeight="1">
      <x:c r="A2065" s="13" t="n">
        <x:v>45462</x:v>
      </x:c>
      <x:c r="B2065" s="12" t="n">
        <x:v>3.24</x:v>
      </x:c>
      <x:c r="C2065" s="12" t="n">
        <x:v>324</x:v>
      </x:c>
      <x:c r="D2065" s="12" t="n">
        <x:v>0</x:v>
      </x:c>
      <x:c r="E2065" s="12" t="str">
        <x:v>FRED current rolling window</x:v>
      </x:c>
    </x:row>
    <x:row r="2066" ht="18" customHeight="1">
      <x:c r="A2066" s="13" t="n">
        <x:v>45463</x:v>
      </x:c>
      <x:c r="B2066" s="12" t="n">
        <x:v>3.23</x:v>
      </x:c>
      <x:c r="C2066" s="12" t="n">
        <x:v>323</x:v>
      </x:c>
      <x:c r="D2066" s="12" t="n">
        <x:v>-1</x:v>
      </x:c>
      <x:c r="E2066" s="12" t="str">
        <x:v>FRED current rolling window</x:v>
      </x:c>
    </x:row>
    <x:row r="2067" ht="18" customHeight="1">
      <x:c r="A2067" s="13" t="n">
        <x:v>45464</x:v>
      </x:c>
      <x:c r="B2067" s="12" t="n">
        <x:v>3.21</x:v>
      </x:c>
      <x:c r="C2067" s="12" t="n">
        <x:v>321</x:v>
      </x:c>
      <x:c r="D2067" s="12" t="n">
        <x:v>-2</x:v>
      </x:c>
      <x:c r="E2067" s="12" t="str">
        <x:v>FRED current rolling window</x:v>
      </x:c>
    </x:row>
    <x:row r="2068" ht="18" customHeight="1">
      <x:c r="A2068" s="13" t="n">
        <x:v>45467</x:v>
      </x:c>
      <x:c r="B2068" s="12" t="n">
        <x:v>3.19</x:v>
      </x:c>
      <x:c r="C2068" s="12" t="n">
        <x:v>319</x:v>
      </x:c>
      <x:c r="D2068" s="12" t="n">
        <x:v>-2</x:v>
      </x:c>
      <x:c r="E2068" s="12" t="str">
        <x:v>FRED current rolling window</x:v>
      </x:c>
    </x:row>
    <x:row r="2069" ht="18" customHeight="1">
      <x:c r="A2069" s="13" t="n">
        <x:v>45468</x:v>
      </x:c>
      <x:c r="B2069" s="12" t="n">
        <x:v>3.19</x:v>
      </x:c>
      <x:c r="C2069" s="12" t="n">
        <x:v>319</x:v>
      </x:c>
      <x:c r="D2069" s="12" t="n">
        <x:v>0</x:v>
      </x:c>
      <x:c r="E2069" s="12" t="str">
        <x:v>FRED current rolling window</x:v>
      </x:c>
    </x:row>
    <x:row r="2070" ht="18" customHeight="1">
      <x:c r="A2070" s="13" t="n">
        <x:v>45469</x:v>
      </x:c>
      <x:c r="B2070" s="12" t="n">
        <x:v>3.18</x:v>
      </x:c>
      <x:c r="C2070" s="12" t="n">
        <x:v>318</x:v>
      </x:c>
      <x:c r="D2070" s="12" t="n">
        <x:v>-1</x:v>
      </x:c>
      <x:c r="E2070" s="12" t="str">
        <x:v>FRED current rolling window</x:v>
      </x:c>
    </x:row>
    <x:row r="2071" ht="18" customHeight="1">
      <x:c r="A2071" s="13" t="n">
        <x:v>45470</x:v>
      </x:c>
      <x:c r="B2071" s="12" t="n">
        <x:v>3.21</x:v>
      </x:c>
      <x:c r="C2071" s="12" t="n">
        <x:v>321</x:v>
      </x:c>
      <x:c r="D2071" s="12" t="n">
        <x:v>3</x:v>
      </x:c>
      <x:c r="E2071" s="12" t="str">
        <x:v>FRED current rolling window</x:v>
      </x:c>
    </x:row>
    <x:row r="2072" ht="18" customHeight="1">
      <x:c r="A2072" s="13" t="n">
        <x:v>45471</x:v>
      </x:c>
      <x:c r="B2072" s="12" t="n">
        <x:v>3.18</x:v>
      </x:c>
      <x:c r="C2072" s="12" t="n">
        <x:v>318</x:v>
      </x:c>
      <x:c r="D2072" s="12" t="n">
        <x:v>-3</x:v>
      </x:c>
      <x:c r="E2072" s="12" t="str">
        <x:v>FRED current rolling window</x:v>
      </x:c>
    </x:row>
    <x:row r="2073" ht="18" customHeight="1">
      <x:c r="A2073" s="13" t="n">
        <x:v>45473</x:v>
      </x:c>
      <x:c r="B2073" s="12" t="n">
        <x:v>3.21</x:v>
      </x:c>
      <x:c r="C2073" s="12" t="n">
        <x:v>321</x:v>
      </x:c>
      <x:c r="D2073" s="12" t="n">
        <x:v>3</x:v>
      </x:c>
      <x:c r="E2073" s="12" t="str">
        <x:v>FRED current rolling window</x:v>
      </x:c>
    </x:row>
    <x:row r="2074" ht="18" customHeight="1">
      <x:c r="A2074" s="13" t="n">
        <x:v>45474</x:v>
      </x:c>
      <x:c r="B2074" s="12" t="n">
        <x:v>3.21</x:v>
      </x:c>
      <x:c r="C2074" s="12" t="n">
        <x:v>321</x:v>
      </x:c>
      <x:c r="D2074" s="12" t="n">
        <x:v>0</x:v>
      </x:c>
      <x:c r="E2074" s="12" t="str">
        <x:v>FRED current rolling window</x:v>
      </x:c>
    </x:row>
    <x:row r="2075" ht="18" customHeight="1">
      <x:c r="A2075" s="13" t="n">
        <x:v>45475</x:v>
      </x:c>
      <x:c r="B2075" s="12" t="n">
        <x:v>3.23</x:v>
      </x:c>
      <x:c r="C2075" s="12" t="n">
        <x:v>323</x:v>
      </x:c>
      <x:c r="D2075" s="12" t="n">
        <x:v>2</x:v>
      </x:c>
      <x:c r="E2075" s="12" t="str">
        <x:v>FRED current rolling window</x:v>
      </x:c>
    </x:row>
    <x:row r="2076" ht="18" customHeight="1">
      <x:c r="A2076" s="13" t="n">
        <x:v>45476</x:v>
      </x:c>
      <x:c r="B2076" s="12" t="n">
        <x:v>3.25</x:v>
      </x:c>
      <x:c r="C2076" s="12" t="n">
        <x:v>325</x:v>
      </x:c>
      <x:c r="D2076" s="12" t="n">
        <x:v>2</x:v>
      </x:c>
      <x:c r="E2076" s="12" t="str">
        <x:v>FRED current rolling window</x:v>
      </x:c>
    </x:row>
    <x:row r="2077" ht="18" customHeight="1">
      <x:c r="A2077" s="13" t="n">
        <x:v>45477</x:v>
      </x:c>
      <x:c r="B2077" s="12" t="n">
        <x:v>3.25</x:v>
      </x:c>
      <x:c r="C2077" s="12" t="n">
        <x:v>325</x:v>
      </x:c>
      <x:c r="D2077" s="12" t="n">
        <x:v>0</x:v>
      </x:c>
      <x:c r="E2077" s="12" t="str">
        <x:v>FRED current rolling window</x:v>
      </x:c>
    </x:row>
    <x:row r="2078" ht="18" customHeight="1">
      <x:c r="A2078" s="13" t="n">
        <x:v>45478</x:v>
      </x:c>
      <x:c r="B2078" s="12" t="n">
        <x:v>3.27</x:v>
      </x:c>
      <x:c r="C2078" s="12" t="n">
        <x:v>327</x:v>
      </x:c>
      <x:c r="D2078" s="12" t="n">
        <x:v>2</x:v>
      </x:c>
      <x:c r="E2078" s="12" t="str">
        <x:v>FRED current rolling window</x:v>
      </x:c>
    </x:row>
    <x:row r="2079" ht="18" customHeight="1">
      <x:c r="A2079" s="13" t="n">
        <x:v>45481</x:v>
      </x:c>
      <x:c r="B2079" s="12" t="n">
        <x:v>3.2</x:v>
      </x:c>
      <x:c r="C2079" s="12" t="n">
        <x:v>320</x:v>
      </x:c>
      <x:c r="D2079" s="12" t="n">
        <x:v>-7</x:v>
      </x:c>
      <x:c r="E2079" s="12" t="str">
        <x:v>FRED current rolling window</x:v>
      </x:c>
    </x:row>
    <x:row r="2080" ht="18" customHeight="1">
      <x:c r="A2080" s="13" t="n">
        <x:v>45482</x:v>
      </x:c>
      <x:c r="B2080" s="12" t="n">
        <x:v>3.21</x:v>
      </x:c>
      <x:c r="C2080" s="12" t="n">
        <x:v>321</x:v>
      </x:c>
      <x:c r="D2080" s="12" t="n">
        <x:v>1</x:v>
      </x:c>
      <x:c r="E2080" s="12" t="str">
        <x:v>FRED current rolling window</x:v>
      </x:c>
    </x:row>
    <x:row r="2081" ht="18" customHeight="1">
      <x:c r="A2081" s="13" t="n">
        <x:v>45483</x:v>
      </x:c>
      <x:c r="B2081" s="12" t="n">
        <x:v>3.17</x:v>
      </x:c>
      <x:c r="C2081" s="12" t="n">
        <x:v>317</x:v>
      </x:c>
      <x:c r="D2081" s="12" t="n">
        <x:v>-4</x:v>
      </x:c>
      <x:c r="E2081" s="12" t="str">
        <x:v>FRED current rolling window</x:v>
      </x:c>
    </x:row>
    <x:row r="2082" ht="18" customHeight="1">
      <x:c r="A2082" s="13" t="n">
        <x:v>45484</x:v>
      </x:c>
      <x:c r="B2082" s="12" t="n">
        <x:v>3.18</x:v>
      </x:c>
      <x:c r="C2082" s="12" t="n">
        <x:v>318</x:v>
      </x:c>
      <x:c r="D2082" s="12" t="n">
        <x:v>1</x:v>
      </x:c>
      <x:c r="E2082" s="12" t="str">
        <x:v>FRED current rolling window</x:v>
      </x:c>
    </x:row>
    <x:row r="2083" ht="18" customHeight="1">
      <x:c r="A2083" s="13" t="n">
        <x:v>45485</x:v>
      </x:c>
      <x:c r="B2083" s="12" t="n">
        <x:v>3.19</x:v>
      </x:c>
      <x:c r="C2083" s="12" t="n">
        <x:v>319</x:v>
      </x:c>
      <x:c r="D2083" s="12" t="n">
        <x:v>1</x:v>
      </x:c>
      <x:c r="E2083" s="12" t="str">
        <x:v>FRED current rolling window</x:v>
      </x:c>
    </x:row>
    <x:row r="2084" ht="18" customHeight="1">
      <x:c r="A2084" s="13" t="n">
        <x:v>45488</x:v>
      </x:c>
      <x:c r="B2084" s="12" t="n">
        <x:v>3.13</x:v>
      </x:c>
      <x:c r="C2084" s="12" t="n">
        <x:v>313</x:v>
      </x:c>
      <x:c r="D2084" s="12" t="n">
        <x:v>-6</x:v>
      </x:c>
      <x:c r="E2084" s="12" t="str">
        <x:v>FRED current rolling window</x:v>
      </x:c>
    </x:row>
    <x:row r="2085" ht="18" customHeight="1">
      <x:c r="A2085" s="13" t="n">
        <x:v>45489</x:v>
      </x:c>
      <x:c r="B2085" s="12" t="n">
        <x:v>3.08</x:v>
      </x:c>
      <x:c r="C2085" s="12" t="n">
        <x:v>308</x:v>
      </x:c>
      <x:c r="D2085" s="12" t="n">
        <x:v>-5</x:v>
      </x:c>
      <x:c r="E2085" s="12" t="str">
        <x:v>FRED current rolling window</x:v>
      </x:c>
    </x:row>
    <x:row r="2086" ht="18" customHeight="1">
      <x:c r="A2086" s="13" t="n">
        <x:v>45490</x:v>
      </x:c>
      <x:c r="B2086" s="12" t="n">
        <x:v>3.09</x:v>
      </x:c>
      <x:c r="C2086" s="12" t="n">
        <x:v>309</x:v>
      </x:c>
      <x:c r="D2086" s="12" t="n">
        <x:v>1</x:v>
      </x:c>
      <x:c r="E2086" s="12" t="str">
        <x:v>FRED current rolling window</x:v>
      </x:c>
    </x:row>
    <x:row r="2087" ht="18" customHeight="1">
      <x:c r="A2087" s="13" t="n">
        <x:v>45491</x:v>
      </x:c>
      <x:c r="B2087" s="12" t="n">
        <x:v>3.09</x:v>
      </x:c>
      <x:c r="C2087" s="12" t="n">
        <x:v>309</x:v>
      </x:c>
      <x:c r="D2087" s="12" t="n">
        <x:v>0</x:v>
      </x:c>
      <x:c r="E2087" s="12" t="str">
        <x:v>FRED current rolling window</x:v>
      </x:c>
    </x:row>
    <x:row r="2088" ht="18" customHeight="1">
      <x:c r="A2088" s="13" t="n">
        <x:v>45492</x:v>
      </x:c>
      <x:c r="B2088" s="12" t="n">
        <x:v>3.09</x:v>
      </x:c>
      <x:c r="C2088" s="12" t="n">
        <x:v>309</x:v>
      </x:c>
      <x:c r="D2088" s="12" t="n">
        <x:v>0</x:v>
      </x:c>
      <x:c r="E2088" s="12" t="str">
        <x:v>FRED current rolling window</x:v>
      </x:c>
    </x:row>
    <x:row r="2089" ht="18" customHeight="1">
      <x:c r="A2089" s="13" t="n">
        <x:v>45495</x:v>
      </x:c>
      <x:c r="B2089" s="12" t="n">
        <x:v>3.05</x:v>
      </x:c>
      <x:c r="C2089" s="12" t="n">
        <x:v>305</x:v>
      </x:c>
      <x:c r="D2089" s="12" t="n">
        <x:v>-4</x:v>
      </x:c>
      <x:c r="E2089" s="12" t="str">
        <x:v>FRED current rolling window</x:v>
      </x:c>
    </x:row>
    <x:row r="2090" ht="18" customHeight="1">
      <x:c r="A2090" s="13" t="n">
        <x:v>45496</x:v>
      </x:c>
      <x:c r="B2090" s="12" t="n">
        <x:v>3.02</x:v>
      </x:c>
      <x:c r="C2090" s="12" t="n">
        <x:v>302</x:v>
      </x:c>
      <x:c r="D2090" s="12" t="n">
        <x:v>-3</x:v>
      </x:c>
      <x:c r="E2090" s="12" t="str">
        <x:v>FRED current rolling window</x:v>
      </x:c>
    </x:row>
    <x:row r="2091" ht="18" customHeight="1">
      <x:c r="A2091" s="13" t="n">
        <x:v>45497</x:v>
      </x:c>
      <x:c r="B2091" s="12" t="n">
        <x:v>3.1</x:v>
      </x:c>
      <x:c r="C2091" s="12" t="n">
        <x:v>310</x:v>
      </x:c>
      <x:c r="D2091" s="12" t="n">
        <x:v>8</x:v>
      </x:c>
      <x:c r="E2091" s="12" t="str">
        <x:v>FRED current rolling window</x:v>
      </x:c>
    </x:row>
    <x:row r="2092" ht="18" customHeight="1">
      <x:c r="A2092" s="13" t="n">
        <x:v>45498</x:v>
      </x:c>
      <x:c r="B2092" s="12" t="n">
        <x:v>3.08</x:v>
      </x:c>
      <x:c r="C2092" s="12" t="n">
        <x:v>308</x:v>
      </x:c>
      <x:c r="D2092" s="12" t="n">
        <x:v>-2</x:v>
      </x:c>
      <x:c r="E2092" s="12" t="str">
        <x:v>FRED current rolling window</x:v>
      </x:c>
    </x:row>
    <x:row r="2093" ht="18" customHeight="1">
      <x:c r="A2093" s="13" t="n">
        <x:v>45499</x:v>
      </x:c>
      <x:c r="B2093" s="12" t="n">
        <x:v>3.1</x:v>
      </x:c>
      <x:c r="C2093" s="12" t="n">
        <x:v>310</x:v>
      </x:c>
      <x:c r="D2093" s="12" t="n">
        <x:v>2</x:v>
      </x:c>
      <x:c r="E2093" s="12" t="str">
        <x:v>FRED current rolling window</x:v>
      </x:c>
    </x:row>
    <x:row r="2094" ht="18" customHeight="1">
      <x:c r="A2094" s="13" t="n">
        <x:v>45502</x:v>
      </x:c>
      <x:c r="B2094" s="12" t="n">
        <x:v>3.13</x:v>
      </x:c>
      <x:c r="C2094" s="12" t="n">
        <x:v>313</x:v>
      </x:c>
      <x:c r="D2094" s="12" t="n">
        <x:v>3</x:v>
      </x:c>
      <x:c r="E2094" s="12" t="str">
        <x:v>FRED current rolling window</x:v>
      </x:c>
    </x:row>
    <x:row r="2095" ht="18" customHeight="1">
      <x:c r="A2095" s="13" t="n">
        <x:v>45503</x:v>
      </x:c>
      <x:c r="B2095" s="12" t="n">
        <x:v>3.2</x:v>
      </x:c>
      <x:c r="C2095" s="12" t="n">
        <x:v>320</x:v>
      </x:c>
      <x:c r="D2095" s="12" t="n">
        <x:v>7</x:v>
      </x:c>
      <x:c r="E2095" s="12" t="str">
        <x:v>FRED current rolling window</x:v>
      </x:c>
    </x:row>
    <x:row r="2096" ht="18" customHeight="1">
      <x:c r="A2096" s="13" t="n">
        <x:v>45504</x:v>
      </x:c>
      <x:c r="B2096" s="12" t="n">
        <x:v>3.25</x:v>
      </x:c>
      <x:c r="C2096" s="12" t="n">
        <x:v>325</x:v>
      </x:c>
      <x:c r="D2096" s="12" t="n">
        <x:v>5</x:v>
      </x:c>
      <x:c r="E2096" s="12" t="str">
        <x:v>FRED current rolling window</x:v>
      </x:c>
    </x:row>
    <x:row r="2097" ht="18" customHeight="1">
      <x:c r="A2097" s="13" t="n">
        <x:v>45505</x:v>
      </x:c>
      <x:c r="B2097" s="12" t="n">
        <x:v>3.35</x:v>
      </x:c>
      <x:c r="C2097" s="12" t="n">
        <x:v>335</x:v>
      </x:c>
      <x:c r="D2097" s="12" t="n">
        <x:v>10</x:v>
      </x:c>
      <x:c r="E2097" s="12" t="str">
        <x:v>FRED current rolling window</x:v>
      </x:c>
    </x:row>
    <x:row r="2098" ht="18" customHeight="1">
      <x:c r="A2098" s="13" t="n">
        <x:v>45506</x:v>
      </x:c>
      <x:c r="B2098" s="12" t="n">
        <x:v>3.72</x:v>
      </x:c>
      <x:c r="C2098" s="12" t="n">
        <x:v>372</x:v>
      </x:c>
      <x:c r="D2098" s="12" t="n">
        <x:v>37</x:v>
      </x:c>
      <x:c r="E2098" s="12" t="str">
        <x:v>FRED current rolling window</x:v>
      </x:c>
    </x:row>
    <x:row r="2099" ht="18" customHeight="1">
      <x:c r="A2099" s="13" t="n">
        <x:v>45509</x:v>
      </x:c>
      <x:c r="B2099" s="12" t="n">
        <x:v>3.93</x:v>
      </x:c>
      <x:c r="C2099" s="12" t="n">
        <x:v>393</x:v>
      </x:c>
      <x:c r="D2099" s="12" t="n">
        <x:v>21</x:v>
      </x:c>
      <x:c r="E2099" s="12" t="str">
        <x:v>FRED current rolling window</x:v>
      </x:c>
    </x:row>
    <x:row r="2100" ht="18" customHeight="1">
      <x:c r="A2100" s="13" t="n">
        <x:v>45510</x:v>
      </x:c>
      <x:c r="B2100" s="12" t="n">
        <x:v>3.67</x:v>
      </x:c>
      <x:c r="C2100" s="12" t="n">
        <x:v>367</x:v>
      </x:c>
      <x:c r="D2100" s="12" t="n">
        <x:v>-26</x:v>
      </x:c>
      <x:c r="E2100" s="12" t="str">
        <x:v>FRED current rolling window</x:v>
      </x:c>
    </x:row>
    <x:row r="2101" ht="18" customHeight="1">
      <x:c r="A2101" s="13" t="n">
        <x:v>45511</x:v>
      </x:c>
      <x:c r="B2101" s="12" t="n">
        <x:v>3.57</x:v>
      </x:c>
      <x:c r="C2101" s="12" t="n">
        <x:v>357</x:v>
      </x:c>
      <x:c r="D2101" s="12" t="n">
        <x:v>-10</x:v>
      </x:c>
      <x:c r="E2101" s="12" t="str">
        <x:v>FRED current rolling window</x:v>
      </x:c>
    </x:row>
    <x:row r="2102" ht="18" customHeight="1">
      <x:c r="A2102" s="13" t="n">
        <x:v>45512</x:v>
      </x:c>
      <x:c r="B2102" s="12" t="n">
        <x:v>3.48</x:v>
      </x:c>
      <x:c r="C2102" s="12" t="n">
        <x:v>348</x:v>
      </x:c>
      <x:c r="D2102" s="12" t="n">
        <x:v>-9</x:v>
      </x:c>
      <x:c r="E2102" s="12" t="str">
        <x:v>FRED current rolling window</x:v>
      </x:c>
    </x:row>
    <x:row r="2103" ht="18" customHeight="1">
      <x:c r="A2103" s="13" t="n">
        <x:v>45513</x:v>
      </x:c>
      <x:c r="B2103" s="12" t="n">
        <x:v>3.49</x:v>
      </x:c>
      <x:c r="C2103" s="12" t="n">
        <x:v>349</x:v>
      </x:c>
      <x:c r="D2103" s="12" t="n">
        <x:v>1</x:v>
      </x:c>
      <x:c r="E2103" s="12" t="str">
        <x:v>FRED current rolling window</x:v>
      </x:c>
    </x:row>
    <x:row r="2104" ht="18" customHeight="1">
      <x:c r="A2104" s="13" t="n">
        <x:v>45516</x:v>
      </x:c>
      <x:c r="B2104" s="12" t="n">
        <x:v>3.52</x:v>
      </x:c>
      <x:c r="C2104" s="12" t="n">
        <x:v>352</x:v>
      </x:c>
      <x:c r="D2104" s="12" t="n">
        <x:v>3</x:v>
      </x:c>
      <x:c r="E2104" s="12" t="str">
        <x:v>FRED current rolling window</x:v>
      </x:c>
    </x:row>
    <x:row r="2105" ht="18" customHeight="1">
      <x:c r="A2105" s="13" t="n">
        <x:v>45517</x:v>
      </x:c>
      <x:c r="B2105" s="12" t="n">
        <x:v>3.54</x:v>
      </x:c>
      <x:c r="C2105" s="12" t="n">
        <x:v>354</x:v>
      </x:c>
      <x:c r="D2105" s="12" t="n">
        <x:v>2</x:v>
      </x:c>
      <x:c r="E2105" s="12" t="str">
        <x:v>FRED current rolling window</x:v>
      </x:c>
    </x:row>
    <x:row r="2106" ht="18" customHeight="1">
      <x:c r="A2106" s="13" t="n">
        <x:v>45518</x:v>
      </x:c>
      <x:c r="B2106" s="12" t="n">
        <x:v>3.46</x:v>
      </x:c>
      <x:c r="C2106" s="12" t="n">
        <x:v>346</x:v>
      </x:c>
      <x:c r="D2106" s="12" t="n">
        <x:v>-8</x:v>
      </x:c>
      <x:c r="E2106" s="12" t="str">
        <x:v>FRED current rolling window</x:v>
      </x:c>
    </x:row>
    <x:row r="2107" ht="18" customHeight="1">
      <x:c r="A2107" s="13" t="n">
        <x:v>45519</x:v>
      </x:c>
      <x:c r="B2107" s="12" t="n">
        <x:v>3.31</x:v>
      </x:c>
      <x:c r="C2107" s="12" t="n">
        <x:v>331</x:v>
      </x:c>
      <x:c r="D2107" s="12" t="n">
        <x:v>-15</x:v>
      </x:c>
      <x:c r="E2107" s="12" t="str">
        <x:v>FRED current rolling window</x:v>
      </x:c>
    </x:row>
    <x:row r="2108" ht="18" customHeight="1">
      <x:c r="A2108" s="13" t="n">
        <x:v>45520</x:v>
      </x:c>
      <x:c r="B2108" s="12" t="n">
        <x:v>3.29</x:v>
      </x:c>
      <x:c r="C2108" s="12" t="n">
        <x:v>329</x:v>
      </x:c>
      <x:c r="D2108" s="12" t="n">
        <x:v>-2</x:v>
      </x:c>
      <x:c r="E2108" s="12" t="str">
        <x:v>FRED current rolling window</x:v>
      </x:c>
    </x:row>
    <x:row r="2109" ht="18" customHeight="1">
      <x:c r="A2109" s="13" t="n">
        <x:v>45523</x:v>
      </x:c>
      <x:c r="B2109" s="12" t="n">
        <x:v>3.21</x:v>
      </x:c>
      <x:c r="C2109" s="12" t="n">
        <x:v>321</x:v>
      </x:c>
      <x:c r="D2109" s="12" t="n">
        <x:v>-8</x:v>
      </x:c>
      <x:c r="E2109" s="12" t="str">
        <x:v>FRED current rolling window</x:v>
      </x:c>
    </x:row>
    <x:row r="2110" ht="18" customHeight="1">
      <x:c r="A2110" s="13" t="n">
        <x:v>45524</x:v>
      </x:c>
      <x:c r="B2110" s="12" t="n">
        <x:v>3.25</x:v>
      </x:c>
      <x:c r="C2110" s="12" t="n">
        <x:v>325</x:v>
      </x:c>
      <x:c r="D2110" s="12" t="n">
        <x:v>4</x:v>
      </x:c>
      <x:c r="E2110" s="12" t="str">
        <x:v>FRED current rolling window</x:v>
      </x:c>
    </x:row>
    <x:row r="2111" ht="18" customHeight="1">
      <x:c r="A2111" s="13" t="n">
        <x:v>45525</x:v>
      </x:c>
      <x:c r="B2111" s="12" t="n">
        <x:v>3.27</x:v>
      </x:c>
      <x:c r="C2111" s="12" t="n">
        <x:v>327</x:v>
      </x:c>
      <x:c r="D2111" s="12" t="n">
        <x:v>2</x:v>
      </x:c>
      <x:c r="E2111" s="12" t="str">
        <x:v>FRED current rolling window</x:v>
      </x:c>
    </x:row>
    <x:row r="2112" ht="18" customHeight="1">
      <x:c r="A2112" s="13" t="n">
        <x:v>45526</x:v>
      </x:c>
      <x:c r="B2112" s="12" t="n">
        <x:v>3.21</x:v>
      </x:c>
      <x:c r="C2112" s="12" t="n">
        <x:v>321</x:v>
      </x:c>
      <x:c r="D2112" s="12" t="n">
        <x:v>-6</x:v>
      </x:c>
      <x:c r="E2112" s="12" t="str">
        <x:v>FRED current rolling window</x:v>
      </x:c>
    </x:row>
    <x:row r="2113" ht="18" customHeight="1">
      <x:c r="A2113" s="13" t="n">
        <x:v>45527</x:v>
      </x:c>
      <x:c r="B2113" s="12" t="n">
        <x:v>3.19</x:v>
      </x:c>
      <x:c r="C2113" s="12" t="n">
        <x:v>319</x:v>
      </x:c>
      <x:c r="D2113" s="12" t="n">
        <x:v>-2</x:v>
      </x:c>
      <x:c r="E2113" s="12" t="str">
        <x:v>FRED current rolling window</x:v>
      </x:c>
    </x:row>
    <x:row r="2114" ht="18" customHeight="1">
      <x:c r="A2114" s="13" t="n">
        <x:v>45530</x:v>
      </x:c>
      <x:c r="B2114" s="12" t="n">
        <x:v>3.15</x:v>
      </x:c>
      <x:c r="C2114" s="12" t="n">
        <x:v>315</x:v>
      </x:c>
      <x:c r="D2114" s="12" t="n">
        <x:v>-4</x:v>
      </x:c>
      <x:c r="E2114" s="12" t="str">
        <x:v>FRED current rolling window</x:v>
      </x:c>
    </x:row>
    <x:row r="2115" ht="18" customHeight="1">
      <x:c r="A2115" s="13" t="n">
        <x:v>45531</x:v>
      </x:c>
      <x:c r="B2115" s="12" t="n">
        <x:v>3.17</x:v>
      </x:c>
      <x:c r="C2115" s="12" t="n">
        <x:v>317</x:v>
      </x:c>
      <x:c r="D2115" s="12" t="n">
        <x:v>2</x:v>
      </x:c>
      <x:c r="E2115" s="12" t="str">
        <x:v>FRED current rolling window</x:v>
      </x:c>
    </x:row>
    <x:row r="2116" ht="18" customHeight="1">
      <x:c r="A2116" s="13" t="n">
        <x:v>45532</x:v>
      </x:c>
      <x:c r="B2116" s="12" t="n">
        <x:v>3.19</x:v>
      </x:c>
      <x:c r="C2116" s="12" t="n">
        <x:v>319</x:v>
      </x:c>
      <x:c r="D2116" s="12" t="n">
        <x:v>2</x:v>
      </x:c>
      <x:c r="E2116" s="12" t="str">
        <x:v>FRED current rolling window</x:v>
      </x:c>
    </x:row>
    <x:row r="2117" ht="18" customHeight="1">
      <x:c r="A2117" s="13" t="n">
        <x:v>45533</x:v>
      </x:c>
      <x:c r="B2117" s="12" t="n">
        <x:v>3.15</x:v>
      </x:c>
      <x:c r="C2117" s="12" t="n">
        <x:v>315</x:v>
      </x:c>
      <x:c r="D2117" s="12" t="n">
        <x:v>-4</x:v>
      </x:c>
      <x:c r="E2117" s="12" t="str">
        <x:v>FRED current rolling window</x:v>
      </x:c>
    </x:row>
    <x:row r="2118" ht="18" customHeight="1">
      <x:c r="A2118" s="13" t="n">
        <x:v>45534</x:v>
      </x:c>
      <x:c r="B2118" s="12" t="n">
        <x:v>3.13</x:v>
      </x:c>
      <x:c r="C2118" s="12" t="n">
        <x:v>313</x:v>
      </x:c>
      <x:c r="D2118" s="12" t="n">
        <x:v>-2</x:v>
      </x:c>
      <x:c r="E2118" s="12" t="str">
        <x:v>FRED current rolling window</x:v>
      </x:c>
    </x:row>
    <x:row r="2119" ht="18" customHeight="1">
      <x:c r="A2119" s="13" t="n">
        <x:v>45535</x:v>
      </x:c>
      <x:c r="B2119" s="12" t="n">
        <x:v>3.17</x:v>
      </x:c>
      <x:c r="C2119" s="12" t="n">
        <x:v>317</x:v>
      </x:c>
      <x:c r="D2119" s="12" t="n">
        <x:v>4</x:v>
      </x:c>
      <x:c r="E2119" s="12" t="str">
        <x:v>FRED current rolling window</x:v>
      </x:c>
    </x:row>
    <x:row r="2120" ht="18" customHeight="1">
      <x:c r="A2120" s="13" t="n">
        <x:v>45537</x:v>
      </x:c>
      <x:c r="B2120" s="12" t="n">
        <x:v>3.17</x:v>
      </x:c>
      <x:c r="C2120" s="12" t="n">
        <x:v>317</x:v>
      </x:c>
      <x:c r="D2120" s="12" t="n">
        <x:v>0</x:v>
      </x:c>
      <x:c r="E2120" s="12" t="str">
        <x:v>FRED current rolling window</x:v>
      </x:c>
    </x:row>
    <x:row r="2121" ht="18" customHeight="1">
      <x:c r="A2121" s="13" t="n">
        <x:v>45538</x:v>
      </x:c>
      <x:c r="B2121" s="12" t="n">
        <x:v>3.31</x:v>
      </x:c>
      <x:c r="C2121" s="12" t="n">
        <x:v>331</x:v>
      </x:c>
      <x:c r="D2121" s="12" t="n">
        <x:v>14</x:v>
      </x:c>
      <x:c r="E2121" s="12" t="str">
        <x:v>FRED current rolling window</x:v>
      </x:c>
    </x:row>
    <x:row r="2122" ht="18" customHeight="1">
      <x:c r="A2122" s="13" t="n">
        <x:v>45539</x:v>
      </x:c>
      <x:c r="B2122" s="12" t="n">
        <x:v>3.35</x:v>
      </x:c>
      <x:c r="C2122" s="12" t="n">
        <x:v>335</x:v>
      </x:c>
      <x:c r="D2122" s="12" t="n">
        <x:v>4</x:v>
      </x:c>
      <x:c r="E2122" s="12" t="str">
        <x:v>FRED current rolling window</x:v>
      </x:c>
    </x:row>
    <x:row r="2123" ht="18" customHeight="1">
      <x:c r="A2123" s="13" t="n">
        <x:v>45540</x:v>
      </x:c>
      <x:c r="B2123" s="12" t="n">
        <x:v>3.29</x:v>
      </x:c>
      <x:c r="C2123" s="12" t="n">
        <x:v>329</x:v>
      </x:c>
      <x:c r="D2123" s="12" t="n">
        <x:v>-6</x:v>
      </x:c>
      <x:c r="E2123" s="12" t="str">
        <x:v>FRED current rolling window</x:v>
      </x:c>
    </x:row>
    <x:row r="2124" ht="18" customHeight="1">
      <x:c r="A2124" s="13" t="n">
        <x:v>45541</x:v>
      </x:c>
      <x:c r="B2124" s="12" t="n">
        <x:v>3.39</x:v>
      </x:c>
      <x:c r="C2124" s="12" t="n">
        <x:v>339</x:v>
      </x:c>
      <x:c r="D2124" s="12" t="n">
        <x:v>10</x:v>
      </x:c>
      <x:c r="E2124" s="12" t="str">
        <x:v>FRED current rolling window</x:v>
      </x:c>
    </x:row>
    <x:row r="2125" ht="18" customHeight="1">
      <x:c r="A2125" s="13" t="n">
        <x:v>45544</x:v>
      </x:c>
      <x:c r="B2125" s="12" t="n">
        <x:v>3.36</x:v>
      </x:c>
      <x:c r="C2125" s="12" t="n">
        <x:v>336</x:v>
      </x:c>
      <x:c r="D2125" s="12" t="n">
        <x:v>-3</x:v>
      </x:c>
      <x:c r="E2125" s="12" t="str">
        <x:v>FRED current rolling window</x:v>
      </x:c>
    </x:row>
    <x:row r="2126" ht="18" customHeight="1">
      <x:c r="A2126" s="13" t="n">
        <x:v>45545</x:v>
      </x:c>
      <x:c r="B2126" s="12" t="n">
        <x:v>3.46</x:v>
      </x:c>
      <x:c r="C2126" s="12" t="n">
        <x:v>346</x:v>
      </x:c>
      <x:c r="D2126" s="12" t="n">
        <x:v>10</x:v>
      </x:c>
      <x:c r="E2126" s="12" t="str">
        <x:v>FRED current rolling window</x:v>
      </x:c>
    </x:row>
    <x:row r="2127" ht="18" customHeight="1">
      <x:c r="A2127" s="13" t="n">
        <x:v>45546</x:v>
      </x:c>
      <x:c r="B2127" s="12" t="n">
        <x:v>3.44</x:v>
      </x:c>
      <x:c r="C2127" s="12" t="n">
        <x:v>344</x:v>
      </x:c>
      <x:c r="D2127" s="12" t="n">
        <x:v>-2</x:v>
      </x:c>
      <x:c r="E2127" s="12" t="str">
        <x:v>FRED current rolling window</x:v>
      </x:c>
    </x:row>
    <x:row r="2128" ht="18" customHeight="1">
      <x:c r="A2128" s="13" t="n">
        <x:v>45547</x:v>
      </x:c>
      <x:c r="B2128" s="12" t="n">
        <x:v>3.39</x:v>
      </x:c>
      <x:c r="C2128" s="12" t="n">
        <x:v>339</x:v>
      </x:c>
      <x:c r="D2128" s="12" t="n">
        <x:v>-5</x:v>
      </x:c>
      <x:c r="E2128" s="12" t="str">
        <x:v>FRED current rolling window</x:v>
      </x:c>
    </x:row>
    <x:row r="2129" ht="18" customHeight="1">
      <x:c r="A2129" s="13" t="n">
        <x:v>45548</x:v>
      </x:c>
      <x:c r="B2129" s="12" t="n">
        <x:v>3.37</x:v>
      </x:c>
      <x:c r="C2129" s="12" t="n">
        <x:v>337</x:v>
      </x:c>
      <x:c r="D2129" s="12" t="n">
        <x:v>-2</x:v>
      </x:c>
      <x:c r="E2129" s="12" t="str">
        <x:v>FRED current rolling window</x:v>
      </x:c>
    </x:row>
    <x:row r="2130" ht="18" customHeight="1">
      <x:c r="A2130" s="13" t="n">
        <x:v>45551</x:v>
      </x:c>
      <x:c r="B2130" s="12" t="n">
        <x:v>3.32</x:v>
      </x:c>
      <x:c r="C2130" s="12" t="n">
        <x:v>332</x:v>
      </x:c>
      <x:c r="D2130" s="12" t="n">
        <x:v>-5</x:v>
      </x:c>
      <x:c r="E2130" s="12" t="str">
        <x:v>FRED current rolling window</x:v>
      </x:c>
    </x:row>
    <x:row r="2131" ht="18" customHeight="1">
      <x:c r="A2131" s="13" t="n">
        <x:v>45552</x:v>
      </x:c>
      <x:c r="B2131" s="12" t="n">
        <x:v>3.25</x:v>
      </x:c>
      <x:c r="C2131" s="12" t="n">
        <x:v>325</x:v>
      </x:c>
      <x:c r="D2131" s="12" t="n">
        <x:v>-7</x:v>
      </x:c>
      <x:c r="E2131" s="12" t="str">
        <x:v>FRED current rolling window</x:v>
      </x:c>
    </x:row>
    <x:row r="2132" ht="18" customHeight="1">
      <x:c r="A2132" s="13" t="n">
        <x:v>45553</x:v>
      </x:c>
      <x:c r="B2132" s="12" t="n">
        <x:v>3.21</x:v>
      </x:c>
      <x:c r="C2132" s="12" t="n">
        <x:v>321</x:v>
      </x:c>
      <x:c r="D2132" s="12" t="n">
        <x:v>-4</x:v>
      </x:c>
      <x:c r="E2132" s="12" t="str">
        <x:v>FRED current rolling window</x:v>
      </x:c>
    </x:row>
    <x:row r="2133" ht="18" customHeight="1">
      <x:c r="A2133" s="13" t="n">
        <x:v>45554</x:v>
      </x:c>
      <x:c r="B2133" s="12" t="n">
        <x:v>3.1</x:v>
      </x:c>
      <x:c r="C2133" s="12" t="n">
        <x:v>310</x:v>
      </x:c>
      <x:c r="D2133" s="12" t="n">
        <x:v>-11</x:v>
      </x:c>
      <x:c r="E2133" s="12" t="str">
        <x:v>FRED current rolling window</x:v>
      </x:c>
    </x:row>
    <x:row r="2134" ht="18" customHeight="1">
      <x:c r="A2134" s="13" t="n">
        <x:v>45555</x:v>
      </x:c>
      <x:c r="B2134" s="12" t="n">
        <x:v>3.15</x:v>
      </x:c>
      <x:c r="C2134" s="12" t="n">
        <x:v>315</x:v>
      </x:c>
      <x:c r="D2134" s="12" t="n">
        <x:v>5</x:v>
      </x:c>
      <x:c r="E2134" s="12" t="str">
        <x:v>FRED current rolling window</x:v>
      </x:c>
    </x:row>
    <x:row r="2135" ht="18" customHeight="1">
      <x:c r="A2135" s="13" t="n">
        <x:v>45558</x:v>
      </x:c>
      <x:c r="B2135" s="12" t="n">
        <x:v>3.15</x:v>
      </x:c>
      <x:c r="C2135" s="12" t="n">
        <x:v>315</x:v>
      </x:c>
      <x:c r="D2135" s="12" t="n">
        <x:v>0</x:v>
      </x:c>
      <x:c r="E2135" s="12" t="str">
        <x:v>FRED current rolling window</x:v>
      </x:c>
    </x:row>
    <x:row r="2136" ht="18" customHeight="1">
      <x:c r="A2136" s="13" t="n">
        <x:v>45559</x:v>
      </x:c>
      <x:c r="B2136" s="12" t="n">
        <x:v>3.21</x:v>
      </x:c>
      <x:c r="C2136" s="12" t="n">
        <x:v>321</x:v>
      </x:c>
      <x:c r="D2136" s="12" t="n">
        <x:v>6</x:v>
      </x:c>
      <x:c r="E2136" s="12" t="str">
        <x:v>FRED current rolling window</x:v>
      </x:c>
    </x:row>
    <x:row r="2137" ht="18" customHeight="1">
      <x:c r="A2137" s="13" t="n">
        <x:v>45560</x:v>
      </x:c>
      <x:c r="B2137" s="12" t="n">
        <x:v>3.19</x:v>
      </x:c>
      <x:c r="C2137" s="12" t="n">
        <x:v>319</x:v>
      </x:c>
      <x:c r="D2137" s="12" t="n">
        <x:v>-2</x:v>
      </x:c>
      <x:c r="E2137" s="12" t="str">
        <x:v>FRED current rolling window</x:v>
      </x:c>
    </x:row>
    <x:row r="2138" ht="18" customHeight="1">
      <x:c r="A2138" s="13" t="n">
        <x:v>45561</x:v>
      </x:c>
      <x:c r="B2138" s="12" t="n">
        <x:v>3.14</x:v>
      </x:c>
      <x:c r="C2138" s="12" t="n">
        <x:v>314</x:v>
      </x:c>
      <x:c r="D2138" s="12" t="n">
        <x:v>-5</x:v>
      </x:c>
      <x:c r="E2138" s="12" t="str">
        <x:v>FRED current rolling window</x:v>
      </x:c>
    </x:row>
    <x:row r="2139" ht="18" customHeight="1">
      <x:c r="A2139" s="13" t="n">
        <x:v>45562</x:v>
      </x:c>
      <x:c r="B2139" s="12" t="n">
        <x:v>3.14</x:v>
      </x:c>
      <x:c r="C2139" s="12" t="n">
        <x:v>314</x:v>
      </x:c>
      <x:c r="D2139" s="12" t="n">
        <x:v>0</x:v>
      </x:c>
      <x:c r="E2139" s="12" t="str">
        <x:v>FRED current rolling window</x:v>
      </x:c>
    </x:row>
    <x:row r="2140" ht="18" customHeight="1">
      <x:c r="A2140" s="13" t="n">
        <x:v>45565</x:v>
      </x:c>
      <x:c r="B2140" s="12" t="n">
        <x:v>3.03</x:v>
      </x:c>
      <x:c r="C2140" s="12" t="n">
        <x:v>303</x:v>
      </x:c>
      <x:c r="D2140" s="12" t="n">
        <x:v>-11</x:v>
      </x:c>
      <x:c r="E2140" s="12" t="str">
        <x:v>FRED current rolling window</x:v>
      </x:c>
    </x:row>
    <x:row r="2141" ht="18" customHeight="1">
      <x:c r="A2141" s="13" t="n">
        <x:v>45566</x:v>
      </x:c>
      <x:c r="B2141" s="12" t="n">
        <x:v>3.07</x:v>
      </x:c>
      <x:c r="C2141" s="12" t="n">
        <x:v>307</x:v>
      </x:c>
      <x:c r="D2141" s="12" t="n">
        <x:v>4</x:v>
      </x:c>
      <x:c r="E2141" s="12" t="str">
        <x:v>FRED current rolling window</x:v>
      </x:c>
    </x:row>
    <x:row r="2142" ht="18" customHeight="1">
      <x:c r="A2142" s="13" t="n">
        <x:v>45567</x:v>
      </x:c>
      <x:c r="B2142" s="12" t="n">
        <x:v>3.06</x:v>
      </x:c>
      <x:c r="C2142" s="12" t="n">
        <x:v>306</x:v>
      </x:c>
      <x:c r="D2142" s="12" t="n">
        <x:v>-1</x:v>
      </x:c>
      <x:c r="E2142" s="12" t="str">
        <x:v>FRED current rolling window</x:v>
      </x:c>
    </x:row>
    <x:row r="2143" ht="18" customHeight="1">
      <x:c r="A2143" s="13" t="n">
        <x:v>45568</x:v>
      </x:c>
      <x:c r="B2143" s="12" t="n">
        <x:v>3.04</x:v>
      </x:c>
      <x:c r="C2143" s="12" t="n">
        <x:v>304</x:v>
      </x:c>
      <x:c r="D2143" s="12" t="n">
        <x:v>-2</x:v>
      </x:c>
      <x:c r="E2143" s="12" t="str">
        <x:v>FRED current rolling window</x:v>
      </x:c>
    </x:row>
    <x:row r="2144" ht="18" customHeight="1">
      <x:c r="A2144" s="13" t="n">
        <x:v>45569</x:v>
      </x:c>
      <x:c r="B2144" s="12" t="n">
        <x:v>2.89</x:v>
      </x:c>
      <x:c r="C2144" s="12" t="n">
        <x:v>289</x:v>
      </x:c>
      <x:c r="D2144" s="12" t="n">
        <x:v>-15</x:v>
      </x:c>
      <x:c r="E2144" s="12" t="str">
        <x:v>FRED current rolling window</x:v>
      </x:c>
    </x:row>
    <x:row r="2145" ht="18" customHeight="1">
      <x:c r="A2145" s="13" t="n">
        <x:v>45572</x:v>
      </x:c>
      <x:c r="B2145" s="12" t="n">
        <x:v>2.95</x:v>
      </x:c>
      <x:c r="C2145" s="12" t="n">
        <x:v>295</x:v>
      </x:c>
      <x:c r="D2145" s="12" t="n">
        <x:v>6</x:v>
      </x:c>
      <x:c r="E2145" s="12" t="str">
        <x:v>FRED current rolling window</x:v>
      </x:c>
    </x:row>
    <x:row r="2146" ht="18" customHeight="1">
      <x:c r="A2146" s="13" t="n">
        <x:v>45573</x:v>
      </x:c>
      <x:c r="B2146" s="12" t="n">
        <x:v>2.99</x:v>
      </x:c>
      <x:c r="C2146" s="12" t="n">
        <x:v>299</x:v>
      </x:c>
      <x:c r="D2146" s="12" t="n">
        <x:v>4</x:v>
      </x:c>
      <x:c r="E2146" s="12" t="str">
        <x:v>FRED current rolling window</x:v>
      </x:c>
    </x:row>
    <x:row r="2147" ht="18" customHeight="1">
      <x:c r="A2147" s="13" t="n">
        <x:v>45574</x:v>
      </x:c>
      <x:c r="B2147" s="12" t="n">
        <x:v>2.94</x:v>
      </x:c>
      <x:c r="C2147" s="12" t="n">
        <x:v>294</x:v>
      </x:c>
      <x:c r="D2147" s="12" t="n">
        <x:v>-5</x:v>
      </x:c>
      <x:c r="E2147" s="12" t="str">
        <x:v>FRED current rolling window</x:v>
      </x:c>
    </x:row>
    <x:row r="2148" ht="18" customHeight="1">
      <x:c r="A2148" s="13" t="n">
        <x:v>45575</x:v>
      </x:c>
      <x:c r="B2148" s="12" t="n">
        <x:v>2.99</x:v>
      </x:c>
      <x:c r="C2148" s="12" t="n">
        <x:v>299</x:v>
      </x:c>
      <x:c r="D2148" s="12" t="n">
        <x:v>5</x:v>
      </x:c>
      <x:c r="E2148" s="12" t="str">
        <x:v>FRED current rolling window</x:v>
      </x:c>
    </x:row>
    <x:row r="2149" ht="18" customHeight="1">
      <x:c r="A2149" s="13" t="n">
        <x:v>45576</x:v>
      </x:c>
      <x:c r="B2149" s="12" t="n">
        <x:v>2.98</x:v>
      </x:c>
      <x:c r="C2149" s="12" t="n">
        <x:v>298</x:v>
      </x:c>
      <x:c r="D2149" s="12" t="n">
        <x:v>-1</x:v>
      </x:c>
      <x:c r="E2149" s="12" t="str">
        <x:v>FRED current rolling window</x:v>
      </x:c>
    </x:row>
    <x:row r="2150" ht="18" customHeight="1">
      <x:c r="A2150" s="13" t="n">
        <x:v>45579</x:v>
      </x:c>
      <x:c r="B2150" s="12" t="n">
        <x:v>2.97</x:v>
      </x:c>
      <x:c r="C2150" s="12" t="n">
        <x:v>297</x:v>
      </x:c>
      <x:c r="D2150" s="12" t="n">
        <x:v>-1</x:v>
      </x:c>
      <x:c r="E2150" s="12" t="str">
        <x:v>FRED current rolling window</x:v>
      </x:c>
    </x:row>
    <x:row r="2151" ht="18" customHeight="1">
      <x:c r="A2151" s="13" t="n">
        <x:v>45580</x:v>
      </x:c>
      <x:c r="B2151" s="12" t="n">
        <x:v>2.93</x:v>
      </x:c>
      <x:c r="C2151" s="12" t="n">
        <x:v>293</x:v>
      </x:c>
      <x:c r="D2151" s="12" t="n">
        <x:v>-4</x:v>
      </x:c>
      <x:c r="E2151" s="12" t="str">
        <x:v>FRED current rolling window</x:v>
      </x:c>
    </x:row>
    <x:row r="2152" ht="18" customHeight="1">
      <x:c r="A2152" s="13" t="n">
        <x:v>45581</x:v>
      </x:c>
      <x:c r="B2152" s="12" t="n">
        <x:v>2.9</x:v>
      </x:c>
      <x:c r="C2152" s="12" t="n">
        <x:v>290</x:v>
      </x:c>
      <x:c r="D2152" s="12" t="n">
        <x:v>-3</x:v>
      </x:c>
      <x:c r="E2152" s="12" t="str">
        <x:v>FRED current rolling window</x:v>
      </x:c>
    </x:row>
    <x:row r="2153" ht="18" customHeight="1">
      <x:c r="A2153" s="13" t="n">
        <x:v>45582</x:v>
      </x:c>
      <x:c r="B2153" s="12" t="n">
        <x:v>2.89</x:v>
      </x:c>
      <x:c r="C2153" s="12" t="n">
        <x:v>289</x:v>
      </x:c>
      <x:c r="D2153" s="12" t="n">
        <x:v>-1</x:v>
      </x:c>
      <x:c r="E2153" s="12" t="str">
        <x:v>FRED current rolling window</x:v>
      </x:c>
    </x:row>
    <x:row r="2154" ht="18" customHeight="1">
      <x:c r="A2154" s="13" t="n">
        <x:v>45583</x:v>
      </x:c>
      <x:c r="B2154" s="12" t="n">
        <x:v>2.88</x:v>
      </x:c>
      <x:c r="C2154" s="12" t="n">
        <x:v>288</x:v>
      </x:c>
      <x:c r="D2154" s="12" t="n">
        <x:v>-1</x:v>
      </x:c>
      <x:c r="E2154" s="12" t="str">
        <x:v>FRED current rolling window</x:v>
      </x:c>
    </x:row>
    <x:row r="2155" ht="18" customHeight="1">
      <x:c r="A2155" s="13" t="n">
        <x:v>45586</x:v>
      </x:c>
      <x:c r="B2155" s="12" t="n">
        <x:v>2.88</x:v>
      </x:c>
      <x:c r="C2155" s="12" t="n">
        <x:v>288</x:v>
      </x:c>
      <x:c r="D2155" s="12" t="n">
        <x:v>0</x:v>
      </x:c>
      <x:c r="E2155" s="12" t="str">
        <x:v>FRED current rolling window</x:v>
      </x:c>
    </x:row>
    <x:row r="2156" ht="18" customHeight="1">
      <x:c r="A2156" s="13" t="n">
        <x:v>45587</x:v>
      </x:c>
      <x:c r="B2156" s="12" t="n">
        <x:v>2.92</x:v>
      </x:c>
      <x:c r="C2156" s="12" t="n">
        <x:v>292</x:v>
      </x:c>
      <x:c r="D2156" s="12" t="n">
        <x:v>4</x:v>
      </x:c>
      <x:c r="E2156" s="12" t="str">
        <x:v>FRED current rolling window</x:v>
      </x:c>
    </x:row>
    <x:row r="2157" ht="18" customHeight="1">
      <x:c r="A2157" s="13" t="n">
        <x:v>45588</x:v>
      </x:c>
      <x:c r="B2157" s="12" t="n">
        <x:v>2.95</x:v>
      </x:c>
      <x:c r="C2157" s="12" t="n">
        <x:v>295</x:v>
      </x:c>
      <x:c r="D2157" s="12" t="n">
        <x:v>3</x:v>
      </x:c>
      <x:c r="E2157" s="12" t="str">
        <x:v>FRED current rolling window</x:v>
      </x:c>
    </x:row>
    <x:row r="2158" ht="18" customHeight="1">
      <x:c r="A2158" s="13" t="n">
        <x:v>45589</x:v>
      </x:c>
      <x:c r="B2158" s="12" t="n">
        <x:v>2.93</x:v>
      </x:c>
      <x:c r="C2158" s="12" t="n">
        <x:v>293</x:v>
      </x:c>
      <x:c r="D2158" s="12" t="n">
        <x:v>-2</x:v>
      </x:c>
      <x:c r="E2158" s="12" t="str">
        <x:v>FRED current rolling window</x:v>
      </x:c>
    </x:row>
    <x:row r="2159" ht="18" customHeight="1">
      <x:c r="A2159" s="13" t="n">
        <x:v>45590</x:v>
      </x:c>
      <x:c r="B2159" s="12" t="n">
        <x:v>2.89</x:v>
      </x:c>
      <x:c r="C2159" s="12" t="n">
        <x:v>289</x:v>
      </x:c>
      <x:c r="D2159" s="12" t="n">
        <x:v>-4</x:v>
      </x:c>
      <x:c r="E2159" s="12" t="str">
        <x:v>FRED current rolling window</x:v>
      </x:c>
    </x:row>
    <x:row r="2160" ht="18" customHeight="1">
      <x:c r="A2160" s="13" t="n">
        <x:v>45593</x:v>
      </x:c>
      <x:c r="B2160" s="12" t="n">
        <x:v>2.82</x:v>
      </x:c>
      <x:c r="C2160" s="12" t="n">
        <x:v>282</x:v>
      </x:c>
      <x:c r="D2160" s="12" t="n">
        <x:v>-7</x:v>
      </x:c>
      <x:c r="E2160" s="12" t="str">
        <x:v>FRED current rolling window</x:v>
      </x:c>
    </x:row>
    <x:row r="2161" ht="18" customHeight="1">
      <x:c r="A2161" s="13" t="n">
        <x:v>45594</x:v>
      </x:c>
      <x:c r="B2161" s="12" t="n">
        <x:v>2.85</x:v>
      </x:c>
      <x:c r="C2161" s="12" t="n">
        <x:v>285</x:v>
      </x:c>
      <x:c r="D2161" s="12" t="n">
        <x:v>3</x:v>
      </x:c>
      <x:c r="E2161" s="12" t="str">
        <x:v>FRED current rolling window</x:v>
      </x:c>
    </x:row>
    <x:row r="2162" ht="18" customHeight="1">
      <x:c r="A2162" s="13" t="n">
        <x:v>45595</x:v>
      </x:c>
      <x:c r="B2162" s="12" t="n">
        <x:v>2.8</x:v>
      </x:c>
      <x:c r="C2162" s="12" t="n">
        <x:v>280</x:v>
      </x:c>
      <x:c r="D2162" s="12" t="n">
        <x:v>-5</x:v>
      </x:c>
      <x:c r="E2162" s="12" t="str">
        <x:v>FRED current rolling window</x:v>
      </x:c>
    </x:row>
    <x:row r="2163" ht="18" customHeight="1">
      <x:c r="A2163" s="13" t="n">
        <x:v>45596</x:v>
      </x:c>
      <x:c r="B2163" s="12" t="n">
        <x:v>2.88</x:v>
      </x:c>
      <x:c r="C2163" s="12" t="n">
        <x:v>288</x:v>
      </x:c>
      <x:c r="D2163" s="12" t="n">
        <x:v>8</x:v>
      </x:c>
      <x:c r="E2163" s="12" t="str">
        <x:v>FRED current rolling window</x:v>
      </x:c>
    </x:row>
    <x:row r="2164" ht="18" customHeight="1">
      <x:c r="A2164" s="13" t="n">
        <x:v>45597</x:v>
      </x:c>
      <x:c r="B2164" s="12" t="n">
        <x:v>2.83</x:v>
      </x:c>
      <x:c r="C2164" s="12" t="n">
        <x:v>283</x:v>
      </x:c>
      <x:c r="D2164" s="12" t="n">
        <x:v>-5</x:v>
      </x:c>
      <x:c r="E2164" s="12" t="str">
        <x:v>FRED current rolling window</x:v>
      </x:c>
    </x:row>
    <x:row r="2165" ht="18" customHeight="1">
      <x:c r="A2165" s="13" t="n">
        <x:v>45600</x:v>
      </x:c>
      <x:c r="B2165" s="12" t="n">
        <x:v>2.87</x:v>
      </x:c>
      <x:c r="C2165" s="12" t="n">
        <x:v>287</x:v>
      </x:c>
      <x:c r="D2165" s="12" t="n">
        <x:v>4</x:v>
      </x:c>
      <x:c r="E2165" s="12" t="str">
        <x:v>FRED current rolling window</x:v>
      </x:c>
    </x:row>
    <x:row r="2166" ht="18" customHeight="1">
      <x:c r="A2166" s="13" t="n">
        <x:v>45601</x:v>
      </x:c>
      <x:c r="B2166" s="12" t="n">
        <x:v>2.86</x:v>
      </x:c>
      <x:c r="C2166" s="12" t="n">
        <x:v>286</x:v>
      </x:c>
      <x:c r="D2166" s="12" t="n">
        <x:v>-1</x:v>
      </x:c>
      <x:c r="E2166" s="12" t="str">
        <x:v>FRED current rolling window</x:v>
      </x:c>
    </x:row>
    <x:row r="2167" ht="18" customHeight="1">
      <x:c r="A2167" s="13" t="n">
        <x:v>45602</x:v>
      </x:c>
      <x:c r="B2167" s="12" t="n">
        <x:v>2.74</x:v>
      </x:c>
      <x:c r="C2167" s="12" t="n">
        <x:v>274</x:v>
      </x:c>
      <x:c r="D2167" s="12" t="n">
        <x:v>-12</x:v>
      </x:c>
      <x:c r="E2167" s="12" t="str">
        <x:v>FRED current rolling window</x:v>
      </x:c>
    </x:row>
    <x:row r="2168" ht="18" customHeight="1">
      <x:c r="A2168" s="13" t="n">
        <x:v>45603</x:v>
      </x:c>
      <x:c r="B2168" s="12" t="n">
        <x:v>2.73</x:v>
      </x:c>
      <x:c r="C2168" s="12" t="n">
        <x:v>273</x:v>
      </x:c>
      <x:c r="D2168" s="12" t="n">
        <x:v>-1</x:v>
      </x:c>
      <x:c r="E2168" s="12" t="str">
        <x:v>FRED current rolling window</x:v>
      </x:c>
    </x:row>
    <x:row r="2169" ht="18" customHeight="1">
      <x:c r="A2169" s="13" t="n">
        <x:v>45604</x:v>
      </x:c>
      <x:c r="B2169" s="12" t="n">
        <x:v>2.63</x:v>
      </x:c>
      <x:c r="C2169" s="12" t="n">
        <x:v>263</x:v>
      </x:c>
      <x:c r="D2169" s="12" t="n">
        <x:v>-10</x:v>
      </x:c>
      <x:c r="E2169" s="12" t="str">
        <x:v>FRED current rolling window</x:v>
      </x:c>
    </x:row>
    <x:row r="2170" ht="18" customHeight="1">
      <x:c r="A2170" s="13" t="n">
        <x:v>45607</x:v>
      </x:c>
      <x:c r="B2170" s="12" t="n">
        <x:v>2.63</x:v>
      </x:c>
      <x:c r="C2170" s="12" t="n">
        <x:v>263</x:v>
      </x:c>
      <x:c r="D2170" s="12" t="n">
        <x:v>0</x:v>
      </x:c>
      <x:c r="E2170" s="12" t="str">
        <x:v>FRED current rolling window</x:v>
      </x:c>
    </x:row>
    <x:row r="2171" ht="18" customHeight="1">
      <x:c r="A2171" s="13" t="n">
        <x:v>45608</x:v>
      </x:c>
      <x:c r="B2171" s="12" t="n">
        <x:v>2.61</x:v>
      </x:c>
      <x:c r="C2171" s="12" t="n">
        <x:v>261</x:v>
      </x:c>
      <x:c r="D2171" s="12" t="n">
        <x:v>-2</x:v>
      </x:c>
      <x:c r="E2171" s="12" t="str">
        <x:v>FRED current rolling window</x:v>
      </x:c>
    </x:row>
    <x:row r="2172" ht="18" customHeight="1">
      <x:c r="A2172" s="13" t="n">
        <x:v>45609</x:v>
      </x:c>
      <x:c r="B2172" s="12" t="n">
        <x:v>2.64</x:v>
      </x:c>
      <x:c r="C2172" s="12" t="n">
        <x:v>264</x:v>
      </x:c>
      <x:c r="D2172" s="12" t="n">
        <x:v>3</x:v>
      </x:c>
      <x:c r="E2172" s="12" t="str">
        <x:v>FRED current rolling window</x:v>
      </x:c>
    </x:row>
    <x:row r="2173" ht="18" customHeight="1">
      <x:c r="A2173" s="13" t="n">
        <x:v>45610</x:v>
      </x:c>
      <x:c r="B2173" s="12" t="n">
        <x:v>2.6</x:v>
      </x:c>
      <x:c r="C2173" s="12" t="n">
        <x:v>260</x:v>
      </x:c>
      <x:c r="D2173" s="12" t="n">
        <x:v>-4</x:v>
      </x:c>
      <x:c r="E2173" s="12" t="str">
        <x:v>FRED current rolling window</x:v>
      </x:c>
    </x:row>
    <x:row r="2174" ht="18" customHeight="1">
      <x:c r="A2174" s="13" t="n">
        <x:v>45611</x:v>
      </x:c>
      <x:c r="B2174" s="12" t="n">
        <x:v>2.72</x:v>
      </x:c>
      <x:c r="C2174" s="12" t="n">
        <x:v>272</x:v>
      </x:c>
      <x:c r="D2174" s="12" t="n">
        <x:v>12</x:v>
      </x:c>
      <x:c r="E2174" s="12" t="str">
        <x:v>FRED current rolling window</x:v>
      </x:c>
    </x:row>
    <x:row r="2175" ht="18" customHeight="1">
      <x:c r="A2175" s="13" t="n">
        <x:v>45614</x:v>
      </x:c>
      <x:c r="B2175" s="12" t="n">
        <x:v>2.72</x:v>
      </x:c>
      <x:c r="C2175" s="12" t="n">
        <x:v>272</x:v>
      </x:c>
      <x:c r="D2175" s="12" t="n">
        <x:v>0</x:v>
      </x:c>
      <x:c r="E2175" s="12" t="str">
        <x:v>FRED current rolling window</x:v>
      </x:c>
    </x:row>
    <x:row r="2176" ht="18" customHeight="1">
      <x:c r="A2176" s="13" t="n">
        <x:v>45615</x:v>
      </x:c>
      <x:c r="B2176" s="12" t="n">
        <x:v>2.69</x:v>
      </x:c>
      <x:c r="C2176" s="12" t="n">
        <x:v>269</x:v>
      </x:c>
      <x:c r="D2176" s="12" t="n">
        <x:v>-3</x:v>
      </x:c>
      <x:c r="E2176" s="12" t="str">
        <x:v>FRED current rolling window</x:v>
      </x:c>
    </x:row>
    <x:row r="2177" ht="18" customHeight="1">
      <x:c r="A2177" s="13" t="n">
        <x:v>45616</x:v>
      </x:c>
      <x:c r="B2177" s="12" t="n">
        <x:v>2.67</x:v>
      </x:c>
      <x:c r="C2177" s="12" t="n">
        <x:v>267</x:v>
      </x:c>
      <x:c r="D2177" s="12" t="n">
        <x:v>-2</x:v>
      </x:c>
      <x:c r="E2177" s="12" t="str">
        <x:v>FRED current rolling window</x:v>
      </x:c>
    </x:row>
    <x:row r="2178" ht="18" customHeight="1">
      <x:c r="A2178" s="13" t="n">
        <x:v>45617</x:v>
      </x:c>
      <x:c r="B2178" s="12" t="n">
        <x:v>2.61</x:v>
      </x:c>
      <x:c r="C2178" s="12" t="n">
        <x:v>261</x:v>
      </x:c>
      <x:c r="D2178" s="12" t="n">
        <x:v>-6</x:v>
      </x:c>
      <x:c r="E2178" s="12" t="str">
        <x:v>FRED current rolling window</x:v>
      </x:c>
    </x:row>
    <x:row r="2179" ht="18" customHeight="1">
      <x:c r="A2179" s="13" t="n">
        <x:v>45618</x:v>
      </x:c>
      <x:c r="B2179" s="12" t="n">
        <x:v>2.61</x:v>
      </x:c>
      <x:c r="C2179" s="12" t="n">
        <x:v>261</x:v>
      </x:c>
      <x:c r="D2179" s="12" t="n">
        <x:v>0</x:v>
      </x:c>
      <x:c r="E2179" s="12" t="str">
        <x:v>FRED current rolling window</x:v>
      </x:c>
    </x:row>
    <x:row r="2180" ht="18" customHeight="1">
      <x:c r="A2180" s="13" t="n">
        <x:v>45621</x:v>
      </x:c>
      <x:c r="B2180" s="12" t="n">
        <x:v>2.64</x:v>
      </x:c>
      <x:c r="C2180" s="12" t="n">
        <x:v>264</x:v>
      </x:c>
      <x:c r="D2180" s="12" t="n">
        <x:v>3</x:v>
      </x:c>
      <x:c r="E2180" s="12" t="str">
        <x:v>FRED current rolling window</x:v>
      </x:c>
    </x:row>
    <x:row r="2181" ht="18" customHeight="1">
      <x:c r="A2181" s="13" t="n">
        <x:v>45622</x:v>
      </x:c>
      <x:c r="B2181" s="12" t="n">
        <x:v>2.68</x:v>
      </x:c>
      <x:c r="C2181" s="12" t="n">
        <x:v>268</x:v>
      </x:c>
      <x:c r="D2181" s="12" t="n">
        <x:v>4</x:v>
      </x:c>
      <x:c r="E2181" s="12" t="str">
        <x:v>FRED current rolling window</x:v>
      </x:c>
    </x:row>
    <x:row r="2182" ht="18" customHeight="1">
      <x:c r="A2182" s="13" t="n">
        <x:v>45623</x:v>
      </x:c>
      <x:c r="B2182" s="12" t="n">
        <x:v>2.69</x:v>
      </x:c>
      <x:c r="C2182" s="12" t="n">
        <x:v>269</x:v>
      </x:c>
      <x:c r="D2182" s="12" t="n">
        <x:v>1</x:v>
      </x:c>
      <x:c r="E2182" s="12" t="str">
        <x:v>FRED current rolling window</x:v>
      </x:c>
    </x:row>
    <x:row r="2183" ht="18" customHeight="1">
      <x:c r="A2183" s="13" t="n">
        <x:v>45624</x:v>
      </x:c>
      <x:c r="B2183" s="12" t="n">
        <x:v>2.69</x:v>
      </x:c>
      <x:c r="C2183" s="12" t="n">
        <x:v>269</x:v>
      </x:c>
      <x:c r="D2183" s="12" t="n">
        <x:v>0</x:v>
      </x:c>
      <x:c r="E2183" s="12" t="str">
        <x:v>FRED current rolling window</x:v>
      </x:c>
    </x:row>
    <x:row r="2184" ht="18" customHeight="1">
      <x:c r="A2184" s="13" t="n">
        <x:v>45625</x:v>
      </x:c>
      <x:c r="B2184" s="12" t="n">
        <x:v>2.72</x:v>
      </x:c>
      <x:c r="C2184" s="12" t="n">
        <x:v>272</x:v>
      </x:c>
      <x:c r="D2184" s="12" t="n">
        <x:v>3</x:v>
      </x:c>
      <x:c r="E2184" s="12" t="str">
        <x:v>FRED current rolling window</x:v>
      </x:c>
    </x:row>
    <x:row r="2185" ht="18" customHeight="1">
      <x:c r="A2185" s="13" t="n">
        <x:v>45626</x:v>
      </x:c>
      <x:c r="B2185" s="12" t="n">
        <x:v>2.74</x:v>
      </x:c>
      <x:c r="C2185" s="12" t="n">
        <x:v>274</x:v>
      </x:c>
      <x:c r="D2185" s="12" t="n">
        <x:v>2</x:v>
      </x:c>
      <x:c r="E2185" s="12" t="str">
        <x:v>FRED current rolling window</x:v>
      </x:c>
    </x:row>
    <x:row r="2186" ht="18" customHeight="1">
      <x:c r="A2186" s="13" t="n">
        <x:v>45628</x:v>
      </x:c>
      <x:c r="B2186" s="12" t="n">
        <x:v>2.68</x:v>
      </x:c>
      <x:c r="C2186" s="12" t="n">
        <x:v>268</x:v>
      </x:c>
      <x:c r="D2186" s="12" t="n">
        <x:v>-6</x:v>
      </x:c>
      <x:c r="E2186" s="12" t="str">
        <x:v>FRED current rolling window</x:v>
      </x:c>
    </x:row>
    <x:row r="2187" ht="18" customHeight="1">
      <x:c r="A2187" s="13" t="n">
        <x:v>45629</x:v>
      </x:c>
      <x:c r="B2187" s="12" t="n">
        <x:v>2.66</x:v>
      </x:c>
      <x:c r="C2187" s="12" t="n">
        <x:v>266</x:v>
      </x:c>
      <x:c r="D2187" s="12" t="n">
        <x:v>-2</x:v>
      </x:c>
      <x:c r="E2187" s="12" t="str">
        <x:v>FRED current rolling window</x:v>
      </x:c>
    </x:row>
    <x:row r="2188" ht="18" customHeight="1">
      <x:c r="A2188" s="13" t="n">
        <x:v>45630</x:v>
      </x:c>
      <x:c r="B2188" s="12" t="n">
        <x:v>2.66</x:v>
      </x:c>
      <x:c r="C2188" s="12" t="n">
        <x:v>266</x:v>
      </x:c>
      <x:c r="D2188" s="12" t="n">
        <x:v>0</x:v>
      </x:c>
      <x:c r="E2188" s="12" t="str">
        <x:v>FRED current rolling window</x:v>
      </x:c>
    </x:row>
    <x:row r="2189" ht="18" customHeight="1">
      <x:c r="A2189" s="13" t="n">
        <x:v>45631</x:v>
      </x:c>
      <x:c r="B2189" s="12" t="n">
        <x:v>2.66</x:v>
      </x:c>
      <x:c r="C2189" s="12" t="n">
        <x:v>266</x:v>
      </x:c>
      <x:c r="D2189" s="12" t="n">
        <x:v>0</x:v>
      </x:c>
      <x:c r="E2189" s="12" t="str">
        <x:v>FRED current rolling window</x:v>
      </x:c>
    </x:row>
    <x:row r="2190" ht="18" customHeight="1">
      <x:c r="A2190" s="13" t="n">
        <x:v>45632</x:v>
      </x:c>
      <x:c r="B2190" s="12" t="n">
        <x:v>2.67</x:v>
      </x:c>
      <x:c r="C2190" s="12" t="n">
        <x:v>267</x:v>
      </x:c>
      <x:c r="D2190" s="12" t="n">
        <x:v>1</x:v>
      </x:c>
      <x:c r="E2190" s="12" t="str">
        <x:v>FRED current rolling window</x:v>
      </x:c>
    </x:row>
    <x:row r="2191" ht="18" customHeight="1">
      <x:c r="A2191" s="13" t="n">
        <x:v>45635</x:v>
      </x:c>
      <x:c r="B2191" s="12" t="n">
        <x:v>2.67</x:v>
      </x:c>
      <x:c r="C2191" s="12" t="n">
        <x:v>267</x:v>
      </x:c>
      <x:c r="D2191" s="12" t="n">
        <x:v>0</x:v>
      </x:c>
      <x:c r="E2191" s="12" t="str">
        <x:v>FRED current rolling window</x:v>
      </x:c>
    </x:row>
    <x:row r="2192" ht="18" customHeight="1">
      <x:c r="A2192" s="13" t="n">
        <x:v>45636</x:v>
      </x:c>
      <x:c r="B2192" s="12" t="n">
        <x:v>2.67</x:v>
      </x:c>
      <x:c r="C2192" s="12" t="n">
        <x:v>267</x:v>
      </x:c>
      <x:c r="D2192" s="12" t="n">
        <x:v>0</x:v>
      </x:c>
      <x:c r="E2192" s="12" t="str">
        <x:v>FRED current rolling window</x:v>
      </x:c>
    </x:row>
    <x:row r="2193" ht="18" customHeight="1">
      <x:c r="A2193" s="13" t="n">
        <x:v>45637</x:v>
      </x:c>
      <x:c r="B2193" s="12" t="n">
        <x:v>2.64</x:v>
      </x:c>
      <x:c r="C2193" s="12" t="n">
        <x:v>264</x:v>
      </x:c>
      <x:c r="D2193" s="12" t="n">
        <x:v>-3</x:v>
      </x:c>
      <x:c r="E2193" s="12" t="str">
        <x:v>FRED current rolling window</x:v>
      </x:c>
    </x:row>
    <x:row r="2194" ht="18" customHeight="1">
      <x:c r="A2194" s="13" t="n">
        <x:v>45638</x:v>
      </x:c>
      <x:c r="B2194" s="12" t="n">
        <x:v>2.66</x:v>
      </x:c>
      <x:c r="C2194" s="12" t="n">
        <x:v>266</x:v>
      </x:c>
      <x:c r="D2194" s="12" t="n">
        <x:v>2</x:v>
      </x:c>
      <x:c r="E2194" s="12" t="str">
        <x:v>FRED current rolling window</x:v>
      </x:c>
    </x:row>
    <x:row r="2195" ht="18" customHeight="1">
      <x:c r="A2195" s="13" t="n">
        <x:v>45639</x:v>
      </x:c>
      <x:c r="B2195" s="12" t="n">
        <x:v>2.68</x:v>
      </x:c>
      <x:c r="C2195" s="12" t="n">
        <x:v>268</x:v>
      </x:c>
      <x:c r="D2195" s="12" t="n">
        <x:v>2</x:v>
      </x:c>
      <x:c r="E2195" s="12" t="str">
        <x:v>FRED current rolling window</x:v>
      </x:c>
    </x:row>
    <x:row r="2196" ht="18" customHeight="1">
      <x:c r="A2196" s="13" t="n">
        <x:v>45642</x:v>
      </x:c>
      <x:c r="B2196" s="12" t="n">
        <x:v>2.69</x:v>
      </x:c>
      <x:c r="C2196" s="12" t="n">
        <x:v>269</x:v>
      </x:c>
      <x:c r="D2196" s="12" t="n">
        <x:v>1</x:v>
      </x:c>
      <x:c r="E2196" s="12" t="str">
        <x:v>FRED current rolling window</x:v>
      </x:c>
    </x:row>
    <x:row r="2197" ht="18" customHeight="1">
      <x:c r="A2197" s="13" t="n">
        <x:v>45643</x:v>
      </x:c>
      <x:c r="B2197" s="12" t="n">
        <x:v>2.75</x:v>
      </x:c>
      <x:c r="C2197" s="12" t="n">
        <x:v>275</x:v>
      </x:c>
      <x:c r="D2197" s="12" t="n">
        <x:v>6</x:v>
      </x:c>
      <x:c r="E2197" s="12" t="str">
        <x:v>FRED current rolling window</x:v>
      </x:c>
    </x:row>
    <x:row r="2198" ht="18" customHeight="1">
      <x:c r="A2198" s="13" t="n">
        <x:v>45644</x:v>
      </x:c>
      <x:c r="B2198" s="12" t="n">
        <x:v>2.73</x:v>
      </x:c>
      <x:c r="C2198" s="12" t="n">
        <x:v>273</x:v>
      </x:c>
      <x:c r="D2198" s="12" t="n">
        <x:v>-2</x:v>
      </x:c>
      <x:c r="E2198" s="12" t="str">
        <x:v>FRED current rolling window</x:v>
      </x:c>
    </x:row>
    <x:row r="2199" ht="18" customHeight="1">
      <x:c r="A2199" s="13" t="n">
        <x:v>45645</x:v>
      </x:c>
      <x:c r="B2199" s="12" t="n">
        <x:v>2.91</x:v>
      </x:c>
      <x:c r="C2199" s="12" t="n">
        <x:v>291</x:v>
      </x:c>
      <x:c r="D2199" s="12" t="n">
        <x:v>18</x:v>
      </x:c>
      <x:c r="E2199" s="12" t="str">
        <x:v>FRED current rolling window</x:v>
      </x:c>
    </x:row>
    <x:row r="2200" ht="18" customHeight="1">
      <x:c r="A2200" s="13" t="n">
        <x:v>45646</x:v>
      </x:c>
      <x:c r="B2200" s="12" t="n">
        <x:v>2.86</x:v>
      </x:c>
      <x:c r="C2200" s="12" t="n">
        <x:v>286</x:v>
      </x:c>
      <x:c r="D2200" s="12" t="n">
        <x:v>-5</x:v>
      </x:c>
      <x:c r="E2200" s="12" t="str">
        <x:v>FRED current rolling window</x:v>
      </x:c>
    </x:row>
    <x:row r="2201" ht="18" customHeight="1">
      <x:c r="A2201" s="13" t="n">
        <x:v>45649</x:v>
      </x:c>
      <x:c r="B2201" s="12" t="n">
        <x:v>2.85</x:v>
      </x:c>
      <x:c r="C2201" s="12" t="n">
        <x:v>285</x:v>
      </x:c>
      <x:c r="D2201" s="12" t="n">
        <x:v>-1</x:v>
      </x:c>
      <x:c r="E2201" s="12" t="str">
        <x:v>FRED current rolling window</x:v>
      </x:c>
    </x:row>
    <x:row r="2202" ht="18" customHeight="1">
      <x:c r="A2202" s="13" t="n">
        <x:v>45650</x:v>
      </x:c>
      <x:c r="B2202" s="12" t="n">
        <x:v>2.86</x:v>
      </x:c>
      <x:c r="C2202" s="12" t="n">
        <x:v>286</x:v>
      </x:c>
      <x:c r="D2202" s="12" t="n">
        <x:v>1</x:v>
      </x:c>
      <x:c r="E2202" s="12" t="str">
        <x:v>FRED current rolling window</x:v>
      </x:c>
    </x:row>
    <x:row r="2203" ht="18" customHeight="1">
      <x:c r="A2203" s="13" t="n">
        <x:v>45652</x:v>
      </x:c>
      <x:c r="B2203" s="12" t="n">
        <x:v>2.86</x:v>
      </x:c>
      <x:c r="C2203" s="12" t="n">
        <x:v>286</x:v>
      </x:c>
      <x:c r="D2203" s="12" t="n">
        <x:v>0</x:v>
      </x:c>
      <x:c r="E2203" s="12" t="str">
        <x:v>FRED current rolling window</x:v>
      </x:c>
    </x:row>
    <x:row r="2204" ht="18" customHeight="1">
      <x:c r="A2204" s="13" t="n">
        <x:v>45653</x:v>
      </x:c>
      <x:c r="B2204" s="12" t="n">
        <x:v>2.84</x:v>
      </x:c>
      <x:c r="C2204" s="12" t="n">
        <x:v>284</x:v>
      </x:c>
      <x:c r="D2204" s="12" t="n">
        <x:v>-2</x:v>
      </x:c>
      <x:c r="E2204" s="12" t="str">
        <x:v>FRED current rolling window</x:v>
      </x:c>
    </x:row>
    <x:row r="2205" ht="18" customHeight="1">
      <x:c r="A2205" s="13" t="n">
        <x:v>45656</x:v>
      </x:c>
      <x:c r="B2205" s="12" t="n">
        <x:v>2.94</x:v>
      </x:c>
      <x:c r="C2205" s="12" t="n">
        <x:v>294</x:v>
      </x:c>
      <x:c r="D2205" s="12" t="n">
        <x:v>10</x:v>
      </x:c>
      <x:c r="E2205" s="12" t="str">
        <x:v>FRED current rolling window</x:v>
      </x:c>
    </x:row>
    <x:row r="2206" ht="18" customHeight="1">
      <x:c r="A2206" s="13" t="n">
        <x:v>45657</x:v>
      </x:c>
      <x:c r="B2206" s="12" t="n">
        <x:v>2.92</x:v>
      </x:c>
      <x:c r="C2206" s="12" t="n">
        <x:v>292</x:v>
      </x:c>
      <x:c r="D2206" s="12" t="n">
        <x:v>-2</x:v>
      </x:c>
      <x:c r="E2206" s="12" t="str">
        <x:v>FRED current rolling window</x:v>
      </x:c>
    </x:row>
    <x:row r="2207" ht="18" customHeight="1">
      <x:c r="A2207" s="13" t="n">
        <x:v>45659</x:v>
      </x:c>
      <x:c r="B2207" s="12" t="n">
        <x:v>2.88</x:v>
      </x:c>
      <x:c r="C2207" s="12" t="n">
        <x:v>288</x:v>
      </x:c>
      <x:c r="D2207" s="12" t="n">
        <x:v>-4</x:v>
      </x:c>
      <x:c r="E2207" s="12" t="str">
        <x:v>FRED current rolling window</x:v>
      </x:c>
    </x:row>
    <x:row r="2208" ht="18" customHeight="1">
      <x:c r="A2208" s="13" t="n">
        <x:v>45660</x:v>
      </x:c>
      <x:c r="B2208" s="12" t="n">
        <x:v>2.81</x:v>
      </x:c>
      <x:c r="C2208" s="12" t="n">
        <x:v>281</x:v>
      </x:c>
      <x:c r="D2208" s="12" t="n">
        <x:v>-7</x:v>
      </x:c>
      <x:c r="E2208" s="12" t="str">
        <x:v>FRED current rolling window</x:v>
      </x:c>
    </x:row>
    <x:row r="2209" ht="18" customHeight="1">
      <x:c r="A2209" s="13" t="n">
        <x:v>45663</x:v>
      </x:c>
      <x:c r="B2209" s="12" t="n">
        <x:v>2.76</x:v>
      </x:c>
      <x:c r="C2209" s="12" t="n">
        <x:v>276</x:v>
      </x:c>
      <x:c r="D2209" s="12" t="n">
        <x:v>-5</x:v>
      </x:c>
      <x:c r="E2209" s="12" t="str">
        <x:v>FRED current rolling window</x:v>
      </x:c>
    </x:row>
    <x:row r="2210" ht="18" customHeight="1">
      <x:c r="A2210" s="13" t="n">
        <x:v>45664</x:v>
      </x:c>
      <x:c r="B2210" s="12" t="n">
        <x:v>2.79</x:v>
      </x:c>
      <x:c r="C2210" s="12" t="n">
        <x:v>279</x:v>
      </x:c>
      <x:c r="D2210" s="12" t="n">
        <x:v>3</x:v>
      </x:c>
      <x:c r="E2210" s="12" t="str">
        <x:v>FRED current rolling window</x:v>
      </x:c>
    </x:row>
    <x:row r="2211" ht="18" customHeight="1">
      <x:c r="A2211" s="13" t="n">
        <x:v>45665</x:v>
      </x:c>
      <x:c r="B2211" s="12" t="n">
        <x:v>2.84</x:v>
      </x:c>
      <x:c r="C2211" s="12" t="n">
        <x:v>284</x:v>
      </x:c>
      <x:c r="D2211" s="12" t="n">
        <x:v>5</x:v>
      </x:c>
      <x:c r="E2211" s="12" t="str">
        <x:v>FRED current rolling window</x:v>
      </x:c>
    </x:row>
    <x:row r="2212" ht="18" customHeight="1">
      <x:c r="A2212" s="13" t="n">
        <x:v>45666</x:v>
      </x:c>
      <x:c r="B2212" s="12" t="n">
        <x:v>2.82</x:v>
      </x:c>
      <x:c r="C2212" s="12" t="n">
        <x:v>282</x:v>
      </x:c>
      <x:c r="D2212" s="12" t="n">
        <x:v>-2</x:v>
      </x:c>
      <x:c r="E2212" s="12" t="str">
        <x:v>FRED current rolling window</x:v>
      </x:c>
    </x:row>
    <x:row r="2213" ht="18" customHeight="1">
      <x:c r="A2213" s="13" t="n">
        <x:v>45667</x:v>
      </x:c>
      <x:c r="B2213" s="12" t="n">
        <x:v>2.81</x:v>
      </x:c>
      <x:c r="C2213" s="12" t="n">
        <x:v>281</x:v>
      </x:c>
      <x:c r="D2213" s="12" t="n">
        <x:v>-1</x:v>
      </x:c>
      <x:c r="E2213" s="12" t="str">
        <x:v>FRED current rolling window</x:v>
      </x:c>
    </x:row>
    <x:row r="2214" ht="18" customHeight="1">
      <x:c r="A2214" s="13" t="n">
        <x:v>45670</x:v>
      </x:c>
      <x:c r="B2214" s="12" t="n">
        <x:v>2.85</x:v>
      </x:c>
      <x:c r="C2214" s="12" t="n">
        <x:v>285</x:v>
      </x:c>
      <x:c r="D2214" s="12" t="n">
        <x:v>4</x:v>
      </x:c>
      <x:c r="E2214" s="12" t="str">
        <x:v>FRED current rolling window</x:v>
      </x:c>
    </x:row>
    <x:row r="2215" ht="18" customHeight="1">
      <x:c r="A2215" s="13" t="n">
        <x:v>45671</x:v>
      </x:c>
      <x:c r="B2215" s="12" t="n">
        <x:v>2.8</x:v>
      </x:c>
      <x:c r="C2215" s="12" t="n">
        <x:v>280</x:v>
      </x:c>
      <x:c r="D2215" s="12" t="n">
        <x:v>-5</x:v>
      </x:c>
      <x:c r="E2215" s="12" t="str">
        <x:v>FRED current rolling window</x:v>
      </x:c>
    </x:row>
    <x:row r="2216" ht="18" customHeight="1">
      <x:c r="A2216" s="13" t="n">
        <x:v>45672</x:v>
      </x:c>
      <x:c r="B2216" s="12" t="n">
        <x:v>2.72</x:v>
      </x:c>
      <x:c r="C2216" s="12" t="n">
        <x:v>272</x:v>
      </x:c>
      <x:c r="D2216" s="12" t="n">
        <x:v>-8</x:v>
      </x:c>
      <x:c r="E2216" s="12" t="str">
        <x:v>FRED current rolling window</x:v>
      </x:c>
    </x:row>
    <x:row r="2217" ht="18" customHeight="1">
      <x:c r="A2217" s="13" t="n">
        <x:v>45673</x:v>
      </x:c>
      <x:c r="B2217" s="12" t="n">
        <x:v>2.73</x:v>
      </x:c>
      <x:c r="C2217" s="12" t="n">
        <x:v>273</x:v>
      </x:c>
      <x:c r="D2217" s="12" t="n">
        <x:v>1</x:v>
      </x:c>
      <x:c r="E2217" s="12" t="str">
        <x:v>FRED current rolling window</x:v>
      </x:c>
    </x:row>
    <x:row r="2218" ht="18" customHeight="1">
      <x:c r="A2218" s="13" t="n">
        <x:v>45674</x:v>
      </x:c>
      <x:c r="B2218" s="12" t="n">
        <x:v>2.64</x:v>
      </x:c>
      <x:c r="C2218" s="12" t="n">
        <x:v>264</x:v>
      </x:c>
      <x:c r="D2218" s="12" t="n">
        <x:v>-9</x:v>
      </x:c>
      <x:c r="E2218" s="12" t="str">
        <x:v>FRED current rolling window</x:v>
      </x:c>
    </x:row>
    <x:row r="2219" ht="18" customHeight="1">
      <x:c r="A2219" s="13" t="n">
        <x:v>45677</x:v>
      </x:c>
      <x:c r="B2219" s="12" t="n">
        <x:v>2.64</x:v>
      </x:c>
      <x:c r="C2219" s="12" t="n">
        <x:v>264</x:v>
      </x:c>
      <x:c r="D2219" s="12" t="n">
        <x:v>0</x:v>
      </x:c>
      <x:c r="E2219" s="12" t="str">
        <x:v>FRED current rolling window</x:v>
      </x:c>
    </x:row>
    <x:row r="2220" ht="18" customHeight="1">
      <x:c r="A2220" s="13" t="n">
        <x:v>45678</x:v>
      </x:c>
      <x:c r="B2220" s="12" t="n">
        <x:v>2.61</x:v>
      </x:c>
      <x:c r="C2220" s="12" t="n">
        <x:v>261</x:v>
      </x:c>
      <x:c r="D2220" s="12" t="n">
        <x:v>-3</x:v>
      </x:c>
      <x:c r="E2220" s="12" t="str">
        <x:v>FRED current rolling window</x:v>
      </x:c>
    </x:row>
    <x:row r="2221" ht="18" customHeight="1">
      <x:c r="A2221" s="13" t="n">
        <x:v>45679</x:v>
      </x:c>
      <x:c r="B2221" s="12" t="n">
        <x:v>2.59</x:v>
      </x:c>
      <x:c r="C2221" s="12" t="n">
        <x:v>259</x:v>
      </x:c>
      <x:c r="D2221" s="12" t="n">
        <x:v>-2</x:v>
      </x:c>
      <x:c r="E2221" s="12" t="str">
        <x:v>FRED current rolling window</x:v>
      </x:c>
    </x:row>
    <x:row r="2222" ht="18" customHeight="1">
      <x:c r="A2222" s="13" t="n">
        <x:v>45680</x:v>
      </x:c>
      <x:c r="B2222" s="12" t="n">
        <x:v>2.61</x:v>
      </x:c>
      <x:c r="C2222" s="12" t="n">
        <x:v>261</x:v>
      </x:c>
      <x:c r="D2222" s="12" t="n">
        <x:v>2</x:v>
      </x:c>
      <x:c r="E2222" s="12" t="str">
        <x:v>FRED current rolling window</x:v>
      </x:c>
    </x:row>
    <x:row r="2223" ht="18" customHeight="1">
      <x:c r="A2223" s="13" t="n">
        <x:v>45681</x:v>
      </x:c>
      <x:c r="B2223" s="12" t="n">
        <x:v>2.6</x:v>
      </x:c>
      <x:c r="C2223" s="12" t="n">
        <x:v>260</x:v>
      </x:c>
      <x:c r="D2223" s="12" t="n">
        <x:v>-1</x:v>
      </x:c>
      <x:c r="E2223" s="12" t="str">
        <x:v>FRED current rolling window</x:v>
      </x:c>
    </x:row>
    <x:row r="2224" ht="18" customHeight="1">
      <x:c r="A2224" s="13" t="n">
        <x:v>45684</x:v>
      </x:c>
      <x:c r="B2224" s="12" t="n">
        <x:v>2.66</x:v>
      </x:c>
      <x:c r="C2224" s="12" t="n">
        <x:v>266</x:v>
      </x:c>
      <x:c r="D2224" s="12" t="n">
        <x:v>6</x:v>
      </x:c>
      <x:c r="E2224" s="12" t="str">
        <x:v>FRED current rolling window</x:v>
      </x:c>
    </x:row>
    <x:row r="2225" ht="18" customHeight="1">
      <x:c r="A2225" s="13" t="n">
        <x:v>45685</x:v>
      </x:c>
      <x:c r="B2225" s="12" t="n">
        <x:v>2.66</x:v>
      </x:c>
      <x:c r="C2225" s="12" t="n">
        <x:v>266</x:v>
      </x:c>
      <x:c r="D2225" s="12" t="n">
        <x:v>0</x:v>
      </x:c>
      <x:c r="E2225" s="12" t="str">
        <x:v>FRED current rolling window</x:v>
      </x:c>
    </x:row>
    <x:row r="2226" ht="18" customHeight="1">
      <x:c r="A2226" s="13" t="n">
        <x:v>45686</x:v>
      </x:c>
      <x:c r="B2226" s="12" t="n">
        <x:v>2.68</x:v>
      </x:c>
      <x:c r="C2226" s="12" t="n">
        <x:v>268</x:v>
      </x:c>
      <x:c r="D2226" s="12" t="n">
        <x:v>2</x:v>
      </x:c>
      <x:c r="E2226" s="12" t="str">
        <x:v>FRED current rolling window</x:v>
      </x:c>
    </x:row>
    <x:row r="2227" ht="18" customHeight="1">
      <x:c r="A2227" s="13" t="n">
        <x:v>45687</x:v>
      </x:c>
      <x:c r="B2227" s="12" t="n">
        <x:v>2.67</x:v>
      </x:c>
      <x:c r="C2227" s="12" t="n">
        <x:v>267</x:v>
      </x:c>
      <x:c r="D2227" s="12" t="n">
        <x:v>-1</x:v>
      </x:c>
      <x:c r="E2227" s="12" t="str">
        <x:v>FRED current rolling window</x:v>
      </x:c>
    </x:row>
    <x:row r="2228" ht="18" customHeight="1">
      <x:c r="A2228" s="13" t="n">
        <x:v>45688</x:v>
      </x:c>
      <x:c r="B2228" s="12" t="n">
        <x:v>2.68</x:v>
      </x:c>
      <x:c r="C2228" s="12" t="n">
        <x:v>268</x:v>
      </x:c>
      <x:c r="D2228" s="12" t="n">
        <x:v>1</x:v>
      </x:c>
      <x:c r="E2228" s="12" t="str">
        <x:v>FRED current rolling window</x:v>
      </x:c>
    </x:row>
    <x:row r="2229" ht="18" customHeight="1">
      <x:c r="A2229" s="13" t="n">
        <x:v>45691</x:v>
      </x:c>
      <x:c r="B2229" s="12" t="n">
        <x:v>2.73</x:v>
      </x:c>
      <x:c r="C2229" s="12" t="n">
        <x:v>273</x:v>
      </x:c>
      <x:c r="D2229" s="12" t="n">
        <x:v>5</x:v>
      </x:c>
      <x:c r="E2229" s="12" t="str">
        <x:v>FRED current rolling window</x:v>
      </x:c>
    </x:row>
    <x:row r="2230" ht="18" customHeight="1">
      <x:c r="A2230" s="13" t="n">
        <x:v>45692</x:v>
      </x:c>
      <x:c r="B2230" s="12" t="n">
        <x:v>2.71</x:v>
      </x:c>
      <x:c r="C2230" s="12" t="n">
        <x:v>271</x:v>
      </x:c>
      <x:c r="D2230" s="12" t="n">
        <x:v>-2</x:v>
      </x:c>
      <x:c r="E2230" s="12" t="str">
        <x:v>FRED current rolling window</x:v>
      </x:c>
    </x:row>
    <x:row r="2231" ht="18" customHeight="1">
      <x:c r="A2231" s="13" t="n">
        <x:v>45693</x:v>
      </x:c>
      <x:c r="B2231" s="12" t="n">
        <x:v>2.69</x:v>
      </x:c>
      <x:c r="C2231" s="12" t="n">
        <x:v>269</x:v>
      </x:c>
      <x:c r="D2231" s="12" t="n">
        <x:v>-2</x:v>
      </x:c>
      <x:c r="E2231" s="12" t="str">
        <x:v>FRED current rolling window</x:v>
      </x:c>
    </x:row>
    <x:row r="2232" ht="18" customHeight="1">
      <x:c r="A2232" s="13" t="n">
        <x:v>45694</x:v>
      </x:c>
      <x:c r="B2232" s="12" t="n">
        <x:v>2.66</x:v>
      </x:c>
      <x:c r="C2232" s="12" t="n">
        <x:v>266</x:v>
      </x:c>
      <x:c r="D2232" s="12" t="n">
        <x:v>-3</x:v>
      </x:c>
      <x:c r="E2232" s="12" t="str">
        <x:v>FRED current rolling window</x:v>
      </x:c>
    </x:row>
    <x:row r="2233" ht="18" customHeight="1">
      <x:c r="A2233" s="13" t="n">
        <x:v>45695</x:v>
      </x:c>
      <x:c r="B2233" s="12" t="n">
        <x:v>2.67</x:v>
      </x:c>
      <x:c r="C2233" s="12" t="n">
        <x:v>267</x:v>
      </x:c>
      <x:c r="D2233" s="12" t="n">
        <x:v>1</x:v>
      </x:c>
      <x:c r="E2233" s="12" t="str">
        <x:v>FRED current rolling window</x:v>
      </x:c>
    </x:row>
    <x:row r="2234" ht="18" customHeight="1">
      <x:c r="A2234" s="13" t="n">
        <x:v>45698</x:v>
      </x:c>
      <x:c r="B2234" s="12" t="n">
        <x:v>2.66</x:v>
      </x:c>
      <x:c r="C2234" s="12" t="n">
        <x:v>266</x:v>
      </x:c>
      <x:c r="D2234" s="12" t="n">
        <x:v>-1</x:v>
      </x:c>
      <x:c r="E2234" s="12" t="str">
        <x:v>FRED current rolling window</x:v>
      </x:c>
    </x:row>
    <x:row r="2235" ht="18" customHeight="1">
      <x:c r="A2235" s="13" t="n">
        <x:v>45699</x:v>
      </x:c>
      <x:c r="B2235" s="12" t="n">
        <x:v>2.66</x:v>
      </x:c>
      <x:c r="C2235" s="12" t="n">
        <x:v>266</x:v>
      </x:c>
      <x:c r="D2235" s="12" t="n">
        <x:v>0</x:v>
      </x:c>
      <x:c r="E2235" s="12" t="str">
        <x:v>FRED current rolling window</x:v>
      </x:c>
    </x:row>
    <x:row r="2236" ht="18" customHeight="1">
      <x:c r="A2236" s="13" t="n">
        <x:v>45700</x:v>
      </x:c>
      <x:c r="B2236" s="12" t="n">
        <x:v>2.65</x:v>
      </x:c>
      <x:c r="C2236" s="12" t="n">
        <x:v>265</x:v>
      </x:c>
      <x:c r="D2236" s="12" t="n">
        <x:v>-1</x:v>
      </x:c>
      <x:c r="E2236" s="12" t="str">
        <x:v>FRED current rolling window</x:v>
      </x:c>
    </x:row>
    <x:row r="2237" ht="18" customHeight="1">
      <x:c r="A2237" s="13" t="n">
        <x:v>45701</x:v>
      </x:c>
      <x:c r="B2237" s="12" t="n">
        <x:v>2.65</x:v>
      </x:c>
      <x:c r="C2237" s="12" t="n">
        <x:v>265</x:v>
      </x:c>
      <x:c r="D2237" s="12" t="n">
        <x:v>0</x:v>
      </x:c>
      <x:c r="E2237" s="12" t="str">
        <x:v>FRED current rolling window</x:v>
      </x:c>
    </x:row>
    <x:row r="2238" ht="18" customHeight="1">
      <x:c r="A2238" s="13" t="n">
        <x:v>45702</x:v>
      </x:c>
      <x:c r="B2238" s="12" t="n">
        <x:v>2.62</x:v>
      </x:c>
      <x:c r="C2238" s="12" t="n">
        <x:v>262</x:v>
      </x:c>
      <x:c r="D2238" s="12" t="n">
        <x:v>-3</x:v>
      </x:c>
      <x:c r="E2238" s="12" t="str">
        <x:v>FRED current rolling window</x:v>
      </x:c>
    </x:row>
    <x:row r="2239" ht="18" customHeight="1">
      <x:c r="A2239" s="13" t="n">
        <x:v>45705</x:v>
      </x:c>
      <x:c r="B2239" s="12" t="n">
        <x:v>2.62</x:v>
      </x:c>
      <x:c r="C2239" s="12" t="n">
        <x:v>262</x:v>
      </x:c>
      <x:c r="D2239" s="12" t="n">
        <x:v>0</x:v>
      </x:c>
      <x:c r="E2239" s="12" t="str">
        <x:v>FRED current rolling window</x:v>
      </x:c>
    </x:row>
    <x:row r="2240" ht="18" customHeight="1">
      <x:c r="A2240" s="13" t="n">
        <x:v>45706</x:v>
      </x:c>
      <x:c r="B2240" s="12" t="n">
        <x:v>2.62</x:v>
      </x:c>
      <x:c r="C2240" s="12" t="n">
        <x:v>262</x:v>
      </x:c>
      <x:c r="D2240" s="12" t="n">
        <x:v>0</x:v>
      </x:c>
      <x:c r="E2240" s="12" t="str">
        <x:v>FRED current rolling window</x:v>
      </x:c>
    </x:row>
    <x:row r="2241" ht="18" customHeight="1">
      <x:c r="A2241" s="13" t="n">
        <x:v>45707</x:v>
      </x:c>
      <x:c r="B2241" s="12" t="n">
        <x:v>2.68</x:v>
      </x:c>
      <x:c r="C2241" s="12" t="n">
        <x:v>268</x:v>
      </x:c>
      <x:c r="D2241" s="12" t="n">
        <x:v>6</x:v>
      </x:c>
      <x:c r="E2241" s="12" t="str">
        <x:v>FRED current rolling window</x:v>
      </x:c>
    </x:row>
    <x:row r="2242" ht="18" customHeight="1">
      <x:c r="A2242" s="13" t="n">
        <x:v>45708</x:v>
      </x:c>
      <x:c r="B2242" s="12" t="n">
        <x:v>2.66</x:v>
      </x:c>
      <x:c r="C2242" s="12" t="n">
        <x:v>266</x:v>
      </x:c>
      <x:c r="D2242" s="12" t="n">
        <x:v>-2</x:v>
      </x:c>
      <x:c r="E2242" s="12" t="str">
        <x:v>FRED current rolling window</x:v>
      </x:c>
    </x:row>
    <x:row r="2243" ht="18" customHeight="1">
      <x:c r="A2243" s="13" t="n">
        <x:v>45709</x:v>
      </x:c>
      <x:c r="B2243" s="12" t="n">
        <x:v>2.78</x:v>
      </x:c>
      <x:c r="C2243" s="12" t="n">
        <x:v>278</x:v>
      </x:c>
      <x:c r="D2243" s="12" t="n">
        <x:v>12</x:v>
      </x:c>
      <x:c r="E2243" s="12" t="str">
        <x:v>FRED current rolling window</x:v>
      </x:c>
    </x:row>
    <x:row r="2244" ht="18" customHeight="1">
      <x:c r="A2244" s="13" t="n">
        <x:v>45712</x:v>
      </x:c>
      <x:c r="B2244" s="12" t="n">
        <x:v>2.78</x:v>
      </x:c>
      <x:c r="C2244" s="12" t="n">
        <x:v>278</x:v>
      </x:c>
      <x:c r="D2244" s="12" t="n">
        <x:v>0</x:v>
      </x:c>
      <x:c r="E2244" s="12" t="str">
        <x:v>FRED current rolling window</x:v>
      </x:c>
    </x:row>
    <x:row r="2245" ht="18" customHeight="1">
      <x:c r="A2245" s="13" t="n">
        <x:v>45713</x:v>
      </x:c>
      <x:c r="B2245" s="12" t="n">
        <x:v>2.84</x:v>
      </x:c>
      <x:c r="C2245" s="12" t="n">
        <x:v>284</x:v>
      </x:c>
      <x:c r="D2245" s="12" t="n">
        <x:v>6</x:v>
      </x:c>
      <x:c r="E2245" s="12" t="str">
        <x:v>FRED current rolling window</x:v>
      </x:c>
    </x:row>
    <x:row r="2246" ht="18" customHeight="1">
      <x:c r="A2246" s="13" t="n">
        <x:v>45714</x:v>
      </x:c>
      <x:c r="B2246" s="12" t="n">
        <x:v>2.81</x:v>
      </x:c>
      <x:c r="C2246" s="12" t="n">
        <x:v>281</x:v>
      </x:c>
      <x:c r="D2246" s="12" t="n">
        <x:v>-3</x:v>
      </x:c>
      <x:c r="E2246" s="12" t="str">
        <x:v>FRED current rolling window</x:v>
      </x:c>
    </x:row>
    <x:row r="2247" ht="18" customHeight="1">
      <x:c r="A2247" s="13" t="n">
        <x:v>45715</x:v>
      </x:c>
      <x:c r="B2247" s="12" t="n">
        <x:v>2.81</x:v>
      </x:c>
      <x:c r="C2247" s="12" t="n">
        <x:v>281</x:v>
      </x:c>
      <x:c r="D2247" s="12" t="n">
        <x:v>0</x:v>
      </x:c>
      <x:c r="E2247" s="12" t="str">
        <x:v>FRED current rolling window</x:v>
      </x:c>
    </x:row>
    <x:row r="2248" ht="18" customHeight="1">
      <x:c r="A2248" s="13" t="n">
        <x:v>45716</x:v>
      </x:c>
      <x:c r="B2248" s="12" t="n">
        <x:v>2.87</x:v>
      </x:c>
      <x:c r="C2248" s="12" t="n">
        <x:v>287</x:v>
      </x:c>
      <x:c r="D2248" s="12" t="n">
        <x:v>6</x:v>
      </x:c>
      <x:c r="E2248" s="12" t="str">
        <x:v>FRED current rolling window</x:v>
      </x:c>
    </x:row>
    <x:row r="2249" ht="18" customHeight="1">
      <x:c r="A2249" s="13" t="n">
        <x:v>45719</x:v>
      </x:c>
      <x:c r="B2249" s="12" t="n">
        <x:v>2.94</x:v>
      </x:c>
      <x:c r="C2249" s="12" t="n">
        <x:v>294</x:v>
      </x:c>
      <x:c r="D2249" s="12" t="n">
        <x:v>7</x:v>
      </x:c>
      <x:c r="E2249" s="12" t="str">
        <x:v>FRED current rolling window</x:v>
      </x:c>
    </x:row>
    <x:row r="2250" ht="18" customHeight="1">
      <x:c r="A2250" s="13" t="n">
        <x:v>45720</x:v>
      </x:c>
      <x:c r="B2250" s="12" t="n">
        <x:v>2.99</x:v>
      </x:c>
      <x:c r="C2250" s="12" t="n">
        <x:v>299</x:v>
      </x:c>
      <x:c r="D2250" s="12" t="n">
        <x:v>5</x:v>
      </x:c>
      <x:c r="E2250" s="12" t="str">
        <x:v>FRED current rolling window</x:v>
      </x:c>
    </x:row>
    <x:row r="2251" ht="18" customHeight="1">
      <x:c r="A2251" s="13" t="n">
        <x:v>45721</x:v>
      </x:c>
      <x:c r="B2251" s="12" t="n">
        <x:v>2.88</x:v>
      </x:c>
      <x:c r="C2251" s="12" t="n">
        <x:v>288</x:v>
      </x:c>
      <x:c r="D2251" s="12" t="n">
        <x:v>-11</x:v>
      </x:c>
      <x:c r="E2251" s="12" t="str">
        <x:v>FRED current rolling window</x:v>
      </x:c>
    </x:row>
    <x:row r="2252" ht="18" customHeight="1">
      <x:c r="A2252" s="13" t="n">
        <x:v>45722</x:v>
      </x:c>
      <x:c r="B2252" s="12" t="n">
        <x:v>2.99</x:v>
      </x:c>
      <x:c r="C2252" s="12" t="n">
        <x:v>299</x:v>
      </x:c>
      <x:c r="D2252" s="12" t="n">
        <x:v>11</x:v>
      </x:c>
      <x:c r="E2252" s="12" t="str">
        <x:v>FRED current rolling window</x:v>
      </x:c>
    </x:row>
    <x:row r="2253" ht="18" customHeight="1">
      <x:c r="A2253" s="13" t="n">
        <x:v>45723</x:v>
      </x:c>
      <x:c r="B2253" s="12" t="n">
        <x:v>2.97</x:v>
      </x:c>
      <x:c r="C2253" s="12" t="n">
        <x:v>297</x:v>
      </x:c>
      <x:c r="D2253" s="12" t="n">
        <x:v>-2</x:v>
      </x:c>
      <x:c r="E2253" s="12" t="str">
        <x:v>FRED current rolling window</x:v>
      </x:c>
    </x:row>
    <x:row r="2254" ht="18" customHeight="1">
      <x:c r="A2254" s="13" t="n">
        <x:v>45726</x:v>
      </x:c>
      <x:c r="B2254" s="12" t="n">
        <x:v>3.16</x:v>
      </x:c>
      <x:c r="C2254" s="12" t="n">
        <x:v>316</x:v>
      </x:c>
      <x:c r="D2254" s="12" t="n">
        <x:v>19</x:v>
      </x:c>
      <x:c r="E2254" s="12" t="str">
        <x:v>FRED current rolling window</x:v>
      </x:c>
    </x:row>
    <x:row r="2255" ht="18" customHeight="1">
      <x:c r="A2255" s="13" t="n">
        <x:v>45727</x:v>
      </x:c>
      <x:c r="B2255" s="12" t="n">
        <x:v>3.22</x:v>
      </x:c>
      <x:c r="C2255" s="12" t="n">
        <x:v>322</x:v>
      </x:c>
      <x:c r="D2255" s="12" t="n">
        <x:v>6</x:v>
      </x:c>
      <x:c r="E2255" s="12" t="str">
        <x:v>FRED current rolling window</x:v>
      </x:c>
    </x:row>
    <x:row r="2256" ht="18" customHeight="1">
      <x:c r="A2256" s="13" t="n">
        <x:v>45728</x:v>
      </x:c>
      <x:c r="B2256" s="12" t="n">
        <x:v>3.2</x:v>
      </x:c>
      <x:c r="C2256" s="12" t="n">
        <x:v>320</x:v>
      </x:c>
      <x:c r="D2256" s="12" t="n">
        <x:v>-2</x:v>
      </x:c>
      <x:c r="E2256" s="12" t="str">
        <x:v>FRED current rolling window</x:v>
      </x:c>
    </x:row>
    <x:row r="2257" ht="18" customHeight="1">
      <x:c r="A2257" s="13" t="n">
        <x:v>45729</x:v>
      </x:c>
      <x:c r="B2257" s="12" t="n">
        <x:v>3.4</x:v>
      </x:c>
      <x:c r="C2257" s="12" t="n">
        <x:v>340</x:v>
      </x:c>
      <x:c r="D2257" s="12" t="n">
        <x:v>20</x:v>
      </x:c>
      <x:c r="E2257" s="12" t="str">
        <x:v>FRED current rolling window</x:v>
      </x:c>
    </x:row>
    <x:row r="2258" ht="18" customHeight="1">
      <x:c r="A2258" s="13" t="n">
        <x:v>45730</x:v>
      </x:c>
      <x:c r="B2258" s="12" t="n">
        <x:v>3.25</x:v>
      </x:c>
      <x:c r="C2258" s="12" t="n">
        <x:v>325</x:v>
      </x:c>
      <x:c r="D2258" s="12" t="n">
        <x:v>-15</x:v>
      </x:c>
      <x:c r="E2258" s="12" t="str">
        <x:v>FRED current rolling window</x:v>
      </x:c>
    </x:row>
    <x:row r="2259" ht="18" customHeight="1">
      <x:c r="A2259" s="13" t="n">
        <x:v>45733</x:v>
      </x:c>
      <x:c r="B2259" s="12" t="n">
        <x:v>3.18</x:v>
      </x:c>
      <x:c r="C2259" s="12" t="n">
        <x:v>318</x:v>
      </x:c>
      <x:c r="D2259" s="12" t="n">
        <x:v>-7</x:v>
      </x:c>
      <x:c r="E2259" s="12" t="str">
        <x:v>FRED current rolling window</x:v>
      </x:c>
    </x:row>
    <x:row r="2260" ht="18" customHeight="1">
      <x:c r="A2260" s="13" t="n">
        <x:v>45734</x:v>
      </x:c>
      <x:c r="B2260" s="12" t="n">
        <x:v>3.23</x:v>
      </x:c>
      <x:c r="C2260" s="12" t="n">
        <x:v>323</x:v>
      </x:c>
      <x:c r="D2260" s="12" t="n">
        <x:v>5</x:v>
      </x:c>
      <x:c r="E2260" s="12" t="str">
        <x:v>FRED current rolling window</x:v>
      </x:c>
    </x:row>
    <x:row r="2261" ht="18" customHeight="1">
      <x:c r="A2261" s="13" t="n">
        <x:v>45735</x:v>
      </x:c>
      <x:c r="B2261" s="12" t="n">
        <x:v>3.19</x:v>
      </x:c>
      <x:c r="C2261" s="12" t="n">
        <x:v>319</x:v>
      </x:c>
      <x:c r="D2261" s="12" t="n">
        <x:v>-4</x:v>
      </x:c>
      <x:c r="E2261" s="12" t="str">
        <x:v>FRED current rolling window</x:v>
      </x:c>
    </x:row>
    <x:row r="2262" ht="18" customHeight="1">
      <x:c r="A2262" s="13" t="n">
        <x:v>45736</x:v>
      </x:c>
      <x:c r="B2262" s="12" t="n">
        <x:v>3.17</x:v>
      </x:c>
      <x:c r="C2262" s="12" t="n">
        <x:v>317</x:v>
      </x:c>
      <x:c r="D2262" s="12" t="n">
        <x:v>-2</x:v>
      </x:c>
      <x:c r="E2262" s="12" t="str">
        <x:v>FRED current rolling window</x:v>
      </x:c>
    </x:row>
    <x:row r="2263" ht="18" customHeight="1">
      <x:c r="A2263" s="13" t="n">
        <x:v>45737</x:v>
      </x:c>
      <x:c r="B2263" s="12" t="n">
        <x:v>3.21</x:v>
      </x:c>
      <x:c r="C2263" s="12" t="n">
        <x:v>321</x:v>
      </x:c>
      <x:c r="D2263" s="12" t="n">
        <x:v>4</x:v>
      </x:c>
      <x:c r="E2263" s="12" t="str">
        <x:v>FRED current rolling window</x:v>
      </x:c>
    </x:row>
    <x:row r="2264" ht="18" customHeight="1">
      <x:c r="A2264" s="13" t="n">
        <x:v>45740</x:v>
      </x:c>
      <x:c r="B2264" s="12" t="n">
        <x:v>3.05</x:v>
      </x:c>
      <x:c r="C2264" s="12" t="n">
        <x:v>305</x:v>
      </x:c>
      <x:c r="D2264" s="12" t="n">
        <x:v>-16</x:v>
      </x:c>
      <x:c r="E2264" s="12" t="str">
        <x:v>FRED current rolling window</x:v>
      </x:c>
    </x:row>
    <x:row r="2265" ht="18" customHeight="1">
      <x:c r="A2265" s="13" t="n">
        <x:v>45741</x:v>
      </x:c>
      <x:c r="B2265" s="12" t="n">
        <x:v>3.09</x:v>
      </x:c>
      <x:c r="C2265" s="12" t="n">
        <x:v>309</x:v>
      </x:c>
      <x:c r="D2265" s="12" t="n">
        <x:v>4</x:v>
      </x:c>
      <x:c r="E2265" s="12" t="str">
        <x:v>FRED current rolling window</x:v>
      </x:c>
    </x:row>
    <x:row r="2266" ht="18" customHeight="1">
      <x:c r="A2266" s="13" t="n">
        <x:v>45742</x:v>
      </x:c>
      <x:c r="B2266" s="12" t="n">
        <x:v>3.19</x:v>
      </x:c>
      <x:c r="C2266" s="12" t="n">
        <x:v>319</x:v>
      </x:c>
      <x:c r="D2266" s="12" t="n">
        <x:v>10</x:v>
      </x:c>
      <x:c r="E2266" s="12" t="str">
        <x:v>FRED current rolling window</x:v>
      </x:c>
    </x:row>
    <x:row r="2267" ht="18" customHeight="1">
      <x:c r="A2267" s="13" t="n">
        <x:v>45743</x:v>
      </x:c>
      <x:c r="B2267" s="12" t="n">
        <x:v>3.27</x:v>
      </x:c>
      <x:c r="C2267" s="12" t="n">
        <x:v>327</x:v>
      </x:c>
      <x:c r="D2267" s="12" t="n">
        <x:v>8</x:v>
      </x:c>
      <x:c r="E2267" s="12" t="str">
        <x:v>FRED current rolling window</x:v>
      </x:c>
    </x:row>
    <x:row r="2268" ht="18" customHeight="1">
      <x:c r="A2268" s="13" t="n">
        <x:v>45744</x:v>
      </x:c>
      <x:c r="B2268" s="12" t="n">
        <x:v>3.47</x:v>
      </x:c>
      <x:c r="C2268" s="12" t="n">
        <x:v>347</x:v>
      </x:c>
      <x:c r="D2268" s="12" t="n">
        <x:v>20</x:v>
      </x:c>
      <x:c r="E2268" s="12" t="str">
        <x:v>FRED current rolling window</x:v>
      </x:c>
    </x:row>
    <x:row r="2269" ht="18" customHeight="1">
      <x:c r="A2269" s="13" t="n">
        <x:v>45747</x:v>
      </x:c>
      <x:c r="B2269" s="12" t="n">
        <x:v>3.55</x:v>
      </x:c>
      <x:c r="C2269" s="12" t="n">
        <x:v>355</x:v>
      </x:c>
      <x:c r="D2269" s="12" t="n">
        <x:v>8</x:v>
      </x:c>
      <x:c r="E2269" s="12" t="str">
        <x:v>FRED current rolling window</x:v>
      </x:c>
    </x:row>
    <x:row r="2270" ht="18" customHeight="1">
      <x:c r="A2270" s="13" t="n">
        <x:v>45748</x:v>
      </x:c>
      <x:c r="B2270" s="12" t="n">
        <x:v>3.5</x:v>
      </x:c>
      <x:c r="C2270" s="12" t="n">
        <x:v>350</x:v>
      </x:c>
      <x:c r="D2270" s="12" t="n">
        <x:v>-5</x:v>
      </x:c>
      <x:c r="E2270" s="12" t="str">
        <x:v>FRED current rolling window</x:v>
      </x:c>
    </x:row>
    <x:row r="2271" ht="18" customHeight="1">
      <x:c r="A2271" s="13" t="n">
        <x:v>45749</x:v>
      </x:c>
      <x:c r="B2271" s="12" t="n">
        <x:v>3.42</x:v>
      </x:c>
      <x:c r="C2271" s="12" t="n">
        <x:v>342</x:v>
      </x:c>
      <x:c r="D2271" s="12" t="n">
        <x:v>-8</x:v>
      </x:c>
      <x:c r="E2271" s="12" t="str">
        <x:v>FRED current rolling window</x:v>
      </x:c>
    </x:row>
    <x:row r="2272" ht="18" customHeight="1">
      <x:c r="A2272" s="13" t="n">
        <x:v>45750</x:v>
      </x:c>
      <x:c r="B2272" s="12" t="n">
        <x:v>4.01</x:v>
      </x:c>
      <x:c r="C2272" s="12" t="n">
        <x:v>401</x:v>
      </x:c>
      <x:c r="D2272" s="12" t="n">
        <x:v>59</x:v>
      </x:c>
      <x:c r="E2272" s="12" t="str">
        <x:v>FRED current rolling window</x:v>
      </x:c>
    </x:row>
    <x:row r="2273" ht="18" customHeight="1">
      <x:c r="A2273" s="13" t="n">
        <x:v>45751</x:v>
      </x:c>
      <x:c r="B2273" s="12" t="n">
        <x:v>4.45</x:v>
      </x:c>
      <x:c r="C2273" s="12" t="n">
        <x:v>445</x:v>
      </x:c>
      <x:c r="D2273" s="12" t="n">
        <x:v>44</x:v>
      </x:c>
      <x:c r="E2273" s="12" t="str">
        <x:v>FRED current rolling window</x:v>
      </x:c>
    </x:row>
    <x:row r="2274" ht="18" customHeight="1">
      <x:c r="A2274" s="13" t="n">
        <x:v>45754</x:v>
      </x:c>
      <x:c r="B2274" s="12" t="n">
        <x:v>4.61</x:v>
      </x:c>
      <x:c r="C2274" s="12" t="n">
        <x:v>461.00000000000006</x:v>
      </x:c>
      <x:c r="D2274" s="12" t="n">
        <x:v>16.000000000000057</x:v>
      </x:c>
      <x:c r="E2274" s="12" t="str">
        <x:v>FRED current rolling window</x:v>
      </x:c>
    </x:row>
    <x:row r="2275" ht="18" customHeight="1">
      <x:c r="A2275" s="13" t="n">
        <x:v>45755</x:v>
      </x:c>
      <x:c r="B2275" s="12" t="n">
        <x:v>4.57</x:v>
      </x:c>
      <x:c r="C2275" s="12" t="n">
        <x:v>457</x:v>
      </x:c>
      <x:c r="D2275" s="12" t="n">
        <x:v>-4.000000000000057</x:v>
      </x:c>
      <x:c r="E2275" s="12" t="str">
        <x:v>FRED current rolling window</x:v>
      </x:c>
    </x:row>
    <x:row r="2276" ht="18" customHeight="1">
      <x:c r="A2276" s="13" t="n">
        <x:v>45756</x:v>
      </x:c>
      <x:c r="B2276" s="12" t="n">
        <x:v>4.37</x:v>
      </x:c>
      <x:c r="C2276" s="12" t="n">
        <x:v>437</x:v>
      </x:c>
      <x:c r="D2276" s="12" t="n">
        <x:v>-20</x:v>
      </x:c>
      <x:c r="E2276" s="12" t="str">
        <x:v>FRED current rolling window</x:v>
      </x:c>
    </x:row>
    <x:row r="2277" ht="18" customHeight="1">
      <x:c r="A2277" s="13" t="n">
        <x:v>45757</x:v>
      </x:c>
      <x:c r="B2277" s="12" t="n">
        <x:v>4.42</x:v>
      </x:c>
      <x:c r="C2277" s="12" t="n">
        <x:v>442</x:v>
      </x:c>
      <x:c r="D2277" s="12" t="n">
        <x:v>5</x:v>
      </x:c>
      <x:c r="E2277" s="12" t="str">
        <x:v>FRED current rolling window</x:v>
      </x:c>
    </x:row>
    <x:row r="2278" ht="18" customHeight="1">
      <x:c r="A2278" s="13" t="n">
        <x:v>45758</x:v>
      </x:c>
      <x:c r="B2278" s="12" t="n">
        <x:v>4.26</x:v>
      </x:c>
      <x:c r="C2278" s="12" t="n">
        <x:v>426</x:v>
      </x:c>
      <x:c r="D2278" s="12" t="n">
        <x:v>-16</x:v>
      </x:c>
      <x:c r="E2278" s="12" t="str">
        <x:v>FRED current rolling window</x:v>
      </x:c>
    </x:row>
    <x:row r="2279" ht="18" customHeight="1">
      <x:c r="A2279" s="13" t="n">
        <x:v>45761</x:v>
      </x:c>
      <x:c r="B2279" s="12" t="n">
        <x:v>4.14</x:v>
      </x:c>
      <x:c r="C2279" s="12" t="n">
        <x:v>413.99999999999994</x:v>
      </x:c>
      <x:c r="D2279" s="12" t="n">
        <x:v>-12.000000000000057</x:v>
      </x:c>
      <x:c r="E2279" s="12" t="str">
        <x:v>FRED current rolling window</x:v>
      </x:c>
    </x:row>
    <x:row r="2280" ht="18" customHeight="1">
      <x:c r="A2280" s="13" t="n">
        <x:v>45762</x:v>
      </x:c>
      <x:c r="B2280" s="12" t="n">
        <x:v>4.09</x:v>
      </x:c>
      <x:c r="C2280" s="12" t="n">
        <x:v>409</x:v>
      </x:c>
      <x:c r="D2280" s="12" t="n">
        <x:v>-4.999999999999943</x:v>
      </x:c>
      <x:c r="E2280" s="12" t="str">
        <x:v>FRED current rolling window</x:v>
      </x:c>
    </x:row>
    <x:row r="2281" ht="18" customHeight="1">
      <x:c r="A2281" s="13" t="n">
        <x:v>45763</x:v>
      </x:c>
      <x:c r="B2281" s="12" t="n">
        <x:v>4.16</x:v>
      </x:c>
      <x:c r="C2281" s="12" t="n">
        <x:v>416</x:v>
      </x:c>
      <x:c r="D2281" s="12" t="n">
        <x:v>7</x:v>
      </x:c>
      <x:c r="E2281" s="12" t="str">
        <x:v>FRED current rolling window</x:v>
      </x:c>
    </x:row>
    <x:row r="2282" ht="18" customHeight="1">
      <x:c r="A2282" s="13" t="n">
        <x:v>45764</x:v>
      </x:c>
      <x:c r="B2282" s="12" t="n">
        <x:v>4.02</x:v>
      </x:c>
      <x:c r="C2282" s="12" t="n">
        <x:v>401.99999999999994</x:v>
      </x:c>
      <x:c r="D2282" s="12" t="n">
        <x:v>-14.000000000000057</x:v>
      </x:c>
      <x:c r="E2282" s="12" t="str">
        <x:v>FRED current rolling window</x:v>
      </x:c>
    </x:row>
    <x:row r="2283" ht="18" customHeight="1">
      <x:c r="A2283" s="13" t="n">
        <x:v>45768</x:v>
      </x:c>
      <x:c r="B2283" s="12" t="n">
        <x:v>4.16</x:v>
      </x:c>
      <x:c r="C2283" s="12" t="n">
        <x:v>416</x:v>
      </x:c>
      <x:c r="D2283" s="12" t="n">
        <x:v>14.000000000000057</x:v>
      </x:c>
      <x:c r="E2283" s="12" t="str">
        <x:v>FRED current rolling window</x:v>
      </x:c>
    </x:row>
    <x:row r="2284" ht="18" customHeight="1">
      <x:c r="A2284" s="13" t="n">
        <x:v>45769</x:v>
      </x:c>
      <x:c r="B2284" s="12" t="n">
        <x:v>3.99</x:v>
      </x:c>
      <x:c r="C2284" s="12" t="n">
        <x:v>399</x:v>
      </x:c>
      <x:c r="D2284" s="12" t="n">
        <x:v>-17</x:v>
      </x:c>
      <x:c r="E2284" s="12" t="str">
        <x:v>FRED current rolling window</x:v>
      </x:c>
    </x:row>
    <x:row r="2285" ht="18" customHeight="1">
      <x:c r="A2285" s="13" t="n">
        <x:v>45770</x:v>
      </x:c>
      <x:c r="B2285" s="12" t="n">
        <x:v>3.75</x:v>
      </x:c>
      <x:c r="C2285" s="12" t="n">
        <x:v>375</x:v>
      </x:c>
      <x:c r="D2285" s="12" t="n">
        <x:v>-24</x:v>
      </x:c>
      <x:c r="E2285" s="12" t="str">
        <x:v>FRED current rolling window</x:v>
      </x:c>
    </x:row>
    <x:row r="2286" ht="18" customHeight="1">
      <x:c r="A2286" s="13" t="n">
        <x:v>45771</x:v>
      </x:c>
      <x:c r="B2286" s="12" t="n">
        <x:v>3.73</x:v>
      </x:c>
      <x:c r="C2286" s="12" t="n">
        <x:v>373</x:v>
      </x:c>
      <x:c r="D2286" s="12" t="n">
        <x:v>-2</x:v>
      </x:c>
      <x:c r="E2286" s="12" t="str">
        <x:v>FRED current rolling window</x:v>
      </x:c>
    </x:row>
    <x:row r="2287" ht="18" customHeight="1">
      <x:c r="A2287" s="13" t="n">
        <x:v>45772</x:v>
      </x:c>
      <x:c r="B2287" s="12" t="n">
        <x:v>3.67</x:v>
      </x:c>
      <x:c r="C2287" s="12" t="n">
        <x:v>367</x:v>
      </x:c>
      <x:c r="D2287" s="12" t="n">
        <x:v>-6</x:v>
      </x:c>
      <x:c r="E2287" s="12" t="str">
        <x:v>FRED current rolling window</x:v>
      </x:c>
    </x:row>
    <x:row r="2288" ht="18" customHeight="1">
      <x:c r="A2288" s="13" t="n">
        <x:v>45775</x:v>
      </x:c>
      <x:c r="B2288" s="12" t="n">
        <x:v>3.73</x:v>
      </x:c>
      <x:c r="C2288" s="12" t="n">
        <x:v>373</x:v>
      </x:c>
      <x:c r="D2288" s="12" t="n">
        <x:v>6</x:v>
      </x:c>
      <x:c r="E2288" s="12" t="str">
        <x:v>FRED current rolling window</x:v>
      </x:c>
    </x:row>
    <x:row r="2289" ht="18" customHeight="1">
      <x:c r="A2289" s="13" t="n">
        <x:v>45776</x:v>
      </x:c>
      <x:c r="B2289" s="12" t="n">
        <x:v>3.74</x:v>
      </x:c>
      <x:c r="C2289" s="12" t="n">
        <x:v>374</x:v>
      </x:c>
      <x:c r="D2289" s="12" t="n">
        <x:v>1</x:v>
      </x:c>
      <x:c r="E2289" s="12" t="str">
        <x:v>FRED current rolling window</x:v>
      </x:c>
    </x:row>
    <x:row r="2290" ht="18" customHeight="1">
      <x:c r="A2290" s="13" t="n">
        <x:v>45777</x:v>
      </x:c>
      <x:c r="B2290" s="12" t="n">
        <x:v>3.94</x:v>
      </x:c>
      <x:c r="C2290" s="12" t="n">
        <x:v>394</x:v>
      </x:c>
      <x:c r="D2290" s="12" t="n">
        <x:v>20</x:v>
      </x:c>
      <x:c r="E2290" s="12" t="str">
        <x:v>FRED current rolling window</x:v>
      </x:c>
    </x:row>
    <x:row r="2291" ht="18" customHeight="1">
      <x:c r="A2291" s="13" t="n">
        <x:v>45778</x:v>
      </x:c>
      <x:c r="B2291" s="12" t="n">
        <x:v>3.78</x:v>
      </x:c>
      <x:c r="C2291" s="12" t="n">
        <x:v>378</x:v>
      </x:c>
      <x:c r="D2291" s="12" t="n">
        <x:v>-16</x:v>
      </x:c>
      <x:c r="E2291" s="12" t="str">
        <x:v>FRED current rolling window</x:v>
      </x:c>
    </x:row>
    <x:row r="2292" ht="18" customHeight="1">
      <x:c r="A2292" s="13" t="n">
        <x:v>45779</x:v>
      </x:c>
      <x:c r="B2292" s="12" t="n">
        <x:v>3.6</x:v>
      </x:c>
      <x:c r="C2292" s="12" t="n">
        <x:v>360</x:v>
      </x:c>
      <x:c r="D2292" s="12" t="n">
        <x:v>-18</x:v>
      </x:c>
      <x:c r="E2292" s="12" t="str">
        <x:v>FRED current rolling window</x:v>
      </x:c>
    </x:row>
    <x:row r="2293" ht="18" customHeight="1">
      <x:c r="A2293" s="13" t="n">
        <x:v>45782</x:v>
      </x:c>
      <x:c r="B2293" s="12" t="n">
        <x:v>3.6</x:v>
      </x:c>
      <x:c r="C2293" s="12" t="n">
        <x:v>360</x:v>
      </x:c>
      <x:c r="D2293" s="12" t="n">
        <x:v>0</x:v>
      </x:c>
      <x:c r="E2293" s="12" t="str">
        <x:v>FRED current rolling window</x:v>
      </x:c>
    </x:row>
    <x:row r="2294" ht="18" customHeight="1">
      <x:c r="A2294" s="13" t="n">
        <x:v>45783</x:v>
      </x:c>
      <x:c r="B2294" s="12" t="n">
        <x:v>3.66</x:v>
      </x:c>
      <x:c r="C2294" s="12" t="n">
        <x:v>366</x:v>
      </x:c>
      <x:c r="D2294" s="12" t="n">
        <x:v>6</x:v>
      </x:c>
      <x:c r="E2294" s="12" t="str">
        <x:v>FRED current rolling window</x:v>
      </x:c>
    </x:row>
    <x:row r="2295" ht="18" customHeight="1">
      <x:c r="A2295" s="13" t="n">
        <x:v>45784</x:v>
      </x:c>
      <x:c r="B2295" s="12" t="n">
        <x:v>3.67</x:v>
      </x:c>
      <x:c r="C2295" s="12" t="n">
        <x:v>367</x:v>
      </x:c>
      <x:c r="D2295" s="12" t="n">
        <x:v>1</x:v>
      </x:c>
      <x:c r="E2295" s="12" t="str">
        <x:v>FRED current rolling window</x:v>
      </x:c>
    </x:row>
    <x:row r="2296" ht="18" customHeight="1">
      <x:c r="A2296" s="13" t="n">
        <x:v>45785</x:v>
      </x:c>
      <x:c r="B2296" s="12" t="n">
        <x:v>3.51</x:v>
      </x:c>
      <x:c r="C2296" s="12" t="n">
        <x:v>351</x:v>
      </x:c>
      <x:c r="D2296" s="12" t="n">
        <x:v>-16</x:v>
      </x:c>
      <x:c r="E2296" s="12" t="str">
        <x:v>FRED current rolling window</x:v>
      </x:c>
    </x:row>
    <x:row r="2297" ht="18" customHeight="1">
      <x:c r="A2297" s="13" t="n">
        <x:v>45786</x:v>
      </x:c>
      <x:c r="B2297" s="12" t="n">
        <x:v>3.53</x:v>
      </x:c>
      <x:c r="C2297" s="12" t="n">
        <x:v>353</x:v>
      </x:c>
      <x:c r="D2297" s="12" t="n">
        <x:v>2</x:v>
      </x:c>
      <x:c r="E2297" s="12" t="str">
        <x:v>FRED current rolling window</x:v>
      </x:c>
    </x:row>
    <x:row r="2298" ht="18" customHeight="1">
      <x:c r="A2298" s="13" t="n">
        <x:v>45789</x:v>
      </x:c>
      <x:c r="B2298" s="12" t="n">
        <x:v>3.15</x:v>
      </x:c>
      <x:c r="C2298" s="12" t="n">
        <x:v>315</x:v>
      </x:c>
      <x:c r="D2298" s="12" t="n">
        <x:v>-38</x:v>
      </x:c>
      <x:c r="E2298" s="12" t="str">
        <x:v>FRED current rolling window</x:v>
      </x:c>
    </x:row>
    <x:row r="2299" ht="18" customHeight="1">
      <x:c r="A2299" s="13" t="n">
        <x:v>45790</x:v>
      </x:c>
      <x:c r="B2299" s="12" t="n">
        <x:v>3.09</x:v>
      </x:c>
      <x:c r="C2299" s="12" t="n">
        <x:v>309</x:v>
      </x:c>
      <x:c r="D2299" s="12" t="n">
        <x:v>-6</x:v>
      </x:c>
      <x:c r="E2299" s="12" t="str">
        <x:v>FRED current rolling window</x:v>
      </x:c>
    </x:row>
    <x:row r="2300" ht="18" customHeight="1">
      <x:c r="A2300" s="13" t="n">
        <x:v>45791</x:v>
      </x:c>
      <x:c r="B2300" s="12" t="n">
        <x:v>3.1</x:v>
      </x:c>
      <x:c r="C2300" s="12" t="n">
        <x:v>310</x:v>
      </x:c>
      <x:c r="D2300" s="12" t="n">
        <x:v>1</x:v>
      </x:c>
      <x:c r="E2300" s="12" t="str">
        <x:v>FRED current rolling window</x:v>
      </x:c>
    </x:row>
    <x:row r="2301" ht="18" customHeight="1">
      <x:c r="A2301" s="13" t="n">
        <x:v>45792</x:v>
      </x:c>
      <x:c r="B2301" s="12" t="n">
        <x:v>3.2</x:v>
      </x:c>
      <x:c r="C2301" s="12" t="n">
        <x:v>320</x:v>
      </x:c>
      <x:c r="D2301" s="12" t="n">
        <x:v>10</x:v>
      </x:c>
      <x:c r="E2301" s="12" t="str">
        <x:v>FRED current rolling window</x:v>
      </x:c>
    </x:row>
    <x:row r="2302" ht="18" customHeight="1">
      <x:c r="A2302" s="13" t="n">
        <x:v>45793</x:v>
      </x:c>
      <x:c r="B2302" s="12" t="n">
        <x:v>3.16</x:v>
      </x:c>
      <x:c r="C2302" s="12" t="n">
        <x:v>316</x:v>
      </x:c>
      <x:c r="D2302" s="12" t="n">
        <x:v>-4</x:v>
      </x:c>
      <x:c r="E2302" s="12" t="str">
        <x:v>FRED current rolling window</x:v>
      </x:c>
    </x:row>
    <x:row r="2303" ht="18" customHeight="1">
      <x:c r="A2303" s="13" t="n">
        <x:v>45796</x:v>
      </x:c>
      <x:c r="B2303" s="12" t="n">
        <x:v>3.21</x:v>
      </x:c>
      <x:c r="C2303" s="12" t="n">
        <x:v>321</x:v>
      </x:c>
      <x:c r="D2303" s="12" t="n">
        <x:v>5</x:v>
      </x:c>
      <x:c r="E2303" s="12" t="str">
        <x:v>FRED current rolling window</x:v>
      </x:c>
    </x:row>
    <x:row r="2304" ht="18" customHeight="1">
      <x:c r="A2304" s="13" t="n">
        <x:v>45797</x:v>
      </x:c>
      <x:c r="B2304" s="12" t="n">
        <x:v>3.2</x:v>
      </x:c>
      <x:c r="C2304" s="12" t="n">
        <x:v>320</x:v>
      </x:c>
      <x:c r="D2304" s="12" t="n">
        <x:v>-1</x:v>
      </x:c>
      <x:c r="E2304" s="12" t="str">
        <x:v>FRED current rolling window</x:v>
      </x:c>
    </x:row>
    <x:row r="2305" ht="18" customHeight="1">
      <x:c r="A2305" s="13" t="n">
        <x:v>45798</x:v>
      </x:c>
      <x:c r="B2305" s="12" t="n">
        <x:v>3.25</x:v>
      </x:c>
      <x:c r="C2305" s="12" t="n">
        <x:v>325</x:v>
      </x:c>
      <x:c r="D2305" s="12" t="n">
        <x:v>5</x:v>
      </x:c>
      <x:c r="E2305" s="12" t="str">
        <x:v>FRED current rolling window</x:v>
      </x:c>
    </x:row>
    <x:row r="2306" ht="18" customHeight="1">
      <x:c r="A2306" s="13" t="n">
        <x:v>45799</x:v>
      </x:c>
      <x:c r="B2306" s="12" t="n">
        <x:v>3.32</x:v>
      </x:c>
      <x:c r="C2306" s="12" t="n">
        <x:v>332</x:v>
      </x:c>
      <x:c r="D2306" s="12" t="n">
        <x:v>7</x:v>
      </x:c>
      <x:c r="E2306" s="12" t="str">
        <x:v>FRED current rolling window</x:v>
      </x:c>
    </x:row>
    <x:row r="2307" ht="18" customHeight="1">
      <x:c r="A2307" s="13" t="n">
        <x:v>45800</x:v>
      </x:c>
      <x:c r="B2307" s="12" t="n">
        <x:v>3.4</x:v>
      </x:c>
      <x:c r="C2307" s="12" t="n">
        <x:v>340</x:v>
      </x:c>
      <x:c r="D2307" s="12" t="n">
        <x:v>8</x:v>
      </x:c>
      <x:c r="E2307" s="12" t="str">
        <x:v>FRED current rolling window</x:v>
      </x:c>
    </x:row>
    <x:row r="2308" ht="18" customHeight="1">
      <x:c r="A2308" s="13" t="n">
        <x:v>45803</x:v>
      </x:c>
      <x:c r="B2308" s="12" t="n">
        <x:v>3.4</x:v>
      </x:c>
      <x:c r="C2308" s="12" t="n">
        <x:v>340</x:v>
      </x:c>
      <x:c r="D2308" s="12" t="n">
        <x:v>0</x:v>
      </x:c>
      <x:c r="E2308" s="12" t="str">
        <x:v>FRED current rolling window</x:v>
      </x:c>
    </x:row>
    <x:row r="2309" ht="18" customHeight="1">
      <x:c r="A2309" s="13" t="n">
        <x:v>45804</x:v>
      </x:c>
      <x:c r="B2309" s="12" t="n">
        <x:v>3.24</x:v>
      </x:c>
      <x:c r="C2309" s="12" t="n">
        <x:v>324</x:v>
      </x:c>
      <x:c r="D2309" s="12" t="n">
        <x:v>-16</x:v>
      </x:c>
      <x:c r="E2309" s="12" t="str">
        <x:v>FRED current rolling window</x:v>
      </x:c>
    </x:row>
    <x:row r="2310" ht="18" customHeight="1">
      <x:c r="A2310" s="13" t="n">
        <x:v>45805</x:v>
      </x:c>
      <x:c r="B2310" s="12" t="n">
        <x:v>3.23</x:v>
      </x:c>
      <x:c r="C2310" s="12" t="n">
        <x:v>323</x:v>
      </x:c>
      <x:c r="D2310" s="12" t="n">
        <x:v>-1</x:v>
      </x:c>
      <x:c r="E2310" s="12" t="str">
        <x:v>FRED current rolling window</x:v>
      </x:c>
    </x:row>
    <x:row r="2311" ht="18" customHeight="1">
      <x:c r="A2311" s="13" t="n">
        <x:v>45806</x:v>
      </x:c>
      <x:c r="B2311" s="12" t="n">
        <x:v>3.22</x:v>
      </x:c>
      <x:c r="C2311" s="12" t="n">
        <x:v>322</x:v>
      </x:c>
      <x:c r="D2311" s="12" t="n">
        <x:v>-1</x:v>
      </x:c>
      <x:c r="E2311" s="12" t="str">
        <x:v>FRED current rolling window</x:v>
      </x:c>
    </x:row>
    <x:row r="2312" ht="18" customHeight="1">
      <x:c r="A2312" s="13" t="n">
        <x:v>45807</x:v>
      </x:c>
      <x:c r="B2312" s="12" t="n">
        <x:v>3.31</x:v>
      </x:c>
      <x:c r="C2312" s="12" t="n">
        <x:v>331</x:v>
      </x:c>
      <x:c r="D2312" s="12" t="n">
        <x:v>9</x:v>
      </x:c>
      <x:c r="E2312" s="12" t="str">
        <x:v>FRED current rolling window</x:v>
      </x:c>
    </x:row>
    <x:row r="2313" ht="18" customHeight="1">
      <x:c r="A2313" s="13" t="n">
        <x:v>45808</x:v>
      </x:c>
      <x:c r="B2313" s="12" t="n">
        <x:v>3.32</x:v>
      </x:c>
      <x:c r="C2313" s="12" t="n">
        <x:v>332</x:v>
      </x:c>
      <x:c r="D2313" s="12" t="n">
        <x:v>1</x:v>
      </x:c>
      <x:c r="E2313" s="12" t="str">
        <x:v>FRED current rolling window</x:v>
      </x:c>
    </x:row>
    <x:row r="2314" ht="18" customHeight="1">
      <x:c r="A2314" s="13" t="n">
        <x:v>45810</x:v>
      </x:c>
      <x:c r="B2314" s="12" t="n">
        <x:v>3.27</x:v>
      </x:c>
      <x:c r="C2314" s="12" t="n">
        <x:v>327</x:v>
      </x:c>
      <x:c r="D2314" s="12" t="n">
        <x:v>-5</x:v>
      </x:c>
      <x:c r="E2314" s="12" t="str">
        <x:v>FRED current rolling window</x:v>
      </x:c>
    </x:row>
    <x:row r="2315" ht="18" customHeight="1">
      <x:c r="A2315" s="13" t="n">
        <x:v>45811</x:v>
      </x:c>
      <x:c r="B2315" s="12" t="n">
        <x:v>3.19</x:v>
      </x:c>
      <x:c r="C2315" s="12" t="n">
        <x:v>319</x:v>
      </x:c>
      <x:c r="D2315" s="12" t="n">
        <x:v>-8</x:v>
      </x:c>
      <x:c r="E2315" s="12" t="str">
        <x:v>FRED current rolling window</x:v>
      </x:c>
    </x:row>
    <x:row r="2316" ht="18" customHeight="1">
      <x:c r="A2316" s="13" t="n">
        <x:v>45812</x:v>
      </x:c>
      <x:c r="B2316" s="12" t="n">
        <x:v>3.23</x:v>
      </x:c>
      <x:c r="C2316" s="12" t="n">
        <x:v>323</x:v>
      </x:c>
      <x:c r="D2316" s="12" t="n">
        <x:v>4</x:v>
      </x:c>
      <x:c r="E2316" s="12" t="str">
        <x:v>FRED current rolling window</x:v>
      </x:c>
    </x:row>
    <x:row r="2317" ht="18" customHeight="1">
      <x:c r="A2317" s="13" t="n">
        <x:v>45813</x:v>
      </x:c>
      <x:c r="B2317" s="12" t="n">
        <x:v>3.18</x:v>
      </x:c>
      <x:c r="C2317" s="12" t="n">
        <x:v>318</x:v>
      </x:c>
      <x:c r="D2317" s="12" t="n">
        <x:v>-5</x:v>
      </x:c>
      <x:c r="E2317" s="12" t="str">
        <x:v>FRED current rolling window</x:v>
      </x:c>
    </x:row>
    <x:row r="2318" ht="18" customHeight="1">
      <x:c r="A2318" s="13" t="n">
        <x:v>45814</x:v>
      </x:c>
      <x:c r="B2318" s="12" t="n">
        <x:v>3.09</x:v>
      </x:c>
      <x:c r="C2318" s="12" t="n">
        <x:v>309</x:v>
      </x:c>
      <x:c r="D2318" s="12" t="n">
        <x:v>-9</x:v>
      </x:c>
      <x:c r="E2318" s="12" t="str">
        <x:v>FRED current rolling window</x:v>
      </x:c>
    </x:row>
    <x:row r="2319" ht="18" customHeight="1">
      <x:c r="A2319" s="13" t="n">
        <x:v>45817</x:v>
      </x:c>
      <x:c r="B2319" s="12" t="n">
        <x:v>3.12</x:v>
      </x:c>
      <x:c r="C2319" s="12" t="n">
        <x:v>312</x:v>
      </x:c>
      <x:c r="D2319" s="12" t="n">
        <x:v>3</x:v>
      </x:c>
      <x:c r="E2319" s="12" t="str">
        <x:v>FRED current rolling window</x:v>
      </x:c>
    </x:row>
    <x:row r="2320" ht="18" customHeight="1">
      <x:c r="A2320" s="13" t="n">
        <x:v>45818</x:v>
      </x:c>
      <x:c r="B2320" s="12" t="n">
        <x:v>3.12</x:v>
      </x:c>
      <x:c r="C2320" s="12" t="n">
        <x:v>312</x:v>
      </x:c>
      <x:c r="D2320" s="12" t="n">
        <x:v>0</x:v>
      </x:c>
      <x:c r="E2320" s="12" t="str">
        <x:v>FRED current rolling window</x:v>
      </x:c>
    </x:row>
    <x:row r="2321" ht="18" customHeight="1">
      <x:c r="A2321" s="13" t="n">
        <x:v>45819</x:v>
      </x:c>
      <x:c r="B2321" s="12" t="n">
        <x:v>3.12</x:v>
      </x:c>
      <x:c r="C2321" s="12" t="n">
        <x:v>312</x:v>
      </x:c>
      <x:c r="D2321" s="12" t="n">
        <x:v>0</x:v>
      </x:c>
      <x:c r="E2321" s="12" t="str">
        <x:v>FRED current rolling window</x:v>
      </x:c>
    </x:row>
    <x:row r="2322" ht="18" customHeight="1">
      <x:c r="A2322" s="13" t="n">
        <x:v>45820</x:v>
      </x:c>
      <x:c r="B2322" s="12" t="n">
        <x:v>3.17</x:v>
      </x:c>
      <x:c r="C2322" s="12" t="n">
        <x:v>317</x:v>
      </x:c>
      <x:c r="D2322" s="12" t="n">
        <x:v>5</x:v>
      </x:c>
      <x:c r="E2322" s="12" t="str">
        <x:v>FRED current rolling window</x:v>
      </x:c>
    </x:row>
    <x:row r="2323" ht="18" customHeight="1">
      <x:c r="A2323" s="13" t="n">
        <x:v>45821</x:v>
      </x:c>
      <x:c r="B2323" s="12" t="n">
        <x:v>3.18</x:v>
      </x:c>
      <x:c r="C2323" s="12" t="n">
        <x:v>318</x:v>
      </x:c>
      <x:c r="D2323" s="12" t="n">
        <x:v>1</x:v>
      </x:c>
      <x:c r="E2323" s="12" t="str">
        <x:v>FRED current rolling window</x:v>
      </x:c>
    </x:row>
    <x:row r="2324" ht="18" customHeight="1">
      <x:c r="A2324" s="13" t="n">
        <x:v>45824</x:v>
      </x:c>
      <x:c r="B2324" s="12" t="n">
        <x:v>3.1</x:v>
      </x:c>
      <x:c r="C2324" s="12" t="n">
        <x:v>310</x:v>
      </x:c>
      <x:c r="D2324" s="12" t="n">
        <x:v>-8</x:v>
      </x:c>
      <x:c r="E2324" s="12" t="str">
        <x:v>FRED current rolling window</x:v>
      </x:c>
    </x:row>
    <x:row r="2325" ht="18" customHeight="1">
      <x:c r="A2325" s="13" t="n">
        <x:v>45825</x:v>
      </x:c>
      <x:c r="B2325" s="12" t="n">
        <x:v>3.17</x:v>
      </x:c>
      <x:c r="C2325" s="12" t="n">
        <x:v>317</x:v>
      </x:c>
      <x:c r="D2325" s="12" t="n">
        <x:v>7</x:v>
      </x:c>
      <x:c r="E2325" s="12" t="str">
        <x:v>FRED current rolling window</x:v>
      </x:c>
    </x:row>
    <x:row r="2326" ht="18" customHeight="1">
      <x:c r="A2326" s="13" t="n">
        <x:v>45826</x:v>
      </x:c>
      <x:c r="B2326" s="12" t="n">
        <x:v>3.16</x:v>
      </x:c>
      <x:c r="C2326" s="12" t="n">
        <x:v>316</x:v>
      </x:c>
      <x:c r="D2326" s="12" t="n">
        <x:v>-1</x:v>
      </x:c>
      <x:c r="E2326" s="12" t="str">
        <x:v>FRED current rolling window</x:v>
      </x:c>
    </x:row>
    <x:row r="2327" ht="18" customHeight="1">
      <x:c r="A2327" s="13" t="n">
        <x:v>45827</x:v>
      </x:c>
      <x:c r="B2327" s="12" t="n">
        <x:v>3.16</x:v>
      </x:c>
      <x:c r="C2327" s="12" t="n">
        <x:v>316</x:v>
      </x:c>
      <x:c r="D2327" s="12" t="n">
        <x:v>0</x:v>
      </x:c>
      <x:c r="E2327" s="12" t="str">
        <x:v>FRED current rolling window</x:v>
      </x:c>
    </x:row>
    <x:row r="2328" ht="18" customHeight="1">
      <x:c r="A2328" s="13" t="n">
        <x:v>45828</x:v>
      </x:c>
      <x:c r="B2328" s="12" t="n">
        <x:v>3.13</x:v>
      </x:c>
      <x:c r="C2328" s="12" t="n">
        <x:v>313</x:v>
      </x:c>
      <x:c r="D2328" s="12" t="n">
        <x:v>-3</x:v>
      </x:c>
      <x:c r="E2328" s="12" t="str">
        <x:v>FRED current rolling window</x:v>
      </x:c>
    </x:row>
    <x:row r="2329" ht="18" customHeight="1">
      <x:c r="A2329" s="13" t="n">
        <x:v>45831</x:v>
      </x:c>
      <x:c r="B2329" s="12" t="n">
        <x:v>3.12</x:v>
      </x:c>
      <x:c r="C2329" s="12" t="n">
        <x:v>312</x:v>
      </x:c>
      <x:c r="D2329" s="12" t="n">
        <x:v>-1</x:v>
      </x:c>
      <x:c r="E2329" s="12" t="str">
        <x:v>FRED current rolling window</x:v>
      </x:c>
    </x:row>
    <x:row r="2330" ht="18" customHeight="1">
      <x:c r="A2330" s="13" t="n">
        <x:v>45832</x:v>
      </x:c>
      <x:c r="B2330" s="12" t="n">
        <x:v>3.06</x:v>
      </x:c>
      <x:c r="C2330" s="12" t="n">
        <x:v>306</x:v>
      </x:c>
      <x:c r="D2330" s="12" t="n">
        <x:v>-6</x:v>
      </x:c>
      <x:c r="E2330" s="12" t="str">
        <x:v>FRED current rolling window</x:v>
      </x:c>
    </x:row>
    <x:row r="2331" ht="18" customHeight="1">
      <x:c r="A2331" s="13" t="n">
        <x:v>45833</x:v>
      </x:c>
      <x:c r="B2331" s="12" t="n">
        <x:v>3.04</x:v>
      </x:c>
      <x:c r="C2331" s="12" t="n">
        <x:v>304</x:v>
      </x:c>
      <x:c r="D2331" s="12" t="n">
        <x:v>-2</x:v>
      </x:c>
      <x:c r="E2331" s="12" t="str">
        <x:v>FRED current rolling window</x:v>
      </x:c>
    </x:row>
    <x:row r="2332" ht="18" customHeight="1">
      <x:c r="A2332" s="13" t="n">
        <x:v>45834</x:v>
      </x:c>
      <x:c r="B2332" s="12" t="n">
        <x:v>3.04</x:v>
      </x:c>
      <x:c r="C2332" s="12" t="n">
        <x:v>304</x:v>
      </x:c>
      <x:c r="D2332" s="12" t="n">
        <x:v>0</x:v>
      </x:c>
      <x:c r="E2332" s="12" t="str">
        <x:v>FRED current rolling window</x:v>
      </x:c>
    </x:row>
    <x:row r="2333" ht="18" customHeight="1">
      <x:c r="A2333" s="13" t="n">
        <x:v>45835</x:v>
      </x:c>
      <x:c r="B2333" s="12" t="n">
        <x:v>3.02</x:v>
      </x:c>
      <x:c r="C2333" s="12" t="n">
        <x:v>302</x:v>
      </x:c>
      <x:c r="D2333" s="12" t="n">
        <x:v>-2</x:v>
      </x:c>
      <x:c r="E2333" s="12" t="str">
        <x:v>FRED current rolling window</x:v>
      </x:c>
    </x:row>
    <x:row r="2334" ht="18" customHeight="1">
      <x:c r="A2334" s="13" t="n">
        <x:v>45838</x:v>
      </x:c>
      <x:c r="B2334" s="12" t="n">
        <x:v>2.96</x:v>
      </x:c>
      <x:c r="C2334" s="12" t="n">
        <x:v>296</x:v>
      </x:c>
      <x:c r="D2334" s="12" t="n">
        <x:v>-6</x:v>
      </x:c>
      <x:c r="E2334" s="12" t="str">
        <x:v>FRED current rolling window</x:v>
      </x:c>
    </x:row>
    <x:row r="2335" ht="18" customHeight="1">
      <x:c r="A2335" s="13" t="n">
        <x:v>45839</x:v>
      </x:c>
      <x:c r="B2335" s="12" t="n">
        <x:v>2.91</x:v>
      </x:c>
      <x:c r="C2335" s="12" t="n">
        <x:v>291</x:v>
      </x:c>
      <x:c r="D2335" s="12" t="n">
        <x:v>-5</x:v>
      </x:c>
      <x:c r="E2335" s="12" t="str">
        <x:v>FRED current rolling window</x:v>
      </x:c>
    </x:row>
    <x:row r="2336" ht="18" customHeight="1">
      <x:c r="A2336" s="13" t="n">
        <x:v>45840</x:v>
      </x:c>
      <x:c r="B2336" s="12" t="n">
        <x:v>2.88</x:v>
      </x:c>
      <x:c r="C2336" s="12" t="n">
        <x:v>288</x:v>
      </x:c>
      <x:c r="D2336" s="12" t="n">
        <x:v>-3</x:v>
      </x:c>
      <x:c r="E2336" s="12" t="str">
        <x:v>FRED current rolling window</x:v>
      </x:c>
    </x:row>
    <x:row r="2337" ht="18" customHeight="1">
      <x:c r="A2337" s="13" t="n">
        <x:v>45841</x:v>
      </x:c>
      <x:c r="B2337" s="12" t="n">
        <x:v>2.8</x:v>
      </x:c>
      <x:c r="C2337" s="12" t="n">
        <x:v>280</x:v>
      </x:c>
      <x:c r="D2337" s="12" t="n">
        <x:v>-8</x:v>
      </x:c>
      <x:c r="E2337" s="12" t="str">
        <x:v>FRED current rolling window</x:v>
      </x:c>
    </x:row>
    <x:row r="2338" ht="18" customHeight="1">
      <x:c r="A2338" s="13" t="n">
        <x:v>45842</x:v>
      </x:c>
      <x:c r="B2338" s="12" t="n">
        <x:v>2.8</x:v>
      </x:c>
      <x:c r="C2338" s="12" t="n">
        <x:v>280</x:v>
      </x:c>
      <x:c r="D2338" s="12" t="n">
        <x:v>0</x:v>
      </x:c>
      <x:c r="E2338" s="12" t="str">
        <x:v>FRED current rolling window</x:v>
      </x:c>
    </x:row>
    <x:row r="2339" ht="18" customHeight="1">
      <x:c r="A2339" s="13" t="n">
        <x:v>45845</x:v>
      </x:c>
      <x:c r="B2339" s="12" t="n">
        <x:v>2.86</x:v>
      </x:c>
      <x:c r="C2339" s="12" t="n">
        <x:v>286</x:v>
      </x:c>
      <x:c r="D2339" s="12" t="n">
        <x:v>6</x:v>
      </x:c>
      <x:c r="E2339" s="12" t="str">
        <x:v>FRED current rolling window</x:v>
      </x:c>
    </x:row>
    <x:row r="2340" ht="18" customHeight="1">
      <x:c r="A2340" s="13" t="n">
        <x:v>45846</x:v>
      </x:c>
      <x:c r="B2340" s="12" t="n">
        <x:v>2.92</x:v>
      </x:c>
      <x:c r="C2340" s="12" t="n">
        <x:v>292</x:v>
      </x:c>
      <x:c r="D2340" s="12" t="n">
        <x:v>6</x:v>
      </x:c>
      <x:c r="E2340" s="12" t="str">
        <x:v>FRED current rolling window</x:v>
      </x:c>
    </x:row>
    <x:row r="2341" ht="18" customHeight="1">
      <x:c r="A2341" s="13" t="n">
        <x:v>45847</x:v>
      </x:c>
      <x:c r="B2341" s="12" t="n">
        <x:v>2.94</x:v>
      </x:c>
      <x:c r="C2341" s="12" t="n">
        <x:v>294</x:v>
      </x:c>
      <x:c r="D2341" s="12" t="n">
        <x:v>2</x:v>
      </x:c>
      <x:c r="E2341" s="12" t="str">
        <x:v>FRED current rolling window</x:v>
      </x:c>
    </x:row>
    <x:row r="2342" ht="18" customHeight="1">
      <x:c r="A2342" s="13" t="n">
        <x:v>45848</x:v>
      </x:c>
      <x:c r="B2342" s="12" t="n">
        <x:v>2.92</x:v>
      </x:c>
      <x:c r="C2342" s="12" t="n">
        <x:v>292</x:v>
      </x:c>
      <x:c r="D2342" s="12" t="n">
        <x:v>-2</x:v>
      </x:c>
      <x:c r="E2342" s="12" t="str">
        <x:v>FRED current rolling window</x:v>
      </x:c>
    </x:row>
    <x:row r="2343" ht="18" customHeight="1">
      <x:c r="A2343" s="13" t="n">
        <x:v>45849</x:v>
      </x:c>
      <x:c r="B2343" s="12" t="n">
        <x:v>2.97</x:v>
      </x:c>
      <x:c r="C2343" s="12" t="n">
        <x:v>297</x:v>
      </x:c>
      <x:c r="D2343" s="12" t="n">
        <x:v>5</x:v>
      </x:c>
      <x:c r="E2343" s="12" t="str">
        <x:v>FRED current rolling window</x:v>
      </x:c>
    </x:row>
    <x:row r="2344" ht="18" customHeight="1">
      <x:c r="A2344" s="13" t="n">
        <x:v>45852</x:v>
      </x:c>
      <x:c r="B2344" s="12" t="n">
        <x:v>2.95</x:v>
      </x:c>
      <x:c r="C2344" s="12" t="n">
        <x:v>295</x:v>
      </x:c>
      <x:c r="D2344" s="12" t="n">
        <x:v>-2</x:v>
      </x:c>
      <x:c r="E2344" s="12" t="str">
        <x:v>FRED current rolling window</x:v>
      </x:c>
    </x:row>
    <x:row r="2345" ht="18" customHeight="1">
      <x:c r="A2345" s="13" t="n">
        <x:v>45853</x:v>
      </x:c>
      <x:c r="B2345" s="12" t="n">
        <x:v>2.95</x:v>
      </x:c>
      <x:c r="C2345" s="12" t="n">
        <x:v>295</x:v>
      </x:c>
      <x:c r="D2345" s="12" t="n">
        <x:v>0</x:v>
      </x:c>
      <x:c r="E2345" s="12" t="str">
        <x:v>FRED current rolling window</x:v>
      </x:c>
    </x:row>
    <x:row r="2346" ht="18" customHeight="1">
      <x:c r="A2346" s="13" t="n">
        <x:v>45854</x:v>
      </x:c>
      <x:c r="B2346" s="12" t="n">
        <x:v>3</x:v>
      </x:c>
      <x:c r="C2346" s="12" t="n">
        <x:v>300</x:v>
      </x:c>
      <x:c r="D2346" s="12" t="n">
        <x:v>5</x:v>
      </x:c>
      <x:c r="E2346" s="12" t="str">
        <x:v>FRED current rolling window</x:v>
      </x:c>
    </x:row>
    <x:row r="2347" ht="18" customHeight="1">
      <x:c r="A2347" s="13" t="n">
        <x:v>45855</x:v>
      </x:c>
      <x:c r="B2347" s="12" t="n">
        <x:v>2.91</x:v>
      </x:c>
      <x:c r="C2347" s="12" t="n">
        <x:v>291</x:v>
      </x:c>
      <x:c r="D2347" s="12" t="n">
        <x:v>-9</x:v>
      </x:c>
      <x:c r="E2347" s="12" t="str">
        <x:v>FRED current rolling window</x:v>
      </x:c>
    </x:row>
    <x:row r="2348" ht="18" customHeight="1">
      <x:c r="A2348" s="13" t="n">
        <x:v>45856</x:v>
      </x:c>
      <x:c r="B2348" s="12" t="n">
        <x:v>2.93</x:v>
      </x:c>
      <x:c r="C2348" s="12" t="n">
        <x:v>293</x:v>
      </x:c>
      <x:c r="D2348" s="12" t="n">
        <x:v>2</x:v>
      </x:c>
      <x:c r="E2348" s="12" t="str">
        <x:v>FRED current rolling window</x:v>
      </x:c>
    </x:row>
    <x:row r="2349" ht="18" customHeight="1">
      <x:c r="A2349" s="13" t="n">
        <x:v>45859</x:v>
      </x:c>
      <x:c r="B2349" s="12" t="n">
        <x:v>2.89</x:v>
      </x:c>
      <x:c r="C2349" s="12" t="n">
        <x:v>289</x:v>
      </x:c>
      <x:c r="D2349" s="12" t="n">
        <x:v>-4</x:v>
      </x:c>
      <x:c r="E2349" s="12" t="str">
        <x:v>FRED current rolling window</x:v>
      </x:c>
    </x:row>
    <x:row r="2350" ht="18" customHeight="1">
      <x:c r="A2350" s="13" t="n">
        <x:v>45860</x:v>
      </x:c>
      <x:c r="B2350" s="12" t="n">
        <x:v>2.9</x:v>
      </x:c>
      <x:c r="C2350" s="12" t="n">
        <x:v>290</x:v>
      </x:c>
      <x:c r="D2350" s="12" t="n">
        <x:v>1</x:v>
      </x:c>
      <x:c r="E2350" s="12" t="str">
        <x:v>FRED current rolling window</x:v>
      </x:c>
    </x:row>
    <x:row r="2351" ht="18" customHeight="1">
      <x:c r="A2351" s="13" t="n">
        <x:v>45861</x:v>
      </x:c>
      <x:c r="B2351" s="12" t="n">
        <x:v>2.83</x:v>
      </x:c>
      <x:c r="C2351" s="12" t="n">
        <x:v>283</x:v>
      </x:c>
      <x:c r="D2351" s="12" t="n">
        <x:v>-7</x:v>
      </x:c>
      <x:c r="E2351" s="12" t="str">
        <x:v>FRED current rolling window</x:v>
      </x:c>
    </x:row>
    <x:row r="2352" ht="18" customHeight="1">
      <x:c r="A2352" s="13" t="n">
        <x:v>45862</x:v>
      </x:c>
      <x:c r="B2352" s="12" t="n">
        <x:v>2.82</x:v>
      </x:c>
      <x:c r="C2352" s="12" t="n">
        <x:v>282</x:v>
      </x:c>
      <x:c r="D2352" s="12" t="n">
        <x:v>-1</x:v>
      </x:c>
      <x:c r="E2352" s="12" t="str">
        <x:v>FRED current rolling window</x:v>
      </x:c>
    </x:row>
    <x:row r="2353" ht="18" customHeight="1">
      <x:c r="A2353" s="13" t="n">
        <x:v>45863</x:v>
      </x:c>
      <x:c r="B2353" s="12" t="n">
        <x:v>2.84</x:v>
      </x:c>
      <x:c r="C2353" s="12" t="n">
        <x:v>284</x:v>
      </x:c>
      <x:c r="D2353" s="12" t="n">
        <x:v>2</x:v>
      </x:c>
      <x:c r="E2353" s="12" t="str">
        <x:v>FRED current rolling window</x:v>
      </x:c>
    </x:row>
    <x:row r="2354" ht="18" customHeight="1">
      <x:c r="A2354" s="13" t="n">
        <x:v>45866</x:v>
      </x:c>
      <x:c r="B2354" s="12" t="n">
        <x:v>2.82</x:v>
      </x:c>
      <x:c r="C2354" s="12" t="n">
        <x:v>282</x:v>
      </x:c>
      <x:c r="D2354" s="12" t="n">
        <x:v>-2</x:v>
      </x:c>
      <x:c r="E2354" s="12" t="str">
        <x:v>FRED current rolling window</x:v>
      </x:c>
    </x:row>
    <x:row r="2355" ht="18" customHeight="1">
      <x:c r="A2355" s="13" t="n">
        <x:v>45867</x:v>
      </x:c>
      <x:c r="B2355" s="12" t="n">
        <x:v>2.86</x:v>
      </x:c>
      <x:c r="C2355" s="12" t="n">
        <x:v>286</x:v>
      </x:c>
      <x:c r="D2355" s="12" t="n">
        <x:v>4</x:v>
      </x:c>
      <x:c r="E2355" s="12" t="str">
        <x:v>FRED current rolling window</x:v>
      </x:c>
    </x:row>
    <x:row r="2356" ht="18" customHeight="1">
      <x:c r="A2356" s="13" t="n">
        <x:v>45868</x:v>
      </x:c>
      <x:c r="B2356" s="12" t="n">
        <x:v>2.89</x:v>
      </x:c>
      <x:c r="C2356" s="12" t="n">
        <x:v>289</x:v>
      </x:c>
      <x:c r="D2356" s="12" t="n">
        <x:v>3</x:v>
      </x:c>
      <x:c r="E2356" s="12" t="str">
        <x:v>FRED current rolling window</x:v>
      </x:c>
    </x:row>
    <x:row r="2357" ht="18" customHeight="1">
      <x:c r="A2357" s="13" t="n">
        <x:v>45869</x:v>
      </x:c>
      <x:c r="B2357" s="12" t="n">
        <x:v>2.86</x:v>
      </x:c>
      <x:c r="C2357" s="12" t="n">
        <x:v>286</x:v>
      </x:c>
      <x:c r="D2357" s="12" t="n">
        <x:v>-3</x:v>
      </x:c>
      <x:c r="E2357" s="12" t="str">
        <x:v>FRED current rolling window</x:v>
      </x:c>
    </x:row>
    <x:row r="2358" ht="18" customHeight="1">
      <x:c r="A2358" s="13" t="n">
        <x:v>45870</x:v>
      </x:c>
      <x:c r="B2358" s="12" t="n">
        <x:v>3.13</x:v>
      </x:c>
      <x:c r="C2358" s="12" t="n">
        <x:v>313</x:v>
      </x:c>
      <x:c r="D2358" s="12" t="n">
        <x:v>27</x:v>
      </x:c>
      <x:c r="E2358" s="12" t="str">
        <x:v>FRED current rolling window</x:v>
      </x:c>
    </x:row>
    <x:row r="2359" ht="18" customHeight="1">
      <x:c r="A2359" s="13" t="n">
        <x:v>45873</x:v>
      </x:c>
      <x:c r="B2359" s="12" t="n">
        <x:v>3.02</x:v>
      </x:c>
      <x:c r="C2359" s="12" t="n">
        <x:v>302</x:v>
      </x:c>
      <x:c r="D2359" s="12" t="n">
        <x:v>-11</x:v>
      </x:c>
      <x:c r="E2359" s="12" t="str">
        <x:v>FRED current rolling window</x:v>
      </x:c>
    </x:row>
    <x:row r="2360" ht="18" customHeight="1">
      <x:c r="A2360" s="13" t="n">
        <x:v>45874</x:v>
      </x:c>
      <x:c r="B2360" s="12" t="n">
        <x:v>2.98</x:v>
      </x:c>
      <x:c r="C2360" s="12" t="n">
        <x:v>298</x:v>
      </x:c>
      <x:c r="D2360" s="12" t="n">
        <x:v>-4</x:v>
      </x:c>
      <x:c r="E2360" s="12" t="str">
        <x:v>FRED current rolling window</x:v>
      </x:c>
    </x:row>
    <x:row r="2361" ht="18" customHeight="1">
      <x:c r="A2361" s="13" t="n">
        <x:v>45875</x:v>
      </x:c>
      <x:c r="B2361" s="12" t="n">
        <x:v>2.98</x:v>
      </x:c>
      <x:c r="C2361" s="12" t="n">
        <x:v>298</x:v>
      </x:c>
      <x:c r="D2361" s="12" t="n">
        <x:v>0</x:v>
      </x:c>
      <x:c r="E2361" s="12" t="str">
        <x:v>FRED current rolling window</x:v>
      </x:c>
    </x:row>
    <x:row r="2362" ht="18" customHeight="1">
      <x:c r="A2362" s="13" t="n">
        <x:v>45876</x:v>
      </x:c>
      <x:c r="B2362" s="12" t="n">
        <x:v>2.95</x:v>
      </x:c>
      <x:c r="C2362" s="12" t="n">
        <x:v>295</x:v>
      </x:c>
      <x:c r="D2362" s="12" t="n">
        <x:v>-3</x:v>
      </x:c>
      <x:c r="E2362" s="12" t="str">
        <x:v>FRED current rolling window</x:v>
      </x:c>
    </x:row>
    <x:row r="2363" ht="18" customHeight="1">
      <x:c r="A2363" s="13" t="n">
        <x:v>45877</x:v>
      </x:c>
      <x:c r="B2363" s="12" t="n">
        <x:v>2.94</x:v>
      </x:c>
      <x:c r="C2363" s="12" t="n">
        <x:v>294</x:v>
      </x:c>
      <x:c r="D2363" s="12" t="n">
        <x:v>-1</x:v>
      </x:c>
      <x:c r="E2363" s="12" t="str">
        <x:v>FRED current rolling window</x:v>
      </x:c>
    </x:row>
    <x:row r="2364" ht="18" customHeight="1">
      <x:c r="A2364" s="13" t="n">
        <x:v>45880</x:v>
      </x:c>
      <x:c r="B2364" s="12" t="n">
        <x:v>2.94</x:v>
      </x:c>
      <x:c r="C2364" s="12" t="n">
        <x:v>294</x:v>
      </x:c>
      <x:c r="D2364" s="12" t="n">
        <x:v>0</x:v>
      </x:c>
      <x:c r="E2364" s="12" t="str">
        <x:v>FRED current rolling window</x:v>
      </x:c>
    </x:row>
    <x:row r="2365" ht="18" customHeight="1">
      <x:c r="A2365" s="13" t="n">
        <x:v>45881</x:v>
      </x:c>
      <x:c r="B2365" s="12" t="n">
        <x:v>2.93</x:v>
      </x:c>
      <x:c r="C2365" s="12" t="n">
        <x:v>293</x:v>
      </x:c>
      <x:c r="D2365" s="12" t="n">
        <x:v>-1</x:v>
      </x:c>
      <x:c r="E2365" s="12" t="str">
        <x:v>FRED current rolling window</x:v>
      </x:c>
    </x:row>
    <x:row r="2366" ht="18" customHeight="1">
      <x:c r="A2366" s="13" t="n">
        <x:v>45882</x:v>
      </x:c>
      <x:c r="B2366" s="12" t="n">
        <x:v>2.9</x:v>
      </x:c>
      <x:c r="C2366" s="12" t="n">
        <x:v>290</x:v>
      </x:c>
      <x:c r="D2366" s="12" t="n">
        <x:v>-3</x:v>
      </x:c>
      <x:c r="E2366" s="12" t="str">
        <x:v>FRED current rolling window</x:v>
      </x:c>
    </x:row>
    <x:row r="2367" ht="18" customHeight="1">
      <x:c r="A2367" s="13" t="n">
        <x:v>45883</x:v>
      </x:c>
      <x:c r="B2367" s="12" t="n">
        <x:v>2.89</x:v>
      </x:c>
      <x:c r="C2367" s="12" t="n">
        <x:v>289</x:v>
      </x:c>
      <x:c r="D2367" s="12" t="n">
        <x:v>-1</x:v>
      </x:c>
      <x:c r="E2367" s="12" t="str">
        <x:v>FRED current rolling window</x:v>
      </x:c>
    </x:row>
    <x:row r="2368" ht="18" customHeight="1">
      <x:c r="A2368" s="13" t="n">
        <x:v>45884</x:v>
      </x:c>
      <x:c r="B2368" s="12" t="n">
        <x:v>2.88</x:v>
      </x:c>
      <x:c r="C2368" s="12" t="n">
        <x:v>288</x:v>
      </x:c>
      <x:c r="D2368" s="12" t="n">
        <x:v>-1</x:v>
      </x:c>
      <x:c r="E2368" s="12" t="str">
        <x:v>FRED current rolling window</x:v>
      </x:c>
    </x:row>
    <x:row r="2369" ht="18" customHeight="1">
      <x:c r="A2369" s="13" t="n">
        <x:v>45887</x:v>
      </x:c>
      <x:c r="B2369" s="12" t="n">
        <x:v>2.88</x:v>
      </x:c>
      <x:c r="C2369" s="12" t="n">
        <x:v>288</x:v>
      </x:c>
      <x:c r="D2369" s="12" t="n">
        <x:v>0</x:v>
      </x:c>
      <x:c r="E2369" s="12" t="str">
        <x:v>FRED current rolling window</x:v>
      </x:c>
    </x:row>
    <x:row r="2370" ht="18" customHeight="1">
      <x:c r="A2370" s="13" t="n">
        <x:v>45888</x:v>
      </x:c>
      <x:c r="B2370" s="12" t="n">
        <x:v>2.9</x:v>
      </x:c>
      <x:c r="C2370" s="12" t="n">
        <x:v>290</x:v>
      </x:c>
      <x:c r="D2370" s="12" t="n">
        <x:v>2</x:v>
      </x:c>
      <x:c r="E2370" s="12" t="str">
        <x:v>FRED current rolling window</x:v>
      </x:c>
    </x:row>
    <x:row r="2371" ht="18" customHeight="1">
      <x:c r="A2371" s="13" t="n">
        <x:v>45889</x:v>
      </x:c>
      <x:c r="B2371" s="12" t="n">
        <x:v>2.94</x:v>
      </x:c>
      <x:c r="C2371" s="12" t="n">
        <x:v>294</x:v>
      </x:c>
      <x:c r="D2371" s="12" t="n">
        <x:v>4</x:v>
      </x:c>
      <x:c r="E2371" s="12" t="str">
        <x:v>FRED current rolling window</x:v>
      </x:c>
    </x:row>
    <x:row r="2372" ht="18" customHeight="1">
      <x:c r="A2372" s="13" t="n">
        <x:v>45890</x:v>
      </x:c>
      <x:c r="B2372" s="12" t="n">
        <x:v>2.95</x:v>
      </x:c>
      <x:c r="C2372" s="12" t="n">
        <x:v>295</x:v>
      </x:c>
      <x:c r="D2372" s="12" t="n">
        <x:v>1</x:v>
      </x:c>
      <x:c r="E2372" s="12" t="str">
        <x:v>FRED current rolling window</x:v>
      </x:c>
    </x:row>
    <x:row r="2373" ht="18" customHeight="1">
      <x:c r="A2373" s="13" t="n">
        <x:v>45891</x:v>
      </x:c>
      <x:c r="B2373" s="12" t="n">
        <x:v>2.88</x:v>
      </x:c>
      <x:c r="C2373" s="12" t="n">
        <x:v>288</x:v>
      </x:c>
      <x:c r="D2373" s="12" t="n">
        <x:v>-7</x:v>
      </x:c>
      <x:c r="E2373" s="12" t="str">
        <x:v>FRED current rolling window</x:v>
      </x:c>
    </x:row>
    <x:row r="2374" ht="18" customHeight="1">
      <x:c r="A2374" s="13" t="n">
        <x:v>45894</x:v>
      </x:c>
      <x:c r="B2374" s="12" t="n">
        <x:v>2.8</x:v>
      </x:c>
      <x:c r="C2374" s="12" t="n">
        <x:v>280</x:v>
      </x:c>
      <x:c r="D2374" s="12" t="n">
        <x:v>-8</x:v>
      </x:c>
      <x:c r="E2374" s="12" t="str">
        <x:v>FRED current rolling window</x:v>
      </x:c>
    </x:row>
    <x:row r="2375" ht="18" customHeight="1">
      <x:c r="A2375" s="13" t="n">
        <x:v>45895</x:v>
      </x:c>
      <x:c r="B2375" s="12" t="n">
        <x:v>2.78</x:v>
      </x:c>
      <x:c r="C2375" s="12" t="n">
        <x:v>278</x:v>
      </x:c>
      <x:c r="D2375" s="12" t="n">
        <x:v>-2</x:v>
      </x:c>
      <x:c r="E2375" s="12" t="str">
        <x:v>FRED current rolling window</x:v>
      </x:c>
    </x:row>
    <x:row r="2376" ht="18" customHeight="1">
      <x:c r="A2376" s="13" t="n">
        <x:v>45896</x:v>
      </x:c>
      <x:c r="B2376" s="12" t="n">
        <x:v>2.78</x:v>
      </x:c>
      <x:c r="C2376" s="12" t="n">
        <x:v>278</x:v>
      </x:c>
      <x:c r="D2376" s="12" t="n">
        <x:v>0</x:v>
      </x:c>
      <x:c r="E2376" s="12" t="str">
        <x:v>FRED current rolling window</x:v>
      </x:c>
    </x:row>
    <x:row r="2377" ht="18" customHeight="1">
      <x:c r="A2377" s="13" t="n">
        <x:v>45897</x:v>
      </x:c>
      <x:c r="B2377" s="12" t="n">
        <x:v>2.75</x:v>
      </x:c>
      <x:c r="C2377" s="12" t="n">
        <x:v>275</x:v>
      </x:c>
      <x:c r="D2377" s="12" t="n">
        <x:v>-3</x:v>
      </x:c>
      <x:c r="E2377" s="12" t="str">
        <x:v>FRED current rolling window</x:v>
      </x:c>
    </x:row>
    <x:row r="2378" ht="18" customHeight="1">
      <x:c r="A2378" s="13" t="n">
        <x:v>45898</x:v>
      </x:c>
      <x:c r="B2378" s="12" t="n">
        <x:v>2.82</x:v>
      </x:c>
      <x:c r="C2378" s="12" t="n">
        <x:v>282</x:v>
      </x:c>
      <x:c r="D2378" s="12" t="n">
        <x:v>7</x:v>
      </x:c>
      <x:c r="E2378" s="12" t="str">
        <x:v>FRED current rolling window</x:v>
      </x:c>
    </x:row>
    <x:row r="2379" ht="18" customHeight="1">
      <x:c r="A2379" s="13" t="n">
        <x:v>45900</x:v>
      </x:c>
      <x:c r="B2379" s="12" t="n">
        <x:v>2.84</x:v>
      </x:c>
      <x:c r="C2379" s="12" t="n">
        <x:v>284</x:v>
      </x:c>
      <x:c r="D2379" s="12" t="n">
        <x:v>2</x:v>
      </x:c>
      <x:c r="E2379" s="12" t="str">
        <x:v>FRED current rolling window</x:v>
      </x:c>
    </x:row>
    <x:row r="2380" ht="18" customHeight="1">
      <x:c r="A2380" s="13" t="n">
        <x:v>45901</x:v>
      </x:c>
      <x:c r="B2380" s="12" t="n">
        <x:v>2.84</x:v>
      </x:c>
      <x:c r="C2380" s="12" t="n">
        <x:v>284</x:v>
      </x:c>
      <x:c r="D2380" s="12" t="n">
        <x:v>0</x:v>
      </x:c>
      <x:c r="E2380" s="12" t="str">
        <x:v>FRED current rolling window</x:v>
      </x:c>
    </x:row>
    <x:row r="2381" ht="18" customHeight="1">
      <x:c r="A2381" s="13" t="n">
        <x:v>45902</x:v>
      </x:c>
      <x:c r="B2381" s="12" t="n">
        <x:v>2.92</x:v>
      </x:c>
      <x:c r="C2381" s="12" t="n">
        <x:v>292</x:v>
      </x:c>
      <x:c r="D2381" s="12" t="n">
        <x:v>8</x:v>
      </x:c>
      <x:c r="E2381" s="12" t="str">
        <x:v>FRED current rolling window</x:v>
      </x:c>
    </x:row>
    <x:row r="2382" ht="18" customHeight="1">
      <x:c r="A2382" s="13" t="n">
        <x:v>45903</x:v>
      </x:c>
      <x:c r="B2382" s="12" t="n">
        <x:v>2.88</x:v>
      </x:c>
      <x:c r="C2382" s="12" t="n">
        <x:v>288</x:v>
      </x:c>
      <x:c r="D2382" s="12" t="n">
        <x:v>-4</x:v>
      </x:c>
      <x:c r="E2382" s="12" t="str">
        <x:v>FRED current rolling window</x:v>
      </x:c>
    </x:row>
    <x:row r="2383" ht="18" customHeight="1">
      <x:c r="A2383" s="13" t="n">
        <x:v>45904</x:v>
      </x:c>
      <x:c r="B2383" s="12" t="n">
        <x:v>2.84</x:v>
      </x:c>
      <x:c r="C2383" s="12" t="n">
        <x:v>284</x:v>
      </x:c>
      <x:c r="D2383" s="12" t="n">
        <x:v>-4</x:v>
      </x:c>
      <x:c r="E2383" s="12" t="str">
        <x:v>FRED current rolling window</x:v>
      </x:c>
    </x:row>
    <x:row r="2384" ht="18" customHeight="1">
      <x:c r="A2384" s="13" t="n">
        <x:v>45905</x:v>
      </x:c>
      <x:c r="B2384" s="12" t="n">
        <x:v>2.83</x:v>
      </x:c>
      <x:c r="C2384" s="12" t="n">
        <x:v>283</x:v>
      </x:c>
      <x:c r="D2384" s="12" t="n">
        <x:v>-1</x:v>
      </x:c>
      <x:c r="E2384" s="12" t="str">
        <x:v>FRED current rolling window</x:v>
      </x:c>
    </x:row>
    <x:row r="2385" ht="18" customHeight="1">
      <x:c r="A2385" s="13" t="n">
        <x:v>45908</x:v>
      </x:c>
      <x:c r="B2385" s="12" t="n">
        <x:v>2.84</x:v>
      </x:c>
      <x:c r="C2385" s="12" t="n">
        <x:v>284</x:v>
      </x:c>
      <x:c r="D2385" s="12" t="n">
        <x:v>1</x:v>
      </x:c>
      <x:c r="E2385" s="12" t="str">
        <x:v>FRED current rolling window</x:v>
      </x:c>
    </x:row>
    <x:row r="2386" ht="18" customHeight="1">
      <x:c r="A2386" s="13" t="n">
        <x:v>45909</x:v>
      </x:c>
      <x:c r="B2386" s="12" t="n">
        <x:v>2.87</x:v>
      </x:c>
      <x:c r="C2386" s="12" t="n">
        <x:v>287</x:v>
      </x:c>
      <x:c r="D2386" s="12" t="n">
        <x:v>3</x:v>
      </x:c>
      <x:c r="E2386" s="12" t="str">
        <x:v>FRED current rolling window</x:v>
      </x:c>
    </x:row>
    <x:row r="2387" ht="18" customHeight="1">
      <x:c r="A2387" s="13" t="n">
        <x:v>45910</x:v>
      </x:c>
      <x:c r="B2387" s="12" t="n">
        <x:v>2.84</x:v>
      </x:c>
      <x:c r="C2387" s="12" t="n">
        <x:v>284</x:v>
      </x:c>
      <x:c r="D2387" s="12" t="n">
        <x:v>-3</x:v>
      </x:c>
      <x:c r="E2387" s="12" t="str">
        <x:v>FRED current rolling window</x:v>
      </x:c>
    </x:row>
    <x:row r="2388" ht="18" customHeight="1">
      <x:c r="A2388" s="13" t="n">
        <x:v>45911</x:v>
      </x:c>
      <x:c r="B2388" s="12" t="n">
        <x:v>2.78</x:v>
      </x:c>
      <x:c r="C2388" s="12" t="n">
        <x:v>278</x:v>
      </x:c>
      <x:c r="D2388" s="12" t="n">
        <x:v>-6</x:v>
      </x:c>
      <x:c r="E2388" s="12" t="str">
        <x:v>FRED current rolling window</x:v>
      </x:c>
    </x:row>
    <x:row r="2389" ht="18" customHeight="1">
      <x:c r="A2389" s="13" t="n">
        <x:v>45912</x:v>
      </x:c>
      <x:c r="B2389" s="12" t="n">
        <x:v>2.79</x:v>
      </x:c>
      <x:c r="C2389" s="12" t="n">
        <x:v>279</x:v>
      </x:c>
      <x:c r="D2389" s="12" t="n">
        <x:v>1</x:v>
      </x:c>
      <x:c r="E2389" s="12" t="str">
        <x:v>FRED current rolling window</x:v>
      </x:c>
    </x:row>
    <x:row r="2390" ht="18" customHeight="1">
      <x:c r="A2390" s="13" t="n">
        <x:v>45915</x:v>
      </x:c>
      <x:c r="B2390" s="12" t="n">
        <x:v>2.75</x:v>
      </x:c>
      <x:c r="C2390" s="12" t="n">
        <x:v>275</x:v>
      </x:c>
      <x:c r="D2390" s="12" t="n">
        <x:v>-4</x:v>
      </x:c>
      <x:c r="E2390" s="12" t="str">
        <x:v>FRED current rolling window</x:v>
      </x:c>
    </x:row>
    <x:row r="2391" ht="18" customHeight="1">
      <x:c r="A2391" s="13" t="n">
        <x:v>45916</x:v>
      </x:c>
      <x:c r="B2391" s="12" t="n">
        <x:v>2.79</x:v>
      </x:c>
      <x:c r="C2391" s="12" t="n">
        <x:v>279</x:v>
      </x:c>
      <x:c r="D2391" s="12" t="n">
        <x:v>4</x:v>
      </x:c>
      <x:c r="E2391" s="12" t="str">
        <x:v>FRED current rolling window</x:v>
      </x:c>
    </x:row>
    <x:row r="2392" ht="18" customHeight="1">
      <x:c r="A2392" s="13" t="n">
        <x:v>45917</x:v>
      </x:c>
      <x:c r="B2392" s="12" t="n">
        <x:v>2.79</x:v>
      </x:c>
      <x:c r="C2392" s="12" t="n">
        <x:v>279</x:v>
      </x:c>
      <x:c r="D2392" s="12" t="n">
        <x:v>0</x:v>
      </x:c>
      <x:c r="E2392" s="12" t="str">
        <x:v>FRED current rolling window</x:v>
      </x:c>
    </x:row>
    <x:row r="2393" ht="18" customHeight="1">
      <x:c r="A2393" s="13" t="n">
        <x:v>45918</x:v>
      </x:c>
      <x:c r="B2393" s="12" t="n">
        <x:v>2.71</x:v>
      </x:c>
      <x:c r="C2393" s="12" t="n">
        <x:v>271</x:v>
      </x:c>
      <x:c r="D2393" s="12" t="n">
        <x:v>-8</x:v>
      </x:c>
      <x:c r="E2393" s="12" t="str">
        <x:v>FRED current rolling window</x:v>
      </x:c>
    </x:row>
    <x:row r="2394" ht="18" customHeight="1">
      <x:c r="A2394" s="13" t="n">
        <x:v>45919</x:v>
      </x:c>
      <x:c r="B2394" s="12" t="n">
        <x:v>2.72</x:v>
      </x:c>
      <x:c r="C2394" s="12" t="n">
        <x:v>272</x:v>
      </x:c>
      <x:c r="D2394" s="12" t="n">
        <x:v>1</x:v>
      </x:c>
      <x:c r="E2394" s="12" t="str">
        <x:v>FRED current rolling window</x:v>
      </x:c>
    </x:row>
    <x:row r="2395" ht="18" customHeight="1">
      <x:c r="A2395" s="13" t="n">
        <x:v>45922</x:v>
      </x:c>
      <x:c r="B2395" s="12" t="n">
        <x:v>2.69</x:v>
      </x:c>
      <x:c r="C2395" s="12" t="n">
        <x:v>269</x:v>
      </x:c>
      <x:c r="D2395" s="12" t="n">
        <x:v>-3</x:v>
      </x:c>
      <x:c r="E2395" s="12" t="str">
        <x:v>FRED current rolling window</x:v>
      </x:c>
    </x:row>
    <x:row r="2396" ht="18" customHeight="1">
      <x:c r="A2396" s="13" t="n">
        <x:v>45923</x:v>
      </x:c>
      <x:c r="B2396" s="12" t="n">
        <x:v>2.71</x:v>
      </x:c>
      <x:c r="C2396" s="12" t="n">
        <x:v>271</x:v>
      </x:c>
      <x:c r="D2396" s="12" t="n">
        <x:v>2</x:v>
      </x:c>
      <x:c r="E2396" s="12" t="str">
        <x:v>FRED current rolling window</x:v>
      </x:c>
    </x:row>
    <x:row r="2397" ht="18" customHeight="1">
      <x:c r="A2397" s="13" t="n">
        <x:v>45924</x:v>
      </x:c>
      <x:c r="B2397" s="12" t="n">
        <x:v>2.7</x:v>
      </x:c>
      <x:c r="C2397" s="12" t="n">
        <x:v>270</x:v>
      </x:c>
      <x:c r="D2397" s="12" t="n">
        <x:v>-1</x:v>
      </x:c>
      <x:c r="E2397" s="12" t="str">
        <x:v>FRED current rolling window</x:v>
      </x:c>
    </x:row>
    <x:row r="2398" ht="18" customHeight="1">
      <x:c r="A2398" s="13" t="n">
        <x:v>45925</x:v>
      </x:c>
      <x:c r="B2398" s="12" t="n">
        <x:v>2.76</x:v>
      </x:c>
      <x:c r="C2398" s="12" t="n">
        <x:v>276</x:v>
      </x:c>
      <x:c r="D2398" s="12" t="n">
        <x:v>6</x:v>
      </x:c>
      <x:c r="E2398" s="12" t="str">
        <x:v>FRED current rolling window</x:v>
      </x:c>
    </x:row>
    <x:row r="2399" ht="18" customHeight="1">
      <x:c r="A2399" s="13" t="n">
        <x:v>45926</x:v>
      </x:c>
      <x:c r="B2399" s="12" t="n">
        <x:v>2.75</x:v>
      </x:c>
      <x:c r="C2399" s="12" t="n">
        <x:v>275</x:v>
      </x:c>
      <x:c r="D2399" s="12" t="n">
        <x:v>-1</x:v>
      </x:c>
      <x:c r="E2399" s="12" t="str">
        <x:v>FRED current rolling window</x:v>
      </x:c>
    </x:row>
    <x:row r="2400" ht="18" customHeight="1">
      <x:c r="A2400" s="13" t="n">
        <x:v>45929</x:v>
      </x:c>
      <x:c r="B2400" s="12" t="n">
        <x:v>2.74</x:v>
      </x:c>
      <x:c r="C2400" s="12" t="n">
        <x:v>274</x:v>
      </x:c>
      <x:c r="D2400" s="12" t="n">
        <x:v>-1</x:v>
      </x:c>
      <x:c r="E2400" s="12" t="str">
        <x:v>FRED current rolling window</x:v>
      </x:c>
    </x:row>
    <x:row r="2401" ht="18" customHeight="1">
      <x:c r="A2401" s="13" t="n">
        <x:v>45930</x:v>
      </x:c>
      <x:c r="B2401" s="12" t="n">
        <x:v>2.8</x:v>
      </x:c>
      <x:c r="C2401" s="12" t="n">
        <x:v>280</x:v>
      </x:c>
      <x:c r="D2401" s="12" t="n">
        <x:v>6</x:v>
      </x:c>
      <x:c r="E2401" s="12" t="str">
        <x:v>FRED current rolling window</x:v>
      </x:c>
    </x:row>
    <x:row r="2402" ht="18" customHeight="1">
      <x:c r="A2402" s="13" t="n">
        <x:v>45931</x:v>
      </x:c>
      <x:c r="B2402" s="12" t="n">
        <x:v>2.81</x:v>
      </x:c>
      <x:c r="C2402" s="12" t="n">
        <x:v>281</x:v>
      </x:c>
      <x:c r="D2402" s="12" t="n">
        <x:v>1</x:v>
      </x:c>
      <x:c r="E2402" s="12" t="str">
        <x:v>FRED current rolling window</x:v>
      </x:c>
    </x:row>
    <x:row r="2403" ht="18" customHeight="1">
      <x:c r="A2403" s="13" t="n">
        <x:v>45932</x:v>
      </x:c>
      <x:c r="B2403" s="12" t="n">
        <x:v>2.81</x:v>
      </x:c>
      <x:c r="C2403" s="12" t="n">
        <x:v>281</x:v>
      </x:c>
      <x:c r="D2403" s="12" t="n">
        <x:v>0</x:v>
      </x:c>
      <x:c r="E2403" s="12" t="str">
        <x:v>FRED current rolling window</x:v>
      </x:c>
    </x:row>
    <x:row r="2404" ht="18" customHeight="1">
      <x:c r="A2404" s="13" t="n">
        <x:v>45933</x:v>
      </x:c>
      <x:c r="B2404" s="12" t="n">
        <x:v>2.8</x:v>
      </x:c>
      <x:c r="C2404" s="12" t="n">
        <x:v>280</x:v>
      </x:c>
      <x:c r="D2404" s="12" t="n">
        <x:v>-1</x:v>
      </x:c>
      <x:c r="E2404" s="12" t="str">
        <x:v>FRED current rolling window</x:v>
      </x:c>
    </x:row>
    <x:row r="2405" ht="18" customHeight="1">
      <x:c r="A2405" s="13" t="n">
        <x:v>45936</x:v>
      </x:c>
      <x:c r="B2405" s="12" t="n">
        <x:v>2.76</x:v>
      </x:c>
      <x:c r="C2405" s="12" t="n">
        <x:v>276</x:v>
      </x:c>
      <x:c r="D2405" s="12" t="n">
        <x:v>-4</x:v>
      </x:c>
      <x:c r="E2405" s="12" t="str">
        <x:v>FRED current rolling window</x:v>
      </x:c>
    </x:row>
    <x:row r="2406" ht="18" customHeight="1">
      <x:c r="A2406" s="13" t="n">
        <x:v>45937</x:v>
      </x:c>
      <x:c r="B2406" s="12" t="n">
        <x:v>2.82</x:v>
      </x:c>
      <x:c r="C2406" s="12" t="n">
        <x:v>282</x:v>
      </x:c>
      <x:c r="D2406" s="12" t="n">
        <x:v>6</x:v>
      </x:c>
      <x:c r="E2406" s="12" t="str">
        <x:v>FRED current rolling window</x:v>
      </x:c>
    </x:row>
    <x:row r="2407" ht="18" customHeight="1">
      <x:c r="A2407" s="13" t="n">
        <x:v>45938</x:v>
      </x:c>
      <x:c r="B2407" s="12" t="n">
        <x:v>2.84</x:v>
      </x:c>
      <x:c r="C2407" s="12" t="n">
        <x:v>284</x:v>
      </x:c>
      <x:c r="D2407" s="12" t="n">
        <x:v>2</x:v>
      </x:c>
      <x:c r="E2407" s="12" t="str">
        <x:v>FRED current rolling window</x:v>
      </x:c>
    </x:row>
    <x:row r="2408" ht="18" customHeight="1">
      <x:c r="A2408" s="13" t="n">
        <x:v>45939</x:v>
      </x:c>
      <x:c r="B2408" s="12" t="n">
        <x:v>2.95</x:v>
      </x:c>
      <x:c r="C2408" s="12" t="n">
        <x:v>295</x:v>
      </x:c>
      <x:c r="D2408" s="12" t="n">
        <x:v>11</x:v>
      </x:c>
      <x:c r="E2408" s="12" t="str">
        <x:v>FRED current rolling window</x:v>
      </x:c>
    </x:row>
    <x:row r="2409" ht="18" customHeight="1">
      <x:c r="A2409" s="13" t="n">
        <x:v>45940</x:v>
      </x:c>
      <x:c r="B2409" s="12" t="n">
        <x:v>3.18</x:v>
      </x:c>
      <x:c r="C2409" s="12" t="n">
        <x:v>318</x:v>
      </x:c>
      <x:c r="D2409" s="12" t="n">
        <x:v>23</x:v>
      </x:c>
      <x:c r="E2409" s="12" t="str">
        <x:v>FRED current rolling window</x:v>
      </x:c>
    </x:row>
    <x:row r="2410" ht="18" customHeight="1">
      <x:c r="A2410" s="13" t="n">
        <x:v>45943</x:v>
      </x:c>
      <x:c r="B2410" s="12" t="n">
        <x:v>3.18</x:v>
      </x:c>
      <x:c r="C2410" s="12" t="n">
        <x:v>318</x:v>
      </x:c>
      <x:c r="D2410" s="12" t="n">
        <x:v>0</x:v>
      </x:c>
      <x:c r="E2410" s="12" t="str">
        <x:v>FRED current rolling window</x:v>
      </x:c>
    </x:row>
    <x:row r="2411" ht="18" customHeight="1">
      <x:c r="A2411" s="13" t="n">
        <x:v>45944</x:v>
      </x:c>
      <x:c r="B2411" s="12" t="n">
        <x:v>3.11</x:v>
      </x:c>
      <x:c r="C2411" s="12" t="n">
        <x:v>311</x:v>
      </x:c>
      <x:c r="D2411" s="12" t="n">
        <x:v>-7</x:v>
      </x:c>
      <x:c r="E2411" s="12" t="str">
        <x:v>FRED current rolling window</x:v>
      </x:c>
    </x:row>
    <x:row r="2412" ht="18" customHeight="1">
      <x:c r="A2412" s="13" t="n">
        <x:v>45945</x:v>
      </x:c>
      <x:c r="B2412" s="12" t="n">
        <x:v>2.95</x:v>
      </x:c>
      <x:c r="C2412" s="12" t="n">
        <x:v>295</x:v>
      </x:c>
      <x:c r="D2412" s="12" t="n">
        <x:v>-16</x:v>
      </x:c>
      <x:c r="E2412" s="12" t="str">
        <x:v>FRED current rolling window</x:v>
      </x:c>
    </x:row>
    <x:row r="2413" ht="18" customHeight="1">
      <x:c r="A2413" s="13" t="n">
        <x:v>45946</x:v>
      </x:c>
      <x:c r="B2413" s="12" t="n">
        <x:v>3.04</x:v>
      </x:c>
      <x:c r="C2413" s="12" t="n">
        <x:v>304</x:v>
      </x:c>
      <x:c r="D2413" s="12" t="n">
        <x:v>9</x:v>
      </x:c>
      <x:c r="E2413" s="12" t="str">
        <x:v>FRED current rolling window</x:v>
      </x:c>
    </x:row>
    <x:row r="2414" ht="18" customHeight="1">
      <x:c r="A2414" s="13" t="n">
        <x:v>45947</x:v>
      </x:c>
      <x:c r="B2414" s="12" t="n">
        <x:v>3.04</x:v>
      </x:c>
      <x:c r="C2414" s="12" t="n">
        <x:v>304</x:v>
      </x:c>
      <x:c r="D2414" s="12" t="n">
        <x:v>0</x:v>
      </x:c>
      <x:c r="E2414" s="12" t="str">
        <x:v>FRED current rolling window</x:v>
      </x:c>
    </x:row>
    <x:row r="2415" ht="18" customHeight="1">
      <x:c r="A2415" s="13" t="n">
        <x:v>45950</x:v>
      </x:c>
      <x:c r="B2415" s="12" t="n">
        <x:v>2.99</x:v>
      </x:c>
      <x:c r="C2415" s="12" t="n">
        <x:v>299</x:v>
      </x:c>
      <x:c r="D2415" s="12" t="n">
        <x:v>-5</x:v>
      </x:c>
      <x:c r="E2415" s="12" t="str">
        <x:v>FRED current rolling window</x:v>
      </x:c>
    </x:row>
    <x:row r="2416" ht="18" customHeight="1">
      <x:c r="A2416" s="13" t="n">
        <x:v>45951</x:v>
      </x:c>
      <x:c r="B2416" s="12" t="n">
        <x:v>2.97</x:v>
      </x:c>
      <x:c r="C2416" s="12" t="n">
        <x:v>297</x:v>
      </x:c>
      <x:c r="D2416" s="12" t="n">
        <x:v>-2</x:v>
      </x:c>
      <x:c r="E2416" s="12" t="str">
        <x:v>FRED current rolling window</x:v>
      </x:c>
    </x:row>
    <x:row r="2417" ht="18" customHeight="1">
      <x:c r="A2417" s="13" t="n">
        <x:v>45952</x:v>
      </x:c>
      <x:c r="B2417" s="12" t="n">
        <x:v>3.01</x:v>
      </x:c>
      <x:c r="C2417" s="12" t="n">
        <x:v>301</x:v>
      </x:c>
      <x:c r="D2417" s="12" t="n">
        <x:v>4</x:v>
      </x:c>
      <x:c r="E2417" s="12" t="str">
        <x:v>FRED current rolling window</x:v>
      </x:c>
    </x:row>
    <x:row r="2418" ht="18" customHeight="1">
      <x:c r="A2418" s="13" t="n">
        <x:v>45953</x:v>
      </x:c>
      <x:c r="B2418" s="12" t="n">
        <x:v>2.96</x:v>
      </x:c>
      <x:c r="C2418" s="12" t="n">
        <x:v>296</x:v>
      </x:c>
      <x:c r="D2418" s="12" t="n">
        <x:v>-5</x:v>
      </x:c>
      <x:c r="E2418" s="12" t="str">
        <x:v>FRED current rolling window</x:v>
      </x:c>
    </x:row>
    <x:row r="2419" ht="18" customHeight="1">
      <x:c r="A2419" s="13" t="n">
        <x:v>45954</x:v>
      </x:c>
      <x:c r="B2419" s="12" t="n">
        <x:v>2.88</x:v>
      </x:c>
      <x:c r="C2419" s="12" t="n">
        <x:v>288</x:v>
      </x:c>
      <x:c r="D2419" s="12" t="n">
        <x:v>-8</x:v>
      </x:c>
      <x:c r="E2419" s="12" t="str">
        <x:v>FRED current rolling window</x:v>
      </x:c>
    </x:row>
    <x:row r="2420" ht="18" customHeight="1">
      <x:c r="A2420" s="13" t="n">
        <x:v>45957</x:v>
      </x:c>
      <x:c r="B2420" s="12" t="n">
        <x:v>2.8</x:v>
      </x:c>
      <x:c r="C2420" s="12" t="n">
        <x:v>280</x:v>
      </x:c>
      <x:c r="D2420" s="12" t="n">
        <x:v>-8</x:v>
      </x:c>
      <x:c r="E2420" s="12" t="str">
        <x:v>FRED current rolling window</x:v>
      </x:c>
    </x:row>
    <x:row r="2421" ht="18" customHeight="1">
      <x:c r="A2421" s="13" t="n">
        <x:v>45958</x:v>
      </x:c>
      <x:c r="B2421" s="12" t="n">
        <x:v>2.82</x:v>
      </x:c>
      <x:c r="C2421" s="12" t="n">
        <x:v>282</x:v>
      </x:c>
      <x:c r="D2421" s="12" t="n">
        <x:v>2</x:v>
      </x:c>
      <x:c r="E2421" s="12" t="str">
        <x:v>FRED current rolling window</x:v>
      </x:c>
    </x:row>
    <x:row r="2422" ht="18" customHeight="1">
      <x:c r="A2422" s="13" t="n">
        <x:v>45959</x:v>
      </x:c>
      <x:c r="B2422" s="12" t="n">
        <x:v>2.76</x:v>
      </x:c>
      <x:c r="C2422" s="12" t="n">
        <x:v>276</x:v>
      </x:c>
      <x:c r="D2422" s="12" t="n">
        <x:v>-6</x:v>
      </x:c>
      <x:c r="E2422" s="12" t="str">
        <x:v>FRED current rolling window</x:v>
      </x:c>
    </x:row>
    <x:row r="2423" ht="18" customHeight="1">
      <x:c r="A2423" s="13" t="n">
        <x:v>45960</x:v>
      </x:c>
      <x:c r="B2423" s="12" t="n">
        <x:v>2.85</x:v>
      </x:c>
      <x:c r="C2423" s="12" t="n">
        <x:v>285</x:v>
      </x:c>
      <x:c r="D2423" s="12" t="n">
        <x:v>9</x:v>
      </x:c>
      <x:c r="E2423" s="12" t="str">
        <x:v>FRED current rolling window</x:v>
      </x:c>
    </x:row>
    <x:row r="2424" ht="18" customHeight="1">
      <x:c r="A2424" s="13" t="n">
        <x:v>45961</x:v>
      </x:c>
      <x:c r="B2424" s="12" t="n">
        <x:v>2.94</x:v>
      </x:c>
      <x:c r="C2424" s="12" t="n">
        <x:v>294</x:v>
      </x:c>
      <x:c r="D2424" s="12" t="n">
        <x:v>9</x:v>
      </x:c>
      <x:c r="E2424" s="12" t="str">
        <x:v>FRED current rolling window</x:v>
      </x:c>
    </x:row>
    <x:row r="2425" ht="18" customHeight="1">
      <x:c r="A2425" s="13" t="n">
        <x:v>45964</x:v>
      </x:c>
      <x:c r="B2425" s="12" t="n">
        <x:v>3.04</x:v>
      </x:c>
      <x:c r="C2425" s="12" t="n">
        <x:v>304</x:v>
      </x:c>
      <x:c r="D2425" s="12" t="n">
        <x:v>10</x:v>
      </x:c>
      <x:c r="E2425" s="12" t="str">
        <x:v>FRED current rolling window</x:v>
      </x:c>
    </x:row>
    <x:row r="2426" ht="18" customHeight="1">
      <x:c r="A2426" s="13" t="n">
        <x:v>45965</x:v>
      </x:c>
      <x:c r="B2426" s="12" t="n">
        <x:v>3.13</x:v>
      </x:c>
      <x:c r="C2426" s="12" t="n">
        <x:v>313</x:v>
      </x:c>
      <x:c r="D2426" s="12" t="n">
        <x:v>9</x:v>
      </x:c>
      <x:c r="E2426" s="12" t="str">
        <x:v>FRED current rolling window</x:v>
      </x:c>
    </x:row>
    <x:row r="2427" ht="18" customHeight="1">
      <x:c r="A2427" s="13" t="n">
        <x:v>45966</x:v>
      </x:c>
      <x:c r="B2427" s="12" t="n">
        <x:v>3.05</x:v>
      </x:c>
      <x:c r="C2427" s="12" t="n">
        <x:v>305</x:v>
      </x:c>
      <x:c r="D2427" s="12" t="n">
        <x:v>-8</x:v>
      </x:c>
      <x:c r="E2427" s="12" t="str">
        <x:v>FRED current rolling window</x:v>
      </x:c>
    </x:row>
    <x:row r="2428" ht="18" customHeight="1">
      <x:c r="A2428" s="13" t="n">
        <x:v>45967</x:v>
      </x:c>
      <x:c r="B2428" s="12" t="n">
        <x:v>3.13</x:v>
      </x:c>
      <x:c r="C2428" s="12" t="n">
        <x:v>313</x:v>
      </x:c>
      <x:c r="D2428" s="12" t="n">
        <x:v>8</x:v>
      </x:c>
      <x:c r="E2428" s="12" t="str">
        <x:v>FRED current rolling window</x:v>
      </x:c>
    </x:row>
    <x:row r="2429" ht="18" customHeight="1">
      <x:c r="A2429" s="13" t="n">
        <x:v>45968</x:v>
      </x:c>
      <x:c r="B2429" s="12" t="n">
        <x:v>3.15</x:v>
      </x:c>
      <x:c r="C2429" s="12" t="n">
        <x:v>315</x:v>
      </x:c>
      <x:c r="D2429" s="12" t="n">
        <x:v>2</x:v>
      </x:c>
      <x:c r="E2429" s="12" t="str">
        <x:v>FRED current rolling window</x:v>
      </x:c>
    </x:row>
    <x:row r="2430" ht="18" customHeight="1">
      <x:c r="A2430" s="13" t="n">
        <x:v>45971</x:v>
      </x:c>
      <x:c r="B2430" s="12" t="n">
        <x:v>3.02</x:v>
      </x:c>
      <x:c r="C2430" s="12" t="n">
        <x:v>302</x:v>
      </x:c>
      <x:c r="D2430" s="12" t="n">
        <x:v>-13</x:v>
      </x:c>
      <x:c r="E2430" s="12" t="str">
        <x:v>FRED current rolling window</x:v>
      </x:c>
    </x:row>
    <x:row r="2431" ht="18" customHeight="1">
      <x:c r="A2431" s="13" t="n">
        <x:v>45972</x:v>
      </x:c>
      <x:c r="B2431" s="12" t="n">
        <x:v>3.02</x:v>
      </x:c>
      <x:c r="C2431" s="12" t="n">
        <x:v>302</x:v>
      </x:c>
      <x:c r="D2431" s="12" t="n">
        <x:v>0</x:v>
      </x:c>
      <x:c r="E2431" s="12" t="str">
        <x:v>FRED current rolling window</x:v>
      </x:c>
    </x:row>
    <x:row r="2432" ht="18" customHeight="1">
      <x:c r="A2432" s="13" t="n">
        <x:v>45973</x:v>
      </x:c>
      <x:c r="B2432" s="12" t="n">
        <x:v>3.02</x:v>
      </x:c>
      <x:c r="C2432" s="12" t="n">
        <x:v>302</x:v>
      </x:c>
      <x:c r="D2432" s="12" t="n">
        <x:v>0</x:v>
      </x:c>
      <x:c r="E2432" s="12" t="str">
        <x:v>FRED current rolling window</x:v>
      </x:c>
    </x:row>
    <x:row r="2433" ht="18" customHeight="1">
      <x:c r="A2433" s="13" t="n">
        <x:v>45974</x:v>
      </x:c>
      <x:c r="B2433" s="12" t="n">
        <x:v>3.09</x:v>
      </x:c>
      <x:c r="C2433" s="12" t="n">
        <x:v>309</x:v>
      </x:c>
      <x:c r="D2433" s="12" t="n">
        <x:v>7</x:v>
      </x:c>
      <x:c r="E2433" s="12" t="str">
        <x:v>FRED current rolling window</x:v>
      </x:c>
    </x:row>
    <x:row r="2434" ht="18" customHeight="1">
      <x:c r="A2434" s="13" t="n">
        <x:v>45975</x:v>
      </x:c>
      <x:c r="B2434" s="12" t="n">
        <x:v>3.07</x:v>
      </x:c>
      <x:c r="C2434" s="12" t="n">
        <x:v>307</x:v>
      </x:c>
      <x:c r="D2434" s="12" t="n">
        <x:v>-2</x:v>
      </x:c>
      <x:c r="E2434" s="12" t="str">
        <x:v>FRED current rolling window</x:v>
      </x:c>
    </x:row>
    <x:row r="2435" ht="18" customHeight="1">
      <x:c r="A2435" s="13" t="n">
        <x:v>45978</x:v>
      </x:c>
      <x:c r="B2435" s="12" t="n">
        <x:v>3.13</x:v>
      </x:c>
      <x:c r="C2435" s="12" t="n">
        <x:v>313</x:v>
      </x:c>
      <x:c r="D2435" s="12" t="n">
        <x:v>6</x:v>
      </x:c>
      <x:c r="E2435" s="12" t="str">
        <x:v>FRED current rolling window</x:v>
      </x:c>
    </x:row>
    <x:row r="2436" ht="18" customHeight="1">
      <x:c r="A2436" s="13" t="n">
        <x:v>45979</x:v>
      </x:c>
      <x:c r="B2436" s="12" t="n">
        <x:v>3.2</x:v>
      </x:c>
      <x:c r="C2436" s="12" t="n">
        <x:v>320</x:v>
      </x:c>
      <x:c r="D2436" s="12" t="n">
        <x:v>7</x:v>
      </x:c>
      <x:c r="E2436" s="12" t="str">
        <x:v>FRED current rolling window</x:v>
      </x:c>
    </x:row>
    <x:row r="2437" ht="18" customHeight="1">
      <x:c r="A2437" s="13" t="n">
        <x:v>45980</x:v>
      </x:c>
      <x:c r="B2437" s="12" t="n">
        <x:v>3.17</x:v>
      </x:c>
      <x:c r="C2437" s="12" t="n">
        <x:v>317</x:v>
      </x:c>
      <x:c r="D2437" s="12" t="n">
        <x:v>-3</x:v>
      </x:c>
      <x:c r="E2437" s="12" t="str">
        <x:v>FRED current rolling window</x:v>
      </x:c>
    </x:row>
    <x:row r="2438" ht="18" customHeight="1">
      <x:c r="A2438" s="13" t="n">
        <x:v>45981</x:v>
      </x:c>
      <x:c r="B2438" s="12" t="n">
        <x:v>3.17</x:v>
      </x:c>
      <x:c r="C2438" s="12" t="n">
        <x:v>317</x:v>
      </x:c>
      <x:c r="D2438" s="12" t="n">
        <x:v>0</x:v>
      </x:c>
      <x:c r="E2438" s="12" t="str">
        <x:v>FRED current rolling window</x:v>
      </x:c>
    </x:row>
    <x:row r="2439" ht="18" customHeight="1">
      <x:c r="A2439" s="13" t="n">
        <x:v>45982</x:v>
      </x:c>
      <x:c r="B2439" s="12" t="n">
        <x:v>3.19</x:v>
      </x:c>
      <x:c r="C2439" s="12" t="n">
        <x:v>319</x:v>
      </x:c>
      <x:c r="D2439" s="12" t="n">
        <x:v>2</x:v>
      </x:c>
      <x:c r="E2439" s="12" t="str">
        <x:v>FRED current rolling window</x:v>
      </x:c>
    </x:row>
    <x:row r="2440" ht="18" customHeight="1">
      <x:c r="A2440" s="13" t="n">
        <x:v>45985</x:v>
      </x:c>
      <x:c r="B2440" s="12" t="n">
        <x:v>3.15</x:v>
      </x:c>
      <x:c r="C2440" s="12" t="n">
        <x:v>315</x:v>
      </x:c>
      <x:c r="D2440" s="12" t="n">
        <x:v>-4</x:v>
      </x:c>
      <x:c r="E2440" s="12" t="str">
        <x:v>FRED current rolling window</x:v>
      </x:c>
    </x:row>
    <x:row r="2441" ht="18" customHeight="1">
      <x:c r="A2441" s="13" t="n">
        <x:v>45986</x:v>
      </x:c>
      <x:c r="B2441" s="12" t="n">
        <x:v>3.1</x:v>
      </x:c>
      <x:c r="C2441" s="12" t="n">
        <x:v>310</x:v>
      </x:c>
      <x:c r="D2441" s="12" t="n">
        <x:v>-5</x:v>
      </x:c>
      <x:c r="E2441" s="12" t="str">
        <x:v>FRED current rolling window</x:v>
      </x:c>
    </x:row>
    <x:row r="2442" ht="18" customHeight="1">
      <x:c r="A2442" s="13" t="n">
        <x:v>45987</x:v>
      </x:c>
      <x:c r="B2442" s="12" t="n">
        <x:v>3</x:v>
      </x:c>
      <x:c r="C2442" s="12" t="n">
        <x:v>300</x:v>
      </x:c>
      <x:c r="D2442" s="12" t="n">
        <x:v>-10</x:v>
      </x:c>
      <x:c r="E2442" s="12" t="str">
        <x:v>FRED current rolling window</x:v>
      </x:c>
    </x:row>
    <x:row r="2443" ht="18" customHeight="1">
      <x:c r="A2443" s="13" t="n">
        <x:v>45988</x:v>
      </x:c>
      <x:c r="B2443" s="12" t="n">
        <x:v>3</x:v>
      </x:c>
      <x:c r="C2443" s="12" t="n">
        <x:v>300</x:v>
      </x:c>
      <x:c r="D2443" s="12" t="n">
        <x:v>0</x:v>
      </x:c>
      <x:c r="E2443" s="12" t="str">
        <x:v>FRED current rolling window</x:v>
      </x:c>
    </x:row>
    <x:row r="2444" ht="18" customHeight="1">
      <x:c r="A2444" s="13" t="n">
        <x:v>45989</x:v>
      </x:c>
      <x:c r="B2444" s="12" t="n">
        <x:v>2.95</x:v>
      </x:c>
      <x:c r="C2444" s="12" t="n">
        <x:v>295</x:v>
      </x:c>
      <x:c r="D2444" s="12" t="n">
        <x:v>-5</x:v>
      </x:c>
      <x:c r="E2444" s="12" t="str">
        <x:v>FRED current rolling window</x:v>
      </x:c>
    </x:row>
    <x:row r="2445" ht="18" customHeight="1">
      <x:c r="A2445" s="13" t="n">
        <x:v>45991</x:v>
      </x:c>
      <x:c r="B2445" s="12" t="n">
        <x:v>2.92</x:v>
      </x:c>
      <x:c r="C2445" s="12" t="n">
        <x:v>292</x:v>
      </x:c>
      <x:c r="D2445" s="12" t="n">
        <x:v>-3</x:v>
      </x:c>
      <x:c r="E2445" s="12" t="str">
        <x:v>FRED current rolling window</x:v>
      </x:c>
    </x:row>
    <x:row r="2446" ht="18" customHeight="1">
      <x:c r="A2446" s="13" t="n">
        <x:v>45992</x:v>
      </x:c>
      <x:c r="B2446" s="12" t="n">
        <x:v>2.94</x:v>
      </x:c>
      <x:c r="C2446" s="12" t="n">
        <x:v>294</x:v>
      </x:c>
      <x:c r="D2446" s="12" t="n">
        <x:v>2</x:v>
      </x:c>
      <x:c r="E2446" s="12" t="str">
        <x:v>FRED current rolling window</x:v>
      </x:c>
    </x:row>
    <x:row r="2447" ht="18" customHeight="1">
      <x:c r="A2447" s="13" t="n">
        <x:v>45993</x:v>
      </x:c>
      <x:c r="B2447" s="12" t="n">
        <x:v>2.92</x:v>
      </x:c>
      <x:c r="C2447" s="12" t="n">
        <x:v>292</x:v>
      </x:c>
      <x:c r="D2447" s="12" t="n">
        <x:v>-2</x:v>
      </x:c>
      <x:c r="E2447" s="12" t="str">
        <x:v>FRED current rolling window</x:v>
      </x:c>
    </x:row>
    <x:row r="2448" ht="18" customHeight="1">
      <x:c r="A2448" s="13" t="n">
        <x:v>45994</x:v>
      </x:c>
      <x:c r="B2448" s="12" t="n">
        <x:v>2.89</x:v>
      </x:c>
      <x:c r="C2448" s="12" t="n">
        <x:v>289</x:v>
      </x:c>
      <x:c r="D2448" s="12" t="n">
        <x:v>-3</x:v>
      </x:c>
      <x:c r="E2448" s="12" t="str">
        <x:v>FRED current rolling window</x:v>
      </x:c>
    </x:row>
    <x:row r="2449" ht="18" customHeight="1">
      <x:c r="A2449" s="13" t="n">
        <x:v>45995</x:v>
      </x:c>
      <x:c r="B2449" s="12" t="n">
        <x:v>2.88</x:v>
      </x:c>
      <x:c r="C2449" s="12" t="n">
        <x:v>288</x:v>
      </x:c>
      <x:c r="D2449" s="12" t="n">
        <x:v>-1</x:v>
      </x:c>
      <x:c r="E2449" s="12" t="str">
        <x:v>FRED current rolling window</x:v>
      </x:c>
    </x:row>
    <x:row r="2450" ht="18" customHeight="1">
      <x:c r="A2450" s="13" t="n">
        <x:v>45996</x:v>
      </x:c>
      <x:c r="B2450" s="12" t="n">
        <x:v>2.85</x:v>
      </x:c>
      <x:c r="C2450" s="12" t="n">
        <x:v>285</x:v>
      </x:c>
      <x:c r="D2450" s="12" t="n">
        <x:v>-3</x:v>
      </x:c>
      <x:c r="E2450" s="12" t="str">
        <x:v>FRED current rolling window</x:v>
      </x:c>
    </x:row>
    <x:row r="2451" ht="18" customHeight="1">
      <x:c r="A2451" s="13" t="n">
        <x:v>45999</x:v>
      </x:c>
      <x:c r="B2451" s="12" t="n">
        <x:v>2.89</x:v>
      </x:c>
      <x:c r="C2451" s="12" t="n">
        <x:v>289</x:v>
      </x:c>
      <x:c r="D2451" s="12" t="n">
        <x:v>4</x:v>
      </x:c>
      <x:c r="E2451" s="12" t="str">
        <x:v>FRED current rolling window</x:v>
      </x:c>
    </x:row>
    <x:row r="2452" ht="18" customHeight="1">
      <x:c r="A2452" s="13" t="n">
        <x:v>46000</x:v>
      </x:c>
      <x:c r="B2452" s="12" t="n">
        <x:v>2.89</x:v>
      </x:c>
      <x:c r="C2452" s="12" t="n">
        <x:v>289</x:v>
      </x:c>
      <x:c r="D2452" s="12" t="n">
        <x:v>0</x:v>
      </x:c>
      <x:c r="E2452" s="12" t="str">
        <x:v>FRED current rolling window</x:v>
      </x:c>
    </x:row>
    <x:row r="2453" ht="18" customHeight="1">
      <x:c r="A2453" s="13" t="n">
        <x:v>46001</x:v>
      </x:c>
      <x:c r="B2453" s="12" t="n">
        <x:v>2.91</x:v>
      </x:c>
      <x:c r="C2453" s="12" t="n">
        <x:v>291</x:v>
      </x:c>
      <x:c r="D2453" s="12" t="n">
        <x:v>2</x:v>
      </x:c>
      <x:c r="E2453" s="12" t="str">
        <x:v>FRED current rolling window</x:v>
      </x:c>
    </x:row>
    <x:row r="2454" ht="18" customHeight="1">
      <x:c r="A2454" s="13" t="n">
        <x:v>46002</x:v>
      </x:c>
      <x:c r="B2454" s="12" t="n">
        <x:v>2.88</x:v>
      </x:c>
      <x:c r="C2454" s="12" t="n">
        <x:v>288</x:v>
      </x:c>
      <x:c r="D2454" s="12" t="n">
        <x:v>-3</x:v>
      </x:c>
      <x:c r="E2454" s="12" t="str">
        <x:v>FRED current rolling window</x:v>
      </x:c>
    </x:row>
    <x:row r="2455" ht="18" customHeight="1">
      <x:c r="A2455" s="13" t="n">
        <x:v>46003</x:v>
      </x:c>
      <x:c r="B2455" s="12" t="n">
        <x:v>2.91</x:v>
      </x:c>
      <x:c r="C2455" s="12" t="n">
        <x:v>291</x:v>
      </x:c>
      <x:c r="D2455" s="12" t="n">
        <x:v>3</x:v>
      </x:c>
      <x:c r="E2455" s="12" t="str">
        <x:v>FRED current rolling window</x:v>
      </x:c>
    </x:row>
    <x:row r="2456" ht="18" customHeight="1">
      <x:c r="A2456" s="13" t="n">
        <x:v>46006</x:v>
      </x:c>
      <x:c r="B2456" s="12" t="n">
        <x:v>2.91</x:v>
      </x:c>
      <x:c r="C2456" s="12" t="n">
        <x:v>291</x:v>
      </x:c>
      <x:c r="D2456" s="12" t="n">
        <x:v>0</x:v>
      </x:c>
      <x:c r="E2456" s="12" t="str">
        <x:v>FRED current rolling window</x:v>
      </x:c>
    </x:row>
    <x:row r="2457" ht="18" customHeight="1">
      <x:c r="A2457" s="13" t="n">
        <x:v>46007</x:v>
      </x:c>
      <x:c r="B2457" s="12" t="n">
        <x:v>2.98</x:v>
      </x:c>
      <x:c r="C2457" s="12" t="n">
        <x:v>298</x:v>
      </x:c>
      <x:c r="D2457" s="12" t="n">
        <x:v>7</x:v>
      </x:c>
      <x:c r="E2457" s="12" t="str">
        <x:v>FRED current rolling window</x:v>
      </x:c>
    </x:row>
    <x:row r="2458" ht="18" customHeight="1">
      <x:c r="A2458" s="13" t="n">
        <x:v>46008</x:v>
      </x:c>
      <x:c r="B2458" s="12" t="n">
        <x:v>2.99</x:v>
      </x:c>
      <x:c r="C2458" s="12" t="n">
        <x:v>299</x:v>
      </x:c>
      <x:c r="D2458" s="12" t="n">
        <x:v>1</x:v>
      </x:c>
      <x:c r="E2458" s="12" t="str">
        <x:v>FRED current rolling window</x:v>
      </x:c>
    </x:row>
    <x:row r="2459" ht="18" customHeight="1">
      <x:c r="A2459" s="13" t="n">
        <x:v>46009</x:v>
      </x:c>
      <x:c r="B2459" s="12" t="n">
        <x:v>2.95</x:v>
      </x:c>
      <x:c r="C2459" s="12" t="n">
        <x:v>295</x:v>
      </x:c>
      <x:c r="D2459" s="12" t="n">
        <x:v>-4</x:v>
      </x:c>
      <x:c r="E2459" s="12" t="str">
        <x:v>FRED current rolling window</x:v>
      </x:c>
    </x:row>
    <x:row r="2460" ht="18" customHeight="1">
      <x:c r="A2460" s="13" t="n">
        <x:v>46010</x:v>
      </x:c>
      <x:c r="B2460" s="12" t="n">
        <x:v>2.9</x:v>
      </x:c>
      <x:c r="C2460" s="12" t="n">
        <x:v>290</x:v>
      </x:c>
      <x:c r="D2460" s="12" t="n">
        <x:v>-5</x:v>
      </x:c>
      <x:c r="E2460" s="12" t="str">
        <x:v>FRED current rolling window</x:v>
      </x:c>
    </x:row>
    <x:row r="2461" ht="18" customHeight="1">
      <x:c r="A2461" s="13" t="n">
        <x:v>46013</x:v>
      </x:c>
      <x:c r="B2461" s="12" t="n">
        <x:v>2.88</x:v>
      </x:c>
      <x:c r="C2461" s="12" t="n">
        <x:v>288</x:v>
      </x:c>
      <x:c r="D2461" s="12" t="n">
        <x:v>-2</x:v>
      </x:c>
      <x:c r="E2461" s="12" t="str">
        <x:v>FRED current rolling window</x:v>
      </x:c>
    </x:row>
    <x:row r="2462" ht="18" customHeight="1">
      <x:c r="A2462" s="13" t="n">
        <x:v>46014</x:v>
      </x:c>
      <x:c r="B2462" s="12" t="n">
        <x:v>2.83</x:v>
      </x:c>
      <x:c r="C2462" s="12" t="n">
        <x:v>283</x:v>
      </x:c>
      <x:c r="D2462" s="12" t="n">
        <x:v>-5</x:v>
      </x:c>
      <x:c r="E2462" s="12" t="str">
        <x:v>FRED current rolling window</x:v>
      </x:c>
    </x:row>
    <x:row r="2463" ht="18" customHeight="1">
      <x:c r="A2463" s="13" t="n">
        <x:v>46015</x:v>
      </x:c>
      <x:c r="B2463" s="12" t="n">
        <x:v>2.84</x:v>
      </x:c>
      <x:c r="C2463" s="12" t="n">
        <x:v>284</x:v>
      </x:c>
      <x:c r="D2463" s="12" t="n">
        <x:v>1</x:v>
      </x:c>
      <x:c r="E2463" s="12" t="str">
        <x:v>FRED current rolling window</x:v>
      </x:c>
    </x:row>
    <x:row r="2464" ht="18" customHeight="1">
      <x:c r="A2464" s="13" t="n">
        <x:v>46017</x:v>
      </x:c>
      <x:c r="B2464" s="12" t="n">
        <x:v>2.86</x:v>
      </x:c>
      <x:c r="C2464" s="12" t="n">
        <x:v>286</x:v>
      </x:c>
      <x:c r="D2464" s="12" t="n">
        <x:v>2</x:v>
      </x:c>
      <x:c r="E2464" s="12" t="str">
        <x:v>FRED current rolling window</x:v>
      </x:c>
    </x:row>
    <x:row r="2465" ht="18" customHeight="1">
      <x:c r="A2465" s="13" t="n">
        <x:v>46020</x:v>
      </x:c>
      <x:c r="B2465" s="12" t="n">
        <x:v>2.87</x:v>
      </x:c>
      <x:c r="C2465" s="12" t="n">
        <x:v>287</x:v>
      </x:c>
      <x:c r="D2465" s="12" t="n">
        <x:v>1</x:v>
      </x:c>
      <x:c r="E2465" s="12" t="str">
        <x:v>FRED current rolling window</x:v>
      </x:c>
    </x:row>
    <x:row r="2466" ht="18" customHeight="1">
      <x:c r="A2466" s="13" t="n">
        <x:v>46021</x:v>
      </x:c>
      <x:c r="B2466" s="12" t="n">
        <x:v>2.84</x:v>
      </x:c>
      <x:c r="C2466" s="12" t="n">
        <x:v>284</x:v>
      </x:c>
      <x:c r="D2466" s="12" t="n">
        <x:v>-3</x:v>
      </x:c>
      <x:c r="E2466" s="12" t="str">
        <x:v>FRED current rolling window</x:v>
      </x:c>
    </x:row>
    <x:row r="2467" ht="18" customHeight="1">
      <x:c r="A2467" s="13" t="n">
        <x:v>46022</x:v>
      </x:c>
      <x:c r="B2467" s="12" t="n">
        <x:v>2.81</x:v>
      </x:c>
      <x:c r="C2467" s="12" t="n">
        <x:v>281</x:v>
      </x:c>
      <x:c r="D2467" s="12" t="n">
        <x:v>-3</x:v>
      </x:c>
      <x:c r="E2467" s="12" t="str">
        <x:v>FRED current rolling window</x:v>
      </x:c>
    </x:row>
    <x:row r="2468" ht="18" customHeight="1">
      <x:c r="A2468" s="13" t="n">
        <x:v>46024</x:v>
      </x:c>
      <x:c r="B2468" s="12" t="n">
        <x:v>2.83</x:v>
      </x:c>
      <x:c r="C2468" s="12" t="n">
        <x:v>283</x:v>
      </x:c>
      <x:c r="D2468" s="12" t="n">
        <x:v>2</x:v>
      </x:c>
      <x:c r="E2468" s="12" t="str">
        <x:v>FRED current rolling window</x:v>
      </x:c>
    </x:row>
    <x:row r="2469" ht="18" customHeight="1">
      <x:c r="A2469" s="13" t="n">
        <x:v>46027</x:v>
      </x:c>
      <x:c r="B2469" s="12" t="n">
        <x:v>2.81</x:v>
      </x:c>
      <x:c r="C2469" s="12" t="n">
        <x:v>281</x:v>
      </x:c>
      <x:c r="D2469" s="12" t="n">
        <x:v>-2</x:v>
      </x:c>
      <x:c r="E2469" s="12" t="str">
        <x:v>FRED current rolling window</x:v>
      </x:c>
    </x:row>
    <x:row r="2470" ht="18" customHeight="1">
      <x:c r="A2470" s="13" t="n">
        <x:v>46028</x:v>
      </x:c>
      <x:c r="B2470" s="12" t="n">
        <x:v>2.79</x:v>
      </x:c>
      <x:c r="C2470" s="12" t="n">
        <x:v>279</x:v>
      </x:c>
      <x:c r="D2470" s="12" t="n">
        <x:v>-2</x:v>
      </x:c>
      <x:c r="E2470" s="12" t="str">
        <x:v>FRED current rolling window</x:v>
      </x:c>
    </x:row>
    <x:row r="2471" ht="18" customHeight="1">
      <x:c r="A2471" s="13" t="n">
        <x:v>46029</x:v>
      </x:c>
      <x:c r="B2471" s="12" t="n">
        <x:v>2.79</x:v>
      </x:c>
      <x:c r="C2471" s="12" t="n">
        <x:v>279</x:v>
      </x:c>
      <x:c r="D2471" s="12" t="n">
        <x:v>0</x:v>
      </x:c>
      <x:c r="E2471" s="12" t="str">
        <x:v>FRED current rolling window</x:v>
      </x:c>
    </x:row>
    <x:row r="2472" ht="18" customHeight="1">
      <x:c r="A2472" s="13" t="n">
        <x:v>46030</x:v>
      </x:c>
      <x:c r="B2472" s="12" t="n">
        <x:v>2.76</x:v>
      </x:c>
      <x:c r="C2472" s="12" t="n">
        <x:v>276</x:v>
      </x:c>
      <x:c r="D2472" s="12" t="n">
        <x:v>-3</x:v>
      </x:c>
      <x:c r="E2472" s="12" t="str">
        <x:v>FRED current rolling window</x:v>
      </x:c>
    </x:row>
    <x:row r="2473" ht="18" customHeight="1">
      <x:c r="A2473" s="13" t="n">
        <x:v>46031</x:v>
      </x:c>
      <x:c r="B2473" s="12" t="n">
        <x:v>2.74</x:v>
      </x:c>
      <x:c r="C2473" s="12" t="n">
        <x:v>274</x:v>
      </x:c>
      <x:c r="D2473" s="12" t="n">
        <x:v>-2</x:v>
      </x:c>
      <x:c r="E2473" s="12" t="str">
        <x:v>FRED current rolling window</x:v>
      </x:c>
    </x:row>
    <x:row r="2474" ht="18" customHeight="1">
      <x:c r="A2474" s="13" t="n">
        <x:v>46034</x:v>
      </x:c>
      <x:c r="B2474" s="12" t="n">
        <x:v>2.74</x:v>
      </x:c>
      <x:c r="C2474" s="12" t="n">
        <x:v>274</x:v>
      </x:c>
      <x:c r="D2474" s="12" t="n">
        <x:v>0</x:v>
      </x:c>
      <x:c r="E2474" s="12" t="str">
        <x:v>FRED current rolling window</x:v>
      </x:c>
    </x:row>
    <x:row r="2475" ht="18" customHeight="1">
      <x:c r="A2475" s="13" t="n">
        <x:v>46035</x:v>
      </x:c>
      <x:c r="B2475" s="12" t="n">
        <x:v>2.75</x:v>
      </x:c>
      <x:c r="C2475" s="12" t="n">
        <x:v>275</x:v>
      </x:c>
      <x:c r="D2475" s="12" t="n">
        <x:v>1</x:v>
      </x:c>
      <x:c r="E2475" s="12" t="str">
        <x:v>FRED current rolling window</x:v>
      </x:c>
    </x:row>
    <x:row r="2476" ht="18" customHeight="1">
      <x:c r="A2476" s="13" t="n">
        <x:v>46036</x:v>
      </x:c>
      <x:c r="B2476" s="12" t="n">
        <x:v>2.76</x:v>
      </x:c>
      <x:c r="C2476" s="12" t="n">
        <x:v>276</x:v>
      </x:c>
      <x:c r="D2476" s="12" t="n">
        <x:v>1</x:v>
      </x:c>
      <x:c r="E2476" s="12" t="str">
        <x:v>FRED current rolling window</x:v>
      </x:c>
    </x:row>
    <x:row r="2477" ht="18" customHeight="1">
      <x:c r="A2477" s="13" t="n">
        <x:v>46037</x:v>
      </x:c>
      <x:c r="B2477" s="12" t="n">
        <x:v>2.71</x:v>
      </x:c>
      <x:c r="C2477" s="12" t="n">
        <x:v>271</x:v>
      </x:c>
      <x:c r="D2477" s="12" t="n">
        <x:v>-5</x:v>
      </x:c>
      <x:c r="E2477" s="12" t="str">
        <x:v>FRED current rolling window</x:v>
      </x:c>
    </x:row>
    <x:row r="2478" ht="18" customHeight="1">
      <x:c r="A2478" s="13" t="n">
        <x:v>46038</x:v>
      </x:c>
      <x:c r="B2478" s="12" t="n">
        <x:v>2.65</x:v>
      </x:c>
      <x:c r="C2478" s="12" t="n">
        <x:v>265</x:v>
      </x:c>
      <x:c r="D2478" s="12" t="n">
        <x:v>-6</x:v>
      </x:c>
      <x:c r="E2478" s="12" t="str">
        <x:v>FRED current rolling window</x:v>
      </x:c>
    </x:row>
    <x:row r="2479" ht="18" customHeight="1">
      <x:c r="A2479" s="13" t="n">
        <x:v>46041</x:v>
      </x:c>
      <x:c r="B2479" s="12" t="n">
        <x:v>2.65</x:v>
      </x:c>
      <x:c r="C2479" s="12" t="n">
        <x:v>265</x:v>
      </x:c>
      <x:c r="D2479" s="12" t="n">
        <x:v>0</x:v>
      </x:c>
      <x:c r="E2479" s="12" t="str">
        <x:v>FRED current rolling window</x:v>
      </x:c>
    </x:row>
    <x:row r="2480" ht="18" customHeight="1">
      <x:c r="A2480" s="13" t="n">
        <x:v>46042</x:v>
      </x:c>
      <x:c r="B2480" s="12" t="n">
        <x:v>2.73</x:v>
      </x:c>
      <x:c r="C2480" s="12" t="n">
        <x:v>273</x:v>
      </x:c>
      <x:c r="D2480" s="12" t="n">
        <x:v>8</x:v>
      </x:c>
      <x:c r="E2480" s="12" t="str">
        <x:v>FRED current rolling window</x:v>
      </x:c>
    </x:row>
    <x:row r="2481" ht="18" customHeight="1">
      <x:c r="A2481" s="13" t="n">
        <x:v>46043</x:v>
      </x:c>
      <x:c r="B2481" s="12" t="n">
        <x:v>2.69</x:v>
      </x:c>
      <x:c r="C2481" s="12" t="n">
        <x:v>269</x:v>
      </x:c>
      <x:c r="D2481" s="12" t="n">
        <x:v>-4</x:v>
      </x:c>
      <x:c r="E2481" s="12" t="str">
        <x:v>FRED current rolling window</x:v>
      </x:c>
    </x:row>
    <x:row r="2482" ht="18" customHeight="1">
      <x:c r="A2482" s="13" t="n">
        <x:v>46044</x:v>
      </x:c>
      <x:c r="B2482" s="12" t="n">
        <x:v>2.64</x:v>
      </x:c>
      <x:c r="C2482" s="12" t="n">
        <x:v>264</x:v>
      </x:c>
      <x:c r="D2482" s="12" t="n">
        <x:v>-5</x:v>
      </x:c>
      <x:c r="E2482" s="12" t="str">
        <x:v>FRED current rolling window</x:v>
      </x:c>
    </x:row>
    <x:row r="2483" ht="18" customHeight="1">
      <x:c r="A2483" s="13" t="n">
        <x:v>46045</x:v>
      </x:c>
      <x:c r="B2483" s="12" t="n">
        <x:v>2.68</x:v>
      </x:c>
      <x:c r="C2483" s="12" t="n">
        <x:v>268</x:v>
      </x:c>
      <x:c r="D2483" s="12" t="n">
        <x:v>4</x:v>
      </x:c>
      <x:c r="E2483" s="12" t="str">
        <x:v>FRED current rolling window</x:v>
      </x:c>
    </x:row>
    <x:row r="2484" ht="18" customHeight="1">
      <x:c r="A2484" s="13" t="n">
        <x:v>46048</x:v>
      </x:c>
      <x:c r="B2484" s="12" t="n">
        <x:v>2.69</x:v>
      </x:c>
      <x:c r="C2484" s="12" t="n">
        <x:v>269</x:v>
      </x:c>
      <x:c r="D2484" s="12" t="n">
        <x:v>1</x:v>
      </x:c>
      <x:c r="E2484" s="12" t="str">
        <x:v>FRED current rolling window</x:v>
      </x:c>
    </x:row>
    <x:row r="2485" ht="18" customHeight="1">
      <x:c r="A2485" s="13" t="n">
        <x:v>46049</x:v>
      </x:c>
      <x:c r="B2485" s="12" t="n">
        <x:v>2.71</x:v>
      </x:c>
      <x:c r="C2485" s="12" t="n">
        <x:v>271</x:v>
      </x:c>
      <x:c r="D2485" s="12" t="n">
        <x:v>2</x:v>
      </x:c>
      <x:c r="E2485" s="12" t="str">
        <x:v>FRED current rolling window</x:v>
      </x:c>
    </x:row>
    <x:row r="2486" ht="18" customHeight="1">
      <x:c r="A2486" s="13" t="n">
        <x:v>46050</x:v>
      </x:c>
      <x:c r="B2486" s="12" t="n">
        <x:v>2.72</x:v>
      </x:c>
      <x:c r="C2486" s="12" t="n">
        <x:v>272</x:v>
      </x:c>
      <x:c r="D2486" s="12" t="n">
        <x:v>1</x:v>
      </x:c>
      <x:c r="E2486" s="12" t="str">
        <x:v>FRED current rolling window</x:v>
      </x:c>
    </x:row>
    <x:row r="2487" ht="18" customHeight="1">
      <x:c r="A2487" s="13" t="n">
        <x:v>46051</x:v>
      </x:c>
      <x:c r="B2487" s="12" t="n">
        <x:v>2.77</x:v>
      </x:c>
      <x:c r="C2487" s="12" t="n">
        <x:v>277</x:v>
      </x:c>
      <x:c r="D2487" s="12" t="n">
        <x:v>5</x:v>
      </x:c>
      <x:c r="E2487" s="12" t="str">
        <x:v>FRED current rolling window</x:v>
      </x:c>
    </x:row>
    <x:row r="2488" ht="18" customHeight="1">
      <x:c r="A2488" s="13" t="n">
        <x:v>46052</x:v>
      </x:c>
      <x:c r="B2488" s="12" t="n">
        <x:v>2.8</x:v>
      </x:c>
      <x:c r="C2488" s="12" t="n">
        <x:v>280</x:v>
      </x:c>
      <x:c r="D2488" s="12" t="n">
        <x:v>3</x:v>
      </x:c>
      <x:c r="E2488" s="12" t="str">
        <x:v>FRED current rolling window</x:v>
      </x:c>
    </x:row>
    <x:row r="2489" ht="18" customHeight="1">
      <x:c r="A2489" s="13" t="n">
        <x:v>46053</x:v>
      </x:c>
      <x:c r="B2489" s="12" t="n">
        <x:v>2.88</x:v>
      </x:c>
      <x:c r="C2489" s="12" t="n">
        <x:v>288</x:v>
      </x:c>
      <x:c r="D2489" s="12" t="n">
        <x:v>8</x:v>
      </x:c>
      <x:c r="E2489" s="12" t="str">
        <x:v>FRED current rolling window</x:v>
      </x:c>
    </x:row>
    <x:row r="2490" ht="18" customHeight="1">
      <x:c r="A2490" s="13" t="n">
        <x:v>46055</x:v>
      </x:c>
      <x:c r="B2490" s="12" t="n">
        <x:v>2.81</x:v>
      </x:c>
      <x:c r="C2490" s="12" t="n">
        <x:v>281</x:v>
      </x:c>
      <x:c r="D2490" s="12" t="n">
        <x:v>-7</x:v>
      </x:c>
      <x:c r="E2490" s="12" t="str">
        <x:v>FRED current rolling window</x:v>
      </x:c>
    </x:row>
    <x:row r="2491" ht="18" customHeight="1">
      <x:c r="A2491" s="13" t="n">
        <x:v>46056</x:v>
      </x:c>
      <x:c r="B2491" s="12" t="n">
        <x:v>2.85</x:v>
      </x:c>
      <x:c r="C2491" s="12" t="n">
        <x:v>285</x:v>
      </x:c>
      <x:c r="D2491" s="12" t="n">
        <x:v>4</x:v>
      </x:c>
      <x:c r="E2491" s="12" t="str">
        <x:v>FRED current rolling window</x:v>
      </x:c>
    </x:row>
    <x:row r="2492" ht="18" customHeight="1">
      <x:c r="A2492" s="13" t="n">
        <x:v>46057</x:v>
      </x:c>
      <x:c r="B2492" s="12" t="n">
        <x:v>2.86</x:v>
      </x:c>
      <x:c r="C2492" s="12" t="n">
        <x:v>286</x:v>
      </x:c>
      <x:c r="D2492" s="12" t="n">
        <x:v>1</x:v>
      </x:c>
      <x:c r="E2492" s="12" t="str">
        <x:v>FRED current rolling window</x:v>
      </x:c>
    </x:row>
    <x:row r="2493" ht="18" customHeight="1">
      <x:c r="A2493" s="13" t="n">
        <x:v>46058</x:v>
      </x:c>
      <x:c r="B2493" s="12" t="n">
        <x:v>2.97</x:v>
      </x:c>
      <x:c r="C2493" s="12" t="n">
        <x:v>297</x:v>
      </x:c>
      <x:c r="D2493" s="12" t="n">
        <x:v>11</x:v>
      </x:c>
      <x:c r="E2493" s="12" t="str">
        <x:v>FRED current rolling window</x:v>
      </x:c>
    </x:row>
    <x:row r="2494" ht="18" customHeight="1">
      <x:c r="A2494" s="13" t="n">
        <x:v>46059</x:v>
      </x:c>
      <x:c r="B2494" s="12" t="n">
        <x:v>2.87</x:v>
      </x:c>
      <x:c r="C2494" s="12" t="n">
        <x:v>287</x:v>
      </x:c>
      <x:c r="D2494" s="12" t="n">
        <x:v>-10</x:v>
      </x:c>
      <x:c r="E2494" s="12" t="str">
        <x:v>FRED current rolling window</x:v>
      </x:c>
    </x:row>
    <x:row r="2495" ht="18" customHeight="1">
      <x:c r="A2495" s="13" t="n">
        <x:v>46062</x:v>
      </x:c>
      <x:c r="B2495" s="12" t="n">
        <x:v>2.84</x:v>
      </x:c>
      <x:c r="C2495" s="12" t="n">
        <x:v>284</x:v>
      </x:c>
      <x:c r="D2495" s="12" t="n">
        <x:v>-3</x:v>
      </x:c>
      <x:c r="E2495" s="12" t="str">
        <x:v>FRED current rolling window</x:v>
      </x:c>
    </x:row>
    <x:row r="2496" ht="18" customHeight="1">
      <x:c r="A2496" s="13" t="n">
        <x:v>46063</x:v>
      </x:c>
      <x:c r="B2496" s="12" t="n">
        <x:v>2.86</x:v>
      </x:c>
      <x:c r="C2496" s="12" t="n">
        <x:v>286</x:v>
      </x:c>
      <x:c r="D2496" s="12" t="n">
        <x:v>2</x:v>
      </x:c>
      <x:c r="E2496" s="12" t="str">
        <x:v>FRED current rolling window</x:v>
      </x:c>
    </x:row>
    <x:row r="2497" ht="18" customHeight="1">
      <x:c r="A2497" s="13" t="n">
        <x:v>46064</x:v>
      </x:c>
      <x:c r="B2497" s="12" t="n">
        <x:v>2.84</x:v>
      </x:c>
      <x:c r="C2497" s="12" t="n">
        <x:v>284</x:v>
      </x:c>
      <x:c r="D2497" s="12" t="n">
        <x:v>-2</x:v>
      </x:c>
      <x:c r="E2497" s="12" t="str">
        <x:v>FRED current rolling window</x:v>
      </x:c>
    </x:row>
    <x:row r="2498" ht="18" customHeight="1">
      <x:c r="A2498" s="13" t="n">
        <x:v>46065</x:v>
      </x:c>
      <x:c r="B2498" s="12" t="n">
        <x:v>2.92</x:v>
      </x:c>
      <x:c r="C2498" s="12" t="n">
        <x:v>292</x:v>
      </x:c>
      <x:c r="D2498" s="12" t="n">
        <x:v>8</x:v>
      </x:c>
      <x:c r="E2498" s="12" t="str">
        <x:v>FRED current rolling window</x:v>
      </x:c>
    </x:row>
    <x:row r="2499" ht="18" customHeight="1">
      <x:c r="A2499" s="13" t="n">
        <x:v>46066</x:v>
      </x:c>
      <x:c r="B2499" s="12" t="n">
        <x:v>2.95</x:v>
      </x:c>
      <x:c r="C2499" s="12" t="n">
        <x:v>295</x:v>
      </x:c>
      <x:c r="D2499" s="12" t="n">
        <x:v>3</x:v>
      </x:c>
      <x:c r="E2499" s="12" t="str">
        <x:v>FRED current rolling window</x:v>
      </x:c>
    </x:row>
    <x:row r="2500" ht="18" customHeight="1">
      <x:c r="A2500" s="13" t="n">
        <x:v>46069</x:v>
      </x:c>
      <x:c r="B2500" s="12" t="n">
        <x:v>2.94</x:v>
      </x:c>
      <x:c r="C2500" s="12" t="n">
        <x:v>294</x:v>
      </x:c>
      <x:c r="D2500" s="12" t="n">
        <x:v>-1</x:v>
      </x:c>
      <x:c r="E2500" s="12" t="str">
        <x:v>FRED current rolling window</x:v>
      </x:c>
    </x:row>
    <x:row r="2501" ht="18" customHeight="1">
      <x:c r="A2501" s="13" t="n">
        <x:v>46070</x:v>
      </x:c>
      <x:c r="B2501" s="12" t="n">
        <x:v>2.94</x:v>
      </x:c>
      <x:c r="C2501" s="12" t="n">
        <x:v>294</x:v>
      </x:c>
      <x:c r="D2501" s="12" t="n">
        <x:v>0</x:v>
      </x:c>
      <x:c r="E2501" s="12" t="str">
        <x:v>FRED current rolling window</x:v>
      </x:c>
    </x:row>
    <x:row r="2502" ht="18" customHeight="1">
      <x:c r="A2502" s="13" t="n">
        <x:v>46071</x:v>
      </x:c>
      <x:c r="B2502" s="12" t="n">
        <x:v>2.86</x:v>
      </x:c>
      <x:c r="C2502" s="12" t="n">
        <x:v>286</x:v>
      </x:c>
      <x:c r="D2502" s="12" t="n">
        <x:v>-8</x:v>
      </x:c>
      <x:c r="E2502" s="12" t="str">
        <x:v>FRED current rolling window</x:v>
      </x:c>
    </x:row>
    <x:row r="2503" ht="18" customHeight="1">
      <x:c r="A2503" s="13" t="n">
        <x:v>46072</x:v>
      </x:c>
      <x:c r="B2503" s="12" t="n">
        <x:v>2.88</x:v>
      </x:c>
      <x:c r="C2503" s="12" t="n">
        <x:v>288</x:v>
      </x:c>
      <x:c r="D2503" s="12" t="n">
        <x:v>2</x:v>
      </x:c>
      <x:c r="E2503" s="12" t="str">
        <x:v>FRED current rolling window</x:v>
      </x:c>
    </x:row>
    <x:row r="2504" ht="18" customHeight="1">
      <x:c r="A2504" s="13" t="n">
        <x:v>46073</x:v>
      </x:c>
      <x:c r="B2504" s="12" t="n">
        <x:v>2.86</x:v>
      </x:c>
      <x:c r="C2504" s="12" t="n">
        <x:v>286</x:v>
      </x:c>
      <x:c r="D2504" s="12" t="n">
        <x:v>-2</x:v>
      </x:c>
      <x:c r="E2504" s="12" t="str">
        <x:v>FRED current rolling window</x:v>
      </x:c>
    </x:row>
    <x:row r="2505" ht="18" customHeight="1">
      <x:c r="A2505" s="13" t="n">
        <x:v>46076</x:v>
      </x:c>
      <x:c r="B2505" s="12" t="n">
        <x:v>2.95</x:v>
      </x:c>
      <x:c r="C2505" s="12" t="n">
        <x:v>295</x:v>
      </x:c>
      <x:c r="D2505" s="12" t="n">
        <x:v>9</x:v>
      </x:c>
      <x:c r="E2505" s="12" t="str">
        <x:v>FRED current rolling window</x:v>
      </x:c>
    </x:row>
    <x:row r="2506" ht="18" customHeight="1">
      <x:c r="A2506" s="13" t="n">
        <x:v>46077</x:v>
      </x:c>
      <x:c r="B2506" s="12" t="n">
        <x:v>2.97</x:v>
      </x:c>
      <x:c r="C2506" s="12" t="n">
        <x:v>297</x:v>
      </x:c>
      <x:c r="D2506" s="12" t="n">
        <x:v>2</x:v>
      </x:c>
      <x:c r="E2506" s="12" t="str">
        <x:v>FRED current rolling window</x:v>
      </x:c>
    </x:row>
    <x:row r="2507" ht="18" customHeight="1">
      <x:c r="A2507" s="13" t="n">
        <x:v>46078</x:v>
      </x:c>
      <x:c r="B2507" s="12" t="n">
        <x:v>2.94</x:v>
      </x:c>
      <x:c r="C2507" s="12" t="n">
        <x:v>294</x:v>
      </x:c>
      <x:c r="D2507" s="12" t="n">
        <x:v>-3</x:v>
      </x:c>
      <x:c r="E2507" s="12" t="str">
        <x:v>FRED current rolling window</x:v>
      </x:c>
    </x:row>
    <x:row r="2508" ht="18" customHeight="1">
      <x:c r="A2508" s="13" t="n">
        <x:v>46079</x:v>
      </x:c>
      <x:c r="B2508" s="12" t="n">
        <x:v>2.98</x:v>
      </x:c>
      <x:c r="C2508" s="12" t="n">
        <x:v>298</x:v>
      </x:c>
      <x:c r="D2508" s="12" t="n">
        <x:v>4</x:v>
      </x:c>
      <x:c r="E2508" s="12" t="str">
        <x:v>FRED current rolling window</x:v>
      </x:c>
    </x:row>
    <x:row r="2509" ht="18" customHeight="1">
      <x:c r="A2509" s="13" t="n">
        <x:v>46080</x:v>
      </x:c>
      <x:c r="B2509" s="12" t="n">
        <x:v>3.1</x:v>
      </x:c>
      <x:c r="C2509" s="12" t="n">
        <x:v>310</x:v>
      </x:c>
      <x:c r="D2509" s="12" t="n">
        <x:v>12</x:v>
      </x:c>
      <x:c r="E2509" s="12" t="str">
        <x:v>FRED current rolling window</x:v>
      </x:c>
    </x:row>
    <x:row r="2510" ht="18" customHeight="1">
      <x:c r="A2510" s="13" t="n">
        <x:v>46081</x:v>
      </x:c>
      <x:c r="B2510" s="12" t="n">
        <x:v>3.12</x:v>
      </x:c>
      <x:c r="C2510" s="12" t="n">
        <x:v>312</x:v>
      </x:c>
      <x:c r="D2510" s="12" t="n">
        <x:v>2</x:v>
      </x:c>
      <x:c r="E2510" s="12" t="str">
        <x:v>FRED current rolling window</x:v>
      </x:c>
    </x:row>
    <x:row r="2511" ht="18" customHeight="1">
      <x:c r="A2511" s="13" t="n">
        <x:v>46083</x:v>
      </x:c>
      <x:c r="B2511" s="12" t="n">
        <x:v>3.03</x:v>
      </x:c>
      <x:c r="C2511" s="12" t="n">
        <x:v>303</x:v>
      </x:c>
      <x:c r="D2511" s="12" t="n">
        <x:v>-9</x:v>
      </x:c>
      <x:c r="E2511" s="12" t="str">
        <x:v>FRED current rolling window</x:v>
      </x:c>
    </x:row>
    <x:row r="2512" ht="18" customHeight="1">
      <x:c r="A2512" s="13" t="n">
        <x:v>46084</x:v>
      </x:c>
      <x:c r="B2512" s="12" t="n">
        <x:v>3.08</x:v>
      </x:c>
      <x:c r="C2512" s="12" t="n">
        <x:v>308</x:v>
      </x:c>
      <x:c r="D2512" s="12" t="n">
        <x:v>5</x:v>
      </x:c>
      <x:c r="E2512" s="12" t="str">
        <x:v>FRED current rolling window</x:v>
      </x:c>
    </x:row>
    <x:row r="2513" ht="18" customHeight="1">
      <x:c r="A2513" s="13" t="n">
        <x:v>46085</x:v>
      </x:c>
      <x:c r="B2513" s="12" t="n">
        <x:v>2.97</x:v>
      </x:c>
      <x:c r="C2513" s="12" t="n">
        <x:v>297</x:v>
      </x:c>
      <x:c r="D2513" s="12" t="n">
        <x:v>-11</x:v>
      </x:c>
      <x:c r="E2513" s="12" t="str">
        <x:v>FRED current rolling window</x:v>
      </x:c>
    </x:row>
    <x:row r="2514" ht="18" customHeight="1">
      <x:c r="A2514" s="13" t="n">
        <x:v>46086</x:v>
      </x:c>
      <x:c r="B2514" s="12" t="n">
        <x:v>3</x:v>
      </x:c>
      <x:c r="C2514" s="12" t="n">
        <x:v>300</x:v>
      </x:c>
      <x:c r="D2514" s="12" t="n">
        <x:v>3</x:v>
      </x:c>
      <x:c r="E2514" s="12" t="str">
        <x:v>FRED current rolling window</x:v>
      </x:c>
    </x:row>
    <x:row r="2515" ht="18" customHeight="1">
      <x:c r="A2515" s="13" t="n">
        <x:v>46087</x:v>
      </x:c>
      <x:c r="B2515" s="12" t="n">
        <x:v>3.13</x:v>
      </x:c>
      <x:c r="C2515" s="12" t="n">
        <x:v>313</x:v>
      </x:c>
      <x:c r="D2515" s="12" t="n">
        <x:v>13</x:v>
      </x:c>
      <x:c r="E2515" s="12" t="str">
        <x:v>FRED current rolling window</x:v>
      </x:c>
    </x:row>
    <x:row r="2516" ht="18" customHeight="1">
      <x:c r="A2516" s="13" t="n">
        <x:v>46090</x:v>
      </x:c>
      <x:c r="B2516" s="12" t="n">
        <x:v>3.19</x:v>
      </x:c>
      <x:c r="C2516" s="12" t="n">
        <x:v>319</x:v>
      </x:c>
      <x:c r="D2516" s="12" t="n">
        <x:v>6</x:v>
      </x:c>
      <x:c r="E2516" s="12" t="str">
        <x:v>FRED current rolling window</x:v>
      </x:c>
    </x:row>
    <x:row r="2517" ht="18" customHeight="1">
      <x:c r="A2517" s="13" t="n">
        <x:v>46091</x:v>
      </x:c>
      <x:c r="B2517" s="12" t="n">
        <x:v>3.06</x:v>
      </x:c>
      <x:c r="C2517" s="12" t="n">
        <x:v>306</x:v>
      </x:c>
      <x:c r="D2517" s="12" t="n">
        <x:v>-13</x:v>
      </x:c>
      <x:c r="E2517" s="12" t="str">
        <x:v>FRED current rolling window</x:v>
      </x:c>
    </x:row>
    <x:row r="2518" ht="18" customHeight="1">
      <x:c r="A2518" s="13" t="n">
        <x:v>46092</x:v>
      </x:c>
      <x:c r="B2518" s="12" t="n">
        <x:v>3.09</x:v>
      </x:c>
      <x:c r="C2518" s="12" t="n">
        <x:v>309</x:v>
      </x:c>
      <x:c r="D2518" s="12" t="n">
        <x:v>3</x:v>
      </x:c>
      <x:c r="E2518" s="12" t="str">
        <x:v>FRED current rolling window</x:v>
      </x:c>
    </x:row>
    <x:row r="2519" ht="18" customHeight="1">
      <x:c r="A2519" s="13" t="n">
        <x:v>46093</x:v>
      </x:c>
      <x:c r="B2519" s="12" t="n">
        <x:v>3.17</x:v>
      </x:c>
      <x:c r="C2519" s="12" t="n">
        <x:v>317</x:v>
      </x:c>
      <x:c r="D2519" s="12" t="n">
        <x:v>8</x:v>
      </x:c>
      <x:c r="E2519" s="12" t="str">
        <x:v>FRED current rolling window</x:v>
      </x:c>
    </x:row>
    <x:row r="2520" ht="18" customHeight="1">
      <x:c r="A2520" s="13" t="n">
        <x:v>46094</x:v>
      </x:c>
      <x:c r="B2520" s="12" t="n">
        <x:v>3.28</x:v>
      </x:c>
      <x:c r="C2520" s="12" t="n">
        <x:v>328</x:v>
      </x:c>
      <x:c r="D2520" s="12" t="n">
        <x:v>11</x:v>
      </x:c>
      <x:c r="E2520" s="12" t="str">
        <x:v>FRED current rolling window</x:v>
      </x:c>
    </x:row>
    <x:row r="2521" ht="18" customHeight="1">
      <x:c r="A2521" s="13" t="n">
        <x:v>46097</x:v>
      </x:c>
      <x:c r="B2521" s="12" t="n">
        <x:v>3.27</x:v>
      </x:c>
      <x:c r="C2521" s="12" t="n">
        <x:v>327</x:v>
      </x:c>
      <x:c r="D2521" s="12" t="n">
        <x:v>-1</x:v>
      </x:c>
      <x:c r="E2521" s="12" t="str">
        <x:v>FRED current rolling window</x:v>
      </x:c>
    </x:row>
    <x:row r="2522" ht="18" customHeight="1">
      <x:c r="A2522" s="13" t="n">
        <x:v>46098</x:v>
      </x:c>
      <x:c r="B2522" s="12" t="n">
        <x:v>3.22</x:v>
      </x:c>
      <x:c r="C2522" s="12" t="n">
        <x:v>322</x:v>
      </x:c>
      <x:c r="D2522" s="12" t="n">
        <x:v>-5</x:v>
      </x:c>
      <x:c r="E2522" s="12" t="str">
        <x:v>FRED current rolling window</x:v>
      </x:c>
    </x:row>
    <x:row r="2523" ht="18" customHeight="1">
      <x:c r="A2523" s="13" t="n">
        <x:v>46099</x:v>
      </x:c>
      <x:c r="B2523" s="12" t="n">
        <x:v>3.2</x:v>
      </x:c>
      <x:c r="C2523" s="12" t="n">
        <x:v>320</x:v>
      </x:c>
      <x:c r="D2523" s="12" t="n">
        <x:v>-2</x:v>
      </x:c>
      <x:c r="E2523" s="12" t="str">
        <x:v>FRED current rolling window</x:v>
      </x:c>
    </x:row>
    <x:row r="2524" ht="18" customHeight="1">
      <x:c r="A2524" s="13" t="n">
        <x:v>46100</x:v>
      </x:c>
      <x:c r="B2524" s="12" t="n">
        <x:v>3.27</x:v>
      </x:c>
      <x:c r="C2524" s="12" t="n">
        <x:v>327</x:v>
      </x:c>
      <x:c r="D2524" s="12" t="n">
        <x:v>7</x:v>
      </x:c>
      <x:c r="E2524" s="12" t="str">
        <x:v>FRED current rolling window</x:v>
      </x:c>
    </x:row>
    <x:row r="2525" ht="18" customHeight="1">
      <x:c r="A2525" s="13" t="n">
        <x:v>46101</x:v>
      </x:c>
      <x:c r="B2525" s="12" t="n">
        <x:v>3.24</x:v>
      </x:c>
      <x:c r="C2525" s="12" t="n">
        <x:v>324</x:v>
      </x:c>
      <x:c r="D2525" s="12" t="n">
        <x:v>-3</x:v>
      </x:c>
      <x:c r="E2525" s="12" t="str">
        <x:v>FRED current rolling window</x:v>
      </x:c>
    </x:row>
    <x:row r="2526" ht="18" customHeight="1">
      <x:c r="A2526" s="13" t="n">
        <x:v>46104</x:v>
      </x:c>
      <x:c r="B2526" s="12" t="n">
        <x:v>3.19</x:v>
      </x:c>
      <x:c r="C2526" s="12" t="n">
        <x:v>319</x:v>
      </x:c>
      <x:c r="D2526" s="12" t="n">
        <x:v>-5</x:v>
      </x:c>
      <x:c r="E2526" s="12" t="str">
        <x:v>FRED current rolling window</x:v>
      </x:c>
    </x:row>
    <x:row r="2527" ht="18" customHeight="1">
      <x:c r="A2527" s="13" t="n">
        <x:v>46105</x:v>
      </x:c>
      <x:c r="B2527" s="12" t="n">
        <x:v>3.19</x:v>
      </x:c>
      <x:c r="C2527" s="12" t="n">
        <x:v>319</x:v>
      </x:c>
      <x:c r="D2527" s="12" t="n">
        <x:v>0</x:v>
      </x:c>
      <x:c r="E2527" s="12" t="str">
        <x:v>FRED current rolling window</x:v>
      </x:c>
    </x:row>
    <x:row r="2528" ht="18" customHeight="1">
      <x:c r="A2528" s="13" t="n">
        <x:v>46106</x:v>
      </x:c>
      <x:c r="B2528" s="12" t="n">
        <x:v>3.17</x:v>
      </x:c>
      <x:c r="C2528" s="12" t="n">
        <x:v>317</x:v>
      </x:c>
      <x:c r="D2528" s="12" t="n">
        <x:v>-2</x:v>
      </x:c>
      <x:c r="E2528" s="12" t="str">
        <x:v>FRED current rolling window</x:v>
      </x:c>
    </x:row>
    <x:row r="2529" ht="18" customHeight="1">
      <x:c r="A2529" s="13" t="n">
        <x:v>46107</x:v>
      </x:c>
      <x:c r="B2529" s="12" t="n">
        <x:v>3.21</x:v>
      </x:c>
      <x:c r="C2529" s="12" t="n">
        <x:v>321</x:v>
      </x:c>
      <x:c r="D2529" s="12" t="n">
        <x:v>4</x:v>
      </x:c>
      <x:c r="E2529" s="12" t="str">
        <x:v>FRED current rolling window</x:v>
      </x:c>
    </x:row>
    <x:row r="2530" ht="18" customHeight="1">
      <x:c r="A2530" s="13" t="n">
        <x:v>46108</x:v>
      </x:c>
      <x:c r="B2530" s="12" t="n">
        <x:v>3.42</x:v>
      </x:c>
      <x:c r="C2530" s="12" t="n">
        <x:v>342</x:v>
      </x:c>
      <x:c r="D2530" s="12" t="n">
        <x:v>21</x:v>
      </x:c>
      <x:c r="E2530" s="12" t="str">
        <x:v>FRED current rolling window</x:v>
      </x:c>
    </x:row>
    <x:row r="2531" ht="18" customHeight="1">
      <x:c r="A2531" s="13" t="n">
        <x:v>46111</x:v>
      </x:c>
      <x:c r="B2531" s="12" t="n">
        <x:v>3.46</x:v>
      </x:c>
      <x:c r="C2531" s="12" t="n">
        <x:v>346</x:v>
      </x:c>
      <x:c r="D2531" s="12" t="n">
        <x:v>4</x:v>
      </x:c>
      <x:c r="E2531" s="12" t="str">
        <x:v>FRED current rolling window</x:v>
      </x:c>
    </x:row>
    <x:row r="2532" ht="18" customHeight="1">
      <x:c r="A2532" s="13" t="n">
        <x:v>46112</x:v>
      </x:c>
      <x:c r="B2532" s="12" t="n">
        <x:v>3.28</x:v>
      </x:c>
      <x:c r="C2532" s="12" t="n">
        <x:v>328</x:v>
      </x:c>
      <x:c r="D2532" s="12" t="n">
        <x:v>-18</x:v>
      </x:c>
      <x:c r="E2532" s="12" t="str">
        <x:v>FRED current rolling window</x:v>
      </x:c>
    </x:row>
    <x:row r="2533" ht="18" customHeight="1">
      <x:c r="A2533" s="13" t="n">
        <x:v>46113</x:v>
      </x:c>
      <x:c r="B2533" s="12" t="n">
        <x:v>3.16</x:v>
      </x:c>
      <x:c r="C2533" s="12" t="n">
        <x:v>316</x:v>
      </x:c>
      <x:c r="D2533" s="12" t="n">
        <x:v>-12</x:v>
      </x:c>
      <x:c r="E2533" s="12" t="str">
        <x:v>FRED current rolling window</x:v>
      </x:c>
    </x:row>
    <x:row r="2534" ht="18" customHeight="1">
      <x:c r="A2534" s="13" t="n">
        <x:v>46114</x:v>
      </x:c>
      <x:c r="B2534" s="12" t="n">
        <x:v>3.17</x:v>
      </x:c>
      <x:c r="C2534" s="12" t="n">
        <x:v>317</x:v>
      </x:c>
      <x:c r="D2534" s="12" t="n">
        <x:v>1</x:v>
      </x:c>
      <x:c r="E2534" s="12" t="str">
        <x:v>FRED current rolling window</x:v>
      </x:c>
    </x:row>
    <x:row r="2535" ht="18" customHeight="1">
      <x:c r="A2535" s="13" t="n">
        <x:v>46115</x:v>
      </x:c>
      <x:c r="B2535" s="12" t="n">
        <x:v>3.13</x:v>
      </x:c>
      <x:c r="C2535" s="12" t="n">
        <x:v>313</x:v>
      </x:c>
      <x:c r="D2535" s="12" t="n">
        <x:v>-4</x:v>
      </x:c>
      <x:c r="E2535" s="12" t="str">
        <x:v>FRED current rolling window</x:v>
      </x:c>
    </x:row>
    <x:row r="2536" ht="18" customHeight="1">
      <x:c r="A2536" s="13" t="n">
        <x:v>46118</x:v>
      </x:c>
      <x:c r="B2536" s="12" t="n">
        <x:v>3.05</x:v>
      </x:c>
      <x:c r="C2536" s="12" t="n">
        <x:v>305</x:v>
      </x:c>
      <x:c r="D2536" s="12" t="n">
        <x:v>-8</x:v>
      </x:c>
      <x:c r="E2536" s="12" t="str">
        <x:v>FRED current rolling window</x:v>
      </x:c>
    </x:row>
    <x:row r="2537" ht="18" customHeight="1">
      <x:c r="A2537" s="13" t="n">
        <x:v>46119</x:v>
      </x:c>
      <x:c r="B2537" s="12" t="n">
        <x:v>3.12</x:v>
      </x:c>
      <x:c r="C2537" s="12" t="n">
        <x:v>312</x:v>
      </x:c>
      <x:c r="D2537" s="12" t="n">
        <x:v>7</x:v>
      </x:c>
      <x:c r="E2537" s="12" t="str">
        <x:v>FRED current rolling window</x:v>
      </x:c>
    </x:row>
    <x:row r="2538" ht="18" customHeight="1">
      <x:c r="A2538" s="13" t="n">
        <x:v>46120</x:v>
      </x:c>
      <x:c r="B2538" s="12" t="n">
        <x:v>2.94</x:v>
      </x:c>
      <x:c r="C2538" s="12" t="n">
        <x:v>294</x:v>
      </x:c>
      <x:c r="D2538" s="12" t="n">
        <x:v>-18</x:v>
      </x:c>
      <x:c r="E2538" s="12" t="str">
        <x:v>FRED current rolling window</x:v>
      </x:c>
    </x:row>
    <x:row r="2539" ht="18" customHeight="1">
      <x:c r="A2539" s="13" t="n">
        <x:v>46121</x:v>
      </x:c>
      <x:c r="B2539" s="12" t="n">
        <x:v>2.9</x:v>
      </x:c>
      <x:c r="C2539" s="12" t="n">
        <x:v>290</x:v>
      </x:c>
      <x:c r="D2539" s="12" t="n">
        <x:v>-4</x:v>
      </x:c>
      <x:c r="E2539" s="12" t="str">
        <x:v>FRED current rolling window</x:v>
      </x:c>
    </x:row>
    <x:row r="2540" ht="18" customHeight="1">
      <x:c r="A2540" s="13" t="n">
        <x:v>46122</x:v>
      </x:c>
      <x:c r="B2540" s="12" t="n">
        <x:v>2.94</x:v>
      </x:c>
      <x:c r="C2540" s="12" t="n">
        <x:v>294</x:v>
      </x:c>
      <x:c r="D2540" s="12" t="n">
        <x:v>4</x:v>
      </x:c>
      <x:c r="E2540" s="12" t="str">
        <x:v>FRED current rolling window</x:v>
      </x:c>
    </x:row>
    <x:row r="2541" ht="18" customHeight="1">
      <x:c r="A2541" s="13" t="n">
        <x:v>46125</x:v>
      </x:c>
      <x:c r="B2541" s="12" t="n">
        <x:v>2.95</x:v>
      </x:c>
      <x:c r="C2541" s="12" t="n">
        <x:v>295</x:v>
      </x:c>
      <x:c r="D2541" s="12" t="n">
        <x:v>1</x:v>
      </x:c>
      <x:c r="E2541" s="12" t="str">
        <x:v>FRED current rolling window</x:v>
      </x:c>
    </x:row>
    <x:row r="2542" ht="18" customHeight="1">
      <x:c r="A2542" s="13" t="n">
        <x:v>46126</x:v>
      </x:c>
      <x:c r="B2542" s="12" t="n">
        <x:v>2.84</x:v>
      </x:c>
      <x:c r="C2542" s="12" t="n">
        <x:v>284</x:v>
      </x:c>
      <x:c r="D2542" s="12" t="n">
        <x:v>-11</x:v>
      </x:c>
      <x:c r="E2542" s="12" t="str">
        <x:v>FRED current rolling window</x:v>
      </x:c>
    </x:row>
    <x:row r="2543" ht="18" customHeight="1">
      <x:c r="A2543" s="13" t="n">
        <x:v>46127</x:v>
      </x:c>
      <x:c r="B2543" s="12" t="n">
        <x:v>2.85</x:v>
      </x:c>
      <x:c r="C2543" s="12" t="n">
        <x:v>285</x:v>
      </x:c>
      <x:c r="D2543" s="12" t="n">
        <x:v>1</x:v>
      </x:c>
      <x:c r="E2543" s="12" t="str">
        <x:v>FRED current rolling window</x:v>
      </x:c>
    </x:row>
    <x:row r="2544" ht="18" customHeight="1">
      <x:c r="A2544" s="13" t="n">
        <x:v>46128</x:v>
      </x:c>
      <x:c r="B2544" s="12" t="n">
        <x:v>2.86</x:v>
      </x:c>
      <x:c r="C2544" s="12" t="n">
        <x:v>286</x:v>
      </x:c>
      <x:c r="D2544" s="12" t="n">
        <x:v>1</x:v>
      </x:c>
      <x:c r="E2544" s="12" t="str">
        <x:v>FRED current rolling window</x:v>
      </x:c>
    </x:row>
    <x:row r="2545" ht="18" customHeight="1">
      <x:c r="A2545" s="13" t="n">
        <x:v>46129</x:v>
      </x:c>
      <x:c r="B2545" s="12" t="n">
        <x:v>2.83</x:v>
      </x:c>
      <x:c r="C2545" s="12" t="n">
        <x:v>283</x:v>
      </x:c>
      <x:c r="D2545" s="12" t="n">
        <x:v>-3</x:v>
      </x:c>
      <x:c r="E2545" s="12" t="str">
        <x:v>FRED current rolling window</x:v>
      </x:c>
    </x:row>
    <x:row r="2546" ht="18" customHeight="1">
      <x:c r="A2546" s="13" t="n">
        <x:v>46132</x:v>
      </x:c>
      <x:c r="B2546" s="12" t="n">
        <x:v>2.87</x:v>
      </x:c>
      <x:c r="C2546" s="12" t="n">
        <x:v>287</x:v>
      </x:c>
      <x:c r="D2546" s="12" t="n">
        <x:v>4</x:v>
      </x:c>
      <x:c r="E2546" s="12" t="str">
        <x:v>FRED current rolling window</x:v>
      </x:c>
    </x:row>
    <x:row r="2547" ht="18" customHeight="1">
      <x:c r="A2547" s="13" t="n">
        <x:v>46133</x:v>
      </x:c>
      <x:c r="B2547" s="12" t="n">
        <x:v>2.85</x:v>
      </x:c>
      <x:c r="C2547" s="12" t="n">
        <x:v>285</x:v>
      </x:c>
      <x:c r="D2547" s="12" t="n">
        <x:v>-2</x:v>
      </x:c>
      <x:c r="E2547" s="12" t="str">
        <x:v>FRED current rolling window</x:v>
      </x:c>
    </x:row>
    <x:row r="2548" ht="18" customHeight="1">
      <x:c r="A2548" s="13" t="n">
        <x:v>46134</x:v>
      </x:c>
      <x:c r="B2548" s="12" t="n">
        <x:v>2.84</x:v>
      </x:c>
      <x:c r="C2548" s="12" t="n">
        <x:v>284</x:v>
      </x:c>
      <x:c r="D2548" s="12" t="n">
        <x:v>-1</x:v>
      </x:c>
      <x:c r="E2548" s="12" t="str">
        <x:v>FRED current rolling window</x:v>
      </x:c>
    </x:row>
    <x:row r="2549" ht="18" customHeight="1">
      <x:c r="A2549" s="13" t="n">
        <x:v>46135</x:v>
      </x:c>
      <x:c r="B2549" s="12" t="n">
        <x:v>2.86</x:v>
      </x:c>
      <x:c r="C2549" s="12" t="n">
        <x:v>286</x:v>
      </x:c>
      <x:c r="D2549" s="12" t="n">
        <x:v>2</x:v>
      </x:c>
      <x:c r="E2549" s="12" t="str">
        <x:v>FRED current rolling window</x:v>
      </x:c>
    </x:row>
    <x:row r="2550" ht="18" customHeight="1">
      <x:c r="A2550" s="13" t="n">
        <x:v>46136</x:v>
      </x:c>
      <x:c r="B2550" s="12" t="n">
        <x:v>2.86</x:v>
      </x:c>
      <x:c r="C2550" s="12" t="n">
        <x:v>286</x:v>
      </x:c>
      <x:c r="D2550" s="12" t="n">
        <x:v>0</x:v>
      </x:c>
      <x:c r="E2550" s="12" t="str">
        <x:v>FRED current rolling window</x:v>
      </x:c>
    </x:row>
    <x:row r="2551" ht="18" customHeight="1">
      <x:c r="A2551" s="13" t="n">
        <x:v>46139</x:v>
      </x:c>
      <x:c r="B2551" s="12" t="n">
        <x:v>2.84</x:v>
      </x:c>
      <x:c r="C2551" s="12" t="n">
        <x:v>284</x:v>
      </x:c>
      <x:c r="D2551" s="12" t="n">
        <x:v>-2</x:v>
      </x:c>
      <x:c r="E2551" s="12" t="str">
        <x:v>FRED current rolling window</x:v>
      </x:c>
    </x:row>
    <x:row r="2552" ht="18" customHeight="1">
      <x:c r="A2552" s="13" t="n">
        <x:v>46140</x:v>
      </x:c>
      <x:c r="B2552" s="12" t="n">
        <x:v>2.85</x:v>
      </x:c>
      <x:c r="C2552" s="12" t="n">
        <x:v>285</x:v>
      </x:c>
      <x:c r="D2552" s="12" t="n">
        <x:v>1</x:v>
      </x:c>
      <x:c r="E2552" s="12" t="str">
        <x:v>FRED current rolling window</x:v>
      </x:c>
    </x:row>
    <x:row r="2553" ht="18" customHeight="1">
      <x:c r="A2553" s="13" t="n">
        <x:v>46141</x:v>
      </x:c>
      <x:c r="B2553" s="12" t="n">
        <x:v>2.82</x:v>
      </x:c>
      <x:c r="C2553" s="12" t="n">
        <x:v>282</x:v>
      </x:c>
      <x:c r="D2553" s="12" t="n">
        <x:v>-3</x:v>
      </x:c>
      <x:c r="E2553" s="12" t="str">
        <x:v>FRED current rolling window</x:v>
      </x:c>
    </x:row>
    <x:row r="2554" ht="18" customHeight="1">
      <x:c r="A2554" s="13" t="n">
        <x:v>46142</x:v>
      </x:c>
      <x:c r="B2554" s="12" t="n">
        <x:v>2.83</x:v>
      </x:c>
      <x:c r="C2554" s="12" t="n">
        <x:v>283</x:v>
      </x:c>
      <x:c r="D2554" s="12" t="n">
        <x:v>1</x:v>
      </x:c>
      <x:c r="E2554" s="12" t="str">
        <x:v>FRED current rolling window</x:v>
      </x:c>
    </x:row>
    <x:row r="2555" ht="18" customHeight="1">
      <x:c r="A2555" s="13" t="n">
        <x:v>46143</x:v>
      </x:c>
      <x:c r="B2555" s="12" t="n">
        <x:v>2.77</x:v>
      </x:c>
      <x:c r="C2555" s="12" t="n">
        <x:v>277</x:v>
      </x:c>
      <x:c r="D2555" s="12" t="n">
        <x:v>-6</x:v>
      </x:c>
      <x:c r="E2555" s="12" t="str">
        <x:v>FRED current rolling window</x:v>
      </x:c>
    </x:row>
    <x:row r="2556" ht="18" customHeight="1">
      <x:c r="A2556" s="13" t="n">
        <x:v>46146</x:v>
      </x:c>
      <x:c r="B2556" s="12" t="n">
        <x:v>2.78</x:v>
      </x:c>
      <x:c r="C2556" s="12" t="n">
        <x:v>278</x:v>
      </x:c>
      <x:c r="D2556" s="12" t="n">
        <x:v>1</x:v>
      </x:c>
      <x:c r="E2556" s="12" t="str">
        <x:v>FRED current rolling window</x:v>
      </x:c>
    </x:row>
    <x:row r="2557" ht="18" customHeight="1">
      <x:c r="A2557" s="13" t="n">
        <x:v>46147</x:v>
      </x:c>
      <x:c r="B2557" s="12" t="n">
        <x:v>2.77</x:v>
      </x:c>
      <x:c r="C2557" s="12" t="n">
        <x:v>277</x:v>
      </x:c>
      <x:c r="D2557" s="12" t="n">
        <x:v>-1</x:v>
      </x:c>
      <x:c r="E2557" s="12" t="str">
        <x:v>FRED current rolling window</x:v>
      </x:c>
    </x:row>
    <x:row r="2558" ht="18" customHeight="1">
      <x:c r="A2558" s="13" t="n">
        <x:v>46148</x:v>
      </x:c>
      <x:c r="B2558" s="12" t="n">
        <x:v>2.75</x:v>
      </x:c>
      <x:c r="C2558" s="12" t="n">
        <x:v>275</x:v>
      </x:c>
      <x:c r="D2558" s="12" t="n">
        <x:v>-2</x:v>
      </x:c>
      <x:c r="E2558" s="12" t="str">
        <x:v>FRED current rolling window</x:v>
      </x:c>
    </x:row>
    <x:row r="2559" ht="18" customHeight="1">
      <x:c r="A2559" s="13" t="n">
        <x:v>46149</x:v>
      </x:c>
      <x:c r="B2559" s="12" t="n">
        <x:v>2.79</x:v>
      </x:c>
      <x:c r="C2559" s="12" t="n">
        <x:v>279</x:v>
      </x:c>
      <x:c r="D2559" s="12" t="n">
        <x:v>4</x:v>
      </x:c>
      <x:c r="E2559" s="12" t="str">
        <x:v>FRED current rolling window</x:v>
      </x:c>
    </x:row>
    <x:row r="2560" ht="18" customHeight="1">
      <x:c r="A2560" s="13" t="n">
        <x:v>46150</x:v>
      </x:c>
      <x:c r="B2560" s="12" t="n">
        <x:v>2.81</x:v>
      </x:c>
      <x:c r="C2560" s="12" t="n">
        <x:v>281</x:v>
      </x:c>
      <x:c r="D2560" s="12" t="n">
        <x:v>2</x:v>
      </x:c>
      <x:c r="E2560" s="12" t="str">
        <x:v>FRED current rolling window</x:v>
      </x:c>
    </x:row>
    <x:row r="2561" ht="18" customHeight="1">
      <x:c r="A2561" s="13" t="n">
        <x:v>46153</x:v>
      </x:c>
      <x:c r="B2561" s="12" t="n">
        <x:v>2.79</x:v>
      </x:c>
      <x:c r="C2561" s="12" t="n">
        <x:v>279</x:v>
      </x:c>
      <x:c r="D2561" s="12" t="n">
        <x:v>-2</x:v>
      </x:c>
      <x:c r="E2561" s="12" t="str">
        <x:v>FRED current rolling window</x:v>
      </x:c>
    </x:row>
    <x:row r="2562" ht="18" customHeight="1">
      <x:c r="A2562" s="13" t="n">
        <x:v>46154</x:v>
      </x:c>
      <x:c r="B2562" s="12" t="n">
        <x:v>2.82</x:v>
      </x:c>
      <x:c r="C2562" s="12" t="n">
        <x:v>282</x:v>
      </x:c>
      <x:c r="D2562" s="12" t="n">
        <x:v>3</x:v>
      </x:c>
      <x:c r="E2562" s="12" t="str">
        <x:v>FRED current rolling window</x:v>
      </x:c>
    </x:row>
    <x:row r="2563" ht="18" customHeight="1">
      <x:c r="A2563" s="13" t="n">
        <x:v>46155</x:v>
      </x:c>
      <x:c r="B2563" s="12" t="n">
        <x:v>2.82</x:v>
      </x:c>
      <x:c r="C2563" s="12" t="n">
        <x:v>282</x:v>
      </x:c>
      <x:c r="D2563" s="12" t="n">
        <x:v>0</x:v>
      </x:c>
      <x:c r="E2563" s="12" t="str">
        <x:v>FRED current rolling window</x:v>
      </x:c>
    </x:row>
    <x:row r="2564" ht="18" customHeight="1">
      <x:c r="A2564" s="13" t="n">
        <x:v>46156</x:v>
      </x:c>
      <x:c r="B2564" s="12" t="n">
        <x:v>2.76</x:v>
      </x:c>
      <x:c r="C2564" s="12" t="n">
        <x:v>276</x:v>
      </x:c>
      <x:c r="D2564" s="12" t="n">
        <x:v>-6</x:v>
      </x:c>
      <x:c r="E2564" s="12" t="str">
        <x:v>FRED current rolling window</x:v>
      </x:c>
    </x:row>
    <x:row r="2565" ht="18" customHeight="1">
      <x:c r="A2565" s="13" t="n">
        <x:v>46157</x:v>
      </x:c>
      <x:c r="B2565" s="12" t="n">
        <x:v>2.8</x:v>
      </x:c>
      <x:c r="C2565" s="12" t="n">
        <x:v>280</x:v>
      </x:c>
      <x:c r="D2565" s="12" t="n">
        <x:v>4</x:v>
      </x:c>
      <x:c r="E2565" s="12" t="str">
        <x:v>FRED current rolling window</x:v>
      </x:c>
    </x:row>
    <x:row r="2566" ht="18" customHeight="1">
      <x:c r="A2566" s="13" t="n">
        <x:v>46160</x:v>
      </x:c>
      <x:c r="B2566" s="12" t="n">
        <x:v>2.83</x:v>
      </x:c>
      <x:c r="C2566" s="12" t="n">
        <x:v>283</x:v>
      </x:c>
      <x:c r="D2566" s="12" t="n">
        <x:v>3</x:v>
      </x:c>
      <x:c r="E2566" s="12" t="str">
        <x:v>FRED current rolling window</x:v>
      </x:c>
    </x:row>
    <x:row r="2567" ht="18" customHeight="1">
      <x:c r="A2567" s="13" t="n">
        <x:v>46161</x:v>
      </x:c>
      <x:c r="B2567" s="12" t="n">
        <x:v>2.86</x:v>
      </x:c>
      <x:c r="C2567" s="12" t="n">
        <x:v>286</x:v>
      </x:c>
      <x:c r="D2567" s="12" t="n">
        <x:v>3</x:v>
      </x:c>
      <x:c r="E2567" s="12" t="str">
        <x:v>FRED current rolling window</x:v>
      </x:c>
    </x:row>
    <x:row r="2568" ht="18" customHeight="1">
      <x:c r="A2568" s="13" t="n">
        <x:v>46162</x:v>
      </x:c>
      <x:c r="B2568" s="12" t="n">
        <x:v>2.8</x:v>
      </x:c>
      <x:c r="C2568" s="12" t="n">
        <x:v>280</x:v>
      </x:c>
      <x:c r="D2568" s="12" t="n">
        <x:v>-6</x:v>
      </x:c>
      <x:c r="E2568" s="12" t="str">
        <x:v>FRED current rolling window</x:v>
      </x:c>
    </x:row>
    <x:row r="2569" ht="18" customHeight="1">
      <x:c r="A2569" s="13" t="n">
        <x:v>46163</x:v>
      </x:c>
      <x:c r="B2569" s="12" t="n">
        <x:v>2.78</x:v>
      </x:c>
      <x:c r="C2569" s="12" t="n">
        <x:v>278</x:v>
      </x:c>
      <x:c r="D2569" s="12" t="n">
        <x:v>-2</x:v>
      </x:c>
      <x:c r="E2569" s="12" t="str">
        <x:v>FRED current rolling window</x:v>
      </x:c>
    </x:row>
    <x:row r="2570" ht="18" customHeight="1">
      <x:c r="A2570" s="13" t="n">
        <x:v>46164</x:v>
      </x:c>
      <x:c r="B2570" s="12" t="n">
        <x:v>2.74</x:v>
      </x:c>
      <x:c r="C2570" s="12" t="n">
        <x:v>274</x:v>
      </x:c>
      <x:c r="D2570" s="12" t="n">
        <x:v>-4</x:v>
      </x:c>
      <x:c r="E2570" s="12" t="str">
        <x:v>FRED current rolling window</x:v>
      </x:c>
    </x:row>
    <x:row r="2571" ht="18" customHeight="1">
      <x:c r="A2571" s="13" t="n">
        <x:v>46167</x:v>
      </x:c>
      <x:c r="B2571" s="12" t="n">
        <x:v>2.74</x:v>
      </x:c>
      <x:c r="C2571" s="12" t="n">
        <x:v>274</x:v>
      </x:c>
      <x:c r="D2571" s="12" t="n">
        <x:v>0</x:v>
      </x:c>
      <x:c r="E2571" s="12" t="str">
        <x:v>FRED current rolling window</x:v>
      </x:c>
    </x:row>
    <x:row r="2572" ht="18" customHeight="1">
      <x:c r="A2572" s="13" t="n">
        <x:v>46168</x:v>
      </x:c>
      <x:c r="B2572" s="12" t="n">
        <x:v>2.72</x:v>
      </x:c>
      <x:c r="C2572" s="12" t="n">
        <x:v>272</x:v>
      </x:c>
      <x:c r="D2572" s="12" t="n">
        <x:v>-2</x:v>
      </x:c>
      <x:c r="E2572" s="12" t="str">
        <x:v>FRED current rolling window</x:v>
      </x:c>
    </x:row>
    <x:row r="2573" ht="18" customHeight="1">
      <x:c r="A2573" s="13" t="n">
        <x:v>46169</x:v>
      </x:c>
      <x:c r="B2573" s="12" t="n">
        <x:v>2.71</x:v>
      </x:c>
      <x:c r="C2573" s="12" t="n">
        <x:v>271</x:v>
      </x:c>
      <x:c r="D2573" s="12" t="n">
        <x:v>-1</x:v>
      </x:c>
      <x:c r="E2573" s="12" t="str">
        <x:v>FRED current rolling window</x:v>
      </x:c>
    </x:row>
    <x:row r="2574" ht="18" customHeight="1">
      <x:c r="A2574" s="13" t="n">
        <x:v>46170</x:v>
      </x:c>
      <x:c r="B2574" s="12" t="n">
        <x:v>2.72</x:v>
      </x:c>
      <x:c r="C2574" s="12" t="n">
        <x:v>272</x:v>
      </x:c>
      <x:c r="D2574" s="12" t="n">
        <x:v>1</x:v>
      </x:c>
      <x:c r="E2574" s="12" t="str">
        <x:v>FRED current rolling window</x:v>
      </x:c>
    </x:row>
    <x:row r="2575" ht="18" customHeight="1">
      <x:c r="A2575" s="13" t="n">
        <x:v>46171</x:v>
      </x:c>
      <x:c r="B2575" s="12" t="n">
        <x:v>2.72</x:v>
      </x:c>
      <x:c r="C2575" s="12" t="n">
        <x:v>272</x:v>
      </x:c>
      <x:c r="D2575" s="12" t="n">
        <x:v>0</x:v>
      </x:c>
      <x:c r="E2575" s="12" t="str">
        <x:v>FRED current rolling window</x:v>
      </x:c>
    </x:row>
    <x:row r="2576" ht="18" customHeight="1">
      <x:c r="A2576" s="13" t="n">
        <x:v>46173</x:v>
      </x:c>
      <x:c r="B2576" s="12" t="n">
        <x:v>2.74</x:v>
      </x:c>
      <x:c r="C2576" s="12" t="n">
        <x:v>274</x:v>
      </x:c>
      <x:c r="D2576" s="12" t="n">
        <x:v>2</x:v>
      </x:c>
      <x:c r="E2576" s="12" t="str">
        <x:v>FRED current rolling window</x:v>
      </x:c>
    </x:row>
    <x:row r="2577" ht="18" customHeight="1">
      <x:c r="A2577" s="13" t="n">
        <x:v>46174</x:v>
      </x:c>
      <x:c r="B2577" s="12" t="n">
        <x:v>2.72</x:v>
      </x:c>
      <x:c r="C2577" s="12" t="n">
        <x:v>272</x:v>
      </x:c>
      <x:c r="D2577" s="12" t="n">
        <x:v>-2</x:v>
      </x:c>
      <x:c r="E2577" s="12" t="str">
        <x:v>FRED current rolling window</x:v>
      </x:c>
    </x:row>
    <x:row r="2578" ht="18" customHeight="1">
      <x:c r="A2578" s="13" t="n">
        <x:v>46175</x:v>
      </x:c>
      <x:c r="B2578" s="12" t="n">
        <x:v>2.71</x:v>
      </x:c>
      <x:c r="C2578" s="12" t="n">
        <x:v>271</x:v>
      </x:c>
      <x:c r="D2578" s="12" t="n">
        <x:v>-1</x:v>
      </x:c>
      <x:c r="E2578" s="12" t="str">
        <x:v>FRED current rolling window</x:v>
      </x:c>
    </x:row>
    <x:row r="2579" ht="18" customHeight="1">
      <x:c r="A2579" s="13" t="n">
        <x:v>46176</x:v>
      </x:c>
      <x:c r="B2579" s="12" t="n">
        <x:v>2.75</x:v>
      </x:c>
      <x:c r="C2579" s="12" t="n">
        <x:v>275</x:v>
      </x:c>
      <x:c r="D2579" s="12" t="n">
        <x:v>4</x:v>
      </x:c>
      <x:c r="E2579" s="12" t="str">
        <x:v>FRED current rolling window</x:v>
      </x:c>
    </x:row>
    <x:row r="2580" ht="18" customHeight="1">
      <x:c r="A2580" s="13" t="n">
        <x:v>46177</x:v>
      </x:c>
      <x:c r="B2580" s="12" t="n">
        <x:v>2.74</x:v>
      </x:c>
      <x:c r="C2580" s="12" t="n">
        <x:v>274</x:v>
      </x:c>
      <x:c r="D2580" s="12" t="n">
        <x:v>-1</x:v>
      </x:c>
      <x:c r="E2580" s="12" t="str">
        <x:v>FRED current rolling window</x:v>
      </x:c>
    </x:row>
    <x:row r="2581" ht="18" customHeight="1">
      <x:c r="A2581" s="13" t="n">
        <x:v>46178</x:v>
      </x:c>
      <x:c r="B2581" s="12" t="n">
        <x:v>2.76</x:v>
      </x:c>
      <x:c r="C2581" s="12" t="n">
        <x:v>276</x:v>
      </x:c>
      <x:c r="D2581" s="12" t="n">
        <x:v>2</x:v>
      </x:c>
      <x:c r="E2581" s="12" t="str">
        <x:v>FRED current rolling window</x:v>
      </x:c>
    </x:row>
    <x:row r="2582" ht="18" customHeight="1">
      <x:c r="A2582" s="13" t="n">
        <x:v>46181</x:v>
      </x:c>
      <x:c r="B2582" s="12" t="n">
        <x:v>2.75</x:v>
      </x:c>
      <x:c r="C2582" s="12" t="n">
        <x:v>275</x:v>
      </x:c>
      <x:c r="D2582" s="12" t="n">
        <x:v>-1</x:v>
      </x:c>
      <x:c r="E2582" s="12" t="str">
        <x:v>FRED current rolling window</x:v>
      </x:c>
    </x:row>
    <x:row r="2583" ht="18" customHeight="1">
      <x:c r="A2583" s="13" t="n">
        <x:v>46182</x:v>
      </x:c>
      <x:c r="B2583" s="12" t="n">
        <x:v>2.78</x:v>
      </x:c>
      <x:c r="C2583" s="12" t="n">
        <x:v>278</x:v>
      </x:c>
      <x:c r="D2583" s="12" t="n">
        <x:v>3</x:v>
      </x:c>
      <x:c r="E2583" s="12" t="str">
        <x:v>FRED current rolling window</x:v>
      </x:c>
    </x:row>
    <x:row r="2584" ht="18" customHeight="1">
      <x:c r="A2584" s="13" t="n">
        <x:v>46183</x:v>
      </x:c>
      <x:c r="B2584" s="12" t="n">
        <x:v>2.8</x:v>
      </x:c>
      <x:c r="C2584" s="12" t="n">
        <x:v>280</x:v>
      </x:c>
      <x:c r="D2584" s="12" t="n">
        <x:v>2</x:v>
      </x:c>
      <x:c r="E2584" s="12" t="str">
        <x:v>FRED current rolling window</x:v>
      </x:c>
    </x:row>
    <x:row r="2585" ht="18" customHeight="1">
      <x:c r="A2585" s="13" t="n">
        <x:v>46184</x:v>
      </x:c>
      <x:c r="B2585" s="12" t="n">
        <x:v>2.78</x:v>
      </x:c>
      <x:c r="C2585" s="12" t="n">
        <x:v>278</x:v>
      </x:c>
      <x:c r="D2585" s="12" t="n">
        <x:v>-2</x:v>
      </x:c>
      <x:c r="E2585" s="12" t="str">
        <x:v>FRED current rolling window</x:v>
      </x:c>
    </x:row>
    <x:row r="2586" ht="18" customHeight="1">
      <x:c r="A2586" s="13" t="n">
        <x:v>46185</x:v>
      </x:c>
      <x:c r="B2586" s="12" t="n">
        <x:v>2.71</x:v>
      </x:c>
      <x:c r="C2586" s="12" t="n">
        <x:v>271</x:v>
      </x:c>
      <x:c r="D2586" s="12" t="n">
        <x:v>-7</x:v>
      </x:c>
      <x:c r="E2586" s="12" t="str">
        <x:v>FRED current rolling window</x:v>
      </x:c>
    </x:row>
    <x:row r="2587" ht="18" customHeight="1">
      <x:c r="A2587" s="13" t="n">
        <x:v>46188</x:v>
      </x:c>
      <x:c r="B2587" s="12" t="n">
        <x:v>2.66</x:v>
      </x:c>
      <x:c r="C2587" s="12" t="n">
        <x:v>266</x:v>
      </x:c>
      <x:c r="D2587" s="12" t="n">
        <x:v>-5</x:v>
      </x:c>
      <x:c r="E2587" s="12" t="str">
        <x:v>FRED current rolling window</x:v>
      </x:c>
    </x:row>
    <x:row r="2588" ht="18" customHeight="1">
      <x:c r="A2588" s="13" t="n">
        <x:v>46189</x:v>
      </x:c>
      <x:c r="B2588" s="12" t="n">
        <x:v>2.71</x:v>
      </x:c>
      <x:c r="C2588" s="12" t="n">
        <x:v>271</x:v>
      </x:c>
      <x:c r="D2588" s="12" t="n">
        <x:v>5</x:v>
      </x:c>
      <x:c r="E2588" s="12" t="str">
        <x:v>FRED current rolling window</x:v>
      </x:c>
    </x:row>
    <x:row r="2589" ht="18" customHeight="1">
      <x:c r="A2589" s="13" t="n">
        <x:v>46190</x:v>
      </x:c>
      <x:c r="B2589" s="12" t="n">
        <x:v>2.63</x:v>
      </x:c>
      <x:c r="C2589" s="12" t="n">
        <x:v>263</x:v>
      </x:c>
      <x:c r="D2589" s="12" t="n">
        <x:v>-8</x:v>
      </x:c>
      <x:c r="E2589" s="12" t="str">
        <x:v>FRED current rolling window</x:v>
      </x:c>
    </x:row>
    <x:row r="2590" ht="18" customHeight="1">
      <x:c r="A2590" s="13" t="n">
        <x:v>46191</x:v>
      </x:c>
      <x:c r="B2590" s="12" t="n">
        <x:v>2.66</x:v>
      </x:c>
      <x:c r="C2590" s="12" t="n">
        <x:v>266</x:v>
      </x:c>
      <x:c r="D2590" s="12" t="n">
        <x:v>3</x:v>
      </x:c>
      <x:c r="E2590" s="12" t="str">
        <x:v>FRED current rolling window</x:v>
      </x:c>
    </x:row>
    <x:row r="2591" ht="18" customHeight="1">
      <x:c r="A2591" s="13" t="n">
        <x:v>46192</x:v>
      </x:c>
      <x:c r="B2591" s="12" t="n">
        <x:v>2.66</x:v>
      </x:c>
      <x:c r="C2591" s="12" t="n">
        <x:v>266</x:v>
      </x:c>
      <x:c r="D2591" s="12" t="n">
        <x:v>0</x:v>
      </x:c>
      <x:c r="E2591" s="12" t="str">
        <x:v>FRED current rolling window</x:v>
      </x:c>
    </x:row>
    <x:row r="2592" ht="18" customHeight="1">
      <x:c r="A2592" s="13" t="n">
        <x:v>46195</x:v>
      </x:c>
      <x:c r="B2592" s="12" t="n">
        <x:v>2.65</x:v>
      </x:c>
      <x:c r="C2592" s="12" t="n">
        <x:v>265</x:v>
      </x:c>
      <x:c r="D2592" s="12" t="n">
        <x:v>-1</x:v>
      </x:c>
      <x:c r="E2592" s="12" t="str">
        <x:v>FRED current rolling window</x:v>
      </x:c>
    </x:row>
    <x:row r="2593" ht="18" customHeight="1">
      <x:c r="A2593" s="13" t="n">
        <x:v>46196</x:v>
      </x:c>
      <x:c r="B2593" s="12" t="n">
        <x:v>2.71</x:v>
      </x:c>
      <x:c r="C2593" s="12" t="n">
        <x:v>271</x:v>
      </x:c>
      <x:c r="D2593" s="12" t="n">
        <x:v>6</x:v>
      </x:c>
      <x:c r="E2593" s="12" t="str">
        <x:v>FRED current rolling window</x:v>
      </x:c>
    </x:row>
    <x:row r="2594" ht="18" customHeight="1">
      <x:c r="A2594" s="13" t="n">
        <x:v>46197</x:v>
      </x:c>
      <x:c r="B2594" s="12" t="n">
        <x:v>2.76</x:v>
      </x:c>
      <x:c r="C2594" s="12" t="n">
        <x:v>276</x:v>
      </x:c>
      <x:c r="D2594" s="12" t="n">
        <x:v>5</x:v>
      </x:c>
      <x:c r="E2594" s="12" t="str">
        <x:v>FRED current rolling window</x:v>
      </x:c>
    </x:row>
    <x:row r="2595" ht="18" customHeight="1">
      <x:c r="A2595" s="13" t="n">
        <x:v>46198</x:v>
      </x:c>
      <x:c r="B2595" s="12" t="n">
        <x:v>2.78</x:v>
      </x:c>
      <x:c r="C2595" s="12" t="n">
        <x:v>278</x:v>
      </x:c>
      <x:c r="D2595" s="12" t="n">
        <x:v>2</x:v>
      </x:c>
      <x:c r="E2595" s="12" t="str">
        <x:v>FRED current rolling window</x:v>
      </x:c>
    </x:row>
    <x:row r="2596" ht="18" customHeight="1">
      <x:c r="A2596" s="13" t="n">
        <x:v>46199</x:v>
      </x:c>
      <x:c r="B2596" s="12" t="n">
        <x:v>2.83</x:v>
      </x:c>
      <x:c r="C2596" s="12" t="n">
        <x:v>283</x:v>
      </x:c>
      <x:c r="D2596" s="12" t="n">
        <x:v>5</x:v>
      </x:c>
      <x:c r="E2596" s="12" t="str">
        <x:v>FRED current rolling window</x:v>
      </x:c>
    </x:row>
    <x:row r="2597" ht="18" customHeight="1">
      <x:c r="A2597" s="13" t="n">
        <x:v>46202</x:v>
      </x:c>
      <x:c r="B2597" s="12" t="n">
        <x:v>2.8</x:v>
      </x:c>
      <x:c r="C2597" s="12" t="n">
        <x:v>280</x:v>
      </x:c>
      <x:c r="D2597" s="12" t="n">
        <x:v>-3</x:v>
      </x:c>
      <x:c r="E2597" s="12" t="str">
        <x:v>FRED current rolling window</x:v>
      </x:c>
    </x:row>
    <x:row r="2598" ht="18" customHeight="1">
      <x:c r="A2598" s="13" t="n">
        <x:v>46203</x:v>
      </x:c>
      <x:c r="B2598" s="12" t="n">
        <x:v>2.75</x:v>
      </x:c>
      <x:c r="C2598" s="12" t="n">
        <x:v>275</x:v>
      </x:c>
      <x:c r="D2598" s="12" t="n">
        <x:v>-5</x:v>
      </x:c>
      <x:c r="E2598" s="12" t="str">
        <x:v>FRED current rolling window</x:v>
      </x:c>
    </x:row>
    <x:row r="2599" ht="18" customHeight="1">
      <x:c r="A2599" s="13" t="n">
        <x:v>46204</x:v>
      </x:c>
      <x:c r="B2599" s="12" t="n">
        <x:v>2.74</x:v>
      </x:c>
      <x:c r="C2599" s="12" t="n">
        <x:v>274</x:v>
      </x:c>
      <x:c r="D2599" s="12" t="n">
        <x:v>-1</x:v>
      </x:c>
      <x:c r="E2599" s="12" t="str">
        <x:v>FRED current rolling window</x:v>
      </x:c>
    </x:row>
    <x:row r="2600" ht="18" customHeight="1">
      <x:c r="A2600" s="13" t="n">
        <x:v>46205</x:v>
      </x:c>
      <x:c r="B2600" s="12" t="n">
        <x:v>2.75</x:v>
      </x:c>
      <x:c r="C2600" s="12" t="n">
        <x:v>275</x:v>
      </x:c>
      <x:c r="D2600" s="12" t="n">
        <x:v>1</x:v>
      </x:c>
      <x:c r="E2600" s="12" t="str">
        <x:v>FRED current rolling window</x:v>
      </x:c>
    </x:row>
    <x:row r="2601" ht="18" customHeight="1">
      <x:c r="A2601" s="13" t="n">
        <x:v>46206</x:v>
      </x:c>
      <x:c r="B2601" s="12" t="n">
        <x:v>2.74</x:v>
      </x:c>
      <x:c r="C2601" s="12" t="n">
        <x:v>274</x:v>
      </x:c>
      <x:c r="D2601" s="12" t="n">
        <x:v>-1</x:v>
      </x:c>
      <x:c r="E2601" s="12" t="str">
        <x:v>FRED current rolling window</x:v>
      </x:c>
    </x:row>
    <x:row r="2602" ht="18" customHeight="1">
      <x:c r="A2602" s="13" t="n">
        <x:v>46209</x:v>
      </x:c>
      <x:c r="B2602" s="12" t="n">
        <x:v>2.72</x:v>
      </x:c>
      <x:c r="C2602" s="12" t="n">
        <x:v>272</x:v>
      </x:c>
      <x:c r="D2602" s="12" t="n">
        <x:v>-2</x:v>
      </x:c>
      <x:c r="E2602" s="12" t="str">
        <x:v>FRED current rolling window</x:v>
      </x:c>
    </x:row>
    <x:row r="2603" ht="18" customHeight="1">
      <x:c r="A2603" s="13" t="n">
        <x:v>46210</x:v>
      </x:c>
      <x:c r="B2603" s="12" t="n">
        <x:v>2.67</x:v>
      </x:c>
      <x:c r="C2603" s="12" t="n">
        <x:v>267</x:v>
      </x:c>
      <x:c r="D2603" s="12" t="n">
        <x:v>-5</x:v>
      </x:c>
      <x:c r="E2603" s="12" t="str">
        <x:v>FRED current rolling window</x:v>
      </x:c>
    </x:row>
    <x:row r="2604" ht="18" customHeight="1">
      <x:c r="A2604" s="13" t="n">
        <x:v>46211</x:v>
      </x:c>
      <x:c r="B2604" s="12" t="n">
        <x:v>2.7</x:v>
      </x:c>
      <x:c r="C2604" s="12" t="n">
        <x:v>270</x:v>
      </x:c>
      <x:c r="D2604" s="12" t="n">
        <x:v>3</x:v>
      </x:c>
      <x:c r="E2604" s="12" t="str">
        <x:v>FRED current rolling window</x:v>
      </x:c>
    </x:row>
    <x:row r="2605" ht="18" customHeight="1">
      <x:c r="A2605" s="13" t="n">
        <x:v>46212</x:v>
      </x:c>
      <x:c r="B2605" s="12" t="n">
        <x:v>2.7</x:v>
      </x:c>
      <x:c r="C2605" s="12" t="n">
        <x:v>270</x:v>
      </x:c>
      <x:c r="D2605" s="12" t="n">
        <x:v>0</x:v>
      </x:c>
      <x:c r="E2605" s="12" t="str">
        <x:v>FRED current rolling window</x:v>
      </x:c>
    </x:row>
    <x:row r="2606" ht="18" customHeight="1">
      <x:c r="A2606" s="13" t="n">
        <x:v>46213</x:v>
      </x:c>
      <x:c r="B2606" s="12" t="n">
        <x:v>2.69</x:v>
      </x:c>
      <x:c r="C2606" s="12" t="n">
        <x:v>269</x:v>
      </x:c>
      <x:c r="D2606" s="12" t="n">
        <x:v>-1</x:v>
      </x:c>
      <x:c r="E2606" s="12" t="str">
        <x:v>FRED current rolling window</x:v>
      </x:c>
    </x:row>
    <x:row r="2607" ht="18" customHeight="1">
      <x:c r="A2607" s="13" t="n">
        <x:v>46216</x:v>
      </x:c>
      <x:c r="B2607" s="12" t="n">
        <x:v>2.69</x:v>
      </x:c>
      <x:c r="C2607" s="12" t="n">
        <x:v>269</x:v>
      </x:c>
      <x:c r="D2607" s="12" t="n">
        <x:v>0</x:v>
      </x:c>
      <x:c r="E2607" s="12" t="str">
        <x:v>FRED current rolling window</x:v>
      </x:c>
    </x:row>
    <x:row r="2608" ht="18" customHeight="1">
      <x:c r="A2608" s="13" t="n">
        <x:v>46217</x:v>
      </x:c>
      <x:c r="B2608" s="12" t="n">
        <x:v>2.72</x:v>
      </x:c>
      <x:c r="C2608" s="12" t="n">
        <x:v>272</x:v>
      </x:c>
      <x:c r="D2608" s="12" t="n">
        <x:v>3</x:v>
      </x:c>
      <x:c r="E2608" s="12" t="str">
        <x:v>FRED current rolling window</x:v>
      </x:c>
    </x:row>
    <x:row r="2609" ht="18" customHeight="1">
      <x:c r="A2609" s="13" t="n">
        <x:v>46218</x:v>
      </x:c>
      <x:c r="B2609" s="12" t="n">
        <x:v>2.71</x:v>
      </x:c>
      <x:c r="C2609" s="12" t="n">
        <x:v>271</x:v>
      </x:c>
      <x:c r="D2609" s="12" t="n">
        <x:v>-1</x:v>
      </x:c>
      <x:c r="E2609" s="12" t="str">
        <x:v>FRED current rolling window</x:v>
      </x:c>
    </x:row>
    <x:row r="2610" ht="18" customHeight="1">
      <x:c r="A2610" s="13" t="n">
        <x:v>46219</x:v>
      </x:c>
      <x:c r="B2610" s="12" t="n">
        <x:v>2.71</x:v>
      </x:c>
      <x:c r="C2610" s="12" t="n">
        <x:v>271</x:v>
      </x:c>
      <x:c r="D2610" s="12" t="n">
        <x:v>0</x:v>
      </x:c>
      <x:c r="E2610" s="12" t="str">
        <x:v>FRED current rolling window</x:v>
      </x:c>
    </x:row>
    <x:row r="2611" ht="18" customHeight="1">
      <x:c r="A2611" s="13" t="n">
        <x:v>46220</x:v>
      </x:c>
      <x:c r="B2611" s="12" t="n">
        <x:v>2.73</x:v>
      </x:c>
      <x:c r="C2611" s="12" t="n">
        <x:v>273</x:v>
      </x:c>
      <x:c r="D2611" s="12" t="n">
        <x:v>2</x:v>
      </x:c>
      <x:c r="E2611" s="12" t="str">
        <x:v>FRED current rolling window</x:v>
      </x:c>
    </x:row>
    <x:row r="2612" ht="18" customHeight="1">
      <x:c r="A2612" s="13" t="n">
        <x:v>46223</x:v>
      </x:c>
      <x:c r="B2612" s="12" t="n">
        <x:v>2.69</x:v>
      </x:c>
      <x:c r="C2612" s="12" t="n">
        <x:v>269</x:v>
      </x:c>
      <x:c r="D2612" s="12" t="n">
        <x:v>-4</x:v>
      </x:c>
      <x:c r="E2612" s="12" t="str">
        <x:v>FRED current rolling window</x:v>
      </x:c>
    </x:row>
    <x:row r="2613" ht="18" customHeight="1">
      <x:c r="A2613" s="13" t="n">
        <x:v>46224</x:v>
      </x:c>
      <x:c r="B2613" s="12" t="n">
        <x:v>2.69</x:v>
      </x:c>
      <x:c r="C2613" s="12" t="n">
        <x:v>269</x:v>
      </x:c>
      <x:c r="D2613" s="12" t="n">
        <x:v>0</x:v>
      </x:c>
      <x:c r="E2613" s="12" t="str">
        <x:v>FRED current rolling window</x:v>
      </x:c>
    </x:row>
    <x:row r="2614" ht="18" customHeight="1">
      <x:c r="A2614" s="13" t="n">
        <x:v>46225</x:v>
      </x:c>
      <x:c r="B2614" s="12" t="n">
        <x:v>2.68</x:v>
      </x:c>
      <x:c r="C2614" s="12" t="n">
        <x:v>268</x:v>
      </x:c>
      <x:c r="D2614" s="12" t="n">
        <x:v>-1</x:v>
      </x:c>
      <x:c r="E2614" s="12" t="str">
        <x:v>FRED current rolling window</x:v>
      </x:c>
    </x:row>
    <x:row r="2615" ht="18" customHeight="1">
      <x:c r="A2615" s="13" t="n">
        <x:v>46226</x:v>
      </x:c>
      <x:c r="B2615" s="12" t="n">
        <x:v>2.77</x:v>
      </x:c>
      <x:c r="C2615" s="12" t="n">
        <x:v>277</x:v>
      </x:c>
      <x:c r="D2615" s="12" t="n">
        <x:v>9</x:v>
      </x:c>
      <x:c r="E2615" s="12" t="str">
        <x:v>FRED current rolling window</x:v>
      </x:c>
    </x:row>
  </x:sheetData>
  <x:pageMargins left="0.7" right="0.7" top="0.75" bottom="0.75" header="0.3" footer="0.3"/>
  <x:tableParts count="1">
    <x:tablePart xmlns:r="http://schemas.openxmlformats.org/officeDocument/2006/relationships" r:id="R16565b8b5f36432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9" hidden="0" customWidth="1"/>
    <x:col min="2" max="2" width="8.890000343322754" hidden="0" customWidth="1"/>
    <x:col min="3" max="3" width="8.220000267028809" hidden="0" customWidth="1"/>
    <x:col min="4" max="4" width="8.220000267028809" hidden="0" customWidth="1"/>
    <x:col min="5" max="5" width="8.220000267028809" hidden="0" customWidth="1"/>
    <x:col min="6" max="6" width="8.220000267028809" hidden="0" customWidth="1"/>
    <x:col min="7" max="7" width="10.220000267028809" hidden="0" customWidth="1"/>
    <x:col min="8" max="8" width="8.4399995803833" hidden="0" customWidth="1"/>
    <x:col min="9" max="9" width="8.890000343322754" hidden="0" customWidth="1"/>
    <x:col min="10" max="10" width="10.670000076293945" hidden="0" customWidth="1"/>
    <x:col min="11" max="11" width="8.670000076293945" hidden="0" customWidth="1"/>
    <x:col min="12" max="12" width="10" hidden="0" customWidth="1"/>
    <x:col min="13" max="13" width="15" hidden="0" customWidth="1"/>
  </x:cols>
  <x:sheetData>
    <x:row r="1" ht="30" customHeight="1">
      <x:c r="A1" s="9" t="str">
        <x:v>date</x:v>
      </x:c>
      <x:c r="B1" s="10" t="str">
        <x:v>ts_code</x:v>
      </x:c>
      <x:c r="C1" s="10" t="str">
        <x:v>open</x:v>
      </x:c>
      <x:c r="D1" s="10" t="str">
        <x:v>high</x:v>
      </x:c>
      <x:c r="E1" s="10" t="str">
        <x:v>low</x:v>
      </x:c>
      <x:c r="F1" s="10" t="str">
        <x:v>close</x:v>
      </x:c>
      <x:c r="G1" s="10" t="str">
        <x:v>pre_close</x:v>
      </x:c>
      <x:c r="H1" s="10" t="str">
        <x:v>change</x:v>
      </x:c>
      <x:c r="I1" s="10" t="str">
        <x:v>pct_chg</x:v>
      </x:c>
      <x:c r="J1" s="10" t="str">
        <x:v>log_return</x:v>
      </x:c>
      <x:c r="K1" s="10" t="str">
        <x:v>vol</x:v>
      </x:c>
      <x:c r="L1" s="10" t="str">
        <x:v>amount</x:v>
      </x:c>
      <x:c r="M1" s="11" t="str">
        <x:v>source</x:v>
      </x:c>
    </x:row>
    <x:row r="2" ht="18" customHeight="1">
      <x:c r="A2" s="13" t="n">
        <x:v>42577</x:v>
      </x:c>
      <x:c r="B2" s="12" t="str">
        <x:v>000300.SH</x:v>
      </x:c>
      <x:c r="C2" s="12" t="n">
        <x:v>3228.234</x:v>
      </x:c>
      <x:c r="D2" s="12" t="n">
        <x:v>3269.7457</x:v>
      </x:c>
      <x:c r="E2" s="12" t="n">
        <x:v>3228.0075</x:v>
      </x:c>
      <x:c r="F2" s="12" t="n">
        <x:v>3269.5882</x:v>
      </x:c>
      <x:c r="G2" s="12" t="n">
        <x:v>3230.885</x:v>
      </x:c>
      <x:c r="H2" s="12" t="n">
        <x:v>38.7032</x:v>
      </x:c>
      <x:c r="I2" s="12" t="n">
        <x:v>1.1979</x:v>
      </x:c>
      <x:c r="J2" s="12" t="n">
        <x:v>0.01190795074409212</x:v>
      </x:c>
      <x:c r="K2" s="12" t="n">
        <x:v>81051089</x:v>
      </x:c>
      <x:c r="L2" s="12" t="n">
        <x:v>103745762.758</x:v>
      </x:c>
      <x:c r="M2" s="12" t="str">
        <x:v>TuShare index_daily</x:v>
      </x:c>
    </x:row>
    <x:row r="3" ht="18" customHeight="1">
      <x:c r="A3" s="13" t="n">
        <x:v>42578</x:v>
      </x:c>
      <x:c r="B3" s="12" t="str">
        <x:v>000300.SH</x:v>
      </x:c>
      <x:c r="C3" s="12" t="n">
        <x:v>3270.0837</x:v>
      </x:c>
      <x:c r="D3" s="12" t="n">
        <x:v>3276.5112</x:v>
      </x:c>
      <x:c r="E3" s="12" t="n">
        <x:v>3157.4093</x:v>
      </x:c>
      <x:c r="F3" s="12" t="n">
        <x:v>3218.243</x:v>
      </x:c>
      <x:c r="G3" s="12" t="n">
        <x:v>3269.5882</x:v>
      </x:c>
      <x:c r="H3" s="12" t="n">
        <x:v>-51.3452</x:v>
      </x:c>
      <x:c r="I3" s="12" t="n">
        <x:v>-1.5704</x:v>
      </x:c>
      <x:c r="J3" s="12" t="n">
        <x:v>-0.015828485797177723</x:v>
      </x:c>
      <x:c r="K3" s="12" t="n">
        <x:v>160188665</x:v>
      </x:c>
      <x:c r="L3" s="12" t="n">
        <x:v>186928366.498</x:v>
      </x:c>
      <x:c r="M3" s="12" t="str">
        <x:v>TuShare index_daily</x:v>
      </x:c>
    </x:row>
    <x:row r="4" ht="18" customHeight="1">
      <x:c r="A4" s="13" t="n">
        <x:v>42579</x:v>
      </x:c>
      <x:c r="B4" s="12" t="str">
        <x:v>000300.SH</x:v>
      </x:c>
      <x:c r="C4" s="12" t="n">
        <x:v>3204.4645</x:v>
      </x:c>
      <x:c r="D4" s="12" t="n">
        <x:v>3235.7816</x:v>
      </x:c>
      <x:c r="E4" s="12" t="n">
        <x:v>3195.2696</x:v>
      </x:c>
      <x:c r="F4" s="12" t="n">
        <x:v>3221.1365</x:v>
      </x:c>
      <x:c r="G4" s="12" t="n">
        <x:v>3218.243</x:v>
      </x:c>
      <x:c r="H4" s="12" t="n">
        <x:v>2.8935</x:v>
      </x:c>
      <x:c r="I4" s="12" t="n">
        <x:v>0.0899</x:v>
      </x:c>
      <x:c r="J4" s="12" t="n">
        <x:v>0.0008986891344864949</x:v>
      </x:c>
      <x:c r="K4" s="12" t="n">
        <x:v>112779964</x:v>
      </x:c>
      <x:c r="L4" s="12" t="n">
        <x:v>137295892.753</x:v>
      </x:c>
      <x:c r="M4" s="12" t="str">
        <x:v>TuShare index_daily</x:v>
      </x:c>
    </x:row>
    <x:row r="5" ht="18" customHeight="1">
      <x:c r="A5" s="13" t="n">
        <x:v>42580</x:v>
      </x:c>
      <x:c r="B5" s="12" t="str">
        <x:v>000300.SH</x:v>
      </x:c>
      <x:c r="C5" s="12" t="n">
        <x:v>3217.1923</x:v>
      </x:c>
      <x:c r="D5" s="12" t="n">
        <x:v>3225.4184</x:v>
      </x:c>
      <x:c r="E5" s="12" t="n">
        <x:v>3198.6839</x:v>
      </x:c>
      <x:c r="F5" s="12" t="n">
        <x:v>3203.9304</x:v>
      </x:c>
      <x:c r="G5" s="12" t="n">
        <x:v>3221.1365</x:v>
      </x:c>
      <x:c r="H5" s="12" t="n">
        <x:v>-17.2061</x:v>
      </x:c>
      <x:c r="I5" s="12" t="n">
        <x:v>-0.5342</x:v>
      </x:c>
      <x:c r="J5" s="12" t="n">
        <x:v>-0.005355941470840886</x:v>
      </x:c>
      <x:c r="K5" s="12" t="n">
        <x:v>88044837</x:v>
      </x:c>
      <x:c r="L5" s="12" t="n">
        <x:v>103787029.748</x:v>
      </x:c>
      <x:c r="M5" s="12" t="str">
        <x:v>TuShare index_daily</x:v>
      </x:c>
    </x:row>
    <x:row r="6" ht="18" customHeight="1">
      <x:c r="A6" s="13" t="n">
        <x:v>42583</x:v>
      </x:c>
      <x:c r="B6" s="12" t="str">
        <x:v>000300.SH</x:v>
      </x:c>
      <x:c r="C6" s="12" t="n">
        <x:v>3196.425</x:v>
      </x:c>
      <x:c r="D6" s="12" t="n">
        <x:v>3199.9751</x:v>
      </x:c>
      <x:c r="E6" s="12" t="n">
        <x:v>3156.7488</x:v>
      </x:c>
      <x:c r="F6" s="12" t="n">
        <x:v>3176.8091</x:v>
      </x:c>
      <x:c r="G6" s="12" t="n">
        <x:v>3203.9304</x:v>
      </x:c>
      <x:c r="H6" s="12" t="n">
        <x:v>-27.1213</x:v>
      </x:c>
      <x:c r="I6" s="12" t="n">
        <x:v>-0.8465</x:v>
      </x:c>
      <x:c r="J6" s="12" t="n">
        <x:v>-0.008501040775170844</x:v>
      </x:c>
      <x:c r="K6" s="12" t="n">
        <x:v>87003497</x:v>
      </x:c>
      <x:c r="L6" s="12" t="n">
        <x:v>98818634.361</x:v>
      </x:c>
      <x:c r="M6" s="12" t="str">
        <x:v>TuShare index_daily</x:v>
      </x:c>
    </x:row>
    <x:row r="7" ht="18" customHeight="1">
      <x:c r="A7" s="13" t="n">
        <x:v>42584</x:v>
      </x:c>
      <x:c r="B7" s="12" t="str">
        <x:v>000300.SH</x:v>
      </x:c>
      <x:c r="C7" s="12" t="n">
        <x:v>3173.7576</x:v>
      </x:c>
      <x:c r="D7" s="12" t="n">
        <x:v>3189.0529</x:v>
      </x:c>
      <x:c r="E7" s="12" t="n">
        <x:v>3165.5422</x:v>
      </x:c>
      <x:c r="F7" s="12" t="n">
        <x:v>3189.0529</x:v>
      </x:c>
      <x:c r="G7" s="12" t="n">
        <x:v>3176.8091</x:v>
      </x:c>
      <x:c r="H7" s="12" t="n">
        <x:v>12.2438</x:v>
      </x:c>
      <x:c r="I7" s="12" t="n">
        <x:v>0.3854</x:v>
      </x:c>
      <x:c r="J7" s="12" t="n">
        <x:v>0.0038467108139667687</x:v>
      </x:c>
      <x:c r="K7" s="12" t="n">
        <x:v>62167639</x:v>
      </x:c>
      <x:c r="L7" s="12" t="n">
        <x:v>70640763.842</x:v>
      </x:c>
      <x:c r="M7" s="12" t="str">
        <x:v>TuShare index_daily</x:v>
      </x:c>
    </x:row>
    <x:row r="8" ht="18" customHeight="1">
      <x:c r="A8" s="13" t="n">
        <x:v>42585</x:v>
      </x:c>
      <x:c r="B8" s="12" t="str">
        <x:v>000300.SH</x:v>
      </x:c>
      <x:c r="C8" s="12" t="n">
        <x:v>3179.6842</x:v>
      </x:c>
      <x:c r="D8" s="12" t="n">
        <x:v>3197.1573</x:v>
      </x:c>
      <x:c r="E8" s="12" t="n">
        <x:v>3173.5356</x:v>
      </x:c>
      <x:c r="F8" s="12" t="n">
        <x:v>3193.5073</x:v>
      </x:c>
      <x:c r="G8" s="12" t="n">
        <x:v>3189.0529</x:v>
      </x:c>
      <x:c r="H8" s="12" t="n">
        <x:v>4.4544</x:v>
      </x:c>
      <x:c r="I8" s="12" t="n">
        <x:v>0.1397</x:v>
      </x:c>
      <x:c r="J8" s="12" t="n">
        <x:v>0.0013958037475924041</x:v>
      </x:c>
      <x:c r="K8" s="12" t="n">
        <x:v>72864102</x:v>
      </x:c>
      <x:c r="L8" s="12" t="n">
        <x:v>79754323.301</x:v>
      </x:c>
      <x:c r="M8" s="12" t="str">
        <x:v>TuShare index_daily</x:v>
      </x:c>
    </x:row>
    <x:row r="9" ht="18" customHeight="1">
      <x:c r="A9" s="13" t="n">
        <x:v>42586</x:v>
      </x:c>
      <x:c r="B9" s="12" t="str">
        <x:v>000300.SH</x:v>
      </x:c>
      <x:c r="C9" s="12" t="n">
        <x:v>3190.546</x:v>
      </x:c>
      <x:c r="D9" s="12" t="n">
        <x:v>3201.5539</x:v>
      </x:c>
      <x:c r="E9" s="12" t="n">
        <x:v>3170.4189</x:v>
      </x:c>
      <x:c r="F9" s="12" t="n">
        <x:v>3201.2888</x:v>
      </x:c>
      <x:c r="G9" s="12" t="n">
        <x:v>3193.5073</x:v>
      </x:c>
      <x:c r="H9" s="12" t="n">
        <x:v>7.7815</x:v>
      </x:c>
      <x:c r="I9" s="12" t="n">
        <x:v>0.2437</x:v>
      </x:c>
      <x:c r="J9" s="12" t="n">
        <x:v>0.0024336988135545256</x:v>
      </x:c>
      <x:c r="K9" s="12" t="n">
        <x:v>73504373</x:v>
      </x:c>
      <x:c r="L9" s="12" t="n">
        <x:v>86919591.121</x:v>
      </x:c>
      <x:c r="M9" s="12" t="str">
        <x:v>TuShare index_daily</x:v>
      </x:c>
    </x:row>
    <x:row r="10" ht="18" customHeight="1">
      <x:c r="A10" s="13" t="n">
        <x:v>42587</x:v>
      </x:c>
      <x:c r="B10" s="12" t="str">
        <x:v>000300.SH</x:v>
      </x:c>
      <x:c r="C10" s="12" t="n">
        <x:v>3201.3543</x:v>
      </x:c>
      <x:c r="D10" s="12" t="n">
        <x:v>3224.873</x:v>
      </x:c>
      <x:c r="E10" s="12" t="n">
        <x:v>3192.8614</x:v>
      </x:c>
      <x:c r="F10" s="12" t="n">
        <x:v>3205.1101</x:v>
      </x:c>
      <x:c r="G10" s="12" t="n">
        <x:v>3201.2888</x:v>
      </x:c>
      <x:c r="H10" s="12" t="n">
        <x:v>3.8213</x:v>
      </x:c>
      <x:c r="I10" s="12" t="n">
        <x:v>0.1194</x:v>
      </x:c>
      <x:c r="J10" s="12" t="n">
        <x:v>0.0011929636330307713</x:v>
      </x:c>
      <x:c r="K10" s="12" t="n">
        <x:v>77196366</x:v>
      </x:c>
      <x:c r="L10" s="12" t="n">
        <x:v>94429542.391</x:v>
      </x:c>
      <x:c r="M10" s="12" t="str">
        <x:v>TuShare index_daily</x:v>
      </x:c>
    </x:row>
    <x:row r="11" ht="18" customHeight="1">
      <x:c r="A11" s="13" t="n">
        <x:v>42590</x:v>
      </x:c>
      <x:c r="B11" s="12" t="str">
        <x:v>000300.SH</x:v>
      </x:c>
      <x:c r="C11" s="12" t="n">
        <x:v>3199.5723</x:v>
      </x:c>
      <x:c r="D11" s="12" t="n">
        <x:v>3234.4795</x:v>
      </x:c>
      <x:c r="E11" s="12" t="n">
        <x:v>3187.2521</x:v>
      </x:c>
      <x:c r="F11" s="12" t="n">
        <x:v>3234.1833</x:v>
      </x:c>
      <x:c r="G11" s="12" t="n">
        <x:v>3205.1101</x:v>
      </x:c>
      <x:c r="H11" s="12" t="n">
        <x:v>29.0732</x:v>
      </x:c>
      <x:c r="I11" s="12" t="n">
        <x:v>0.9071</x:v>
      </x:c>
      <x:c r="J11" s="12" t="n">
        <x:v>0.0090299962272696</x:v>
      </x:c>
      <x:c r="K11" s="12" t="n">
        <x:v>86676051</x:v>
      </x:c>
      <x:c r="L11" s="12" t="n">
        <x:v>102638114.597</x:v>
      </x:c>
      <x:c r="M11" s="12" t="str">
        <x:v>TuShare index_daily</x:v>
      </x:c>
    </x:row>
    <x:row r="12" ht="18" customHeight="1">
      <x:c r="A12" s="13" t="n">
        <x:v>42591</x:v>
      </x:c>
      <x:c r="B12" s="12" t="str">
        <x:v>000300.SH</x:v>
      </x:c>
      <x:c r="C12" s="12" t="n">
        <x:v>3232.603</x:v>
      </x:c>
      <x:c r="D12" s="12" t="n">
        <x:v>3257.3336</x:v>
      </x:c>
      <x:c r="E12" s="12" t="n">
        <x:v>3229.1741</x:v>
      </x:c>
      <x:c r="F12" s="12" t="n">
        <x:v>3256.9813</x:v>
      </x:c>
      <x:c r="G12" s="12" t="n">
        <x:v>3234.1833</x:v>
      </x:c>
      <x:c r="H12" s="12" t="n">
        <x:v>22.798</x:v>
      </x:c>
      <x:c r="I12" s="12" t="n">
        <x:v>0.7049</x:v>
      </x:c>
      <x:c r="J12" s="12" t="n">
        <x:v>0.007024346213754837</x:v>
      </x:c>
      <x:c r="K12" s="12" t="n">
        <x:v>91065259</x:v>
      </x:c>
      <x:c r="L12" s="12" t="n">
        <x:v>105924052.436</x:v>
      </x:c>
      <x:c r="M12" s="12" t="str">
        <x:v>TuShare index_daily</x:v>
      </x:c>
    </x:row>
    <x:row r="13" ht="18" customHeight="1">
      <x:c r="A13" s="13" t="n">
        <x:v>42592</x:v>
      </x:c>
      <x:c r="B13" s="12" t="str">
        <x:v>000300.SH</x:v>
      </x:c>
      <x:c r="C13" s="12" t="n">
        <x:v>3255.1822</x:v>
      </x:c>
      <x:c r="D13" s="12" t="n">
        <x:v>3261.8609</x:v>
      </x:c>
      <x:c r="E13" s="12" t="n">
        <x:v>3242.7509</x:v>
      </x:c>
      <x:c r="F13" s="12" t="n">
        <x:v>3243.3409</x:v>
      </x:c>
      <x:c r="G13" s="12" t="n">
        <x:v>3256.9813</x:v>
      </x:c>
      <x:c r="H13" s="12" t="n">
        <x:v>-13.6404</x:v>
      </x:c>
      <x:c r="I13" s="12" t="n">
        <x:v>-0.4188</x:v>
      </x:c>
      <x:c r="J13" s="12" t="n">
        <x:v>-0.004196844279891693</x:v>
      </x:c>
      <x:c r="K13" s="12" t="n">
        <x:v>90430372</x:v>
      </x:c>
      <x:c r="L13" s="12" t="n">
        <x:v>106157448.028</x:v>
      </x:c>
      <x:c r="M13" s="12" t="str">
        <x:v>TuShare index_daily</x:v>
      </x:c>
    </x:row>
    <x:row r="14" ht="18" customHeight="1">
      <x:c r="A14" s="13" t="n">
        <x:v>42593</x:v>
      </x:c>
      <x:c r="B14" s="12" t="str">
        <x:v>000300.SH</x:v>
      </x:c>
      <x:c r="C14" s="12" t="n">
        <x:v>3239.5583</x:v>
      </x:c>
      <x:c r="D14" s="12" t="n">
        <x:v>3274.0261</x:v>
      </x:c>
      <x:c r="E14" s="12" t="n">
        <x:v>3232.6127</x:v>
      </x:c>
      <x:c r="F14" s="12" t="n">
        <x:v>3233.3604</x:v>
      </x:c>
      <x:c r="G14" s="12" t="n">
        <x:v>3243.3409</x:v>
      </x:c>
      <x:c r="H14" s="12" t="n">
        <x:v>-9.9805</x:v>
      </x:c>
      <x:c r="I14" s="12" t="n">
        <x:v>-0.3077</x:v>
      </x:c>
      <x:c r="J14" s="12" t="n">
        <x:v>-0.0030819725776225675</x:v>
      </x:c>
      <x:c r="K14" s="12" t="n">
        <x:v>101041213</x:v>
      </x:c>
      <x:c r="L14" s="12" t="n">
        <x:v>116996159.046</x:v>
      </x:c>
      <x:c r="M14" s="12" t="str">
        <x:v>TuShare index_daily</x:v>
      </x:c>
    </x:row>
    <x:row r="15" ht="18" customHeight="1">
      <x:c r="A15" s="13" t="n">
        <x:v>42594</x:v>
      </x:c>
      <x:c r="B15" s="12" t="str">
        <x:v>000300.SH</x:v>
      </x:c>
      <x:c r="C15" s="12" t="n">
        <x:v>3231.8065</x:v>
      </x:c>
      <x:c r="D15" s="12" t="n">
        <x:v>3294.2337</x:v>
      </x:c>
      <x:c r="E15" s="12" t="n">
        <x:v>3231.1366</x:v>
      </x:c>
      <x:c r="F15" s="12" t="n">
        <x:v>3294.2337</x:v>
      </x:c>
      <x:c r="G15" s="12" t="n">
        <x:v>3233.3604</x:v>
      </x:c>
      <x:c r="H15" s="12" t="n">
        <x:v>60.8733</x:v>
      </x:c>
      <x:c r="I15" s="12" t="n">
        <x:v>1.8827</x:v>
      </x:c>
      <x:c r="J15" s="12" t="n">
        <x:v>0.0186516084752912</x:v>
      </x:c>
      <x:c r="K15" s="12" t="n">
        <x:v>116254044</x:v>
      </x:c>
      <x:c r="L15" s="12" t="n">
        <x:v>129354686.387</x:v>
      </x:c>
      <x:c r="M15" s="12" t="str">
        <x:v>TuShare index_daily</x:v>
      </x:c>
    </x:row>
    <x:row r="16" ht="18" customHeight="1">
      <x:c r="A16" s="13" t="n">
        <x:v>42597</x:v>
      </x:c>
      <x:c r="B16" s="12" t="str">
        <x:v>000300.SH</x:v>
      </x:c>
      <x:c r="C16" s="12" t="n">
        <x:v>3303.4688</x:v>
      </x:c>
      <x:c r="D16" s="12" t="n">
        <x:v>3417.9147</x:v>
      </x:c>
      <x:c r="E16" s="12" t="n">
        <x:v>3302.3776</x:v>
      </x:c>
      <x:c r="F16" s="12" t="n">
        <x:v>3393.4239</x:v>
      </x:c>
      <x:c r="G16" s="12" t="n">
        <x:v>3294.2337</x:v>
      </x:c>
      <x:c r="H16" s="12" t="n">
        <x:v>99.1902</x:v>
      </x:c>
      <x:c r="I16" s="12" t="n">
        <x:v>3.011</x:v>
      </x:c>
      <x:c r="J16" s="12" t="n">
        <x:v>0.029665835270030912</x:v>
      </x:c>
      <x:c r="K16" s="12" t="n">
        <x:v>220543421</x:v>
      </x:c>
      <x:c r="L16" s="12" t="n">
        <x:v>258897463.91</x:v>
      </x:c>
      <x:c r="M16" s="12" t="str">
        <x:v>TuShare index_daily</x:v>
      </x:c>
    </x:row>
    <x:row r="17" ht="18" customHeight="1">
      <x:c r="A17" s="13" t="n">
        <x:v>42598</x:v>
      </x:c>
      <x:c r="B17" s="12" t="str">
        <x:v>000300.SH</x:v>
      </x:c>
      <x:c r="C17" s="12" t="n">
        <x:v>3403.3839</x:v>
      </x:c>
      <x:c r="D17" s="12" t="n">
        <x:v>3418.6884</x:v>
      </x:c>
      <x:c r="E17" s="12" t="n">
        <x:v>3372.0206</x:v>
      </x:c>
      <x:c r="F17" s="12" t="n">
        <x:v>3378.2451</x:v>
      </x:c>
      <x:c r="G17" s="12" t="n">
        <x:v>3393.4239</x:v>
      </x:c>
      <x:c r="H17" s="12" t="n">
        <x:v>-15.1788</x:v>
      </x:c>
      <x:c r="I17" s="12" t="n">
        <x:v>-0.4473</x:v>
      </x:c>
      <x:c r="J17" s="12" t="n">
        <x:v>-0.0044830382056433955</x:v>
      </x:c>
      <x:c r="K17" s="12" t="n">
        <x:v>196389740</x:v>
      </x:c>
      <x:c r="L17" s="12" t="n">
        <x:v>226785231.085</x:v>
      </x:c>
      <x:c r="M17" s="12" t="str">
        <x:v>TuShare index_daily</x:v>
      </x:c>
    </x:row>
    <x:row r="18" ht="18" customHeight="1">
      <x:c r="A18" s="13" t="n">
        <x:v>42599</x:v>
      </x:c>
      <x:c r="B18" s="12" t="str">
        <x:v>000300.SH</x:v>
      </x:c>
      <x:c r="C18" s="12" t="n">
        <x:v>3377.7713</x:v>
      </x:c>
      <x:c r="D18" s="12" t="n">
        <x:v>3394.3887</x:v>
      </x:c>
      <x:c r="E18" s="12" t="n">
        <x:v>3356.9244</x:v>
      </x:c>
      <x:c r="F18" s="12" t="n">
        <x:v>3373.0476</x:v>
      </x:c>
      <x:c r="G18" s="12" t="n">
        <x:v>3378.2451</x:v>
      </x:c>
      <x:c r="H18" s="12" t="n">
        <x:v>-5.1975</x:v>
      </x:c>
      <x:c r="I18" s="12" t="n">
        <x:v>-0.1539</x:v>
      </x:c>
      <x:c r="J18" s="12" t="n">
        <x:v>-0.0015397054335406538</x:v>
      </x:c>
      <x:c r="K18" s="12" t="n">
        <x:v>138847688</x:v>
      </x:c>
      <x:c r="L18" s="12" t="n">
        <x:v>167917530.856</x:v>
      </x:c>
      <x:c r="M18" s="12" t="str">
        <x:v>TuShare index_daily</x:v>
      </x:c>
    </x:row>
    <x:row r="19" ht="18" customHeight="1">
      <x:c r="A19" s="13" t="n">
        <x:v>42600</x:v>
      </x:c>
      <x:c r="B19" s="12" t="str">
        <x:v>000300.SH</x:v>
      </x:c>
      <x:c r="C19" s="12" t="n">
        <x:v>3369.9472</x:v>
      </x:c>
      <x:c r="D19" s="12" t="n">
        <x:v>3394.7912</x:v>
      </x:c>
      <x:c r="E19" s="12" t="n">
        <x:v>3349.6879</x:v>
      </x:c>
      <x:c r="F19" s="12" t="n">
        <x:v>3364.4851</x:v>
      </x:c>
      <x:c r="G19" s="12" t="n">
        <x:v>3373.0476</x:v>
      </x:c>
      <x:c r="H19" s="12" t="n">
        <x:v>-8.5625</x:v>
      </x:c>
      <x:c r="I19" s="12" t="n">
        <x:v>-0.2539</x:v>
      </x:c>
      <x:c r="J19" s="12" t="n">
        <x:v>-0.0025417330025779114</x:v>
      </x:c>
      <x:c r="K19" s="12" t="n">
        <x:v>142380169</x:v>
      </x:c>
      <x:c r="L19" s="12" t="n">
        <x:v>172256533</x:v>
      </x:c>
      <x:c r="M19" s="12" t="str">
        <x:v>TuShare index_daily</x:v>
      </x:c>
    </x:row>
    <x:row r="20" ht="18" customHeight="1">
      <x:c r="A20" s="13" t="n">
        <x:v>42601</x:v>
      </x:c>
      <x:c r="B20" s="12" t="str">
        <x:v>000300.SH</x:v>
      </x:c>
      <x:c r="C20" s="12" t="n">
        <x:v>3358.555</x:v>
      </x:c>
      <x:c r="D20" s="12" t="n">
        <x:v>3374.045</x:v>
      </x:c>
      <x:c r="E20" s="12" t="n">
        <x:v>3341.1922</x:v>
      </x:c>
      <x:c r="F20" s="12" t="n">
        <x:v>3365.0197</x:v>
      </x:c>
      <x:c r="G20" s="12" t="n">
        <x:v>3364.4851</x:v>
      </x:c>
      <x:c r="H20" s="12" t="n">
        <x:v>0.5346</x:v>
      </x:c>
      <x:c r="I20" s="12" t="n">
        <x:v>0.0159</x:v>
      </x:c>
      <x:c r="J20" s="12" t="n">
        <x:v>0.00015888241914154328</x:v>
      </x:c>
      <x:c r="K20" s="12" t="n">
        <x:v>119961508</x:v>
      </x:c>
      <x:c r="L20" s="12" t="n">
        <x:v>135382706.293</x:v>
      </x:c>
      <x:c r="M20" s="12" t="str">
        <x:v>TuShare index_daily</x:v>
      </x:c>
    </x:row>
    <x:row r="21" ht="18" customHeight="1">
      <x:c r="A21" s="13" t="n">
        <x:v>42604</x:v>
      </x:c>
      <x:c r="B21" s="12" t="str">
        <x:v>000300.SH</x:v>
      </x:c>
      <x:c r="C21" s="12" t="n">
        <x:v>3364.681</x:v>
      </x:c>
      <x:c r="D21" s="12" t="n">
        <x:v>3372.8331</x:v>
      </x:c>
      <x:c r="E21" s="12" t="n">
        <x:v>3335.4695</x:v>
      </x:c>
      <x:c r="F21" s="12" t="n">
        <x:v>3336.7949</x:v>
      </x:c>
      <x:c r="G21" s="12" t="n">
        <x:v>3365.0197</x:v>
      </x:c>
      <x:c r="H21" s="12" t="n">
        <x:v>-28.2248</x:v>
      </x:c>
      <x:c r="I21" s="12" t="n">
        <x:v>-0.8388</x:v>
      </x:c>
      <x:c r="J21" s="12" t="n">
        <x:v>-0.008423081973935091</x:v>
      </x:c>
      <x:c r="K21" s="12" t="n">
        <x:v>107951008</x:v>
      </x:c>
      <x:c r="L21" s="12" t="n">
        <x:v>128201783.812</x:v>
      </x:c>
      <x:c r="M21" s="12" t="str">
        <x:v>TuShare index_daily</x:v>
      </x:c>
    </x:row>
    <x:row r="22" ht="18" customHeight="1">
      <x:c r="A22" s="13" t="n">
        <x:v>42605</x:v>
      </x:c>
      <x:c r="B22" s="12" t="str">
        <x:v>000300.SH</x:v>
      </x:c>
      <x:c r="C22" s="12" t="n">
        <x:v>3332.621</x:v>
      </x:c>
      <x:c r="D22" s="12" t="n">
        <x:v>3359.6477</x:v>
      </x:c>
      <x:c r="E22" s="12" t="n">
        <x:v>3324.9603</x:v>
      </x:c>
      <x:c r="F22" s="12" t="n">
        <x:v>3341.8298</x:v>
      </x:c>
      <x:c r="G22" s="12" t="n">
        <x:v>3336.7949</x:v>
      </x:c>
      <x:c r="H22" s="12" t="n">
        <x:v>5.0349</x:v>
      </x:c>
      <x:c r="I22" s="12" t="n">
        <x:v>0.1509</x:v>
      </x:c>
      <x:c r="J22" s="12" t="n">
        <x:v>0.001507765799100466</x:v>
      </x:c>
      <x:c r="K22" s="12" t="n">
        <x:v>92924516</x:v>
      </x:c>
      <x:c r="L22" s="12" t="n">
        <x:v>108503692.377</x:v>
      </x:c>
      <x:c r="M22" s="12" t="str">
        <x:v>TuShare index_daily</x:v>
      </x:c>
    </x:row>
    <x:row r="23" ht="18" customHeight="1">
      <x:c r="A23" s="13" t="n">
        <x:v>42606</x:v>
      </x:c>
      <x:c r="B23" s="12" t="str">
        <x:v>000300.SH</x:v>
      </x:c>
      <x:c r="C23" s="12" t="n">
        <x:v>3341.9304</x:v>
      </x:c>
      <x:c r="D23" s="12" t="n">
        <x:v>3348.1291</x:v>
      </x:c>
      <x:c r="E23" s="12" t="n">
        <x:v>3323.7251</x:v>
      </x:c>
      <x:c r="F23" s="12" t="n">
        <x:v>3329.8631</x:v>
      </x:c>
      <x:c r="G23" s="12" t="n">
        <x:v>3341.8298</x:v>
      </x:c>
      <x:c r="H23" s="12" t="n">
        <x:v>-11.9667</x:v>
      </x:c>
      <x:c r="I23" s="12" t="n">
        <x:v>-0.3581</x:v>
      </x:c>
      <x:c r="J23" s="12" t="n">
        <x:v>-0.0035873092519213734</x:v>
      </x:c>
      <x:c r="K23" s="12" t="n">
        <x:v>81191429</x:v>
      </x:c>
      <x:c r="L23" s="12" t="n">
        <x:v>94012832.2</x:v>
      </x:c>
      <x:c r="M23" s="12" t="str">
        <x:v>TuShare index_daily</x:v>
      </x:c>
    </x:row>
    <x:row r="24" ht="18" customHeight="1">
      <x:c r="A24" s="13" t="n">
        <x:v>42607</x:v>
      </x:c>
      <x:c r="B24" s="12" t="str">
        <x:v>000300.SH</x:v>
      </x:c>
      <x:c r="C24" s="12" t="n">
        <x:v>3314.0846</x:v>
      </x:c>
      <x:c r="D24" s="12" t="n">
        <x:v>3315.0812</x:v>
      </x:c>
      <x:c r="E24" s="12" t="n">
        <x:v>3279.8064</x:v>
      </x:c>
      <x:c r="F24" s="12" t="n">
        <x:v>3308.9721</x:v>
      </x:c>
      <x:c r="G24" s="12" t="n">
        <x:v>3329.8631</x:v>
      </x:c>
      <x:c r="H24" s="12" t="n">
        <x:v>-20.891</x:v>
      </x:c>
      <x:c r="I24" s="12" t="n">
        <x:v>-0.6274</x:v>
      </x:c>
      <x:c r="J24" s="12" t="n">
        <x:v>-0.006293594682544413</x:v>
      </x:c>
      <x:c r="K24" s="12" t="n">
        <x:v>100589153</x:v>
      </x:c>
      <x:c r="L24" s="12" t="n">
        <x:v>112578140.01</x:v>
      </x:c>
      <x:c r="M24" s="12" t="str">
        <x:v>TuShare index_daily</x:v>
      </x:c>
    </x:row>
    <x:row r="25" ht="18" customHeight="1">
      <x:c r="A25" s="13" t="n">
        <x:v>42608</x:v>
      </x:c>
      <x:c r="B25" s="12" t="str">
        <x:v>000300.SH</x:v>
      </x:c>
      <x:c r="C25" s="12" t="n">
        <x:v>3312.4991</x:v>
      </x:c>
      <x:c r="D25" s="12" t="n">
        <x:v>3328.9453</x:v>
      </x:c>
      <x:c r="E25" s="12" t="n">
        <x:v>3301.7359</x:v>
      </x:c>
      <x:c r="F25" s="12" t="n">
        <x:v>3307.0902</x:v>
      </x:c>
      <x:c r="G25" s="12" t="n">
        <x:v>3308.9721</x:v>
      </x:c>
      <x:c r="H25" s="12" t="n">
        <x:v>-1.8819</x:v>
      </x:c>
      <x:c r="I25" s="12" t="n">
        <x:v>-0.0569</x:v>
      </x:c>
      <x:c r="J25" s="12" t="n">
        <x:v>-0.0005688882496628478</x:v>
      </x:c>
      <x:c r="K25" s="12" t="n">
        <x:v>81530691</x:v>
      </x:c>
      <x:c r="L25" s="12" t="n">
        <x:v>93213205.56</x:v>
      </x:c>
      <x:c r="M25" s="12" t="str">
        <x:v>TuShare index_daily</x:v>
      </x:c>
    </x:row>
    <x:row r="26" ht="18" customHeight="1">
      <x:c r="A26" s="13" t="n">
        <x:v>42611</x:v>
      </x:c>
      <x:c r="B26" s="12" t="str">
        <x:v>000300.SH</x:v>
      </x:c>
      <x:c r="C26" s="12" t="n">
        <x:v>3306.5749</x:v>
      </x:c>
      <x:c r="D26" s="12" t="n">
        <x:v>3315.0789</x:v>
      </x:c>
      <x:c r="E26" s="12" t="n">
        <x:v>3297.0697</x:v>
      </x:c>
      <x:c r="F26" s="12" t="n">
        <x:v>3307.7812</x:v>
      </x:c>
      <x:c r="G26" s="12" t="n">
        <x:v>3307.0902</x:v>
      </x:c>
      <x:c r="H26" s="12" t="n">
        <x:v>0.691</x:v>
      </x:c>
      <x:c r="I26" s="12" t="n">
        <x:v>0.0209</x:v>
      </x:c>
      <x:c r="J26" s="12" t="n">
        <x:v>0.00020892318557031632</x:v>
      </x:c>
      <x:c r="K26" s="12" t="n">
        <x:v>77036333</x:v>
      </x:c>
      <x:c r="L26" s="12" t="n">
        <x:v>88011642.022</x:v>
      </x:c>
      <x:c r="M26" s="12" t="str">
        <x:v>TuShare index_daily</x:v>
      </x:c>
    </x:row>
    <x:row r="27" ht="18" customHeight="1">
      <x:c r="A27" s="13" t="n">
        <x:v>42612</x:v>
      </x:c>
      <x:c r="B27" s="12" t="str">
        <x:v>000300.SH</x:v>
      </x:c>
      <x:c r="C27" s="12" t="n">
        <x:v>3310.3188</x:v>
      </x:c>
      <x:c r="D27" s="12" t="n">
        <x:v>3325.1218</x:v>
      </x:c>
      <x:c r="E27" s="12" t="n">
        <x:v>3304.5966</x:v>
      </x:c>
      <x:c r="F27" s="12" t="n">
        <x:v>3311.9872</x:v>
      </x:c>
      <x:c r="G27" s="12" t="n">
        <x:v>3307.7812</x:v>
      </x:c>
      <x:c r="H27" s="12" t="n">
        <x:v>4.206</x:v>
      </x:c>
      <x:c r="I27" s="12" t="n">
        <x:v>0.1272</x:v>
      </x:c>
      <x:c r="J27" s="12" t="n">
        <x:v>0.0012707394917260413</x:v>
      </x:c>
      <x:c r="K27" s="12" t="n">
        <x:v>75725987</x:v>
      </x:c>
      <x:c r="L27" s="12" t="n">
        <x:v>89513016.667</x:v>
      </x:c>
      <x:c r="M27" s="12" t="str">
        <x:v>TuShare index_daily</x:v>
      </x:c>
    </x:row>
    <x:row r="28" ht="18" customHeight="1">
      <x:c r="A28" s="13" t="n">
        <x:v>42613</x:v>
      </x:c>
      <x:c r="B28" s="12" t="str">
        <x:v>000300.SH</x:v>
      </x:c>
      <x:c r="C28" s="12" t="n">
        <x:v>3310.5654</x:v>
      </x:c>
      <x:c r="D28" s="12" t="n">
        <x:v>3333.9729</x:v>
      </x:c>
      <x:c r="E28" s="12" t="n">
        <x:v>3304.6552</x:v>
      </x:c>
      <x:c r="F28" s="12" t="n">
        <x:v>3327.7938</x:v>
      </x:c>
      <x:c r="G28" s="12" t="n">
        <x:v>3311.9872</x:v>
      </x:c>
      <x:c r="H28" s="12" t="n">
        <x:v>15.8066</x:v>
      </x:c>
      <x:c r="I28" s="12" t="n">
        <x:v>0.4773</x:v>
      </x:c>
      <x:c r="J28" s="12" t="n">
        <x:v>0.004761190123554675</x:v>
      </x:c>
      <x:c r="K28" s="12" t="n">
        <x:v>79570805</x:v>
      </x:c>
      <x:c r="L28" s="12" t="n">
        <x:v>99215044.445</x:v>
      </x:c>
      <x:c r="M28" s="12" t="str">
        <x:v>TuShare index_daily</x:v>
      </x:c>
    </x:row>
    <x:row r="29" ht="18" customHeight="1">
      <x:c r="A29" s="13" t="n">
        <x:v>42614</x:v>
      </x:c>
      <x:c r="B29" s="12" t="str">
        <x:v>000300.SH</x:v>
      </x:c>
      <x:c r="C29" s="12" t="n">
        <x:v>3326.7389</x:v>
      </x:c>
      <x:c r="D29" s="12" t="n">
        <x:v>3329.3455</x:v>
      </x:c>
      <x:c r="E29" s="12" t="n">
        <x:v>3301.2129</x:v>
      </x:c>
      <x:c r="F29" s="12" t="n">
        <x:v>3301.5767</x:v>
      </x:c>
      <x:c r="G29" s="12" t="n">
        <x:v>3327.7938</x:v>
      </x:c>
      <x:c r="H29" s="12" t="n">
        <x:v>-26.2171</x:v>
      </x:c>
      <x:c r="I29" s="12" t="n">
        <x:v>-0.7878</x:v>
      </x:c>
      <x:c r="J29" s="12" t="n">
        <x:v>-0.007909419657862729</x:v>
      </x:c>
      <x:c r="K29" s="12" t="n">
        <x:v>84947219</x:v>
      </x:c>
      <x:c r="L29" s="12" t="n">
        <x:v>100911462.823</x:v>
      </x:c>
      <x:c r="M29" s="12" t="str">
        <x:v>TuShare index_daily</x:v>
      </x:c>
    </x:row>
    <x:row r="30" ht="18" customHeight="1">
      <x:c r="A30" s="13" t="n">
        <x:v>42615</x:v>
      </x:c>
      <x:c r="B30" s="12" t="str">
        <x:v>000300.SH</x:v>
      </x:c>
      <x:c r="C30" s="12" t="n">
        <x:v>3298.7217</x:v>
      </x:c>
      <x:c r="D30" s="12" t="n">
        <x:v>3320.4252</x:v>
      </x:c>
      <x:c r="E30" s="12" t="n">
        <x:v>3295.7554</x:v>
      </x:c>
      <x:c r="F30" s="12" t="n">
        <x:v>3314.1142</x:v>
      </x:c>
      <x:c r="G30" s="12" t="n">
        <x:v>3301.5767</x:v>
      </x:c>
      <x:c r="H30" s="12" t="n">
        <x:v>12.5375</x:v>
      </x:c>
      <x:c r="I30" s="12" t="n">
        <x:v>0.3797</x:v>
      </x:c>
      <x:c r="J30" s="12" t="n">
        <x:v>0.003790236030935871</x:v>
      </x:c>
      <x:c r="K30" s="12" t="n">
        <x:v>82791803</x:v>
      </x:c>
      <x:c r="L30" s="12" t="n">
        <x:v>99396378.584</x:v>
      </x:c>
      <x:c r="M30" s="12" t="str">
        <x:v>TuShare index_daily</x:v>
      </x:c>
    </x:row>
    <x:row r="31" ht="18" customHeight="1">
      <x:c r="A31" s="13" t="n">
        <x:v>42618</x:v>
      </x:c>
      <x:c r="B31" s="12" t="str">
        <x:v>000300.SH</x:v>
      </x:c>
      <x:c r="C31" s="12" t="n">
        <x:v>3321.0053</x:v>
      </x:c>
      <x:c r="D31" s="12" t="n">
        <x:v>3338.4197</x:v>
      </x:c>
      <x:c r="E31" s="12" t="n">
        <x:v>3314.6293</x:v>
      </x:c>
      <x:c r="F31" s="12" t="n">
        <x:v>3319.6803</x:v>
      </x:c>
      <x:c r="G31" s="12" t="n">
        <x:v>3314.1142</x:v>
      </x:c>
      <x:c r="H31" s="12" t="n">
        <x:v>5.5661</x:v>
      </x:c>
      <x:c r="I31" s="12" t="n">
        <x:v>0.168</x:v>
      </x:c>
      <x:c r="J31" s="12" t="n">
        <x:v>0.0016781048331221168</x:v>
      </x:c>
      <x:c r="K31" s="12" t="n">
        <x:v>78292477</x:v>
      </x:c>
      <x:c r="L31" s="12" t="n">
        <x:v>87531089.645</x:v>
      </x:c>
      <x:c r="M31" s="12" t="str">
        <x:v>TuShare index_daily</x:v>
      </x:c>
    </x:row>
    <x:row r="32" ht="18" customHeight="1">
      <x:c r="A32" s="13" t="n">
        <x:v>42619</x:v>
      </x:c>
      <x:c r="B32" s="12" t="str">
        <x:v>000300.SH</x:v>
      </x:c>
      <x:c r="C32" s="12" t="n">
        <x:v>3322.018</x:v>
      </x:c>
      <x:c r="D32" s="12" t="n">
        <x:v>3347.9511</x:v>
      </x:c>
      <x:c r="E32" s="12" t="n">
        <x:v>3300.1257</x:v>
      </x:c>
      <x:c r="F32" s="12" t="n">
        <x:v>3342.6259</x:v>
      </x:c>
      <x:c r="G32" s="12" t="n">
        <x:v>3319.6803</x:v>
      </x:c>
      <x:c r="H32" s="12" t="n">
        <x:v>22.9456</x:v>
      </x:c>
      <x:c r="I32" s="12" t="n">
        <x:v>0.6912</x:v>
      </x:c>
      <x:c r="J32" s="12" t="n">
        <x:v>0.006888212590956062</x:v>
      </x:c>
      <x:c r="K32" s="12" t="n">
        <x:v>98283998</x:v>
      </x:c>
      <x:c r="L32" s="12" t="n">
        <x:v>118366533.426</x:v>
      </x:c>
      <x:c r="M32" s="12" t="str">
        <x:v>TuShare index_daily</x:v>
      </x:c>
    </x:row>
    <x:row r="33" ht="18" customHeight="1">
      <x:c r="A33" s="13" t="n">
        <x:v>42620</x:v>
      </x:c>
      <x:c r="B33" s="12" t="str">
        <x:v>000300.SH</x:v>
      </x:c>
      <x:c r="C33" s="12" t="n">
        <x:v>3344.0657</x:v>
      </x:c>
      <x:c r="D33" s="12" t="n">
        <x:v>3357.3567</x:v>
      </x:c>
      <x:c r="E33" s="12" t="n">
        <x:v>3337.7508</x:v>
      </x:c>
      <x:c r="F33" s="12" t="n">
        <x:v>3340.8172</x:v>
      </x:c>
      <x:c r="G33" s="12" t="n">
        <x:v>3342.6259</x:v>
      </x:c>
      <x:c r="H33" s="12" t="n">
        <x:v>-1.8087</x:v>
      </x:c>
      <x:c r="I33" s="12" t="n">
        <x:v>-0.0541</x:v>
      </x:c>
      <x:c r="J33" s="12" t="n">
        <x:v>-0.0005412479816442902</x:v>
      </x:c>
      <x:c r="K33" s="12" t="n">
        <x:v>102940106</x:v>
      </x:c>
      <x:c r="L33" s="12" t="n">
        <x:v>115119908.617</x:v>
      </x:c>
      <x:c r="M33" s="12" t="str">
        <x:v>TuShare index_daily</x:v>
      </x:c>
    </x:row>
    <x:row r="34" ht="18" customHeight="1">
      <x:c r="A34" s="13" t="n">
        <x:v>42621</x:v>
      </x:c>
      <x:c r="B34" s="12" t="str">
        <x:v>000300.SH</x:v>
      </x:c>
      <x:c r="C34" s="12" t="n">
        <x:v>3338.0082</x:v>
      </x:c>
      <x:c r="D34" s="12" t="n">
        <x:v>3343.395</x:v>
      </x:c>
      <x:c r="E34" s="12" t="n">
        <x:v>3328.2264</x:v>
      </x:c>
      <x:c r="F34" s="12" t="n">
        <x:v>3339.564</x:v>
      </x:c>
      <x:c r="G34" s="12" t="n">
        <x:v>3340.8172</x:v>
      </x:c>
      <x:c r="H34" s="12" t="n">
        <x:v>-1.2532</x:v>
      </x:c>
      <x:c r="I34" s="12" t="n">
        <x:v>-0.0375</x:v>
      </x:c>
      <x:c r="J34" s="12" t="n">
        <x:v>-0.0003751881748008009</x:v>
      </x:c>
      <x:c r="K34" s="12" t="n">
        <x:v>71916158</x:v>
      </x:c>
      <x:c r="L34" s="12" t="n">
        <x:v>83742346.85</x:v>
      </x:c>
      <x:c r="M34" s="12" t="str">
        <x:v>TuShare index_daily</x:v>
      </x:c>
    </x:row>
    <x:row r="35" ht="18" customHeight="1">
      <x:c r="A35" s="13" t="n">
        <x:v>42622</x:v>
      </x:c>
      <x:c r="B35" s="12" t="str">
        <x:v>000300.SH</x:v>
      </x:c>
      <x:c r="C35" s="12" t="n">
        <x:v>3339.3733</x:v>
      </x:c>
      <x:c r="D35" s="12" t="n">
        <x:v>3344.951</x:v>
      </x:c>
      <x:c r="E35" s="12" t="n">
        <x:v>3318.044</x:v>
      </x:c>
      <x:c r="F35" s="12" t="n">
        <x:v>3318.044</x:v>
      </x:c>
      <x:c r="G35" s="12" t="n">
        <x:v>3339.564</x:v>
      </x:c>
      <x:c r="H35" s="12" t="n">
        <x:v>-21.52</x:v>
      </x:c>
      <x:c r="I35" s="12" t="n">
        <x:v>-0.6444</x:v>
      </x:c>
      <x:c r="J35" s="12" t="n">
        <x:v>-0.006464806864577446</x:v>
      </x:c>
      <x:c r="K35" s="12" t="n">
        <x:v>82657036</x:v>
      </x:c>
      <x:c r="L35" s="12" t="n">
        <x:v>95471188.732</x:v>
      </x:c>
      <x:c r="M35" s="12" t="str">
        <x:v>TuShare index_daily</x:v>
      </x:c>
    </x:row>
    <x:row r="36" ht="18" customHeight="1">
      <x:c r="A36" s="13" t="n">
        <x:v>42625</x:v>
      </x:c>
      <x:c r="B36" s="12" t="str">
        <x:v>000300.SH</x:v>
      </x:c>
      <x:c r="C36" s="12" t="n">
        <x:v>3271.8702</x:v>
      </x:c>
      <x:c r="D36" s="12" t="n">
        <x:v>3276.7163</x:v>
      </x:c>
      <x:c r="E36" s="12" t="n">
        <x:v>3234.573</x:v>
      </x:c>
      <x:c r="F36" s="12" t="n">
        <x:v>3262.6043</x:v>
      </x:c>
      <x:c r="G36" s="12" t="n">
        <x:v>3318.044</x:v>
      </x:c>
      <x:c r="H36" s="12" t="n">
        <x:v>-55.4397</x:v>
      </x:c>
      <x:c r="I36" s="12" t="n">
        <x:v>-1.6709</x:v>
      </x:c>
      <x:c r="J36" s="12" t="n">
        <x:v>-0.016849711194467095</x:v>
      </x:c>
      <x:c r="K36" s="12" t="n">
        <x:v>122917682</x:v>
      </x:c>
      <x:c r="L36" s="12" t="n">
        <x:v>134456630.927</x:v>
      </x:c>
      <x:c r="M36" s="12" t="str">
        <x:v>TuShare index_daily</x:v>
      </x:c>
    </x:row>
    <x:row r="37" ht="18" customHeight="1">
      <x:c r="A37" s="13" t="n">
        <x:v>42626</x:v>
      </x:c>
      <x:c r="B37" s="12" t="str">
        <x:v>000300.SH</x:v>
      </x:c>
      <x:c r="C37" s="12" t="n">
        <x:v>3265.3373</x:v>
      </x:c>
      <x:c r="D37" s="12" t="n">
        <x:v>3269.2224</x:v>
      </x:c>
      <x:c r="E37" s="12" t="n">
        <x:v>3246.3857</x:v>
      </x:c>
      <x:c r="F37" s="12" t="n">
        <x:v>3260.333</x:v>
      </x:c>
      <x:c r="G37" s="12" t="n">
        <x:v>3262.6043</x:v>
      </x:c>
      <x:c r="H37" s="12" t="n">
        <x:v>-2.2713</x:v>
      </x:c>
      <x:c r="I37" s="12" t="n">
        <x:v>-0.0696</x:v>
      </x:c>
      <x:c r="J37" s="12" t="n">
        <x:v>-0.0006964040852559073</x:v>
      </x:c>
      <x:c r="K37" s="12" t="n">
        <x:v>67180288</x:v>
      </x:c>
      <x:c r="L37" s="12" t="n">
        <x:v>76862644.231</x:v>
      </x:c>
      <x:c r="M37" s="12" t="str">
        <x:v>TuShare index_daily</x:v>
      </x:c>
    </x:row>
    <x:row r="38" ht="18" customHeight="1">
      <x:c r="A38" s="13" t="n">
        <x:v>42627</x:v>
      </x:c>
      <x:c r="B38" s="12" t="str">
        <x:v>000300.SH</x:v>
      </x:c>
      <x:c r="C38" s="12" t="n">
        <x:v>3245.7371</x:v>
      </x:c>
      <x:c r="D38" s="12" t="n">
        <x:v>3254.995</x:v>
      </x:c>
      <x:c r="E38" s="12" t="n">
        <x:v>3231.3355</x:v>
      </x:c>
      <x:c r="F38" s="12" t="n">
        <x:v>3238.7299</x:v>
      </x:c>
      <x:c r="G38" s="12" t="n">
        <x:v>3260.333</x:v>
      </x:c>
      <x:c r="H38" s="12" t="n">
        <x:v>-21.6031</x:v>
      </x:c>
      <x:c r="I38" s="12" t="n">
        <x:v>-0.6626</x:v>
      </x:c>
      <x:c r="J38" s="12" t="n">
        <x:v>-0.006648090624313015</x:v>
      </x:c>
      <x:c r="K38" s="12" t="n">
        <x:v>70432697</x:v>
      </x:c>
      <x:c r="L38" s="12" t="n">
        <x:v>79780746.436</x:v>
      </x:c>
      <x:c r="M38" s="12" t="str">
        <x:v>TuShare index_daily</x:v>
      </x:c>
    </x:row>
    <x:row r="39" ht="18" customHeight="1">
      <x:c r="A39" s="13" t="n">
        <x:v>42632</x:v>
      </x:c>
      <x:c r="B39" s="12" t="str">
        <x:v>000300.SH</x:v>
      </x:c>
      <x:c r="C39" s="12" t="n">
        <x:v>3242.7429</x:v>
      </x:c>
      <x:c r="D39" s="12" t="n">
        <x:v>3264.8995</x:v>
      </x:c>
      <x:c r="E39" s="12" t="n">
        <x:v>3242.7429</x:v>
      </x:c>
      <x:c r="F39" s="12" t="n">
        <x:v>3263.1242</x:v>
      </x:c>
      <x:c r="G39" s="12" t="n">
        <x:v>3238.7299</x:v>
      </x:c>
      <x:c r="H39" s="12" t="n">
        <x:v>24.3943</x:v>
      </x:c>
      <x:c r="I39" s="12" t="n">
        <x:v>0.7532</x:v>
      </x:c>
      <x:c r="J39" s="12" t="n">
        <x:v>0.007503833241994968</x:v>
      </x:c>
      <x:c r="K39" s="12" t="n">
        <x:v>58831082</x:v>
      </x:c>
      <x:c r="L39" s="12" t="n">
        <x:v>67678031.642</x:v>
      </x:c>
      <x:c r="M39" s="12" t="str">
        <x:v>TuShare index_daily</x:v>
      </x:c>
    </x:row>
    <x:row r="40" ht="18" customHeight="1">
      <x:c r="A40" s="13" t="n">
        <x:v>42633</x:v>
      </x:c>
      <x:c r="B40" s="12" t="str">
        <x:v>000300.SH</x:v>
      </x:c>
      <x:c r="C40" s="12" t="n">
        <x:v>3264.6649</x:v>
      </x:c>
      <x:c r="D40" s="12" t="n">
        <x:v>3265.0353</x:v>
      </x:c>
      <x:c r="E40" s="12" t="n">
        <x:v>3252.3885</x:v>
      </x:c>
      <x:c r="F40" s="12" t="n">
        <x:v>3257.4034</x:v>
      </x:c>
      <x:c r="G40" s="12" t="n">
        <x:v>3263.1242</x:v>
      </x:c>
      <x:c r="H40" s="12" t="n">
        <x:v>-5.7208</x:v>
      </x:c>
      <x:c r="I40" s="12" t="n">
        <x:v>-0.1753</x:v>
      </x:c>
      <x:c r="J40" s="12" t="n">
        <x:v>-0.0017547050848636815</x:v>
      </x:c>
      <x:c r="K40" s="12" t="n">
        <x:v>52784206</x:v>
      </x:c>
      <x:c r="L40" s="12" t="n">
        <x:v>61626150.818</x:v>
      </x:c>
      <x:c r="M40" s="12" t="str">
        <x:v>TuShare index_daily</x:v>
      </x:c>
    </x:row>
    <x:row r="41" ht="18" customHeight="1">
      <x:c r="A41" s="13" t="n">
        <x:v>42634</x:v>
      </x:c>
      <x:c r="B41" s="12" t="str">
        <x:v>000300.SH</x:v>
      </x:c>
      <x:c r="C41" s="12" t="n">
        <x:v>3257.7097</x:v>
      </x:c>
      <x:c r="D41" s="12" t="n">
        <x:v>3270.9022</x:v>
      </x:c>
      <x:c r="E41" s="12" t="n">
        <x:v>3254.3214</x:v>
      </x:c>
      <x:c r="F41" s="12" t="n">
        <x:v>3266.6363</x:v>
      </x:c>
      <x:c r="G41" s="12" t="n">
        <x:v>3257.4034</x:v>
      </x:c>
      <x:c r="H41" s="12" t="n">
        <x:v>9.2329</x:v>
      </x:c>
      <x:c r="I41" s="12" t="n">
        <x:v>0.2834</x:v>
      </x:c>
      <x:c r="J41" s="12" t="n">
        <x:v>0.0028304261128174898</x:v>
      </x:c>
      <x:c r="K41" s="12" t="n">
        <x:v>59142979</x:v>
      </x:c>
      <x:c r="L41" s="12" t="n">
        <x:v>68957744.044</x:v>
      </x:c>
      <x:c r="M41" s="12" t="str">
        <x:v>TuShare index_daily</x:v>
      </x:c>
    </x:row>
    <x:row r="42" ht="18" customHeight="1">
      <x:c r="A42" s="13" t="n">
        <x:v>42635</x:v>
      </x:c>
      <x:c r="B42" s="12" t="str">
        <x:v>000300.SH</x:v>
      </x:c>
      <x:c r="C42" s="12" t="n">
        <x:v>3281.4718</x:v>
      </x:c>
      <x:c r="D42" s="12" t="n">
        <x:v>3303.1993</x:v>
      </x:c>
      <x:c r="E42" s="12" t="n">
        <x:v>3277.9791</x:v>
      </x:c>
      <x:c r="F42" s="12" t="n">
        <x:v>3291.1211</x:v>
      </x:c>
      <x:c r="G42" s="12" t="n">
        <x:v>3266.6363</x:v>
      </x:c>
      <x:c r="H42" s="12" t="n">
        <x:v>24.4848</x:v>
      </x:c>
      <x:c r="I42" s="12" t="n">
        <x:v>0.7495</x:v>
      </x:c>
      <x:c r="J42" s="12" t="n">
        <x:v>0.007467465563396537</x:v>
      </x:c>
      <x:c r="K42" s="12" t="n">
        <x:v>75753542</x:v>
      </x:c>
      <x:c r="L42" s="12" t="n">
        <x:v>89991761.655</x:v>
      </x:c>
      <x:c r="M42" s="12" t="str">
        <x:v>TuShare index_daily</x:v>
      </x:c>
    </x:row>
    <x:row r="43" ht="18" customHeight="1">
      <x:c r="A43" s="13" t="n">
        <x:v>42636</x:v>
      </x:c>
      <x:c r="B43" s="12" t="str">
        <x:v>000300.SH</x:v>
      </x:c>
      <x:c r="C43" s="12" t="n">
        <x:v>3292.2788</x:v>
      </x:c>
      <x:c r="D43" s="12" t="n">
        <x:v>3293.9162</x:v>
      </x:c>
      <x:c r="E43" s="12" t="n">
        <x:v>3275.025</x:v>
      </x:c>
      <x:c r="F43" s="12" t="n">
        <x:v>3275.6665</x:v>
      </x:c>
      <x:c r="G43" s="12" t="n">
        <x:v>3291.1211</x:v>
      </x:c>
      <x:c r="H43" s="12" t="n">
        <x:v>-15.4546</x:v>
      </x:c>
      <x:c r="I43" s="12" t="n">
        <x:v>-0.4696</x:v>
      </x:c>
      <x:c r="J43" s="12" t="n">
        <x:v>-0.004706906778287755</x:v>
      </x:c>
      <x:c r="K43" s="12" t="n">
        <x:v>57993986</x:v>
      </x:c>
      <x:c r="L43" s="12" t="n">
        <x:v>68046257.25</x:v>
      </x:c>
      <x:c r="M43" s="12" t="str">
        <x:v>TuShare index_daily</x:v>
      </x:c>
    </x:row>
    <x:row r="44" ht="18" customHeight="1">
      <x:c r="A44" s="13" t="n">
        <x:v>42639</x:v>
      </x:c>
      <x:c r="B44" s="12" t="str">
        <x:v>000300.SH</x:v>
      </x:c>
      <x:c r="C44" s="12" t="n">
        <x:v>3267.6905</x:v>
      </x:c>
      <x:c r="D44" s="12" t="n">
        <x:v>3267.6905</x:v>
      </x:c>
      <x:c r="E44" s="12" t="n">
        <x:v>3220.2838</x:v>
      </x:c>
      <x:c r="F44" s="12" t="n">
        <x:v>3220.2838</x:v>
      </x:c>
      <x:c r="G44" s="12" t="n">
        <x:v>3275.6665</x:v>
      </x:c>
      <x:c r="H44" s="12" t="n">
        <x:v>-55.3827</x:v>
      </x:c>
      <x:c r="I44" s="12" t="n">
        <x:v>-1.6907</x:v>
      </x:c>
      <x:c r="J44" s="12" t="n">
        <x:v>-0.017051867513477082</x:v>
      </x:c>
      <x:c r="K44" s="12" t="n">
        <x:v>70452186</x:v>
      </x:c>
      <x:c r="L44" s="12" t="n">
        <x:v>78700835.132</x:v>
      </x:c>
      <x:c r="M44" s="12" t="str">
        <x:v>TuShare index_daily</x:v>
      </x:c>
    </x:row>
    <x:row r="45" ht="18" customHeight="1">
      <x:c r="A45" s="13" t="n">
        <x:v>42640</x:v>
      </x:c>
      <x:c r="B45" s="12" t="str">
        <x:v>000300.SH</x:v>
      </x:c>
      <x:c r="C45" s="12" t="n">
        <x:v>3214.8704</x:v>
      </x:c>
      <x:c r="D45" s="12" t="n">
        <x:v>3240.7756</x:v>
      </x:c>
      <x:c r="E45" s="12" t="n">
        <x:v>3214.4414</x:v>
      </x:c>
      <x:c r="F45" s="12" t="n">
        <x:v>3240.7546</x:v>
      </x:c>
      <x:c r="G45" s="12" t="n">
        <x:v>3220.2838</x:v>
      </x:c>
      <x:c r="H45" s="12" t="n">
        <x:v>20.4708</x:v>
      </x:c>
      <x:c r="I45" s="12" t="n">
        <x:v>0.6357</x:v>
      </x:c>
      <x:c r="J45" s="12" t="n">
        <x:v>0.00633671160304996</x:v>
      </x:c>
      <x:c r="K45" s="12" t="n">
        <x:v>58460550</x:v>
      </x:c>
      <x:c r="L45" s="12" t="n">
        <x:v>66651130.361</x:v>
      </x:c>
      <x:c r="M45" s="12" t="str">
        <x:v>TuShare index_daily</x:v>
      </x:c>
    </x:row>
    <x:row r="46" ht="18" customHeight="1">
      <x:c r="A46" s="13" t="n">
        <x:v>42641</x:v>
      </x:c>
      <x:c r="B46" s="12" t="str">
        <x:v>000300.SH</x:v>
      </x:c>
      <x:c r="C46" s="12" t="n">
        <x:v>3243.647</x:v>
      </x:c>
      <x:c r="D46" s="12" t="n">
        <x:v>3243.647</x:v>
      </x:c>
      <x:c r="E46" s="12" t="n">
        <x:v>3227.996</x:v>
      </x:c>
      <x:c r="F46" s="12" t="n">
        <x:v>3230.8904</x:v>
      </x:c>
      <x:c r="G46" s="12" t="n">
        <x:v>3240.7546</x:v>
      </x:c>
      <x:c r="H46" s="12" t="n">
        <x:v>-9.8642</x:v>
      </x:c>
      <x:c r="I46" s="12" t="n">
        <x:v>-0.3044</x:v>
      </x:c>
      <x:c r="J46" s="12" t="n">
        <x:v>-0.0030484390410734077</x:v>
      </x:c>
      <x:c r="K46" s="12" t="n">
        <x:v>44727498</x:v>
      </x:c>
      <x:c r="L46" s="12" t="n">
        <x:v>51996404.752</x:v>
      </x:c>
      <x:c r="M46" s="12" t="str">
        <x:v>TuShare index_daily</x:v>
      </x:c>
    </x:row>
    <x:row r="47" ht="18" customHeight="1">
      <x:c r="A47" s="13" t="n">
        <x:v>42642</x:v>
      </x:c>
      <x:c r="B47" s="12" t="str">
        <x:v>000300.SH</x:v>
      </x:c>
      <x:c r="C47" s="12" t="n">
        <x:v>3234.857</x:v>
      </x:c>
      <x:c r="D47" s="12" t="n">
        <x:v>3257.7668</x:v>
      </x:c>
      <x:c r="E47" s="12" t="n">
        <x:v>3234.8032</x:v>
      </x:c>
      <x:c r="F47" s="12" t="n">
        <x:v>3244.3874</x:v>
      </x:c>
      <x:c r="G47" s="12" t="n">
        <x:v>3230.8904</x:v>
      </x:c>
      <x:c r="H47" s="12" t="n">
        <x:v>13.497</x:v>
      </x:c>
      <x:c r="I47" s="12" t="n">
        <x:v>0.4177</x:v>
      </x:c>
      <x:c r="J47" s="12" t="n">
        <x:v>0.004168784711216974</x:v>
      </x:c>
      <x:c r="K47" s="12" t="n">
        <x:v>55452556</x:v>
      </x:c>
      <x:c r="L47" s="12" t="n">
        <x:v>62220302.312</x:v>
      </x:c>
      <x:c r="M47" s="12" t="str">
        <x:v>TuShare index_daily</x:v>
      </x:c>
    </x:row>
    <x:row r="48" ht="18" customHeight="1">
      <x:c r="A48" s="13" t="n">
        <x:v>42643</x:v>
      </x:c>
      <x:c r="B48" s="12" t="str">
        <x:v>000300.SH</x:v>
      </x:c>
      <x:c r="C48" s="12" t="n">
        <x:v>3240.1775</x:v>
      </x:c>
      <x:c r="D48" s="12" t="n">
        <x:v>3260.9405</x:v>
      </x:c>
      <x:c r="E48" s="12" t="n">
        <x:v>3239.0364</x:v>
      </x:c>
      <x:c r="F48" s="12" t="n">
        <x:v>3253.2848</x:v>
      </x:c>
      <x:c r="G48" s="12" t="n">
        <x:v>3244.3874</x:v>
      </x:c>
      <x:c r="H48" s="12" t="n">
        <x:v>8.8974</x:v>
      </x:c>
      <x:c r="I48" s="12" t="n">
        <x:v>0.2742</x:v>
      </x:c>
      <x:c r="J48" s="12" t="n">
        <x:v>0.00273864402116231</x:v>
      </x:c>
      <x:c r="K48" s="12" t="n">
        <x:v>44978022</x:v>
      </x:c>
      <x:c r="L48" s="12" t="n">
        <x:v>52655734.553</x:v>
      </x:c>
      <x:c r="M48" s="12" t="str">
        <x:v>TuShare index_daily</x:v>
      </x:c>
    </x:row>
    <x:row r="49" ht="18" customHeight="1">
      <x:c r="A49" s="13" t="n">
        <x:v>42653</x:v>
      </x:c>
      <x:c r="B49" s="12" t="str">
        <x:v>000300.SH</x:v>
      </x:c>
      <x:c r="C49" s="12" t="n">
        <x:v>3265.3644</x:v>
      </x:c>
      <x:c r="D49" s="12" t="n">
        <x:v>3294.6409</x:v>
      </x:c>
      <x:c r="E49" s="12" t="n">
        <x:v>3258.9584</x:v>
      </x:c>
      <x:c r="F49" s="12" t="n">
        <x:v>3293.8689</x:v>
      </x:c>
      <x:c r="G49" s="12" t="n">
        <x:v>3253.2848</x:v>
      </x:c>
      <x:c r="H49" s="12" t="n">
        <x:v>40.5841</x:v>
      </x:c>
      <x:c r="I49" s="12" t="n">
        <x:v>1.2475</x:v>
      </x:c>
      <x:c r="J49" s="12" t="n">
        <x:v>0.012397637714891285</x:v>
      </x:c>
      <x:c r="K49" s="12" t="n">
        <x:v>80519260</x:v>
      </x:c>
      <x:c r="L49" s="12" t="n">
        <x:v>89607989.896</x:v>
      </x:c>
      <x:c r="M49" s="12" t="str">
        <x:v>TuShare index_daily</x:v>
      </x:c>
    </x:row>
    <x:row r="50" ht="18" customHeight="1">
      <x:c r="A50" s="13" t="n">
        <x:v>42654</x:v>
      </x:c>
      <x:c r="B50" s="12" t="str">
        <x:v>000300.SH</x:v>
      </x:c>
      <x:c r="C50" s="12" t="n">
        <x:v>3296.8672</x:v>
      </x:c>
      <x:c r="D50" s="12" t="n">
        <x:v>3308.0042</x:v>
      </x:c>
      <x:c r="E50" s="12" t="n">
        <x:v>3292.8775</x:v>
      </x:c>
      <x:c r="F50" s="12" t="n">
        <x:v>3306.5573</x:v>
      </x:c>
      <x:c r="G50" s="12" t="n">
        <x:v>3293.8689</x:v>
      </x:c>
      <x:c r="H50" s="12" t="n">
        <x:v>12.6884</x:v>
      </x:c>
      <x:c r="I50" s="12" t="n">
        <x:v>0.3852</x:v>
      </x:c>
      <x:c r="J50" s="12" t="n">
        <x:v>0.003844726157200156</x:v>
      </x:c>
      <x:c r="K50" s="12" t="n">
        <x:v>87713163</x:v>
      </x:c>
      <x:c r="L50" s="12" t="n">
        <x:v>88213421.183</x:v>
      </x:c>
      <x:c r="M50" s="12" t="str">
        <x:v>TuShare index_daily</x:v>
      </x:c>
    </x:row>
    <x:row r="51" ht="18" customHeight="1">
      <x:c r="A51" s="13" t="n">
        <x:v>42655</x:v>
      </x:c>
      <x:c r="B51" s="12" t="str">
        <x:v>000300.SH</x:v>
      </x:c>
      <x:c r="C51" s="12" t="n">
        <x:v>3299.1388</x:v>
      </x:c>
      <x:c r="D51" s="12" t="n">
        <x:v>3302.561</x:v>
      </x:c>
      <x:c r="E51" s="12" t="n">
        <x:v>3289.7532</x:v>
      </x:c>
      <x:c r="F51" s="12" t="n">
        <x:v>3300.0099</x:v>
      </x:c>
      <x:c r="G51" s="12" t="n">
        <x:v>3306.5573</x:v>
      </x:c>
      <x:c r="H51" s="12" t="n">
        <x:v>-6.5474</x:v>
      </x:c>
      <x:c r="I51" s="12" t="n">
        <x:v>-0.198</x:v>
      </x:c>
      <x:c r="J51" s="12" t="n">
        <x:v>-0.0019820890169864208</x:v>
      </x:c>
      <x:c r="K51" s="12" t="n">
        <x:v>68669781</x:v>
      </x:c>
      <x:c r="L51" s="12" t="n">
        <x:v>72386912.616</x:v>
      </x:c>
      <x:c r="M51" s="12" t="str">
        <x:v>TuShare index_daily</x:v>
      </x:c>
    </x:row>
    <x:row r="52" ht="18" customHeight="1">
      <x:c r="A52" s="13" t="n">
        <x:v>42656</x:v>
      </x:c>
      <x:c r="B52" s="12" t="str">
        <x:v>000300.SH</x:v>
      </x:c>
      <x:c r="C52" s="12" t="n">
        <x:v>3299.1557</x:v>
      </x:c>
      <x:c r="D52" s="12" t="n">
        <x:v>3307.4091</x:v>
      </x:c>
      <x:c r="E52" s="12" t="n">
        <x:v>3292.3974</x:v>
      </x:c>
      <x:c r="F52" s="12" t="n">
        <x:v>3302.6455</x:v>
      </x:c>
      <x:c r="G52" s="12" t="n">
        <x:v>3300.0099</x:v>
      </x:c>
      <x:c r="H52" s="12" t="n">
        <x:v>2.6356</x:v>
      </x:c>
      <x:c r="I52" s="12" t="n">
        <x:v>0.0799</x:v>
      </x:c>
      <x:c r="J52" s="12" t="n">
        <x:v>0.0007983455080768248</x:v>
      </x:c>
      <x:c r="K52" s="12" t="n">
        <x:v>81224198</x:v>
      </x:c>
      <x:c r="L52" s="12" t="n">
        <x:v>79923748.596</x:v>
      </x:c>
      <x:c r="M52" s="12" t="str">
        <x:v>TuShare index_daily</x:v>
      </x:c>
    </x:row>
    <x:row r="53" ht="18" customHeight="1">
      <x:c r="A53" s="13" t="n">
        <x:v>42657</x:v>
      </x:c>
      <x:c r="B53" s="12" t="str">
        <x:v>000300.SH</x:v>
      </x:c>
      <x:c r="C53" s="12" t="n">
        <x:v>3298.734</x:v>
      </x:c>
      <x:c r="D53" s="12" t="n">
        <x:v>3306.6859</x:v>
      </x:c>
      <x:c r="E53" s="12" t="n">
        <x:v>3285.729</x:v>
      </x:c>
      <x:c r="F53" s="12" t="n">
        <x:v>3305.8481</x:v>
      </x:c>
      <x:c r="G53" s="12" t="n">
        <x:v>3302.6455</x:v>
      </x:c>
      <x:c r="H53" s="12" t="n">
        <x:v>3.2026</x:v>
      </x:c>
      <x:c r="I53" s="12" t="n">
        <x:v>0.097</x:v>
      </x:c>
      <x:c r="J53" s="12" t="n">
        <x:v>0.0009692376037757813</x:v>
      </x:c>
      <x:c r="K53" s="12" t="n">
        <x:v>82316271</x:v>
      </x:c>
      <x:c r="L53" s="12" t="n">
        <x:v>81485597.806</x:v>
      </x:c>
      <x:c r="M53" s="12" t="str">
        <x:v>TuShare index_daily</x:v>
      </x:c>
    </x:row>
    <x:row r="54" ht="18" customHeight="1">
      <x:c r="A54" s="13" t="n">
        <x:v>42660</x:v>
      </x:c>
      <x:c r="B54" s="12" t="str">
        <x:v>000300.SH</x:v>
      </x:c>
      <x:c r="C54" s="12" t="n">
        <x:v>3305.9635</x:v>
      </x:c>
      <x:c r="D54" s="12" t="n">
        <x:v>3309.0097</x:v>
      </x:c>
      <x:c r="E54" s="12" t="n">
        <x:v>3271.5413</x:v>
      </x:c>
      <x:c r="F54" s="12" t="n">
        <x:v>3277.8787</x:v>
      </x:c>
      <x:c r="G54" s="12" t="n">
        <x:v>3305.8481</x:v>
      </x:c>
      <x:c r="H54" s="12" t="n">
        <x:v>-27.9694</x:v>
      </x:c>
      <x:c r="I54" s="12" t="n">
        <x:v>-0.8461</x:v>
      </x:c>
      <x:c r="J54" s="12" t="n">
        <x:v>-0.008496576213721017</x:v>
      </x:c>
      <x:c r="K54" s="12" t="n">
        <x:v>86113509</x:v>
      </x:c>
      <x:c r="L54" s="12" t="n">
        <x:v>88199418.936</x:v>
      </x:c>
      <x:c r="M54" s="12" t="str">
        <x:v>TuShare index_daily</x:v>
      </x:c>
    </x:row>
    <x:row r="55" ht="18" customHeight="1">
      <x:c r="A55" s="13" t="n">
        <x:v>42661</x:v>
      </x:c>
      <x:c r="B55" s="12" t="str">
        <x:v>000300.SH</x:v>
      </x:c>
      <x:c r="C55" s="12" t="n">
        <x:v>3272.6815</x:v>
      </x:c>
      <x:c r="D55" s="12" t="n">
        <x:v>3321.3324</x:v>
      </x:c>
      <x:c r="E55" s="12" t="n">
        <x:v>3272.6815</x:v>
      </x:c>
      <x:c r="F55" s="12" t="n">
        <x:v>3321.3324</x:v>
      </x:c>
      <x:c r="G55" s="12" t="n">
        <x:v>3277.8787</x:v>
      </x:c>
      <x:c r="H55" s="12" t="n">
        <x:v>43.4537</x:v>
      </x:c>
      <x:c r="I55" s="12" t="n">
        <x:v>1.3257</x:v>
      </x:c>
      <x:c r="J55" s="12" t="n">
        <x:v>0.013169552354076618</x:v>
      </x:c>
      <x:c r="K55" s="12" t="n">
        <x:v>102860714</x:v>
      </x:c>
      <x:c r="L55" s="12" t="n">
        <x:v>104625044.142</x:v>
      </x:c>
      <x:c r="M55" s="12" t="str">
        <x:v>TuShare index_daily</x:v>
      </x:c>
    </x:row>
    <x:row r="56" ht="18" customHeight="1">
      <x:c r="A56" s="13" t="n">
        <x:v>42662</x:v>
      </x:c>
      <x:c r="B56" s="12" t="str">
        <x:v>000300.SH</x:v>
      </x:c>
      <x:c r="C56" s="12" t="n">
        <x:v>3323.3038</x:v>
      </x:c>
      <x:c r="D56" s="12" t="n">
        <x:v>3332.5201</x:v>
      </x:c>
      <x:c r="E56" s="12" t="n">
        <x:v>3309.8313</x:v>
      </x:c>
      <x:c r="F56" s="12" t="n">
        <x:v>3316.2407</x:v>
      </x:c>
      <x:c r="G56" s="12" t="n">
        <x:v>3321.3324</x:v>
      </x:c>
      <x:c r="H56" s="12" t="n">
        <x:v>-5.0917</x:v>
      </x:c>
      <x:c r="I56" s="12" t="n">
        <x:v>-0.1533</x:v>
      </x:c>
      <x:c r="J56" s="12" t="n">
        <x:v>-0.0015342056266713757</x:v>
      </x:c>
      <x:c r="K56" s="12" t="n">
        <x:v>101167725</x:v>
      </x:c>
      <x:c r="L56" s="12" t="n">
        <x:v>96354442.199</x:v>
      </x:c>
      <x:c r="M56" s="12" t="str">
        <x:v>TuShare index_daily</x:v>
      </x:c>
    </x:row>
    <x:row r="57" ht="18" customHeight="1">
      <x:c r="A57" s="13" t="n">
        <x:v>42663</x:v>
      </x:c>
      <x:c r="B57" s="12" t="str">
        <x:v>000300.SH</x:v>
      </x:c>
      <x:c r="C57" s="12" t="n">
        <x:v>3317.1792</x:v>
      </x:c>
      <x:c r="D57" s="12" t="n">
        <x:v>3324.9031</x:v>
      </x:c>
      <x:c r="E57" s="12" t="n">
        <x:v>3312.1741</x:v>
      </x:c>
      <x:c r="F57" s="12" t="n">
        <x:v>3318.6044</x:v>
      </x:c>
      <x:c r="G57" s="12" t="n">
        <x:v>3316.2407</x:v>
      </x:c>
      <x:c r="H57" s="12" t="n">
        <x:v>2.3637</x:v>
      </x:c>
      <x:c r="I57" s="12" t="n">
        <x:v>0.0713</x:v>
      </x:c>
      <x:c r="J57" s="12" t="n">
        <x:v>0.0007125110125025173</x:v>
      </x:c>
      <x:c r="K57" s="12" t="n">
        <x:v>79238871</x:v>
      </x:c>
      <x:c r="L57" s="12" t="n">
        <x:v>82481095.277</x:v>
      </x:c>
      <x:c r="M57" s="12" t="str">
        <x:v>TuShare index_daily</x:v>
      </x:c>
    </x:row>
    <x:row r="58" ht="18" customHeight="1">
      <x:c r="A58" s="13" t="n">
        <x:v>42664</x:v>
      </x:c>
      <x:c r="B58" s="12" t="str">
        <x:v>000300.SH</x:v>
      </x:c>
      <x:c r="C58" s="12" t="n">
        <x:v>3315.7156</x:v>
      </x:c>
      <x:c r="D58" s="12" t="n">
        <x:v>3341.5603</x:v>
      </x:c>
      <x:c r="E58" s="12" t="n">
        <x:v>3309.1787</x:v>
      </x:c>
      <x:c r="F58" s="12" t="n">
        <x:v>3327.74</x:v>
      </x:c>
      <x:c r="G58" s="12" t="n">
        <x:v>3318.6044</x:v>
      </x:c>
      <x:c r="H58" s="12" t="n">
        <x:v>9.1356</x:v>
      </x:c>
      <x:c r="I58" s="12" t="n">
        <x:v>0.2753</x:v>
      </x:c>
      <x:c r="J58" s="12" t="n">
        <x:v>0.0027490618010714697</x:v>
      </x:c>
      <x:c r="K58" s="12" t="n">
        <x:v>109785176</x:v>
      </x:c>
      <x:c r="L58" s="12" t="n">
        <x:v>107114926.126</x:v>
      </x:c>
      <x:c r="M58" s="12" t="str">
        <x:v>TuShare index_daily</x:v>
      </x:c>
    </x:row>
    <x:row r="59" ht="18" customHeight="1">
      <x:c r="A59" s="13" t="n">
        <x:v>42667</x:v>
      </x:c>
      <x:c r="B59" s="12" t="str">
        <x:v>000300.SH</x:v>
      </x:c>
      <x:c r="C59" s="12" t="n">
        <x:v>3332.5125</x:v>
      </x:c>
      <x:c r="D59" s="12" t="n">
        <x:v>3382.8259</x:v>
      </x:c>
      <x:c r="E59" s="12" t="n">
        <x:v>3330.9674</x:v>
      </x:c>
      <x:c r="F59" s="12" t="n">
        <x:v>3367.5778</x:v>
      </x:c>
      <x:c r="G59" s="12" t="n">
        <x:v>3327.74</x:v>
      </x:c>
      <x:c r="H59" s="12" t="n">
        <x:v>39.8378</x:v>
      </x:c>
      <x:c r="I59" s="12" t="n">
        <x:v>1.1971</x:v>
      </x:c>
      <x:c r="J59" s="12" t="n">
        <x:v>0.01190033732074127</x:v>
      </x:c>
      <x:c r="K59" s="12" t="n">
        <x:v>153014345</x:v>
      </x:c>
      <x:c r="L59" s="12" t="n">
        <x:v>150063007.899</x:v>
      </x:c>
      <x:c r="M59" s="12" t="str">
        <x:v>TuShare index_daily</x:v>
      </x:c>
    </x:row>
    <x:row r="60" ht="18" customHeight="1">
      <x:c r="A60" s="13" t="n">
        <x:v>42668</x:v>
      </x:c>
      <x:c r="B60" s="12" t="str">
        <x:v>000300.SH</x:v>
      </x:c>
      <x:c r="C60" s="12" t="n">
        <x:v>3367.4753</x:v>
      </x:c>
      <x:c r="D60" s="12" t="n">
        <x:v>3373.9139</x:v>
      </x:c>
      <x:c r="E60" s="12" t="n">
        <x:v>3356.5853</x:v>
      </x:c>
      <x:c r="F60" s="12" t="n">
        <x:v>3367.4547</x:v>
      </x:c>
      <x:c r="G60" s="12" t="n">
        <x:v>3367.5778</x:v>
      </x:c>
      <x:c r="H60" s="12" t="n">
        <x:v>-0.1231</x:v>
      </x:c>
      <x:c r="I60" s="12" t="n">
        <x:v>-0.0037</x:v>
      </x:c>
      <x:c r="J60" s="12" t="n">
        <x:v>-0.00003655513169800312</x:v>
      </x:c>
      <x:c r="K60" s="12" t="n">
        <x:v>111191693</x:v>
      </x:c>
      <x:c r="L60" s="12" t="n">
        <x:v>110576512.916</x:v>
      </x:c>
      <x:c r="M60" s="12" t="str">
        <x:v>TuShare index_daily</x:v>
      </x:c>
    </x:row>
    <x:row r="61" ht="18" customHeight="1">
      <x:c r="A61" s="13" t="n">
        <x:v>42669</x:v>
      </x:c>
      <x:c r="B61" s="12" t="str">
        <x:v>000300.SH</x:v>
      </x:c>
      <x:c r="C61" s="12" t="n">
        <x:v>3365.1975</x:v>
      </x:c>
      <x:c r="D61" s="12" t="n">
        <x:v>3367.831</x:v>
      </x:c>
      <x:c r="E61" s="12" t="n">
        <x:v>3349.5744</x:v>
      </x:c>
      <x:c r="F61" s="12" t="n">
        <x:v>3354.8003</x:v>
      </x:c>
      <x:c r="G61" s="12" t="n">
        <x:v>3367.4547</x:v>
      </x:c>
      <x:c r="H61" s="12" t="n">
        <x:v>-12.6544</x:v>
      </x:c>
      <x:c r="I61" s="12" t="n">
        <x:v>-0.3758</x:v>
      </x:c>
      <x:c r="J61" s="12" t="n">
        <x:v>-0.0037649315438644418</x:v>
      </x:c>
      <x:c r="K61" s="12" t="n">
        <x:v>98024786</x:v>
      </x:c>
      <x:c r="L61" s="12" t="n">
        <x:v>104719318.22</x:v>
      </x:c>
      <x:c r="M61" s="12" t="str">
        <x:v>TuShare index_daily</x:v>
      </x:c>
    </x:row>
    <x:row r="62" ht="18" customHeight="1">
      <x:c r="A62" s="13" t="n">
        <x:v>42670</x:v>
      </x:c>
      <x:c r="B62" s="12" t="str">
        <x:v>000300.SH</x:v>
      </x:c>
      <x:c r="C62" s="12" t="n">
        <x:v>3351.4603</x:v>
      </x:c>
      <x:c r="D62" s="12" t="n">
        <x:v>3352.3545</x:v>
      </x:c>
      <x:c r="E62" s="12" t="n">
        <x:v>3335.1332</x:v>
      </x:c>
      <x:c r="F62" s="12" t="n">
        <x:v>3345.695</x:v>
      </x:c>
      <x:c r="G62" s="12" t="n">
        <x:v>3354.8003</x:v>
      </x:c>
      <x:c r="H62" s="12" t="n">
        <x:v>-9.1053</x:v>
      </x:c>
      <x:c r="I62" s="12" t="n">
        <x:v>-0.2714</x:v>
      </x:c>
      <x:c r="J62" s="12" t="n">
        <x:v>-0.002717800758593384</x:v>
      </x:c>
      <x:c r="K62" s="12" t="n">
        <x:v>77629851</x:v>
      </x:c>
      <x:c r="L62" s="12" t="n">
        <x:v>85241012.414</x:v>
      </x:c>
      <x:c r="M62" s="12" t="str">
        <x:v>TuShare index_daily</x:v>
      </x:c>
    </x:row>
    <x:row r="63" ht="18" customHeight="1">
      <x:c r="A63" s="13" t="n">
        <x:v>42671</x:v>
      </x:c>
      <x:c r="B63" s="12" t="str">
        <x:v>000300.SH</x:v>
      </x:c>
      <x:c r="C63" s="12" t="n">
        <x:v>3347.1438</x:v>
      </x:c>
      <x:c r="D63" s="12" t="n">
        <x:v>3370.7485</x:v>
      </x:c>
      <x:c r="E63" s="12" t="n">
        <x:v>3337.2888</x:v>
      </x:c>
      <x:c r="F63" s="12" t="n">
        <x:v>3340.1262</x:v>
      </x:c>
      <x:c r="G63" s="12" t="n">
        <x:v>3345.695</x:v>
      </x:c>
      <x:c r="H63" s="12" t="n">
        <x:v>-5.5688</x:v>
      </x:c>
      <x:c r="I63" s="12" t="n">
        <x:v>-0.1664</x:v>
      </x:c>
      <x:c r="J63" s="12" t="n">
        <x:v>-0.0016658540876975168</x:v>
      </x:c>
      <x:c r="K63" s="12" t="n">
        <x:v>93133309</x:v>
      </x:c>
      <x:c r="L63" s="12" t="n">
        <x:v>104797971.448</x:v>
      </x:c>
      <x:c r="M63" s="12" t="str">
        <x:v>TuShare index_daily</x:v>
      </x:c>
    </x:row>
    <x:row r="64" ht="18" customHeight="1">
      <x:c r="A64" s="13" t="n">
        <x:v>42674</x:v>
      </x:c>
      <x:c r="B64" s="12" t="str">
        <x:v>000300.SH</x:v>
      </x:c>
      <x:c r="C64" s="12" t="n">
        <x:v>3332.406</x:v>
      </x:c>
      <x:c r="D64" s="12" t="n">
        <x:v>3340.4695</x:v>
      </x:c>
      <x:c r="E64" s="12" t="n">
        <x:v>3317.3279</x:v>
      </x:c>
      <x:c r="F64" s="12" t="n">
        <x:v>3336.2778</x:v>
      </x:c>
      <x:c r="G64" s="12" t="n">
        <x:v>3340.1262</x:v>
      </x:c>
      <x:c r="H64" s="12" t="n">
        <x:v>-3.8484</x:v>
      </x:c>
      <x:c r="I64" s="12" t="n">
        <x:v>-0.1152</x:v>
      </x:c>
      <x:c r="J64" s="12" t="n">
        <x:v>-0.0011528362951734367</x:v>
      </x:c>
      <x:c r="K64" s="12" t="n">
        <x:v>71352863</x:v>
      </x:c>
      <x:c r="L64" s="12" t="n">
        <x:v>80701820.968</x:v>
      </x:c>
      <x:c r="M64" s="12" t="str">
        <x:v>TuShare index_daily</x:v>
      </x:c>
    </x:row>
    <x:row r="65" ht="18" customHeight="1">
      <x:c r="A65" s="13" t="n">
        <x:v>42675</x:v>
      </x:c>
      <x:c r="B65" s="12" t="str">
        <x:v>000300.SH</x:v>
      </x:c>
      <x:c r="C65" s="12" t="n">
        <x:v>3338.7099</x:v>
      </x:c>
      <x:c r="D65" s="12" t="n">
        <x:v>3359.3941</x:v>
      </x:c>
      <x:c r="E65" s="12" t="n">
        <x:v>3334.4568</x:v>
      </x:c>
      <x:c r="F65" s="12" t="n">
        <x:v>3359.0515</x:v>
      </x:c>
      <x:c r="G65" s="12" t="n">
        <x:v>3336.2778</x:v>
      </x:c>
      <x:c r="H65" s="12" t="n">
        <x:v>22.7737</x:v>
      </x:c>
      <x:c r="I65" s="12" t="n">
        <x:v>0.6826</x:v>
      </x:c>
      <x:c r="J65" s="12" t="n">
        <x:v>0.006802888045893891</x:v>
      </x:c>
      <x:c r="K65" s="12" t="n">
        <x:v>74938199</x:v>
      </x:c>
      <x:c r="L65" s="12" t="n">
        <x:v>84717683.75</x:v>
      </x:c>
      <x:c r="M65" s="12" t="str">
        <x:v>TuShare index_daily</x:v>
      </x:c>
    </x:row>
    <x:row r="66" ht="18" customHeight="1">
      <x:c r="A66" s="13" t="n">
        <x:v>42676</x:v>
      </x:c>
      <x:c r="B66" s="12" t="str">
        <x:v>000300.SH</x:v>
      </x:c>
      <x:c r="C66" s="12" t="n">
        <x:v>3350.71</x:v>
      </x:c>
      <x:c r="D66" s="12" t="n">
        <x:v>3356.3974</x:v>
      </x:c>
      <x:c r="E66" s="12" t="n">
        <x:v>3331.3841</x:v>
      </x:c>
      <x:c r="F66" s="12" t="n">
        <x:v>3333.3524</x:v>
      </x:c>
      <x:c r="G66" s="12" t="n">
        <x:v>3359.0515</x:v>
      </x:c>
      <x:c r="H66" s="12" t="n">
        <x:v>-25.6991</x:v>
      </x:c>
      <x:c r="I66" s="12" t="n">
        <x:v>-0.7651</x:v>
      </x:c>
      <x:c r="J66" s="12" t="n">
        <x:v>-0.007680118147076697</x:v>
      </x:c>
      <x:c r="K66" s="12" t="n">
        <x:v>91197104</x:v>
      </x:c>
      <x:c r="L66" s="12" t="n">
        <x:v>100348995.733</x:v>
      </x:c>
      <x:c r="M66" s="12" t="str">
        <x:v>TuShare index_daily</x:v>
      </x:c>
    </x:row>
    <x:row r="67" ht="18" customHeight="1">
      <x:c r="A67" s="13" t="n">
        <x:v>42677</x:v>
      </x:c>
      <x:c r="B67" s="12" t="str">
        <x:v>000300.SH</x:v>
      </x:c>
      <x:c r="C67" s="12" t="n">
        <x:v>3326.9045</x:v>
      </x:c>
      <x:c r="D67" s="12" t="n">
        <x:v>3379.9889</x:v>
      </x:c>
      <x:c r="E67" s="12" t="n">
        <x:v>3324.8378</x:v>
      </x:c>
      <x:c r="F67" s="12" t="n">
        <x:v>3365.085</x:v>
      </x:c>
      <x:c r="G67" s="12" t="n">
        <x:v>3333.3524</x:v>
      </x:c>
      <x:c r="H67" s="12" t="n">
        <x:v>31.7326</x:v>
      </x:c>
      <x:c r="I67" s="12" t="n">
        <x:v>0.952</x:v>
      </x:c>
      <x:c r="J67" s="12" t="n">
        <x:v>0.00947469849780264</x:v>
      </x:c>
      <x:c r="K67" s="12" t="n">
        <x:v>126223504</x:v>
      </x:c>
      <x:c r="L67" s="12" t="n">
        <x:v>137386468.361</x:v>
      </x:c>
      <x:c r="M67" s="12" t="str">
        <x:v>TuShare index_daily</x:v>
      </x:c>
    </x:row>
    <x:row r="68" ht="18" customHeight="1">
      <x:c r="A68" s="13" t="n">
        <x:v>42678</x:v>
      </x:c>
      <x:c r="B68" s="12" t="str">
        <x:v>000300.SH</x:v>
      </x:c>
      <x:c r="C68" s="12" t="n">
        <x:v>3362.2055</x:v>
      </x:c>
      <x:c r="D68" s="12" t="n">
        <x:v>3377.6394</x:v>
      </x:c>
      <x:c r="E68" s="12" t="n">
        <x:v>3348.4263</x:v>
      </x:c>
      <x:c r="F68" s="12" t="n">
        <x:v>3354.1749</x:v>
      </x:c>
      <x:c r="G68" s="12" t="n">
        <x:v>3365.085</x:v>
      </x:c>
      <x:c r="H68" s="12" t="n">
        <x:v>-10.9101</x:v>
      </x:c>
      <x:c r="I68" s="12" t="n">
        <x:v>-0.3242</x:v>
      </x:c>
      <x:c r="J68" s="12" t="n">
        <x:v>-0.003247414075435183</x:v>
      </x:c>
      <x:c r="K68" s="12" t="n">
        <x:v>104069655</x:v>
      </x:c>
      <x:c r="L68" s="12" t="n">
        <x:v>110813764.577</x:v>
      </x:c>
      <x:c r="M68" s="12" t="str">
        <x:v>TuShare index_daily</x:v>
      </x:c>
    </x:row>
    <x:row r="69" ht="18" customHeight="1">
      <x:c r="A69" s="13" t="n">
        <x:v>42681</x:v>
      </x:c>
      <x:c r="B69" s="12" t="str">
        <x:v>000300.SH</x:v>
      </x:c>
      <x:c r="C69" s="12" t="n">
        <x:v>3353.4441</x:v>
      </x:c>
      <x:c r="D69" s="12" t="n">
        <x:v>3362.7416</x:v>
      </x:c>
      <x:c r="E69" s="12" t="n">
        <x:v>3342.3122</x:v>
      </x:c>
      <x:c r="F69" s="12" t="n">
        <x:v>3356.5916</x:v>
      </x:c>
      <x:c r="G69" s="12" t="n">
        <x:v>3354.1749</x:v>
      </x:c>
      <x:c r="H69" s="12" t="n">
        <x:v>2.4167</x:v>
      </x:c>
      <x:c r="I69" s="12" t="n">
        <x:v>0.0721</x:v>
      </x:c>
      <x:c r="J69" s="12" t="n">
        <x:v>0.0007202456245417308</x:v>
      </x:c>
      <x:c r="K69" s="12" t="n">
        <x:v>99877988</x:v>
      </x:c>
      <x:c r="L69" s="12" t="n">
        <x:v>94370876.771</x:v>
      </x:c>
      <x:c r="M69" s="12" t="str">
        <x:v>TuShare index_daily</x:v>
      </x:c>
    </x:row>
    <x:row r="70" ht="18" customHeight="1">
      <x:c r="A70" s="13" t="n">
        <x:v>42682</x:v>
      </x:c>
      <x:c r="B70" s="12" t="str">
        <x:v>000300.SH</x:v>
      </x:c>
      <x:c r="C70" s="12" t="n">
        <x:v>3367.6974</x:v>
      </x:c>
      <x:c r="D70" s="12" t="n">
        <x:v>3383.9174</x:v>
      </x:c>
      <x:c r="E70" s="12" t="n">
        <x:v>3361.1292</x:v>
      </x:c>
      <x:c r="F70" s="12" t="n">
        <x:v>3371.1177</x:v>
      </x:c>
      <x:c r="G70" s="12" t="n">
        <x:v>3356.5916</x:v>
      </x:c>
      <x:c r="H70" s="12" t="n">
        <x:v>14.5261</x:v>
      </x:c>
      <x:c r="I70" s="12" t="n">
        <x:v>0.4328</x:v>
      </x:c>
      <x:c r="J70" s="12" t="n">
        <x:v>0.004318296741261629</x:v>
      </x:c>
      <x:c r="K70" s="12" t="n">
        <x:v>103148282</x:v>
      </x:c>
      <x:c r="L70" s="12" t="n">
        <x:v>105138256.061</x:v>
      </x:c>
      <x:c r="M70" s="12" t="str">
        <x:v>TuShare index_daily</x:v>
      </x:c>
    </x:row>
    <x:row r="71" ht="18" customHeight="1">
      <x:c r="A71" s="13" t="n">
        <x:v>42683</x:v>
      </x:c>
      <x:c r="B71" s="12" t="str">
        <x:v>000300.SH</x:v>
      </x:c>
      <x:c r="C71" s="12" t="n">
        <x:v>3370.5999</x:v>
      </x:c>
      <x:c r="D71" s="12" t="n">
        <x:v>3373.096</x:v>
      </x:c>
      <x:c r="E71" s="12" t="n">
        <x:v>3322.0798</x:v>
      </x:c>
      <x:c r="F71" s="12" t="n">
        <x:v>3353.0547</x:v>
      </x:c>
      <x:c r="G71" s="12" t="n">
        <x:v>3371.1177</x:v>
      </x:c>
      <x:c r="H71" s="12" t="n">
        <x:v>-18.063</x:v>
      </x:c>
      <x:c r="I71" s="12" t="n">
        <x:v>-0.5358</x:v>
      </x:c>
      <x:c r="J71" s="12" t="n">
        <x:v>-0.0053725699978424205</x:v>
      </x:c>
      <x:c r="K71" s="12" t="n">
        <x:v>139110059</x:v>
      </x:c>
      <x:c r="L71" s="12" t="n">
        <x:v>145186921.69</x:v>
      </x:c>
      <x:c r="M71" s="12" t="str">
        <x:v>TuShare index_daily</x:v>
      </x:c>
    </x:row>
    <x:row r="72" ht="18" customHeight="1">
      <x:c r="A72" s="13" t="n">
        <x:v>42684</x:v>
      </x:c>
      <x:c r="B72" s="12" t="str">
        <x:v>000300.SH</x:v>
      </x:c>
      <x:c r="C72" s="12" t="n">
        <x:v>3374.906</x:v>
      </x:c>
      <x:c r="D72" s="12" t="n">
        <x:v>3403.0158</x:v>
      </x:c>
      <x:c r="E72" s="12" t="n">
        <x:v>3374.906</x:v>
      </x:c>
      <x:c r="F72" s="12" t="n">
        <x:v>3390.6119</x:v>
      </x:c>
      <x:c r="G72" s="12" t="n">
        <x:v>3353.0547</x:v>
      </x:c>
      <x:c r="H72" s="12" t="n">
        <x:v>37.5572</x:v>
      </x:c>
      <x:c r="I72" s="12" t="n">
        <x:v>1.1201</x:v>
      </x:c>
      <x:c r="J72" s="12" t="n">
        <x:v>0.01113862547894849</x:v>
      </x:c>
      <x:c r="K72" s="12" t="n">
        <x:v>134705535</x:v>
      </x:c>
      <x:c r="L72" s="12" t="n">
        <x:v>133277399.553</x:v>
      </x:c>
      <x:c r="M72" s="12" t="str">
        <x:v>TuShare index_daily</x:v>
      </x:c>
    </x:row>
    <x:row r="73" ht="18" customHeight="1">
      <x:c r="A73" s="13" t="n">
        <x:v>42685</x:v>
      </x:c>
      <x:c r="B73" s="12" t="str">
        <x:v>000300.SH</x:v>
      </x:c>
      <x:c r="C73" s="12" t="n">
        <x:v>3387.9481</x:v>
      </x:c>
      <x:c r="D73" s="12" t="n">
        <x:v>3422.6715</x:v>
      </x:c>
      <x:c r="E73" s="12" t="n">
        <x:v>3382.8925</x:v>
      </x:c>
      <x:c r="F73" s="12" t="n">
        <x:v>3417.2211</x:v>
      </x:c>
      <x:c r="G73" s="12" t="n">
        <x:v>3390.6119</x:v>
      </x:c>
      <x:c r="H73" s="12" t="n">
        <x:v>26.6092</x:v>
      </x:c>
      <x:c r="I73" s="12" t="n">
        <x:v>0.7848</x:v>
      </x:c>
      <x:c r="J73" s="12" t="n">
        <x:v>0.007817270343318574</x:v>
      </x:c>
      <x:c r="K73" s="12" t="n">
        <x:v>198781496</x:v>
      </x:c>
      <x:c r="L73" s="12" t="n">
        <x:v>190647270.04</x:v>
      </x:c>
      <x:c r="M73" s="12" t="str">
        <x:v>TuShare index_daily</x:v>
      </x:c>
    </x:row>
    <x:row r="74" ht="18" customHeight="1">
      <x:c r="A74" s="13" t="n">
        <x:v>42688</x:v>
      </x:c>
      <x:c r="B74" s="12" t="str">
        <x:v>000300.SH</x:v>
      </x:c>
      <x:c r="C74" s="12" t="n">
        <x:v>3409.2241</x:v>
      </x:c>
      <x:c r="D74" s="12" t="n">
        <x:v>3452.6159</x:v>
      </x:c>
      <x:c r="E74" s="12" t="n">
        <x:v>3408.1392</x:v>
      </x:c>
      <x:c r="F74" s="12" t="n">
        <x:v>3430.2482</x:v>
      </x:c>
      <x:c r="G74" s="12" t="n">
        <x:v>3417.2211</x:v>
      </x:c>
      <x:c r="H74" s="12" t="n">
        <x:v>13.0271</x:v>
      </x:c>
      <x:c r="I74" s="12" t="n">
        <x:v>0.3812</x:v>
      </x:c>
      <x:c r="J74" s="12" t="n">
        <x:v>0.0038049431537427606</x:v>
      </x:c>
      <x:c r="K74" s="12" t="n">
        <x:v>213247105</x:v>
      </x:c>
      <x:c r="L74" s="12" t="n">
        <x:v>208353308.629</x:v>
      </x:c>
      <x:c r="M74" s="12" t="str">
        <x:v>TuShare index_daily</x:v>
      </x:c>
    </x:row>
    <x:row r="75" ht="18" customHeight="1">
      <x:c r="A75" s="13" t="n">
        <x:v>42689</x:v>
      </x:c>
      <x:c r="B75" s="12" t="str">
        <x:v>000300.SH</x:v>
      </x:c>
      <x:c r="C75" s="12" t="n">
        <x:v>3428.8663</x:v>
      </x:c>
      <x:c r="D75" s="12" t="n">
        <x:v>3434.9216</x:v>
      </x:c>
      <x:c r="E75" s="12" t="n">
        <x:v>3415.9948</x:v>
      </x:c>
      <x:c r="F75" s="12" t="n">
        <x:v>3429.8697</x:v>
      </x:c>
      <x:c r="G75" s="12" t="n">
        <x:v>3430.2482</x:v>
      </x:c>
      <x:c r="H75" s="12" t="n">
        <x:v>-0.3785</x:v>
      </x:c>
      <x:c r="I75" s="12" t="n">
        <x:v>-0.011</x:v>
      </x:c>
      <x:c r="J75" s="12" t="n">
        <x:v>-0.00011034795783432362</x:v>
      </x:c>
      <x:c r="K75" s="12" t="n">
        <x:v>134566320</x:v>
      </x:c>
      <x:c r="L75" s="12" t="n">
        <x:v>135206770.523</x:v>
      </x:c>
      <x:c r="M75" s="12" t="str">
        <x:v>TuShare index_daily</x:v>
      </x:c>
    </x:row>
    <x:row r="76" ht="18" customHeight="1">
      <x:c r="A76" s="13" t="n">
        <x:v>42690</x:v>
      </x:c>
      <x:c r="B76" s="12" t="str">
        <x:v>000300.SH</x:v>
      </x:c>
      <x:c r="C76" s="12" t="n">
        <x:v>3432.4336</x:v>
      </x:c>
      <x:c r="D76" s="12" t="n">
        <x:v>3435.6366</x:v>
      </x:c>
      <x:c r="E76" s="12" t="n">
        <x:v>3419.2435</x:v>
      </x:c>
      <x:c r="F76" s="12" t="n">
        <x:v>3429.5921</x:v>
      </x:c>
      <x:c r="G76" s="12" t="n">
        <x:v>3429.8697</x:v>
      </x:c>
      <x:c r="H76" s="12" t="n">
        <x:v>-0.2776</x:v>
      </x:c>
      <x:c r="I76" s="12" t="n">
        <x:v>-0.0081</x:v>
      </x:c>
      <x:c r="J76" s="12" t="n">
        <x:v>-0.00008093929472776848</x:v>
      </x:c>
      <x:c r="K76" s="12" t="n">
        <x:v>129808511</x:v>
      </x:c>
      <x:c r="L76" s="12" t="n">
        <x:v>128944599.173</x:v>
      </x:c>
      <x:c r="M76" s="12" t="str">
        <x:v>TuShare index_daily</x:v>
      </x:c>
    </x:row>
    <x:row r="77" ht="18" customHeight="1">
      <x:c r="A77" s="13" t="n">
        <x:v>42691</x:v>
      </x:c>
      <x:c r="B77" s="12" t="str">
        <x:v>000300.SH</x:v>
      </x:c>
      <x:c r="C77" s="12" t="n">
        <x:v>3423.4654</x:v>
      </x:c>
      <x:c r="D77" s="12" t="n">
        <x:v>3437.669</x:v>
      </x:c>
      <x:c r="E77" s="12" t="n">
        <x:v>3412.8771</x:v>
      </x:c>
      <x:c r="F77" s="12" t="n">
        <x:v>3436.535</x:v>
      </x:c>
      <x:c r="G77" s="12" t="n">
        <x:v>3429.5921</x:v>
      </x:c>
      <x:c r="H77" s="12" t="n">
        <x:v>6.9429</x:v>
      </x:c>
      <x:c r="I77" s="12" t="n">
        <x:v>0.2024</x:v>
      </x:c>
      <x:c r="J77" s="12" t="n">
        <x:v>0.0020223634853321413</x:v>
      </x:c>
      <x:c r="K77" s="12" t="n">
        <x:v>121561731</x:v>
      </x:c>
      <x:c r="L77" s="12" t="n">
        <x:v>121576882.948</x:v>
      </x:c>
      <x:c r="M77" s="12" t="str">
        <x:v>TuShare index_daily</x:v>
      </x:c>
    </x:row>
    <x:row r="78" ht="18" customHeight="1">
      <x:c r="A78" s="13" t="n">
        <x:v>42692</x:v>
      </x:c>
      <x:c r="B78" s="12" t="str">
        <x:v>000300.SH</x:v>
      </x:c>
      <x:c r="C78" s="12" t="n">
        <x:v>3437.4898</x:v>
      </x:c>
      <x:c r="D78" s="12" t="n">
        <x:v>3443.1185</x:v>
      </x:c>
      <x:c r="E78" s="12" t="n">
        <x:v>3413.2698</x:v>
      </x:c>
      <x:c r="F78" s="12" t="n">
        <x:v>3417.4554</x:v>
      </x:c>
      <x:c r="G78" s="12" t="n">
        <x:v>3436.535</x:v>
      </x:c>
      <x:c r="H78" s="12" t="n">
        <x:v>-19.0796</x:v>
      </x:c>
      <x:c r="I78" s="12" t="n">
        <x:v>-0.5552</x:v>
      </x:c>
      <x:c r="J78" s="12" t="n">
        <x:v>-0.005567457253369951</x:v>
      </x:c>
      <x:c r="K78" s="12" t="n">
        <x:v>115951205</x:v>
      </x:c>
      <x:c r="L78" s="12" t="n">
        <x:v>117345607.612</x:v>
      </x:c>
      <x:c r="M78" s="12" t="str">
        <x:v>TuShare index_daily</x:v>
      </x:c>
    </x:row>
    <x:row r="79" ht="18" customHeight="1">
      <x:c r="A79" s="13" t="n">
        <x:v>42695</x:v>
      </x:c>
      <x:c r="B79" s="12" t="str">
        <x:v>000300.SH</x:v>
      </x:c>
      <x:c r="C79" s="12" t="n">
        <x:v>3412.6523</x:v>
      </x:c>
      <x:c r="D79" s="12" t="n">
        <x:v>3463.1423</x:v>
      </x:c>
      <x:c r="E79" s="12" t="n">
        <x:v>3412.0801</x:v>
      </x:c>
      <x:c r="F79" s="12" t="n">
        <x:v>3441.1106</x:v>
      </x:c>
      <x:c r="G79" s="12" t="n">
        <x:v>3417.4554</x:v>
      </x:c>
      <x:c r="H79" s="12" t="n">
        <x:v>23.6552</x:v>
      </x:c>
      <x:c r="I79" s="12" t="n">
        <x:v>0.6922</x:v>
      </x:c>
      <x:c r="J79" s="12" t="n">
        <x:v>0.006898029062729212</x:v>
      </x:c>
      <x:c r="K79" s="12" t="n">
        <x:v>146434529</x:v>
      </x:c>
      <x:c r="L79" s="12" t="n">
        <x:v>147542589.349</x:v>
      </x:c>
      <x:c r="M79" s="12" t="str">
        <x:v>TuShare index_daily</x:v>
      </x:c>
    </x:row>
    <x:row r="80" ht="18" customHeight="1">
      <x:c r="A80" s="13" t="n">
        <x:v>42696</x:v>
      </x:c>
      <x:c r="B80" s="12" t="str">
        <x:v>000300.SH</x:v>
      </x:c>
      <x:c r="C80" s="12" t="n">
        <x:v>3443.2201</x:v>
      </x:c>
      <x:c r="D80" s="12" t="n">
        <x:v>3469.2189</x:v>
      </x:c>
      <x:c r="E80" s="12" t="n">
        <x:v>3443.2201</x:v>
      </x:c>
      <x:c r="F80" s="12" t="n">
        <x:v>3468.3637</x:v>
      </x:c>
      <x:c r="G80" s="12" t="n">
        <x:v>3441.1106</x:v>
      </x:c>
      <x:c r="H80" s="12" t="n">
        <x:v>27.2531</x:v>
      </x:c>
      <x:c r="I80" s="12" t="n">
        <x:v>0.792</x:v>
      </x:c>
      <x:c r="J80" s="12" t="n">
        <x:v>0.007888658427169803</x:v>
      </x:c>
      <x:c r="K80" s="12" t="n">
        <x:v>168523446</x:v>
      </x:c>
      <x:c r="L80" s="12" t="n">
        <x:v>167250665.827</x:v>
      </x:c>
      <x:c r="M80" s="12" t="str">
        <x:v>TuShare index_daily</x:v>
      </x:c>
    </x:row>
    <x:row r="81" ht="18" customHeight="1">
      <x:c r="A81" s="13" t="n">
        <x:v>42697</x:v>
      </x:c>
      <x:c r="B81" s="12" t="str">
        <x:v>000300.SH</x:v>
      </x:c>
      <x:c r="C81" s="12" t="n">
        <x:v>3473.8949</x:v>
      </x:c>
      <x:c r="D81" s="12" t="n">
        <x:v>3492.9564</x:v>
      </x:c>
      <x:c r="E81" s="12" t="n">
        <x:v>3465.7639</x:v>
      </x:c>
      <x:c r="F81" s="12" t="n">
        <x:v>3474.7289</x:v>
      </x:c>
      <x:c r="G81" s="12" t="n">
        <x:v>3468.3637</x:v>
      </x:c>
      <x:c r="H81" s="12" t="n">
        <x:v>6.3652</x:v>
      </x:c>
      <x:c r="I81" s="12" t="n">
        <x:v>0.1835</x:v>
      </x:c>
      <x:c r="J81" s="12" t="n">
        <x:v>0.001833535039771207</x:v>
      </x:c>
      <x:c r="K81" s="12" t="n">
        <x:v>162388504</x:v>
      </x:c>
      <x:c r="L81" s="12" t="n">
        <x:v>171247116.196</x:v>
      </x:c>
      <x:c r="M81" s="12" t="str">
        <x:v>TuShare index_daily</x:v>
      </x:c>
    </x:row>
    <x:row r="82" ht="18" customHeight="1">
      <x:c r="A82" s="13" t="n">
        <x:v>42698</x:v>
      </x:c>
      <x:c r="B82" s="12" t="str">
        <x:v>000300.SH</x:v>
      </x:c>
      <x:c r="C82" s="12" t="n">
        <x:v>3468.8071</x:v>
      </x:c>
      <x:c r="D82" s="12" t="n">
        <x:v>3508.1648</x:v>
      </x:c>
      <x:c r="E82" s="12" t="n">
        <x:v>3467.0108</x:v>
      </x:c>
      <x:c r="F82" s="12" t="n">
        <x:v>3488.7402</x:v>
      </x:c>
      <x:c r="G82" s="12" t="n">
        <x:v>3474.7289</x:v>
      </x:c>
      <x:c r="H82" s="12" t="n">
        <x:v>14.0113</x:v>
      </x:c>
      <x:c r="I82" s="12" t="n">
        <x:v>0.4032</x:v>
      </x:c>
      <x:c r="J82" s="12" t="n">
        <x:v>0.004024235250442054</x:v>
      </x:c>
      <x:c r="K82" s="12" t="n">
        <x:v>145746301</x:v>
      </x:c>
      <x:c r="L82" s="12" t="n">
        <x:v>165071453.531</x:v>
      </x:c>
      <x:c r="M82" s="12" t="str">
        <x:v>TuShare index_daily</x:v>
      </x:c>
    </x:row>
    <x:row r="83" ht="18" customHeight="1">
      <x:c r="A83" s="13" t="n">
        <x:v>42699</x:v>
      </x:c>
      <x:c r="B83" s="12" t="str">
        <x:v>000300.SH</x:v>
      </x:c>
      <x:c r="C83" s="12" t="n">
        <x:v>3490.0399</x:v>
      </x:c>
      <x:c r="D83" s="12" t="n">
        <x:v>3521.3029</x:v>
      </x:c>
      <x:c r="E83" s="12" t="n">
        <x:v>3463.9477</x:v>
      </x:c>
      <x:c r="F83" s="12" t="n">
        <x:v>3521.2984</x:v>
      </x:c>
      <x:c r="G83" s="12" t="n">
        <x:v>3488.7402</x:v>
      </x:c>
      <x:c r="H83" s="12" t="n">
        <x:v>32.5582</x:v>
      </x:c>
      <x:c r="I83" s="12" t="n">
        <x:v>0.9332</x:v>
      </x:c>
      <x:c r="J83" s="12" t="n">
        <x:v>0.009289088397475146</x:v>
      </x:c>
      <x:c r="K83" s="12" t="n">
        <x:v>153621506</x:v>
      </x:c>
      <x:c r="L83" s="12" t="n">
        <x:v>166832181.108</x:v>
      </x:c>
      <x:c r="M83" s="12" t="str">
        <x:v>TuShare index_daily</x:v>
      </x:c>
    </x:row>
    <x:row r="84" ht="18" customHeight="1">
      <x:c r="A84" s="13" t="n">
        <x:v>42702</x:v>
      </x:c>
      <x:c r="B84" s="12" t="str">
        <x:v>000300.SH</x:v>
      </x:c>
      <x:c r="C84" s="12" t="n">
        <x:v>3538.6754</x:v>
      </x:c>
      <x:c r="D84" s="12" t="n">
        <x:v>3553.3603</x:v>
      </x:c>
      <x:c r="E84" s="12" t="n">
        <x:v>3528.3196</x:v>
      </x:c>
      <x:c r="F84" s="12" t="n">
        <x:v>3535.0807</x:v>
      </x:c>
      <x:c r="G84" s="12" t="n">
        <x:v>3521.2984</x:v>
      </x:c>
      <x:c r="H84" s="12" t="n">
        <x:v>13.7823</x:v>
      </x:c>
      <x:c r="I84" s="12" t="n">
        <x:v>0.3914</x:v>
      </x:c>
      <x:c r="J84" s="12" t="n">
        <x:v>0.003906342709372829</x:v>
      </x:c>
      <x:c r="K84" s="12" t="n">
        <x:v>207375483</x:v>
      </x:c>
      <x:c r="L84" s="12" t="n">
        <x:v>219859766.828</x:v>
      </x:c>
      <x:c r="M84" s="12" t="str">
        <x:v>TuShare index_daily</x:v>
      </x:c>
    </x:row>
    <x:row r="85" ht="18" customHeight="1">
      <x:c r="A85" s="13" t="n">
        <x:v>42703</x:v>
      </x:c>
      <x:c r="B85" s="12" t="str">
        <x:v>000300.SH</x:v>
      </x:c>
      <x:c r="C85" s="12" t="n">
        <x:v>3525.9011</x:v>
      </x:c>
      <x:c r="D85" s="12" t="n">
        <x:v>3583.7185</x:v>
      </x:c>
      <x:c r="E85" s="12" t="n">
        <x:v>3521.3787</x:v>
      </x:c>
      <x:c r="F85" s="12" t="n">
        <x:v>3564.0404</x:v>
      </x:c>
      <x:c r="G85" s="12" t="n">
        <x:v>3535.0807</x:v>
      </x:c>
      <x:c r="H85" s="12" t="n">
        <x:v>28.9597</x:v>
      </x:c>
      <x:c r="I85" s="12" t="n">
        <x:v>0.8192</x:v>
      </x:c>
      <x:c r="J85" s="12" t="n">
        <x:v>0.00815871718004215</x:v>
      </x:c>
      <x:c r="K85" s="12" t="n">
        <x:v>236918356</x:v>
      </x:c>
      <x:c r="L85" s="12" t="n">
        <x:v>248322816.339</x:v>
      </x:c>
      <x:c r="M85" s="12" t="str">
        <x:v>TuShare index_daily</x:v>
      </x:c>
    </x:row>
    <x:row r="86" ht="18" customHeight="1">
      <x:c r="A86" s="13" t="n">
        <x:v>42704</x:v>
      </x:c>
      <x:c r="B86" s="12" t="str">
        <x:v>000300.SH</x:v>
      </x:c>
      <x:c r="C86" s="12" t="n">
        <x:v>3557.6357</x:v>
      </x:c>
      <x:c r="D86" s="12" t="n">
        <x:v>3567.0689</x:v>
      </x:c>
      <x:c r="E86" s="12" t="n">
        <x:v>3527.0231</x:v>
      </x:c>
      <x:c r="F86" s="12" t="n">
        <x:v>3538.001</x:v>
      </x:c>
      <x:c r="G86" s="12" t="n">
        <x:v>3564.0404</x:v>
      </x:c>
      <x:c r="H86" s="12" t="n">
        <x:v>-26.0394</x:v>
      </x:c>
      <x:c r="I86" s="12" t="n">
        <x:v>-0.7306</x:v>
      </x:c>
      <x:c r="J86" s="12" t="n">
        <x:v>-0.007332966739201804</x:v>
      </x:c>
      <x:c r="K86" s="12" t="n">
        <x:v>178560178</x:v>
      </x:c>
      <x:c r="L86" s="12" t="n">
        <x:v>190681227.631</x:v>
      </x:c>
      <x:c r="M86" s="12" t="str">
        <x:v>TuShare index_daily</x:v>
      </x:c>
    </x:row>
    <x:row r="87" ht="18" customHeight="1">
      <x:c r="A87" s="13" t="n">
        <x:v>42705</x:v>
      </x:c>
      <x:c r="B87" s="12" t="str">
        <x:v>000300.SH</x:v>
      </x:c>
      <x:c r="C87" s="12" t="n">
        <x:v>3543.9555</x:v>
      </x:c>
      <x:c r="D87" s="12" t="n">
        <x:v>3575.97</x:v>
      </x:c>
      <x:c r="E87" s="12" t="n">
        <x:v>3543.245</x:v>
      </x:c>
      <x:c r="F87" s="12" t="n">
        <x:v>3565.036</x:v>
      </x:c>
      <x:c r="G87" s="12" t="n">
        <x:v>3538.001</x:v>
      </x:c>
      <x:c r="H87" s="12" t="n">
        <x:v>27.035</x:v>
      </x:c>
      <x:c r="I87" s="12" t="n">
        <x:v>0.7641</x:v>
      </x:c>
      <x:c r="J87" s="12" t="n">
        <x:v>0.007612273608875042</x:v>
      </x:c>
      <x:c r="K87" s="12" t="n">
        <x:v>180170761</x:v>
      </x:c>
      <x:c r="L87" s="12" t="n">
        <x:v>199637742.998</x:v>
      </x:c>
      <x:c r="M87" s="12" t="str">
        <x:v>TuShare index_daily</x:v>
      </x:c>
    </x:row>
    <x:row r="88" ht="18" customHeight="1">
      <x:c r="A88" s="13" t="n">
        <x:v>42706</x:v>
      </x:c>
      <x:c r="B88" s="12" t="str">
        <x:v>000300.SH</x:v>
      </x:c>
      <x:c r="C88" s="12" t="n">
        <x:v>3559.7711</x:v>
      </x:c>
      <x:c r="D88" s="12" t="n">
        <x:v>3562.5497</x:v>
      </x:c>
      <x:c r="E88" s="12" t="n">
        <x:v>3516.7881</x:v>
      </x:c>
      <x:c r="F88" s="12" t="n">
        <x:v>3528.9547</x:v>
      </x:c>
      <x:c r="G88" s="12" t="n">
        <x:v>3565.036</x:v>
      </x:c>
      <x:c r="H88" s="12" t="n">
        <x:v>-36.0813</x:v>
      </x:c>
      <x:c r="I88" s="12" t="n">
        <x:v>-1.0121</x:v>
      </x:c>
      <x:c r="J88" s="12" t="n">
        <x:v>-0.010172443878838089</x:v>
      </x:c>
      <x:c r="K88" s="12" t="n">
        <x:v>196355480</x:v>
      </x:c>
      <x:c r="L88" s="12" t="n">
        <x:v>203742147.476</x:v>
      </x:c>
      <x:c r="M88" s="12" t="str">
        <x:v>TuShare index_daily</x:v>
      </x:c>
    </x:row>
    <x:row r="89" ht="18" customHeight="1">
      <x:c r="A89" s="13" t="n">
        <x:v>42709</x:v>
      </x:c>
      <x:c r="B89" s="12" t="str">
        <x:v>000300.SH</x:v>
      </x:c>
      <x:c r="C89" s="12" t="n">
        <x:v>3473.6876</x:v>
      </x:c>
      <x:c r="D89" s="12" t="n">
        <x:v>3496.8838</x:v>
      </x:c>
      <x:c r="E89" s="12" t="n">
        <x:v>3457.3433</x:v>
      </x:c>
      <x:c r="F89" s="12" t="n">
        <x:v>3469.4073</x:v>
      </x:c>
      <x:c r="G89" s="12" t="n">
        <x:v>3528.9547</x:v>
      </x:c>
      <x:c r="H89" s="12" t="n">
        <x:v>-59.5474</x:v>
      </x:c>
      <x:c r="I89" s="12" t="n">
        <x:v>-1.6874</x:v>
      </x:c>
      <x:c r="J89" s="12" t="n">
        <x:v>-0.01701793565997444</x:v>
      </x:c>
      <x:c r="K89" s="12" t="n">
        <x:v>180852355</x:v>
      </x:c>
      <x:c r="L89" s="12" t="n">
        <x:v>190175061.733</x:v>
      </x:c>
      <x:c r="M89" s="12" t="str">
        <x:v>TuShare index_daily</x:v>
      </x:c>
    </x:row>
    <x:row r="90" ht="18" customHeight="1">
      <x:c r="A90" s="13" t="n">
        <x:v>42710</x:v>
      </x:c>
      <x:c r="B90" s="12" t="str">
        <x:v>000300.SH</x:v>
      </x:c>
      <x:c r="C90" s="12" t="n">
        <x:v>3466.2417</x:v>
      </x:c>
      <x:c r="D90" s="12" t="n">
        <x:v>3477.5901</x:v>
      </x:c>
      <x:c r="E90" s="12" t="n">
        <x:v>3456.8067</x:v>
      </x:c>
      <x:c r="F90" s="12" t="n">
        <x:v>3459.1533</x:v>
      </x:c>
      <x:c r="G90" s="12" t="n">
        <x:v>3469.4073</x:v>
      </x:c>
      <x:c r="H90" s="12" t="n">
        <x:v>-10.254</x:v>
      </x:c>
      <x:c r="I90" s="12" t="n">
        <x:v>-0.2956</x:v>
      </x:c>
      <x:c r="J90" s="12" t="n">
        <x:v>-0.0029599243128228037</x:v>
      </x:c>
      <x:c r="K90" s="12" t="n">
        <x:v>115529090</x:v>
      </x:c>
      <x:c r="L90" s="12" t="n">
        <x:v>125727753.193</x:v>
      </x:c>
      <x:c r="M90" s="12" t="str">
        <x:v>TuShare index_daily</x:v>
      </x:c>
    </x:row>
    <x:row r="91" ht="18" customHeight="1">
      <x:c r="A91" s="13" t="n">
        <x:v>42711</x:v>
      </x:c>
      <x:c r="B91" s="12" t="str">
        <x:v>000300.SH</x:v>
      </x:c>
      <x:c r="C91" s="12" t="n">
        <x:v>3458.3687</x:v>
      </x:c>
      <x:c r="D91" s="12" t="n">
        <x:v>3475.7473</x:v>
      </x:c>
      <x:c r="E91" s="12" t="n">
        <x:v>3445.7561</x:v>
      </x:c>
      <x:c r="F91" s="12" t="n">
        <x:v>3475.7473</x:v>
      </x:c>
      <x:c r="G91" s="12" t="n">
        <x:v>3459.1533</x:v>
      </x:c>
      <x:c r="H91" s="12" t="n">
        <x:v>16.594</x:v>
      </x:c>
      <x:c r="I91" s="12" t="n">
        <x:v>0.4797</x:v>
      </x:c>
      <x:c r="J91" s="12" t="n">
        <x:v>0.004785658116097955</x:v>
      </x:c>
      <x:c r="K91" s="12" t="n">
        <x:v>114345103</x:v>
      </x:c>
      <x:c r="L91" s="12" t="n">
        <x:v>115282194.223</x:v>
      </x:c>
      <x:c r="M91" s="12" t="str">
        <x:v>TuShare index_daily</x:v>
      </x:c>
    </x:row>
    <x:row r="92" ht="18" customHeight="1">
      <x:c r="A92" s="13" t="n">
        <x:v>42712</x:v>
      </x:c>
      <x:c r="B92" s="12" t="str">
        <x:v>000300.SH</x:v>
      </x:c>
      <x:c r="C92" s="12" t="n">
        <x:v>3481.8067</x:v>
      </x:c>
      <x:c r="D92" s="12" t="n">
        <x:v>3484.3402</x:v>
      </x:c>
      <x:c r="E92" s="12" t="n">
        <x:v>3466.512</x:v>
      </x:c>
      <x:c r="F92" s="12" t="n">
        <x:v>3470.1426</x:v>
      </x:c>
      <x:c r="G92" s="12" t="n">
        <x:v>3475.7473</x:v>
      </x:c>
      <x:c r="H92" s="12" t="n">
        <x:v>-5.6047</x:v>
      </x:c>
      <x:c r="I92" s="12" t="n">
        <x:v>-0.1613</x:v>
      </x:c>
      <x:c r="J92" s="12" t="n">
        <x:v>-0.0016138180412017936</x:v>
      </x:c>
      <x:c r="K92" s="12" t="n">
        <x:v>117383922</x:v>
      </x:c>
      <x:c r="L92" s="12" t="n">
        <x:v>119188508.676</x:v>
      </x:c>
      <x:c r="M92" s="12" t="str">
        <x:v>TuShare index_daily</x:v>
      </x:c>
    </x:row>
    <x:row r="93" ht="18" customHeight="1">
      <x:c r="A93" s="13" t="n">
        <x:v>42713</x:v>
      </x:c>
      <x:c r="B93" s="12" t="str">
        <x:v>000300.SH</x:v>
      </x:c>
      <x:c r="C93" s="12" t="n">
        <x:v>3464.8733</x:v>
      </x:c>
      <x:c r="D93" s="12" t="n">
        <x:v>3507.9276</x:v>
      </x:c>
      <x:c r="E93" s="12" t="n">
        <x:v>3461.7612</x:v>
      </x:c>
      <x:c r="F93" s="12" t="n">
        <x:v>3493.7004</x:v>
      </x:c>
      <x:c r="G93" s="12" t="n">
        <x:v>3470.1426</x:v>
      </x:c>
      <x:c r="H93" s="12" t="n">
        <x:v>23.5578</x:v>
      </x:c>
      <x:c r="I93" s="12" t="n">
        <x:v>0.6789</x:v>
      </x:c>
      <x:c r="J93" s="12" t="n">
        <x:v>0.006765772825280966</x:v>
      </x:c>
      <x:c r="K93" s="12" t="n">
        <x:v>150303308</x:v>
      </x:c>
      <x:c r="L93" s="12" t="n">
        <x:v>152674867.707</x:v>
      </x:c>
      <x:c r="M93" s="12" t="str">
        <x:v>TuShare index_daily</x:v>
      </x:c>
    </x:row>
    <x:row r="94" ht="18" customHeight="1">
      <x:c r="A94" s="13" t="n">
        <x:v>42716</x:v>
      </x:c>
      <x:c r="B94" s="12" t="str">
        <x:v>000300.SH</x:v>
      </x:c>
      <x:c r="C94" s="12" t="n">
        <x:v>3489.2683</x:v>
      </x:c>
      <x:c r="D94" s="12" t="n">
        <x:v>3495.8022</x:v>
      </x:c>
      <x:c r="E94" s="12" t="n">
        <x:v>3400.793</x:v>
      </x:c>
      <x:c r="F94" s="12" t="n">
        <x:v>3409.1794</x:v>
      </x:c>
      <x:c r="G94" s="12" t="n">
        <x:v>3493.7004</x:v>
      </x:c>
      <x:c r="H94" s="12" t="n">
        <x:v>-84.521</x:v>
      </x:c>
      <x:c r="I94" s="12" t="n">
        <x:v>-2.4192</x:v>
      </x:c>
      <x:c r="J94" s="12" t="n">
        <x:v>-0.024489843866090665</x:v>
      </x:c>
      <x:c r="K94" s="12" t="n">
        <x:v>187467751</x:v>
      </x:c>
      <x:c r="L94" s="12" t="n">
        <x:v>199163540.831</x:v>
      </x:c>
      <x:c r="M94" s="12" t="str">
        <x:v>TuShare index_daily</x:v>
      </x:c>
    </x:row>
    <x:row r="95" ht="18" customHeight="1">
      <x:c r="A95" s="13" t="n">
        <x:v>42717</x:v>
      </x:c>
      <x:c r="B95" s="12" t="str">
        <x:v>000300.SH</x:v>
      </x:c>
      <x:c r="C95" s="12" t="n">
        <x:v>3394.2072</x:v>
      </x:c>
      <x:c r="D95" s="12" t="n">
        <x:v>3416.2147</x:v>
      </x:c>
      <x:c r="E95" s="12" t="n">
        <x:v>3370.5956</x:v>
      </x:c>
      <x:c r="F95" s="12" t="n">
        <x:v>3405.0355</x:v>
      </x:c>
      <x:c r="G95" s="12" t="n">
        <x:v>3409.1794</x:v>
      </x:c>
      <x:c r="H95" s="12" t="n">
        <x:v>-4.1439</x:v>
      </x:c>
      <x:c r="I95" s="12" t="n">
        <x:v>-0.1216</x:v>
      </x:c>
      <x:c r="J95" s="12" t="n">
        <x:v>-0.0012162517829687064</x:v>
      </x:c>
      <x:c r="K95" s="12" t="n">
        <x:v>121105097</x:v>
      </x:c>
      <x:c r="L95" s="12" t="n">
        <x:v>124454188.749</x:v>
      </x:c>
      <x:c r="M95" s="12" t="str">
        <x:v>TuShare index_daily</x:v>
      </x:c>
    </x:row>
    <x:row r="96" ht="18" customHeight="1">
      <x:c r="A96" s="13" t="n">
        <x:v>42718</x:v>
      </x:c>
      <x:c r="B96" s="12" t="str">
        <x:v>000300.SH</x:v>
      </x:c>
      <x:c r="C96" s="12" t="n">
        <x:v>3399.4113</x:v>
      </x:c>
      <x:c r="D96" s="12" t="n">
        <x:v>3412.2795</x:v>
      </x:c>
      <x:c r="E96" s="12" t="n">
        <x:v>3378.2656</x:v>
      </x:c>
      <x:c r="F96" s="12" t="n">
        <x:v>3378.9453</x:v>
      </x:c>
      <x:c r="G96" s="12" t="n">
        <x:v>3405.0355</x:v>
      </x:c>
      <x:c r="H96" s="12" t="n">
        <x:v>-26.0902</x:v>
      </x:c>
      <x:c r="I96" s="12" t="n">
        <x:v>-0.7662</x:v>
      </x:c>
      <x:c r="J96" s="12" t="n">
        <x:v>-0.00769174601171859</x:v>
      </x:c>
      <x:c r="K96" s="12" t="n">
        <x:v>124007744</x:v>
      </x:c>
      <x:c r="L96" s="12" t="n">
        <x:v>126182669.414</x:v>
      </x:c>
      <x:c r="M96" s="12" t="str">
        <x:v>TuShare index_daily</x:v>
      </x:c>
    </x:row>
    <x:row r="97" ht="18" customHeight="1">
      <x:c r="A97" s="13" t="n">
        <x:v>42719</x:v>
      </x:c>
      <x:c r="B97" s="12" t="str">
        <x:v>000300.SH</x:v>
      </x:c>
      <x:c r="C97" s="12" t="n">
        <x:v>3363.8597</x:v>
      </x:c>
      <x:c r="D97" s="12" t="n">
        <x:v>3378.0367</x:v>
      </x:c>
      <x:c r="E97" s="12" t="n">
        <x:v>3327.1429</x:v>
      </x:c>
      <x:c r="F97" s="12" t="n">
        <x:v>3340.4338</x:v>
      </x:c>
      <x:c r="G97" s="12" t="n">
        <x:v>3378.9453</x:v>
      </x:c>
      <x:c r="H97" s="12" t="n">
        <x:v>-38.5115</x:v>
      </x:c>
      <x:c r="I97" s="12" t="n">
        <x:v>-1.1397</x:v>
      </x:c>
      <x:c r="J97" s="12" t="n">
        <x:v>-0.011462940585333025</x:v>
      </x:c>
      <x:c r="K97" s="12" t="n">
        <x:v>114960660</x:v>
      </x:c>
      <x:c r="L97" s="12" t="n">
        <x:v>121507811.54</x:v>
      </x:c>
      <x:c r="M97" s="12" t="str">
        <x:v>TuShare index_daily</x:v>
      </x:c>
    </x:row>
    <x:row r="98" ht="18" customHeight="1">
      <x:c r="A98" s="13" t="n">
        <x:v>42720</x:v>
      </x:c>
      <x:c r="B98" s="12" t="str">
        <x:v>000300.SH</x:v>
      </x:c>
      <x:c r="C98" s="12" t="n">
        <x:v>3335.3625</x:v>
      </x:c>
      <x:c r="D98" s="12" t="n">
        <x:v>3356.2916</x:v>
      </x:c>
      <x:c r="E98" s="12" t="n">
        <x:v>3330.4928</x:v>
      </x:c>
      <x:c r="F98" s="12" t="n">
        <x:v>3346.0305</x:v>
      </x:c>
      <x:c r="G98" s="12" t="n">
        <x:v>3340.4338</x:v>
      </x:c>
      <x:c r="H98" s="12" t="n">
        <x:v>5.5967</x:v>
      </x:c>
      <x:c r="I98" s="12" t="n">
        <x:v>0.1675</x:v>
      </x:c>
      <x:c r="J98" s="12" t="n">
        <x:v>0.0016740390902915004</x:v>
      </x:c>
      <x:c r="K98" s="12" t="n">
        <x:v>90775422</x:v>
      </x:c>
      <x:c r="L98" s="12" t="n">
        <x:v>98112206.845</x:v>
      </x:c>
      <x:c r="M98" s="12" t="str">
        <x:v>TuShare index_daily</x:v>
      </x:c>
    </x:row>
    <x:row r="99" ht="18" customHeight="1">
      <x:c r="A99" s="13" t="n">
        <x:v>42723</x:v>
      </x:c>
      <x:c r="B99" s="12" t="str">
        <x:v>000300.SH</x:v>
      </x:c>
      <x:c r="C99" s="12" t="n">
        <x:v>3342.3449</x:v>
      </x:c>
      <x:c r="D99" s="12" t="n">
        <x:v>3344.8584</x:v>
      </x:c>
      <x:c r="E99" s="12" t="n">
        <x:v>3324.9986</x:v>
      </x:c>
      <x:c r="F99" s="12" t="n">
        <x:v>3328.9827</x:v>
      </x:c>
      <x:c r="G99" s="12" t="n">
        <x:v>3346.0305</x:v>
      </x:c>
      <x:c r="H99" s="12" t="n">
        <x:v>-17.0478</x:v>
      </x:c>
      <x:c r="I99" s="12" t="n">
        <x:v>-0.5095</x:v>
      </x:c>
      <x:c r="J99" s="12" t="n">
        <x:v>-0.00510795606111114</x:v>
      </x:c>
      <x:c r="K99" s="12" t="n">
        <x:v>81640678</x:v>
      </x:c>
      <x:c r="L99" s="12" t="n">
        <x:v>86095693.838</x:v>
      </x:c>
      <x:c r="M99" s="12" t="str">
        <x:v>TuShare index_daily</x:v>
      </x:c>
    </x:row>
    <x:row r="100" ht="18" customHeight="1">
      <x:c r="A100" s="13" t="n">
        <x:v>42724</x:v>
      </x:c>
      <x:c r="B100" s="12" t="str">
        <x:v>000300.SH</x:v>
      </x:c>
      <x:c r="C100" s="12" t="n">
        <x:v>3328.2985</x:v>
      </x:c>
      <x:c r="D100" s="12" t="n">
        <x:v>3329.1022</x:v>
      </x:c>
      <x:c r="E100" s="12" t="n">
        <x:v>3289.2682</x:v>
      </x:c>
      <x:c r="F100" s="12" t="n">
        <x:v>3309.0641</x:v>
      </x:c>
      <x:c r="G100" s="12" t="n">
        <x:v>3328.9827</x:v>
      </x:c>
      <x:c r="H100" s="12" t="n">
        <x:v>-19.9186</x:v>
      </x:c>
      <x:c r="I100" s="12" t="n">
        <x:v>-0.5983</x:v>
      </x:c>
      <x:c r="J100" s="12" t="n">
        <x:v>-0.006001361660447885</x:v>
      </x:c>
      <x:c r="K100" s="12" t="n">
        <x:v>87569592</x:v>
      </x:c>
      <x:c r="L100" s="12" t="n">
        <x:v>88527345.889</x:v>
      </x:c>
      <x:c r="M100" s="12" t="str">
        <x:v>TuShare index_daily</x:v>
      </x:c>
    </x:row>
    <x:row r="101" ht="18" customHeight="1">
      <x:c r="A101" s="13" t="n">
        <x:v>42725</x:v>
      </x:c>
      <x:c r="B101" s="12" t="str">
        <x:v>000300.SH</x:v>
      </x:c>
      <x:c r="C101" s="12" t="n">
        <x:v>3313.7451</x:v>
      </x:c>
      <x:c r="D101" s="12" t="n">
        <x:v>3342.4761</x:v>
      </x:c>
      <x:c r="E101" s="12" t="n">
        <x:v>3313.7451</x:v>
      </x:c>
      <x:c r="F101" s="12" t="n">
        <x:v>3338.536</x:v>
      </x:c>
      <x:c r="G101" s="12" t="n">
        <x:v>3309.0641</x:v>
      </x:c>
      <x:c r="H101" s="12" t="n">
        <x:v>29.4719</x:v>
      </x:c>
      <x:c r="I101" s="12" t="n">
        <x:v>0.8906</x:v>
      </x:c>
      <x:c r="J101" s="12" t="n">
        <x:v>0.008866987380399797</x:v>
      </x:c>
      <x:c r="K101" s="12" t="n">
        <x:v>108254995</x:v>
      </x:c>
      <x:c r="L101" s="12" t="n">
        <x:v>106205485.213</x:v>
      </x:c>
      <x:c r="M101" s="12" t="str">
        <x:v>TuShare index_daily</x:v>
      </x:c>
    </x:row>
    <x:row r="102" ht="18" customHeight="1">
      <x:c r="A102" s="13" t="n">
        <x:v>42726</x:v>
      </x:c>
      <x:c r="B102" s="12" t="str">
        <x:v>000300.SH</x:v>
      </x:c>
      <x:c r="C102" s="12" t="n">
        <x:v>3335.1218</x:v>
      </x:c>
      <x:c r="D102" s="12" t="n">
        <x:v>3340.3628</x:v>
      </x:c>
      <x:c r="E102" s="12" t="n">
        <x:v>3322.7196</x:v>
      </x:c>
      <x:c r="F102" s="12" t="n">
        <x:v>3335.672</x:v>
      </x:c>
      <x:c r="G102" s="12" t="n">
        <x:v>3338.536</x:v>
      </x:c>
      <x:c r="H102" s="12" t="n">
        <x:v>-2.864</x:v>
      </x:c>
      <x:c r="I102" s="12" t="n">
        <x:v>-0.0858</x:v>
      </x:c>
      <x:c r="J102" s="12" t="n">
        <x:v>-0.0008582292238395543</x:v>
      </x:c>
      <x:c r="K102" s="12" t="n">
        <x:v>92277249</x:v>
      </x:c>
      <x:c r="L102" s="12" t="n">
        <x:v>92564877.57</x:v>
      </x:c>
      <x:c r="M102" s="12" t="str">
        <x:v>TuShare index_daily</x:v>
      </x:c>
    </x:row>
    <x:row r="103" ht="18" customHeight="1">
      <x:c r="A103" s="13" t="n">
        <x:v>42727</x:v>
      </x:c>
      <x:c r="B103" s="12" t="str">
        <x:v>000300.SH</x:v>
      </x:c>
      <x:c r="C103" s="12" t="n">
        <x:v>3333.4009</x:v>
      </x:c>
      <x:c r="D103" s="12" t="n">
        <x:v>3334.8937</x:v>
      </x:c>
      <x:c r="E103" s="12" t="n">
        <x:v>3300.8843</x:v>
      </x:c>
      <x:c r="F103" s="12" t="n">
        <x:v>3307.5991</x:v>
      </x:c>
      <x:c r="G103" s="12" t="n">
        <x:v>3335.672</x:v>
      </x:c>
      <x:c r="H103" s="12" t="n">
        <x:v>-28.0729</x:v>
      </x:c>
      <x:c r="I103" s="12" t="n">
        <x:v>-0.8416</x:v>
      </x:c>
      <x:c r="J103" s="12" t="n">
        <x:v>-0.008451579554493814</x:v>
      </x:c>
      <x:c r="K103" s="12" t="n">
        <x:v>97444713</x:v>
      </x:c>
      <x:c r="L103" s="12" t="n">
        <x:v>99575473.231</x:v>
      </x:c>
      <x:c r="M103" s="12" t="str">
        <x:v>TuShare index_daily</x:v>
      </x:c>
    </x:row>
    <x:row r="104" ht="18" customHeight="1">
      <x:c r="A104" s="13" t="n">
        <x:v>42730</x:v>
      </x:c>
      <x:c r="B104" s="12" t="str">
        <x:v>000300.SH</x:v>
      </x:c>
      <x:c r="C104" s="12" t="n">
        <x:v>3293.2236</x:v>
      </x:c>
      <x:c r="D104" s="12" t="n">
        <x:v>3322.4212</x:v>
      </x:c>
      <x:c r="E104" s="12" t="n">
        <x:v>3267.0481</x:v>
      </x:c>
      <x:c r="F104" s="12" t="n">
        <x:v>3322.4006</x:v>
      </x:c>
      <x:c r="G104" s="12" t="n">
        <x:v>3307.5991</x:v>
      </x:c>
      <x:c r="H104" s="12" t="n">
        <x:v>14.8015</x:v>
      </x:c>
      <x:c r="I104" s="12" t="n">
        <x:v>0.4475</x:v>
      </x:c>
      <x:c r="J104" s="12" t="n">
        <x:v>0.004465015161512447</x:v>
      </x:c>
      <x:c r="K104" s="12" t="n">
        <x:v>89793982</x:v>
      </x:c>
      <x:c r="L104" s="12" t="n">
        <x:v>95493219.936</x:v>
      </x:c>
      <x:c r="M104" s="12" t="str">
        <x:v>TuShare index_daily</x:v>
      </x:c>
    </x:row>
    <x:row r="105" ht="18" customHeight="1">
      <x:c r="A105" s="13" t="n">
        <x:v>42731</x:v>
      </x:c>
      <x:c r="B105" s="12" t="str">
        <x:v>000300.SH</x:v>
      </x:c>
      <x:c r="C105" s="12" t="n">
        <x:v>3319.2061</x:v>
      </x:c>
      <x:c r="D105" s="12" t="n">
        <x:v>3330.2324</x:v>
      </x:c>
      <x:c r="E105" s="12" t="n">
        <x:v>3315.8318</x:v>
      </x:c>
      <x:c r="F105" s="12" t="n">
        <x:v>3316.3852</x:v>
      </x:c>
      <x:c r="G105" s="12" t="n">
        <x:v>3322.4006</x:v>
      </x:c>
      <x:c r="H105" s="12" t="n">
        <x:v>-6.0154</x:v>
      </x:c>
      <x:c r="I105" s="12" t="n">
        <x:v>-0.1811</x:v>
      </x:c>
      <x:c r="J105" s="12" t="n">
        <x:v>-0.001812199347129835</x:v>
      </x:c>
      <x:c r="K105" s="12" t="n">
        <x:v>75486359</x:v>
      </x:c>
      <x:c r="L105" s="12" t="n">
        <x:v>79617133.03</x:v>
      </x:c>
      <x:c r="M105" s="12" t="str">
        <x:v>TuShare index_daily</x:v>
      </x:c>
    </x:row>
    <x:row r="106" ht="18" customHeight="1">
      <x:c r="A106" s="13" t="n">
        <x:v>42732</x:v>
      </x:c>
      <x:c r="B106" s="12" t="str">
        <x:v>000300.SH</x:v>
      </x:c>
      <x:c r="C106" s="12" t="n">
        <x:v>3315.7526</x:v>
      </x:c>
      <x:c r="D106" s="12" t="n">
        <x:v>3320.5467</x:v>
      </x:c>
      <x:c r="E106" s="12" t="n">
        <x:v>3293.1737</x:v>
      </x:c>
      <x:c r="F106" s="12" t="n">
        <x:v>3301.8887</x:v>
      </x:c>
      <x:c r="G106" s="12" t="n">
        <x:v>3316.3852</x:v>
      </x:c>
      <x:c r="H106" s="12" t="n">
        <x:v>-14.4965</x:v>
      </x:c>
      <x:c r="I106" s="12" t="n">
        <x:v>-0.4371</x:v>
      </x:c>
      <x:c r="J106" s="12" t="n">
        <x:v>-0.004380756494092432</x:v>
      </x:c>
      <x:c r="K106" s="12" t="n">
        <x:v>69000437</x:v>
      </x:c>
      <x:c r="L106" s="12" t="n">
        <x:v>71759839.566</x:v>
      </x:c>
      <x:c r="M106" s="12" t="str">
        <x:v>TuShare index_daily</x:v>
      </x:c>
    </x:row>
    <x:row r="107" ht="18" customHeight="1">
      <x:c r="A107" s="13" t="n">
        <x:v>42733</x:v>
      </x:c>
      <x:c r="B107" s="12" t="str">
        <x:v>000300.SH</x:v>
      </x:c>
      <x:c r="C107" s="12" t="n">
        <x:v>3297.036</x:v>
      </x:c>
      <x:c r="D107" s="12" t="n">
        <x:v>3312.113</x:v>
      </x:c>
      <x:c r="E107" s="12" t="n">
        <x:v>3288.0959</x:v>
      </x:c>
      <x:c r="F107" s="12" t="n">
        <x:v>3297.7648</x:v>
      </x:c>
      <x:c r="G107" s="12" t="n">
        <x:v>3301.8887</x:v>
      </x:c>
      <x:c r="H107" s="12" t="n">
        <x:v>-4.1239</x:v>
      </x:c>
      <x:c r="I107" s="12" t="n">
        <x:v>-0.1249</x:v>
      </x:c>
      <x:c r="J107" s="12" t="n">
        <x:v>-0.0012497324402671603</x:v>
      </x:c>
      <x:c r="K107" s="12" t="n">
        <x:v>70087923</x:v>
      </x:c>
      <x:c r="L107" s="12" t="n">
        <x:v>75972960.431</x:v>
      </x:c>
      <x:c r="M107" s="12" t="str">
        <x:v>TuShare index_daily</x:v>
      </x:c>
    </x:row>
    <x:row r="108" ht="18" customHeight="1">
      <x:c r="A108" s="13" t="n">
        <x:v>42734</x:v>
      </x:c>
      <x:c r="B108" s="12" t="str">
        <x:v>000300.SH</x:v>
      </x:c>
      <x:c r="C108" s="12" t="n">
        <x:v>3302.5993</x:v>
      </x:c>
      <x:c r="D108" s="12" t="n">
        <x:v>3313.5497</x:v>
      </x:c>
      <x:c r="E108" s="12" t="n">
        <x:v>3295.7513</x:v>
      </x:c>
      <x:c r="F108" s="12" t="n">
        <x:v>3310.0808</x:v>
      </x:c>
      <x:c r="G108" s="12" t="n">
        <x:v>3297.7648</x:v>
      </x:c>
      <x:c r="H108" s="12" t="n">
        <x:v>12.316</x:v>
      </x:c>
      <x:c r="I108" s="12" t="n">
        <x:v>0.3735</x:v>
      </x:c>
      <x:c r="J108" s="12" t="n">
        <x:v>0.003727694321920061</x:v>
      </x:c>
      <x:c r="K108" s="12" t="n">
        <x:v>71744116</x:v>
      </x:c>
      <x:c r="L108" s="12" t="n">
        <x:v>76921368.838</x:v>
      </x:c>
      <x:c r="M108" s="12" t="str">
        <x:v>TuShare index_daily</x:v>
      </x:c>
    </x:row>
    <x:row r="109" ht="18" customHeight="1">
      <x:c r="A109" s="13" t="n">
        <x:v>42738</x:v>
      </x:c>
      <x:c r="B109" s="12" t="str">
        <x:v>000300.SH</x:v>
      </x:c>
      <x:c r="C109" s="12" t="n">
        <x:v>3313.9534</x:v>
      </x:c>
      <x:c r="D109" s="12" t="n">
        <x:v>3345.2629</x:v>
      </x:c>
      <x:c r="E109" s="12" t="n">
        <x:v>3313.9534</x:v>
      </x:c>
      <x:c r="F109" s="12" t="n">
        <x:v>3342.2272</x:v>
      </x:c>
      <x:c r="G109" s="12" t="n">
        <x:v>3310.0808</x:v>
      </x:c>
      <x:c r="H109" s="12" t="n">
        <x:v>32.1464</x:v>
      </x:c>
      <x:c r="I109" s="12" t="n">
        <x:v>0.9712</x:v>
      </x:c>
      <x:c r="J109" s="12" t="n">
        <x:v>0.009664811138848765</x:v>
      </x:c>
      <x:c r="K109" s="12" t="n">
        <x:v>86567896</x:v>
      </x:c>
      <x:c r="L109" s="12" t="n">
        <x:v>87612765.768</x:v>
      </x:c>
      <x:c r="M109" s="12" t="str">
        <x:v>TuShare index_daily</x:v>
      </x:c>
    </x:row>
    <x:row r="110" ht="18" customHeight="1">
      <x:c r="A110" s="13" t="n">
        <x:v>42739</x:v>
      </x:c>
      <x:c r="B110" s="12" t="str">
        <x:v>000300.SH</x:v>
      </x:c>
      <x:c r="C110" s="12" t="n">
        <x:v>3340.5576</x:v>
      </x:c>
      <x:c r="D110" s="12" t="n">
        <x:v>3369.5658</x:v>
      </x:c>
      <x:c r="E110" s="12" t="n">
        <x:v>3338.1527</x:v>
      </x:c>
      <x:c r="F110" s="12" t="n">
        <x:v>3368.3117</x:v>
      </x:c>
      <x:c r="G110" s="12" t="n">
        <x:v>3342.2272</x:v>
      </x:c>
      <x:c r="H110" s="12" t="n">
        <x:v>26.0845</x:v>
      </x:c>
      <x:c r="I110" s="12" t="n">
        <x:v>0.7805</x:v>
      </x:c>
      <x:c r="J110" s="12" t="n">
        <x:v>0.007774228497749764</x:v>
      </x:c>
      <x:c r="K110" s="12" t="n">
        <x:v>90050827</x:v>
      </x:c>
      <x:c r="L110" s="12" t="n">
        <x:v>98014355.468</x:v>
      </x:c>
      <x:c r="M110" s="12" t="str">
        <x:v>TuShare index_daily</x:v>
      </x:c>
    </x:row>
    <x:row r="111" ht="18" customHeight="1">
      <x:c r="A111" s="13" t="n">
        <x:v>42740</x:v>
      </x:c>
      <x:c r="B111" s="12" t="str">
        <x:v>000300.SH</x:v>
      </x:c>
      <x:c r="C111" s="12" t="n">
        <x:v>3368.3402</x:v>
      </x:c>
      <x:c r="D111" s="12" t="n">
        <x:v>3373.4119</x:v>
      </x:c>
      <x:c r="E111" s="12" t="n">
        <x:v>3361.462</x:v>
      </x:c>
      <x:c r="F111" s="12" t="n">
        <x:v>3367.7892</x:v>
      </x:c>
      <x:c r="G111" s="12" t="n">
        <x:v>3368.3117</x:v>
      </x:c>
      <x:c r="H111" s="12" t="n">
        <x:v>-0.5225</x:v>
      </x:c>
      <x:c r="I111" s="12" t="n">
        <x:v>-0.0155</x:v>
      </x:c>
      <x:c r="J111" s="12" t="n">
        <x:v>-0.0001551342560940013</x:v>
      </x:c>
      <x:c r="K111" s="12" t="n">
        <x:v>88336357</x:v>
      </x:c>
      <x:c r="L111" s="12" t="n">
        <x:v>91189339.582</x:v>
      </x:c>
      <x:c r="M111" s="12" t="str">
        <x:v>TuShare index_daily</x:v>
      </x:c>
    </x:row>
    <x:row r="112" ht="18" customHeight="1">
      <x:c r="A112" s="13" t="n">
        <x:v>42741</x:v>
      </x:c>
      <x:c r="B112" s="12" t="str">
        <x:v>000300.SH</x:v>
      </x:c>
      <x:c r="C112" s="12" t="n">
        <x:v>3366.8522</x:v>
      </x:c>
      <x:c r="D112" s="12" t="n">
        <x:v>3368.8705</x:v>
      </x:c>
      <x:c r="E112" s="12" t="n">
        <x:v>3346.8914</x:v>
      </x:c>
      <x:c r="F112" s="12" t="n">
        <x:v>3347.6665</x:v>
      </x:c>
      <x:c r="G112" s="12" t="n">
        <x:v>3367.7892</x:v>
      </x:c>
      <x:c r="H112" s="12" t="n">
        <x:v>-20.1227</x:v>
      </x:c>
      <x:c r="I112" s="12" t="n">
        <x:v>-0.5975</x:v>
      </x:c>
      <x:c r="J112" s="12" t="n">
        <x:v>-0.005992969390497952</x:v>
      </x:c>
      <x:c r="K112" s="12" t="n">
        <x:v>87459114</x:v>
      </x:c>
      <x:c r="L112" s="12" t="n">
        <x:v>91072256.748</x:v>
      </x:c>
      <x:c r="M112" s="12" t="str">
        <x:v>TuShare index_daily</x:v>
      </x:c>
    </x:row>
    <x:row r="113" ht="18" customHeight="1">
      <x:c r="A113" s="13" t="n">
        <x:v>42744</x:v>
      </x:c>
      <x:c r="B113" s="12" t="str">
        <x:v>000300.SH</x:v>
      </x:c>
      <x:c r="C113" s="12" t="n">
        <x:v>3345.7483</x:v>
      </x:c>
      <x:c r="D113" s="12" t="n">
        <x:v>3366.2219</x:v>
      </x:c>
      <x:c r="E113" s="12" t="n">
        <x:v>3344.3472</x:v>
      </x:c>
      <x:c r="F113" s="12" t="n">
        <x:v>3363.9014</x:v>
      </x:c>
      <x:c r="G113" s="12" t="n">
        <x:v>3347.6665</x:v>
      </x:c>
      <x:c r="H113" s="12" t="n">
        <x:v>16.2349</x:v>
      </x:c>
      <x:c r="I113" s="12" t="n">
        <x:v>0.485</x:v>
      </x:c>
      <x:c r="J113" s="12" t="n">
        <x:v>0.004837895379147162</x:v>
      </x:c>
      <x:c r="K113" s="12" t="n">
        <x:v>83707942</x:v>
      </x:c>
      <x:c r="L113" s="12" t="n">
        <x:v>87916115.243</x:v>
      </x:c>
      <x:c r="M113" s="12" t="str">
        <x:v>TuShare index_daily</x:v>
      </x:c>
    </x:row>
    <x:row r="114" ht="18" customHeight="1">
      <x:c r="A114" s="13" t="n">
        <x:v>42745</x:v>
      </x:c>
      <x:c r="B114" s="12" t="str">
        <x:v>000300.SH</x:v>
      </x:c>
      <x:c r="C114" s="12" t="n">
        <x:v>3361.6394</x:v>
      </x:c>
      <x:c r="D114" s="12" t="n">
        <x:v>3370.5051</x:v>
      </x:c>
      <x:c r="E114" s="12" t="n">
        <x:v>3354.0878</x:v>
      </x:c>
      <x:c r="F114" s="12" t="n">
        <x:v>3358.2716</x:v>
      </x:c>
      <x:c r="G114" s="12" t="n">
        <x:v>3363.9014</x:v>
      </x:c>
      <x:c r="H114" s="12" t="n">
        <x:v>-5.6298</x:v>
      </x:c>
      <x:c r="I114" s="12" t="n">
        <x:v>-0.1674</x:v>
      </x:c>
      <x:c r="J114" s="12" t="n">
        <x:v>-0.0016749944746291014</x:v>
      </x:c>
      <x:c r="K114" s="12" t="n">
        <x:v>83819160</x:v>
      </x:c>
      <x:c r="L114" s="12" t="n">
        <x:v>82533965.08</x:v>
      </x:c>
      <x:c r="M114" s="12" t="str">
        <x:v>TuShare index_daily</x:v>
      </x:c>
    </x:row>
    <x:row r="115" ht="18" customHeight="1">
      <x:c r="A115" s="13" t="n">
        <x:v>42746</x:v>
      </x:c>
      <x:c r="B115" s="12" t="str">
        <x:v>000300.SH</x:v>
      </x:c>
      <x:c r="C115" s="12" t="n">
        <x:v>3355.8008</x:v>
      </x:c>
      <x:c r="D115" s="12" t="n">
        <x:v>3366.6315</x:v>
      </x:c>
      <x:c r="E115" s="12" t="n">
        <x:v>3334.2978</x:v>
      </x:c>
      <x:c r="F115" s="12" t="n">
        <x:v>3334.4954</x:v>
      </x:c>
      <x:c r="G115" s="12" t="n">
        <x:v>3358.2716</x:v>
      </x:c>
      <x:c r="H115" s="12" t="n">
        <x:v>-23.7762</x:v>
      </x:c>
      <x:c r="I115" s="12" t="n">
        <x:v>-0.708</x:v>
      </x:c>
      <x:c r="J115" s="12" t="n">
        <x:v>-0.007105073289585152</x:v>
      </x:c>
      <x:c r="K115" s="12" t="n">
        <x:v>91071438</x:v>
      </x:c>
      <x:c r="L115" s="12" t="n">
        <x:v>86750457.122</x:v>
      </x:c>
      <x:c r="M115" s="12" t="str">
        <x:v>TuShare index_daily</x:v>
      </x:c>
    </x:row>
    <x:row r="116" ht="18" customHeight="1">
      <x:c r="A116" s="13" t="n">
        <x:v>42747</x:v>
      </x:c>
      <x:c r="B116" s="12" t="str">
        <x:v>000300.SH</x:v>
      </x:c>
      <x:c r="C116" s="12" t="n">
        <x:v>3332.6857</x:v>
      </x:c>
      <x:c r="D116" s="12" t="n">
        <x:v>3343.1279</x:v>
      </x:c>
      <x:c r="E116" s="12" t="n">
        <x:v>3315.9629</x:v>
      </x:c>
      <x:c r="F116" s="12" t="n">
        <x:v>3317.6241</x:v>
      </x:c>
      <x:c r="G116" s="12" t="n">
        <x:v>3334.4954</x:v>
      </x:c>
      <x:c r="H116" s="12" t="n">
        <x:v>-16.8713</x:v>
      </x:c>
      <x:c r="I116" s="12" t="n">
        <x:v>-0.506</x:v>
      </x:c>
      <x:c r="J116" s="12" t="n">
        <x:v>-0.005072469361016922</x:v>
      </x:c>
      <x:c r="K116" s="12" t="n">
        <x:v>81239135</x:v>
      </x:c>
      <x:c r="L116" s="12" t="n">
        <x:v>75031886.874</x:v>
      </x:c>
      <x:c r="M116" s="12" t="str">
        <x:v>TuShare index_daily</x:v>
      </x:c>
    </x:row>
    <x:row r="117" ht="18" customHeight="1">
      <x:c r="A117" s="13" t="n">
        <x:v>42748</x:v>
      </x:c>
      <x:c r="B117" s="12" t="str">
        <x:v>000300.SH</x:v>
      </x:c>
      <x:c r="C117" s="12" t="n">
        <x:v>3317.9625</x:v>
      </x:c>
      <x:c r="D117" s="12" t="n">
        <x:v>3338.174</x:v>
      </x:c>
      <x:c r="E117" s="12" t="n">
        <x:v>3309.3741</x:v>
      </x:c>
      <x:c r="F117" s="12" t="n">
        <x:v>3319.9122</x:v>
      </x:c>
      <x:c r="G117" s="12" t="n">
        <x:v>3317.6241</x:v>
      </x:c>
      <x:c r="H117" s="12" t="n">
        <x:v>2.2881</x:v>
      </x:c>
      <x:c r="I117" s="12" t="n">
        <x:v>0.069</x:v>
      </x:c>
      <x:c r="J117" s="12" t="n">
        <x:v>0.0006894425844824638</x:v>
      </x:c>
      <x:c r="K117" s="12" t="n">
        <x:v>84180589</x:v>
      </x:c>
      <x:c r="L117" s="12" t="n">
        <x:v>84556101.403</x:v>
      </x:c>
      <x:c r="M117" s="12" t="str">
        <x:v>TuShare index_daily</x:v>
      </x:c>
    </x:row>
    <x:row r="118" ht="18" customHeight="1">
      <x:c r="A118" s="13" t="n">
        <x:v>42751</x:v>
      </x:c>
      <x:c r="B118" s="12" t="str">
        <x:v>000300.SH</x:v>
      </x:c>
      <x:c r="C118" s="12" t="n">
        <x:v>3314.1507</x:v>
      </x:c>
      <x:c r="D118" s="12" t="n">
        <x:v>3322.7819</x:v>
      </x:c>
      <x:c r="E118" s="12" t="n">
        <x:v>3264.2071</x:v>
      </x:c>
      <x:c r="F118" s="12" t="n">
        <x:v>3319.4455</x:v>
      </x:c>
      <x:c r="G118" s="12" t="n">
        <x:v>3319.9122</x:v>
      </x:c>
      <x:c r="H118" s="12" t="n">
        <x:v>-0.4667</x:v>
      </x:c>
      <x:c r="I118" s="12" t="n">
        <x:v>-0.0141</x:v>
      </x:c>
      <x:c r="J118" s="12" t="n">
        <x:v>-0.0001405858885322311</x:v>
      </x:c>
      <x:c r="K118" s="12" t="n">
        <x:v>157779135</x:v>
      </x:c>
      <x:c r="L118" s="12" t="n">
        <x:v>153262520.121</x:v>
      </x:c>
      <x:c r="M118" s="12" t="str">
        <x:v>TuShare index_daily</x:v>
      </x:c>
    </x:row>
    <x:row r="119" ht="18" customHeight="1">
      <x:c r="A119" s="13" t="n">
        <x:v>42752</x:v>
      </x:c>
      <x:c r="B119" s="12" t="str">
        <x:v>000300.SH</x:v>
      </x:c>
      <x:c r="C119" s="12" t="n">
        <x:v>3305.6001</x:v>
      </x:c>
      <x:c r="D119" s="12" t="n">
        <x:v>3327.3767</x:v>
      </x:c>
      <x:c r="E119" s="12" t="n">
        <x:v>3292.2044</x:v>
      </x:c>
      <x:c r="F119" s="12" t="n">
        <x:v>3326.3563</x:v>
      </x:c>
      <x:c r="G119" s="12" t="n">
        <x:v>3319.4455</x:v>
      </x:c>
      <x:c r="H119" s="12" t="n">
        <x:v>6.9108</x:v>
      </x:c>
      <x:c r="I119" s="12" t="n">
        <x:v>0.2082</x:v>
      </x:c>
      <x:c r="J119" s="12" t="n">
        <x:v>0.002079749802642117</x:v>
      </x:c>
      <x:c r="K119" s="12" t="n">
        <x:v>69453328</x:v>
      </x:c>
      <x:c r="L119" s="12" t="n">
        <x:v>74754505.696</x:v>
      </x:c>
      <x:c r="M119" s="12" t="str">
        <x:v>TuShare index_daily</x:v>
      </x:c>
    </x:row>
    <x:row r="120" ht="18" customHeight="1">
      <x:c r="A120" s="13" t="n">
        <x:v>42753</x:v>
      </x:c>
      <x:c r="B120" s="12" t="str">
        <x:v>000300.SH</x:v>
      </x:c>
      <x:c r="C120" s="12" t="n">
        <x:v>3323.3389</x:v>
      </x:c>
      <x:c r="D120" s="12" t="n">
        <x:v>3350.9619</x:v>
      </x:c>
      <x:c r="E120" s="12" t="n">
        <x:v>3320.4062</x:v>
      </x:c>
      <x:c r="F120" s="12" t="n">
        <x:v>3339.3653</x:v>
      </x:c>
      <x:c r="G120" s="12" t="n">
        <x:v>3326.3563</x:v>
      </x:c>
      <x:c r="H120" s="12" t="n">
        <x:v>13.009</x:v>
      </x:c>
      <x:c r="I120" s="12" t="n">
        <x:v>0.3911</x:v>
      </x:c>
      <x:c r="J120" s="12" t="n">
        <x:v>0.0039032582808338225</x:v>
      </x:c>
      <x:c r="K120" s="12" t="n">
        <x:v>70623227</x:v>
      </x:c>
      <x:c r="L120" s="12" t="n">
        <x:v>75680677.264</x:v>
      </x:c>
      <x:c r="M120" s="12" t="str">
        <x:v>TuShare index_daily</x:v>
      </x:c>
    </x:row>
    <x:row r="121" ht="18" customHeight="1">
      <x:c r="A121" s="13" t="n">
        <x:v>42754</x:v>
      </x:c>
      <x:c r="B121" s="12" t="str">
        <x:v>000300.SH</x:v>
      </x:c>
      <x:c r="C121" s="12" t="n">
        <x:v>3330.9522</x:v>
      </x:c>
      <x:c r="D121" s="12" t="n">
        <x:v>3346.4959</x:v>
      </x:c>
      <x:c r="E121" s="12" t="n">
        <x:v>3324.6835</x:v>
      </x:c>
      <x:c r="F121" s="12" t="n">
        <x:v>3329.2891</x:v>
      </x:c>
      <x:c r="G121" s="12" t="n">
        <x:v>3339.3653</x:v>
      </x:c>
      <x:c r="H121" s="12" t="n">
        <x:v>-10.0762</x:v>
      </x:c>
      <x:c r="I121" s="12" t="n">
        <x:v>-0.3017</x:v>
      </x:c>
      <x:c r="J121" s="12" t="n">
        <x:v>-0.003021961272486019</x:v>
      </x:c>
      <x:c r="K121" s="12" t="n">
        <x:v>66159808</x:v>
      </x:c>
      <x:c r="L121" s="12" t="n">
        <x:v>63869709.163</x:v>
      </x:c>
      <x:c r="M121" s="12" t="str">
        <x:v>TuShare index_daily</x:v>
      </x:c>
    </x:row>
    <x:row r="122" ht="18" customHeight="1">
      <x:c r="A122" s="13" t="n">
        <x:v>42755</x:v>
      </x:c>
      <x:c r="B122" s="12" t="str">
        <x:v>000300.SH</x:v>
      </x:c>
      <x:c r="C122" s="12" t="n">
        <x:v>3326.9773</x:v>
      </x:c>
      <x:c r="D122" s="12" t="n">
        <x:v>3358.4121</x:v>
      </x:c>
      <x:c r="E122" s="12" t="n">
        <x:v>3326.374</x:v>
      </x:c>
      <x:c r="F122" s="12" t="n">
        <x:v>3354.8891</x:v>
      </x:c>
      <x:c r="G122" s="12" t="n">
        <x:v>3329.2891</x:v>
      </x:c>
      <x:c r="H122" s="12" t="n">
        <x:v>25.6</x:v>
      </x:c>
      <x:c r="I122" s="12" t="n">
        <x:v>0.7689</x:v>
      </x:c>
      <x:c r="J122" s="12" t="n">
        <x:v>0.007659917017705633</x:v>
      </x:c>
      <x:c r="K122" s="12" t="n">
        <x:v>65300462</x:v>
      </x:c>
      <x:c r="L122" s="12" t="n">
        <x:v>70831324.31</x:v>
      </x:c>
      <x:c r="M122" s="12" t="str">
        <x:v>TuShare index_daily</x:v>
      </x:c>
    </x:row>
    <x:row r="123" ht="18" customHeight="1">
      <x:c r="A123" s="13" t="n">
        <x:v>42758</x:v>
      </x:c>
      <x:c r="B123" s="12" t="str">
        <x:v>000300.SH</x:v>
      </x:c>
      <x:c r="C123" s="12" t="n">
        <x:v>3359.0543</x:v>
      </x:c>
      <x:c r="D123" s="12" t="n">
        <x:v>3378.7388</x:v>
      </x:c>
      <x:c r="E123" s="12" t="n">
        <x:v>3355.8475</x:v>
      </x:c>
      <x:c r="F123" s="12" t="n">
        <x:v>3364.0808</x:v>
      </x:c>
      <x:c r="G123" s="12" t="n">
        <x:v>3354.8891</x:v>
      </x:c>
      <x:c r="H123" s="12" t="n">
        <x:v>9.1917</x:v>
      </x:c>
      <x:c r="I123" s="12" t="n">
        <x:v>0.274</x:v>
      </x:c>
      <x:c r="J123" s="12" t="n">
        <x:v>0.0027360461114876037</x:v>
      </x:c>
      <x:c r="K123" s="12" t="n">
        <x:v>75557498</x:v>
      </x:c>
      <x:c r="L123" s="12" t="n">
        <x:v>76492660.154</x:v>
      </x:c>
      <x:c r="M123" s="12" t="str">
        <x:v>TuShare index_daily</x:v>
      </x:c>
    </x:row>
    <x:row r="124" ht="18" customHeight="1">
      <x:c r="A124" s="13" t="n">
        <x:v>42759</x:v>
      </x:c>
      <x:c r="B124" s="12" t="str">
        <x:v>000300.SH</x:v>
      </x:c>
      <x:c r="C124" s="12" t="n">
        <x:v>3363.1374</x:v>
      </x:c>
      <x:c r="D124" s="12" t="n">
        <x:v>3371.32</x:v>
      </x:c>
      <x:c r="E124" s="12" t="n">
        <x:v>3355.899</x:v>
      </x:c>
      <x:c r="F124" s="12" t="n">
        <x:v>3364.4509</x:v>
      </x:c>
      <x:c r="G124" s="12" t="n">
        <x:v>3364.0808</x:v>
      </x:c>
      <x:c r="H124" s="12" t="n">
        <x:v>0.3701</x:v>
      </x:c>
      <x:c r="I124" s="12" t="n">
        <x:v>0.011</x:v>
      </x:c>
      <x:c r="J124" s="12" t="n">
        <x:v>0.00011000914222430327</x:v>
      </x:c>
      <x:c r="K124" s="12" t="n">
        <x:v>66194226</x:v>
      </x:c>
      <x:c r="L124" s="12" t="n">
        <x:v>66049651.289</x:v>
      </x:c>
      <x:c r="M124" s="12" t="str">
        <x:v>TuShare index_daily</x:v>
      </x:c>
    </x:row>
    <x:row r="125" ht="18" customHeight="1">
      <x:c r="A125" s="13" t="n">
        <x:v>42760</x:v>
      </x:c>
      <x:c r="B125" s="12" t="str">
        <x:v>000300.SH</x:v>
      </x:c>
      <x:c r="C125" s="12" t="n">
        <x:v>3361.6561</x:v>
      </x:c>
      <x:c r="D125" s="12" t="n">
        <x:v>3376.4415</x:v>
      </x:c>
      <x:c r="E125" s="12" t="n">
        <x:v>3357.2183</x:v>
      </x:c>
      <x:c r="F125" s="12" t="n">
        <x:v>3375.9042</x:v>
      </x:c>
      <x:c r="G125" s="12" t="n">
        <x:v>3364.4509</x:v>
      </x:c>
      <x:c r="H125" s="12" t="n">
        <x:v>11.4533</x:v>
      </x:c>
      <x:c r="I125" s="12" t="n">
        <x:v>0.3404</x:v>
      </x:c>
      <x:c r="J125" s="12" t="n">
        <x:v>0.0033984295643869795</x:v>
      </x:c>
      <x:c r="K125" s="12" t="n">
        <x:v>58376931</x:v>
      </x:c>
      <x:c r="L125" s="12" t="n">
        <x:v>62483395.802</x:v>
      </x:c>
      <x:c r="M125" s="12" t="str">
        <x:v>TuShare index_daily</x:v>
      </x:c>
    </x:row>
    <x:row r="126" ht="18" customHeight="1">
      <x:c r="A126" s="13" t="n">
        <x:v>42761</x:v>
      </x:c>
      <x:c r="B126" s="12" t="str">
        <x:v>000300.SH</x:v>
      </x:c>
      <x:c r="C126" s="12" t="n">
        <x:v>3378.2609</x:v>
      </x:c>
      <x:c r="D126" s="12" t="n">
        <x:v>3395.8848</x:v>
      </x:c>
      <x:c r="E126" s="12" t="n">
        <x:v>3378.2609</x:v>
      </x:c>
      <x:c r="F126" s="12" t="n">
        <x:v>3387.9606</x:v>
      </x:c>
      <x:c r="G126" s="12" t="n">
        <x:v>3375.9042</x:v>
      </x:c>
      <x:c r="H126" s="12" t="n">
        <x:v>12.0564</x:v>
      </x:c>
      <x:c r="I126" s="12" t="n">
        <x:v>0.3571</x:v>
      </x:c>
      <x:c r="J126" s="12" t="n">
        <x:v>0.003564947888545204</x:v>
      </x:c>
      <x:c r="K126" s="12" t="n">
        <x:v>65316647</x:v>
      </x:c>
      <x:c r="L126" s="12" t="n">
        <x:v>66488818.305</x:v>
      </x:c>
      <x:c r="M126" s="12" t="str">
        <x:v>TuShare index_daily</x:v>
      </x:c>
    </x:row>
    <x:row r="127" ht="18" customHeight="1">
      <x:c r="A127" s="13" t="n">
        <x:v>42769</x:v>
      </x:c>
      <x:c r="B127" s="12" t="str">
        <x:v>000300.SH</x:v>
      </x:c>
      <x:c r="C127" s="12" t="n">
        <x:v>3390.9315</x:v>
      </x:c>
      <x:c r="D127" s="12" t="n">
        <x:v>3392.4773</x:v>
      </x:c>
      <x:c r="E127" s="12" t="n">
        <x:v>3362.5653</x:v>
      </x:c>
      <x:c r="F127" s="12" t="n">
        <x:v>3364.4923</x:v>
      </x:c>
      <x:c r="G127" s="12" t="n">
        <x:v>3387.9606</x:v>
      </x:c>
      <x:c r="H127" s="12" t="n">
        <x:v>-23.4683</x:v>
      </x:c>
      <x:c r="I127" s="12" t="n">
        <x:v>-0.6927</x:v>
      </x:c>
      <x:c r="J127" s="12" t="n">
        <x:v>-0.006951072400334702</x:v>
      </x:c>
      <x:c r="K127" s="12" t="n">
        <x:v>55188861</x:v>
      </x:c>
      <x:c r="L127" s="12" t="n">
        <x:v>57113853.255</x:v>
      </x:c>
      <x:c r="M127" s="12" t="str">
        <x:v>TuShare index_daily</x:v>
      </x:c>
    </x:row>
    <x:row r="128" ht="18" customHeight="1">
      <x:c r="A128" s="13" t="n">
        <x:v>42772</x:v>
      </x:c>
      <x:c r="B128" s="12" t="str">
        <x:v>000300.SH</x:v>
      </x:c>
      <x:c r="C128" s="12" t="n">
        <x:v>3368.1081</x:v>
      </x:c>
      <x:c r="D128" s="12" t="n">
        <x:v>3381.3348</x:v>
      </x:c>
      <x:c r="E128" s="12" t="n">
        <x:v>3358.7516</x:v>
      </x:c>
      <x:c r="F128" s="12" t="n">
        <x:v>3373.2051</x:v>
      </x:c>
      <x:c r="G128" s="12" t="n">
        <x:v>3364.4923</x:v>
      </x:c>
      <x:c r="H128" s="12" t="n">
        <x:v>8.7128</x:v>
      </x:c>
      <x:c r="I128" s="12" t="n">
        <x:v>0.259</x:v>
      </x:c>
      <x:c r="J128" s="12" t="n">
        <x:v>0.002586285592632144</x:v>
      </x:c>
      <x:c r="K128" s="12" t="n">
        <x:v>68521360</x:v>
      </x:c>
      <x:c r="L128" s="12" t="n">
        <x:v>73408134.768</x:v>
      </x:c>
      <x:c r="M128" s="12" t="str">
        <x:v>TuShare index_daily</x:v>
      </x:c>
    </x:row>
    <x:row r="129" ht="18" customHeight="1">
      <x:c r="A129" s="13" t="n">
        <x:v>42773</x:v>
      </x:c>
      <x:c r="B129" s="12" t="str">
        <x:v>000300.SH</x:v>
      </x:c>
      <x:c r="C129" s="12" t="n">
        <x:v>3371.7695</x:v>
      </x:c>
      <x:c r="D129" s="12" t="n">
        <x:v>3376.7099</x:v>
      </x:c>
      <x:c r="E129" s="12" t="n">
        <x:v>3354.6251</x:v>
      </x:c>
      <x:c r="F129" s="12" t="n">
        <x:v>3365.6849</x:v>
      </x:c>
      <x:c r="G129" s="12" t="n">
        <x:v>3373.2051</x:v>
      </x:c>
      <x:c r="H129" s="12" t="n">
        <x:v>-7.5202</x:v>
      </x:c>
      <x:c r="I129" s="12" t="n">
        <x:v>-0.2229</x:v>
      </x:c>
      <x:c r="J129" s="12" t="n">
        <x:v>-0.0022318818445456945</x:v>
      </x:c>
      <x:c r="K129" s="12" t="n">
        <x:v>63754462</x:v>
      </x:c>
      <x:c r="L129" s="12" t="n">
        <x:v>69758178.999</x:v>
      </x:c>
      <x:c r="M129" s="12" t="str">
        <x:v>TuShare index_daily</x:v>
      </x:c>
    </x:row>
    <x:row r="130" ht="18" customHeight="1">
      <x:c r="A130" s="13" t="n">
        <x:v>42774</x:v>
      </x:c>
      <x:c r="B130" s="12" t="str">
        <x:v>000300.SH</x:v>
      </x:c>
      <x:c r="C130" s="12" t="n">
        <x:v>3361.7811</x:v>
      </x:c>
      <x:c r="D130" s="12" t="n">
        <x:v>3383.6859</x:v>
      </x:c>
      <x:c r="E130" s="12" t="n">
        <x:v>3347.4302</x:v>
      </x:c>
      <x:c r="F130" s="12" t="n">
        <x:v>3383.2878</x:v>
      </x:c>
      <x:c r="G130" s="12" t="n">
        <x:v>3365.6849</x:v>
      </x:c>
      <x:c r="H130" s="12" t="n">
        <x:v>17.6029</x:v>
      </x:c>
      <x:c r="I130" s="12" t="n">
        <x:v>0.523</x:v>
      </x:c>
      <x:c r="J130" s="12" t="n">
        <x:v>0.005216479810918396</x:v>
      </x:c>
      <x:c r="K130" s="12" t="n">
        <x:v>75402879</x:v>
      </x:c>
      <x:c r="L130" s="12" t="n">
        <x:v>82869735.773</x:v>
      </x:c>
      <x:c r="M130" s="12" t="str">
        <x:v>TuShare index_daily</x:v>
      </x:c>
    </x:row>
    <x:row r="131" ht="18" customHeight="1">
      <x:c r="A131" s="13" t="n">
        <x:v>42775</x:v>
      </x:c>
      <x:c r="B131" s="12" t="str">
        <x:v>000300.SH</x:v>
      </x:c>
      <x:c r="C131" s="12" t="n">
        <x:v>3381.8992</x:v>
      </x:c>
      <x:c r="D131" s="12" t="n">
        <x:v>3406.5888</x:v>
      </x:c>
      <x:c r="E131" s="12" t="n">
        <x:v>3379.7872</x:v>
      </x:c>
      <x:c r="F131" s="12" t="n">
        <x:v>3396.2924</x:v>
      </x:c>
      <x:c r="G131" s="12" t="n">
        <x:v>3383.2878</x:v>
      </x:c>
      <x:c r="H131" s="12" t="n">
        <x:v>13.0046</x:v>
      </x:c>
      <x:c r="I131" s="12" t="n">
        <x:v>0.3844</x:v>
      </x:c>
      <x:c r="J131" s="12" t="n">
        <x:v>0.003836407437192441</x:v>
      </x:c>
      <x:c r="K131" s="12" t="n">
        <x:v>97558515</x:v>
      </x:c>
      <x:c r="L131" s="12" t="n">
        <x:v>102134228.699</x:v>
      </x:c>
      <x:c r="M131" s="12" t="str">
        <x:v>TuShare index_daily</x:v>
      </x:c>
    </x:row>
    <x:row r="132" ht="18" customHeight="1">
      <x:c r="A132" s="13" t="n">
        <x:v>42776</x:v>
      </x:c>
      <x:c r="B132" s="12" t="str">
        <x:v>000300.SH</x:v>
      </x:c>
      <x:c r="C132" s="12" t="n">
        <x:v>3398.3173</x:v>
      </x:c>
      <x:c r="D132" s="12" t="n">
        <x:v>3422.3256</x:v>
      </x:c>
      <x:c r="E132" s="12" t="n">
        <x:v>3398.0295</x:v>
      </x:c>
      <x:c r="F132" s="12" t="n">
        <x:v>3413.4868</x:v>
      </x:c>
      <x:c r="G132" s="12" t="n">
        <x:v>3396.2924</x:v>
      </x:c>
      <x:c r="H132" s="12" t="n">
        <x:v>17.1944</x:v>
      </x:c>
      <x:c r="I132" s="12" t="n">
        <x:v>0.5063</x:v>
      </x:c>
      <x:c r="J132" s="12" t="n">
        <x:v>0.005049924831800413</x:v>
      </x:c>
      <x:c r="K132" s="12" t="n">
        <x:v>123768720</x:v>
      </x:c>
      <x:c r="L132" s="12" t="n">
        <x:v>121908580.284</x:v>
      </x:c>
      <x:c r="M132" s="12" t="str">
        <x:v>TuShare index_daily</x:v>
      </x:c>
    </x:row>
    <x:row r="133" ht="18" customHeight="1">
      <x:c r="A133" s="13" t="n">
        <x:v>42779</x:v>
      </x:c>
      <x:c r="B133" s="12" t="str">
        <x:v>000300.SH</x:v>
      </x:c>
      <x:c r="C133" s="12" t="n">
        <x:v>3416.9168</x:v>
      </x:c>
      <x:c r="D133" s="12" t="n">
        <x:v>3439.5432</x:v>
      </x:c>
      <x:c r="E133" s="12" t="n">
        <x:v>3416.8746</x:v>
      </x:c>
      <x:c r="F133" s="12" t="n">
        <x:v>3436.275</x:v>
      </x:c>
      <x:c r="G133" s="12" t="n">
        <x:v>3413.4868</x:v>
      </x:c>
      <x:c r="H133" s="12" t="n">
        <x:v>22.7882</x:v>
      </x:c>
      <x:c r="I133" s="12" t="n">
        <x:v>0.6676</x:v>
      </x:c>
      <x:c r="J133" s="12" t="n">
        <x:v>0.006653744973676488</x:v>
      </x:c>
      <x:c r="K133" s="12" t="n">
        <x:v>120144538</x:v>
      </x:c>
      <x:c r="L133" s="12" t="n">
        <x:v>125332998.844</x:v>
      </x:c>
      <x:c r="M133" s="12" t="str">
        <x:v>TuShare index_daily</x:v>
      </x:c>
    </x:row>
    <x:row r="134" ht="18" customHeight="1">
      <x:c r="A134" s="13" t="n">
        <x:v>42780</x:v>
      </x:c>
      <x:c r="B134" s="12" t="str">
        <x:v>000300.SH</x:v>
      </x:c>
      <x:c r="C134" s="12" t="n">
        <x:v>3438.511</x:v>
      </x:c>
      <x:c r="D134" s="12" t="n">
        <x:v>3440.6748</x:v>
      </x:c>
      <x:c r="E134" s="12" t="n">
        <x:v>3424.4028</x:v>
      </x:c>
      <x:c r="F134" s="12" t="n">
        <x:v>3435.8042</x:v>
      </x:c>
      <x:c r="G134" s="12" t="n">
        <x:v>3436.275</x:v>
      </x:c>
      <x:c r="H134" s="12" t="n">
        <x:v>-0.4708</x:v>
      </x:c>
      <x:c r="I134" s="12" t="n">
        <x:v>-0.0137</x:v>
      </x:c>
      <x:c r="J134" s="12" t="n">
        <x:v>-0.00013701821152957766</x:v>
      </x:c>
      <x:c r="K134" s="12" t="n">
        <x:v>94809465</x:v>
      </x:c>
      <x:c r="L134" s="12" t="n">
        <x:v>98537165.438</x:v>
      </x:c>
      <x:c r="M134" s="12" t="str">
        <x:v>TuShare index_daily</x:v>
      </x:c>
    </x:row>
    <x:row r="135" ht="18" customHeight="1">
      <x:c r="A135" s="13" t="n">
        <x:v>42781</x:v>
      </x:c>
      <x:c r="B135" s="12" t="str">
        <x:v>000300.SH</x:v>
      </x:c>
      <x:c r="C135" s="12" t="n">
        <x:v>3435.3882</x:v>
      </x:c>
      <x:c r="D135" s="12" t="n">
        <x:v>3448.0322</x:v>
      </x:c>
      <x:c r="E135" s="12" t="n">
        <x:v>3417.0811</x:v>
      </x:c>
      <x:c r="F135" s="12" t="n">
        <x:v>3421.7131</x:v>
      </x:c>
      <x:c r="G135" s="12" t="n">
        <x:v>3435.8042</x:v>
      </x:c>
      <x:c r="H135" s="12" t="n">
        <x:v>-14.0911</x:v>
      </x:c>
      <x:c r="I135" s="12" t="n">
        <x:v>-0.4101</x:v>
      </x:c>
      <x:c r="J135" s="12" t="n">
        <x:v>-0.004109685536673305</x:v>
      </x:c>
      <x:c r="K135" s="12" t="n">
        <x:v>127643338</x:v>
      </x:c>
      <x:c r="L135" s="12" t="n">
        <x:v>124653179.488</x:v>
      </x:c>
      <x:c r="M135" s="12" t="str">
        <x:v>TuShare index_daily</x:v>
      </x:c>
    </x:row>
    <x:row r="136" ht="18" customHeight="1">
      <x:c r="A136" s="13" t="n">
        <x:v>42782</x:v>
      </x:c>
      <x:c r="B136" s="12" t="str">
        <x:v>000300.SH</x:v>
      </x:c>
      <x:c r="C136" s="12" t="n">
        <x:v>3421.8299</x:v>
      </x:c>
      <x:c r="D136" s="12" t="n">
        <x:v>3440.9331</x:v>
      </x:c>
      <x:c r="E136" s="12" t="n">
        <x:v>3418.3514</x:v>
      </x:c>
      <x:c r="F136" s="12" t="n">
        <x:v>3440.9331</x:v>
      </x:c>
      <x:c r="G136" s="12" t="n">
        <x:v>3421.7131</x:v>
      </x:c>
      <x:c r="H136" s="12" t="n">
        <x:v>19.22</x:v>
      </x:c>
      <x:c r="I136" s="12" t="n">
        <x:v>0.5617</x:v>
      </x:c>
      <x:c r="J136" s="12" t="n">
        <x:v>0.005601352508163811</x:v>
      </x:c>
      <x:c r="K136" s="12" t="n">
        <x:v>108276962</x:v>
      </x:c>
      <x:c r="L136" s="12" t="n">
        <x:v>101809767.504</x:v>
      </x:c>
      <x:c r="M136" s="12" t="str">
        <x:v>TuShare index_daily</x:v>
      </x:c>
    </x:row>
    <x:row r="137" ht="18" customHeight="1">
      <x:c r="A137" s="13" t="n">
        <x:v>42783</x:v>
      </x:c>
      <x:c r="B137" s="12" t="str">
        <x:v>000300.SH</x:v>
      </x:c>
      <x:c r="C137" s="12" t="n">
        <x:v>3443.6166</x:v>
      </x:c>
      <x:c r="D137" s="12" t="n">
        <x:v>3457.5562</x:v>
      </x:c>
      <x:c r="E137" s="12" t="n">
        <x:v>3419.6143</x:v>
      </x:c>
      <x:c r="F137" s="12" t="n">
        <x:v>3421.4419</x:v>
      </x:c>
      <x:c r="G137" s="12" t="n">
        <x:v>3440.9331</x:v>
      </x:c>
      <x:c r="H137" s="12" t="n">
        <x:v>-19.4912</x:v>
      </x:c>
      <x:c r="I137" s="12" t="n">
        <x:v>-0.5665</x:v>
      </x:c>
      <x:c r="J137" s="12" t="n">
        <x:v>-0.005680614193787631</x:v>
      </x:c>
      <x:c r="K137" s="12" t="n">
        <x:v>114600036</x:v>
      </x:c>
      <x:c r="L137" s="12" t="n">
        <x:v>118033129.67</x:v>
      </x:c>
      <x:c r="M137" s="12" t="str">
        <x:v>TuShare index_daily</x:v>
      </x:c>
    </x:row>
    <x:row r="138" ht="18" customHeight="1">
      <x:c r="A138" s="13" t="n">
        <x:v>42786</x:v>
      </x:c>
      <x:c r="B138" s="12" t="str">
        <x:v>000300.SH</x:v>
      </x:c>
      <x:c r="C138" s="12" t="n">
        <x:v>3421.6434</x:v>
      </x:c>
      <x:c r="D138" s="12" t="n">
        <x:v>3472.6035</x:v>
      </x:c>
      <x:c r="E138" s="12" t="n">
        <x:v>3421.6434</x:v>
      </x:c>
      <x:c r="F138" s="12" t="n">
        <x:v>3471.3926</x:v>
      </x:c>
      <x:c r="G138" s="12" t="n">
        <x:v>3421.4419</x:v>
      </x:c>
      <x:c r="H138" s="12" t="n">
        <x:v>49.9507</x:v>
      </x:c>
      <x:c r="I138" s="12" t="n">
        <x:v>1.4599</x:v>
      </x:c>
      <x:c r="J138" s="12" t="n">
        <x:v>0.014493768687695141</x:v>
      </x:c>
      <x:c r="K138" s="12" t="n">
        <x:v>132628862</x:v>
      </x:c>
      <x:c r="L138" s="12" t="n">
        <x:v>134681505.159</x:v>
      </x:c>
      <x:c r="M138" s="12" t="str">
        <x:v>TuShare index_daily</x:v>
      </x:c>
    </x:row>
    <x:row r="139" ht="18" customHeight="1">
      <x:c r="A139" s="13" t="n">
        <x:v>42787</x:v>
      </x:c>
      <x:c r="B139" s="12" t="str">
        <x:v>000300.SH</x:v>
      </x:c>
      <x:c r="C139" s="12" t="n">
        <x:v>3475.0584</x:v>
      </x:c>
      <x:c r="D139" s="12" t="n">
        <x:v>3490.0855</x:v>
      </x:c>
      <x:c r="E139" s="12" t="n">
        <x:v>3472.017</x:v>
      </x:c>
      <x:c r="F139" s="12" t="n">
        <x:v>3482.823</x:v>
      </x:c>
      <x:c r="G139" s="12" t="n">
        <x:v>3471.3926</x:v>
      </x:c>
      <x:c r="H139" s="12" t="n">
        <x:v>11.4304</x:v>
      </x:c>
      <x:c r="I139" s="12" t="n">
        <x:v>0.3293</x:v>
      </x:c>
      <x:c r="J139" s="12" t="n">
        <x:v>0.0032873327348675757</x:v>
      </x:c>
      <x:c r="K139" s="12" t="n">
        <x:v>114842009</x:v>
      </x:c>
      <x:c r="L139" s="12" t="n">
        <x:v>120675429.543</x:v>
      </x:c>
      <x:c r="M139" s="12" t="str">
        <x:v>TuShare index_daily</x:v>
      </x:c>
    </x:row>
    <x:row r="140" ht="18" customHeight="1">
      <x:c r="A140" s="13" t="n">
        <x:v>42788</x:v>
      </x:c>
      <x:c r="B140" s="12" t="str">
        <x:v>000300.SH</x:v>
      </x:c>
      <x:c r="C140" s="12" t="n">
        <x:v>3483.2008</x:v>
      </x:c>
      <x:c r="D140" s="12" t="n">
        <x:v>3489.946</x:v>
      </x:c>
      <x:c r="E140" s="12" t="n">
        <x:v>3473.524</x:v>
      </x:c>
      <x:c r="F140" s="12" t="n">
        <x:v>3489.7567</x:v>
      </x:c>
      <x:c r="G140" s="12" t="n">
        <x:v>3482.823</x:v>
      </x:c>
      <x:c r="H140" s="12" t="n">
        <x:v>6.9337</x:v>
      </x:c>
      <x:c r="I140" s="12" t="n">
        <x:v>0.1991</x:v>
      </x:c>
      <x:c r="J140" s="12" t="n">
        <x:v>0.0019888484847383437</x:v>
      </x:c>
      <x:c r="K140" s="12" t="n">
        <x:v>102815994</x:v>
      </x:c>
      <x:c r="L140" s="12" t="n">
        <x:v>109232425.841</x:v>
      </x:c>
      <x:c r="M140" s="12" t="str">
        <x:v>TuShare index_daily</x:v>
      </x:c>
    </x:row>
    <x:row r="141" ht="18" customHeight="1">
      <x:c r="A141" s="13" t="n">
        <x:v>42789</x:v>
      </x:c>
      <x:c r="B141" s="12" t="str">
        <x:v>000300.SH</x:v>
      </x:c>
      <x:c r="C141" s="12" t="n">
        <x:v>3487.5745</x:v>
      </x:c>
      <x:c r="D141" s="12" t="n">
        <x:v>3492.9616</x:v>
      </x:c>
      <x:c r="E141" s="12" t="n">
        <x:v>3460.118</x:v>
      </x:c>
      <x:c r="F141" s="12" t="n">
        <x:v>3473.3236</x:v>
      </x:c>
      <x:c r="G141" s="12" t="n">
        <x:v>3489.7567</x:v>
      </x:c>
      <x:c r="H141" s="12" t="n">
        <x:v>-16.4331</x:v>
      </x:c>
      <x:c r="I141" s="12" t="n">
        <x:v>-0.4709</x:v>
      </x:c>
      <x:c r="J141" s="12" t="n">
        <x:v>-0.004720074967268536</x:v>
      </x:c>
      <x:c r="K141" s="12" t="n">
        <x:v>99536330</x:v>
      </x:c>
      <x:c r="L141" s="12" t="n">
        <x:v>106555922.466</x:v>
      </x:c>
      <x:c r="M141" s="12" t="str">
        <x:v>TuShare index_daily</x:v>
      </x:c>
    </x:row>
    <x:row r="142" ht="18" customHeight="1">
      <x:c r="A142" s="13" t="n">
        <x:v>42790</x:v>
      </x:c>
      <x:c r="B142" s="12" t="str">
        <x:v>000300.SH</x:v>
      </x:c>
      <x:c r="C142" s="12" t="n">
        <x:v>3468.9588</x:v>
      </x:c>
      <x:c r="D142" s="12" t="n">
        <x:v>3473.8517</x:v>
      </x:c>
      <x:c r="E142" s="12" t="n">
        <x:v>3455.2514</x:v>
      </x:c>
      <x:c r="F142" s="12" t="n">
        <x:v>3473.8517</x:v>
      </x:c>
      <x:c r="G142" s="12" t="n">
        <x:v>3473.3236</x:v>
      </x:c>
      <x:c r="H142" s="12" t="n">
        <x:v>0.5281</x:v>
      </x:c>
      <x:c r="I142" s="12" t="n">
        <x:v>0.0152</x:v>
      </x:c>
      <x:c r="J142" s="12" t="n">
        <x:v>0.00015203301434385405</x:v>
      </x:c>
      <x:c r="K142" s="12" t="n">
        <x:v>95535133</x:v>
      </x:c>
      <x:c r="L142" s="12" t="n">
        <x:v>99875164.759</x:v>
      </x:c>
      <x:c r="M142" s="12" t="str">
        <x:v>TuShare index_daily</x:v>
      </x:c>
    </x:row>
    <x:row r="143" ht="18" customHeight="1">
      <x:c r="A143" s="13" t="n">
        <x:v>42793</x:v>
      </x:c>
      <x:c r="B143" s="12" t="str">
        <x:v>000300.SH</x:v>
      </x:c>
      <x:c r="C143" s="12" t="n">
        <x:v>3471.1319</x:v>
      </x:c>
      <x:c r="D143" s="12" t="n">
        <x:v>3472.8356</x:v>
      </x:c>
      <x:c r="E143" s="12" t="n">
        <x:v>3441.3938</x:v>
      </x:c>
      <x:c r="F143" s="12" t="n">
        <x:v>3446.2228</x:v>
      </x:c>
      <x:c r="G143" s="12" t="n">
        <x:v>3473.8517</x:v>
      </x:c>
      <x:c r="H143" s="12" t="n">
        <x:v>-27.6289</x:v>
      </x:c>
      <x:c r="I143" s="12" t="n">
        <x:v>-0.7953</x:v>
      </x:c>
      <x:c r="J143" s="12" t="n">
        <x:v>-0.007985187676467454</x:v>
      </x:c>
      <x:c r="K143" s="12" t="n">
        <x:v>98672160</x:v>
      </x:c>
      <x:c r="L143" s="12" t="n">
        <x:v>106830874.529</x:v>
      </x:c>
      <x:c r="M143" s="12" t="str">
        <x:v>TuShare index_daily</x:v>
      </x:c>
    </x:row>
    <x:row r="144" ht="18" customHeight="1">
      <x:c r="A144" s="13" t="n">
        <x:v>42794</x:v>
      </x:c>
      <x:c r="B144" s="12" t="str">
        <x:v>000300.SH</x:v>
      </x:c>
      <x:c r="C144" s="12" t="n">
        <x:v>3445.0274</x:v>
      </x:c>
      <x:c r="D144" s="12" t="n">
        <x:v>3460.9089</x:v>
      </x:c>
      <x:c r="E144" s="12" t="n">
        <x:v>3441.3589</x:v>
      </x:c>
      <x:c r="F144" s="12" t="n">
        <x:v>3452.8103</x:v>
      </x:c>
      <x:c r="G144" s="12" t="n">
        <x:v>3446.2228</x:v>
      </x:c>
      <x:c r="H144" s="12" t="n">
        <x:v>6.5875</x:v>
      </x:c>
      <x:c r="I144" s="12" t="n">
        <x:v>0.1912</x:v>
      </x:c>
      <x:c r="J144" s="12" t="n">
        <x:v>0.0019096884756218898</x:v>
      </x:c>
      <x:c r="K144" s="12" t="n">
        <x:v>75215260</x:v>
      </x:c>
      <x:c r="L144" s="12" t="n">
        <x:v>81979307.361</x:v>
      </x:c>
      <x:c r="M144" s="12" t="str">
        <x:v>TuShare index_daily</x:v>
      </x:c>
    </x:row>
    <x:row r="145" ht="18" customHeight="1">
      <x:c r="A145" s="13" t="n">
        <x:v>42795</x:v>
      </x:c>
      <x:c r="B145" s="12" t="str">
        <x:v>000300.SH</x:v>
      </x:c>
      <x:c r="C145" s="12" t="n">
        <x:v>3452.2058</x:v>
      </x:c>
      <x:c r="D145" s="12" t="n">
        <x:v>3472.6962</x:v>
      </x:c>
      <x:c r="E145" s="12" t="n">
        <x:v>3449.109</x:v>
      </x:c>
      <x:c r="F145" s="12" t="n">
        <x:v>3458.4376</x:v>
      </x:c>
      <x:c r="G145" s="12" t="n">
        <x:v>3452.8103</x:v>
      </x:c>
      <x:c r="H145" s="12" t="n">
        <x:v>5.6273</x:v>
      </x:c>
      <x:c r="I145" s="12" t="n">
        <x:v>0.163</x:v>
      </x:c>
      <x:c r="J145" s="12" t="n">
        <x:v>0.0016284472283388108</x:v>
      </x:c>
      <x:c r="K145" s="12" t="n">
        <x:v>103260354</x:v>
      </x:c>
      <x:c r="L145" s="12" t="n">
        <x:v>109317781.348</x:v>
      </x:c>
      <x:c r="M145" s="12" t="str">
        <x:v>TuShare index_daily</x:v>
      </x:c>
    </x:row>
    <x:row r="146" ht="18" customHeight="1">
      <x:c r="A146" s="13" t="n">
        <x:v>42796</x:v>
      </x:c>
      <x:c r="B146" s="12" t="str">
        <x:v>000300.SH</x:v>
      </x:c>
      <x:c r="C146" s="12" t="n">
        <x:v>3463.4829</x:v>
      </x:c>
      <x:c r="D146" s="12" t="n">
        <x:v>3468.471</x:v>
      </x:c>
      <x:c r="E146" s="12" t="n">
        <x:v>3434.001</x:v>
      </x:c>
      <x:c r="F146" s="12" t="n">
        <x:v>3435.0963</x:v>
      </x:c>
      <x:c r="G146" s="12" t="n">
        <x:v>3458.4376</x:v>
      </x:c>
      <x:c r="H146" s="12" t="n">
        <x:v>-23.3413</x:v>
      </x:c>
      <x:c r="I146" s="12" t="n">
        <x:v>-0.6749</x:v>
      </x:c>
      <x:c r="J146" s="12" t="n">
        <x:v>-0.0067719661759197015</x:v>
      </x:c>
      <x:c r="K146" s="12" t="n">
        <x:v>89898077</x:v>
      </x:c>
      <x:c r="L146" s="12" t="n">
        <x:v>97876187.925</x:v>
      </x:c>
      <x:c r="M146" s="12" t="str">
        <x:v>TuShare index_daily</x:v>
      </x:c>
    </x:row>
    <x:row r="147" ht="18" customHeight="1">
      <x:c r="A147" s="13" t="n">
        <x:v>42797</x:v>
      </x:c>
      <x:c r="B147" s="12" t="str">
        <x:v>000300.SH</x:v>
      </x:c>
      <x:c r="C147" s="12" t="n">
        <x:v>3424.6627</x:v>
      </x:c>
      <x:c r="D147" s="12" t="n">
        <x:v>3428.8824</x:v>
      </x:c>
      <x:c r="E147" s="12" t="n">
        <x:v>3412.8312</x:v>
      </x:c>
      <x:c r="F147" s="12" t="n">
        <x:v>3427.8628</x:v>
      </x:c>
      <x:c r="G147" s="12" t="n">
        <x:v>3435.0963</x:v>
      </x:c>
      <x:c r="H147" s="12" t="n">
        <x:v>-7.2335</x:v>
      </x:c>
      <x:c r="I147" s="12" t="n">
        <x:v>-0.2106</x:v>
      </x:c>
      <x:c r="J147" s="12" t="n">
        <x:v>-0.0021079836184837606</x:v>
      </x:c>
      <x:c r="K147" s="12" t="n">
        <x:v>80994652</x:v>
      </x:c>
      <x:c r="L147" s="12" t="n">
        <x:v>90009618.835</x:v>
      </x:c>
      <x:c r="M147" s="12" t="str">
        <x:v>TuShare index_daily</x:v>
      </x:c>
    </x:row>
    <x:row r="148" ht="18" customHeight="1">
      <x:c r="A148" s="13" t="n">
        <x:v>42800</x:v>
      </x:c>
      <x:c r="B148" s="12" t="str">
        <x:v>000300.SH</x:v>
      </x:c>
      <x:c r="C148" s="12" t="n">
        <x:v>3427.2533</x:v>
      </x:c>
      <x:c r="D148" s="12" t="n">
        <x:v>3449.0342</x:v>
      </x:c>
      <x:c r="E148" s="12" t="n">
        <x:v>3425.9041</x:v>
      </x:c>
      <x:c r="F148" s="12" t="n">
        <x:v>3446.484</x:v>
      </x:c>
      <x:c r="G148" s="12" t="n">
        <x:v>3427.8628</x:v>
      </x:c>
      <x:c r="H148" s="12" t="n">
        <x:v>18.6212</x:v>
      </x:c>
      <x:c r="I148" s="12" t="n">
        <x:v>0.5432</x:v>
      </x:c>
      <x:c r="J148" s="12" t="n">
        <x:v>0.005417604344606997</x:v>
      </x:c>
      <x:c r="K148" s="12" t="n">
        <x:v>83070882</x:v>
      </x:c>
      <x:c r="L148" s="12" t="n">
        <x:v>95178548.496</x:v>
      </x:c>
      <x:c r="M148" s="12" t="str">
        <x:v>TuShare index_daily</x:v>
      </x:c>
    </x:row>
    <x:row r="149" ht="18" customHeight="1">
      <x:c r="A149" s="13" t="n">
        <x:v>42801</x:v>
      </x:c>
      <x:c r="B149" s="12" t="str">
        <x:v>000300.SH</x:v>
      </x:c>
      <x:c r="C149" s="12" t="n">
        <x:v>3446.1628</x:v>
      </x:c>
      <x:c r="D149" s="12" t="n">
        <x:v>3454.0386</x:v>
      </x:c>
      <x:c r="E149" s="12" t="n">
        <x:v>3440.0574</x:v>
      </x:c>
      <x:c r="F149" s="12" t="n">
        <x:v>3453.9565</x:v>
      </x:c>
      <x:c r="G149" s="12" t="n">
        <x:v>3446.484</x:v>
      </x:c>
      <x:c r="H149" s="12" t="n">
        <x:v>7.4725</x:v>
      </x:c>
      <x:c r="I149" s="12" t="n">
        <x:v>0.2168</x:v>
      </x:c>
      <x:c r="J149" s="12" t="n">
        <x:v>0.0021658046094139493</x:v>
      </x:c>
      <x:c r="K149" s="12" t="n">
        <x:v>80334720</x:v>
      </x:c>
      <x:c r="L149" s="12" t="n">
        <x:v>94483824.245</x:v>
      </x:c>
      <x:c r="M149" s="12" t="str">
        <x:v>TuShare index_daily</x:v>
      </x:c>
    </x:row>
    <x:row r="150" ht="18" customHeight="1">
      <x:c r="A150" s="13" t="n">
        <x:v>42802</x:v>
      </x:c>
      <x:c r="B150" s="12" t="str">
        <x:v>000300.SH</x:v>
      </x:c>
      <x:c r="C150" s="12" t="n">
        <x:v>3452.2006</x:v>
      </x:c>
      <x:c r="D150" s="12" t="n">
        <x:v>3457.0351</x:v>
      </x:c>
      <x:c r="E150" s="12" t="n">
        <x:v>3441.2575</x:v>
      </x:c>
      <x:c r="F150" s="12" t="n">
        <x:v>3448.7313</x:v>
      </x:c>
      <x:c r="G150" s="12" t="n">
        <x:v>3453.9565</x:v>
      </x:c>
      <x:c r="H150" s="12" t="n">
        <x:v>-5.2252</x:v>
      </x:c>
      <x:c r="I150" s="12" t="n">
        <x:v>-0.1513</x:v>
      </x:c>
      <x:c r="J150" s="12" t="n">
        <x:v>-0.0015139612711579506</x:v>
      </x:c>
      <x:c r="K150" s="12" t="n">
        <x:v>79587690</x:v>
      </x:c>
      <x:c r="L150" s="12" t="n">
        <x:v>89124904.682</x:v>
      </x:c>
      <x:c r="M150" s="12" t="str">
        <x:v>TuShare index_daily</x:v>
      </x:c>
    </x:row>
    <x:row r="151" ht="18" customHeight="1">
      <x:c r="A151" s="13" t="n">
        <x:v>42803</x:v>
      </x:c>
      <x:c r="B151" s="12" t="str">
        <x:v>000300.SH</x:v>
      </x:c>
      <x:c r="C151" s="12" t="n">
        <x:v>3442.8953</x:v>
      </x:c>
      <x:c r="D151" s="12" t="n">
        <x:v>3443.0455</x:v>
      </x:c>
      <x:c r="E151" s="12" t="n">
        <x:v>3414.6782</x:v>
      </x:c>
      <x:c r="F151" s="12" t="n">
        <x:v>3426.9438</x:v>
      </x:c>
      <x:c r="G151" s="12" t="n">
        <x:v>3448.7313</x:v>
      </x:c>
      <x:c r="H151" s="12" t="n">
        <x:v>-21.7875</x:v>
      </x:c>
      <x:c r="I151" s="12" t="n">
        <x:v>-0.6318</x:v>
      </x:c>
      <x:c r="J151" s="12" t="n">
        <x:v>-0.0063375807051733735</x:v>
      </x:c>
      <x:c r="K151" s="12" t="n">
        <x:v>84570381</x:v>
      </x:c>
      <x:c r="L151" s="12" t="n">
        <x:v>90090049.49</x:v>
      </x:c>
      <x:c r="M151" s="12" t="str">
        <x:v>TuShare index_daily</x:v>
      </x:c>
    </x:row>
    <x:row r="152" ht="18" customHeight="1">
      <x:c r="A152" s="13" t="n">
        <x:v>42804</x:v>
      </x:c>
      <x:c r="B152" s="12" t="str">
        <x:v>000300.SH</x:v>
      </x:c>
      <x:c r="C152" s="12" t="n">
        <x:v>3423.9776</x:v>
      </x:c>
      <x:c r="D152" s="12" t="n">
        <x:v>3436.2388</x:v>
      </x:c>
      <x:c r="E152" s="12" t="n">
        <x:v>3423.9369</x:v>
      </x:c>
      <x:c r="F152" s="12" t="n">
        <x:v>3427.8916</x:v>
      </x:c>
      <x:c r="G152" s="12" t="n">
        <x:v>3426.9438</x:v>
      </x:c>
      <x:c r="H152" s="12" t="n">
        <x:v>0.9478</x:v>
      </x:c>
      <x:c r="I152" s="12" t="n">
        <x:v>0.0277</x:v>
      </x:c>
      <x:c r="J152" s="12" t="n">
        <x:v>0.00027653472351488564</x:v>
      </x:c>
      <x:c r="K152" s="12" t="n">
        <x:v>70016199</x:v>
      </x:c>
      <x:c r="L152" s="12" t="n">
        <x:v>82161714.923</x:v>
      </x:c>
      <x:c r="M152" s="12" t="str">
        <x:v>TuShare index_daily</x:v>
      </x:c>
    </x:row>
    <x:row r="153" ht="18" customHeight="1">
      <x:c r="A153" s="13" t="n">
        <x:v>42807</x:v>
      </x:c>
      <x:c r="B153" s="12" t="str">
        <x:v>000300.SH</x:v>
      </x:c>
      <x:c r="C153" s="12" t="n">
        <x:v>3425.6723</x:v>
      </x:c>
      <x:c r="D153" s="12" t="n">
        <x:v>3458.098</x:v>
      </x:c>
      <x:c r="E153" s="12" t="n">
        <x:v>3412.6879</x:v>
      </x:c>
      <x:c r="F153" s="12" t="n">
        <x:v>3458.098</x:v>
      </x:c>
      <x:c r="G153" s="12" t="n">
        <x:v>3427.8916</x:v>
      </x:c>
      <x:c r="H153" s="12" t="n">
        <x:v>30.2064</x:v>
      </x:c>
      <x:c r="I153" s="12" t="n">
        <x:v>0.8812</x:v>
      </x:c>
      <x:c r="J153" s="12" t="n">
        <x:v>0.00877334864193802</x:v>
      </x:c>
      <x:c r="K153" s="12" t="n">
        <x:v>91684124</x:v>
      </x:c>
      <x:c r="L153" s="12" t="n">
        <x:v>108489140.923</x:v>
      </x:c>
      <x:c r="M153" s="12" t="str">
        <x:v>TuShare index_daily</x:v>
      </x:c>
    </x:row>
    <x:row r="154" ht="18" customHeight="1">
      <x:c r="A154" s="13" t="n">
        <x:v>42808</x:v>
      </x:c>
      <x:c r="B154" s="12" t="str">
        <x:v>000300.SH</x:v>
      </x:c>
      <x:c r="C154" s="12" t="n">
        <x:v>3456.6584</x:v>
      </x:c>
      <x:c r="D154" s="12" t="n">
        <x:v>3465.3915</x:v>
      </x:c>
      <x:c r="E154" s="12" t="n">
        <x:v>3448.9034</x:v>
      </x:c>
      <x:c r="F154" s="12" t="n">
        <x:v>3456.6934</x:v>
      </x:c>
      <x:c r="G154" s="12" t="n">
        <x:v>3458.098</x:v>
      </x:c>
      <x:c r="H154" s="12" t="n">
        <x:v>-1.4046</x:v>
      </x:c>
      <x:c r="I154" s="12" t="n">
        <x:v>-0.0406</x:v>
      </x:c>
      <x:c r="J154" s="12" t="n">
        <x:v>-0.00040625954944027487</x:v>
      </x:c>
      <x:c r="K154" s="12" t="n">
        <x:v>77077963</x:v>
      </x:c>
      <x:c r="L154" s="12" t="n">
        <x:v>95317564.129</x:v>
      </x:c>
      <x:c r="M154" s="12" t="str">
        <x:v>TuShare index_daily</x:v>
      </x:c>
    </x:row>
    <x:row r="155" ht="18" customHeight="1">
      <x:c r="A155" s="13" t="n">
        <x:v>42809</x:v>
      </x:c>
      <x:c r="B155" s="12" t="str">
        <x:v>000300.SH</x:v>
      </x:c>
      <x:c r="C155" s="12" t="n">
        <x:v>3452.2139</x:v>
      </x:c>
      <x:c r="D155" s="12" t="n">
        <x:v>3463.9191</x:v>
      </x:c>
      <x:c r="E155" s="12" t="n">
        <x:v>3445.2676</x:v>
      </x:c>
      <x:c r="F155" s="12" t="n">
        <x:v>3463.6436</x:v>
      </x:c>
      <x:c r="G155" s="12" t="n">
        <x:v>3456.6934</x:v>
      </x:c>
      <x:c r="H155" s="12" t="n">
        <x:v>6.9502</x:v>
      </x:c>
      <x:c r="I155" s="12" t="n">
        <x:v>0.2011</x:v>
      </x:c>
      <x:c r="J155" s="12" t="n">
        <x:v>0.0020086311798897453</x:v>
      </x:c>
      <x:c r="K155" s="12" t="n">
        <x:v>79104954</x:v>
      </x:c>
      <x:c r="L155" s="12" t="n">
        <x:v>94056256.667</x:v>
      </x:c>
      <x:c r="M155" s="12" t="str">
        <x:v>TuShare index_daily</x:v>
      </x:c>
    </x:row>
    <x:row r="156" ht="18" customHeight="1">
      <x:c r="A156" s="13" t="n">
        <x:v>42810</x:v>
      </x:c>
      <x:c r="B156" s="12" t="str">
        <x:v>000300.SH</x:v>
      </x:c>
      <x:c r="C156" s="12" t="n">
        <x:v>3472.2694</x:v>
      </x:c>
      <x:c r="D156" s="12" t="n">
        <x:v>3492.1267</x:v>
      </x:c>
      <x:c r="E156" s="12" t="n">
        <x:v>3472.2694</x:v>
      </x:c>
      <x:c r="F156" s="12" t="n">
        <x:v>3481.5066</x:v>
      </x:c>
      <x:c r="G156" s="12" t="n">
        <x:v>3463.6436</x:v>
      </x:c>
      <x:c r="H156" s="12" t="n">
        <x:v>17.863</x:v>
      </x:c>
      <x:c r="I156" s="12" t="n">
        <x:v>0.5157</x:v>
      </x:c>
      <x:c r="J156" s="12" t="n">
        <x:v>0.005144032562317347</x:v>
      </x:c>
      <x:c r="K156" s="12" t="n">
        <x:v>106333913</x:v>
      </x:c>
      <x:c r="L156" s="12" t="n">
        <x:v>124695573.677</x:v>
      </x:c>
      <x:c r="M156" s="12" t="str">
        <x:v>TuShare index_daily</x:v>
      </x:c>
    </x:row>
    <x:row r="157" ht="18" customHeight="1">
      <x:c r="A157" s="13" t="n">
        <x:v>42811</x:v>
      </x:c>
      <x:c r="B157" s="12" t="str">
        <x:v>000300.SH</x:v>
      </x:c>
      <x:c r="C157" s="12" t="n">
        <x:v>3485.3114</x:v>
      </x:c>
      <x:c r="D157" s="12" t="n">
        <x:v>3488.4969</x:v>
      </x:c>
      <x:c r="E157" s="12" t="n">
        <x:v>3441.4685</x:v>
      </x:c>
      <x:c r="F157" s="12" t="n">
        <x:v>3445.8051</x:v>
      </x:c>
      <x:c r="G157" s="12" t="n">
        <x:v>3481.5066</x:v>
      </x:c>
      <x:c r="H157" s="12" t="n">
        <x:v>-35.7015</x:v>
      </x:c>
      <x:c r="I157" s="12" t="n">
        <x:v>-1.0255</x:v>
      </x:c>
      <x:c r="J157" s="12" t="n">
        <x:v>-0.010307552955506163</x:v>
      </x:c>
      <x:c r="K157" s="12" t="n">
        <x:v>103755560</x:v>
      </x:c>
      <x:c r="L157" s="12" t="n">
        <x:v>122368918.55</x:v>
      </x:c>
      <x:c r="M157" s="12" t="str">
        <x:v>TuShare index_daily</x:v>
      </x:c>
    </x:row>
    <x:row r="158" ht="18" customHeight="1">
      <x:c r="A158" s="13" t="n">
        <x:v>42814</x:v>
      </x:c>
      <x:c r="B158" s="12" t="str">
        <x:v>000300.SH</x:v>
      </x:c>
      <x:c r="C158" s="12" t="n">
        <x:v>3449.0515</x:v>
      </x:c>
      <x:c r="D158" s="12" t="n">
        <x:v>3454.063</x:v>
      </x:c>
      <x:c r="E158" s="12" t="n">
        <x:v>3429.8254</x:v>
      </x:c>
      <x:c r="F158" s="12" t="n">
        <x:v>3449.6126</x:v>
      </x:c>
      <x:c r="G158" s="12" t="n">
        <x:v>3445.8051</x:v>
      </x:c>
      <x:c r="H158" s="12" t="n">
        <x:v>3.8075</x:v>
      </x:c>
      <x:c r="I158" s="12" t="n">
        <x:v>0.1105</x:v>
      </x:c>
      <x:c r="J158" s="12" t="n">
        <x:v>0.0011043567054596322</x:v>
      </x:c>
      <x:c r="K158" s="12" t="n">
        <x:v>88734322</x:v>
      </x:c>
      <x:c r="L158" s="12" t="n">
        <x:v>103769403.897</x:v>
      </x:c>
      <x:c r="M158" s="12" t="str">
        <x:v>TuShare index_daily</x:v>
      </x:c>
    </x:row>
    <x:row r="159" ht="18" customHeight="1">
      <x:c r="A159" s="13" t="n">
        <x:v>42815</x:v>
      </x:c>
      <x:c r="B159" s="12" t="str">
        <x:v>000300.SH</x:v>
      </x:c>
      <x:c r="C159" s="12" t="n">
        <x:v>3449.7696</x:v>
      </x:c>
      <x:c r="D159" s="12" t="n">
        <x:v>3466.7026</x:v>
      </x:c>
      <x:c r="E159" s="12" t="n">
        <x:v>3445.6416</x:v>
      </x:c>
      <x:c r="F159" s="12" t="n">
        <x:v>3466.3468</x:v>
      </x:c>
      <x:c r="G159" s="12" t="n">
        <x:v>3449.6126</x:v>
      </x:c>
      <x:c r="H159" s="12" t="n">
        <x:v>16.7342</x:v>
      </x:c>
      <x:c r="I159" s="12" t="n">
        <x:v>0.4851</x:v>
      </x:c>
      <x:c r="J159" s="12" t="n">
        <x:v>0.004839309108162561</x:v>
      </x:c>
      <x:c r="K159" s="12" t="n">
        <x:v>87707855</x:v>
      </x:c>
      <x:c r="L159" s="12" t="n">
        <x:v>113528201.39</x:v>
      </x:c>
      <x:c r="M159" s="12" t="str">
        <x:v>TuShare index_daily</x:v>
      </x:c>
    </x:row>
    <x:row r="160" ht="18" customHeight="1">
      <x:c r="A160" s="13" t="n">
        <x:v>42816</x:v>
      </x:c>
      <x:c r="B160" s="12" t="str">
        <x:v>000300.SH</x:v>
      </x:c>
      <x:c r="C160" s="12" t="n">
        <x:v>3450.7544</x:v>
      </x:c>
      <x:c r="D160" s="12" t="n">
        <x:v>3464.3328</x:v>
      </x:c>
      <x:c r="E160" s="12" t="n">
        <x:v>3433.4994</x:v>
      </x:c>
      <x:c r="F160" s="12" t="n">
        <x:v>3450.0502</x:v>
      </x:c>
      <x:c r="G160" s="12" t="n">
        <x:v>3466.3468</x:v>
      </x:c>
      <x:c r="H160" s="12" t="n">
        <x:v>-16.2966</x:v>
      </x:c>
      <x:c r="I160" s="12" t="n">
        <x:v>-0.4701</x:v>
      </x:c>
      <x:c r="J160" s="12" t="n">
        <x:v>-0.0047124623293353035</x:v>
      </x:c>
      <x:c r="K160" s="12" t="n">
        <x:v>104935894</x:v>
      </x:c>
      <x:c r="L160" s="12" t="n">
        <x:v>123865640.377</x:v>
      </x:c>
      <x:c r="M160" s="12" t="str">
        <x:v>TuShare index_daily</x:v>
      </x:c>
    </x:row>
    <x:row r="161" ht="18" customHeight="1">
      <x:c r="A161" s="13" t="n">
        <x:v>42817</x:v>
      </x:c>
      <x:c r="B161" s="12" t="str">
        <x:v>000300.SH</x:v>
      </x:c>
      <x:c r="C161" s="12" t="n">
        <x:v>3452.4056</x:v>
      </x:c>
      <x:c r="D161" s="12" t="n">
        <x:v>3470.8164</x:v>
      </x:c>
      <x:c r="E161" s="12" t="n">
        <x:v>3435.6912</x:v>
      </x:c>
      <x:c r="F161" s="12" t="n">
        <x:v>3461.9782</x:v>
      </x:c>
      <x:c r="G161" s="12" t="n">
        <x:v>3450.0502</x:v>
      </x:c>
      <x:c r="H161" s="12" t="n">
        <x:v>11.928</x:v>
      </x:c>
      <x:c r="I161" s="12" t="n">
        <x:v>0.3457</x:v>
      </x:c>
      <x:c r="J161" s="12" t="n">
        <x:v>0.003451378133960319</x:v>
      </x:c>
      <x:c r="K161" s="12" t="n">
        <x:v>94318062</x:v>
      </x:c>
      <x:c r="L161" s="12" t="n">
        <x:v>115813813.702</x:v>
      </x:c>
      <x:c r="M161" s="12" t="str">
        <x:v>TuShare index_daily</x:v>
      </x:c>
    </x:row>
    <x:row r="162" ht="18" customHeight="1">
      <x:c r="A162" s="13" t="n">
        <x:v>42818</x:v>
      </x:c>
      <x:c r="B162" s="12" t="str">
        <x:v>000300.SH</x:v>
      </x:c>
      <x:c r="C162" s="12" t="n">
        <x:v>3464.1966</x:v>
      </x:c>
      <x:c r="D162" s="12" t="n">
        <x:v>3499.3179</x:v>
      </x:c>
      <x:c r="E162" s="12" t="n">
        <x:v>3461.1108</x:v>
      </x:c>
      <x:c r="F162" s="12" t="n">
        <x:v>3489.5997</x:v>
      </x:c>
      <x:c r="G162" s="12" t="n">
        <x:v>3461.9782</x:v>
      </x:c>
      <x:c r="H162" s="12" t="n">
        <x:v>27.6215</x:v>
      </x:c>
      <x:c r="I162" s="12" t="n">
        <x:v>0.7979</x:v>
      </x:c>
      <x:c r="J162" s="12" t="n">
        <x:v>0.00794687069947966</x:v>
      </x:c>
      <x:c r="K162" s="12" t="n">
        <x:v>125645833</x:v>
      </x:c>
      <x:c r="L162" s="12" t="n">
        <x:v>141752526.681</x:v>
      </x:c>
      <x:c r="M162" s="12" t="str">
        <x:v>TuShare index_daily</x:v>
      </x:c>
    </x:row>
    <x:row r="163" ht="18" customHeight="1">
      <x:c r="A163" s="13" t="n">
        <x:v>42821</x:v>
      </x:c>
      <x:c r="B163" s="12" t="str">
        <x:v>000300.SH</x:v>
      </x:c>
      <x:c r="C163" s="12" t="n">
        <x:v>3488.7647</x:v>
      </x:c>
      <x:c r="D163" s="12" t="n">
        <x:v>3505.9789</x:v>
      </x:c>
      <x:c r="E163" s="12" t="n">
        <x:v>3474.5206</x:v>
      </x:c>
      <x:c r="F163" s="12" t="n">
        <x:v>3478.0385</x:v>
      </x:c>
      <x:c r="G163" s="12" t="n">
        <x:v>3489.5997</x:v>
      </x:c>
      <x:c r="H163" s="12" t="n">
        <x:v>-11.5612</x:v>
      </x:c>
      <x:c r="I163" s="12" t="n">
        <x:v>-0.3313</x:v>
      </x:c>
      <x:c r="J163" s="12" t="n">
        <x:v>-0.0033185450444427754</x:v>
      </x:c>
      <x:c r="K163" s="12" t="n">
        <x:v>107015377</x:v>
      </x:c>
      <x:c r="L163" s="12" t="n">
        <x:v>124388012.134</x:v>
      </x:c>
      <x:c r="M163" s="12" t="str">
        <x:v>TuShare index_daily</x:v>
      </x:c>
    </x:row>
    <x:row r="164" ht="18" customHeight="1">
      <x:c r="A164" s="13" t="n">
        <x:v>42822</x:v>
      </x:c>
      <x:c r="B164" s="12" t="str">
        <x:v>000300.SH</x:v>
      </x:c>
      <x:c r="C164" s="12" t="n">
        <x:v>3480.249</x:v>
      </x:c>
      <x:c r="D164" s="12" t="n">
        <x:v>3482.2923</x:v>
      </x:c>
      <x:c r="E164" s="12" t="n">
        <x:v>3461.4678</x:v>
      </x:c>
      <x:c r="F164" s="12" t="n">
        <x:v>3469.8093</x:v>
      </x:c>
      <x:c r="G164" s="12" t="n">
        <x:v>3478.0385</x:v>
      </x:c>
      <x:c r="H164" s="12" t="n">
        <x:v>-8.2292</x:v>
      </x:c>
      <x:c r="I164" s="12" t="n">
        <x:v>-0.2366</x:v>
      </x:c>
      <x:c r="J164" s="12" t="n">
        <x:v>-0.002368849774787695</x:v>
      </x:c>
      <x:c r="K164" s="12" t="n">
        <x:v>84194820</x:v>
      </x:c>
      <x:c r="L164" s="12" t="n">
        <x:v>97495938.765</x:v>
      </x:c>
      <x:c r="M164" s="12" t="str">
        <x:v>TuShare index_daily</x:v>
      </x:c>
    </x:row>
    <x:row r="165" ht="18" customHeight="1">
      <x:c r="A165" s="13" t="n">
        <x:v>42823</x:v>
      </x:c>
      <x:c r="B165" s="12" t="str">
        <x:v>000300.SH</x:v>
      </x:c>
      <x:c r="C165" s="12" t="n">
        <x:v>3472.9665</x:v>
      </x:c>
      <x:c r="D165" s="12" t="n">
        <x:v>3483.0571</x:v>
      </x:c>
      <x:c r="E165" s="12" t="n">
        <x:v>3455.5529</x:v>
      </x:c>
      <x:c r="F165" s="12" t="n">
        <x:v>3465.1933</x:v>
      </x:c>
      <x:c r="G165" s="12" t="n">
        <x:v>3469.8093</x:v>
      </x:c>
      <x:c r="H165" s="12" t="n">
        <x:v>-4.616</x:v>
      </x:c>
      <x:c r="I165" s="12" t="n">
        <x:v>-0.133</x:v>
      </x:c>
      <x:c r="J165" s="12" t="n">
        <x:v>-0.001331218154607123</x:v>
      </x:c>
      <x:c r="K165" s="12" t="n">
        <x:v>104851706</x:v>
      </x:c>
      <x:c r="L165" s="12" t="n">
        <x:v>114663468.279</x:v>
      </x:c>
      <x:c r="M165" s="12" t="str">
        <x:v>TuShare index_daily</x:v>
      </x:c>
    </x:row>
    <x:row r="166" ht="18" customHeight="1">
      <x:c r="A166" s="13" t="n">
        <x:v>42824</x:v>
      </x:c>
      <x:c r="B166" s="12" t="str">
        <x:v>000300.SH</x:v>
      </x:c>
      <x:c r="C166" s="12" t="n">
        <x:v>3461.6159</x:v>
      </x:c>
      <x:c r="D166" s="12" t="n">
        <x:v>3467.3049</x:v>
      </x:c>
      <x:c r="E166" s="12" t="n">
        <x:v>3422.366</x:v>
      </x:c>
      <x:c r="F166" s="12" t="n">
        <x:v>3436.758</x:v>
      </x:c>
      <x:c r="G166" s="12" t="n">
        <x:v>3465.1933</x:v>
      </x:c>
      <x:c r="H166" s="12" t="n">
        <x:v>-28.4353</x:v>
      </x:c>
      <x:c r="I166" s="12" t="n">
        <x:v>-0.8206</x:v>
      </x:c>
      <x:c r="J166" s="12" t="n">
        <x:v>-0.008239832374357891</x:v>
      </x:c>
      <x:c r="K166" s="12" t="n">
        <x:v>116376922</x:v>
      </x:c>
      <x:c r="L166" s="12" t="n">
        <x:v>122088021.63</x:v>
      </x:c>
      <x:c r="M166" s="12" t="str">
        <x:v>TuShare index_daily</x:v>
      </x:c>
    </x:row>
    <x:row r="167" ht="18" customHeight="1">
      <x:c r="A167" s="13" t="n">
        <x:v>42825</x:v>
      </x:c>
      <x:c r="B167" s="12" t="str">
        <x:v>000300.SH</x:v>
      </x:c>
      <x:c r="C167" s="12" t="n">
        <x:v>3434.8222</x:v>
      </x:c>
      <x:c r="D167" s="12" t="n">
        <x:v>3456.3051</x:v>
      </x:c>
      <x:c r="E167" s="12" t="n">
        <x:v>3430.8197</x:v>
      </x:c>
      <x:c r="F167" s="12" t="n">
        <x:v>3456.0455</x:v>
      </x:c>
      <x:c r="G167" s="12" t="n">
        <x:v>3436.758</x:v>
      </x:c>
      <x:c r="H167" s="12" t="n">
        <x:v>19.2875</x:v>
      </x:c>
      <x:c r="I167" s="12" t="n">
        <x:v>0.5612</x:v>
      </x:c>
      <x:c r="J167" s="12" t="n">
        <x:v>0.005596431217114241</x:v>
      </x:c>
      <x:c r="K167" s="12" t="n">
        <x:v>91577491</x:v>
      </x:c>
      <x:c r="L167" s="12" t="n">
        <x:v>100984904.83</x:v>
      </x:c>
      <x:c r="M167" s="12" t="str">
        <x:v>TuShare index_daily</x:v>
      </x:c>
    </x:row>
    <x:row r="168" ht="18" customHeight="1">
      <x:c r="A168" s="13" t="n">
        <x:v>42830</x:v>
      </x:c>
      <x:c r="B168" s="12" t="str">
        <x:v>000300.SH</x:v>
      </x:c>
      <x:c r="C168" s="12" t="n">
        <x:v>3476.4231</x:v>
      </x:c>
      <x:c r="D168" s="12" t="n">
        <x:v>3504.5379</x:v>
      </x:c>
      <x:c r="E168" s="12" t="n">
        <x:v>3475.1486</x:v>
      </x:c>
      <x:c r="F168" s="12" t="n">
        <x:v>3503.8932</x:v>
      </x:c>
      <x:c r="G168" s="12" t="n">
        <x:v>3456.0455</x:v>
      </x:c>
      <x:c r="H168" s="12" t="n">
        <x:v>47.8477</x:v>
      </x:c>
      <x:c r="I168" s="12" t="n">
        <x:v>1.3845</x:v>
      </x:c>
      <x:c r="J168" s="12" t="n">
        <x:v>0.013749676793178263</x:v>
      </x:c>
      <x:c r="K168" s="12" t="n">
        <x:v>143399017</x:v>
      </x:c>
      <x:c r="L168" s="12" t="n">
        <x:v>160742981.172</x:v>
      </x:c>
      <x:c r="M168" s="12" t="str">
        <x:v>TuShare index_daily</x:v>
      </x:c>
    </x:row>
    <x:row r="169" ht="18" customHeight="1">
      <x:c r="A169" s="13" t="n">
        <x:v>42831</x:v>
      </x:c>
      <x:c r="B169" s="12" t="str">
        <x:v>000300.SH</x:v>
      </x:c>
      <x:c r="C169" s="12" t="n">
        <x:v>3507.9879</x:v>
      </x:c>
      <x:c r="D169" s="12" t="n">
        <x:v>3517.7779</x:v>
      </x:c>
      <x:c r="E169" s="12" t="n">
        <x:v>3495.7246</x:v>
      </x:c>
      <x:c r="F169" s="12" t="n">
        <x:v>3514.0469</x:v>
      </x:c>
      <x:c r="G169" s="12" t="n">
        <x:v>3503.8932</x:v>
      </x:c>
      <x:c r="H169" s="12" t="n">
        <x:v>10.1537</x:v>
      </x:c>
      <x:c r="I169" s="12" t="n">
        <x:v>0.2898</x:v>
      </x:c>
      <x:c r="J169" s="12" t="n">
        <x:v>0.0028936431318037823</x:v>
      </x:c>
      <x:c r="K169" s="12" t="n">
        <x:v>136767004</x:v>
      </x:c>
      <x:c r="L169" s="12" t="n">
        <x:v>145221644.165</x:v>
      </x:c>
      <x:c r="M169" s="12" t="str">
        <x:v>TuShare index_daily</x:v>
      </x:c>
    </x:row>
    <x:row r="170" ht="18" customHeight="1">
      <x:c r="A170" s="13" t="n">
        <x:v>42832</x:v>
      </x:c>
      <x:c r="B170" s="12" t="str">
        <x:v>000300.SH</x:v>
      </x:c>
      <x:c r="C170" s="12" t="n">
        <x:v>3514.4521</x:v>
      </x:c>
      <x:c r="D170" s="12" t="n">
        <x:v>3526.815</x:v>
      </x:c>
      <x:c r="E170" s="12" t="n">
        <x:v>3506.3885</x:v>
      </x:c>
      <x:c r="F170" s="12" t="n">
        <x:v>3517.4634</x:v>
      </x:c>
      <x:c r="G170" s="12" t="n">
        <x:v>3514.0469</x:v>
      </x:c>
      <x:c r="H170" s="12" t="n">
        <x:v>3.4165</x:v>
      </x:c>
      <x:c r="I170" s="12" t="n">
        <x:v>0.0972</x:v>
      </x:c>
      <x:c r="J170" s="12" t="n">
        <x:v>0.0009717685456167432</x:v>
      </x:c>
      <x:c r="K170" s="12" t="n">
        <x:v>140293204</x:v>
      </x:c>
      <x:c r="L170" s="12" t="n">
        <x:v>144559675.567</x:v>
      </x:c>
      <x:c r="M170" s="12" t="str">
        <x:v>TuShare index_daily</x:v>
      </x:c>
    </x:row>
    <x:row r="171" ht="18" customHeight="1">
      <x:c r="A171" s="13" t="n">
        <x:v>42835</x:v>
      </x:c>
      <x:c r="B171" s="12" t="str">
        <x:v>000300.SH</x:v>
      </x:c>
      <x:c r="C171" s="12" t="n">
        <x:v>3519.4597</x:v>
      </x:c>
      <x:c r="D171" s="12" t="n">
        <x:v>3522.7955</x:v>
      </x:c>
      <x:c r="E171" s="12" t="n">
        <x:v>3502.0826</x:v>
      </x:c>
      <x:c r="F171" s="12" t="n">
        <x:v>3505.1392</x:v>
      </x:c>
      <x:c r="G171" s="12" t="n">
        <x:v>3517.4634</x:v>
      </x:c>
      <x:c r="H171" s="12" t="n">
        <x:v>-12.3242</x:v>
      </x:c>
      <x:c r="I171" s="12" t="n">
        <x:v>-0.3504</x:v>
      </x:c>
      <x:c r="J171" s="12" t="n">
        <x:v>-0.003509870443761566</x:v>
      </x:c>
      <x:c r="K171" s="12" t="n">
        <x:v>141887380</x:v>
      </x:c>
      <x:c r="L171" s="12" t="n">
        <x:v>155747834.572</x:v>
      </x:c>
      <x:c r="M171" s="12" t="str">
        <x:v>TuShare index_daily</x:v>
      </x:c>
    </x:row>
    <x:row r="172" ht="18" customHeight="1">
      <x:c r="A172" s="13" t="n">
        <x:v>42836</x:v>
      </x:c>
      <x:c r="B172" s="12" t="str">
        <x:v>000300.SH</x:v>
      </x:c>
      <x:c r="C172" s="12" t="n">
        <x:v>3503.8294</x:v>
      </x:c>
      <x:c r="D172" s="12" t="n">
        <x:v>3520.1315</x:v>
      </x:c>
      <x:c r="E172" s="12" t="n">
        <x:v>3466.139</x:v>
      </x:c>
      <x:c r="F172" s="12" t="n">
        <x:v>3517.328</x:v>
      </x:c>
      <x:c r="G172" s="12" t="n">
        <x:v>3505.1392</x:v>
      </x:c>
      <x:c r="H172" s="12" t="n">
        <x:v>12.1888</x:v>
      </x:c>
      <x:c r="I172" s="12" t="n">
        <x:v>0.3477</x:v>
      </x:c>
      <x:c r="J172" s="12" t="n">
        <x:v>0.0034713760542855474</x:v>
      </x:c>
      <x:c r="K172" s="12" t="n">
        <x:v>165945832</x:v>
      </x:c>
      <x:c r="L172" s="12" t="n">
        <x:v>189457268.655</x:v>
      </x:c>
      <x:c r="M172" s="12" t="str">
        <x:v>TuShare index_daily</x:v>
      </x:c>
    </x:row>
    <x:row r="173" ht="18" customHeight="1">
      <x:c r="A173" s="13" t="n">
        <x:v>42837</x:v>
      </x:c>
      <x:c r="B173" s="12" t="str">
        <x:v>000300.SH</x:v>
      </x:c>
      <x:c r="C173" s="12" t="n">
        <x:v>3514.5723</x:v>
      </x:c>
      <x:c r="D173" s="12" t="n">
        <x:v>3523.0975</x:v>
      </x:c>
      <x:c r="E173" s="12" t="n">
        <x:v>3497.9991</x:v>
      </x:c>
      <x:c r="F173" s="12" t="n">
        <x:v>3509.4387</x:v>
      </x:c>
      <x:c r="G173" s="12" t="n">
        <x:v>3517.328</x:v>
      </x:c>
      <x:c r="H173" s="12" t="n">
        <x:v>-7.8893</x:v>
      </x:c>
      <x:c r="I173" s="12" t="n">
        <x:v>-0.2243</x:v>
      </x:c>
      <x:c r="J173" s="12" t="n">
        <x:v>-0.0022455002853585654</x:v>
      </x:c>
      <x:c r="K173" s="12" t="n">
        <x:v>181824537</x:v>
      </x:c>
      <x:c r="L173" s="12" t="n">
        <x:v>202154571.423</x:v>
      </x:c>
      <x:c r="M173" s="12" t="str">
        <x:v>TuShare index_daily</x:v>
      </x:c>
    </x:row>
    <x:row r="174" ht="18" customHeight="1">
      <x:c r="A174" s="13" t="n">
        <x:v>42838</x:v>
      </x:c>
      <x:c r="B174" s="12" t="str">
        <x:v>000300.SH</x:v>
      </x:c>
      <x:c r="C174" s="12" t="n">
        <x:v>3500.2838</x:v>
      </x:c>
      <x:c r="D174" s="12" t="n">
        <x:v>3518.4385</x:v>
      </x:c>
      <x:c r="E174" s="12" t="n">
        <x:v>3496.5699</x:v>
      </x:c>
      <x:c r="F174" s="12" t="n">
        <x:v>3514.5662</x:v>
      </x:c>
      <x:c r="G174" s="12" t="n">
        <x:v>3509.4387</x:v>
      </x:c>
      <x:c r="H174" s="12" t="n">
        <x:v>5.1275</x:v>
      </x:c>
      <x:c r="I174" s="12" t="n">
        <x:v>0.1461</x:v>
      </x:c>
      <x:c r="J174" s="12" t="n">
        <x:v>0.001459993546077126</x:v>
      </x:c>
      <x:c r="K174" s="12" t="n">
        <x:v>129981813</x:v>
      </x:c>
      <x:c r="L174" s="12" t="n">
        <x:v>133345929.014</x:v>
      </x:c>
      <x:c r="M174" s="12" t="str">
        <x:v>TuShare index_daily</x:v>
      </x:c>
    </x:row>
    <x:row r="175" ht="18" customHeight="1">
      <x:c r="A175" s="13" t="n">
        <x:v>42839</x:v>
      </x:c>
      <x:c r="B175" s="12" t="str">
        <x:v>000300.SH</x:v>
      </x:c>
      <x:c r="C175" s="12" t="n">
        <x:v>3516.8103</x:v>
      </x:c>
      <x:c r="D175" s="12" t="n">
        <x:v>3517.4664</x:v>
      </x:c>
      <x:c r="E175" s="12" t="n">
        <x:v>3476.9468</x:v>
      </x:c>
      <x:c r="F175" s="12" t="n">
        <x:v>3486.5045</x:v>
      </x:c>
      <x:c r="G175" s="12" t="n">
        <x:v>3514.5662</x:v>
      </x:c>
      <x:c r="H175" s="12" t="n">
        <x:v>-28.0617</x:v>
      </x:c>
      <x:c r="I175" s="12" t="n">
        <x:v>-0.7984</x:v>
      </x:c>
      <x:c r="J175" s="12" t="n">
        <x:v>-0.00801644533547814</x:v>
      </x:c>
      <x:c r="K175" s="12" t="n">
        <x:v>135474078</x:v>
      </x:c>
      <x:c r="L175" s="12" t="n">
        <x:v>130425385.379</x:v>
      </x:c>
      <x:c r="M175" s="12" t="str">
        <x:v>TuShare index_daily</x:v>
      </x:c>
    </x:row>
    <x:row r="176" ht="18" customHeight="1">
      <x:c r="A176" s="13" t="n">
        <x:v>42842</x:v>
      </x:c>
      <x:c r="B176" s="12" t="str">
        <x:v>000300.SH</x:v>
      </x:c>
      <x:c r="C176" s="12" t="n">
        <x:v>3475.7381</x:v>
      </x:c>
      <x:c r="D176" s="12" t="n">
        <x:v>3480.5696</x:v>
      </x:c>
      <x:c r="E176" s="12" t="n">
        <x:v>3453.6759</x:v>
      </x:c>
      <x:c r="F176" s="12" t="n">
        <x:v>3479.9417</x:v>
      </x:c>
      <x:c r="G176" s="12" t="n">
        <x:v>3486.5045</x:v>
      </x:c>
      <x:c r="H176" s="12" t="n">
        <x:v>-6.5628</x:v>
      </x:c>
      <x:c r="I176" s="12" t="n">
        <x:v>-0.1882</x:v>
      </x:c>
      <x:c r="J176" s="12" t="n">
        <x:v>-0.0018841175982784407</x:v>
      </x:c>
      <x:c r="K176" s="12" t="n">
        <x:v>117164961</x:v>
      </x:c>
      <x:c r="L176" s="12" t="n">
        <x:v>123884371.227</x:v>
      </x:c>
      <x:c r="M176" s="12" t="str">
        <x:v>TuShare index_daily</x:v>
      </x:c>
    </x:row>
    <x:row r="177" ht="18" customHeight="1">
      <x:c r="A177" s="13" t="n">
        <x:v>42843</x:v>
      </x:c>
      <x:c r="B177" s="12" t="str">
        <x:v>000300.SH</x:v>
      </x:c>
      <x:c r="C177" s="12" t="n">
        <x:v>3474.8892</x:v>
      </x:c>
      <x:c r="D177" s="12" t="n">
        <x:v>3489.0845</x:v>
      </x:c>
      <x:c r="E177" s="12" t="n">
        <x:v>3462.6297</x:v>
      </x:c>
      <x:c r="F177" s="12" t="n">
        <x:v>3462.7429</x:v>
      </x:c>
      <x:c r="G177" s="12" t="n">
        <x:v>3479.9417</x:v>
      </x:c>
      <x:c r="H177" s="12" t="n">
        <x:v>-17.1988</x:v>
      </x:c>
      <x:c r="I177" s="12" t="n">
        <x:v>-0.4942</x:v>
      </x:c>
      <x:c r="J177" s="12" t="n">
        <x:v>-0.004954520094993246</x:v>
      </x:c>
      <x:c r="K177" s="12" t="n">
        <x:v>110927823</x:v>
      </x:c>
      <x:c r="L177" s="12" t="n">
        <x:v>126790853.425</x:v>
      </x:c>
      <x:c r="M177" s="12" t="str">
        <x:v>TuShare index_daily</x:v>
      </x:c>
    </x:row>
    <x:row r="178" ht="18" customHeight="1">
      <x:c r="A178" s="13" t="n">
        <x:v>42844</x:v>
      </x:c>
      <x:c r="B178" s="12" t="str">
        <x:v>000300.SH</x:v>
      </x:c>
      <x:c r="C178" s="12" t="n">
        <x:v>3452.9904</x:v>
      </x:c>
      <x:c r="D178" s="12" t="n">
        <x:v>3459.3524</x:v>
      </x:c>
      <x:c r="E178" s="12" t="n">
        <x:v>3418.514</x:v>
      </x:c>
      <x:c r="F178" s="12" t="n">
        <x:v>3445.8761</x:v>
      </x:c>
      <x:c r="G178" s="12" t="n">
        <x:v>3462.7429</x:v>
      </x:c>
      <x:c r="H178" s="12" t="n">
        <x:v>-16.8668</x:v>
      </x:c>
      <x:c r="I178" s="12" t="n">
        <x:v>-0.4871</x:v>
      </x:c>
      <x:c r="J178" s="12" t="n">
        <x:v>-0.004882837948266378</x:v>
      </x:c>
      <x:c r="K178" s="12" t="n">
        <x:v>121349264</x:v>
      </x:c>
      <x:c r="L178" s="12" t="n">
        <x:v>127050362.407</x:v>
      </x:c>
      <x:c r="M178" s="12" t="str">
        <x:v>TuShare index_daily</x:v>
      </x:c>
    </x:row>
    <x:row r="179" ht="18" customHeight="1">
      <x:c r="A179" s="13" t="n">
        <x:v>42845</x:v>
      </x:c>
      <x:c r="B179" s="12" t="str">
        <x:v>000300.SH</x:v>
      </x:c>
      <x:c r="C179" s="12" t="n">
        <x:v>3444.5225</x:v>
      </x:c>
      <x:c r="D179" s="12" t="n">
        <x:v>3465.6088</x:v>
      </x:c>
      <x:c r="E179" s="12" t="n">
        <x:v>3440.7151</x:v>
      </x:c>
      <x:c r="F179" s="12" t="n">
        <x:v>3461.5481</x:v>
      </x:c>
      <x:c r="G179" s="12" t="n">
        <x:v>3445.8761</x:v>
      </x:c>
      <x:c r="H179" s="12" t="n">
        <x:v>15.672</x:v>
      </x:c>
      <x:c r="I179" s="12" t="n">
        <x:v>0.4548</x:v>
      </x:c>
      <x:c r="J179" s="12" t="n">
        <x:v>0.0045377340201217834</x:v>
      </x:c>
      <x:c r="K179" s="12" t="n">
        <x:v>114184208</x:v>
      </x:c>
      <x:c r="L179" s="12" t="n">
        <x:v>133977258.346</x:v>
      </x:c>
      <x:c r="M179" s="12" t="str">
        <x:v>TuShare index_daily</x:v>
      </x:c>
    </x:row>
    <x:row r="180" ht="18" customHeight="1">
      <x:c r="A180" s="13" t="n">
        <x:v>42846</x:v>
      </x:c>
      <x:c r="B180" s="12" t="str">
        <x:v>000300.SH</x:v>
      </x:c>
      <x:c r="C180" s="12" t="n">
        <x:v>3461.389</x:v>
      </x:c>
      <x:c r="D180" s="12" t="n">
        <x:v>3475.5622</x:v>
      </x:c>
      <x:c r="E180" s="12" t="n">
        <x:v>3449.5421</x:v>
      </x:c>
      <x:c r="F180" s="12" t="n">
        <x:v>3466.7865</x:v>
      </x:c>
      <x:c r="G180" s="12" t="n">
        <x:v>3461.5481</x:v>
      </x:c>
      <x:c r="H180" s="12" t="n">
        <x:v>5.2384</x:v>
      </x:c>
      <x:c r="I180" s="12" t="n">
        <x:v>0.1513</x:v>
      </x:c>
      <x:c r="J180" s="12" t="n">
        <x:v>0.0015121674401230765</x:v>
      </x:c>
      <x:c r="K180" s="12" t="n">
        <x:v>104419110</x:v>
      </x:c>
      <x:c r="L180" s="12" t="n">
        <x:v>115208831.746</x:v>
      </x:c>
      <x:c r="M180" s="12" t="str">
        <x:v>TuShare index_daily</x:v>
      </x:c>
    </x:row>
    <x:row r="181" ht="18" customHeight="1">
      <x:c r="A181" s="13" t="n">
        <x:v>42849</x:v>
      </x:c>
      <x:c r="B181" s="12" t="str">
        <x:v>000300.SH</x:v>
      </x:c>
      <x:c r="C181" s="12" t="n">
        <x:v>3458.2279</x:v>
      </x:c>
      <x:c r="D181" s="12" t="n">
        <x:v>3458.2279</x:v>
      </x:c>
      <x:c r="E181" s="12" t="n">
        <x:v>3403.9792</x:v>
      </x:c>
      <x:c r="F181" s="12" t="n">
        <x:v>3431.2587</x:v>
      </x:c>
      <x:c r="G181" s="12" t="n">
        <x:v>3466.7865</x:v>
      </x:c>
      <x:c r="H181" s="12" t="n">
        <x:v>-35.5278</x:v>
      </x:c>
      <x:c r="I181" s="12" t="n">
        <x:v>-1.0248</x:v>
      </x:c>
      <x:c r="J181" s="12" t="n">
        <x:v>-0.010300922397859099</x:v>
      </x:c>
      <x:c r="K181" s="12" t="n">
        <x:v>114660791</x:v>
      </x:c>
      <x:c r="L181" s="12" t="n">
        <x:v>122778154.321</x:v>
      </x:c>
      <x:c r="M181" s="12" t="str">
        <x:v>TuShare index_daily</x:v>
      </x:c>
    </x:row>
    <x:row r="182" ht="18" customHeight="1">
      <x:c r="A182" s="13" t="n">
        <x:v>42850</x:v>
      </x:c>
      <x:c r="B182" s="12" t="str">
        <x:v>000300.SH</x:v>
      </x:c>
      <x:c r="C182" s="12" t="n">
        <x:v>3427.7322</x:v>
      </x:c>
      <x:c r="D182" s="12" t="n">
        <x:v>3449.6716</x:v>
      </x:c>
      <x:c r="E182" s="12" t="n">
        <x:v>3422.6521</x:v>
      </x:c>
      <x:c r="F182" s="12" t="n">
        <x:v>3440.9743</x:v>
      </x:c>
      <x:c r="G182" s="12" t="n">
        <x:v>3431.2587</x:v>
      </x:c>
      <x:c r="H182" s="12" t="n">
        <x:v>9.7156</x:v>
      </x:c>
      <x:c r="I182" s="12" t="n">
        <x:v>0.2831</x:v>
      </x:c>
      <x:c r="J182" s="12" t="n">
        <x:v>0.0028274962367554088</x:v>
      </x:c>
      <x:c r="K182" s="12" t="n">
        <x:v>94072148</x:v>
      </x:c>
      <x:c r="L182" s="12" t="n">
        <x:v>107599357.209</x:v>
      </x:c>
      <x:c r="M182" s="12" t="str">
        <x:v>TuShare index_daily</x:v>
      </x:c>
    </x:row>
    <x:row r="183" ht="18" customHeight="1">
      <x:c r="A183" s="13" t="n">
        <x:v>42851</x:v>
      </x:c>
      <x:c r="B183" s="12" t="str">
        <x:v>000300.SH</x:v>
      </x:c>
      <x:c r="C183" s="12" t="n">
        <x:v>3440.2526</x:v>
      </x:c>
      <x:c r="D183" s="12" t="n">
        <x:v>3466.5651</x:v>
      </x:c>
      <x:c r="E183" s="12" t="n">
        <x:v>3439.1505</x:v>
      </x:c>
      <x:c r="F183" s="12" t="n">
        <x:v>3445.1832</x:v>
      </x:c>
      <x:c r="G183" s="12" t="n">
        <x:v>3440.9743</x:v>
      </x:c>
      <x:c r="H183" s="12" t="n">
        <x:v>4.2089</x:v>
      </x:c>
      <x:c r="I183" s="12" t="n">
        <x:v>0.1223</x:v>
      </x:c>
      <x:c r="J183" s="12" t="n">
        <x:v>0.0012224235429179387</x:v>
      </x:c>
      <x:c r="K183" s="12" t="n">
        <x:v>111940029</x:v>
      </x:c>
      <x:c r="L183" s="12" t="n">
        <x:v>131316579.235</x:v>
      </x:c>
      <x:c r="M183" s="12" t="str">
        <x:v>TuShare index_daily</x:v>
      </x:c>
    </x:row>
    <x:row r="184" ht="18" customHeight="1">
      <x:c r="A184" s="13" t="n">
        <x:v>42852</x:v>
      </x:c>
      <x:c r="B184" s="12" t="str">
        <x:v>000300.SH</x:v>
      </x:c>
      <x:c r="C184" s="12" t="n">
        <x:v>3435.1017</x:v>
      </x:c>
      <x:c r="D184" s="12" t="n">
        <x:v>3449.2723</x:v>
      </x:c>
      <x:c r="E184" s="12" t="n">
        <x:v>3399.5392</x:v>
      </x:c>
      <x:c r="F184" s="12" t="n">
        <x:v>3446.7202</x:v>
      </x:c>
      <x:c r="G184" s="12" t="n">
        <x:v>3445.1832</x:v>
      </x:c>
      <x:c r="H184" s="12" t="n">
        <x:v>1.537</x:v>
      </x:c>
      <x:c r="I184" s="12" t="n">
        <x:v>0.0446</x:v>
      </x:c>
      <x:c r="J184" s="12" t="n">
        <x:v>0.0004460306351600045</x:v>
      </x:c>
      <x:c r="K184" s="12" t="n">
        <x:v>123298425</x:v>
      </x:c>
      <x:c r="L184" s="12" t="n">
        <x:v>134610947.828</x:v>
      </x:c>
      <x:c r="M184" s="12" t="str">
        <x:v>TuShare index_daily</x:v>
      </x:c>
    </x:row>
    <x:row r="185" ht="18" customHeight="1">
      <x:c r="A185" s="13" t="n">
        <x:v>42853</x:v>
      </x:c>
      <x:c r="B185" s="12" t="str">
        <x:v>000300.SH</x:v>
      </x:c>
      <x:c r="C185" s="12" t="n">
        <x:v>3439.5735</x:v>
      </x:c>
      <x:c r="D185" s="12" t="n">
        <x:v>3439.904</x:v>
      </x:c>
      <x:c r="E185" s="12" t="n">
        <x:v>3417.2375</x:v>
      </x:c>
      <x:c r="F185" s="12" t="n">
        <x:v>3439.753</x:v>
      </x:c>
      <x:c r="G185" s="12" t="n">
        <x:v>3446.7202</x:v>
      </x:c>
      <x:c r="H185" s="12" t="n">
        <x:v>-6.9672</x:v>
      </x:c>
      <x:c r="I185" s="12" t="n">
        <x:v>-0.2021</x:v>
      </x:c>
      <x:c r="J185" s="12" t="n">
        <x:v>-0.0020234457246328286</x:v>
      </x:c>
      <x:c r="K185" s="12" t="n">
        <x:v>101632351</x:v>
      </x:c>
      <x:c r="L185" s="12" t="n">
        <x:v>113761006.698</x:v>
      </x:c>
      <x:c r="M185" s="12" t="str">
        <x:v>TuShare index_daily</x:v>
      </x:c>
    </x:row>
    <x:row r="186" ht="18" customHeight="1">
      <x:c r="A186" s="13" t="n">
        <x:v>42857</x:v>
      </x:c>
      <x:c r="B186" s="12" t="str">
        <x:v>000300.SH</x:v>
      </x:c>
      <x:c r="C186" s="12" t="n">
        <x:v>3427.9169</x:v>
      </x:c>
      <x:c r="D186" s="12" t="n">
        <x:v>3436.3064</x:v>
      </x:c>
      <x:c r="E186" s="12" t="n">
        <x:v>3418.6652</x:v>
      </x:c>
      <x:c r="F186" s="12" t="n">
        <x:v>3426.5766</x:v>
      </x:c>
      <x:c r="G186" s="12" t="n">
        <x:v>3439.753</x:v>
      </x:c>
      <x:c r="H186" s="12" t="n">
        <x:v>-13.1764</x:v>
      </x:c>
      <x:c r="I186" s="12" t="n">
        <x:v>-0.3831</x:v>
      </x:c>
      <x:c r="J186" s="12" t="n">
        <x:v>-0.003837979515030131</x:v>
      </x:c>
      <x:c r="K186" s="12" t="n">
        <x:v>92797462</x:v>
      </x:c>
      <x:c r="L186" s="12" t="n">
        <x:v>101635858.602</x:v>
      </x:c>
      <x:c r="M186" s="12" t="str">
        <x:v>TuShare index_daily</x:v>
      </x:c>
    </x:row>
    <x:row r="187" ht="18" customHeight="1">
      <x:c r="A187" s="13" t="n">
        <x:v>42858</x:v>
      </x:c>
      <x:c r="B187" s="12" t="str">
        <x:v>000300.SH</x:v>
      </x:c>
      <x:c r="C187" s="12" t="n">
        <x:v>3421.7586</x:v>
      </x:c>
      <x:c r="D187" s="12" t="n">
        <x:v>3432.2248</x:v>
      </x:c>
      <x:c r="E187" s="12" t="n">
        <x:v>3403.0782</x:v>
      </x:c>
      <x:c r="F187" s="12" t="n">
        <x:v>3413.1282</x:v>
      </x:c>
      <x:c r="G187" s="12" t="n">
        <x:v>3426.5766</x:v>
      </x:c>
      <x:c r="H187" s="12" t="n">
        <x:v>-13.4484</x:v>
      </x:c>
      <x:c r="I187" s="12" t="n">
        <x:v>-0.3925</x:v>
      </x:c>
      <x:c r="J187" s="12" t="n">
        <x:v>-0.003932455485719591</x:v>
      </x:c>
      <x:c r="K187" s="12" t="n">
        <x:v>91669624</x:v>
      </x:c>
      <x:c r="L187" s="12" t="n">
        <x:v>97854119.098</x:v>
      </x:c>
      <x:c r="M187" s="12" t="str">
        <x:v>TuShare index_daily</x:v>
      </x:c>
    </x:row>
    <x:row r="188" ht="18" customHeight="1">
      <x:c r="A188" s="13" t="n">
        <x:v>42859</x:v>
      </x:c>
      <x:c r="B188" s="12" t="str">
        <x:v>000300.SH</x:v>
      </x:c>
      <x:c r="C188" s="12" t="n">
        <x:v>3404.9379</x:v>
      </x:c>
      <x:c r="D188" s="12" t="n">
        <x:v>3421.3953</x:v>
      </x:c>
      <x:c r="E188" s="12" t="n">
        <x:v>3391.277</x:v>
      </x:c>
      <x:c r="F188" s="12" t="n">
        <x:v>3404.3864</x:v>
      </x:c>
      <x:c r="G188" s="12" t="n">
        <x:v>3413.1282</x:v>
      </x:c>
      <x:c r="H188" s="12" t="n">
        <x:v>-8.7418</x:v>
      </x:c>
      <x:c r="I188" s="12" t="n">
        <x:v>-0.2561</x:v>
      </x:c>
      <x:c r="J188" s="12" t="n">
        <x:v>-0.0025645136985957425</x:v>
      </x:c>
      <x:c r="K188" s="12" t="n">
        <x:v>103482075</x:v>
      </x:c>
      <x:c r="L188" s="12" t="n">
        <x:v>106985952.575</x:v>
      </x:c>
      <x:c r="M188" s="12" t="str">
        <x:v>TuShare index_daily</x:v>
      </x:c>
    </x:row>
    <x:row r="189" ht="18" customHeight="1">
      <x:c r="A189" s="13" t="n">
        <x:v>42860</x:v>
      </x:c>
      <x:c r="B189" s="12" t="str">
        <x:v>000300.SH</x:v>
      </x:c>
      <x:c r="C189" s="12" t="n">
        <x:v>3393.4831</x:v>
      </x:c>
      <x:c r="D189" s="12" t="n">
        <x:v>3395.4532</x:v>
      </x:c>
      <x:c r="E189" s="12" t="n">
        <x:v>3366.5568</x:v>
      </x:c>
      <x:c r="F189" s="12" t="n">
        <x:v>3382.5502</x:v>
      </x:c>
      <x:c r="G189" s="12" t="n">
        <x:v>3404.3864</x:v>
      </x:c>
      <x:c r="H189" s="12" t="n">
        <x:v>-21.8362</x:v>
      </x:c>
      <x:c r="I189" s="12" t="n">
        <x:v>-0.6414</x:v>
      </x:c>
      <x:c r="J189" s="12" t="n">
        <x:v>-0.006434795735926154</x:v>
      </x:c>
      <x:c r="K189" s="12" t="n">
        <x:v>109895333</x:v>
      </x:c>
      <x:c r="L189" s="12" t="n">
        <x:v>117464939.578</x:v>
      </x:c>
      <x:c r="M189" s="12" t="str">
        <x:v>TuShare index_daily</x:v>
      </x:c>
    </x:row>
    <x:row r="190" ht="18" customHeight="1">
      <x:c r="A190" s="13" t="n">
        <x:v>42863</x:v>
      </x:c>
      <x:c r="B190" s="12" t="str">
        <x:v>000300.SH</x:v>
      </x:c>
      <x:c r="C190" s="12" t="n">
        <x:v>3369.1084</x:v>
      </x:c>
      <x:c r="D190" s="12" t="n">
        <x:v>3374.1571</x:v>
      </x:c>
      <x:c r="E190" s="12" t="n">
        <x:v>3339.5743</x:v>
      </x:c>
      <x:c r="F190" s="12" t="n">
        <x:v>3358.8125</x:v>
      </x:c>
      <x:c r="G190" s="12" t="n">
        <x:v>3382.5502</x:v>
      </x:c>
      <x:c r="H190" s="12" t="n">
        <x:v>-23.7377</x:v>
      </x:c>
      <x:c r="I190" s="12" t="n">
        <x:v>-0.7018</x:v>
      </x:c>
      <x:c r="J190" s="12" t="n">
        <x:v>-0.007042433158971218</x:v>
      </x:c>
      <x:c r="K190" s="12" t="n">
        <x:v>123749287</x:v>
      </x:c>
      <x:c r="L190" s="12" t="n">
        <x:v>126885426.472</x:v>
      </x:c>
      <x:c r="M190" s="12" t="str">
        <x:v>TuShare index_daily</x:v>
      </x:c>
    </x:row>
    <x:row r="191" ht="18" customHeight="1">
      <x:c r="A191" s="13" t="n">
        <x:v>42864</x:v>
      </x:c>
      <x:c r="B191" s="12" t="str">
        <x:v>000300.SH</x:v>
      </x:c>
      <x:c r="C191" s="12" t="n">
        <x:v>3342.5981</x:v>
      </x:c>
      <x:c r="D191" s="12" t="n">
        <x:v>3358.0463</x:v>
      </x:c>
      <x:c r="E191" s="12" t="n">
        <x:v>3327.5901</x:v>
      </x:c>
      <x:c r="F191" s="12" t="n">
        <x:v>3352.5324</x:v>
      </x:c>
      <x:c r="G191" s="12" t="n">
        <x:v>3358.8125</x:v>
      </x:c>
      <x:c r="H191" s="12" t="n">
        <x:v>-6.2801</x:v>
      </x:c>
      <x:c r="I191" s="12" t="n">
        <x:v>-0.187</x:v>
      </x:c>
      <x:c r="J191" s="12" t="n">
        <x:v>-0.0018714883310459937</x:v>
      </x:c>
      <x:c r="K191" s="12" t="n">
        <x:v>76771668</x:v>
      </x:c>
      <x:c r="L191" s="12" t="n">
        <x:v>85528831.749</x:v>
      </x:c>
      <x:c r="M191" s="12" t="str">
        <x:v>TuShare index_daily</x:v>
      </x:c>
    </x:row>
    <x:row r="192" ht="18" customHeight="1">
      <x:c r="A192" s="13" t="n">
        <x:v>42865</x:v>
      </x:c>
      <x:c r="B192" s="12" t="str">
        <x:v>000300.SH</x:v>
      </x:c>
      <x:c r="C192" s="12" t="n">
        <x:v>3350.6502</x:v>
      </x:c>
      <x:c r="D192" s="12" t="n">
        <x:v>3369.4345</x:v>
      </x:c>
      <x:c r="E192" s="12" t="n">
        <x:v>3336.003</x:v>
      </x:c>
      <x:c r="F192" s="12" t="n">
        <x:v>3337.7007</x:v>
      </x:c>
      <x:c r="G192" s="12" t="n">
        <x:v>3352.5324</x:v>
      </x:c>
      <x:c r="H192" s="12" t="n">
        <x:v>-14.8317</x:v>
      </x:c>
      <x:c r="I192" s="12" t="n">
        <x:v>-0.4424</x:v>
      </x:c>
      <x:c r="J192" s="12" t="n">
        <x:v>-0.004433843806724372</x:v>
      </x:c>
      <x:c r="K192" s="12" t="n">
        <x:v>92082628</x:v>
      </x:c>
      <x:c r="L192" s="12" t="n">
        <x:v>102194980.791</x:v>
      </x:c>
      <x:c r="M192" s="12" t="str">
        <x:v>TuShare index_daily</x:v>
      </x:c>
    </x:row>
    <x:row r="193" ht="18" customHeight="1">
      <x:c r="A193" s="13" t="n">
        <x:v>42866</x:v>
      </x:c>
      <x:c r="B193" s="12" t="str">
        <x:v>000300.SH</x:v>
      </x:c>
      <x:c r="C193" s="12" t="n">
        <x:v>3322.9455</x:v>
      </x:c>
      <x:c r="D193" s="12" t="n">
        <x:v>3359.6003</x:v>
      </x:c>
      <x:c r="E193" s="12" t="n">
        <x:v>3312.8921</x:v>
      </x:c>
      <x:c r="F193" s="12" t="n">
        <x:v>3356.6459</x:v>
      </x:c>
      <x:c r="G193" s="12" t="n">
        <x:v>3337.7007</x:v>
      </x:c>
      <x:c r="H193" s="12" t="n">
        <x:v>18.9452</x:v>
      </x:c>
      <x:c r="I193" s="12" t="n">
        <x:v>0.5676</x:v>
      </x:c>
      <x:c r="J193" s="12" t="n">
        <x:v>0.005660074600273593</x:v>
      </x:c>
      <x:c r="K193" s="12" t="n">
        <x:v>109252890</x:v>
      </x:c>
      <x:c r="L193" s="12" t="n">
        <x:v>111576379.054</x:v>
      </x:c>
      <x:c r="M193" s="12" t="str">
        <x:v>TuShare index_daily</x:v>
      </x:c>
    </x:row>
    <x:row r="194" ht="18" customHeight="1">
      <x:c r="A194" s="13" t="n">
        <x:v>42867</x:v>
      </x:c>
      <x:c r="B194" s="12" t="str">
        <x:v>000300.SH</x:v>
      </x:c>
      <x:c r="C194" s="12" t="n">
        <x:v>3350.9371</x:v>
      </x:c>
      <x:c r="D194" s="12" t="n">
        <x:v>3387.2677</x:v>
      </x:c>
      <x:c r="E194" s="12" t="n">
        <x:v>3349.1671</x:v>
      </x:c>
      <x:c r="F194" s="12" t="n">
        <x:v>3385.3787</x:v>
      </x:c>
      <x:c r="G194" s="12" t="n">
        <x:v>3356.6459</x:v>
      </x:c>
      <x:c r="H194" s="12" t="n">
        <x:v>28.7328</x:v>
      </x:c>
      <x:c r="I194" s="12" t="n">
        <x:v>0.856</x:v>
      </x:c>
      <x:c r="J194" s="12" t="n">
        <x:v>0.008523544679708842</x:v>
      </x:c>
      <x:c r="K194" s="12" t="n">
        <x:v>93386466</x:v>
      </x:c>
      <x:c r="L194" s="12" t="n">
        <x:v>97522124.594</x:v>
      </x:c>
      <x:c r="M194" s="12" t="str">
        <x:v>TuShare index_daily</x:v>
      </x:c>
    </x:row>
    <x:row r="195" ht="18" customHeight="1">
      <x:c r="A195" s="13" t="n">
        <x:v>42870</x:v>
      </x:c>
      <x:c r="B195" s="12" t="str">
        <x:v>000300.SH</x:v>
      </x:c>
      <x:c r="C195" s="12" t="n">
        <x:v>3391.5881</x:v>
      </x:c>
      <x:c r="D195" s="12" t="n">
        <x:v>3406.581</x:v>
      </x:c>
      <x:c r="E195" s="12" t="n">
        <x:v>3391.5881</x:v>
      </x:c>
      <x:c r="F195" s="12" t="n">
        <x:v>3399.1937</x:v>
      </x:c>
      <x:c r="G195" s="12" t="n">
        <x:v>3385.3787</x:v>
      </x:c>
      <x:c r="H195" s="12" t="n">
        <x:v>13.815</x:v>
      </x:c>
      <x:c r="I195" s="12" t="n">
        <x:v>0.4081</x:v>
      </x:c>
      <x:c r="J195" s="12" t="n">
        <x:v>0.004072480409697438</x:v>
      </x:c>
      <x:c r="K195" s="12" t="n">
        <x:v>82977611</x:v>
      </x:c>
      <x:c r="L195" s="12" t="n">
        <x:v>92183332.845</x:v>
      </x:c>
      <x:c r="M195" s="12" t="str">
        <x:v>TuShare index_daily</x:v>
      </x:c>
    </x:row>
    <x:row r="196" ht="18" customHeight="1">
      <x:c r="A196" s="13" t="n">
        <x:v>42871</x:v>
      </x:c>
      <x:c r="B196" s="12" t="str">
        <x:v>000300.SH</x:v>
      </x:c>
      <x:c r="C196" s="12" t="n">
        <x:v>3390.925</x:v>
      </x:c>
      <x:c r="D196" s="12" t="n">
        <x:v>3428.8531</x:v>
      </x:c>
      <x:c r="E196" s="12" t="n">
        <x:v>3373.552</x:v>
      </x:c>
      <x:c r="F196" s="12" t="n">
        <x:v>3428.6491</x:v>
      </x:c>
      <x:c r="G196" s="12" t="n">
        <x:v>3399.1937</x:v>
      </x:c>
      <x:c r="H196" s="12" t="n">
        <x:v>29.4554</x:v>
      </x:c>
      <x:c r="I196" s="12" t="n">
        <x:v>0.8665</x:v>
      </x:c>
      <x:c r="J196" s="12" t="n">
        <x:v>0.008628078763215188</x:v>
      </x:c>
      <x:c r="K196" s="12" t="n">
        <x:v>105242416</x:v>
      </x:c>
      <x:c r="L196" s="12" t="n">
        <x:v>112814103.201</x:v>
      </x:c>
      <x:c r="M196" s="12" t="str">
        <x:v>TuShare index_daily</x:v>
      </x:c>
    </x:row>
    <x:row r="197" ht="18" customHeight="1">
      <x:c r="A197" s="13" t="n">
        <x:v>42872</x:v>
      </x:c>
      <x:c r="B197" s="12" t="str">
        <x:v>000300.SH</x:v>
      </x:c>
      <x:c r="C197" s="12" t="n">
        <x:v>3423.19</x:v>
      </x:c>
      <x:c r="D197" s="12" t="n">
        <x:v>3433.9695</x:v>
      </x:c>
      <x:c r="E197" s="12" t="n">
        <x:v>3408.1541</x:v>
      </x:c>
      <x:c r="F197" s="12" t="n">
        <x:v>3409.9656</x:v>
      </x:c>
      <x:c r="G197" s="12" t="n">
        <x:v>3428.6491</x:v>
      </x:c>
      <x:c r="H197" s="12" t="n">
        <x:v>-18.6835</x:v>
      </x:c>
      <x:c r="I197" s="12" t="n">
        <x:v>-0.5449</x:v>
      </x:c>
      <x:c r="J197" s="12" t="n">
        <x:v>-0.005464131934695424</x:v>
      </x:c>
      <x:c r="K197" s="12" t="n">
        <x:v>99736837</x:v>
      </x:c>
      <x:c r="L197" s="12" t="n">
        <x:v>110553451.835</x:v>
      </x:c>
      <x:c r="M197" s="12" t="str">
        <x:v>TuShare index_daily</x:v>
      </x:c>
    </x:row>
    <x:row r="198" ht="18" customHeight="1">
      <x:c r="A198" s="13" t="n">
        <x:v>42873</x:v>
      </x:c>
      <x:c r="B198" s="12" t="str">
        <x:v>000300.SH</x:v>
      </x:c>
      <x:c r="C198" s="12" t="n">
        <x:v>3387.6655</x:v>
      </x:c>
      <x:c r="D198" s="12" t="n">
        <x:v>3409.9319</x:v>
      </x:c>
      <x:c r="E198" s="12" t="n">
        <x:v>3383.935</x:v>
      </x:c>
      <x:c r="F198" s="12" t="n">
        <x:v>3398.1127</x:v>
      </x:c>
      <x:c r="G198" s="12" t="n">
        <x:v>3409.9656</x:v>
      </x:c>
      <x:c r="H198" s="12" t="n">
        <x:v>-11.8529</x:v>
      </x:c>
      <x:c r="I198" s="12" t="n">
        <x:v>-0.3476</x:v>
      </x:c>
      <x:c r="J198" s="12" t="n">
        <x:v>-0.0034820139996903057</x:v>
      </x:c>
      <x:c r="K198" s="12" t="n">
        <x:v>85759589</x:v>
      </x:c>
      <x:c r="L198" s="12" t="n">
        <x:v>88091166.041</x:v>
      </x:c>
      <x:c r="M198" s="12" t="str">
        <x:v>TuShare index_daily</x:v>
      </x:c>
    </x:row>
    <x:row r="199" ht="18" customHeight="1">
      <x:c r="A199" s="13" t="n">
        <x:v>42874</x:v>
      </x:c>
      <x:c r="B199" s="12" t="str">
        <x:v>000300.SH</x:v>
      </x:c>
      <x:c r="C199" s="12" t="n">
        <x:v>3395.2318</x:v>
      </x:c>
      <x:c r="D199" s="12" t="n">
        <x:v>3405.9448</x:v>
      </x:c>
      <x:c r="E199" s="12" t="n">
        <x:v>3392.3776</x:v>
      </x:c>
      <x:c r="F199" s="12" t="n">
        <x:v>3403.8492</x:v>
      </x:c>
      <x:c r="G199" s="12" t="n">
        <x:v>3398.1127</x:v>
      </x:c>
      <x:c r="H199" s="12" t="n">
        <x:v>5.7365</x:v>
      </x:c>
      <x:c r="I199" s="12" t="n">
        <x:v>0.1688</x:v>
      </x:c>
      <x:c r="J199" s="12" t="n">
        <x:v>0.0016867196389440404</x:v>
      </x:c>
      <x:c r="K199" s="12" t="n">
        <x:v>71473525</x:v>
      </x:c>
      <x:c r="L199" s="12" t="n">
        <x:v>78397081.602</x:v>
      </x:c>
      <x:c r="M199" s="12" t="str">
        <x:v>TuShare index_daily</x:v>
      </x:c>
    </x:row>
    <x:row r="200" ht="18" customHeight="1">
      <x:c r="A200" s="13" t="n">
        <x:v>42877</x:v>
      </x:c>
      <x:c r="B200" s="12" t="str">
        <x:v>000300.SH</x:v>
      </x:c>
      <x:c r="C200" s="12" t="n">
        <x:v>3400.5882</x:v>
      </x:c>
      <x:c r="D200" s="12" t="n">
        <x:v>3424.1776</x:v>
      </x:c>
      <x:c r="E200" s="12" t="n">
        <x:v>3391.1748</x:v>
      </x:c>
      <x:c r="F200" s="12" t="n">
        <x:v>3411.2387</x:v>
      </x:c>
      <x:c r="G200" s="12" t="n">
        <x:v>3403.8492</x:v>
      </x:c>
      <x:c r="H200" s="12" t="n">
        <x:v>7.3895</x:v>
      </x:c>
      <x:c r="I200" s="12" t="n">
        <x:v>0.2171</x:v>
      </x:c>
      <x:c r="J200" s="12" t="n">
        <x:v>0.002168571558962522</x:v>
      </x:c>
      <x:c r="K200" s="12" t="n">
        <x:v>92539559</x:v>
      </x:c>
      <x:c r="L200" s="12" t="n">
        <x:v>99021121.578</x:v>
      </x:c>
      <x:c r="M200" s="12" t="str">
        <x:v>TuShare index_daily</x:v>
      </x:c>
    </x:row>
    <x:row r="201" ht="18" customHeight="1">
      <x:c r="A201" s="13" t="n">
        <x:v>42878</x:v>
      </x:c>
      <x:c r="B201" s="12" t="str">
        <x:v>000300.SH</x:v>
      </x:c>
      <x:c r="C201" s="12" t="n">
        <x:v>3405.0254</x:v>
      </x:c>
      <x:c r="D201" s="12" t="n">
        <x:v>3434.7662</x:v>
      </x:c>
      <x:c r="E201" s="12" t="n">
        <x:v>3401.5338</x:v>
      </x:c>
      <x:c r="F201" s="12" t="n">
        <x:v>3424.194</x:v>
      </x:c>
      <x:c r="G201" s="12" t="n">
        <x:v>3411.2387</x:v>
      </x:c>
      <x:c r="H201" s="12" t="n">
        <x:v>12.9553</x:v>
      </x:c>
      <x:c r="I201" s="12" t="n">
        <x:v>0.3798</x:v>
      </x:c>
      <x:c r="J201" s="12" t="n">
        <x:v>0.0037906350867286664</x:v>
      </x:c>
      <x:c r="K201" s="12" t="n">
        <x:v>116911033</x:v>
      </x:c>
      <x:c r="L201" s="12" t="n">
        <x:v>126767856.025</x:v>
      </x:c>
      <x:c r="M201" s="12" t="str">
        <x:v>TuShare index_daily</x:v>
      </x:c>
    </x:row>
    <x:row r="202" ht="18" customHeight="1">
      <x:c r="A202" s="13" t="n">
        <x:v>42879</x:v>
      </x:c>
      <x:c r="B202" s="12" t="str">
        <x:v>000300.SH</x:v>
      </x:c>
      <x:c r="C202" s="12" t="n">
        <x:v>3409.7169</x:v>
      </x:c>
      <x:c r="D202" s="12" t="n">
        <x:v>3424.1669</x:v>
      </x:c>
      <x:c r="E202" s="12" t="n">
        <x:v>3383.8922</x:v>
      </x:c>
      <x:c r="F202" s="12" t="n">
        <x:v>3424.1669</x:v>
      </x:c>
      <x:c r="G202" s="12" t="n">
        <x:v>3424.194</x:v>
      </x:c>
      <x:c r="H202" s="12" t="n">
        <x:v>-0.0271</x:v>
      </x:c>
      <x:c r="I202" s="12" t="n">
        <x:v>-0.0008</x:v>
      </x:c>
      <x:c r="J202" s="12" t="n">
        <x:v>-0.00000791430253039329</x:v>
      </x:c>
      <x:c r="K202" s="12" t="n">
        <x:v>83553161</x:v>
      </x:c>
      <x:c r="L202" s="12" t="n">
        <x:v>92620045.548</x:v>
      </x:c>
      <x:c r="M202" s="12" t="str">
        <x:v>TuShare index_daily</x:v>
      </x:c>
    </x:row>
    <x:row r="203" ht="18" customHeight="1">
      <x:c r="A203" s="13" t="n">
        <x:v>42880</x:v>
      </x:c>
      <x:c r="B203" s="12" t="str">
        <x:v>000300.SH</x:v>
      </x:c>
      <x:c r="C203" s="12" t="n">
        <x:v>3414.3992</x:v>
      </x:c>
      <x:c r="D203" s="12" t="n">
        <x:v>3490.4176</x:v>
      </x:c>
      <x:c r="E203" s="12" t="n">
        <x:v>3413.2246</x:v>
      </x:c>
      <x:c r="F203" s="12" t="n">
        <x:v>3485.6581</x:v>
      </x:c>
      <x:c r="G203" s="12" t="n">
        <x:v>3424.1669</x:v>
      </x:c>
      <x:c r="H203" s="12" t="n">
        <x:v>61.4912</x:v>
      </x:c>
      <x:c r="I203" s="12" t="n">
        <x:v>1.7958</x:v>
      </x:c>
      <x:c r="J203" s="12" t="n">
        <x:v>0.017798663011057387</x:v>
      </x:c>
      <x:c r="K203" s="12" t="n">
        <x:v>130721631</x:v>
      </x:c>
      <x:c r="L203" s="12" t="n">
        <x:v>136634020.807</x:v>
      </x:c>
      <x:c r="M203" s="12" t="str">
        <x:v>TuShare index_daily</x:v>
      </x:c>
    </x:row>
    <x:row r="204" ht="18" customHeight="1">
      <x:c r="A204" s="13" t="n">
        <x:v>42881</x:v>
      </x:c>
      <x:c r="B204" s="12" t="str">
        <x:v>000300.SH</x:v>
      </x:c>
      <x:c r="C204" s="12" t="n">
        <x:v>3479.6206</x:v>
      </x:c>
      <x:c r="D204" s="12" t="n">
        <x:v>3498.3148</x:v>
      </x:c>
      <x:c r="E204" s="12" t="n">
        <x:v>3473.04</x:v>
      </x:c>
      <x:c r="F204" s="12" t="n">
        <x:v>3480.4345</x:v>
      </x:c>
      <x:c r="G204" s="12" t="n">
        <x:v>3485.6581</x:v>
      </x:c>
      <x:c r="H204" s="12" t="n">
        <x:v>-5.2236</x:v>
      </x:c>
      <x:c r="I204" s="12" t="n">
        <x:v>-0.1499</x:v>
      </x:c>
      <x:c r="J204" s="12" t="n">
        <x:v>-0.0014997219471536538</x:v>
      </x:c>
      <x:c r="K204" s="12" t="n">
        <x:v>103241153</x:v>
      </x:c>
      <x:c r="L204" s="12" t="n">
        <x:v>112585907.354</x:v>
      </x:c>
      <x:c r="M204" s="12" t="str">
        <x:v>TuShare index_daily</x:v>
      </x:c>
    </x:row>
    <x:row r="205" ht="18" customHeight="1">
      <x:c r="A205" s="13" t="n">
        <x:v>42886</x:v>
      </x:c>
      <x:c r="B205" s="12" t="str">
        <x:v>000300.SH</x:v>
      </x:c>
      <x:c r="C205" s="12" t="n">
        <x:v>3495.073</x:v>
      </x:c>
      <x:c r="D205" s="12" t="n">
        <x:v>3515.0812</x:v>
      </x:c>
      <x:c r="E205" s="12" t="n">
        <x:v>3474.9215</x:v>
      </x:c>
      <x:c r="F205" s="12" t="n">
        <x:v>3492.8845</x:v>
      </x:c>
      <x:c r="G205" s="12" t="n">
        <x:v>3480.4345</x:v>
      </x:c>
      <x:c r="H205" s="12" t="n">
        <x:v>12.45</x:v>
      </x:c>
      <x:c r="I205" s="12" t="n">
        <x:v>0.3577</x:v>
      </x:c>
      <x:c r="J205" s="12" t="n">
        <x:v>0.0035707568314135704</x:v>
      </x:c>
      <x:c r="K205" s="12" t="n">
        <x:v>104829744</x:v>
      </x:c>
      <x:c r="L205" s="12" t="n">
        <x:v>115968725.31</x:v>
      </x:c>
      <x:c r="M205" s="12" t="str">
        <x:v>TuShare index_daily</x:v>
      </x:c>
    </x:row>
    <x:row r="206" ht="18" customHeight="1">
      <x:c r="A206" s="13" t="n">
        <x:v>42887</x:v>
      </x:c>
      <x:c r="B206" s="12" t="str">
        <x:v>000300.SH</x:v>
      </x:c>
      <x:c r="C206" s="12" t="n">
        <x:v>3485.2223</x:v>
      </x:c>
      <x:c r="D206" s="12" t="n">
        <x:v>3499.8142</x:v>
      </x:c>
      <x:c r="E206" s="12" t="n">
        <x:v>3476.4283</x:v>
      </x:c>
      <x:c r="F206" s="12" t="n">
        <x:v>3497.7382</x:v>
      </x:c>
      <x:c r="G206" s="12" t="n">
        <x:v>3492.8845</x:v>
      </x:c>
      <x:c r="H206" s="12" t="n">
        <x:v>4.8537</x:v>
      </x:c>
      <x:c r="I206" s="12" t="n">
        <x:v>0.139</x:v>
      </x:c>
      <x:c r="J206" s="12" t="n">
        <x:v>0.0013886318825212262</x:v>
      </x:c>
      <x:c r="K206" s="12" t="n">
        <x:v>103127724</x:v>
      </x:c>
      <x:c r="L206" s="12" t="n">
        <x:v>116088766.249</x:v>
      </x:c>
      <x:c r="M206" s="12" t="str">
        <x:v>TuShare index_daily</x:v>
      </x:c>
    </x:row>
    <x:row r="207" ht="18" customHeight="1">
      <x:c r="A207" s="13" t="n">
        <x:v>42888</x:v>
      </x:c>
      <x:c r="B207" s="12" t="str">
        <x:v>000300.SH</x:v>
      </x:c>
      <x:c r="C207" s="12" t="n">
        <x:v>3491.5893</x:v>
      </x:c>
      <x:c r="D207" s="12" t="n">
        <x:v>3498.1189</x:v>
      </x:c>
      <x:c r="E207" s="12" t="n">
        <x:v>3470.2017</x:v>
      </x:c>
      <x:c r="F207" s="12" t="n">
        <x:v>3486.5074</x:v>
      </x:c>
      <x:c r="G207" s="12" t="n">
        <x:v>3497.7382</x:v>
      </x:c>
      <x:c r="H207" s="12" t="n">
        <x:v>-11.2308</x:v>
      </x:c>
      <x:c r="I207" s="12" t="n">
        <x:v>-0.3211</x:v>
      </x:c>
      <x:c r="J207" s="12" t="n">
        <x:v>-0.0032160408791855996</x:v>
      </x:c>
      <x:c r="K207" s="12" t="n">
        <x:v>82668010</x:v>
      </x:c>
      <x:c r="L207" s="12" t="n">
        <x:v>92850747.181</x:v>
      </x:c>
      <x:c r="M207" s="12" t="str">
        <x:v>TuShare index_daily</x:v>
      </x:c>
    </x:row>
    <x:row r="208" ht="18" customHeight="1">
      <x:c r="A208" s="13" t="n">
        <x:v>42891</x:v>
      </x:c>
      <x:c r="B208" s="12" t="str">
        <x:v>000300.SH</x:v>
      </x:c>
      <x:c r="C208" s="12" t="n">
        <x:v>3480.1692</x:v>
      </x:c>
      <x:c r="D208" s="12" t="n">
        <x:v>3484.1244</x:v>
      </x:c>
      <x:c r="E208" s="12" t="n">
        <x:v>3462.3144</x:v>
      </x:c>
      <x:c r="F208" s="12" t="n">
        <x:v>3468.7538</x:v>
      </x:c>
      <x:c r="G208" s="12" t="n">
        <x:v>3486.5074</x:v>
      </x:c>
      <x:c r="H208" s="12" t="n">
        <x:v>-17.7536</x:v>
      </x:c>
      <x:c r="I208" s="12" t="n">
        <x:v>-0.5092</x:v>
      </x:c>
      <x:c r="J208" s="12" t="n">
        <x:v>-0.0051050961415664035</x:v>
      </x:c>
      <x:c r="K208" s="12" t="n">
        <x:v>79738152</x:v>
      </x:c>
      <x:c r="L208" s="12" t="n">
        <x:v>85609467.477</x:v>
      </x:c>
      <x:c r="M208" s="12" t="str">
        <x:v>TuShare index_daily</x:v>
      </x:c>
    </x:row>
    <x:row r="209" ht="18" customHeight="1">
      <x:c r="A209" s="13" t="n">
        <x:v>42892</x:v>
      </x:c>
      <x:c r="B209" s="12" t="str">
        <x:v>000300.SH</x:v>
      </x:c>
      <x:c r="C209" s="12" t="n">
        <x:v>3464.3765</x:v>
      </x:c>
      <x:c r="D209" s="12" t="n">
        <x:v>3492.8816</x:v>
      </x:c>
      <x:c r="E209" s="12" t="n">
        <x:v>3460.4534</x:v>
      </x:c>
      <x:c r="F209" s="12" t="n">
        <x:v>3492.8816</x:v>
      </x:c>
      <x:c r="G209" s="12" t="n">
        <x:v>3468.7538</x:v>
      </x:c>
      <x:c r="H209" s="12" t="n">
        <x:v>24.1278</x:v>
      </x:c>
      <x:c r="I209" s="12" t="n">
        <x:v>0.6956</x:v>
      </x:c>
      <x:c r="J209" s="12" t="n">
        <x:v>0.006931674878540226</x:v>
      </x:c>
      <x:c r="K209" s="12" t="n">
        <x:v>64089388</x:v>
      </x:c>
      <x:c r="L209" s="12" t="n">
        <x:v>77868793.73</x:v>
      </x:c>
      <x:c r="M209" s="12" t="str">
        <x:v>TuShare index_daily</x:v>
      </x:c>
    </x:row>
    <x:row r="210" ht="18" customHeight="1">
      <x:c r="A210" s="13" t="n">
        <x:v>42893</x:v>
      </x:c>
      <x:c r="B210" s="12" t="str">
        <x:v>000300.SH</x:v>
      </x:c>
      <x:c r="C210" s="12" t="n">
        <x:v>3493.8846</x:v>
      </x:c>
      <x:c r="D210" s="12" t="n">
        <x:v>3537.0947</x:v>
      </x:c>
      <x:c r="E210" s="12" t="n">
        <x:v>3491.1328</x:v>
      </x:c>
      <x:c r="F210" s="12" t="n">
        <x:v>3533.8718</x:v>
      </x:c>
      <x:c r="G210" s="12" t="n">
        <x:v>3492.8816</x:v>
      </x:c>
      <x:c r="H210" s="12" t="n">
        <x:v>40.9902</x:v>
      </x:c>
      <x:c r="I210" s="12" t="n">
        <x:v>1.1735</x:v>
      </x:c>
      <x:c r="J210" s="12" t="n">
        <x:v>0.011667028179158117</x:v>
      </x:c>
      <x:c r="K210" s="12" t="n">
        <x:v>104419968</x:v>
      </x:c>
      <x:c r="L210" s="12" t="n">
        <x:v>124189288.483</x:v>
      </x:c>
      <x:c r="M210" s="12" t="str">
        <x:v>TuShare index_daily</x:v>
      </x:c>
    </x:row>
    <x:row r="211" ht="18" customHeight="1">
      <x:c r="A211" s="13" t="n">
        <x:v>42894</x:v>
      </x:c>
      <x:c r="B211" s="12" t="str">
        <x:v>000300.SH</x:v>
      </x:c>
      <x:c r="C211" s="12" t="n">
        <x:v>3531.2419</x:v>
      </x:c>
      <x:c r="D211" s="12" t="n">
        <x:v>3562.2724</x:v>
      </x:c>
      <x:c r="E211" s="12" t="n">
        <x:v>3528.179</x:v>
      </x:c>
      <x:c r="F211" s="12" t="n">
        <x:v>3560.9786</x:v>
      </x:c>
      <x:c r="G211" s="12" t="n">
        <x:v>3533.8718</x:v>
      </x:c>
      <x:c r="H211" s="12" t="n">
        <x:v>27.1068</x:v>
      </x:c>
      <x:c r="I211" s="12" t="n">
        <x:v>0.7671</x:v>
      </x:c>
      <x:c r="J211" s="12" t="n">
        <x:v>0.007641297664501799</x:v>
      </x:c>
      <x:c r="K211" s="12" t="n">
        <x:v>90224905</x:v>
      </x:c>
      <x:c r="L211" s="12" t="n">
        <x:v>112035619.671</x:v>
      </x:c>
      <x:c r="M211" s="12" t="str">
        <x:v>TuShare index_daily</x:v>
      </x:c>
    </x:row>
    <x:row r="212" ht="18" customHeight="1">
      <x:c r="A212" s="13" t="n">
        <x:v>42895</x:v>
      </x:c>
      <x:c r="B212" s="12" t="str">
        <x:v>000300.SH</x:v>
      </x:c>
      <x:c r="C212" s="12" t="n">
        <x:v>3561.2411</x:v>
      </x:c>
      <x:c r="D212" s="12" t="n">
        <x:v>3590.8872</x:v>
      </x:c>
      <x:c r="E212" s="12" t="n">
        <x:v>3560.6336</x:v>
      </x:c>
      <x:c r="F212" s="12" t="n">
        <x:v>3576.1703</x:v>
      </x:c>
      <x:c r="G212" s="12" t="n">
        <x:v>3560.9786</x:v>
      </x:c>
      <x:c r="H212" s="12" t="n">
        <x:v>15.1917</x:v>
      </x:c>
      <x:c r="I212" s="12" t="n">
        <x:v>0.4266</x:v>
      </x:c>
      <x:c r="J212" s="12" t="n">
        <x:v>0.004257084490128767</x:v>
      </x:c>
      <x:c r="K212" s="12" t="n">
        <x:v>101188265</x:v>
      </x:c>
      <x:c r="L212" s="12" t="n">
        <x:v>121700586.716</x:v>
      </x:c>
      <x:c r="M212" s="12" t="str">
        <x:v>TuShare index_daily</x:v>
      </x:c>
    </x:row>
    <x:row r="213" ht="18" customHeight="1">
      <x:c r="A213" s="13" t="n">
        <x:v>42898</x:v>
      </x:c>
      <x:c r="B213" s="12" t="str">
        <x:v>000300.SH</x:v>
      </x:c>
      <x:c r="C213" s="12" t="n">
        <x:v>3570.2191</x:v>
      </x:c>
      <x:c r="D213" s="12" t="n">
        <x:v>3603.6901</x:v>
      </x:c>
      <x:c r="E213" s="12" t="n">
        <x:v>3565.9012</x:v>
      </x:c>
      <x:c r="F213" s="12" t="n">
        <x:v>3574.3894</x:v>
      </x:c>
      <x:c r="G213" s="12" t="n">
        <x:v>3576.1703</x:v>
      </x:c>
      <x:c r="H213" s="12" t="n">
        <x:v>-1.7809</x:v>
      </x:c>
      <x:c r="I213" s="12" t="n">
        <x:v>-0.0498</x:v>
      </x:c>
      <x:c r="J213" s="12" t="n">
        <x:v>-0.0004981148641617354</x:v>
      </x:c>
      <x:c r="K213" s="12" t="n">
        <x:v>90381167</x:v>
      </x:c>
      <x:c r="L213" s="12" t="n">
        <x:v>117690802.225</x:v>
      </x:c>
      <x:c r="M213" s="12" t="str">
        <x:v>TuShare index_daily</x:v>
      </x:c>
    </x:row>
    <x:row r="214" ht="18" customHeight="1">
      <x:c r="A214" s="13" t="n">
        <x:v>42899</x:v>
      </x:c>
      <x:c r="B214" s="12" t="str">
        <x:v>000300.SH</x:v>
      </x:c>
      <x:c r="C214" s="12" t="n">
        <x:v>3569.1594</x:v>
      </x:c>
      <x:c r="D214" s="12" t="n">
        <x:v>3584.4094</x:v>
      </x:c>
      <x:c r="E214" s="12" t="n">
        <x:v>3559.2134</x:v>
      </x:c>
      <x:c r="F214" s="12" t="n">
        <x:v>3582.2674</x:v>
      </x:c>
      <x:c r="G214" s="12" t="n">
        <x:v>3574.3894</x:v>
      </x:c>
      <x:c r="H214" s="12" t="n">
        <x:v>7.878</x:v>
      </x:c>
      <x:c r="I214" s="12" t="n">
        <x:v>0.2204</x:v>
      </x:c>
      <x:c r="J214" s="12" t="n">
        <x:v>0.0022015875295422825</x:v>
      </x:c>
      <x:c r="K214" s="12" t="n">
        <x:v>75177138</x:v>
      </x:c>
      <x:c r="L214" s="12" t="n">
        <x:v>94223084.812</x:v>
      </x:c>
      <x:c r="M214" s="12" t="str">
        <x:v>TuShare index_daily</x:v>
      </x:c>
    </x:row>
    <x:row r="215" ht="18" customHeight="1">
      <x:c r="A215" s="13" t="n">
        <x:v>42900</x:v>
      </x:c>
      <x:c r="B215" s="12" t="str">
        <x:v>000300.SH</x:v>
      </x:c>
      <x:c r="C215" s="12" t="n">
        <x:v>3571.2483</x:v>
      </x:c>
      <x:c r="D215" s="12" t="n">
        <x:v>3571.2483</x:v>
      </x:c>
      <x:c r="E215" s="12" t="n">
        <x:v>3530.274</x:v>
      </x:c>
      <x:c r="F215" s="12" t="n">
        <x:v>3535.2987</x:v>
      </x:c>
      <x:c r="G215" s="12" t="n">
        <x:v>3582.2674</x:v>
      </x:c>
      <x:c r="H215" s="12" t="n">
        <x:v>-46.9687</x:v>
      </x:c>
      <x:c r="I215" s="12" t="n">
        <x:v>-1.3111</x:v>
      </x:c>
      <x:c r="J215" s="12" t="n">
        <x:v>-0.0131981582280622</x:v>
      </x:c>
      <x:c r="K215" s="12" t="n">
        <x:v>83810783</x:v>
      </x:c>
      <x:c r="L215" s="12" t="n">
        <x:v>106105319.868</x:v>
      </x:c>
      <x:c r="M215" s="12" t="str">
        <x:v>TuShare index_daily</x:v>
      </x:c>
    </x:row>
    <x:row r="216" ht="18" customHeight="1">
      <x:c r="A216" s="13" t="n">
        <x:v>42901</x:v>
      </x:c>
      <x:c r="B216" s="12" t="str">
        <x:v>000300.SH</x:v>
      </x:c>
      <x:c r="C216" s="12" t="n">
        <x:v>3530.7465</x:v>
      </x:c>
      <x:c r="D216" s="12" t="n">
        <x:v>3542.2796</x:v>
      </x:c>
      <x:c r="E216" s="12" t="n">
        <x:v>3508.9461</x:v>
      </x:c>
      <x:c r="F216" s="12" t="n">
        <x:v>3528.7926</x:v>
      </x:c>
      <x:c r="G216" s="12" t="n">
        <x:v>3535.2987</x:v>
      </x:c>
      <x:c r="H216" s="12" t="n">
        <x:v>-6.5061</x:v>
      </x:c>
      <x:c r="I216" s="12" t="n">
        <x:v>-0.184</x:v>
      </x:c>
      <x:c r="J216" s="12" t="n">
        <x:v>-0.0018420208809083619</x:v>
      </x:c>
      <x:c r="K216" s="12" t="n">
        <x:v>82632535</x:v>
      </x:c>
      <x:c r="L216" s="12" t="n">
        <x:v>106053901.141</x:v>
      </x:c>
      <x:c r="M216" s="12" t="str">
        <x:v>TuShare index_daily</x:v>
      </x:c>
    </x:row>
    <x:row r="217" ht="18" customHeight="1">
      <x:c r="A217" s="13" t="n">
        <x:v>42902</x:v>
      </x:c>
      <x:c r="B217" s="12" t="str">
        <x:v>000300.SH</x:v>
      </x:c>
      <x:c r="C217" s="12" t="n">
        <x:v>3522.9745</x:v>
      </x:c>
      <x:c r="D217" s="12" t="n">
        <x:v>3536.1401</x:v>
      </x:c>
      <x:c r="E217" s="12" t="n">
        <x:v>3514.3892</x:v>
      </x:c>
      <x:c r="F217" s="12" t="n">
        <x:v>3518.7611</x:v>
      </x:c>
      <x:c r="G217" s="12" t="n">
        <x:v>3528.7926</x:v>
      </x:c>
      <x:c r="H217" s="12" t="n">
        <x:v>-10.0315</x:v>
      </x:c>
      <x:c r="I217" s="12" t="n">
        <x:v>-0.2843</x:v>
      </x:c>
      <x:c r="J217" s="12" t="n">
        <x:v>-0.0028468053460470708</x:v>
      </x:c>
      <x:c r="K217" s="12" t="n">
        <x:v>76452707</x:v>
      </x:c>
      <x:c r="L217" s="12" t="n">
        <x:v>91462286.377</x:v>
      </x:c>
      <x:c r="M217" s="12" t="str">
        <x:v>TuShare index_daily</x:v>
      </x:c>
    </x:row>
    <x:row r="218" ht="18" customHeight="1">
      <x:c r="A218" s="13" t="n">
        <x:v>42905</x:v>
      </x:c>
      <x:c r="B218" s="12" t="str">
        <x:v>000300.SH</x:v>
      </x:c>
      <x:c r="C218" s="12" t="n">
        <x:v>3520.0602</x:v>
      </x:c>
      <x:c r="D218" s="12" t="n">
        <x:v>3554.91</x:v>
      </x:c>
      <x:c r="E218" s="12" t="n">
        <x:v>3520.0602</x:v>
      </x:c>
      <x:c r="F218" s="12" t="n">
        <x:v>3553.6653</x:v>
      </x:c>
      <x:c r="G218" s="12" t="n">
        <x:v>3518.7611</x:v>
      </x:c>
      <x:c r="H218" s="12" t="n">
        <x:v>34.9042</x:v>
      </x:c>
      <x:c r="I218" s="12" t="n">
        <x:v>0.9919</x:v>
      </x:c>
      <x:c r="J218" s="12" t="n">
        <x:v>0.009870582290651478</x:v>
      </x:c>
      <x:c r="K218" s="12" t="n">
        <x:v>79797141</x:v>
      </x:c>
      <x:c r="L218" s="12" t="n">
        <x:v>98572358.252</x:v>
      </x:c>
      <x:c r="M218" s="12" t="str">
        <x:v>TuShare index_daily</x:v>
      </x:c>
    </x:row>
    <x:row r="219" ht="18" customHeight="1">
      <x:c r="A219" s="13" t="n">
        <x:v>42906</x:v>
      </x:c>
      <x:c r="B219" s="12" t="str">
        <x:v>000300.SH</x:v>
      </x:c>
      <x:c r="C219" s="12" t="n">
        <x:v>3560.7871</x:v>
      </x:c>
      <x:c r="D219" s="12" t="n">
        <x:v>3563.6964</x:v>
      </x:c>
      <x:c r="E219" s="12" t="n">
        <x:v>3539.5149</x:v>
      </x:c>
      <x:c r="F219" s="12" t="n">
        <x:v>3546.494</x:v>
      </x:c>
      <x:c r="G219" s="12" t="n">
        <x:v>3553.6653</x:v>
      </x:c>
      <x:c r="H219" s="12" t="n">
        <x:v>-7.1713</x:v>
      </x:c>
      <x:c r="I219" s="12" t="n">
        <x:v>-0.2018</x:v>
      </x:c>
      <x:c r="J219" s="12" t="n">
        <x:v>-0.0020200398710990114</x:v>
      </x:c>
      <x:c r="K219" s="12" t="n">
        <x:v>80509559</x:v>
      </x:c>
      <x:c r="L219" s="12" t="n">
        <x:v>98187595.478</x:v>
      </x:c>
      <x:c r="M219" s="12" t="str">
        <x:v>TuShare index_daily</x:v>
      </x:c>
    </x:row>
    <x:row r="220" ht="18" customHeight="1">
      <x:c r="A220" s="13" t="n">
        <x:v>42907</x:v>
      </x:c>
      <x:c r="B220" s="12" t="str">
        <x:v>000300.SH</x:v>
      </x:c>
      <x:c r="C220" s="12" t="n">
        <x:v>3567.1256</x:v>
      </x:c>
      <x:c r="D220" s="12" t="n">
        <x:v>3587.9863</x:v>
      </x:c>
      <x:c r="E220" s="12" t="n">
        <x:v>3545.5666</x:v>
      </x:c>
      <x:c r="F220" s="12" t="n">
        <x:v>3587.955</x:v>
      </x:c>
      <x:c r="G220" s="12" t="n">
        <x:v>3546.494</x:v>
      </x:c>
      <x:c r="H220" s="12" t="n">
        <x:v>41.461</x:v>
      </x:c>
      <x:c r="I220" s="12" t="n">
        <x:v>1.1691</x:v>
      </x:c>
      <x:c r="J220" s="12" t="n">
        <x:v>0.011622892462132673</x:v>
      </x:c>
      <x:c r="K220" s="12" t="n">
        <x:v>87859824</x:v>
      </x:c>
      <x:c r="L220" s="12" t="n">
        <x:v>117147797.136</x:v>
      </x:c>
      <x:c r="M220" s="12" t="str">
        <x:v>TuShare index_daily</x:v>
      </x:c>
    </x:row>
    <x:row r="221" ht="18" customHeight="1">
      <x:c r="A221" s="13" t="n">
        <x:v>42908</x:v>
      </x:c>
      <x:c r="B221" s="12" t="str">
        <x:v>000300.SH</x:v>
      </x:c>
      <x:c r="C221" s="12" t="n">
        <x:v>3583.5583</x:v>
      </x:c>
      <x:c r="D221" s="12" t="n">
        <x:v>3635.5273</x:v>
      </x:c>
      <x:c r="E221" s="12" t="n">
        <x:v>3581.3375</x:v>
      </x:c>
      <x:c r="F221" s="12" t="n">
        <x:v>3590.3425</x:v>
      </x:c>
      <x:c r="G221" s="12" t="n">
        <x:v>3587.955</x:v>
      </x:c>
      <x:c r="H221" s="12" t="n">
        <x:v>2.3875</x:v>
      </x:c>
      <x:c r="I221" s="12" t="n">
        <x:v>0.0665</x:v>
      </x:c>
      <x:c r="J221" s="12" t="n">
        <x:v>0.000665199537365851</x:v>
      </x:c>
      <x:c r="K221" s="12" t="n">
        <x:v>135526987</x:v>
      </x:c>
      <x:c r="L221" s="12" t="n">
        <x:v>169418803.351</x:v>
      </x:c>
      <x:c r="M221" s="12" t="str">
        <x:v>TuShare index_daily</x:v>
      </x:c>
    </x:row>
    <x:row r="222" ht="18" customHeight="1">
      <x:c r="A222" s="13" t="n">
        <x:v>42909</x:v>
      </x:c>
      <x:c r="B222" s="12" t="str">
        <x:v>000300.SH</x:v>
      </x:c>
      <x:c r="C222" s="12" t="n">
        <x:v>3583.4359</x:v>
      </x:c>
      <x:c r="D222" s="12" t="n">
        <x:v>3623.2352</x:v>
      </x:c>
      <x:c r="E222" s="12" t="n">
        <x:v>3569.3225</x:v>
      </x:c>
      <x:c r="F222" s="12" t="n">
        <x:v>3622.8831</x:v>
      </x:c>
      <x:c r="G222" s="12" t="n">
        <x:v>3590.3425</x:v>
      </x:c>
      <x:c r="H222" s="12" t="n">
        <x:v>32.5406</x:v>
      </x:c>
      <x:c r="I222" s="12" t="n">
        <x:v>0.9063</x:v>
      </x:c>
      <x:c r="J222" s="12" t="n">
        <x:v>0.009022543465296705</x:v>
      </x:c>
      <x:c r="K222" s="12" t="n">
        <x:v>105129134</x:v>
      </x:c>
      <x:c r="L222" s="12" t="n">
        <x:v>133975111.796</x:v>
      </x:c>
      <x:c r="M222" s="12" t="str">
        <x:v>TuShare index_daily</x:v>
      </x:c>
    </x:row>
    <x:row r="223" ht="18" customHeight="1">
      <x:c r="A223" s="13" t="n">
        <x:v>42912</x:v>
      </x:c>
      <x:c r="B223" s="12" t="str">
        <x:v>000300.SH</x:v>
      </x:c>
      <x:c r="C223" s="12" t="n">
        <x:v>3627.0208</x:v>
      </x:c>
      <x:c r="D223" s="12" t="n">
        <x:v>3671.9435</x:v>
      </x:c>
      <x:c r="E223" s="12" t="n">
        <x:v>3627.0208</x:v>
      </x:c>
      <x:c r="F223" s="12" t="n">
        <x:v>3668.0919</x:v>
      </x:c>
      <x:c r="G223" s="12" t="n">
        <x:v>3622.8831</x:v>
      </x:c>
      <x:c r="H223" s="12" t="n">
        <x:v>45.2088</x:v>
      </x:c>
      <x:c r="I223" s="12" t="n">
        <x:v>1.2479</x:v>
      </x:c>
      <x:c r="J223" s="12" t="n">
        <x:v>0.012401463291442894</x:v>
      </x:c>
      <x:c r="K223" s="12" t="n">
        <x:v>134637995</x:v>
      </x:c>
      <x:c r="L223" s="12" t="n">
        <x:v>170736841.952</x:v>
      </x:c>
      <x:c r="M223" s="12" t="str">
        <x:v>TuShare index_daily</x:v>
      </x:c>
    </x:row>
    <x:row r="224" ht="18" customHeight="1">
      <x:c r="A224" s="13" t="n">
        <x:v>42913</x:v>
      </x:c>
      <x:c r="B224" s="12" t="str">
        <x:v>000300.SH</x:v>
      </x:c>
      <x:c r="C224" s="12" t="n">
        <x:v>3665.5775</x:v>
      </x:c>
      <x:c r="D224" s="12" t="n">
        <x:v>3676.5328</x:v>
      </x:c>
      <x:c r="E224" s="12" t="n">
        <x:v>3648.7635</x:v>
      </x:c>
      <x:c r="F224" s="12" t="n">
        <x:v>3674.7152</x:v>
      </x:c>
      <x:c r="G224" s="12" t="n">
        <x:v>3668.0919</x:v>
      </x:c>
      <x:c r="H224" s="12" t="n">
        <x:v>6.6233</x:v>
      </x:c>
      <x:c r="I224" s="12" t="n">
        <x:v>0.1806</x:v>
      </x:c>
      <x:c r="J224" s="12" t="n">
        <x:v>0.0018040244571579066</x:v>
      </x:c>
      <x:c r="K224" s="12" t="n">
        <x:v>97558702</x:v>
      </x:c>
      <x:c r="L224" s="12" t="n">
        <x:v>123057231.694</x:v>
      </x:c>
      <x:c r="M224" s="12" t="str">
        <x:v>TuShare index_daily</x:v>
      </x:c>
    </x:row>
    <x:row r="225" ht="18" customHeight="1">
      <x:c r="A225" s="13" t="n">
        <x:v>42914</x:v>
      </x:c>
      <x:c r="B225" s="12" t="str">
        <x:v>000300.SH</x:v>
      </x:c>
      <x:c r="C225" s="12" t="n">
        <x:v>3664.1629</x:v>
      </x:c>
      <x:c r="D225" s="12" t="n">
        <x:v>3672.1887</x:v>
      </x:c>
      <x:c r="E225" s="12" t="n">
        <x:v>3644.0268</x:v>
      </x:c>
      <x:c r="F225" s="12" t="n">
        <x:v>3646.1666</x:v>
      </x:c>
      <x:c r="G225" s="12" t="n">
        <x:v>3674.7152</x:v>
      </x:c>
      <x:c r="H225" s="12" t="n">
        <x:v>-28.5486</x:v>
      </x:c>
      <x:c r="I225" s="12" t="n">
        <x:v>-0.7769</x:v>
      </x:c>
      <x:c r="J225" s="12" t="n">
        <x:v>-0.0077992639394721675</x:v>
      </x:c>
      <x:c r="K225" s="12" t="n">
        <x:v>97920858</x:v>
      </x:c>
      <x:c r="L225" s="12" t="n">
        <x:v>124465947.132</x:v>
      </x:c>
      <x:c r="M225" s="12" t="str">
        <x:v>TuShare index_daily</x:v>
      </x:c>
    </x:row>
    <x:row r="226" ht="18" customHeight="1">
      <x:c r="A226" s="13" t="n">
        <x:v>42915</x:v>
      </x:c>
      <x:c r="B226" s="12" t="str">
        <x:v>000300.SH</x:v>
      </x:c>
      <x:c r="C226" s="12" t="n">
        <x:v>3649.2525</x:v>
      </x:c>
      <x:c r="D226" s="12" t="n">
        <x:v>3669.1345</x:v>
      </x:c>
      <x:c r="E226" s="12" t="n">
        <x:v>3644.7331</x:v>
      </x:c>
      <x:c r="F226" s="12" t="n">
        <x:v>3668.8279</x:v>
      </x:c>
      <x:c r="G226" s="12" t="n">
        <x:v>3646.1666</x:v>
      </x:c>
      <x:c r="H226" s="12" t="n">
        <x:v>22.6613</x:v>
      </x:c>
      <x:c r="I226" s="12" t="n">
        <x:v>0.6215</x:v>
      </x:c>
      <x:c r="J226" s="12" t="n">
        <x:v>0.006195868635291732</x:v>
      </x:c>
      <x:c r="K226" s="12" t="n">
        <x:v>85589498</x:v>
      </x:c>
      <x:c r="L226" s="12" t="n">
        <x:v>111847266.867</x:v>
      </x:c>
      <x:c r="M226" s="12" t="str">
        <x:v>TuShare index_daily</x:v>
      </x:c>
    </x:row>
    <x:row r="227" ht="18" customHeight="1">
      <x:c r="A227" s="13" t="n">
        <x:v>42916</x:v>
      </x:c>
      <x:c r="B227" s="12" t="str">
        <x:v>000300.SH</x:v>
      </x:c>
      <x:c r="C227" s="12" t="n">
        <x:v>3654.7348</x:v>
      </x:c>
      <x:c r="D227" s="12" t="n">
        <x:v>3669.7584</x:v>
      </x:c>
      <x:c r="E227" s="12" t="n">
        <x:v>3646.2272</x:v>
      </x:c>
      <x:c r="F227" s="12" t="n">
        <x:v>3666.7977</x:v>
      </x:c>
      <x:c r="G227" s="12" t="n">
        <x:v>3668.8279</x:v>
      </x:c>
      <x:c r="H227" s="12" t="n">
        <x:v>-2.0302</x:v>
      </x:c>
      <x:c r="I227" s="12" t="n">
        <x:v>-0.0553</x:v>
      </x:c>
      <x:c r="J227" s="12" t="n">
        <x:v>-0.000553517903594956</x:v>
      </x:c>
      <x:c r="K227" s="12" t="n">
        <x:v>81510028</x:v>
      </x:c>
      <x:c r="L227" s="12" t="n">
        <x:v>102459981.992</x:v>
      </x:c>
      <x:c r="M227" s="12" t="str">
        <x:v>TuShare index_daily</x:v>
      </x:c>
    </x:row>
    <x:row r="228" ht="18" customHeight="1">
      <x:c r="A228" s="13" t="n">
        <x:v>42919</x:v>
      </x:c>
      <x:c r="B228" s="12" t="str">
        <x:v>000300.SH</x:v>
      </x:c>
      <x:c r="C228" s="12" t="n">
        <x:v>3667.2316</x:v>
      </x:c>
      <x:c r="D228" s="12" t="n">
        <x:v>3667.5957</x:v>
      </x:c>
      <x:c r="E228" s="12" t="n">
        <x:v>3633.7825</x:v>
      </x:c>
      <x:c r="F228" s="12" t="n">
        <x:v>3650.8463</x:v>
      </x:c>
      <x:c r="G228" s="12" t="n">
        <x:v>3666.7977</x:v>
      </x:c>
      <x:c r="H228" s="12" t="n">
        <x:v>-15.9514</x:v>
      </x:c>
      <x:c r="I228" s="12" t="n">
        <x:v>-0.435</x:v>
      </x:c>
      <x:c r="J228" s="12" t="n">
        <x:v>-0.004359716123344102</x:v>
      </x:c>
      <x:c r="K228" s="12" t="n">
        <x:v>88820860</x:v>
      </x:c>
      <x:c r="L228" s="12" t="n">
        <x:v>115214687.872</x:v>
      </x:c>
      <x:c r="M228" s="12" t="str">
        <x:v>TuShare index_daily</x:v>
      </x:c>
    </x:row>
    <x:row r="229" ht="18" customHeight="1">
      <x:c r="A229" s="13" t="n">
        <x:v>42920</x:v>
      </x:c>
      <x:c r="B229" s="12" t="str">
        <x:v>000300.SH</x:v>
      </x:c>
      <x:c r="C229" s="12" t="n">
        <x:v>3646.828</x:v>
      </x:c>
      <x:c r="D229" s="12" t="n">
        <x:v>3646.8455</x:v>
      </x:c>
      <x:c r="E229" s="12" t="n">
        <x:v>3611.6911</x:v>
      </x:c>
      <x:c r="F229" s="12" t="n">
        <x:v>3619.9841</x:v>
      </x:c>
      <x:c r="G229" s="12" t="n">
        <x:v>3650.8463</x:v>
      </x:c>
      <x:c r="H229" s="12" t="n">
        <x:v>-30.8622</x:v>
      </x:c>
      <x:c r="I229" s="12" t="n">
        <x:v>-0.8453</x:v>
      </x:c>
      <x:c r="J229" s="12" t="n">
        <x:v>-0.00848937016918417</x:v>
      </x:c>
      <x:c r="K229" s="12" t="n">
        <x:v>95071413</x:v>
      </x:c>
      <x:c r="L229" s="12" t="n">
        <x:v>125350417.552</x:v>
      </x:c>
      <x:c r="M229" s="12" t="str">
        <x:v>TuShare index_daily</x:v>
      </x:c>
    </x:row>
    <x:row r="230" ht="18" customHeight="1">
      <x:c r="A230" s="13" t="n">
        <x:v>42921</x:v>
      </x:c>
      <x:c r="B230" s="12" t="str">
        <x:v>000300.SH</x:v>
      </x:c>
      <x:c r="C230" s="12" t="n">
        <x:v>3611.8984</x:v>
      </x:c>
      <x:c r="D230" s="12" t="n">
        <x:v>3660.7291</x:v>
      </x:c>
      <x:c r="E230" s="12" t="n">
        <x:v>3610.4586</x:v>
      </x:c>
      <x:c r="F230" s="12" t="n">
        <x:v>3659.6795</x:v>
      </x:c>
      <x:c r="G230" s="12" t="n">
        <x:v>3619.9841</x:v>
      </x:c>
      <x:c r="H230" s="12" t="n">
        <x:v>39.6954</x:v>
      </x:c>
      <x:c r="I230" s="12" t="n">
        <x:v>1.0966</x:v>
      </x:c>
      <x:c r="J230" s="12" t="n">
        <x:v>0.010905941710095658</x:v>
      </x:c>
      <x:c r="K230" s="12" t="n">
        <x:v>88232425</x:v>
      </x:c>
      <x:c r="L230" s="12" t="n">
        <x:v>120351565.382</x:v>
      </x:c>
      <x:c r="M230" s="12" t="str">
        <x:v>TuShare index_daily</x:v>
      </x:c>
    </x:row>
    <x:row r="231" ht="18" customHeight="1">
      <x:c r="A231" s="13" t="n">
        <x:v>42922</x:v>
      </x:c>
      <x:c r="B231" s="12" t="str">
        <x:v>000300.SH</x:v>
      </x:c>
      <x:c r="C231" s="12" t="n">
        <x:v>3654.5576</x:v>
      </x:c>
      <x:c r="D231" s="12" t="n">
        <x:v>3666.7745</x:v>
      </x:c>
      <x:c r="E231" s="12" t="n">
        <x:v>3629.56</x:v>
      </x:c>
      <x:c r="F231" s="12" t="n">
        <x:v>3660.0967</x:v>
      </x:c>
      <x:c r="G231" s="12" t="n">
        <x:v>3659.6795</x:v>
      </x:c>
      <x:c r="H231" s="12" t="n">
        <x:v>0.4172</x:v>
      </x:c>
      <x:c r="I231" s="12" t="n">
        <x:v>0.0114</x:v>
      </x:c>
      <x:c r="J231" s="12" t="n">
        <x:v>0.00011399255634387506</x:v>
      </x:c>
      <x:c r="K231" s="12" t="n">
        <x:v>102379245</x:v>
      </x:c>
      <x:c r="L231" s="12" t="n">
        <x:v>132837126.778</x:v>
      </x:c>
      <x:c r="M231" s="12" t="str">
        <x:v>TuShare index_daily</x:v>
      </x:c>
    </x:row>
    <x:row r="232" ht="18" customHeight="1">
      <x:c r="A232" s="13" t="n">
        <x:v>42923</x:v>
      </x:c>
      <x:c r="B232" s="12" t="str">
        <x:v>000300.SH</x:v>
      </x:c>
      <x:c r="C232" s="12" t="n">
        <x:v>3647.6416</x:v>
      </x:c>
      <x:c r="D232" s="12" t="n">
        <x:v>3657.1131</x:v>
      </x:c>
      <x:c r="E232" s="12" t="n">
        <x:v>3631.8702</x:v>
      </x:c>
      <x:c r="F232" s="12" t="n">
        <x:v>3655.9293</x:v>
      </x:c>
      <x:c r="G232" s="12" t="n">
        <x:v>3660.0967</x:v>
      </x:c>
      <x:c r="H232" s="12" t="n">
        <x:v>-4.1674</x:v>
      </x:c>
      <x:c r="I232" s="12" t="n">
        <x:v>-0.1139</x:v>
      </x:c>
      <x:c r="J232" s="12" t="n">
        <x:v>-0.0011392524987576937</x:v>
      </x:c>
      <x:c r="K232" s="12" t="n">
        <x:v>103735497</x:v>
      </x:c>
      <x:c r="L232" s="12" t="n">
        <x:v>123465392.616</x:v>
      </x:c>
      <x:c r="M232" s="12" t="str">
        <x:v>TuShare index_daily</x:v>
      </x:c>
    </x:row>
    <x:row r="233" ht="18" customHeight="1">
      <x:c r="A233" s="13" t="n">
        <x:v>42926</x:v>
      </x:c>
      <x:c r="B233" s="12" t="str">
        <x:v>000300.SH</x:v>
      </x:c>
      <x:c r="C233" s="12" t="n">
        <x:v>3647.9379</x:v>
      </x:c>
      <x:c r="D233" s="12" t="n">
        <x:v>3667.8455</x:v>
      </x:c>
      <x:c r="E233" s="12" t="n">
        <x:v>3641.5277</x:v>
      </x:c>
      <x:c r="F233" s="12" t="n">
        <x:v>3653.6868</x:v>
      </x:c>
      <x:c r="G233" s="12" t="n">
        <x:v>3655.9293</x:v>
      </x:c>
      <x:c r="H233" s="12" t="n">
        <x:v>-2.2425</x:v>
      </x:c>
      <x:c r="I233" s="12" t="n">
        <x:v>-0.0613</x:v>
      </x:c>
      <x:c r="J233" s="12" t="n">
        <x:v>-0.0006135753341008933</x:v>
      </x:c>
      <x:c r="K233" s="12" t="n">
        <x:v>120591910</x:v>
      </x:c>
      <x:c r="L233" s="12" t="n">
        <x:v>141034626.508</x:v>
      </x:c>
      <x:c r="M233" s="12" t="str">
        <x:v>TuShare index_daily</x:v>
      </x:c>
    </x:row>
    <x:row r="234" ht="18" customHeight="1">
      <x:c r="A234" s="13" t="n">
        <x:v>42927</x:v>
      </x:c>
      <x:c r="B234" s="12" t="str">
        <x:v>000300.SH</x:v>
      </x:c>
      <x:c r="C234" s="12" t="n">
        <x:v>3646.8783</x:v>
      </x:c>
      <x:c r="D234" s="12" t="n">
        <x:v>3701.2087</x:v>
      </x:c>
      <x:c r="E234" s="12" t="n">
        <x:v>3645.9946</x:v>
      </x:c>
      <x:c r="F234" s="12" t="n">
        <x:v>3670.8086</x:v>
      </x:c>
      <x:c r="G234" s="12" t="n">
        <x:v>3653.6868</x:v>
      </x:c>
      <x:c r="H234" s="12" t="n">
        <x:v>17.1218</x:v>
      </x:c>
      <x:c r="I234" s="12" t="n">
        <x:v>0.4686</x:v>
      </x:c>
      <x:c r="J234" s="12" t="n">
        <x:v>0.004675224777110892</x:v>
      </x:c>
      <x:c r="K234" s="12" t="n">
        <x:v>118760826</x:v>
      </x:c>
      <x:c r="L234" s="12" t="n">
        <x:v>145084363.277</x:v>
      </x:c>
      <x:c r="M234" s="12" t="str">
        <x:v>TuShare index_daily</x:v>
      </x:c>
    </x:row>
    <x:row r="235" ht="18" customHeight="1">
      <x:c r="A235" s="13" t="n">
        <x:v>42928</x:v>
      </x:c>
      <x:c r="B235" s="12" t="str">
        <x:v>000300.SH</x:v>
      </x:c>
      <x:c r="C235" s="12" t="n">
        <x:v>3672.6328</x:v>
      </x:c>
      <x:c r="D235" s="12" t="n">
        <x:v>3691.5814</x:v>
      </x:c>
      <x:c r="E235" s="12" t="n">
        <x:v>3640.5893</x:v>
      </x:c>
      <x:c r="F235" s="12" t="n">
        <x:v>3658.8236</x:v>
      </x:c>
      <x:c r="G235" s="12" t="n">
        <x:v>3670.8086</x:v>
      </x:c>
      <x:c r="H235" s="12" t="n">
        <x:v>-11.985</x:v>
      </x:c>
      <x:c r="I235" s="12" t="n">
        <x:v>-0.3265</x:v>
      </x:c>
      <x:c r="J235" s="12" t="n">
        <x:v>-0.003270289792010191</x:v>
      </x:c>
      <x:c r="K235" s="12" t="n">
        <x:v>122287792</x:v>
      </x:c>
      <x:c r="L235" s="12" t="n">
        <x:v>143494599.072</x:v>
      </x:c>
      <x:c r="M235" s="12" t="str">
        <x:v>TuShare index_daily</x:v>
      </x:c>
    </x:row>
    <x:row r="236" ht="18" customHeight="1">
      <x:c r="A236" s="13" t="n">
        <x:v>42929</x:v>
      </x:c>
      <x:c r="B236" s="12" t="str">
        <x:v>000300.SH</x:v>
      </x:c>
      <x:c r="C236" s="12" t="n">
        <x:v>3656.3502</x:v>
      </x:c>
      <x:c r="D236" s="12" t="n">
        <x:v>3690.4832</x:v>
      </x:c>
      <x:c r="E236" s="12" t="n">
        <x:v>3652.5658</x:v>
      </x:c>
      <x:c r="F236" s="12" t="n">
        <x:v>3686.9205</x:v>
      </x:c>
      <x:c r="G236" s="12" t="n">
        <x:v>3658.8236</x:v>
      </x:c>
      <x:c r="H236" s="12" t="n">
        <x:v>28.0969</x:v>
      </x:c>
      <x:c r="I236" s="12" t="n">
        <x:v>0.7679</x:v>
      </x:c>
      <x:c r="J236" s="12" t="n">
        <x:v>0.0076498817922887085</x:v>
      </x:c>
      <x:c r="K236" s="12" t="n">
        <x:v>125669549</x:v>
      </x:c>
      <x:c r="L236" s="12" t="n">
        <x:v>146388679.598</x:v>
      </x:c>
      <x:c r="M236" s="12" t="str">
        <x:v>TuShare index_daily</x:v>
      </x:c>
    </x:row>
    <x:row r="237" ht="18" customHeight="1">
      <x:c r="A237" s="13" t="n">
        <x:v>42930</x:v>
      </x:c>
      <x:c r="B237" s="12" t="str">
        <x:v>000300.SH</x:v>
      </x:c>
      <x:c r="C237" s="12" t="n">
        <x:v>3682.6153</x:v>
      </x:c>
      <x:c r="D237" s="12" t="n">
        <x:v>3703.094</x:v>
      </x:c>
      <x:c r="E237" s="12" t="n">
        <x:v>3672.7425</x:v>
      </x:c>
      <x:c r="F237" s="12" t="n">
        <x:v>3703.094</x:v>
      </x:c>
      <x:c r="G237" s="12" t="n">
        <x:v>3686.9205</x:v>
      </x:c>
      <x:c r="H237" s="12" t="n">
        <x:v>16.1735</x:v>
      </x:c>
      <x:c r="I237" s="12" t="n">
        <x:v>0.4387</x:v>
      </x:c>
      <x:c r="J237" s="12" t="n">
        <x:v>0.004377129658592193</x:v>
      </x:c>
      <x:c r="K237" s="12" t="n">
        <x:v>105514005</x:v>
      </x:c>
      <x:c r="L237" s="12" t="n">
        <x:v>121021448.889</x:v>
      </x:c>
      <x:c r="M237" s="12" t="str">
        <x:v>TuShare index_daily</x:v>
      </x:c>
    </x:row>
    <x:row r="238" ht="18" customHeight="1">
      <x:c r="A238" s="13" t="n">
        <x:v>42933</x:v>
      </x:c>
      <x:c r="B238" s="12" t="str">
        <x:v>000300.SH</x:v>
      </x:c>
      <x:c r="C238" s="12" t="n">
        <x:v>3700.6179</x:v>
      </x:c>
      <x:c r="D238" s="12" t="n">
        <x:v>3716.47</x:v>
      </x:c>
      <x:c r="E238" s="12" t="n">
        <x:v>3621.3652</x:v>
      </x:c>
      <x:c r="F238" s="12" t="n">
        <x:v>3663.5575</x:v>
      </x:c>
      <x:c r="G238" s="12" t="n">
        <x:v>3703.094</x:v>
      </x:c>
      <x:c r="H238" s="12" t="n">
        <x:v>-39.5365</x:v>
      </x:c>
      <x:c r="I238" s="12" t="n">
        <x:v>-1.0677</x:v>
      </x:c>
      <x:c r="J238" s="12" t="n">
        <x:v>-0.010734016564415513</x:v>
      </x:c>
      <x:c r="K238" s="12" t="n">
        <x:v>178821600</x:v>
      </x:c>
      <x:c r="L238" s="12" t="n">
        <x:v>196217253.798</x:v>
      </x:c>
      <x:c r="M238" s="12" t="str">
        <x:v>TuShare index_daily</x:v>
      </x:c>
    </x:row>
    <x:row r="239" ht="18" customHeight="1">
      <x:c r="A239" s="13" t="n">
        <x:v>42934</x:v>
      </x:c>
      <x:c r="B239" s="12" t="str">
        <x:v>000300.SH</x:v>
      </x:c>
      <x:c r="C239" s="12" t="n">
        <x:v>3648.4942</x:v>
      </x:c>
      <x:c r="D239" s="12" t="n">
        <x:v>3667.5408</x:v>
      </x:c>
      <x:c r="E239" s="12" t="n">
        <x:v>3622.0414</x:v>
      </x:c>
      <x:c r="F239" s="12" t="n">
        <x:v>3667.1807</x:v>
      </x:c>
      <x:c r="G239" s="12" t="n">
        <x:v>3663.5575</x:v>
      </x:c>
      <x:c r="H239" s="12" t="n">
        <x:v>3.6232</x:v>
      </x:c>
      <x:c r="I239" s="12" t="n">
        <x:v>0.0989</x:v>
      </x:c>
      <x:c r="J239" s="12" t="n">
        <x:v>0.0009884953455373269</x:v>
      </x:c>
      <x:c r="K239" s="12" t="n">
        <x:v>124622056</x:v>
      </x:c>
      <x:c r="L239" s="12" t="n">
        <x:v>141472283.974</x:v>
      </x:c>
      <x:c r="M239" s="12" t="str">
        <x:v>TuShare index_daily</x:v>
      </x:c>
    </x:row>
    <x:row r="240" ht="18" customHeight="1">
      <x:c r="A240" s="13" t="n">
        <x:v>42935</x:v>
      </x:c>
      <x:c r="B240" s="12" t="str">
        <x:v>000300.SH</x:v>
      </x:c>
      <x:c r="C240" s="12" t="n">
        <x:v>3660.8665</x:v>
      </x:c>
      <x:c r="D240" s="12" t="n">
        <x:v>3731.0468</x:v>
      </x:c>
      <x:c r="E240" s="12" t="n">
        <x:v>3658.2035</x:v>
      </x:c>
      <x:c r="F240" s="12" t="n">
        <x:v>3729.7466</x:v>
      </x:c>
      <x:c r="G240" s="12" t="n">
        <x:v>3667.1807</x:v>
      </x:c>
      <x:c r="H240" s="12" t="n">
        <x:v>62.5659</x:v>
      </x:c>
      <x:c r="I240" s="12" t="n">
        <x:v>1.7061</x:v>
      </x:c>
      <x:c r="J240" s="12" t="n">
        <x:v>0.016917130477631895</x:v>
      </x:c>
      <x:c r="K240" s="12" t="n">
        <x:v>182477787</x:v>
      </x:c>
      <x:c r="L240" s="12" t="n">
        <x:v>198392451.748</x:v>
      </x:c>
      <x:c r="M240" s="12" t="str">
        <x:v>TuShare index_daily</x:v>
      </x:c>
    </x:row>
    <x:row r="241" ht="18" customHeight="1">
      <x:c r="A241" s="13" t="n">
        <x:v>42936</x:v>
      </x:c>
      <x:c r="B241" s="12" t="str">
        <x:v>000300.SH</x:v>
      </x:c>
      <x:c r="C241" s="12" t="n">
        <x:v>3725.1436</x:v>
      </x:c>
      <x:c r="D241" s="12" t="n">
        <x:v>3750.1938</x:v>
      </x:c>
      <x:c r="E241" s="12" t="n">
        <x:v>3723.0689</x:v>
      </x:c>
      <x:c r="F241" s="12" t="n">
        <x:v>3747.8843</x:v>
      </x:c>
      <x:c r="G241" s="12" t="n">
        <x:v>3729.7466</x:v>
      </x:c>
      <x:c r="H241" s="12" t="n">
        <x:v>18.1377</x:v>
      </x:c>
      <x:c r="I241" s="12" t="n">
        <x:v>0.4863</x:v>
      </x:c>
      <x:c r="J241" s="12" t="n">
        <x:v>0.004851198411312107</x:v>
      </x:c>
      <x:c r="K241" s="12" t="n">
        <x:v>142410039</x:v>
      </x:c>
      <x:c r="L241" s="12" t="n">
        <x:v>169267149.94</x:v>
      </x:c>
      <x:c r="M241" s="12" t="str">
        <x:v>TuShare index_daily</x:v>
      </x:c>
    </x:row>
    <x:row r="242" ht="18" customHeight="1">
      <x:c r="A242" s="13" t="n">
        <x:v>42937</x:v>
      </x:c>
      <x:c r="B242" s="12" t="str">
        <x:v>000300.SH</x:v>
      </x:c>
      <x:c r="C242" s="12" t="n">
        <x:v>3738.1847</x:v>
      </x:c>
      <x:c r="D242" s="12" t="n">
        <x:v>3751.6947</x:v>
      </x:c>
      <x:c r="E242" s="12" t="n">
        <x:v>3722.0656</x:v>
      </x:c>
      <x:c r="F242" s="12" t="n">
        <x:v>3728.5976</x:v>
      </x:c>
      <x:c r="G242" s="12" t="n">
        <x:v>3747.8843</x:v>
      </x:c>
      <x:c r="H242" s="12" t="n">
        <x:v>-19.2867</x:v>
      </x:c>
      <x:c r="I242" s="12" t="n">
        <x:v>-0.5146</x:v>
      </x:c>
      <x:c r="J242" s="12" t="n">
        <x:v>-0.005159309696680246</x:v>
      </x:c>
      <x:c r="K242" s="12" t="n">
        <x:v>117941226</x:v>
      </x:c>
      <x:c r="L242" s="12" t="n">
        <x:v>141432632.987</x:v>
      </x:c>
      <x:c r="M242" s="12" t="str">
        <x:v>TuShare index_daily</x:v>
      </x:c>
    </x:row>
    <x:row r="243" ht="18" customHeight="1">
      <x:c r="A243" s="13" t="n">
        <x:v>42940</x:v>
      </x:c>
      <x:c r="B243" s="12" t="str">
        <x:v>000300.SH</x:v>
      </x:c>
      <x:c r="C243" s="12" t="n">
        <x:v>3724.3778</x:v>
      </x:c>
      <x:c r="D243" s="12" t="n">
        <x:v>3755.1902</x:v>
      </x:c>
      <x:c r="E243" s="12" t="n">
        <x:v>3719.8488</x:v>
      </x:c>
      <x:c r="F243" s="12" t="n">
        <x:v>3743.4686</x:v>
      </x:c>
      <x:c r="G243" s="12" t="n">
        <x:v>3728.5976</x:v>
      </x:c>
      <x:c r="H243" s="12" t="n">
        <x:v>14.871</x:v>
      </x:c>
      <x:c r="I243" s="12" t="n">
        <x:v>0.3988</x:v>
      </x:c>
      <x:c r="J243" s="12" t="n">
        <x:v>0.003980430375324101</x:v>
      </x:c>
      <x:c r="K243" s="12" t="n">
        <x:v>134868722</x:v>
      </x:c>
      <x:c r="L243" s="12" t="n">
        <x:v>154701874.682</x:v>
      </x:c>
      <x:c r="M243" s="12" t="str">
        <x:v>TuShare index_daily</x:v>
      </x:c>
    </x:row>
    <x:row r="244" ht="18" customHeight="1">
      <x:c r="A244" s="13" t="n">
        <x:v>42941</x:v>
      </x:c>
      <x:c r="B244" s="12" t="str">
        <x:v>000300.SH</x:v>
      </x:c>
      <x:c r="C244" s="12" t="n">
        <x:v>3742.6405</x:v>
      </x:c>
      <x:c r="D244" s="12" t="n">
        <x:v>3752.1559</x:v>
      </x:c>
      <x:c r="E244" s="12" t="n">
        <x:v>3713.2766</x:v>
      </x:c>
      <x:c r="F244" s="12" t="n">
        <x:v>3719.559</x:v>
      </x:c>
      <x:c r="G244" s="12" t="n">
        <x:v>3743.4686</x:v>
      </x:c>
      <x:c r="H244" s="12" t="n">
        <x:v>-23.9096</x:v>
      </x:c>
      <x:c r="I244" s="12" t="n">
        <x:v>-0.6387</x:v>
      </x:c>
      <x:c r="J244" s="12" t="n">
        <x:v>-0.006407501910569485</x:v>
      </x:c>
      <x:c r="K244" s="12" t="n">
        <x:v>121672059</x:v>
      </x:c>
      <x:c r="L244" s="12" t="n">
        <x:v>133531656.186</x:v>
      </x:c>
      <x:c r="M244" s="12" t="str">
        <x:v>TuShare index_daily</x:v>
      </x:c>
    </x:row>
    <x:row r="245" ht="18" customHeight="1">
      <x:c r="A245" s="13" t="n">
        <x:v>42942</x:v>
      </x:c>
      <x:c r="B245" s="12" t="str">
        <x:v>000300.SH</x:v>
      </x:c>
      <x:c r="C245" s="12" t="n">
        <x:v>3722.8761</x:v>
      </x:c>
      <x:c r="D245" s="12" t="n">
        <x:v>3738.5316</x:v>
      </x:c>
      <x:c r="E245" s="12" t="n">
        <x:v>3684.1819</x:v>
      </x:c>
      <x:c r="F245" s="12" t="n">
        <x:v>3705.3884</x:v>
      </x:c>
      <x:c r="G245" s="12" t="n">
        <x:v>3719.559</x:v>
      </x:c>
      <x:c r="H245" s="12" t="n">
        <x:v>-14.1706</x:v>
      </x:c>
      <x:c r="I245" s="12" t="n">
        <x:v>-0.381</x:v>
      </x:c>
      <x:c r="J245" s="12" t="n">
        <x:v>-0.0038170283078687544</x:v>
      </x:c>
      <x:c r="K245" s="12" t="n">
        <x:v>136325210</x:v>
      </x:c>
      <x:c r="L245" s="12" t="n">
        <x:v>146518004.915</x:v>
      </x:c>
      <x:c r="M245" s="12" t="str">
        <x:v>TuShare index_daily</x:v>
      </x:c>
    </x:row>
    <x:row r="246" ht="18" customHeight="1">
      <x:c r="A246" s="13" t="n">
        <x:v>42943</x:v>
      </x:c>
      <x:c r="B246" s="12" t="str">
        <x:v>000300.SH</x:v>
      </x:c>
      <x:c r="C246" s="12" t="n">
        <x:v>3700.8558</x:v>
      </x:c>
      <x:c r="D246" s="12" t="n">
        <x:v>3716.6888</x:v>
      </x:c>
      <x:c r="E246" s="12" t="n">
        <x:v>3672.4971</x:v>
      </x:c>
      <x:c r="F246" s="12" t="n">
        <x:v>3712.1947</x:v>
      </x:c>
      <x:c r="G246" s="12" t="n">
        <x:v>3705.3884</x:v>
      </x:c>
      <x:c r="H246" s="12" t="n">
        <x:v>6.8063</x:v>
      </x:c>
      <x:c r="I246" s="12" t="n">
        <x:v>0.1837</x:v>
      </x:c>
      <x:c r="J246" s="12" t="n">
        <x:v>0.0018351804943682085</x:v>
      </x:c>
      <x:c r="K246" s="12" t="n">
        <x:v>145002904</x:v>
      </x:c>
      <x:c r="L246" s="12" t="n">
        <x:v>161631225.346</x:v>
      </x:c>
      <x:c r="M246" s="12" t="str">
        <x:v>TuShare index_daily</x:v>
      </x:c>
    </x:row>
    <x:row r="247" ht="18" customHeight="1">
      <x:c r="A247" s="13" t="n">
        <x:v>42944</x:v>
      </x:c>
      <x:c r="B247" s="12" t="str">
        <x:v>000300.SH</x:v>
      </x:c>
      <x:c r="C247" s="12" t="n">
        <x:v>3703.4895</x:v>
      </x:c>
      <x:c r="D247" s="12" t="n">
        <x:v>3725.5378</x:v>
      </x:c>
      <x:c r="E247" s="12" t="n">
        <x:v>3696.7776</x:v>
      </x:c>
      <x:c r="F247" s="12" t="n">
        <x:v>3721.8914</x:v>
      </x:c>
      <x:c r="G247" s="12" t="n">
        <x:v>3712.1947</x:v>
      </x:c>
      <x:c r="H247" s="12" t="n">
        <x:v>9.6967</x:v>
      </x:c>
      <x:c r="I247" s="12" t="n">
        <x:v>0.2612</x:v>
      </x:c>
      <x:c r="J247" s="12" t="n">
        <x:v>0.0026087148759696005</x:v>
      </x:c>
      <x:c r="K247" s="12" t="n">
        <x:v>111411392</x:v>
      </x:c>
      <x:c r="L247" s="12" t="n">
        <x:v>125817861.948</x:v>
      </x:c>
      <x:c r="M247" s="12" t="str">
        <x:v>TuShare index_daily</x:v>
      </x:c>
    </x:row>
    <x:row r="248" ht="18" customHeight="1">
      <x:c r="A248" s="13" t="n">
        <x:v>42947</x:v>
      </x:c>
      <x:c r="B248" s="12" t="str">
        <x:v>000300.SH</x:v>
      </x:c>
      <x:c r="C248" s="12" t="n">
        <x:v>3722.4282</x:v>
      </x:c>
      <x:c r="D248" s="12" t="n">
        <x:v>3746.5207</x:v>
      </x:c>
      <x:c r="E248" s="12" t="n">
        <x:v>3713.655</x:v>
      </x:c>
      <x:c r="F248" s="12" t="n">
        <x:v>3737.8732</x:v>
      </x:c>
      <x:c r="G248" s="12" t="n">
        <x:v>3721.8914</x:v>
      </x:c>
      <x:c r="H248" s="12" t="n">
        <x:v>15.9818</x:v>
      </x:c>
      <x:c r="I248" s="12" t="n">
        <x:v>0.4294</x:v>
      </x:c>
      <x:c r="J248" s="12" t="n">
        <x:v>0.004284806641638821</x:v>
      </x:c>
      <x:c r="K248" s="12" t="n">
        <x:v>148429039</x:v>
      </x:c>
      <x:c r="L248" s="12" t="n">
        <x:v>160890133.166</x:v>
      </x:c>
      <x:c r="M248" s="12" t="str">
        <x:v>TuShare index_daily</x:v>
      </x:c>
    </x:row>
    <x:row r="249" ht="18" customHeight="1">
      <x:c r="A249" s="13" t="n">
        <x:v>42948</x:v>
      </x:c>
      <x:c r="B249" s="12" t="str">
        <x:v>000300.SH</x:v>
      </x:c>
      <x:c r="C249" s="12" t="n">
        <x:v>3738.7364</x:v>
      </x:c>
      <x:c r="D249" s="12" t="n">
        <x:v>3770.4043</x:v>
      </x:c>
      <x:c r="E249" s="12" t="n">
        <x:v>3737.0954</x:v>
      </x:c>
      <x:c r="F249" s="12" t="n">
        <x:v>3770.3828</x:v>
      </x:c>
      <x:c r="G249" s="12" t="n">
        <x:v>3737.8732</x:v>
      </x:c>
      <x:c r="H249" s="12" t="n">
        <x:v>32.5096</x:v>
      </x:c>
      <x:c r="I249" s="12" t="n">
        <x:v>0.8697</x:v>
      </x:c>
      <x:c r="J249" s="12" t="n">
        <x:v>0.008659748192126341</x:v>
      </x:c>
      <x:c r="K249" s="12" t="n">
        <x:v>152546539</x:v>
      </x:c>
      <x:c r="L249" s="12" t="n">
        <x:v>173127578.959</x:v>
      </x:c>
      <x:c r="M249" s="12" t="str">
        <x:v>TuShare index_daily</x:v>
      </x:c>
    </x:row>
    <x:row r="250" ht="18" customHeight="1">
      <x:c r="A250" s="13" t="n">
        <x:v>42949</x:v>
      </x:c>
      <x:c r="B250" s="12" t="str">
        <x:v>000300.SH</x:v>
      </x:c>
      <x:c r="C250" s="12" t="n">
        <x:v>3768.1938</x:v>
      </x:c>
      <x:c r="D250" s="12" t="n">
        <x:v>3784.3511</x:v>
      </x:c>
      <x:c r="E250" s="12" t="n">
        <x:v>3759.2764</x:v>
      </x:c>
      <x:c r="F250" s="12" t="n">
        <x:v>3760.8525</x:v>
      </x:c>
      <x:c r="G250" s="12" t="n">
        <x:v>3770.3828</x:v>
      </x:c>
      <x:c r="H250" s="12" t="n">
        <x:v>-9.5303</x:v>
      </x:c>
      <x:c r="I250" s="12" t="n">
        <x:v>-0.2528</x:v>
      </x:c>
      <x:c r="J250" s="12" t="n">
        <x:v>-0.0025308743406424234</x:v>
      </x:c>
      <x:c r="K250" s="12" t="n">
        <x:v>172293383</x:v>
      </x:c>
      <x:c r="L250" s="12" t="n">
        <x:v>189336782.813</x:v>
      </x:c>
      <x:c r="M250" s="12" t="str">
        <x:v>TuShare index_daily</x:v>
      </x:c>
    </x:row>
    <x:row r="251" ht="18" customHeight="1">
      <x:c r="A251" s="13" t="n">
        <x:v>42950</x:v>
      </x:c>
      <x:c r="B251" s="12" t="str">
        <x:v>000300.SH</x:v>
      </x:c>
      <x:c r="C251" s="12" t="n">
        <x:v>3755.1081</x:v>
      </x:c>
      <x:c r="D251" s="12" t="n">
        <x:v>3766.3452</x:v>
      </x:c>
      <x:c r="E251" s="12" t="n">
        <x:v>3718.4351</x:v>
      </x:c>
      <x:c r="F251" s="12" t="n">
        <x:v>3727.8264</x:v>
      </x:c>
      <x:c r="G251" s="12" t="n">
        <x:v>3760.8525</x:v>
      </x:c>
      <x:c r="H251" s="12" t="n">
        <x:v>-33.0261</x:v>
      </x:c>
      <x:c r="I251" s="12" t="n">
        <x:v>-0.8782</x:v>
      </x:c>
      <x:c r="J251" s="12" t="n">
        <x:v>-0.008820331210649436</x:v>
      </x:c>
      <x:c r="K251" s="12" t="n">
        <x:v>146153944</x:v>
      </x:c>
      <x:c r="L251" s="12" t="n">
        <x:v>164710461.6</x:v>
      </x:c>
      <x:c r="M251" s="12" t="str">
        <x:v>TuShare index_daily</x:v>
      </x:c>
    </x:row>
    <x:row r="252" ht="18" customHeight="1">
      <x:c r="A252" s="13" t="n">
        <x:v>42951</x:v>
      </x:c>
      <x:c r="B252" s="12" t="str">
        <x:v>000300.SH</x:v>
      </x:c>
      <x:c r="C252" s="12" t="n">
        <x:v>3724.7225</x:v>
      </x:c>
      <x:c r="D252" s="12" t="n">
        <x:v>3738.7312</x:v>
      </x:c>
      <x:c r="E252" s="12" t="n">
        <x:v>3707.003</x:v>
      </x:c>
      <x:c r="F252" s="12" t="n">
        <x:v>3707.5796</x:v>
      </x:c>
      <x:c r="G252" s="12" t="n">
        <x:v>3727.8264</x:v>
      </x:c>
      <x:c r="H252" s="12" t="n">
        <x:v>-20.2468</x:v>
      </x:c>
      <x:c r="I252" s="12" t="n">
        <x:v>-0.5431</x:v>
      </x:c>
      <x:c r="J252" s="12" t="n">
        <x:v>-0.005446064422755287</x:v>
      </x:c>
      <x:c r="K252" s="12" t="n">
        <x:v>157470060</x:v>
      </x:c>
      <x:c r="L252" s="12" t="n">
        <x:v>168292664.589</x:v>
      </x:c>
      <x:c r="M252" s="12" t="str">
        <x:v>TuShare index_daily</x:v>
      </x:c>
    </x:row>
    <x:row r="253" ht="18" customHeight="1">
      <x:c r="A253" s="13" t="n">
        <x:v>42954</x:v>
      </x:c>
      <x:c r="B253" s="12" t="str">
        <x:v>000300.SH</x:v>
      </x:c>
      <x:c r="C253" s="12" t="n">
        <x:v>3701.2161</x:v>
      </x:c>
      <x:c r="D253" s="12" t="n">
        <x:v>3730.7774</x:v>
      </x:c>
      <x:c r="E253" s="12" t="n">
        <x:v>3689.9552</x:v>
      </x:c>
      <x:c r="F253" s="12" t="n">
        <x:v>3726.7948</x:v>
      </x:c>
      <x:c r="G253" s="12" t="n">
        <x:v>3707.5796</x:v>
      </x:c>
      <x:c r="H253" s="12" t="n">
        <x:v>19.2152</x:v>
      </x:c>
      <x:c r="I253" s="12" t="n">
        <x:v>0.5183</x:v>
      </x:c>
      <x:c r="J253" s="12" t="n">
        <x:v>0.0051692965015135515</x:v>
      </x:c>
      <x:c r="K253" s="12" t="n">
        <x:v>124231530</x:v>
      </x:c>
      <x:c r="L253" s="12" t="n">
        <x:v>134348537.498</x:v>
      </x:c>
      <x:c r="M253" s="12" t="str">
        <x:v>TuShare index_daily</x:v>
      </x:c>
    </x:row>
    <x:row r="254" ht="18" customHeight="1">
      <x:c r="A254" s="13" t="n">
        <x:v>42955</x:v>
      </x:c>
      <x:c r="B254" s="12" t="str">
        <x:v>000300.SH</x:v>
      </x:c>
      <x:c r="C254" s="12" t="n">
        <x:v>3724.3287</x:v>
      </x:c>
      <x:c r="D254" s="12" t="n">
        <x:v>3737.3344</x:v>
      </x:c>
      <x:c r="E254" s="12" t="n">
        <x:v>3718.8116</x:v>
      </x:c>
      <x:c r="F254" s="12" t="n">
        <x:v>3732.2129</x:v>
      </x:c>
      <x:c r="G254" s="12" t="n">
        <x:v>3726.7948</x:v>
      </x:c>
      <x:c r="H254" s="12" t="n">
        <x:v>5.4181</x:v>
      </x:c>
      <x:c r="I254" s="12" t="n">
        <x:v>0.1454</x:v>
      </x:c>
      <x:c r="J254" s="12" t="n">
        <x:v>0.0014527672234264035</x:v>
      </x:c>
      <x:c r="K254" s="12" t="n">
        <x:v>137241928</x:v>
      </x:c>
      <x:c r="L254" s="12" t="n">
        <x:v>146481868.919</x:v>
      </x:c>
      <x:c r="M254" s="12" t="str">
        <x:v>TuShare index_daily</x:v>
      </x:c>
    </x:row>
    <x:row r="255" ht="18" customHeight="1">
      <x:c r="A255" s="13" t="n">
        <x:v>42956</x:v>
      </x:c>
      <x:c r="B255" s="12" t="str">
        <x:v>000300.SH</x:v>
      </x:c>
      <x:c r="C255" s="12" t="n">
        <x:v>3728.0319</x:v>
      </x:c>
      <x:c r="D255" s="12" t="n">
        <x:v>3738.999</x:v>
      </x:c>
      <x:c r="E255" s="12" t="n">
        <x:v>3713.5668</x:v>
      </x:c>
      <x:c r="F255" s="12" t="n">
        <x:v>3731.044</x:v>
      </x:c>
      <x:c r="G255" s="12" t="n">
        <x:v>3732.2129</x:v>
      </x:c>
      <x:c r="H255" s="12" t="n">
        <x:v>-1.1689</x:v>
      </x:c>
      <x:c r="I255" s="12" t="n">
        <x:v>-0.0313</x:v>
      </x:c>
      <x:c r="J255" s="12" t="n">
        <x:v>-0.00031324126322330027</x:v>
      </x:c>
      <x:c r="K255" s="12" t="n">
        <x:v>124679989</x:v>
      </x:c>
      <x:c r="L255" s="12" t="n">
        <x:v>137223598.286</x:v>
      </x:c>
      <x:c r="M255" s="12" t="str">
        <x:v>TuShare index_daily</x:v>
      </x:c>
    </x:row>
    <x:row r="256" ht="18" customHeight="1">
      <x:c r="A256" s="13" t="n">
        <x:v>42957</x:v>
      </x:c>
      <x:c r="B256" s="12" t="str">
        <x:v>000300.SH</x:v>
      </x:c>
      <x:c r="C256" s="12" t="n">
        <x:v>3724.962</x:v>
      </x:c>
      <x:c r="D256" s="12" t="n">
        <x:v>3746.8614</x:v>
      </x:c>
      <x:c r="E256" s="12" t="n">
        <x:v>3688.1766</x:v>
      </x:c>
      <x:c r="F256" s="12" t="n">
        <x:v>3715.9208</x:v>
      </x:c>
      <x:c r="G256" s="12" t="n">
        <x:v>3731.044</x:v>
      </x:c>
      <x:c r="H256" s="12" t="n">
        <x:v>-15.1232</x:v>
      </x:c>
      <x:c r="I256" s="12" t="n">
        <x:v>-0.4053</x:v>
      </x:c>
      <x:c r="J256" s="12" t="n">
        <x:v>-0.004061579770028071</x:v>
      </x:c>
      <x:c r="K256" s="12" t="n">
        <x:v>130085128</x:v>
      </x:c>
      <x:c r="L256" s="12" t="n">
        <x:v>148005169.417</x:v>
      </x:c>
      <x:c r="M256" s="12" t="str">
        <x:v>TuShare index_daily</x:v>
      </x:c>
    </x:row>
    <x:row r="257" ht="18" customHeight="1">
      <x:c r="A257" s="13" t="n">
        <x:v>42958</x:v>
      </x:c>
      <x:c r="B257" s="12" t="str">
        <x:v>000300.SH</x:v>
      </x:c>
      <x:c r="C257" s="12" t="n">
        <x:v>3687.9314</x:v>
      </x:c>
      <x:c r="D257" s="12" t="n">
        <x:v>3700.4944</x:v>
      </x:c>
      <x:c r="E257" s="12" t="n">
        <x:v>3645.0945</x:v>
      </x:c>
      <x:c r="F257" s="12" t="n">
        <x:v>3647.3503</x:v>
      </x:c>
      <x:c r="G257" s="12" t="n">
        <x:v>3715.9208</x:v>
      </x:c>
      <x:c r="H257" s="12" t="n">
        <x:v>-68.5705</x:v>
      </x:c>
      <x:c r="I257" s="12" t="n">
        <x:v>-1.8453</x:v>
      </x:c>
      <x:c r="J257" s="12" t="n">
        <x:v>-0.018625548721311613</x:v>
      </x:c>
      <x:c r="K257" s="12" t="n">
        <x:v>150387421</x:v>
      </x:c>
      <x:c r="L257" s="12" t="n">
        <x:v>161083470.412</x:v>
      </x:c>
      <x:c r="M257" s="12" t="str">
        <x:v>TuShare index_daily</x:v>
      </x:c>
    </x:row>
    <x:row r="258" ht="18" customHeight="1">
      <x:c r="A258" s="13" t="n">
        <x:v>42961</x:v>
      </x:c>
      <x:c r="B258" s="12" t="str">
        <x:v>000300.SH</x:v>
      </x:c>
      <x:c r="C258" s="12" t="n">
        <x:v>3651.3754</x:v>
      </x:c>
      <x:c r="D258" s="12" t="n">
        <x:v>3698.3663</x:v>
      </x:c>
      <x:c r="E258" s="12" t="n">
        <x:v>3651.3754</x:v>
      </x:c>
      <x:c r="F258" s="12" t="n">
        <x:v>3694.6831</x:v>
      </x:c>
      <x:c r="G258" s="12" t="n">
        <x:v>3647.3503</x:v>
      </x:c>
      <x:c r="H258" s="12" t="n">
        <x:v>47.3328</x:v>
      </x:c>
      <x:c r="I258" s="12" t="n">
        <x:v>1.2977</x:v>
      </x:c>
      <x:c r="J258" s="12" t="n">
        <x:v>0.012893827412384441</x:v>
      </x:c>
      <x:c r="K258" s="12" t="n">
        <x:v>115308451</x:v>
      </x:c>
      <x:c r="L258" s="12" t="n">
        <x:v>140233894.117</x:v>
      </x:c>
      <x:c r="M258" s="12" t="str">
        <x:v>TuShare index_daily</x:v>
      </x:c>
    </x:row>
    <x:row r="259" ht="18" customHeight="1">
      <x:c r="A259" s="13" t="n">
        <x:v>42962</x:v>
      </x:c>
      <x:c r="B259" s="12" t="str">
        <x:v>000300.SH</x:v>
      </x:c>
      <x:c r="C259" s="12" t="n">
        <x:v>3695.78</x:v>
      </x:c>
      <x:c r="D259" s="12" t="n">
        <x:v>3719.2931</x:v>
      </x:c>
      <x:c r="E259" s="12" t="n">
        <x:v>3692.2802</x:v>
      </x:c>
      <x:c r="F259" s="12" t="n">
        <x:v>3706.0566</x:v>
      </x:c>
      <x:c r="G259" s="12" t="n">
        <x:v>3694.6831</x:v>
      </x:c>
      <x:c r="H259" s="12" t="n">
        <x:v>11.3735</x:v>
      </x:c>
      <x:c r="I259" s="12" t="n">
        <x:v>0.3078</x:v>
      </x:c>
      <x:c r="J259" s="12" t="n">
        <x:v>0.003073614102083343</x:v>
      </x:c>
      <x:c r="K259" s="12" t="n">
        <x:v>106444857</x:v>
      </x:c>
      <x:c r="L259" s="12" t="n">
        <x:v>124790630.952</x:v>
      </x:c>
      <x:c r="M259" s="12" t="str">
        <x:v>TuShare index_daily</x:v>
      </x:c>
    </x:row>
    <x:row r="260" ht="18" customHeight="1">
      <x:c r="A260" s="13" t="n">
        <x:v>42963</x:v>
      </x:c>
      <x:c r="B260" s="12" t="str">
        <x:v>000300.SH</x:v>
      </x:c>
      <x:c r="C260" s="12" t="n">
        <x:v>3701.1337</x:v>
      </x:c>
      <x:c r="D260" s="12" t="n">
        <x:v>3707.144</x:v>
      </x:c>
      <x:c r="E260" s="12" t="n">
        <x:v>3679.7338</x:v>
      </x:c>
      <x:c r="F260" s="12" t="n">
        <x:v>3701.4207</x:v>
      </x:c>
      <x:c r="G260" s="12" t="n">
        <x:v>3706.0566</x:v>
      </x:c>
      <x:c r="H260" s="12" t="n">
        <x:v>-4.6359</x:v>
      </x:c>
      <x:c r="I260" s="12" t="n">
        <x:v>-0.1251</x:v>
      </x:c>
      <x:c r="J260" s="12" t="n">
        <x:v>-0.001251681353180175</x:v>
      </x:c>
      <x:c r="K260" s="12" t="n">
        <x:v>104134141</x:v>
      </x:c>
      <x:c r="L260" s="12" t="n">
        <x:v>127282165.884</x:v>
      </x:c>
      <x:c r="M260" s="12" t="str">
        <x:v>TuShare index_daily</x:v>
      </x:c>
    </x:row>
    <x:row r="261" ht="18" customHeight="1">
      <x:c r="A261" s="13" t="n">
        <x:v>42964</x:v>
      </x:c>
      <x:c r="B261" s="12" t="str">
        <x:v>000300.SH</x:v>
      </x:c>
      <x:c r="C261" s="12" t="n">
        <x:v>3707.0668</x:v>
      </x:c>
      <x:c r="D261" s="12" t="n">
        <x:v>3722.6239</x:v>
      </x:c>
      <x:c r="E261" s="12" t="n">
        <x:v>3704.4126</x:v>
      </x:c>
      <x:c r="F261" s="12" t="n">
        <x:v>3721.277</x:v>
      </x:c>
      <x:c r="G261" s="12" t="n">
        <x:v>3701.4207</x:v>
      </x:c>
      <x:c r="H261" s="12" t="n">
        <x:v>19.8563</x:v>
      </x:c>
      <x:c r="I261" s="12" t="n">
        <x:v>0.5365</x:v>
      </x:c>
      <x:c r="J261" s="12" t="n">
        <x:v>0.005350170023601936</x:v>
      </x:c>
      <x:c r="K261" s="12" t="n">
        <x:v>108656251</x:v>
      </x:c>
      <x:c r="L261" s="12" t="n">
        <x:v>137020002.92</x:v>
      </x:c>
      <x:c r="M261" s="12" t="str">
        <x:v>TuShare index_daily</x:v>
      </x:c>
    </x:row>
    <x:row r="262" ht="18" customHeight="1">
      <x:c r="A262" s="13" t="n">
        <x:v>42965</x:v>
      </x:c>
      <x:c r="B262" s="12" t="str">
        <x:v>000300.SH</x:v>
      </x:c>
      <x:c r="C262" s="12" t="n">
        <x:v>3707.1891</x:v>
      </x:c>
      <x:c r="D262" s="12" t="n">
        <x:v>3733.4914</x:v>
      </x:c>
      <x:c r="E262" s="12" t="n">
        <x:v>3700.4112</x:v>
      </x:c>
      <x:c r="F262" s="12" t="n">
        <x:v>3724.6748</x:v>
      </x:c>
      <x:c r="G262" s="12" t="n">
        <x:v>3721.277</x:v>
      </x:c>
      <x:c r="H262" s="12" t="n">
        <x:v>3.3978</x:v>
      </x:c>
      <x:c r="I262" s="12" t="n">
        <x:v>0.0913</x:v>
      </x:c>
      <x:c r="J262" s="12" t="n">
        <x:v>0.0009126570590606256</x:v>
      </x:c>
      <x:c r="K262" s="12" t="n">
        <x:v>96561705</x:v>
      </x:c>
      <x:c r="L262" s="12" t="n">
        <x:v>123078163.944</x:v>
      </x:c>
      <x:c r="M262" s="12" t="str">
        <x:v>TuShare index_daily</x:v>
      </x:c>
    </x:row>
    <x:row r="263" ht="18" customHeight="1">
      <x:c r="A263" s="13" t="n">
        <x:v>42968</x:v>
      </x:c>
      <x:c r="B263" s="12" t="str">
        <x:v>000300.SH</x:v>
      </x:c>
      <x:c r="C263" s="12" t="n">
        <x:v>3731.8399</x:v>
      </x:c>
      <x:c r="D263" s="12" t="n">
        <x:v>3744.2631</x:v>
      </x:c>
      <x:c r="E263" s="12" t="n">
        <x:v>3728.6157</x:v>
      </x:c>
      <x:c r="F263" s="12" t="n">
        <x:v>3740.9941</x:v>
      </x:c>
      <x:c r="G263" s="12" t="n">
        <x:v>3724.6748</x:v>
      </x:c>
      <x:c r="H263" s="12" t="n">
        <x:v>16.3193</x:v>
      </x:c>
      <x:c r="I263" s="12" t="n">
        <x:v>0.4381</x:v>
      </x:c>
      <x:c r="J263" s="12" t="n">
        <x:v>0.004371832239290388</x:v>
      </x:c>
      <x:c r="K263" s="12" t="n">
        <x:v>100313073</x:v>
      </x:c>
      <x:c r="L263" s="12" t="n">
        <x:v>123911716.276</x:v>
      </x:c>
      <x:c r="M263" s="12" t="str">
        <x:v>TuShare index_daily</x:v>
      </x:c>
    </x:row>
    <x:row r="264" ht="18" customHeight="1">
      <x:c r="A264" s="13" t="n">
        <x:v>42969</x:v>
      </x:c>
      <x:c r="B264" s="12" t="str">
        <x:v>000300.SH</x:v>
      </x:c>
      <x:c r="C264" s="12" t="n">
        <x:v>3745.7543</x:v>
      </x:c>
      <x:c r="D264" s="12" t="n">
        <x:v>3758.2924</x:v>
      </x:c>
      <x:c r="E264" s="12" t="n">
        <x:v>3734.5556</x:v>
      </x:c>
      <x:c r="F264" s="12" t="n">
        <x:v>3752.298</x:v>
      </x:c>
      <x:c r="G264" s="12" t="n">
        <x:v>3740.9941</x:v>
      </x:c>
      <x:c r="H264" s="12" t="n">
        <x:v>11.3039</x:v>
      </x:c>
      <x:c r="I264" s="12" t="n">
        <x:v>0.3022</x:v>
      </x:c>
      <x:c r="J264" s="12" t="n">
        <x:v>0.0030170740507233697</x:v>
      </x:c>
      <x:c r="K264" s="12" t="n">
        <x:v>100292856</x:v>
      </x:c>
      <x:c r="L264" s="12" t="n">
        <x:v>131131078.398</x:v>
      </x:c>
      <x:c r="M264" s="12" t="str">
        <x:v>TuShare index_daily</x:v>
      </x:c>
    </x:row>
    <x:row r="265" ht="18" customHeight="1">
      <x:c r="A265" s="13" t="n">
        <x:v>42970</x:v>
      </x:c>
      <x:c r="B265" s="12" t="str">
        <x:v>000300.SH</x:v>
      </x:c>
      <x:c r="C265" s="12" t="n">
        <x:v>3747.6108</x:v>
      </x:c>
      <x:c r="D265" s="12" t="n">
        <x:v>3772.4568</x:v>
      </x:c>
      <x:c r="E265" s="12" t="n">
        <x:v>3741.7204</x:v>
      </x:c>
      <x:c r="F265" s="12" t="n">
        <x:v>3756.0884</x:v>
      </x:c>
      <x:c r="G265" s="12" t="n">
        <x:v>3752.298</x:v>
      </x:c>
      <x:c r="H265" s="12" t="n">
        <x:v>3.7904</x:v>
      </x:c>
      <x:c r="I265" s="12" t="n">
        <x:v>0.101</x:v>
      </x:c>
      <x:c r="J265" s="12" t="n">
        <x:v>0.0010096444482368895</x:v>
      </x:c>
      <x:c r="K265" s="12" t="n">
        <x:v>104961573</x:v>
      </x:c>
      <x:c r="L265" s="12" t="n">
        <x:v>124081155.71</x:v>
      </x:c>
      <x:c r="M265" s="12" t="str">
        <x:v>TuShare index_daily</x:v>
      </x:c>
    </x:row>
    <x:row r="266" ht="18" customHeight="1">
      <x:c r="A266" s="13" t="n">
        <x:v>42971</x:v>
      </x:c>
      <x:c r="B266" s="12" t="str">
        <x:v>000300.SH</x:v>
      </x:c>
      <x:c r="C266" s="12" t="n">
        <x:v>3755.8902</x:v>
      </x:c>
      <x:c r="D266" s="12" t="n">
        <x:v>3765.7082</x:v>
      </x:c>
      <x:c r="E266" s="12" t="n">
        <x:v>3729.0876</x:v>
      </x:c>
      <x:c r="F266" s="12" t="n">
        <x:v>3734.6458</x:v>
      </x:c>
      <x:c r="G266" s="12" t="n">
        <x:v>3756.0884</x:v>
      </x:c>
      <x:c r="H266" s="12" t="n">
        <x:v>-21.4426</x:v>
      </x:c>
      <x:c r="I266" s="12" t="n">
        <x:v>-0.5709</x:v>
      </x:c>
      <x:c r="J266" s="12" t="n">
        <x:v>-0.005725115321418205</x:v>
      </x:c>
      <x:c r="K266" s="12" t="n">
        <x:v>89947372</x:v>
      </x:c>
      <x:c r="L266" s="12" t="n">
        <x:v>107736019.091</x:v>
      </x:c>
      <x:c r="M266" s="12" t="str">
        <x:v>TuShare index_daily</x:v>
      </x:c>
    </x:row>
    <x:row r="267" ht="18" customHeight="1">
      <x:c r="A267" s="13" t="n">
        <x:v>42972</x:v>
      </x:c>
      <x:c r="B267" s="12" t="str">
        <x:v>000300.SH</x:v>
      </x:c>
      <x:c r="C267" s="12" t="n">
        <x:v>3736.2916</x:v>
      </x:c>
      <x:c r="D267" s="12" t="n">
        <x:v>3795.9693</x:v>
      </x:c>
      <x:c r="E267" s="12" t="n">
        <x:v>3736.2916</x:v>
      </x:c>
      <x:c r="F267" s="12" t="n">
        <x:v>3795.7544</x:v>
      </x:c>
      <x:c r="G267" s="12" t="n">
        <x:v>3734.6458</x:v>
      </x:c>
      <x:c r="H267" s="12" t="n">
        <x:v>61.1086</x:v>
      </x:c>
      <x:c r="I267" s="12" t="n">
        <x:v>1.6363</x:v>
      </x:c>
      <x:c r="J267" s="12" t="n">
        <x:v>0.0162301975467989</x:v>
      </x:c>
      <x:c r="K267" s="12" t="n">
        <x:v>129940900</x:v>
      </x:c>
      <x:c r="L267" s="12" t="n">
        <x:v>150697083.062</x:v>
      </x:c>
      <x:c r="M267" s="12" t="str">
        <x:v>TuShare index_daily</x:v>
      </x:c>
    </x:row>
    <x:row r="268" ht="18" customHeight="1">
      <x:c r="A268" s="13" t="n">
        <x:v>42975</x:v>
      </x:c>
      <x:c r="B268" s="12" t="str">
        <x:v>000300.SH</x:v>
      </x:c>
      <x:c r="C268" s="12" t="n">
        <x:v>3805.6567</x:v>
      </x:c>
      <x:c r="D268" s="12" t="n">
        <x:v>3866.9422</x:v>
      </x:c>
      <x:c r="E268" s="12" t="n">
        <x:v>3805.6567</x:v>
      </x:c>
      <x:c r="F268" s="12" t="n">
        <x:v>3842.7119</x:v>
      </x:c>
      <x:c r="G268" s="12" t="n">
        <x:v>3795.7544</x:v>
      </x:c>
      <x:c r="H268" s="12" t="n">
        <x:v>46.9575</x:v>
      </x:c>
      <x:c r="I268" s="12" t="n">
        <x:v>1.2371</x:v>
      </x:c>
      <x:c r="J268" s="12" t="n">
        <x:v>0.012295162328488495</x:v>
      </x:c>
      <x:c r="K268" s="12" t="n">
        <x:v>185576325</x:v>
      </x:c>
      <x:c r="L268" s="12" t="n">
        <x:v>236446280.855</x:v>
      </x:c>
      <x:c r="M268" s="12" t="str">
        <x:v>TuShare index_daily</x:v>
      </x:c>
    </x:row>
    <x:row r="269" ht="18" customHeight="1">
      <x:c r="A269" s="13" t="n">
        <x:v>42976</x:v>
      </x:c>
      <x:c r="B269" s="12" t="str">
        <x:v>000300.SH</x:v>
      </x:c>
      <x:c r="C269" s="12" t="n">
        <x:v>3839.1779</x:v>
      </x:c>
      <x:c r="D269" s="12" t="n">
        <x:v>3847.9303</x:v>
      </x:c>
      <x:c r="E269" s="12" t="n">
        <x:v>3825.7597</x:v>
      </x:c>
      <x:c r="F269" s="12" t="n">
        <x:v>3834.5376</x:v>
      </x:c>
      <x:c r="G269" s="12" t="n">
        <x:v>3842.7119</x:v>
      </x:c>
      <x:c r="H269" s="12" t="n">
        <x:v>-8.1743</x:v>
      </x:c>
      <x:c r="I269" s="12" t="n">
        <x:v>-0.2127</x:v>
      </x:c>
      <x:c r="J269" s="12" t="n">
        <x:v>-0.002129487413170702</x:v>
      </x:c>
      <x:c r="K269" s="12" t="n">
        <x:v>128227070</x:v>
      </x:c>
      <x:c r="L269" s="12" t="n">
        <x:v>158978683.685</x:v>
      </x:c>
      <x:c r="M269" s="12" t="str">
        <x:v>TuShare index_daily</x:v>
      </x:c>
    </x:row>
    <x:row r="270" ht="18" customHeight="1">
      <x:c r="A270" s="13" t="n">
        <x:v>42977</x:v>
      </x:c>
      <x:c r="B270" s="12" t="str">
        <x:v>000300.SH</x:v>
      </x:c>
      <x:c r="C270" s="12" t="n">
        <x:v>3834.2682</x:v>
      </x:c>
      <x:c r="D270" s="12" t="n">
        <x:v>3854.7062</x:v>
      </x:c>
      <x:c r="E270" s="12" t="n">
        <x:v>3827.8607</x:v>
      </x:c>
      <x:c r="F270" s="12" t="n">
        <x:v>3834.3005</x:v>
      </x:c>
      <x:c r="G270" s="12" t="n">
        <x:v>3834.5376</x:v>
      </x:c>
      <x:c r="H270" s="12" t="n">
        <x:v>-0.2371</x:v>
      </x:c>
      <x:c r="I270" s="12" t="n">
        <x:v>-0.0062</x:v>
      </x:c>
      <x:c r="J270" s="12" t="n">
        <x:v>-0.00006183466047503646</x:v>
      </x:c>
      <x:c r="K270" s="12" t="n">
        <x:v>141352857</x:v>
      </x:c>
      <x:c r="L270" s="12" t="n">
        <x:v>166235122.004</x:v>
      </x:c>
      <x:c r="M270" s="12" t="str">
        <x:v>TuShare index_daily</x:v>
      </x:c>
    </x:row>
    <x:row r="271" ht="18" customHeight="1">
      <x:c r="A271" s="13" t="n">
        <x:v>42978</x:v>
      </x:c>
      <x:c r="B271" s="12" t="str">
        <x:v>000300.SH</x:v>
      </x:c>
      <x:c r="C271" s="12" t="n">
        <x:v>3835.8394</x:v>
      </x:c>
      <x:c r="D271" s="12" t="n">
        <x:v>3840.199</x:v>
      </x:c>
      <x:c r="E271" s="12" t="n">
        <x:v>3800.8861</x:v>
      </x:c>
      <x:c r="F271" s="12" t="n">
        <x:v>3822.0928</x:v>
      </x:c>
      <x:c r="G271" s="12" t="n">
        <x:v>3834.3005</x:v>
      </x:c>
      <x:c r="H271" s="12" t="n">
        <x:v>-12.2077</x:v>
      </x:c>
      <x:c r="I271" s="12" t="n">
        <x:v>-0.3184</x:v>
      </x:c>
      <x:c r="J271" s="12" t="n">
        <x:v>-0.003188893220792988</x:v>
      </x:c>
      <x:c r="K271" s="12" t="n">
        <x:v>132944935</x:v>
      </x:c>
      <x:c r="L271" s="12" t="n">
        <x:v>157079216.083</x:v>
      </x:c>
      <x:c r="M271" s="12" t="str">
        <x:v>TuShare index_daily</x:v>
      </x:c>
    </x:row>
    <x:row r="272" ht="18" customHeight="1">
      <x:c r="A272" s="13" t="n">
        <x:v>42979</x:v>
      </x:c>
      <x:c r="B272" s="12" t="str">
        <x:v>000300.SH</x:v>
      </x:c>
      <x:c r="C272" s="12" t="n">
        <x:v>3825.3392</x:v>
      </x:c>
      <x:c r="D272" s="12" t="n">
        <x:v>3843.6176</x:v>
      </x:c>
      <x:c r="E272" s="12" t="n">
        <x:v>3818.1586</x:v>
      </x:c>
      <x:c r="F272" s="12" t="n">
        <x:v>3830.5383</x:v>
      </x:c>
      <x:c r="G272" s="12" t="n">
        <x:v>3822.0928</x:v>
      </x:c>
      <x:c r="H272" s="12" t="n">
        <x:v>8.4455</x:v>
      </x:c>
      <x:c r="I272" s="12" t="n">
        <x:v>0.221</x:v>
      </x:c>
      <x:c r="J272" s="12" t="n">
        <x:v>0.0022072156147009</x:v>
      </x:c>
      <x:c r="K272" s="12" t="n">
        <x:v>158645511</x:v>
      </x:c>
      <x:c r="L272" s="12" t="n">
        <x:v>182770431.967</x:v>
      </x:c>
      <x:c r="M272" s="12" t="str">
        <x:v>TuShare index_daily</x:v>
      </x:c>
    </x:row>
    <x:row r="273" ht="18" customHeight="1">
      <x:c r="A273" s="13" t="n">
        <x:v>42982</x:v>
      </x:c>
      <x:c r="B273" s="12" t="str">
        <x:v>000300.SH</x:v>
      </x:c>
      <x:c r="C273" s="12" t="n">
        <x:v>3828.5447</x:v>
      </x:c>
      <x:c r="D273" s="12" t="n">
        <x:v>3847.0906</x:v>
      </x:c>
      <x:c r="E273" s="12" t="n">
        <x:v>3813.5537</x:v>
      </x:c>
      <x:c r="F273" s="12" t="n">
        <x:v>3845.6163</x:v>
      </x:c>
      <x:c r="G273" s="12" t="n">
        <x:v>3830.5383</x:v>
      </x:c>
      <x:c r="H273" s="12" t="n">
        <x:v>15.078</x:v>
      </x:c>
      <x:c r="I273" s="12" t="n">
        <x:v>0.3936</x:v>
      </x:c>
      <x:c r="J273" s="12" t="n">
        <x:v>0.003928534579551534</x:v>
      </x:c>
      <x:c r="K273" s="12" t="n">
        <x:v>149566320</x:v>
      </x:c>
      <x:c r="L273" s="12" t="n">
        <x:v>175551068.278</x:v>
      </x:c>
      <x:c r="M273" s="12" t="str">
        <x:v>TuShare index_daily</x:v>
      </x:c>
    </x:row>
    <x:row r="274" ht="18" customHeight="1">
      <x:c r="A274" s="13" t="n">
        <x:v>42983</x:v>
      </x:c>
      <x:c r="B274" s="12" t="str">
        <x:v>000300.SH</x:v>
      </x:c>
      <x:c r="C274" s="12" t="n">
        <x:v>3845.5451</x:v>
      </x:c>
      <x:c r="D274" s="12" t="n">
        <x:v>3865.2938</x:v>
      </x:c>
      <x:c r="E274" s="12" t="n">
        <x:v>3841.9514</x:v>
      </x:c>
      <x:c r="F274" s="12" t="n">
        <x:v>3857.0464</x:v>
      </x:c>
      <x:c r="G274" s="12" t="n">
        <x:v>3845.6163</x:v>
      </x:c>
      <x:c r="H274" s="12" t="n">
        <x:v>11.4301</x:v>
      </x:c>
      <x:c r="I274" s="12" t="n">
        <x:v>0.2972</x:v>
      </x:c>
      <x:c r="J274" s="12" t="n">
        <x:v>0.0029678330299271072</x:v>
      </x:c>
      <x:c r="K274" s="12" t="n">
        <x:v>124964155</x:v>
      </x:c>
      <x:c r="L274" s="12" t="n">
        <x:v>145779755.314</x:v>
      </x:c>
      <x:c r="M274" s="12" t="str">
        <x:v>TuShare index_daily</x:v>
      </x:c>
    </x:row>
    <x:row r="275" ht="18" customHeight="1">
      <x:c r="A275" s="13" t="n">
        <x:v>42984</x:v>
      </x:c>
      <x:c r="B275" s="12" t="str">
        <x:v>000300.SH</x:v>
      </x:c>
      <x:c r="C275" s="12" t="n">
        <x:v>3846.7471</x:v>
      </x:c>
      <x:c r="D275" s="12" t="n">
        <x:v>3858.2481</x:v>
      </x:c>
      <x:c r="E275" s="12" t="n">
        <x:v>3831.3835</x:v>
      </x:c>
      <x:c r="F275" s="12" t="n">
        <x:v>3849.4499</x:v>
      </x:c>
      <x:c r="G275" s="12" t="n">
        <x:v>3857.0464</x:v>
      </x:c>
      <x:c r="H275" s="12" t="n">
        <x:v>-7.5965</x:v>
      </x:c>
      <x:c r="I275" s="12" t="n">
        <x:v>-0.197</x:v>
      </x:c>
      <x:c r="J275" s="12" t="n">
        <x:v>-0.0019714542548732172</x:v>
      </x:c>
      <x:c r="K275" s="12" t="n">
        <x:v>131398723</x:v>
      </x:c>
      <x:c r="L275" s="12" t="n">
        <x:v>155883314.756</x:v>
      </x:c>
      <x:c r="M275" s="12" t="str">
        <x:v>TuShare index_daily</x:v>
      </x:c>
    </x:row>
    <x:row r="276" ht="18" customHeight="1">
      <x:c r="A276" s="13" t="n">
        <x:v>42985</x:v>
      </x:c>
      <x:c r="B276" s="12" t="str">
        <x:v>000300.SH</x:v>
      </x:c>
      <x:c r="C276" s="12" t="n">
        <x:v>3851.688</x:v>
      </x:c>
      <x:c r="D276" s="12" t="n">
        <x:v>3858.1617</x:v>
      </x:c>
      <x:c r="E276" s="12" t="n">
        <x:v>3828.835</x:v>
      </x:c>
      <x:c r="F276" s="12" t="n">
        <x:v>3829.8713</x:v>
      </x:c>
      <x:c r="G276" s="12" t="n">
        <x:v>3849.4499</x:v>
      </x:c>
      <x:c r="H276" s="12" t="n">
        <x:v>-19.5786</x:v>
      </x:c>
      <x:c r="I276" s="12" t="n">
        <x:v>-0.5086</x:v>
      </x:c>
      <x:c r="J276" s="12" t="n">
        <x:v>-0.0050990554792473795</x:v>
      </x:c>
      <x:c r="K276" s="12" t="n">
        <x:v>123884181</x:v>
      </x:c>
      <x:c r="L276" s="12" t="n">
        <x:v>156113397.125</x:v>
      </x:c>
      <x:c r="M276" s="12" t="str">
        <x:v>TuShare index_daily</x:v>
      </x:c>
    </x:row>
    <x:row r="277" ht="18" customHeight="1">
      <x:c r="A277" s="13" t="n">
        <x:v>42986</x:v>
      </x:c>
      <x:c r="B277" s="12" t="str">
        <x:v>000300.SH</x:v>
      </x:c>
      <x:c r="C277" s="12" t="n">
        <x:v>3830.0707</x:v>
      </x:c>
      <x:c r="D277" s="12" t="n">
        <x:v>3843.0186</x:v>
      </x:c>
      <x:c r="E277" s="12" t="n">
        <x:v>3813.9833</x:v>
      </x:c>
      <x:c r="F277" s="12" t="n">
        <x:v>3825.9895</x:v>
      </x:c>
      <x:c r="G277" s="12" t="n">
        <x:v>3829.8713</x:v>
      </x:c>
      <x:c r="H277" s="12" t="n">
        <x:v>-3.8818</x:v>
      </x:c>
      <x:c r="I277" s="12" t="n">
        <x:v>-0.1014</x:v>
      </x:c>
      <x:c r="J277" s="12" t="n">
        <x:v>-0.0010140728610560975</x:v>
      </x:c>
      <x:c r="K277" s="12" t="n">
        <x:v>106036504</x:v>
      </x:c>
      <x:c r="L277" s="12" t="n">
        <x:v>134958583.983</x:v>
      </x:c>
      <x:c r="M277" s="12" t="str">
        <x:v>TuShare index_daily</x:v>
      </x:c>
    </x:row>
    <x:row r="278" ht="18" customHeight="1">
      <x:c r="A278" s="13" t="n">
        <x:v>42989</x:v>
      </x:c>
      <x:c r="B278" s="12" t="str">
        <x:v>000300.SH</x:v>
      </x:c>
      <x:c r="C278" s="12" t="n">
        <x:v>3828.3422</x:v>
      </x:c>
      <x:c r="D278" s="12" t="n">
        <x:v>3850.7409</x:v>
      </x:c>
      <x:c r="E278" s="12" t="n">
        <x:v>3817.5108</x:v>
      </x:c>
      <x:c r="F278" s="12" t="n">
        <x:v>3825.6453</x:v>
      </x:c>
      <x:c r="G278" s="12" t="n">
        <x:v>3825.9895</x:v>
      </x:c>
      <x:c r="H278" s="12" t="n">
        <x:v>-0.3442</x:v>
      </x:c>
      <x:c r="I278" s="12" t="n">
        <x:v>-0.009</x:v>
      </x:c>
      <x:c r="J278" s="12" t="n">
        <x:v>-0.00008996770212613721</x:v>
      </x:c>
      <x:c r="K278" s="12" t="n">
        <x:v>123883997</x:v>
      </x:c>
      <x:c r="L278" s="12" t="n">
        <x:v>154793900.773</x:v>
      </x:c>
      <x:c r="M278" s="12" t="str">
        <x:v>TuShare index_daily</x:v>
      </x:c>
    </x:row>
    <x:row r="279" ht="18" customHeight="1">
      <x:c r="A279" s="13" t="n">
        <x:v>42990</x:v>
      </x:c>
      <x:c r="B279" s="12" t="str">
        <x:v>000300.SH</x:v>
      </x:c>
      <x:c r="C279" s="12" t="n">
        <x:v>3832.2422</x:v>
      </x:c>
      <x:c r="D279" s="12" t="n">
        <x:v>3849.3885</x:v>
      </x:c>
      <x:c r="E279" s="12" t="n">
        <x:v>3822.0037</x:v>
      </x:c>
      <x:c r="F279" s="12" t="n">
        <x:v>3837.9341</x:v>
      </x:c>
      <x:c r="G279" s="12" t="n">
        <x:v>3825.6453</x:v>
      </x:c>
      <x:c r="H279" s="12" t="n">
        <x:v>12.2888</x:v>
      </x:c>
      <x:c r="I279" s="12" t="n">
        <x:v>0.3212</x:v>
      </x:c>
      <x:c r="J279" s="12" t="n">
        <x:v>0.003207068105229335</x:v>
      </x:c>
      <x:c r="K279" s="12" t="n">
        <x:v>144190242</x:v>
      </x:c>
      <x:c r="L279" s="12" t="n">
        <x:v>187605312.03</x:v>
      </x:c>
      <x:c r="M279" s="12" t="str">
        <x:v>TuShare index_daily</x:v>
      </x:c>
    </x:row>
    <x:row r="280" ht="18" customHeight="1">
      <x:c r="A280" s="13" t="n">
        <x:v>42991</x:v>
      </x:c>
      <x:c r="B280" s="12" t="str">
        <x:v>000300.SH</x:v>
      </x:c>
      <x:c r="C280" s="12" t="n">
        <x:v>3835.5493</x:v>
      </x:c>
      <x:c r="D280" s="12" t="n">
        <x:v>3847.7841</x:v>
      </x:c>
      <x:c r="E280" s="12" t="n">
        <x:v>3822.9441</x:v>
      </x:c>
      <x:c r="F280" s="12" t="n">
        <x:v>3842.6061</x:v>
      </x:c>
      <x:c r="G280" s="12" t="n">
        <x:v>3837.9341</x:v>
      </x:c>
      <x:c r="H280" s="12" t="n">
        <x:v>4.672</x:v>
      </x:c>
      <x:c r="I280" s="12" t="n">
        <x:v>0.1217</x:v>
      </x:c>
      <x:c r="J280" s="12" t="n">
        <x:v>0.001216581244178713</x:v>
      </x:c>
      <x:c r="K280" s="12" t="n">
        <x:v>95410785</x:v>
      </x:c>
      <x:c r="L280" s="12" t="n">
        <x:v>126254360.933</x:v>
      </x:c>
      <x:c r="M280" s="12" t="str">
        <x:v>TuShare index_daily</x:v>
      </x:c>
    </x:row>
    <x:row r="281" ht="18" customHeight="1">
      <x:c r="A281" s="13" t="n">
        <x:v>42992</x:v>
      </x:c>
      <x:c r="B281" s="12" t="str">
        <x:v>000300.SH</x:v>
      </x:c>
      <x:c r="C281" s="12" t="n">
        <x:v>3843.572</x:v>
      </x:c>
      <x:c r="D281" s="12" t="n">
        <x:v>3854.4931</x:v>
      </x:c>
      <x:c r="E281" s="12" t="n">
        <x:v>3820.0876</x:v>
      </x:c>
      <x:c r="F281" s="12" t="n">
        <x:v>3829.9554</x:v>
      </x:c>
      <x:c r="G281" s="12" t="n">
        <x:v>3842.6061</x:v>
      </x:c>
      <x:c r="H281" s="12" t="n">
        <x:v>-12.6507</x:v>
      </x:c>
      <x:c r="I281" s="12" t="n">
        <x:v>-0.3292</x:v>
      </x:c>
      <x:c r="J281" s="12" t="n">
        <x:v>-0.0032976500648873265</x:v>
      </x:c>
      <x:c r="K281" s="12" t="n">
        <x:v>115358583</x:v>
      </x:c>
      <x:c r="L281" s="12" t="n">
        <x:v>143111639.152</x:v>
      </x:c>
      <x:c r="M281" s="12" t="str">
        <x:v>TuShare index_daily</x:v>
      </x:c>
    </x:row>
    <x:row r="282" ht="18" customHeight="1">
      <x:c r="A282" s="13" t="n">
        <x:v>42993</x:v>
      </x:c>
      <x:c r="B282" s="12" t="str">
        <x:v>000300.SH</x:v>
      </x:c>
      <x:c r="C282" s="12" t="n">
        <x:v>3826.1448</x:v>
      </x:c>
      <x:c r="D282" s="12" t="n">
        <x:v>3843.297</x:v>
      </x:c>
      <x:c r="E282" s="12" t="n">
        <x:v>3818.5234</x:v>
      </x:c>
      <x:c r="F282" s="12" t="n">
        <x:v>3831.2965</x:v>
      </x:c>
      <x:c r="G282" s="12" t="n">
        <x:v>3829.9554</x:v>
      </x:c>
      <x:c r="H282" s="12" t="n">
        <x:v>1.3411</x:v>
      </x:c>
      <x:c r="I282" s="12" t="n">
        <x:v>0.035</x:v>
      </x:c>
      <x:c r="J282" s="12" t="n">
        <x:v>0.000350099443590409</x:v>
      </x:c>
      <x:c r="K282" s="12" t="n">
        <x:v>122427006</x:v>
      </x:c>
      <x:c r="L282" s="12" t="n">
        <x:v>153477215.18</x:v>
      </x:c>
      <x:c r="M282" s="12" t="str">
        <x:v>TuShare index_daily</x:v>
      </x:c>
    </x:row>
    <x:row r="283" ht="18" customHeight="1">
      <x:c r="A283" s="13" t="n">
        <x:v>42996</x:v>
      </x:c>
      <x:c r="B283" s="12" t="str">
        <x:v>000300.SH</x:v>
      </x:c>
      <x:c r="C283" s="12" t="n">
        <x:v>3832.9626</x:v>
      </x:c>
      <x:c r="D283" s="12" t="n">
        <x:v>3862.3589</x:v>
      </x:c>
      <x:c r="E283" s="12" t="n">
        <x:v>3832.9626</x:v>
      </x:c>
      <x:c r="F283" s="12" t="n">
        <x:v>3843.1428</x:v>
      </x:c>
      <x:c r="G283" s="12" t="n">
        <x:v>3831.2965</x:v>
      </x:c>
      <x:c r="H283" s="12" t="n">
        <x:v>11.8463</x:v>
      </x:c>
      <x:c r="I283" s="12" t="n">
        <x:v>0.3092</x:v>
      </x:c>
      <x:c r="J283" s="12" t="n">
        <x:v>0.003087211702567067</x:v>
      </x:c>
      <x:c r="K283" s="12" t="n">
        <x:v>117934405</x:v>
      </x:c>
      <x:c r="L283" s="12" t="n">
        <x:v>152841028.494</x:v>
      </x:c>
      <x:c r="M283" s="12" t="str">
        <x:v>TuShare index_daily</x:v>
      </x:c>
    </x:row>
    <x:row r="284" ht="18" customHeight="1">
      <x:c r="A284" s="13" t="n">
        <x:v>42997</x:v>
      </x:c>
      <x:c r="B284" s="12" t="str">
        <x:v>000300.SH</x:v>
      </x:c>
      <x:c r="C284" s="12" t="n">
        <x:v>3849.8794</x:v>
      </x:c>
      <x:c r="D284" s="12" t="n">
        <x:v>3857.303</x:v>
      </x:c>
      <x:c r="E284" s="12" t="n">
        <x:v>3820.2885</x:v>
      </x:c>
      <x:c r="F284" s="12" t="n">
        <x:v>3832.1161</x:v>
      </x:c>
      <x:c r="G284" s="12" t="n">
        <x:v>3843.1428</x:v>
      </x:c>
      <x:c r="H284" s="12" t="n">
        <x:v>-11.0267</x:v>
      </x:c>
      <x:c r="I284" s="12" t="n">
        <x:v>-0.2869</x:v>
      </x:c>
      <x:c r="J284" s="12" t="n">
        <x:v>-0.0028733122178582586</x:v>
      </x:c>
      <x:c r="K284" s="12" t="n">
        <x:v>112432987</x:v>
      </x:c>
      <x:c r="L284" s="12" t="n">
        <x:v>145528457.523</x:v>
      </x:c>
      <x:c r="M284" s="12" t="str">
        <x:v>TuShare index_daily</x:v>
      </x:c>
    </x:row>
    <x:row r="285" ht="18" customHeight="1">
      <x:c r="A285" s="13" t="n">
        <x:v>42998</x:v>
      </x:c>
      <x:c r="B285" s="12" t="str">
        <x:v>000300.SH</x:v>
      </x:c>
      <x:c r="C285" s="12" t="n">
        <x:v>3830.1549</x:v>
      </x:c>
      <x:c r="D285" s="12" t="n">
        <x:v>3850.9426</x:v>
      </x:c>
      <x:c r="E285" s="12" t="n">
        <x:v>3827.8858</x:v>
      </x:c>
      <x:c r="F285" s="12" t="n">
        <x:v>3842.4353</x:v>
      </x:c>
      <x:c r="G285" s="12" t="n">
        <x:v>3832.1161</x:v>
      </x:c>
      <x:c r="H285" s="12" t="n">
        <x:v>10.3192</x:v>
      </x:c>
      <x:c r="I285" s="12" t="n">
        <x:v>0.2693</x:v>
      </x:c>
      <x:c r="J285" s="12" t="n">
        <x:v>0.00268920114832173</x:v>
      </x:c>
      <x:c r="K285" s="12" t="n">
        <x:v>101129542</x:v>
      </x:c>
      <x:c r="L285" s="12" t="n">
        <x:v>135041882.371</x:v>
      </x:c>
      <x:c r="M285" s="12" t="str">
        <x:v>TuShare index_daily</x:v>
      </x:c>
    </x:row>
    <x:row r="286" ht="18" customHeight="1">
      <x:c r="A286" s="13" t="n">
        <x:v>42999</x:v>
      </x:c>
      <x:c r="B286" s="12" t="str">
        <x:v>000300.SH</x:v>
      </x:c>
      <x:c r="C286" s="12" t="n">
        <x:v>3843.2577</x:v>
      </x:c>
      <x:c r="D286" s="12" t="n">
        <x:v>3860.7977</x:v>
      </x:c>
      <x:c r="E286" s="12" t="n">
        <x:v>3837.384</x:v>
      </x:c>
      <x:c r="F286" s="12" t="n">
        <x:v>3837.8176</x:v>
      </x:c>
      <x:c r="G286" s="12" t="n">
        <x:v>3842.4353</x:v>
      </x:c>
      <x:c r="H286" s="12" t="n">
        <x:v>-4.6177</x:v>
      </x:c>
      <x:c r="I286" s="12" t="n">
        <x:v>-0.1202</x:v>
      </x:c>
      <x:c r="J286" s="12" t="n">
        <x:v>-0.0012024865890608793</x:v>
      </x:c>
      <x:c r="K286" s="12" t="n">
        <x:v>111098192</x:v>
      </x:c>
      <x:c r="L286" s="12" t="n">
        <x:v>144132893.229</x:v>
      </x:c>
      <x:c r="M286" s="12" t="str">
        <x:v>TuShare index_daily</x:v>
      </x:c>
    </x:row>
    <x:row r="287" ht="18" customHeight="1">
      <x:c r="A287" s="13" t="n">
        <x:v>43000</x:v>
      </x:c>
      <x:c r="B287" s="12" t="str">
        <x:v>000300.SH</x:v>
      </x:c>
      <x:c r="C287" s="12" t="n">
        <x:v>3826.4589</x:v>
      </x:c>
      <x:c r="D287" s="12" t="n">
        <x:v>3842.252</x:v>
      </x:c>
      <x:c r="E287" s="12" t="n">
        <x:v>3816.8225</x:v>
      </x:c>
      <x:c r="F287" s="12" t="n">
        <x:v>3837.7304</x:v>
      </x:c>
      <x:c r="G287" s="12" t="n">
        <x:v>3837.8176</x:v>
      </x:c>
      <x:c r="H287" s="12" t="n">
        <x:v>-0.0872</x:v>
      </x:c>
      <x:c r="I287" s="12" t="n">
        <x:v>-0.0023</x:v>
      </x:c>
      <x:c r="J287" s="12" t="n">
        <x:v>-0.000022721504706530016</x:v>
      </x:c>
      <x:c r="K287" s="12" t="n">
        <x:v>100619802</x:v>
      </x:c>
      <x:c r="L287" s="12" t="n">
        <x:v>128360894.859</x:v>
      </x:c>
      <x:c r="M287" s="12" t="str">
        <x:v>TuShare index_daily</x:v>
      </x:c>
    </x:row>
    <x:row r="288" ht="18" customHeight="1">
      <x:c r="A288" s="13" t="n">
        <x:v>43003</x:v>
      </x:c>
      <x:c r="B288" s="12" t="str">
        <x:v>000300.SH</x:v>
      </x:c>
      <x:c r="C288" s="12" t="n">
        <x:v>3829.219</x:v>
      </x:c>
      <x:c r="D288" s="12" t="n">
        <x:v>3835.3894</x:v>
      </x:c>
      <x:c r="E288" s="12" t="n">
        <x:v>3811.1192</x:v>
      </x:c>
      <x:c r="F288" s="12" t="n">
        <x:v>3817.7915</x:v>
      </x:c>
      <x:c r="G288" s="12" t="n">
        <x:v>3837.7304</x:v>
      </x:c>
      <x:c r="H288" s="12" t="n">
        <x:v>-19.9389</x:v>
      </x:c>
      <x:c r="I288" s="12" t="n">
        <x:v>-0.5195</x:v>
      </x:c>
      <x:c r="J288" s="12" t="n">
        <x:v>-0.005209036129921053</x:v>
      </x:c>
      <x:c r="K288" s="12" t="n">
        <x:v>103948976</x:v>
      </x:c>
      <x:c r="L288" s="12" t="n">
        <x:v>135980239.129</x:v>
      </x:c>
      <x:c r="M288" s="12" t="str">
        <x:v>TuShare index_daily</x:v>
      </x:c>
    </x:row>
    <x:row r="289" ht="18" customHeight="1">
      <x:c r="A289" s="13" t="n">
        <x:v>43004</x:v>
      </x:c>
      <x:c r="B289" s="12" t="str">
        <x:v>000300.SH</x:v>
      </x:c>
      <x:c r="C289" s="12" t="n">
        <x:v>3810.3333</x:v>
      </x:c>
      <x:c r="D289" s="12" t="n">
        <x:v>3821.6928</x:v>
      </x:c>
      <x:c r="E289" s="12" t="n">
        <x:v>3808.3827</x:v>
      </x:c>
      <x:c r="F289" s="12" t="n">
        <x:v>3820.7816</x:v>
      </x:c>
      <x:c r="G289" s="12" t="n">
        <x:v>3817.7915</x:v>
      </x:c>
      <x:c r="H289" s="12" t="n">
        <x:v>2.9901</x:v>
      </x:c>
      <x:c r="I289" s="12" t="n">
        <x:v>0.0783</x:v>
      </x:c>
      <x:c r="J289" s="12" t="n">
        <x:v>0.0007828949500334316</x:v>
      </x:c>
      <x:c r="K289" s="12" t="n">
        <x:v>81869407</x:v>
      </x:c>
      <x:c r="L289" s="12" t="n">
        <x:v>101036334.815</x:v>
      </x:c>
      <x:c r="M289" s="12" t="str">
        <x:v>TuShare index_daily</x:v>
      </x:c>
    </x:row>
    <x:row r="290" ht="18" customHeight="1">
      <x:c r="A290" s="13" t="n">
        <x:v>43005</x:v>
      </x:c>
      <x:c r="B290" s="12" t="str">
        <x:v>000300.SH</x:v>
      </x:c>
      <x:c r="C290" s="12" t="n">
        <x:v>3818.9646</x:v>
      </x:c>
      <x:c r="D290" s="12" t="n">
        <x:v>3832.566</x:v>
      </x:c>
      <x:c r="E290" s="12" t="n">
        <x:v>3818.8147</x:v>
      </x:c>
      <x:c r="F290" s="12" t="n">
        <x:v>3821.2</x:v>
      </x:c>
      <x:c r="G290" s="12" t="n">
        <x:v>3820.7816</x:v>
      </x:c>
      <x:c r="H290" s="12" t="n">
        <x:v>0.4184</x:v>
      </x:c>
      <x:c r="I290" s="12" t="n">
        <x:v>0.011</x:v>
      </x:c>
      <x:c r="J290" s="12" t="n">
        <x:v>0.00010950039461436072</x:v>
      </x:c>
      <x:c r="K290" s="12" t="n">
        <x:v>85655811</x:v>
      </x:c>
      <x:c r="L290" s="12" t="n">
        <x:v>109299492.247</x:v>
      </x:c>
      <x:c r="M290" s="12" t="str">
        <x:v>TuShare index_daily</x:v>
      </x:c>
    </x:row>
    <x:row r="291" ht="18" customHeight="1">
      <x:c r="A291" s="13" t="n">
        <x:v>43006</x:v>
      </x:c>
      <x:c r="B291" s="12" t="str">
        <x:v>000300.SH</x:v>
      </x:c>
      <x:c r="C291" s="12" t="n">
        <x:v>3821.5904</x:v>
      </x:c>
      <x:c r="D291" s="12" t="n">
        <x:v>3827.3308</x:v>
      </x:c>
      <x:c r="E291" s="12" t="n">
        <x:v>3813.7532</x:v>
      </x:c>
      <x:c r="F291" s="12" t="n">
        <x:v>3822.5386</x:v>
      </x:c>
      <x:c r="G291" s="12" t="n">
        <x:v>3821.2</x:v>
      </x:c>
      <x:c r="H291" s="12" t="n">
        <x:v>1.3386</x:v>
      </x:c>
      <x:c r="I291" s="12" t="n">
        <x:v>0.035</x:v>
      </x:c>
      <x:c r="J291" s="12" t="n">
        <x:v>0.00035024745971412797</x:v>
      </x:c>
      <x:c r="K291" s="12" t="n">
        <x:v>93544069</x:v>
      </x:c>
      <x:c r="L291" s="12" t="n">
        <x:v>115646338.522</x:v>
      </x:c>
      <x:c r="M291" s="12" t="str">
        <x:v>TuShare index_daily</x:v>
      </x:c>
    </x:row>
    <x:row r="292" ht="18" customHeight="1">
      <x:c r="A292" s="13" t="n">
        <x:v>43007</x:v>
      </x:c>
      <x:c r="B292" s="12" t="str">
        <x:v>000300.SH</x:v>
      </x:c>
      <x:c r="C292" s="12" t="n">
        <x:v>3825.2021</x:v>
      </x:c>
      <x:c r="D292" s="12" t="n">
        <x:v>3852.2236</x:v>
      </x:c>
      <x:c r="E292" s="12" t="n">
        <x:v>3825.2021</x:v>
      </x:c>
      <x:c r="F292" s="12" t="n">
        <x:v>3836.5013</x:v>
      </x:c>
      <x:c r="G292" s="12" t="n">
        <x:v>3822.5386</x:v>
      </x:c>
      <x:c r="H292" s="12" t="n">
        <x:v>13.9627</x:v>
      </x:c>
      <x:c r="I292" s="12" t="n">
        <x:v>0.3653</x:v>
      </x:c>
      <x:c r="J292" s="12" t="n">
        <x:v>0.003646074612610034</x:v>
      </x:c>
      <x:c r="K292" s="12" t="n">
        <x:v>93306028</x:v>
      </x:c>
      <x:c r="L292" s="12" t="n">
        <x:v>116056776.566</x:v>
      </x:c>
      <x:c r="M292" s="12" t="str">
        <x:v>TuShare index_daily</x:v>
      </x:c>
    </x:row>
    <x:row r="293" ht="18" customHeight="1">
      <x:c r="A293" s="13" t="n">
        <x:v>43017</x:v>
      </x:c>
      <x:c r="B293" s="12" t="str">
        <x:v>000300.SH</x:v>
      </x:c>
      <x:c r="C293" s="12" t="n">
        <x:v>3910.1149</x:v>
      </x:c>
      <x:c r="D293" s="12" t="n">
        <x:v>3918.8391</x:v>
      </x:c>
      <x:c r="E293" s="12" t="n">
        <x:v>3876.0322</x:v>
      </x:c>
      <x:c r="F293" s="12" t="n">
        <x:v>3882.2076</x:v>
      </x:c>
      <x:c r="G293" s="12" t="n">
        <x:v>3836.5013</x:v>
      </x:c>
      <x:c r="H293" s="12" t="n">
        <x:v>45.7063</x:v>
      </x:c>
      <x:c r="I293" s="12" t="n">
        <x:v>1.1914</x:v>
      </x:c>
      <x:c r="J293" s="12" t="n">
        <x:v>0.01184312941977477</x:v>
      </x:c>
      <x:c r="K293" s="12" t="n">
        <x:v>135535851</x:v>
      </x:c>
      <x:c r="L293" s="12" t="n">
        <x:v>171941460.832</x:v>
      </x:c>
      <x:c r="M293" s="12" t="str">
        <x:v>TuShare index_daily</x:v>
      </x:c>
    </x:row>
    <x:row r="294" ht="18" customHeight="1">
      <x:c r="A294" s="13" t="n">
        <x:v>43018</x:v>
      </x:c>
      <x:c r="B294" s="12" t="str">
        <x:v>000300.SH</x:v>
      </x:c>
      <x:c r="C294" s="12" t="n">
        <x:v>3883.0037</x:v>
      </x:c>
      <x:c r="D294" s="12" t="n">
        <x:v>3900.7418</x:v>
      </x:c>
      <x:c r="E294" s="12" t="n">
        <x:v>3855.4666</x:v>
      </x:c>
      <x:c r="F294" s="12" t="n">
        <x:v>3889.8637</x:v>
      </x:c>
      <x:c r="G294" s="12" t="n">
        <x:v>3882.2076</x:v>
      </x:c>
      <x:c r="H294" s="12" t="n">
        <x:v>7.6561</x:v>
      </x:c>
      <x:c r="I294" s="12" t="n">
        <x:v>0.1972</x:v>
      </x:c>
      <x:c r="J294" s="12" t="n">
        <x:v>0.001970157550263779</x:v>
      </x:c>
      <x:c r="K294" s="12" t="n">
        <x:v>112532586</x:v>
      </x:c>
      <x:c r="L294" s="12" t="n">
        <x:v>157979737.603</x:v>
      </x:c>
      <x:c r="M294" s="12" t="str">
        <x:v>TuShare index_daily</x:v>
      </x:c>
    </x:row>
    <x:row r="295" ht="18" customHeight="1">
      <x:c r="A295" s="13" t="n">
        <x:v>43019</x:v>
      </x:c>
      <x:c r="B295" s="12" t="str">
        <x:v>000300.SH</x:v>
      </x:c>
      <x:c r="C295" s="12" t="n">
        <x:v>3886.8184</x:v>
      </x:c>
      <x:c r="D295" s="12" t="n">
        <x:v>3913.0695</x:v>
      </x:c>
      <x:c r="E295" s="12" t="n">
        <x:v>3885.497</x:v>
      </x:c>
      <x:c r="F295" s="12" t="n">
        <x:v>3902.6868</x:v>
      </x:c>
      <x:c r="G295" s="12" t="n">
        <x:v>3889.8637</x:v>
      </x:c>
      <x:c r="H295" s="12" t="n">
        <x:v>12.8231</x:v>
      </x:c>
      <x:c r="I295" s="12" t="n">
        <x:v>0.3297</x:v>
      </x:c>
      <x:c r="J295" s="12" t="n">
        <x:v>0.003291120557876686</x:v>
      </x:c>
      <x:c r="K295" s="12" t="n">
        <x:v>104418151</x:v>
      </x:c>
      <x:c r="L295" s="12" t="n">
        <x:v>144152740.056</x:v>
      </x:c>
      <x:c r="M295" s="12" t="str">
        <x:v>TuShare index_daily</x:v>
      </x:c>
    </x:row>
    <x:row r="296" ht="18" customHeight="1">
      <x:c r="A296" s="13" t="n">
        <x:v>43020</x:v>
      </x:c>
      <x:c r="B296" s="12" t="str">
        <x:v>000300.SH</x:v>
      </x:c>
      <x:c r="C296" s="12" t="n">
        <x:v>3902.0156</x:v>
      </x:c>
      <x:c r="D296" s="12" t="n">
        <x:v>3917.4435</x:v>
      </x:c>
      <x:c r="E296" s="12" t="n">
        <x:v>3897.5472</x:v>
      </x:c>
      <x:c r="F296" s="12" t="n">
        <x:v>3912.9536</x:v>
      </x:c>
      <x:c r="G296" s="12" t="n">
        <x:v>3902.6868</x:v>
      </x:c>
      <x:c r="H296" s="12" t="n">
        <x:v>10.2668</x:v>
      </x:c>
      <x:c r="I296" s="12" t="n">
        <x:v>0.2631</x:v>
      </x:c>
      <x:c r="J296" s="12" t="n">
        <x:v>0.002627246234481852</x:v>
      </x:c>
      <x:c r="K296" s="12" t="n">
        <x:v>94340921</x:v>
      </x:c>
      <x:c r="L296" s="12" t="n">
        <x:v>123147248.618</x:v>
      </x:c>
      <x:c r="M296" s="12" t="str">
        <x:v>TuShare index_daily</x:v>
      </x:c>
    </x:row>
    <x:row r="297" ht="18" customHeight="1">
      <x:c r="A297" s="13" t="n">
        <x:v>43021</x:v>
      </x:c>
      <x:c r="B297" s="12" t="str">
        <x:v>000300.SH</x:v>
      </x:c>
      <x:c r="C297" s="12" t="n">
        <x:v>3912.975</x:v>
      </x:c>
      <x:c r="D297" s="12" t="n">
        <x:v>3927.1744</x:v>
      </x:c>
      <x:c r="E297" s="12" t="n">
        <x:v>3908.8885</x:v>
      </x:c>
      <x:c r="F297" s="12" t="n">
        <x:v>3921.0017</x:v>
      </x:c>
      <x:c r="G297" s="12" t="n">
        <x:v>3912.9536</x:v>
      </x:c>
      <x:c r="H297" s="12" t="n">
        <x:v>8.0481</x:v>
      </x:c>
      <x:c r="I297" s="12" t="n">
        <x:v>0.2057</x:v>
      </x:c>
      <x:c r="J297" s="12" t="n">
        <x:v>0.0020546716245297427</x:v>
      </x:c>
      <x:c r="K297" s="12" t="n">
        <x:v>90142068</x:v>
      </x:c>
      <x:c r="L297" s="12" t="n">
        <x:v>114314854.703</x:v>
      </x:c>
      <x:c r="M297" s="12" t="str">
        <x:v>TuShare index_daily</x:v>
      </x:c>
    </x:row>
    <x:row r="298" ht="18" customHeight="1">
      <x:c r="A298" s="13" t="n">
        <x:v>43024</x:v>
      </x:c>
      <x:c r="B298" s="12" t="str">
        <x:v>000300.SH</x:v>
      </x:c>
      <x:c r="C298" s="12" t="n">
        <x:v>3926.2754</x:v>
      </x:c>
      <x:c r="D298" s="12" t="n">
        <x:v>3947.4239</x:v>
      </x:c>
      <x:c r="E298" s="12" t="n">
        <x:v>3913.3224</x:v>
      </x:c>
      <x:c r="F298" s="12" t="n">
        <x:v>3913.4462</x:v>
      </x:c>
      <x:c r="G298" s="12" t="n">
        <x:v>3921.0017</x:v>
      </x:c>
      <x:c r="H298" s="12" t="n">
        <x:v>-7.5555</x:v>
      </x:c>
      <x:c r="I298" s="12" t="n">
        <x:v>-0.1927</x:v>
      </x:c>
      <x:c r="J298" s="12" t="n">
        <x:v>-0.0019287899897451727</x:v>
      </x:c>
      <x:c r="K298" s="12" t="n">
        <x:v>121355033</x:v>
      </x:c>
      <x:c r="L298" s="12" t="n">
        <x:v>150823756.592</x:v>
      </x:c>
      <x:c r="M298" s="12" t="str">
        <x:v>TuShare index_daily</x:v>
      </x:c>
    </x:row>
    <x:row r="299" ht="18" customHeight="1">
      <x:c r="A299" s="13" t="n">
        <x:v>43025</x:v>
      </x:c>
      <x:c r="B299" s="12" t="str">
        <x:v>000300.SH</x:v>
      </x:c>
      <x:c r="C299" s="12" t="n">
        <x:v>3910.7894</x:v>
      </x:c>
      <x:c r="D299" s="12" t="n">
        <x:v>3924.6141</x:v>
      </x:c>
      <x:c r="E299" s="12" t="n">
        <x:v>3900.4758</x:v>
      </x:c>
      <x:c r="F299" s="12" t="n">
        <x:v>3913.0688</x:v>
      </x:c>
      <x:c r="G299" s="12" t="n">
        <x:v>3913.4462</x:v>
      </x:c>
      <x:c r="H299" s="12" t="n">
        <x:v>-0.3774</x:v>
      </x:c>
      <x:c r="I299" s="12" t="n">
        <x:v>-0.0096</x:v>
      </x:c>
      <x:c r="J299" s="12" t="n">
        <x:v>-0.00009644139193307079</x:v>
      </x:c>
      <x:c r="K299" s="12" t="n">
        <x:v>82241227</x:v>
      </x:c>
      <x:c r="L299" s="12" t="n">
        <x:v>106708451.684</x:v>
      </x:c>
      <x:c r="M299" s="12" t="str">
        <x:v>TuShare index_daily</x:v>
      </x:c>
    </x:row>
    <x:row r="300" ht="18" customHeight="1">
      <x:c r="A300" s="13" t="n">
        <x:v>43026</x:v>
      </x:c>
      <x:c r="B300" s="12" t="str">
        <x:v>000300.SH</x:v>
      </x:c>
      <x:c r="C300" s="12" t="n">
        <x:v>3914.8152</x:v>
      </x:c>
      <x:c r="D300" s="12" t="n">
        <x:v>3944.4106</x:v>
      </x:c>
      <x:c r="E300" s="12" t="n">
        <x:v>3914.8152</x:v>
      </x:c>
      <x:c r="F300" s="12" t="n">
        <x:v>3944.1626</x:v>
      </x:c>
      <x:c r="G300" s="12" t="n">
        <x:v>3913.0688</x:v>
      </x:c>
      <x:c r="H300" s="12" t="n">
        <x:v>31.0938</x:v>
      </x:c>
      <x:c r="I300" s="12" t="n">
        <x:v>0.7946</x:v>
      </x:c>
      <x:c r="J300" s="12" t="n">
        <x:v>0.007914737579810524</x:v>
      </x:c>
      <x:c r="K300" s="12" t="n">
        <x:v>100969841</x:v>
      </x:c>
      <x:c r="L300" s="12" t="n">
        <x:v>126420379.66</x:v>
      </x:c>
      <x:c r="M300" s="12" t="str">
        <x:v>TuShare index_daily</x:v>
      </x:c>
    </x:row>
    <x:row r="301" ht="18" customHeight="1">
      <x:c r="A301" s="13" t="n">
        <x:v>43027</x:v>
      </x:c>
      <x:c r="B301" s="12" t="str">
        <x:v>000300.SH</x:v>
      </x:c>
      <x:c r="C301" s="12" t="n">
        <x:v>3940.5831</x:v>
      </x:c>
      <x:c r="D301" s="12" t="n">
        <x:v>3944.0349</x:v>
      </x:c>
      <x:c r="E301" s="12" t="n">
        <x:v>3923.6455</x:v>
      </x:c>
      <x:c r="F301" s="12" t="n">
        <x:v>3931.2495</x:v>
      </x:c>
      <x:c r="G301" s="12" t="n">
        <x:v>3944.1626</x:v>
      </x:c>
      <x:c r="H301" s="12" t="n">
        <x:v>-12.9131</x:v>
      </x:c>
      <x:c r="I301" s="12" t="n">
        <x:v>-0.3274</x:v>
      </x:c>
      <x:c r="J301" s="12" t="n">
        <x:v>-0.0032793487905036084</x:v>
      </x:c>
      <x:c r="K301" s="12" t="n">
        <x:v>106527252</x:v>
      </x:c>
      <x:c r="L301" s="12" t="n">
        <x:v>133189855.169</x:v>
      </x:c>
      <x:c r="M301" s="12" t="str">
        <x:v>TuShare index_daily</x:v>
      </x:c>
    </x:row>
    <x:row r="302" ht="18" customHeight="1">
      <x:c r="A302" s="13" t="n">
        <x:v>43028</x:v>
      </x:c>
      <x:c r="B302" s="12" t="str">
        <x:v>000300.SH</x:v>
      </x:c>
      <x:c r="C302" s="12" t="n">
        <x:v>3918.5265</x:v>
      </x:c>
      <x:c r="D302" s="12" t="n">
        <x:v>3928.9607</x:v>
      </x:c>
      <x:c r="E302" s="12" t="n">
        <x:v>3910.1974</x:v>
      </x:c>
      <x:c r="F302" s="12" t="n">
        <x:v>3926.852</x:v>
      </x:c>
      <x:c r="G302" s="12" t="n">
        <x:v>3931.2495</x:v>
      </x:c>
      <x:c r="H302" s="12" t="n">
        <x:v>-4.3975</x:v>
      </x:c>
      <x:c r="I302" s="12" t="n">
        <x:v>-0.1119</x:v>
      </x:c>
      <x:c r="J302" s="12" t="n">
        <x:v>-0.0011192271973201407</x:v>
      </x:c>
      <x:c r="K302" s="12" t="n">
        <x:v>72980180</x:v>
      </x:c>
      <x:c r="L302" s="12" t="n">
        <x:v>94529636.639</x:v>
      </x:c>
      <x:c r="M302" s="12" t="str">
        <x:v>TuShare index_daily</x:v>
      </x:c>
    </x:row>
    <x:row r="303" ht="18" customHeight="1">
      <x:c r="A303" s="13" t="n">
        <x:v>43031</x:v>
      </x:c>
      <x:c r="B303" s="12" t="str">
        <x:v>000300.SH</x:v>
      </x:c>
      <x:c r="C303" s="12" t="n">
        <x:v>3930.8914</x:v>
      </x:c>
      <x:c r="D303" s="12" t="n">
        <x:v>3936.2729</x:v>
      </x:c>
      <x:c r="E303" s="12" t="n">
        <x:v>3920.6562</x:v>
      </x:c>
      <x:c r="F303" s="12" t="n">
        <x:v>3930.7981</x:v>
      </x:c>
      <x:c r="G303" s="12" t="n">
        <x:v>3926.852</x:v>
      </x:c>
      <x:c r="H303" s="12" t="n">
        <x:v>3.9461</x:v>
      </x:c>
      <x:c r="I303" s="12" t="n">
        <x:v>0.1005</x:v>
      </x:c>
      <x:c r="J303" s="12" t="n">
        <x:v>0.0010043970605767502</x:v>
      </x:c>
      <x:c r="K303" s="12" t="n">
        <x:v>81484980</x:v>
      </x:c>
      <x:c r="L303" s="12" t="n">
        <x:v>100280911.371</x:v>
      </x:c>
      <x:c r="M303" s="12" t="str">
        <x:v>TuShare index_daily</x:v>
      </x:c>
    </x:row>
    <x:row r="304" ht="18" customHeight="1">
      <x:c r="A304" s="13" t="n">
        <x:v>43032</x:v>
      </x:c>
      <x:c r="B304" s="12" t="str">
        <x:v>000300.SH</x:v>
      </x:c>
      <x:c r="C304" s="12" t="n">
        <x:v>3926.2299</x:v>
      </x:c>
      <x:c r="D304" s="12" t="n">
        <x:v>3959.4951</x:v>
      </x:c>
      <x:c r="E304" s="12" t="n">
        <x:v>3922.0288</x:v>
      </x:c>
      <x:c r="F304" s="12" t="n">
        <x:v>3959.3953</x:v>
      </x:c>
      <x:c r="G304" s="12" t="n">
        <x:v>3930.7981</x:v>
      </x:c>
      <x:c r="H304" s="12" t="n">
        <x:v>28.5972</x:v>
      </x:c>
      <x:c r="I304" s="12" t="n">
        <x:v>0.7275</x:v>
      </x:c>
      <x:c r="J304" s="12" t="n">
        <x:v>0.007248827442194198</x:v>
      </x:c>
      <x:c r="K304" s="12" t="n">
        <x:v>93058154</x:v>
      </x:c>
      <x:c r="L304" s="12" t="n">
        <x:v>120192150.584</x:v>
      </x:c>
      <x:c r="M304" s="12" t="str">
        <x:v>TuShare index_daily</x:v>
      </x:c>
    </x:row>
    <x:row r="305" ht="18" customHeight="1">
      <x:c r="A305" s="13" t="n">
        <x:v>43033</x:v>
      </x:c>
      <x:c r="B305" s="12" t="str">
        <x:v>000300.SH</x:v>
      </x:c>
      <x:c r="C305" s="12" t="n">
        <x:v>3958.1669</x:v>
      </x:c>
      <x:c r="D305" s="12" t="n">
        <x:v>3978.0893</x:v>
      </x:c>
      <x:c r="E305" s="12" t="n">
        <x:v>3954.0011</x:v>
      </x:c>
      <x:c r="F305" s="12" t="n">
        <x:v>3976.949</x:v>
      </x:c>
      <x:c r="G305" s="12" t="n">
        <x:v>3959.3953</x:v>
      </x:c>
      <x:c r="H305" s="12" t="n">
        <x:v>17.5537</x:v>
      </x:c>
      <x:c r="I305" s="12" t="n">
        <x:v>0.4433</x:v>
      </x:c>
      <x:c r="J305" s="12" t="n">
        <x:v>0.004423630820797213</x:v>
      </x:c>
      <x:c r="K305" s="12" t="n">
        <x:v>88205458</x:v>
      </x:c>
      <x:c r="L305" s="12" t="n">
        <x:v>106820309.535</x:v>
      </x:c>
      <x:c r="M305" s="12" t="str">
        <x:v>TuShare index_daily</x:v>
      </x:c>
    </x:row>
    <x:row r="306" ht="18" customHeight="1">
      <x:c r="A306" s="13" t="n">
        <x:v>43034</x:v>
      </x:c>
      <x:c r="B306" s="12" t="str">
        <x:v>000300.SH</x:v>
      </x:c>
      <x:c r="C306" s="12" t="n">
        <x:v>3980.0479</x:v>
      </x:c>
      <x:c r="D306" s="12" t="n">
        <x:v>4013.5988</x:v>
      </x:c>
      <x:c r="E306" s="12" t="n">
        <x:v>3973.5535</x:v>
      </x:c>
      <x:c r="F306" s="12" t="n">
        <x:v>3993.5752</x:v>
      </x:c>
      <x:c r="G306" s="12" t="n">
        <x:v>3976.949</x:v>
      </x:c>
      <x:c r="H306" s="12" t="n">
        <x:v>16.6262</x:v>
      </x:c>
      <x:c r="I306" s="12" t="n">
        <x:v>0.4181</x:v>
      </x:c>
      <x:c r="J306" s="12" t="n">
        <x:v>0.004171927390893789</x:v>
      </x:c>
      <x:c r="K306" s="12" t="n">
        <x:v>129895465</x:v>
      </x:c>
      <x:c r="L306" s="12" t="n">
        <x:v>170488618.587</x:v>
      </x:c>
      <x:c r="M306" s="12" t="str">
        <x:v>TuShare index_daily</x:v>
      </x:c>
    </x:row>
    <x:row r="307" ht="18" customHeight="1">
      <x:c r="A307" s="13" t="n">
        <x:v>43035</x:v>
      </x:c>
      <x:c r="B307" s="12" t="str">
        <x:v>000300.SH</x:v>
      </x:c>
      <x:c r="C307" s="12" t="n">
        <x:v>3992.5539</x:v>
      </x:c>
      <x:c r="D307" s="12" t="n">
        <x:v>4024.4645</x:v>
      </x:c>
      <x:c r="E307" s="12" t="n">
        <x:v>3991.354</x:v>
      </x:c>
      <x:c r="F307" s="12" t="n">
        <x:v>4021.9676</x:v>
      </x:c>
      <x:c r="G307" s="12" t="n">
        <x:v>3993.5752</x:v>
      </x:c>
      <x:c r="H307" s="12" t="n">
        <x:v>28.3924</x:v>
      </x:c>
      <x:c r="I307" s="12" t="n">
        <x:v>0.711</x:v>
      </x:c>
      <x:c r="J307" s="12" t="n">
        <x:v>0.0070843658265906375</x:v>
      </x:c>
      <x:c r="K307" s="12" t="n">
        <x:v>126672846</x:v>
      </x:c>
      <x:c r="L307" s="12" t="n">
        <x:v>152974831.071</x:v>
      </x:c>
      <x:c r="M307" s="12" t="str">
        <x:v>TuShare index_daily</x:v>
      </x:c>
    </x:row>
    <x:row r="308" ht="18" customHeight="1">
      <x:c r="A308" s="13" t="n">
        <x:v>43038</x:v>
      </x:c>
      <x:c r="B308" s="12" t="str">
        <x:v>000300.SH</x:v>
      </x:c>
      <x:c r="C308" s="12" t="n">
        <x:v>4022.1641</x:v>
      </x:c>
      <x:c r="D308" s="12" t="n">
        <x:v>4033.3394</x:v>
      </x:c>
      <x:c r="E308" s="12" t="n">
        <x:v>3960.2698</x:v>
      </x:c>
      <x:c r="F308" s="12" t="n">
        <x:v>4009.7218</x:v>
      </x:c>
      <x:c r="G308" s="12" t="n">
        <x:v>4021.9676</x:v>
      </x:c>
      <x:c r="H308" s="12" t="n">
        <x:v>-12.2458</x:v>
      </x:c>
      <x:c r="I308" s="12" t="n">
        <x:v>-0.3045</x:v>
      </x:c>
      <x:c r="J308" s="12" t="n">
        <x:v>-0.0030493732711187656</x:v>
      </x:c>
      <x:c r="K308" s="12" t="n">
        <x:v>157387603</x:v>
      </x:c>
      <x:c r="L308" s="12" t="n">
        <x:v>193489838.439</x:v>
      </x:c>
      <x:c r="M308" s="12" t="str">
        <x:v>TuShare index_daily</x:v>
      </x:c>
    </x:row>
    <x:row r="309" ht="18" customHeight="1">
      <x:c r="A309" s="13" t="n">
        <x:v>43039</x:v>
      </x:c>
      <x:c r="B309" s="12" t="str">
        <x:v>000300.SH</x:v>
      </x:c>
      <x:c r="C309" s="12" t="n">
        <x:v>3995.3935</x:v>
      </x:c>
      <x:c r="D309" s="12" t="n">
        <x:v>4009.2828</x:v>
      </x:c>
      <x:c r="E309" s="12" t="n">
        <x:v>3983.2565</x:v>
      </x:c>
      <x:c r="F309" s="12" t="n">
        <x:v>4006.7179</x:v>
      </x:c>
      <x:c r="G309" s="12" t="n">
        <x:v>4009.7218</x:v>
      </x:c>
      <x:c r="H309" s="12" t="n">
        <x:v>-3.0039</x:v>
      </x:c>
      <x:c r="I309" s="12" t="n">
        <x:v>-0.0749</x:v>
      </x:c>
      <x:c r="J309" s="12" t="n">
        <x:v>-0.0007494349743803357</x:v>
      </x:c>
      <x:c r="K309" s="12" t="n">
        <x:v>109178779</x:v>
      </x:c>
      <x:c r="L309" s="12" t="n">
        <x:v>142897206.949</x:v>
      </x:c>
      <x:c r="M309" s="12" t="str">
        <x:v>TuShare index_daily</x:v>
      </x:c>
    </x:row>
    <x:row r="310" ht="18" customHeight="1">
      <x:c r="A310" s="13" t="n">
        <x:v>43040</x:v>
      </x:c>
      <x:c r="B310" s="12" t="str">
        <x:v>000300.SH</x:v>
      </x:c>
      <x:c r="C310" s="12" t="n">
        <x:v>4007.9116</x:v>
      </x:c>
      <x:c r="D310" s="12" t="n">
        <x:v>4032.4581</x:v>
      </x:c>
      <x:c r="E310" s="12" t="n">
        <x:v>3991.3235</x:v>
      </x:c>
      <x:c r="F310" s="12" t="n">
        <x:v>3996.6221</x:v>
      </x:c>
      <x:c r="G310" s="12" t="n">
        <x:v>4006.7179</x:v>
      </x:c>
      <x:c r="H310" s="12" t="n">
        <x:v>-10.0958</x:v>
      </x:c>
      <x:c r="I310" s="12" t="n">
        <x:v>-0.252</x:v>
      </x:c>
      <x:c r="J310" s="12" t="n">
        <x:v>-0.002522898028820987</x:v>
      </x:c>
      <x:c r="K310" s="12" t="n">
        <x:v>130417380</x:v>
      </x:c>
      <x:c r="L310" s="12" t="n">
        <x:v>166477138.571</x:v>
      </x:c>
      <x:c r="M310" s="12" t="str">
        <x:v>TuShare index_daily</x:v>
      </x:c>
    </x:row>
    <x:row r="311" ht="18" customHeight="1">
      <x:c r="A311" s="13" t="n">
        <x:v>43041</x:v>
      </x:c>
      <x:c r="B311" s="12" t="str">
        <x:v>000300.SH</x:v>
      </x:c>
      <x:c r="C311" s="12" t="n">
        <x:v>3994.0946</x:v>
      </x:c>
      <x:c r="D311" s="12" t="n">
        <x:v>3999.2262</x:v>
      </x:c>
      <x:c r="E311" s="12" t="n">
        <x:v>3971.3761</x:v>
      </x:c>
      <x:c r="F311" s="12" t="n">
        <x:v>3997.1343</x:v>
      </x:c>
      <x:c r="G311" s="12" t="n">
        <x:v>3996.6221</x:v>
      </x:c>
      <x:c r="H311" s="12" t="n">
        <x:v>0.5122</x:v>
      </x:c>
      <x:c r="I311" s="12" t="n">
        <x:v>0.0128</x:v>
      </x:c>
      <x:c r="J311" s="12" t="n">
        <x:v>0.00012815001485439733</x:v>
      </x:c>
      <x:c r="K311" s="12" t="n">
        <x:v>126100579</x:v>
      </x:c>
      <x:c r="L311" s="12" t="n">
        <x:v>151981363.64</x:v>
      </x:c>
      <x:c r="M311" s="12" t="str">
        <x:v>TuShare index_daily</x:v>
      </x:c>
    </x:row>
    <x:row r="312" ht="18" customHeight="1">
      <x:c r="A312" s="13" t="n">
        <x:v>43042</x:v>
      </x:c>
      <x:c r="B312" s="12" t="str">
        <x:v>000300.SH</x:v>
      </x:c>
      <x:c r="C312" s="12" t="n">
        <x:v>3992.3496</x:v>
      </x:c>
      <x:c r="D312" s="12" t="n">
        <x:v>3999.3373</x:v>
      </x:c>
      <x:c r="E312" s="12" t="n">
        <x:v>3963.0263</x:v>
      </x:c>
      <x:c r="F312" s="12" t="n">
        <x:v>3992.6979</x:v>
      </x:c>
      <x:c r="G312" s="12" t="n">
        <x:v>3997.1343</x:v>
      </x:c>
      <x:c r="H312" s="12" t="n">
        <x:v>-4.4364</x:v>
      </x:c>
      <x:c r="I312" s="12" t="n">
        <x:v>-0.111</x:v>
      </x:c>
      <x:c r="J312" s="12" t="n">
        <x:v>-0.001110511546394529</x:v>
      </x:c>
      <x:c r="K312" s="12" t="n">
        <x:v>129404439</x:v>
      </x:c>
      <x:c r="L312" s="12" t="n">
        <x:v>158142056.585</x:v>
      </x:c>
      <x:c r="M312" s="12" t="str">
        <x:v>TuShare index_daily</x:v>
      </x:c>
    </x:row>
    <x:row r="313" ht="18" customHeight="1">
      <x:c r="A313" s="13" t="n">
        <x:v>43045</x:v>
      </x:c>
      <x:c r="B313" s="12" t="str">
        <x:v>000300.SH</x:v>
      </x:c>
      <x:c r="C313" s="12" t="n">
        <x:v>3989.1824</x:v>
      </x:c>
      <x:c r="D313" s="12" t="n">
        <x:v>4021.6382</x:v>
      </x:c>
      <x:c r="E313" s="12" t="n">
        <x:v>3975.4069</x:v>
      </x:c>
      <x:c r="F313" s="12" t="n">
        <x:v>4020.8896</x:v>
      </x:c>
      <x:c r="G313" s="12" t="n">
        <x:v>3992.6979</x:v>
      </x:c>
      <x:c r="H313" s="12" t="n">
        <x:v>28.1917</x:v>
      </x:c>
      <x:c r="I313" s="12" t="n">
        <x:v>0.7061</x:v>
      </x:c>
      <x:c r="J313" s="12" t="n">
        <x:v>0.007036003862998055</x:v>
      </x:c>
      <x:c r="K313" s="12" t="n">
        <x:v>122081159</x:v>
      </x:c>
      <x:c r="L313" s="12" t="n">
        <x:v>158911861.111</x:v>
      </x:c>
      <x:c r="M313" s="12" t="str">
        <x:v>TuShare index_daily</x:v>
      </x:c>
    </x:row>
    <x:row r="314" ht="18" customHeight="1">
      <x:c r="A314" s="13" t="n">
        <x:v>43046</x:v>
      </x:c>
      <x:c r="B314" s="12" t="str">
        <x:v>000300.SH</x:v>
      </x:c>
      <x:c r="C314" s="12" t="n">
        <x:v>4022.4018</x:v>
      </x:c>
      <x:c r="D314" s="12" t="n">
        <x:v>4064.2178</x:v>
      </x:c>
      <x:c r="E314" s="12" t="n">
        <x:v>4021.3639</x:v>
      </x:c>
      <x:c r="F314" s="12" t="n">
        <x:v>4054.2465</x:v>
      </x:c>
      <x:c r="G314" s="12" t="n">
        <x:v>4020.8896</x:v>
      </x:c>
      <x:c r="H314" s="12" t="n">
        <x:v>33.3569</x:v>
      </x:c>
      <x:c r="I314" s="12" t="n">
        <x:v>0.8296</x:v>
      </x:c>
      <x:c r="J314" s="12" t="n">
        <x:v>0.008261678643900625</x:v>
      </x:c>
      <x:c r="K314" s="12" t="n">
        <x:v>152116663</x:v>
      </x:c>
      <x:c r="L314" s="12" t="n">
        <x:v>193990974.032</x:v>
      </x:c>
      <x:c r="M314" s="12" t="str">
        <x:v>TuShare index_daily</x:v>
      </x:c>
    </x:row>
    <x:row r="315" ht="18" customHeight="1">
      <x:c r="A315" s="13" t="n">
        <x:v>43047</x:v>
      </x:c>
      <x:c r="B315" s="12" t="str">
        <x:v>000300.SH</x:v>
      </x:c>
      <x:c r="C315" s="12" t="n">
        <x:v>4051.4935</x:v>
      </x:c>
      <x:c r="D315" s="12" t="n">
        <x:v>4089.1457</x:v>
      </x:c>
      <x:c r="E315" s="12" t="n">
        <x:v>4040.5772</x:v>
      </x:c>
      <x:c r="F315" s="12" t="n">
        <x:v>4048.0057</x:v>
      </x:c>
      <x:c r="G315" s="12" t="n">
        <x:v>4054.2465</x:v>
      </x:c>
      <x:c r="H315" s="12" t="n">
        <x:v>-6.2408</x:v>
      </x:c>
      <x:c r="I315" s="12" t="n">
        <x:v>-0.1539</x:v>
      </x:c>
      <x:c r="J315" s="12" t="n">
        <x:v>-0.0015405102384266635</x:v>
      </x:c>
      <x:c r="K315" s="12" t="n">
        <x:v>150827719</x:v>
      </x:c>
      <x:c r="L315" s="12" t="n">
        <x:v>200949740.671</x:v>
      </x:c>
      <x:c r="M315" s="12" t="str">
        <x:v>TuShare index_daily</x:v>
      </x:c>
    </x:row>
    <x:row r="316" ht="18" customHeight="1">
      <x:c r="A316" s="13" t="n">
        <x:v>43048</x:v>
      </x:c>
      <x:c r="B316" s="12" t="str">
        <x:v>000300.SH</x:v>
      </x:c>
      <x:c r="C316" s="12" t="n">
        <x:v>4043.0663</x:v>
      </x:c>
      <x:c r="D316" s="12" t="n">
        <x:v>4076.6102</x:v>
      </x:c>
      <x:c r="E316" s="12" t="n">
        <x:v>4038.4004</x:v>
      </x:c>
      <x:c r="F316" s="12" t="n">
        <x:v>4075.8998</x:v>
      </x:c>
      <x:c r="G316" s="12" t="n">
        <x:v>4048.0057</x:v>
      </x:c>
      <x:c r="H316" s="12" t="n">
        <x:v>27.8941</x:v>
      </x:c>
      <x:c r="I316" s="12" t="n">
        <x:v>0.6891</x:v>
      </x:c>
      <x:c r="J316" s="12" t="n">
        <x:v>0.006867192046937809</x:v>
      </x:c>
      <x:c r="K316" s="12" t="n">
        <x:v>121056335</x:v>
      </x:c>
      <x:c r="L316" s="12" t="n">
        <x:v>159247198.176</x:v>
      </x:c>
      <x:c r="M316" s="12" t="str">
        <x:v>TuShare index_daily</x:v>
      </x:c>
    </x:row>
    <x:row r="317" ht="18" customHeight="1">
      <x:c r="A317" s="13" t="n">
        <x:v>43049</x:v>
      </x:c>
      <x:c r="B317" s="12" t="str">
        <x:v>000300.SH</x:v>
      </x:c>
      <x:c r="C317" s="12" t="n">
        <x:v>4070.2763</x:v>
      </x:c>
      <x:c r="D317" s="12" t="n">
        <x:v>4116.7142</x:v>
      </x:c>
      <x:c r="E317" s="12" t="n">
        <x:v>4067.657</x:v>
      </x:c>
      <x:c r="F317" s="12" t="n">
        <x:v>4111.9112</x:v>
      </x:c>
      <x:c r="G317" s="12" t="n">
        <x:v>4075.8998</x:v>
      </x:c>
      <x:c r="H317" s="12" t="n">
        <x:v>36.0114</x:v>
      </x:c>
      <x:c r="I317" s="12" t="n">
        <x:v>0.8835</x:v>
      </x:c>
      <x:c r="J317" s="12" t="n">
        <x:v>0.008796400455064404</x:v>
      </x:c>
      <x:c r="K317" s="12" t="n">
        <x:v>141817165</x:v>
      </x:c>
      <x:c r="L317" s="12" t="n">
        <x:v>198869833.811</x:v>
      </x:c>
      <x:c r="M317" s="12" t="str">
        <x:v>TuShare index_daily</x:v>
      </x:c>
    </x:row>
    <x:row r="318" ht="18" customHeight="1">
      <x:c r="A318" s="13" t="n">
        <x:v>43052</x:v>
      </x:c>
      <x:c r="B318" s="12" t="str">
        <x:v>000300.SH</x:v>
      </x:c>
      <x:c r="C318" s="12" t="n">
        <x:v>4115.5507</x:v>
      </x:c>
      <x:c r="D318" s="12" t="n">
        <x:v>4137.6455</x:v>
      </x:c>
      <x:c r="E318" s="12" t="n">
        <x:v>4115.5507</x:v>
      </x:c>
      <x:c r="F318" s="12" t="n">
        <x:v>4128.0733</x:v>
      </x:c>
      <x:c r="G318" s="12" t="n">
        <x:v>4111.9112</x:v>
      </x:c>
      <x:c r="H318" s="12" t="n">
        <x:v>16.1621</x:v>
      </x:c>
      <x:c r="I318" s="12" t="n">
        <x:v>0.3931</x:v>
      </x:c>
      <x:c r="J318" s="12" t="n">
        <x:v>0.0039228522156154084</x:v>
      </x:c>
      <x:c r="K318" s="12" t="n">
        <x:v>151446309</x:v>
      </x:c>
      <x:c r="L318" s="12" t="n">
        <x:v>205930794.541</x:v>
      </x:c>
      <x:c r="M318" s="12" t="str">
        <x:v>TuShare index_daily</x:v>
      </x:c>
    </x:row>
    <x:row r="319" ht="18" customHeight="1">
      <x:c r="A319" s="13" t="n">
        <x:v>43053</x:v>
      </x:c>
      <x:c r="B319" s="12" t="str">
        <x:v>000300.SH</x:v>
      </x:c>
      <x:c r="C319" s="12" t="n">
        <x:v>4129.2736</x:v>
      </x:c>
      <x:c r="D319" s="12" t="n">
        <x:v>4133.5462</x:v>
      </x:c>
      <x:c r="E319" s="12" t="n">
        <x:v>4086.8903</x:v>
      </x:c>
      <x:c r="F319" s="12" t="n">
        <x:v>4099.351</x:v>
      </x:c>
      <x:c r="G319" s="12" t="n">
        <x:v>4128.0733</x:v>
      </x:c>
      <x:c r="H319" s="12" t="n">
        <x:v>-28.7223</x:v>
      </x:c>
      <x:c r="I319" s="12" t="n">
        <x:v>-0.6958</x:v>
      </x:c>
      <x:c r="J319" s="12" t="n">
        <x:v>-0.006982116306831353</x:v>
      </x:c>
      <x:c r="K319" s="12" t="n">
        <x:v>143236936</x:v>
      </x:c>
      <x:c r="L319" s="12" t="n">
        <x:v>199605009.025</x:v>
      </x:c>
      <x:c r="M319" s="12" t="str">
        <x:v>TuShare index_daily</x:v>
      </x:c>
    </x:row>
    <x:row r="320" ht="18" customHeight="1">
      <x:c r="A320" s="13" t="n">
        <x:v>43054</x:v>
      </x:c>
      <x:c r="B320" s="12" t="str">
        <x:v>000300.SH</x:v>
      </x:c>
      <x:c r="C320" s="12" t="n">
        <x:v>4084.2131</x:v>
      </x:c>
      <x:c r="D320" s="12" t="n">
        <x:v>4102.8071</x:v>
      </x:c>
      <x:c r="E320" s="12" t="n">
        <x:v>4055.7167</x:v>
      </x:c>
      <x:c r="F320" s="12" t="n">
        <x:v>4073.6696</x:v>
      </x:c>
      <x:c r="G320" s="12" t="n">
        <x:v>4099.351</x:v>
      </x:c>
      <x:c r="H320" s="12" t="n">
        <x:v>-25.6814</x:v>
      </x:c>
      <x:c r="I320" s="12" t="n">
        <x:v>-0.6265</x:v>
      </x:c>
      <x:c r="J320" s="12" t="n">
        <x:v>-0.006284453638224415</x:v>
      </x:c>
      <x:c r="K320" s="12" t="n">
        <x:v>120635696</x:v>
      </x:c>
      <x:c r="L320" s="12" t="n">
        <x:v>177753075.436</x:v>
      </x:c>
      <x:c r="M320" s="12" t="str">
        <x:v>TuShare index_daily</x:v>
      </x:c>
    </x:row>
    <x:row r="321" ht="18" customHeight="1">
      <x:c r="A321" s="13" t="n">
        <x:v>43055</x:v>
      </x:c>
      <x:c r="B321" s="12" t="str">
        <x:v>000300.SH</x:v>
      </x:c>
      <x:c r="C321" s="12" t="n">
        <x:v>4063.4943</x:v>
      </x:c>
      <x:c r="D321" s="12" t="n">
        <x:v>4107.617</x:v>
      </x:c>
      <x:c r="E321" s="12" t="n">
        <x:v>4062.2734</x:v>
      </x:c>
      <x:c r="F321" s="12" t="n">
        <x:v>4105.0122</x:v>
      </x:c>
      <x:c r="G321" s="12" t="n">
        <x:v>4073.6696</x:v>
      </x:c>
      <x:c r="H321" s="12" t="n">
        <x:v>31.3426</x:v>
      </x:c>
      <x:c r="I321" s="12" t="n">
        <x:v>0.7694</x:v>
      </x:c>
      <x:c r="J321" s="12" t="n">
        <x:v>0.0076645000258571145</x:v>
      </x:c>
      <x:c r="K321" s="12" t="n">
        <x:v>121384414</x:v>
      </x:c>
      <x:c r="L321" s="12" t="n">
        <x:v>172903880.58</x:v>
      </x:c>
      <x:c r="M321" s="12" t="str">
        <x:v>TuShare index_daily</x:v>
      </x:c>
    </x:row>
    <x:row r="322" ht="18" customHeight="1">
      <x:c r="A322" s="13" t="n">
        <x:v>43056</x:v>
      </x:c>
      <x:c r="B322" s="12" t="str">
        <x:v>000300.SH</x:v>
      </x:c>
      <x:c r="C322" s="12" t="n">
        <x:v>4094.0787</x:v>
      </x:c>
      <x:c r="D322" s="12" t="n">
        <x:v>4122.3756</x:v>
      </x:c>
      <x:c r="E322" s="12" t="n">
        <x:v>4081.3723</x:v>
      </x:c>
      <x:c r="F322" s="12" t="n">
        <x:v>4120.8508</x:v>
      </x:c>
      <x:c r="G322" s="12" t="n">
        <x:v>4105.0122</x:v>
      </x:c>
      <x:c r="H322" s="12" t="n">
        <x:v>15.8386</x:v>
      </x:c>
      <x:c r="I322" s="12" t="n">
        <x:v>0.3858</x:v>
      </x:c>
      <x:c r="J322" s="12" t="n">
        <x:v>0.0038509320112525168</x:v>
      </x:c>
      <x:c r="K322" s="12" t="n">
        <x:v>191784119</x:v>
      </x:c>
      <x:c r="L322" s="12" t="n">
        <x:v>253079314.045</x:v>
      </x:c>
      <x:c r="M322" s="12" t="str">
        <x:v>TuShare index_daily</x:v>
      </x:c>
    </x:row>
    <x:row r="323" ht="18" customHeight="1">
      <x:c r="A323" s="13" t="n">
        <x:v>43059</x:v>
      </x:c>
      <x:c r="B323" s="12" t="str">
        <x:v>000300.SH</x:v>
      </x:c>
      <x:c r="C323" s="12" t="n">
        <x:v>4093.734</x:v>
      </x:c>
      <x:c r="D323" s="12" t="n">
        <x:v>4144.5144</x:v>
      </x:c>
      <x:c r="E323" s="12" t="n">
        <x:v>4060.9636</x:v>
      </x:c>
      <x:c r="F323" s="12" t="n">
        <x:v>4143.8334</x:v>
      </x:c>
      <x:c r="G323" s="12" t="n">
        <x:v>4120.8508</x:v>
      </x:c>
      <x:c r="H323" s="12" t="n">
        <x:v>22.9826</x:v>
      </x:c>
      <x:c r="I323" s="12" t="n">
        <x:v>0.5577</x:v>
      </x:c>
      <x:c r="J323" s="12" t="n">
        <x:v>0.005561654549717554</x:v>
      </x:c>
      <x:c r="K323" s="12" t="n">
        <x:v>137447258</x:v>
      </x:c>
      <x:c r="L323" s="12" t="n">
        <x:v>191589637.482</x:v>
      </x:c>
      <x:c r="M323" s="12" t="str">
        <x:v>TuShare index_daily</x:v>
      </x:c>
    </x:row>
    <x:row r="324" ht="18" customHeight="1">
      <x:c r="A324" s="13" t="n">
        <x:v>43060</x:v>
      </x:c>
      <x:c r="B324" s="12" t="str">
        <x:v>000300.SH</x:v>
      </x:c>
      <x:c r="C324" s="12" t="n">
        <x:v>4131.8482</x:v>
      </x:c>
      <x:c r="D324" s="12" t="n">
        <x:v>4220.2636</x:v>
      </x:c>
      <x:c r="E324" s="12" t="n">
        <x:v>4129.9783</x:v>
      </x:c>
      <x:c r="F324" s="12" t="n">
        <x:v>4217.7015</x:v>
      </x:c>
      <x:c r="G324" s="12" t="n">
        <x:v>4143.8334</x:v>
      </x:c>
      <x:c r="H324" s="12" t="n">
        <x:v>73.8681</x:v>
      </x:c>
      <x:c r="I324" s="12" t="n">
        <x:v>1.7826</x:v>
      </x:c>
      <x:c r="J324" s="12" t="n">
        <x:v>0.01766900996951351</x:v>
      </x:c>
      <x:c r="K324" s="12" t="n">
        <x:v>180350821</x:v>
      </x:c>
      <x:c r="L324" s="12" t="n">
        <x:v>253302199.628</x:v>
      </x:c>
      <x:c r="M324" s="12" t="str">
        <x:v>TuShare index_daily</x:v>
      </x:c>
    </x:row>
    <x:row r="325" ht="18" customHeight="1">
      <x:c r="A325" s="13" t="n">
        <x:v>43061</x:v>
      </x:c>
      <x:c r="B325" s="12" t="str">
        <x:v>000300.SH</x:v>
      </x:c>
      <x:c r="C325" s="12" t="n">
        <x:v>4228.3721</x:v>
      </x:c>
      <x:c r="D325" s="12" t="n">
        <x:v>4260.6395</x:v>
      </x:c>
      <x:c r="E325" s="12" t="n">
        <x:v>4191.145</x:v>
      </x:c>
      <x:c r="F325" s="12" t="n">
        <x:v>4227.5666</x:v>
      </x:c>
      <x:c r="G325" s="12" t="n">
        <x:v>4217.7015</x:v>
      </x:c>
      <x:c r="H325" s="12" t="n">
        <x:v>9.8651</x:v>
      </x:c>
      <x:c r="I325" s="12" t="n">
        <x:v>0.2339</x:v>
      </x:c>
      <x:c r="J325" s="12" t="n">
        <x:v>0.0023362442423838147</x:v>
      </x:c>
      <x:c r="K325" s="12" t="n">
        <x:v>186477003</x:v>
      </x:c>
      <x:c r="L325" s="12" t="n">
        <x:v>254298361.69</x:v>
      </x:c>
      <x:c r="M325" s="12" t="str">
        <x:v>TuShare index_daily</x:v>
      </x:c>
    </x:row>
    <x:row r="326" ht="18" customHeight="1">
      <x:c r="A326" s="13" t="n">
        <x:v>43062</x:v>
      </x:c>
      <x:c r="B326" s="12" t="str">
        <x:v>000300.SH</x:v>
      </x:c>
      <x:c r="C326" s="12" t="n">
        <x:v>4213.3781</x:v>
      </x:c>
      <x:c r="D326" s="12" t="n">
        <x:v>4214.1895</x:v>
      </x:c>
      <x:c r="E326" s="12" t="n">
        <x:v>4086.9018</x:v>
      </x:c>
      <x:c r="F326" s="12" t="n">
        <x:v>4102.3966</x:v>
      </x:c>
      <x:c r="G326" s="12" t="n">
        <x:v>4227.5666</x:v>
      </x:c>
      <x:c r="H326" s="12" t="n">
        <x:v>-125.17</x:v>
      </x:c>
      <x:c r="I326" s="12" t="n">
        <x:v>-2.9608</x:v>
      </x:c>
      <x:c r="J326" s="12" t="n">
        <x:v>-0.03005521613756193</x:v>
      </x:c>
      <x:c r="K326" s="12" t="n">
        <x:v>178147228</x:v>
      </x:c>
      <x:c r="L326" s="12" t="n">
        <x:v>237536704.704</x:v>
      </x:c>
      <x:c r="M326" s="12" t="str">
        <x:v>TuShare index_daily</x:v>
      </x:c>
    </x:row>
    <x:row r="327" ht="18" customHeight="1">
      <x:c r="A327" s="13" t="n">
        <x:v>43063</x:v>
      </x:c>
      <x:c r="B327" s="12" t="str">
        <x:v>000300.SH</x:v>
      </x:c>
      <x:c r="C327" s="12" t="n">
        <x:v>4089.4723</x:v>
      </x:c>
      <x:c r="D327" s="12" t="n">
        <x:v>4116.5942</x:v>
      </x:c>
      <x:c r="E327" s="12" t="n">
        <x:v>4057.4894</x:v>
      </x:c>
      <x:c r="F327" s="12" t="n">
        <x:v>4104.2034</x:v>
      </x:c>
      <x:c r="G327" s="12" t="n">
        <x:v>4102.3966</x:v>
      </x:c>
      <x:c r="H327" s="12" t="n">
        <x:v>1.8068</x:v>
      </x:c>
      <x:c r="I327" s="12" t="n">
        <x:v>0.044</x:v>
      </x:c>
      <x:c r="J327" s="12" t="n">
        <x:v>0.00044032852318716474</x:v>
      </x:c>
      <x:c r="K327" s="12" t="n">
        <x:v>130858040</x:v>
      </x:c>
      <x:c r="L327" s="12" t="n">
        <x:v>182912191.367</x:v>
      </x:c>
      <x:c r="M327" s="12" t="str">
        <x:v>TuShare index_daily</x:v>
      </x:c>
    </x:row>
    <x:row r="328" ht="18" customHeight="1">
      <x:c r="A328" s="13" t="n">
        <x:v>43066</x:v>
      </x:c>
      <x:c r="B328" s="12" t="str">
        <x:v>000300.SH</x:v>
      </x:c>
      <x:c r="C328" s="12" t="n">
        <x:v>4088.9318</x:v>
      </x:c>
      <x:c r="D328" s="12" t="n">
        <x:v>4088.9318</x:v>
      </x:c>
      <x:c r="E328" s="12" t="n">
        <x:v>4037.1457</x:v>
      </x:c>
      <x:c r="F328" s="12" t="n">
        <x:v>4049.9475</x:v>
      </x:c>
      <x:c r="G328" s="12" t="n">
        <x:v>4104.2034</x:v>
      </x:c>
      <x:c r="H328" s="12" t="n">
        <x:v>-54.2559</x:v>
      </x:c>
      <x:c r="I328" s="12" t="n">
        <x:v>-1.322</x:v>
      </x:c>
      <x:c r="J328" s="12" t="n">
        <x:v>-0.013307749972386596</x:v>
      </x:c>
      <x:c r="K328" s="12" t="n">
        <x:v>143455268</x:v>
      </x:c>
      <x:c r="L328" s="12" t="n">
        <x:v>183004551.223</x:v>
      </x:c>
      <x:c r="M328" s="12" t="str">
        <x:v>TuShare index_daily</x:v>
      </x:c>
    </x:row>
    <x:row r="329" ht="18" customHeight="1">
      <x:c r="A329" s="13" t="n">
        <x:v>43067</x:v>
      </x:c>
      <x:c r="B329" s="12" t="str">
        <x:v>000300.SH</x:v>
      </x:c>
      <x:c r="C329" s="12" t="n">
        <x:v>4034.2057</x:v>
      </x:c>
      <x:c r="D329" s="12" t="n">
        <x:v>4056.4753</x:v>
      </x:c>
      <x:c r="E329" s="12" t="n">
        <x:v>4010.2955</x:v>
      </x:c>
      <x:c r="F329" s="12" t="n">
        <x:v>4055.8235</x:v>
      </x:c>
      <x:c r="G329" s="12" t="n">
        <x:v>4049.9475</x:v>
      </x:c>
      <x:c r="H329" s="12" t="n">
        <x:v>5.876</x:v>
      </x:c>
      <x:c r="I329" s="12" t="n">
        <x:v>0.1451</x:v>
      </x:c>
      <x:c r="J329" s="12" t="n">
        <x:v>0.0014498314914854682</x:v>
      </x:c>
      <x:c r="K329" s="12" t="n">
        <x:v>102058095</x:v>
      </x:c>
      <x:c r="L329" s="12" t="n">
        <x:v>135539647.289</x:v>
      </x:c>
      <x:c r="M329" s="12" t="str">
        <x:v>TuShare index_daily</x:v>
      </x:c>
    </x:row>
    <x:row r="330" ht="18" customHeight="1">
      <x:c r="A330" s="13" t="n">
        <x:v>43068</x:v>
      </x:c>
      <x:c r="B330" s="12" t="str">
        <x:v>000300.SH</x:v>
      </x:c>
      <x:c r="C330" s="12" t="n">
        <x:v>4061.3545</x:v>
      </x:c>
      <x:c r="D330" s="12" t="n">
        <x:v>4069.2418</x:v>
      </x:c>
      <x:c r="E330" s="12" t="n">
        <x:v>4004.687</x:v>
      </x:c>
      <x:c r="F330" s="12" t="n">
        <x:v>4053.7529</x:v>
      </x:c>
      <x:c r="G330" s="12" t="n">
        <x:v>4055.8235</x:v>
      </x:c>
      <x:c r="H330" s="12" t="n">
        <x:v>-2.0706</x:v>
      </x:c>
      <x:c r="I330" s="12" t="n">
        <x:v>-0.0511</x:v>
      </x:c>
      <x:c r="J330" s="12" t="n">
        <x:v>-0.000510655536828198</x:v>
      </x:c>
      <x:c r="K330" s="12" t="n">
        <x:v>124553642</x:v>
      </x:c>
      <x:c r="L330" s="12" t="n">
        <x:v>165743341.284</x:v>
      </x:c>
      <x:c r="M330" s="12" t="str">
        <x:v>TuShare index_daily</x:v>
      </x:c>
    </x:row>
    <x:row r="331" ht="18" customHeight="1">
      <x:c r="A331" s="13" t="n">
        <x:v>43069</x:v>
      </x:c>
      <x:c r="B331" s="12" t="str">
        <x:v>000300.SH</x:v>
      </x:c>
      <x:c r="C331" s="12" t="n">
        <x:v>4034.0091</x:v>
      </x:c>
      <x:c r="D331" s="12" t="n">
        <x:v>4052.797</x:v>
      </x:c>
      <x:c r="E331" s="12" t="n">
        <x:v>3988.0018</x:v>
      </x:c>
      <x:c r="F331" s="12" t="n">
        <x:v>4006.0993</x:v>
      </x:c>
      <x:c r="G331" s="12" t="n">
        <x:v>4053.7529</x:v>
      </x:c>
      <x:c r="H331" s="12" t="n">
        <x:v>-47.6536</x:v>
      </x:c>
      <x:c r="I331" s="12" t="n">
        <x:v>-1.1755</x:v>
      </x:c>
      <x:c r="J331" s="12" t="n">
        <x:v>-0.011825069271435942</x:v>
      </x:c>
      <x:c r="K331" s="12" t="n">
        <x:v>107983345</x:v>
      </x:c>
      <x:c r="L331" s="12" t="n">
        <x:v>145829948.321</x:v>
      </x:c>
      <x:c r="M331" s="12" t="str">
        <x:v>TuShare index_daily</x:v>
      </x:c>
    </x:row>
    <x:row r="332" ht="18" customHeight="1">
      <x:c r="A332" s="13" t="n">
        <x:v>43070</x:v>
      </x:c>
      <x:c r="B332" s="12" t="str">
        <x:v>000300.SH</x:v>
      </x:c>
      <x:c r="C332" s="12" t="n">
        <x:v>4003.5604</x:v>
      </x:c>
      <x:c r="D332" s="12" t="n">
        <x:v>4027.1064</x:v>
      </x:c>
      <x:c r="E332" s="12" t="n">
        <x:v>3984.3776</x:v>
      </x:c>
      <x:c r="F332" s="12" t="n">
        <x:v>3998.1365</x:v>
      </x:c>
      <x:c r="G332" s="12" t="n">
        <x:v>4006.0993</x:v>
      </x:c>
      <x:c r="H332" s="12" t="n">
        <x:v>-7.9628</x:v>
      </x:c>
      <x:c r="I332" s="12" t="n">
        <x:v>-0.1988</x:v>
      </x:c>
      <x:c r="J332" s="12" t="n">
        <x:v>-0.0019896471882695846</x:v>
      </x:c>
      <x:c r="K332" s="12" t="n">
        <x:v>97386913</x:v>
      </x:c>
      <x:c r="L332" s="12" t="n">
        <x:v>136010927.567</x:v>
      </x:c>
      <x:c r="M332" s="12" t="str">
        <x:v>TuShare index_daily</x:v>
      </x:c>
    </x:row>
    <x:row r="333" ht="18" customHeight="1">
      <x:c r="A333" s="13" t="n">
        <x:v>43073</x:v>
      </x:c>
      <x:c r="B333" s="12" t="str">
        <x:v>000300.SH</x:v>
      </x:c>
      <x:c r="C333" s="12" t="n">
        <x:v>3989.0466</x:v>
      </x:c>
      <x:c r="D333" s="12" t="n">
        <x:v>4032.9859</x:v>
      </x:c>
      <x:c r="E333" s="12" t="n">
        <x:v>3982.3182</x:v>
      </x:c>
      <x:c r="F333" s="12" t="n">
        <x:v>4018.8571</x:v>
      </x:c>
      <x:c r="G333" s="12" t="n">
        <x:v>3998.1365</x:v>
      </x:c>
      <x:c r="H333" s="12" t="n">
        <x:v>20.7206</x:v>
      </x:c>
      <x:c r="I333" s="12" t="n">
        <x:v>0.5183</x:v>
      </x:c>
      <x:c r="J333" s="12" t="n">
        <x:v>0.005169181160029381</x:v>
      </x:c>
      <x:c r="K333" s="12" t="n">
        <x:v>102647219</x:v>
      </x:c>
      <x:c r="L333" s="12" t="n">
        <x:v>138223055.525</x:v>
      </x:c>
      <x:c r="M333" s="12" t="str">
        <x:v>TuShare index_daily</x:v>
      </x:c>
    </x:row>
    <x:row r="334" ht="18" customHeight="1">
      <x:c r="A334" s="13" t="n">
        <x:v>43074</x:v>
      </x:c>
      <x:c r="B334" s="12" t="str">
        <x:v>000300.SH</x:v>
      </x:c>
      <x:c r="C334" s="12" t="n">
        <x:v>4007.9361</x:v>
      </x:c>
      <x:c r="D334" s="12" t="n">
        <x:v>4045.9331</x:v>
      </x:c>
      <x:c r="E334" s="12" t="n">
        <x:v>4006.5432</x:v>
      </x:c>
      <x:c r="F334" s="12" t="n">
        <x:v>4040.1704</x:v>
      </x:c>
      <x:c r="G334" s="12" t="n">
        <x:v>4018.8571</x:v>
      </x:c>
      <x:c r="H334" s="12" t="n">
        <x:v>21.3133</x:v>
      </x:c>
      <x:c r="I334" s="12" t="n">
        <x:v>0.5303</x:v>
      </x:c>
      <x:c r="J334" s="12" t="n">
        <x:v>0.005289310574958369</x:v>
      </x:c>
      <x:c r="K334" s="12" t="n">
        <x:v>154087076</x:v>
      </x:c>
      <x:c r="L334" s="12" t="n">
        <x:v>196337660.259</x:v>
      </x:c>
      <x:c r="M334" s="12" t="str">
        <x:v>TuShare index_daily</x:v>
      </x:c>
    </x:row>
    <x:row r="335" ht="18" customHeight="1">
      <x:c r="A335" s="13" t="n">
        <x:v>43075</x:v>
      </x:c>
      <x:c r="B335" s="12" t="str">
        <x:v>000300.SH</x:v>
      </x:c>
      <x:c r="C335" s="12" t="n">
        <x:v>4027.1231</x:v>
      </x:c>
      <x:c r="D335" s="12" t="n">
        <x:v>4031.7533</x:v>
      </x:c>
      <x:c r="E335" s="12" t="n">
        <x:v>3964.8087</x:v>
      </x:c>
      <x:c r="F335" s="12" t="n">
        <x:v>4015.8211</x:v>
      </x:c>
      <x:c r="G335" s="12" t="n">
        <x:v>4040.1704</x:v>
      </x:c>
      <x:c r="H335" s="12" t="n">
        <x:v>-24.3493</x:v>
      </x:c>
      <x:c r="I335" s="12" t="n">
        <x:v>-0.6027</x:v>
      </x:c>
      <x:c r="J335" s="12" t="n">
        <x:v>-0.006045034716964068</x:v>
      </x:c>
      <x:c r="K335" s="12" t="n">
        <x:v>109286205</x:v>
      </x:c>
      <x:c r="L335" s="12" t="n">
        <x:v>144114954.18</x:v>
      </x:c>
      <x:c r="M335" s="12" t="str">
        <x:v>TuShare index_daily</x:v>
      </x:c>
    </x:row>
    <x:row r="336" ht="18" customHeight="1">
      <x:c r="A336" s="13" t="n">
        <x:v>43076</x:v>
      </x:c>
      <x:c r="B336" s="12" t="str">
        <x:v>000300.SH</x:v>
      </x:c>
      <x:c r="C336" s="12" t="n">
        <x:v>4003.5826</x:v>
      </x:c>
      <x:c r="D336" s="12" t="n">
        <x:v>4017.9465</x:v>
      </x:c>
      <x:c r="E336" s="12" t="n">
        <x:v>3955.9939</x:v>
      </x:c>
      <x:c r="F336" s="12" t="n">
        <x:v>3971.0569</x:v>
      </x:c>
      <x:c r="G336" s="12" t="n">
        <x:v>4015.8211</x:v>
      </x:c>
      <x:c r="H336" s="12" t="n">
        <x:v>-44.7642</x:v>
      </x:c>
      <x:c r="I336" s="12" t="n">
        <x:v>-1.1147</x:v>
      </x:c>
      <x:c r="J336" s="12" t="n">
        <x:v>-0.011209553653571425</x:v>
      </x:c>
      <x:c r="K336" s="12" t="n">
        <x:v>90254045</x:v>
      </x:c>
      <x:c r="L336" s="12" t="n">
        <x:v>119651201.504</x:v>
      </x:c>
      <x:c r="M336" s="12" t="str">
        <x:v>TuShare index_daily</x:v>
      </x:c>
    </x:row>
    <x:row r="337" ht="18" customHeight="1">
      <x:c r="A337" s="13" t="n">
        <x:v>43077</x:v>
      </x:c>
      <x:c r="B337" s="12" t="str">
        <x:v>000300.SH</x:v>
      </x:c>
      <x:c r="C337" s="12" t="n">
        <x:v>3962.8288</x:v>
      </x:c>
      <x:c r="D337" s="12" t="n">
        <x:v>4014.1387</x:v>
      </x:c>
      <x:c r="E337" s="12" t="n">
        <x:v>3955.44</x:v>
      </x:c>
      <x:c r="F337" s="12" t="n">
        <x:v>4003.3792</x:v>
      </x:c>
      <x:c r="G337" s="12" t="n">
        <x:v>3971.0569</x:v>
      </x:c>
      <x:c r="H337" s="12" t="n">
        <x:v>32.3223</x:v>
      </x:c>
      <x:c r="I337" s="12" t="n">
        <x:v>0.8139</x:v>
      </x:c>
      <x:c r="J337" s="12" t="n">
        <x:v>0.008106523546348764</x:v>
      </x:c>
      <x:c r="K337" s="12" t="n">
        <x:v>89282861</x:v>
      </x:c>
      <x:c r="L337" s="12" t="n">
        <x:v>124371230.332</x:v>
      </x:c>
      <x:c r="M337" s="12" t="str">
        <x:v>TuShare index_daily</x:v>
      </x:c>
    </x:row>
    <x:row r="338" ht="18" customHeight="1">
      <x:c r="A338" s="13" t="n">
        <x:v>43080</x:v>
      </x:c>
      <x:c r="B338" s="12" t="str">
        <x:v>000300.SH</x:v>
      </x:c>
      <x:c r="C338" s="12" t="n">
        <x:v>4006.8784</x:v>
      </x:c>
      <x:c r="D338" s="12" t="n">
        <x:v>4069.4997</x:v>
      </x:c>
      <x:c r="E338" s="12" t="n">
        <x:v>4005.2687</x:v>
      </x:c>
      <x:c r="F338" s="12" t="n">
        <x:v>4069.4997</x:v>
      </x:c>
      <x:c r="G338" s="12" t="n">
        <x:v>4003.3792</x:v>
      </x:c>
      <x:c r="H338" s="12" t="n">
        <x:v>66.1205</x:v>
      </x:c>
      <x:c r="I338" s="12" t="n">
        <x:v>1.6516</x:v>
      </x:c>
      <x:c r="J338" s="12" t="n">
        <x:v>0.016381263588608606</x:v>
      </x:c>
      <x:c r="K338" s="12" t="n">
        <x:v>97148946</x:v>
      </x:c>
      <x:c r="L338" s="12" t="n">
        <x:v>148476588.469</x:v>
      </x:c>
      <x:c r="M338" s="12" t="str">
        <x:v>TuShare index_daily</x:v>
      </x:c>
    </x:row>
    <x:row r="339" ht="18" customHeight="1">
      <x:c r="A339" s="13" t="n">
        <x:v>43081</x:v>
      </x:c>
      <x:c r="B339" s="12" t="str">
        <x:v>000300.SH</x:v>
      </x:c>
      <x:c r="C339" s="12" t="n">
        <x:v>4068.5053</x:v>
      </x:c>
      <x:c r="D339" s="12" t="n">
        <x:v>4070.1503</x:v>
      </x:c>
      <x:c r="E339" s="12" t="n">
        <x:v>4015.4546</x:v>
      </x:c>
      <x:c r="F339" s="12" t="n">
        <x:v>4016.0163</x:v>
      </x:c>
      <x:c r="G339" s="12" t="n">
        <x:v>4069.4997</x:v>
      </x:c>
      <x:c r="H339" s="12" t="n">
        <x:v>-53.4834</x:v>
      </x:c>
      <x:c r="I339" s="12" t="n">
        <x:v>-1.3143</x:v>
      </x:c>
      <x:c r="J339" s="12" t="n">
        <x:v>-0.013229626919694766</x:v>
      </x:c>
      <x:c r="K339" s="12" t="n">
        <x:v>84338718</x:v>
      </x:c>
      <x:c r="L339" s="12" t="n">
        <x:v>123515183.182</x:v>
      </x:c>
      <x:c r="M339" s="12" t="str">
        <x:v>TuShare index_daily</x:v>
      </x:c>
    </x:row>
    <x:row r="340" ht="18" customHeight="1">
      <x:c r="A340" s="13" t="n">
        <x:v>43082</x:v>
      </x:c>
      <x:c r="B340" s="12" t="str">
        <x:v>000300.SH</x:v>
      </x:c>
      <x:c r="C340" s="12" t="n">
        <x:v>4013.8319</x:v>
      </x:c>
      <x:c r="D340" s="12" t="n">
        <x:v>4052.6878</x:v>
      </x:c>
      <x:c r="E340" s="12" t="n">
        <x:v>4004.7436</x:v>
      </x:c>
      <x:c r="F340" s="12" t="n">
        <x:v>4050.0927</x:v>
      </x:c>
      <x:c r="G340" s="12" t="n">
        <x:v>4016.0163</x:v>
      </x:c>
      <x:c r="H340" s="12" t="n">
        <x:v>34.0764</x:v>
      </x:c>
      <x:c r="I340" s="12" t="n">
        <x:v>0.8485</x:v>
      </x:c>
      <x:c r="J340" s="12" t="n">
        <x:v>0.008449328599258595</x:v>
      </x:c>
      <x:c r="K340" s="12" t="n">
        <x:v>77546131</x:v>
      </x:c>
      <x:c r="L340" s="12" t="n">
        <x:v>115006383.36</x:v>
      </x:c>
      <x:c r="M340" s="12" t="str">
        <x:v>TuShare index_daily</x:v>
      </x:c>
    </x:row>
    <x:row r="341" ht="18" customHeight="1">
      <x:c r="A341" s="13" t="n">
        <x:v>43083</x:v>
      </x:c>
      <x:c r="B341" s="12" t="str">
        <x:v>000300.SH</x:v>
      </x:c>
      <x:c r="C341" s="12" t="n">
        <x:v>4050.9028</x:v>
      </x:c>
      <x:c r="D341" s="12" t="n">
        <x:v>4057.6245</x:v>
      </x:c>
      <x:c r="E341" s="12" t="n">
        <x:v>4013.8546</x:v>
      </x:c>
      <x:c r="F341" s="12" t="n">
        <x:v>4026.1516</x:v>
      </x:c>
      <x:c r="G341" s="12" t="n">
        <x:v>4050.0927</x:v>
      </x:c>
      <x:c r="H341" s="12" t="n">
        <x:v>-23.9411</x:v>
      </x:c>
      <x:c r="I341" s="12" t="n">
        <x:v>-0.5911</x:v>
      </x:c>
      <x:c r="J341" s="12" t="n">
        <x:v>-0.005928787995797188</x:v>
      </x:c>
      <x:c r="K341" s="12" t="n">
        <x:v>80768862</x:v>
      </x:c>
      <x:c r="L341" s="12" t="n">
        <x:v>115086944.924</x:v>
      </x:c>
      <x:c r="M341" s="12" t="str">
        <x:v>TuShare index_daily</x:v>
      </x:c>
    </x:row>
    <x:row r="342" ht="18" customHeight="1">
      <x:c r="A342" s="13" t="n">
        <x:v>43084</x:v>
      </x:c>
      <x:c r="B342" s="12" t="str">
        <x:v>000300.SH</x:v>
      </x:c>
      <x:c r="C342" s="12" t="n">
        <x:v>4018.7313</x:v>
      </x:c>
      <x:c r="D342" s="12" t="n">
        <x:v>4020.2668</x:v>
      </x:c>
      <x:c r="E342" s="12" t="n">
        <x:v>3974.9277</x:v>
      </x:c>
      <x:c r="F342" s="12" t="n">
        <x:v>3980.8558</x:v>
      </x:c>
      <x:c r="G342" s="12" t="n">
        <x:v>4026.1516</x:v>
      </x:c>
      <x:c r="H342" s="12" t="n">
        <x:v>-45.2958</x:v>
      </x:c>
      <x:c r="I342" s="12" t="n">
        <x:v>-1.125</x:v>
      </x:c>
      <x:c r="J342" s="12" t="n">
        <x:v>-0.011314160442207443</x:v>
      </x:c>
      <x:c r="K342" s="12" t="n">
        <x:v>89044389</x:v>
      </x:c>
      <x:c r="L342" s="12" t="n">
        <x:v>118474144.231</x:v>
      </x:c>
      <x:c r="M342" s="12" t="str">
        <x:v>TuShare index_daily</x:v>
      </x:c>
    </x:row>
    <x:row r="343" ht="18" customHeight="1">
      <x:c r="A343" s="13" t="n">
        <x:v>43087</x:v>
      </x:c>
      <x:c r="B343" s="12" t="str">
        <x:v>000300.SH</x:v>
      </x:c>
      <x:c r="C343" s="12" t="n">
        <x:v>3983.2965</x:v>
      </x:c>
      <x:c r="D343" s="12" t="n">
        <x:v>4008.0688</x:v>
      </x:c>
      <x:c r="E343" s="12" t="n">
        <x:v>3967.9343</x:v>
      </x:c>
      <x:c r="F343" s="12" t="n">
        <x:v>3985.2914</x:v>
      </x:c>
      <x:c r="G343" s="12" t="n">
        <x:v>3980.8558</x:v>
      </x:c>
      <x:c r="H343" s="12" t="n">
        <x:v>4.4356</x:v>
      </x:c>
      <x:c r="I343" s="12" t="n">
        <x:v>0.1114</x:v>
      </x:c>
      <x:c r="J343" s="12" t="n">
        <x:v>0.001113612477157036</x:v>
      </x:c>
      <x:c r="K343" s="12" t="n">
        <x:v>77853375</x:v>
      </x:c>
      <x:c r="L343" s="12" t="n">
        <x:v>111724349.856</x:v>
      </x:c>
      <x:c r="M343" s="12" t="str">
        <x:v>TuShare index_daily</x:v>
      </x:c>
    </x:row>
    <x:row r="344" ht="18" customHeight="1">
      <x:c r="A344" s="13" t="n">
        <x:v>43088</x:v>
      </x:c>
      <x:c r="B344" s="12" t="str">
        <x:v>000300.SH</x:v>
      </x:c>
      <x:c r="C344" s="12" t="n">
        <x:v>3985.8233</x:v>
      </x:c>
      <x:c r="D344" s="12" t="n">
        <x:v>4035.6296</x:v>
      </x:c>
      <x:c r="E344" s="12" t="n">
        <x:v>3985.8233</x:v>
      </x:c>
      <x:c r="F344" s="12" t="n">
        <x:v>4035.3294</x:v>
      </x:c>
      <x:c r="G344" s="12" t="n">
        <x:v>3985.2914</x:v>
      </x:c>
      <x:c r="H344" s="12" t="n">
        <x:v>50.038</x:v>
      </x:c>
      <x:c r="I344" s="12" t="n">
        <x:v>1.2556</x:v>
      </x:c>
      <x:c r="J344" s="12" t="n">
        <x:v>0.012477500293090553</x:v>
      </x:c>
      <x:c r="K344" s="12" t="n">
        <x:v>77528985</x:v>
      </x:c>
      <x:c r="L344" s="12" t="n">
        <x:v>115998204.342</x:v>
      </x:c>
      <x:c r="M344" s="12" t="str">
        <x:v>TuShare index_daily</x:v>
      </x:c>
    </x:row>
    <x:row r="345" ht="18" customHeight="1">
      <x:c r="A345" s="13" t="n">
        <x:v>43089</x:v>
      </x:c>
      <x:c r="B345" s="12" t="str">
        <x:v>000300.SH</x:v>
      </x:c>
      <x:c r="C345" s="12" t="n">
        <x:v>4036.019</x:v>
      </x:c>
      <x:c r="D345" s="12" t="n">
        <x:v>4044.8485</x:v>
      </x:c>
      <x:c r="E345" s="12" t="n">
        <x:v>4015.6285</x:v>
      </x:c>
      <x:c r="F345" s="12" t="n">
        <x:v>4030.4898</x:v>
      </x:c>
      <x:c r="G345" s="12" t="n">
        <x:v>4035.3294</x:v>
      </x:c>
      <x:c r="H345" s="12" t="n">
        <x:v>-4.8396</x:v>
      </x:c>
      <x:c r="I345" s="12" t="n">
        <x:v>-0.1199</x:v>
      </x:c>
      <x:c r="J345" s="12" t="n">
        <x:v>-0.0012000270427034853</x:v>
      </x:c>
      <x:c r="K345" s="12" t="n">
        <x:v>90604503</x:v>
      </x:c>
      <x:c r="L345" s="12" t="n">
        <x:v>126812878.124</x:v>
      </x:c>
      <x:c r="M345" s="12" t="str">
        <x:v>TuShare index_daily</x:v>
      </x:c>
    </x:row>
    <x:row r="346" ht="18" customHeight="1">
      <x:c r="A346" s="13" t="n">
        <x:v>43090</x:v>
      </x:c>
      <x:c r="B346" s="12" t="str">
        <x:v>000300.SH</x:v>
      </x:c>
      <x:c r="C346" s="12" t="n">
        <x:v>4023.076</x:v>
      </x:c>
      <x:c r="D346" s="12" t="n">
        <x:v>4080.781</x:v>
      </x:c>
      <x:c r="E346" s="12" t="n">
        <x:v>4014.6526</x:v>
      </x:c>
      <x:c r="F346" s="12" t="n">
        <x:v>4067.8485</x:v>
      </x:c>
      <x:c r="G346" s="12" t="n">
        <x:v>4030.4898</x:v>
      </x:c>
      <x:c r="H346" s="12" t="n">
        <x:v>37.3587</x:v>
      </x:c>
      <x:c r="I346" s="12" t="n">
        <x:v>0.9269</x:v>
      </x:c>
      <x:c r="J346" s="12" t="n">
        <x:v>0.009226328569982019</x:v>
      </x:c>
      <x:c r="K346" s="12" t="n">
        <x:v>96836089</x:v>
      </x:c>
      <x:c r="L346" s="12" t="n">
        <x:v>137819520.871</x:v>
      </x:c>
      <x:c r="M346" s="12" t="str">
        <x:v>TuShare index_daily</x:v>
      </x:c>
    </x:row>
    <x:row r="347" ht="18" customHeight="1">
      <x:c r="A347" s="13" t="n">
        <x:v>43091</x:v>
      </x:c>
      <x:c r="B347" s="12" t="str">
        <x:v>000300.SH</x:v>
      </x:c>
      <x:c r="C347" s="12" t="n">
        <x:v>4064.9131</x:v>
      </x:c>
      <x:c r="D347" s="12" t="n">
        <x:v>4076.8028</x:v>
      </x:c>
      <x:c r="E347" s="12" t="n">
        <x:v>4048.4913</x:v>
      </x:c>
      <x:c r="F347" s="12" t="n">
        <x:v>4054.5984</x:v>
      </x:c>
      <x:c r="G347" s="12" t="n">
        <x:v>4067.8485</x:v>
      </x:c>
      <x:c r="H347" s="12" t="n">
        <x:v>-13.2501</x:v>
      </x:c>
      <x:c r="I347" s="12" t="n">
        <x:v>-0.3257</x:v>
      </x:c>
      <x:c r="J347" s="12" t="n">
        <x:v>-0.003262591166558445</x:v>
      </x:c>
      <x:c r="K347" s="12" t="n">
        <x:v>73473684</x:v>
      </x:c>
      <x:c r="L347" s="12" t="n">
        <x:v>104426496.022</x:v>
      </x:c>
      <x:c r="M347" s="12" t="str">
        <x:v>TuShare index_daily</x:v>
      </x:c>
    </x:row>
    <x:row r="348" ht="18" customHeight="1">
      <x:c r="A348" s="13" t="n">
        <x:v>43094</x:v>
      </x:c>
      <x:c r="B348" s="12" t="str">
        <x:v>000300.SH</x:v>
      </x:c>
      <x:c r="C348" s="12" t="n">
        <x:v>4057.4173</x:v>
      </x:c>
      <x:c r="D348" s="12" t="n">
        <x:v>4086.9342</x:v>
      </x:c>
      <x:c r="E348" s="12" t="n">
        <x:v>4026.4496</x:v>
      </x:c>
      <x:c r="F348" s="12" t="n">
        <x:v>4041.5401</x:v>
      </x:c>
      <x:c r="G348" s="12" t="n">
        <x:v>4054.5984</x:v>
      </x:c>
      <x:c r="H348" s="12" t="n">
        <x:v>-13.0583</x:v>
      </x:c>
      <x:c r="I348" s="12" t="n">
        <x:v>-0.3221</x:v>
      </x:c>
      <x:c r="J348" s="12" t="n">
        <x:v>-0.0032258122371727847</x:v>
      </x:c>
      <x:c r="K348" s="12" t="n">
        <x:v>91926962</x:v>
      </x:c>
      <x:c r="L348" s="12" t="n">
        <x:v>129938839.152</x:v>
      </x:c>
      <x:c r="M348" s="12" t="str">
        <x:v>TuShare index_daily</x:v>
      </x:c>
    </x:row>
    <x:row r="349" ht="18" customHeight="1">
      <x:c r="A349" s="13" t="n">
        <x:v>43095</x:v>
      </x:c>
      <x:c r="B349" s="12" t="str">
        <x:v>000300.SH</x:v>
      </x:c>
      <x:c r="C349" s="12" t="n">
        <x:v>4040.6173</x:v>
      </x:c>
      <x:c r="D349" s="12" t="n">
        <x:v>4056.8554</x:v>
      </x:c>
      <x:c r="E349" s="12" t="n">
        <x:v>4015.2996</x:v>
      </x:c>
      <x:c r="F349" s="12" t="n">
        <x:v>4053.6224</x:v>
      </x:c>
      <x:c r="G349" s="12" t="n">
        <x:v>4041.5401</x:v>
      </x:c>
      <x:c r="H349" s="12" t="n">
        <x:v>12.0823</x:v>
      </x:c>
      <x:c r="I349" s="12" t="n">
        <x:v>0.299</x:v>
      </x:c>
      <x:c r="J349" s="12" t="n">
        <x:v>0.0029850689153547018</x:v>
      </x:c>
      <x:c r="K349" s="12" t="n">
        <x:v>91118790</x:v>
      </x:c>
      <x:c r="L349" s="12" t="n">
        <x:v>119725100.617</x:v>
      </x:c>
      <x:c r="M349" s="12" t="str">
        <x:v>TuShare index_daily</x:v>
      </x:c>
    </x:row>
    <x:row r="350" ht="18" customHeight="1">
      <x:c r="A350" s="13" t="n">
        <x:v>43096</x:v>
      </x:c>
      <x:c r="B350" s="12" t="str">
        <x:v>000300.SH</x:v>
      </x:c>
      <x:c r="C350" s="12" t="n">
        <x:v>4045.2793</x:v>
      </x:c>
      <x:c r="D350" s="12" t="n">
        <x:v>4047.7366</x:v>
      </x:c>
      <x:c r="E350" s="12" t="n">
        <x:v>3986.7385</x:v>
      </x:c>
      <x:c r="F350" s="12" t="n">
        <x:v>3991.2075</x:v>
      </x:c>
      <x:c r="G350" s="12" t="n">
        <x:v>4053.6224</x:v>
      </x:c>
      <x:c r="H350" s="12" t="n">
        <x:v>-62.4149</x:v>
      </x:c>
      <x:c r="I350" s="12" t="n">
        <x:v>-1.5397</x:v>
      </x:c>
      <x:c r="J350" s="12" t="n">
        <x:v>-0.01551708441951503</x:v>
      </x:c>
      <x:c r="K350" s="12" t="n">
        <x:v>105153577</x:v>
      </x:c>
      <x:c r="L350" s="12" t="n">
        <x:v>140516907.102</x:v>
      </x:c>
      <x:c r="M350" s="12" t="str">
        <x:v>TuShare index_daily</x:v>
      </x:c>
    </x:row>
    <x:row r="351" ht="18" customHeight="1">
      <x:c r="A351" s="13" t="n">
        <x:v>43097</x:v>
      </x:c>
      <x:c r="B351" s="12" t="str">
        <x:v>000300.SH</x:v>
      </x:c>
      <x:c r="C351" s="12" t="n">
        <x:v>3992.997</x:v>
      </x:c>
      <x:c r="D351" s="12" t="n">
        <x:v>4036.6975</x:v>
      </x:c>
      <x:c r="E351" s="12" t="n">
        <x:v>3980.2358</x:v>
      </x:c>
      <x:c r="F351" s="12" t="n">
        <x:v>4018.8974</x:v>
      </x:c>
      <x:c r="G351" s="12" t="n">
        <x:v>3991.2075</x:v>
      </x:c>
      <x:c r="H351" s="12" t="n">
        <x:v>27.6899</x:v>
      </x:c>
      <x:c r="I351" s="12" t="n">
        <x:v>0.6938</x:v>
      </x:c>
      <x:c r="J351" s="12" t="n">
        <x:v>0.00691376970568803</x:v>
      </x:c>
      <x:c r="K351" s="12" t="n">
        <x:v>118542886</x:v>
      </x:c>
      <x:c r="L351" s="12" t="n">
        <x:v>153636695.762</x:v>
      </x:c>
      <x:c r="M351" s="12" t="str">
        <x:v>TuShare index_daily</x:v>
      </x:c>
    </x:row>
    <x:row r="352" ht="18" customHeight="1">
      <x:c r="A352" s="13" t="n">
        <x:v>43098</x:v>
      </x:c>
      <x:c r="B352" s="12" t="str">
        <x:v>000300.SH</x:v>
      </x:c>
      <x:c r="C352" s="12" t="n">
        <x:v>4022.8826</x:v>
      </x:c>
      <x:c r="D352" s="12" t="n">
        <x:v>4043.14</x:v>
      </x:c>
      <x:c r="E352" s="12" t="n">
        <x:v>4012.8749</x:v>
      </x:c>
      <x:c r="F352" s="12" t="n">
        <x:v>4030.8549</x:v>
      </x:c>
      <x:c r="G352" s="12" t="n">
        <x:v>4018.8974</x:v>
      </x:c>
      <x:c r="H352" s="12" t="n">
        <x:v>11.9575</x:v>
      </x:c>
      <x:c r="I352" s="12" t="n">
        <x:v>0.2975</x:v>
      </x:c>
      <x:c r="J352" s="12" t="n">
        <x:v>0.002970901053686374</x:v>
      </x:c>
      <x:c r="K352" s="12" t="n">
        <x:v>90486683</x:v>
      </x:c>
      <x:c r="L352" s="12" t="n">
        <x:v>121257038.529</x:v>
      </x:c>
      <x:c r="M352" s="12" t="str">
        <x:v>TuShare index_daily</x:v>
      </x:c>
    </x:row>
    <x:row r="353" ht="18" customHeight="1">
      <x:c r="A353" s="13" t="n">
        <x:v>43102</x:v>
      </x:c>
      <x:c r="B353" s="12" t="str">
        <x:v>000300.SH</x:v>
      </x:c>
      <x:c r="C353" s="12" t="n">
        <x:v>4045.2086</x:v>
      </x:c>
      <x:c r="D353" s="12" t="n">
        <x:v>4087.7789</x:v>
      </x:c>
      <x:c r="E353" s="12" t="n">
        <x:v>4045.2086</x:v>
      </x:c>
      <x:c r="F353" s="12" t="n">
        <x:v>4087.4012</x:v>
      </x:c>
      <x:c r="G353" s="12" t="n">
        <x:v>4030.8549</x:v>
      </x:c>
      <x:c r="H353" s="12" t="n">
        <x:v>56.5463</x:v>
      </x:c>
      <x:c r="I353" s="12" t="n">
        <x:v>1.4028</x:v>
      </x:c>
      <x:c r="J353" s="12" t="n">
        <x:v>0.013930877221025127</x:v>
      </x:c>
      <x:c r="K353" s="12" t="n">
        <x:v>146935435</x:v>
      </x:c>
      <x:c r="L353" s="12" t="n">
        <x:v>178402032.875</x:v>
      </x:c>
      <x:c r="M353" s="12" t="str">
        <x:v>TuShare index_daily</x:v>
      </x:c>
    </x:row>
    <x:row r="354" ht="18" customHeight="1">
      <x:c r="A354" s="13" t="n">
        <x:v>43103</x:v>
      </x:c>
      <x:c r="B354" s="12" t="str">
        <x:v>000300.SH</x:v>
      </x:c>
      <x:c r="C354" s="12" t="n">
        <x:v>4091.4607</x:v>
      </x:c>
      <x:c r="D354" s="12" t="n">
        <x:v>4140.0543</x:v>
      </x:c>
      <x:c r="E354" s="12" t="n">
        <x:v>4088.7302</x:v>
      </x:c>
      <x:c r="F354" s="12" t="n">
        <x:v>4111.3925</x:v>
      </x:c>
      <x:c r="G354" s="12" t="n">
        <x:v>4087.4012</x:v>
      </x:c>
      <x:c r="H354" s="12" t="n">
        <x:v>23.9913</x:v>
      </x:c>
      <x:c r="I354" s="12" t="n">
        <x:v>0.587</x:v>
      </x:c>
      <x:c r="J354" s="12" t="n">
        <x:v>0.005852414234214498</x:v>
      </x:c>
      <x:c r="K354" s="12" t="n">
        <x:v>151852218</x:v>
      </x:c>
      <x:c r="L354" s="12" t="n">
        <x:v>205726889.556</x:v>
      </x:c>
      <x:c r="M354" s="12" t="str">
        <x:v>TuShare index_daily</x:v>
      </x:c>
    </x:row>
    <x:row r="355" ht="18" customHeight="1">
      <x:c r="A355" s="13" t="n">
        <x:v>43104</x:v>
      </x:c>
      <x:c r="B355" s="12" t="str">
        <x:v>000300.SH</x:v>
      </x:c>
      <x:c r="C355" s="12" t="n">
        <x:v>4114.1213</x:v>
      </x:c>
      <x:c r="D355" s="12" t="n">
        <x:v>4137.642</x:v>
      </x:c>
      <x:c r="E355" s="12" t="n">
        <x:v>4105.8858</x:v>
      </x:c>
      <x:c r="F355" s="12" t="n">
        <x:v>4128.8119</x:v>
      </x:c>
      <x:c r="G355" s="12" t="n">
        <x:v>4111.3925</x:v>
      </x:c>
      <x:c r="H355" s="12" t="n">
        <x:v>17.4194</x:v>
      </x:c>
      <x:c r="I355" s="12" t="n">
        <x:v>0.4237</x:v>
      </x:c>
      <x:c r="J355" s="12" t="n">
        <x:v>0.004227911129966085</x:v>
      </x:c>
      <x:c r="K355" s="12" t="n">
        <x:v>134543794</x:v>
      </x:c>
      <x:c r="L355" s="12" t="n">
        <x:v>174523556.133</x:v>
      </x:c>
      <x:c r="M355" s="12" t="str">
        <x:v>TuShare index_daily</x:v>
      </x:c>
    </x:row>
    <x:row r="356" ht="18" customHeight="1">
      <x:c r="A356" s="13" t="n">
        <x:v>43105</x:v>
      </x:c>
      <x:c r="B356" s="12" t="str">
        <x:v>000300.SH</x:v>
      </x:c>
      <x:c r="C356" s="12" t="n">
        <x:v>4133.3439</x:v>
      </x:c>
      <x:c r="D356" s="12" t="n">
        <x:v>4151.2818</x:v>
      </x:c>
      <x:c r="E356" s="12" t="n">
        <x:v>4123.2817</x:v>
      </x:c>
      <x:c r="F356" s="12" t="n">
        <x:v>4138.7505</x:v>
      </x:c>
      <x:c r="G356" s="12" t="n">
        <x:v>4128.8119</x:v>
      </x:c>
      <x:c r="H356" s="12" t="n">
        <x:v>9.9386</x:v>
      </x:c>
      <x:c r="I356" s="12" t="n">
        <x:v>0.2407</x:v>
      </x:c>
      <x:c r="J356" s="12" t="n">
        <x:v>0.0024042406471347275</x:v>
      </x:c>
      <x:c r="K356" s="12" t="n">
        <x:v>149009872</x:v>
      </x:c>
      <x:c r="L356" s="12" t="n">
        <x:v>185206293.226</x:v>
      </x:c>
      <x:c r="M356" s="12" t="str">
        <x:v>TuShare index_daily</x:v>
      </x:c>
    </x:row>
    <x:row r="357" ht="18" customHeight="1">
      <x:c r="A357" s="13" t="n">
        <x:v>43108</x:v>
      </x:c>
      <x:c r="B357" s="12" t="str">
        <x:v>000300.SH</x:v>
      </x:c>
      <x:c r="C357" s="12" t="n">
        <x:v>4140.8545</x:v>
      </x:c>
      <x:c r="D357" s="12" t="n">
        <x:v>4166.3182</x:v>
      </x:c>
      <x:c r="E357" s="12" t="n">
        <x:v>4127.3081</x:v>
      </x:c>
      <x:c r="F357" s="12" t="n">
        <x:v>4160.1595</x:v>
      </x:c>
      <x:c r="G357" s="12" t="n">
        <x:v>4138.7505</x:v>
      </x:c>
      <x:c r="H357" s="12" t="n">
        <x:v>21.409</x:v>
      </x:c>
      <x:c r="I357" s="12" t="n">
        <x:v>0.5173</x:v>
      </x:c>
      <x:c r="J357" s="12" t="n">
        <x:v>0.0051594841955802774</x:v>
      </x:c>
      <x:c r="K357" s="12" t="n">
        <x:v>173877666</x:v>
      </x:c>
      <x:c r="L357" s="12" t="n">
        <x:v>226403872.932</x:v>
      </x:c>
      <x:c r="M357" s="12" t="str">
        <x:v>TuShare index_daily</x:v>
      </x:c>
    </x:row>
    <x:row r="358" ht="18" customHeight="1">
      <x:c r="A358" s="13" t="n">
        <x:v>43109</x:v>
      </x:c>
      <x:c r="B358" s="12" t="str">
        <x:v>000300.SH</x:v>
      </x:c>
      <x:c r="C358" s="12" t="n">
        <x:v>4157.5394</x:v>
      </x:c>
      <x:c r="D358" s="12" t="n">
        <x:v>4191.2843</x:v>
      </x:c>
      <x:c r="E358" s="12" t="n">
        <x:v>4153.5021</x:v>
      </x:c>
      <x:c r="F358" s="12" t="n">
        <x:v>4189.2977</x:v>
      </x:c>
      <x:c r="G358" s="12" t="n">
        <x:v>4160.1595</x:v>
      </x:c>
      <x:c r="H358" s="12" t="n">
        <x:v>29.1382</x:v>
      </x:c>
      <x:c r="I358" s="12" t="n">
        <x:v>0.7004</x:v>
      </x:c>
      <x:c r="J358" s="12" t="n">
        <x:v>0.006979691635886268</x:v>
      </x:c>
      <x:c r="K358" s="12" t="n">
        <x:v>139034294</x:v>
      </x:c>
      <x:c r="L358" s="12" t="n">
        <x:v>181975079.758</x:v>
      </x:c>
      <x:c r="M358" s="12" t="str">
        <x:v>TuShare index_daily</x:v>
      </x:c>
    </x:row>
    <x:row r="359" ht="18" customHeight="1">
      <x:c r="A359" s="13" t="n">
        <x:v>43110</x:v>
      </x:c>
      <x:c r="B359" s="12" t="str">
        <x:v>000300.SH</x:v>
      </x:c>
      <x:c r="C359" s="12" t="n">
        <x:v>4187.2044</x:v>
      </x:c>
      <x:c r="D359" s="12" t="n">
        <x:v>4211.0549</x:v>
      </x:c>
      <x:c r="E359" s="12" t="n">
        <x:v>4175.1355</x:v>
      </x:c>
      <x:c r="F359" s="12" t="n">
        <x:v>4207.8132</x:v>
      </x:c>
      <x:c r="G359" s="12" t="n">
        <x:v>4189.2977</x:v>
      </x:c>
      <x:c r="H359" s="12" t="n">
        <x:v>18.5155</x:v>
      </x:c>
      <x:c r="I359" s="12" t="n">
        <x:v>0.442</x:v>
      </x:c>
      <x:c r="J359" s="12" t="n">
        <x:v>0.004409976294888542</x:v>
      </x:c>
      <x:c r="K359" s="12" t="n">
        <x:v>151121666</x:v>
      </x:c>
      <x:c r="L359" s="12" t="n">
        <x:v>194850253.886</x:v>
      </x:c>
      <x:c r="M359" s="12" t="str">
        <x:v>TuShare index_daily</x:v>
      </x:c>
    </x:row>
    <x:row r="360" ht="18" customHeight="1">
      <x:c r="A360" s="13" t="n">
        <x:v>43111</x:v>
      </x:c>
      <x:c r="B360" s="12" t="str">
        <x:v>000300.SH</x:v>
      </x:c>
      <x:c r="C360" s="12" t="n">
        <x:v>4197.1136</x:v>
      </x:c>
      <x:c r="D360" s="12" t="n">
        <x:v>4211.799</x:v>
      </x:c>
      <x:c r="E360" s="12" t="n">
        <x:v>4181.9572</x:v>
      </x:c>
      <x:c r="F360" s="12" t="n">
        <x:v>4205.5863</x:v>
      </x:c>
      <x:c r="G360" s="12" t="n">
        <x:v>4207.8132</x:v>
      </x:c>
      <x:c r="H360" s="12" t="n">
        <x:v>-2.2269</x:v>
      </x:c>
      <x:c r="I360" s="12" t="n">
        <x:v>-0.0529</x:v>
      </x:c>
      <x:c r="J360" s="12" t="n">
        <x:v>-0.000529369858641328</x:v>
      </x:c>
      <x:c r="K360" s="12" t="n">
        <x:v>121578539</x:v>
      </x:c>
      <x:c r="L360" s="12" t="n">
        <x:v>170407305.946</x:v>
      </x:c>
      <x:c r="M360" s="12" t="str">
        <x:v>TuShare index_daily</x:v>
      </x:c>
    </x:row>
    <x:row r="361" ht="18" customHeight="1">
      <x:c r="A361" s="13" t="n">
        <x:v>43112</x:v>
      </x:c>
      <x:c r="B361" s="12" t="str">
        <x:v>000300.SH</x:v>
      </x:c>
      <x:c r="C361" s="12" t="n">
        <x:v>4205.1444</x:v>
      </x:c>
      <x:c r="D361" s="12" t="n">
        <x:v>4227.3923</x:v>
      </x:c>
      <x:c r="E361" s="12" t="n">
        <x:v>4199.0251</x:v>
      </x:c>
      <x:c r="F361" s="12" t="n">
        <x:v>4225.001</x:v>
      </x:c>
      <x:c r="G361" s="12" t="n">
        <x:v>4205.5863</x:v>
      </x:c>
      <x:c r="H361" s="12" t="n">
        <x:v>19.4147</x:v>
      </x:c>
      <x:c r="I361" s="12" t="n">
        <x:v>0.4616</x:v>
      </x:c>
      <x:c r="J361" s="12" t="n">
        <x:v>0.004605784539051153</x:v>
      </x:c>
      <x:c r="K361" s="12" t="n">
        <x:v>111354794</x:v>
      </x:c>
      <x:c r="L361" s="12" t="n">
        <x:v>157606210.635</x:v>
      </x:c>
      <x:c r="M361" s="12" t="str">
        <x:v>TuShare index_daily</x:v>
      </x:c>
    </x:row>
    <x:row r="362" ht="18" customHeight="1">
      <x:c r="A362" s="13" t="n">
        <x:v>43115</x:v>
      </x:c>
      <x:c r="B362" s="12" t="str">
        <x:v>000300.SH</x:v>
      </x:c>
      <x:c r="C362" s="12" t="n">
        <x:v>4229.8357</x:v>
      </x:c>
      <x:c r="D362" s="12" t="n">
        <x:v>4262.9314</x:v>
      </x:c>
      <x:c r="E362" s="12" t="n">
        <x:v>4216.3585</x:v>
      </x:c>
      <x:c r="F362" s="12" t="n">
        <x:v>4225.2393</x:v>
      </x:c>
      <x:c r="G362" s="12" t="n">
        <x:v>4225.001</x:v>
      </x:c>
      <x:c r="H362" s="12" t="n">
        <x:v>0.2383</x:v>
      </x:c>
      <x:c r="I362" s="12" t="n">
        <x:v>0.0056</x:v>
      </x:c>
      <x:c r="J362" s="12" t="n">
        <x:v>0.00005640076296140589</x:v>
      </x:c>
      <x:c r="K362" s="12" t="n">
        <x:v>170907897</x:v>
      </x:c>
      <x:c r="L362" s="12" t="n">
        <x:v>234986586.088</x:v>
      </x:c>
      <x:c r="M362" s="12" t="str">
        <x:v>TuShare index_daily</x:v>
      </x:c>
    </x:row>
    <x:row r="363" ht="18" customHeight="1">
      <x:c r="A363" s="13" t="n">
        <x:v>43116</x:v>
      </x:c>
      <x:c r="B363" s="12" t="str">
        <x:v>000300.SH</x:v>
      </x:c>
      <x:c r="C363" s="12" t="n">
        <x:v>4215.6247</x:v>
      </x:c>
      <x:c r="D363" s="12" t="n">
        <x:v>4260.2118</x:v>
      </x:c>
      <x:c r="E363" s="12" t="n">
        <x:v>4213.1275</x:v>
      </x:c>
      <x:c r="F363" s="12" t="n">
        <x:v>4258.473</x:v>
      </x:c>
      <x:c r="G363" s="12" t="n">
        <x:v>4225.2393</x:v>
      </x:c>
      <x:c r="H363" s="12" t="n">
        <x:v>33.2337</x:v>
      </x:c>
      <x:c r="I363" s="12" t="n">
        <x:v>0.7866</x:v>
      </x:c>
      <x:c r="J363" s="12" t="n">
        <x:v>0.0078347470597828</x:v>
      </x:c>
      <x:c r="K363" s="12" t="n">
        <x:v>161494963</x:v>
      </x:c>
      <x:c r="L363" s="12" t="n">
        <x:v>228271224.756</x:v>
      </x:c>
      <x:c r="M363" s="12" t="str">
        <x:v>TuShare index_daily</x:v>
      </x:c>
    </x:row>
    <x:row r="364" ht="18" customHeight="1">
      <x:c r="A364" s="13" t="n">
        <x:v>43117</x:v>
      </x:c>
      <x:c r="B364" s="12" t="str">
        <x:v>000300.SH</x:v>
      </x:c>
      <x:c r="C364" s="12" t="n">
        <x:v>4261.7833</x:v>
      </x:c>
      <x:c r="D364" s="12" t="n">
        <x:v>4283.3449</x:v>
      </x:c>
      <x:c r="E364" s="12" t="n">
        <x:v>4230.5367</x:v>
      </x:c>
      <x:c r="F364" s="12" t="n">
        <x:v>4248.1164</x:v>
      </x:c>
      <x:c r="G364" s="12" t="n">
        <x:v>4258.473</x:v>
      </x:c>
      <x:c r="H364" s="12" t="n">
        <x:v>-10.3566</x:v>
      </x:c>
      <x:c r="I364" s="12" t="n">
        <x:v>-0.2432</x:v>
      </x:c>
      <x:c r="J364" s="12" t="n">
        <x:v>-0.002434960624066686</x:v>
      </x:c>
      <x:c r="K364" s="12" t="n">
        <x:v>214311032</x:v>
      </x:c>
      <x:c r="L364" s="12" t="n">
        <x:v>284554359.815</x:v>
      </x:c>
      <x:c r="M364" s="12" t="str">
        <x:v>TuShare index_daily</x:v>
      </x:c>
    </x:row>
    <x:row r="365" ht="18" customHeight="1">
      <x:c r="A365" s="13" t="n">
        <x:v>43118</x:v>
      </x:c>
      <x:c r="B365" s="12" t="str">
        <x:v>000300.SH</x:v>
      </x:c>
      <x:c r="C365" s="12" t="n">
        <x:v>4259.375</x:v>
      </x:c>
      <x:c r="D365" s="12" t="n">
        <x:v>4292.6372</x:v>
      </x:c>
      <x:c r="E365" s="12" t="n">
        <x:v>4246.684</x:v>
      </x:c>
      <x:c r="F365" s="12" t="n">
        <x:v>4271.4168</x:v>
      </x:c>
      <x:c r="G365" s="12" t="n">
        <x:v>4248.1164</x:v>
      </x:c>
      <x:c r="H365" s="12" t="n">
        <x:v>23.3004</x:v>
      </x:c>
      <x:c r="I365" s="12" t="n">
        <x:v>0.5485</x:v>
      </x:c>
      <x:c r="J365" s="12" t="n">
        <x:v>0.0054698907905102205</x:v>
      </x:c>
      <x:c r="K365" s="12" t="n">
        <x:v>172032846</x:v>
      </x:c>
      <x:c r="L365" s="12" t="n">
        <x:v>225289688.909</x:v>
      </x:c>
      <x:c r="M365" s="12" t="str">
        <x:v>TuShare index_daily</x:v>
      </x:c>
    </x:row>
    <x:row r="366" ht="18" customHeight="1">
      <x:c r="A366" s="13" t="n">
        <x:v>43119</x:v>
      </x:c>
      <x:c r="B366" s="12" t="str">
        <x:v>000300.SH</x:v>
      </x:c>
      <x:c r="C366" s="12" t="n">
        <x:v>4281.9371</x:v>
      </x:c>
      <x:c r="D366" s="12" t="n">
        <x:v>4316.5714</x:v>
      </x:c>
      <x:c r="E366" s="12" t="n">
        <x:v>4269.6167</x:v>
      </x:c>
      <x:c r="F366" s="12" t="n">
        <x:v>4285.395</x:v>
      </x:c>
      <x:c r="G366" s="12" t="n">
        <x:v>4271.4168</x:v>
      </x:c>
      <x:c r="H366" s="12" t="n">
        <x:v>13.9782</x:v>
      </x:c>
      <x:c r="I366" s="12" t="n">
        <x:v>0.3272</x:v>
      </x:c>
      <x:c r="J366" s="12" t="n">
        <x:v>0.003267154346892089</x:v>
      </x:c>
      <x:c r="K366" s="12" t="n">
        <x:v>209490570</x:v>
      </x:c>
      <x:c r="L366" s="12" t="n">
        <x:v>258554725.36</x:v>
      </x:c>
      <x:c r="M366" s="12" t="str">
        <x:v>TuShare index_daily</x:v>
      </x:c>
    </x:row>
    <x:row r="367" ht="18" customHeight="1">
      <x:c r="A367" s="13" t="n">
        <x:v>43122</x:v>
      </x:c>
      <x:c r="B367" s="12" t="str">
        <x:v>000300.SH</x:v>
      </x:c>
      <x:c r="C367" s="12" t="n">
        <x:v>4276.4811</x:v>
      </x:c>
      <x:c r="D367" s="12" t="n">
        <x:v>4338.4832</x:v>
      </x:c>
      <x:c r="E367" s="12" t="n">
        <x:v>4275.8977</x:v>
      </x:c>
      <x:c r="F367" s="12" t="n">
        <x:v>4336.5974</x:v>
      </x:c>
      <x:c r="G367" s="12" t="n">
        <x:v>4285.395</x:v>
      </x:c>
      <x:c r="H367" s="12" t="n">
        <x:v>51.2024</x:v>
      </x:c>
      <x:c r="I367" s="12" t="n">
        <x:v>1.1948</x:v>
      </x:c>
      <x:c r="J367" s="12" t="n">
        <x:v>0.011877301568188106</x:v>
      </x:c>
      <x:c r="K367" s="12" t="n">
        <x:v>174643195</x:v>
      </x:c>
      <x:c r="L367" s="12" t="n">
        <x:v>233960223.311</x:v>
      </x:c>
      <x:c r="M367" s="12" t="str">
        <x:v>TuShare index_daily</x:v>
      </x:c>
    </x:row>
    <x:row r="368" ht="18" customHeight="1">
      <x:c r="A368" s="13" t="n">
        <x:v>43123</x:v>
      </x:c>
      <x:c r="B368" s="12" t="str">
        <x:v>000300.SH</x:v>
      </x:c>
      <x:c r="C368" s="12" t="n">
        <x:v>4346.8885</x:v>
      </x:c>
      <x:c r="D368" s="12" t="n">
        <x:v>4383.5722</x:v>
      </x:c>
      <x:c r="E368" s="12" t="n">
        <x:v>4346.7925</x:v>
      </x:c>
      <x:c r="F368" s="12" t="n">
        <x:v>4382.6129</x:v>
      </x:c>
      <x:c r="G368" s="12" t="n">
        <x:v>4336.5974</x:v>
      </x:c>
      <x:c r="H368" s="12" t="n">
        <x:v>46.0155</x:v>
      </x:c>
      <x:c r="I368" s="12" t="n">
        <x:v>1.0611</x:v>
      </x:c>
      <x:c r="J368" s="12" t="n">
        <x:v>0.010555067633287804</x:v>
      </x:c>
      <x:c r="K368" s="12" t="n">
        <x:v>201867585</x:v>
      </x:c>
      <x:c r="L368" s="12" t="n">
        <x:v>257113359.897</x:v>
      </x:c>
      <x:c r="M368" s="12" t="str">
        <x:v>TuShare index_daily</x:v>
      </x:c>
    </x:row>
    <x:row r="369" ht="18" customHeight="1">
      <x:c r="A369" s="13" t="n">
        <x:v>43124</x:v>
      </x:c>
      <x:c r="B369" s="12" t="str">
        <x:v>000300.SH</x:v>
      </x:c>
      <x:c r="C369" s="12" t="n">
        <x:v>4389.4547</x:v>
      </x:c>
      <x:c r="D369" s="12" t="n">
        <x:v>4397.8196</x:v>
      </x:c>
      <x:c r="E369" s="12" t="n">
        <x:v>4349.0865</x:v>
      </x:c>
      <x:c r="F369" s="12" t="n">
        <x:v>4389.8853</x:v>
      </x:c>
      <x:c r="G369" s="12" t="n">
        <x:v>4382.6129</x:v>
      </x:c>
      <x:c r="H369" s="12" t="n">
        <x:v>7.2724</x:v>
      </x:c>
      <x:c r="I369" s="12" t="n">
        <x:v>0.1659</x:v>
      </x:c>
      <x:c r="J369" s="12" t="n">
        <x:v>0.0016580001500516833</x:v>
      </x:c>
      <x:c r="K369" s="12" t="n">
        <x:v>219818889</x:v>
      </x:c>
      <x:c r="L369" s="12" t="n">
        <x:v>284470809.53</x:v>
      </x:c>
      <x:c r="M369" s="12" t="str">
        <x:v>TuShare index_daily</x:v>
      </x:c>
    </x:row>
    <x:row r="370" ht="18" customHeight="1">
      <x:c r="A370" s="13" t="n">
        <x:v>43125</x:v>
      </x:c>
      <x:c r="B370" s="12" t="str">
        <x:v>000300.SH</x:v>
      </x:c>
      <x:c r="C370" s="12" t="n">
        <x:v>4381.9768</x:v>
      </x:c>
      <x:c r="D370" s="12" t="n">
        <x:v>4392.1963</x:v>
      </x:c>
      <x:c r="E370" s="12" t="n">
        <x:v>4336.2386</x:v>
      </x:c>
      <x:c r="F370" s="12" t="n">
        <x:v>4365.0794</x:v>
      </x:c>
      <x:c r="G370" s="12" t="n">
        <x:v>4389.8853</x:v>
      </x:c>
      <x:c r="H370" s="12" t="n">
        <x:v>-24.8059</x:v>
      </x:c>
      <x:c r="I370" s="12" t="n">
        <x:v>-0.5651</x:v>
      </x:c>
      <x:c r="J370" s="12" t="n">
        <x:v>-0.005666719908068406</x:v>
      </x:c>
      <x:c r="K370" s="12" t="n">
        <x:v>195374950</x:v>
      </x:c>
      <x:c r="L370" s="12" t="n">
        <x:v>250308091.87</x:v>
      </x:c>
      <x:c r="M370" s="12" t="str">
        <x:v>TuShare index_daily</x:v>
      </x:c>
    </x:row>
    <x:row r="371" ht="18" customHeight="1">
      <x:c r="A371" s="13" t="n">
        <x:v>43126</x:v>
      </x:c>
      <x:c r="B371" s="12" t="str">
        <x:v>000300.SH</x:v>
      </x:c>
      <x:c r="C371" s="12" t="n">
        <x:v>4352.2211</x:v>
      </x:c>
      <x:c r="D371" s="12" t="n">
        <x:v>4403.3375</x:v>
      </x:c>
      <x:c r="E371" s="12" t="n">
        <x:v>4351.4871</x:v>
      </x:c>
      <x:c r="F371" s="12" t="n">
        <x:v>4381.2996</x:v>
      </x:c>
      <x:c r="G371" s="12" t="n">
        <x:v>4365.0794</x:v>
      </x:c>
      <x:c r="H371" s="12" t="n">
        <x:v>16.2202</x:v>
      </x:c>
      <x:c r="I371" s="12" t="n">
        <x:v>0.3716</x:v>
      </x:c>
      <x:c r="J371" s="12" t="n">
        <x:v>0.003709013431685871</x:v>
      </x:c>
      <x:c r="K371" s="12" t="n">
        <x:v>177227237</x:v>
      </x:c>
      <x:c r="L371" s="12" t="n">
        <x:v>223331309.122</x:v>
      </x:c>
      <x:c r="M371" s="12" t="str">
        <x:v>TuShare index_daily</x:v>
      </x:c>
    </x:row>
    <x:row r="372" ht="18" customHeight="1">
      <x:c r="A372" s="13" t="n">
        <x:v>43129</x:v>
      </x:c>
      <x:c r="B372" s="12" t="str">
        <x:v>000300.SH</x:v>
      </x:c>
      <x:c r="C372" s="12" t="n">
        <x:v>4387.0577</x:v>
      </x:c>
      <x:c r="D372" s="12" t="n">
        <x:v>4395.9053</x:v>
      </x:c>
      <x:c r="E372" s="12" t="n">
        <x:v>4287.1124</x:v>
      </x:c>
      <x:c r="F372" s="12" t="n">
        <x:v>4302.0181</x:v>
      </x:c>
      <x:c r="G372" s="12" t="n">
        <x:v>4381.2996</x:v>
      </x:c>
      <x:c r="H372" s="12" t="n">
        <x:v>-79.2815</x:v>
      </x:c>
      <x:c r="I372" s="12" t="n">
        <x:v>-1.8095</x:v>
      </x:c>
      <x:c r="J372" s="12" t="n">
        <x:v>-0.018261154524616036</x:v>
      </x:c>
      <x:c r="K372" s="12" t="n">
        <x:v>191100354</x:v>
      </x:c>
      <x:c r="L372" s="12" t="n">
        <x:v>256176323.789</x:v>
      </x:c>
      <x:c r="M372" s="12" t="str">
        <x:v>TuShare index_daily</x:v>
      </x:c>
    </x:row>
    <x:row r="373" ht="18" customHeight="1">
      <x:c r="A373" s="13" t="n">
        <x:v>43130</x:v>
      </x:c>
      <x:c r="B373" s="12" t="str">
        <x:v>000300.SH</x:v>
      </x:c>
      <x:c r="C373" s="12" t="n">
        <x:v>4286.6834</x:v>
      </x:c>
      <x:c r="D373" s="12" t="n">
        <x:v>4308.5115</x:v>
      </x:c>
      <x:c r="E373" s="12" t="n">
        <x:v>4251.5706</x:v>
      </x:c>
      <x:c r="F373" s="12" t="n">
        <x:v>4256.1021</x:v>
      </x:c>
      <x:c r="G373" s="12" t="n">
        <x:v>4302.0181</x:v>
      </x:c>
      <x:c r="H373" s="12" t="n">
        <x:v>-45.916</x:v>
      </x:c>
      <x:c r="I373" s="12" t="n">
        <x:v>-1.0673</x:v>
      </x:c>
      <x:c r="J373" s="12" t="n">
        <x:v>-0.010730496768858172</x:v>
      </x:c>
      <x:c r="K373" s="12" t="n">
        <x:v>139034730</x:v>
      </x:c>
      <x:c r="L373" s="12" t="n">
        <x:v>186650566.155</x:v>
      </x:c>
      <x:c r="M373" s="12" t="str">
        <x:v>TuShare index_daily</x:v>
      </x:c>
    </x:row>
    <x:row r="374" ht="18" customHeight="1">
      <x:c r="A374" s="13" t="n">
        <x:v>43131</x:v>
      </x:c>
      <x:c r="B374" s="12" t="str">
        <x:v>000300.SH</x:v>
      </x:c>
      <x:c r="C374" s="12" t="n">
        <x:v>4234.1101</x:v>
      </x:c>
      <x:c r="D374" s="12" t="n">
        <x:v>4287.8576</x:v>
      </x:c>
      <x:c r="E374" s="12" t="n">
        <x:v>4232.7727</x:v>
      </x:c>
      <x:c r="F374" s="12" t="n">
        <x:v>4275.8986</x:v>
      </x:c>
      <x:c r="G374" s="12" t="n">
        <x:v>4256.1021</x:v>
      </x:c>
      <x:c r="H374" s="12" t="n">
        <x:v>19.7965</x:v>
      </x:c>
      <x:c r="I374" s="12" t="n">
        <x:v>0.4651</x:v>
      </x:c>
      <x:c r="J374" s="12" t="n">
        <x:v>0.0046405377172039795</x:v>
      </x:c>
      <x:c r="K374" s="12" t="n">
        <x:v>145210164</x:v>
      </x:c>
      <x:c r="L374" s="12" t="n">
        <x:v>194401798.025</x:v>
      </x:c>
      <x:c r="M374" s="12" t="str">
        <x:v>TuShare index_daily</x:v>
      </x:c>
    </x:row>
    <x:row r="375" ht="18" customHeight="1">
      <x:c r="A375" s="13" t="n">
        <x:v>43132</x:v>
      </x:c>
      <x:c r="B375" s="12" t="str">
        <x:v>000300.SH</x:v>
      </x:c>
      <x:c r="C375" s="12" t="n">
        <x:v>4276.3425</x:v>
      </x:c>
      <x:c r="D375" s="12" t="n">
        <x:v>4287.3888</x:v>
      </x:c>
      <x:c r="E375" s="12" t="n">
        <x:v>4214.2909</x:v>
      </x:c>
      <x:c r="F375" s="12" t="n">
        <x:v>4245.8978</x:v>
      </x:c>
      <x:c r="G375" s="12" t="n">
        <x:v>4275.8986</x:v>
      </x:c>
      <x:c r="H375" s="12" t="n">
        <x:v>-30.0008</x:v>
      </x:c>
      <x:c r="I375" s="12" t="n">
        <x:v>-0.7016</x:v>
      </x:c>
      <x:c r="J375" s="12" t="n">
        <x:v>-0.007040985851740781</x:v>
      </x:c>
      <x:c r="K375" s="12" t="n">
        <x:v>190002934</x:v>
      </x:c>
      <x:c r="L375" s="12" t="n">
        <x:v>239230298.933</x:v>
      </x:c>
      <x:c r="M375" s="12" t="str">
        <x:v>TuShare index_daily</x:v>
      </x:c>
    </x:row>
    <x:row r="376" ht="18" customHeight="1">
      <x:c r="A376" s="13" t="n">
        <x:v>43133</x:v>
      </x:c>
      <x:c r="B376" s="12" t="str">
        <x:v>000300.SH</x:v>
      </x:c>
      <x:c r="C376" s="12" t="n">
        <x:v>4213.9386</x:v>
      </x:c>
      <x:c r="D376" s="12" t="n">
        <x:v>4271.7647</x:v>
      </x:c>
      <x:c r="E376" s="12" t="n">
        <x:v>4181.7793</x:v>
      </x:c>
      <x:c r="F376" s="12" t="n">
        <x:v>4271.2326</x:v>
      </x:c>
      <x:c r="G376" s="12" t="n">
        <x:v>4245.8978</x:v>
      </x:c>
      <x:c r="H376" s="12" t="n">
        <x:v>25.3348</x:v>
      </x:c>
      <x:c r="I376" s="12" t="n">
        <x:v>0.5967</x:v>
      </x:c>
      <x:c r="J376" s="12" t="n">
        <x:v>0.005949157411450897</x:v>
      </x:c>
      <x:c r="K376" s="12" t="n">
        <x:v>146066827</x:v>
      </x:c>
      <x:c r="L376" s="12" t="n">
        <x:v>191169867.288</x:v>
      </x:c>
      <x:c r="M376" s="12" t="str">
        <x:v>TuShare index_daily</x:v>
      </x:c>
    </x:row>
    <x:row r="377" ht="18" customHeight="1">
      <x:c r="A377" s="13" t="n">
        <x:v>43136</x:v>
      </x:c>
      <x:c r="B377" s="12" t="str">
        <x:v>000300.SH</x:v>
      </x:c>
      <x:c r="C377" s="12" t="n">
        <x:v>4204.458</x:v>
      </x:c>
      <x:c r="D377" s="12" t="n">
        <x:v>4274.1464</x:v>
      </x:c>
      <x:c r="E377" s="12" t="n">
        <x:v>4200.1409</x:v>
      </x:c>
      <x:c r="F377" s="12" t="n">
        <x:v>4274.1464</x:v>
      </x:c>
      <x:c r="G377" s="12" t="n">
        <x:v>4271.2326</x:v>
      </x:c>
      <x:c r="H377" s="12" t="n">
        <x:v>2.9138</x:v>
      </x:c>
      <x:c r="I377" s="12" t="n">
        <x:v>0.0682</x:v>
      </x:c>
      <x:c r="J377" s="12" t="n">
        <x:v>0.0006819592467287383</x:v>
      </x:c>
      <x:c r="K377" s="12" t="n">
        <x:v>161347799</x:v>
      </x:c>
      <x:c r="L377" s="12" t="n">
        <x:v>217360144.504</x:v>
      </x:c>
      <x:c r="M377" s="12" t="str">
        <x:v>TuShare index_daily</x:v>
      </x:c>
    </x:row>
    <x:row r="378" ht="18" customHeight="1">
      <x:c r="A378" s="13" t="n">
        <x:v>43137</x:v>
      </x:c>
      <x:c r="B378" s="12" t="str">
        <x:v>000300.SH</x:v>
      </x:c>
      <x:c r="C378" s="12" t="n">
        <x:v>4182.3257</x:v>
      </x:c>
      <x:c r="D378" s="12" t="n">
        <x:v>4211.5234</x:v>
      </x:c>
      <x:c r="E378" s="12" t="n">
        <x:v>4131.5562</x:v>
      </x:c>
      <x:c r="F378" s="12" t="n">
        <x:v>4148.8856</x:v>
      </x:c>
      <x:c r="G378" s="12" t="n">
        <x:v>4274.1464</x:v>
      </x:c>
      <x:c r="H378" s="12" t="n">
        <x:v>-125.2608</x:v>
      </x:c>
      <x:c r="I378" s="12" t="n">
        <x:v>-2.9307</x:v>
      </x:c>
      <x:c r="J378" s="12" t="n">
        <x:v>-0.02974464187543662</x:v>
      </x:c>
      <x:c r="K378" s="12" t="n">
        <x:v>214910450</x:v>
      </x:c>
      <x:c r="L378" s="12" t="n">
        <x:v>279415083.155</x:v>
      </x:c>
      <x:c r="M378" s="12" t="str">
        <x:v>TuShare index_daily</x:v>
      </x:c>
    </x:row>
    <x:row r="379" ht="18" customHeight="1">
      <x:c r="A379" s="13" t="n">
        <x:v>43138</x:v>
      </x:c>
      <x:c r="B379" s="12" t="str">
        <x:v>000300.SH</x:v>
      </x:c>
      <x:c r="C379" s="12" t="n">
        <x:v>4205.7365</x:v>
      </x:c>
      <x:c r="D379" s="12" t="n">
        <x:v>4212.5677</x:v>
      </x:c>
      <x:c r="E379" s="12" t="n">
        <x:v>4048.4228</x:v>
      </x:c>
      <x:c r="F379" s="12" t="n">
        <x:v>4050.4972</x:v>
      </x:c>
      <x:c r="G379" s="12" t="n">
        <x:v>4148.8856</x:v>
      </x:c>
      <x:c r="H379" s="12" t="n">
        <x:v>-98.3884</x:v>
      </x:c>
      <x:c r="I379" s="12" t="n">
        <x:v>-2.3714</x:v>
      </x:c>
      <x:c r="J379" s="12" t="n">
        <x:v>-0.024000129045968894</x:v>
      </x:c>
      <x:c r="K379" s="12" t="n">
        <x:v>203127493</x:v>
      </x:c>
      <x:c r="L379" s="12" t="n">
        <x:v>261507027.391</x:v>
      </x:c>
      <x:c r="M379" s="12" t="str">
        <x:v>TuShare index_daily</x:v>
      </x:c>
    </x:row>
    <x:row r="380" ht="18" customHeight="1">
      <x:c r="A380" s="13" t="n">
        <x:v>43139</x:v>
      </x:c>
      <x:c r="B380" s="12" t="str">
        <x:v>000300.SH</x:v>
      </x:c>
      <x:c r="C380" s="12" t="n">
        <x:v>4022.8802</x:v>
      </x:c>
      <x:c r="D380" s="12" t="n">
        <x:v>4071.6653</x:v>
      </x:c>
      <x:c r="E380" s="12" t="n">
        <x:v>3974.6779</x:v>
      </x:c>
      <x:c r="F380" s="12" t="n">
        <x:v>4012.0472</x:v>
      </x:c>
      <x:c r="G380" s="12" t="n">
        <x:v>4050.4972</x:v>
      </x:c>
      <x:c r="H380" s="12" t="n">
        <x:v>-38.45</x:v>
      </x:c>
      <x:c r="I380" s="12" t="n">
        <x:v>-0.9493</x:v>
      </x:c>
      <x:c r="J380" s="12" t="n">
        <x:v>-0.009538004279119664</x:v>
      </x:c>
      <x:c r="K380" s="12" t="n">
        <x:v>159269985</x:v>
      </x:c>
      <x:c r="L380" s="12" t="n">
        <x:v>199061771.955</x:v>
      </x:c>
      <x:c r="M380" s="12" t="str">
        <x:v>TuShare index_daily</x:v>
      </x:c>
    </x:row>
    <x:row r="381" ht="18" customHeight="1">
      <x:c r="A381" s="13" t="n">
        <x:v>43140</x:v>
      </x:c>
      <x:c r="B381" s="12" t="str">
        <x:v>000300.SH</x:v>
      </x:c>
      <x:c r="C381" s="12" t="n">
        <x:v>3896.1691</x:v>
      </x:c>
      <x:c r="D381" s="12" t="n">
        <x:v>3911.2917</x:v>
      </x:c>
      <x:c r="E381" s="12" t="n">
        <x:v>3759.1463</x:v>
      </x:c>
      <x:c r="F381" s="12" t="n">
        <x:v>3840.6527</x:v>
      </x:c>
      <x:c r="G381" s="12" t="n">
        <x:v>4012.0472</x:v>
      </x:c>
      <x:c r="H381" s="12" t="n">
        <x:v>-171.3945</x:v>
      </x:c>
      <x:c r="I381" s="12" t="n">
        <x:v>-4.272</x:v>
      </x:c>
      <x:c r="J381" s="12" t="n">
        <x:v>-0.04365930862233555</x:v>
      </x:c>
      <x:c r="K381" s="12" t="n">
        <x:v>206349828</x:v>
      </x:c>
      <x:c r="L381" s="12" t="n">
        <x:v>246774828.431</x:v>
      </x:c>
      <x:c r="M381" s="12" t="str">
        <x:v>TuShare index_daily</x:v>
      </x:c>
    </x:row>
    <x:row r="382" ht="18" customHeight="1">
      <x:c r="A382" s="13" t="n">
        <x:v>43143</x:v>
      </x:c>
      <x:c r="B382" s="12" t="str">
        <x:v>000300.SH</x:v>
      </x:c>
      <x:c r="C382" s="12" t="n">
        <x:v>3846.2671</x:v>
      </x:c>
      <x:c r="D382" s="12" t="n">
        <x:v>3907.843</x:v>
      </x:c>
      <x:c r="E382" s="12" t="n">
        <x:v>3828.0697</x:v>
      </x:c>
      <x:c r="F382" s="12" t="n">
        <x:v>3890.1046</x:v>
      </x:c>
      <x:c r="G382" s="12" t="n">
        <x:v>3840.6527</x:v>
      </x:c>
      <x:c r="H382" s="12" t="n">
        <x:v>49.4519</x:v>
      </x:c>
      <x:c r="I382" s="12" t="n">
        <x:v>1.2876</x:v>
      </x:c>
      <x:c r="J382" s="12" t="n">
        <x:v>0.012793720614961816</x:v>
      </x:c>
      <x:c r="K382" s="12" t="n">
        <x:v>116182637</x:v>
      </x:c>
      <x:c r="L382" s="12" t="n">
        <x:v>149858043.556</x:v>
      </x:c>
      <x:c r="M382" s="12" t="str">
        <x:v>TuShare index_daily</x:v>
      </x:c>
    </x:row>
    <x:row r="383" ht="18" customHeight="1">
      <x:c r="A383" s="13" t="n">
        <x:v>43144</x:v>
      </x:c>
      <x:c r="B383" s="12" t="str">
        <x:v>000300.SH</x:v>
      </x:c>
      <x:c r="C383" s="12" t="n">
        <x:v>3925.5955</x:v>
      </x:c>
      <x:c r="D383" s="12" t="n">
        <x:v>3986.9807</x:v>
      </x:c>
      <x:c r="E383" s="12" t="n">
        <x:v>3925.5955</x:v>
      </x:c>
      <x:c r="F383" s="12" t="n">
        <x:v>3935.6324</x:v>
      </x:c>
      <x:c r="G383" s="12" t="n">
        <x:v>3890.1046</x:v>
      </x:c>
      <x:c r="H383" s="12" t="n">
        <x:v>45.5278</x:v>
      </x:c>
      <x:c r="I383" s="12" t="n">
        <x:v>1.1703</x:v>
      </x:c>
      <x:c r="J383" s="12" t="n">
        <x:v>0.011635533790549657</x:v>
      </x:c>
      <x:c r="K383" s="12" t="n">
        <x:v>112565885</x:v>
      </x:c>
      <x:c r="L383" s="12" t="n">
        <x:v>144479354.377</x:v>
      </x:c>
      <x:c r="M383" s="12" t="str">
        <x:v>TuShare index_daily</x:v>
      </x:c>
    </x:row>
    <x:row r="384" ht="18" customHeight="1">
      <x:c r="A384" s="13" t="n">
        <x:v>43145</x:v>
      </x:c>
      <x:c r="B384" s="12" t="str">
        <x:v>000300.SH</x:v>
      </x:c>
      <x:c r="C384" s="12" t="n">
        <x:v>3945.0943</x:v>
      </x:c>
      <x:c r="D384" s="12" t="n">
        <x:v>3971.4041</x:v>
      </x:c>
      <x:c r="E384" s="12" t="n">
        <x:v>3923.1267</x:v>
      </x:c>
      <x:c r="F384" s="12" t="n">
        <x:v>3966.9614</x:v>
      </x:c>
      <x:c r="G384" s="12" t="n">
        <x:v>3935.6324</x:v>
      </x:c>
      <x:c r="H384" s="12" t="n">
        <x:v>31.329</x:v>
      </x:c>
      <x:c r="I384" s="12" t="n">
        <x:v>0.796</x:v>
      </x:c>
      <x:c r="J384" s="12" t="n">
        <x:v>0.007928830690543</x:v>
      </x:c>
      <x:c r="K384" s="12" t="n">
        <x:v>71081338</x:v>
      </x:c>
      <x:c r="L384" s="12" t="n">
        <x:v>93110201.39</x:v>
      </x:c>
      <x:c r="M384" s="12" t="str">
        <x:v>TuShare index_daily</x:v>
      </x:c>
    </x:row>
    <x:row r="385" ht="18" customHeight="1">
      <x:c r="A385" s="13" t="n">
        <x:v>43153</x:v>
      </x:c>
      <x:c r="B385" s="12" t="str">
        <x:v>000300.SH</x:v>
      </x:c>
      <x:c r="C385" s="12" t="n">
        <x:v>4020.9731</x:v>
      </x:c>
      <x:c r="D385" s="12" t="n">
        <x:v>4058.7878</x:v>
      </x:c>
      <x:c r="E385" s="12" t="n">
        <x:v>4009.9202</x:v>
      </x:c>
      <x:c r="F385" s="12" t="n">
        <x:v>4052.7332</x:v>
      </x:c>
      <x:c r="G385" s="12" t="n">
        <x:v>3966.9614</x:v>
      </x:c>
      <x:c r="H385" s="12" t="n">
        <x:v>85.7718</x:v>
      </x:c>
      <x:c r="I385" s="12" t="n">
        <x:v>2.1622</x:v>
      </x:c>
      <x:c r="J385" s="12" t="n">
        <x:v>0.021391106487451253</x:v>
      </x:c>
      <x:c r="K385" s="12" t="n">
        <x:v>105811571</x:v>
      </x:c>
      <x:c r="L385" s="12" t="n">
        <x:v>138334361.735</x:v>
      </x:c>
      <x:c r="M385" s="12" t="str">
        <x:v>TuShare index_daily</x:v>
      </x:c>
    </x:row>
    <x:row r="386" ht="18" customHeight="1">
      <x:c r="A386" s="13" t="n">
        <x:v>43154</x:v>
      </x:c>
      <x:c r="B386" s="12" t="str">
        <x:v>000300.SH</x:v>
      </x:c>
      <x:c r="C386" s="12" t="n">
        <x:v>4061.7545</x:v>
      </x:c>
      <x:c r="D386" s="12" t="n">
        <x:v>4085.2008</x:v>
      </x:c>
      <x:c r="E386" s="12" t="n">
        <x:v>4035.2319</x:v>
      </x:c>
      <x:c r="F386" s="12" t="n">
        <x:v>4071.0889</x:v>
      </x:c>
      <x:c r="G386" s="12" t="n">
        <x:v>4052.7332</x:v>
      </x:c>
      <x:c r="H386" s="12" t="n">
        <x:v>18.3557</x:v>
      </x:c>
      <x:c r="I386" s="12" t="n">
        <x:v>0.4529</x:v>
      </x:c>
      <x:c r="J386" s="12" t="n">
        <x:v>0.004518988971263035</x:v>
      </x:c>
      <x:c r="K386" s="12" t="n">
        <x:v>99458746</x:v>
      </x:c>
      <x:c r="L386" s="12" t="n">
        <x:v>128195835.194</x:v>
      </x:c>
      <x:c r="M386" s="12" t="str">
        <x:v>TuShare index_daily</x:v>
      </x:c>
    </x:row>
    <x:row r="387" ht="18" customHeight="1">
      <x:c r="A387" s="13" t="n">
        <x:v>43157</x:v>
      </x:c>
      <x:c r="B387" s="12" t="str">
        <x:v>000300.SH</x:v>
      </x:c>
      <x:c r="C387" s="12" t="n">
        <x:v>4093.3988</x:v>
      </x:c>
      <x:c r="D387" s="12" t="n">
        <x:v>4128.7435</x:v>
      </x:c>
      <x:c r="E387" s="12" t="n">
        <x:v>4048.9834</x:v>
      </x:c>
      <x:c r="F387" s="12" t="n">
        <x:v>4118.4186</x:v>
      </x:c>
      <x:c r="G387" s="12" t="n">
        <x:v>4071.0889</x:v>
      </x:c>
      <x:c r="H387" s="12" t="n">
        <x:v>47.3297</x:v>
      </x:c>
      <x:c r="I387" s="12" t="n">
        <x:v>1.1626</x:v>
      </x:c>
      <x:c r="J387" s="12" t="n">
        <x:v>0.011558748057687147</x:v>
      </x:c>
      <x:c r="K387" s="12" t="n">
        <x:v>137881001</x:v>
      </x:c>
      <x:c r="L387" s="12" t="n">
        <x:v>179013093.605</x:v>
      </x:c>
      <x:c r="M387" s="12" t="str">
        <x:v>TuShare index_daily</x:v>
      </x:c>
    </x:row>
    <x:row r="388" ht="18" customHeight="1">
      <x:c r="A388" s="13" t="n">
        <x:v>43158</x:v>
      </x:c>
      <x:c r="B388" s="12" t="str">
        <x:v>000300.SH</x:v>
      </x:c>
      <x:c r="C388" s="12" t="n">
        <x:v>4120.8712</x:v>
      </x:c>
      <x:c r="D388" s="12" t="n">
        <x:v>4120.8712</x:v>
      </x:c>
      <x:c r="E388" s="12" t="n">
        <x:v>4051.8054</x:v>
      </x:c>
      <x:c r="F388" s="12" t="n">
        <x:v>4058.9806</x:v>
      </x:c>
      <x:c r="G388" s="12" t="n">
        <x:v>4118.4186</x:v>
      </x:c>
      <x:c r="H388" s="12" t="n">
        <x:v>-59.438</x:v>
      </x:c>
      <x:c r="I388" s="12" t="n">
        <x:v>-1.4432</x:v>
      </x:c>
      <x:c r="J388" s="12" t="n">
        <x:v>-0.01453739638348993</x:v>
      </x:c>
      <x:c r="K388" s="12" t="n">
        <x:v>125934470</x:v>
      </x:c>
      <x:c r="L388" s="12" t="n">
        <x:v>169684900.954</x:v>
      </x:c>
      <x:c r="M388" s="12" t="str">
        <x:v>TuShare index_daily</x:v>
      </x:c>
    </x:row>
    <x:row r="389" ht="18" customHeight="1">
      <x:c r="A389" s="13" t="n">
        <x:v>43159</x:v>
      </x:c>
      <x:c r="B389" s="12" t="str">
        <x:v>000300.SH</x:v>
      </x:c>
      <x:c r="C389" s="12" t="n">
        <x:v>4016.7911</x:v>
      </x:c>
      <x:c r="D389" s="12" t="n">
        <x:v>4051.7124</x:v>
      </x:c>
      <x:c r="E389" s="12" t="n">
        <x:v>3991.7063</x:v>
      </x:c>
      <x:c r="F389" s="12" t="n">
        <x:v>4023.6415</x:v>
      </x:c>
      <x:c r="G389" s="12" t="n">
        <x:v>4058.9806</x:v>
      </x:c>
      <x:c r="H389" s="12" t="n">
        <x:v>-35.3391</x:v>
      </x:c>
      <x:c r="I389" s="12" t="n">
        <x:v>-0.8706</x:v>
      </x:c>
      <x:c r="J389" s="12" t="n">
        <x:v>-0.008744519971607157</x:v>
      </x:c>
      <x:c r="K389" s="12" t="n">
        <x:v>109343593</x:v>
      </x:c>
      <x:c r="L389" s="12" t="n">
        <x:v>152493909.262</x:v>
      </x:c>
      <x:c r="M389" s="12" t="str">
        <x:v>TuShare index_daily</x:v>
      </x:c>
    </x:row>
    <x:row r="390" ht="18" customHeight="1">
      <x:c r="A390" s="13" t="n">
        <x:v>43160</x:v>
      </x:c>
      <x:c r="B390" s="12" t="str">
        <x:v>000300.SH</x:v>
      </x:c>
      <x:c r="C390" s="12" t="n">
        <x:v>3994.8686</x:v>
      </x:c>
      <x:c r="D390" s="12" t="n">
        <x:v>4061.0328</x:v>
      </x:c>
      <x:c r="E390" s="12" t="n">
        <x:v>3986.8947</x:v>
      </x:c>
      <x:c r="F390" s="12" t="n">
        <x:v>4049.0863</x:v>
      </x:c>
      <x:c r="G390" s="12" t="n">
        <x:v>4023.6415</x:v>
      </x:c>
      <x:c r="H390" s="12" t="n">
        <x:v>25.4448</x:v>
      </x:c>
      <x:c r="I390" s="12" t="n">
        <x:v>0.6324</x:v>
      </x:c>
      <x:c r="J390" s="12" t="n">
        <x:v>0.006303912356162683</x:v>
      </x:c>
      <x:c r="K390" s="12" t="n">
        <x:v>110199852</x:v>
      </x:c>
      <x:c r="L390" s="12" t="n">
        <x:v>146003456.663</x:v>
      </x:c>
      <x:c r="M390" s="12" t="str">
        <x:v>TuShare index_daily</x:v>
      </x:c>
    </x:row>
    <x:row r="391" ht="18" customHeight="1">
      <x:c r="A391" s="13" t="n">
        <x:v>43161</x:v>
      </x:c>
      <x:c r="B391" s="12" t="str">
        <x:v>000300.SH</x:v>
      </x:c>
      <x:c r="C391" s="12" t="n">
        <x:v>4014.951</x:v>
      </x:c>
      <x:c r="D391" s="12" t="n">
        <x:v>4044.4183</x:v>
      </x:c>
      <x:c r="E391" s="12" t="n">
        <x:v>4006.9435</x:v>
      </x:c>
      <x:c r="F391" s="12" t="n">
        <x:v>4016.461</x:v>
      </x:c>
      <x:c r="G391" s="12" t="n">
        <x:v>4049.0863</x:v>
      </x:c>
      <x:c r="H391" s="12" t="n">
        <x:v>-32.6253</x:v>
      </x:c>
      <x:c r="I391" s="12" t="n">
        <x:v>-0.8057</x:v>
      </x:c>
      <x:c r="J391" s="12" t="n">
        <x:v>-0.008090084089436332</x:v>
      </x:c>
      <x:c r="K391" s="12" t="n">
        <x:v>96165000</x:v>
      </x:c>
      <x:c r="L391" s="12" t="n">
        <x:v>130931181.201</x:v>
      </x:c>
      <x:c r="M391" s="12" t="str">
        <x:v>TuShare index_daily</x:v>
      </x:c>
    </x:row>
    <x:row r="392" ht="18" customHeight="1">
      <x:c r="A392" s="13" t="n">
        <x:v>43164</x:v>
      </x:c>
      <x:c r="B392" s="12" t="str">
        <x:v>000300.SH</x:v>
      </x:c>
      <x:c r="C392" s="12" t="n">
        <x:v>4021.6575</x:v>
      </x:c>
      <x:c r="D392" s="12" t="n">
        <x:v>4042.8346</x:v>
      </x:c>
      <x:c r="E392" s="12" t="n">
        <x:v>3995.8715</x:v>
      </x:c>
      <x:c r="F392" s="12" t="n">
        <x:v>4018.097</x:v>
      </x:c>
      <x:c r="G392" s="12" t="n">
        <x:v>4016.461</x:v>
      </x:c>
      <x:c r="H392" s="12" t="n">
        <x:v>1.636</x:v>
      </x:c>
      <x:c r="I392" s="12" t="n">
        <x:v>0.0407</x:v>
      </x:c>
      <x:c r="J392" s="12" t="n">
        <x:v>0.0004072408270897777</x:v>
      </x:c>
      <x:c r="K392" s="12" t="n">
        <x:v>87952548</x:v>
      </x:c>
      <x:c r="L392" s="12" t="n">
        <x:v>118197859.452</x:v>
      </x:c>
      <x:c r="M392" s="12" t="str">
        <x:v>TuShare index_daily</x:v>
      </x:c>
    </x:row>
    <x:row r="393" ht="18" customHeight="1">
      <x:c r="A393" s="13" t="n">
        <x:v>43165</x:v>
      </x:c>
      <x:c r="B393" s="12" t="str">
        <x:v>000300.SH</x:v>
      </x:c>
      <x:c r="C393" s="12" t="n">
        <x:v>4034.9854</x:v>
      </x:c>
      <x:c r="D393" s="12" t="n">
        <x:v>4067.5525</x:v>
      </x:c>
      <x:c r="E393" s="12" t="n">
        <x:v>3998.9317</x:v>
      </x:c>
      <x:c r="F393" s="12" t="n">
        <x:v>4066.5647</x:v>
      </x:c>
      <x:c r="G393" s="12" t="n">
        <x:v>4018.097</x:v>
      </x:c>
      <x:c r="H393" s="12" t="n">
        <x:v>48.4677</x:v>
      </x:c>
      <x:c r="I393" s="12" t="n">
        <x:v>1.2062</x:v>
      </x:c>
      <x:c r="J393" s="12" t="n">
        <x:v>0.011990181521049881</x:v>
      </x:c>
      <x:c r="K393" s="12" t="n">
        <x:v>138762444</x:v>
      </x:c>
      <x:c r="L393" s="12" t="n">
        <x:v>171370654.136</x:v>
      </x:c>
      <x:c r="M393" s="12" t="str">
        <x:v>TuShare index_daily</x:v>
      </x:c>
    </x:row>
    <x:row r="394" ht="18" customHeight="1">
      <x:c r="A394" s="13" t="n">
        <x:v>43166</x:v>
      </x:c>
      <x:c r="B394" s="12" t="str">
        <x:v>000300.SH</x:v>
      </x:c>
      <x:c r="C394" s="12" t="n">
        <x:v>4063.5028</x:v>
      </x:c>
      <x:c r="D394" s="12" t="n">
        <x:v>4089.6964</x:v>
      </x:c>
      <x:c r="E394" s="12" t="n">
        <x:v>4027.9363</x:v>
      </x:c>
      <x:c r="F394" s="12" t="n">
        <x:v>4036.6536</x:v>
      </x:c>
      <x:c r="G394" s="12" t="n">
        <x:v>4066.5647</x:v>
      </x:c>
      <x:c r="H394" s="12" t="n">
        <x:v>-29.9111</x:v>
      </x:c>
      <x:c r="I394" s="12" t="n">
        <x:v>-0.7355</x:v>
      </x:c>
      <x:c r="J394" s="12" t="n">
        <x:v>-0.0073825570888245776</x:v>
      </x:c>
      <x:c r="K394" s="12" t="n">
        <x:v>106952426</x:v>
      </x:c>
      <x:c r="L394" s="12" t="n">
        <x:v>136572305.56</x:v>
      </x:c>
      <x:c r="M394" s="12" t="str">
        <x:v>TuShare index_daily</x:v>
      </x:c>
    </x:row>
    <x:row r="395" ht="18" customHeight="1">
      <x:c r="A395" s="13" t="n">
        <x:v>43167</x:v>
      </x:c>
      <x:c r="B395" s="12" t="str">
        <x:v>000300.SH</x:v>
      </x:c>
      <x:c r="C395" s="12" t="n">
        <x:v>4038.9527</x:v>
      </x:c>
      <x:c r="D395" s="12" t="n">
        <x:v>4078.2263</x:v>
      </x:c>
      <x:c r="E395" s="12" t="n">
        <x:v>4029.7144</x:v>
      </x:c>
      <x:c r="F395" s="12" t="n">
        <x:v>4077.6001</x:v>
      </x:c>
      <x:c r="G395" s="12" t="n">
        <x:v>4036.6536</x:v>
      </x:c>
      <x:c r="H395" s="12" t="n">
        <x:v>40.9465</x:v>
      </x:c>
      <x:c r="I395" s="12" t="n">
        <x:v>1.0144</x:v>
      </x:c>
      <x:c r="J395" s="12" t="n">
        <x:v>0.01009257267049201</x:v>
      </x:c>
      <x:c r="K395" s="12" t="n">
        <x:v>91155810</x:v>
      </x:c>
      <x:c r="L395" s="12" t="n">
        <x:v>123634637.12</x:v>
      </x:c>
      <x:c r="M395" s="12" t="str">
        <x:v>TuShare index_daily</x:v>
      </x:c>
    </x:row>
    <x:row r="396" ht="18" customHeight="1">
      <x:c r="A396" s="13" t="n">
        <x:v>43168</x:v>
      </x:c>
      <x:c r="B396" s="12" t="str">
        <x:v>000300.SH</x:v>
      </x:c>
      <x:c r="C396" s="12" t="n">
        <x:v>4088.0704</x:v>
      </x:c>
      <x:c r="D396" s="12" t="n">
        <x:v>4110.6738</x:v>
      </x:c>
      <x:c r="E396" s="12" t="n">
        <x:v>4076.4537</x:v>
      </x:c>
      <x:c r="F396" s="12" t="n">
        <x:v>4108.8652</x:v>
      </x:c>
      <x:c r="G396" s="12" t="n">
        <x:v>4077.6001</x:v>
      </x:c>
      <x:c r="H396" s="12" t="n">
        <x:v>31.2651</x:v>
      </x:c>
      <x:c r="I396" s="12" t="n">
        <x:v>0.7668</x:v>
      </x:c>
      <x:c r="J396" s="12" t="n">
        <x:v>0.007638278759686679</x:v>
      </x:c>
      <x:c r="K396" s="12" t="n">
        <x:v>113701808</x:v>
      </x:c>
      <x:c r="L396" s="12" t="n">
        <x:v>150024119.651</x:v>
      </x:c>
      <x:c r="M396" s="12" t="str">
        <x:v>TuShare index_daily</x:v>
      </x:c>
    </x:row>
    <x:row r="397" ht="18" customHeight="1">
      <x:c r="A397" s="13" t="n">
        <x:v>43171</x:v>
      </x:c>
      <x:c r="B397" s="12" t="str">
        <x:v>000300.SH</x:v>
      </x:c>
      <x:c r="C397" s="12" t="n">
        <x:v>4130.7082</x:v>
      </x:c>
      <x:c r="D397" s="12" t="n">
        <x:v>4139.5259</x:v>
      </x:c>
      <x:c r="E397" s="12" t="n">
        <x:v>4112.7658</x:v>
      </x:c>
      <x:c r="F397" s="12" t="n">
        <x:v>4127.6662</x:v>
      </x:c>
      <x:c r="G397" s="12" t="n">
        <x:v>4108.8652</x:v>
      </x:c>
      <x:c r="H397" s="12" t="n">
        <x:v>18.801</x:v>
      </x:c>
      <x:c r="I397" s="12" t="n">
        <x:v>0.4576</x:v>
      </x:c>
      <x:c r="J397" s="12" t="n">
        <x:v>0.0045652791790092165</x:v>
      </x:c>
      <x:c r="K397" s="12" t="n">
        <x:v>140906739</x:v>
      </x:c>
      <x:c r="L397" s="12" t="n">
        <x:v>190367593.786</x:v>
      </x:c>
      <x:c r="M397" s="12" t="str">
        <x:v>TuShare index_daily</x:v>
      </x:c>
    </x:row>
    <x:row r="398" ht="18" customHeight="1">
      <x:c r="A398" s="13" t="n">
        <x:v>43172</x:v>
      </x:c>
      <x:c r="B398" s="12" t="str">
        <x:v>000300.SH</x:v>
      </x:c>
      <x:c r="C398" s="12" t="n">
        <x:v>4124.3312</x:v>
      </x:c>
      <x:c r="D398" s="12" t="n">
        <x:v>4130.2829</x:v>
      </x:c>
      <x:c r="E398" s="12" t="n">
        <x:v>4087.5629</x:v>
      </x:c>
      <x:c r="F398" s="12" t="n">
        <x:v>4091.2533</x:v>
      </x:c>
      <x:c r="G398" s="12" t="n">
        <x:v>4127.6662</x:v>
      </x:c>
      <x:c r="H398" s="12" t="n">
        <x:v>-36.4129</x:v>
      </x:c>
      <x:c r="I398" s="12" t="n">
        <x:v>-0.8822</x:v>
      </x:c>
      <x:c r="J398" s="12" t="n">
        <x:v>-0.00886080907424242</x:v>
      </x:c>
      <x:c r="K398" s="12" t="n">
        <x:v>111766430</x:v>
      </x:c>
      <x:c r="L398" s="12" t="n">
        <x:v>141174160.638</x:v>
      </x:c>
      <x:c r="M398" s="12" t="str">
        <x:v>TuShare index_daily</x:v>
      </x:c>
    </x:row>
    <x:row r="399" ht="18" customHeight="1">
      <x:c r="A399" s="13" t="n">
        <x:v>43173</x:v>
      </x:c>
      <x:c r="B399" s="12" t="str">
        <x:v>000300.SH</x:v>
      </x:c>
      <x:c r="C399" s="12" t="n">
        <x:v>4076.0626</x:v>
      </x:c>
      <x:c r="D399" s="12" t="n">
        <x:v>4089.0942</x:v>
      </x:c>
      <x:c r="E399" s="12" t="n">
        <x:v>4066.4896</x:v>
      </x:c>
      <x:c r="F399" s="12" t="n">
        <x:v>4073.3447</x:v>
      </x:c>
      <x:c r="G399" s="12" t="n">
        <x:v>4091.2533</x:v>
      </x:c>
      <x:c r="H399" s="12" t="n">
        <x:v>-17.9086</x:v>
      </x:c>
      <x:c r="I399" s="12" t="n">
        <x:v>-0.4377</x:v>
      </x:c>
      <x:c r="J399" s="12" t="n">
        <x:v>-0.0043868978535668065</x:v>
      </x:c>
      <x:c r="K399" s="12" t="n">
        <x:v>99013409</x:v>
      </x:c>
      <x:c r="L399" s="12" t="n">
        <x:v>131537959.37</x:v>
      </x:c>
      <x:c r="M399" s="12" t="str">
        <x:v>TuShare index_daily</x:v>
      </x:c>
    </x:row>
    <x:row r="400" ht="18" customHeight="1">
      <x:c r="A400" s="13" t="n">
        <x:v>43174</x:v>
      </x:c>
      <x:c r="B400" s="12" t="str">
        <x:v>000300.SH</x:v>
      </x:c>
      <x:c r="C400" s="12" t="n">
        <x:v>4058.7058</x:v>
      </x:c>
      <x:c r="D400" s="12" t="n">
        <x:v>4098.989</x:v>
      </x:c>
      <x:c r="E400" s="12" t="n">
        <x:v>4058.7058</x:v>
      </x:c>
      <x:c r="F400" s="12" t="n">
        <x:v>4096.1627</x:v>
      </x:c>
      <x:c r="G400" s="12" t="n">
        <x:v>4073.3447</x:v>
      </x:c>
      <x:c r="H400" s="12" t="n">
        <x:v>22.818</x:v>
      </x:c>
      <x:c r="I400" s="12" t="n">
        <x:v>0.5602</x:v>
      </x:c>
      <x:c r="J400" s="12" t="n">
        <x:v>0.005586153049198009</x:v>
      </x:c>
      <x:c r="K400" s="12" t="n">
        <x:v>88161156</x:v>
      </x:c>
      <x:c r="L400" s="12" t="n">
        <x:v>126882452.702</x:v>
      </x:c>
      <x:c r="M400" s="12" t="str">
        <x:v>TuShare index_daily</x:v>
      </x:c>
    </x:row>
    <x:row r="401" ht="18" customHeight="1">
      <x:c r="A401" s="13" t="n">
        <x:v>43175</x:v>
      </x:c>
      <x:c r="B401" s="12" t="str">
        <x:v>000300.SH</x:v>
      </x:c>
      <x:c r="C401" s="12" t="n">
        <x:v>4096.8857</x:v>
      </x:c>
      <x:c r="D401" s="12" t="n">
        <x:v>4110.0451</x:v>
      </x:c>
      <x:c r="E401" s="12" t="n">
        <x:v>4055.822</x:v>
      </x:c>
      <x:c r="F401" s="12" t="n">
        <x:v>4056.4226</x:v>
      </x:c>
      <x:c r="G401" s="12" t="n">
        <x:v>4096.1627</x:v>
      </x:c>
      <x:c r="H401" s="12" t="n">
        <x:v>-39.7401</x:v>
      </x:c>
      <x:c r="I401" s="12" t="n">
        <x:v>-0.9702</x:v>
      </x:c>
      <x:c r="J401" s="12" t="n">
        <x:v>-0.00974915644516685</x:v>
      </x:c>
      <x:c r="K401" s="12" t="n">
        <x:v>84896188</x:v>
      </x:c>
      <x:c r="L401" s="12" t="n">
        <x:v>122125342.027</x:v>
      </x:c>
      <x:c r="M401" s="12" t="str">
        <x:v>TuShare index_daily</x:v>
      </x:c>
    </x:row>
    <x:row r="402" ht="18" customHeight="1">
      <x:c r="A402" s="13" t="n">
        <x:v>43178</x:v>
      </x:c>
      <x:c r="B402" s="12" t="str">
        <x:v>000300.SH</x:v>
      </x:c>
      <x:c r="C402" s="12" t="n">
        <x:v>4054.6167</x:v>
      </x:c>
      <x:c r="D402" s="12" t="n">
        <x:v>4074.518</x:v>
      </x:c>
      <x:c r="E402" s="12" t="n">
        <x:v>4033.5216</x:v>
      </x:c>
      <x:c r="F402" s="12" t="n">
        <x:v>4074.2479</x:v>
      </x:c>
      <x:c r="G402" s="12" t="n">
        <x:v>4056.4226</x:v>
      </x:c>
      <x:c r="H402" s="12" t="n">
        <x:v>17.8253</x:v>
      </x:c>
      <x:c r="I402" s="12" t="n">
        <x:v>0.4394</x:v>
      </x:c>
      <x:c r="J402" s="12" t="n">
        <x:v>0.004384713058697811</x:v>
      </x:c>
      <x:c r="K402" s="12" t="n">
        <x:v>81502882</x:v>
      </x:c>
      <x:c r="L402" s="12" t="n">
        <x:v>118183815.14</x:v>
      </x:c>
      <x:c r="M402" s="12" t="str">
        <x:v>TuShare index_daily</x:v>
      </x:c>
    </x:row>
    <x:row r="403" ht="18" customHeight="1">
      <x:c r="A403" s="13" t="n">
        <x:v>43179</x:v>
      </x:c>
      <x:c r="B403" s="12" t="str">
        <x:v>000300.SH</x:v>
      </x:c>
      <x:c r="C403" s="12" t="n">
        <x:v>4045.7428</x:v>
      </x:c>
      <x:c r="D403" s="12" t="n">
        <x:v>4080.1925</x:v>
      </x:c>
      <x:c r="E403" s="12" t="n">
        <x:v>4040.308</x:v>
      </x:c>
      <x:c r="F403" s="12" t="n">
        <x:v>4077.7041</x:v>
      </x:c>
      <x:c r="G403" s="12" t="n">
        <x:v>4074.2479</x:v>
      </x:c>
      <x:c r="H403" s="12" t="n">
        <x:v>3.4562</x:v>
      </x:c>
      <x:c r="I403" s="12" t="n">
        <x:v>0.0848</x:v>
      </x:c>
      <x:c r="J403" s="12" t="n">
        <x:v>0.0008479441996437564</x:v>
      </x:c>
      <x:c r="K403" s="12" t="n">
        <x:v>80605280</x:v>
      </x:c>
      <x:c r="L403" s="12" t="n">
        <x:v>111980234.031</x:v>
      </x:c>
      <x:c r="M403" s="12" t="str">
        <x:v>TuShare index_daily</x:v>
      </x:c>
    </x:row>
    <x:row r="404" ht="18" customHeight="1">
      <x:c r="A404" s="13" t="n">
        <x:v>43180</x:v>
      </x:c>
      <x:c r="B404" s="12" t="str">
        <x:v>000300.SH</x:v>
      </x:c>
      <x:c r="C404" s="12" t="n">
        <x:v>4097.0243</x:v>
      </x:c>
      <x:c r="D404" s="12" t="n">
        <x:v>4110.1158</x:v>
      </x:c>
      <x:c r="E404" s="12" t="n">
        <x:v>4046.2408</x:v>
      </x:c>
      <x:c r="F404" s="12" t="n">
        <x:v>4061.0502</x:v>
      </x:c>
      <x:c r="G404" s="12" t="n">
        <x:v>4077.7041</x:v>
      </x:c>
      <x:c r="H404" s="12" t="n">
        <x:v>-16.6539</x:v>
      </x:c>
      <x:c r="I404" s="12" t="n">
        <x:v>-0.4084</x:v>
      </x:c>
      <x:c r="J404" s="12" t="n">
        <x:v>-0.004092499326107085</x:v>
      </x:c>
      <x:c r="K404" s="12" t="n">
        <x:v>97609488</x:v>
      </x:c>
      <x:c r="L404" s="12" t="n">
        <x:v>139330411.871</x:v>
      </x:c>
      <x:c r="M404" s="12" t="str">
        <x:v>TuShare index_daily</x:v>
      </x:c>
    </x:row>
    <x:row r="405" ht="18" customHeight="1">
      <x:c r="A405" s="13" t="n">
        <x:v>43181</x:v>
      </x:c>
      <x:c r="B405" s="12" t="str">
        <x:v>000300.SH</x:v>
      </x:c>
      <x:c r="C405" s="12" t="n">
        <x:v>4062.0668</x:v>
      </x:c>
      <x:c r="D405" s="12" t="n">
        <x:v>4072.3771</x:v>
      </x:c>
      <x:c r="E405" s="12" t="n">
        <x:v>4003.721</x:v>
      </x:c>
      <x:c r="F405" s="12" t="n">
        <x:v>4020.349</x:v>
      </x:c>
      <x:c r="G405" s="12" t="n">
        <x:v>4061.0502</x:v>
      </x:c>
      <x:c r="H405" s="12" t="n">
        <x:v>-40.7012</x:v>
      </x:c>
      <x:c r="I405" s="12" t="n">
        <x:v>-1.0022</x:v>
      </x:c>
      <x:c r="J405" s="12" t="n">
        <x:v>-0.01007289533203283</x:v>
      </x:c>
      <x:c r="K405" s="12" t="n">
        <x:v>89095259</x:v>
      </x:c>
      <x:c r="L405" s="12" t="n">
        <x:v>127664337.99</x:v>
      </x:c>
      <x:c r="M405" s="12" t="str">
        <x:v>TuShare index_daily</x:v>
      </x:c>
    </x:row>
    <x:row r="406" ht="18" customHeight="1">
      <x:c r="A406" s="13" t="n">
        <x:v>43182</x:v>
      </x:c>
      <x:c r="B406" s="12" t="str">
        <x:v>000300.SH</x:v>
      </x:c>
      <x:c r="C406" s="12" t="n">
        <x:v>3896.7359</x:v>
      </x:c>
      <x:c r="D406" s="12" t="n">
        <x:v>3928.5114</x:v>
      </x:c>
      <x:c r="E406" s="12" t="n">
        <x:v>3834.9373</x:v>
      </x:c>
      <x:c r="F406" s="12" t="n">
        <x:v>3904.9355</x:v>
      </x:c>
      <x:c r="G406" s="12" t="n">
        <x:v>4020.349</x:v>
      </x:c>
      <x:c r="H406" s="12" t="n">
        <x:v>-115.4135</x:v>
      </x:c>
      <x:c r="I406" s="12" t="n">
        <x:v>-2.8707</x:v>
      </x:c>
      <x:c r="J406" s="12" t="n">
        <x:v>-0.029127448913337784</x:v>
      </x:c>
      <x:c r="K406" s="12" t="n">
        <x:v>180080449</x:v>
      </x:c>
      <x:c r="L406" s="12" t="n">
        <x:v>218905031.317</x:v>
      </x:c>
      <x:c r="M406" s="12" t="str">
        <x:v>TuShare index_daily</x:v>
      </x:c>
    </x:row>
    <x:row r="407" ht="18" customHeight="1">
      <x:c r="A407" s="13" t="n">
        <x:v>43185</x:v>
      </x:c>
      <x:c r="B407" s="12" t="str">
        <x:v>000300.SH</x:v>
      </x:c>
      <x:c r="C407" s="12" t="n">
        <x:v>3862.6948</x:v>
      </x:c>
      <x:c r="D407" s="12" t="n">
        <x:v>3883.901</x:v>
      </x:c>
      <x:c r="E407" s="12" t="n">
        <x:v>3829.9155</x:v>
      </x:c>
      <x:c r="F407" s="12" t="n">
        <x:v>3879.893</x:v>
      </x:c>
      <x:c r="G407" s="12" t="n">
        <x:v>3904.9355</x:v>
      </x:c>
      <x:c r="H407" s="12" t="n">
        <x:v>-25.0425</x:v>
      </x:c>
      <x:c r="I407" s="12" t="n">
        <x:v>-0.6413</x:v>
      </x:c>
      <x:c r="J407" s="12" t="n">
        <x:v>-0.006433689934372874</x:v>
      </x:c>
      <x:c r="K407" s="12" t="n">
        <x:v>115139128</x:v>
      </x:c>
      <x:c r="L407" s="12" t="n">
        <x:v>156604527.227</x:v>
      </x:c>
      <x:c r="M407" s="12" t="str">
        <x:v>TuShare index_daily</x:v>
      </x:c>
    </x:row>
    <x:row r="408" ht="18" customHeight="1">
      <x:c r="A408" s="13" t="n">
        <x:v>43186</x:v>
      </x:c>
      <x:c r="B408" s="12" t="str">
        <x:v>000300.SH</x:v>
      </x:c>
      <x:c r="C408" s="12" t="n">
        <x:v>3927.492</x:v>
      </x:c>
      <x:c r="D408" s="12" t="n">
        <x:v>3936.778</x:v>
      </x:c>
      <x:c r="E408" s="12" t="n">
        <x:v>3881.8726</x:v>
      </x:c>
      <x:c r="F408" s="12" t="n">
        <x:v>3913.2689</x:v>
      </x:c>
      <x:c r="G408" s="12" t="n">
        <x:v>3879.893</x:v>
      </x:c>
      <x:c r="H408" s="12" t="n">
        <x:v>33.3759</x:v>
      </x:c>
      <x:c r="I408" s="12" t="n">
        <x:v>0.8602</x:v>
      </x:c>
      <x:c r="J408" s="12" t="n">
        <x:v>0.008565484584295732</x:v>
      </x:c>
      <x:c r="K408" s="12" t="n">
        <x:v>113700711</x:v>
      </x:c>
      <x:c r="L408" s="12" t="n">
        <x:v>162291546.573</x:v>
      </x:c>
      <x:c r="M408" s="12" t="str">
        <x:v>TuShare index_daily</x:v>
      </x:c>
    </x:row>
    <x:row r="409" ht="18" customHeight="1">
      <x:c r="A409" s="13" t="n">
        <x:v>43187</x:v>
      </x:c>
      <x:c r="B409" s="12" t="str">
        <x:v>000300.SH</x:v>
      </x:c>
      <x:c r="C409" s="12" t="n">
        <x:v>3865.0454</x:v>
      </x:c>
      <x:c r="D409" s="12" t="n">
        <x:v>3907.2811</x:v>
      </x:c>
      <x:c r="E409" s="12" t="n">
        <x:v>3835.8825</x:v>
      </x:c>
      <x:c r="F409" s="12" t="n">
        <x:v>3842.7155</x:v>
      </x:c>
      <x:c r="G409" s="12" t="n">
        <x:v>3913.2689</x:v>
      </x:c>
      <x:c r="H409" s="12" t="n">
        <x:v>-70.5534</x:v>
      </x:c>
      <x:c r="I409" s="12" t="n">
        <x:v>-1.8029</x:v>
      </x:c>
      <x:c r="J409" s="12" t="n">
        <x:v>-0.018193782382508124</x:v>
      </x:c>
      <x:c r="K409" s="12" t="n">
        <x:v>101494908</x:v>
      </x:c>
      <x:c r="L409" s="12" t="n">
        <x:v>155848951.057</x:v>
      </x:c>
      <x:c r="M409" s="12" t="str">
        <x:v>TuShare index_daily</x:v>
      </x:c>
    </x:row>
    <x:row r="410" ht="18" customHeight="1">
      <x:c r="A410" s="13" t="n">
        <x:v>43188</x:v>
      </x:c>
      <x:c r="B410" s="12" t="str">
        <x:v>000300.SH</x:v>
      </x:c>
      <x:c r="C410" s="12" t="n">
        <x:v>3854.5914</x:v>
      </x:c>
      <x:c r="D410" s="12" t="n">
        <x:v>3913.9578</x:v>
      </x:c>
      <x:c r="E410" s="12" t="n">
        <x:v>3794.2617</x:v>
      </x:c>
      <x:c r="F410" s="12" t="n">
        <x:v>3894.0498</x:v>
      </x:c>
      <x:c r="G410" s="12" t="n">
        <x:v>3842.7155</x:v>
      </x:c>
      <x:c r="H410" s="12" t="n">
        <x:v>51.3343</x:v>
      </x:c>
      <x:c r="I410" s="12" t="n">
        <x:v>1.3359</x:v>
      </x:c>
      <x:c r="J410" s="12" t="n">
        <x:v>0.013270417637119006</x:v>
      </x:c>
      <x:c r="K410" s="12" t="n">
        <x:v>116629066</x:v>
      </x:c>
      <x:c r="L410" s="12" t="n">
        <x:v>164996782.981</x:v>
      </x:c>
      <x:c r="M410" s="12" t="str">
        <x:v>TuShare index_daily</x:v>
      </x:c>
    </x:row>
    <x:row r="411" ht="18" customHeight="1">
      <x:c r="A411" s="13" t="n">
        <x:v>43189</x:v>
      </x:c>
      <x:c r="B411" s="12" t="str">
        <x:v>000300.SH</x:v>
      </x:c>
      <x:c r="C411" s="12" t="n">
        <x:v>3893.7468</x:v>
      </x:c>
      <x:c r="D411" s="12" t="n">
        <x:v>3915.3473</x:v>
      </x:c>
      <x:c r="E411" s="12" t="n">
        <x:v>3879.2128</x:v>
      </x:c>
      <x:c r="F411" s="12" t="n">
        <x:v>3898.4977</x:v>
      </x:c>
      <x:c r="G411" s="12" t="n">
        <x:v>3894.0498</x:v>
      </x:c>
      <x:c r="H411" s="12" t="n">
        <x:v>4.4479</x:v>
      </x:c>
      <x:c r="I411" s="12" t="n">
        <x:v>0.1142</x:v>
      </x:c>
      <x:c r="J411" s="12" t="n">
        <x:v>0.0011415780226023604</x:v>
      </x:c>
      <x:c r="K411" s="12" t="n">
        <x:v>97512270</x:v>
      </x:c>
      <x:c r="L411" s="12" t="n">
        <x:v>137959280.455</x:v>
      </x:c>
      <x:c r="M411" s="12" t="str">
        <x:v>TuShare index_daily</x:v>
      </x:c>
    </x:row>
    <x:row r="412" ht="18" customHeight="1">
      <x:c r="A412" s="13" t="n">
        <x:v>43192</x:v>
      </x:c>
      <x:c r="B412" s="12" t="str">
        <x:v>000300.SH</x:v>
      </x:c>
      <x:c r="C412" s="12" t="n">
        <x:v>3897.0052</x:v>
      </x:c>
      <x:c r="D412" s="12" t="n">
        <x:v>3937.0183</x:v>
      </x:c>
      <x:c r="E412" s="12" t="n">
        <x:v>3882.8856</x:v>
      </x:c>
      <x:c r="F412" s="12" t="n">
        <x:v>3886.9189</x:v>
      </x:c>
      <x:c r="G412" s="12" t="n">
        <x:v>3898.4977</x:v>
      </x:c>
      <x:c r="H412" s="12" t="n">
        <x:v>-11.5788</x:v>
      </x:c>
      <x:c r="I412" s="12" t="n">
        <x:v>-0.297</x:v>
      </x:c>
      <x:c r="J412" s="12" t="n">
        <x:v>-0.0029744865642820487</x:v>
      </x:c>
      <x:c r="K412" s="12" t="n">
        <x:v>111242666</x:v>
      </x:c>
      <x:c r="L412" s="12" t="n">
        <x:v>159356080.038</x:v>
      </x:c>
      <x:c r="M412" s="12" t="str">
        <x:v>TuShare index_daily</x:v>
      </x:c>
    </x:row>
    <x:row r="413" ht="18" customHeight="1">
      <x:c r="A413" s="13" t="n">
        <x:v>43193</x:v>
      </x:c>
      <x:c r="B413" s="12" t="str">
        <x:v>000300.SH</x:v>
      </x:c>
      <x:c r="C413" s="12" t="n">
        <x:v>3850.1546</x:v>
      </x:c>
      <x:c r="D413" s="12" t="n">
        <x:v>3878.1504</x:v>
      </x:c>
      <x:c r="E413" s="12" t="n">
        <x:v>3839.9333</x:v>
      </x:c>
      <x:c r="F413" s="12" t="n">
        <x:v>3862.4796</x:v>
      </x:c>
      <x:c r="G413" s="12" t="n">
        <x:v>3886.9189</x:v>
      </x:c>
      <x:c r="H413" s="12" t="n">
        <x:v>-24.4393</x:v>
      </x:c>
      <x:c r="I413" s="12" t="n">
        <x:v>-0.6288</x:v>
      </x:c>
      <x:c r="J413" s="12" t="n">
        <x:v>-0.0063074265760417105</x:v>
      </x:c>
      <x:c r="K413" s="12" t="n">
        <x:v>95137369</x:v>
      </x:c>
      <x:c r="L413" s="12" t="n">
        <x:v>132049936.105</x:v>
      </x:c>
      <x:c r="M413" s="12" t="str">
        <x:v>TuShare index_daily</x:v>
      </x:c>
    </x:row>
    <x:row r="414" ht="18" customHeight="1">
      <x:c r="A414" s="13" t="n">
        <x:v>43194</x:v>
      </x:c>
      <x:c r="B414" s="12" t="str">
        <x:v>000300.SH</x:v>
      </x:c>
      <x:c r="C414" s="12" t="n">
        <x:v>3873.6267</x:v>
      </x:c>
      <x:c r="D414" s="12" t="n">
        <x:v>3898.6126</x:v>
      </x:c>
      <x:c r="E414" s="12" t="n">
        <x:v>3852.4958</x:v>
      </x:c>
      <x:c r="F414" s="12" t="n">
        <x:v>3854.8625</x:v>
      </x:c>
      <x:c r="G414" s="12" t="n">
        <x:v>3862.4796</x:v>
      </x:c>
      <x:c r="H414" s="12" t="n">
        <x:v>-7.6171</x:v>
      </x:c>
      <x:c r="I414" s="12" t="n">
        <x:v>-0.1972</x:v>
      </x:c>
      <x:c r="J414" s="12" t="n">
        <x:v>-0.001974022241025953</x:v>
      </x:c>
      <x:c r="K414" s="12" t="n">
        <x:v>88730609</x:v>
      </x:c>
      <x:c r="L414" s="12" t="n">
        <x:v>131593067.938</x:v>
      </x:c>
      <x:c r="M414" s="12" t="str">
        <x:v>TuShare index_daily</x:v>
      </x:c>
    </x:row>
    <x:row r="415" ht="18" customHeight="1">
      <x:c r="A415" s="13" t="n">
        <x:v>43199</x:v>
      </x:c>
      <x:c r="B415" s="12" t="str">
        <x:v>000300.SH</x:v>
      </x:c>
      <x:c r="C415" s="12" t="n">
        <x:v>3851.9548</x:v>
      </x:c>
      <x:c r="D415" s="12" t="n">
        <x:v>3870.6736</x:v>
      </x:c>
      <x:c r="E415" s="12" t="n">
        <x:v>3827.4133</x:v>
      </x:c>
      <x:c r="F415" s="12" t="n">
        <x:v>3852.9292</x:v>
      </x:c>
      <x:c r="G415" s="12" t="n">
        <x:v>3854.8625</x:v>
      </x:c>
      <x:c r="H415" s="12" t="n">
        <x:v>-1.9333</x:v>
      </x:c>
      <x:c r="I415" s="12" t="n">
        <x:v>-0.0502</x:v>
      </x:c>
      <x:c r="J415" s="12" t="n">
        <x:v>-0.0005016482322799196</x:v>
      </x:c>
      <x:c r="K415" s="12" t="n">
        <x:v>84105462</x:v>
      </x:c>
      <x:c r="L415" s="12" t="n">
        <x:v>118167273.509</x:v>
      </x:c>
      <x:c r="M415" s="12" t="str">
        <x:v>TuShare index_daily</x:v>
      </x:c>
    </x:row>
    <x:row r="416" ht="18" customHeight="1">
      <x:c r="A416" s="13" t="n">
        <x:v>43200</x:v>
      </x:c>
      <x:c r="B416" s="12" t="str">
        <x:v>000300.SH</x:v>
      </x:c>
      <x:c r="C416" s="12" t="n">
        <x:v>3860.7225</x:v>
      </x:c>
      <x:c r="D416" s="12" t="n">
        <x:v>3927.4247</x:v>
      </x:c>
      <x:c r="E416" s="12" t="n">
        <x:v>3851.7957</x:v>
      </x:c>
      <x:c r="F416" s="12" t="n">
        <x:v>3927.1729</x:v>
      </x:c>
      <x:c r="G416" s="12" t="n">
        <x:v>3852.9292</x:v>
      </x:c>
      <x:c r="H416" s="12" t="n">
        <x:v>74.2437</x:v>
      </x:c>
      <x:c r="I416" s="12" t="n">
        <x:v>1.9269</x:v>
      </x:c>
      <x:c r="J416" s="12" t="n">
        <x:v>0.01908611296393232</x:v>
      </x:c>
      <x:c r="K416" s="12" t="n">
        <x:v>106173722</x:v>
      </x:c>
      <x:c r="L416" s="12" t="n">
        <x:v>137941300.225</x:v>
      </x:c>
      <x:c r="M416" s="12" t="str">
        <x:v>TuShare index_daily</x:v>
      </x:c>
    </x:row>
    <x:row r="417" ht="18" customHeight="1">
      <x:c r="A417" s="13" t="n">
        <x:v>43201</x:v>
      </x:c>
      <x:c r="B417" s="12" t="str">
        <x:v>000300.SH</x:v>
      </x:c>
      <x:c r="C417" s="12" t="n">
        <x:v>3934.1698</x:v>
      </x:c>
      <x:c r="D417" s="12" t="n">
        <x:v>3958.7071</x:v>
      </x:c>
      <x:c r="E417" s="12" t="n">
        <x:v>3924.9603</x:v>
      </x:c>
      <x:c r="F417" s="12" t="n">
        <x:v>3938.3434</x:v>
      </x:c>
      <x:c r="G417" s="12" t="n">
        <x:v>3927.1729</x:v>
      </x:c>
      <x:c r="H417" s="12" t="n">
        <x:v>11.1705</x:v>
      </x:c>
      <x:c r="I417" s="12" t="n">
        <x:v>0.2844</x:v>
      </x:c>
      <x:c r="J417" s="12" t="n">
        <x:v>0.0028403748931388356</x:v>
      </x:c>
      <x:c r="K417" s="12" t="n">
        <x:v>111933021</x:v>
      </x:c>
      <x:c r="L417" s="12" t="n">
        <x:v>139989290.63</x:v>
      </x:c>
      <x:c r="M417" s="12" t="str">
        <x:v>TuShare index_daily</x:v>
      </x:c>
    </x:row>
    <x:row r="418" ht="18" customHeight="1">
      <x:c r="A418" s="13" t="n">
        <x:v>43202</x:v>
      </x:c>
      <x:c r="B418" s="12" t="str">
        <x:v>000300.SH</x:v>
      </x:c>
      <x:c r="C418" s="12" t="n">
        <x:v>3935.673</x:v>
      </x:c>
      <x:c r="D418" s="12" t="n">
        <x:v>3937.7837</x:v>
      </x:c>
      <x:c r="E418" s="12" t="n">
        <x:v>3896.1789</x:v>
      </x:c>
      <x:c r="F418" s="12" t="n">
        <x:v>3898.6354</x:v>
      </x:c>
      <x:c r="G418" s="12" t="n">
        <x:v>3938.3434</x:v>
      </x:c>
      <x:c r="H418" s="12" t="n">
        <x:v>-39.708</x:v>
      </x:c>
      <x:c r="I418" s="12" t="n">
        <x:v>-1.0082</x:v>
      </x:c>
      <x:c r="J418" s="12" t="n">
        <x:v>-0.010133583568970973</x:v>
      </x:c>
      <x:c r="K418" s="12" t="n">
        <x:v>82699490</x:v>
      </x:c>
      <x:c r="L418" s="12" t="n">
        <x:v>108075565.476</x:v>
      </x:c>
      <x:c r="M418" s="12" t="str">
        <x:v>TuShare index_daily</x:v>
      </x:c>
    </x:row>
    <x:row r="419" ht="18" customHeight="1">
      <x:c r="A419" s="13" t="n">
        <x:v>43203</x:v>
      </x:c>
      <x:c r="B419" s="12" t="str">
        <x:v>000300.SH</x:v>
      </x:c>
      <x:c r="C419" s="12" t="n">
        <x:v>3920.7375</x:v>
      </x:c>
      <x:c r="D419" s="12" t="n">
        <x:v>3929.952</x:v>
      </x:c>
      <x:c r="E419" s="12" t="n">
        <x:v>3866.186</x:v>
      </x:c>
      <x:c r="F419" s="12" t="n">
        <x:v>3871.1443</x:v>
      </x:c>
      <x:c r="G419" s="12" t="n">
        <x:v>3898.6354</x:v>
      </x:c>
      <x:c r="H419" s="12" t="n">
        <x:v>-27.4911</x:v>
      </x:c>
      <x:c r="I419" s="12" t="n">
        <x:v>-0.7051</x:v>
      </x:c>
      <x:c r="J419" s="12" t="n">
        <x:v>-0.007076446381222022</x:v>
      </x:c>
      <x:c r="K419" s="12" t="n">
        <x:v>71544203</x:v>
      </x:c>
      <x:c r="L419" s="12" t="n">
        <x:v>98921826.969</x:v>
      </x:c>
      <x:c r="M419" s="12" t="str">
        <x:v>TuShare index_daily</x:v>
      </x:c>
    </x:row>
    <x:row r="420" ht="18" customHeight="1">
      <x:c r="A420" s="13" t="n">
        <x:v>43206</x:v>
      </x:c>
      <x:c r="B420" s="12" t="str">
        <x:v>000300.SH</x:v>
      </x:c>
      <x:c r="C420" s="12" t="n">
        <x:v>3862.4738</x:v>
      </x:c>
      <x:c r="D420" s="12" t="n">
        <x:v>3869.156</x:v>
      </x:c>
      <x:c r="E420" s="12" t="n">
        <x:v>3789.6121</x:v>
      </x:c>
      <x:c r="F420" s="12" t="n">
        <x:v>3808.863</x:v>
      </x:c>
      <x:c r="G420" s="12" t="n">
        <x:v>3871.1443</x:v>
      </x:c>
      <x:c r="H420" s="12" t="n">
        <x:v>-62.2813</x:v>
      </x:c>
      <x:c r="I420" s="12" t="n">
        <x:v>-1.6089</x:v>
      </x:c>
      <x:c r="J420" s="12" t="n">
        <x:v>-0.016219428685991556</x:v>
      </x:c>
      <x:c r="K420" s="12" t="n">
        <x:v>99217770</x:v>
      </x:c>
      <x:c r="L420" s="12" t="n">
        <x:v>131566866.868</x:v>
      </x:c>
      <x:c r="M420" s="12" t="str">
        <x:v>TuShare index_daily</x:v>
      </x:c>
    </x:row>
    <x:row r="421" ht="18" customHeight="1">
      <x:c r="A421" s="13" t="n">
        <x:v>43207</x:v>
      </x:c>
      <x:c r="B421" s="12" t="str">
        <x:v>000300.SH</x:v>
      </x:c>
      <x:c r="C421" s="12" t="n">
        <x:v>3812.8746</x:v>
      </x:c>
      <x:c r="D421" s="12" t="n">
        <x:v>3822.6264</x:v>
      </x:c>
      <x:c r="E421" s="12" t="n">
        <x:v>3745.4442</x:v>
      </x:c>
      <x:c r="F421" s="12" t="n">
        <x:v>3748.6412</x:v>
      </x:c>
      <x:c r="G421" s="12" t="n">
        <x:v>3808.863</x:v>
      </x:c>
      <x:c r="H421" s="12" t="n">
        <x:v>-60.2218</x:v>
      </x:c>
      <x:c r="I421" s="12" t="n">
        <x:v>-1.5811</x:v>
      </x:c>
      <x:c r="J421" s="12" t="n">
        <x:v>-0.015937291751862186</x:v>
      </x:c>
      <x:c r="K421" s="12" t="n">
        <x:v>90610790</x:v>
      </x:c>
      <x:c r="L421" s="12" t="n">
        <x:v>126518751.972</x:v>
      </x:c>
      <x:c r="M421" s="12" t="str">
        <x:v>TuShare index_daily</x:v>
      </x:c>
    </x:row>
    <x:row r="422" ht="18" customHeight="1">
      <x:c r="A422" s="13" t="n">
        <x:v>43208</x:v>
      </x:c>
      <x:c r="B422" s="12" t="str">
        <x:v>000300.SH</x:v>
      </x:c>
      <x:c r="C422" s="12" t="n">
        <x:v>3785.3059</x:v>
      </x:c>
      <x:c r="D422" s="12" t="n">
        <x:v>3789.6591</x:v>
      </x:c>
      <x:c r="E422" s="12" t="n">
        <x:v>3708.1068</x:v>
      </x:c>
      <x:c r="F422" s="12" t="n">
        <x:v>3766.282</x:v>
      </x:c>
      <x:c r="G422" s="12" t="n">
        <x:v>3748.6412</x:v>
      </x:c>
      <x:c r="H422" s="12" t="n">
        <x:v>17.6408</x:v>
      </x:c>
      <x:c r="I422" s="12" t="n">
        <x:v>0.4706</x:v>
      </x:c>
      <x:c r="J422" s="12" t="n">
        <x:v>0.0046948802891430465</x:v>
      </x:c>
      <x:c r="K422" s="12" t="n">
        <x:v>106676706</x:v>
      </x:c>
      <x:c r="L422" s="12" t="n">
        <x:v>143077676.004</x:v>
      </x:c>
      <x:c r="M422" s="12" t="str">
        <x:v>TuShare index_daily</x:v>
      </x:c>
    </x:row>
    <x:row r="423" ht="18" customHeight="1">
      <x:c r="A423" s="13" t="n">
        <x:v>43209</x:v>
      </x:c>
      <x:c r="B423" s="12" t="str">
        <x:v>000300.SH</x:v>
      </x:c>
      <x:c r="C423" s="12" t="n">
        <x:v>3774.784</x:v>
      </x:c>
      <x:c r="D423" s="12" t="n">
        <x:v>3824.0321</x:v>
      </x:c>
      <x:c r="E423" s="12" t="n">
        <x:v>3767.7974</x:v>
      </x:c>
      <x:c r="F423" s="12" t="n">
        <x:v>3811.843</x:v>
      </x:c>
      <x:c r="G423" s="12" t="n">
        <x:v>3766.282</x:v>
      </x:c>
      <x:c r="H423" s="12" t="n">
        <x:v>45.561</x:v>
      </x:c>
      <x:c r="I423" s="12" t="n">
        <x:v>1.2097</x:v>
      </x:c>
      <x:c r="J423" s="12" t="n">
        <x:v>0.012024491273144259</x:v>
      </x:c>
      <x:c r="K423" s="12" t="n">
        <x:v>99054060</x:v>
      </x:c>
      <x:c r="L423" s="12" t="n">
        <x:v>127520121.562</x:v>
      </x:c>
      <x:c r="M423" s="12" t="str">
        <x:v>TuShare index_daily</x:v>
      </x:c>
    </x:row>
    <x:row r="424" ht="18" customHeight="1">
      <x:c r="A424" s="13" t="n">
        <x:v>43210</x:v>
      </x:c>
      <x:c r="B424" s="12" t="str">
        <x:v>000300.SH</x:v>
      </x:c>
      <x:c r="C424" s="12" t="n">
        <x:v>3801.2075</x:v>
      </x:c>
      <x:c r="D424" s="12" t="n">
        <x:v>3815.444</x:v>
      </x:c>
      <x:c r="E424" s="12" t="n">
        <x:v>3750.1033</x:v>
      </x:c>
      <x:c r="F424" s="12" t="n">
        <x:v>3760.8543</x:v>
      </x:c>
      <x:c r="G424" s="12" t="n">
        <x:v>3811.843</x:v>
      </x:c>
      <x:c r="H424" s="12" t="n">
        <x:v>-50.9887</x:v>
      </x:c>
      <x:c r="I424" s="12" t="n">
        <x:v>-1.3376</x:v>
      </x:c>
      <x:c r="J424" s="12" t="n">
        <x:v>-0.013466660173615443</x:v>
      </x:c>
      <x:c r="K424" s="12" t="n">
        <x:v>99282925</x:v>
      </x:c>
      <x:c r="L424" s="12" t="n">
        <x:v>123550664.541</x:v>
      </x:c>
      <x:c r="M424" s="12" t="str">
        <x:v>TuShare index_daily</x:v>
      </x:c>
    </x:row>
    <x:row r="425" ht="18" customHeight="1">
      <x:c r="A425" s="13" t="n">
        <x:v>43213</x:v>
      </x:c>
      <x:c r="B425" s="12" t="str">
        <x:v>000300.SH</x:v>
      </x:c>
      <x:c r="C425" s="12" t="n">
        <x:v>3754.6896</x:v>
      </x:c>
      <x:c r="D425" s="12" t="n">
        <x:v>3787.3951</x:v>
      </x:c>
      <x:c r="E425" s="12" t="n">
        <x:v>3735.1842</x:v>
      </x:c>
      <x:c r="F425" s="12" t="n">
        <x:v>3766.3257</x:v>
      </x:c>
      <x:c r="G425" s="12" t="n">
        <x:v>3760.8543</x:v>
      </x:c>
      <x:c r="H425" s="12" t="n">
        <x:v>5.4714</x:v>
      </x:c>
      <x:c r="I425" s="12" t="n">
        <x:v>0.1455</x:v>
      </x:c>
      <x:c r="J425" s="12" t="n">
        <x:v>0.0014537717880077582</x:v>
      </x:c>
      <x:c r="K425" s="12" t="n">
        <x:v>90356291</x:v>
      </x:c>
      <x:c r="L425" s="12" t="n">
        <x:v>111763031.5</x:v>
      </x:c>
      <x:c r="M425" s="12" t="str">
        <x:v>TuShare index_daily</x:v>
      </x:c>
    </x:row>
    <x:row r="426" ht="18" customHeight="1">
      <x:c r="A426" s="13" t="n">
        <x:v>43214</x:v>
      </x:c>
      <x:c r="B426" s="12" t="str">
        <x:v>000300.SH</x:v>
      </x:c>
      <x:c r="C426" s="12" t="n">
        <x:v>3769.8787</x:v>
      </x:c>
      <x:c r="D426" s="12" t="n">
        <x:v>3854.4292</x:v>
      </x:c>
      <x:c r="E426" s="12" t="n">
        <x:v>3769.8787</x:v>
      </x:c>
      <x:c r="F426" s="12" t="n">
        <x:v>3843.4886</x:v>
      </x:c>
      <x:c r="G426" s="12" t="n">
        <x:v>3766.3257</x:v>
      </x:c>
      <x:c r="H426" s="12" t="n">
        <x:v>77.1629</x:v>
      </x:c>
      <x:c r="I426" s="12" t="n">
        <x:v>2.0488</x:v>
      </x:c>
      <x:c r="J426" s="12" t="n">
        <x:v>0.020280532927162264</x:v>
      </x:c>
      <x:c r="K426" s="12" t="n">
        <x:v>114219525</x:v>
      </x:c>
      <x:c r="L426" s="12" t="n">
        <x:v>145700512.791</x:v>
      </x:c>
      <x:c r="M426" s="12" t="str">
        <x:v>TuShare index_daily</x:v>
      </x:c>
    </x:row>
    <x:row r="427" ht="18" customHeight="1">
      <x:c r="A427" s="13" t="n">
        <x:v>43215</x:v>
      </x:c>
      <x:c r="B427" s="12" t="str">
        <x:v>000300.SH</x:v>
      </x:c>
      <x:c r="C427" s="12" t="n">
        <x:v>3824.5929</x:v>
      </x:c>
      <x:c r="D427" s="12" t="n">
        <x:v>3838.6921</x:v>
      </x:c>
      <x:c r="E427" s="12" t="n">
        <x:v>3817.032</x:v>
      </x:c>
      <x:c r="F427" s="12" t="n">
        <x:v>3828.7015</x:v>
      </x:c>
      <x:c r="G427" s="12" t="n">
        <x:v>3843.4886</x:v>
      </x:c>
      <x:c r="H427" s="12" t="n">
        <x:v>-14.7871</x:v>
      </x:c>
      <x:c r="I427" s="12" t="n">
        <x:v>-0.3847</x:v>
      </x:c>
      <x:c r="J427" s="12" t="n">
        <x:v>-0.0038547319910832763</x:v>
      </x:c>
      <x:c r="K427" s="12" t="n">
        <x:v>78172612</x:v>
      </x:c>
      <x:c r="L427" s="12" t="n">
        <x:v>105750449.452</x:v>
      </x:c>
      <x:c r="M427" s="12" t="str">
        <x:v>TuShare index_daily</x:v>
      </x:c>
    </x:row>
    <x:row r="428" ht="18" customHeight="1">
      <x:c r="A428" s="13" t="n">
        <x:v>43216</x:v>
      </x:c>
      <x:c r="B428" s="12" t="str">
        <x:v>000300.SH</x:v>
      </x:c>
      <x:c r="C428" s="12" t="n">
        <x:v>3823.3921</x:v>
      </x:c>
      <x:c r="D428" s="12" t="n">
        <x:v>3828.7129</x:v>
      </x:c>
      <x:c r="E428" s="12" t="n">
        <x:v>3744.8852</x:v>
      </x:c>
      <x:c r="F428" s="12" t="n">
        <x:v>3755.4941</x:v>
      </x:c>
      <x:c r="G428" s="12" t="n">
        <x:v>3828.7015</x:v>
      </x:c>
      <x:c r="H428" s="12" t="n">
        <x:v>-73.2074</x:v>
      </x:c>
      <x:c r="I428" s="12" t="n">
        <x:v>-1.9121</x:v>
      </x:c>
      <x:c r="J428" s="12" t="n">
        <x:v>-0.01930585065145748</x:v>
      </x:c>
      <x:c r="K428" s="12" t="n">
        <x:v>87150641</x:v>
      </x:c>
      <x:c r="L428" s="12" t="n">
        <x:v>125772304.515</x:v>
      </x:c>
      <x:c r="M428" s="12" t="str">
        <x:v>TuShare index_daily</x:v>
      </x:c>
    </x:row>
    <x:row r="429" ht="18" customHeight="1">
      <x:c r="A429" s="13" t="n">
        <x:v>43217</x:v>
      </x:c>
      <x:c r="B429" s="12" t="str">
        <x:v>000300.SH</x:v>
      </x:c>
      <x:c r="C429" s="12" t="n">
        <x:v>3771.0369</x:v>
      </x:c>
      <x:c r="D429" s="12" t="n">
        <x:v>3776.9751</x:v>
      </x:c>
      <x:c r="E429" s="12" t="n">
        <x:v>3714.6444</x:v>
      </x:c>
      <x:c r="F429" s="12" t="n">
        <x:v>3756.8765</x:v>
      </x:c>
      <x:c r="G429" s="12" t="n">
        <x:v>3755.4941</x:v>
      </x:c>
      <x:c r="H429" s="12" t="n">
        <x:v>1.3824</x:v>
      </x:c>
      <x:c r="I429" s="12" t="n">
        <x:v>0.0368</x:v>
      </x:c>
      <x:c r="J429" s="12" t="n">
        <x:v>0.0003680329656801829</x:v>
      </x:c>
      <x:c r="K429" s="12" t="n">
        <x:v>89531726</x:v>
      </x:c>
      <x:c r="L429" s="12" t="n">
        <x:v>142113627.6</x:v>
      </x:c>
      <x:c r="M429" s="12" t="str">
        <x:v>TuShare index_daily</x:v>
      </x:c>
    </x:row>
    <x:row r="430" ht="18" customHeight="1">
      <x:c r="A430" s="13" t="n">
        <x:v>43222</x:v>
      </x:c>
      <x:c r="B430" s="12" t="str">
        <x:v>000300.SH</x:v>
      </x:c>
      <x:c r="C430" s="12" t="n">
        <x:v>3769.9251</x:v>
      </x:c>
      <x:c r="D430" s="12" t="n">
        <x:v>3787.3025</x:v>
      </x:c>
      <x:c r="E430" s="12" t="n">
        <x:v>3744.5475</x:v>
      </x:c>
      <x:c r="F430" s="12" t="n">
        <x:v>3763.6461</x:v>
      </x:c>
      <x:c r="G430" s="12" t="n">
        <x:v>3756.8765</x:v>
      </x:c>
      <x:c r="H430" s="12" t="n">
        <x:v>6.7696</x:v>
      </x:c>
      <x:c r="I430" s="12" t="n">
        <x:v>0.1802</x:v>
      </x:c>
      <x:c r="J430" s="12" t="n">
        <x:v>0.0018003009068554776</x:v>
      </x:c>
      <x:c r="K430" s="12" t="n">
        <x:v>83301035</x:v>
      </x:c>
      <x:c r="L430" s="12" t="n">
        <x:v>120083483.29</x:v>
      </x:c>
      <x:c r="M430" s="12" t="str">
        <x:v>TuShare index_daily</x:v>
      </x:c>
    </x:row>
    <x:row r="431" ht="18" customHeight="1">
      <x:c r="A431" s="13" t="n">
        <x:v>43223</x:v>
      </x:c>
      <x:c r="B431" s="12" t="str">
        <x:v>000300.SH</x:v>
      </x:c>
      <x:c r="C431" s="12" t="n">
        <x:v>3756.1657</x:v>
      </x:c>
      <x:c r="D431" s="12" t="n">
        <x:v>3797.5269</x:v>
      </x:c>
      <x:c r="E431" s="12" t="n">
        <x:v>3732.3718</x:v>
      </x:c>
      <x:c r="F431" s="12" t="n">
        <x:v>3793.0001</x:v>
      </x:c>
      <x:c r="G431" s="12" t="n">
        <x:v>3763.6461</x:v>
      </x:c>
      <x:c r="H431" s="12" t="n">
        <x:v>29.354</x:v>
      </x:c>
      <x:c r="I431" s="12" t="n">
        <x:v>0.7799</x:v>
      </x:c>
      <x:c r="J431" s="12" t="n">
        <x:v>0.0077690940850433</x:v>
      </x:c>
      <x:c r="K431" s="12" t="n">
        <x:v>93961118</x:v>
      </x:c>
      <x:c r="L431" s="12" t="n">
        <x:v>122740168.864</x:v>
      </x:c>
      <x:c r="M431" s="12" t="str">
        <x:v>TuShare index_daily</x:v>
      </x:c>
    </x:row>
    <x:row r="432" ht="18" customHeight="1">
      <x:c r="A432" s="13" t="n">
        <x:v>43224</x:v>
      </x:c>
      <x:c r="B432" s="12" t="str">
        <x:v>000300.SH</x:v>
      </x:c>
      <x:c r="C432" s="12" t="n">
        <x:v>3784.3161</x:v>
      </x:c>
      <x:c r="D432" s="12" t="n">
        <x:v>3801.5243</x:v>
      </x:c>
      <x:c r="E432" s="12" t="n">
        <x:v>3770.9389</x:v>
      </x:c>
      <x:c r="F432" s="12" t="n">
        <x:v>3774.5981</x:v>
      </x:c>
      <x:c r="G432" s="12" t="n">
        <x:v>3793.0001</x:v>
      </x:c>
      <x:c r="H432" s="12" t="n">
        <x:v>-18.402</x:v>
      </x:c>
      <x:c r="I432" s="12" t="n">
        <x:v>-0.4852</x:v>
      </x:c>
      <x:c r="J432" s="12" t="n">
        <x:v>-0.0048633756139366815</x:v>
      </x:c>
      <x:c r="K432" s="12" t="n">
        <x:v>71554288</x:v>
      </x:c>
      <x:c r="L432" s="12" t="n">
        <x:v>98315254.609</x:v>
      </x:c>
      <x:c r="M432" s="12" t="str">
        <x:v>TuShare index_daily</x:v>
      </x:c>
    </x:row>
    <x:row r="433" ht="18" customHeight="1">
      <x:c r="A433" s="13" t="n">
        <x:v>43227</x:v>
      </x:c>
      <x:c r="B433" s="12" t="str">
        <x:v>000300.SH</x:v>
      </x:c>
      <x:c r="C433" s="12" t="n">
        <x:v>3782.5404</x:v>
      </x:c>
      <x:c r="D433" s="12" t="n">
        <x:v>3834.5872</x:v>
      </x:c>
      <x:c r="E433" s="12" t="n">
        <x:v>3776.0296</x:v>
      </x:c>
      <x:c r="F433" s="12" t="n">
        <x:v>3834.1877</x:v>
      </x:c>
      <x:c r="G433" s="12" t="n">
        <x:v>3774.5981</x:v>
      </x:c>
      <x:c r="H433" s="12" t="n">
        <x:v>59.5896</x:v>
      </x:c>
      <x:c r="I433" s="12" t="n">
        <x:v>1.5787</x:v>
      </x:c>
      <x:c r="J433" s="12" t="n">
        <x:v>0.015663686671114112</x:v>
      </x:c>
      <x:c r="K433" s="12" t="n">
        <x:v>87286195</x:v>
      </x:c>
      <x:c r="L433" s="12" t="n">
        <x:v>126354800.811</x:v>
      </x:c>
      <x:c r="M433" s="12" t="str">
        <x:v>TuShare index_daily</x:v>
      </x:c>
    </x:row>
    <x:row r="434" ht="18" customHeight="1">
      <x:c r="A434" s="13" t="n">
        <x:v>43228</x:v>
      </x:c>
      <x:c r="B434" s="12" t="str">
        <x:v>000300.SH</x:v>
      </x:c>
      <x:c r="C434" s="12" t="n">
        <x:v>3834.6141</x:v>
      </x:c>
      <x:c r="D434" s="12" t="n">
        <x:v>3892.0732</x:v>
      </x:c>
      <x:c r="E434" s="12" t="n">
        <x:v>3833.729</x:v>
      </x:c>
      <x:c r="F434" s="12" t="n">
        <x:v>3878.6767</x:v>
      </x:c>
      <x:c r="G434" s="12" t="n">
        <x:v>3834.1877</x:v>
      </x:c>
      <x:c r="H434" s="12" t="n">
        <x:v>44.489</x:v>
      </x:c>
      <x:c r="I434" s="12" t="n">
        <x:v>1.1603</x:v>
      </x:c>
      <x:c r="J434" s="12" t="n">
        <x:v>0.011536438632792785</x:v>
      </x:c>
      <x:c r="K434" s="12" t="n">
        <x:v>94215157</x:v>
      </x:c>
      <x:c r="L434" s="12" t="n">
        <x:v>135445862.529</x:v>
      </x:c>
      <x:c r="M434" s="12" t="str">
        <x:v>TuShare index_daily</x:v>
      </x:c>
    </x:row>
    <x:row r="435" ht="18" customHeight="1">
      <x:c r="A435" s="13" t="n">
        <x:v>43229</x:v>
      </x:c>
      <x:c r="B435" s="12" t="str">
        <x:v>000300.SH</x:v>
      </x:c>
      <x:c r="C435" s="12" t="n">
        <x:v>3876.1296</x:v>
      </x:c>
      <x:c r="D435" s="12" t="n">
        <x:v>3878.9382</x:v>
      </x:c>
      <x:c r="E435" s="12" t="n">
        <x:v>3855.7392</x:v>
      </x:c>
      <x:c r="F435" s="12" t="n">
        <x:v>3871.6152</x:v>
      </x:c>
      <x:c r="G435" s="12" t="n">
        <x:v>3878.6767</x:v>
      </x:c>
      <x:c r="H435" s="12" t="n">
        <x:v>-7.0615</x:v>
      </x:c>
      <x:c r="I435" s="12" t="n">
        <x:v>-0.1821</x:v>
      </x:c>
      <x:c r="J435" s="12" t="n">
        <x:v>-0.00182225445058165</x:v>
      </x:c>
      <x:c r="K435" s="12" t="n">
        <x:v>66712966</x:v>
      </x:c>
      <x:c r="L435" s="12" t="n">
        <x:v>92322896.271</x:v>
      </x:c>
      <x:c r="M435" s="12" t="str">
        <x:v>TuShare index_daily</x:v>
      </x:c>
    </x:row>
    <x:row r="436" ht="18" customHeight="1">
      <x:c r="A436" s="13" t="n">
        <x:v>43230</x:v>
      </x:c>
      <x:c r="B436" s="12" t="str">
        <x:v>000300.SH</x:v>
      </x:c>
      <x:c r="C436" s="12" t="n">
        <x:v>3882.8357</x:v>
      </x:c>
      <x:c r="D436" s="12" t="n">
        <x:v>3894.4902</x:v>
      </x:c>
      <x:c r="E436" s="12" t="n">
        <x:v>3867.3084</x:v>
      </x:c>
      <x:c r="F436" s="12" t="n">
        <x:v>3893.0565</x:v>
      </x:c>
      <x:c r="G436" s="12" t="n">
        <x:v>3871.6152</x:v>
      </x:c>
      <x:c r="H436" s="12" t="n">
        <x:v>21.4413</x:v>
      </x:c>
      <x:c r="I436" s="12" t="n">
        <x:v>0.5538</x:v>
      </x:c>
      <x:c r="J436" s="12" t="n">
        <x:v>0.00552279744136965</x:v>
      </x:c>
      <x:c r="K436" s="12" t="n">
        <x:v>70667809</x:v>
      </x:c>
      <x:c r="L436" s="12" t="n">
        <x:v>103255140.585</x:v>
      </x:c>
      <x:c r="M436" s="12" t="str">
        <x:v>TuShare index_daily</x:v>
      </x:c>
    </x:row>
    <x:row r="437" ht="18" customHeight="1">
      <x:c r="A437" s="13" t="n">
        <x:v>43231</x:v>
      </x:c>
      <x:c r="B437" s="12" t="str">
        <x:v>000300.SH</x:v>
      </x:c>
      <x:c r="C437" s="12" t="n">
        <x:v>3902.1481</x:v>
      </x:c>
      <x:c r="D437" s="12" t="n">
        <x:v>3903.3378</x:v>
      </x:c>
      <x:c r="E437" s="12" t="n">
        <x:v>3871.9523</x:v>
      </x:c>
      <x:c r="F437" s="12" t="n">
        <x:v>3872.8383</x:v>
      </x:c>
      <x:c r="G437" s="12" t="n">
        <x:v>3893.0565</x:v>
      </x:c>
      <x:c r="H437" s="12" t="n">
        <x:v>-20.2182</x:v>
      </x:c>
      <x:c r="I437" s="12" t="n">
        <x:v>-0.5193</x:v>
      </x:c>
      <x:c r="J437" s="12" t="n">
        <x:v>-0.005206932671784782</x:v>
      </x:c>
      <x:c r="K437" s="12" t="n">
        <x:v>73356604</x:v>
      </x:c>
      <x:c r="L437" s="12" t="n">
        <x:v>107715457.04</x:v>
      </x:c>
      <x:c r="M437" s="12" t="str">
        <x:v>TuShare index_daily</x:v>
      </x:c>
    </x:row>
    <x:row r="438" ht="18" customHeight="1">
      <x:c r="A438" s="13" t="n">
        <x:v>43234</x:v>
      </x:c>
      <x:c r="B438" s="12" t="str">
        <x:v>000300.SH</x:v>
      </x:c>
      <x:c r="C438" s="12" t="n">
        <x:v>3886.8736</x:v>
      </x:c>
      <x:c r="D438" s="12" t="n">
        <x:v>3919.2999</x:v>
      </x:c>
      <x:c r="E438" s="12" t="n">
        <x:v>3886.8736</x:v>
      </x:c>
      <x:c r="F438" s="12" t="n">
        <x:v>3909.2933</x:v>
      </x:c>
      <x:c r="G438" s="12" t="n">
        <x:v>3872.8383</x:v>
      </x:c>
      <x:c r="H438" s="12" t="n">
        <x:v>36.455</x:v>
      </x:c>
      <x:c r="I438" s="12" t="n">
        <x:v>0.9413</x:v>
      </x:c>
      <x:c r="J438" s="12" t="n">
        <x:v>0.009368966893457287</x:v>
      </x:c>
      <x:c r="K438" s="12" t="n">
        <x:v>81975999</x:v>
      </x:c>
      <x:c r="L438" s="12" t="n">
        <x:v>122520047.995</x:v>
      </x:c>
      <x:c r="M438" s="12" t="str">
        <x:v>TuShare index_daily</x:v>
      </x:c>
    </x:row>
    <x:row r="439" ht="18" customHeight="1">
      <x:c r="A439" s="13" t="n">
        <x:v>43235</x:v>
      </x:c>
      <x:c r="B439" s="12" t="str">
        <x:v>000300.SH</x:v>
      </x:c>
      <x:c r="C439" s="12" t="n">
        <x:v>3920.1395</x:v>
      </x:c>
      <x:c r="D439" s="12" t="n">
        <x:v>3924.3427</x:v>
      </x:c>
      <x:c r="E439" s="12" t="n">
        <x:v>3892.9198</x:v>
      </x:c>
      <x:c r="F439" s="12" t="n">
        <x:v>3924.0975</x:v>
      </x:c>
      <x:c r="G439" s="12" t="n">
        <x:v>3909.2933</x:v>
      </x:c>
      <x:c r="H439" s="12" t="n">
        <x:v>14.8042</x:v>
      </x:c>
      <x:c r="I439" s="12" t="n">
        <x:v>0.3787</x:v>
      </x:c>
      <x:c r="J439" s="12" t="n">
        <x:v>0.0037797725156862973</x:v>
      </x:c>
      <x:c r="K439" s="12" t="n">
        <x:v>76049555</x:v>
      </x:c>
      <x:c r="L439" s="12" t="n">
        <x:v>106091905.845</x:v>
      </x:c>
      <x:c r="M439" s="12" t="str">
        <x:v>TuShare index_daily</x:v>
      </x:c>
    </x:row>
    <x:row r="440" ht="18" customHeight="1">
      <x:c r="A440" s="13" t="n">
        <x:v>43236</x:v>
      </x:c>
      <x:c r="B440" s="12" t="str">
        <x:v>000300.SH</x:v>
      </x:c>
      <x:c r="C440" s="12" t="n">
        <x:v>3909.8183</x:v>
      </x:c>
      <x:c r="D440" s="12" t="n">
        <x:v>3923.3433</x:v>
      </x:c>
      <x:c r="E440" s="12" t="n">
        <x:v>3889.1877</x:v>
      </x:c>
      <x:c r="F440" s="12" t="n">
        <x:v>3892.8442</x:v>
      </x:c>
      <x:c r="G440" s="12" t="n">
        <x:v>3924.0975</x:v>
      </x:c>
      <x:c r="H440" s="12" t="n">
        <x:v>-31.2533</x:v>
      </x:c>
      <x:c r="I440" s="12" t="n">
        <x:v>-0.7964</x:v>
      </x:c>
      <x:c r="J440" s="12" t="n">
        <x:v>-0.007996341211463335</x:v>
      </x:c>
      <x:c r="K440" s="12" t="n">
        <x:v>71913646</x:v>
      </x:c>
      <x:c r="L440" s="12" t="n">
        <x:v>106533930.265</x:v>
      </x:c>
      <x:c r="M440" s="12" t="str">
        <x:v>TuShare index_daily</x:v>
      </x:c>
    </x:row>
    <x:row r="441" ht="18" customHeight="1">
      <x:c r="A441" s="13" t="n">
        <x:v>43237</x:v>
      </x:c>
      <x:c r="B441" s="12" t="str">
        <x:v>000300.SH</x:v>
      </x:c>
      <x:c r="C441" s="12" t="n">
        <x:v>3895.4895</x:v>
      </x:c>
      <x:c r="D441" s="12" t="n">
        <x:v>3899.5137</x:v>
      </x:c>
      <x:c r="E441" s="12" t="n">
        <x:v>3858.8525</x:v>
      </x:c>
      <x:c r="F441" s="12" t="n">
        <x:v>3864.0507</x:v>
      </x:c>
      <x:c r="G441" s="12" t="n">
        <x:v>3892.8442</x:v>
      </x:c>
      <x:c r="H441" s="12" t="n">
        <x:v>-28.7935</x:v>
      </x:c>
      <x:c r="I441" s="12" t="n">
        <x:v>-0.7397</x:v>
      </x:c>
      <x:c r="J441" s="12" t="n">
        <x:v>-0.007424009895567731</x:v>
      </x:c>
      <x:c r="K441" s="12" t="n">
        <x:v>59030123</x:v>
      </x:c>
      <x:c r="L441" s="12" t="n">
        <x:v>87104164.68</x:v>
      </x:c>
      <x:c r="M441" s="12" t="str">
        <x:v>TuShare index_daily</x:v>
      </x:c>
    </x:row>
    <x:row r="442" ht="18" customHeight="1">
      <x:c r="A442" s="13" t="n">
        <x:v>43238</x:v>
      </x:c>
      <x:c r="B442" s="12" t="str">
        <x:v>000300.SH</x:v>
      </x:c>
      <x:c r="C442" s="12" t="n">
        <x:v>3860.1644</x:v>
      </x:c>
      <x:c r="D442" s="12" t="n">
        <x:v>3903.0637</x:v>
      </x:c>
      <x:c r="E442" s="12" t="n">
        <x:v>3841.896</x:v>
      </x:c>
      <x:c r="F442" s="12" t="n">
        <x:v>3903.0637</x:v>
      </x:c>
      <x:c r="G442" s="12" t="n">
        <x:v>3864.0507</x:v>
      </x:c>
      <x:c r="H442" s="12" t="n">
        <x:v>39.013</x:v>
      </x:c>
      <x:c r="I442" s="12" t="n">
        <x:v>1.0096</x:v>
      </x:c>
      <x:c r="J442" s="12" t="n">
        <x:v>0.010045771461980648</x:v>
      </x:c>
      <x:c r="K442" s="12" t="n">
        <x:v>72613956</x:v>
      </x:c>
      <x:c r="L442" s="12" t="n">
        <x:v>96823851.809</x:v>
      </x:c>
      <x:c r="M442" s="12" t="str">
        <x:v>TuShare index_daily</x:v>
      </x:c>
    </x:row>
    <x:row r="443" ht="18" customHeight="1">
      <x:c r="A443" s="13" t="n">
        <x:v>43241</x:v>
      </x:c>
      <x:c r="B443" s="12" t="str">
        <x:v>000300.SH</x:v>
      </x:c>
      <x:c r="C443" s="12" t="n">
        <x:v>3925.5394</x:v>
      </x:c>
      <x:c r="D443" s="12" t="n">
        <x:v>3937.4607</x:v>
      </x:c>
      <x:c r="E443" s="12" t="n">
        <x:v>3913.6046</x:v>
      </x:c>
      <x:c r="F443" s="12" t="n">
        <x:v>3921.2421</x:v>
      </x:c>
      <x:c r="G443" s="12" t="n">
        <x:v>3903.0637</x:v>
      </x:c>
      <x:c r="H443" s="12" t="n">
        <x:v>18.1784</x:v>
      </x:c>
      <x:c r="I443" s="12" t="n">
        <x:v>0.4657</x:v>
      </x:c>
      <x:c r="J443" s="12" t="n">
        <x:v>0.004646657012846476</x:v>
      </x:c>
      <x:c r="K443" s="12" t="n">
        <x:v>92641737</x:v>
      </x:c>
      <x:c r="L443" s="12" t="n">
        <x:v>120528726.019</x:v>
      </x:c>
      <x:c r="M443" s="12" t="str">
        <x:v>TuShare index_daily</x:v>
      </x:c>
    </x:row>
    <x:row r="444" ht="18" customHeight="1">
      <x:c r="A444" s="13" t="n">
        <x:v>43242</x:v>
      </x:c>
      <x:c r="B444" s="12" t="str">
        <x:v>000300.SH</x:v>
      </x:c>
      <x:c r="C444" s="12" t="n">
        <x:v>3918.8153</x:v>
      </x:c>
      <x:c r="D444" s="12" t="n">
        <x:v>3918.8153</x:v>
      </x:c>
      <x:c r="E444" s="12" t="n">
        <x:v>3881.169</x:v>
      </x:c>
      <x:c r="F444" s="12" t="n">
        <x:v>3906.2081</x:v>
      </x:c>
      <x:c r="G444" s="12" t="n">
        <x:v>3921.2421</x:v>
      </x:c>
      <x:c r="H444" s="12" t="n">
        <x:v>-15.034</x:v>
      </x:c>
      <x:c r="I444" s="12" t="n">
        <x:v>-0.3834</x:v>
      </x:c>
      <x:c r="J444" s="12" t="n">
        <x:v>-0.0038413578119837126</x:v>
      </x:c>
      <x:c r="K444" s="12" t="n">
        <x:v>75368778</x:v>
      </x:c>
      <x:c r="L444" s="12" t="n">
        <x:v>102883344.897</x:v>
      </x:c>
      <x:c r="M444" s="12" t="str">
        <x:v>TuShare index_daily</x:v>
      </x:c>
    </x:row>
    <x:row r="445" ht="18" customHeight="1">
      <x:c r="A445" s="13" t="n">
        <x:v>43243</x:v>
      </x:c>
      <x:c r="B445" s="12" t="str">
        <x:v>000300.SH</x:v>
      </x:c>
      <x:c r="C445" s="12" t="n">
        <x:v>3898.2683</x:v>
      </x:c>
      <x:c r="D445" s="12" t="n">
        <x:v>3898.2683</x:v>
      </x:c>
      <x:c r="E445" s="12" t="n">
        <x:v>3854.5825</x:v>
      </x:c>
      <x:c r="F445" s="12" t="n">
        <x:v>3854.5825</x:v>
      </x:c>
      <x:c r="G445" s="12" t="n">
        <x:v>3906.2081</x:v>
      </x:c>
      <x:c r="H445" s="12" t="n">
        <x:v>-51.6256</x:v>
      </x:c>
      <x:c r="I445" s="12" t="n">
        <x:v>-1.3216</x:v>
      </x:c>
      <x:c r="J445" s="12" t="n">
        <x:v>-0.013304407802632041</x:v>
      </x:c>
      <x:c r="K445" s="12" t="n">
        <x:v>83722319</x:v>
      </x:c>
      <x:c r="L445" s="12" t="n">
        <x:v>110684503.206</x:v>
      </x:c>
      <x:c r="M445" s="12" t="str">
        <x:v>TuShare index_daily</x:v>
      </x:c>
    </x:row>
    <x:row r="446" ht="18" customHeight="1">
      <x:c r="A446" s="13" t="n">
        <x:v>43244</x:v>
      </x:c>
      <x:c r="B446" s="12" t="str">
        <x:v>000300.SH</x:v>
      </x:c>
      <x:c r="C446" s="12" t="n">
        <x:v>3853.2916</x:v>
      </x:c>
      <x:c r="D446" s="12" t="n">
        <x:v>3859.1034</x:v>
      </x:c>
      <x:c r="E446" s="12" t="n">
        <x:v>3823.9235</x:v>
      </x:c>
      <x:c r="F446" s="12" t="n">
        <x:v>3827.217</x:v>
      </x:c>
      <x:c r="G446" s="12" t="n">
        <x:v>3854.5825</x:v>
      </x:c>
      <x:c r="H446" s="12" t="n">
        <x:v>-27.3655</x:v>
      </x:c>
      <x:c r="I446" s="12" t="n">
        <x:v>-0.7099</x:v>
      </x:c>
      <x:c r="J446" s="12" t="n">
        <x:v>-0.007124793028526381</x:v>
      </x:c>
      <x:c r="K446" s="12" t="n">
        <x:v>68345022</x:v>
      </x:c>
      <x:c r="L446" s="12" t="n">
        <x:v>93408219.637</x:v>
      </x:c>
      <x:c r="M446" s="12" t="str">
        <x:v>TuShare index_daily</x:v>
      </x:c>
    </x:row>
    <x:row r="447" ht="18" customHeight="1">
      <x:c r="A447" s="13" t="n">
        <x:v>43245</x:v>
      </x:c>
      <x:c r="B447" s="12" t="str">
        <x:v>000300.SH</x:v>
      </x:c>
      <x:c r="C447" s="12" t="n">
        <x:v>3823.7448</x:v>
      </x:c>
      <x:c r="D447" s="12" t="n">
        <x:v>3841.1244</x:v>
      </x:c>
      <x:c r="E447" s="12" t="n">
        <x:v>3804.1349</x:v>
      </x:c>
      <x:c r="F447" s="12" t="n">
        <x:v>3816.498</x:v>
      </x:c>
      <x:c r="G447" s="12" t="n">
        <x:v>3827.217</x:v>
      </x:c>
      <x:c r="H447" s="12" t="n">
        <x:v>-10.719</x:v>
      </x:c>
      <x:c r="I447" s="12" t="n">
        <x:v>-0.2801</x:v>
      </x:c>
      <x:c r="J447" s="12" t="n">
        <x:v>-0.0028046589979882457</x:v>
      </x:c>
      <x:c r="K447" s="12" t="n">
        <x:v>70836386</x:v>
      </x:c>
      <x:c r="L447" s="12" t="n">
        <x:v>95667543.827</x:v>
      </x:c>
      <x:c r="M447" s="12" t="str">
        <x:v>TuShare index_daily</x:v>
      </x:c>
    </x:row>
    <x:row r="448" ht="18" customHeight="1">
      <x:c r="A448" s="13" t="n">
        <x:v>43248</x:v>
      </x:c>
      <x:c r="B448" s="12" t="str">
        <x:v>000300.SH</x:v>
      </x:c>
      <x:c r="C448" s="12" t="n">
        <x:v>3816.2649</x:v>
      </x:c>
      <x:c r="D448" s="12" t="n">
        <x:v>3846.5525</x:v>
      </x:c>
      <x:c r="E448" s="12" t="n">
        <x:v>3799.3207</x:v>
      </x:c>
      <x:c r="F448" s="12" t="n">
        <x:v>3833.2599</x:v>
      </x:c>
      <x:c r="G448" s="12" t="n">
        <x:v>3816.498</x:v>
      </x:c>
      <x:c r="H448" s="12" t="n">
        <x:v>16.7619</x:v>
      </x:c>
      <x:c r="I448" s="12" t="n">
        <x:v>0.4392</x:v>
      </x:c>
      <x:c r="J448" s="12" t="n">
        <x:v>0.004382341779967459</x:v>
      </x:c>
      <x:c r="K448" s="12" t="n">
        <x:v>71521132</x:v>
      </x:c>
      <x:c r="L448" s="12" t="n">
        <x:v>100001639.047</x:v>
      </x:c>
      <x:c r="M448" s="12" t="str">
        <x:v>TuShare index_daily</x:v>
      </x:c>
    </x:row>
    <x:row r="449" ht="18" customHeight="1">
      <x:c r="A449" s="13" t="n">
        <x:v>43249</x:v>
      </x:c>
      <x:c r="B449" s="12" t="str">
        <x:v>000300.SH</x:v>
      </x:c>
      <x:c r="C449" s="12" t="n">
        <x:v>3824.1909</x:v>
      </x:c>
      <x:c r="D449" s="12" t="n">
        <x:v>3841.7794</x:v>
      </x:c>
      <x:c r="E449" s="12" t="n">
        <x:v>3800.6749</x:v>
      </x:c>
      <x:c r="F449" s="12" t="n">
        <x:v>3804.0093</x:v>
      </x:c>
      <x:c r="G449" s="12" t="n">
        <x:v>3833.2599</x:v>
      </x:c>
      <x:c r="H449" s="12" t="n">
        <x:v>-29.2506</x:v>
      </x:c>
      <x:c r="I449" s="12" t="n">
        <x:v>-0.7631</x:v>
      </x:c>
      <x:c r="J449" s="12" t="n">
        <x:v>-0.007660000520758945</x:v>
      </x:c>
      <x:c r="K449" s="12" t="n">
        <x:v>81552662</x:v>
      </x:c>
      <x:c r="L449" s="12" t="n">
        <x:v>117288580.582</x:v>
      </x:c>
      <x:c r="M449" s="12" t="str">
        <x:v>TuShare index_daily</x:v>
      </x:c>
    </x:row>
    <x:row r="450" ht="18" customHeight="1">
      <x:c r="A450" s="13" t="n">
        <x:v>43250</x:v>
      </x:c>
      <x:c r="B450" s="12" t="str">
        <x:v>000300.SH</x:v>
      </x:c>
      <x:c r="C450" s="12" t="n">
        <x:v>3755.1764</x:v>
      </x:c>
      <x:c r="D450" s="12" t="n">
        <x:v>3767.8872</x:v>
      </x:c>
      <x:c r="E450" s="12" t="n">
        <x:v>3722.0719</x:v>
      </x:c>
      <x:c r="F450" s="12" t="n">
        <x:v>3723.3724</x:v>
      </x:c>
      <x:c r="G450" s="12" t="n">
        <x:v>3804.0093</x:v>
      </x:c>
      <x:c r="H450" s="12" t="n">
        <x:v>-80.6369</x:v>
      </x:c>
      <x:c r="I450" s="12" t="n">
        <x:v>-2.1198</x:v>
      </x:c>
      <x:c r="J450" s="12" t="n">
        <x:v>-0.02142577272682183</x:v>
      </x:c>
      <x:c r="K450" s="12" t="n">
        <x:v>87913285</x:v>
      </x:c>
      <x:c r="L450" s="12" t="n">
        <x:v>115858975.81</x:v>
      </x:c>
      <x:c r="M450" s="12" t="str">
        <x:v>TuShare index_daily</x:v>
      </x:c>
    </x:row>
    <x:row r="451" ht="18" customHeight="1">
      <x:c r="A451" s="13" t="n">
        <x:v>43251</x:v>
      </x:c>
      <x:c r="B451" s="12" t="str">
        <x:v>000300.SH</x:v>
      </x:c>
      <x:c r="C451" s="12" t="n">
        <x:v>3749.2954</x:v>
      </x:c>
      <x:c r="D451" s="12" t="n">
        <x:v>3804.7919</x:v>
      </x:c>
      <x:c r="E451" s="12" t="n">
        <x:v>3742.5287</x:v>
      </x:c>
      <x:c r="F451" s="12" t="n">
        <x:v>3802.3759</x:v>
      </x:c>
      <x:c r="G451" s="12" t="n">
        <x:v>3723.3724</x:v>
      </x:c>
      <x:c r="H451" s="12" t="n">
        <x:v>79.0035</x:v>
      </x:c>
      <x:c r="I451" s="12" t="n">
        <x:v>2.1218</x:v>
      </x:c>
      <x:c r="J451" s="12" t="n">
        <x:v>0.02099629144703934</x:v>
      </x:c>
      <x:c r="K451" s="12" t="n">
        <x:v>92666894</x:v>
      </x:c>
      <x:c r="L451" s="12" t="n">
        <x:v>130545422.18</x:v>
      </x:c>
      <x:c r="M451" s="12" t="str">
        <x:v>TuShare index_daily</x:v>
      </x:c>
    </x:row>
    <x:row r="452" ht="18" customHeight="1">
      <x:c r="A452" s="13" t="n">
        <x:v>43252</x:v>
      </x:c>
      <x:c r="B452" s="12" t="str">
        <x:v>000300.SH</x:v>
      </x:c>
      <x:c r="C452" s="12" t="n">
        <x:v>3789.6716</x:v>
      </x:c>
      <x:c r="D452" s="12" t="n">
        <x:v>3802.5366</x:v>
      </x:c>
      <x:c r="E452" s="12" t="n">
        <x:v>3753.8395</x:v>
      </x:c>
      <x:c r="F452" s="12" t="n">
        <x:v>3770.5891</x:v>
      </x:c>
      <x:c r="G452" s="12" t="n">
        <x:v>3802.3759</x:v>
      </x:c>
      <x:c r="H452" s="12" t="n">
        <x:v>-31.7868</x:v>
      </x:c>
      <x:c r="I452" s="12" t="n">
        <x:v>-0.836</x:v>
      </x:c>
      <x:c r="J452" s="12" t="n">
        <x:v>-0.008394858995770414</x:v>
      </x:c>
      <x:c r="K452" s="12" t="n">
        <x:v>77821813</x:v>
      </x:c>
      <x:c r="L452" s="12" t="n">
        <x:v>105934865.863</x:v>
      </x:c>
      <x:c r="M452" s="12" t="str">
        <x:v>TuShare index_daily</x:v>
      </x:c>
    </x:row>
    <x:row r="453" ht="18" customHeight="1">
      <x:c r="A453" s="13" t="n">
        <x:v>43255</x:v>
      </x:c>
      <x:c r="B453" s="12" t="str">
        <x:v>000300.SH</x:v>
      </x:c>
      <x:c r="C453" s="12" t="n">
        <x:v>3785.1869</x:v>
      </x:c>
      <x:c r="D453" s="12" t="n">
        <x:v>3813.4065</x:v>
      </x:c>
      <x:c r="E453" s="12" t="n">
        <x:v>3776.6185</x:v>
      </x:c>
      <x:c r="F453" s="12" t="n">
        <x:v>3807.5781</x:v>
      </x:c>
      <x:c r="G453" s="12" t="n">
        <x:v>3770.5891</x:v>
      </x:c>
      <x:c r="H453" s="12" t="n">
        <x:v>36.989</x:v>
      </x:c>
      <x:c r="I453" s="12" t="n">
        <x:v>0.981</x:v>
      </x:c>
      <x:c r="J453" s="12" t="n">
        <x:v>0.009762068524331617</x:v>
      </x:c>
      <x:c r="K453" s="12" t="n">
        <x:v>76624341</x:v>
      </x:c>
      <x:c r="L453" s="12" t="n">
        <x:v>115146468.45</x:v>
      </x:c>
      <x:c r="M453" s="12" t="str">
        <x:v>TuShare index_daily</x:v>
      </x:c>
    </x:row>
    <x:row r="454" ht="18" customHeight="1">
      <x:c r="A454" s="13" t="n">
        <x:v>43256</x:v>
      </x:c>
      <x:c r="B454" s="12" t="str">
        <x:v>000300.SH</x:v>
      </x:c>
      <x:c r="C454" s="12" t="n">
        <x:v>3811.2852</x:v>
      </x:c>
      <x:c r="D454" s="12" t="n">
        <x:v>3845.5648</x:v>
      </x:c>
      <x:c r="E454" s="12" t="n">
        <x:v>3800.9256</x:v>
      </x:c>
      <x:c r="F454" s="12" t="n">
        <x:v>3845.3164</x:v>
      </x:c>
      <x:c r="G454" s="12" t="n">
        <x:v>3807.5781</x:v>
      </x:c>
      <x:c r="H454" s="12" t="n">
        <x:v>37.7383</x:v>
      </x:c>
      <x:c r="I454" s="12" t="n">
        <x:v>0.9911</x:v>
      </x:c>
      <x:c r="J454" s="12" t="n">
        <x:v>0.009862570534798203</x:v>
      </x:c>
      <x:c r="K454" s="12" t="n">
        <x:v>78687360</x:v>
      </x:c>
      <x:c r="L454" s="12" t="n">
        <x:v>121261467.224</x:v>
      </x:c>
      <x:c r="M454" s="12" t="str">
        <x:v>TuShare index_daily</x:v>
      </x:c>
    </x:row>
    <x:row r="455" ht="18" customHeight="1">
      <x:c r="A455" s="13" t="n">
        <x:v>43257</x:v>
      </x:c>
      <x:c r="B455" s="12" t="str">
        <x:v>000300.SH</x:v>
      </x:c>
      <x:c r="C455" s="12" t="n">
        <x:v>3839.683</x:v>
      </x:c>
      <x:c r="D455" s="12" t="n">
        <x:v>3848.3295</x:v>
      </x:c>
      <x:c r="E455" s="12" t="n">
        <x:v>3830.8956</x:v>
      </x:c>
      <x:c r="F455" s="12" t="n">
        <x:v>3837.3511</x:v>
      </x:c>
      <x:c r="G455" s="12" t="n">
        <x:v>3845.3164</x:v>
      </x:c>
      <x:c r="H455" s="12" t="n">
        <x:v>-7.9653</x:v>
      </x:c>
      <x:c r="I455" s="12" t="n">
        <x:v>-0.2071</x:v>
      </x:c>
      <x:c r="J455" s="12" t="n">
        <x:v>-0.002073577401091168</x:v>
      </x:c>
      <x:c r="K455" s="12" t="n">
        <x:v>73117237</x:v>
      </x:c>
      <x:c r="L455" s="12" t="n">
        <x:v>107142041.766</x:v>
      </x:c>
      <x:c r="M455" s="12" t="str">
        <x:v>TuShare index_daily</x:v>
      </x:c>
    </x:row>
    <x:row r="456" ht="18" customHeight="1">
      <x:c r="A456" s="13" t="n">
        <x:v>43258</x:v>
      </x:c>
      <x:c r="B456" s="12" t="str">
        <x:v>000300.SH</x:v>
      </x:c>
      <x:c r="C456" s="12" t="n">
        <x:v>3846.9367</x:v>
      </x:c>
      <x:c r="D456" s="12" t="n">
        <x:v>3859.8476</x:v>
      </x:c>
      <x:c r="E456" s="12" t="n">
        <x:v>3827.6874</x:v>
      </x:c>
      <x:c r="F456" s="12" t="n">
        <x:v>3831.0128</x:v>
      </x:c>
      <x:c r="G456" s="12" t="n">
        <x:v>3837.3511</x:v>
      </x:c>
      <x:c r="H456" s="12" t="n">
        <x:v>-6.3383</x:v>
      </x:c>
      <x:c r="I456" s="12" t="n">
        <x:v>-0.1652</x:v>
      </x:c>
      <x:c r="J456" s="12" t="n">
        <x:v>-0.0016531039804767416</x:v>
      </x:c>
      <x:c r="K456" s="12" t="n">
        <x:v>80256147</x:v>
      </x:c>
      <x:c r="L456" s="12" t="n">
        <x:v>112365710.702</x:v>
      </x:c>
      <x:c r="M456" s="12" t="str">
        <x:v>TuShare index_daily</x:v>
      </x:c>
    </x:row>
    <x:row r="457" ht="18" customHeight="1">
      <x:c r="A457" s="13" t="n">
        <x:v>43259</x:v>
      </x:c>
      <x:c r="B457" s="12" t="str">
        <x:v>000300.SH</x:v>
      </x:c>
      <x:c r="C457" s="12" t="n">
        <x:v>3819.4477</x:v>
      </x:c>
      <x:c r="D457" s="12" t="n">
        <x:v>3819.4607</x:v>
      </x:c>
      <x:c r="E457" s="12" t="n">
        <x:v>3759.2717</x:v>
      </x:c>
      <x:c r="F457" s="12" t="n">
        <x:v>3779.6159</x:v>
      </x:c>
      <x:c r="G457" s="12" t="n">
        <x:v>3831.0128</x:v>
      </x:c>
      <x:c r="H457" s="12" t="n">
        <x:v>-51.3969</x:v>
      </x:c>
      <x:c r="I457" s="12" t="n">
        <x:v>-1.3416</x:v>
      </x:c>
      <x:c r="J457" s="12" t="n">
        <x:v>-0.013506816165262114</x:v>
      </x:c>
      <x:c r="K457" s="12" t="n">
        <x:v>83337335</x:v>
      </x:c>
      <x:c r="L457" s="12" t="n">
        <x:v>107818798.321</x:v>
      </x:c>
      <x:c r="M457" s="12" t="str">
        <x:v>TuShare index_daily</x:v>
      </x:c>
    </x:row>
    <x:row r="458" ht="18" customHeight="1">
      <x:c r="A458" s="13" t="n">
        <x:v>43262</x:v>
      </x:c>
      <x:c r="B458" s="12" t="str">
        <x:v>000300.SH</x:v>
      </x:c>
      <x:c r="C458" s="12" t="n">
        <x:v>3770.208</x:v>
      </x:c>
      <x:c r="D458" s="12" t="n">
        <x:v>3792.548</x:v>
      </x:c>
      <x:c r="E458" s="12" t="n">
        <x:v>3756.5148</x:v>
      </x:c>
      <x:c r="F458" s="12" t="n">
        <x:v>3779.9818</x:v>
      </x:c>
      <x:c r="G458" s="12" t="n">
        <x:v>3779.6159</x:v>
      </x:c>
      <x:c r="H458" s="12" t="n">
        <x:v>0.3659</x:v>
      </x:c>
      <x:c r="I458" s="12" t="n">
        <x:v>0.0097</x:v>
      </x:c>
      <x:c r="J458" s="12" t="n">
        <x:v>0.00009680409323518328</x:v>
      </x:c>
      <x:c r="K458" s="12" t="n">
        <x:v>68709834</x:v>
      </x:c>
      <x:c r="L458" s="12" t="n">
        <x:v>105597924.649</x:v>
      </x:c>
      <x:c r="M458" s="12" t="str">
        <x:v>TuShare index_daily</x:v>
      </x:c>
    </x:row>
    <x:row r="459" ht="18" customHeight="1">
      <x:c r="A459" s="13" t="n">
        <x:v>43263</x:v>
      </x:c>
      <x:c r="B459" s="12" t="str">
        <x:v>000300.SH</x:v>
      </x:c>
      <x:c r="C459" s="12" t="n">
        <x:v>3783.1858</x:v>
      </x:c>
      <x:c r="D459" s="12" t="n">
        <x:v>3830.471</x:v>
      </x:c>
      <x:c r="E459" s="12" t="n">
        <x:v>3765.2644</x:v>
      </x:c>
      <x:c r="F459" s="12" t="n">
        <x:v>3825.9534</x:v>
      </x:c>
      <x:c r="G459" s="12" t="n">
        <x:v>3779.9818</x:v>
      </x:c>
      <x:c r="H459" s="12" t="n">
        <x:v>45.9716</x:v>
      </x:c>
      <x:c r="I459" s="12" t="n">
        <x:v>1.2162</x:v>
      </x:c>
      <x:c r="J459" s="12" t="n">
        <x:v>0.012088496316527605</x:v>
      </x:c>
      <x:c r="K459" s="12" t="n">
        <x:v>73206244</x:v>
      </x:c>
      <x:c r="L459" s="12" t="n">
        <x:v>116217139.615</x:v>
      </x:c>
      <x:c r="M459" s="12" t="str">
        <x:v>TuShare index_daily</x:v>
      </x:c>
    </x:row>
    <x:row r="460" ht="18" customHeight="1">
      <x:c r="A460" s="13" t="n">
        <x:v>43264</x:v>
      </x:c>
      <x:c r="B460" s="12" t="str">
        <x:v>000300.SH</x:v>
      </x:c>
      <x:c r="C460" s="12" t="n">
        <x:v>3814.6174</x:v>
      </x:c>
      <x:c r="D460" s="12" t="n">
        <x:v>3817.4528</x:v>
      </x:c>
      <x:c r="E460" s="12" t="n">
        <x:v>3782.0728</x:v>
      </x:c>
      <x:c r="F460" s="12" t="n">
        <x:v>3788.3391</x:v>
      </x:c>
      <x:c r="G460" s="12" t="n">
        <x:v>3825.9534</x:v>
      </x:c>
      <x:c r="H460" s="12" t="n">
        <x:v>-37.6143</x:v>
      </x:c>
      <x:c r="I460" s="12" t="n">
        <x:v>-0.9831</x:v>
      </x:c>
      <x:c r="J460" s="12" t="n">
        <x:v>-0.00988000026904556</x:v>
      </x:c>
      <x:c r="K460" s="12" t="n">
        <x:v>66377970</x:v>
      </x:c>
      <x:c r="L460" s="12" t="n">
        <x:v>97185498.92</x:v>
      </x:c>
      <x:c r="M460" s="12" t="str">
        <x:v>TuShare index_daily</x:v>
      </x:c>
    </x:row>
    <x:row r="461" ht="18" customHeight="1">
      <x:c r="A461" s="13" t="n">
        <x:v>43265</x:v>
      </x:c>
      <x:c r="B461" s="12" t="str">
        <x:v>000300.SH</x:v>
      </x:c>
      <x:c r="C461" s="12" t="n">
        <x:v>3774.6396</x:v>
      </x:c>
      <x:c r="D461" s="12" t="n">
        <x:v>3808.1616</x:v>
      </x:c>
      <x:c r="E461" s="12" t="n">
        <x:v>3759.2484</x:v>
      </x:c>
      <x:c r="F461" s="12" t="n">
        <x:v>3773.3655</x:v>
      </x:c>
      <x:c r="G461" s="12" t="n">
        <x:v>3788.3391</x:v>
      </x:c>
      <x:c r="H461" s="12" t="n">
        <x:v>-14.9736</x:v>
      </x:c>
      <x:c r="I461" s="12" t="n">
        <x:v>-0.3953</x:v>
      </x:c>
      <x:c r="J461" s="12" t="n">
        <x:v>-0.003960382046998095</x:v>
      </x:c>
      <x:c r="K461" s="12" t="n">
        <x:v>68471322</x:v>
      </x:c>
      <x:c r="L461" s="12" t="n">
        <x:v>99234014.984</x:v>
      </x:c>
      <x:c r="M461" s="12" t="str">
        <x:v>TuShare index_daily</x:v>
      </x:c>
    </x:row>
    <x:row r="462" ht="18" customHeight="1">
      <x:c r="A462" s="13" t="n">
        <x:v>43266</x:v>
      </x:c>
      <x:c r="B462" s="12" t="str">
        <x:v>000300.SH</x:v>
      </x:c>
      <x:c r="C462" s="12" t="n">
        <x:v>3763.0405</x:v>
      </x:c>
      <x:c r="D462" s="12" t="n">
        <x:v>3780.3368</x:v>
      </x:c>
      <x:c r="E462" s="12" t="n">
        <x:v>3737.4282</x:v>
      </x:c>
      <x:c r="F462" s="12" t="n">
        <x:v>3753.4338</x:v>
      </x:c>
      <x:c r="G462" s="12" t="n">
        <x:v>3773.3655</x:v>
      </x:c>
      <x:c r="H462" s="12" t="n">
        <x:v>-19.9317</x:v>
      </x:c>
      <x:c r="I462" s="12" t="n">
        <x:v>-0.5282</x:v>
      </x:c>
      <x:c r="J462" s="12" t="n">
        <x:v>-0.0052962078024381964</x:v>
      </x:c>
      <x:c r="K462" s="12" t="n">
        <x:v>85488893</x:v>
      </x:c>
      <x:c r="L462" s="12" t="n">
        <x:v>109534900.847</x:v>
      </x:c>
      <x:c r="M462" s="12" t="str">
        <x:v>TuShare index_daily</x:v>
      </x:c>
    </x:row>
    <x:row r="463" ht="18" customHeight="1">
      <x:c r="A463" s="13" t="n">
        <x:v>43270</x:v>
      </x:c>
      <x:c r="B463" s="12" t="str">
        <x:v>000300.SH</x:v>
      </x:c>
      <x:c r="C463" s="12" t="n">
        <x:v>3702.6681</x:v>
      </x:c>
      <x:c r="D463" s="12" t="n">
        <x:v>3712.8162</x:v>
      </x:c>
      <x:c r="E463" s="12" t="n">
        <x:v>3583.0208</x:v>
      </x:c>
      <x:c r="F463" s="12" t="n">
        <x:v>3621.1166</x:v>
      </x:c>
      <x:c r="G463" s="12" t="n">
        <x:v>3753.4338</x:v>
      </x:c>
      <x:c r="H463" s="12" t="n">
        <x:v>-132.3172</x:v>
      </x:c>
      <x:c r="I463" s="12" t="n">
        <x:v>-3.5252</x:v>
      </x:c>
      <x:c r="J463" s="12" t="n">
        <x:v>-0.035888669688640594</x:v>
      </x:c>
      <x:c r="K463" s="12" t="n">
        <x:v>160706542</x:v>
      </x:c>
      <x:c r="L463" s="12" t="n">
        <x:v>193848797.293</x:v>
      </x:c>
      <x:c r="M463" s="12" t="str">
        <x:v>TuShare index_daily</x:v>
      </x:c>
    </x:row>
    <x:row r="464" ht="18" customHeight="1">
      <x:c r="A464" s="13" t="n">
        <x:v>43271</x:v>
      </x:c>
      <x:c r="B464" s="12" t="str">
        <x:v>000300.SH</x:v>
      </x:c>
      <x:c r="C464" s="12" t="n">
        <x:v>3602.5512</x:v>
      </x:c>
      <x:c r="D464" s="12" t="n">
        <x:v>3649.3359</x:v>
      </x:c>
      <x:c r="E464" s="12" t="n">
        <x:v>3578.1743</x:v>
      </x:c>
      <x:c r="F464" s="12" t="n">
        <x:v>3635.4436</x:v>
      </x:c>
      <x:c r="G464" s="12" t="n">
        <x:v>3621.1166</x:v>
      </x:c>
      <x:c r="H464" s="12" t="n">
        <x:v>14.327</x:v>
      </x:c>
      <x:c r="I464" s="12" t="n">
        <x:v>0.3957</x:v>
      </x:c>
      <x:c r="J464" s="12" t="n">
        <x:v>0.00394870798864066</x:v>
      </x:c>
      <x:c r="K464" s="12" t="n">
        <x:v>86718098</x:v>
      </x:c>
      <x:c r="L464" s="12" t="n">
        <x:v>112804812.786</x:v>
      </x:c>
      <x:c r="M464" s="12" t="str">
        <x:v>TuShare index_daily</x:v>
      </x:c>
    </x:row>
    <x:row r="465" ht="18" customHeight="1">
      <x:c r="A465" s="13" t="n">
        <x:v>43272</x:v>
      </x:c>
      <x:c r="B465" s="12" t="str">
        <x:v>000300.SH</x:v>
      </x:c>
      <x:c r="C465" s="12" t="n">
        <x:v>3633.5558</x:v>
      </x:c>
      <x:c r="D465" s="12" t="n">
        <x:v>3673.5625</x:v>
      </x:c>
      <x:c r="E465" s="12" t="n">
        <x:v>3589.4899</x:v>
      </x:c>
      <x:c r="F465" s="12" t="n">
        <x:v>3592.965</x:v>
      </x:c>
      <x:c r="G465" s="12" t="n">
        <x:v>3635.4436</x:v>
      </x:c>
      <x:c r="H465" s="12" t="n">
        <x:v>-42.4786</x:v>
      </x:c>
      <x:c r="I465" s="12" t="n">
        <x:v>-1.1685</x:v>
      </x:c>
      <x:c r="J465" s="12" t="n">
        <x:v>-0.011753372382572898</x:v>
      </x:c>
      <x:c r="K465" s="12" t="n">
        <x:v>93908552</x:v>
      </x:c>
      <x:c r="L465" s="12" t="n">
        <x:v>115584149.028</x:v>
      </x:c>
      <x:c r="M465" s="12" t="str">
        <x:v>TuShare index_daily</x:v>
      </x:c>
    </x:row>
    <x:row r="466" ht="18" customHeight="1">
      <x:c r="A466" s="13" t="n">
        <x:v>43273</x:v>
      </x:c>
      <x:c r="B466" s="12" t="str">
        <x:v>000300.SH</x:v>
      </x:c>
      <x:c r="C466" s="12" t="n">
        <x:v>3567.8939</x:v>
      </x:c>
      <x:c r="D466" s="12" t="n">
        <x:v>3609.0751</x:v>
      </x:c>
      <x:c r="E466" s="12" t="n">
        <x:v>3542.4564</x:v>
      </x:c>
      <x:c r="F466" s="12" t="n">
        <x:v>3608.9046</x:v>
      </x:c>
      <x:c r="G466" s="12" t="n">
        <x:v>3592.965</x:v>
      </x:c>
      <x:c r="H466" s="12" t="n">
        <x:v>15.9396</x:v>
      </x:c>
      <x:c r="I466" s="12" t="n">
        <x:v>0.4436</x:v>
      </x:c>
      <x:c r="J466" s="12" t="n">
        <x:v>0.00442652447549438</x:v>
      </x:c>
      <x:c r="K466" s="12" t="n">
        <x:v>75117864</x:v>
      </x:c>
      <x:c r="L466" s="12" t="n">
        <x:v>89687282.053</x:v>
      </x:c>
      <x:c r="M466" s="12" t="str">
        <x:v>TuShare index_daily</x:v>
      </x:c>
    </x:row>
    <x:row r="467" ht="18" customHeight="1">
      <x:c r="A467" s="13" t="n">
        <x:v>43276</x:v>
      </x:c>
      <x:c r="B467" s="12" t="str">
        <x:v>000300.SH</x:v>
      </x:c>
      <x:c r="C467" s="12" t="n">
        <x:v>3625.7984</x:v>
      </x:c>
      <x:c r="D467" s="12" t="n">
        <x:v>3631.0253</x:v>
      </x:c>
      <x:c r="E467" s="12" t="n">
        <x:v>3559.0343</x:v>
      </x:c>
      <x:c r="F467" s="12" t="n">
        <x:v>3560.4777</x:v>
      </x:c>
      <x:c r="G467" s="12" t="n">
        <x:v>3608.9046</x:v>
      </x:c>
      <x:c r="H467" s="12" t="n">
        <x:v>-48.4269</x:v>
      </x:c>
      <x:c r="I467" s="12" t="n">
        <x:v>-1.3419</x:v>
      </x:c>
      <x:c r="J467" s="12" t="n">
        <x:v>-0.01350957014091455</x:v>
      </x:c>
      <x:c r="K467" s="12" t="n">
        <x:v>79877078</x:v>
      </x:c>
      <x:c r="L467" s="12" t="n">
        <x:v>106690345.317</x:v>
      </x:c>
      <x:c r="M467" s="12" t="str">
        <x:v>TuShare index_daily</x:v>
      </x:c>
    </x:row>
    <x:row r="468" ht="18" customHeight="1">
      <x:c r="A468" s="13" t="n">
        <x:v>43277</x:v>
      </x:c>
      <x:c r="B468" s="12" t="str">
        <x:v>000300.SH</x:v>
      </x:c>
      <x:c r="C468" s="12" t="n">
        <x:v>3521.5876</x:v>
      </x:c>
      <x:c r="D468" s="12" t="n">
        <x:v>3541.782</x:v>
      </x:c>
      <x:c r="E468" s="12" t="n">
        <x:v>3478.2134</x:v>
      </x:c>
      <x:c r="F468" s="12" t="n">
        <x:v>3531.1112</x:v>
      </x:c>
      <x:c r="G468" s="12" t="n">
        <x:v>3560.4777</x:v>
      </x:c>
      <x:c r="H468" s="12" t="n">
        <x:v>-29.3665</x:v>
      </x:c>
      <x:c r="I468" s="12" t="n">
        <x:v>-0.8248</x:v>
      </x:c>
      <x:c r="J468" s="12" t="n">
        <x:v>-0.008282112309727857</x:v>
      </x:c>
      <x:c r="K468" s="12" t="n">
        <x:v>84985269</x:v>
      </x:c>
      <x:c r="L468" s="12" t="n">
        <x:v>108132167.346</x:v>
      </x:c>
      <x:c r="M468" s="12" t="str">
        <x:v>TuShare index_daily</x:v>
      </x:c>
    </x:row>
    <x:row r="469" ht="18" customHeight="1">
      <x:c r="A469" s="13" t="n">
        <x:v>43278</x:v>
      </x:c>
      <x:c r="B469" s="12" t="str">
        <x:v>000300.SH</x:v>
      </x:c>
      <x:c r="C469" s="12" t="n">
        <x:v>3525.1323</x:v>
      </x:c>
      <x:c r="D469" s="12" t="n">
        <x:v>3537.6569</x:v>
      </x:c>
      <x:c r="E469" s="12" t="n">
        <x:v>3441.785</x:v>
      </x:c>
      <x:c r="F469" s="12" t="n">
        <x:v>3459.2621</x:v>
      </x:c>
      <x:c r="G469" s="12" t="n">
        <x:v>3531.1112</x:v>
      </x:c>
      <x:c r="H469" s="12" t="n">
        <x:v>-71.8491</x:v>
      </x:c>
      <x:c r="I469" s="12" t="n">
        <x:v>-2.0347</x:v>
      </x:c>
      <x:c r="J469" s="12" t="n">
        <x:v>-0.02055730851614087</x:v>
      </x:c>
      <x:c r="K469" s="12" t="n">
        <x:v>81491817</x:v>
      </x:c>
      <x:c r="L469" s="12" t="n">
        <x:v>107628896.582</x:v>
      </x:c>
      <x:c r="M469" s="12" t="str">
        <x:v>TuShare index_daily</x:v>
      </x:c>
    </x:row>
    <x:row r="470" ht="18" customHeight="1">
      <x:c r="A470" s="13" t="n">
        <x:v>43279</x:v>
      </x:c>
      <x:c r="B470" s="12" t="str">
        <x:v>000300.SH</x:v>
      </x:c>
      <x:c r="C470" s="12" t="n">
        <x:v>3434.9441</x:v>
      </x:c>
      <x:c r="D470" s="12" t="n">
        <x:v>3477.0565</x:v>
      </x:c>
      <x:c r="E470" s="12" t="n">
        <x:v>3416.9476</x:v>
      </x:c>
      <x:c r="F470" s="12" t="n">
        <x:v>3423.5255</x:v>
      </x:c>
      <x:c r="G470" s="12" t="n">
        <x:v>3459.2621</x:v>
      </x:c>
      <x:c r="H470" s="12" t="n">
        <x:v>-35.7366</x:v>
      </x:c>
      <x:c r="I470" s="12" t="n">
        <x:v>-1.0331</x:v>
      </x:c>
      <x:c r="J470" s="12" t="n">
        <x:v>-0.0103844323604346</x:v>
      </x:c>
      <x:c r="K470" s="12" t="n">
        <x:v>75918051</x:v>
      </x:c>
      <x:c r="L470" s="12" t="n">
        <x:v>98570527.345</x:v>
      </x:c>
      <x:c r="M470" s="12" t="str">
        <x:v>TuShare index_daily</x:v>
      </x:c>
    </x:row>
    <x:row r="471" ht="18" customHeight="1">
      <x:c r="A471" s="13" t="n">
        <x:v>43280</x:v>
      </x:c>
      <x:c r="B471" s="12" t="str">
        <x:v>000300.SH</x:v>
      </x:c>
      <x:c r="C471" s="12" t="n">
        <x:v>3431.9619</x:v>
      </x:c>
      <x:c r="D471" s="12" t="n">
        <x:v>3512.3834</x:v>
      </x:c>
      <x:c r="E471" s="12" t="n">
        <x:v>3425.2159</x:v>
      </x:c>
      <x:c r="F471" s="12" t="n">
        <x:v>3510.9845</x:v>
      </x:c>
      <x:c r="G471" s="12" t="n">
        <x:v>3423.5255</x:v>
      </x:c>
      <x:c r="H471" s="12" t="n">
        <x:v>87.459</x:v>
      </x:c>
      <x:c r="I471" s="12" t="n">
        <x:v>2.5546</x:v>
      </x:c>
      <x:c r="J471" s="12" t="n">
        <x:v>0.025225614411043255</x:v>
      </x:c>
      <x:c r="K471" s="12" t="n">
        <x:v>77257031</x:v>
      </x:c>
      <x:c r="L471" s="12" t="n">
        <x:v>97616367.299</x:v>
      </x:c>
      <x:c r="M471" s="12" t="str">
        <x:v>TuShare index_daily</x:v>
      </x:c>
    </x:row>
    <x:row r="472" ht="18" customHeight="1">
      <x:c r="A472" s="13" t="n">
        <x:v>43283</x:v>
      </x:c>
      <x:c r="B472" s="12" t="str">
        <x:v>000300.SH</x:v>
      </x:c>
      <x:c r="C472" s="12" t="n">
        <x:v>3504.4571</x:v>
      </x:c>
      <x:c r="D472" s="12" t="n">
        <x:v>3506.8996</x:v>
      </x:c>
      <x:c r="E472" s="12" t="n">
        <x:v>3383.5006</x:v>
      </x:c>
      <x:c r="F472" s="12" t="n">
        <x:v>3407.9638</x:v>
      </x:c>
      <x:c r="G472" s="12" t="n">
        <x:v>3510.9845</x:v>
      </x:c>
      <x:c r="H472" s="12" t="n">
        <x:v>-103.0207</x:v>
      </x:c>
      <x:c r="I472" s="12" t="n">
        <x:v>-2.9342</x:v>
      </x:c>
      <x:c r="J472" s="12" t="n">
        <x:v>-0.029781495634955715</x:v>
      </x:c>
      <x:c r="K472" s="12" t="n">
        <x:v>84351449</x:v>
      </x:c>
      <x:c r="L472" s="12" t="n">
        <x:v>107601540.659</x:v>
      </x:c>
      <x:c r="M472" s="12" t="str">
        <x:v>TuShare index_daily</x:v>
      </x:c>
    </x:row>
    <x:row r="473" ht="18" customHeight="1">
      <x:c r="A473" s="13" t="n">
        <x:v>43284</x:v>
      </x:c>
      <x:c r="B473" s="12" t="str">
        <x:v>000300.SH</x:v>
      </x:c>
      <x:c r="C473" s="12" t="n">
        <x:v>3410.4767</x:v>
      </x:c>
      <x:c r="D473" s="12" t="n">
        <x:v>3422.0398</x:v>
      </x:c>
      <x:c r="E473" s="12" t="n">
        <x:v>3319.2889</x:v>
      </x:c>
      <x:c r="F473" s="12" t="n">
        <x:v>3409.2801</x:v>
      </x:c>
      <x:c r="G473" s="12" t="n">
        <x:v>3407.9638</x:v>
      </x:c>
      <x:c r="H473" s="12" t="n">
        <x:v>1.3163</x:v>
      </x:c>
      <x:c r="I473" s="12" t="n">
        <x:v>0.0386</x:v>
      </x:c>
      <x:c r="J473" s="12" t="n">
        <x:v>0.0003861677932213714</x:v>
      </x:c>
      <x:c r="K473" s="12" t="n">
        <x:v>95278693</x:v>
      </x:c>
      <x:c r="L473" s="12" t="n">
        <x:v>129898019.347</x:v>
      </x:c>
      <x:c r="M473" s="12" t="str">
        <x:v>TuShare index_daily</x:v>
      </x:c>
    </x:row>
    <x:row r="474" ht="18" customHeight="1">
      <x:c r="A474" s="13" t="n">
        <x:v>43285</x:v>
      </x:c>
      <x:c r="B474" s="12" t="str">
        <x:v>000300.SH</x:v>
      </x:c>
      <x:c r="C474" s="12" t="n">
        <x:v>3398.7788</x:v>
      </x:c>
      <x:c r="D474" s="12" t="n">
        <x:v>3418.3311</x:v>
      </x:c>
      <x:c r="E474" s="12" t="n">
        <x:v>3359.0861</x:v>
      </x:c>
      <x:c r="F474" s="12" t="n">
        <x:v>3363.7473</x:v>
      </x:c>
      <x:c r="G474" s="12" t="n">
        <x:v>3409.2801</x:v>
      </x:c>
      <x:c r="H474" s="12" t="n">
        <x:v>-45.5328</x:v>
      </x:c>
      <x:c r="I474" s="12" t="n">
        <x:v>-1.3356</x:v>
      </x:c>
      <x:c r="J474" s="12" t="n">
        <x:v>-0.013445534255077423</x:v>
      </x:c>
      <x:c r="K474" s="12" t="n">
        <x:v>75157997</x:v>
      </x:c>
      <x:c r="L474" s="12" t="n">
        <x:v>93648559.089</x:v>
      </x:c>
      <x:c r="M474" s="12" t="str">
        <x:v>TuShare index_daily</x:v>
      </x:c>
    </x:row>
    <x:row r="475" ht="18" customHeight="1">
      <x:c r="A475" s="13" t="n">
        <x:v>43286</x:v>
      </x:c>
      <x:c r="B475" s="12" t="str">
        <x:v>000300.SH</x:v>
      </x:c>
      <x:c r="C475" s="12" t="n">
        <x:v>3365.5547</x:v>
      </x:c>
      <x:c r="D475" s="12" t="n">
        <x:v>3398.4852</x:v>
      </x:c>
      <x:c r="E475" s="12" t="n">
        <x:v>3330.7113</x:v>
      </x:c>
      <x:c r="F475" s="12" t="n">
        <x:v>3342.4379</x:v>
      </x:c>
      <x:c r="G475" s="12" t="n">
        <x:v>3363.7473</x:v>
      </x:c>
      <x:c r="H475" s="12" t="n">
        <x:v>-21.3094</x:v>
      </x:c>
      <x:c r="I475" s="12" t="n">
        <x:v>-0.6335</x:v>
      </x:c>
      <x:c r="J475" s="12" t="n">
        <x:v>-0.0063551694697030125</x:v>
      </x:c>
      <x:c r="K475" s="12" t="n">
        <x:v>81587981</x:v>
      </x:c>
      <x:c r="L475" s="12" t="n">
        <x:v>97544619.59</x:v>
      </x:c>
      <x:c r="M475" s="12" t="str">
        <x:v>TuShare index_daily</x:v>
      </x:c>
    </x:row>
    <x:row r="476" ht="18" customHeight="1">
      <x:c r="A476" s="13" t="n">
        <x:v>43287</x:v>
      </x:c>
      <x:c r="B476" s="12" t="str">
        <x:v>000300.SH</x:v>
      </x:c>
      <x:c r="C476" s="12" t="n">
        <x:v>3347.0624</x:v>
      </x:c>
      <x:c r="D476" s="12" t="n">
        <x:v>3396.2458</x:v>
      </x:c>
      <x:c r="E476" s="12" t="n">
        <x:v>3295.7296</x:v>
      </x:c>
      <x:c r="F476" s="12" t="n">
        <x:v>3365.1227</x:v>
      </x:c>
      <x:c r="G476" s="12" t="n">
        <x:v>3342.4379</x:v>
      </x:c>
      <x:c r="H476" s="12" t="n">
        <x:v>22.6848</x:v>
      </x:c>
      <x:c r="I476" s="12" t="n">
        <x:v>0.6787</x:v>
      </x:c>
      <x:c r="J476" s="12" t="n">
        <x:v>0.006763975114381641</x:v>
      </x:c>
      <x:c r="K476" s="12" t="n">
        <x:v>86097579</x:v>
      </x:c>
      <x:c r="L476" s="12" t="n">
        <x:v>109481942.501</x:v>
      </x:c>
      <x:c r="M476" s="12" t="str">
        <x:v>TuShare index_daily</x:v>
      </x:c>
    </x:row>
    <x:row r="477" ht="18" customHeight="1">
      <x:c r="A477" s="13" t="n">
        <x:v>43290</x:v>
      </x:c>
      <x:c r="B477" s="12" t="str">
        <x:v>000300.SH</x:v>
      </x:c>
      <x:c r="C477" s="12" t="n">
        <x:v>3378.9056</x:v>
      </x:c>
      <x:c r="D477" s="12" t="n">
        <x:v>3459.3153</x:v>
      </x:c>
      <x:c r="E477" s="12" t="n">
        <x:v>3378.9056</x:v>
      </x:c>
      <x:c r="F477" s="12" t="n">
        <x:v>3459.1837</x:v>
      </x:c>
      <x:c r="G477" s="12" t="n">
        <x:v>3365.1227</x:v>
      </x:c>
      <x:c r="H477" s="12" t="n">
        <x:v>94.061</x:v>
      </x:c>
      <x:c r="I477" s="12" t="n">
        <x:v>2.7952</x:v>
      </x:c>
      <x:c r="J477" s="12" t="n">
        <x:v>0.027568210351744886</x:v>
      </x:c>
      <x:c r="K477" s="12" t="n">
        <x:v>76601545</x:v>
      </x:c>
      <x:c r="L477" s="12" t="n">
        <x:v>100918863.679</x:v>
      </x:c>
      <x:c r="M477" s="12" t="str">
        <x:v>TuShare index_daily</x:v>
      </x:c>
    </x:row>
    <x:row r="478" ht="18" customHeight="1">
      <x:c r="A478" s="13" t="n">
        <x:v>43291</x:v>
      </x:c>
      <x:c r="B478" s="12" t="str">
        <x:v>000300.SH</x:v>
      </x:c>
      <x:c r="C478" s="12" t="n">
        <x:v>3464.9064</x:v>
      </x:c>
      <x:c r="D478" s="12" t="n">
        <x:v>3474.1396</x:v>
      </x:c>
      <x:c r="E478" s="12" t="n">
        <x:v>3437.2706</x:v>
      </x:c>
      <x:c r="F478" s="12" t="n">
        <x:v>3467.5155</x:v>
      </x:c>
      <x:c r="G478" s="12" t="n">
        <x:v>3459.1837</x:v>
      </x:c>
      <x:c r="H478" s="12" t="n">
        <x:v>8.3318</x:v>
      </x:c>
      <x:c r="I478" s="12" t="n">
        <x:v>0.2409</x:v>
      </x:c>
      <x:c r="J478" s="12" t="n">
        <x:v>0.002405706896671865</x:v>
      </x:c>
      <x:c r="K478" s="12" t="n">
        <x:v>69548823</x:v>
      </x:c>
      <x:c r="L478" s="12" t="n">
        <x:v>90127445.728</x:v>
      </x:c>
      <x:c r="M478" s="12" t="str">
        <x:v>TuShare index_daily</x:v>
      </x:c>
    </x:row>
    <x:row r="479" ht="18" customHeight="1">
      <x:c r="A479" s="13" t="n">
        <x:v>43292</x:v>
      </x:c>
      <x:c r="B479" s="12" t="str">
        <x:v>000300.SH</x:v>
      </x:c>
      <x:c r="C479" s="12" t="n">
        <x:v>3398.9265</x:v>
      </x:c>
      <x:c r="D479" s="12" t="n">
        <x:v>3427.5705</x:v>
      </x:c>
      <x:c r="E479" s="12" t="n">
        <x:v>3375.1441</x:v>
      </x:c>
      <x:c r="F479" s="12" t="n">
        <x:v>3407.5297</x:v>
      </x:c>
      <x:c r="G479" s="12" t="n">
        <x:v>3467.5155</x:v>
      </x:c>
      <x:c r="H479" s="12" t="n">
        <x:v>-59.9858</x:v>
      </x:c>
      <x:c r="I479" s="12" t="n">
        <x:v>-1.7299</x:v>
      </x:c>
      <x:c r="J479" s="12" t="n">
        <x:v>-0.017450742658102533</x:v>
      </x:c>
      <x:c r="K479" s="12" t="n">
        <x:v>72040950</x:v>
      </x:c>
      <x:c r="L479" s="12" t="n">
        <x:v>89661507.129</x:v>
      </x:c>
      <x:c r="M479" s="12" t="str">
        <x:v>TuShare index_daily</x:v>
      </x:c>
    </x:row>
    <x:row r="480" ht="18" customHeight="1">
      <x:c r="A480" s="13" t="n">
        <x:v>43293</x:v>
      </x:c>
      <x:c r="B480" s="12" t="str">
        <x:v>000300.SH</x:v>
      </x:c>
      <x:c r="C480" s="12" t="n">
        <x:v>3403.3302</x:v>
      </x:c>
      <x:c r="D480" s="12" t="n">
        <x:v>3499.097</x:v>
      </x:c>
      <x:c r="E480" s="12" t="n">
        <x:v>3403.3302</x:v>
      </x:c>
      <x:c r="F480" s="12" t="n">
        <x:v>3481.0559</x:v>
      </x:c>
      <x:c r="G480" s="12" t="n">
        <x:v>3407.5297</x:v>
      </x:c>
      <x:c r="H480" s="12" t="n">
        <x:v>73.5262</x:v>
      </x:c>
      <x:c r="I480" s="12" t="n">
        <x:v>2.1578</x:v>
      </x:c>
      <x:c r="J480" s="12" t="n">
        <x:v>0.021348066686149133</x:v>
      </x:c>
      <x:c r="K480" s="12" t="n">
        <x:v>96353564</x:v>
      </x:c>
      <x:c r="L480" s="12" t="n">
        <x:v>117805514.793</x:v>
      </x:c>
      <x:c r="M480" s="12" t="str">
        <x:v>TuShare index_daily</x:v>
      </x:c>
    </x:row>
    <x:row r="481" ht="18" customHeight="1">
      <x:c r="A481" s="13" t="n">
        <x:v>43294</x:v>
      </x:c>
      <x:c r="B481" s="12" t="str">
        <x:v>000300.SH</x:v>
      </x:c>
      <x:c r="C481" s="12" t="n">
        <x:v>3488.4966</x:v>
      </x:c>
      <x:c r="D481" s="12" t="n">
        <x:v>3499.7643</x:v>
      </x:c>
      <x:c r="E481" s="12" t="n">
        <x:v>3474.9123</x:v>
      </x:c>
      <x:c r="F481" s="12" t="n">
        <x:v>3492.6897</x:v>
      </x:c>
      <x:c r="G481" s="12" t="n">
        <x:v>3481.0559</x:v>
      </x:c>
      <x:c r="H481" s="12" t="n">
        <x:v>11.6338</x:v>
      </x:c>
      <x:c r="I481" s="12" t="n">
        <x:v>0.3342</x:v>
      </x:c>
      <x:c r="J481" s="12" t="n">
        <x:v>0.0033364597619537804</x:v>
      </x:c>
      <x:c r="K481" s="12" t="n">
        <x:v>72955897</x:v>
      </x:c>
      <x:c r="L481" s="12" t="n">
        <x:v>99800184.924</x:v>
      </x:c>
      <x:c r="M481" s="12" t="str">
        <x:v>TuShare index_daily</x:v>
      </x:c>
    </x:row>
    <x:row r="482" ht="18" customHeight="1">
      <x:c r="A482" s="13" t="n">
        <x:v>43297</x:v>
      </x:c>
      <x:c r="B482" s="12" t="str">
        <x:v>000300.SH</x:v>
      </x:c>
      <x:c r="C482" s="12" t="n">
        <x:v>3488.967</x:v>
      </x:c>
      <x:c r="D482" s="12" t="n">
        <x:v>3506.2355</x:v>
      </x:c>
      <x:c r="E482" s="12" t="n">
        <x:v>3459.7312</x:v>
      </x:c>
      <x:c r="F482" s="12" t="n">
        <x:v>3472.0859</x:v>
      </x:c>
      <x:c r="G482" s="12" t="n">
        <x:v>3492.6897</x:v>
      </x:c>
      <x:c r="H482" s="12" t="n">
        <x:v>-20.6038</x:v>
      </x:c>
      <x:c r="I482" s="12" t="n">
        <x:v>-0.5899</x:v>
      </x:c>
      <x:c r="J482" s="12" t="n">
        <x:v>-0.005916589790701419</x:v>
      </x:c>
      <x:c r="K482" s="12" t="n">
        <x:v>68281999</x:v>
      </x:c>
      <x:c r="L482" s="12" t="n">
        <x:v>90754288.081</x:v>
      </x:c>
      <x:c r="M482" s="12" t="str">
        <x:v>TuShare index_daily</x:v>
      </x:c>
    </x:row>
    <x:row r="483" ht="18" customHeight="1">
      <x:c r="A483" s="13" t="n">
        <x:v>43298</x:v>
      </x:c>
      <x:c r="B483" s="12" t="str">
        <x:v>000300.SH</x:v>
      </x:c>
      <x:c r="C483" s="12" t="n">
        <x:v>3466.4236</x:v>
      </x:c>
      <x:c r="D483" s="12" t="n">
        <x:v>3467.1852</x:v>
      </x:c>
      <x:c r="E483" s="12" t="n">
        <x:v>3420.9714</x:v>
      </x:c>
      <x:c r="F483" s="12" t="n">
        <x:v>3449.3773</x:v>
      </x:c>
      <x:c r="G483" s="12" t="n">
        <x:v>3472.0859</x:v>
      </x:c>
      <x:c r="H483" s="12" t="n">
        <x:v>-22.7086</x:v>
      </x:c>
      <x:c r="I483" s="12" t="n">
        <x:v>-0.654</x:v>
      </x:c>
      <x:c r="J483" s="12" t="n">
        <x:v>-0.0065618152765978205</x:v>
      </x:c>
      <x:c r="K483" s="12" t="n">
        <x:v>61983076</x:v>
      </x:c>
      <x:c r="L483" s="12" t="n">
        <x:v>85720563.654</x:v>
      </x:c>
      <x:c r="M483" s="12" t="str">
        <x:v>TuShare index_daily</x:v>
      </x:c>
    </x:row>
    <x:row r="484" ht="18" customHeight="1">
      <x:c r="A484" s="13" t="n">
        <x:v>43299</x:v>
      </x:c>
      <x:c r="B484" s="12" t="str">
        <x:v>000300.SH</x:v>
      </x:c>
      <x:c r="C484" s="12" t="n">
        <x:v>3456.6065</x:v>
      </x:c>
      <x:c r="D484" s="12" t="n">
        <x:v>3479.2635</x:v>
      </x:c>
      <x:c r="E484" s="12" t="n">
        <x:v>3430.1563</x:v>
      </x:c>
      <x:c r="F484" s="12" t="n">
        <x:v>3431.3227</x:v>
      </x:c>
      <x:c r="G484" s="12" t="n">
        <x:v>3449.3773</x:v>
      </x:c>
      <x:c r="H484" s="12" t="n">
        <x:v>-18.0546</x:v>
      </x:c>
      <x:c r="I484" s="12" t="n">
        <x:v>-0.5234</x:v>
      </x:c>
      <x:c r="J484" s="12" t="n">
        <x:v>-0.005247908333775128</x:v>
      </x:c>
      <x:c r="K484" s="12" t="n">
        <x:v>66530330</x:v>
      </x:c>
      <x:c r="L484" s="12" t="n">
        <x:v>88556873.195</x:v>
      </x:c>
      <x:c r="M484" s="12" t="str">
        <x:v>TuShare index_daily</x:v>
      </x:c>
    </x:row>
    <x:row r="485" ht="18" customHeight="1">
      <x:c r="A485" s="13" t="n">
        <x:v>43300</x:v>
      </x:c>
      <x:c r="B485" s="12" t="str">
        <x:v>000300.SH</x:v>
      </x:c>
      <x:c r="C485" s="12" t="n">
        <x:v>3444.8032</x:v>
      </x:c>
      <x:c r="D485" s="12" t="n">
        <x:v>3466.5056</x:v>
      </x:c>
      <x:c r="E485" s="12" t="n">
        <x:v>3417.9627</x:v>
      </x:c>
      <x:c r="F485" s="12" t="n">
        <x:v>3428.343</x:v>
      </x:c>
      <x:c r="G485" s="12" t="n">
        <x:v>3431.3227</x:v>
      </x:c>
      <x:c r="H485" s="12" t="n">
        <x:v>-2.9797</x:v>
      </x:c>
      <x:c r="I485" s="12" t="n">
        <x:v>-0.0868</x:v>
      </x:c>
      <x:c r="J485" s="12" t="n">
        <x:v>-0.000868759592004376</x:v>
      </x:c>
      <x:c r="K485" s="12" t="n">
        <x:v>68477716</x:v>
      </x:c>
      <x:c r="L485" s="12" t="n">
        <x:v>88804907.805</x:v>
      </x:c>
      <x:c r="M485" s="12" t="str">
        <x:v>TuShare index_daily</x:v>
      </x:c>
    </x:row>
    <x:row r="486" ht="18" customHeight="1">
      <x:c r="A486" s="13" t="n">
        <x:v>43301</x:v>
      </x:c>
      <x:c r="B486" s="12" t="str">
        <x:v>000300.SH</x:v>
      </x:c>
      <x:c r="C486" s="12" t="n">
        <x:v>3426.4558</x:v>
      </x:c>
      <x:c r="D486" s="12" t="n">
        <x:v>3505.928</x:v>
      </x:c>
      <x:c r="E486" s="12" t="n">
        <x:v>3398.9532</x:v>
      </x:c>
      <x:c r="F486" s="12" t="n">
        <x:v>3492.8938</x:v>
      </x:c>
      <x:c r="G486" s="12" t="n">
        <x:v>3428.343</x:v>
      </x:c>
      <x:c r="H486" s="12" t="n">
        <x:v>64.5508</x:v>
      </x:c>
      <x:c r="I486" s="12" t="n">
        <x:v>1.8829</x:v>
      </x:c>
      <x:c r="J486" s="12" t="n">
        <x:v>0.018653507624934004</x:v>
      </x:c>
      <x:c r="K486" s="12" t="n">
        <x:v>101984727</x:v>
      </x:c>
      <x:c r="L486" s="12" t="n">
        <x:v>122196953.815</x:v>
      </x:c>
      <x:c r="M486" s="12" t="str">
        <x:v>TuShare index_daily</x:v>
      </x:c>
    </x:row>
    <x:row r="487" ht="18" customHeight="1">
      <x:c r="A487" s="13" t="n">
        <x:v>43304</x:v>
      </x:c>
      <x:c r="B487" s="12" t="str">
        <x:v>000300.SH</x:v>
      </x:c>
      <x:c r="C487" s="12" t="n">
        <x:v>3471.8555</x:v>
      </x:c>
      <x:c r="D487" s="12" t="n">
        <x:v>3527.5335</x:v>
      </x:c>
      <x:c r="E487" s="12" t="n">
        <x:v>3464.6475</x:v>
      </x:c>
      <x:c r="F487" s="12" t="n">
        <x:v>3525.7503</x:v>
      </x:c>
      <x:c r="G487" s="12" t="n">
        <x:v>3492.8938</x:v>
      </x:c>
      <x:c r="H487" s="12" t="n">
        <x:v>32.8565</x:v>
      </x:c>
      <x:c r="I487" s="12" t="n">
        <x:v>0.9407</x:v>
      </x:c>
      <x:c r="J487" s="12" t="n">
        <x:v>0.009362702980465857</x:v>
      </x:c>
      <x:c r="K487" s="12" t="n">
        <x:v>119036627</x:v>
      </x:c>
      <x:c r="L487" s="12" t="n">
        <x:v>143960930.682</x:v>
      </x:c>
      <x:c r="M487" s="12" t="str">
        <x:v>TuShare index_daily</x:v>
      </x:c>
    </x:row>
    <x:row r="488" ht="18" customHeight="1">
      <x:c r="A488" s="13" t="n">
        <x:v>43305</x:v>
      </x:c>
      <x:c r="B488" s="12" t="str">
        <x:v>000300.SH</x:v>
      </x:c>
      <x:c r="C488" s="12" t="n">
        <x:v>3530.6641</x:v>
      </x:c>
      <x:c r="D488" s="12" t="n">
        <x:v>3596.5128</x:v>
      </x:c>
      <x:c r="E488" s="12" t="n">
        <x:v>3530.6641</x:v>
      </x:c>
      <x:c r="F488" s="12" t="n">
        <x:v>3581.7057</x:v>
      </x:c>
      <x:c r="G488" s="12" t="n">
        <x:v>3525.7503</x:v>
      </x:c>
      <x:c r="H488" s="12" t="n">
        <x:v>55.9554</x:v>
      </x:c>
      <x:c r="I488" s="12" t="n">
        <x:v>1.587</x:v>
      </x:c>
      <x:c r="J488" s="12" t="n">
        <x:v>0.015745874780628118</x:v>
      </x:c>
      <x:c r="K488" s="12" t="n">
        <x:v>156912435</x:v>
      </x:c>
      <x:c r="L488" s="12" t="n">
        <x:v>177448954.019</x:v>
      </x:c>
      <x:c r="M488" s="12" t="str">
        <x:v>TuShare index_daily</x:v>
      </x:c>
    </x:row>
    <x:row r="489" ht="18" customHeight="1">
      <x:c r="A489" s="13" t="n">
        <x:v>43306</x:v>
      </x:c>
      <x:c r="B489" s="12" t="str">
        <x:v>000300.SH</x:v>
      </x:c>
      <x:c r="C489" s="12" t="n">
        <x:v>3589.5055</x:v>
      </x:c>
      <x:c r="D489" s="12" t="n">
        <x:v>3589.9841</x:v>
      </x:c>
      <x:c r="E489" s="12" t="n">
        <x:v>3566.314</x:v>
      </x:c>
      <x:c r="F489" s="12" t="n">
        <x:v>3577.7522</x:v>
      </x:c>
      <x:c r="G489" s="12" t="n">
        <x:v>3581.7057</x:v>
      </x:c>
      <x:c r="H489" s="12" t="n">
        <x:v>-3.9535</x:v>
      </x:c>
      <x:c r="I489" s="12" t="n">
        <x:v>-0.1104</x:v>
      </x:c>
      <x:c r="J489" s="12" t="n">
        <x:v>-0.001104413338850653</x:v>
      </x:c>
      <x:c r="K489" s="12" t="n">
        <x:v>96758501</x:v>
      </x:c>
      <x:c r="L489" s="12" t="n">
        <x:v>112176694.173</x:v>
      </x:c>
      <x:c r="M489" s="12" t="str">
        <x:v>TuShare index_daily</x:v>
      </x:c>
    </x:row>
    <x:row r="490" ht="18" customHeight="1">
      <x:c r="A490" s="13" t="n">
        <x:v>43307</x:v>
      </x:c>
      <x:c r="B490" s="12" t="str">
        <x:v>000300.SH</x:v>
      </x:c>
      <x:c r="C490" s="12" t="n">
        <x:v>3583.3173</x:v>
      </x:c>
      <x:c r="D490" s="12" t="n">
        <x:v>3593.9227</x:v>
      </x:c>
      <x:c r="E490" s="12" t="n">
        <x:v>3528.6442</x:v>
      </x:c>
      <x:c r="F490" s="12" t="n">
        <x:v>3536.2456</x:v>
      </x:c>
      <x:c r="G490" s="12" t="n">
        <x:v>3577.7522</x:v>
      </x:c>
      <x:c r="H490" s="12" t="n">
        <x:v>-41.5066</x:v>
      </x:c>
      <x:c r="I490" s="12" t="n">
        <x:v>-1.1601</x:v>
      </x:c>
      <x:c r="J490" s="12" t="n">
        <x:v>-0.011669126743320535</x:v>
      </x:c>
      <x:c r="K490" s="12" t="n">
        <x:v>90349641</x:v>
      </x:c>
      <x:c r="L490" s="12" t="n">
        <x:v>105577285.189</x:v>
      </x:c>
      <x:c r="M490" s="12" t="str">
        <x:v>TuShare index_daily</x:v>
      </x:c>
    </x:row>
    <x:row r="491" ht="18" customHeight="1">
      <x:c r="A491" s="13" t="n">
        <x:v>43308</x:v>
      </x:c>
      <x:c r="B491" s="12" t="str">
        <x:v>000300.SH</x:v>
      </x:c>
      <x:c r="C491" s="12" t="n">
        <x:v>3533.7714</x:v>
      </x:c>
      <x:c r="D491" s="12" t="n">
        <x:v>3545.4058</x:v>
      </x:c>
      <x:c r="E491" s="12" t="n">
        <x:v>3512.7034</x:v>
      </x:c>
      <x:c r="F491" s="12" t="n">
        <x:v>3521.2269</x:v>
      </x:c>
      <x:c r="G491" s="12" t="n">
        <x:v>3536.2456</x:v>
      </x:c>
      <x:c r="H491" s="12" t="n">
        <x:v>-15.0187</x:v>
      </x:c>
      <x:c r="I491" s="12" t="n">
        <x:v>-0.4247</x:v>
      </x:c>
      <x:c r="J491" s="12" t="n">
        <x:v>-0.004256119360411777</x:v>
      </x:c>
      <x:c r="K491" s="12" t="n">
        <x:v>70178104</x:v>
      </x:c>
      <x:c r="L491" s="12" t="n">
        <x:v>81192174.902</x:v>
      </x:c>
      <x:c r="M491" s="12" t="str">
        <x:v>TuShare index_daily</x:v>
      </x:c>
    </x:row>
    <x:row r="492" ht="18" customHeight="1">
      <x:c r="A492" s="13" t="n">
        <x:v>43311</x:v>
      </x:c>
      <x:c r="B492" s="12" t="str">
        <x:v>000300.SH</x:v>
      </x:c>
      <x:c r="C492" s="12" t="n">
        <x:v>3520.8538</x:v>
      </x:c>
      <x:c r="D492" s="12" t="n">
        <x:v>3550.902</x:v>
      </x:c>
      <x:c r="E492" s="12" t="n">
        <x:v>3489.5494</x:v>
      </x:c>
      <x:c r="F492" s="12" t="n">
        <x:v>3515.0794</x:v>
      </x:c>
      <x:c r="G492" s="12" t="n">
        <x:v>3521.2269</x:v>
      </x:c>
      <x:c r="H492" s="12" t="n">
        <x:v>-6.1475</x:v>
      </x:c>
      <x:c r="I492" s="12" t="n">
        <x:v>-0.1746</x:v>
      </x:c>
      <x:c r="J492" s="12" t="n">
        <x:v>-0.0017473661043363438</x:v>
      </x:c>
      <x:c r="K492" s="12" t="n">
        <x:v>82116995</x:v>
      </x:c>
      <x:c r="L492" s="12" t="n">
        <x:v>96183097.601</x:v>
      </x:c>
      <x:c r="M492" s="12" t="str">
        <x:v>TuShare index_daily</x:v>
      </x:c>
    </x:row>
    <x:row r="493" ht="18" customHeight="1">
      <x:c r="A493" s="13" t="n">
        <x:v>43312</x:v>
      </x:c>
      <x:c r="B493" s="12" t="str">
        <x:v>000300.SH</x:v>
      </x:c>
      <x:c r="C493" s="12" t="n">
        <x:v>3510.4744</x:v>
      </x:c>
      <x:c r="D493" s="12" t="n">
        <x:v>3528.154</x:v>
      </x:c>
      <x:c r="E493" s="12" t="n">
        <x:v>3493.1545</x:v>
      </x:c>
      <x:c r="F493" s="12" t="n">
        <x:v>3517.6568</x:v>
      </x:c>
      <x:c r="G493" s="12" t="n">
        <x:v>3515.0794</x:v>
      </x:c>
      <x:c r="H493" s="12" t="n">
        <x:v>2.5774</x:v>
      </x:c>
      <x:c r="I493" s="12" t="n">
        <x:v>0.0733</x:v>
      </x:c>
      <x:c r="J493" s="12" t="n">
        <x:v>0.0007329722151080376</x:v>
      </x:c>
      <x:c r="K493" s="12" t="n">
        <x:v>67980817</x:v>
      </x:c>
      <x:c r="L493" s="12" t="n">
        <x:v>80022152.109</x:v>
      </x:c>
      <x:c r="M493" s="12" t="str">
        <x:v>TuShare index_daily</x:v>
      </x:c>
    </x:row>
    <x:row r="494" ht="18" customHeight="1">
      <x:c r="A494" s="13" t="n">
        <x:v>43313</x:v>
      </x:c>
      <x:c r="B494" s="12" t="str">
        <x:v>000300.SH</x:v>
      </x:c>
      <x:c r="C494" s="12" t="n">
        <x:v>3530.0298</x:v>
      </x:c>
      <x:c r="D494" s="12" t="n">
        <x:v>3543.606</x:v>
      </x:c>
      <x:c r="E494" s="12" t="n">
        <x:v>3446.7765</x:v>
      </x:c>
      <x:c r="F494" s="12" t="n">
        <x:v>3447.3882</x:v>
      </x:c>
      <x:c r="G494" s="12" t="n">
        <x:v>3517.6568</x:v>
      </x:c>
      <x:c r="H494" s="12" t="n">
        <x:v>-70.2686</x:v>
      </x:c>
      <x:c r="I494" s="12" t="n">
        <x:v>-1.9976</x:v>
      </x:c>
      <x:c r="J494" s="12" t="n">
        <x:v>-0.020178185264417878</x:v>
      </x:c>
      <x:c r="K494" s="12" t="n">
        <x:v>90348617</x:v>
      </x:c>
      <x:c r="L494" s="12" t="n">
        <x:v>107477214.866</x:v>
      </x:c>
      <x:c r="M494" s="12" t="str">
        <x:v>TuShare index_daily</x:v>
      </x:c>
    </x:row>
    <x:row r="495" ht="18" customHeight="1">
      <x:c r="A495" s="13" t="n">
        <x:v>43314</x:v>
      </x:c>
      <x:c r="B495" s="12" t="str">
        <x:v>000300.SH</x:v>
      </x:c>
      <x:c r="C495" s="12" t="n">
        <x:v>3434.3516</x:v>
      </x:c>
      <x:c r="D495" s="12" t="n">
        <x:v>3434.3516</x:v>
      </x:c>
      <x:c r="E495" s="12" t="n">
        <x:v>3322.096</x:v>
      </x:c>
      <x:c r="F495" s="12" t="n">
        <x:v>3370.9579</x:v>
      </x:c>
      <x:c r="G495" s="12" t="n">
        <x:v>3447.3882</x:v>
      </x:c>
      <x:c r="H495" s="12" t="n">
        <x:v>-76.4303</x:v>
      </x:c>
      <x:c r="I495" s="12" t="n">
        <x:v>-2.217</x:v>
      </x:c>
      <x:c r="J495" s="12" t="n">
        <x:v>-0.022419953564654645</x:v>
      </x:c>
      <x:c r="K495" s="12" t="n">
        <x:v>101308727</x:v>
      </x:c>
      <x:c r="L495" s="12" t="n">
        <x:v>122401283.623</x:v>
      </x:c>
      <x:c r="M495" s="12" t="str">
        <x:v>TuShare index_daily</x:v>
      </x:c>
    </x:row>
    <x:row r="496" ht="18" customHeight="1">
      <x:c r="A496" s="13" t="n">
        <x:v>43315</x:v>
      </x:c>
      <x:c r="B496" s="12" t="str">
        <x:v>000300.SH</x:v>
      </x:c>
      <x:c r="C496" s="12" t="n">
        <x:v>3366.6637</x:v>
      </x:c>
      <x:c r="D496" s="12" t="n">
        <x:v>3381.3417</x:v>
      </x:c>
      <x:c r="E496" s="12" t="n">
        <x:v>3315.2008</x:v>
      </x:c>
      <x:c r="F496" s="12" t="n">
        <x:v>3315.2839</x:v>
      </x:c>
      <x:c r="G496" s="12" t="n">
        <x:v>3370.9579</x:v>
      </x:c>
      <x:c r="H496" s="12" t="n">
        <x:v>-55.674</x:v>
      </x:c>
      <x:c r="I496" s="12" t="n">
        <x:v>-1.6516</x:v>
      </x:c>
      <x:c r="J496" s="12" t="n">
        <x:v>-0.01665368630174887</x:v>
      </x:c>
      <x:c r="K496" s="12" t="n">
        <x:v>70796910</x:v>
      </x:c>
      <x:c r="L496" s="12" t="n">
        <x:v>91395987.151</x:v>
      </x:c>
      <x:c r="M496" s="12" t="str">
        <x:v>TuShare index_daily</x:v>
      </x:c>
    </x:row>
    <x:row r="497" ht="18" customHeight="1">
      <x:c r="A497" s="13" t="n">
        <x:v>43318</x:v>
      </x:c>
      <x:c r="B497" s="12" t="str">
        <x:v>000300.SH</x:v>
      </x:c>
      <x:c r="C497" s="12" t="n">
        <x:v>3312.8153</x:v>
      </x:c>
      <x:c r="D497" s="12" t="n">
        <x:v>3344.246</x:v>
      </x:c>
      <x:c r="E497" s="12" t="n">
        <x:v>3257.6856</x:v>
      </x:c>
      <x:c r="F497" s="12" t="n">
        <x:v>3273.2728</x:v>
      </x:c>
      <x:c r="G497" s="12" t="n">
        <x:v>3315.2839</x:v>
      </x:c>
      <x:c r="H497" s="12" t="n">
        <x:v>-42.0111</x:v>
      </x:c>
      <x:c r="I497" s="12" t="n">
        <x:v>-1.2672</x:v>
      </x:c>
      <x:c r="J497" s="12" t="n">
        <x:v>-0.012752920340904368</x:v>
      </x:c>
      <x:c r="K497" s="12" t="n">
        <x:v>77975083</x:v>
      </x:c>
      <x:c r="L497" s="12" t="n">
        <x:v>97517991.022</x:v>
      </x:c>
      <x:c r="M497" s="12" t="str">
        <x:v>TuShare index_daily</x:v>
      </x:c>
    </x:row>
    <x:row r="498" ht="18" customHeight="1">
      <x:c r="A498" s="13" t="n">
        <x:v>43319</x:v>
      </x:c>
      <x:c r="B498" s="12" t="str">
        <x:v>000300.SH</x:v>
      </x:c>
      <x:c r="C498" s="12" t="n">
        <x:v>3284.9785</x:v>
      </x:c>
      <x:c r="D498" s="12" t="n">
        <x:v>3368.962</x:v>
      </x:c>
      <x:c r="E498" s="12" t="n">
        <x:v>3263.4986</x:v>
      </x:c>
      <x:c r="F498" s="12" t="n">
        <x:v>3368.8695</x:v>
      </x:c>
      <x:c r="G498" s="12" t="n">
        <x:v>3273.2728</x:v>
      </x:c>
      <x:c r="H498" s="12" t="n">
        <x:v>95.5967</x:v>
      </x:c>
      <x:c r="I498" s="12" t="n">
        <x:v>2.9205</x:v>
      </x:c>
      <x:c r="J498" s="12" t="n">
        <x:v>0.028786887488765636</x:v>
      </x:c>
      <x:c r="K498" s="12" t="n">
        <x:v>91783916</x:v>
      </x:c>
      <x:c r="L498" s="12" t="n">
        <x:v>107512223.951</x:v>
      </x:c>
      <x:c r="M498" s="12" t="str">
        <x:v>TuShare index_daily</x:v>
      </x:c>
    </x:row>
    <x:row r="499" ht="18" customHeight="1">
      <x:c r="A499" s="13" t="n">
        <x:v>43320</x:v>
      </x:c>
      <x:c r="B499" s="12" t="str">
        <x:v>000300.SH</x:v>
      </x:c>
      <x:c r="C499" s="12" t="n">
        <x:v>3362.1485</x:v>
      </x:c>
      <x:c r="D499" s="12" t="n">
        <x:v>3368.1602</x:v>
      </x:c>
      <x:c r="E499" s="12" t="n">
        <x:v>3311.7694</x:v>
      </x:c>
      <x:c r="F499" s="12" t="n">
        <x:v>3314.5075</x:v>
      </x:c>
      <x:c r="G499" s="12" t="n">
        <x:v>3368.8695</x:v>
      </x:c>
      <x:c r="H499" s="12" t="n">
        <x:v>-54.362</x:v>
      </x:c>
      <x:c r="I499" s="12" t="n">
        <x:v>-1.6137</x:v>
      </x:c>
      <x:c r="J499" s="12" t="n">
        <x:v>-0.016268182662861997</x:v>
      </x:c>
      <x:c r="K499" s="12" t="n">
        <x:v>79284865</x:v>
      </x:c>
      <x:c r="L499" s="12" t="n">
        <x:v>90958912.013</x:v>
      </x:c>
      <x:c r="M499" s="12" t="str">
        <x:v>TuShare index_daily</x:v>
      </x:c>
    </x:row>
    <x:row r="500" ht="18" customHeight="1">
      <x:c r="A500" s="13" t="n">
        <x:v>43321</x:v>
      </x:c>
      <x:c r="B500" s="12" t="str">
        <x:v>000300.SH</x:v>
      </x:c>
      <x:c r="C500" s="12" t="n">
        <x:v>3303.4765</x:v>
      </x:c>
      <x:c r="D500" s="12" t="n">
        <x:v>3408.3911</x:v>
      </x:c>
      <x:c r="E500" s="12" t="n">
        <x:v>3299.6157</x:v>
      </x:c>
      <x:c r="F500" s="12" t="n">
        <x:v>3397.5298</x:v>
      </x:c>
      <x:c r="G500" s="12" t="n">
        <x:v>3314.5075</x:v>
      </x:c>
      <x:c r="H500" s="12" t="n">
        <x:v>83.0223</x:v>
      </x:c>
      <x:c r="I500" s="12" t="n">
        <x:v>2.5048</x:v>
      </x:c>
      <x:c r="J500" s="12" t="n">
        <x:v>0.02473959267847368</x:v>
      </x:c>
      <x:c r="K500" s="12" t="n">
        <x:v>91957572</x:v>
      </x:c>
      <x:c r="L500" s="12" t="n">
        <x:v>108802315.182</x:v>
      </x:c>
      <x:c r="M500" s="12" t="str">
        <x:v>TuShare index_daily</x:v>
      </x:c>
    </x:row>
    <x:row r="501" ht="18" customHeight="1">
      <x:c r="A501" s="13" t="n">
        <x:v>43322</x:v>
      </x:c>
      <x:c r="B501" s="12" t="str">
        <x:v>000300.SH</x:v>
      </x:c>
      <x:c r="C501" s="12" t="n">
        <x:v>3398.4139</x:v>
      </x:c>
      <x:c r="D501" s="12" t="n">
        <x:v>3424.0411</x:v>
      </x:c>
      <x:c r="E501" s="12" t="n">
        <x:v>3380.5731</x:v>
      </x:c>
      <x:c r="F501" s="12" t="n">
        <x:v>3405.0191</x:v>
      </x:c>
      <x:c r="G501" s="12" t="n">
        <x:v>3397.5298</x:v>
      </x:c>
      <x:c r="H501" s="12" t="n">
        <x:v>7.4893</x:v>
      </x:c>
      <x:c r="I501" s="12" t="n">
        <x:v>0.2204</x:v>
      </x:c>
      <x:c r="J501" s="12" t="n">
        <x:v>0.0022019108237307785</x:v>
      </x:c>
      <x:c r="K501" s="12" t="n">
        <x:v>68967299</x:v>
      </x:c>
      <x:c r="L501" s="12" t="n">
        <x:v>85634522.136</x:v>
      </x:c>
      <x:c r="M501" s="12" t="str">
        <x:v>TuShare index_daily</x:v>
      </x:c>
    </x:row>
    <x:row r="502" ht="18" customHeight="1">
      <x:c r="A502" s="13" t="n">
        <x:v>43325</x:v>
      </x:c>
      <x:c r="B502" s="12" t="str">
        <x:v>000300.SH</x:v>
      </x:c>
      <x:c r="C502" s="12" t="n">
        <x:v>3369.9812</x:v>
      </x:c>
      <x:c r="D502" s="12" t="n">
        <x:v>3396.1883</x:v>
      </x:c>
      <x:c r="E502" s="12" t="n">
        <x:v>3336.6956</x:v>
      </x:c>
      <x:c r="F502" s="12" t="n">
        <x:v>3390.3441</x:v>
      </x:c>
      <x:c r="G502" s="12" t="n">
        <x:v>3405.0191</x:v>
      </x:c>
      <x:c r="H502" s="12" t="n">
        <x:v>-14.675</x:v>
      </x:c>
      <x:c r="I502" s="12" t="n">
        <x:v>-0.431</x:v>
      </x:c>
      <x:c r="J502" s="12" t="n">
        <x:v>-0.004319128317775212</x:v>
      </x:c>
      <x:c r="K502" s="12" t="n">
        <x:v>76191532</x:v>
      </x:c>
      <x:c r="L502" s="12" t="n">
        <x:v>90869290.864</x:v>
      </x:c>
      <x:c r="M502" s="12" t="str">
        <x:v>TuShare index_daily</x:v>
      </x:c>
    </x:row>
    <x:row r="503" ht="18" customHeight="1">
      <x:c r="A503" s="13" t="n">
        <x:v>43326</x:v>
      </x:c>
      <x:c r="B503" s="12" t="str">
        <x:v>000300.SH</x:v>
      </x:c>
      <x:c r="C503" s="12" t="n">
        <x:v>3386.4832</x:v>
      </x:c>
      <x:c r="D503" s="12" t="n">
        <x:v>3391.729</x:v>
      </x:c>
      <x:c r="E503" s="12" t="n">
        <x:v>3356.6142</x:v>
      </x:c>
      <x:c r="F503" s="12" t="n">
        <x:v>3372.9137</x:v>
      </x:c>
      <x:c r="G503" s="12" t="n">
        <x:v>3390.3441</x:v>
      </x:c>
      <x:c r="H503" s="12" t="n">
        <x:v>-17.4304</x:v>
      </x:c>
      <x:c r="I503" s="12" t="n">
        <x:v>-0.5141</x:v>
      </x:c>
      <x:c r="J503" s="12" t="n">
        <x:v>-0.005154450445881381</x:v>
      </x:c>
      <x:c r="K503" s="12" t="n">
        <x:v>60651446</x:v>
      </x:c>
      <x:c r="L503" s="12" t="n">
        <x:v>72121992.61</x:v>
      </x:c>
      <x:c r="M503" s="12" t="str">
        <x:v>TuShare index_daily</x:v>
      </x:c>
    </x:row>
    <x:row r="504" ht="18" customHeight="1">
      <x:c r="A504" s="13" t="n">
        <x:v>43327</x:v>
      </x:c>
      <x:c r="B504" s="12" t="str">
        <x:v>000300.SH</x:v>
      </x:c>
      <x:c r="C504" s="12" t="n">
        <x:v>3371.959</x:v>
      </x:c>
      <x:c r="D504" s="12" t="n">
        <x:v>3372.1369</x:v>
      </x:c>
      <x:c r="E504" s="12" t="n">
        <x:v>3288.7088</x:v>
      </x:c>
      <x:c r="F504" s="12" t="n">
        <x:v>3291.976</x:v>
      </x:c>
      <x:c r="G504" s="12" t="n">
        <x:v>3372.9137</x:v>
      </x:c>
      <x:c r="H504" s="12" t="n">
        <x:v>-80.9377</x:v>
      </x:c>
      <x:c r="I504" s="12" t="n">
        <x:v>-2.3996</x:v>
      </x:c>
      <x:c r="J504" s="12" t="n">
        <x:v>-0.024288977832754376</x:v>
      </x:c>
      <x:c r="K504" s="12" t="n">
        <x:v>68174055</x:v>
      </x:c>
      <x:c r="L504" s="12" t="n">
        <x:v>83402193.917</x:v>
      </x:c>
      <x:c r="M504" s="12" t="str">
        <x:v>TuShare index_daily</x:v>
      </x:c>
    </x:row>
    <x:row r="505" ht="18" customHeight="1">
      <x:c r="A505" s="13" t="n">
        <x:v>43328</x:v>
      </x:c>
      <x:c r="B505" s="12" t="str">
        <x:v>000300.SH</x:v>
      </x:c>
      <x:c r="C505" s="12" t="n">
        <x:v>3251.8556</x:v>
      </x:c>
      <x:c r="D505" s="12" t="n">
        <x:v>3315.2031</x:v>
      </x:c>
      <x:c r="E505" s="12" t="n">
        <x:v>3231.5561</x:v>
      </x:c>
      <x:c r="F505" s="12" t="n">
        <x:v>3276.7276</x:v>
      </x:c>
      <x:c r="G505" s="12" t="n">
        <x:v>3291.976</x:v>
      </x:c>
      <x:c r="H505" s="12" t="n">
        <x:v>-15.2484</x:v>
      </x:c>
      <x:c r="I505" s="12" t="n">
        <x:v>-0.4632</x:v>
      </x:c>
      <x:c r="J505" s="12" t="n">
        <x:v>-0.0046427509349338284</x:v>
      </x:c>
      <x:c r="K505" s="12" t="n">
        <x:v>76547366</x:v>
      </x:c>
      <x:c r="L505" s="12" t="n">
        <x:v>89269175.663</x:v>
      </x:c>
      <x:c r="M505" s="12" t="str">
        <x:v>TuShare index_daily</x:v>
      </x:c>
    </x:row>
    <x:row r="506" ht="18" customHeight="1">
      <x:c r="A506" s="13" t="n">
        <x:v>43329</x:v>
      </x:c>
      <x:c r="B506" s="12" t="str">
        <x:v>000300.SH</x:v>
      </x:c>
      <x:c r="C506" s="12" t="n">
        <x:v>3305.8954</x:v>
      </x:c>
      <x:c r="D506" s="12" t="n">
        <x:v>3311.5729</x:v>
      </x:c>
      <x:c r="E506" s="12" t="n">
        <x:v>3224.0999</x:v>
      </x:c>
      <x:c r="F506" s="12" t="n">
        <x:v>3229.6198</x:v>
      </x:c>
      <x:c r="G506" s="12" t="n">
        <x:v>3276.7276</x:v>
      </x:c>
      <x:c r="H506" s="12" t="n">
        <x:v>-47.1078</x:v>
      </x:c>
      <x:c r="I506" s="12" t="n">
        <x:v>-1.4376</x:v>
      </x:c>
      <x:c r="J506" s="12" t="n">
        <x:v>-0.014480820124350875</x:v>
      </x:c>
      <x:c r="K506" s="12" t="n">
        <x:v>67395413</x:v>
      </x:c>
      <x:c r="L506" s="12" t="n">
        <x:v>84452452.538</x:v>
      </x:c>
      <x:c r="M506" s="12" t="str">
        <x:v>TuShare index_daily</x:v>
      </x:c>
    </x:row>
    <x:row r="507" ht="18" customHeight="1">
      <x:c r="A507" s="13" t="n">
        <x:v>43332</x:v>
      </x:c>
      <x:c r="B507" s="12" t="str">
        <x:v>000300.SH</x:v>
      </x:c>
      <x:c r="C507" s="12" t="n">
        <x:v>3238.215</x:v>
      </x:c>
      <x:c r="D507" s="12" t="n">
        <x:v>3267.2498</x:v>
      </x:c>
      <x:c r="E507" s="12" t="n">
        <x:v>3209.0115</x:v>
      </x:c>
      <x:c r="F507" s="12" t="n">
        <x:v>3267.2498</x:v>
      </x:c>
      <x:c r="G507" s="12" t="n">
        <x:v>3229.6198</x:v>
      </x:c>
      <x:c r="H507" s="12" t="n">
        <x:v>37.63</x:v>
      </x:c>
      <x:c r="I507" s="12" t="n">
        <x:v>1.1652</x:v>
      </x:c>
      <x:c r="J507" s="12" t="n">
        <x:v>0.01158416995345613</x:v>
      </x:c>
      <x:c r="K507" s="12" t="n">
        <x:v>70904228</x:v>
      </x:c>
      <x:c r="L507" s="12" t="n">
        <x:v>88963382.602</x:v>
      </x:c>
      <x:c r="M507" s="12" t="str">
        <x:v>TuShare index_daily</x:v>
      </x:c>
    </x:row>
    <x:row r="508" ht="18" customHeight="1">
      <x:c r="A508" s="13" t="n">
        <x:v>43333</x:v>
      </x:c>
      <x:c r="B508" s="12" t="str">
        <x:v>000300.SH</x:v>
      </x:c>
      <x:c r="C508" s="12" t="n">
        <x:v>3271.8402</x:v>
      </x:c>
      <x:c r="D508" s="12" t="n">
        <x:v>3331.7077</x:v>
      </x:c>
      <x:c r="E508" s="12" t="n">
        <x:v>3270.0302</x:v>
      </x:c>
      <x:c r="F508" s="12" t="n">
        <x:v>3326.6489</x:v>
      </x:c>
      <x:c r="G508" s="12" t="n">
        <x:v>3267.2498</x:v>
      </x:c>
      <x:c r="H508" s="12" t="n">
        <x:v>59.3991</x:v>
      </x:c>
      <x:c r="I508" s="12" t="n">
        <x:v>1.818</x:v>
      </x:c>
      <x:c r="J508" s="12" t="n">
        <x:v>0.018016869678191053</x:v>
      </x:c>
      <x:c r="K508" s="12" t="n">
        <x:v>75205583</x:v>
      </x:c>
      <x:c r="L508" s="12" t="n">
        <x:v>97925840.442</x:v>
      </x:c>
      <x:c r="M508" s="12" t="str">
        <x:v>TuShare index_daily</x:v>
      </x:c>
    </x:row>
    <x:row r="509" ht="18" customHeight="1">
      <x:c r="A509" s="13" t="n">
        <x:v>43334</x:v>
      </x:c>
      <x:c r="B509" s="12" t="str">
        <x:v>000300.SH</x:v>
      </x:c>
      <x:c r="C509" s="12" t="n">
        <x:v>3328.9693</x:v>
      </x:c>
      <x:c r="D509" s="12" t="n">
        <x:v>3328.9693</x:v>
      </x:c>
      <x:c r="E509" s="12" t="n">
        <x:v>3299.3938</x:v>
      </x:c>
      <x:c r="F509" s="12" t="n">
        <x:v>3307.9545</x:v>
      </x:c>
      <x:c r="G509" s="12" t="n">
        <x:v>3326.6489</x:v>
      </x:c>
      <x:c r="H509" s="12" t="n">
        <x:v>-18.6944</x:v>
      </x:c>
      <x:c r="I509" s="12" t="n">
        <x:v>-0.562</x:v>
      </x:c>
      <x:c r="J509" s="12" t="n">
        <x:v>-0.005635438427250307</x:v>
      </x:c>
      <x:c r="K509" s="12" t="n">
        <x:v>50787057</x:v>
      </x:c>
      <x:c r="L509" s="12" t="n">
        <x:v>66548536.184</x:v>
      </x:c>
      <x:c r="M509" s="12" t="str">
        <x:v>TuShare index_daily</x:v>
      </x:c>
    </x:row>
    <x:row r="510" ht="18" customHeight="1">
      <x:c r="A510" s="13" t="n">
        <x:v>43335</x:v>
      </x:c>
      <x:c r="B510" s="12" t="str">
        <x:v>000300.SH</x:v>
      </x:c>
      <x:c r="C510" s="12" t="n">
        <x:v>3308.4589</x:v>
      </x:c>
      <x:c r="D510" s="12" t="n">
        <x:v>3336.1123</x:v>
      </x:c>
      <x:c r="E510" s="12" t="n">
        <x:v>3285.8141</x:v>
      </x:c>
      <x:c r="F510" s="12" t="n">
        <x:v>3320.0257</x:v>
      </x:c>
      <x:c r="G510" s="12" t="n">
        <x:v>3307.9545</x:v>
      </x:c>
      <x:c r="H510" s="12" t="n">
        <x:v>12.0712</x:v>
      </x:c>
      <x:c r="I510" s="12" t="n">
        <x:v>0.3649</x:v>
      </x:c>
      <x:c r="J510" s="12" t="n">
        <x:v>0.003642501329903129</x:v>
      </x:c>
      <x:c r="K510" s="12" t="n">
        <x:v>61112334</x:v>
      </x:c>
      <x:c r="L510" s="12" t="n">
        <x:v>80212785.558</x:v>
      </x:c>
      <x:c r="M510" s="12" t="str">
        <x:v>TuShare index_daily</x:v>
      </x:c>
    </x:row>
    <x:row r="511" ht="18" customHeight="1">
      <x:c r="A511" s="13" t="n">
        <x:v>43336</x:v>
      </x:c>
      <x:c r="B511" s="12" t="str">
        <x:v>000300.SH</x:v>
      </x:c>
      <x:c r="C511" s="12" t="n">
        <x:v>3308.4778</x:v>
      </x:c>
      <x:c r="D511" s="12" t="n">
        <x:v>3353.0445</x:v>
      </x:c>
      <x:c r="E511" s="12" t="n">
        <x:v>3291.8654</x:v>
      </x:c>
      <x:c r="F511" s="12" t="n">
        <x:v>3325.3347</x:v>
      </x:c>
      <x:c r="G511" s="12" t="n">
        <x:v>3320.0257</x:v>
      </x:c>
      <x:c r="H511" s="12" t="n">
        <x:v>5.309</x:v>
      </x:c>
      <x:c r="I511" s="12" t="n">
        <x:v>0.1599</x:v>
      </x:c>
      <x:c r="J511" s="12" t="n">
        <x:v>0.0015978068336168277</x:v>
      </x:c>
      <x:c r="K511" s="12" t="n">
        <x:v>63765897</x:v>
      </x:c>
      <x:c r="L511" s="12" t="n">
        <x:v>77197847.852</x:v>
      </x:c>
      <x:c r="M511" s="12" t="str">
        <x:v>TuShare index_daily</x:v>
      </x:c>
    </x:row>
    <x:row r="512" ht="18" customHeight="1">
      <x:c r="A512" s="13" t="n">
        <x:v>43339</x:v>
      </x:c>
      <x:c r="B512" s="12" t="str">
        <x:v>000300.SH</x:v>
      </x:c>
      <x:c r="C512" s="12" t="n">
        <x:v>3339.3894</x:v>
      </x:c>
      <x:c r="D512" s="12" t="n">
        <x:v>3406.5735</x:v>
      </x:c>
      <x:c r="E512" s="12" t="n">
        <x:v>3339.2646</x:v>
      </x:c>
      <x:c r="F512" s="12" t="n">
        <x:v>3406.5735</x:v>
      </x:c>
      <x:c r="G512" s="12" t="n">
        <x:v>3325.3347</x:v>
      </x:c>
      <x:c r="H512" s="12" t="n">
        <x:v>81.2388</x:v>
      </x:c>
      <x:c r="I512" s="12" t="n">
        <x:v>2.443</x:v>
      </x:c>
      <x:c r="J512" s="12" t="n">
        <x:v>0.024136616700972842</x:v>
      </x:c>
      <x:c r="K512" s="12" t="n">
        <x:v>94270082</x:v>
      </x:c>
      <x:c r="L512" s="12" t="n">
        <x:v>114960964.551</x:v>
      </x:c>
      <x:c r="M512" s="12" t="str">
        <x:v>TuShare index_daily</x:v>
      </x:c>
    </x:row>
    <x:row r="513" ht="18" customHeight="1">
      <x:c r="A513" s="13" t="n">
        <x:v>43340</x:v>
      </x:c>
      <x:c r="B513" s="12" t="str">
        <x:v>000300.SH</x:v>
      </x:c>
      <x:c r="C513" s="12" t="n">
        <x:v>3408.1502</x:v>
      </x:c>
      <x:c r="D513" s="12" t="n">
        <x:v>3416.5929</x:v>
      </x:c>
      <x:c r="E513" s="12" t="n">
        <x:v>3388.8143</x:v>
      </x:c>
      <x:c r="F513" s="12" t="n">
        <x:v>3400.1705</x:v>
      </x:c>
      <x:c r="G513" s="12" t="n">
        <x:v>3406.5735</x:v>
      </x:c>
      <x:c r="H513" s="12" t="n">
        <x:v>-6.403</x:v>
      </x:c>
      <x:c r="I513" s="12" t="n">
        <x:v>-0.188</x:v>
      </x:c>
      <x:c r="J513" s="12" t="n">
        <x:v>-0.0018813699732636035</x:v>
      </x:c>
      <x:c r="K513" s="12" t="n">
        <x:v>75445363</x:v>
      </x:c>
      <x:c r="L513" s="12" t="n">
        <x:v>94945949.81</x:v>
      </x:c>
      <x:c r="M513" s="12" t="str">
        <x:v>TuShare index_daily</x:v>
      </x:c>
    </x:row>
    <x:row r="514" ht="18" customHeight="1">
      <x:c r="A514" s="13" t="n">
        <x:v>43341</x:v>
      </x:c>
      <x:c r="B514" s="12" t="str">
        <x:v>000300.SH</x:v>
      </x:c>
      <x:c r="C514" s="12" t="n">
        <x:v>3393.0527</x:v>
      </x:c>
      <x:c r="D514" s="12" t="n">
        <x:v>3398.7139</x:v>
      </x:c>
      <x:c r="E514" s="12" t="n">
        <x:v>3377.1231</x:v>
      </x:c>
      <x:c r="F514" s="12" t="n">
        <x:v>3386.5736</x:v>
      </x:c>
      <x:c r="G514" s="12" t="n">
        <x:v>3400.1705</x:v>
      </x:c>
      <x:c r="H514" s="12" t="n">
        <x:v>-13.5969</x:v>
      </x:c>
      <x:c r="I514" s="12" t="n">
        <x:v>-0.3999</x:v>
      </x:c>
      <x:c r="J514" s="12" t="n">
        <x:v>-0.004006904633942815</x:v>
      </x:c>
      <x:c r="K514" s="12" t="n">
        <x:v>67020404</x:v>
      </x:c>
      <x:c r="L514" s="12" t="n">
        <x:v>79072300.213</x:v>
      </x:c>
      <x:c r="M514" s="12" t="str">
        <x:v>TuShare index_daily</x:v>
      </x:c>
    </x:row>
    <x:row r="515" ht="18" customHeight="1">
      <x:c r="A515" s="13" t="n">
        <x:v>43342</x:v>
      </x:c>
      <x:c r="B515" s="12" t="str">
        <x:v>000300.SH</x:v>
      </x:c>
      <x:c r="C515" s="12" t="n">
        <x:v>3385.8052</x:v>
      </x:c>
      <x:c r="D515" s="12" t="n">
        <x:v>3402.5626</x:v>
      </x:c>
      <x:c r="E515" s="12" t="n">
        <x:v>3349.4688</x:v>
      </x:c>
      <x:c r="F515" s="12" t="n">
        <x:v>3351.0942</x:v>
      </x:c>
      <x:c r="G515" s="12" t="n">
        <x:v>3386.5736</x:v>
      </x:c>
      <x:c r="H515" s="12" t="n">
        <x:v>-35.4794</x:v>
      </x:c>
      <x:c r="I515" s="12" t="n">
        <x:v>-1.0476</x:v>
      </x:c>
      <x:c r="J515" s="12" t="n">
        <x:v>-0.010531753417970224</x:v>
      </x:c>
      <x:c r="K515" s="12" t="n">
        <x:v>68385290</x:v>
      </x:c>
      <x:c r="L515" s="12" t="n">
        <x:v>80226052.652</x:v>
      </x:c>
      <x:c r="M515" s="12" t="str">
        <x:v>TuShare index_daily</x:v>
      </x:c>
    </x:row>
    <x:row r="516" ht="18" customHeight="1">
      <x:c r="A516" s="13" t="n">
        <x:v>43343</x:v>
      </x:c>
      <x:c r="B516" s="12" t="str">
        <x:v>000300.SH</x:v>
      </x:c>
      <x:c r="C516" s="12" t="n">
        <x:v>3333.3801</x:v>
      </x:c>
      <x:c r="D516" s="12" t="n">
        <x:v>3356.5757</x:v>
      </x:c>
      <x:c r="E516" s="12" t="n">
        <x:v>3310.8726</x:v>
      </x:c>
      <x:c r="F516" s="12" t="n">
        <x:v>3334.5036</x:v>
      </x:c>
      <x:c r="G516" s="12" t="n">
        <x:v>3351.0942</x:v>
      </x:c>
      <x:c r="H516" s="12" t="n">
        <x:v>-16.5906</x:v>
      </x:c>
      <x:c r="I516" s="12" t="n">
        <x:v>-0.4951</x:v>
      </x:c>
      <x:c r="J516" s="12" t="n">
        <x:v>-0.0049630966599312565</x:v>
      </x:c>
      <x:c r="K516" s="12" t="n">
        <x:v>76205630</x:v>
      </x:c>
      <x:c r="L516" s="12" t="n">
        <x:v>96091892.858</x:v>
      </x:c>
      <x:c r="M516" s="12" t="str">
        <x:v>TuShare index_daily</x:v>
      </x:c>
    </x:row>
    <x:row r="517" ht="18" customHeight="1">
      <x:c r="A517" s="13" t="n">
        <x:v>43346</x:v>
      </x:c>
      <x:c r="B517" s="12" t="str">
        <x:v>000300.SH</x:v>
      </x:c>
      <x:c r="C517" s="12" t="n">
        <x:v>3320.6898</x:v>
      </x:c>
      <x:c r="D517" s="12" t="n">
        <x:v>3325.607</x:v>
      </x:c>
      <x:c r="E517" s="12" t="n">
        <x:v>3291.7842</x:v>
      </x:c>
      <x:c r="F517" s="12" t="n">
        <x:v>3321.8248</x:v>
      </x:c>
      <x:c r="G517" s="12" t="n">
        <x:v>3334.5036</x:v>
      </x:c>
      <x:c r="H517" s="12" t="n">
        <x:v>-12.6788</x:v>
      </x:c>
      <x:c r="I517" s="12" t="n">
        <x:v>-0.3802</x:v>
      </x:c>
      <x:c r="J517" s="12" t="n">
        <x:v>-0.0038095522251032424</x:v>
      </x:c>
      <x:c r="K517" s="12" t="n">
        <x:v>66429855</x:v>
      </x:c>
      <x:c r="L517" s="12" t="n">
        <x:v>81305681.453</x:v>
      </x:c>
      <x:c r="M517" s="12" t="str">
        <x:v>TuShare index_daily</x:v>
      </x:c>
    </x:row>
    <x:row r="518" ht="18" customHeight="1">
      <x:c r="A518" s="13" t="n">
        <x:v>43347</x:v>
      </x:c>
      <x:c r="B518" s="12" t="str">
        <x:v>000300.SH</x:v>
      </x:c>
      <x:c r="C518" s="12" t="n">
        <x:v>3324.186</x:v>
      </x:c>
      <x:c r="D518" s="12" t="n">
        <x:v>3370.963</x:v>
      </x:c>
      <x:c r="E518" s="12" t="n">
        <x:v>3307.9585</x:v>
      </x:c>
      <x:c r="F518" s="12" t="n">
        <x:v>3363.8984</x:v>
      </x:c>
      <x:c r="G518" s="12" t="n">
        <x:v>3321.8248</x:v>
      </x:c>
      <x:c r="H518" s="12" t="n">
        <x:v>42.0736</x:v>
      </x:c>
      <x:c r="I518" s="12" t="n">
        <x:v>1.2666</x:v>
      </x:c>
      <x:c r="J518" s="12" t="n">
        <x:v>0.012586269027628546</x:v>
      </x:c>
      <x:c r="K518" s="12" t="n">
        <x:v>67088807</x:v>
      </x:c>
      <x:c r="L518" s="12" t="n">
        <x:v>85892034.874</x:v>
      </x:c>
      <x:c r="M518" s="12" t="str">
        <x:v>TuShare index_daily</x:v>
      </x:c>
    </x:row>
    <x:row r="519" ht="18" customHeight="1">
      <x:c r="A519" s="13" t="n">
        <x:v>43348</x:v>
      </x:c>
      <x:c r="B519" s="12" t="str">
        <x:v>000300.SH</x:v>
      </x:c>
      <x:c r="C519" s="12" t="n">
        <x:v>3349.6983</x:v>
      </x:c>
      <x:c r="D519" s="12" t="n">
        <x:v>3354.1991</x:v>
      </x:c>
      <x:c r="E519" s="12" t="n">
        <x:v>3298.1412</x:v>
      </x:c>
      <x:c r="F519" s="12" t="n">
        <x:v>3298.1412</x:v>
      </x:c>
      <x:c r="G519" s="12" t="n">
        <x:v>3363.8984</x:v>
      </x:c>
      <x:c r="H519" s="12" t="n">
        <x:v>-65.7572</x:v>
      </x:c>
      <x:c r="I519" s="12" t="n">
        <x:v>-1.9548</x:v>
      </x:c>
      <x:c r="J519" s="12" t="n">
        <x:v>-0.019741502466815615</x:v>
      </x:c>
      <x:c r="K519" s="12" t="n">
        <x:v>64301888</x:v>
      </x:c>
      <x:c r="L519" s="12" t="n">
        <x:v>80656675.217</x:v>
      </x:c>
      <x:c r="M519" s="12" t="str">
        <x:v>TuShare index_daily</x:v>
      </x:c>
    </x:row>
    <x:row r="520" ht="18" customHeight="1">
      <x:c r="A520" s="13" t="n">
        <x:v>43349</x:v>
      </x:c>
      <x:c r="B520" s="12" t="str">
        <x:v>000300.SH</x:v>
      </x:c>
      <x:c r="C520" s="12" t="n">
        <x:v>3286.6645</x:v>
      </x:c>
      <x:c r="D520" s="12" t="n">
        <x:v>3311.4973</x:v>
      </x:c>
      <x:c r="E520" s="12" t="n">
        <x:v>3253.7552</x:v>
      </x:c>
      <x:c r="F520" s="12" t="n">
        <x:v>3262.8808</x:v>
      </x:c>
      <x:c r="G520" s="12" t="n">
        <x:v>3298.1412</x:v>
      </x:c>
      <x:c r="H520" s="12" t="n">
        <x:v>-35.2604</x:v>
      </x:c>
      <x:c r="I520" s="12" t="n">
        <x:v>-1.0691</x:v>
      </x:c>
      <x:c r="J520" s="12" t="n">
        <x:v>-0.01074855090344283</x:v>
      </x:c>
      <x:c r="K520" s="12" t="n">
        <x:v>62300288</x:v>
      </x:c>
      <x:c r="L520" s="12" t="n">
        <x:v>79373138.216</x:v>
      </x:c>
      <x:c r="M520" s="12" t="str">
        <x:v>TuShare index_daily</x:v>
      </x:c>
    </x:row>
    <x:row r="521" ht="18" customHeight="1">
      <x:c r="A521" s="13" t="n">
        <x:v>43350</x:v>
      </x:c>
      <x:c r="B521" s="12" t="str">
        <x:v>000300.SH</x:v>
      </x:c>
      <x:c r="C521" s="12" t="n">
        <x:v>3273.8906</x:v>
      </x:c>
      <x:c r="D521" s="12" t="n">
        <x:v>3316.6149</x:v>
      </x:c>
      <x:c r="E521" s="12" t="n">
        <x:v>3253.725</x:v>
      </x:c>
      <x:c r="F521" s="12" t="n">
        <x:v>3277.6438</x:v>
      </x:c>
      <x:c r="G521" s="12" t="n">
        <x:v>3262.8808</x:v>
      </x:c>
      <x:c r="H521" s="12" t="n">
        <x:v>14.763</x:v>
      </x:c>
      <x:c r="I521" s="12" t="n">
        <x:v>0.4525</x:v>
      </x:c>
      <x:c r="J521" s="12" t="n">
        <x:v>0.004514324453855149</x:v>
      </x:c>
      <x:c r="K521" s="12" t="n">
        <x:v>63947408</x:v>
      </x:c>
      <x:c r="L521" s="12" t="n">
        <x:v>81263439.99</x:v>
      </x:c>
      <x:c r="M521" s="12" t="str">
        <x:v>TuShare index_daily</x:v>
      </x:c>
    </x:row>
    <x:row r="522" ht="18" customHeight="1">
      <x:c r="A522" s="13" t="n">
        <x:v>43353</x:v>
      </x:c>
      <x:c r="B522" s="12" t="str">
        <x:v>000300.SH</x:v>
      </x:c>
      <x:c r="C522" s="12" t="n">
        <x:v>3271.3818</x:v>
      </x:c>
      <x:c r="D522" s="12" t="n">
        <x:v>3277.884</x:v>
      </x:c>
      <x:c r="E522" s="12" t="n">
        <x:v>3227.8481</x:v>
      </x:c>
      <x:c r="F522" s="12" t="n">
        <x:v>3230.0681</x:v>
      </x:c>
      <x:c r="G522" s="12" t="n">
        <x:v>3277.6438</x:v>
      </x:c>
      <x:c r="H522" s="12" t="n">
        <x:v>-47.5757</x:v>
      </x:c>
      <x:c r="I522" s="12" t="n">
        <x:v>-1.4515</x:v>
      </x:c>
      <x:c r="J522" s="12" t="n">
        <x:v>-0.014621589994254605</x:v>
      </x:c>
      <x:c r="K522" s="12" t="n">
        <x:v>63817051</x:v>
      </x:c>
      <x:c r="L522" s="12" t="n">
        <x:v>76175580.337</x:v>
      </x:c>
      <x:c r="M522" s="12" t="str">
        <x:v>TuShare index_daily</x:v>
      </x:c>
    </x:row>
    <x:row r="523" ht="18" customHeight="1">
      <x:c r="A523" s="13" t="n">
        <x:v>43354</x:v>
      </x:c>
      <x:c r="B523" s="12" t="str">
        <x:v>000300.SH</x:v>
      </x:c>
      <x:c r="C523" s="12" t="n">
        <x:v>3229.7052</x:v>
      </x:c>
      <x:c r="D523" s="12" t="n">
        <x:v>3245.617</x:v>
      </x:c>
      <x:c r="E523" s="12" t="n">
        <x:v>3209.1121</x:v>
      </x:c>
      <x:c r="F523" s="12" t="n">
        <x:v>3224.2116</x:v>
      </x:c>
      <x:c r="G523" s="12" t="n">
        <x:v>3230.0681</x:v>
      </x:c>
      <x:c r="H523" s="12" t="n">
        <x:v>-5.8565</x:v>
      </x:c>
      <x:c r="I523" s="12" t="n">
        <x:v>-0.1813</x:v>
      </x:c>
      <x:c r="J523" s="12" t="n">
        <x:v>-0.0018147653586513468</x:v>
      </x:c>
      <x:c r="K523" s="12" t="n">
        <x:v>58491305</x:v>
      </x:c>
      <x:c r="L523" s="12" t="n">
        <x:v>67722118.923</x:v>
      </x:c>
      <x:c r="M523" s="12" t="str">
        <x:v>TuShare index_daily</x:v>
      </x:c>
    </x:row>
    <x:row r="524" ht="18" customHeight="1">
      <x:c r="A524" s="13" t="n">
        <x:v>43355</x:v>
      </x:c>
      <x:c r="B524" s="12" t="str">
        <x:v>000300.SH</x:v>
      </x:c>
      <x:c r="C524" s="12" t="n">
        <x:v>3216.9911</x:v>
      </x:c>
      <x:c r="D524" s="12" t="n">
        <x:v>3225.6014</x:v>
      </x:c>
      <x:c r="E524" s="12" t="n">
        <x:v>3194.9785</x:v>
      </x:c>
      <x:c r="F524" s="12" t="n">
        <x:v>3202.0248</x:v>
      </x:c>
      <x:c r="G524" s="12" t="n">
        <x:v>3224.2116</x:v>
      </x:c>
      <x:c r="H524" s="12" t="n">
        <x:v>-22.1868</x:v>
      </x:c>
      <x:c r="I524" s="12" t="n">
        <x:v>-0.6881</x:v>
      </x:c>
      <x:c r="J524" s="12" t="n">
        <x:v>-0.006905095541184463</x:v>
      </x:c>
      <x:c r="K524" s="12" t="n">
        <x:v>54627899</x:v>
      </x:c>
      <x:c r="L524" s="12" t="n">
        <x:v>68887020.056</x:v>
      </x:c>
      <x:c r="M524" s="12" t="str">
        <x:v>TuShare index_daily</x:v>
      </x:c>
    </x:row>
    <x:row r="525" ht="18" customHeight="1">
      <x:c r="A525" s="13" t="n">
        <x:v>43356</x:v>
      </x:c>
      <x:c r="B525" s="12" t="str">
        <x:v>000300.SH</x:v>
      </x:c>
      <x:c r="C525" s="12" t="n">
        <x:v>3239.6852</x:v>
      </x:c>
      <x:c r="D525" s="12" t="n">
        <x:v>3249.593</x:v>
      </x:c>
      <x:c r="E525" s="12" t="n">
        <x:v>3191.3975</x:v>
      </x:c>
      <x:c r="F525" s="12" t="n">
        <x:v>3236.5662</x:v>
      </x:c>
      <x:c r="G525" s="12" t="n">
        <x:v>3202.0248</x:v>
      </x:c>
      <x:c r="H525" s="12" t="n">
        <x:v>34.5414</x:v>
      </x:c>
      <x:c r="I525" s="12" t="n">
        <x:v>1.0787</x:v>
      </x:c>
      <x:c r="J525" s="12" t="n">
        <x:v>0.010729593284784572</x:v>
      </x:c>
      <x:c r="K525" s="12" t="n">
        <x:v>67290327</x:v>
      </x:c>
      <x:c r="L525" s="12" t="n">
        <x:v>85887962.113</x:v>
      </x:c>
      <x:c r="M525" s="12" t="str">
        <x:v>TuShare index_daily</x:v>
      </x:c>
    </x:row>
    <x:row r="526" ht="18" customHeight="1">
      <x:c r="A526" s="13" t="n">
        <x:v>43357</x:v>
      </x:c>
      <x:c r="B526" s="12" t="str">
        <x:v>000300.SH</x:v>
      </x:c>
      <x:c r="C526" s="12" t="n">
        <x:v>3242.8307</x:v>
      </x:c>
      <x:c r="D526" s="12" t="n">
        <x:v>3254.1043</x:v>
      </x:c>
      <x:c r="E526" s="12" t="n">
        <x:v>3227.9439</x:v>
      </x:c>
      <x:c r="F526" s="12" t="n">
        <x:v>3242.0902</x:v>
      </x:c>
      <x:c r="G526" s="12" t="n">
        <x:v>3236.5662</x:v>
      </x:c>
      <x:c r="H526" s="12" t="n">
        <x:v>5.524</x:v>
      </x:c>
      <x:c r="I526" s="12" t="n">
        <x:v>0.1707</x:v>
      </x:c>
      <x:c r="J526" s="12" t="n">
        <x:v>0.001705292269754922</x:v>
      </x:c>
      <x:c r="K526" s="12" t="n">
        <x:v>60130640</x:v>
      </x:c>
      <x:c r="L526" s="12" t="n">
        <x:v>76481211.956</x:v>
      </x:c>
      <x:c r="M526" s="12" t="str">
        <x:v>TuShare index_daily</x:v>
      </x:c>
    </x:row>
    <x:row r="527" ht="18" customHeight="1">
      <x:c r="A527" s="13" t="n">
        <x:v>43360</x:v>
      </x:c>
      <x:c r="B527" s="12" t="str">
        <x:v>000300.SH</x:v>
      </x:c>
      <x:c r="C527" s="12" t="n">
        <x:v>3224.9267</x:v>
      </x:c>
      <x:c r="D527" s="12" t="n">
        <x:v>3230.7878</x:v>
      </x:c>
      <x:c r="E527" s="12" t="n">
        <x:v>3200.5096</x:v>
      </x:c>
      <x:c r="F527" s="12" t="n">
        <x:v>3204.9224</x:v>
      </x:c>
      <x:c r="G527" s="12" t="n">
        <x:v>3242.0902</x:v>
      </x:c>
      <x:c r="H527" s="12" t="n">
        <x:v>-37.1678</x:v>
      </x:c>
      <x:c r="I527" s="12" t="n">
        <x:v>-1.1464</x:v>
      </x:c>
      <x:c r="J527" s="12" t="n">
        <x:v>-0.01153036734731709</x:v>
      </x:c>
      <x:c r="K527" s="12" t="n">
        <x:v>52259547</x:v>
      </x:c>
      <x:c r="L527" s="12" t="n">
        <x:v>60650940.908</x:v>
      </x:c>
      <x:c r="M527" s="12" t="str">
        <x:v>TuShare index_daily</x:v>
      </x:c>
    </x:row>
    <x:row r="528" ht="18" customHeight="1">
      <x:c r="A528" s="13" t="n">
        <x:v>43361</x:v>
      </x:c>
      <x:c r="B528" s="12" t="str">
        <x:v>000300.SH</x:v>
      </x:c>
      <x:c r="C528" s="12" t="n">
        <x:v>3193.6423</x:v>
      </x:c>
      <x:c r="D528" s="12" t="n">
        <x:v>3270.107</x:v>
      </x:c>
      <x:c r="E528" s="12" t="n">
        <x:v>3193.6423</x:v>
      </x:c>
      <x:c r="F528" s="12" t="n">
        <x:v>3269.4319</x:v>
      </x:c>
      <x:c r="G528" s="12" t="n">
        <x:v>3204.9224</x:v>
      </x:c>
      <x:c r="H528" s="12" t="n">
        <x:v>64.5095</x:v>
      </x:c>
      <x:c r="I528" s="12" t="n">
        <x:v>2.0128</x:v>
      </x:c>
      <x:c r="J528" s="12" t="n">
        <x:v>0.01992836101832585</x:v>
      </x:c>
      <x:c r="K528" s="12" t="n">
        <x:v>70425035</x:v>
      </x:c>
      <x:c r="L528" s="12" t="n">
        <x:v>83899137.593</x:v>
      </x:c>
      <x:c r="M528" s="12" t="str">
        <x:v>TuShare index_daily</x:v>
      </x:c>
    </x:row>
    <x:row r="529" ht="18" customHeight="1">
      <x:c r="A529" s="13" t="n">
        <x:v>43362</x:v>
      </x:c>
      <x:c r="B529" s="12" t="str">
        <x:v>000300.SH</x:v>
      </x:c>
      <x:c r="C529" s="12" t="n">
        <x:v>3261.997</x:v>
      </x:c>
      <x:c r="D529" s="12" t="n">
        <x:v>3335.9913</x:v>
      </x:c>
      <x:c r="E529" s="12" t="n">
        <x:v>3258.3097</x:v>
      </x:c>
      <x:c r="F529" s="12" t="n">
        <x:v>3312.4823</x:v>
      </x:c>
      <x:c r="G529" s="12" t="n">
        <x:v>3269.4319</x:v>
      </x:c>
      <x:c r="H529" s="12" t="n">
        <x:v>43.0504</x:v>
      </x:c>
      <x:c r="I529" s="12" t="n">
        <x:v>1.3168</x:v>
      </x:c>
      <x:c r="J529" s="12" t="n">
        <x:v>0.013081608972484867</x:v>
      </x:c>
      <x:c r="K529" s="12" t="n">
        <x:v>89170666</x:v>
      </x:c>
      <x:c r="L529" s="12" t="n">
        <x:v>109395423.838</x:v>
      </x:c>
      <x:c r="M529" s="12" t="str">
        <x:v>TuShare index_daily</x:v>
      </x:c>
    </x:row>
    <x:row r="530" ht="18" customHeight="1">
      <x:c r="A530" s="13" t="n">
        <x:v>43363</x:v>
      </x:c>
      <x:c r="B530" s="12" t="str">
        <x:v>000300.SH</x:v>
      </x:c>
      <x:c r="C530" s="12" t="n">
        <x:v>3314.8758</x:v>
      </x:c>
      <x:c r="D530" s="12" t="n">
        <x:v>3332.3093</x:v>
      </x:c>
      <x:c r="E530" s="12" t="n">
        <x:v>3303.073</x:v>
      </x:c>
      <x:c r="F530" s="12" t="n">
        <x:v>3310.1258</x:v>
      </x:c>
      <x:c r="G530" s="12" t="n">
        <x:v>3312.4823</x:v>
      </x:c>
      <x:c r="H530" s="12" t="n">
        <x:v>-2.3565</x:v>
      </x:c>
      <x:c r="I530" s="12" t="n">
        <x:v>-0.0711</x:v>
      </x:c>
      <x:c r="J530" s="12" t="n">
        <x:v>-0.0007116531927820131</x:v>
      </x:c>
      <x:c r="K530" s="12" t="n">
        <x:v>64561057</x:v>
      </x:c>
      <x:c r="L530" s="12" t="n">
        <x:v>76660845.175</x:v>
      </x:c>
      <x:c r="M530" s="12" t="str">
        <x:v>TuShare index_daily</x:v>
      </x:c>
    </x:row>
    <x:row r="531" ht="18" customHeight="1">
      <x:c r="A531" s="13" t="n">
        <x:v>43364</x:v>
      </x:c>
      <x:c r="B531" s="12" t="str">
        <x:v>000300.SH</x:v>
      </x:c>
      <x:c r="C531" s="12" t="n">
        <x:v>3320.6958</x:v>
      </x:c>
      <x:c r="D531" s="12" t="n">
        <x:v>3410.4856</x:v>
      </x:c>
      <x:c r="E531" s="12" t="n">
        <x:v>3307.767</x:v>
      </x:c>
      <x:c r="F531" s="12" t="n">
        <x:v>3410.4856</x:v>
      </x:c>
      <x:c r="G531" s="12" t="n">
        <x:v>3310.1258</x:v>
      </x:c>
      <x:c r="H531" s="12" t="n">
        <x:v>100.3598</x:v>
      </x:c>
      <x:c r="I531" s="12" t="n">
        <x:v>3.0319</x:v>
      </x:c>
      <x:c r="J531" s="12" t="n">
        <x:v>0.029868491139865755</x:v>
      </x:c>
      <x:c r="K531" s="12" t="n">
        <x:v>108416005</x:v>
      </x:c>
      <x:c r="L531" s="12" t="n">
        <x:v>123573117.858</x:v>
      </x:c>
      <x:c r="M531" s="12" t="str">
        <x:v>TuShare index_daily</x:v>
      </x:c>
    </x:row>
    <x:row r="532" ht="18" customHeight="1">
      <x:c r="A532" s="13" t="n">
        <x:v>43368</x:v>
      </x:c>
      <x:c r="B532" s="12" t="str">
        <x:v>000300.SH</x:v>
      </x:c>
      <x:c r="C532" s="12" t="n">
        <x:v>3375.9717</x:v>
      </x:c>
      <x:c r="D532" s="12" t="n">
        <x:v>3394.3771</x:v>
      </x:c>
      <x:c r="E532" s="12" t="n">
        <x:v>3367.0253</x:v>
      </x:c>
      <x:c r="F532" s="12" t="n">
        <x:v>3379.8043</x:v>
      </x:c>
      <x:c r="G532" s="12" t="n">
        <x:v>3410.4856</x:v>
      </x:c>
      <x:c r="H532" s="12" t="n">
        <x:v>-30.6813</x:v>
      </x:c>
      <x:c r="I532" s="12" t="n">
        <x:v>-0.8996</x:v>
      </x:c>
      <x:c r="J532" s="12" t="n">
        <x:v>-0.009036877438513951</x:v>
      </x:c>
      <x:c r="K532" s="12" t="n">
        <x:v>69054693</x:v>
      </x:c>
      <x:c r="L532" s="12" t="n">
        <x:v>82870029.933</x:v>
      </x:c>
      <x:c r="M532" s="12" t="str">
        <x:v>TuShare index_daily</x:v>
      </x:c>
    </x:row>
    <x:row r="533" ht="18" customHeight="1">
      <x:c r="A533" s="13" t="n">
        <x:v>43369</x:v>
      </x:c>
      <x:c r="B533" s="12" t="str">
        <x:v>000300.SH</x:v>
      </x:c>
      <x:c r="C533" s="12" t="n">
        <x:v>3388.5576</x:v>
      </x:c>
      <x:c r="D533" s="12" t="n">
        <x:v>3448.2595</x:v>
      </x:c>
      <x:c r="E533" s="12" t="n">
        <x:v>3383.2352</x:v>
      </x:c>
      <x:c r="F533" s="12" t="n">
        <x:v>3417.2413</x:v>
      </x:c>
      <x:c r="G533" s="12" t="n">
        <x:v>3379.8043</x:v>
      </x:c>
      <x:c r="H533" s="12" t="n">
        <x:v>37.437</x:v>
      </x:c>
      <x:c r="I533" s="12" t="n">
        <x:v>1.1077</x:v>
      </x:c>
      <x:c r="J533" s="12" t="n">
        <x:v>0.011015779730180341</x:v>
      </x:c>
      <x:c r="K533" s="12" t="n">
        <x:v>93173343</x:v>
      </x:c>
      <x:c r="L533" s="12" t="n">
        <x:v>119113319.089</x:v>
      </x:c>
      <x:c r="M533" s="12" t="str">
        <x:v>TuShare index_daily</x:v>
      </x:c>
    </x:row>
    <x:row r="534" ht="18" customHeight="1">
      <x:c r="A534" s="13" t="n">
        <x:v>43370</x:v>
      </x:c>
      <x:c r="B534" s="12" t="str">
        <x:v>000300.SH</x:v>
      </x:c>
      <x:c r="C534" s="12" t="n">
        <x:v>3415.9532</x:v>
      </x:c>
      <x:c r="D534" s="12" t="n">
        <x:v>3423.71</x:v>
      </x:c>
      <x:c r="E534" s="12" t="n">
        <x:v>3394.732</x:v>
      </x:c>
      <x:c r="F534" s="12" t="n">
        <x:v>3403.5902</x:v>
      </x:c>
      <x:c r="G534" s="12" t="n">
        <x:v>3417.2413</x:v>
      </x:c>
      <x:c r="H534" s="12" t="n">
        <x:v>-13.6511</x:v>
      </x:c>
      <x:c r="I534" s="12" t="n">
        <x:v>-0.3995</x:v>
      </x:c>
      <x:c r="J534" s="12" t="n">
        <x:v>-0.004002772455734116</x:v>
      </x:c>
      <x:c r="K534" s="12" t="n">
        <x:v>69765241</x:v>
      </x:c>
      <x:c r="L534" s="12" t="n">
        <x:v>87573300.845</x:v>
      </x:c>
      <x:c r="M534" s="12" t="str">
        <x:v>TuShare index_daily</x:v>
      </x:c>
    </x:row>
    <x:row r="535" ht="18" customHeight="1">
      <x:c r="A535" s="13" t="n">
        <x:v>43371</x:v>
      </x:c>
      <x:c r="B535" s="12" t="str">
        <x:v>000300.SH</x:v>
      </x:c>
      <x:c r="C535" s="12" t="n">
        <x:v>3409.9598</x:v>
      </x:c>
      <x:c r="D535" s="12" t="n">
        <x:v>3444.9884</x:v>
      </x:c>
      <x:c r="E535" s="12" t="n">
        <x:v>3404.6973</x:v>
      </x:c>
      <x:c r="F535" s="12" t="n">
        <x:v>3438.8649</x:v>
      </x:c>
      <x:c r="G535" s="12" t="n">
        <x:v>3403.5902</x:v>
      </x:c>
      <x:c r="H535" s="12" t="n">
        <x:v>35.2747</x:v>
      </x:c>
      <x:c r="I535" s="12" t="n">
        <x:v>1.0364</x:v>
      </x:c>
      <x:c r="J535" s="12" t="n">
        <x:v>0.010310630317834349</x:v>
      </x:c>
      <x:c r="K535" s="12" t="n">
        <x:v>84377756</x:v>
      </x:c>
      <x:c r="L535" s="12" t="n">
        <x:v>94880274.572</x:v>
      </x:c>
      <x:c r="M535" s="12" t="str">
        <x:v>TuShare index_daily</x:v>
      </x:c>
    </x:row>
    <x:row r="536" ht="18" customHeight="1">
      <x:c r="A536" s="13" t="n">
        <x:v>43381</x:v>
      </x:c>
      <x:c r="B536" s="12" t="str">
        <x:v>000300.SH</x:v>
      </x:c>
      <x:c r="C536" s="12" t="n">
        <x:v>3361.5594</x:v>
      </x:c>
      <x:c r="D536" s="12" t="n">
        <x:v>3364.4641</x:v>
      </x:c>
      <x:c r="E536" s="12" t="n">
        <x:v>3285.253</x:v>
      </x:c>
      <x:c r="F536" s="12" t="n">
        <x:v>3290.8988</x:v>
      </x:c>
      <x:c r="G536" s="12" t="n">
        <x:v>3438.8649</x:v>
      </x:c>
      <x:c r="H536" s="12" t="n">
        <x:v>-147.9661</x:v>
      </x:c>
      <x:c r="I536" s="12" t="n">
        <x:v>-4.3028</x:v>
      </x:c>
      <x:c r="J536" s="12" t="n">
        <x:v>-0.04398072704604592</x:v>
      </x:c>
      <x:c r="K536" s="12" t="n">
        <x:v>97888989</x:v>
      </x:c>
      <x:c r="L536" s="12" t="n">
        <x:v>114164218.382</x:v>
      </x:c>
      <x:c r="M536" s="12" t="str">
        <x:v>TuShare index_daily</x:v>
      </x:c>
    </x:row>
    <x:row r="537" ht="18" customHeight="1">
      <x:c r="A537" s="13" t="n">
        <x:v>43382</x:v>
      </x:c>
      <x:c r="B537" s="12" t="str">
        <x:v>000300.SH</x:v>
      </x:c>
      <x:c r="C537" s="12" t="n">
        <x:v>3290.1705</x:v>
      </x:c>
      <x:c r="D537" s="12" t="n">
        <x:v>3309.7978</x:v>
      </x:c>
      <x:c r="E537" s="12" t="n">
        <x:v>3276.1322</x:v>
      </x:c>
      <x:c r="F537" s="12" t="n">
        <x:v>3288.6906</x:v>
      </x:c>
      <x:c r="G537" s="12" t="n">
        <x:v>3290.8988</x:v>
      </x:c>
      <x:c r="H537" s="12" t="n">
        <x:v>-2.2082</x:v>
      </x:c>
      <x:c r="I537" s="12" t="n">
        <x:v>-0.0671</x:v>
      </x:c>
      <x:c r="J537" s="12" t="n">
        <x:v>-0.0006712273209352538</x:v>
      </x:c>
      <x:c r="K537" s="12" t="n">
        <x:v>66723274</x:v>
      </x:c>
      <x:c r="L537" s="12" t="n">
        <x:v>78372941.345</x:v>
      </x:c>
      <x:c r="M537" s="12" t="str">
        <x:v>TuShare index_daily</x:v>
      </x:c>
    </x:row>
    <x:row r="538" ht="18" customHeight="1">
      <x:c r="A538" s="13" t="n">
        <x:v>43383</x:v>
      </x:c>
      <x:c r="B538" s="12" t="str">
        <x:v>000300.SH</x:v>
      </x:c>
      <x:c r="C538" s="12" t="n">
        <x:v>3295.4288</x:v>
      </x:c>
      <x:c r="D538" s="12" t="n">
        <x:v>3315.731</x:v>
      </x:c>
      <x:c r="E538" s="12" t="n">
        <x:v>3256.5815</x:v>
      </x:c>
      <x:c r="F538" s="12" t="n">
        <x:v>3281.5978</x:v>
      </x:c>
      <x:c r="G538" s="12" t="n">
        <x:v>3288.6906</x:v>
      </x:c>
      <x:c r="H538" s="12" t="n">
        <x:v>-7.0928</x:v>
      </x:c>
      <x:c r="I538" s="12" t="n">
        <x:v>-0.2157</x:v>
      </x:c>
      <x:c r="J538" s="12" t="n">
        <x:v>-0.0021590537046332764</x:v>
      </x:c>
      <x:c r="K538" s="12" t="n">
        <x:v>64492828</x:v>
      </x:c>
      <x:c r="L538" s="12" t="n">
        <x:v>79166808.585</x:v>
      </x:c>
      <x:c r="M538" s="12" t="str">
        <x:v>TuShare index_daily</x:v>
      </x:c>
    </x:row>
    <x:row r="539" ht="18" customHeight="1">
      <x:c r="A539" s="13" t="n">
        <x:v>43384</x:v>
      </x:c>
      <x:c r="B539" s="12" t="str">
        <x:v>000300.SH</x:v>
      </x:c>
      <x:c r="C539" s="12" t="n">
        <x:v>3179.5408</x:v>
      </x:c>
      <x:c r="D539" s="12" t="n">
        <x:v>3209.5202</x:v>
      </x:c>
      <x:c r="E539" s="12" t="n">
        <x:v>3099.0402</x:v>
      </x:c>
      <x:c r="F539" s="12" t="n">
        <x:v>3124.1139</x:v>
      </x:c>
      <x:c r="G539" s="12" t="n">
        <x:v>3281.5978</x:v>
      </x:c>
      <x:c r="H539" s="12" t="n">
        <x:v>-157.4839</x:v>
      </x:c>
      <x:c r="I539" s="12" t="n">
        <x:v>-4.799</x:v>
      </x:c>
      <x:c r="J539" s="12" t="n">
        <x:v>-0.04917974695117834</x:v>
      </x:c>
      <x:c r="K539" s="12" t="n">
        <x:v>120941342</x:v>
      </x:c>
      <x:c r="L539" s="12" t="n">
        <x:v>125723084.486</x:v>
      </x:c>
      <x:c r="M539" s="12" t="str">
        <x:v>TuShare index_daily</x:v>
      </x:c>
    </x:row>
    <x:row r="540" ht="18" customHeight="1">
      <x:c r="A540" s="13" t="n">
        <x:v>43385</x:v>
      </x:c>
      <x:c r="B540" s="12" t="str">
        <x:v>000300.SH</x:v>
      </x:c>
      <x:c r="C540" s="12" t="n">
        <x:v>3123.3715</x:v>
      </x:c>
      <x:c r="D540" s="12" t="n">
        <x:v>3184.122</x:v>
      </x:c>
      <x:c r="E540" s="12" t="n">
        <x:v>3094.9657</x:v>
      </x:c>
      <x:c r="F540" s="12" t="n">
        <x:v>3170.7262</x:v>
      </x:c>
      <x:c r="G540" s="12" t="n">
        <x:v>3124.1139</x:v>
      </x:c>
      <x:c r="H540" s="12" t="n">
        <x:v>46.6123</x:v>
      </x:c>
      <x:c r="I540" s="12" t="n">
        <x:v>1.492</x:v>
      </x:c>
      <x:c r="J540" s="12" t="n">
        <x:v>0.0148099558467938</x:v>
      </x:c>
      <x:c r="K540" s="12" t="n">
        <x:v>98611151</x:v>
      </x:c>
      <x:c r="L540" s="12" t="n">
        <x:v>104423076.623</x:v>
      </x:c>
      <x:c r="M540" s="12" t="str">
        <x:v>TuShare index_daily</x:v>
      </x:c>
    </x:row>
    <x:row r="541" ht="18" customHeight="1">
      <x:c r="A541" s="13" t="n">
        <x:v>43388</x:v>
      </x:c>
      <x:c r="B541" s="12" t="str">
        <x:v>000300.SH</x:v>
      </x:c>
      <x:c r="C541" s="12" t="n">
        <x:v>3173.8467</x:v>
      </x:c>
      <x:c r="D541" s="12" t="n">
        <x:v>3183.1297</x:v>
      </x:c>
      <x:c r="E541" s="12" t="n">
        <x:v>3120.2306</x:v>
      </x:c>
      <x:c r="F541" s="12" t="n">
        <x:v>3126.4516</x:v>
      </x:c>
      <x:c r="G541" s="12" t="n">
        <x:v>3170.7262</x:v>
      </x:c>
      <x:c r="H541" s="12" t="n">
        <x:v>-44.2746</x:v>
      </x:c>
      <x:c r="I541" s="12" t="n">
        <x:v>-1.3964</x:v>
      </x:c>
      <x:c r="J541" s="12" t="n">
        <x:v>-0.014061959490625714</x:v>
      </x:c>
      <x:c r="K541" s="12" t="n">
        <x:v>69605023</x:v>
      </x:c>
      <x:c r="L541" s="12" t="n">
        <x:v>77137696.8</x:v>
      </x:c>
      <x:c r="M541" s="12" t="str">
        <x:v>TuShare index_daily</x:v>
      </x:c>
    </x:row>
    <x:row r="542" ht="18" customHeight="1">
      <x:c r="A542" s="13" t="n">
        <x:v>43389</x:v>
      </x:c>
      <x:c r="B542" s="12" t="str">
        <x:v>000300.SH</x:v>
      </x:c>
      <x:c r="C542" s="12" t="n">
        <x:v>3128.5764</x:v>
      </x:c>
      <x:c r="D542" s="12" t="n">
        <x:v>3166.0918</x:v>
      </x:c>
      <x:c r="E542" s="12" t="n">
        <x:v>3089.3668</x:v>
      </x:c>
      <x:c r="F542" s="12" t="n">
        <x:v>3100.9738</x:v>
      </x:c>
      <x:c r="G542" s="12" t="n">
        <x:v>3126.4516</x:v>
      </x:c>
      <x:c r="H542" s="12" t="n">
        <x:v>-25.4778</x:v>
      </x:c>
      <x:c r="I542" s="12" t="n">
        <x:v>-0.8149</x:v>
      </x:c>
      <x:c r="J542" s="12" t="n">
        <x:v>-0.008182496140899246</x:v>
      </x:c>
      <x:c r="K542" s="12" t="n">
        <x:v>68887721</x:v>
      </x:c>
      <x:c r="L542" s="12" t="n">
        <x:v>75206470.956</x:v>
      </x:c>
      <x:c r="M542" s="12" t="str">
        <x:v>TuShare index_daily</x:v>
      </x:c>
    </x:row>
    <x:row r="543" ht="18" customHeight="1">
      <x:c r="A543" s="13" t="n">
        <x:v>43390</x:v>
      </x:c>
      <x:c r="B543" s="12" t="str">
        <x:v>000300.SH</x:v>
      </x:c>
      <x:c r="C543" s="12" t="n">
        <x:v>3140.6838</x:v>
      </x:c>
      <x:c r="D543" s="12" t="n">
        <x:v>3149.1344</x:v>
      </x:c>
      <x:c r="E543" s="12" t="n">
        <x:v>3062.554</x:v>
      </x:c>
      <x:c r="F543" s="12" t="n">
        <x:v>3118.2463</x:v>
      </x:c>
      <x:c r="G543" s="12" t="n">
        <x:v>3100.9738</x:v>
      </x:c>
      <x:c r="H543" s="12" t="n">
        <x:v>17.2725</x:v>
      </x:c>
      <x:c r="I543" s="12" t="n">
        <x:v>0.557</x:v>
      </x:c>
      <x:c r="J543" s="12" t="n">
        <x:v>0.0055545692648370695</x:v>
      </x:c>
      <x:c r="K543" s="12" t="n">
        <x:v>76837138</x:v>
      </x:c>
      <x:c r="L543" s="12" t="n">
        <x:v>86132695.913</x:v>
      </x:c>
      <x:c r="M543" s="12" t="str">
        <x:v>TuShare index_daily</x:v>
      </x:c>
    </x:row>
    <x:row r="544" ht="18" customHeight="1">
      <x:c r="A544" s="13" t="n">
        <x:v>43391</x:v>
      </x:c>
      <x:c r="B544" s="12" t="str">
        <x:v>000300.SH</x:v>
      </x:c>
      <x:c r="C544" s="12" t="n">
        <x:v>3097.7903</x:v>
      </x:c>
      <x:c r="D544" s="12" t="n">
        <x:v>3097.7903</x:v>
      </x:c>
      <x:c r="E544" s="12" t="n">
        <x:v>3043.3817</x:v>
      </x:c>
      <x:c r="F544" s="12" t="n">
        <x:v>3044.3918</x:v>
      </x:c>
      <x:c r="G544" s="12" t="n">
        <x:v>3118.2463</x:v>
      </x:c>
      <x:c r="H544" s="12" t="n">
        <x:v>-73.8545</x:v>
      </x:c>
      <x:c r="I544" s="12" t="n">
        <x:v>-2.3685</x:v>
      </x:c>
      <x:c r="J544" s="12" t="n">
        <x:v>-0.023969616522507044</x:v>
      </x:c>
      <x:c r="K544" s="12" t="n">
        <x:v>73771968</x:v>
      </x:c>
      <x:c r="L544" s="12" t="n">
        <x:v>79703731.919</x:v>
      </x:c>
      <x:c r="M544" s="12" t="str">
        <x:v>TuShare index_daily</x:v>
      </x:c>
    </x:row>
    <x:row r="545" ht="18" customHeight="1">
      <x:c r="A545" s="13" t="n">
        <x:v>43392</x:v>
      </x:c>
      <x:c r="B545" s="12" t="str">
        <x:v>000300.SH</x:v>
      </x:c>
      <x:c r="C545" s="12" t="n">
        <x:v>3017.7488</x:v>
      </x:c>
      <x:c r="D545" s="12" t="n">
        <x:v>3137.7475</x:v>
      </x:c>
      <x:c r="E545" s="12" t="n">
        <x:v>3009.4983</x:v>
      </x:c>
      <x:c r="F545" s="12" t="n">
        <x:v>3134.9455</x:v>
      </x:c>
      <x:c r="G545" s="12" t="n">
        <x:v>3044.3918</x:v>
      </x:c>
      <x:c r="H545" s="12" t="n">
        <x:v>90.5537</x:v>
      </x:c>
      <x:c r="I545" s="12" t="n">
        <x:v>2.9744</x:v>
      </x:c>
      <x:c r="J545" s="12" t="n">
        <x:v>0.029310645626263784</x:v>
      </x:c>
      <x:c r="K545" s="12" t="n">
        <x:v>98839688</x:v>
      </x:c>
      <x:c r="L545" s="12" t="n">
        <x:v>110951369.122</x:v>
      </x:c>
      <x:c r="M545" s="12" t="str">
        <x:v>TuShare index_daily</x:v>
      </x:c>
    </x:row>
    <x:row r="546" ht="18" customHeight="1">
      <x:c r="A546" s="13" t="n">
        <x:v>43395</x:v>
      </x:c>
      <x:c r="B546" s="12" t="str">
        <x:v>000300.SH</x:v>
      </x:c>
      <x:c r="C546" s="12" t="n">
        <x:v>3159.5614</x:v>
      </x:c>
      <x:c r="D546" s="12" t="n">
        <x:v>3297.3803</x:v>
      </x:c>
      <x:c r="E546" s="12" t="n">
        <x:v>3159.5614</x:v>
      </x:c>
      <x:c r="F546" s="12" t="n">
        <x:v>3270.2732</x:v>
      </x:c>
      <x:c r="G546" s="12" t="n">
        <x:v>3134.9455</x:v>
      </x:c>
      <x:c r="H546" s="12" t="n">
        <x:v>135.3277</x:v>
      </x:c>
      <x:c r="I546" s="12" t="n">
        <x:v>4.3167</x:v>
      </x:c>
      <x:c r="J546" s="12" t="n">
        <x:v>0.042261739256125835</x:v>
      </x:c>
      <x:c r="K546" s="12" t="n">
        <x:v>145862045</x:v>
      </x:c>
      <x:c r="L546" s="12" t="n">
        <x:v>170651306.178</x:v>
      </x:c>
      <x:c r="M546" s="12" t="str">
        <x:v>TuShare index_daily</x:v>
      </x:c>
    </x:row>
    <x:row r="547" ht="18" customHeight="1">
      <x:c r="A547" s="13" t="n">
        <x:v>43396</x:v>
      </x:c>
      <x:c r="B547" s="12" t="str">
        <x:v>000300.SH</x:v>
      </x:c>
      <x:c r="C547" s="12" t="n">
        <x:v>3273.1271</x:v>
      </x:c>
      <x:c r="D547" s="12" t="n">
        <x:v>3276.0205</x:v>
      </x:c>
      <x:c r="E547" s="12" t="n">
        <x:v>3163.5704</x:v>
      </x:c>
      <x:c r="F547" s="12" t="n">
        <x:v>3183.4257</x:v>
      </x:c>
      <x:c r="G547" s="12" t="n">
        <x:v>3270.2732</x:v>
      </x:c>
      <x:c r="H547" s="12" t="n">
        <x:v>-86.8475</x:v>
      </x:c>
      <x:c r="I547" s="12" t="n">
        <x:v>-2.6557</x:v>
      </x:c>
      <x:c r="J547" s="12" t="n">
        <x:v>-0.026915647709496032</x:v>
      </x:c>
      <x:c r="K547" s="12" t="n">
        <x:v>121013241</x:v>
      </x:c>
      <x:c r="L547" s="12" t="n">
        <x:v>142589176.815</x:v>
      </x:c>
      <x:c r="M547" s="12" t="str">
        <x:v>TuShare index_daily</x:v>
      </x:c>
    </x:row>
    <x:row r="548" ht="18" customHeight="1">
      <x:c r="A548" s="13" t="n">
        <x:v>43397</x:v>
      </x:c>
      <x:c r="B548" s="12" t="str">
        <x:v>000300.SH</x:v>
      </x:c>
      <x:c r="C548" s="12" t="n">
        <x:v>3169.4571</x:v>
      </x:c>
      <x:c r="D548" s="12" t="n">
        <x:v>3245.3971</x:v>
      </x:c>
      <x:c r="E548" s="12" t="n">
        <x:v>3164.293</x:v>
      </x:c>
      <x:c r="F548" s="12" t="n">
        <x:v>3188.2018</x:v>
      </x:c>
      <x:c r="G548" s="12" t="n">
        <x:v>3183.4257</x:v>
      </x:c>
      <x:c r="H548" s="12" t="n">
        <x:v>4.7761</x:v>
      </x:c>
      <x:c r="I548" s="12" t="n">
        <x:v>0.15</x:v>
      </x:c>
      <x:c r="J548" s="12" t="n">
        <x:v>0.0014991776887575102</x:v>
      </x:c>
      <x:c r="K548" s="12" t="n">
        <x:v>110909744</x:v>
      </x:c>
      <x:c r="L548" s="12" t="n">
        <x:v>120954387.288</x:v>
      </x:c>
      <x:c r="M548" s="12" t="str">
        <x:v>TuShare index_daily</x:v>
      </x:c>
    </x:row>
    <x:row r="549" ht="18" customHeight="1">
      <x:c r="A549" s="13" t="n">
        <x:v>43398</x:v>
      </x:c>
      <x:c r="B549" s="12" t="str">
        <x:v>000300.SH</x:v>
      </x:c>
      <x:c r="C549" s="12" t="n">
        <x:v>3107.8402</x:v>
      </x:c>
      <x:c r="D549" s="12" t="n">
        <x:v>3197.3212</x:v>
      </x:c>
      <x:c r="E549" s="12" t="n">
        <x:v>3099.8887</x:v>
      </x:c>
      <x:c r="F549" s="12" t="n">
        <x:v>3194.3084</x:v>
      </x:c>
      <x:c r="G549" s="12" t="n">
        <x:v>3188.2018</x:v>
      </x:c>
      <x:c r="H549" s="12" t="n">
        <x:v>6.1066</x:v>
      </x:c>
      <x:c r="I549" s="12" t="n">
        <x:v>0.1915</x:v>
      </x:c>
      <x:c r="J549" s="12" t="n">
        <x:v>0.0019135423750204369</x:v>
      </x:c>
      <x:c r="K549" s="12" t="n">
        <x:v>106951817</x:v>
      </x:c>
      <x:c r="L549" s="12" t="n">
        <x:v>113291746.43</x:v>
      </x:c>
      <x:c r="M549" s="12" t="str">
        <x:v>TuShare index_daily</x:v>
      </x:c>
    </x:row>
    <x:row r="550" ht="18" customHeight="1">
      <x:c r="A550" s="13" t="n">
        <x:v>43399</x:v>
      </x:c>
      <x:c r="B550" s="12" t="str">
        <x:v>000300.SH</x:v>
      </x:c>
      <x:c r="C550" s="12" t="n">
        <x:v>3204.2845</x:v>
      </x:c>
      <x:c r="D550" s="12" t="n">
        <x:v>3218.1021</x:v>
      </x:c>
      <x:c r="E550" s="12" t="n">
        <x:v>3151.9244</x:v>
      </x:c>
      <x:c r="F550" s="12" t="n">
        <x:v>3173.635</x:v>
      </x:c>
      <x:c r="G550" s="12" t="n">
        <x:v>3194.3084</x:v>
      </x:c>
      <x:c r="H550" s="12" t="n">
        <x:v>-20.6734</x:v>
      </x:c>
      <x:c r="I550" s="12" t="n">
        <x:v>-0.6472</x:v>
      </x:c>
      <x:c r="J550" s="12" t="n">
        <x:v>-0.006492982531994522</x:v>
      </x:c>
      <x:c r="K550" s="12" t="n">
        <x:v>101299354</x:v>
      </x:c>
      <x:c r="L550" s="12" t="n">
        <x:v>106070366.76</x:v>
      </x:c>
      <x:c r="M550" s="12" t="str">
        <x:v>TuShare index_daily</x:v>
      </x:c>
    </x:row>
    <x:row r="551" ht="18" customHeight="1">
      <x:c r="A551" s="13" t="n">
        <x:v>43402</x:v>
      </x:c>
      <x:c r="B551" s="12" t="str">
        <x:v>000300.SH</x:v>
      </x:c>
      <x:c r="C551" s="12" t="n">
        <x:v>3157.4879</x:v>
      </x:c>
      <x:c r="D551" s="12" t="n">
        <x:v>3158.8114</x:v>
      </x:c>
      <x:c r="E551" s="12" t="n">
        <x:v>3062.5803</x:v>
      </x:c>
      <x:c r="F551" s="12" t="n">
        <x:v>3076.8889</x:v>
      </x:c>
      <x:c r="G551" s="12" t="n">
        <x:v>3173.635</x:v>
      </x:c>
      <x:c r="H551" s="12" t="n">
        <x:v>-96.7461</x:v>
      </x:c>
      <x:c r="I551" s="12" t="n">
        <x:v>-3.0484</x:v>
      </x:c>
      <x:c r="J551" s="12" t="n">
        <x:v>-0.03095862955146051</x:v>
      </x:c>
      <x:c r="K551" s="12" t="n">
        <x:v>91839789</x:v>
      </x:c>
      <x:c r="L551" s="12" t="n">
        <x:v>108479490.211</x:v>
      </x:c>
      <x:c r="M551" s="12" t="str">
        <x:v>TuShare index_daily</x:v>
      </x:c>
    </x:row>
    <x:row r="552" ht="18" customHeight="1">
      <x:c r="A552" s="13" t="n">
        <x:v>43403</x:v>
      </x:c>
      <x:c r="B552" s="12" t="str">
        <x:v>000300.SH</x:v>
      </x:c>
      <x:c r="C552" s="12" t="n">
        <x:v>3061.93</x:v>
      </x:c>
      <x:c r="D552" s="12" t="n">
        <x:v>3146.6276</x:v>
      </x:c>
      <x:c r="E552" s="12" t="n">
        <x:v>3050.7709</x:v>
      </x:c>
      <x:c r="F552" s="12" t="n">
        <x:v>3110.2605</x:v>
      </x:c>
      <x:c r="G552" s="12" t="n">
        <x:v>3076.8889</x:v>
      </x:c>
      <x:c r="H552" s="12" t="n">
        <x:v>33.3716</x:v>
      </x:c>
      <x:c r="I552" s="12" t="n">
        <x:v>1.0846</x:v>
      </x:c>
      <x:c r="J552" s="12" t="n">
        <x:v>0.010787495650464536</x:v>
      </x:c>
      <x:c r="K552" s="12" t="n">
        <x:v>116070101</x:v>
      </x:c>
      <x:c r="L552" s="12" t="n">
        <x:v>131767102.719</x:v>
      </x:c>
      <x:c r="M552" s="12" t="str">
        <x:v>TuShare index_daily</x:v>
      </x:c>
    </x:row>
    <x:row r="553" ht="18" customHeight="1">
      <x:c r="A553" s="13" t="n">
        <x:v>43404</x:v>
      </x:c>
      <x:c r="B553" s="12" t="str">
        <x:v>000300.SH</x:v>
      </x:c>
      <x:c r="C553" s="12" t="n">
        <x:v>3116.6582</x:v>
      </x:c>
      <x:c r="D553" s="12" t="n">
        <x:v>3168.9187</x:v>
      </x:c>
      <x:c r="E553" s="12" t="n">
        <x:v>3106.0279</x:v>
      </x:c>
      <x:c r="F553" s="12" t="n">
        <x:v>3153.8234</x:v>
      </x:c>
      <x:c r="G553" s="12" t="n">
        <x:v>3110.2605</x:v>
      </x:c>
      <x:c r="H553" s="12" t="n">
        <x:v>43.5629</x:v>
      </x:c>
      <x:c r="I553" s="12" t="n">
        <x:v>1.4006</x:v>
      </x:c>
      <x:c r="J553" s="12" t="n">
        <x:v>0.013909009841423929</x:v>
      </x:c>
      <x:c r="K553" s="12" t="n">
        <x:v>111207455</x:v>
      </x:c>
      <x:c r="L553" s="12" t="n">
        <x:v>117099697.836</x:v>
      </x:c>
      <x:c r="M553" s="12" t="str">
        <x:v>TuShare index_daily</x:v>
      </x:c>
    </x:row>
    <x:row r="554" ht="18" customHeight="1">
      <x:c r="A554" s="13" t="n">
        <x:v>43405</x:v>
      </x:c>
      <x:c r="B554" s="12" t="str">
        <x:v>000300.SH</x:v>
      </x:c>
      <x:c r="C554" s="12" t="n">
        <x:v>3185.202</x:v>
      </x:c>
      <x:c r="D554" s="12" t="n">
        <x:v>3217.8034</x:v>
      </x:c>
      <x:c r="E554" s="12" t="n">
        <x:v>3173.0992</x:v>
      </x:c>
      <x:c r="F554" s="12" t="n">
        <x:v>3177.0338</x:v>
      </x:c>
      <x:c r="G554" s="12" t="n">
        <x:v>3153.8234</x:v>
      </x:c>
      <x:c r="H554" s="12" t="n">
        <x:v>23.2104</x:v>
      </x:c>
      <x:c r="I554" s="12" t="n">
        <x:v>0.7359</x:v>
      </x:c>
      <x:c r="J554" s="12" t="n">
        <x:v>0.007332499615765938</x:v>
      </x:c>
      <x:c r="K554" s="12" t="n">
        <x:v>132653379</x:v>
      </x:c>
      <x:c r="L554" s="12" t="n">
        <x:v>145919304.28</x:v>
      </x:c>
      <x:c r="M554" s="12" t="str">
        <x:v>TuShare index_daily</x:v>
      </x:c>
    </x:row>
    <x:row r="555" ht="18" customHeight="1">
      <x:c r="A555" s="13" t="n">
        <x:v>43406</x:v>
      </x:c>
      <x:c r="B555" s="12" t="str">
        <x:v>000300.SH</x:v>
      </x:c>
      <x:c r="C555" s="12" t="n">
        <x:v>3258.6093</x:v>
      </x:c>
      <x:c r="D555" s="12" t="n">
        <x:v>3290.2455</x:v>
      </x:c>
      <x:c r="E555" s="12" t="n">
        <x:v>3222.4354</x:v>
      </x:c>
      <x:c r="F555" s="12" t="n">
        <x:v>3290.2455</x:v>
      </x:c>
      <x:c r="G555" s="12" t="n">
        <x:v>3177.0338</x:v>
      </x:c>
      <x:c r="H555" s="12" t="n">
        <x:v>113.2117</x:v>
      </x:c>
      <x:c r="I555" s="12" t="n">
        <x:v>3.5634</x:v>
      </x:c>
      <x:c r="J555" s="12" t="n">
        <x:v>0.03501418785576726</x:v>
      </x:c>
      <x:c r="K555" s="12" t="n">
        <x:v>153466104</x:v>
      </x:c>
      <x:c r="L555" s="12" t="n">
        <x:v>178340643.411</x:v>
      </x:c>
      <x:c r="M555" s="12" t="str">
        <x:v>TuShare index_daily</x:v>
      </x:c>
    </x:row>
    <x:row r="556" ht="18" customHeight="1">
      <x:c r="A556" s="13" t="n">
        <x:v>43409</x:v>
      </x:c>
      <x:c r="B556" s="12" t="str">
        <x:v>000300.SH</x:v>
      </x:c>
      <x:c r="C556" s="12" t="n">
        <x:v>3269.4695</x:v>
      </x:c>
      <x:c r="D556" s="12" t="n">
        <x:v>3279.8781</x:v>
      </x:c>
      <x:c r="E556" s="12" t="n">
        <x:v>3230.3632</x:v>
      </x:c>
      <x:c r="F556" s="12" t="n">
        <x:v>3262.8351</x:v>
      </x:c>
      <x:c r="G556" s="12" t="n">
        <x:v>3290.2455</x:v>
      </x:c>
      <x:c r="H556" s="12" t="n">
        <x:v>-27.4104</x:v>
      </x:c>
      <x:c r="I556" s="12" t="n">
        <x:v>-0.8331</x:v>
      </x:c>
      <x:c r="J556" s="12" t="n">
        <x:v>-0.008365702036225015</x:v>
      </x:c>
      <x:c r="K556" s="12" t="n">
        <x:v>109706683</x:v>
      </x:c>
      <x:c r="L556" s="12" t="n">
        <x:v>123630922.689</x:v>
      </x:c>
      <x:c r="M556" s="12" t="str">
        <x:v>TuShare index_daily</x:v>
      </x:c>
    </x:row>
    <x:row r="557" ht="18" customHeight="1">
      <x:c r="A557" s="13" t="n">
        <x:v>43410</x:v>
      </x:c>
      <x:c r="B557" s="12" t="str">
        <x:v>000300.SH</x:v>
      </x:c>
      <x:c r="C557" s="12" t="n">
        <x:v>3254.9778</x:v>
      </x:c>
      <x:c r="D557" s="12" t="n">
        <x:v>3254.9778</x:v>
      </x:c>
      <x:c r="E557" s="12" t="n">
        <x:v>3213.895</x:v>
      </x:c>
      <x:c r="F557" s="12" t="n">
        <x:v>3243.1504</x:v>
      </x:c>
      <x:c r="G557" s="12" t="n">
        <x:v>3262.8351</x:v>
      </x:c>
      <x:c r="H557" s="12" t="n">
        <x:v>-19.6847</x:v>
      </x:c>
      <x:c r="I557" s="12" t="n">
        <x:v>-0.6033</x:v>
      </x:c>
      <x:c r="J557" s="12" t="n">
        <x:v>-0.006051276956503466</x:v>
      </x:c>
      <x:c r="K557" s="12" t="n">
        <x:v>83869138</x:v>
      </x:c>
      <x:c r="L557" s="12" t="n">
        <x:v>91703898.055</x:v>
      </x:c>
      <x:c r="M557" s="12" t="str">
        <x:v>TuShare index_daily</x:v>
      </x:c>
    </x:row>
    <x:row r="558" ht="18" customHeight="1">
      <x:c r="A558" s="13" t="n">
        <x:v>43411</x:v>
      </x:c>
      <x:c r="B558" s="12" t="str">
        <x:v>000300.SH</x:v>
      </x:c>
      <x:c r="C558" s="12" t="n">
        <x:v>3243.8775</x:v>
      </x:c>
      <x:c r="D558" s="12" t="n">
        <x:v>3270.5003</x:v>
      </x:c>
      <x:c r="E558" s="12" t="n">
        <x:v>3218.4219</x:v>
      </x:c>
      <x:c r="F558" s="12" t="n">
        <x:v>3221.9101</x:v>
      </x:c>
      <x:c r="G558" s="12" t="n">
        <x:v>3243.1504</x:v>
      </x:c>
      <x:c r="H558" s="12" t="n">
        <x:v>-21.2403</x:v>
      </x:c>
      <x:c r="I558" s="12" t="n">
        <x:v>-0.6549</x:v>
      </x:c>
      <x:c r="J558" s="12" t="n">
        <x:v>-0.006570820620157931</x:v>
      </x:c>
      <x:c r="K558" s="12" t="n">
        <x:v>91615528</x:v>
      </x:c>
      <x:c r="L558" s="12" t="n">
        <x:v>101814918.975</x:v>
      </x:c>
      <x:c r="M558" s="12" t="str">
        <x:v>TuShare index_daily</x:v>
      </x:c>
    </x:row>
    <x:row r="559" ht="18" customHeight="1">
      <x:c r="A559" s="13" t="n">
        <x:v>43412</x:v>
      </x:c>
      <x:c r="B559" s="12" t="str">
        <x:v>000300.SH</x:v>
      </x:c>
      <x:c r="C559" s="12" t="n">
        <x:v>3251.7281</x:v>
      </x:c>
      <x:c r="D559" s="12" t="n">
        <x:v>3253.5735</x:v>
      </x:c>
      <x:c r="E559" s="12" t="n">
        <x:v>3207.7084</x:v>
      </x:c>
      <x:c r="F559" s="12" t="n">
        <x:v>3212.7737</x:v>
      </x:c>
      <x:c r="G559" s="12" t="n">
        <x:v>3221.9101</x:v>
      </x:c>
      <x:c r="H559" s="12" t="n">
        <x:v>-9.1364</x:v>
      </x:c>
      <x:c r="I559" s="12" t="n">
        <x:v>-0.2836</x:v>
      </x:c>
      <x:c r="J559" s="12" t="n">
        <x:v>-0.0028397374055093238</x:v>
      </x:c>
      <x:c r="K559" s="12" t="n">
        <x:v>76414540</x:v>
      </x:c>
      <x:c r="L559" s="12" t="n">
        <x:v>85221664.741</x:v>
      </x:c>
      <x:c r="M559" s="12" t="str">
        <x:v>TuShare index_daily</x:v>
      </x:c>
    </x:row>
    <x:row r="560" ht="18" customHeight="1">
      <x:c r="A560" s="13" t="n">
        <x:v>43413</x:v>
      </x:c>
      <x:c r="B560" s="12" t="str">
        <x:v>000300.SH</x:v>
      </x:c>
      <x:c r="C560" s="12" t="n">
        <x:v>3193.3039</x:v>
      </x:c>
      <x:c r="D560" s="12" t="n">
        <x:v>3193.3039</x:v>
      </x:c>
      <x:c r="E560" s="12" t="n">
        <x:v>3166.3106</x:v>
      </x:c>
      <x:c r="F560" s="12" t="n">
        <x:v>3167.4442</x:v>
      </x:c>
      <x:c r="G560" s="12" t="n">
        <x:v>3212.7737</x:v>
      </x:c>
      <x:c r="H560" s="12" t="n">
        <x:v>-45.3295</x:v>
      </x:c>
      <x:c r="I560" s="12" t="n">
        <x:v>-1.4109</x:v>
      </x:c>
      <x:c r="J560" s="12" t="n">
        <x:v>-0.014209628394483092</x:v>
      </x:c>
      <x:c r="K560" s="12" t="n">
        <x:v>84282762</x:v>
      </x:c>
      <x:c r="L560" s="12" t="n">
        <x:v>88194192.202</x:v>
      </x:c>
      <x:c r="M560" s="12" t="str">
        <x:v>TuShare index_daily</x:v>
      </x:c>
    </x:row>
    <x:row r="561" ht="18" customHeight="1">
      <x:c r="A561" s="13" t="n">
        <x:v>43416</x:v>
      </x:c>
      <x:c r="B561" s="12" t="str">
        <x:v>000300.SH</x:v>
      </x:c>
      <x:c r="C561" s="12" t="n">
        <x:v>3160.2465</x:v>
      </x:c>
      <x:c r="D561" s="12" t="n">
        <x:v>3206.5127</x:v>
      </x:c>
      <x:c r="E561" s="12" t="n">
        <x:v>3152.4399</x:v>
      </x:c>
      <x:c r="F561" s="12" t="n">
        <x:v>3205.1407</x:v>
      </x:c>
      <x:c r="G561" s="12" t="n">
        <x:v>3167.4442</x:v>
      </x:c>
      <x:c r="H561" s="12" t="n">
        <x:v>37.6965</x:v>
      </x:c>
      <x:c r="I561" s="12" t="n">
        <x:v>1.1901</x:v>
      </x:c>
      <x:c r="J561" s="12" t="n">
        <x:v>0.011830972923802153</x:v>
      </x:c>
      <x:c r="K561" s="12" t="n">
        <x:v>88062391</x:v>
      </x:c>
      <x:c r="L561" s="12" t="n">
        <x:v>97363052.032</x:v>
      </x:c>
      <x:c r="M561" s="12" t="str">
        <x:v>TuShare index_daily</x:v>
      </x:c>
    </x:row>
    <x:row r="562" ht="18" customHeight="1">
      <x:c r="A562" s="13" t="n">
        <x:v>43417</x:v>
      </x:c>
      <x:c r="B562" s="12" t="str">
        <x:v>000300.SH</x:v>
      </x:c>
      <x:c r="C562" s="12" t="n">
        <x:v>3164.9222</x:v>
      </x:c>
      <x:c r="D562" s="12" t="n">
        <x:v>3254.7684</x:v>
      </x:c>
      <x:c r="E562" s="12" t="n">
        <x:v>3161.0979</x:v>
      </x:c>
      <x:c r="F562" s="12" t="n">
        <x:v>3237.3823</x:v>
      </x:c>
      <x:c r="G562" s="12" t="n">
        <x:v>3205.1407</x:v>
      </x:c>
      <x:c r="H562" s="12" t="n">
        <x:v>32.2416</x:v>
      </x:c>
      <x:c r="I562" s="12" t="n">
        <x:v>1.0059</x:v>
      </x:c>
      <x:c r="J562" s="12" t="n">
        <x:v>0.01000908158737834</x:v>
      </x:c>
      <x:c r="K562" s="12" t="n">
        <x:v>126493464</x:v>
      </x:c>
      <x:c r="L562" s="12" t="n">
        <x:v>125603047.265</x:v>
      </x:c>
      <x:c r="M562" s="12" t="str">
        <x:v>TuShare index_daily</x:v>
      </x:c>
    </x:row>
    <x:row r="563" ht="18" customHeight="1">
      <x:c r="A563" s="13" t="n">
        <x:v>43418</x:v>
      </x:c>
      <x:c r="B563" s="12" t="str">
        <x:v>000300.SH</x:v>
      </x:c>
      <x:c r="C563" s="12" t="n">
        <x:v>3233.6409</x:v>
      </x:c>
      <x:c r="D563" s="12" t="n">
        <x:v>3239.2448</x:v>
      </x:c>
      <x:c r="E563" s="12" t="n">
        <x:v>3200.2285</x:v>
      </x:c>
      <x:c r="F563" s="12" t="n">
        <x:v>3204.9427</x:v>
      </x:c>
      <x:c r="G563" s="12" t="n">
        <x:v>3237.3823</x:v>
      </x:c>
      <x:c r="H563" s="12" t="n">
        <x:v>-32.4396</x:v>
      </x:c>
      <x:c r="I563" s="12" t="n">
        <x:v>-1.002</x:v>
      </x:c>
      <x:c r="J563" s="12" t="n">
        <x:v>-0.010070859254752394</x:v>
      </x:c>
      <x:c r="K563" s="12" t="n">
        <x:v>113808659</x:v>
      </x:c>
      <x:c r="L563" s="12" t="n">
        <x:v>105386565.968</x:v>
      </x:c>
      <x:c r="M563" s="12" t="str">
        <x:v>TuShare index_daily</x:v>
      </x:c>
    </x:row>
    <x:row r="564" ht="18" customHeight="1">
      <x:c r="A564" s="13" t="n">
        <x:v>43419</x:v>
      </x:c>
      <x:c r="B564" s="12" t="str">
        <x:v>000300.SH</x:v>
      </x:c>
      <x:c r="C564" s="12" t="n">
        <x:v>3201.2814</x:v>
      </x:c>
      <x:c r="D564" s="12" t="n">
        <x:v>3242.3836</x:v>
      </x:c>
      <x:c r="E564" s="12" t="n">
        <x:v>3198.7814</x:v>
      </x:c>
      <x:c r="F564" s="12" t="n">
        <x:v>3242.3715</x:v>
      </x:c>
      <x:c r="G564" s="12" t="n">
        <x:v>3204.9427</x:v>
      </x:c>
      <x:c r="H564" s="12" t="n">
        <x:v>37.4288</x:v>
      </x:c>
      <x:c r="I564" s="12" t="n">
        <x:v>1.1678</x:v>
      </x:c>
      <x:c r="J564" s="12" t="n">
        <x:v>0.011610794610305406</x:v>
      </x:c>
      <x:c r="K564" s="12" t="n">
        <x:v>98558810</x:v>
      </x:c>
      <x:c r="L564" s="12" t="n">
        <x:v>100119192.332</x:v>
      </x:c>
      <x:c r="M564" s="12" t="str">
        <x:v>TuShare index_daily</x:v>
      </x:c>
    </x:row>
    <x:row r="565" ht="18" customHeight="1">
      <x:c r="A565" s="13" t="n">
        <x:v>43420</x:v>
      </x:c>
      <x:c r="B565" s="12" t="str">
        <x:v>000300.SH</x:v>
      </x:c>
      <x:c r="C565" s="12" t="n">
        <x:v>3242.879</x:v>
      </x:c>
      <x:c r="D565" s="12" t="n">
        <x:v>3282.39</x:v>
      </x:c>
      <x:c r="E565" s="12" t="n">
        <x:v>3223.7215</x:v>
      </x:c>
      <x:c r="F565" s="12" t="n">
        <x:v>3257.6735</x:v>
      </x:c>
      <x:c r="G565" s="12" t="n">
        <x:v>3242.3715</x:v>
      </x:c>
      <x:c r="H565" s="12" t="n">
        <x:v>15.302</x:v>
      </x:c>
      <x:c r="I565" s="12" t="n">
        <x:v>0.4719</x:v>
      </x:c>
      <x:c r="J565" s="12" t="n">
        <x:v>0.004708283794282228</x:v>
      </x:c>
      <x:c r="K565" s="12" t="n">
        <x:v>126876835</x:v>
      </x:c>
      <x:c r="L565" s="12" t="n">
        <x:v>135379803.919</x:v>
      </x:c>
      <x:c r="M565" s="12" t="str">
        <x:v>TuShare index_daily</x:v>
      </x:c>
    </x:row>
    <x:row r="566" ht="18" customHeight="1">
      <x:c r="A566" s="13" t="n">
        <x:v>43423</x:v>
      </x:c>
      <x:c r="B566" s="12" t="str">
        <x:v>000300.SH</x:v>
      </x:c>
      <x:c r="C566" s="12" t="n">
        <x:v>3258.7919</x:v>
      </x:c>
      <x:c r="D566" s="12" t="n">
        <x:v>3294.6031</x:v>
      </x:c>
      <x:c r="E566" s="12" t="n">
        <x:v>3251.0665</x:v>
      </x:c>
      <x:c r="F566" s="12" t="n">
        <x:v>3294.6031</x:v>
      </x:c>
      <x:c r="G566" s="12" t="n">
        <x:v>3257.6735</x:v>
      </x:c>
      <x:c r="H566" s="12" t="n">
        <x:v>36.9296</x:v>
      </x:c>
      <x:c r="I566" s="12" t="n">
        <x:v>1.1336</x:v>
      </x:c>
      <x:c r="J566" s="12" t="n">
        <x:v>0.011272415161681665</x:v>
      </x:c>
      <x:c r="K566" s="12" t="n">
        <x:v>115956595</x:v>
      </x:c>
      <x:c r="L566" s="12" t="n">
        <x:v>123188777.592</x:v>
      </x:c>
      <x:c r="M566" s="12" t="str">
        <x:v>TuShare index_daily</x:v>
      </x:c>
    </x:row>
    <x:row r="567" ht="18" customHeight="1">
      <x:c r="A567" s="13" t="n">
        <x:v>43424</x:v>
      </x:c>
      <x:c r="B567" s="12" t="str">
        <x:v>000300.SH</x:v>
      </x:c>
      <x:c r="C567" s="12" t="n">
        <x:v>3268.0768</x:v>
      </x:c>
      <x:c r="D567" s="12" t="n">
        <x:v>3278.7845</x:v>
      </x:c>
      <x:c r="E567" s="12" t="n">
        <x:v>3213.6833</x:v>
      </x:c>
      <x:c r="F567" s="12" t="n">
        <x:v>3218.4076</x:v>
      </x:c>
      <x:c r="G567" s="12" t="n">
        <x:v>3294.6031</x:v>
      </x:c>
      <x:c r="H567" s="12" t="n">
        <x:v>-76.1955</x:v>
      </x:c>
      <x:c r="I567" s="12" t="n">
        <x:v>-2.3127</x:v>
      </x:c>
      <x:c r="J567" s="12" t="n">
        <x:v>-0.023399002391473384</x:v>
      </x:c>
      <x:c r="K567" s="12" t="n">
        <x:v>109361154</x:v>
      </x:c>
      <x:c r="L567" s="12" t="n">
        <x:v>114155066.806</x:v>
      </x:c>
      <x:c r="M567" s="12" t="str">
        <x:v>TuShare index_daily</x:v>
      </x:c>
    </x:row>
    <x:row r="568" ht="18" customHeight="1">
      <x:c r="A568" s="13" t="n">
        <x:v>43425</x:v>
      </x:c>
      <x:c r="B568" s="12" t="str">
        <x:v>000300.SH</x:v>
      </x:c>
      <x:c r="C568" s="12" t="n">
        <x:v>3187.1025</x:v>
      </x:c>
      <x:c r="D568" s="12" t="n">
        <x:v>3230.2578</x:v>
      </x:c>
      <x:c r="E568" s="12" t="n">
        <x:v>3185.2393</x:v>
      </x:c>
      <x:c r="F568" s="12" t="n">
        <x:v>3226.4918</x:v>
      </x:c>
      <x:c r="G568" s="12" t="n">
        <x:v>3218.4076</x:v>
      </x:c>
      <x:c r="H568" s="12" t="n">
        <x:v>8.0842</x:v>
      </x:c>
      <x:c r="I568" s="12" t="n">
        <x:v>0.2512</x:v>
      </x:c>
      <x:c r="J568" s="12" t="n">
        <x:v>0.002508713864462597</x:v>
      </x:c>
      <x:c r="K568" s="12" t="n">
        <x:v>84119726</x:v>
      </x:c>
      <x:c r="L568" s="12" t="n">
        <x:v>87813273.908</x:v>
      </x:c>
      <x:c r="M568" s="12" t="str">
        <x:v>TuShare index_daily</x:v>
      </x:c>
    </x:row>
    <x:row r="569" ht="18" customHeight="1">
      <x:c r="A569" s="13" t="n">
        <x:v>43426</x:v>
      </x:c>
      <x:c r="B569" s="12" t="str">
        <x:v>000300.SH</x:v>
      </x:c>
      <x:c r="C569" s="12" t="n">
        <x:v>3232.9731</x:v>
      </x:c>
      <x:c r="D569" s="12" t="n">
        <x:v>3235.4524</x:v>
      </x:c>
      <x:c r="E569" s="12" t="n">
        <x:v>3199.6981</x:v>
      </x:c>
      <x:c r="F569" s="12" t="n">
        <x:v>3214.4273</x:v>
      </x:c>
      <x:c r="G569" s="12" t="n">
        <x:v>3226.4918</x:v>
      </x:c>
      <x:c r="H569" s="12" t="n">
        <x:v>-12.0645</x:v>
      </x:c>
      <x:c r="I569" s="12" t="n">
        <x:v>-0.3739</x:v>
      </x:c>
      <x:c r="J569" s="12" t="n">
        <x:v>-0.003746208863114145</x:v>
      </x:c>
      <x:c r="K569" s="12" t="n">
        <x:v>65098291</x:v>
      </x:c>
      <x:c r="L569" s="12" t="n">
        <x:v>70083372.615</x:v>
      </x:c>
      <x:c r="M569" s="12" t="str">
        <x:v>TuShare index_daily</x:v>
      </x:c>
    </x:row>
    <x:row r="570" ht="18" customHeight="1">
      <x:c r="A570" s="13" t="n">
        <x:v>43427</x:v>
      </x:c>
      <x:c r="B570" s="12" t="str">
        <x:v>000300.SH</x:v>
      </x:c>
      <x:c r="C570" s="12" t="n">
        <x:v>3208.593</x:v>
      </x:c>
      <x:c r="D570" s="12" t="n">
        <x:v>3212.1952</x:v>
      </x:c>
      <x:c r="E570" s="12" t="n">
        <x:v>3139.3857</x:v>
      </x:c>
      <x:c r="F570" s="12" t="n">
        <x:v>3143.4752</x:v>
      </x:c>
      <x:c r="G570" s="12" t="n">
        <x:v>3214.4273</x:v>
      </x:c>
      <x:c r="H570" s="12" t="n">
        <x:v>-70.9521</x:v>
      </x:c>
      <x:c r="I570" s="12" t="n">
        <x:v>-2.2073</x:v>
      </x:c>
      <x:c r="J570" s="12" t="n">
        <x:v>-0.022320268559339572</x:v>
      </x:c>
      <x:c r="K570" s="12" t="n">
        <x:v>84638255</x:v>
      </x:c>
      <x:c r="L570" s="12" t="n">
        <x:v>86864946.184</x:v>
      </x:c>
      <x:c r="M570" s="12" t="str">
        <x:v>TuShare index_daily</x:v>
      </x:c>
    </x:row>
    <x:row r="571" ht="18" customHeight="1">
      <x:c r="A571" s="13" t="n">
        <x:v>43430</x:v>
      </x:c>
      <x:c r="B571" s="12" t="str">
        <x:v>000300.SH</x:v>
      </x:c>
      <x:c r="C571" s="12" t="n">
        <x:v>3148.6721</x:v>
      </x:c>
      <x:c r="D571" s="12" t="n">
        <x:v>3169.4418</x:v>
      </x:c>
      <x:c r="E571" s="12" t="n">
        <x:v>3131.636</x:v>
      </x:c>
      <x:c r="F571" s="12" t="n">
        <x:v>3141.2434</x:v>
      </x:c>
      <x:c r="G571" s="12" t="n">
        <x:v>3143.4752</x:v>
      </x:c>
      <x:c r="H571" s="12" t="n">
        <x:v>-2.2318</x:v>
      </x:c>
      <x:c r="I571" s="12" t="n">
        <x:v>-0.071</x:v>
      </x:c>
      <x:c r="J571" s="12" t="n">
        <x:v>-0.0007102307154421204</x:v>
      </x:c>
      <x:c r="K571" s="12" t="n">
        <x:v>59379140</x:v>
      </x:c>
      <x:c r="L571" s="12" t="n">
        <x:v>61899479.599</x:v>
      </x:c>
      <x:c r="M571" s="12" t="str">
        <x:v>TuShare index_daily</x:v>
      </x:c>
    </x:row>
    <x:row r="572" ht="18" customHeight="1">
      <x:c r="A572" s="13" t="n">
        <x:v>43431</x:v>
      </x:c>
      <x:c r="B572" s="12" t="str">
        <x:v>000300.SH</x:v>
      </x:c>
      <x:c r="C572" s="12" t="n">
        <x:v>3152.7743</x:v>
      </x:c>
      <x:c r="D572" s="12" t="n">
        <x:v>3162.0121</x:v>
      </x:c>
      <x:c r="E572" s="12" t="n">
        <x:v>3126.289</x:v>
      </x:c>
      <x:c r="F572" s="12" t="n">
        <x:v>3137.2413</x:v>
      </x:c>
      <x:c r="G572" s="12" t="n">
        <x:v>3141.2434</x:v>
      </x:c>
      <x:c r="H572" s="12" t="n">
        <x:v>-4.0021</x:v>
      </x:c>
      <x:c r="I572" s="12" t="n">
        <x:v>-0.1274</x:v>
      </x:c>
      <x:c r="J572" s="12" t="n">
        <x:v>-0.001274861923942222</x:v>
      </x:c>
      <x:c r="K572" s="12" t="n">
        <x:v>55407832</x:v>
      </x:c>
      <x:c r="L572" s="12" t="n">
        <x:v>61946261.11</x:v>
      </x:c>
      <x:c r="M572" s="12" t="str">
        <x:v>TuShare index_daily</x:v>
      </x:c>
    </x:row>
    <x:row r="573" ht="18" customHeight="1">
      <x:c r="A573" s="13" t="n">
        <x:v>43432</x:v>
      </x:c>
      <x:c r="B573" s="12" t="str">
        <x:v>000300.SH</x:v>
      </x:c>
      <x:c r="C573" s="12" t="n">
        <x:v>3137.7477</x:v>
      </x:c>
      <x:c r="D573" s="12" t="n">
        <x:v>3179.4108</x:v>
      </x:c>
      <x:c r="E573" s="12" t="n">
        <x:v>3126.6179</x:v>
      </x:c>
      <x:c r="F573" s="12" t="n">
        <x:v>3178.9326</x:v>
      </x:c>
      <x:c r="G573" s="12" t="n">
        <x:v>3137.2413</x:v>
      </x:c>
      <x:c r="H573" s="12" t="n">
        <x:v>41.6913</x:v>
      </x:c>
      <x:c r="I573" s="12" t="n">
        <x:v>1.3289</x:v>
      </x:c>
      <x:c r="J573" s="12" t="n">
        <x:v>0.013201633193070952</x:v>
      </x:c>
      <x:c r="K573" s="12" t="n">
        <x:v>74881955</x:v>
      </x:c>
      <x:c r="L573" s="12" t="n">
        <x:v>77620553.113</x:v>
      </x:c>
      <x:c r="M573" s="12" t="str">
        <x:v>TuShare index_daily</x:v>
      </x:c>
    </x:row>
    <x:row r="574" ht="18" customHeight="1">
      <x:c r="A574" s="13" t="n">
        <x:v>43433</x:v>
      </x:c>
      <x:c r="B574" s="12" t="str">
        <x:v>000300.SH</x:v>
      </x:c>
      <x:c r="C574" s="12" t="n">
        <x:v>3198.8259</x:v>
      </x:c>
      <x:c r="D574" s="12" t="n">
        <x:v>3204.8565</x:v>
      </x:c>
      <x:c r="E574" s="12" t="n">
        <x:v>3137.6542</x:v>
      </x:c>
      <x:c r="F574" s="12" t="n">
        <x:v>3137.6542</x:v>
      </x:c>
      <x:c r="G574" s="12" t="n">
        <x:v>3178.9326</x:v>
      </x:c>
      <x:c r="H574" s="12" t="n">
        <x:v>-41.2784</x:v>
      </x:c>
      <x:c r="I574" s="12" t="n">
        <x:v>-1.2985</x:v>
      </x:c>
      <x:c r="J574" s="12" t="n">
        <x:v>-0.013070029407606876</x:v>
      </x:c>
      <x:c r="K574" s="12" t="n">
        <x:v>80498466</x:v>
      </x:c>
      <x:c r="L574" s="12" t="n">
        <x:v>86927611.883</x:v>
      </x:c>
      <x:c r="M574" s="12" t="str">
        <x:v>TuShare index_daily</x:v>
      </x:c>
    </x:row>
    <x:row r="575" ht="18" customHeight="1">
      <x:c r="A575" s="13" t="n">
        <x:v>43434</x:v>
      </x:c>
      <x:c r="B575" s="12" t="str">
        <x:v>000300.SH</x:v>
      </x:c>
      <x:c r="C575" s="12" t="n">
        <x:v>3136.1962</x:v>
      </x:c>
      <x:c r="D575" s="12" t="n">
        <x:v>3175.154</x:v>
      </x:c>
      <x:c r="E575" s="12" t="n">
        <x:v>3132.423</x:v>
      </x:c>
      <x:c r="F575" s="12" t="n">
        <x:v>3172.69</x:v>
      </x:c>
      <x:c r="G575" s="12" t="n">
        <x:v>3137.6542</x:v>
      </x:c>
      <x:c r="H575" s="12" t="n">
        <x:v>35.0358</x:v>
      </x:c>
      <x:c r="I575" s="12" t="n">
        <x:v>1.1166</x:v>
      </x:c>
      <x:c r="J575" s="12" t="n">
        <x:v>0.01110435782943523</x:v>
      </x:c>
      <x:c r="K575" s="12" t="n">
        <x:v>70921044</x:v>
      </x:c>
      <x:c r="L575" s="12" t="n">
        <x:v>77297697.684</x:v>
      </x:c>
      <x:c r="M575" s="12" t="str">
        <x:v>TuShare index_daily</x:v>
      </x:c>
    </x:row>
    <x:row r="576" ht="18" customHeight="1">
      <x:c r="A576" s="13" t="n">
        <x:v>43437</x:v>
      </x:c>
      <x:c r="B576" s="12" t="str">
        <x:v>000300.SH</x:v>
      </x:c>
      <x:c r="C576" s="12" t="n">
        <x:v>3260.6862</x:v>
      </x:c>
      <x:c r="D576" s="12" t="n">
        <x:v>3273.6397</x:v>
      </x:c>
      <x:c r="E576" s="12" t="n">
        <x:v>3228.3611</x:v>
      </x:c>
      <x:c r="F576" s="12" t="n">
        <x:v>3260.9502</x:v>
      </x:c>
      <x:c r="G576" s="12" t="n">
        <x:v>3172.69</x:v>
      </x:c>
      <x:c r="H576" s="12" t="n">
        <x:v>88.2602</x:v>
      </x:c>
      <x:c r="I576" s="12" t="n">
        <x:v>2.7819</x:v>
      </x:c>
      <x:c r="J576" s="12" t="n">
        <x:v>0.027438816811427395</x:v>
      </x:c>
      <x:c r="K576" s="12" t="n">
        <x:v>121487157</x:v>
      </x:c>
      <x:c r="L576" s="12" t="n">
        <x:v>145828416.49</x:v>
      </x:c>
      <x:c r="M576" s="12" t="str">
        <x:v>TuShare index_daily</x:v>
      </x:c>
    </x:row>
    <x:row r="577" ht="18" customHeight="1">
      <x:c r="A577" s="13" t="n">
        <x:v>43438</x:v>
      </x:c>
      <x:c r="B577" s="12" t="str">
        <x:v>000300.SH</x:v>
      </x:c>
      <x:c r="C577" s="12" t="n">
        <x:v>3256.2282</x:v>
      </x:c>
      <x:c r="D577" s="12" t="n">
        <x:v>3267.94</x:v>
      </x:c>
      <x:c r="E577" s="12" t="n">
        <x:v>3243.6951</x:v>
      </x:c>
      <x:c r="F577" s="12" t="n">
        <x:v>3267.7095</x:v>
      </x:c>
      <x:c r="G577" s="12" t="n">
        <x:v>3260.9502</x:v>
      </x:c>
      <x:c r="H577" s="12" t="n">
        <x:v>6.7593</x:v>
      </x:c>
      <x:c r="I577" s="12" t="n">
        <x:v>0.2073</x:v>
      </x:c>
      <x:c r="J577" s="12" t="n">
        <x:v>0.002070655456312225</x:v>
      </x:c>
      <x:c r="K577" s="12" t="n">
        <x:v>79415039</x:v>
      </x:c>
      <x:c r="L577" s="12" t="n">
        <x:v>90543600.274</x:v>
      </x:c>
      <x:c r="M577" s="12" t="str">
        <x:v>TuShare index_daily</x:v>
      </x:c>
    </x:row>
    <x:row r="578" ht="18" customHeight="1">
      <x:c r="A578" s="13" t="n">
        <x:v>43439</x:v>
      </x:c>
      <x:c r="B578" s="12" t="str">
        <x:v>000300.SH</x:v>
      </x:c>
      <x:c r="C578" s="12" t="n">
        <x:v>3224.2556</x:v>
      </x:c>
      <x:c r="D578" s="12" t="n">
        <x:v>3266.9039</x:v>
      </x:c>
      <x:c r="E578" s="12" t="n">
        <x:v>3219.9785</x:v>
      </x:c>
      <x:c r="F578" s="12" t="n">
        <x:v>3252.0041</x:v>
      </x:c>
      <x:c r="G578" s="12" t="n">
        <x:v>3267.7095</x:v>
      </x:c>
      <x:c r="H578" s="12" t="n">
        <x:v>-15.7054</x:v>
      </x:c>
      <x:c r="I578" s="12" t="n">
        <x:v>-0.4806</x:v>
      </x:c>
      <x:c r="J578" s="12" t="n">
        <x:v>-0.00481782831036399</x:v>
      </x:c>
      <x:c r="K578" s="12" t="n">
        <x:v>76153052</x:v>
      </x:c>
      <x:c r="L578" s="12" t="n">
        <x:v>90909093.83</x:v>
      </x:c>
      <x:c r="M578" s="12" t="str">
        <x:v>TuShare index_daily</x:v>
      </x:c>
    </x:row>
    <x:row r="579" ht="18" customHeight="1">
      <x:c r="A579" s="13" t="n">
        <x:v>43440</x:v>
      </x:c>
      <x:c r="B579" s="12" t="str">
        <x:v>000300.SH</x:v>
      </x:c>
      <x:c r="C579" s="12" t="n">
        <x:v>3218.113</x:v>
      </x:c>
      <x:c r="D579" s="12" t="n">
        <x:v>3223.5219</x:v>
      </x:c>
      <x:c r="E579" s="12" t="n">
        <x:v>3179.8948</x:v>
      </x:c>
      <x:c r="F579" s="12" t="n">
        <x:v>3181.673</x:v>
      </x:c>
      <x:c r="G579" s="12" t="n">
        <x:v>3252.0041</x:v>
      </x:c>
      <x:c r="H579" s="12" t="n">
        <x:v>-70.3311</x:v>
      </x:c>
      <x:c r="I579" s="12" t="n">
        <x:v>-2.1627</x:v>
      </x:c>
      <x:c r="J579" s="12" t="n">
        <x:v>-0.02186429336877751</x:v>
      </x:c>
      <x:c r="K579" s="12" t="n">
        <x:v>76328771</x:v>
      </x:c>
      <x:c r="L579" s="12" t="n">
        <x:v>95678883.444</x:v>
      </x:c>
      <x:c r="M579" s="12" t="str">
        <x:v>TuShare index_daily</x:v>
      </x:c>
    </x:row>
    <x:row r="580" ht="18" customHeight="1">
      <x:c r="A580" s="13" t="n">
        <x:v>43441</x:v>
      </x:c>
      <x:c r="B580" s="12" t="str">
        <x:v>000300.SH</x:v>
      </x:c>
      <x:c r="C580" s="12" t="n">
        <x:v>3187.4919</x:v>
      </x:c>
      <x:c r="D580" s="12" t="n">
        <x:v>3193.8191</x:v>
      </x:c>
      <x:c r="E580" s="12" t="n">
        <x:v>3176.7061</x:v>
      </x:c>
      <x:c r="F580" s="12" t="n">
        <x:v>3181.5646</x:v>
      </x:c>
      <x:c r="G580" s="12" t="n">
        <x:v>3181.673</x:v>
      </x:c>
      <x:c r="H580" s="12" t="n">
        <x:v>-0.1084</x:v>
      </x:c>
      <x:c r="I580" s="12" t="n">
        <x:v>-0.0034</x:v>
      </x:c>
      <x:c r="J580" s="12" t="n">
        <x:v>-0.00003407070639957803</x:v>
      </x:c>
      <x:c r="K580" s="12" t="n">
        <x:v>53361924</x:v>
      </x:c>
      <x:c r="L580" s="12" t="n">
        <x:v>66323970.657</x:v>
      </x:c>
      <x:c r="M580" s="12" t="str">
        <x:v>TuShare index_daily</x:v>
      </x:c>
    </x:row>
    <x:row r="581" ht="18" customHeight="1">
      <x:c r="A581" s="13" t="n">
        <x:v>43444</x:v>
      </x:c>
      <x:c r="B581" s="12" t="str">
        <x:v>000300.SH</x:v>
      </x:c>
      <x:c r="C581" s="12" t="n">
        <x:v>3153.5228</x:v>
      </x:c>
      <x:c r="D581" s="12" t="n">
        <x:v>3170.1523</x:v>
      </x:c>
      <x:c r="E581" s="12" t="n">
        <x:v>3134.3845</x:v>
      </x:c>
      <x:c r="F581" s="12" t="n">
        <x:v>3144.7631</x:v>
      </x:c>
      <x:c r="G581" s="12" t="n">
        <x:v>3181.5646</x:v>
      </x:c>
      <x:c r="H581" s="12" t="n">
        <x:v>-36.8015</x:v>
      </x:c>
      <x:c r="I581" s="12" t="n">
        <x:v>-1.1567</x:v>
      </x:c>
      <x:c r="J581" s="12" t="n">
        <x:v>-0.011634526971084672</x:v>
      </x:c>
      <x:c r="K581" s="12" t="n">
        <x:v>63437273</x:v>
      </x:c>
      <x:c r="L581" s="12" t="n">
        <x:v>73717204.733</x:v>
      </x:c>
      <x:c r="M581" s="12" t="str">
        <x:v>TuShare index_daily</x:v>
      </x:c>
    </x:row>
    <x:row r="582" ht="18" customHeight="1">
      <x:c r="A582" s="13" t="n">
        <x:v>43445</x:v>
      </x:c>
      <x:c r="B582" s="12" t="str">
        <x:v>000300.SH</x:v>
      </x:c>
      <x:c r="C582" s="12" t="n">
        <x:v>3148.2256</x:v>
      </x:c>
      <x:c r="D582" s="12" t="n">
        <x:v>3161.9557</x:v>
      </x:c>
      <x:c r="E582" s="12" t="n">
        <x:v>3143.6072</x:v>
      </x:c>
      <x:c r="F582" s="12" t="n">
        <x:v>3159.8158</x:v>
      </x:c>
      <x:c r="G582" s="12" t="n">
        <x:v>3144.7631</x:v>
      </x:c>
      <x:c r="H582" s="12" t="n">
        <x:v>15.0527</x:v>
      </x:c>
      <x:c r="I582" s="12" t="n">
        <x:v>0.4787</x:v>
      </x:c>
      <x:c r="J582" s="12" t="n">
        <x:v>0.004775173359470306</x:v>
      </x:c>
      <x:c r="K582" s="12" t="n">
        <x:v>53223877</x:v>
      </x:c>
      <x:c r="L582" s="12" t="n">
        <x:v>60014969.779</x:v>
      </x:c>
      <x:c r="M582" s="12" t="str">
        <x:v>TuShare index_daily</x:v>
      </x:c>
    </x:row>
    <x:row r="583" ht="18" customHeight="1">
      <x:c r="A583" s="13" t="n">
        <x:v>43446</x:v>
      </x:c>
      <x:c r="B583" s="12" t="str">
        <x:v>000300.SH</x:v>
      </x:c>
      <x:c r="C583" s="12" t="n">
        <x:v>3181.566</x:v>
      </x:c>
      <x:c r="D583" s="12" t="n">
        <x:v>3182.2107</x:v>
      </x:c>
      <x:c r="E583" s="12" t="n">
        <x:v>3160.2784</x:v>
      </x:c>
      <x:c r="F583" s="12" t="n">
        <x:v>3170.6092</x:v>
      </x:c>
      <x:c r="G583" s="12" t="n">
        <x:v>3159.8158</x:v>
      </x:c>
      <x:c r="H583" s="12" t="n">
        <x:v>10.7934</x:v>
      </x:c>
      <x:c r="I583" s="12" t="n">
        <x:v>0.3416</x:v>
      </x:c>
      <x:c r="J583" s="12" t="n">
        <x:v>0.003410011321186899</x:v>
      </x:c>
      <x:c r="K583" s="12" t="n">
        <x:v>53309914</x:v>
      </x:c>
      <x:c r="L583" s="12" t="n">
        <x:v>60536223.474</x:v>
      </x:c>
      <x:c r="M583" s="12" t="str">
        <x:v>TuShare index_daily</x:v>
      </x:c>
    </x:row>
    <x:row r="584" ht="18" customHeight="1">
      <x:c r="A584" s="13" t="n">
        <x:v>43447</x:v>
      </x:c>
      <x:c r="B584" s="12" t="str">
        <x:v>000300.SH</x:v>
      </x:c>
      <x:c r="C584" s="12" t="n">
        <x:v>3178.891</x:v>
      </x:c>
      <x:c r="D584" s="12" t="n">
        <x:v>3234.0817</x:v>
      </x:c>
      <x:c r="E584" s="12" t="n">
        <x:v>3169.4234</x:v>
      </x:c>
      <x:c r="F584" s="12" t="n">
        <x:v>3219.6924</x:v>
      </x:c>
      <x:c r="G584" s="12" t="n">
        <x:v>3170.6092</x:v>
      </x:c>
      <x:c r="H584" s="12" t="n">
        <x:v>49.0832</x:v>
      </x:c>
      <x:c r="I584" s="12" t="n">
        <x:v>1.5481</x:v>
      </x:c>
      <x:c r="J584" s="12" t="n">
        <x:v>0.015362080961148552</x:v>
      </x:c>
      <x:c r="K584" s="12" t="n">
        <x:v>90442755</x:v>
      </x:c>
      <x:c r="L584" s="12" t="n">
        <x:v>103375478.637</x:v>
      </x:c>
      <x:c r="M584" s="12" t="str">
        <x:v>TuShare index_daily</x:v>
      </x:c>
    </x:row>
    <x:row r="585" ht="18" customHeight="1">
      <x:c r="A585" s="13" t="n">
        <x:v>43448</x:v>
      </x:c>
      <x:c r="B585" s="12" t="str">
        <x:v>000300.SH</x:v>
      </x:c>
      <x:c r="C585" s="12" t="n">
        <x:v>3207.3481</x:v>
      </x:c>
      <x:c r="D585" s="12" t="n">
        <x:v>3210.7221</x:v>
      </x:c>
      <x:c r="E585" s="12" t="n">
        <x:v>3165.9109</x:v>
      </x:c>
      <x:c r="F585" s="12" t="n">
        <x:v>3165.9109</x:v>
      </x:c>
      <x:c r="G585" s="12" t="n">
        <x:v>3219.6924</x:v>
      </x:c>
      <x:c r="H585" s="12" t="n">
        <x:v>-53.7815</x:v>
      </x:c>
      <x:c r="I585" s="12" t="n">
        <x:v>-1.6704</x:v>
      </x:c>
      <x:c r="J585" s="12" t="n">
        <x:v>-0.01684500874701418</x:v>
      </x:c>
      <x:c r="K585" s="12" t="n">
        <x:v>84301250</x:v>
      </x:c>
      <x:c r="L585" s="12" t="n">
        <x:v>91576900.505</x:v>
      </x:c>
      <x:c r="M585" s="12" t="str">
        <x:v>TuShare index_daily</x:v>
      </x:c>
    </x:row>
    <x:row r="586" ht="18" customHeight="1">
      <x:c r="A586" s="13" t="n">
        <x:v>43451</x:v>
      </x:c>
      <x:c r="B586" s="12" t="str">
        <x:v>000300.SH</x:v>
      </x:c>
      <x:c r="C586" s="12" t="n">
        <x:v>3158.2844</x:v>
      </x:c>
      <x:c r="D586" s="12" t="n">
        <x:v>3167.5125</x:v>
      </x:c>
      <x:c r="E586" s="12" t="n">
        <x:v>3134.3653</x:v>
      </x:c>
      <x:c r="F586" s="12" t="n">
        <x:v>3161.1966</x:v>
      </x:c>
      <x:c r="G586" s="12" t="n">
        <x:v>3165.9109</x:v>
      </x:c>
      <x:c r="H586" s="12" t="n">
        <x:v>-4.7143</x:v>
      </x:c>
      <x:c r="I586" s="12" t="n">
        <x:v>-0.1489</x:v>
      </x:c>
      <x:c r="J586" s="12" t="n">
        <x:v>-0.0014901914887359281</x:v>
      </x:c>
      <x:c r="K586" s="12" t="n">
        <x:v>66497007</x:v>
      </x:c>
      <x:c r="L586" s="12" t="n">
        <x:v>77151490.858</x:v>
      </x:c>
      <x:c r="M586" s="12" t="str">
        <x:v>TuShare index_daily</x:v>
      </x:c>
    </x:row>
    <x:row r="587" ht="18" customHeight="1">
      <x:c r="A587" s="13" t="n">
        <x:v>43452</x:v>
      </x:c>
      <x:c r="B587" s="12" t="str">
        <x:v>000300.SH</x:v>
      </x:c>
      <x:c r="C587" s="12" t="n">
        <x:v>3139.9493</x:v>
      </x:c>
      <x:c r="D587" s="12" t="n">
        <x:v>3165.0018</x:v>
      </x:c>
      <x:c r="E587" s="12" t="n">
        <x:v>3114.4684</x:v>
      </x:c>
      <x:c r="F587" s="12" t="n">
        <x:v>3128.4265</x:v>
      </x:c>
      <x:c r="G587" s="12" t="n">
        <x:v>3161.1966</x:v>
      </x:c>
      <x:c r="H587" s="12" t="n">
        <x:v>-32.7701</x:v>
      </x:c>
      <x:c r="I587" s="12" t="n">
        <x:v>-1.0366</x:v>
      </x:c>
      <x:c r="J587" s="12" t="n">
        <x:v>-0.010420464313941379</x:v>
      </x:c>
      <x:c r="K587" s="12" t="n">
        <x:v>63820319</x:v>
      </x:c>
      <x:c r="L587" s="12" t="n">
        <x:v>72035451.4</x:v>
      </x:c>
      <x:c r="M587" s="12" t="str">
        <x:v>TuShare index_daily</x:v>
      </x:c>
    </x:row>
    <x:row r="588" ht="18" customHeight="1">
      <x:c r="A588" s="13" t="n">
        <x:v>43453</x:v>
      </x:c>
      <x:c r="B588" s="12" t="str">
        <x:v>000300.SH</x:v>
      </x:c>
      <x:c r="C588" s="12" t="n">
        <x:v>3133.7416</x:v>
      </x:c>
      <x:c r="D588" s="12" t="n">
        <x:v>3137.0099</x:v>
      </x:c>
      <x:c r="E588" s="12" t="n">
        <x:v>3086.7579</x:v>
      </x:c>
      <x:c r="F588" s="12" t="n">
        <x:v>3091.1255</x:v>
      </x:c>
      <x:c r="G588" s="12" t="n">
        <x:v>3128.4265</x:v>
      </x:c>
      <x:c r="H588" s="12" t="n">
        <x:v>-37.301</x:v>
      </x:c>
      <x:c r="I588" s="12" t="n">
        <x:v>-1.1923</x:v>
      </x:c>
      <x:c r="J588" s="12" t="n">
        <x:v>-0.011994898420471533</x:v>
      </x:c>
      <x:c r="K588" s="12" t="n">
        <x:v>55522299</x:v>
      </x:c>
      <x:c r="L588" s="12" t="n">
        <x:v>67872922.423</x:v>
      </x:c>
      <x:c r="M588" s="12" t="str">
        <x:v>TuShare index_daily</x:v>
      </x:c>
    </x:row>
    <x:row r="589" ht="18" customHeight="1">
      <x:c r="A589" s="13" t="n">
        <x:v>43454</x:v>
      </x:c>
      <x:c r="B589" s="12" t="str">
        <x:v>000300.SH</x:v>
      </x:c>
      <x:c r="C589" s="12" t="n">
        <x:v>3083.5441</x:v>
      </x:c>
      <x:c r="D589" s="12" t="n">
        <x:v>3097.7202</x:v>
      </x:c>
      <x:c r="E589" s="12" t="n">
        <x:v>3044.2929</x:v>
      </x:c>
      <x:c r="F589" s="12" t="n">
        <x:v>3067.4169</x:v>
      </x:c>
      <x:c r="G589" s="12" t="n">
        <x:v>3091.1255</x:v>
      </x:c>
      <x:c r="H589" s="12" t="n">
        <x:v>-23.7086</x:v>
      </x:c>
      <x:c r="I589" s="12" t="n">
        <x:v>-0.767</x:v>
      </x:c>
      <x:c r="J589" s="12" t="n">
        <x:v>-0.007699457301329583</x:v>
      </x:c>
      <x:c r="K589" s="12" t="n">
        <x:v>69749463</x:v>
      </x:c>
      <x:c r="L589" s="12" t="n">
        <x:v>78181426.504</x:v>
      </x:c>
      <x:c r="M589" s="12" t="str">
        <x:v>TuShare index_daily</x:v>
      </x:c>
    </x:row>
    <x:row r="590" ht="18" customHeight="1">
      <x:c r="A590" s="13" t="n">
        <x:v>43455</x:v>
      </x:c>
      <x:c r="B590" s="12" t="str">
        <x:v>000300.SH</x:v>
      </x:c>
      <x:c r="C590" s="12" t="n">
        <x:v>3055.3258</x:v>
      </x:c>
      <x:c r="D590" s="12" t="n">
        <x:v>3057.4007</x:v>
      </x:c>
      <x:c r="E590" s="12" t="n">
        <x:v>3007.6096</x:v>
      </x:c>
      <x:c r="F590" s="12" t="n">
        <x:v>3029.3951</x:v>
      </x:c>
      <x:c r="G590" s="12" t="n">
        <x:v>3067.4169</x:v>
      </x:c>
      <x:c r="H590" s="12" t="n">
        <x:v>-38.0218</x:v>
      </x:c>
      <x:c r="I590" s="12" t="n">
        <x:v>-1.2395</x:v>
      </x:c>
      <x:c r="J590" s="12" t="n">
        <x:v>-0.01247284414395827</x:v>
      </x:c>
      <x:c r="K590" s="12" t="n">
        <x:v>76758101</x:v>
      </x:c>
      <x:c r="L590" s="12" t="n">
        <x:v>84824064.753</x:v>
      </x:c>
      <x:c r="M590" s="12" t="str">
        <x:v>TuShare index_daily</x:v>
      </x:c>
    </x:row>
    <x:row r="591" ht="18" customHeight="1">
      <x:c r="A591" s="13" t="n">
        <x:v>43458</x:v>
      </x:c>
      <x:c r="B591" s="12" t="str">
        <x:v>000300.SH</x:v>
      </x:c>
      <x:c r="C591" s="12" t="n">
        <x:v>3015.4974</x:v>
      </x:c>
      <x:c r="D591" s="12" t="n">
        <x:v>3040.3524</x:v>
      </x:c>
      <x:c r="E591" s="12" t="n">
        <x:v>3007.3292</x:v>
      </x:c>
      <x:c r="F591" s="12" t="n">
        <x:v>3038.1981</x:v>
      </x:c>
      <x:c r="G591" s="12" t="n">
        <x:v>3029.3951</x:v>
      </x:c>
      <x:c r="H591" s="12" t="n">
        <x:v>8.803</x:v>
      </x:c>
      <x:c r="I591" s="12" t="n">
        <x:v>0.2906</x:v>
      </x:c>
      <x:c r="J591" s="12" t="n">
        <x:v>0.0029016467934745113</x:v>
      </x:c>
      <x:c r="K591" s="12" t="n">
        <x:v>57299615</x:v>
      </x:c>
      <x:c r="L591" s="12" t="n">
        <x:v>63880740.605</x:v>
      </x:c>
      <x:c r="M591" s="12" t="str">
        <x:v>TuShare index_daily</x:v>
      </x:c>
    </x:row>
    <x:row r="592" ht="18" customHeight="1">
      <x:c r="A592" s="13" t="n">
        <x:v>43459</x:v>
      </x:c>
      <x:c r="B592" s="12" t="str">
        <x:v>000300.SH</x:v>
      </x:c>
      <x:c r="C592" s="12" t="n">
        <x:v>3006.8787</x:v>
      </x:c>
      <x:c r="D592" s="12" t="n">
        <x:v>3030.1418</x:v>
      </x:c>
      <x:c r="E592" s="12" t="n">
        <x:v>2964.875</x:v>
      </x:c>
      <x:c r="F592" s="12" t="n">
        <x:v>3017.2815</x:v>
      </x:c>
      <x:c r="G592" s="12" t="n">
        <x:v>3038.1981</x:v>
      </x:c>
      <x:c r="H592" s="12" t="n">
        <x:v>-20.9166</x:v>
      </x:c>
      <x:c r="I592" s="12" t="n">
        <x:v>-0.6885</x:v>
      </x:c>
      <x:c r="J592" s="12" t="n">
        <x:v>-0.006908348989399066</x:v>
      </x:c>
      <x:c r="K592" s="12" t="n">
        <x:v>78689425</x:v>
      </x:c>
      <x:c r="L592" s="12" t="n">
        <x:v>80413567.307</x:v>
      </x:c>
      <x:c r="M592" s="12" t="str">
        <x:v>TuShare index_daily</x:v>
      </x:c>
    </x:row>
    <x:row r="593" ht="18" customHeight="1">
      <x:c r="A593" s="13" t="n">
        <x:v>43460</x:v>
      </x:c>
      <x:c r="B593" s="12" t="str">
        <x:v>000300.SH</x:v>
      </x:c>
      <x:c r="C593" s="12" t="n">
        <x:v>3012.869</x:v>
      </x:c>
      <x:c r="D593" s="12" t="n">
        <x:v>3029.0608</x:v>
      </x:c>
      <x:c r="E593" s="12" t="n">
        <x:v>2996.4829</x:v>
      </x:c>
      <x:c r="F593" s="12" t="n">
        <x:v>3002.0327</x:v>
      </x:c>
      <x:c r="G593" s="12" t="n">
        <x:v>3017.2815</x:v>
      </x:c>
      <x:c r="H593" s="12" t="n">
        <x:v>-15.2488</x:v>
      </x:c>
      <x:c r="I593" s="12" t="n">
        <x:v>-0.5054</x:v>
      </x:c>
      <x:c r="J593" s="12" t="n">
        <x:v>-0.005066634541426275</x:v>
      </x:c>
      <x:c r="K593" s="12" t="n">
        <x:v>55647032</x:v>
      </x:c>
      <x:c r="L593" s="12" t="n">
        <x:v>58574968.998</x:v>
      </x:c>
      <x:c r="M593" s="12" t="str">
        <x:v>TuShare index_daily</x:v>
      </x:c>
    </x:row>
    <x:row r="594" ht="18" customHeight="1">
      <x:c r="A594" s="13" t="n">
        <x:v>43461</x:v>
      </x:c>
      <x:c r="B594" s="12" t="str">
        <x:v>000300.SH</x:v>
      </x:c>
      <x:c r="C594" s="12" t="n">
        <x:v>3042.9491</x:v>
      </x:c>
      <x:c r="D594" s="12" t="n">
        <x:v>3047.2348</x:v>
      </x:c>
      <x:c r="E594" s="12" t="n">
        <x:v>2990.5057</x:v>
      </x:c>
      <x:c r="F594" s="12" t="n">
        <x:v>2990.5057</x:v>
      </x:c>
      <x:c r="G594" s="12" t="n">
        <x:v>3002.0327</x:v>
      </x:c>
      <x:c r="H594" s="12" t="n">
        <x:v>-11.527</x:v>
      </x:c>
      <x:c r="I594" s="12" t="n">
        <x:v>-0.384</x:v>
      </x:c>
      <x:c r="J594" s="12" t="n">
        <x:v>-0.0038471223536812207</x:v>
      </x:c>
      <x:c r="K594" s="12" t="n">
        <x:v>80541785</x:v>
      </x:c>
      <x:c r="L594" s="12" t="n">
        <x:v>81159269.974</x:v>
      </x:c>
      <x:c r="M594" s="12" t="str">
        <x:v>TuShare index_daily</x:v>
      </x:c>
    </x:row>
    <x:row r="595" ht="18" customHeight="1">
      <x:c r="A595" s="13" t="n">
        <x:v>43462</x:v>
      </x:c>
      <x:c r="B595" s="12" t="str">
        <x:v>000300.SH</x:v>
      </x:c>
      <x:c r="C595" s="12" t="n">
        <x:v>2994.795</x:v>
      </x:c>
      <x:c r="D595" s="12" t="n">
        <x:v>3024.3525</x:v>
      </x:c>
      <x:c r="E595" s="12" t="n">
        <x:v>2984.8177</x:v>
      </x:c>
      <x:c r="F595" s="12" t="n">
        <x:v>3010.6536</x:v>
      </x:c>
      <x:c r="G595" s="12" t="n">
        <x:v>2990.5057</x:v>
      </x:c>
      <x:c r="H595" s="12" t="n">
        <x:v>20.1479</x:v>
      </x:c>
      <x:c r="I595" s="12" t="n">
        <x:v>0.6737</x:v>
      </x:c>
      <x:c r="J595" s="12" t="n">
        <x:v>0.006714694509391029</x:v>
      </x:c>
      <x:c r="K595" s="12" t="n">
        <x:v>71053779</x:v>
      </x:c>
      <x:c r="L595" s="12" t="n">
        <x:v>78145310.042</x:v>
      </x:c>
      <x:c r="M595" s="12" t="str">
        <x:v>TuShare index_daily</x:v>
      </x:c>
    </x:row>
    <x:row r="596" ht="18" customHeight="1">
      <x:c r="A596" s="13" t="n">
        <x:v>43467</x:v>
      </x:c>
      <x:c r="B596" s="12" t="str">
        <x:v>000300.SH</x:v>
      </x:c>
      <x:c r="C596" s="12" t="n">
        <x:v>3017.0674</x:v>
      </x:c>
      <x:c r="D596" s="12" t="n">
        <x:v>3018.7759</x:v>
      </x:c>
      <x:c r="E596" s="12" t="n">
        <x:v>2958.4883</x:v>
      </x:c>
      <x:c r="F596" s="12" t="n">
        <x:v>2969.5353</x:v>
      </x:c>
      <x:c r="G596" s="12" t="n">
        <x:v>3010.6536</x:v>
      </x:c>
      <x:c r="H596" s="12" t="n">
        <x:v>-41.1183</x:v>
      </x:c>
      <x:c r="I596" s="12" t="n">
        <x:v>-1.3658</x:v>
      </x:c>
      <x:c r="J596" s="12" t="n">
        <x:v>-0.01375172211955543</x:v>
      </x:c>
      <x:c r="K596" s="12" t="n">
        <x:v>68663021</x:v>
      </x:c>
      <x:c r="L596" s="12" t="n">
        <x:v>76105571.278</x:v>
      </x:c>
      <x:c r="M596" s="12" t="str">
        <x:v>TuShare index_daily</x:v>
      </x:c>
    </x:row>
    <x:row r="597" ht="18" customHeight="1">
      <x:c r="A597" s="13" t="n">
        <x:v>43468</x:v>
      </x:c>
      <x:c r="B597" s="12" t="str">
        <x:v>000300.SH</x:v>
      </x:c>
      <x:c r="C597" s="12" t="n">
        <x:v>2963.0186</x:v>
      </x:c>
      <x:c r="D597" s="12" t="n">
        <x:v>3000.4413</x:v>
      </x:c>
      <x:c r="E597" s="12" t="n">
        <x:v>2953.2548</x:v>
      </x:c>
      <x:c r="F597" s="12" t="n">
        <x:v>2964.8421</x:v>
      </x:c>
      <x:c r="G597" s="12" t="n">
        <x:v>2969.5353</x:v>
      </x:c>
      <x:c r="H597" s="12" t="n">
        <x:v>-4.6932</x:v>
      </x:c>
      <x:c r="I597" s="12" t="n">
        <x:v>-0.158</x:v>
      </x:c>
      <x:c r="J597" s="12" t="n">
        <x:v>-0.0015816995321003935</x:v>
      </x:c>
      <x:c r="K597" s="12" t="n">
        <x:v>70867103</x:v>
      </x:c>
      <x:c r="L597" s="12" t="n">
        <x:v>76664797.393</x:v>
      </x:c>
      <x:c r="M597" s="12" t="str">
        <x:v>TuShare index_daily</x:v>
      </x:c>
    </x:row>
    <x:row r="598" ht="18" customHeight="1">
      <x:c r="A598" s="13" t="n">
        <x:v>43469</x:v>
      </x:c>
      <x:c r="B598" s="12" t="str">
        <x:v>000300.SH</x:v>
      </x:c>
      <x:c r="C598" s="12" t="n">
        <x:v>2940.1916</x:v>
      </x:c>
      <x:c r="D598" s="12" t="n">
        <x:v>3036.8147</x:v>
      </x:c>
      <x:c r="E598" s="12" t="n">
        <x:v>2935.8295</x:v>
      </x:c>
      <x:c r="F598" s="12" t="n">
        <x:v>3035.8741</x:v>
      </x:c>
      <x:c r="G598" s="12" t="n">
        <x:v>2964.8421</x:v>
      </x:c>
      <x:c r="H598" s="12" t="n">
        <x:v>71.032</x:v>
      </x:c>
      <x:c r="I598" s="12" t="n">
        <x:v>2.3958</x:v>
      </x:c>
      <x:c r="J598" s="12" t="n">
        <x:v>0.023675613241137573</x:v>
      </x:c>
      <x:c r="K598" s="12" t="n">
        <x:v>103318972</x:v>
      </x:c>
      <x:c r="L598" s="12" t="n">
        <x:v>107141037.088</x:v>
      </x:c>
      <x:c r="M598" s="12" t="str">
        <x:v>TuShare index_daily</x:v>
      </x:c>
    </x:row>
    <x:row r="599" ht="18" customHeight="1">
      <x:c r="A599" s="13" t="n">
        <x:v>43472</x:v>
      </x:c>
      <x:c r="B599" s="12" t="str">
        <x:v>000300.SH</x:v>
      </x:c>
      <x:c r="C599" s="12" t="n">
        <x:v>3055.1535</x:v>
      </x:c>
      <x:c r="D599" s="12" t="n">
        <x:v>3061.749</x:v>
      </x:c>
      <x:c r="E599" s="12" t="n">
        <x:v>3035.9123</x:v>
      </x:c>
      <x:c r="F599" s="12" t="n">
        <x:v>3054.303</x:v>
      </x:c>
      <x:c r="G599" s="12" t="n">
        <x:v>3035.8741</x:v>
      </x:c>
      <x:c r="H599" s="12" t="n">
        <x:v>18.4289</x:v>
      </x:c>
      <x:c r="I599" s="12" t="n">
        <x:v>0.607</x:v>
      </x:c>
      <x:c r="J599" s="12" t="n">
        <x:v>0.00605202638511489</x:v>
      </x:c>
      <x:c r="K599" s="12" t="n">
        <x:v>101164359</x:v>
      </x:c>
      <x:c r="L599" s="12" t="n">
        <x:v>105703940.791</x:v>
      </x:c>
      <x:c r="M599" s="12" t="str">
        <x:v>TuShare index_daily</x:v>
      </x:c>
    </x:row>
    <x:row r="600" ht="18" customHeight="1">
      <x:c r="A600" s="13" t="n">
        <x:v>43473</x:v>
      </x:c>
      <x:c r="B600" s="12" t="str">
        <x:v>000300.SH</x:v>
      </x:c>
      <x:c r="C600" s="12" t="n">
        <x:v>3049.8747</x:v>
      </x:c>
      <x:c r="D600" s="12" t="n">
        <x:v>3055.51</x:v>
      </x:c>
      <x:c r="E600" s="12" t="n">
        <x:v>3038.5339</x:v>
      </x:c>
      <x:c r="F600" s="12" t="n">
        <x:v>3047.7035</x:v>
      </x:c>
      <x:c r="G600" s="12" t="n">
        <x:v>3054.303</x:v>
      </x:c>
      <x:c r="H600" s="12" t="n">
        <x:v>-6.5995</x:v>
      </x:c>
      <x:c r="I600" s="12" t="n">
        <x:v>-0.2161</x:v>
      </x:c>
      <x:c r="J600" s="12" t="n">
        <x:v>-0.0021630598306179886</x:v>
      </x:c>
      <x:c r="K600" s="12" t="n">
        <x:v>86170585</x:v>
      </x:c>
      <x:c r="L600" s="12" t="n">
        <x:v>79628882.664</x:v>
      </x:c>
      <x:c r="M600" s="12" t="str">
        <x:v>TuShare index_daily</x:v>
      </x:c>
    </x:row>
    <x:row r="601" ht="18" customHeight="1">
      <x:c r="A601" s="13" t="n">
        <x:v>43474</x:v>
      </x:c>
      <x:c r="B601" s="12" t="str">
        <x:v>000300.SH</x:v>
      </x:c>
      <x:c r="C601" s="12" t="n">
        <x:v>3065.2307</x:v>
      </x:c>
      <x:c r="D601" s="12" t="n">
        <x:v>3117.9614</x:v>
      </x:c>
      <x:c r="E601" s="12" t="n">
        <x:v>3062.8474</x:v>
      </x:c>
      <x:c r="F601" s="12" t="n">
        <x:v>3078.4759</x:v>
      </x:c>
      <x:c r="G601" s="12" t="n">
        <x:v>3047.7035</x:v>
      </x:c>
      <x:c r="H601" s="12" t="n">
        <x:v>30.7724</x:v>
      </x:c>
      <x:c r="I601" s="12" t="n">
        <x:v>1.0097</x:v>
      </x:c>
      <x:c r="J601" s="12" t="n">
        <x:v>0.010046280660777089</x:v>
      </x:c>
      <x:c r="K601" s="12" t="n">
        <x:v>107364350</x:v>
      </x:c>
      <x:c r="L601" s="12" t="n">
        <x:v>117129678.906</x:v>
      </x:c>
      <x:c r="M601" s="12" t="str">
        <x:v>TuShare index_daily</x:v>
      </x:c>
    </x:row>
    <x:row r="602" ht="18" customHeight="1">
      <x:c r="A602" s="13" t="n">
        <x:v>43475</x:v>
      </x:c>
      <x:c r="B602" s="12" t="str">
        <x:v>000300.SH</x:v>
      </x:c>
      <x:c r="C602" s="12" t="n">
        <x:v>3077.4817</x:v>
      </x:c>
      <x:c r="D602" s="12" t="n">
        <x:v>3092.5411</x:v>
      </x:c>
      <x:c r="E602" s="12" t="n">
        <x:v>3062.5721</x:v>
      </x:c>
      <x:c r="F602" s="12" t="n">
        <x:v>3072.6864</x:v>
      </x:c>
      <x:c r="G602" s="12" t="n">
        <x:v>3078.4759</x:v>
      </x:c>
      <x:c r="H602" s="12" t="n">
        <x:v>-5.7895</x:v>
      </x:c>
      <x:c r="I602" s="12" t="n">
        <x:v>-0.1881</x:v>
      </x:c>
      <x:c r="J602" s="12" t="n">
        <x:v>-0.001882409023599767</x:v>
      </x:c>
      <x:c r="K602" s="12" t="n">
        <x:v>85271756</x:v>
      </x:c>
      <x:c r="L602" s="12" t="n">
        <x:v>90206871.737</x:v>
      </x:c>
      <x:c r="M602" s="12" t="str">
        <x:v>TuShare index_daily</x:v>
      </x:c>
    </x:row>
    <x:row r="603" ht="18" customHeight="1">
      <x:c r="A603" s="13" t="n">
        <x:v>43476</x:v>
      </x:c>
      <x:c r="B603" s="12" t="str">
        <x:v>000300.SH</x:v>
      </x:c>
      <x:c r="C603" s="12" t="n">
        <x:v>3082.2615</x:v>
      </x:c>
      <x:c r="D603" s="12" t="n">
        <x:v>3102.8333</x:v>
      </x:c>
      <x:c r="E603" s="12" t="n">
        <x:v>3071.0264</x:v>
      </x:c>
      <x:c r="F603" s="12" t="n">
        <x:v>3094.7782</x:v>
      </x:c>
      <x:c r="G603" s="12" t="n">
        <x:v>3072.6864</x:v>
      </x:c>
      <x:c r="H603" s="12" t="n">
        <x:v>22.0918</x:v>
      </x:c>
      <x:c r="I603" s="12" t="n">
        <x:v>0.719</x:v>
      </x:c>
      <x:c r="J603" s="12" t="n">
        <x:v>0.007164011767437094</x:v>
      </x:c>
      <x:c r="K603" s="12" t="n">
        <x:v>71786424</x:v>
      </x:c>
      <x:c r="L603" s="12" t="n">
        <x:v>77420239.579</x:v>
      </x:c>
      <x:c r="M603" s="12" t="str">
        <x:v>TuShare index_daily</x:v>
      </x:c>
    </x:row>
    <x:row r="604" ht="18" customHeight="1">
      <x:c r="A604" s="13" t="n">
        <x:v>43479</x:v>
      </x:c>
      <x:c r="B604" s="12" t="str">
        <x:v>000300.SH</x:v>
      </x:c>
      <x:c r="C604" s="12" t="n">
        <x:v>3092.4984</x:v>
      </x:c>
      <x:c r="D604" s="12" t="n">
        <x:v>3097.4064</x:v>
      </x:c>
      <x:c r="E604" s="12" t="n">
        <x:v>3064.3827</x:v>
      </x:c>
      <x:c r="F604" s="12" t="n">
        <x:v>3067.7845</x:v>
      </x:c>
      <x:c r="G604" s="12" t="n">
        <x:v>3094.7782</x:v>
      </x:c>
      <x:c r="H604" s="12" t="n">
        <x:v>-26.9937</x:v>
      </x:c>
      <x:c r="I604" s="12" t="n">
        <x:v>-0.8722</x:v>
      </x:c>
      <x:c r="J604" s="12" t="n">
        <x:v>-0.008760599755919578</x:v>
      </x:c>
      <x:c r="K604" s="12" t="n">
        <x:v>66121702</x:v>
      </x:c>
      <x:c r="L604" s="12" t="n">
        <x:v>68115969.095</x:v>
      </x:c>
      <x:c r="M604" s="12" t="str">
        <x:v>TuShare index_daily</x:v>
      </x:c>
    </x:row>
    <x:row r="605" ht="18" customHeight="1">
      <x:c r="A605" s="13" t="n">
        <x:v>43480</x:v>
      </x:c>
      <x:c r="B605" s="12" t="str">
        <x:v>000300.SH</x:v>
      </x:c>
      <x:c r="C605" s="12" t="n">
        <x:v>3071.5185</x:v>
      </x:c>
      <x:c r="D605" s="12" t="n">
        <x:v>3129.3708</x:v>
      </x:c>
      <x:c r="E605" s="12" t="n">
        <x:v>3064.6705</x:v>
      </x:c>
      <x:c r="F605" s="12" t="n">
        <x:v>3127.9904</x:v>
      </x:c>
      <x:c r="G605" s="12" t="n">
        <x:v>3067.7845</x:v>
      </x:c>
      <x:c r="H605" s="12" t="n">
        <x:v>60.2059</x:v>
      </x:c>
      <x:c r="I605" s="12" t="n">
        <x:v>1.9625</x:v>
      </x:c>
      <x:c r="J605" s="12" t="n">
        <x:v>0.019435113786143984</x:v>
      </x:c>
      <x:c r="K605" s="12" t="n">
        <x:v>88772962</x:v>
      </x:c>
      <x:c r="L605" s="12" t="n">
        <x:v>99976891.144</x:v>
      </x:c>
      <x:c r="M605" s="12" t="str">
        <x:v>TuShare index_daily</x:v>
      </x:c>
    </x:row>
    <x:row r="606" ht="18" customHeight="1">
      <x:c r="A606" s="13" t="n">
        <x:v>43481</x:v>
      </x:c>
      <x:c r="B606" s="12" t="str">
        <x:v>000300.SH</x:v>
      </x:c>
      <x:c r="C606" s="12" t="n">
        <x:v>3126.1347</x:v>
      </x:c>
      <x:c r="D606" s="12" t="n">
        <x:v>3135.0117</x:v>
      </x:c>
      <x:c r="E606" s="12" t="n">
        <x:v>3117.2926</x:v>
      </x:c>
      <x:c r="F606" s="12" t="n">
        <x:v>3128.6517</x:v>
      </x:c>
      <x:c r="G606" s="12" t="n">
        <x:v>3127.9904</x:v>
      </x:c>
      <x:c r="H606" s="12" t="n">
        <x:v>0.6613</x:v>
      </x:c>
      <x:c r="I606" s="12" t="n">
        <x:v>0.0211</x:v>
      </x:c>
      <x:c r="J606" s="12" t="n">
        <x:v>0.0002113913475927562</x:v>
      </x:c>
      <x:c r="K606" s="12" t="n">
        <x:v>80214341</x:v>
      </x:c>
      <x:c r="L606" s="12" t="n">
        <x:v>85781591.791</x:v>
      </x:c>
      <x:c r="M606" s="12" t="str">
        <x:v>TuShare index_daily</x:v>
      </x:c>
    </x:row>
    <x:row r="607" ht="18" customHeight="1">
      <x:c r="A607" s="13" t="n">
        <x:v>43482</x:v>
      </x:c>
      <x:c r="B607" s="12" t="str">
        <x:v>000300.SH</x:v>
      </x:c>
      <x:c r="C607" s="12" t="n">
        <x:v>3132.6285</x:v>
      </x:c>
      <x:c r="D607" s="12" t="n">
        <x:v>3141.7099</x:v>
      </x:c>
      <x:c r="E607" s="12" t="n">
        <x:v>3110.0608</x:v>
      </x:c>
      <x:c r="F607" s="12" t="n">
        <x:v>3111.4168</x:v>
      </x:c>
      <x:c r="G607" s="12" t="n">
        <x:v>3128.6517</x:v>
      </x:c>
      <x:c r="H607" s="12" t="n">
        <x:v>-17.2349</x:v>
      </x:c>
      <x:c r="I607" s="12" t="n">
        <x:v>-0.5509</x:v>
      </x:c>
      <x:c r="J607" s="12" t="n">
        <x:v>-0.0055239598173146606</x:v>
      </x:c>
      <x:c r="K607" s="12" t="n">
        <x:v>80174871</x:v>
      </x:c>
      <x:c r="L607" s="12" t="n">
        <x:v>82888206.986</x:v>
      </x:c>
      <x:c r="M607" s="12" t="str">
        <x:v>TuShare index_daily</x:v>
      </x:c>
    </x:row>
    <x:row r="608" ht="18" customHeight="1">
      <x:c r="A608" s="13" t="n">
        <x:v>43483</x:v>
      </x:c>
      <x:c r="B608" s="12" t="str">
        <x:v>000300.SH</x:v>
      </x:c>
      <x:c r="C608" s="12" t="n">
        <x:v>3124.5025</x:v>
      </x:c>
      <x:c r="D608" s="12" t="n">
        <x:v>3171.6864</x:v>
      </x:c>
      <x:c r="E608" s="12" t="n">
        <x:v>3120.3458</x:v>
      </x:c>
      <x:c r="F608" s="12" t="n">
        <x:v>3168.1739</x:v>
      </x:c>
      <x:c r="G608" s="12" t="n">
        <x:v>3111.4168</x:v>
      </x:c>
      <x:c r="H608" s="12" t="n">
        <x:v>56.7571</x:v>
      </x:c>
      <x:c r="I608" s="12" t="n">
        <x:v>1.8242</x:v>
      </x:c>
      <x:c r="J608" s="12" t="n">
        <x:v>0.018077179967474297</x:v>
      </x:c>
      <x:c r="K608" s="12" t="n">
        <x:v>103963834</x:v>
      </x:c>
      <x:c r="L608" s="12" t="n">
        <x:v>106780658.491</x:v>
      </x:c>
      <x:c r="M608" s="12" t="str">
        <x:v>TuShare index_daily</x:v>
      </x:c>
    </x:row>
    <x:row r="609" ht="18" customHeight="1">
      <x:c r="A609" s="13" t="n">
        <x:v>43486</x:v>
      </x:c>
      <x:c r="B609" s="12" t="str">
        <x:v>000300.SH</x:v>
      </x:c>
      <x:c r="C609" s="12" t="n">
        <x:v>3170.8773</x:v>
      </x:c>
      <x:c r="D609" s="12" t="n">
        <x:v>3199.2134</x:v>
      </x:c>
      <x:c r="E609" s="12" t="n">
        <x:v>3170.8773</x:v>
      </x:c>
      <x:c r="F609" s="12" t="n">
        <x:v>3185.6364</x:v>
      </x:c>
      <x:c r="G609" s="12" t="n">
        <x:v>3168.1739</x:v>
      </x:c>
      <x:c r="H609" s="12" t="n">
        <x:v>17.4625</x:v>
      </x:c>
      <x:c r="I609" s="12" t="n">
        <x:v>0.5512</x:v>
      </x:c>
      <x:c r="J609" s="12" t="n">
        <x:v>0.005496715558999611</x:v>
      </x:c>
      <x:c r="K609" s="12" t="n">
        <x:v>93915022</x:v>
      </x:c>
      <x:c r="L609" s="12" t="n">
        <x:v>105536986.58</x:v>
      </x:c>
      <x:c r="M609" s="12" t="str">
        <x:v>TuShare index_daily</x:v>
      </x:c>
    </x:row>
    <x:row r="610" ht="18" customHeight="1">
      <x:c r="A610" s="13" t="n">
        <x:v>43487</x:v>
      </x:c>
      <x:c r="B610" s="12" t="str">
        <x:v>000300.SH</x:v>
      </x:c>
      <x:c r="C610" s="12" t="n">
        <x:v>3181.9494</x:v>
      </x:c>
      <x:c r="D610" s="12" t="n">
        <x:v>3181.9494</x:v>
      </x:c>
      <x:c r="E610" s="12" t="n">
        <x:v>3135.3378</x:v>
      </x:c>
      <x:c r="F610" s="12" t="n">
        <x:v>3143.3171</x:v>
      </x:c>
      <x:c r="G610" s="12" t="n">
        <x:v>3185.6364</x:v>
      </x:c>
      <x:c r="H610" s="12" t="n">
        <x:v>-42.3193</x:v>
      </x:c>
      <x:c r="I610" s="12" t="n">
        <x:v>-1.3284</x:v>
      </x:c>
      <x:c r="J610" s="12" t="n">
        <x:v>-0.01337343708651259</x:v>
      </x:c>
      <x:c r="K610" s="12" t="n">
        <x:v>72990528</x:v>
      </x:c>
      <x:c r="L610" s="12" t="n">
        <x:v>78150876.313</x:v>
      </x:c>
      <x:c r="M610" s="12" t="str">
        <x:v>TuShare index_daily</x:v>
      </x:c>
    </x:row>
    <x:row r="611" ht="18" customHeight="1">
      <x:c r="A611" s="13" t="n">
        <x:v>43488</x:v>
      </x:c>
      <x:c r="B611" s="12" t="str">
        <x:v>000300.SH</x:v>
      </x:c>
      <x:c r="C611" s="12" t="n">
        <x:v>3136.096</x:v>
      </x:c>
      <x:c r="D611" s="12" t="n">
        <x:v>3157.6269</x:v>
      </x:c>
      <x:c r="E611" s="12" t="n">
        <x:v>3131.8673</x:v>
      </x:c>
      <x:c r="F611" s="12" t="n">
        <x:v>3141.0532</x:v>
      </x:c>
      <x:c r="G611" s="12" t="n">
        <x:v>3143.3171</x:v>
      </x:c>
      <x:c r="H611" s="12" t="n">
        <x:v>-2.2639</x:v>
      </x:c>
      <x:c r="I611" s="12" t="n">
        <x:v>-0.072</x:v>
      </x:c>
      <x:c r="J611" s="12" t="n">
        <x:v>-0.0007204859006901076</x:v>
      </x:c>
      <x:c r="K611" s="12" t="n">
        <x:v>59870478</x:v>
      </x:c>
      <x:c r="L611" s="12" t="n">
        <x:v>62669652.004</x:v>
      </x:c>
      <x:c r="M611" s="12" t="str">
        <x:v>TuShare index_daily</x:v>
      </x:c>
    </x:row>
    <x:row r="612" ht="18" customHeight="1">
      <x:c r="A612" s="13" t="n">
        <x:v>43489</x:v>
      </x:c>
      <x:c r="B612" s="12" t="str">
        <x:v>000300.SH</x:v>
      </x:c>
      <x:c r="C612" s="12" t="n">
        <x:v>3146.6046</x:v>
      </x:c>
      <x:c r="D612" s="12" t="n">
        <x:v>3165.6296</x:v>
      </x:c>
      <x:c r="E612" s="12" t="n">
        <x:v>3125.3008</x:v>
      </x:c>
      <x:c r="F612" s="12" t="n">
        <x:v>3158.7817</x:v>
      </x:c>
      <x:c r="G612" s="12" t="n">
        <x:v>3141.0532</x:v>
      </x:c>
      <x:c r="H612" s="12" t="n">
        <x:v>17.7285</x:v>
      </x:c>
      <x:c r="I612" s="12" t="n">
        <x:v>0.5644</x:v>
      </x:c>
      <x:c r="J612" s="12" t="n">
        <x:v>0.005628257591068691</x:v>
      </x:c>
      <x:c r="K612" s="12" t="n">
        <x:v>72934636</x:v>
      </x:c>
      <x:c r="L612" s="12" t="n">
        <x:v>80963877.219</x:v>
      </x:c>
      <x:c r="M612" s="12" t="str">
        <x:v>TuShare index_daily</x:v>
      </x:c>
    </x:row>
    <x:row r="613" ht="18" customHeight="1">
      <x:c r="A613" s="13" t="n">
        <x:v>43490</x:v>
      </x:c>
      <x:c r="B613" s="12" t="str">
        <x:v>000300.SH</x:v>
      </x:c>
      <x:c r="C613" s="12" t="n">
        <x:v>3165.1814</x:v>
      </x:c>
      <x:c r="D613" s="12" t="n">
        <x:v>3203.1747</x:v>
      </x:c>
      <x:c r="E613" s="12" t="n">
        <x:v>3164.4082</x:v>
      </x:c>
      <x:c r="F613" s="12" t="n">
        <x:v>3184.4696</x:v>
      </x:c>
      <x:c r="G613" s="12" t="n">
        <x:v>3158.7817</x:v>
      </x:c>
      <x:c r="H613" s="12" t="n">
        <x:v>25.6879</x:v>
      </x:c>
      <x:c r="I613" s="12" t="n">
        <x:v>0.8132</x:v>
      </x:c>
      <x:c r="J613" s="12" t="n">
        <x:v>0.008099329258855039</x:v>
      </x:c>
      <x:c r="K613" s="12" t="n">
        <x:v>83967729</x:v>
      </x:c>
      <x:c r="L613" s="12" t="n">
        <x:v>93207954.748</x:v>
      </x:c>
      <x:c r="M613" s="12" t="str">
        <x:v>TuShare index_daily</x:v>
      </x:c>
    </x:row>
    <x:row r="614" ht="18" customHeight="1">
      <x:c r="A614" s="13" t="n">
        <x:v>43493</x:v>
      </x:c>
      <x:c r="B614" s="12" t="str">
        <x:v>000300.SH</x:v>
      </x:c>
      <x:c r="C614" s="12" t="n">
        <x:v>3203.1189</x:v>
      </x:c>
      <x:c r="D614" s="12" t="n">
        <x:v>3228.8678</x:v>
      </x:c>
      <x:c r="E614" s="12" t="n">
        <x:v>3174.7243</x:v>
      </x:c>
      <x:c r="F614" s="12" t="n">
        <x:v>3183.7777</x:v>
      </x:c>
      <x:c r="G614" s="12" t="n">
        <x:v>3184.4696</x:v>
      </x:c>
      <x:c r="H614" s="12" t="n">
        <x:v>-0.6919</x:v>
      </x:c>
      <x:c r="I614" s="12" t="n">
        <x:v>-0.0217</x:v>
      </x:c>
      <x:c r="J614" s="12" t="n">
        <x:v>-0.00021729683855788832</x:v>
      </x:c>
      <x:c r="K614" s="12" t="n">
        <x:v>82622431</x:v>
      </x:c>
      <x:c r="L614" s="12" t="n">
        <x:v>97371496.147</x:v>
      </x:c>
      <x:c r="M614" s="12" t="str">
        <x:v>TuShare index_daily</x:v>
      </x:c>
    </x:row>
    <x:row r="615" ht="18" customHeight="1">
      <x:c r="A615" s="13" t="n">
        <x:v>43494</x:v>
      </x:c>
      <x:c r="B615" s="12" t="str">
        <x:v>000300.SH</x:v>
      </x:c>
      <x:c r="C615" s="12" t="n">
        <x:v>3177.261</x:v>
      </x:c>
      <x:c r="D615" s="12" t="n">
        <x:v>3200.9898</x:v>
      </x:c>
      <x:c r="E615" s="12" t="n">
        <x:v>3148.2345</x:v>
      </x:c>
      <x:c r="F615" s="12" t="n">
        <x:v>3193.9698</x:v>
      </x:c>
      <x:c r="G615" s="12" t="n">
        <x:v>3183.7777</x:v>
      </x:c>
      <x:c r="H615" s="12" t="n">
        <x:v>10.1921</x:v>
      </x:c>
      <x:c r="I615" s="12" t="n">
        <x:v>0.3201</x:v>
      </x:c>
      <x:c r="J615" s="12" t="n">
        <x:v>0.003196146814004265</x:v>
      </x:c>
      <x:c r="K615" s="12" t="n">
        <x:v>77658334</x:v>
      </x:c>
      <x:c r="L615" s="12" t="n">
        <x:v>85943908.59</x:v>
      </x:c>
      <x:c r="M615" s="12" t="str">
        <x:v>TuShare index_daily</x:v>
      </x:c>
    </x:row>
    <x:row r="616" ht="18" customHeight="1">
      <x:c r="A616" s="13" t="n">
        <x:v>43495</x:v>
      </x:c>
      <x:c r="B616" s="12" t="str">
        <x:v>000300.SH</x:v>
      </x:c>
      <x:c r="C616" s="12" t="n">
        <x:v>3181.6551</x:v>
      </x:c>
      <x:c r="D616" s="12" t="n">
        <x:v>3202.896</x:v>
      </x:c>
      <x:c r="E616" s="12" t="n">
        <x:v>3167.8934</x:v>
      </x:c>
      <x:c r="F616" s="12" t="n">
        <x:v>3168.4829</x:v>
      </x:c>
      <x:c r="G616" s="12" t="n">
        <x:v>3193.9698</x:v>
      </x:c>
      <x:c r="H616" s="12" t="n">
        <x:v>-25.4869</x:v>
      </x:c>
      <x:c r="I616" s="12" t="n">
        <x:v>-0.798</x:v>
      </x:c>
      <x:c r="J616" s="12" t="n">
        <x:v>-0.008011701628187862</x:v>
      </x:c>
      <x:c r="K616" s="12" t="n">
        <x:v>63746517</x:v>
      </x:c>
      <x:c r="L616" s="12" t="n">
        <x:v>73005123.447</x:v>
      </x:c>
      <x:c r="M616" s="12" t="str">
        <x:v>TuShare index_daily</x:v>
      </x:c>
    </x:row>
    <x:row r="617" ht="18" customHeight="1">
      <x:c r="A617" s="13" t="n">
        <x:v>43496</x:v>
      </x:c>
      <x:c r="B617" s="12" t="str">
        <x:v>000300.SH</x:v>
      </x:c>
      <x:c r="C617" s="12" t="n">
        <x:v>3182.6987</x:v>
      </x:c>
      <x:c r="D617" s="12" t="n">
        <x:v>3216.0673</x:v>
      </x:c>
      <x:c r="E617" s="12" t="n">
        <x:v>3178.0105</x:v>
      </x:c>
      <x:c r="F617" s="12" t="n">
        <x:v>3201.6331</x:v>
      </x:c>
      <x:c r="G617" s="12" t="n">
        <x:v>3168.4829</x:v>
      </x:c>
      <x:c r="H617" s="12" t="n">
        <x:v>33.1502</x:v>
      </x:c>
      <x:c r="I617" s="12" t="n">
        <x:v>1.0462</x:v>
      </x:c>
      <x:c r="J617" s="12" t="n">
        <x:v>0.01040813048322049</x:v>
      </x:c>
      <x:c r="K617" s="12" t="n">
        <x:v>86247839</x:v>
      </x:c>
      <x:c r="L617" s="12" t="n">
        <x:v>97509924.771</x:v>
      </x:c>
      <x:c r="M617" s="12" t="str">
        <x:v>TuShare index_daily</x:v>
      </x:c>
    </x:row>
    <x:row r="618" ht="18" customHeight="1">
      <x:c r="A618" s="13" t="n">
        <x:v>43497</x:v>
      </x:c>
      <x:c r="B618" s="12" t="str">
        <x:v>000300.SH</x:v>
      </x:c>
      <x:c r="C618" s="12" t="n">
        <x:v>3225.7335</x:v>
      </x:c>
      <x:c r="D618" s="12" t="n">
        <x:v>3247.4956</x:v>
      </x:c>
      <x:c r="E618" s="12" t="n">
        <x:v>3207.7168</x:v>
      </x:c>
      <x:c r="F618" s="12" t="n">
        <x:v>3247.3971</x:v>
      </x:c>
      <x:c r="G618" s="12" t="n">
        <x:v>3201.6331</x:v>
      </x:c>
      <x:c r="H618" s="12" t="n">
        <x:v>45.764</x:v>
      </x:c>
      <x:c r="I618" s="12" t="n">
        <x:v>1.4294</x:v>
      </x:c>
      <x:c r="J618" s="12" t="n">
        <x:v>0.014192759773769527</x:v>
      </x:c>
      <x:c r="K618" s="12" t="n">
        <x:v>82019641</x:v>
      </x:c>
      <x:c r="L618" s="12" t="n">
        <x:v>94766412.763</x:v>
      </x:c>
      <x:c r="M618" s="12" t="str">
        <x:v>TuShare index_daily</x:v>
      </x:c>
    </x:row>
    <x:row r="619" ht="18" customHeight="1">
      <x:c r="A619" s="13" t="n">
        <x:v>43507</x:v>
      </x:c>
      <x:c r="B619" s="12" t="str">
        <x:v>000300.SH</x:v>
      </x:c>
      <x:c r="C619" s="12" t="n">
        <x:v>3239.8079</x:v>
      </x:c>
      <x:c r="D619" s="12" t="n">
        <x:v>3307.0638</x:v>
      </x:c>
      <x:c r="E619" s="12" t="n">
        <x:v>3239.8079</x:v>
      </x:c>
      <x:c r="F619" s="12" t="n">
        <x:v>3306.4725</x:v>
      </x:c>
      <x:c r="G619" s="12" t="n">
        <x:v>3247.3971</x:v>
      </x:c>
      <x:c r="H619" s="12" t="n">
        <x:v>59.0754</x:v>
      </x:c>
      <x:c r="I619" s="12" t="n">
        <x:v>1.8192</x:v>
      </x:c>
      <x:c r="J619" s="12" t="n">
        <x:v>0.018028127998166308</x:v>
      </x:c>
      <x:c r="K619" s="12" t="n">
        <x:v>98818434</x:v>
      </x:c>
      <x:c r="L619" s="12" t="n">
        <x:v>114752354.821</x:v>
      </x:c>
      <x:c r="M619" s="12" t="str">
        <x:v>TuShare index_daily</x:v>
      </x:c>
    </x:row>
    <x:row r="620" ht="18" customHeight="1">
      <x:c r="A620" s="13" t="n">
        <x:v>43508</x:v>
      </x:c>
      <x:c r="B620" s="12" t="str">
        <x:v>000300.SH</x:v>
      </x:c>
      <x:c r="C620" s="12" t="n">
        <x:v>3306.3523</x:v>
      </x:c>
      <x:c r="D620" s="12" t="n">
        <x:v>3335.3606</x:v>
      </x:c>
      <x:c r="E620" s="12" t="n">
        <x:v>3298.6337</x:v>
      </x:c>
      <x:c r="F620" s="12" t="n">
        <x:v>3330.3353</x:v>
      </x:c>
      <x:c r="G620" s="12" t="n">
        <x:v>3306.4725</x:v>
      </x:c>
      <x:c r="H620" s="12" t="n">
        <x:v>23.8628</x:v>
      </x:c>
      <x:c r="I620" s="12" t="n">
        <x:v>0.7217</x:v>
      </x:c>
      <x:c r="J620" s="12" t="n">
        <x:v>0.007191078467541088</x:v>
      </x:c>
      <x:c r="K620" s="12" t="n">
        <x:v>122232462</x:v>
      </x:c>
      <x:c r="L620" s="12" t="n">
        <x:v>122834101.007</x:v>
      </x:c>
      <x:c r="M620" s="12" t="str">
        <x:v>TuShare index_daily</x:v>
      </x:c>
    </x:row>
    <x:row r="621" ht="18" customHeight="1">
      <x:c r="A621" s="13" t="n">
        <x:v>43509</x:v>
      </x:c>
      <x:c r="B621" s="12" t="str">
        <x:v>000300.SH</x:v>
      </x:c>
      <x:c r="C621" s="12" t="n">
        <x:v>3337.7794</x:v>
      </x:c>
      <x:c r="D621" s="12" t="n">
        <x:v>3405.5773</x:v>
      </x:c>
      <x:c r="E621" s="12" t="n">
        <x:v>3329.1436</x:v>
      </x:c>
      <x:c r="F621" s="12" t="n">
        <x:v>3397.0276</x:v>
      </x:c>
      <x:c r="G621" s="12" t="n">
        <x:v>3330.3353</x:v>
      </x:c>
      <x:c r="H621" s="12" t="n">
        <x:v>66.6923</x:v>
      </x:c>
      <x:c r="I621" s="12" t="n">
        <x:v>2.0026</x:v>
      </x:c>
      <x:c r="J621" s="12" t="n">
        <x:v>0.01982782434737895</x:v>
      </x:c>
      <x:c r="K621" s="12" t="n">
        <x:v>163828332</x:v>
      </x:c>
      <x:c r="L621" s="12" t="n">
        <x:v>168866262.062</x:v>
      </x:c>
      <x:c r="M621" s="12" t="str">
        <x:v>TuShare index_daily</x:v>
      </x:c>
    </x:row>
    <x:row r="622" ht="18" customHeight="1">
      <x:c r="A622" s="13" t="n">
        <x:v>43510</x:v>
      </x:c>
      <x:c r="B622" s="12" t="str">
        <x:v>000300.SH</x:v>
      </x:c>
      <x:c r="C622" s="12" t="n">
        <x:v>3392.8547</x:v>
      </x:c>
      <x:c r="D622" s="12" t="n">
        <x:v>3415.3994</x:v>
      </x:c>
      <x:c r="E622" s="12" t="n">
        <x:v>3381.9821</x:v>
      </x:c>
      <x:c r="F622" s="12" t="n">
        <x:v>3402.1403</x:v>
      </x:c>
      <x:c r="G622" s="12" t="n">
        <x:v>3397.0276</x:v>
      </x:c>
      <x:c r="H622" s="12" t="n">
        <x:v>5.1127</x:v>
      </x:c>
      <x:c r="I622" s="12" t="n">
        <x:v>0.1505</x:v>
      </x:c>
      <x:c r="J622" s="12" t="n">
        <x:v>0.001503919608647295</x:v>
      </x:c>
      <x:c r="K622" s="12" t="n">
        <x:v>151127290</x:v>
      </x:c>
      <x:c r="L622" s="12" t="n">
        <x:v>138649287.971</x:v>
      </x:c>
      <x:c r="M622" s="12" t="str">
        <x:v>TuShare index_daily</x:v>
      </x:c>
    </x:row>
    <x:row r="623" ht="18" customHeight="1">
      <x:c r="A623" s="13" t="n">
        <x:v>43511</x:v>
      </x:c>
      <x:c r="B623" s="12" t="str">
        <x:v>000300.SH</x:v>
      </x:c>
      <x:c r="C623" s="12" t="n">
        <x:v>3391.242</x:v>
      </x:c>
      <x:c r="D623" s="12" t="n">
        <x:v>3395.0294</x:v>
      </x:c>
      <x:c r="E623" s="12" t="n">
        <x:v>3335.8705</x:v>
      </x:c>
      <x:c r="F623" s="12" t="n">
        <x:v>3338.7047</x:v>
      </x:c>
      <x:c r="G623" s="12" t="n">
        <x:v>3402.1403</x:v>
      </x:c>
      <x:c r="H623" s="12" t="n">
        <x:v>-63.4356</x:v>
      </x:c>
      <x:c r="I623" s="12" t="n">
        <x:v>-1.8646</x:v>
      </x:c>
      <x:c r="J623" s="12" t="n">
        <x:v>-0.018821816172192005</x:v>
      </x:c>
      <x:c r="K623" s="12" t="n">
        <x:v>143668603</x:v>
      </x:c>
      <x:c r="L623" s="12" t="n">
        <x:v>141555060.948</x:v>
      </x:c>
      <x:c r="M623" s="12" t="str">
        <x:v>TuShare index_daily</x:v>
      </x:c>
    </x:row>
    <x:row r="624" ht="18" customHeight="1">
      <x:c r="A624" s="13" t="n">
        <x:v>43514</x:v>
      </x:c>
      <x:c r="B624" s="12" t="str">
        <x:v>000300.SH</x:v>
      </x:c>
      <x:c r="C624" s="12" t="n">
        <x:v>3366.423</x:v>
      </x:c>
      <x:c r="D624" s="12" t="n">
        <x:v>3445.7448</x:v>
      </x:c>
      <x:c r="E624" s="12" t="n">
        <x:v>3366.423</x:v>
      </x:c>
      <x:c r="F624" s="12" t="n">
        <x:v>3445.7448</x:v>
      </x:c>
      <x:c r="G624" s="12" t="n">
        <x:v>3338.7047</x:v>
      </x:c>
      <x:c r="H624" s="12" t="n">
        <x:v>107.0401</x:v>
      </x:c>
      <x:c r="I624" s="12" t="n">
        <x:v>3.206</x:v>
      </x:c>
      <x:c r="J624" s="12" t="n">
        <x:v>0.03155716108794263</x:v>
      </x:c>
      <x:c r="K624" s="12" t="n">
        <x:v>182886089</x:v>
      </x:c>
      <x:c r="L624" s="12" t="n">
        <x:v>180449742.544</x:v>
      </x:c>
      <x:c r="M624" s="12" t="str">
        <x:v>TuShare index_daily</x:v>
      </x:c>
    </x:row>
    <x:row r="625" ht="18" customHeight="1">
      <x:c r="A625" s="13" t="n">
        <x:v>43515</x:v>
      </x:c>
      <x:c r="B625" s="12" t="str">
        <x:v>000300.SH</x:v>
      </x:c>
      <x:c r="C625" s="12" t="n">
        <x:v>3454.7216</x:v>
      </x:c>
      <x:c r="D625" s="12" t="n">
        <x:v>3480.7938</x:v>
      </x:c>
      <x:c r="E625" s="12" t="n">
        <x:v>3419.0731</x:v>
      </x:c>
      <x:c r="F625" s="12" t="n">
        <x:v>3439.6078</x:v>
      </x:c>
      <x:c r="G625" s="12" t="n">
        <x:v>3445.7448</x:v>
      </x:c>
      <x:c r="H625" s="12" t="n">
        <x:v>-6.137</x:v>
      </x:c>
      <x:c r="I625" s="12" t="n">
        <x:v>-0.1781</x:v>
      </x:c>
      <x:c r="J625" s="12" t="n">
        <x:v>-0.0017826252282723291</x:v>
      </x:c>
      <x:c r="K625" s="12" t="n">
        <x:v>179083785</x:v>
      </x:c>
      <x:c r="L625" s="12" t="n">
        <x:v>185762746.553</x:v>
      </x:c>
      <x:c r="M625" s="12" t="str">
        <x:v>TuShare index_daily</x:v>
      </x:c>
    </x:row>
    <x:row r="626" ht="18" customHeight="1">
      <x:c r="A626" s="13" t="n">
        <x:v>43516</x:v>
      </x:c>
      <x:c r="B626" s="12" t="str">
        <x:v>000300.SH</x:v>
      </x:c>
      <x:c r="C626" s="12" t="n">
        <x:v>3449.9321</x:v>
      </x:c>
      <x:c r="D626" s="12" t="n">
        <x:v>3463.7735</x:v>
      </x:c>
      <x:c r="E626" s="12" t="n">
        <x:v>3421.505</x:v>
      </x:c>
      <x:c r="F626" s="12" t="n">
        <x:v>3451.9273</x:v>
      </x:c>
      <x:c r="G626" s="12" t="n">
        <x:v>3439.6078</x:v>
      </x:c>
      <x:c r="H626" s="12" t="n">
        <x:v>12.3195</x:v>
      </x:c>
      <x:c r="I626" s="12" t="n">
        <x:v>0.3582</x:v>
      </x:c>
      <x:c r="J626" s="12" t="n">
        <x:v>0.0035752594869061863</x:v>
      </x:c>
      <x:c r="K626" s="12" t="n">
        <x:v>147390311</x:v>
      </x:c>
      <x:c r="L626" s="12" t="n">
        <x:v>145570263.07</x:v>
      </x:c>
      <x:c r="M626" s="12" t="str">
        <x:v>TuShare index_daily</x:v>
      </x:c>
    </x:row>
    <x:row r="627" ht="18" customHeight="1">
      <x:c r="A627" s="13" t="n">
        <x:v>43517</x:v>
      </x:c>
      <x:c r="B627" s="12" t="str">
        <x:v>000300.SH</x:v>
      </x:c>
      <x:c r="C627" s="12" t="n">
        <x:v>3450.1411</x:v>
      </x:c>
      <x:c r="D627" s="12" t="n">
        <x:v>3500.2519</x:v>
      </x:c>
      <x:c r="E627" s="12" t="n">
        <x:v>3431.631</x:v>
      </x:c>
      <x:c r="F627" s="12" t="n">
        <x:v>3442.7056</x:v>
      </x:c>
      <x:c r="G627" s="12" t="n">
        <x:v>3451.9273</x:v>
      </x:c>
      <x:c r="H627" s="12" t="n">
        <x:v>-9.2217</x:v>
      </x:c>
      <x:c r="I627" s="12" t="n">
        <x:v>-0.2671</x:v>
      </x:c>
      <x:c r="J627" s="12" t="n">
        <x:v>-0.0026750388694597887</x:v>
      </x:c>
      <x:c r="K627" s="12" t="n">
        <x:v>180143287</x:v>
      </x:c>
      <x:c r="L627" s="12" t="n">
        <x:v>185197154.785</x:v>
      </x:c>
      <x:c r="M627" s="12" t="str">
        <x:v>TuShare index_daily</x:v>
      </x:c>
    </x:row>
    <x:row r="628" ht="18" customHeight="1">
      <x:c r="A628" s="13" t="n">
        <x:v>43518</x:v>
      </x:c>
      <x:c r="B628" s="12" t="str">
        <x:v>000300.SH</x:v>
      </x:c>
      <x:c r="C628" s="12" t="n">
        <x:v>3439.3781</x:v>
      </x:c>
      <x:c r="D628" s="12" t="n">
        <x:v>3520.1182</x:v>
      </x:c>
      <x:c r="E628" s="12" t="n">
        <x:v>3417.9784</x:v>
      </x:c>
      <x:c r="F628" s="12" t="n">
        <x:v>3520.1182</x:v>
      </x:c>
      <x:c r="G628" s="12" t="n">
        <x:v>3442.7056</x:v>
      </x:c>
      <x:c r="H628" s="12" t="n">
        <x:v>77.4126</x:v>
      </x:c>
      <x:c r="I628" s="12" t="n">
        <x:v>2.2486</x:v>
      </x:c>
      <x:c r="J628" s="12" t="n">
        <x:v>0.022236894716653265</x:v>
      </x:c>
      <x:c r="K628" s="12" t="n">
        <x:v>187237974</x:v>
      </x:c>
      <x:c r="L628" s="12" t="n">
        <x:v>202869288.708</x:v>
      </x:c>
      <x:c r="M628" s="12" t="str">
        <x:v>TuShare index_daily</x:v>
      </x:c>
    </x:row>
    <x:row r="629" ht="18" customHeight="1">
      <x:c r="A629" s="13" t="n">
        <x:v>43521</x:v>
      </x:c>
      <x:c r="B629" s="12" t="str">
        <x:v>000300.SH</x:v>
      </x:c>
      <x:c r="C629" s="12" t="n">
        <x:v>3575.8528</x:v>
      </x:c>
      <x:c r="D629" s="12" t="n">
        <x:v>3729.4831</x:v>
      </x:c>
      <x:c r="E629" s="12" t="n">
        <x:v>3574.6885</x:v>
      </x:c>
      <x:c r="F629" s="12" t="n">
        <x:v>3729.4831</x:v>
      </x:c>
      <x:c r="G629" s="12" t="n">
        <x:v>3520.1182</x:v>
      </x:c>
      <x:c r="H629" s="12" t="n">
        <x:v>209.3649</x:v>
      </x:c>
      <x:c r="I629" s="12" t="n">
        <x:v>5.9477</x:v>
      </x:c>
      <x:c r="J629" s="12" t="n">
        <x:v>0.05777507637260326</x:v>
      </x:c>
      <x:c r="K629" s="12" t="n">
        <x:v>342557122</x:v>
      </x:c>
      <x:c r="L629" s="12" t="n">
        <x:v>376382393.433</x:v>
      </x:c>
      <x:c r="M629" s="12" t="str">
        <x:v>TuShare index_daily</x:v>
      </x:c>
    </x:row>
    <x:row r="630" ht="18" customHeight="1">
      <x:c r="A630" s="13" t="n">
        <x:v>43522</x:v>
      </x:c>
      <x:c r="B630" s="12" t="str">
        <x:v>000300.SH</x:v>
      </x:c>
      <x:c r="C630" s="12" t="n">
        <x:v>3734.7059</x:v>
      </x:c>
      <x:c r="D630" s="12" t="n">
        <x:v>3762.1128</x:v>
      </x:c>
      <x:c r="E630" s="12" t="n">
        <x:v>3679.2705</x:v>
      </x:c>
      <x:c r="F630" s="12" t="n">
        <x:v>3684.6935</x:v>
      </x:c>
      <x:c r="G630" s="12" t="n">
        <x:v>3729.4831</x:v>
      </x:c>
      <x:c r="H630" s="12" t="n">
        <x:v>-44.7896</x:v>
      </x:c>
      <x:c r="I630" s="12" t="n">
        <x:v>-1.201</x:v>
      </x:c>
      <x:c r="J630" s="12" t="n">
        <x:v>-0.012082297816139545</x:v>
      </x:c>
      <x:c r="K630" s="12" t="n">
        <x:v>358038698</x:v>
      </x:c>
      <x:c r="L630" s="12" t="n">
        <x:v>387632860.075</x:v>
      </x:c>
      <x:c r="M630" s="12" t="str">
        <x:v>TuShare index_daily</x:v>
      </x:c>
    </x:row>
    <x:row r="631" ht="18" customHeight="1">
      <x:c r="A631" s="13" t="n">
        <x:v>43523</x:v>
      </x:c>
      <x:c r="B631" s="12" t="str">
        <x:v>000300.SH</x:v>
      </x:c>
      <x:c r="C631" s="12" t="n">
        <x:v>3682.8116</x:v>
      </x:c>
      <x:c r="D631" s="12" t="n">
        <x:v>3737.6317</x:v>
      </x:c>
      <x:c r="E631" s="12" t="n">
        <x:v>3638.3334</x:v>
      </x:c>
      <x:c r="F631" s="12" t="n">
        <x:v>3678.3921</x:v>
      </x:c>
      <x:c r="G631" s="12" t="n">
        <x:v>3684.6935</x:v>
      </x:c>
      <x:c r="H631" s="12" t="n">
        <x:v>-6.3014</x:v>
      </x:c>
      <x:c r="I631" s="12" t="n">
        <x:v>-0.171</x:v>
      </x:c>
      <x:c r="J631" s="12" t="n">
        <x:v>-0.0017116197965711278</x:v>
      </x:c>
      <x:c r="K631" s="12" t="n">
        <x:v>286236007</x:v>
      </x:c>
      <x:c r="L631" s="12" t="n">
        <x:v>307306148.139</x:v>
      </x:c>
      <x:c r="M631" s="12" t="str">
        <x:v>TuShare index_daily</x:v>
      </x:c>
    </x:row>
    <x:row r="632" ht="18" customHeight="1">
      <x:c r="A632" s="13" t="n">
        <x:v>43524</x:v>
      </x:c>
      <x:c r="B632" s="12" t="str">
        <x:v>000300.SH</x:v>
      </x:c>
      <x:c r="C632" s="12" t="n">
        <x:v>3675.2642</x:v>
      </x:c>
      <x:c r="D632" s="12" t="n">
        <x:v>3695.4646</x:v>
      </x:c>
      <x:c r="E632" s="12" t="n">
        <x:v>3650.0537</x:v>
      </x:c>
      <x:c r="F632" s="12" t="n">
        <x:v>3669.3703</x:v>
      </x:c>
      <x:c r="G632" s="12" t="n">
        <x:v>3678.3921</x:v>
      </x:c>
      <x:c r="H632" s="12" t="n">
        <x:v>-9.0218</x:v>
      </x:c>
      <x:c r="I632" s="12" t="n">
        <x:v>-0.2453</x:v>
      </x:c>
      <x:c r="J632" s="12" t="n">
        <x:v>-0.002455660388162692</x:v>
      </x:c>
      <x:c r="K632" s="12" t="n">
        <x:v>184810220</x:v>
      </x:c>
      <x:c r="L632" s="12" t="n">
        <x:v>206010958.185</x:v>
      </x:c>
      <x:c r="M632" s="12" t="str">
        <x:v>TuShare index_daily</x:v>
      </x:c>
    </x:row>
    <x:row r="633" ht="18" customHeight="1">
      <x:c r="A633" s="13" t="n">
        <x:v>43525</x:v>
      </x:c>
      <x:c r="B633" s="12" t="str">
        <x:v>000300.SH</x:v>
      </x:c>
      <x:c r="C633" s="12" t="n">
        <x:v>3699.2157</x:v>
      </x:c>
      <x:c r="D633" s="12" t="n">
        <x:v>3749.7143</x:v>
      </x:c>
      <x:c r="E633" s="12" t="n">
        <x:v>3668.7653</x:v>
      </x:c>
      <x:c r="F633" s="12" t="n">
        <x:v>3749.7143</x:v>
      </x:c>
      <x:c r="G633" s="12" t="n">
        <x:v>3669.3703</x:v>
      </x:c>
      <x:c r="H633" s="12" t="n">
        <x:v>80.344</x:v>
      </x:c>
      <x:c r="I633" s="12" t="n">
        <x:v>2.1896</x:v>
      </x:c>
      <x:c r="J633" s="12" t="n">
        <x:v>0.021659583449891353</x:v>
      </x:c>
      <x:c r="K633" s="12" t="n">
        <x:v>204711004</x:v>
      </x:c>
      <x:c r="L633" s="12" t="n">
        <x:v>235620623.488</x:v>
      </x:c>
      <x:c r="M633" s="12" t="str">
        <x:v>TuShare index_daily</x:v>
      </x:c>
    </x:row>
    <x:row r="634" ht="18" customHeight="1">
      <x:c r="A634" s="13" t="n">
        <x:v>43528</x:v>
      </x:c>
      <x:c r="B634" s="12" t="str">
        <x:v>000300.SH</x:v>
      </x:c>
      <x:c r="C634" s="12" t="n">
        <x:v>3783.0367</x:v>
      </x:c>
      <x:c r="D634" s="12" t="n">
        <x:v>3886.5797</x:v>
      </x:c>
      <x:c r="E634" s="12" t="n">
        <x:v>3764.7764</x:v>
      </x:c>
      <x:c r="F634" s="12" t="n">
        <x:v>3794.104</x:v>
      </x:c>
      <x:c r="G634" s="12" t="n">
        <x:v>3749.7143</x:v>
      </x:c>
      <x:c r="H634" s="12" t="n">
        <x:v>44.3897</x:v>
      </x:c>
      <x:c r="I634" s="12" t="n">
        <x:v>1.1838</x:v>
      </x:c>
      <x:c r="J634" s="12" t="n">
        <x:v>0.011768632426515767</x:v>
      </x:c>
      <x:c r="K634" s="12" t="n">
        <x:v>323490126</x:v>
      </x:c>
      <x:c r="L634" s="12" t="n">
        <x:v>376397284.706</x:v>
      </x:c>
      <x:c r="M634" s="12" t="str">
        <x:v>TuShare index_daily</x:v>
      </x:c>
    </x:row>
    <x:row r="635" ht="18" customHeight="1">
      <x:c r="A635" s="13" t="n">
        <x:v>43529</x:v>
      </x:c>
      <x:c r="B635" s="12" t="str">
        <x:v>000300.SH</x:v>
      </x:c>
      <x:c r="C635" s="12" t="n">
        <x:v>3785.3762</x:v>
      </x:c>
      <x:c r="D635" s="12" t="n">
        <x:v>3816.1621</x:v>
      </x:c>
      <x:c r="E635" s="12" t="n">
        <x:v>3770.7858</x:v>
      </x:c>
      <x:c r="F635" s="12" t="n">
        <x:v>3816.0132</x:v>
      </x:c>
      <x:c r="G635" s="12" t="n">
        <x:v>3794.104</x:v>
      </x:c>
      <x:c r="H635" s="12" t="n">
        <x:v>21.9092</x:v>
      </x:c>
      <x:c r="I635" s="12" t="n">
        <x:v>0.5775</x:v>
      </x:c>
      <x:c r="J635" s="12" t="n">
        <x:v>0.005757929859737223</x:v>
      </x:c>
      <x:c r="K635" s="12" t="n">
        <x:v>230853166</x:v>
      </x:c>
      <x:c r="L635" s="12" t="n">
        <x:v>261464122.212</x:v>
      </x:c>
      <x:c r="M635" s="12" t="str">
        <x:v>TuShare index_daily</x:v>
      </x:c>
    </x:row>
    <x:row r="636" ht="18" customHeight="1">
      <x:c r="A636" s="13" t="n">
        <x:v>43530</x:v>
      </x:c>
      <x:c r="B636" s="12" t="str">
        <x:v>000300.SH</x:v>
      </x:c>
      <x:c r="C636" s="12" t="n">
        <x:v>3822.8588</x:v>
      </x:c>
      <x:c r="D636" s="12" t="n">
        <x:v>3855.1556</x:v>
      </x:c>
      <x:c r="E636" s="12" t="n">
        <x:v>3787.5225</x:v>
      </x:c>
      <x:c r="F636" s="12" t="n">
        <x:v>3848.0903</x:v>
      </x:c>
      <x:c r="G636" s="12" t="n">
        <x:v>3816.0132</x:v>
      </x:c>
      <x:c r="H636" s="12" t="n">
        <x:v>32.0771</x:v>
      </x:c>
      <x:c r="I636" s="12" t="n">
        <x:v>0.8406</x:v>
      </x:c>
      <x:c r="J636" s="12" t="n">
        <x:v>0.008370786564533118</x:v>
      </x:c>
      <x:c r="K636" s="12" t="n">
        <x:v>318077371</x:v>
      </x:c>
      <x:c r="L636" s="12" t="n">
        <x:v>331155616.598</x:v>
      </x:c>
      <x:c r="M636" s="12" t="str">
        <x:v>TuShare index_daily</x:v>
      </x:c>
    </x:row>
    <x:row r="637" ht="18" customHeight="1">
      <x:c r="A637" s="13" t="n">
        <x:v>43531</x:v>
      </x:c>
      <x:c r="B637" s="12" t="str">
        <x:v>000300.SH</x:v>
      </x:c>
      <x:c r="C637" s="12" t="n">
        <x:v>3841.1456</x:v>
      </x:c>
      <x:c r="D637" s="12" t="n">
        <x:v>3845.182</x:v>
      </x:c>
      <x:c r="E637" s="12" t="n">
        <x:v>3778.8004</x:v>
      </x:c>
      <x:c r="F637" s="12" t="n">
        <x:v>3808.8497</x:v>
      </x:c>
      <x:c r="G637" s="12" t="n">
        <x:v>3848.0903</x:v>
      </x:c>
      <x:c r="H637" s="12" t="n">
        <x:v>-39.2406</x:v>
      </x:c>
      <x:c r="I637" s="12" t="n">
        <x:v>-1.0197</x:v>
      </x:c>
      <x:c r="J637" s="12" t="n">
        <x:v>-0.010249771721790521</x:v>
      </x:c>
      <x:c r="K637" s="12" t="n">
        <x:v>329846548</x:v>
      </x:c>
      <x:c r="L637" s="12" t="n">
        <x:v>359339152.916</x:v>
      </x:c>
      <x:c r="M637" s="12" t="str">
        <x:v>TuShare index_daily</x:v>
      </x:c>
    </x:row>
    <x:row r="638" ht="18" customHeight="1">
      <x:c r="A638" s="13" t="n">
        <x:v>43532</x:v>
      </x:c>
      <x:c r="B638" s="12" t="str">
        <x:v>000300.SH</x:v>
      </x:c>
      <x:c r="C638" s="12" t="n">
        <x:v>3721.4016</x:v>
      </x:c>
      <x:c r="D638" s="12" t="n">
        <x:v>3774.5431</x:v>
      </x:c>
      <x:c r="E638" s="12" t="n">
        <x:v>3656.1917</x:v>
      </x:c>
      <x:c r="F638" s="12" t="n">
        <x:v>3657.579</x:v>
      </x:c>
      <x:c r="G638" s="12" t="n">
        <x:v>3808.8497</x:v>
      </x:c>
      <x:c r="H638" s="12" t="n">
        <x:v>-151.2707</x:v>
      </x:c>
      <x:c r="I638" s="12" t="n">
        <x:v>-3.9716</x:v>
      </x:c>
      <x:c r="J638" s="12" t="n">
        <x:v>-0.04052577441024072</x:v>
      </x:c>
      <x:c r="K638" s="12" t="n">
        <x:v>317990077</x:v>
      </x:c>
      <x:c r="L638" s="12" t="n">
        <x:v>349296691.227</x:v>
      </x:c>
      <x:c r="M638" s="12" t="str">
        <x:v>TuShare index_daily</x:v>
      </x:c>
    </x:row>
    <x:row r="639" ht="18" customHeight="1">
      <x:c r="A639" s="13" t="n">
        <x:v>43535</x:v>
      </x:c>
      <x:c r="B639" s="12" t="str">
        <x:v>000300.SH</x:v>
      </x:c>
      <x:c r="C639" s="12" t="n">
        <x:v>3663.9772</x:v>
      </x:c>
      <x:c r="D639" s="12" t="n">
        <x:v>3731.9091</x:v>
      </x:c>
      <x:c r="E639" s="12" t="n">
        <x:v>3650.8125</x:v>
      </x:c>
      <x:c r="F639" s="12" t="n">
        <x:v>3729.9546</x:v>
      </x:c>
      <x:c r="G639" s="12" t="n">
        <x:v>3657.579</x:v>
      </x:c>
      <x:c r="H639" s="12" t="n">
        <x:v>72.3756</x:v>
      </x:c>
      <x:c r="I639" s="12" t="n">
        <x:v>1.9788</x:v>
      </x:c>
      <x:c r="J639" s="12" t="n">
        <x:v>0.01959460886782455</x:v>
      </x:c>
      <x:c r="K639" s="12" t="n">
        <x:v>230912865</x:v>
      </x:c>
      <x:c r="L639" s="12" t="n">
        <x:v>268718458.805</x:v>
      </x:c>
      <x:c r="M639" s="12" t="str">
        <x:v>TuShare index_daily</x:v>
      </x:c>
    </x:row>
    <x:row r="640" ht="18" customHeight="1">
      <x:c r="A640" s="13" t="n">
        <x:v>43536</x:v>
      </x:c>
      <x:c r="B640" s="12" t="str">
        <x:v>000300.SH</x:v>
      </x:c>
      <x:c r="C640" s="12" t="n">
        <x:v>3758.3151</x:v>
      </x:c>
      <x:c r="D640" s="12" t="n">
        <x:v>3804.72</x:v>
      </x:c>
      <x:c r="E640" s="12" t="n">
        <x:v>3723.6785</x:v>
      </x:c>
      <x:c r="F640" s="12" t="n">
        <x:v>3755.3519</x:v>
      </x:c>
      <x:c r="G640" s="12" t="n">
        <x:v>3729.9546</x:v>
      </x:c>
      <x:c r="H640" s="12" t="n">
        <x:v>25.3973</x:v>
      </x:c>
      <x:c r="I640" s="12" t="n">
        <x:v>0.6809</x:v>
      </x:c>
      <x:c r="J640" s="12" t="n">
        <x:v>0.006785933871841623</x:v>
      </x:c>
      <x:c r="K640" s="12" t="n">
        <x:v>274926382</x:v>
      </x:c>
      <x:c r="L640" s="12" t="n">
        <x:v>325180619.759</x:v>
      </x:c>
      <x:c r="M640" s="12" t="str">
        <x:v>TuShare index_daily</x:v>
      </x:c>
    </x:row>
    <x:row r="641" ht="18" customHeight="1">
      <x:c r="A641" s="13" t="n">
        <x:v>43537</x:v>
      </x:c>
      <x:c r="B641" s="12" t="str">
        <x:v>000300.SH</x:v>
      </x:c>
      <x:c r="C641" s="12" t="n">
        <x:v>3758.713</x:v>
      </x:c>
      <x:c r="D641" s="12" t="n">
        <x:v>3763.0926</x:v>
      </x:c>
      <x:c r="E641" s="12" t="n">
        <x:v>3708.8145</x:v>
      </x:c>
      <x:c r="F641" s="12" t="n">
        <x:v>3724.1941</x:v>
      </x:c>
      <x:c r="G641" s="12" t="n">
        <x:v>3755.3519</x:v>
      </x:c>
      <x:c r="H641" s="12" t="n">
        <x:v>-31.1578</x:v>
      </x:c>
      <x:c r="I641" s="12" t="n">
        <x:v>-0.8297</x:v>
      </x:c>
      <x:c r="J641" s="12" t="n">
        <x:v>-0.00833151644030722</x:v>
      </x:c>
      <x:c r="K641" s="12" t="n">
        <x:v>233682248</x:v>
      </x:c>
      <x:c r="L641" s="12" t="n">
        <x:v>286171048.16</x:v>
      </x:c>
      <x:c r="M641" s="12" t="str">
        <x:v>TuShare index_daily</x:v>
      </x:c>
    </x:row>
    <x:row r="642" ht="18" customHeight="1">
      <x:c r="A642" s="13" t="n">
        <x:v>43538</x:v>
      </x:c>
      <x:c r="B642" s="12" t="str">
        <x:v>000300.SH</x:v>
      </x:c>
      <x:c r="C642" s="12" t="n">
        <x:v>3710.2934</x:v>
      </x:c>
      <x:c r="D642" s="12" t="n">
        <x:v>3747.819</x:v>
      </x:c>
      <x:c r="E642" s="12" t="n">
        <x:v>3673.8509</x:v>
      </x:c>
      <x:c r="F642" s="12" t="n">
        <x:v>3698.4858</x:v>
      </x:c>
      <x:c r="G642" s="12" t="n">
        <x:v>3724.1941</x:v>
      </x:c>
      <x:c r="H642" s="12" t="n">
        <x:v>-25.7083</x:v>
      </x:c>
      <x:c r="I642" s="12" t="n">
        <x:v>-0.6903</x:v>
      </x:c>
      <x:c r="J642" s="12" t="n">
        <x:v>-0.006926986787349062</x:v>
      </x:c>
      <x:c r="K642" s="12" t="n">
        <x:v>190817237</x:v>
      </x:c>
      <x:c r="L642" s="12" t="n">
        <x:v>231820149.39</x:v>
      </x:c>
      <x:c r="M642" s="12" t="str">
        <x:v>TuShare index_daily</x:v>
      </x:c>
    </x:row>
    <x:row r="643" ht="18" customHeight="1">
      <x:c r="A643" s="13" t="n">
        <x:v>43539</x:v>
      </x:c>
      <x:c r="B643" s="12" t="str">
        <x:v>000300.SH</x:v>
      </x:c>
      <x:c r="C643" s="12" t="n">
        <x:v>3713.936</x:v>
      </x:c>
      <x:c r="D643" s="12" t="n">
        <x:v>3782.2364</x:v>
      </x:c>
      <x:c r="E643" s="12" t="n">
        <x:v>3713.936</x:v>
      </x:c>
      <x:c r="F643" s="12" t="n">
        <x:v>3745.005</x:v>
      </x:c>
      <x:c r="G643" s="12" t="n">
        <x:v>3698.4858</x:v>
      </x:c>
      <x:c r="H643" s="12" t="n">
        <x:v>46.5192</x:v>
      </x:c>
      <x:c r="I643" s="12" t="n">
        <x:v>1.2578</x:v>
      </x:c>
      <x:c r="J643" s="12" t="n">
        <x:v>0.012499459437710598</x:v>
      </x:c>
      <x:c r="K643" s="12" t="n">
        <x:v>175174544</x:v>
      </x:c>
      <x:c r="L643" s="12" t="n">
        <x:v>224194362.925</x:v>
      </x:c>
      <x:c r="M643" s="12" t="str">
        <x:v>TuShare index_daily</x:v>
      </x:c>
    </x:row>
    <x:row r="644" ht="18" customHeight="1">
      <x:c r="A644" s="13" t="n">
        <x:v>43542</x:v>
      </x:c>
      <x:c r="B644" s="12" t="str">
        <x:v>000300.SH</x:v>
      </x:c>
      <x:c r="C644" s="12" t="n">
        <x:v>3753.6436</x:v>
      </x:c>
      <x:c r="D644" s="12" t="n">
        <x:v>3851.7479</x:v>
      </x:c>
      <x:c r="E644" s="12" t="n">
        <x:v>3733.6781</x:v>
      </x:c>
      <x:c r="F644" s="12" t="n">
        <x:v>3851.7479</x:v>
      </x:c>
      <x:c r="G644" s="12" t="n">
        <x:v>3745.005</x:v>
      </x:c>
      <x:c r="H644" s="12" t="n">
        <x:v>106.7429</x:v>
      </x:c>
      <x:c r="I644" s="12" t="n">
        <x:v>2.8503</x:v>
      </x:c>
      <x:c r="J644" s="12" t="n">
        <x:v>0.02810409319109816</x:v>
      </x:c>
      <x:c r="K644" s="12" t="n">
        <x:v>216928060</x:v>
      </x:c>
      <x:c r="L644" s="12" t="n">
        <x:v>276473448.87</x:v>
      </x:c>
      <x:c r="M644" s="12" t="str">
        <x:v>TuShare index_daily</x:v>
      </x:c>
    </x:row>
    <x:row r="645" ht="18" customHeight="1">
      <x:c r="A645" s="13" t="n">
        <x:v>43543</x:v>
      </x:c>
      <x:c r="B645" s="12" t="str">
        <x:v>000300.SH</x:v>
      </x:c>
      <x:c r="C645" s="12" t="n">
        <x:v>3856.5885</x:v>
      </x:c>
      <x:c r="D645" s="12" t="n">
        <x:v>3868.335</x:v>
      </x:c>
      <x:c r="E645" s="12" t="n">
        <x:v>3815.2187</x:v>
      </x:c>
      <x:c r="F645" s="12" t="n">
        <x:v>3833.9626</x:v>
      </x:c>
      <x:c r="G645" s="12" t="n">
        <x:v>3851.7479</x:v>
      </x:c>
      <x:c r="H645" s="12" t="n">
        <x:v>-17.7853</x:v>
      </x:c>
      <x:c r="I645" s="12" t="n">
        <x:v>-0.4617</x:v>
      </x:c>
      <x:c r="J645" s="12" t="n">
        <x:v>-0.0046281555222481095</x:v>
      </x:c>
      <x:c r="K645" s="12" t="n">
        <x:v>181727110</x:v>
      </x:c>
      <x:c r="L645" s="12" t="n">
        <x:v>224096889.634</x:v>
      </x:c>
      <x:c r="M645" s="12" t="str">
        <x:v>TuShare index_daily</x:v>
      </x:c>
    </x:row>
    <x:row r="646" ht="18" customHeight="1">
      <x:c r="A646" s="13" t="n">
        <x:v>43544</x:v>
      </x:c>
      <x:c r="B646" s="12" t="str">
        <x:v>000300.SH</x:v>
      </x:c>
      <x:c r="C646" s="12" t="n">
        <x:v>3825.3356</x:v>
      </x:c>
      <x:c r="D646" s="12" t="n">
        <x:v>3855.1465</x:v>
      </x:c>
      <x:c r="E646" s="12" t="n">
        <x:v>3790.5119</x:v>
      </x:c>
      <x:c r="F646" s="12" t="n">
        <x:v>3835.4397</x:v>
      </x:c>
      <x:c r="G646" s="12" t="n">
        <x:v>3833.9626</x:v>
      </x:c>
      <x:c r="H646" s="12" t="n">
        <x:v>1.4771</x:v>
      </x:c>
      <x:c r="I646" s="12" t="n">
        <x:v>0.0385</x:v>
      </x:c>
      <x:c r="J646" s="12" t="n">
        <x:v>0.00038519299431279954</x:v>
      </x:c>
      <x:c r="K646" s="12" t="n">
        <x:v>175632090</x:v>
      </x:c>
      <x:c r="L646" s="12" t="n">
        <x:v>215406993.602</x:v>
      </x:c>
      <x:c r="M646" s="12" t="str">
        <x:v>TuShare index_daily</x:v>
      </x:c>
    </x:row>
    <x:row r="647" ht="18" customHeight="1">
      <x:c r="A647" s="13" t="n">
        <x:v>43545</x:v>
      </x:c>
      <x:c r="B647" s="12" t="str">
        <x:v>000300.SH</x:v>
      </x:c>
      <x:c r="C647" s="12" t="n">
        <x:v>3840.2783</x:v>
      </x:c>
      <x:c r="D647" s="12" t="n">
        <x:v>3864.0696</x:v>
      </x:c>
      <x:c r="E647" s="12" t="n">
        <x:v>3823.4661</x:v>
      </x:c>
      <x:c r="F647" s="12" t="n">
        <x:v>3836.8913</x:v>
      </x:c>
      <x:c r="G647" s="12" t="n">
        <x:v>3835.4397</x:v>
      </x:c>
      <x:c r="H647" s="12" t="n">
        <x:v>1.4516</x:v>
      </x:c>
      <x:c r="I647" s="12" t="n">
        <x:v>0.0378</x:v>
      </x:c>
      <x:c r="J647" s="12" t="n">
        <x:v>0.0003783986945611922</x:v>
      </x:c>
      <x:c r="K647" s="12" t="n">
        <x:v>196310310</x:v>
      </x:c>
      <x:c r="L647" s="12" t="n">
        <x:v>231993445.602</x:v>
      </x:c>
      <x:c r="M647" s="12" t="str">
        <x:v>TuShare index_daily</x:v>
      </x:c>
    </x:row>
    <x:row r="648" ht="18" customHeight="1">
      <x:c r="A648" s="13" t="n">
        <x:v>43546</x:v>
      </x:c>
      <x:c r="B648" s="12" t="str">
        <x:v>000300.SH</x:v>
      </x:c>
      <x:c r="C648" s="12" t="n">
        <x:v>3838.1255</x:v>
      </x:c>
      <x:c r="D648" s="12" t="n">
        <x:v>3845.5808</x:v>
      </x:c>
      <x:c r="E648" s="12" t="n">
        <x:v>3786.5917</x:v>
      </x:c>
      <x:c r="F648" s="12" t="n">
        <x:v>3833.8013</x:v>
      </x:c>
      <x:c r="G648" s="12" t="n">
        <x:v>3836.8913</x:v>
      </x:c>
      <x:c r="H648" s="12" t="n">
        <x:v>-3.09</x:v>
      </x:c>
      <x:c r="I648" s="12" t="n">
        <x:v>-0.0805</x:v>
      </x:c>
      <x:c r="J648" s="12" t="n">
        <x:v>-0.0008056639284805862</x:v>
      </x:c>
      <x:c r="K648" s="12" t="n">
        <x:v>171356993</x:v>
      </x:c>
      <x:c r="L648" s="12" t="n">
        <x:v>198518386.319</x:v>
      </x:c>
      <x:c r="M648" s="12" t="str">
        <x:v>TuShare index_daily</x:v>
      </x:c>
    </x:row>
    <x:row r="649" ht="18" customHeight="1">
      <x:c r="A649" s="13" t="n">
        <x:v>43549</x:v>
      </x:c>
      <x:c r="B649" s="12" t="str">
        <x:v>000300.SH</x:v>
      </x:c>
      <x:c r="C649" s="12" t="n">
        <x:v>3776.4426</x:v>
      </x:c>
      <x:c r="D649" s="12" t="n">
        <x:v>3807.1793</x:v>
      </x:c>
      <x:c r="E649" s="12" t="n">
        <x:v>3741.6062</x:v>
      </x:c>
      <x:c r="F649" s="12" t="n">
        <x:v>3742.8252</x:v>
      </x:c>
      <x:c r="G649" s="12" t="n">
        <x:v>3833.8013</x:v>
      </x:c>
      <x:c r="H649" s="12" t="n">
        <x:v>-90.9761</x:v>
      </x:c>
      <x:c r="I649" s="12" t="n">
        <x:v>-2.373</x:v>
      </x:c>
      <x:c r="J649" s="12" t="n">
        <x:v>-0.02401609018684471</x:v>
      </x:c>
      <x:c r="K649" s="12" t="n">
        <x:v>198586329</x:v>
      </x:c>
      <x:c r="L649" s="12" t="n">
        <x:v>223396564.361</x:v>
      </x:c>
      <x:c r="M649" s="12" t="str">
        <x:v>TuShare index_daily</x:v>
      </x:c>
    </x:row>
    <x:row r="650" ht="18" customHeight="1">
      <x:c r="A650" s="13" t="n">
        <x:v>43550</x:v>
      </x:c>
      <x:c r="B650" s="12" t="str">
        <x:v>000300.SH</x:v>
      </x:c>
      <x:c r="C650" s="12" t="n">
        <x:v>3766.5287</x:v>
      </x:c>
      <x:c r="D650" s="12" t="n">
        <x:v>3770.843</x:v>
      </x:c>
      <x:c r="E650" s="12" t="n">
        <x:v>3687.5472</x:v>
      </x:c>
      <x:c r="F650" s="12" t="n">
        <x:v>3700.4388</x:v>
      </x:c>
      <x:c r="G650" s="12" t="n">
        <x:v>3742.8252</x:v>
      </x:c>
      <x:c r="H650" s="12" t="n">
        <x:v>-42.3864</x:v>
      </x:c>
      <x:c r="I650" s="12" t="n">
        <x:v>-1.1325</x:v>
      </x:c>
      <x:c r="J650" s="12" t="n">
        <x:v>-0.011389320111184707</x:v>
      </x:c>
      <x:c r="K650" s="12" t="n">
        <x:v>173046579</x:v>
      </x:c>
      <x:c r="L650" s="12" t="n">
        <x:v>196547811.179</x:v>
      </x:c>
      <x:c r="M650" s="12" t="str">
        <x:v>TuShare index_daily</x:v>
      </x:c>
    </x:row>
    <x:row r="651" ht="18" customHeight="1">
      <x:c r="A651" s="13" t="n">
        <x:v>43551</x:v>
      </x:c>
      <x:c r="B651" s="12" t="str">
        <x:v>000300.SH</x:v>
      </x:c>
      <x:c r="C651" s="12" t="n">
        <x:v>3724.4058</x:v>
      </x:c>
      <x:c r="D651" s="12" t="n">
        <x:v>3750.2642</x:v>
      </x:c>
      <x:c r="E651" s="12" t="n">
        <x:v>3703.4508</x:v>
      </x:c>
      <x:c r="F651" s="12" t="n">
        <x:v>3743.3878</x:v>
      </x:c>
      <x:c r="G651" s="12" t="n">
        <x:v>3700.4388</x:v>
      </x:c>
      <x:c r="H651" s="12" t="n">
        <x:v>42.949</x:v>
      </x:c>
      <x:c r="I651" s="12" t="n">
        <x:v>1.1606</x:v>
      </x:c>
      <x:c r="J651" s="12" t="n">
        <x:v>0.011539623075062276</x:v>
      </x:c>
      <x:c r="K651" s="12" t="n">
        <x:v>138758454</x:v>
      </x:c>
      <x:c r="L651" s="12" t="n">
        <x:v>177507528.442</x:v>
      </x:c>
      <x:c r="M651" s="12" t="str">
        <x:v>TuShare index_daily</x:v>
      </x:c>
    </x:row>
    <x:row r="652" ht="18" customHeight="1">
      <x:c r="A652" s="13" t="n">
        <x:v>43552</x:v>
      </x:c>
      <x:c r="B652" s="12" t="str">
        <x:v>000300.SH</x:v>
      </x:c>
      <x:c r="C652" s="12" t="n">
        <x:v>3731.0612</x:v>
      </x:c>
      <x:c r="D652" s="12" t="n">
        <x:v>3755.716</x:v>
      </x:c>
      <x:c r="E652" s="12" t="n">
        <x:v>3710.0814</x:v>
      </x:c>
      <x:c r="F652" s="12" t="n">
        <x:v>3728.3953</x:v>
      </x:c>
      <x:c r="G652" s="12" t="n">
        <x:v>3743.3878</x:v>
      </x:c>
      <x:c r="H652" s="12" t="n">
        <x:v>-14.9925</x:v>
      </x:c>
      <x:c r="I652" s="12" t="n">
        <x:v>-0.4005</x:v>
      </x:c>
      <x:c r="J652" s="12" t="n">
        <x:v>-0.004013103678338908</x:v>
      </x:c>
      <x:c r="K652" s="12" t="n">
        <x:v>133272129</x:v>
      </x:c>
      <x:c r="L652" s="12" t="n">
        <x:v>172604392.908</x:v>
      </x:c>
      <x:c r="M652" s="12" t="str">
        <x:v>TuShare index_daily</x:v>
      </x:c>
    </x:row>
    <x:row r="653" ht="18" customHeight="1">
      <x:c r="A653" s="13" t="n">
        <x:v>43553</x:v>
      </x:c>
      <x:c r="B653" s="12" t="str">
        <x:v>000300.SH</x:v>
      </x:c>
      <x:c r="C653" s="12" t="n">
        <x:v>3739.7739</x:v>
      </x:c>
      <x:c r="D653" s="12" t="n">
        <x:v>3876.379</x:v>
      </x:c>
      <x:c r="E653" s="12" t="n">
        <x:v>3739.7739</x:v>
      </x:c>
      <x:c r="F653" s="12" t="n">
        <x:v>3872.3412</x:v>
      </x:c>
      <x:c r="G653" s="12" t="n">
        <x:v>3728.3953</x:v>
      </x:c>
      <x:c r="H653" s="12" t="n">
        <x:v>143.9459</x:v>
      </x:c>
      <x:c r="I653" s="12" t="n">
        <x:v>3.8608</x:v>
      </x:c>
      <x:c r="J653" s="12" t="n">
        <x:v>0.03788135875700307</x:v>
      </x:c>
      <x:c r="K653" s="12" t="n">
        <x:v>215639103</x:v>
      </x:c>
      <x:c r="L653" s="12" t="n">
        <x:v>283022298.648</x:v>
      </x:c>
      <x:c r="M653" s="12" t="str">
        <x:v>TuShare index_daily</x:v>
      </x:c>
    </x:row>
    <x:row r="654" ht="18" customHeight="1">
      <x:c r="A654" s="13" t="n">
        <x:v>43556</x:v>
      </x:c>
      <x:c r="B654" s="12" t="str">
        <x:v>000300.SH</x:v>
      </x:c>
      <x:c r="C654" s="12" t="n">
        <x:v>3901.1698</x:v>
      </x:c>
      <x:c r="D654" s="12" t="n">
        <x:v>3982.9091</x:v>
      </x:c>
      <x:c r="E654" s="12" t="n">
        <x:v>3901.1698</x:v>
      </x:c>
      <x:c r="F654" s="12" t="n">
        <x:v>3973.928</x:v>
      </x:c>
      <x:c r="G654" s="12" t="n">
        <x:v>3872.3412</x:v>
      </x:c>
      <x:c r="H654" s="12" t="n">
        <x:v>101.5868</x:v>
      </x:c>
      <x:c r="I654" s="12" t="n">
        <x:v>2.6234</x:v>
      </x:c>
      <x:c r="J654" s="12" t="n">
        <x:v>0.02589574083330405</x:v>
      </x:c>
      <x:c r="K654" s="12" t="n">
        <x:v>271382704</x:v>
      </x:c>
      <x:c r="L654" s="12" t="n">
        <x:v>340799403.573</x:v>
      </x:c>
      <x:c r="M654" s="12" t="str">
        <x:v>TuShare index_daily</x:v>
      </x:c>
    </x:row>
    <x:row r="655" ht="18" customHeight="1">
      <x:c r="A655" s="13" t="n">
        <x:v>43557</x:v>
      </x:c>
      <x:c r="B655" s="12" t="str">
        <x:v>000300.SH</x:v>
      </x:c>
      <x:c r="C655" s="12" t="n">
        <x:v>3986.3443</x:v>
      </x:c>
      <x:c r="D655" s="12" t="n">
        <x:v>3988.0975</x:v>
      </x:c>
      <x:c r="E655" s="12" t="n">
        <x:v>3956.5059</x:v>
      </x:c>
      <x:c r="F655" s="12" t="n">
        <x:v>3971.2852</x:v>
      </x:c>
      <x:c r="G655" s="12" t="n">
        <x:v>3973.928</x:v>
      </x:c>
      <x:c r="H655" s="12" t="n">
        <x:v>-2.6428</x:v>
      </x:c>
      <x:c r="I655" s="12" t="n">
        <x:v>-0.0665</x:v>
      </x:c>
      <x:c r="J655" s="12" t="n">
        <x:v>-0.00066525592981389</x:v>
      </x:c>
      <x:c r="K655" s="12" t="n">
        <x:v>226000341</x:v>
      </x:c>
      <x:c r="L655" s="12" t="n">
        <x:v>281892057.021</x:v>
      </x:c>
      <x:c r="M655" s="12" t="str">
        <x:v>TuShare index_daily</x:v>
      </x:c>
    </x:row>
    <x:row r="656" ht="18" customHeight="1">
      <x:c r="A656" s="13" t="n">
        <x:v>43558</x:v>
      </x:c>
      <x:c r="B656" s="12" t="str">
        <x:v>000300.SH</x:v>
      </x:c>
      <x:c r="C656" s="12" t="n">
        <x:v>3947.8697</x:v>
      </x:c>
      <x:c r="D656" s="12" t="n">
        <x:v>4026.4972</x:v>
      </x:c>
      <x:c r="E656" s="12" t="n">
        <x:v>3939.7837</x:v>
      </x:c>
      <x:c r="F656" s="12" t="n">
        <x:v>4022.1566</x:v>
      </x:c>
      <x:c r="G656" s="12" t="n">
        <x:v>3971.2852</x:v>
      </x:c>
      <x:c r="H656" s="12" t="n">
        <x:v>50.8714</x:v>
      </x:c>
      <x:c r="I656" s="12" t="n">
        <x:v>1.281</x:v>
      </x:c>
      <x:c r="J656" s="12" t="n">
        <x:v>0.012728456175082285</x:v>
      </x:c>
      <x:c r="K656" s="12" t="n">
        <x:v>231917368</x:v>
      </x:c>
      <x:c r="L656" s="12" t="n">
        <x:v>284826495.445</x:v>
      </x:c>
      <x:c r="M656" s="12" t="str">
        <x:v>TuShare index_daily</x:v>
      </x:c>
    </x:row>
    <x:row r="657" ht="18" customHeight="1">
      <x:c r="A657" s="13" t="n">
        <x:v>43559</x:v>
      </x:c>
      <x:c r="B657" s="12" t="str">
        <x:v>000300.SH</x:v>
      </x:c>
      <x:c r="C657" s="12" t="n">
        <x:v>4039.7415</x:v>
      </x:c>
      <x:c r="D657" s="12" t="n">
        <x:v>4072.1138</x:v>
      </x:c>
      <x:c r="E657" s="12" t="n">
        <x:v>4021.7055</x:v>
      </x:c>
      <x:c r="F657" s="12" t="n">
        <x:v>4062.2309</x:v>
      </x:c>
      <x:c r="G657" s="12" t="n">
        <x:v>4022.1566</x:v>
      </x:c>
      <x:c r="H657" s="12" t="n">
        <x:v>40.0743</x:v>
      </x:c>
      <x:c r="I657" s="12" t="n">
        <x:v>0.9963</x:v>
      </x:c>
      <x:c r="J657" s="12" t="n">
        <x:v>0.009914079016601029</x:v>
      </x:c>
      <x:c r="K657" s="12" t="n">
        <x:v>260410939</x:v>
      </x:c>
      <x:c r="L657" s="12" t="n">
        <x:v>313539431.378</x:v>
      </x:c>
      <x:c r="M657" s="12" t="str">
        <x:v>TuShare index_daily</x:v>
      </x:c>
    </x:row>
    <x:row r="658" ht="18" customHeight="1">
      <x:c r="A658" s="13" t="n">
        <x:v>43563</x:v>
      </x:c>
      <x:c r="B658" s="12" t="str">
        <x:v>000300.SH</x:v>
      </x:c>
      <x:c r="C658" s="12" t="n">
        <x:v>4097.1027</x:v>
      </x:c>
      <x:c r="D658" s="12" t="n">
        <x:v>4122.6034</x:v>
      </x:c>
      <x:c r="E658" s="12" t="n">
        <x:v>4017.4887</x:v>
      </x:c>
      <x:c r="F658" s="12" t="n">
        <x:v>4057.2286</x:v>
      </x:c>
      <x:c r="G658" s="12" t="n">
        <x:v>4062.2309</x:v>
      </x:c>
      <x:c r="H658" s="12" t="n">
        <x:v>-5.0023</x:v>
      </x:c>
      <x:c r="I658" s="12" t="n">
        <x:v>-0.1231</x:v>
      </x:c>
      <x:c r="J658" s="12" t="n">
        <x:v>-0.0012321757705419608</x:v>
      </x:c>
      <x:c r="K658" s="12" t="n">
        <x:v>267505576</x:v>
      </x:c>
      <x:c r="L658" s="12" t="n">
        <x:v>324670452.523</x:v>
      </x:c>
      <x:c r="M658" s="12" t="str">
        <x:v>TuShare index_daily</x:v>
      </x:c>
    </x:row>
    <x:row r="659" ht="18" customHeight="1">
      <x:c r="A659" s="13" t="n">
        <x:v>43564</x:v>
      </x:c>
      <x:c r="B659" s="12" t="str">
        <x:v>000300.SH</x:v>
      </x:c>
      <x:c r="C659" s="12" t="n">
        <x:v>4063.8139</x:v>
      </x:c>
      <x:c r="D659" s="12" t="n">
        <x:v>4084.243</x:v>
      </x:c>
      <x:c r="E659" s="12" t="n">
        <x:v>4038.2825</x:v>
      </x:c>
      <x:c r="F659" s="12" t="n">
        <x:v>4075.4301</x:v>
      </x:c>
      <x:c r="G659" s="12" t="n">
        <x:v>4057.2286</x:v>
      </x:c>
      <x:c r="H659" s="12" t="n">
        <x:v>18.2015</x:v>
      </x:c>
      <x:c r="I659" s="12" t="n">
        <x:v>0.4486</x:v>
      </x:c>
      <x:c r="J659" s="12" t="n">
        <x:v>0.004476157444159239</x:v>
      </x:c>
      <x:c r="K659" s="12" t="n">
        <x:v>182956808</x:v>
      </x:c>
      <x:c r="L659" s="12" t="n">
        <x:v>243187913.128</x:v>
      </x:c>
      <x:c r="M659" s="12" t="str">
        <x:v>TuShare index_daily</x:v>
      </x:c>
    </x:row>
    <x:row r="660" ht="18" customHeight="1">
      <x:c r="A660" s="13" t="n">
        <x:v>43565</x:v>
      </x:c>
      <x:c r="B660" s="12" t="str">
        <x:v>000300.SH</x:v>
      </x:c>
      <x:c r="C660" s="12" t="n">
        <x:v>4062.4425</x:v>
      </x:c>
      <x:c r="D660" s="12" t="n">
        <x:v>4115.378</x:v>
      </x:c>
      <x:c r="E660" s="12" t="n">
        <x:v>4035.4741</x:v>
      </x:c>
      <x:c r="F660" s="12" t="n">
        <x:v>4085.847</x:v>
      </x:c>
      <x:c r="G660" s="12" t="n">
        <x:v>4075.4301</x:v>
      </x:c>
      <x:c r="H660" s="12" t="n">
        <x:v>10.4169</x:v>
      </x:c>
      <x:c r="I660" s="12" t="n">
        <x:v>0.2556</x:v>
      </x:c>
      <x:c r="J660" s="12" t="n">
        <x:v>0.0025527636249231857</x:v>
      </x:c>
      <x:c r="K660" s="12" t="n">
        <x:v>194687613</x:v>
      </x:c>
      <x:c r="L660" s="12" t="n">
        <x:v>278282025.052</x:v>
      </x:c>
      <x:c r="M660" s="12" t="str">
        <x:v>TuShare index_daily</x:v>
      </x:c>
    </x:row>
    <x:row r="661" ht="18" customHeight="1">
      <x:c r="A661" s="13" t="n">
        <x:v>43566</x:v>
      </x:c>
      <x:c r="B661" s="12" t="str">
        <x:v>000300.SH</x:v>
      </x:c>
      <x:c r="C661" s="12" t="n">
        <x:v>4083.4618</x:v>
      </x:c>
      <x:c r="D661" s="12" t="n">
        <x:v>4097.1249</x:v>
      </x:c>
      <x:c r="E661" s="12" t="n">
        <x:v>3990.239</x:v>
      </x:c>
      <x:c r="F661" s="12" t="n">
        <x:v>3997.5778</x:v>
      </x:c>
      <x:c r="G661" s="12" t="n">
        <x:v>4085.847</x:v>
      </x:c>
      <x:c r="H661" s="12" t="n">
        <x:v>-88.2692</x:v>
      </x:c>
      <x:c r="I661" s="12" t="n">
        <x:v>-2.1604</x:v>
      </x:c>
      <x:c r="J661" s="12" t="n">
        <x:v>-0.021840423059991402</x:v>
      </x:c>
      <x:c r="K661" s="12" t="n">
        <x:v>169049641</x:v>
      </x:c>
      <x:c r="L661" s="12" t="n">
        <x:v>236259156.719</x:v>
      </x:c>
      <x:c r="M661" s="12" t="str">
        <x:v>TuShare index_daily</x:v>
      </x:c>
    </x:row>
    <x:row r="662" ht="18" customHeight="1">
      <x:c r="A662" s="13" t="n">
        <x:v>43567</x:v>
      </x:c>
      <x:c r="B662" s="12" t="str">
        <x:v>000300.SH</x:v>
      </x:c>
      <x:c r="C662" s="12" t="n">
        <x:v>3986.7822</x:v>
      </x:c>
      <x:c r="D662" s="12" t="n">
        <x:v>4006.9335</x:v>
      </x:c>
      <x:c r="E662" s="12" t="n">
        <x:v>3961.464</x:v>
      </x:c>
      <x:c r="F662" s="12" t="n">
        <x:v>3988.6168</x:v>
      </x:c>
      <x:c r="G662" s="12" t="n">
        <x:v>3997.5778</x:v>
      </x:c>
      <x:c r="H662" s="12" t="n">
        <x:v>-8.961</x:v>
      </x:c>
      <x:c r="I662" s="12" t="n">
        <x:v>-0.2242</x:v>
      </x:c>
      <x:c r="J662" s="12" t="n">
        <x:v>-0.0022441235681135564</x:v>
      </x:c>
      <x:c r="K662" s="12" t="n">
        <x:v>135862118</x:v>
      </x:c>
      <x:c r="L662" s="12" t="n">
        <x:v>178795939.062</x:v>
      </x:c>
      <x:c r="M662" s="12" t="str">
        <x:v>TuShare index_daily</x:v>
      </x:c>
    </x:row>
    <x:row r="663" ht="18" customHeight="1">
      <x:c r="A663" s="13" t="n">
        <x:v>43570</x:v>
      </x:c>
      <x:c r="B663" s="12" t="str">
        <x:v>000300.SH</x:v>
      </x:c>
      <x:c r="C663" s="12" t="n">
        <x:v>4056.4919</x:v>
      </x:c>
      <x:c r="D663" s="12" t="n">
        <x:v>4085.3882</x:v>
      </x:c>
      <x:c r="E663" s="12" t="n">
        <x:v>3974.2264</x:v>
      </x:c>
      <x:c r="F663" s="12" t="n">
        <x:v>3975.5244</x:v>
      </x:c>
      <x:c r="G663" s="12" t="n">
        <x:v>3988.6168</x:v>
      </x:c>
      <x:c r="H663" s="12" t="n">
        <x:v>-13.0924</x:v>
      </x:c>
      <x:c r="I663" s="12" t="n">
        <x:v>-0.3282</x:v>
      </x:c>
      <x:c r="J663" s="12" t="n">
        <x:v>-0.003287840199003918</x:v>
      </x:c>
      <x:c r="K663" s="12" t="n">
        <x:v>182645571</x:v>
      </x:c>
      <x:c r="L663" s="12" t="n">
        <x:v>236298721.391</x:v>
      </x:c>
      <x:c r="M663" s="12" t="str">
        <x:v>TuShare index_daily</x:v>
      </x:c>
    </x:row>
    <x:row r="664" ht="18" customHeight="1">
      <x:c r="A664" s="13" t="n">
        <x:v>43571</x:v>
      </x:c>
      <x:c r="B664" s="12" t="str">
        <x:v>000300.SH</x:v>
      </x:c>
      <x:c r="C664" s="12" t="n">
        <x:v>3958.0963</x:v>
      </x:c>
      <x:c r="D664" s="12" t="n">
        <x:v>4085.7891</x:v>
      </x:c>
      <x:c r="E664" s="12" t="n">
        <x:v>3943.4879</x:v>
      </x:c>
      <x:c r="F664" s="12" t="n">
        <x:v>4085.7891</x:v>
      </x:c>
      <x:c r="G664" s="12" t="n">
        <x:v>3975.5244</x:v>
      </x:c>
      <x:c r="H664" s="12" t="n">
        <x:v>110.2647</x:v>
      </x:c>
      <x:c r="I664" s="12" t="n">
        <x:v>2.7736</x:v>
      </x:c>
      <x:c r="J664" s="12" t="n">
        <x:v>0.02735821585833531</x:v>
      </x:c>
      <x:c r="K664" s="12" t="n">
        <x:v>202041966</x:v>
      </x:c>
      <x:c r="L664" s="12" t="n">
        <x:v>250569206.656</x:v>
      </x:c>
      <x:c r="M664" s="12" t="str">
        <x:v>TuShare index_daily</x:v>
      </x:c>
    </x:row>
    <x:row r="665" ht="18" customHeight="1">
      <x:c r="A665" s="13" t="n">
        <x:v>43572</x:v>
      </x:c>
      <x:c r="B665" s="12" t="str">
        <x:v>000300.SH</x:v>
      </x:c>
      <x:c r="C665" s="12" t="n">
        <x:v>4080.7172</x:v>
      </x:c>
      <x:c r="D665" s="12" t="n">
        <x:v>4106.6158</x:v>
      </x:c>
      <x:c r="E665" s="12" t="n">
        <x:v>4057.5032</x:v>
      </x:c>
      <x:c r="F665" s="12" t="n">
        <x:v>4087.2398</x:v>
      </x:c>
      <x:c r="G665" s="12" t="n">
        <x:v>4085.7891</x:v>
      </x:c>
      <x:c r="H665" s="12" t="n">
        <x:v>1.4507</x:v>
      </x:c>
      <x:c r="I665" s="12" t="n">
        <x:v>0.0355</x:v>
      </x:c>
      <x:c r="J665" s="12" t="n">
        <x:v>0.00035499691313591156</x:v>
      </x:c>
      <x:c r="K665" s="12" t="n">
        <x:v>180367117</x:v>
      </x:c>
      <x:c r="L665" s="12" t="n">
        <x:v>228824429.887</x:v>
      </x:c>
      <x:c r="M665" s="12" t="str">
        <x:v>TuShare index_daily</x:v>
      </x:c>
    </x:row>
    <x:row r="666" ht="18" customHeight="1">
      <x:c r="A666" s="13" t="n">
        <x:v>43573</x:v>
      </x:c>
      <x:c r="B666" s="12" t="str">
        <x:v>000300.SH</x:v>
      </x:c>
      <x:c r="C666" s="12" t="n">
        <x:v>4085.1148</x:v>
      </x:c>
      <x:c r="D666" s="12" t="n">
        <x:v>4094.0533</x:v>
      </x:c>
      <x:c r="E666" s="12" t="n">
        <x:v>4056.2356</x:v>
      </x:c>
      <x:c r="F666" s="12" t="n">
        <x:v>4072.0753</x:v>
      </x:c>
      <x:c r="G666" s="12" t="n">
        <x:v>4087.2398</x:v>
      </x:c>
      <x:c r="H666" s="12" t="n">
        <x:v>-15.1645</x:v>
      </x:c>
      <x:c r="I666" s="12" t="n">
        <x:v>-0.371</x:v>
      </x:c>
      <x:c r="J666" s="12" t="n">
        <x:v>-0.0037171054860949664</x:v>
      </x:c>
      <x:c r="K666" s="12" t="n">
        <x:v>146562123</x:v>
      </x:c>
      <x:c r="L666" s="12" t="n">
        <x:v>187812687.767</x:v>
      </x:c>
      <x:c r="M666" s="12" t="str">
        <x:v>TuShare index_daily</x:v>
      </x:c>
    </x:row>
    <x:row r="667" ht="18" customHeight="1">
      <x:c r="A667" s="13" t="n">
        <x:v>43574</x:v>
      </x:c>
      <x:c r="B667" s="12" t="str">
        <x:v>000300.SH</x:v>
      </x:c>
      <x:c r="C667" s="12" t="n">
        <x:v>4076.2953</x:v>
      </x:c>
      <x:c r="D667" s="12" t="n">
        <x:v>4120.6356</x:v>
      </x:c>
      <x:c r="E667" s="12" t="n">
        <x:v>4046.2042</x:v>
      </x:c>
      <x:c r="F667" s="12" t="n">
        <x:v>4120.6078</x:v>
      </x:c>
      <x:c r="G667" s="12" t="n">
        <x:v>4072.0753</x:v>
      </x:c>
      <x:c r="H667" s="12" t="n">
        <x:v>48.5325</x:v>
      </x:c>
      <x:c r="I667" s="12" t="n">
        <x:v>1.1918</x:v>
      </x:c>
      <x:c r="J667" s="12" t="n">
        <x:v>0.011847905533946322</x:v>
      </x:c>
      <x:c r="K667" s="12" t="n">
        <x:v>150794910</x:v>
      </x:c>
      <x:c r="L667" s="12" t="n">
        <x:v>194701690.763</x:v>
      </x:c>
      <x:c r="M667" s="12" t="str">
        <x:v>TuShare index_daily</x:v>
      </x:c>
    </x:row>
    <x:row r="668" ht="18" customHeight="1">
      <x:c r="A668" s="13" t="n">
        <x:v>43577</x:v>
      </x:c>
      <x:c r="B668" s="12" t="str">
        <x:v>000300.SH</x:v>
      </x:c>
      <x:c r="C668" s="12" t="n">
        <x:v>4125.9717</x:v>
      </x:c>
      <x:c r="D668" s="12" t="n">
        <x:v>4126.0907</x:v>
      </x:c>
      <x:c r="E668" s="12" t="n">
        <x:v>4015.4748</x:v>
      </x:c>
      <x:c r="F668" s="12" t="n">
        <x:v>4025.6109</x:v>
      </x:c>
      <x:c r="G668" s="12" t="n">
        <x:v>4120.6078</x:v>
      </x:c>
      <x:c r="H668" s="12" t="n">
        <x:v>-94.9969</x:v>
      </x:c>
      <x:c r="I668" s="12" t="n">
        <x:v>-2.3054</x:v>
      </x:c>
      <x:c r="J668" s="12" t="n">
        <x:v>-0.023324001001474155</x:v>
      </x:c>
      <x:c r="K668" s="12" t="n">
        <x:v>189353745</x:v>
      </x:c>
      <x:c r="L668" s="12" t="n">
        <x:v>244380549.239</x:v>
      </x:c>
      <x:c r="M668" s="12" t="str">
        <x:v>TuShare index_daily</x:v>
      </x:c>
    </x:row>
    <x:row r="669" ht="18" customHeight="1">
      <x:c r="A669" s="13" t="n">
        <x:v>43578</x:v>
      </x:c>
      <x:c r="B669" s="12" t="str">
        <x:v>000300.SH</x:v>
      </x:c>
      <x:c r="C669" s="12" t="n">
        <x:v>4021.6277</x:v>
      </x:c>
      <x:c r="D669" s="12" t="n">
        <x:v>4061.0858</x:v>
      </x:c>
      <x:c r="E669" s="12" t="n">
        <x:v>4005.2832</x:v>
      </x:c>
      <x:c r="F669" s="12" t="n">
        <x:v>4019.0053</x:v>
      </x:c>
      <x:c r="G669" s="12" t="n">
        <x:v>4025.6109</x:v>
      </x:c>
      <x:c r="H669" s="12" t="n">
        <x:v>-6.6056</x:v>
      </x:c>
      <x:c r="I669" s="12" t="n">
        <x:v>-0.1641</x:v>
      </x:c>
      <x:c r="J669" s="12" t="n">
        <x:v>-0.0016422415489716503</x:v>
      </x:c>
      <x:c r="K669" s="12" t="n">
        <x:v>155611650</x:v>
      </x:c>
      <x:c r="L669" s="12" t="n">
        <x:v>204121505.816</x:v>
      </x:c>
      <x:c r="M669" s="12" t="str">
        <x:v>TuShare index_daily</x:v>
      </x:c>
    </x:row>
    <x:row r="670" ht="18" customHeight="1">
      <x:c r="A670" s="13" t="n">
        <x:v>43579</x:v>
      </x:c>
      <x:c r="B670" s="12" t="str">
        <x:v>000300.SH</x:v>
      </x:c>
      <x:c r="C670" s="12" t="n">
        <x:v>4033.6292</x:v>
      </x:c>
      <x:c r="D670" s="12" t="n">
        <x:v>4044.3375</x:v>
      </x:c>
      <x:c r="E670" s="12" t="n">
        <x:v>3967.8058</x:v>
      </x:c>
      <x:c r="F670" s="12" t="n">
        <x:v>4030.0887</x:v>
      </x:c>
      <x:c r="G670" s="12" t="n">
        <x:v>4019.0053</x:v>
      </x:c>
      <x:c r="H670" s="12" t="n">
        <x:v>11.0834</x:v>
      </x:c>
      <x:c r="I670" s="12" t="n">
        <x:v>0.2758</x:v>
      </x:c>
      <x:c r="J670" s="12" t="n">
        <x:v>0.0027539514397365993</x:v>
      </x:c>
      <x:c r="K670" s="12" t="n">
        <x:v>145498695</x:v>
      </x:c>
      <x:c r="L670" s="12" t="n">
        <x:v>186497961.652</x:v>
      </x:c>
      <x:c r="M670" s="12" t="str">
        <x:v>TuShare index_daily</x:v>
      </x:c>
    </x:row>
    <x:row r="671" ht="18" customHeight="1">
      <x:c r="A671" s="13" t="n">
        <x:v>43580</x:v>
      </x:c>
      <x:c r="B671" s="12" t="str">
        <x:v>000300.SH</x:v>
      </x:c>
      <x:c r="C671" s="12" t="n">
        <x:v>4013.6027</x:v>
      </x:c>
      <x:c r="D671" s="12" t="n">
        <x:v>4022.5631</x:v>
      </x:c>
      <x:c r="E671" s="12" t="n">
        <x:v>3938.3251</x:v>
      </x:c>
      <x:c r="F671" s="12" t="n">
        <x:v>3941.816</x:v>
      </x:c>
      <x:c r="G671" s="12" t="n">
        <x:v>4030.0887</x:v>
      </x:c>
      <x:c r="H671" s="12" t="n">
        <x:v>-88.2727</x:v>
      </x:c>
      <x:c r="I671" s="12" t="n">
        <x:v>-2.1903</x:v>
      </x:c>
      <x:c r="J671" s="12" t="n">
        <x:v>-0.022146854814603094</x:v>
      </x:c>
      <x:c r="K671" s="12" t="n">
        <x:v>159722071</x:v>
      </x:c>
      <x:c r="L671" s="12" t="n">
        <x:v>197530997.752</x:v>
      </x:c>
      <x:c r="M671" s="12" t="str">
        <x:v>TuShare index_daily</x:v>
      </x:c>
    </x:row>
    <x:row r="672" ht="18" customHeight="1">
      <x:c r="A672" s="13" t="n">
        <x:v>43581</x:v>
      </x:c>
      <x:c r="B672" s="12" t="str">
        <x:v>000300.SH</x:v>
      </x:c>
      <x:c r="C672" s="12" t="n">
        <x:v>3921.8909</x:v>
      </x:c>
      <x:c r="D672" s="12" t="n">
        <x:v>3943.8331</x:v>
      </x:c>
      <x:c r="E672" s="12" t="n">
        <x:v>3887.2525</x:v>
      </x:c>
      <x:c r="F672" s="12" t="n">
        <x:v>3889.2748</x:v>
      </x:c>
      <x:c r="G672" s="12" t="n">
        <x:v>3941.816</x:v>
      </x:c>
      <x:c r="H672" s="12" t="n">
        <x:v>-52.5412</x:v>
      </x:c>
      <x:c r="I672" s="12" t="n">
        <x:v>-1.3329</x:v>
      </x:c>
      <x:c r="J672" s="12" t="n">
        <x:v>-0.013418817311819368</x:v>
      </x:c>
      <x:c r="K672" s="12" t="n">
        <x:v>142008068</x:v>
      </x:c>
      <x:c r="L672" s="12" t="n">
        <x:v>186572137.127</x:v>
      </x:c>
      <x:c r="M672" s="12" t="str">
        <x:v>TuShare index_daily</x:v>
      </x:c>
    </x:row>
    <x:row r="673" ht="18" customHeight="1">
      <x:c r="A673" s="13" t="n">
        <x:v>43584</x:v>
      </x:c>
      <x:c r="B673" s="12" t="str">
        <x:v>000300.SH</x:v>
      </x:c>
      <x:c r="C673" s="12" t="n">
        <x:v>3896.5824</x:v>
      </x:c>
      <x:c r="D673" s="12" t="n">
        <x:v>3953.2288</x:v>
      </x:c>
      <x:c r="E673" s="12" t="n">
        <x:v>3875.452</x:v>
      </x:c>
      <x:c r="F673" s="12" t="n">
        <x:v>3900.3339</x:v>
      </x:c>
      <x:c r="G673" s="12" t="n">
        <x:v>3889.2748</x:v>
      </x:c>
      <x:c r="H673" s="12" t="n">
        <x:v>11.0591</x:v>
      </x:c>
      <x:c r="I673" s="12" t="n">
        <x:v>0.2843</x:v>
      </x:c>
      <x:c r="J673" s="12" t="n">
        <x:v>0.0028394513399157798</x:v>
      </x:c>
      <x:c r="K673" s="12" t="n">
        <x:v>153870927</x:v>
      </x:c>
      <x:c r="L673" s="12" t="n">
        <x:v>203946553.152</x:v>
      </x:c>
      <x:c r="M673" s="12" t="str">
        <x:v>TuShare index_daily</x:v>
      </x:c>
    </x:row>
    <x:row r="674" ht="18" customHeight="1">
      <x:c r="A674" s="13" t="n">
        <x:v>43585</x:v>
      </x:c>
      <x:c r="B674" s="12" t="str">
        <x:v>000300.SH</x:v>
      </x:c>
      <x:c r="C674" s="12" t="n">
        <x:v>3887.1799</x:v>
      </x:c>
      <x:c r="D674" s="12" t="n">
        <x:v>3923.1082</x:v>
      </x:c>
      <x:c r="E674" s="12" t="n">
        <x:v>3885.147</x:v>
      </x:c>
      <x:c r="F674" s="12" t="n">
        <x:v>3913.211</x:v>
      </x:c>
      <x:c r="G674" s="12" t="n">
        <x:v>3900.3339</x:v>
      </x:c>
      <x:c r="H674" s="12" t="n">
        <x:v>12.8771</x:v>
      </x:c>
      <x:c r="I674" s="12" t="n">
        <x:v>0.3302</x:v>
      </x:c>
      <x:c r="J674" s="12" t="n">
        <x:v>0.0032960997404286934</x:v>
      </x:c>
      <x:c r="K674" s="12" t="n">
        <x:v>116233376</x:v>
      </x:c>
      <x:c r="L674" s="12" t="n">
        <x:v>161665923.924</x:v>
      </x:c>
      <x:c r="M674" s="12" t="str">
        <x:v>TuShare index_daily</x:v>
      </x:c>
    </x:row>
    <x:row r="675" ht="18" customHeight="1">
      <x:c r="A675" s="13" t="n">
        <x:v>43591</x:v>
      </x:c>
      <x:c r="B675" s="12" t="str">
        <x:v>000300.SH</x:v>
      </x:c>
      <x:c r="C675" s="12" t="n">
        <x:v>3775.0765</x:v>
      </x:c>
      <x:c r="D675" s="12" t="n">
        <x:v>3791.6119</x:v>
      </x:c>
      <x:c r="E675" s="12" t="n">
        <x:v>3647.1405</x:v>
      </x:c>
      <x:c r="F675" s="12" t="n">
        <x:v>3684.6168</x:v>
      </x:c>
      <x:c r="G675" s="12" t="n">
        <x:v>3913.211</x:v>
      </x:c>
      <x:c r="H675" s="12" t="n">
        <x:v>-228.5942</x:v>
      </x:c>
      <x:c r="I675" s="12" t="n">
        <x:v>-5.8416</x:v>
      </x:c>
      <x:c r="J675" s="12" t="n">
        <x:v>-0.06019173350698634</x:v>
      </x:c>
      <x:c r="K675" s="12" t="n">
        <x:v>197472882</x:v>
      </x:c>
      <x:c r="L675" s="12" t="n">
        <x:v>254115400.089</x:v>
      </x:c>
      <x:c r="M675" s="12" t="str">
        <x:v>TuShare index_daily</x:v>
      </x:c>
    </x:row>
    <x:row r="676" ht="18" customHeight="1">
      <x:c r="A676" s="13" t="n">
        <x:v>43592</x:v>
      </x:c>
      <x:c r="B676" s="12" t="str">
        <x:v>000300.SH</x:v>
      </x:c>
      <x:c r="C676" s="12" t="n">
        <x:v>3702.2656</x:v>
      </x:c>
      <x:c r="D676" s="12" t="n">
        <x:v>3738.1767</x:v>
      </x:c>
      <x:c r="E676" s="12" t="n">
        <x:v>3671.8341</x:v>
      </x:c>
      <x:c r="F676" s="12" t="n">
        <x:v>3720.6684</x:v>
      </x:c>
      <x:c r="G676" s="12" t="n">
        <x:v>3684.6168</x:v>
      </x:c>
      <x:c r="H676" s="12" t="n">
        <x:v>36.0516</x:v>
      </x:c>
      <x:c r="I676" s="12" t="n">
        <x:v>0.9784</x:v>
      </x:c>
      <x:c r="J676" s="12" t="n">
        <x:v>0.009736798475485208</x:v>
      </x:c>
      <x:c r="K676" s="12" t="n">
        <x:v>132847654</x:v>
      </x:c>
      <x:c r="L676" s="12" t="n">
        <x:v>183659159.181</x:v>
      </x:c>
      <x:c r="M676" s="12" t="str">
        <x:v>TuShare index_daily</x:v>
      </x:c>
    </x:row>
    <x:row r="677" ht="18" customHeight="1">
      <x:c r="A677" s="13" t="n">
        <x:v>43593</x:v>
      </x:c>
      <x:c r="B677" s="12" t="str">
        <x:v>000300.SH</x:v>
      </x:c>
      <x:c r="C677" s="12" t="n">
        <x:v>3648.5489</x:v>
      </x:c>
      <x:c r="D677" s="12" t="n">
        <x:v>3722.9325</x:v>
      </x:c>
      <x:c r="E677" s="12" t="n">
        <x:v>3642.4981</x:v>
      </x:c>
      <x:c r="F677" s="12" t="n">
        <x:v>3667.4574</x:v>
      </x:c>
      <x:c r="G677" s="12" t="n">
        <x:v>3720.6684</x:v>
      </x:c>
      <x:c r="H677" s="12" t="n">
        <x:v>-53.211</x:v>
      </x:c>
      <x:c r="I677" s="12" t="n">
        <x:v>-1.4301</x:v>
      </x:c>
      <x:c r="J677" s="12" t="n">
        <x:v>-0.014404714138739342</x:v>
      </x:c>
      <x:c r="K677" s="12" t="n">
        <x:v>112867355</x:v>
      </x:c>
      <x:c r="L677" s="12" t="n">
        <x:v>145058486.354</x:v>
      </x:c>
      <x:c r="M677" s="12" t="str">
        <x:v>TuShare index_daily</x:v>
      </x:c>
    </x:row>
    <x:row r="678" ht="18" customHeight="1">
      <x:c r="A678" s="13" t="n">
        <x:v>43594</x:v>
      </x:c>
      <x:c r="B678" s="12" t="str">
        <x:v>000300.SH</x:v>
      </x:c>
      <x:c r="C678" s="12" t="n">
        <x:v>3637.346</x:v>
      </x:c>
      <x:c r="D678" s="12" t="n">
        <x:v>3656.8966</x:v>
      </x:c>
      <x:c r="E678" s="12" t="n">
        <x:v>3584.8227</x:v>
      </x:c>
      <x:c r="F678" s="12" t="n">
        <x:v>3599.7001</x:v>
      </x:c>
      <x:c r="G678" s="12" t="n">
        <x:v>3667.4574</x:v>
      </x:c>
      <x:c r="H678" s="12" t="n">
        <x:v>-67.7573</x:v>
      </x:c>
      <x:c r="I678" s="12" t="n">
        <x:v>-1.8475</x:v>
      </x:c>
      <x:c r="J678" s="12" t="n">
        <x:v>-0.018648078989208245</x:v>
      </x:c>
      <x:c r="K678" s="12" t="n">
        <x:v>101037394</x:v>
      </x:c>
      <x:c r="L678" s="12" t="n">
        <x:v>141829095.76</x:v>
      </x:c>
      <x:c r="M678" s="12" t="str">
        <x:v>TuShare index_daily</x:v>
      </x:c>
    </x:row>
    <x:row r="679" ht="18" customHeight="1">
      <x:c r="A679" s="13" t="n">
        <x:v>43595</x:v>
      </x:c>
      <x:c r="B679" s="12" t="str">
        <x:v>000300.SH</x:v>
      </x:c>
      <x:c r="C679" s="12" t="n">
        <x:v>3643.0557</x:v>
      </x:c>
      <x:c r="D679" s="12" t="n">
        <x:v>3732.9238</x:v>
      </x:c>
      <x:c r="E679" s="12" t="n">
        <x:v>3589.2906</x:v>
      </x:c>
      <x:c r="F679" s="12" t="n">
        <x:v>3730.4513</x:v>
      </x:c>
      <x:c r="G679" s="12" t="n">
        <x:v>3599.7001</x:v>
      </x:c>
      <x:c r="H679" s="12" t="n">
        <x:v>130.7512</x:v>
      </x:c>
      <x:c r="I679" s="12" t="n">
        <x:v>3.6323</x:v>
      </x:c>
      <x:c r="J679" s="12" t="n">
        <x:v>0.035678681857484</x:v>
      </x:c>
      <x:c r="K679" s="12" t="n">
        <x:v>148003847</x:v>
      </x:c>
      <x:c r="L679" s="12" t="n">
        <x:v>195067170.793</x:v>
      </x:c>
      <x:c r="M679" s="12" t="str">
        <x:v>TuShare index_daily</x:v>
      </x:c>
    </x:row>
    <x:row r="680" ht="18" customHeight="1">
      <x:c r="A680" s="13" t="n">
        <x:v>43598</x:v>
      </x:c>
      <x:c r="B680" s="12" t="str">
        <x:v>000300.SH</x:v>
      </x:c>
      <x:c r="C680" s="12" t="n">
        <x:v>3675.7597</x:v>
      </x:c>
      <x:c r="D680" s="12" t="n">
        <x:v>3702.9012</x:v>
      </x:c>
      <x:c r="E680" s="12" t="n">
        <x:v>3658.0004</x:v>
      </x:c>
      <x:c r="F680" s="12" t="n">
        <x:v>3668.7255</x:v>
      </x:c>
      <x:c r="G680" s="12" t="n">
        <x:v>3730.4513</x:v>
      </x:c>
      <x:c r="H680" s="12" t="n">
        <x:v>-61.7258</x:v>
      </x:c>
      <x:c r="I680" s="12" t="n">
        <x:v>-1.6546</x:v>
      </x:c>
      <x:c r="J680" s="12" t="n">
        <x:v>-0.01668489174577094</x:v>
      </x:c>
      <x:c r="K680" s="12" t="n">
        <x:v>103391860</x:v>
      </x:c>
      <x:c r="L680" s="12" t="n">
        <x:v>135053926.707</x:v>
      </x:c>
      <x:c r="M680" s="12" t="str">
        <x:v>TuShare index_daily</x:v>
      </x:c>
    </x:row>
    <x:row r="681" ht="18" customHeight="1">
      <x:c r="A681" s="13" t="n">
        <x:v>43599</x:v>
      </x:c>
      <x:c r="B681" s="12" t="str">
        <x:v>000300.SH</x:v>
      </x:c>
      <x:c r="C681" s="12" t="n">
        <x:v>3630.4388</x:v>
      </x:c>
      <x:c r="D681" s="12" t="n">
        <x:v>3683.2619</x:v>
      </x:c>
      <x:c r="E681" s="12" t="n">
        <x:v>3630.4388</x:v>
      </x:c>
      <x:c r="F681" s="12" t="n">
        <x:v>3645.1503</x:v>
      </x:c>
      <x:c r="G681" s="12" t="n">
        <x:v>3668.7255</x:v>
      </x:c>
      <x:c r="H681" s="12" t="n">
        <x:v>-23.5752</x:v>
      </x:c>
      <x:c r="I681" s="12" t="n">
        <x:v>-0.6426</x:v>
      </x:c>
      <x:c r="J681" s="12" t="n">
        <x:v>-0.006446727369720123</x:v>
      </x:c>
      <x:c r="K681" s="12" t="n">
        <x:v>102313460</x:v>
      </x:c>
      <x:c r="L681" s="12" t="n">
        <x:v>135262868.908</x:v>
      </x:c>
      <x:c r="M681" s="12" t="str">
        <x:v>TuShare index_daily</x:v>
      </x:c>
    </x:row>
    <x:row r="682" ht="18" customHeight="1">
      <x:c r="A682" s="13" t="n">
        <x:v>43600</x:v>
      </x:c>
      <x:c r="B682" s="12" t="str">
        <x:v>000300.SH</x:v>
      </x:c>
      <x:c r="C682" s="12" t="n">
        <x:v>3674.9931</x:v>
      </x:c>
      <x:c r="D682" s="12" t="n">
        <x:v>3741.0406</x:v>
      </x:c>
      <x:c r="E682" s="12" t="n">
        <x:v>3674.9931</x:v>
      </x:c>
      <x:c r="F682" s="12" t="n">
        <x:v>3727.0923</x:v>
      </x:c>
      <x:c r="G682" s="12" t="n">
        <x:v>3645.1503</x:v>
      </x:c>
      <x:c r="H682" s="12" t="n">
        <x:v>81.942</x:v>
      </x:c>
      <x:c r="I682" s="12" t="n">
        <x:v>2.248</x:v>
      </x:c>
      <x:c r="J682" s="12" t="n">
        <x:v>0.022230786238790882</x:v>
      </x:c>
      <x:c r="K682" s="12" t="n">
        <x:v>110161769</x:v>
      </x:c>
      <x:c r="L682" s="12" t="n">
        <x:v>152534546.781</x:v>
      </x:c>
      <x:c r="M682" s="12" t="str">
        <x:v>TuShare index_daily</x:v>
      </x:c>
    </x:row>
    <x:row r="683" ht="18" customHeight="1">
      <x:c r="A683" s="13" t="n">
        <x:v>43601</x:v>
      </x:c>
      <x:c r="B683" s="12" t="str">
        <x:v>000300.SH</x:v>
      </x:c>
      <x:c r="C683" s="12" t="n">
        <x:v>3720.039</x:v>
      </x:c>
      <x:c r="D683" s="12" t="n">
        <x:v>3745.1405</x:v>
      </x:c>
      <x:c r="E683" s="12" t="n">
        <x:v>3707.9032</x:v>
      </x:c>
      <x:c r="F683" s="12" t="n">
        <x:v>3743.9635</x:v>
      </x:c>
      <x:c r="G683" s="12" t="n">
        <x:v>3727.0923</x:v>
      </x:c>
      <x:c r="H683" s="12" t="n">
        <x:v>16.8712</x:v>
      </x:c>
      <x:c r="I683" s="12" t="n">
        <x:v>0.4527</x:v>
      </x:c>
      <x:c r="J683" s="12" t="n">
        <x:v>0.004516424219008419</x:v>
      </x:c>
      <x:c r="K683" s="12" t="n">
        <x:v>116258274</x:v>
      </x:c>
      <x:c r="L683" s="12" t="n">
        <x:v>139851940.057</x:v>
      </x:c>
      <x:c r="M683" s="12" t="str">
        <x:v>TuShare index_daily</x:v>
      </x:c>
    </x:row>
    <x:row r="684" ht="18" customHeight="1">
      <x:c r="A684" s="13" t="n">
        <x:v>43602</x:v>
      </x:c>
      <x:c r="B684" s="12" t="str">
        <x:v>000300.SH</x:v>
      </x:c>
      <x:c r="C684" s="12" t="n">
        <x:v>3744.8751</x:v>
      </x:c>
      <x:c r="D684" s="12" t="n">
        <x:v>3745.3555</x:v>
      </x:c>
      <x:c r="E684" s="12" t="n">
        <x:v>3637.5826</x:v>
      </x:c>
      <x:c r="F684" s="12" t="n">
        <x:v>3648.7609</x:v>
      </x:c>
      <x:c r="G684" s="12" t="n">
        <x:v>3743.9635</x:v>
      </x:c>
      <x:c r="H684" s="12" t="n">
        <x:v>-95.2026</x:v>
      </x:c>
      <x:c r="I684" s="12" t="n">
        <x:v>-2.5428</x:v>
      </x:c>
      <x:c r="J684" s="12" t="n">
        <x:v>-0.025757179130048855</x:v>
      </x:c>
      <x:c r="K684" s="12" t="n">
        <x:v>128453245</x:v>
      </x:c>
      <x:c r="L684" s="12" t="n">
        <x:v>154092349.652</x:v>
      </x:c>
      <x:c r="M684" s="12" t="str">
        <x:v>TuShare index_daily</x:v>
      </x:c>
    </x:row>
    <x:row r="685" ht="18" customHeight="1">
      <x:c r="A685" s="13" t="n">
        <x:v>43605</x:v>
      </x:c>
      <x:c r="B685" s="12" t="str">
        <x:v>000300.SH</x:v>
      </x:c>
      <x:c r="C685" s="12" t="n">
        <x:v>3635.7357</x:v>
      </x:c>
      <x:c r="D685" s="12" t="n">
        <x:v>3644.5</x:v>
      </x:c>
      <x:c r="E685" s="12" t="n">
        <x:v>3583.8324</x:v>
      </x:c>
      <x:c r="F685" s="12" t="n">
        <x:v>3617.7924</x:v>
      </x:c>
      <x:c r="G685" s="12" t="n">
        <x:v>3648.7609</x:v>
      </x:c>
      <x:c r="H685" s="12" t="n">
        <x:v>-30.9685</x:v>
      </x:c>
      <x:c r="I685" s="12" t="n">
        <x:v>-0.8487</x:v>
      </x:c>
      <x:c r="J685" s="12" t="n">
        <x:v>-0.008523624947157728</x:v>
      </x:c>
      <x:c r="K685" s="12" t="n">
        <x:v>108963477</x:v>
      </x:c>
      <x:c r="L685" s="12" t="n">
        <x:v>134194262.584</x:v>
      </x:c>
      <x:c r="M685" s="12" t="str">
        <x:v>TuShare index_daily</x:v>
      </x:c>
    </x:row>
    <x:row r="686" ht="18" customHeight="1">
      <x:c r="A686" s="13" t="n">
        <x:v>43606</x:v>
      </x:c>
      <x:c r="B686" s="12" t="str">
        <x:v>000300.SH</x:v>
      </x:c>
      <x:c r="C686" s="12" t="n">
        <x:v>3619.4369</x:v>
      </x:c>
      <x:c r="D686" s="12" t="n">
        <x:v>3690.0884</x:v>
      </x:c>
      <x:c r="E686" s="12" t="n">
        <x:v>3610.6817</x:v>
      </x:c>
      <x:c r="F686" s="12" t="n">
        <x:v>3666.7762</x:v>
      </x:c>
      <x:c r="G686" s="12" t="n">
        <x:v>3617.7924</x:v>
      </x:c>
      <x:c r="H686" s="12" t="n">
        <x:v>48.9838</x:v>
      </x:c>
      <x:c r="I686" s="12" t="n">
        <x:v>1.354</x:v>
      </x:c>
      <x:c r="J686" s="12" t="n">
        <x:v>0.01344885085235851</x:v>
      </x:c>
      <x:c r="K686" s="12" t="n">
        <x:v>111022920</x:v>
      </x:c>
      <x:c r="L686" s="12" t="n">
        <x:v>133071381.089</x:v>
      </x:c>
      <x:c r="M686" s="12" t="str">
        <x:v>TuShare index_daily</x:v>
      </x:c>
    </x:row>
    <x:row r="687" ht="18" customHeight="1">
      <x:c r="A687" s="13" t="n">
        <x:v>43607</x:v>
      </x:c>
      <x:c r="B687" s="12" t="str">
        <x:v>000300.SH</x:v>
      </x:c>
      <x:c r="C687" s="12" t="n">
        <x:v>3663.1533</x:v>
      </x:c>
      <x:c r="D687" s="12" t="n">
        <x:v>3679.2727</x:v>
      </x:c>
      <x:c r="E687" s="12" t="n">
        <x:v>3634.7479</x:v>
      </x:c>
      <x:c r="F687" s="12" t="n">
        <x:v>3649.3796</x:v>
      </x:c>
      <x:c r="G687" s="12" t="n">
        <x:v>3666.7762</x:v>
      </x:c>
      <x:c r="H687" s="12" t="n">
        <x:v>-17.3966</x:v>
      </x:c>
      <x:c r="I687" s="12" t="n">
        <x:v>-0.4744</x:v>
      </x:c>
      <x:c r="J687" s="12" t="n">
        <x:v>-0.004755675866671933</x:v>
      </x:c>
      <x:c r="K687" s="12" t="n">
        <x:v>98346128</x:v>
      </x:c>
      <x:c r="L687" s="12" t="n">
        <x:v>121775244.163</x:v>
      </x:c>
      <x:c r="M687" s="12" t="str">
        <x:v>TuShare index_daily</x:v>
      </x:c>
    </x:row>
    <x:row r="688" ht="18" customHeight="1">
      <x:c r="A688" s="13" t="n">
        <x:v>43608</x:v>
      </x:c>
      <x:c r="B688" s="12" t="str">
        <x:v>000300.SH</x:v>
      </x:c>
      <x:c r="C688" s="12" t="n">
        <x:v>3629.5284</x:v>
      </x:c>
      <x:c r="D688" s="12" t="n">
        <x:v>3631.4743</x:v>
      </x:c>
      <x:c r="E688" s="12" t="n">
        <x:v>3578.1129</x:v>
      </x:c>
      <x:c r="F688" s="12" t="n">
        <x:v>3583.9646</x:v>
      </x:c>
      <x:c r="G688" s="12" t="n">
        <x:v>3649.3796</x:v>
      </x:c>
      <x:c r="H688" s="12" t="n">
        <x:v>-65.415</x:v>
      </x:c>
      <x:c r="I688" s="12" t="n">
        <x:v>-1.7925</x:v>
      </x:c>
      <x:c r="J688" s="12" t="n">
        <x:v>-0.018087562712919548</x:v>
      </x:c>
      <x:c r="K688" s="12" t="n">
        <x:v>99897781</x:v>
      </x:c>
      <x:c r="L688" s="12" t="n">
        <x:v>125611969.477</x:v>
      </x:c>
      <x:c r="M688" s="12" t="str">
        <x:v>TuShare index_daily</x:v>
      </x:c>
    </x:row>
    <x:row r="689" ht="18" customHeight="1">
      <x:c r="A689" s="13" t="n">
        <x:v>43609</x:v>
      </x:c>
      <x:c r="B689" s="12" t="str">
        <x:v>000300.SH</x:v>
      </x:c>
      <x:c r="C689" s="12" t="n">
        <x:v>3584.9016</x:v>
      </x:c>
      <x:c r="D689" s="12" t="n">
        <x:v>3623.3904</x:v>
      </x:c>
      <x:c r="E689" s="12" t="n">
        <x:v>3580.7853</x:v>
      </x:c>
      <x:c r="F689" s="12" t="n">
        <x:v>3593.9139</x:v>
      </x:c>
      <x:c r="G689" s="12" t="n">
        <x:v>3583.9646</x:v>
      </x:c>
      <x:c r="H689" s="12" t="n">
        <x:v>9.9493</x:v>
      </x:c>
      <x:c r="I689" s="12" t="n">
        <x:v>0.2776</x:v>
      </x:c>
      <x:c r="J689" s="12" t="n">
        <x:v>0.002772213648318633</x:v>
      </x:c>
      <x:c r="K689" s="12" t="n">
        <x:v>80934048</x:v>
      </x:c>
      <x:c r="L689" s="12" t="n">
        <x:v>101337496.38</x:v>
      </x:c>
      <x:c r="M689" s="12" t="str">
        <x:v>TuShare index_daily</x:v>
      </x:c>
    </x:row>
    <x:row r="690" ht="18" customHeight="1">
      <x:c r="A690" s="13" t="n">
        <x:v>43612</x:v>
      </x:c>
      <x:c r="B690" s="12" t="str">
        <x:v>000300.SH</x:v>
      </x:c>
      <x:c r="C690" s="12" t="n">
        <x:v>3592.6027</x:v>
      </x:c>
      <x:c r="D690" s="12" t="n">
        <x:v>3648.0267</x:v>
      </x:c>
      <x:c r="E690" s="12" t="n">
        <x:v>3556.2567</x:v>
      </x:c>
      <x:c r="F690" s="12" t="n">
        <x:v>3637.1971</x:v>
      </x:c>
      <x:c r="G690" s="12" t="n">
        <x:v>3593.9139</x:v>
      </x:c>
      <x:c r="H690" s="12" t="n">
        <x:v>43.2832</x:v>
      </x:c>
      <x:c r="I690" s="12" t="n">
        <x:v>1.2043</x:v>
      </x:c>
      <x:c r="J690" s="12" t="n">
        <x:v>0.011971526072606034</x:v>
      </x:c>
      <x:c r="K690" s="12" t="n">
        <x:v>108830871</x:v>
      </x:c>
      <x:c r="L690" s="12" t="n">
        <x:v>133399053.908</x:v>
      </x:c>
      <x:c r="M690" s="12" t="str">
        <x:v>TuShare index_daily</x:v>
      </x:c>
    </x:row>
    <x:row r="691" ht="18" customHeight="1">
      <x:c r="A691" s="13" t="n">
        <x:v>43613</x:v>
      </x:c>
      <x:c r="B691" s="12" t="str">
        <x:v>000300.SH</x:v>
      </x:c>
      <x:c r="C691" s="12" t="n">
        <x:v>3633.0182</x:v>
      </x:c>
      <x:c r="D691" s="12" t="n">
        <x:v>3683.2306</x:v>
      </x:c>
      <x:c r="E691" s="12" t="n">
        <x:v>3627.7878</x:v>
      </x:c>
      <x:c r="F691" s="12" t="n">
        <x:v>3672.2605</x:v>
      </x:c>
      <x:c r="G691" s="12" t="n">
        <x:v>3637.1971</x:v>
      </x:c>
      <x:c r="H691" s="12" t="n">
        <x:v>35.0634</x:v>
      </x:c>
      <x:c r="I691" s="12" t="n">
        <x:v>0.964</x:v>
      </x:c>
      <x:c r="J691" s="12" t="n">
        <x:v>0.009594054955070116</x:v>
      </x:c>
      <x:c r="K691" s="12" t="n">
        <x:v>117886240</x:v>
      </x:c>
      <x:c r="L691" s="12" t="n">
        <x:v>148966334.657</x:v>
      </x:c>
      <x:c r="M691" s="12" t="str">
        <x:v>TuShare index_daily</x:v>
      </x:c>
    </x:row>
    <x:row r="692" ht="18" customHeight="1">
      <x:c r="A692" s="13" t="n">
        <x:v>43614</x:v>
      </x:c>
      <x:c r="B692" s="12" t="str">
        <x:v>000300.SH</x:v>
      </x:c>
      <x:c r="C692" s="12" t="n">
        <x:v>3642.5415</x:v>
      </x:c>
      <x:c r="D692" s="12" t="n">
        <x:v>3693.2273</x:v>
      </x:c>
      <x:c r="E692" s="12" t="n">
        <x:v>3637.3481</x:v>
      </x:c>
      <x:c r="F692" s="12" t="n">
        <x:v>3663.909</x:v>
      </x:c>
      <x:c r="G692" s="12" t="n">
        <x:v>3672.2605</x:v>
      </x:c>
      <x:c r="H692" s="12" t="n">
        <x:v>-8.3515</x:v>
      </x:c>
      <x:c r="I692" s="12" t="n">
        <x:v>-0.2274</x:v>
      </x:c>
      <x:c r="J692" s="12" t="n">
        <x:v>-0.0022768022488379373</x:v>
      </x:c>
      <x:c r="K692" s="12" t="n">
        <x:v>93355441</x:v>
      </x:c>
      <x:c r="L692" s="12" t="n">
        <x:v>120002034.237</x:v>
      </x:c>
      <x:c r="M692" s="12" t="str">
        <x:v>TuShare index_daily</x:v>
      </x:c>
    </x:row>
    <x:row r="693" ht="18" customHeight="1">
      <x:c r="A693" s="13" t="n">
        <x:v>43615</x:v>
      </x:c>
      <x:c r="B693" s="12" t="str">
        <x:v>000300.SH</x:v>
      </x:c>
      <x:c r="C693" s="12" t="n">
        <x:v>3648.8495</x:v>
      </x:c>
      <x:c r="D693" s="12" t="n">
        <x:v>3650.9718</x:v>
      </x:c>
      <x:c r="E693" s="12" t="n">
        <x:v>3612.6248</x:v>
      </x:c>
      <x:c r="F693" s="12" t="n">
        <x:v>3641.1833</x:v>
      </x:c>
      <x:c r="G693" s="12" t="n">
        <x:v>3663.909</x:v>
      </x:c>
      <x:c r="H693" s="12" t="n">
        <x:v>-22.7257</x:v>
      </x:c>
      <x:c r="I693" s="12" t="n">
        <x:v>-0.6203</x:v>
      </x:c>
      <x:c r="J693" s="12" t="n">
        <x:v>-0.006221899020526497</x:v>
      </x:c>
      <x:c r="K693" s="12" t="n">
        <x:v>94202561</x:v>
      </x:c>
      <x:c r="L693" s="12" t="n">
        <x:v>112864079.305</x:v>
      </x:c>
      <x:c r="M693" s="12" t="str">
        <x:v>TuShare index_daily</x:v>
      </x:c>
    </x:row>
    <x:row r="694" ht="18" customHeight="1">
      <x:c r="A694" s="13" t="n">
        <x:v>43616</x:v>
      </x:c>
      <x:c r="B694" s="12" t="str">
        <x:v>000300.SH</x:v>
      </x:c>
      <x:c r="C694" s="12" t="n">
        <x:v>3640.9963</x:v>
      </x:c>
      <x:c r="D694" s="12" t="n">
        <x:v>3668.1796</x:v>
      </x:c>
      <x:c r="E694" s="12" t="n">
        <x:v>3627.5448</x:v>
      </x:c>
      <x:c r="F694" s="12" t="n">
        <x:v>3629.7893</x:v>
      </x:c>
      <x:c r="G694" s="12" t="n">
        <x:v>3641.1833</x:v>
      </x:c>
      <x:c r="H694" s="12" t="n">
        <x:v>-11.394</x:v>
      </x:c>
      <x:c r="I694" s="12" t="n">
        <x:v>-0.3129</x:v>
      </x:c>
      <x:c r="J694" s="12" t="n">
        <x:v>-0.0031341087233895406</x:v>
      </x:c>
      <x:c r="K694" s="12" t="n">
        <x:v>89222267</x:v>
      </x:c>
      <x:c r="L694" s="12" t="n">
        <x:v>108264201.339</x:v>
      </x:c>
      <x:c r="M694" s="12" t="str">
        <x:v>TuShare index_daily</x:v>
      </x:c>
    </x:row>
    <x:row r="695" ht="18" customHeight="1">
      <x:c r="A695" s="13" t="n">
        <x:v>43619</x:v>
      </x:c>
      <x:c r="B695" s="12" t="str">
        <x:v>000300.SH</x:v>
      </x:c>
      <x:c r="C695" s="12" t="n">
        <x:v>3640.6126</x:v>
      </x:c>
      <x:c r="D695" s="12" t="n">
        <x:v>3672.8136</x:v>
      </x:c>
      <x:c r="E695" s="12" t="n">
        <x:v>3613.1274</x:v>
      </x:c>
      <x:c r="F695" s="12" t="n">
        <x:v>3632.0127</x:v>
      </x:c>
      <x:c r="G695" s="12" t="n">
        <x:v>3629.7893</x:v>
      </x:c>
      <x:c r="H695" s="12" t="n">
        <x:v>2.2234</x:v>
      </x:c>
      <x:c r="I695" s="12" t="n">
        <x:v>0.0613</x:v>
      </x:c>
      <x:c r="J695" s="12" t="n">
        <x:v>0.0006123549139669164</x:v>
      </x:c>
      <x:c r="K695" s="12" t="n">
        <x:v>100723180</x:v>
      </x:c>
      <x:c r="L695" s="12" t="n">
        <x:v>123902446.407</x:v>
      </x:c>
      <x:c r="M695" s="12" t="str">
        <x:v>TuShare index_daily</x:v>
      </x:c>
    </x:row>
    <x:row r="696" ht="18" customHeight="1">
      <x:c r="A696" s="13" t="n">
        <x:v>43620</x:v>
      </x:c>
      <x:c r="B696" s="12" t="str">
        <x:v>000300.SH</x:v>
      </x:c>
      <x:c r="C696" s="12" t="n">
        <x:v>3632.5602</x:v>
      </x:c>
      <x:c r="D696" s="12" t="n">
        <x:v>3636.128</x:v>
      </x:c>
      <x:c r="E696" s="12" t="n">
        <x:v>3584.4612</x:v>
      </x:c>
      <x:c r="F696" s="12" t="n">
        <x:v>3598.4666</x:v>
      </x:c>
      <x:c r="G696" s="12" t="n">
        <x:v>3632.0127</x:v>
      </x:c>
      <x:c r="H696" s="12" t="n">
        <x:v>-33.5461</x:v>
      </x:c>
      <x:c r="I696" s="12" t="n">
        <x:v>-0.9236</x:v>
      </x:c>
      <x:c r="J696" s="12" t="n">
        <x:v>-0.009279147151451426</x:v>
      </x:c>
      <x:c r="K696" s="12" t="n">
        <x:v>87097094</x:v>
      </x:c>
      <x:c r="L696" s="12" t="n">
        <x:v>109467236.536</x:v>
      </x:c>
      <x:c r="M696" s="12" t="str">
        <x:v>TuShare index_daily</x:v>
      </x:c>
    </x:row>
    <x:row r="697" ht="18" customHeight="1">
      <x:c r="A697" s="13" t="n">
        <x:v>43621</x:v>
      </x:c>
      <x:c r="B697" s="12" t="str">
        <x:v>000300.SH</x:v>
      </x:c>
      <x:c r="C697" s="12" t="n">
        <x:v>3627.7947</x:v>
      </x:c>
      <x:c r="D697" s="12" t="n">
        <x:v>3634.4536</x:v>
      </x:c>
      <x:c r="E697" s="12" t="n">
        <x:v>3593.9515</x:v>
      </x:c>
      <x:c r="F697" s="12" t="n">
        <x:v>3597.105</x:v>
      </x:c>
      <x:c r="G697" s="12" t="n">
        <x:v>3598.4666</x:v>
      </x:c>
      <x:c r="H697" s="12" t="n">
        <x:v>-1.3616</x:v>
      </x:c>
      <x:c r="I697" s="12" t="n">
        <x:v>-0.0378</x:v>
      </x:c>
      <x:c r="J697" s="12" t="n">
        <x:v>-0.0003784549975853767</x:v>
      </x:c>
      <x:c r="K697" s="12" t="n">
        <x:v>88642020</x:v>
      </x:c>
      <x:c r="L697" s="12" t="n">
        <x:v>114634228.239</x:v>
      </x:c>
      <x:c r="M697" s="12" t="str">
        <x:v>TuShare index_daily</x:v>
      </x:c>
    </x:row>
    <x:row r="698" ht="18" customHeight="1">
      <x:c r="A698" s="13" t="n">
        <x:v>43622</x:v>
      </x:c>
      <x:c r="B698" s="12" t="str">
        <x:v>000300.SH</x:v>
      </x:c>
      <x:c r="C698" s="12" t="n">
        <x:v>3601.0356</x:v>
      </x:c>
      <x:c r="D698" s="12" t="n">
        <x:v>3601.0356</x:v>
      </x:c>
      <x:c r="E698" s="12" t="n">
        <x:v>3557.0167</x:v>
      </x:c>
      <x:c r="F698" s="12" t="n">
        <x:v>3564.6778</x:v>
      </x:c>
      <x:c r="G698" s="12" t="n">
        <x:v>3597.105</x:v>
      </x:c>
      <x:c r="H698" s="12" t="n">
        <x:v>-32.4272</x:v>
      </x:c>
      <x:c r="I698" s="12" t="n">
        <x:v>-0.9015</x:v>
      </x:c>
      <x:c r="J698" s="12" t="n">
        <x:v>-0.009055684179698723</x:v>
      </x:c>
      <x:c r="K698" s="12" t="n">
        <x:v>85534403</x:v>
      </x:c>
      <x:c r="L698" s="12" t="n">
        <x:v>104367267.724</x:v>
      </x:c>
      <x:c r="M698" s="12" t="str">
        <x:v>TuShare index_daily</x:v>
      </x:c>
    </x:row>
    <x:row r="699" ht="18" customHeight="1">
      <x:c r="A699" s="13" t="n">
        <x:v>43626</x:v>
      </x:c>
      <x:c r="B699" s="12" t="str">
        <x:v>000300.SH</x:v>
      </x:c>
      <x:c r="C699" s="12" t="n">
        <x:v>3578.0084</x:v>
      </x:c>
      <x:c r="D699" s="12" t="n">
        <x:v>3623.7301</x:v>
      </x:c>
      <x:c r="E699" s="12" t="n">
        <x:v>3568.2787</x:v>
      </x:c>
      <x:c r="F699" s="12" t="n">
        <x:v>3610.7435</x:v>
      </x:c>
      <x:c r="G699" s="12" t="n">
        <x:v>3564.6778</x:v>
      </x:c>
      <x:c r="H699" s="12" t="n">
        <x:v>46.0657</x:v>
      </x:c>
      <x:c r="I699" s="12" t="n">
        <x:v>1.2923</x:v>
      </x:c>
      <x:c r="J699" s="12" t="n">
        <x:v>0.01284003571726754</x:v>
      </x:c>
      <x:c r="K699" s="12" t="n">
        <x:v>92375061</x:v>
      </x:c>
      <x:c r="L699" s="12" t="n">
        <x:v>117346608.913</x:v>
      </x:c>
      <x:c r="M699" s="12" t="str">
        <x:v>TuShare index_daily</x:v>
      </x:c>
    </x:row>
    <x:row r="700" ht="18" customHeight="1">
      <x:c r="A700" s="13" t="n">
        <x:v>43627</x:v>
      </x:c>
      <x:c r="B700" s="12" t="str">
        <x:v>000300.SH</x:v>
      </x:c>
      <x:c r="C700" s="12" t="n">
        <x:v>3617.5239</x:v>
      </x:c>
      <x:c r="D700" s="12" t="n">
        <x:v>3723.1419</x:v>
      </x:c>
      <x:c r="E700" s="12" t="n">
        <x:v>3617.5239</x:v>
      </x:c>
      <x:c r="F700" s="12" t="n">
        <x:v>3719.2759</x:v>
      </x:c>
      <x:c r="G700" s="12" t="n">
        <x:v>3610.7435</x:v>
      </x:c>
      <x:c r="H700" s="12" t="n">
        <x:v>108.5324</x:v>
      </x:c>
      <x:c r="I700" s="12" t="n">
        <x:v>3.0058</x:v>
      </x:c>
      <x:c r="J700" s="12" t="n">
        <x:v>0.029615291983045522</x:v>
      </x:c>
      <x:c r="K700" s="12" t="n">
        <x:v>143482806</x:v>
      </x:c>
      <x:c r="L700" s="12" t="n">
        <x:v>180899072.311</x:v>
      </x:c>
      <x:c r="M700" s="12" t="str">
        <x:v>TuShare index_daily</x:v>
      </x:c>
    </x:row>
    <x:row r="701" ht="18" customHeight="1">
      <x:c r="A701" s="13" t="n">
        <x:v>43628</x:v>
      </x:c>
      <x:c r="B701" s="12" t="str">
        <x:v>000300.SH</x:v>
      </x:c>
      <x:c r="C701" s="12" t="n">
        <x:v>3706.8635</x:v>
      </x:c>
      <x:c r="D701" s="12" t="n">
        <x:v>3711.8793</x:v>
      </x:c>
      <x:c r="E701" s="12" t="n">
        <x:v>3683.9394</x:v>
      </x:c>
      <x:c r="F701" s="12" t="n">
        <x:v>3691.0957</x:v>
      </x:c>
      <x:c r="G701" s="12" t="n">
        <x:v>3719.2759</x:v>
      </x:c>
      <x:c r="H701" s="12" t="n">
        <x:v>-28.1802</x:v>
      </x:c>
      <x:c r="I701" s="12" t="n">
        <x:v>-0.7577</x:v>
      </x:c>
      <x:c r="J701" s="12" t="n">
        <x:v>-0.007605647155998182</x:v>
      </x:c>
      <x:c r="K701" s="12" t="n">
        <x:v>119178853</x:v>
      </x:c>
      <x:c r="L701" s="12" t="n">
        <x:v>132296097.905</x:v>
      </x:c>
      <x:c r="M701" s="12" t="str">
        <x:v>TuShare index_daily</x:v>
      </x:c>
    </x:row>
    <x:row r="702" ht="18" customHeight="1">
      <x:c r="A702" s="13" t="n">
        <x:v>43629</x:v>
      </x:c>
      <x:c r="B702" s="12" t="str">
        <x:v>000300.SH</x:v>
      </x:c>
      <x:c r="C702" s="12" t="n">
        <x:v>3689.5834</x:v>
      </x:c>
      <x:c r="D702" s="12" t="n">
        <x:v>3697.5917</x:v>
      </x:c>
      <x:c r="E702" s="12" t="n">
        <x:v>3654.2742</x:v>
      </x:c>
      <x:c r="F702" s="12" t="n">
        <x:v>3685.3933</x:v>
      </x:c>
      <x:c r="G702" s="12" t="n">
        <x:v>3691.0957</x:v>
      </x:c>
      <x:c r="H702" s="12" t="n">
        <x:v>-5.7024</x:v>
      </x:c>
      <x:c r="I702" s="12" t="n">
        <x:v>-0.1545</x:v>
      </x:c>
      <x:c r="J702" s="12" t="n">
        <x:v>-0.0015461017120563174</x:v>
      </x:c>
      <x:c r="K702" s="12" t="n">
        <x:v>96331718</x:v>
      </x:c>
      <x:c r="L702" s="12" t="n">
        <x:v>110459901.918</x:v>
      </x:c>
      <x:c r="M702" s="12" t="str">
        <x:v>TuShare index_daily</x:v>
      </x:c>
    </x:row>
    <x:row r="703" ht="18" customHeight="1">
      <x:c r="A703" s="13" t="n">
        <x:v>43630</x:v>
      </x:c>
      <x:c r="B703" s="12" t="str">
        <x:v>000300.SH</x:v>
      </x:c>
      <x:c r="C703" s="12" t="n">
        <x:v>3690.4763</x:v>
      </x:c>
      <x:c r="D703" s="12" t="n">
        <x:v>3709.6521</x:v>
      </x:c>
      <x:c r="E703" s="12" t="n">
        <x:v>3650.9096</x:v>
      </x:c>
      <x:c r="F703" s="12" t="n">
        <x:v>3654.8799</x:v>
      </x:c>
      <x:c r="G703" s="12" t="n">
        <x:v>3685.3933</x:v>
      </x:c>
      <x:c r="H703" s="12" t="n">
        <x:v>-30.5134</x:v>
      </x:c>
      <x:c r="I703" s="12" t="n">
        <x:v>-0.828</x:v>
      </x:c>
      <x:c r="J703" s="12" t="n">
        <x:v>-0.00831401636774902</x:v>
      </x:c>
      <x:c r="K703" s="12" t="n">
        <x:v>101817004</x:v>
      </x:c>
      <x:c r="L703" s="12" t="n">
        <x:v>116584260.575</x:v>
      </x:c>
      <x:c r="M703" s="12" t="str">
        <x:v>TuShare index_daily</x:v>
      </x:c>
    </x:row>
    <x:row r="704" ht="18" customHeight="1">
      <x:c r="A704" s="13" t="n">
        <x:v>43633</x:v>
      </x:c>
      <x:c r="B704" s="12" t="str">
        <x:v>000300.SH</x:v>
      </x:c>
      <x:c r="C704" s="12" t="n">
        <x:v>3654.4433</x:v>
      </x:c>
      <x:c r="D704" s="12" t="n">
        <x:v>3683.7743</x:v>
      </x:c>
      <x:c r="E704" s="12" t="n">
        <x:v>3645.4982</x:v>
      </x:c>
      <x:c r="F704" s="12" t="n">
        <x:v>3654.8248</x:v>
      </x:c>
      <x:c r="G704" s="12" t="n">
        <x:v>3654.8799</x:v>
      </x:c>
      <x:c r="H704" s="12" t="n">
        <x:v>-0.0551</x:v>
      </x:c>
      <x:c r="I704" s="12" t="n">
        <x:v>-0.0015</x:v>
      </x:c>
      <x:c r="J704" s="12" t="n">
        <x:v>-0.000015075848413138367</x:v>
      </x:c>
      <x:c r="K704" s="12" t="n">
        <x:v>72976678</x:v>
      </x:c>
      <x:c r="L704" s="12" t="n">
        <x:v>93092581.298</x:v>
      </x:c>
      <x:c r="M704" s="12" t="str">
        <x:v>TuShare index_daily</x:v>
      </x:c>
    </x:row>
    <x:row r="705" ht="18" customHeight="1">
      <x:c r="A705" s="13" t="n">
        <x:v>43634</x:v>
      </x:c>
      <x:c r="B705" s="12" t="str">
        <x:v>000300.SH</x:v>
      </x:c>
      <x:c r="C705" s="12" t="n">
        <x:v>3661.1299</x:v>
      </x:c>
      <x:c r="D705" s="12" t="n">
        <x:v>3675.6452</x:v>
      </x:c>
      <x:c r="E705" s="12" t="n">
        <x:v>3638.78</x:v>
      </x:c>
      <x:c r="F705" s="12" t="n">
        <x:v>3667.6185</x:v>
      </x:c>
      <x:c r="G705" s="12" t="n">
        <x:v>3654.8248</x:v>
      </x:c>
      <x:c r="H705" s="12" t="n">
        <x:v>12.7937</x:v>
      </x:c>
      <x:c r="I705" s="12" t="n">
        <x:v>0.35</x:v>
      </x:c>
      <x:c r="J705" s="12" t="n">
        <x:v>0.003494383635132153</x:v>
      </x:c>
      <x:c r="K705" s="12" t="n">
        <x:v>70692266</x:v>
      </x:c>
      <x:c r="L705" s="12" t="n">
        <x:v>89472839.848</x:v>
      </x:c>
      <x:c r="M705" s="12" t="str">
        <x:v>TuShare index_daily</x:v>
      </x:c>
    </x:row>
    <x:row r="706" ht="18" customHeight="1">
      <x:c r="A706" s="13" t="n">
        <x:v>43635</x:v>
      </x:c>
      <x:c r="B706" s="12" t="str">
        <x:v>000300.SH</x:v>
      </x:c>
      <x:c r="C706" s="12" t="n">
        <x:v>3761.3381</x:v>
      </x:c>
      <x:c r="D706" s="12" t="n">
        <x:v>3771.347</x:v>
      </x:c>
      <x:c r="E706" s="12" t="n">
        <x:v>3715.1331</x:v>
      </x:c>
      <x:c r="F706" s="12" t="n">
        <x:v>3715.9381</x:v>
      </x:c>
      <x:c r="G706" s="12" t="n">
        <x:v>3667.6185</x:v>
      </x:c>
      <x:c r="H706" s="12" t="n">
        <x:v>48.3196</x:v>
      </x:c>
      <x:c r="I706" s="12" t="n">
        <x:v>1.3175</x:v>
      </x:c>
      <x:c r="J706" s="12" t="n">
        <x:v>0.013088621764941596</x:v>
      </x:c>
      <x:c r="K706" s="12" t="n">
        <x:v>125595715</x:v>
      </x:c>
      <x:c r="L706" s="12" t="n">
        <x:v>172574177.792</x:v>
      </x:c>
      <x:c r="M706" s="12" t="str">
        <x:v>TuShare index_daily</x:v>
      </x:c>
    </x:row>
    <x:row r="707" ht="18" customHeight="1">
      <x:c r="A707" s="13" t="n">
        <x:v>43636</x:v>
      </x:c>
      <x:c r="B707" s="12" t="str">
        <x:v>000300.SH</x:v>
      </x:c>
      <x:c r="C707" s="12" t="n">
        <x:v>3718.9416</x:v>
      </x:c>
      <x:c r="D707" s="12" t="n">
        <x:v>3845.7912</x:v>
      </x:c>
      <x:c r="E707" s="12" t="n">
        <x:v>3717.1857</x:v>
      </x:c>
      <x:c r="F707" s="12" t="n">
        <x:v>3828.5183</x:v>
      </x:c>
      <x:c r="G707" s="12" t="n">
        <x:v>3715.9381</x:v>
      </x:c>
      <x:c r="H707" s="12" t="n">
        <x:v>112.5802</x:v>
      </x:c>
      <x:c r="I707" s="12" t="n">
        <x:v>3.0297</x:v>
      </x:c>
      <x:c r="J707" s="12" t="n">
        <x:v>0.029846698383138293</x:v>
      </x:c>
      <x:c r="K707" s="12" t="n">
        <x:v>168872073</x:v>
      </x:c>
      <x:c r="L707" s="12" t="n">
        <x:v>227726981.966</x:v>
      </x:c>
      <x:c r="M707" s="12" t="str">
        <x:v>TuShare index_daily</x:v>
      </x:c>
    </x:row>
    <x:row r="708" ht="18" customHeight="1">
      <x:c r="A708" s="13" t="n">
        <x:v>43637</x:v>
      </x:c>
      <x:c r="B708" s="12" t="str">
        <x:v>000300.SH</x:v>
      </x:c>
      <x:c r="C708" s="12" t="n">
        <x:v>3832.7321</x:v>
      </x:c>
      <x:c r="D708" s="12" t="n">
        <x:v>3856.0856</x:v>
      </x:c>
      <x:c r="E708" s="12" t="n">
        <x:v>3817.3068</x:v>
      </x:c>
      <x:c r="F708" s="12" t="n">
        <x:v>3833.9383</x:v>
      </x:c>
      <x:c r="G708" s="12" t="n">
        <x:v>3828.5183</x:v>
      </x:c>
      <x:c r="H708" s="12" t="n">
        <x:v>5.42</x:v>
      </x:c>
      <x:c r="I708" s="12" t="n">
        <x:v>0.1416</x:v>
      </x:c>
      <x:c r="J708" s="12" t="n">
        <x:v>0.001414690141003077</x:v>
      </x:c>
      <x:c r="K708" s="12" t="n">
        <x:v>153635155</x:v>
      </x:c>
      <x:c r="L708" s="12" t="n">
        <x:v>199961617.616</x:v>
      </x:c>
      <x:c r="M708" s="12" t="str">
        <x:v>TuShare index_daily</x:v>
      </x:c>
    </x:row>
    <x:row r="709" ht="18" customHeight="1">
      <x:c r="A709" s="13" t="n">
        <x:v>43640</x:v>
      </x:c>
      <x:c r="B709" s="12" t="str">
        <x:v>000300.SH</x:v>
      </x:c>
      <x:c r="C709" s="12" t="n">
        <x:v>3836.3051</x:v>
      </x:c>
      <x:c r="D709" s="12" t="n">
        <x:v>3853.5452</x:v>
      </x:c>
      <x:c r="E709" s="12" t="n">
        <x:v>3819.7692</x:v>
      </x:c>
      <x:c r="F709" s="12" t="n">
        <x:v>3841.2659</x:v>
      </x:c>
      <x:c r="G709" s="12" t="n">
        <x:v>3833.9383</x:v>
      </x:c>
      <x:c r="H709" s="12" t="n">
        <x:v>7.3276</x:v>
      </x:c>
      <x:c r="I709" s="12" t="n">
        <x:v>0.1911</x:v>
      </x:c>
      <x:c r="J709" s="12" t="n">
        <x:v>0.0019094220910248932</x:v>
      </x:c>
      <x:c r="K709" s="12" t="n">
        <x:v>100084621</x:v>
      </x:c>
      <x:c r="L709" s="12" t="n">
        <x:v>143644731.704</x:v>
      </x:c>
      <x:c r="M709" s="12" t="str">
        <x:v>TuShare index_daily</x:v>
      </x:c>
    </x:row>
    <x:row r="710" ht="18" customHeight="1">
      <x:c r="A710" s="13" t="n">
        <x:v>43641</x:v>
      </x:c>
      <x:c r="B710" s="12" t="str">
        <x:v>000300.SH</x:v>
      </x:c>
      <x:c r="C710" s="12" t="n">
        <x:v>3837.4259</x:v>
      </x:c>
      <x:c r="D710" s="12" t="n">
        <x:v>3838.0578</x:v>
      </x:c>
      <x:c r="E710" s="12" t="n">
        <x:v>3755.0099</x:v>
      </x:c>
      <x:c r="F710" s="12" t="n">
        <x:v>3801.3098</x:v>
      </x:c>
      <x:c r="G710" s="12" t="n">
        <x:v>3841.2659</x:v>
      </x:c>
      <x:c r="H710" s="12" t="n">
        <x:v>-39.9561</x:v>
      </x:c>
      <x:c r="I710" s="12" t="n">
        <x:v>-1.0402</x:v>
      </x:c>
      <x:c r="J710" s="12" t="n">
        <x:v>-0.010456282178658741</x:v>
      </x:c>
      <x:c r="K710" s="12" t="n">
        <x:v>124075912</x:v>
      </x:c>
      <x:c r="L710" s="12" t="n">
        <x:v>169358793.347</x:v>
      </x:c>
      <x:c r="M710" s="12" t="str">
        <x:v>TuShare index_daily</x:v>
      </x:c>
    </x:row>
    <x:row r="711" ht="18" customHeight="1">
      <x:c r="A711" s="13" t="n">
        <x:v>43642</x:v>
      </x:c>
      <x:c r="B711" s="12" t="str">
        <x:v>000300.SH</x:v>
      </x:c>
      <x:c r="C711" s="12" t="n">
        <x:v>3779.5125</x:v>
      </x:c>
      <x:c r="D711" s="12" t="n">
        <x:v>3809.758</x:v>
      </x:c>
      <x:c r="E711" s="12" t="n">
        <x:v>3771.7164</x:v>
      </x:c>
      <x:c r="F711" s="12" t="n">
        <x:v>3794.331</x:v>
      </x:c>
      <x:c r="G711" s="12" t="n">
        <x:v>3801.3098</x:v>
      </x:c>
      <x:c r="H711" s="12" t="n">
        <x:v>-6.9788</x:v>
      </x:c>
      <x:c r="I711" s="12" t="n">
        <x:v>-0.1836</x:v>
      </x:c>
      <x:c r="J711" s="12" t="n">
        <x:v>-0.0018375808302514161</x:v>
      </x:c>
      <x:c r="K711" s="12" t="n">
        <x:v>81820283</x:v>
      </x:c>
      <x:c r="L711" s="12" t="n">
        <x:v>112106859.022</x:v>
      </x:c>
      <x:c r="M711" s="12" t="str">
        <x:v>TuShare index_daily</x:v>
      </x:c>
    </x:row>
    <x:row r="712" ht="18" customHeight="1">
      <x:c r="A712" s="13" t="n">
        <x:v>43643</x:v>
      </x:c>
      <x:c r="B712" s="12" t="str">
        <x:v>000300.SH</x:v>
      </x:c>
      <x:c r="C712" s="12" t="n">
        <x:v>3807.5376</x:v>
      </x:c>
      <x:c r="D712" s="12" t="n">
        <x:v>3854.0801</x:v>
      </x:c>
      <x:c r="E712" s="12" t="n">
        <x:v>3805.8328</x:v>
      </x:c>
      <x:c r="F712" s="12" t="n">
        <x:v>3834.8172</x:v>
      </x:c>
      <x:c r="G712" s="12" t="n">
        <x:v>3794.331</x:v>
      </x:c>
      <x:c r="H712" s="12" t="n">
        <x:v>40.4862</x:v>
      </x:c>
      <x:c r="I712" s="12" t="n">
        <x:v>1.067</x:v>
      </x:c>
      <x:c r="J712" s="12" t="n">
        <x:v>0.010613656728416262</x:v>
      </x:c>
      <x:c r="K712" s="12" t="n">
        <x:v>105316358</x:v>
      </x:c>
      <x:c r="L712" s="12" t="n">
        <x:v>156483418.19</x:v>
      </x:c>
      <x:c r="M712" s="12" t="str">
        <x:v>TuShare index_daily</x:v>
      </x:c>
    </x:row>
    <x:row r="713" ht="18" customHeight="1">
      <x:c r="A713" s="13" t="n">
        <x:v>43644</x:v>
      </x:c>
      <x:c r="B713" s="12" t="str">
        <x:v>000300.SH</x:v>
      </x:c>
      <x:c r="C713" s="12" t="n">
        <x:v>3832.0599</x:v>
      </x:c>
      <x:c r="D713" s="12" t="n">
        <x:v>3835.2326</x:v>
      </x:c>
      <x:c r="E713" s="12" t="n">
        <x:v>3803.0546</x:v>
      </x:c>
      <x:c r="F713" s="12" t="n">
        <x:v>3825.5873</x:v>
      </x:c>
      <x:c r="G713" s="12" t="n">
        <x:v>3834.8172</x:v>
      </x:c>
      <x:c r="H713" s="12" t="n">
        <x:v>-9.2299</x:v>
      </x:c>
      <x:c r="I713" s="12" t="n">
        <x:v>-0.2407</x:v>
      </x:c>
      <x:c r="J713" s="12" t="n">
        <x:v>-0.002409769475356859</x:v>
      </x:c>
      <x:c r="K713" s="12" t="n">
        <x:v>84766139</x:v>
      </x:c>
      <x:c r="L713" s="12" t="n">
        <x:v>116512050.674</x:v>
      </x:c>
      <x:c r="M713" s="12" t="str">
        <x:v>TuShare index_daily</x:v>
      </x:c>
    </x:row>
    <x:row r="714" ht="18" customHeight="1">
      <x:c r="A714" s="13" t="n">
        <x:v>43647</x:v>
      </x:c>
      <x:c r="B714" s="12" t="str">
        <x:v>000300.SH</x:v>
      </x:c>
      <x:c r="C714" s="12" t="n">
        <x:v>3899.3313</x:v>
      </x:c>
      <x:c r="D714" s="12" t="n">
        <x:v>3936.668</x:v>
      </x:c>
      <x:c r="E714" s="12" t="n">
        <x:v>3886.909</x:v>
      </x:c>
      <x:c r="F714" s="12" t="n">
        <x:v>3935.8116</x:v>
      </x:c>
      <x:c r="G714" s="12" t="n">
        <x:v>3825.5873</x:v>
      </x:c>
      <x:c r="H714" s="12" t="n">
        <x:v>110.2243</x:v>
      </x:c>
      <x:c r="I714" s="12" t="n">
        <x:v>2.8812</x:v>
      </x:c>
      <x:c r="J714" s="12" t="n">
        <x:v>0.028405114215023213</x:v>
      </x:c>
      <x:c r="K714" s="12" t="n">
        <x:v>158370340</x:v>
      </x:c>
      <x:c r="L714" s="12" t="n">
        <x:v>217470251.111</x:v>
      </x:c>
      <x:c r="M714" s="12" t="str">
        <x:v>TuShare index_daily</x:v>
      </x:c>
    </x:row>
    <x:row r="715" ht="18" customHeight="1">
      <x:c r="A715" s="13" t="n">
        <x:v>43648</x:v>
      </x:c>
      <x:c r="B715" s="12" t="str">
        <x:v>000300.SH</x:v>
      </x:c>
      <x:c r="C715" s="12" t="n">
        <x:v>3931.0486</x:v>
      </x:c>
      <x:c r="D715" s="12" t="n">
        <x:v>3942.4257</x:v>
      </x:c>
      <x:c r="E715" s="12" t="n">
        <x:v>3918.9378</x:v>
      </x:c>
      <x:c r="F715" s="12" t="n">
        <x:v>3937.1691</x:v>
      </x:c>
      <x:c r="G715" s="12" t="n">
        <x:v>3935.8116</x:v>
      </x:c>
      <x:c r="H715" s="12" t="n">
        <x:v>1.3575</x:v>
      </x:c>
      <x:c r="I715" s="12" t="n">
        <x:v>0.0345</x:v>
      </x:c>
      <x:c r="J715" s="12" t="n">
        <x:v>0.00034485033437294264</x:v>
      </x:c>
      <x:c r="K715" s="12" t="n">
        <x:v>131863496</x:v>
      </x:c>
      <x:c r="L715" s="12" t="n">
        <x:v>173997045.123</x:v>
      </x:c>
      <x:c r="M715" s="12" t="str">
        <x:v>TuShare index_daily</x:v>
      </x:c>
    </x:row>
    <x:row r="716" ht="18" customHeight="1">
      <x:c r="A716" s="13" t="n">
        <x:v>43649</x:v>
      </x:c>
      <x:c r="B716" s="12" t="str">
        <x:v>000300.SH</x:v>
      </x:c>
      <x:c r="C716" s="12" t="n">
        <x:v>3927.4365</x:v>
      </x:c>
      <x:c r="D716" s="12" t="n">
        <x:v>3927.4365</x:v>
      </x:c>
      <x:c r="E716" s="12" t="n">
        <x:v>3878.8405</x:v>
      </x:c>
      <x:c r="F716" s="12" t="n">
        <x:v>3893.5341</x:v>
      </x:c>
      <x:c r="G716" s="12" t="n">
        <x:v>3937.1691</x:v>
      </x:c>
      <x:c r="H716" s="12" t="n">
        <x:v>-43.635</x:v>
      </x:c>
      <x:c r="I716" s="12" t="n">
        <x:v>-1.1083</x:v>
      </x:c>
      <x:c r="J716" s="12" t="n">
        <x:v>-0.011144708341842358</x:v>
      </x:c>
      <x:c r="K716" s="12" t="n">
        <x:v>111992603</x:v>
      </x:c>
      <x:c r="L716" s="12" t="n">
        <x:v>163145730.935</x:v>
      </x:c>
      <x:c r="M716" s="12" t="str">
        <x:v>TuShare index_daily</x:v>
      </x:c>
    </x:row>
    <x:row r="717" ht="18" customHeight="1">
      <x:c r="A717" s="13" t="n">
        <x:v>43650</x:v>
      </x:c>
      <x:c r="B717" s="12" t="str">
        <x:v>000300.SH</x:v>
      </x:c>
      <x:c r="C717" s="12" t="n">
        <x:v>3895.1978</x:v>
      </x:c>
      <x:c r="D717" s="12" t="n">
        <x:v>3906.8894</x:v>
      </x:c>
      <x:c r="E717" s="12" t="n">
        <x:v>3854.693</x:v>
      </x:c>
      <x:c r="F717" s="12" t="n">
        <x:v>3873.1019</x:v>
      </x:c>
      <x:c r="G717" s="12" t="n">
        <x:v>3893.5341</x:v>
      </x:c>
      <x:c r="H717" s="12" t="n">
        <x:v>-20.4322</x:v>
      </x:c>
      <x:c r="I717" s="12" t="n">
        <x:v>-0.5248</x:v>
      </x:c>
      <x:c r="J717" s="12" t="n">
        <x:v>-0.005261543643037587</x:v>
      </x:c>
      <x:c r="K717" s="12" t="n">
        <x:v>99342256</x:v>
      </x:c>
      <x:c r="L717" s="12" t="n">
        <x:v>142669255.177</x:v>
      </x:c>
      <x:c r="M717" s="12" t="str">
        <x:v>TuShare index_daily</x:v>
      </x:c>
    </x:row>
    <x:row r="718" ht="18" customHeight="1">
      <x:c r="A718" s="13" t="n">
        <x:v>43651</x:v>
      </x:c>
      <x:c r="B718" s="12" t="str">
        <x:v>000300.SH</x:v>
      </x:c>
      <x:c r="C718" s="12" t="n">
        <x:v>3875.3736</x:v>
      </x:c>
      <x:c r="D718" s="12" t="n">
        <x:v>3900.3095</x:v>
      </x:c>
      <x:c r="E718" s="12" t="n">
        <x:v>3857.928</x:v>
      </x:c>
      <x:c r="F718" s="12" t="n">
        <x:v>3893.2025</x:v>
      </x:c>
      <x:c r="G718" s="12" t="n">
        <x:v>3873.1019</x:v>
      </x:c>
      <x:c r="H718" s="12" t="n">
        <x:v>20.1006</x:v>
      </x:c>
      <x:c r="I718" s="12" t="n">
        <x:v>0.519</x:v>
      </x:c>
      <x:c r="J718" s="12" t="n">
        <x:v>0.005176373175039403</x:v>
      </x:c>
      <x:c r="K718" s="12" t="n">
        <x:v>74006527</x:v>
      </x:c>
      <x:c r="L718" s="12" t="n">
        <x:v>116236522.103</x:v>
      </x:c>
      <x:c r="M718" s="12" t="str">
        <x:v>TuShare index_daily</x:v>
      </x:c>
    </x:row>
    <x:row r="719" ht="18" customHeight="1">
      <x:c r="A719" s="13" t="n">
        <x:v>43654</x:v>
      </x:c>
      <x:c r="B719" s="12" t="str">
        <x:v>000300.SH</x:v>
      </x:c>
      <x:c r="C719" s="12" t="n">
        <x:v>3875.7547</x:v>
      </x:c>
      <x:c r="D719" s="12" t="n">
        <x:v>3875.7547</x:v>
      </x:c>
      <x:c r="E719" s="12" t="n">
        <x:v>3775.0259</x:v>
      </x:c>
      <x:c r="F719" s="12" t="n">
        <x:v>3802.7897</x:v>
      </x:c>
      <x:c r="G719" s="12" t="n">
        <x:v>3893.2025</x:v>
      </x:c>
      <x:c r="H719" s="12" t="n">
        <x:v>-90.4128</x:v>
      </x:c>
      <x:c r="I719" s="12" t="n">
        <x:v>-2.3223</x:v>
      </x:c>
      <x:c r="J719" s="12" t="n">
        <x:v>-0.02349715474676046</x:v>
      </x:c>
      <x:c r="K719" s="12" t="n">
        <x:v>109539086</x:v>
      </x:c>
      <x:c r="L719" s="12" t="n">
        <x:v>147198419.38</x:v>
      </x:c>
      <x:c r="M719" s="12" t="str">
        <x:v>TuShare index_daily</x:v>
      </x:c>
    </x:row>
    <x:row r="720" ht="18" customHeight="1">
      <x:c r="A720" s="13" t="n">
        <x:v>43655</x:v>
      </x:c>
      <x:c r="B720" s="12" t="str">
        <x:v>000300.SH</x:v>
      </x:c>
      <x:c r="C720" s="12" t="n">
        <x:v>3798.0954</x:v>
      </x:c>
      <x:c r="D720" s="12" t="n">
        <x:v>3811.0993</x:v>
      </x:c>
      <x:c r="E720" s="12" t="n">
        <x:v>3774.7641</x:v>
      </x:c>
      <x:c r="F720" s="12" t="n">
        <x:v>3793.1297</x:v>
      </x:c>
      <x:c r="G720" s="12" t="n">
        <x:v>3802.7897</x:v>
      </x:c>
      <x:c r="H720" s="12" t="n">
        <x:v>-9.66</x:v>
      </x:c>
      <x:c r="I720" s="12" t="n">
        <x:v>-0.254</x:v>
      </x:c>
      <x:c r="J720" s="12" t="n">
        <x:v>-0.002543472277430002</x:v>
      </x:c>
      <x:c r="K720" s="12" t="n">
        <x:v>74842732</x:v>
      </x:c>
      <x:c r="L720" s="12" t="n">
        <x:v>113147602.951</x:v>
      </x:c>
      <x:c r="M720" s="12" t="str">
        <x:v>TuShare index_daily</x:v>
      </x:c>
    </x:row>
    <x:row r="721" ht="18" customHeight="1">
      <x:c r="A721" s="13" t="n">
        <x:v>43656</x:v>
      </x:c>
      <x:c r="B721" s="12" t="str">
        <x:v>000300.SH</x:v>
      </x:c>
      <x:c r="C721" s="12" t="n">
        <x:v>3807.9497</x:v>
      </x:c>
      <x:c r="D721" s="12" t="n">
        <x:v>3810.396</x:v>
      </x:c>
      <x:c r="E721" s="12" t="n">
        <x:v>3774.2304</x:v>
      </x:c>
      <x:c r="F721" s="12" t="n">
        <x:v>3786.739</x:v>
      </x:c>
      <x:c r="G721" s="12" t="n">
        <x:v>3793.1297</x:v>
      </x:c>
      <x:c r="H721" s="12" t="n">
        <x:v>-6.3907</x:v>
      </x:c>
      <x:c r="I721" s="12" t="n">
        <x:v>-0.1685</x:v>
      </x:c>
      <x:c r="J721" s="12" t="n">
        <x:v>-0.0016862301359550384</x:v>
      </x:c>
      <x:c r="K721" s="12" t="n">
        <x:v>72833948</x:v>
      </x:c>
      <x:c r="L721" s="12" t="n">
        <x:v>101355477.03</x:v>
      </x:c>
      <x:c r="M721" s="12" t="str">
        <x:v>TuShare index_daily</x:v>
      </x:c>
    </x:row>
    <x:row r="722" ht="18" customHeight="1">
      <x:c r="A722" s="13" t="n">
        <x:v>43657</x:v>
      </x:c>
      <x:c r="B722" s="12" t="str">
        <x:v>000300.SH</x:v>
      </x:c>
      <x:c r="C722" s="12" t="n">
        <x:v>3806.1855</x:v>
      </x:c>
      <x:c r="D722" s="12" t="n">
        <x:v>3830.7387</x:v>
      </x:c>
      <x:c r="E722" s="12" t="n">
        <x:v>3774.4137</x:v>
      </x:c>
      <x:c r="F722" s="12" t="n">
        <x:v>3785.221</x:v>
      </x:c>
      <x:c r="G722" s="12" t="n">
        <x:v>3786.739</x:v>
      </x:c>
      <x:c r="H722" s="12" t="n">
        <x:v>-1.518</x:v>
      </x:c>
      <x:c r="I722" s="12" t="n">
        <x:v>-0.0401</x:v>
      </x:c>
      <x:c r="J722" s="12" t="n">
        <x:v>-0.0004009529950862193</x:v>
      </x:c>
      <x:c r="K722" s="12" t="n">
        <x:v>75311965</x:v>
      </x:c>
      <x:c r="L722" s="12" t="n">
        <x:v>113674616.215</x:v>
      </x:c>
      <x:c r="M722" s="12" t="str">
        <x:v>TuShare index_daily</x:v>
      </x:c>
    </x:row>
    <x:row r="723" ht="18" customHeight="1">
      <x:c r="A723" s="13" t="n">
        <x:v>43658</x:v>
      </x:c>
      <x:c r="B723" s="12" t="str">
        <x:v>000300.SH</x:v>
      </x:c>
      <x:c r="C723" s="12" t="n">
        <x:v>3783.0733</x:v>
      </x:c>
      <x:c r="D723" s="12" t="n">
        <x:v>3820.2354</x:v>
      </x:c>
      <x:c r="E723" s="12" t="n">
        <x:v>3774.5224</x:v>
      </x:c>
      <x:c r="F723" s="12" t="n">
        <x:v>3808.7311</x:v>
      </x:c>
      <x:c r="G723" s="12" t="n">
        <x:v>3785.221</x:v>
      </x:c>
      <x:c r="H723" s="12" t="n">
        <x:v>23.5101</x:v>
      </x:c>
      <x:c r="I723" s="12" t="n">
        <x:v>0.6211</x:v>
      </x:c>
      <x:c r="J723" s="12" t="n">
        <x:v>0.006191815487468652</x:v>
      </x:c>
      <x:c r="K723" s="12" t="n">
        <x:v>75465967</x:v>
      </x:c>
      <x:c r="L723" s="12" t="n">
        <x:v>107007923.971</x:v>
      </x:c>
      <x:c r="M723" s="12" t="str">
        <x:v>TuShare index_daily</x:v>
      </x:c>
    </x:row>
    <x:row r="724" ht="18" customHeight="1">
      <x:c r="A724" s="13" t="n">
        <x:v>43661</x:v>
      </x:c>
      <x:c r="B724" s="12" t="str">
        <x:v>000300.SH</x:v>
      </x:c>
      <x:c r="C724" s="12" t="n">
        <x:v>3792.6409</x:v>
      </x:c>
      <x:c r="D724" s="12" t="n">
        <x:v>3844.8683</x:v>
      </x:c>
      <x:c r="E724" s="12" t="n">
        <x:v>3745.8549</x:v>
      </x:c>
      <x:c r="F724" s="12" t="n">
        <x:v>3824.1878</x:v>
      </x:c>
      <x:c r="G724" s="12" t="n">
        <x:v>3808.7311</x:v>
      </x:c>
      <x:c r="H724" s="12" t="n">
        <x:v>15.4567</x:v>
      </x:c>
      <x:c r="I724" s="12" t="n">
        <x:v>0.4058</x:v>
      </x:c>
      <x:c r="J724" s="12" t="n">
        <x:v>0.004050015814405257</x:v>
      </x:c>
      <x:c r="K724" s="12" t="n">
        <x:v>101205222</x:v>
      </x:c>
      <x:c r="L724" s="12" t="n">
        <x:v>142493046.61</x:v>
      </x:c>
      <x:c r="M724" s="12" t="str">
        <x:v>TuShare index_daily</x:v>
      </x:c>
    </x:row>
    <x:row r="725" ht="18" customHeight="1">
      <x:c r="A725" s="13" t="n">
        <x:v>43662</x:v>
      </x:c>
      <x:c r="B725" s="12" t="str">
        <x:v>000300.SH</x:v>
      </x:c>
      <x:c r="C725" s="12" t="n">
        <x:v>3819.2474</x:v>
      </x:c>
      <x:c r="D725" s="12" t="n">
        <x:v>3828.3256</x:v>
      </x:c>
      <x:c r="E725" s="12" t="n">
        <x:v>3799.8665</x:v>
      </x:c>
      <x:c r="F725" s="12" t="n">
        <x:v>3806.8449</x:v>
      </x:c>
      <x:c r="G725" s="12" t="n">
        <x:v>3824.1878</x:v>
      </x:c>
      <x:c r="H725" s="12" t="n">
        <x:v>-17.3429</x:v>
      </x:c>
      <x:c r="I725" s="12" t="n">
        <x:v>-0.4535</x:v>
      </x:c>
      <x:c r="J725" s="12" t="n">
        <x:v>-0.004545369032223224</x:v>
      </x:c>
      <x:c r="K725" s="12" t="n">
        <x:v>80730952</x:v>
      </x:c>
      <x:c r="L725" s="12" t="n">
        <x:v>108449682.784</x:v>
      </x:c>
      <x:c r="M725" s="12" t="str">
        <x:v>TuShare index_daily</x:v>
      </x:c>
    </x:row>
    <x:row r="726" ht="18" customHeight="1">
      <x:c r="A726" s="13" t="n">
        <x:v>43663</x:v>
      </x:c>
      <x:c r="B726" s="12" t="str">
        <x:v>000300.SH</x:v>
      </x:c>
      <x:c r="C726" s="12" t="n">
        <x:v>3800.1064</x:v>
      </x:c>
      <x:c r="D726" s="12" t="n">
        <x:v>3820.2713</x:v>
      </x:c>
      <x:c r="E726" s="12" t="n">
        <x:v>3787.8973</x:v>
      </x:c>
      <x:c r="F726" s="12" t="n">
        <x:v>3804.6384</x:v>
      </x:c>
      <x:c r="G726" s="12" t="n">
        <x:v>3806.8449</x:v>
      </x:c>
      <x:c r="H726" s="12" t="n">
        <x:v>-2.2065</x:v>
      </x:c>
      <x:c r="I726" s="12" t="n">
        <x:v>-0.058</x:v>
      </x:c>
      <x:c r="J726" s="12" t="n">
        <x:v>-0.0005797818834626863</x:v>
      </x:c>
      <x:c r="K726" s="12" t="n">
        <x:v>95183885</x:v>
      </x:c>
      <x:c r="L726" s="12" t="n">
        <x:v>116766781.138</x:v>
      </x:c>
      <x:c r="M726" s="12" t="str">
        <x:v>TuShare index_daily</x:v>
      </x:c>
    </x:row>
    <x:row r="727" ht="18" customHeight="1">
      <x:c r="A727" s="13" t="n">
        <x:v>43664</x:v>
      </x:c>
      <x:c r="B727" s="12" t="str">
        <x:v>000300.SH</x:v>
      </x:c>
      <x:c r="C727" s="12" t="n">
        <x:v>3793.1893</x:v>
      </x:c>
      <x:c r="D727" s="12" t="n">
        <x:v>3793.3916</x:v>
      </x:c>
      <x:c r="E727" s="12" t="n">
        <x:v>3767.9958</x:v>
      </x:c>
      <x:c r="F727" s="12" t="n">
        <x:v>3768.4019</x:v>
      </x:c>
      <x:c r="G727" s="12" t="n">
        <x:v>3804.6384</x:v>
      </x:c>
      <x:c r="H727" s="12" t="n">
        <x:v>-36.2365</x:v>
      </x:c>
      <x:c r="I727" s="12" t="n">
        <x:v>-0.9524</x:v>
      </x:c>
      <x:c r="J727" s="12" t="n">
        <x:v>-0.009569941561221082</x:v>
      </x:c>
      <x:c r="K727" s="12" t="n">
        <x:v>87496445</x:v>
      </x:c>
      <x:c r="L727" s="12" t="n">
        <x:v>111669365.488</x:v>
      </x:c>
      <x:c r="M727" s="12" t="str">
        <x:v>TuShare index_daily</x:v>
      </x:c>
    </x:row>
    <x:row r="728" ht="18" customHeight="1">
      <x:c r="A728" s="13" t="n">
        <x:v>43665</x:v>
      </x:c>
      <x:c r="B728" s="12" t="str">
        <x:v>000300.SH</x:v>
      </x:c>
      <x:c r="C728" s="12" t="n">
        <x:v>3787.5079</x:v>
      </x:c>
      <x:c r="D728" s="12" t="n">
        <x:v>3828.1514</x:v>
      </x:c>
      <x:c r="E728" s="12" t="n">
        <x:v>3787.5079</x:v>
      </x:c>
      <x:c r="F728" s="12" t="n">
        <x:v>3807.9551</x:v>
      </x:c>
      <x:c r="G728" s="12" t="n">
        <x:v>3768.4019</x:v>
      </x:c>
      <x:c r="H728" s="12" t="n">
        <x:v>39.5532</x:v>
      </x:c>
      <x:c r="I728" s="12" t="n">
        <x:v>1.0496</x:v>
      </x:c>
      <x:c r="J728" s="12" t="n">
        <x:v>0.010441313508209052</x:v>
      </x:c>
      <x:c r="K728" s="12" t="n">
        <x:v>88086149</x:v>
      </x:c>
      <x:c r="L728" s="12" t="n">
        <x:v>117797528.166</x:v>
      </x:c>
      <x:c r="M728" s="12" t="str">
        <x:v>TuShare index_daily</x:v>
      </x:c>
    </x:row>
    <x:row r="729" ht="18" customHeight="1">
      <x:c r="A729" s="13" t="n">
        <x:v>43668</x:v>
      </x:c>
      <x:c r="B729" s="12" t="str">
        <x:v>000300.SH</x:v>
      </x:c>
      <x:c r="C729" s="12" t="n">
        <x:v>3813.5022</x:v>
      </x:c>
      <x:c r="D729" s="12" t="n">
        <x:v>3816.5387</x:v>
      </x:c>
      <x:c r="E729" s="12" t="n">
        <x:v>3765.4428</x:v>
      </x:c>
      <x:c r="F729" s="12" t="n">
        <x:v>3781.6832</x:v>
      </x:c>
      <x:c r="G729" s="12" t="n">
        <x:v>3807.9551</x:v>
      </x:c>
      <x:c r="H729" s="12" t="n">
        <x:v>-26.2719</x:v>
      </x:c>
      <x:c r="I729" s="12" t="n">
        <x:v>-0.6899</x:v>
      </x:c>
      <x:c r="J729" s="12" t="n">
        <x:v>-0.00692312436904916</x:v>
      </x:c>
      <x:c r="K729" s="12" t="n">
        <x:v>92101377</x:v>
      </x:c>
      <x:c r="L729" s="12" t="n">
        <x:v>117810448.146</x:v>
      </x:c>
      <x:c r="M729" s="12" t="str">
        <x:v>TuShare index_daily</x:v>
      </x:c>
    </x:row>
    <x:row r="730" ht="18" customHeight="1">
      <x:c r="A730" s="13" t="n">
        <x:v>43669</x:v>
      </x:c>
      <x:c r="B730" s="12" t="str">
        <x:v>000300.SH</x:v>
      </x:c>
      <x:c r="C730" s="12" t="n">
        <x:v>3783.5411</x:v>
      </x:c>
      <x:c r="D730" s="12" t="n">
        <x:v>3792.9647</x:v>
      </x:c>
      <x:c r="E730" s="12" t="n">
        <x:v>3768.7614</x:v>
      </x:c>
      <x:c r="F730" s="12" t="n">
        <x:v>3789.9135</x:v>
      </x:c>
      <x:c r="G730" s="12" t="n">
        <x:v>3781.6832</x:v>
      </x:c>
      <x:c r="H730" s="12" t="n">
        <x:v>8.2303</x:v>
      </x:c>
      <x:c r="I730" s="12" t="n">
        <x:v>0.2176</x:v>
      </x:c>
      <x:c r="J730" s="12" t="n">
        <x:v>0.0021739940907149675</x:v>
      </x:c>
      <x:c r="K730" s="12" t="n">
        <x:v>71313346</x:v>
      </x:c>
      <x:c r="L730" s="12" t="n">
        <x:v>103866608.769</x:v>
      </x:c>
      <x:c r="M730" s="12" t="str">
        <x:v>TuShare index_daily</x:v>
      </x:c>
    </x:row>
    <x:row r="731" ht="18" customHeight="1">
      <x:c r="A731" s="13" t="n">
        <x:v>43670</x:v>
      </x:c>
      <x:c r="B731" s="12" t="str">
        <x:v>000300.SH</x:v>
      </x:c>
      <x:c r="C731" s="12" t="n">
        <x:v>3803.5867</x:v>
      </x:c>
      <x:c r="D731" s="12" t="n">
        <x:v>3840.0579</x:v>
      </x:c>
      <x:c r="E731" s="12" t="n">
        <x:v>3803.5738</x:v>
      </x:c>
      <x:c r="F731" s="12" t="n">
        <x:v>3819.8325</x:v>
      </x:c>
      <x:c r="G731" s="12" t="n">
        <x:v>3789.9135</x:v>
      </x:c>
      <x:c r="H731" s="12" t="n">
        <x:v>29.919</x:v>
      </x:c>
      <x:c r="I731" s="12" t="n">
        <x:v>0.7894</x:v>
      </x:c>
      <x:c r="J731" s="12" t="n">
        <x:v>0.007863377874701536</x:v>
      </x:c>
      <x:c r="K731" s="12" t="n">
        <x:v>90940684</x:v>
      </x:c>
      <x:c r="L731" s="12" t="n">
        <x:v>129940587.223</x:v>
      </x:c>
      <x:c r="M731" s="12" t="str">
        <x:v>TuShare index_daily</x:v>
      </x:c>
    </x:row>
    <x:row r="732" ht="18" customHeight="1">
      <x:c r="A732" s="13" t="n">
        <x:v>43671</x:v>
      </x:c>
      <x:c r="B732" s="12" t="str">
        <x:v>000300.SH</x:v>
      </x:c>
      <x:c r="C732" s="12" t="n">
        <x:v>3821.3898</x:v>
      </x:c>
      <x:c r="D732" s="12" t="n">
        <x:v>3851.0665</x:v>
      </x:c>
      <x:c r="E732" s="12" t="n">
        <x:v>3812.9532</x:v>
      </x:c>
      <x:c r="F732" s="12" t="n">
        <x:v>3851.0665</x:v>
      </x:c>
      <x:c r="G732" s="12" t="n">
        <x:v>3819.8325</x:v>
      </x:c>
      <x:c r="H732" s="12" t="n">
        <x:v>31.234</x:v>
      </x:c>
      <x:c r="I732" s="12" t="n">
        <x:v>0.8177</x:v>
      </x:c>
      <x:c r="J732" s="12" t="n">
        <x:v>0.008143549436106876</x:v>
      </x:c>
      <x:c r="K732" s="12" t="n">
        <x:v>93740417</x:v>
      </x:c>
      <x:c r="L732" s="12" t="n">
        <x:v>125899502.555</x:v>
      </x:c>
      <x:c r="M732" s="12" t="str">
        <x:v>TuShare index_daily</x:v>
      </x:c>
    </x:row>
    <x:row r="733" ht="18" customHeight="1">
      <x:c r="A733" s="13" t="n">
        <x:v>43672</x:v>
      </x:c>
      <x:c r="B733" s="12" t="str">
        <x:v>000300.SH</x:v>
      </x:c>
      <x:c r="C733" s="12" t="n">
        <x:v>3835.2281</x:v>
      </x:c>
      <x:c r="D733" s="12" t="n">
        <x:v>3863.5878</x:v>
      </x:c>
      <x:c r="E733" s="12" t="n">
        <x:v>3832.5223</x:v>
      </x:c>
      <x:c r="F733" s="12" t="n">
        <x:v>3858.5688</x:v>
      </x:c>
      <x:c r="G733" s="12" t="n">
        <x:v>3851.0665</x:v>
      </x:c>
      <x:c r="H733" s="12" t="n">
        <x:v>7.5023</x:v>
      </x:c>
      <x:c r="I733" s="12" t="n">
        <x:v>0.1948</x:v>
      </x:c>
      <x:c r="J733" s="12" t="n">
        <x:v>0.001946214594111988</x:v>
      </x:c>
      <x:c r="K733" s="12" t="n">
        <x:v>83259300</x:v>
      </x:c>
      <x:c r="L733" s="12" t="n">
        <x:v>110929728.704</x:v>
      </x:c>
      <x:c r="M733" s="12" t="str">
        <x:v>TuShare index_daily</x:v>
      </x:c>
    </x:row>
    <x:row r="734" ht="18" customHeight="1">
      <x:c r="A734" s="13" t="n">
        <x:v>43675</x:v>
      </x:c>
      <x:c r="B734" s="12" t="str">
        <x:v>000300.SH</x:v>
      </x:c>
      <x:c r="C734" s="12" t="n">
        <x:v>3857.9394</x:v>
      </x:c>
      <x:c r="D734" s="12" t="n">
        <x:v>3862.7467</x:v>
      </x:c>
      <x:c r="E734" s="12" t="n">
        <x:v>3842.426</x:v>
      </x:c>
      <x:c r="F734" s="12" t="n">
        <x:v>3854.2704</x:v>
      </x:c>
      <x:c r="G734" s="12" t="n">
        <x:v>3858.5688</x:v>
      </x:c>
      <x:c r="H734" s="12" t="n">
        <x:v>-4.2984</x:v>
      </x:c>
      <x:c r="I734" s="12" t="n">
        <x:v>-0.1114</x:v>
      </x:c>
      <x:c r="J734" s="12" t="n">
        <x:v>-0.0011146091169672305</x:v>
      </x:c>
      <x:c r="K734" s="12" t="n">
        <x:v>84814370</x:v>
      </x:c>
      <x:c r="L734" s="12" t="n">
        <x:v>111679108.84</x:v>
      </x:c>
      <x:c r="M734" s="12" t="str">
        <x:v>TuShare index_daily</x:v>
      </x:c>
    </x:row>
    <x:row r="735" ht="18" customHeight="1">
      <x:c r="A735" s="13" t="n">
        <x:v>43676</x:v>
      </x:c>
      <x:c r="B735" s="12" t="str">
        <x:v>000300.SH</x:v>
      </x:c>
      <x:c r="C735" s="12" t="n">
        <x:v>3861.5698</x:v>
      </x:c>
      <x:c r="D735" s="12" t="n">
        <x:v>3890.7298</x:v>
      </x:c>
      <x:c r="E735" s="12" t="n">
        <x:v>3861.5698</x:v>
      </x:c>
      <x:c r="F735" s="12" t="n">
        <x:v>3870.3176</x:v>
      </x:c>
      <x:c r="G735" s="12" t="n">
        <x:v>3854.2704</x:v>
      </x:c>
      <x:c r="H735" s="12" t="n">
        <x:v>16.0472</x:v>
      </x:c>
      <x:c r="I735" s="12" t="n">
        <x:v>0.4163</x:v>
      </x:c>
      <x:c r="J735" s="12" t="n">
        <x:v>0.004154842454988661</x:v>
      </x:c>
      <x:c r="K735" s="12" t="n">
        <x:v>94123955</x:v>
      </x:c>
      <x:c r="L735" s="12" t="n">
        <x:v>120480280.02</x:v>
      </x:c>
      <x:c r="M735" s="12" t="str">
        <x:v>TuShare index_daily</x:v>
      </x:c>
    </x:row>
    <x:row r="736" ht="18" customHeight="1">
      <x:c r="A736" s="13" t="n">
        <x:v>43677</x:v>
      </x:c>
      <x:c r="B736" s="12" t="str">
        <x:v>000300.SH</x:v>
      </x:c>
      <x:c r="C736" s="12" t="n">
        <x:v>3856.745</x:v>
      </x:c>
      <x:c r="D736" s="12" t="n">
        <x:v>3856.745</x:v>
      </x:c>
      <x:c r="E736" s="12" t="n">
        <x:v>3830.0914</x:v>
      </x:c>
      <x:c r="F736" s="12" t="n">
        <x:v>3835.3589</x:v>
      </x:c>
      <x:c r="G736" s="12" t="n">
        <x:v>3870.3176</x:v>
      </x:c>
      <x:c r="H736" s="12" t="n">
        <x:v>-34.9587</x:v>
      </x:c>
      <x:c r="I736" s="12" t="n">
        <x:v>-0.9033</x:v>
      </x:c>
      <x:c r="J736" s="12" t="n">
        <x:v>-0.00907355501979326</x:v>
      </x:c>
      <x:c r="K736" s="12" t="n">
        <x:v>82151155</x:v>
      </x:c>
      <x:c r="L736" s="12" t="n">
        <x:v>111083892.777</x:v>
      </x:c>
      <x:c r="M736" s="12" t="str">
        <x:v>TuShare index_daily</x:v>
      </x:c>
    </x:row>
    <x:row r="737" ht="18" customHeight="1">
      <x:c r="A737" s="13" t="n">
        <x:v>43678</x:v>
      </x:c>
      <x:c r="B737" s="12" t="str">
        <x:v>000300.SH</x:v>
      </x:c>
      <x:c r="C737" s="12" t="n">
        <x:v>3819.3242</x:v>
      </x:c>
      <x:c r="D737" s="12" t="n">
        <x:v>3831.2641</x:v>
      </x:c>
      <x:c r="E737" s="12" t="n">
        <x:v>3791.546</x:v>
      </x:c>
      <x:c r="F737" s="12" t="n">
        <x:v>3803.4694</x:v>
      </x:c>
      <x:c r="G737" s="12" t="n">
        <x:v>3835.3589</x:v>
      </x:c>
      <x:c r="H737" s="12" t="n">
        <x:v>-31.8895</x:v>
      </x:c>
      <x:c r="I737" s="12" t="n">
        <x:v>-0.8315</x:v>
      </x:c>
      <x:c r="J737" s="12" t="n">
        <x:v>-0.008349365636683289</x:v>
      </x:c>
      <x:c r="K737" s="12" t="n">
        <x:v>84114180</x:v>
      </x:c>
      <x:c r="L737" s="12" t="n">
        <x:v>117649163.85</x:v>
      </x:c>
      <x:c r="M737" s="12" t="str">
        <x:v>TuShare index_daily</x:v>
      </x:c>
    </x:row>
    <x:row r="738" ht="18" customHeight="1">
      <x:c r="A738" s="13" t="n">
        <x:v>43679</x:v>
      </x:c>
      <x:c r="B738" s="12" t="str">
        <x:v>000300.SH</x:v>
      </x:c>
      <x:c r="C738" s="12" t="n">
        <x:v>3729.1309</x:v>
      </x:c>
      <x:c r="D738" s="12" t="n">
        <x:v>3754.5326</x:v>
      </x:c>
      <x:c r="E738" s="12" t="n">
        <x:v>3720.0584</x:v>
      </x:c>
      <x:c r="F738" s="12" t="n">
        <x:v>3747.4379</x:v>
      </x:c>
      <x:c r="G738" s="12" t="n">
        <x:v>3803.4694</x:v>
      </x:c>
      <x:c r="H738" s="12" t="n">
        <x:v>-56.0315</x:v>
      </x:c>
      <x:c r="I738" s="12" t="n">
        <x:v>-1.4732</x:v>
      </x:c>
      <x:c r="J738" s="12" t="n">
        <x:v>-0.01484127039139987</x:v>
      </x:c>
      <x:c r="K738" s="12" t="n">
        <x:v>108335897</x:v>
      </x:c>
      <x:c r="L738" s="12" t="n">
        <x:v>141874787.569</x:v>
      </x:c>
      <x:c r="M738" s="12" t="str">
        <x:v>TuShare index_daily</x:v>
      </x:c>
    </x:row>
    <x:row r="739" ht="18" customHeight="1">
      <x:c r="A739" s="13" t="n">
        <x:v>43682</x:v>
      </x:c>
      <x:c r="B739" s="12" t="str">
        <x:v>000300.SH</x:v>
      </x:c>
      <x:c r="C739" s="12" t="n">
        <x:v>3724.4097</x:v>
      </x:c>
      <x:c r="D739" s="12" t="n">
        <x:v>3739.5031</x:v>
      </x:c>
      <x:c r="E739" s="12" t="n">
        <x:v>3675.6884</x:v>
      </x:c>
      <x:c r="F739" s="12" t="n">
        <x:v>3675.6884</x:v>
      </x:c>
      <x:c r="G739" s="12" t="n">
        <x:v>3747.4379</x:v>
      </x:c>
      <x:c r="H739" s="12" t="n">
        <x:v>-71.7495</x:v>
      </x:c>
      <x:c r="I739" s="12" t="n">
        <x:v>-1.9146</x:v>
      </x:c>
      <x:c r="J739" s="12" t="n">
        <x:v>-0.019331944959407953</x:v>
      </x:c>
      <x:c r="K739" s="12" t="n">
        <x:v>101325981</x:v>
      </x:c>
      <x:c r="L739" s="12" t="n">
        <x:v>133061101.376</x:v>
      </x:c>
      <x:c r="M739" s="12" t="str">
        <x:v>TuShare index_daily</x:v>
      </x:c>
    </x:row>
    <x:row r="740" ht="18" customHeight="1">
      <x:c r="A740" s="13" t="n">
        <x:v>43683</x:v>
      </x:c>
      <x:c r="B740" s="12" t="str">
        <x:v>000300.SH</x:v>
      </x:c>
      <x:c r="C740" s="12" t="n">
        <x:v>3609.1118</x:v>
      </x:c>
      <x:c r="D740" s="12" t="n">
        <x:v>3649.8953</x:v>
      </x:c>
      <x:c r="E740" s="12" t="n">
        <x:v>3575.8626</x:v>
      </x:c>
      <x:c r="F740" s="12" t="n">
        <x:v>3636.3289</x:v>
      </x:c>
      <x:c r="G740" s="12" t="n">
        <x:v>3675.6884</x:v>
      </x:c>
      <x:c r="H740" s="12" t="n">
        <x:v>-39.3595</x:v>
      </x:c>
      <x:c r="I740" s="12" t="n">
        <x:v>-1.0708</x:v>
      </x:c>
      <x:c r="J740" s="12" t="n">
        <x:v>-0.010765806080601245</x:v>
      </x:c>
      <x:c r="K740" s="12" t="n">
        <x:v>129833871</x:v>
      </x:c>
      <x:c r="L740" s="12" t="n">
        <x:v>167267479.639</x:v>
      </x:c>
      <x:c r="M740" s="12" t="str">
        <x:v>TuShare index_daily</x:v>
      </x:c>
    </x:row>
    <x:row r="741" ht="18" customHeight="1">
      <x:c r="A741" s="13" t="n">
        <x:v>43684</x:v>
      </x:c>
      <x:c r="B741" s="12" t="str">
        <x:v>000300.SH</x:v>
      </x:c>
      <x:c r="C741" s="12" t="n">
        <x:v>3654.6323</x:v>
      </x:c>
      <x:c r="D741" s="12" t="n">
        <x:v>3659.0778</x:v>
      </x:c>
      <x:c r="E741" s="12" t="n">
        <x:v>3621.431</x:v>
      </x:c>
      <x:c r="F741" s="12" t="n">
        <x:v>3621.431</x:v>
      </x:c>
      <x:c r="G741" s="12" t="n">
        <x:v>3636.3289</x:v>
      </x:c>
      <x:c r="H741" s="12" t="n">
        <x:v>-14.8979</x:v>
      </x:c>
      <x:c r="I741" s="12" t="n">
        <x:v>-0.4097</x:v>
      </x:c>
      <x:c r="J741" s="12" t="n">
        <x:v>-0.004105377176846434</x:v>
      </x:c>
      <x:c r="K741" s="12" t="n">
        <x:v>84238716</x:v>
      </x:c>
      <x:c r="L741" s="12" t="n">
        <x:v>108667668.03</x:v>
      </x:c>
      <x:c r="M741" s="12" t="str">
        <x:v>TuShare index_daily</x:v>
      </x:c>
    </x:row>
    <x:row r="742" ht="18" customHeight="1">
      <x:c r="A742" s="13" t="n">
        <x:v>43685</x:v>
      </x:c>
      <x:c r="B742" s="12" t="str">
        <x:v>000300.SH</x:v>
      </x:c>
      <x:c r="C742" s="12" t="n">
        <x:v>3651.3571</x:v>
      </x:c>
      <x:c r="D742" s="12" t="n">
        <x:v>3675.4603</x:v>
      </x:c>
      <x:c r="E742" s="12" t="n">
        <x:v>3646.9386</x:v>
      </x:c>
      <x:c r="F742" s="12" t="n">
        <x:v>3669.2936</x:v>
      </x:c>
      <x:c r="G742" s="12" t="n">
        <x:v>3621.431</x:v>
      </x:c>
      <x:c r="H742" s="12" t="n">
        <x:v>47.8626</x:v>
      </x:c>
      <x:c r="I742" s="12" t="n">
        <x:v>1.3216</x:v>
      </x:c>
      <x:c r="J742" s="12" t="n">
        <x:v>0.013129912382783668</x:v>
      </x:c>
      <x:c r="K742" s="12" t="n">
        <x:v>88457707</x:v>
      </x:c>
      <x:c r="L742" s="12" t="n">
        <x:v>114981616.121</x:v>
      </x:c>
      <x:c r="M742" s="12" t="str">
        <x:v>TuShare index_daily</x:v>
      </x:c>
    </x:row>
    <x:row r="743" ht="18" customHeight="1">
      <x:c r="A743" s="13" t="n">
        <x:v>43686</x:v>
      </x:c>
      <x:c r="B743" s="12" t="str">
        <x:v>000300.SH</x:v>
      </x:c>
      <x:c r="C743" s="12" t="n">
        <x:v>3686.7493</x:v>
      </x:c>
      <x:c r="D743" s="12" t="n">
        <x:v>3689.1774</x:v>
      </x:c>
      <x:c r="E743" s="12" t="n">
        <x:v>3628.1163</x:v>
      </x:c>
      <x:c r="F743" s="12" t="n">
        <x:v>3633.5296</x:v>
      </x:c>
      <x:c r="G743" s="12" t="n">
        <x:v>3669.2936</x:v>
      </x:c>
      <x:c r="H743" s="12" t="n">
        <x:v>-35.764</x:v>
      </x:c>
      <x:c r="I743" s="12" t="n">
        <x:v>-0.9747</x:v>
      </x:c>
      <x:c r="J743" s="12" t="n">
        <x:v>-0.009794646519203832</x:v>
      </x:c>
      <x:c r="K743" s="12" t="n">
        <x:v>85295580</x:v>
      </x:c>
      <x:c r="L743" s="12" t="n">
        <x:v>116355689.959</x:v>
      </x:c>
      <x:c r="M743" s="12" t="str">
        <x:v>TuShare index_daily</x:v>
      </x:c>
    </x:row>
    <x:row r="744" ht="18" customHeight="1">
      <x:c r="A744" s="13" t="n">
        <x:v>43689</x:v>
      </x:c>
      <x:c r="B744" s="12" t="str">
        <x:v>000300.SH</x:v>
      </x:c>
      <x:c r="C744" s="12" t="n">
        <x:v>3647.8661</x:v>
      </x:c>
      <x:c r="D744" s="12" t="n">
        <x:v>3699.1047</x:v>
      </x:c>
      <x:c r="E744" s="12" t="n">
        <x:v>3643.3161</x:v>
      </x:c>
      <x:c r="F744" s="12" t="n">
        <x:v>3699.1047</x:v>
      </x:c>
      <x:c r="G744" s="12" t="n">
        <x:v>3633.5296</x:v>
      </x:c>
      <x:c r="H744" s="12" t="n">
        <x:v>65.5751</x:v>
      </x:c>
      <x:c r="I744" s="12" t="n">
        <x:v>1.8047</x:v>
      </x:c>
      <x:c r="J744" s="12" t="n">
        <x:v>0.017886299940348738</x:v>
      </x:c>
      <x:c r="K744" s="12" t="n">
        <x:v>82083056</x:v>
      </x:c>
      <x:c r="L744" s="12" t="n">
        <x:v>121129345.184</x:v>
      </x:c>
      <x:c r="M744" s="12" t="str">
        <x:v>TuShare index_daily</x:v>
      </x:c>
    </x:row>
    <x:row r="745" ht="18" customHeight="1">
      <x:c r="A745" s="13" t="n">
        <x:v>43690</x:v>
      </x:c>
      <x:c r="B745" s="12" t="str">
        <x:v>000300.SH</x:v>
      </x:c>
      <x:c r="C745" s="12" t="n">
        <x:v>3675.5868</x:v>
      </x:c>
      <x:c r="D745" s="12" t="n">
        <x:v>3686.4302</x:v>
      </x:c>
      <x:c r="E745" s="12" t="n">
        <x:v>3658.0126</x:v>
      </x:c>
      <x:c r="F745" s="12" t="n">
        <x:v>3665.7515</x:v>
      </x:c>
      <x:c r="G745" s="12" t="n">
        <x:v>3699.1047</x:v>
      </x:c>
      <x:c r="H745" s="12" t="n">
        <x:v>-33.3532</x:v>
      </x:c>
      <x:c r="I745" s="12" t="n">
        <x:v>-0.9017</x:v>
      </x:c>
      <x:c r="J745" s="12" t="n">
        <x:v>-0.00905745532884727</x:v>
      </x:c>
      <x:c r="K745" s="12" t="n">
        <x:v>76500302</x:v>
      </x:c>
      <x:c r="L745" s="12" t="n">
        <x:v>103764319.441</x:v>
      </x:c>
      <x:c r="M745" s="12" t="str">
        <x:v>TuShare index_daily</x:v>
      </x:c>
    </x:row>
    <x:row r="746" ht="18" customHeight="1">
      <x:c r="A746" s="13" t="n">
        <x:v>43691</x:v>
      </x:c>
      <x:c r="B746" s="12" t="str">
        <x:v>000300.SH</x:v>
      </x:c>
      <x:c r="C746" s="12" t="n">
        <x:v>3712.0657</x:v>
      </x:c>
      <x:c r="D746" s="12" t="n">
        <x:v>3717.5579</x:v>
      </x:c>
      <x:c r="E746" s="12" t="n">
        <x:v>3680.6086</x:v>
      </x:c>
      <x:c r="F746" s="12" t="n">
        <x:v>3682.4015</x:v>
      </x:c>
      <x:c r="G746" s="12" t="n">
        <x:v>3665.7515</x:v>
      </x:c>
      <x:c r="H746" s="12" t="n">
        <x:v>16.65</x:v>
      </x:c>
      <x:c r="I746" s="12" t="n">
        <x:v>0.4542</x:v>
      </x:c>
      <x:c r="J746" s="12" t="n">
        <x:v>0.004531758795673605</x:v>
      </x:c>
      <x:c r="K746" s="12" t="n">
        <x:v>91202590</x:v>
      </x:c>
      <x:c r="L746" s="12" t="n">
        <x:v>128301671.073</x:v>
      </x:c>
      <x:c r="M746" s="12" t="str">
        <x:v>TuShare index_daily</x:v>
      </x:c>
    </x:row>
    <x:row r="747" ht="18" customHeight="1">
      <x:c r="A747" s="13" t="n">
        <x:v>43692</x:v>
      </x:c>
      <x:c r="B747" s="12" t="str">
        <x:v>000300.SH</x:v>
      </x:c>
      <x:c r="C747" s="12" t="n">
        <x:v>3618.0092</x:v>
      </x:c>
      <x:c r="D747" s="12" t="n">
        <x:v>3694.2985</x:v>
      </x:c>
      <x:c r="E747" s="12" t="n">
        <x:v>3612.1108</x:v>
      </x:c>
      <x:c r="F747" s="12" t="n">
        <x:v>3694.0006</x:v>
      </x:c>
      <x:c r="G747" s="12" t="n">
        <x:v>3682.4015</x:v>
      </x:c>
      <x:c r="H747" s="12" t="n">
        <x:v>11.5991</x:v>
      </x:c>
      <x:c r="I747" s="12" t="n">
        <x:v>0.315</x:v>
      </x:c>
      <x:c r="J747" s="12" t="n">
        <x:v>0.0031449233387412104</x:v>
      </x:c>
      <x:c r="K747" s="12" t="n">
        <x:v>88598832</x:v>
      </x:c>
      <x:c r="L747" s="12" t="n">
        <x:v>119241082.583</x:v>
      </x:c>
      <x:c r="M747" s="12" t="str">
        <x:v>TuShare index_daily</x:v>
      </x:c>
    </x:row>
    <x:row r="748" ht="18" customHeight="1">
      <x:c r="A748" s="13" t="n">
        <x:v>43693</x:v>
      </x:c>
      <x:c r="B748" s="12" t="str">
        <x:v>000300.SH</x:v>
      </x:c>
      <x:c r="C748" s="12" t="n">
        <x:v>3697.9407</x:v>
      </x:c>
      <x:c r="D748" s="12" t="n">
        <x:v>3738.0964</x:v>
      </x:c>
      <x:c r="E748" s="12" t="n">
        <x:v>3687.0751</x:v>
      </x:c>
      <x:c r="F748" s="12" t="n">
        <x:v>3710.5386</x:v>
      </x:c>
      <x:c r="G748" s="12" t="n">
        <x:v>3694.0006</x:v>
      </x:c>
      <x:c r="H748" s="12" t="n">
        <x:v>16.538</x:v>
      </x:c>
      <x:c r="I748" s="12" t="n">
        <x:v>0.4477</x:v>
      </x:c>
      <x:c r="J748" s="12" t="n">
        <x:v>0.004466997082010161</x:v>
      </x:c>
      <x:c r="K748" s="12" t="n">
        <x:v>88319169</x:v>
      </x:c>
      <x:c r="L748" s="12" t="n">
        <x:v>132696910.341</x:v>
      </x:c>
      <x:c r="M748" s="12" t="str">
        <x:v>TuShare index_daily</x:v>
      </x:c>
    </x:row>
    <x:row r="749" ht="18" customHeight="1">
      <x:c r="A749" s="13" t="n">
        <x:v>43696</x:v>
      </x:c>
      <x:c r="B749" s="12" t="str">
        <x:v>000300.SH</x:v>
      </x:c>
      <x:c r="C749" s="12" t="n">
        <x:v>3736.0344</x:v>
      </x:c>
      <x:c r="D749" s="12" t="n">
        <x:v>3791.0946</x:v>
      </x:c>
      <x:c r="E749" s="12" t="n">
        <x:v>3720.6894</x:v>
      </x:c>
      <x:c r="F749" s="12" t="n">
        <x:v>3791.0946</x:v>
      </x:c>
      <x:c r="G749" s="12" t="n">
        <x:v>3710.5386</x:v>
      </x:c>
      <x:c r="H749" s="12" t="n">
        <x:v>80.556</x:v>
      </x:c>
      <x:c r="I749" s="12" t="n">
        <x:v>2.171</x:v>
      </x:c>
      <x:c r="J749" s="12" t="n">
        <x:v>0.021477748776293232</x:v>
      </x:c>
      <x:c r="K749" s="12" t="n">
        <x:v>139327013</x:v>
      </x:c>
      <x:c r="L749" s="12" t="n">
        <x:v>195448939.476</x:v>
      </x:c>
      <x:c r="M749" s="12" t="str">
        <x:v>TuShare index_daily</x:v>
      </x:c>
    </x:row>
    <x:row r="750" ht="18" customHeight="1">
      <x:c r="A750" s="13" t="n">
        <x:v>43697</x:v>
      </x:c>
      <x:c r="B750" s="12" t="str">
        <x:v>000300.SH</x:v>
      </x:c>
      <x:c r="C750" s="12" t="n">
        <x:v>3786.026</x:v>
      </x:c>
      <x:c r="D750" s="12" t="n">
        <x:v>3799.8977</x:v>
      </x:c>
      <x:c r="E750" s="12" t="n">
        <x:v>3778.7306</x:v>
      </x:c>
      <x:c r="F750" s="12" t="n">
        <x:v>3787.7324</x:v>
      </x:c>
      <x:c r="G750" s="12" t="n">
        <x:v>3791.0946</x:v>
      </x:c>
      <x:c r="H750" s="12" t="n">
        <x:v>-3.3622</x:v>
      </x:c>
      <x:c r="I750" s="12" t="n">
        <x:v>-0.0887</x:v>
      </x:c>
      <x:c r="J750" s="12" t="n">
        <x:v>-0.0008872613718639216</x:v>
      </x:c>
      <x:c r="K750" s="12" t="n">
        <x:v>108602088</x:v>
      </x:c>
      <x:c r="L750" s="12" t="n">
        <x:v>149115340.695</x:v>
      </x:c>
      <x:c r="M750" s="12" t="str">
        <x:v>TuShare index_daily</x:v>
      </x:c>
    </x:row>
    <x:row r="751" ht="18" customHeight="1">
      <x:c r="A751" s="13" t="n">
        <x:v>43698</x:v>
      </x:c>
      <x:c r="B751" s="12" t="str">
        <x:v>000300.SH</x:v>
      </x:c>
      <x:c r="C751" s="12" t="n">
        <x:v>3778.3091</x:v>
      </x:c>
      <x:c r="D751" s="12" t="n">
        <x:v>3792.5955</x:v>
      </x:c>
      <x:c r="E751" s="12" t="n">
        <x:v>3775.4474</x:v>
      </x:c>
      <x:c r="F751" s="12" t="n">
        <x:v>3781.7579</x:v>
      </x:c>
      <x:c r="G751" s="12" t="n">
        <x:v>3787.7324</x:v>
      </x:c>
      <x:c r="H751" s="12" t="n">
        <x:v>-5.9745</x:v>
      </x:c>
      <x:c r="I751" s="12" t="n">
        <x:v>-0.1577</x:v>
      </x:c>
      <x:c r="J751" s="12" t="n">
        <x:v>-0.0015785742510702235</x:v>
      </x:c>
      <x:c r="K751" s="12" t="n">
        <x:v>82299880</x:v>
      </x:c>
      <x:c r="L751" s="12" t="n">
        <x:v>121688505.095</x:v>
      </x:c>
      <x:c r="M751" s="12" t="str">
        <x:v>TuShare index_daily</x:v>
      </x:c>
    </x:row>
    <x:row r="752" ht="18" customHeight="1">
      <x:c r="A752" s="13" t="n">
        <x:v>43699</x:v>
      </x:c>
      <x:c r="B752" s="12" t="str">
        <x:v>000300.SH</x:v>
      </x:c>
      <x:c r="C752" s="12" t="n">
        <x:v>3793.8552</x:v>
      </x:c>
      <x:c r="D752" s="12" t="n">
        <x:v>3797.329</x:v>
      </x:c>
      <x:c r="E752" s="12" t="n">
        <x:v>3771.2048</x:v>
      </x:c>
      <x:c r="F752" s="12" t="n">
        <x:v>3793.5061</x:v>
      </x:c>
      <x:c r="G752" s="12" t="n">
        <x:v>3781.7579</x:v>
      </x:c>
      <x:c r="H752" s="12" t="n">
        <x:v>11.7482</x:v>
      </x:c>
      <x:c r="I752" s="12" t="n">
        <x:v>0.3107</x:v>
      </x:c>
      <x:c r="J752" s="12" t="n">
        <x:v>0.003101729370447891</x:v>
      </x:c>
      <x:c r="K752" s="12" t="n">
        <x:v>85807792</x:v>
      </x:c>
      <x:c r="L752" s="12" t="n">
        <x:v>120708136.081</x:v>
      </x:c>
      <x:c r="M752" s="12" t="str">
        <x:v>TuShare index_daily</x:v>
      </x:c>
    </x:row>
    <x:row r="753" ht="18" customHeight="1">
      <x:c r="A753" s="13" t="n">
        <x:v>43700</x:v>
      </x:c>
      <x:c r="B753" s="12" t="str">
        <x:v>000300.SH</x:v>
      </x:c>
      <x:c r="C753" s="12" t="n">
        <x:v>3796.8821</x:v>
      </x:c>
      <x:c r="D753" s="12" t="n">
        <x:v>3829.3607</x:v>
      </x:c>
      <x:c r="E753" s="12" t="n">
        <x:v>3788.0345</x:v>
      </x:c>
      <x:c r="F753" s="12" t="n">
        <x:v>3820.8638</x:v>
      </x:c>
      <x:c r="G753" s="12" t="n">
        <x:v>3793.5061</x:v>
      </x:c>
      <x:c r="H753" s="12" t="n">
        <x:v>27.3577</x:v>
      </x:c>
      <x:c r="I753" s="12" t="n">
        <x:v>0.7212</x:v>
      </x:c>
      <x:c r="J753" s="12" t="n">
        <x:v>0.007185838901974463</x:v>
      </x:c>
      <x:c r="K753" s="12" t="n">
        <x:v>87954583</x:v>
      </x:c>
      <x:c r="L753" s="12" t="n">
        <x:v>137802154.001</x:v>
      </x:c>
      <x:c r="M753" s="12" t="str">
        <x:v>TuShare index_daily</x:v>
      </x:c>
    </x:row>
    <x:row r="754" ht="18" customHeight="1">
      <x:c r="A754" s="13" t="n">
        <x:v>43703</x:v>
      </x:c>
      <x:c r="B754" s="12" t="str">
        <x:v>000300.SH</x:v>
      </x:c>
      <x:c r="C754" s="12" t="n">
        <x:v>3756.3618</x:v>
      </x:c>
      <x:c r="D754" s="12" t="n">
        <x:v>3778.8665</x:v>
      </x:c>
      <x:c r="E754" s="12" t="n">
        <x:v>3753.1646</x:v>
      </x:c>
      <x:c r="F754" s="12" t="n">
        <x:v>3765.9105</x:v>
      </x:c>
      <x:c r="G754" s="12" t="n">
        <x:v>3820.8638</x:v>
      </x:c>
      <x:c r="H754" s="12" t="n">
        <x:v>-54.9533</x:v>
      </x:c>
      <x:c r="I754" s="12" t="n">
        <x:v>-1.4382</x:v>
      </x:c>
      <x:c r="J754" s="12" t="n">
        <x:v>-0.014486858026008614</x:v>
      </x:c>
      <x:c r="K754" s="12" t="n">
        <x:v>93859269</x:v>
      </x:c>
      <x:c r="L754" s="12" t="n">
        <x:v>142350985.497</x:v>
      </x:c>
      <x:c r="M754" s="12" t="str">
        <x:v>TuShare index_daily</x:v>
      </x:c>
    </x:row>
    <x:row r="755" ht="18" customHeight="1">
      <x:c r="A755" s="13" t="n">
        <x:v>43704</x:v>
      </x:c>
      <x:c r="B755" s="12" t="str">
        <x:v>000300.SH</x:v>
      </x:c>
      <x:c r="C755" s="12" t="n">
        <x:v>3791.4587</x:v>
      </x:c>
      <x:c r="D755" s="12" t="n">
        <x:v>3848.2358</x:v>
      </x:c>
      <x:c r="E755" s="12" t="n">
        <x:v>3790.873</x:v>
      </x:c>
      <x:c r="F755" s="12" t="n">
        <x:v>3816.9459</x:v>
      </x:c>
      <x:c r="G755" s="12" t="n">
        <x:v>3765.9105</x:v>
      </x:c>
      <x:c r="H755" s="12" t="n">
        <x:v>51.0354</x:v>
      </x:c>
      <x:c r="I755" s="12" t="n">
        <x:v>1.3552</x:v>
      </x:c>
      <x:c r="J755" s="12" t="n">
        <x:v>0.013460935543640957</x:v>
      </x:c>
      <x:c r="K755" s="12" t="n">
        <x:v>124731478</x:v>
      </x:c>
      <x:c r="L755" s="12" t="n">
        <x:v>181748784.079</x:v>
      </x:c>
      <x:c r="M755" s="12" t="str">
        <x:v>TuShare index_daily</x:v>
      </x:c>
    </x:row>
    <x:row r="756" ht="18" customHeight="1">
      <x:c r="A756" s="13" t="n">
        <x:v>43705</x:v>
      </x:c>
      <x:c r="B756" s="12" t="str">
        <x:v>000300.SH</x:v>
      </x:c>
      <x:c r="C756" s="12" t="n">
        <x:v>3818.8125</x:v>
      </x:c>
      <x:c r="D756" s="12" t="n">
        <x:v>3822.5883</x:v>
      </x:c>
      <x:c r="E756" s="12" t="n">
        <x:v>3790.1384</x:v>
      </x:c>
      <x:c r="F756" s="12" t="n">
        <x:v>3802.5844</x:v>
      </x:c>
      <x:c r="G756" s="12" t="n">
        <x:v>3816.9459</x:v>
      </x:c>
      <x:c r="H756" s="12" t="n">
        <x:v>-14.3615</x:v>
      </x:c>
      <x:c r="I756" s="12" t="n">
        <x:v>-0.3763</x:v>
      </x:c>
      <x:c r="J756" s="12" t="n">
        <x:v>-0.003769659399294659</x:v>
      </x:c>
      <x:c r="K756" s="12" t="n">
        <x:v>88750812</x:v>
      </x:c>
      <x:c r="L756" s="12" t="n">
        <x:v>137667277.244</x:v>
      </x:c>
      <x:c r="M756" s="12" t="str">
        <x:v>TuShare index_daily</x:v>
      </x:c>
    </x:row>
    <x:row r="757" ht="18" customHeight="1">
      <x:c r="A757" s="13" t="n">
        <x:v>43706</x:v>
      </x:c>
      <x:c r="B757" s="12" t="str">
        <x:v>000300.SH</x:v>
      </x:c>
      <x:c r="C757" s="12" t="n">
        <x:v>3805.494</x:v>
      </x:c>
      <x:c r="D757" s="12" t="n">
        <x:v>3808.5954</x:v>
      </x:c>
      <x:c r="E757" s="12" t="n">
        <x:v>3774.3968</x:v>
      </x:c>
      <x:c r="F757" s="12" t="n">
        <x:v>3790.1867</x:v>
      </x:c>
      <x:c r="G757" s="12" t="n">
        <x:v>3802.5844</x:v>
      </x:c>
      <x:c r="H757" s="12" t="n">
        <x:v>-12.3977</x:v>
      </x:c>
      <x:c r="I757" s="12" t="n">
        <x:v>-0.326</x:v>
      </x:c>
      <x:c r="J757" s="12" t="n">
        <x:v>-0.0032656617339578433</x:v>
      </x:c>
      <x:c r="K757" s="12" t="n">
        <x:v>84083387</x:v>
      </x:c>
      <x:c r="L757" s="12" t="n">
        <x:v>126475676.638</x:v>
      </x:c>
      <x:c r="M757" s="12" t="str">
        <x:v>TuShare index_daily</x:v>
      </x:c>
    </x:row>
    <x:row r="758" ht="18" customHeight="1">
      <x:c r="A758" s="13" t="n">
        <x:v>43707</x:v>
      </x:c>
      <x:c r="B758" s="12" t="str">
        <x:v>000300.SH</x:v>
      </x:c>
      <x:c r="C758" s="12" t="n">
        <x:v>3816.678</x:v>
      </x:c>
      <x:c r="D758" s="12" t="n">
        <x:v>3828.9698</x:v>
      </x:c>
      <x:c r="E758" s="12" t="n">
        <x:v>3778.9189</x:v>
      </x:c>
      <x:c r="F758" s="12" t="n">
        <x:v>3799.5863</x:v>
      </x:c>
      <x:c r="G758" s="12" t="n">
        <x:v>3790.1867</x:v>
      </x:c>
      <x:c r="H758" s="12" t="n">
        <x:v>9.3996</x:v>
      </x:c>
      <x:c r="I758" s="12" t="n">
        <x:v>0.248</x:v>
      </x:c>
      <x:c r="J758" s="12" t="n">
        <x:v>0.0024769132899290875</x:v>
      </x:c>
      <x:c r="K758" s="12" t="n">
        <x:v>96695150</x:v>
      </x:c>
      <x:c r="L758" s="12" t="n">
        <x:v>152408668.676</x:v>
      </x:c>
      <x:c r="M758" s="12" t="str">
        <x:v>TuShare index_daily</x:v>
      </x:c>
    </x:row>
    <x:row r="759" ht="18" customHeight="1">
      <x:c r="A759" s="13" t="n">
        <x:v>43710</x:v>
      </x:c>
      <x:c r="B759" s="12" t="str">
        <x:v>000300.SH</x:v>
      </x:c>
      <x:c r="C759" s="12" t="n">
        <x:v>3803.689</x:v>
      </x:c>
      <x:c r="D759" s="12" t="n">
        <x:v>3855.7768</x:v>
      </x:c>
      <x:c r="E759" s="12" t="n">
        <x:v>3799.8166</x:v>
      </x:c>
      <x:c r="F759" s="12" t="n">
        <x:v>3848.3198</x:v>
      </x:c>
      <x:c r="G759" s="12" t="n">
        <x:v>3799.5863</x:v>
      </x:c>
      <x:c r="H759" s="12" t="n">
        <x:v>48.7335</x:v>
      </x:c>
      <x:c r="I759" s="12" t="n">
        <x:v>1.2826</x:v>
      </x:c>
      <x:c r="J759" s="12" t="n">
        <x:v>0.012744445073590072</x:v>
      </x:c>
      <x:c r="K759" s="12" t="n">
        <x:v>110289349</x:v>
      </x:c>
      <x:c r="L759" s="12" t="n">
        <x:v>164994458.613</x:v>
      </x:c>
      <x:c r="M759" s="12" t="str">
        <x:v>TuShare index_daily</x:v>
      </x:c>
    </x:row>
    <x:row r="760" ht="18" customHeight="1">
      <x:c r="A760" s="13" t="n">
        <x:v>43711</x:v>
      </x:c>
      <x:c r="B760" s="12" t="str">
        <x:v>000300.SH</x:v>
      </x:c>
      <x:c r="C760" s="12" t="n">
        <x:v>3852.5794</x:v>
      </x:c>
      <x:c r="D760" s="12" t="n">
        <x:v>3856.6813</x:v>
      </x:c>
      <x:c r="E760" s="12" t="n">
        <x:v>3833.7571</x:v>
      </x:c>
      <x:c r="F760" s="12" t="n">
        <x:v>3853.6106</x:v>
      </x:c>
      <x:c r="G760" s="12" t="n">
        <x:v>3848.3198</x:v>
      </x:c>
      <x:c r="H760" s="12" t="n">
        <x:v>5.2908</x:v>
      </x:c>
      <x:c r="I760" s="12" t="n">
        <x:v>0.1375</x:v>
      </x:c>
      <x:c r="J760" s="12" t="n">
        <x:v>0.0013738895465038698</x:v>
      </x:c>
      <x:c r="K760" s="12" t="n">
        <x:v>97714631</x:v>
      </x:c>
      <x:c r="L760" s="12" t="n">
        <x:v>146270633.849</x:v>
      </x:c>
      <x:c r="M760" s="12" t="str">
        <x:v>TuShare index_daily</x:v>
      </x:c>
    </x:row>
    <x:row r="761" ht="18" customHeight="1">
      <x:c r="A761" s="13" t="n">
        <x:v>43712</x:v>
      </x:c>
      <x:c r="B761" s="12" t="str">
        <x:v>000300.SH</x:v>
      </x:c>
      <x:c r="C761" s="12" t="n">
        <x:v>3848.6483</x:v>
      </x:c>
      <x:c r="D761" s="12" t="n">
        <x:v>3886.0012</x:v>
      </x:c>
      <x:c r="E761" s="12" t="n">
        <x:v>3846.4215</x:v>
      </x:c>
      <x:c r="F761" s="12" t="n">
        <x:v>3886.0012</x:v>
      </x:c>
      <x:c r="G761" s="12" t="n">
        <x:v>3853.6106</x:v>
      </x:c>
      <x:c r="H761" s="12" t="n">
        <x:v>32.3906</x:v>
      </x:c>
      <x:c r="I761" s="12" t="n">
        <x:v>0.8405</x:v>
      </x:c>
      <x:c r="J761" s="12" t="n">
        <x:v>0.00837013275123946</x:v>
      </x:c>
      <x:c r="K761" s="12" t="n">
        <x:v>126628615</x:v>
      </x:c>
      <x:c r="L761" s="12" t="n">
        <x:v>176839744.819</x:v>
      </x:c>
      <x:c r="M761" s="12" t="str">
        <x:v>TuShare index_daily</x:v>
      </x:c>
    </x:row>
    <x:row r="762" ht="18" customHeight="1">
      <x:c r="A762" s="13" t="n">
        <x:v>43713</x:v>
      </x:c>
      <x:c r="B762" s="12" t="str">
        <x:v>000300.SH</x:v>
      </x:c>
      <x:c r="C762" s="12" t="n">
        <x:v>3909.2087</x:v>
      </x:c>
      <x:c r="D762" s="12" t="n">
        <x:v>3970.0038</x:v>
      </x:c>
      <x:c r="E762" s="12" t="n">
        <x:v>3909.2087</x:v>
      </x:c>
      <x:c r="F762" s="12" t="n">
        <x:v>3925.323</x:v>
      </x:c>
      <x:c r="G762" s="12" t="n">
        <x:v>3886.0012</x:v>
      </x:c>
      <x:c r="H762" s="12" t="n">
        <x:v>39.3218</x:v>
      </x:c>
      <x:c r="I762" s="12" t="n">
        <x:v>1.0119</x:v>
      </x:c>
      <x:c r="J762" s="12" t="n">
        <x:v>0.01006798108609549</x:v>
      </x:c>
      <x:c r="K762" s="12" t="n">
        <x:v>181656231</x:v>
      </x:c>
      <x:c r="L762" s="12" t="n">
        <x:v>244681225.481</x:v>
      </x:c>
      <x:c r="M762" s="12" t="str">
        <x:v>TuShare index_daily</x:v>
      </x:c>
    </x:row>
    <x:row r="763" ht="18" customHeight="1">
      <x:c r="A763" s="13" t="n">
        <x:v>43714</x:v>
      </x:c>
      <x:c r="B763" s="12" t="str">
        <x:v>000300.SH</x:v>
      </x:c>
      <x:c r="C763" s="12" t="n">
        <x:v>3946.6854</x:v>
      </x:c>
      <x:c r="D763" s="12" t="n">
        <x:v>3948.5397</x:v>
      </x:c>
      <x:c r="E763" s="12" t="n">
        <x:v>3922.3361</x:v>
      </x:c>
      <x:c r="F763" s="12" t="n">
        <x:v>3948.5075</x:v>
      </x:c>
      <x:c r="G763" s="12" t="n">
        <x:v>3925.323</x:v>
      </x:c>
      <x:c r="H763" s="12" t="n">
        <x:v>23.1845</x:v>
      </x:c>
      <x:c r="I763" s="12" t="n">
        <x:v>0.5906</x:v>
      </x:c>
      <x:c r="J763" s="12" t="n">
        <x:v>0.005889018567064386</x:v>
      </x:c>
      <x:c r="K763" s="12" t="n">
        <x:v>121882376</x:v>
      </x:c>
      <x:c r="L763" s="12" t="n">
        <x:v>181718270.031</x:v>
      </x:c>
      <x:c r="M763" s="12" t="str">
        <x:v>TuShare index_daily</x:v>
      </x:c>
    </x:row>
    <x:row r="764" ht="18" customHeight="1">
      <x:c r="A764" s="13" t="n">
        <x:v>43717</x:v>
      </x:c>
      <x:c r="B764" s="12" t="str">
        <x:v>000300.SH</x:v>
      </x:c>
      <x:c r="C764" s="12" t="n">
        <x:v>3980.9577</x:v>
      </x:c>
      <x:c r="D764" s="12" t="n">
        <x:v>3985.239</x:v>
      </x:c>
      <x:c r="E764" s="12" t="n">
        <x:v>3954.8755</x:v>
      </x:c>
      <x:c r="F764" s="12" t="n">
        <x:v>3972.9484</x:v>
      </x:c>
      <x:c r="G764" s="12" t="n">
        <x:v>3948.5075</x:v>
      </x:c>
      <x:c r="H764" s="12" t="n">
        <x:v>24.4409</x:v>
      </x:c>
      <x:c r="I764" s="12" t="n">
        <x:v>0.619</x:v>
      </x:c>
      <x:c r="J764" s="12" t="n">
        <x:v>0.006170829672186728</x:v>
      </x:c>
      <x:c r="K764" s="12" t="n">
        <x:v>146809754</x:v>
      </x:c>
      <x:c r="L764" s="12" t="n">
        <x:v>209545387.191</x:v>
      </x:c>
      <x:c r="M764" s="12" t="str">
        <x:v>TuShare index_daily</x:v>
      </x:c>
    </x:row>
    <x:row r="765" ht="18" customHeight="1">
      <x:c r="A765" s="13" t="n">
        <x:v>43718</x:v>
      </x:c>
      <x:c r="B765" s="12" t="str">
        <x:v>000300.SH</x:v>
      </x:c>
      <x:c r="C765" s="12" t="n">
        <x:v>3976.8697</x:v>
      </x:c>
      <x:c r="D765" s="12" t="n">
        <x:v>3976.9225</x:v>
      </x:c>
      <x:c r="E765" s="12" t="n">
        <x:v>3938.7441</x:v>
      </x:c>
      <x:c r="F765" s="12" t="n">
        <x:v>3959.265</x:v>
      </x:c>
      <x:c r="G765" s="12" t="n">
        <x:v>3972.9484</x:v>
      </x:c>
      <x:c r="H765" s="12" t="n">
        <x:v>-13.6834</x:v>
      </x:c>
      <x:c r="I765" s="12" t="n">
        <x:v>-0.3444</x:v>
      </x:c>
      <x:c r="J765" s="12" t="n">
        <x:v>-0.0034500871025243763</x:v>
      </x:c>
      <x:c r="K765" s="12" t="n">
        <x:v>130889386</x:v>
      </x:c>
      <x:c r="L765" s="12" t="n">
        <x:v>184494349.874</x:v>
      </x:c>
      <x:c r="M765" s="12" t="str">
        <x:v>TuShare index_daily</x:v>
      </x:c>
    </x:row>
    <x:row r="766" ht="18" customHeight="1">
      <x:c r="A766" s="13" t="n">
        <x:v>43719</x:v>
      </x:c>
      <x:c r="B766" s="12" t="str">
        <x:v>000300.SH</x:v>
      </x:c>
      <x:c r="C766" s="12" t="n">
        <x:v>3969.6757</x:v>
      </x:c>
      <x:c r="D766" s="12" t="n">
        <x:v>3971.2237</x:v>
      </x:c>
      <x:c r="E766" s="12" t="n">
        <x:v>3922.9531</x:v>
      </x:c>
      <x:c r="F766" s="12" t="n">
        <x:v>3930.0999</x:v>
      </x:c>
      <x:c r="G766" s="12" t="n">
        <x:v>3959.265</x:v>
      </x:c>
      <x:c r="H766" s="12" t="n">
        <x:v>-29.1651</x:v>
      </x:c>
      <x:c r="I766" s="12" t="n">
        <x:v>-0.7366</x:v>
      </x:c>
      <x:c r="J766" s="12" t="n">
        <x:v>-0.00739355657342721</x:v>
      </x:c>
      <x:c r="K766" s="12" t="n">
        <x:v>131594875</x:v>
      </x:c>
      <x:c r="L766" s="12" t="n">
        <x:v>190165007.512</x:v>
      </x:c>
      <x:c r="M766" s="12" t="str">
        <x:v>TuShare index_daily</x:v>
      </x:c>
    </x:row>
    <x:row r="767" ht="18" customHeight="1">
      <x:c r="A767" s="13" t="n">
        <x:v>43720</x:v>
      </x:c>
      <x:c r="B767" s="12" t="str">
        <x:v>000300.SH</x:v>
      </x:c>
      <x:c r="C767" s="12" t="n">
        <x:v>3944.6917</x:v>
      </x:c>
      <x:c r="D767" s="12" t="n">
        <x:v>3975.9311</x:v>
      </x:c>
      <x:c r="E767" s="12" t="n">
        <x:v>3933.4366</x:v>
      </x:c>
      <x:c r="F767" s="12" t="n">
        <x:v>3972.3799</x:v>
      </x:c>
      <x:c r="G767" s="12" t="n">
        <x:v>3930.0999</x:v>
      </x:c>
      <x:c r="H767" s="12" t="n">
        <x:v>42.28</x:v>
      </x:c>
      <x:c r="I767" s="12" t="n">
        <x:v>1.0758</x:v>
      </x:c>
      <x:c r="J767" s="12" t="n">
        <x:v>0.010700540715443225</x:v>
      </x:c>
      <x:c r="K767" s="12" t="n">
        <x:v>110241273</x:v>
      </x:c>
      <x:c r="L767" s="12" t="n">
        <x:v>156750653.138</x:v>
      </x:c>
      <x:c r="M767" s="12" t="str">
        <x:v>TuShare index_daily</x:v>
      </x:c>
    </x:row>
    <x:row r="768" ht="18" customHeight="1">
      <x:c r="A768" s="13" t="n">
        <x:v>43724</x:v>
      </x:c>
      <x:c r="B768" s="12" t="str">
        <x:v>000300.SH</x:v>
      </x:c>
      <x:c r="C768" s="12" t="n">
        <x:v>3981.3616</x:v>
      </x:c>
      <x:c r="D768" s="12" t="n">
        <x:v>3982.204</x:v>
      </x:c>
      <x:c r="E768" s="12" t="n">
        <x:v>3943.3734</x:v>
      </x:c>
      <x:c r="F768" s="12" t="n">
        <x:v>3957.7154</x:v>
      </x:c>
      <x:c r="G768" s="12" t="n">
        <x:v>3972.3799</x:v>
      </x:c>
      <x:c r="H768" s="12" t="n">
        <x:v>-14.6645</x:v>
      </x:c>
      <x:c r="I768" s="12" t="n">
        <x:v>-0.3692</x:v>
      </x:c>
      <x:c r="J768" s="12" t="n">
        <x:v>-0.0036984465283036883</x:v>
      </x:c>
      <x:c r="K768" s="12" t="n">
        <x:v>110259805</x:v>
      </x:c>
      <x:c r="L768" s="12" t="n">
        <x:v>154736552.348</x:v>
      </x:c>
      <x:c r="M768" s="12" t="str">
        <x:v>TuShare index_daily</x:v>
      </x:c>
    </x:row>
    <x:row r="769" ht="18" customHeight="1">
      <x:c r="A769" s="13" t="n">
        <x:v>43725</x:v>
      </x:c>
      <x:c r="B769" s="12" t="str">
        <x:v>000300.SH</x:v>
      </x:c>
      <x:c r="C769" s="12" t="n">
        <x:v>3947.1577</x:v>
      </x:c>
      <x:c r="D769" s="12" t="n">
        <x:v>3947.1577</x:v>
      </x:c>
      <x:c r="E769" s="12" t="n">
        <x:v>3879.4852</x:v>
      </x:c>
      <x:c r="F769" s="12" t="n">
        <x:v>3891.2208</x:v>
      </x:c>
      <x:c r="G769" s="12" t="n">
        <x:v>3957.7154</x:v>
      </x:c>
      <x:c r="H769" s="12" t="n">
        <x:v>-66.4946</x:v>
      </x:c>
      <x:c r="I769" s="12" t="n">
        <x:v>-1.6801</x:v>
      </x:c>
      <x:c r="J769" s="12" t="n">
        <x:v>-0.016944000862452385</x:v>
      </x:c>
      <x:c r="K769" s="12" t="n">
        <x:v>113694317</x:v>
      </x:c>
      <x:c r="L769" s="12" t="n">
        <x:v>154899299.888</x:v>
      </x:c>
      <x:c r="M769" s="12" t="str">
        <x:v>TuShare index_daily</x:v>
      </x:c>
    </x:row>
    <x:row r="770" ht="18" customHeight="1">
      <x:c r="A770" s="13" t="n">
        <x:v>43726</x:v>
      </x:c>
      <x:c r="B770" s="12" t="str">
        <x:v>000300.SH</x:v>
      </x:c>
      <x:c r="C770" s="12" t="n">
        <x:v>3902.9947</x:v>
      </x:c>
      <x:c r="D770" s="12" t="n">
        <x:v>3923.1462</x:v>
      </x:c>
      <x:c r="E770" s="12" t="n">
        <x:v>3902.5109</x:v>
      </x:c>
      <x:c r="F770" s="12" t="n">
        <x:v>3910.0837</x:v>
      </x:c>
      <x:c r="G770" s="12" t="n">
        <x:v>3891.2208</x:v>
      </x:c>
      <x:c r="H770" s="12" t="n">
        <x:v>18.8629</x:v>
      </x:c>
      <x:c r="I770" s="12" t="n">
        <x:v>0.4848</x:v>
      </x:c>
      <x:c r="J770" s="12" t="n">
        <x:v>0.004835841687665309</x:v>
      </x:c>
      <x:c r="K770" s="12" t="n">
        <x:v>82056152</x:v>
      </x:c>
      <x:c r="L770" s="12" t="n">
        <x:v>130159557.672</x:v>
      </x:c>
      <x:c r="M770" s="12" t="str">
        <x:v>TuShare index_daily</x:v>
      </x:c>
    </x:row>
    <x:row r="771" ht="18" customHeight="1">
      <x:c r="A771" s="13" t="n">
        <x:v>43727</x:v>
      </x:c>
      <x:c r="B771" s="12" t="str">
        <x:v>000300.SH</x:v>
      </x:c>
      <x:c r="C771" s="12" t="n">
        <x:v>3923.9631</x:v>
      </x:c>
      <x:c r="D771" s="12" t="n">
        <x:v>3924.3823</x:v>
      </x:c>
      <x:c r="E771" s="12" t="n">
        <x:v>3897.0666</x:v>
      </x:c>
      <x:c r="F771" s="12" t="n">
        <x:v>3924.3823</x:v>
      </x:c>
      <x:c r="G771" s="12" t="n">
        <x:v>3910.0837</x:v>
      </x:c>
      <x:c r="H771" s="12" t="n">
        <x:v>14.2986</x:v>
      </x:c>
      <x:c r="I771" s="12" t="n">
        <x:v>0.3657</x:v>
      </x:c>
      <x:c r="J771" s="12" t="n">
        <x:v>0.0036501826355516058</x:v>
      </x:c>
      <x:c r="K771" s="12" t="n">
        <x:v>85984238</x:v>
      </x:c>
      <x:c r="L771" s="12" t="n">
        <x:v>127421791.159</x:v>
      </x:c>
      <x:c r="M771" s="12" t="str">
        <x:v>TuShare index_daily</x:v>
      </x:c>
    </x:row>
    <x:row r="772" ht="18" customHeight="1">
      <x:c r="A772" s="13" t="n">
        <x:v>43728</x:v>
      </x:c>
      <x:c r="B772" s="12" t="str">
        <x:v>000300.SH</x:v>
      </x:c>
      <x:c r="C772" s="12" t="n">
        <x:v>3933.4594</x:v>
      </x:c>
      <x:c r="D772" s="12" t="n">
        <x:v>3942.224</x:v>
      </x:c>
      <x:c r="E772" s="12" t="n">
        <x:v>3921.4124</x:v>
      </x:c>
      <x:c r="F772" s="12" t="n">
        <x:v>3935.6511</x:v>
      </x:c>
      <x:c r="G772" s="12" t="n">
        <x:v>3924.3823</x:v>
      </x:c>
      <x:c r="H772" s="12" t="n">
        <x:v>11.2688</x:v>
      </x:c>
      <x:c r="I772" s="12" t="n">
        <x:v>0.2871</x:v>
      </x:c>
      <x:c r="J772" s="12" t="n">
        <x:v>0.0028673689149518178</x:v>
      </x:c>
      <x:c r="K772" s="12" t="n">
        <x:v>103455955</x:v>
      </x:c>
      <x:c r="L772" s="12" t="n">
        <x:v>153162588.495</x:v>
      </x:c>
      <x:c r="M772" s="12" t="str">
        <x:v>TuShare index_daily</x:v>
      </x:c>
    </x:row>
    <x:row r="773" ht="18" customHeight="1">
      <x:c r="A773" s="13" t="n">
        <x:v>43731</x:v>
      </x:c>
      <x:c r="B773" s="12" t="str">
        <x:v>000300.SH</x:v>
      </x:c>
      <x:c r="C773" s="12" t="n">
        <x:v>3925.1858</x:v>
      </x:c>
      <x:c r="D773" s="12" t="n">
        <x:v>3925.1858</x:v>
      </x:c>
      <x:c r="E773" s="12" t="n">
        <x:v>3868.214</x:v>
      </x:c>
      <x:c r="F773" s="12" t="n">
        <x:v>3890.6616</x:v>
      </x:c>
      <x:c r="G773" s="12" t="n">
        <x:v>3935.6511</x:v>
      </x:c>
      <x:c r="H773" s="12" t="n">
        <x:v>-44.9895</x:v>
      </x:c>
      <x:c r="I773" s="12" t="n">
        <x:v>-1.1431</x:v>
      </x:c>
      <x:c r="J773" s="12" t="n">
        <x:v>-0.011497111678571497</x:v>
      </x:c>
      <x:c r="K773" s="12" t="n">
        <x:v>94036225</x:v>
      </x:c>
      <x:c r="L773" s="12" t="n">
        <x:v>139223506.453</x:v>
      </x:c>
      <x:c r="M773" s="12" t="str">
        <x:v>TuShare index_daily</x:v>
      </x:c>
    </x:row>
    <x:row r="774" ht="18" customHeight="1">
      <x:c r="A774" s="13" t="n">
        <x:v>43732</x:v>
      </x:c>
      <x:c r="B774" s="12" t="str">
        <x:v>000300.SH</x:v>
      </x:c>
      <x:c r="C774" s="12" t="n">
        <x:v>3895.8661</x:v>
      </x:c>
      <x:c r="D774" s="12" t="n">
        <x:v>3927.0115</x:v>
      </x:c>
      <x:c r="E774" s="12" t="n">
        <x:v>3886.1404</x:v>
      </x:c>
      <x:c r="F774" s="12" t="n">
        <x:v>3901.0758</x:v>
      </x:c>
      <x:c r="G774" s="12" t="n">
        <x:v>3890.6616</x:v>
      </x:c>
      <x:c r="H774" s="12" t="n">
        <x:v>10.4142</x:v>
      </x:c>
      <x:c r="I774" s="12" t="n">
        <x:v>0.2677</x:v>
      </x:c>
      <x:c r="J774" s="12" t="n">
        <x:v>0.002673140961188054</x:v>
      </x:c>
      <x:c r="K774" s="12" t="n">
        <x:v>87783230</x:v>
      </x:c>
      <x:c r="L774" s="12" t="n">
        <x:v>142341399.679</x:v>
      </x:c>
      <x:c r="M774" s="12" t="str">
        <x:v>TuShare index_daily</x:v>
      </x:c>
    </x:row>
    <x:row r="775" ht="18" customHeight="1">
      <x:c r="A775" s="13" t="n">
        <x:v>43733</x:v>
      </x:c>
      <x:c r="B775" s="12" t="str">
        <x:v>000300.SH</x:v>
      </x:c>
      <x:c r="C775" s="12" t="n">
        <x:v>3887.5548</x:v>
      </x:c>
      <x:c r="D775" s="12" t="n">
        <x:v>3889.839</x:v>
      </x:c>
      <x:c r="E775" s="12" t="n">
        <x:v>3867.2277</x:v>
      </x:c>
      <x:c r="F775" s="12" t="n">
        <x:v>3870.9837</x:v>
      </x:c>
      <x:c r="G775" s="12" t="n">
        <x:v>3901.0758</x:v>
      </x:c>
      <x:c r="H775" s="12" t="n">
        <x:v>-30.0921</x:v>
      </x:c>
      <x:c r="I775" s="12" t="n">
        <x:v>-0.7714</x:v>
      </x:c>
      <x:c r="J775" s="12" t="n">
        <x:v>-0.007743700462489368</x:v>
      </x:c>
      <x:c r="K775" s="12" t="n">
        <x:v>89520835</x:v>
      </x:c>
      <x:c r="L775" s="12" t="n">
        <x:v>133224463.638</x:v>
      </x:c>
      <x:c r="M775" s="12" t="str">
        <x:v>TuShare index_daily</x:v>
      </x:c>
    </x:row>
    <x:row r="776" ht="18" customHeight="1">
      <x:c r="A776" s="13" t="n">
        <x:v>43734</x:v>
      </x:c>
      <x:c r="B776" s="12" t="str">
        <x:v>000300.SH</x:v>
      </x:c>
      <x:c r="C776" s="12" t="n">
        <x:v>3884.7022</x:v>
      </x:c>
      <x:c r="D776" s="12" t="n">
        <x:v>3890.7452</x:v>
      </x:c>
      <x:c r="E776" s="12" t="n">
        <x:v>3840.2472</x:v>
      </x:c>
      <x:c r="F776" s="12" t="n">
        <x:v>3841.1388</x:v>
      </x:c>
      <x:c r="G776" s="12" t="n">
        <x:v>3870.9837</x:v>
      </x:c>
      <x:c r="H776" s="12" t="n">
        <x:v>-29.8449</x:v>
      </x:c>
      <x:c r="I776" s="12" t="n">
        <x:v>-0.771</x:v>
      </x:c>
      <x:c r="J776" s="12" t="n">
        <x:v>-0.00773977565473282</x:v>
      </x:c>
      <x:c r="K776" s="12" t="n">
        <x:v>102698301</x:v>
      </x:c>
      <x:c r="L776" s="12" t="n">
        <x:v>150806750.013</x:v>
      </x:c>
      <x:c r="M776" s="12" t="str">
        <x:v>TuShare index_daily</x:v>
      </x:c>
    </x:row>
    <x:row r="777" ht="18" customHeight="1">
      <x:c r="A777" s="13" t="n">
        <x:v>43735</x:v>
      </x:c>
      <x:c r="B777" s="12" t="str">
        <x:v>000300.SH</x:v>
      </x:c>
      <x:c r="C777" s="12" t="n">
        <x:v>3843.4584</x:v>
      </x:c>
      <x:c r="D777" s="12" t="n">
        <x:v>3859.5003</x:v>
      </x:c>
      <x:c r="E777" s="12" t="n">
        <x:v>3832.2466</x:v>
      </x:c>
      <x:c r="F777" s="12" t="n">
        <x:v>3852.6534</x:v>
      </x:c>
      <x:c r="G777" s="12" t="n">
        <x:v>3841.1388</x:v>
      </x:c>
      <x:c r="H777" s="12" t="n">
        <x:v>11.5146</x:v>
      </x:c>
      <x:c r="I777" s="12" t="n">
        <x:v>0.2998</x:v>
      </x:c>
      <x:c r="J777" s="12" t="n">
        <x:v>0.002993220585542078</x:v>
      </x:c>
      <x:c r="K777" s="12" t="n">
        <x:v>74003947</x:v>
      </x:c>
      <x:c r="L777" s="12" t="n">
        <x:v>109130484.004</x:v>
      </x:c>
      <x:c r="M777" s="12" t="str">
        <x:v>TuShare index_daily</x:v>
      </x:c>
    </x:row>
    <x:row r="778" ht="18" customHeight="1">
      <x:c r="A778" s="13" t="n">
        <x:v>43738</x:v>
      </x:c>
      <x:c r="B778" s="12" t="str">
        <x:v>000300.SH</x:v>
      </x:c>
      <x:c r="C778" s="12" t="n">
        <x:v>3842.0741</x:v>
      </x:c>
      <x:c r="D778" s="12" t="n">
        <x:v>3857.2319</x:v>
      </x:c>
      <x:c r="E778" s="12" t="n">
        <x:v>3813.5491</x:v>
      </x:c>
      <x:c r="F778" s="12" t="n">
        <x:v>3814.5282</x:v>
      </x:c>
      <x:c r="G778" s="12" t="n">
        <x:v>3852.6534</x:v>
      </x:c>
      <x:c r="H778" s="12" t="n">
        <x:v>-38.1252</x:v>
      </x:c>
      <x:c r="I778" s="12" t="n">
        <x:v>-0.9896</x:v>
      </x:c>
      <x:c r="J778" s="12" t="n">
        <x:v>-0.009945118355292859</x:v>
      </x:c>
      <x:c r="K778" s="12" t="n">
        <x:v>65931313</x:v>
      </x:c>
      <x:c r="L778" s="12" t="n">
        <x:v>100487271.138</x:v>
      </x:c>
      <x:c r="M778" s="12" t="str">
        <x:v>TuShare index_daily</x:v>
      </x:c>
    </x:row>
    <x:row r="779" ht="18" customHeight="1">
      <x:c r="A779" s="13" t="n">
        <x:v>43746</x:v>
      </x:c>
      <x:c r="B779" s="12" t="str">
        <x:v>000300.SH</x:v>
      </x:c>
      <x:c r="C779" s="12" t="n">
        <x:v>3818.5894</x:v>
      </x:c>
      <x:c r="D779" s="12" t="n">
        <x:v>3861.6429</x:v>
      </x:c>
      <x:c r="E779" s="12" t="n">
        <x:v>3818.5894</x:v>
      </x:c>
      <x:c r="F779" s="12" t="n">
        <x:v>3837.6791</x:v>
      </x:c>
      <x:c r="G779" s="12" t="n">
        <x:v>3814.5282</x:v>
      </x:c>
      <x:c r="H779" s="12" t="n">
        <x:v>23.1509</x:v>
      </x:c>
      <x:c r="I779" s="12" t="n">
        <x:v>0.6069</x:v>
      </x:c>
      <x:c r="J779" s="12" t="n">
        <x:v>0.006050795470111036</x:v>
      </x:c>
      <x:c r="K779" s="12" t="n">
        <x:v>76657860</x:v>
      </x:c>
      <x:c r="L779" s="12" t="n">
        <x:v>118365682.515</x:v>
      </x:c>
      <x:c r="M779" s="12" t="str">
        <x:v>TuShare index_daily</x:v>
      </x:c>
    </x:row>
    <x:row r="780" ht="18" customHeight="1">
      <x:c r="A780" s="13" t="n">
        <x:v>43747</x:v>
      </x:c>
      <x:c r="B780" s="12" t="str">
        <x:v>000300.SH</x:v>
      </x:c>
      <x:c r="C780" s="12" t="n">
        <x:v>3822.6068</x:v>
      </x:c>
      <x:c r="D780" s="12" t="n">
        <x:v>3845.3403</x:v>
      </x:c>
      <x:c r="E780" s="12" t="n">
        <x:v>3805.0671</x:v>
      </x:c>
      <x:c r="F780" s="12" t="n">
        <x:v>3843.2392</x:v>
      </x:c>
      <x:c r="G780" s="12" t="n">
        <x:v>3837.6791</x:v>
      </x:c>
      <x:c r="H780" s="12" t="n">
        <x:v>5.5601</x:v>
      </x:c>
      <x:c r="I780" s="12" t="n">
        <x:v>0.1449</x:v>
      </x:c>
      <x:c r="J780" s="12" t="n">
        <x:v>0.001447769850951804</x:v>
      </x:c>
      <x:c r="K780" s="12" t="n">
        <x:v>75854512</x:v>
      </x:c>
      <x:c r="L780" s="12" t="n">
        <x:v>112406207.028</x:v>
      </x:c>
      <x:c r="M780" s="12" t="str">
        <x:v>TuShare index_daily</x:v>
      </x:c>
    </x:row>
    <x:row r="781" ht="18" customHeight="1">
      <x:c r="A781" s="13" t="n">
        <x:v>43748</x:v>
      </x:c>
      <x:c r="B781" s="12" t="str">
        <x:v>000300.SH</x:v>
      </x:c>
      <x:c r="C781" s="12" t="n">
        <x:v>3838.4865</x:v>
      </x:c>
      <x:c r="D781" s="12" t="n">
        <x:v>3877.142</x:v>
      </x:c>
      <x:c r="E781" s="12" t="n">
        <x:v>3829.4328</x:v>
      </x:c>
      <x:c r="F781" s="12" t="n">
        <x:v>3874.6391</x:v>
      </x:c>
      <x:c r="G781" s="12" t="n">
        <x:v>3843.2392</x:v>
      </x:c>
      <x:c r="H781" s="12" t="n">
        <x:v>31.3999</x:v>
      </x:c>
      <x:c r="I781" s="12" t="n">
        <x:v>0.817</x:v>
      </x:c>
      <x:c r="J781" s="12" t="n">
        <x:v>0.008136970299079355</x:v>
      </x:c>
      <x:c r="K781" s="12" t="n">
        <x:v>79222694</x:v>
      </x:c>
      <x:c r="L781" s="12" t="n">
        <x:v>127474042.853</x:v>
      </x:c>
      <x:c r="M781" s="12" t="str">
        <x:v>TuShare index_daily</x:v>
      </x:c>
    </x:row>
    <x:row r="782" ht="18" customHeight="1">
      <x:c r="A782" s="13" t="n">
        <x:v>43749</x:v>
      </x:c>
      <x:c r="B782" s="12" t="str">
        <x:v>000300.SH</x:v>
      </x:c>
      <x:c r="C782" s="12" t="n">
        <x:v>3885.5198</x:v>
      </x:c>
      <x:c r="D782" s="12" t="n">
        <x:v>3922.3694</x:v>
      </x:c>
      <x:c r="E782" s="12" t="n">
        <x:v>3868.8417</x:v>
      </x:c>
      <x:c r="F782" s="12" t="n">
        <x:v>3911.7253</x:v>
      </x:c>
      <x:c r="G782" s="12" t="n">
        <x:v>3874.6391</x:v>
      </x:c>
      <x:c r="H782" s="12" t="n">
        <x:v>37.0862</x:v>
      </x:c>
      <x:c r="I782" s="12" t="n">
        <x:v>0.9572</x:v>
      </x:c>
      <x:c r="J782" s="12" t="n">
        <x:v>0.009526006886581121</x:v>
      </x:c>
      <x:c r="K782" s="12" t="n">
        <x:v>93412577</x:v>
      </x:c>
      <x:c r="L782" s="12" t="n">
        <x:v>139817298.256</x:v>
      </x:c>
      <x:c r="M782" s="12" t="str">
        <x:v>TuShare index_daily</x:v>
      </x:c>
    </x:row>
    <x:row r="783" ht="18" customHeight="1">
      <x:c r="A783" s="13" t="n">
        <x:v>43752</x:v>
      </x:c>
      <x:c r="B783" s="12" t="str">
        <x:v>000300.SH</x:v>
      </x:c>
      <x:c r="C783" s="12" t="n">
        <x:v>3944.8593</x:v>
      </x:c>
      <x:c r="D783" s="12" t="n">
        <x:v>3983.8117</x:v>
      </x:c>
      <x:c r="E783" s="12" t="n">
        <x:v>3934.7325</x:v>
      </x:c>
      <x:c r="F783" s="12" t="n">
        <x:v>3953.2411</x:v>
      </x:c>
      <x:c r="G783" s="12" t="n">
        <x:v>3911.7253</x:v>
      </x:c>
      <x:c r="H783" s="12" t="n">
        <x:v>41.5158</x:v>
      </x:c>
      <x:c r="I783" s="12" t="n">
        <x:v>1.0613</x:v>
      </x:c>
      <x:c r="J783" s="12" t="n">
        <x:v>0.010557244235901198</x:v>
      </x:c>
      <x:c r="K783" s="12" t="n">
        <x:v>122393611</x:v>
      </x:c>
      <x:c r="L783" s="12" t="n">
        <x:v>167857131.154</x:v>
      </x:c>
      <x:c r="M783" s="12" t="str">
        <x:v>TuShare index_daily</x:v>
      </x:c>
    </x:row>
    <x:row r="784" ht="18" customHeight="1">
      <x:c r="A784" s="13" t="n">
        <x:v>43753</x:v>
      </x:c>
      <x:c r="B784" s="12" t="str">
        <x:v>000300.SH</x:v>
      </x:c>
      <x:c r="C784" s="12" t="n">
        <x:v>3953.1645</x:v>
      </x:c>
      <x:c r="D784" s="12" t="n">
        <x:v>3953.1645</x:v>
      </x:c>
      <x:c r="E784" s="12" t="n">
        <x:v>3928.151</x:v>
      </x:c>
      <x:c r="F784" s="12" t="n">
        <x:v>3936.2498</x:v>
      </x:c>
      <x:c r="G784" s="12" t="n">
        <x:v>3953.2411</x:v>
      </x:c>
      <x:c r="H784" s="12" t="n">
        <x:v>-16.9913</x:v>
      </x:c>
      <x:c r="I784" s="12" t="n">
        <x:v>-0.4298</x:v>
      </x:c>
      <x:c r="J784" s="12" t="n">
        <x:v>-0.004307331483228067</x:v>
      </x:c>
      <x:c r="K784" s="12" t="n">
        <x:v>85273949</x:v>
      </x:c>
      <x:c r="L784" s="12" t="n">
        <x:v>125117107.011</x:v>
      </x:c>
      <x:c r="M784" s="12" t="str">
        <x:v>TuShare index_daily</x:v>
      </x:c>
    </x:row>
    <x:row r="785" ht="18" customHeight="1">
      <x:c r="A785" s="13" t="n">
        <x:v>43754</x:v>
      </x:c>
      <x:c r="B785" s="12" t="str">
        <x:v>000300.SH</x:v>
      </x:c>
      <x:c r="C785" s="12" t="n">
        <x:v>3939.276</x:v>
      </x:c>
      <x:c r="D785" s="12" t="n">
        <x:v>3964.0456</x:v>
      </x:c>
      <x:c r="E785" s="12" t="n">
        <x:v>3919.0169</x:v>
      </x:c>
      <x:c r="F785" s="12" t="n">
        <x:v>3922.6854</x:v>
      </x:c>
      <x:c r="G785" s="12" t="n">
        <x:v>3936.2498</x:v>
      </x:c>
      <x:c r="H785" s="12" t="n">
        <x:v>-13.5644</x:v>
      </x:c>
      <x:c r="I785" s="12" t="n">
        <x:v>-0.3446</x:v>
      </x:c>
      <x:c r="J785" s="12" t="n">
        <x:v>-0.0034519723408775976</x:v>
      </x:c>
      <x:c r="K785" s="12" t="n">
        <x:v>83229707</x:v>
      </x:c>
      <x:c r="L785" s="12" t="n">
        <x:v>128558533.503</x:v>
      </x:c>
      <x:c r="M785" s="12" t="str">
        <x:v>TuShare index_daily</x:v>
      </x:c>
    </x:row>
    <x:row r="786" ht="18" customHeight="1">
      <x:c r="A786" s="13" t="n">
        <x:v>43755</x:v>
      </x:c>
      <x:c r="B786" s="12" t="str">
        <x:v>000300.SH</x:v>
      </x:c>
      <x:c r="C786" s="12" t="n">
        <x:v>3929.386</x:v>
      </x:c>
      <x:c r="D786" s="12" t="n">
        <x:v>3935.8123</x:v>
      </x:c>
      <x:c r="E786" s="12" t="n">
        <x:v>3913.9173</x:v>
      </x:c>
      <x:c r="F786" s="12" t="n">
        <x:v>3925.2216</x:v>
      </x:c>
      <x:c r="G786" s="12" t="n">
        <x:v>3922.6854</x:v>
      </x:c>
      <x:c r="H786" s="12" t="n">
        <x:v>2.5362</x:v>
      </x:c>
      <x:c r="I786" s="12" t="n">
        <x:v>0.0647</x:v>
      </x:c>
      <x:c r="J786" s="12" t="n">
        <x:v>0.0006463379569335288</x:v>
      </x:c>
      <x:c r="K786" s="12" t="n">
        <x:v>64863745</x:v>
      </x:c>
      <x:c r="L786" s="12" t="n">
        <x:v>99991850.409</x:v>
      </x:c>
      <x:c r="M786" s="12" t="str">
        <x:v>TuShare index_daily</x:v>
      </x:c>
    </x:row>
    <x:row r="787" ht="18" customHeight="1">
      <x:c r="A787" s="13" t="n">
        <x:v>43756</x:v>
      </x:c>
      <x:c r="B787" s="12" t="str">
        <x:v>000300.SH</x:v>
      </x:c>
      <x:c r="C787" s="12" t="n">
        <x:v>3935.4199</x:v>
      </x:c>
      <x:c r="D787" s="12" t="n">
        <x:v>3940.5409</x:v>
      </x:c>
      <x:c r="E787" s="12" t="n">
        <x:v>3864.9652</x:v>
      </x:c>
      <x:c r="F787" s="12" t="n">
        <x:v>3869.3777</x:v>
      </x:c>
      <x:c r="G787" s="12" t="n">
        <x:v>3925.2216</x:v>
      </x:c>
      <x:c r="H787" s="12" t="n">
        <x:v>-55.8439</x:v>
      </x:c>
      <x:c r="I787" s="12" t="n">
        <x:v>-1.4227</x:v>
      </x:c>
      <x:c r="J787" s="12" t="n">
        <x:v>-0.0143291151611447</x:v>
      </x:c>
      <x:c r="K787" s="12" t="n">
        <x:v>82321140</x:v>
      </x:c>
      <x:c r="L787" s="12" t="n">
        <x:v>122186927.13</x:v>
      </x:c>
      <x:c r="M787" s="12" t="str">
        <x:v>TuShare index_daily</x:v>
      </x:c>
    </x:row>
    <x:row r="788" ht="18" customHeight="1">
      <x:c r="A788" s="13" t="n">
        <x:v>43759</x:v>
      </x:c>
      <x:c r="B788" s="12" t="str">
        <x:v>000300.SH</x:v>
      </x:c>
      <x:c r="C788" s="12" t="n">
        <x:v>3865.3436</x:v>
      </x:c>
      <x:c r="D788" s="12" t="n">
        <x:v>3884.7447</x:v>
      </x:c>
      <x:c r="E788" s="12" t="n">
        <x:v>3856.0374</x:v>
      </x:c>
      <x:c r="F788" s="12" t="n">
        <x:v>3880.8398</x:v>
      </x:c>
      <x:c r="G788" s="12" t="n">
        <x:v>3869.3777</x:v>
      </x:c>
      <x:c r="H788" s="12" t="n">
        <x:v>11.4621</x:v>
      </x:c>
      <x:c r="I788" s="12" t="n">
        <x:v>0.2962</x:v>
      </x:c>
      <x:c r="J788" s="12" t="n">
        <x:v>0.0029578804354533027</x:v>
      </x:c>
      <x:c r="K788" s="12" t="n">
        <x:v>74182918</x:v>
      </x:c>
      <x:c r="L788" s="12" t="n">
        <x:v>110858235.839</x:v>
      </x:c>
      <x:c r="M788" s="12" t="str">
        <x:v>TuShare index_daily</x:v>
      </x:c>
    </x:row>
    <x:row r="789" ht="18" customHeight="1">
      <x:c r="A789" s="13" t="n">
        <x:v>43760</x:v>
      </x:c>
      <x:c r="B789" s="12" t="str">
        <x:v>000300.SH</x:v>
      </x:c>
      <x:c r="C789" s="12" t="n">
        <x:v>3896.3149</x:v>
      </x:c>
      <x:c r="D789" s="12" t="n">
        <x:v>3897.4352</x:v>
      </x:c>
      <x:c r="E789" s="12" t="n">
        <x:v>3870.5486</x:v>
      </x:c>
      <x:c r="F789" s="12" t="n">
        <x:v>3895.8809</x:v>
      </x:c>
      <x:c r="G789" s="12" t="n">
        <x:v>3880.8398</x:v>
      </x:c>
      <x:c r="H789" s="12" t="n">
        <x:v>15.0411</x:v>
      </x:c>
      <x:c r="I789" s="12" t="n">
        <x:v>0.3876</x:v>
      </x:c>
      <x:c r="J789" s="12" t="n">
        <x:v>0.003868241984147565</x:v>
      </x:c>
      <x:c r="K789" s="12" t="n">
        <x:v>68918566</x:v>
      </x:c>
      <x:c r="L789" s="12" t="n">
        <x:v>102843371.161</x:v>
      </x:c>
      <x:c r="M789" s="12" t="str">
        <x:v>TuShare index_daily</x:v>
      </x:c>
    </x:row>
    <x:row r="790" ht="18" customHeight="1">
      <x:c r="A790" s="13" t="n">
        <x:v>43761</x:v>
      </x:c>
      <x:c r="B790" s="12" t="str">
        <x:v>000300.SH</x:v>
      </x:c>
      <x:c r="C790" s="12" t="n">
        <x:v>3892.6766</x:v>
      </x:c>
      <x:c r="D790" s="12" t="n">
        <x:v>3901.4243</x:v>
      </x:c>
      <x:c r="E790" s="12" t="n">
        <x:v>3862.1965</x:v>
      </x:c>
      <x:c r="F790" s="12" t="n">
        <x:v>3871.0848</x:v>
      </x:c>
      <x:c r="G790" s="12" t="n">
        <x:v>3895.8809</x:v>
      </x:c>
      <x:c r="H790" s="12" t="n">
        <x:v>-24.7961</x:v>
      </x:c>
      <x:c r="I790" s="12" t="n">
        <x:v>-0.6365</x:v>
      </x:c>
      <x:c r="J790" s="12" t="n">
        <x:v>-0.006385037658147137</x:v>
      </x:c>
      <x:c r="K790" s="12" t="n">
        <x:v>70198625</x:v>
      </x:c>
      <x:c r="L790" s="12" t="n">
        <x:v>99733598.353</x:v>
      </x:c>
      <x:c r="M790" s="12" t="str">
        <x:v>TuShare index_daily</x:v>
      </x:c>
    </x:row>
    <x:row r="791" ht="18" customHeight="1">
      <x:c r="A791" s="13" t="n">
        <x:v>43762</x:v>
      </x:c>
      <x:c r="B791" s="12" t="str">
        <x:v>000300.SH</x:v>
      </x:c>
      <x:c r="C791" s="12" t="n">
        <x:v>3877.9239</x:v>
      </x:c>
      <x:c r="D791" s="12" t="n">
        <x:v>3890.1955</x:v>
      </x:c>
      <x:c r="E791" s="12" t="n">
        <x:v>3852.5828</x:v>
      </x:c>
      <x:c r="F791" s="12" t="n">
        <x:v>3870.6678</x:v>
      </x:c>
      <x:c r="G791" s="12" t="n">
        <x:v>3871.0848</x:v>
      </x:c>
      <x:c r="H791" s="12" t="n">
        <x:v>-0.417</x:v>
      </x:c>
      <x:c r="I791" s="12" t="n">
        <x:v>-0.0108</x:v>
      </x:c>
      <x:c r="J791" s="12" t="n">
        <x:v>-0.00010772754489811883</x:v>
      </x:c>
      <x:c r="K791" s="12" t="n">
        <x:v>71334575</x:v>
      </x:c>
      <x:c r="L791" s="12" t="n">
        <x:v>105096951.647</x:v>
      </x:c>
      <x:c r="M791" s="12" t="str">
        <x:v>TuShare index_daily</x:v>
      </x:c>
    </x:row>
    <x:row r="792" ht="18" customHeight="1">
      <x:c r="A792" s="13" t="n">
        <x:v>43763</x:v>
      </x:c>
      <x:c r="B792" s="12" t="str">
        <x:v>000300.SH</x:v>
      </x:c>
      <x:c r="C792" s="12" t="n">
        <x:v>3871.7687</x:v>
      </x:c>
      <x:c r="D792" s="12" t="n">
        <x:v>3899.7223</x:v>
      </x:c>
      <x:c r="E792" s="12" t="n">
        <x:v>3849.0337</x:v>
      </x:c>
      <x:c r="F792" s="12" t="n">
        <x:v>3896.7923</x:v>
      </x:c>
      <x:c r="G792" s="12" t="n">
        <x:v>3870.6678</x:v>
      </x:c>
      <x:c r="H792" s="12" t="n">
        <x:v>26.1245</x:v>
      </x:c>
      <x:c r="I792" s="12" t="n">
        <x:v>0.6749</x:v>
      </x:c>
      <x:c r="J792" s="12" t="n">
        <x:v>0.006726677233170096</x:v>
      </x:c>
      <x:c r="K792" s="12" t="n">
        <x:v>77453620</x:v>
      </x:c>
      <x:c r="L792" s="12" t="n">
        <x:v>126677483.957</x:v>
      </x:c>
      <x:c r="M792" s="12" t="str">
        <x:v>TuShare index_daily</x:v>
      </x:c>
    </x:row>
    <x:row r="793" ht="18" customHeight="1">
      <x:c r="A793" s="13" t="n">
        <x:v>43766</x:v>
      </x:c>
      <x:c r="B793" s="12" t="str">
        <x:v>000300.SH</x:v>
      </x:c>
      <x:c r="C793" s="12" t="n">
        <x:v>3904.9824</x:v>
      </x:c>
      <x:c r="D793" s="12" t="n">
        <x:v>3927.7959</x:v>
      </x:c>
      <x:c r="E793" s="12" t="n">
        <x:v>3897.8175</x:v>
      </x:c>
      <x:c r="F793" s="12" t="n">
        <x:v>3926.585</x:v>
      </x:c>
      <x:c r="G793" s="12" t="n">
        <x:v>3896.7923</x:v>
      </x:c>
      <x:c r="H793" s="12" t="n">
        <x:v>29.7927</x:v>
      </x:c>
      <x:c r="I793" s="12" t="n">
        <x:v>0.7645</x:v>
      </x:c>
      <x:c r="J793" s="12" t="n">
        <x:v>0.007616363848449757</x:v>
      </x:c>
      <x:c r="K793" s="12" t="n">
        <x:v>97406020</x:v>
      </x:c>
      <x:c r="L793" s="12" t="n">
        <x:v>150762201.737</x:v>
      </x:c>
      <x:c r="M793" s="12" t="str">
        <x:v>TuShare index_daily</x:v>
      </x:c>
    </x:row>
    <x:row r="794" ht="18" customHeight="1">
      <x:c r="A794" s="13" t="n">
        <x:v>43767</x:v>
      </x:c>
      <x:c r="B794" s="12" t="str">
        <x:v>000300.SH</x:v>
      </x:c>
      <x:c r="C794" s="12" t="n">
        <x:v>3929.7077</x:v>
      </x:c>
      <x:c r="D794" s="12" t="n">
        <x:v>3932.3745</x:v>
      </x:c>
      <x:c r="E794" s="12" t="n">
        <x:v>3910.226</x:v>
      </x:c>
      <x:c r="F794" s="12" t="n">
        <x:v>3910.226</x:v>
      </x:c>
      <x:c r="G794" s="12" t="n">
        <x:v>3926.585</x:v>
      </x:c>
      <x:c r="H794" s="12" t="n">
        <x:v>-16.359</x:v>
      </x:c>
      <x:c r="I794" s="12" t="n">
        <x:v>-0.4166</x:v>
      </x:c>
      <x:c r="J794" s="12" t="n">
        <x:v>-0.004174918538003564</x:v>
      </x:c>
      <x:c r="K794" s="12" t="n">
        <x:v>82257075</x:v>
      </x:c>
      <x:c r="L794" s="12" t="n">
        <x:v>139611420.266</x:v>
      </x:c>
      <x:c r="M794" s="12" t="str">
        <x:v>TuShare index_daily</x:v>
      </x:c>
    </x:row>
    <x:row r="795" ht="18" customHeight="1">
      <x:c r="A795" s="13" t="n">
        <x:v>43768</x:v>
      </x:c>
      <x:c r="B795" s="12" t="str">
        <x:v>000300.SH</x:v>
      </x:c>
      <x:c r="C795" s="12" t="n">
        <x:v>3904.7172</x:v>
      </x:c>
      <x:c r="D795" s="12" t="n">
        <x:v>3908.0999</x:v>
      </x:c>
      <x:c r="E795" s="12" t="n">
        <x:v>3883.4468</x:v>
      </x:c>
      <x:c r="F795" s="12" t="n">
        <x:v>3891.2255</x:v>
      </x:c>
      <x:c r="G795" s="12" t="n">
        <x:v>3910.226</x:v>
      </x:c>
      <x:c r="H795" s="12" t="n">
        <x:v>-19.0005</x:v>
      </x:c>
      <x:c r="I795" s="12" t="n">
        <x:v>-0.4859</x:v>
      </x:c>
      <x:c r="J795" s="12" t="n">
        <x:v>-0.0048710262618592085</x:v>
      </x:c>
      <x:c r="K795" s="12" t="n">
        <x:v>77872923</x:v>
      </x:c>
      <x:c r="L795" s="12" t="n">
        <x:v>122610501.731</x:v>
      </x:c>
      <x:c r="M795" s="12" t="str">
        <x:v>TuShare index_daily</x:v>
      </x:c>
    </x:row>
    <x:row r="796" ht="18" customHeight="1">
      <x:c r="A796" s="13" t="n">
        <x:v>43769</x:v>
      </x:c>
      <x:c r="B796" s="12" t="str">
        <x:v>000300.SH</x:v>
      </x:c>
      <x:c r="C796" s="12" t="n">
        <x:v>3906.8593</x:v>
      </x:c>
      <x:c r="D796" s="12" t="n">
        <x:v>3907.1505</x:v>
      </x:c>
      <x:c r="E796" s="12" t="n">
        <x:v>3878.8757</x:v>
      </x:c>
      <x:c r="F796" s="12" t="n">
        <x:v>3886.7519</x:v>
      </x:c>
      <x:c r="G796" s="12" t="n">
        <x:v>3891.2255</x:v>
      </x:c>
      <x:c r="H796" s="12" t="n">
        <x:v>-4.4736</x:v>
      </x:c>
      <x:c r="I796" s="12" t="n">
        <x:v>-0.115</x:v>
      </x:c>
      <x:c r="J796" s="12" t="n">
        <x:v>-0.0011503248886546285</x:v>
      </x:c>
      <x:c r="K796" s="12" t="n">
        <x:v>86714539</x:v>
      </x:c>
      <x:c r="L796" s="12" t="n">
        <x:v>135012425.539</x:v>
      </x:c>
      <x:c r="M796" s="12" t="str">
        <x:v>TuShare index_daily</x:v>
      </x:c>
    </x:row>
    <x:row r="797" ht="18" customHeight="1">
      <x:c r="A797" s="13" t="n">
        <x:v>43770</x:v>
      </x:c>
      <x:c r="B797" s="12" t="str">
        <x:v>000300.SH</x:v>
      </x:c>
      <x:c r="C797" s="12" t="n">
        <x:v>3883.8084</x:v>
      </x:c>
      <x:c r="D797" s="12" t="n">
        <x:v>3956.0797</x:v>
      </x:c>
      <x:c r="E797" s="12" t="n">
        <x:v>3876.4164</x:v>
      </x:c>
      <x:c r="F797" s="12" t="n">
        <x:v>3952.3872</x:v>
      </x:c>
      <x:c r="G797" s="12" t="n">
        <x:v>3886.7519</x:v>
      </x:c>
      <x:c r="H797" s="12" t="n">
        <x:v>65.6353</x:v>
      </x:c>
      <x:c r="I797" s="12" t="n">
        <x:v>1.6887</x:v>
      </x:c>
      <x:c r="J797" s="12" t="n">
        <x:v>0.016745929106932903</x:v>
      </x:c>
      <x:c r="K797" s="12" t="n">
        <x:v>100689612</x:v>
      </x:c>
      <x:c r="L797" s="12" t="n">
        <x:v>151471061.323</x:v>
      </x:c>
      <x:c r="M797" s="12" t="str">
        <x:v>TuShare index_daily</x:v>
      </x:c>
    </x:row>
    <x:row r="798" ht="18" customHeight="1">
      <x:c r="A798" s="13" t="n">
        <x:v>43773</x:v>
      </x:c>
      <x:c r="B798" s="12" t="str">
        <x:v>000300.SH</x:v>
      </x:c>
      <x:c r="C798" s="12" t="n">
        <x:v>3964.0052</x:v>
      </x:c>
      <x:c r="D798" s="12" t="n">
        <x:v>3985.3573</x:v>
      </x:c>
      <x:c r="E798" s="12" t="n">
        <x:v>3964.0052</x:v>
      </x:c>
      <x:c r="F798" s="12" t="n">
        <x:v>3978.1216</x:v>
      </x:c>
      <x:c r="G798" s="12" t="n">
        <x:v>3952.3872</x:v>
      </x:c>
      <x:c r="H798" s="12" t="n">
        <x:v>25.7344</x:v>
      </x:c>
      <x:c r="I798" s="12" t="n">
        <x:v>0.6511</x:v>
      </x:c>
      <x:c r="J798" s="12" t="n">
        <x:v>0.006489997294453441</x:v>
      </x:c>
      <x:c r="K798" s="12" t="n">
        <x:v>104193855</x:v>
      </x:c>
      <x:c r="L798" s="12" t="n">
        <x:v>154485361.812</x:v>
      </x:c>
      <x:c r="M798" s="12" t="str">
        <x:v>TuShare index_daily</x:v>
      </x:c>
    </x:row>
    <x:row r="799" ht="18" customHeight="1">
      <x:c r="A799" s="13" t="n">
        <x:v>43774</x:v>
      </x:c>
      <x:c r="B799" s="12" t="str">
        <x:v>000300.SH</x:v>
      </x:c>
      <x:c r="C799" s="12" t="n">
        <x:v>3982.1155</x:v>
      </x:c>
      <x:c r="D799" s="12" t="n">
        <x:v>4030.6381</x:v>
      </x:c>
      <x:c r="E799" s="12" t="n">
        <x:v>3970.8664</x:v>
      </x:c>
      <x:c r="F799" s="12" t="n">
        <x:v>4002.8128</x:v>
      </x:c>
      <x:c r="G799" s="12" t="n">
        <x:v>3978.1216</x:v>
      </x:c>
      <x:c r="H799" s="12" t="n">
        <x:v>24.6912</x:v>
      </x:c>
      <x:c r="I799" s="12" t="n">
        <x:v>0.6207</x:v>
      </x:c>
      <x:c r="J799" s="12" t="n">
        <x:v>0.00618756590134739</x:v>
      </x:c>
      <x:c r="K799" s="12" t="n">
        <x:v>112911880</x:v>
      </x:c>
      <x:c r="L799" s="12" t="n">
        <x:v>163317856.089</x:v>
      </x:c>
      <x:c r="M799" s="12" t="str">
        <x:v>TuShare index_daily</x:v>
      </x:c>
    </x:row>
    <x:row r="800" ht="18" customHeight="1">
      <x:c r="A800" s="13" t="n">
        <x:v>43775</x:v>
      </x:c>
      <x:c r="B800" s="12" t="str">
        <x:v>000300.SH</x:v>
      </x:c>
      <x:c r="C800" s="12" t="n">
        <x:v>4006.327</x:v>
      </x:c>
      <x:c r="D800" s="12" t="n">
        <x:v>4007.5012</x:v>
      </x:c>
      <x:c r="E800" s="12" t="n">
        <x:v>3973.7762</x:v>
      </x:c>
      <x:c r="F800" s="12" t="n">
        <x:v>3984.8816</x:v>
      </x:c>
      <x:c r="G800" s="12" t="n">
        <x:v>4002.8128</x:v>
      </x:c>
      <x:c r="H800" s="12" t="n">
        <x:v>-17.9312</x:v>
      </x:c>
      <x:c r="I800" s="12" t="n">
        <x:v>-0.448</x:v>
      </x:c>
      <x:c r="J800" s="12" t="n">
        <x:v>-0.00448971360764937</x:v>
      </x:c>
      <x:c r="K800" s="12" t="n">
        <x:v>97312952</x:v>
      </x:c>
      <x:c r="L800" s="12" t="n">
        <x:v>139859763.47</x:v>
      </x:c>
      <x:c r="M800" s="12" t="str">
        <x:v>TuShare index_daily</x:v>
      </x:c>
    </x:row>
    <x:row r="801" ht="18" customHeight="1">
      <x:c r="A801" s="13" t="n">
        <x:v>43776</x:v>
      </x:c>
      <x:c r="B801" s="12" t="str">
        <x:v>000300.SH</x:v>
      </x:c>
      <x:c r="C801" s="12" t="n">
        <x:v>3984.5529</x:v>
      </x:c>
      <x:c r="D801" s="12" t="n">
        <x:v>4005.3829</x:v>
      </x:c>
      <x:c r="E801" s="12" t="n">
        <x:v>3975.5475</x:v>
      </x:c>
      <x:c r="F801" s="12" t="n">
        <x:v>3991.8749</x:v>
      </x:c>
      <x:c r="G801" s="12" t="n">
        <x:v>3984.8816</x:v>
      </x:c>
      <x:c r="H801" s="12" t="n">
        <x:v>6.9933</x:v>
      </x:c>
      <x:c r="I801" s="12" t="n">
        <x:v>0.1755</x:v>
      </x:c>
      <x:c r="J801" s="12" t="n">
        <x:v>0.0017534198998628825</x:v>
      </x:c>
      <x:c r="K801" s="12" t="n">
        <x:v>87254898</x:v>
      </x:c>
      <x:c r="L801" s="12" t="n">
        <x:v>117751554.347</x:v>
      </x:c>
      <x:c r="M801" s="12" t="str">
        <x:v>TuShare index_daily</x:v>
      </x:c>
    </x:row>
    <x:row r="802" ht="18" customHeight="1">
      <x:c r="A802" s="13" t="n">
        <x:v>43777</x:v>
      </x:c>
      <x:c r="B802" s="12" t="str">
        <x:v>000300.SH</x:v>
      </x:c>
      <x:c r="C802" s="12" t="n">
        <x:v>4017.6742</x:v>
      </x:c>
      <x:c r="D802" s="12" t="n">
        <x:v>4022.0362</x:v>
      </x:c>
      <x:c r="E802" s="12" t="n">
        <x:v>3971.5726</x:v>
      </x:c>
      <x:c r="F802" s="12" t="n">
        <x:v>3973.0107</x:v>
      </x:c>
      <x:c r="G802" s="12" t="n">
        <x:v>3991.8749</x:v>
      </x:c>
      <x:c r="H802" s="12" t="n">
        <x:v>-18.8642</x:v>
      </x:c>
      <x:c r="I802" s="12" t="n">
        <x:v>-0.4726</x:v>
      </x:c>
      <x:c r="J802" s="12" t="n">
        <x:v>-0.004736850275038381</x:v>
      </x:c>
      <x:c r="K802" s="12" t="n">
        <x:v>97106948</x:v>
      </x:c>
      <x:c r="L802" s="12" t="n">
        <x:v>139026673.427</x:v>
      </x:c>
      <x:c r="M802" s="12" t="str">
        <x:v>TuShare index_daily</x:v>
      </x:c>
    </x:row>
    <x:row r="803" ht="18" customHeight="1">
      <x:c r="A803" s="13" t="n">
        <x:v>43780</x:v>
      </x:c>
      <x:c r="B803" s="12" t="str">
        <x:v>000300.SH</x:v>
      </x:c>
      <x:c r="C803" s="12" t="n">
        <x:v>3948.6186</x:v>
      </x:c>
      <x:c r="D803" s="12" t="n">
        <x:v>3948.6186</x:v>
      </x:c>
      <x:c r="E803" s="12" t="n">
        <x:v>3897.5504</x:v>
      </x:c>
      <x:c r="F803" s="12" t="n">
        <x:v>3902.9783</x:v>
      </x:c>
      <x:c r="G803" s="12" t="n">
        <x:v>3973.0107</x:v>
      </x:c>
      <x:c r="H803" s="12" t="n">
        <x:v>-70.0324</x:v>
      </x:c>
      <x:c r="I803" s="12" t="n">
        <x:v>-1.7627</x:v>
      </x:c>
      <x:c r="J803" s="12" t="n">
        <x:v>-0.01778424165054614</x:v>
      </x:c>
      <x:c r="K803" s="12" t="n">
        <x:v>94155621</x:v>
      </x:c>
      <x:c r="L803" s="12" t="n">
        <x:v>130330082.289</x:v>
      </x:c>
      <x:c r="M803" s="12" t="str">
        <x:v>TuShare index_daily</x:v>
      </x:c>
    </x:row>
    <x:row r="804" ht="18" customHeight="1">
      <x:c r="A804" s="13" t="n">
        <x:v>43781</x:v>
      </x:c>
      <x:c r="B804" s="12" t="str">
        <x:v>000300.SH</x:v>
      </x:c>
      <x:c r="C804" s="12" t="n">
        <x:v>3905.9584</x:v>
      </x:c>
      <x:c r="D804" s="12" t="n">
        <x:v>3914.8821</x:v>
      </x:c>
      <x:c r="E804" s="12" t="n">
        <x:v>3877.7397</x:v>
      </x:c>
      <x:c r="F804" s="12" t="n">
        <x:v>3903.6888</x:v>
      </x:c>
      <x:c r="G804" s="12" t="n">
        <x:v>3902.9783</x:v>
      </x:c>
      <x:c r="H804" s="12" t="n">
        <x:v>0.7105</x:v>
      </x:c>
      <x:c r="I804" s="12" t="n">
        <x:v>0.0182</x:v>
      </x:c>
      <x:c r="J804" s="12" t="n">
        <x:v>0.0001820239015856364</x:v>
      </x:c>
      <x:c r="K804" s="12" t="n">
        <x:v>76543069</x:v>
      </x:c>
      <x:c r="L804" s="12" t="n">
        <x:v>108828235.839</x:v>
      </x:c>
      <x:c r="M804" s="12" t="str">
        <x:v>TuShare index_daily</x:v>
      </x:c>
    </x:row>
    <x:row r="805" ht="18" customHeight="1">
      <x:c r="A805" s="13" t="n">
        <x:v>43782</x:v>
      </x:c>
      <x:c r="B805" s="12" t="str">
        <x:v>000300.SH</x:v>
      </x:c>
      <x:c r="C805" s="12" t="n">
        <x:v>3905.2831</x:v>
      </x:c>
      <x:c r="D805" s="12" t="n">
        <x:v>3908.4196</x:v>
      </x:c>
      <x:c r="E805" s="12" t="n">
        <x:v>3882.4314</x:v>
      </x:c>
      <x:c r="F805" s="12" t="n">
        <x:v>3899.9815</x:v>
      </x:c>
      <x:c r="G805" s="12" t="n">
        <x:v>3903.6888</x:v>
      </x:c>
      <x:c r="H805" s="12" t="n">
        <x:v>-3.7073</x:v>
      </x:c>
      <x:c r="I805" s="12" t="n">
        <x:v>-0.095</x:v>
      </x:c>
      <x:c r="J805" s="12" t="n">
        <x:v>-0.0009501427242264534</x:v>
      </x:c>
      <x:c r="K805" s="12" t="n">
        <x:v>76749078</x:v>
      </x:c>
      <x:c r="L805" s="12" t="n">
        <x:v>112057146.508</x:v>
      </x:c>
      <x:c r="M805" s="12" t="str">
        <x:v>TuShare index_daily</x:v>
      </x:c>
    </x:row>
    <x:row r="806" ht="18" customHeight="1">
      <x:c r="A806" s="13" t="n">
        <x:v>43783</x:v>
      </x:c>
      <x:c r="B806" s="12" t="str">
        <x:v>000300.SH</x:v>
      </x:c>
      <x:c r="C806" s="12" t="n">
        <x:v>3905.9284</x:v>
      </x:c>
      <x:c r="D806" s="12" t="n">
        <x:v>3916.9459</x:v>
      </x:c>
      <x:c r="E806" s="12" t="n">
        <x:v>3895.1415</x:v>
      </x:c>
      <x:c r="F806" s="12" t="n">
        <x:v>3905.857</x:v>
      </x:c>
      <x:c r="G806" s="12" t="n">
        <x:v>3899.9815</x:v>
      </x:c>
      <x:c r="H806" s="12" t="n">
        <x:v>5.8755</x:v>
      </x:c>
      <x:c r="I806" s="12" t="n">
        <x:v>0.1507</x:v>
      </x:c>
      <x:c r="J806" s="12" t="n">
        <x:v>0.0015054119066440256</x:v>
      </x:c>
      <x:c r="K806" s="12" t="n">
        <x:v>87008446</x:v>
      </x:c>
      <x:c r="L806" s="12" t="n">
        <x:v>119791566.839</x:v>
      </x:c>
      <x:c r="M806" s="12" t="str">
        <x:v>TuShare index_daily</x:v>
      </x:c>
    </x:row>
    <x:row r="807" ht="18" customHeight="1">
      <x:c r="A807" s="13" t="n">
        <x:v>43784</x:v>
      </x:c>
      <x:c r="B807" s="12" t="str">
        <x:v>000300.SH</x:v>
      </x:c>
      <x:c r="C807" s="12" t="n">
        <x:v>3908.4891</x:v>
      </x:c>
      <x:c r="D807" s="12" t="n">
        <x:v>3915.1049</x:v>
      </x:c>
      <x:c r="E807" s="12" t="n">
        <x:v>3877.0892</x:v>
      </x:c>
      <x:c r="F807" s="12" t="n">
        <x:v>3877.0892</x:v>
      </x:c>
      <x:c r="G807" s="12" t="n">
        <x:v>3905.857</x:v>
      </x:c>
      <x:c r="H807" s="12" t="n">
        <x:v>-28.7678</x:v>
      </x:c>
      <x:c r="I807" s="12" t="n">
        <x:v>-0.7365</x:v>
      </x:c>
      <x:c r="J807" s="12" t="n">
        <x:v>-0.0073925555371158955</x:v>
      </x:c>
      <x:c r="K807" s="12" t="n">
        <x:v>83730917</x:v>
      </x:c>
      <x:c r="L807" s="12" t="n">
        <x:v>115423020.917</x:v>
      </x:c>
      <x:c r="M807" s="12" t="str">
        <x:v>TuShare index_daily</x:v>
      </x:c>
    </x:row>
    <x:row r="808" ht="18" customHeight="1">
      <x:c r="A808" s="13" t="n">
        <x:v>43787</x:v>
      </x:c>
      <x:c r="B808" s="12" t="str">
        <x:v>000300.SH</x:v>
      </x:c>
      <x:c r="C808" s="12" t="n">
        <x:v>3874.4405</x:v>
      </x:c>
      <x:c r="D808" s="12" t="n">
        <x:v>3913.1029</x:v>
      </x:c>
      <x:c r="E808" s="12" t="n">
        <x:v>3868.3166</x:v>
      </x:c>
      <x:c r="F808" s="12" t="n">
        <x:v>3907.9291</x:v>
      </x:c>
      <x:c r="G808" s="12" t="n">
        <x:v>3877.0892</x:v>
      </x:c>
      <x:c r="H808" s="12" t="n">
        <x:v>30.8399</x:v>
      </x:c>
      <x:c r="I808" s="12" t="n">
        <x:v>0.7954</x:v>
      </x:c>
      <x:c r="J808" s="12" t="n">
        <x:v>0.00792292583956696</x:v>
      </x:c>
      <x:c r="K808" s="12" t="n">
        <x:v>76645993</x:v>
      </x:c>
      <x:c r="L808" s="12" t="n">
        <x:v>107085819.889</x:v>
      </x:c>
      <x:c r="M808" s="12" t="str">
        <x:v>TuShare index_daily</x:v>
      </x:c>
    </x:row>
    <x:row r="809" ht="18" customHeight="1">
      <x:c r="A809" s="13" t="n">
        <x:v>43788</x:v>
      </x:c>
      <x:c r="B809" s="12" t="str">
        <x:v>000300.SH</x:v>
      </x:c>
      <x:c r="C809" s="12" t="n">
        <x:v>3904.0996</x:v>
      </x:c>
      <x:c r="D809" s="12" t="n">
        <x:v>3947.0392</x:v>
      </x:c>
      <x:c r="E809" s="12" t="n">
        <x:v>3902.3776</x:v>
      </x:c>
      <x:c r="F809" s="12" t="n">
        <x:v>3947.0392</x:v>
      </x:c>
      <x:c r="G809" s="12" t="n">
        <x:v>3907.9291</x:v>
      </x:c>
      <x:c r="H809" s="12" t="n">
        <x:v>39.1101</x:v>
      </x:c>
      <x:c r="I809" s="12" t="n">
        <x:v>1.0008</x:v>
      </x:c>
      <x:c r="J809" s="12" t="n">
        <x:v>0.009958136481306303</x:v>
      </x:c>
      <x:c r="K809" s="12" t="n">
        <x:v>82161025</x:v>
      </x:c>
      <x:c r="L809" s="12" t="n">
        <x:v>123227172.612</x:v>
      </x:c>
      <x:c r="M809" s="12" t="str">
        <x:v>TuShare index_daily</x:v>
      </x:c>
    </x:row>
    <x:row r="810" ht="18" customHeight="1">
      <x:c r="A810" s="13" t="n">
        <x:v>43789</x:v>
      </x:c>
      <x:c r="B810" s="12" t="str">
        <x:v>000300.SH</x:v>
      </x:c>
      <x:c r="C810" s="12" t="n">
        <x:v>3940.1344</x:v>
      </x:c>
      <x:c r="D810" s="12" t="n">
        <x:v>3943.2273</x:v>
      </x:c>
      <x:c r="E810" s="12" t="n">
        <x:v>3901.9865</x:v>
      </x:c>
      <x:c r="F810" s="12" t="n">
        <x:v>3907.8641</x:v>
      </x:c>
      <x:c r="G810" s="12" t="n">
        <x:v>3947.0392</x:v>
      </x:c>
      <x:c r="H810" s="12" t="n">
        <x:v>-39.1751</x:v>
      </x:c>
      <x:c r="I810" s="12" t="n">
        <x:v>-0.9925</x:v>
      </x:c>
      <x:c r="J810" s="12" t="n">
        <x:v>-0.009974769470009609</x:v>
      </x:c>
      <x:c r="K810" s="12" t="n">
        <x:v>76815333</x:v>
      </x:c>
      <x:c r="L810" s="12" t="n">
        <x:v>118003062.733</x:v>
      </x:c>
      <x:c r="M810" s="12" t="str">
        <x:v>TuShare index_daily</x:v>
      </x:c>
    </x:row>
    <x:row r="811" ht="18" customHeight="1">
      <x:c r="A811" s="13" t="n">
        <x:v>43790</x:v>
      </x:c>
      <x:c r="B811" s="12" t="str">
        <x:v>000300.SH</x:v>
      </x:c>
      <x:c r="C811" s="12" t="n">
        <x:v>3894.539</x:v>
      </x:c>
      <x:c r="D811" s="12" t="n">
        <x:v>3901.8262</x:v>
      </x:c>
      <x:c r="E811" s="12" t="n">
        <x:v>3875.9682</x:v>
      </x:c>
      <x:c r="F811" s="12" t="n">
        <x:v>3889.598</x:v>
      </x:c>
      <x:c r="G811" s="12" t="n">
        <x:v>3907.8641</x:v>
      </x:c>
      <x:c r="H811" s="12" t="n">
        <x:v>-18.2661</x:v>
      </x:c>
      <x:c r="I811" s="12" t="n">
        <x:v>-0.4674</x:v>
      </x:c>
      <x:c r="J811" s="12" t="n">
        <x:v>-0.0046851483670989165</x:v>
      </x:c>
      <x:c r="K811" s="12" t="n">
        <x:v>69130538</x:v>
      </x:c>
      <x:c r="L811" s="12" t="n">
        <x:v>104147769.298</x:v>
      </x:c>
      <x:c r="M811" s="12" t="str">
        <x:v>TuShare index_daily</x:v>
      </x:c>
    </x:row>
    <x:row r="812" ht="18" customHeight="1">
      <x:c r="A812" s="13" t="n">
        <x:v>43791</x:v>
      </x:c>
      <x:c r="B812" s="12" t="str">
        <x:v>000300.SH</x:v>
      </x:c>
      <x:c r="C812" s="12" t="n">
        <x:v>3894.1742</x:v>
      </x:c>
      <x:c r="D812" s="12" t="n">
        <x:v>3918.8385</x:v>
      </x:c>
      <x:c r="E812" s="12" t="n">
        <x:v>3833.5033</x:v>
      </x:c>
      <x:c r="F812" s="12" t="n">
        <x:v>3849.9948</x:v>
      </x:c>
      <x:c r="G812" s="12" t="n">
        <x:v>3889.598</x:v>
      </x:c>
      <x:c r="H812" s="12" t="n">
        <x:v>-39.6032</x:v>
      </x:c>
      <x:c r="I812" s="12" t="n">
        <x:v>-1.0182</x:v>
      </x:c>
      <x:c r="J812" s="12" t="n">
        <x:v>-0.010234012738468922</x:v>
      </x:c>
      <x:c r="K812" s="12" t="n">
        <x:v>91042639</x:v>
      </x:c>
      <x:c r="L812" s="12" t="n">
        <x:v>146981162.09</x:v>
      </x:c>
      <x:c r="M812" s="12" t="str">
        <x:v>TuShare index_daily</x:v>
      </x:c>
    </x:row>
    <x:row r="813" ht="18" customHeight="1">
      <x:c r="A813" s="13" t="n">
        <x:v>43794</x:v>
      </x:c>
      <x:c r="B813" s="12" t="str">
        <x:v>000300.SH</x:v>
      </x:c>
      <x:c r="C813" s="12" t="n">
        <x:v>3850.966</x:v>
      </x:c>
      <x:c r="D813" s="12" t="n">
        <x:v>3878.2507</x:v>
      </x:c>
      <x:c r="E813" s="12" t="n">
        <x:v>3839.4201</x:v>
      </x:c>
      <x:c r="F813" s="12" t="n">
        <x:v>3878.2061</x:v>
      </x:c>
      <x:c r="G813" s="12" t="n">
        <x:v>3849.9948</x:v>
      </x:c>
      <x:c r="H813" s="12" t="n">
        <x:v>28.2113</x:v>
      </x:c>
      <x:c r="I813" s="12" t="n">
        <x:v>0.7328</x:v>
      </x:c>
      <x:c r="J813" s="12" t="n">
        <x:v>0.007300903710355269</x:v>
      </x:c>
      <x:c r="K813" s="12" t="n">
        <x:v>106066289</x:v>
      </x:c>
      <x:c r="L813" s="12" t="n">
        <x:v>140851076.272</x:v>
      </x:c>
      <x:c r="M813" s="12" t="str">
        <x:v>TuShare index_daily</x:v>
      </x:c>
    </x:row>
    <x:row r="814" ht="18" customHeight="1">
      <x:c r="A814" s="13" t="n">
        <x:v>43795</x:v>
      </x:c>
      <x:c r="B814" s="12" t="str">
        <x:v>000300.SH</x:v>
      </x:c>
      <x:c r="C814" s="12" t="n">
        <x:v>3893.4349</x:v>
      </x:c>
      <x:c r="D814" s="12" t="n">
        <x:v>3899.1097</x:v>
      </x:c>
      <x:c r="E814" s="12" t="n">
        <x:v>3869.5948</x:v>
      </x:c>
      <x:c r="F814" s="12" t="n">
        <x:v>3891.6533</x:v>
      </x:c>
      <x:c r="G814" s="12" t="n">
        <x:v>3878.2061</x:v>
      </x:c>
      <x:c r="H814" s="12" t="n">
        <x:v>13.4472</x:v>
      </x:c>
      <x:c r="I814" s="12" t="n">
        <x:v>0.3467</x:v>
      </x:c>
      <x:c r="J814" s="12" t="n">
        <x:v>0.0034613788316599295</x:v>
      </x:c>
      <x:c r="K814" s="12" t="n">
        <x:v>111513537</x:v>
      </x:c>
      <x:c r="L814" s="12" t="n">
        <x:v>140213633.065</x:v>
      </x:c>
      <x:c r="M814" s="12" t="str">
        <x:v>TuShare index_daily</x:v>
      </x:c>
    </x:row>
    <x:row r="815" ht="18" customHeight="1">
      <x:c r="A815" s="13" t="n">
        <x:v>43796</x:v>
      </x:c>
      <x:c r="B815" s="12" t="str">
        <x:v>000300.SH</x:v>
      </x:c>
      <x:c r="C815" s="12" t="n">
        <x:v>3883.429</x:v>
      </x:c>
      <x:c r="D815" s="12" t="n">
        <x:v>3889.9783</x:v>
      </x:c>
      <x:c r="E815" s="12" t="n">
        <x:v>3862.7011</x:v>
      </x:c>
      <x:c r="F815" s="12" t="n">
        <x:v>3875.6186</x:v>
      </x:c>
      <x:c r="G815" s="12" t="n">
        <x:v>3891.6533</x:v>
      </x:c>
      <x:c r="H815" s="12" t="n">
        <x:v>-16.0347</x:v>
      </x:c>
      <x:c r="I815" s="12" t="n">
        <x:v>-0.412</x:v>
      </x:c>
      <x:c r="J815" s="12" t="n">
        <x:v>-0.004128791417360389</x:v>
      </x:c>
      <x:c r="K815" s="12" t="n">
        <x:v>76437305</x:v>
      </x:c>
      <x:c r="L815" s="12" t="n">
        <x:v>107238822.033</x:v>
      </x:c>
      <x:c r="M815" s="12" t="str">
        <x:v>TuShare index_daily</x:v>
      </x:c>
    </x:row>
    <x:row r="816" ht="18" customHeight="1">
      <x:c r="A816" s="13" t="n">
        <x:v>43797</x:v>
      </x:c>
      <x:c r="B816" s="12" t="str">
        <x:v>000300.SH</x:v>
      </x:c>
      <x:c r="C816" s="12" t="n">
        <x:v>3877.9012</x:v>
      </x:c>
      <x:c r="D816" s="12" t="n">
        <x:v>3887.6903</x:v>
      </x:c>
      <x:c r="E816" s="12" t="n">
        <x:v>3852.0105</x:v>
      </x:c>
      <x:c r="F816" s="12" t="n">
        <x:v>3862.3029</x:v>
      </x:c>
      <x:c r="G816" s="12" t="n">
        <x:v>3875.6186</x:v>
      </x:c>
      <x:c r="H816" s="12" t="n">
        <x:v>-13.3157</x:v>
      </x:c>
      <x:c r="I816" s="12" t="n">
        <x:v>-0.3436</x:v>
      </x:c>
      <x:c r="J816" s="12" t="n">
        <x:v>-0.003441676978464653</x:v>
      </x:c>
      <x:c r="K816" s="12" t="n">
        <x:v>65230119</x:v>
      </x:c>
      <x:c r="L816" s="12" t="n">
        <x:v>87081788.912</x:v>
      </x:c>
      <x:c r="M816" s="12" t="str">
        <x:v>TuShare index_daily</x:v>
      </x:c>
    </x:row>
    <x:row r="817" ht="18" customHeight="1">
      <x:c r="A817" s="13" t="n">
        <x:v>43798</x:v>
      </x:c>
      <x:c r="B817" s="12" t="str">
        <x:v>000300.SH</x:v>
      </x:c>
      <x:c r="C817" s="12" t="n">
        <x:v>3857.1883</x:v>
      </x:c>
      <x:c r="D817" s="12" t="n">
        <x:v>3861.6584</x:v>
      </x:c>
      <x:c r="E817" s="12" t="n">
        <x:v>3804.8291</x:v>
      </x:c>
      <x:c r="F817" s="12" t="n">
        <x:v>3828.6706</x:v>
      </x:c>
      <x:c r="G817" s="12" t="n">
        <x:v>3862.3029</x:v>
      </x:c>
      <x:c r="H817" s="12" t="n">
        <x:v>-33.6323</x:v>
      </x:c>
      <x:c r="I817" s="12" t="n">
        <x:v>-0.8708</x:v>
      </x:c>
      <x:c r="J817" s="12" t="n">
        <x:v>-0.008745970684524417</x:v>
      </x:c>
      <x:c r="K817" s="12" t="n">
        <x:v>74144331</x:v>
      </x:c>
      <x:c r="L817" s="12" t="n">
        <x:v>116200556.869</x:v>
      </x:c>
      <x:c r="M817" s="12" t="str">
        <x:v>TuShare index_daily</x:v>
      </x:c>
    </x:row>
    <x:row r="818" ht="18" customHeight="1">
      <x:c r="A818" s="13" t="n">
        <x:v>43801</x:v>
      </x:c>
      <x:c r="B818" s="12" t="str">
        <x:v>000300.SH</x:v>
      </x:c>
      <x:c r="C818" s="12" t="n">
        <x:v>3835.5128</x:v>
      </x:c>
      <x:c r="D818" s="12" t="n">
        <x:v>3854.7509</x:v>
      </x:c>
      <x:c r="E818" s="12" t="n">
        <x:v>3829.3126</x:v>
      </x:c>
      <x:c r="F818" s="12" t="n">
        <x:v>3836.0589</x:v>
      </x:c>
      <x:c r="G818" s="12" t="n">
        <x:v>3828.6706</x:v>
      </x:c>
      <x:c r="H818" s="12" t="n">
        <x:v>7.3883</x:v>
      </x:c>
      <x:c r="I818" s="12" t="n">
        <x:v>0.193</x:v>
      </x:c>
      <x:c r="J818" s="12" t="n">
        <x:v>0.00192787032819121</x:v>
      </x:c>
      <x:c r="K818" s="12" t="n">
        <x:v>77412173</x:v>
      </x:c>
      <x:c r="L818" s="12" t="n">
        <x:v>109992592.541</x:v>
      </x:c>
      <x:c r="M818" s="12" t="str">
        <x:v>TuShare index_daily</x:v>
      </x:c>
    </x:row>
    <x:row r="819" ht="18" customHeight="1">
      <x:c r="A819" s="13" t="n">
        <x:v>43802</x:v>
      </x:c>
      <x:c r="B819" s="12" t="str">
        <x:v>000300.SH</x:v>
      </x:c>
      <x:c r="C819" s="12" t="n">
        <x:v>3829.212</x:v>
      </x:c>
      <x:c r="D819" s="12" t="n">
        <x:v>3851.1205</x:v>
      </x:c>
      <x:c r="E819" s="12" t="n">
        <x:v>3811.6281</x:v>
      </x:c>
      <x:c r="F819" s="12" t="n">
        <x:v>3851.0873</x:v>
      </x:c>
      <x:c r="G819" s="12" t="n">
        <x:v>3836.0589</x:v>
      </x:c>
      <x:c r="H819" s="12" t="n">
        <x:v>15.0284</x:v>
      </x:c>
      <x:c r="I819" s="12" t="n">
        <x:v>0.3918</x:v>
      </x:c>
      <x:c r="J819" s="12" t="n">
        <x:v>0.003910012573047016</x:v>
      </x:c>
      <x:c r="K819" s="12" t="n">
        <x:v>73611240</x:v>
      </x:c>
      <x:c r="L819" s="12" t="n">
        <x:v>108703714.965</x:v>
      </x:c>
      <x:c r="M819" s="12" t="str">
        <x:v>TuShare index_daily</x:v>
      </x:c>
    </x:row>
    <x:row r="820" ht="18" customHeight="1">
      <x:c r="A820" s="13" t="n">
        <x:v>43803</x:v>
      </x:c>
      <x:c r="B820" s="12" t="str">
        <x:v>000300.SH</x:v>
      </x:c>
      <x:c r="C820" s="12" t="n">
        <x:v>3841.6627</x:v>
      </x:c>
      <x:c r="D820" s="12" t="n">
        <x:v>3852.9922</x:v>
      </x:c>
      <x:c r="E820" s="12" t="n">
        <x:v>3831.0747</x:v>
      </x:c>
      <x:c r="F820" s="12" t="n">
        <x:v>3849.819</x:v>
      </x:c>
      <x:c r="G820" s="12" t="n">
        <x:v>3851.0873</x:v>
      </x:c>
      <x:c r="H820" s="12" t="n">
        <x:v>-1.2683</x:v>
      </x:c>
      <x:c r="I820" s="12" t="n">
        <x:v>-0.0329</x:v>
      </x:c>
      <x:c r="J820" s="12" t="n">
        <x:v>-0.00032938980479928193</x:v>
      </x:c>
      <x:c r="K820" s="12" t="n">
        <x:v>79683385</x:v>
      </x:c>
      <x:c r="L820" s="12" t="n">
        <x:v>109646342.796</x:v>
      </x:c>
      <x:c r="M820" s="12" t="str">
        <x:v>TuShare index_daily</x:v>
      </x:c>
    </x:row>
    <x:row r="821" ht="18" customHeight="1">
      <x:c r="A821" s="13" t="n">
        <x:v>43804</x:v>
      </x:c>
      <x:c r="B821" s="12" t="str">
        <x:v>000300.SH</x:v>
      </x:c>
      <x:c r="C821" s="12" t="n">
        <x:v>3863.6086</x:v>
      </x:c>
      <x:c r="D821" s="12" t="n">
        <x:v>3883.4031</x:v>
      </x:c>
      <x:c r="E821" s="12" t="n">
        <x:v>3859.8223</x:v>
      </x:c>
      <x:c r="F821" s="12" t="n">
        <x:v>3879.3638</x:v>
      </x:c>
      <x:c r="G821" s="12" t="n">
        <x:v>3849.819</x:v>
      </x:c>
      <x:c r="H821" s="12" t="n">
        <x:v>29.5448</x:v>
      </x:c>
      <x:c r="I821" s="12" t="n">
        <x:v>0.7674</x:v>
      </x:c>
      <x:c r="J821" s="12" t="n">
        <x:v>0.0076450369110844605</x:v>
      </x:c>
      <x:c r="K821" s="12" t="n">
        <x:v>89051193</x:v>
      </x:c>
      <x:c r="L821" s="12" t="n">
        <x:v>129357592.812</x:v>
      </x:c>
      <x:c r="M821" s="12" t="str">
        <x:v>TuShare index_daily</x:v>
      </x:c>
    </x:row>
    <x:row r="822" ht="18" customHeight="1">
      <x:c r="A822" s="13" t="n">
        <x:v>43805</x:v>
      </x:c>
      <x:c r="B822" s="12" t="str">
        <x:v>000300.SH</x:v>
      </x:c>
      <x:c r="C822" s="12" t="n">
        <x:v>3885.0582</x:v>
      </x:c>
      <x:c r="D822" s="12" t="n">
        <x:v>3902.3853</x:v>
      </x:c>
      <x:c r="E822" s="12" t="n">
        <x:v>3878.7002</x:v>
      </x:c>
      <x:c r="F822" s="12" t="n">
        <x:v>3902.3853</x:v>
      </x:c>
      <x:c r="G822" s="12" t="n">
        <x:v>3879.3638</x:v>
      </x:c>
      <x:c r="H822" s="12" t="n">
        <x:v>23.0215</x:v>
      </x:c>
      <x:c r="I822" s="12" t="n">
        <x:v>0.5934</x:v>
      </x:c>
      <x:c r="J822" s="12" t="n">
        <x:v>0.005916810441135707</x:v>
      </x:c>
      <x:c r="K822" s="12" t="n">
        <x:v>78648887</x:v>
      </x:c>
      <x:c r="L822" s="12" t="n">
        <x:v>116424775.802</x:v>
      </x:c>
      <x:c r="M822" s="12" t="str">
        <x:v>TuShare index_daily</x:v>
      </x:c>
    </x:row>
    <x:row r="823" ht="18" customHeight="1">
      <x:c r="A823" s="13" t="n">
        <x:v>43808</x:v>
      </x:c>
      <x:c r="B823" s="12" t="str">
        <x:v>000300.SH</x:v>
      </x:c>
      <x:c r="C823" s="12" t="n">
        <x:v>3909.5297</x:v>
      </x:c>
      <x:c r="D823" s="12" t="n">
        <x:v>3911.9682</x:v>
      </x:c>
      <x:c r="E823" s="12" t="n">
        <x:v>3885.2507</x:v>
      </x:c>
      <x:c r="F823" s="12" t="n">
        <x:v>3895.4468</x:v>
      </x:c>
      <x:c r="G823" s="12" t="n">
        <x:v>3902.3853</x:v>
      </x:c>
      <x:c r="H823" s="12" t="n">
        <x:v>-6.9385</x:v>
      </x:c>
      <x:c r="I823" s="12" t="n">
        <x:v>-0.1778</x:v>
      </x:c>
      <x:c r="J823" s="12" t="n">
        <x:v>-0.0017795976477017867</x:v>
      </x:c>
      <x:c r="K823" s="12" t="n">
        <x:v>95353806</x:v>
      </x:c>
      <x:c r="L823" s="12" t="n">
        <x:v>130873098.246</x:v>
      </x:c>
      <x:c r="M823" s="12" t="str">
        <x:v>TuShare index_daily</x:v>
      </x:c>
    </x:row>
    <x:row r="824" ht="18" customHeight="1">
      <x:c r="A824" s="13" t="n">
        <x:v>43809</x:v>
      </x:c>
      <x:c r="B824" s="12" t="str">
        <x:v>000300.SH</x:v>
      </x:c>
      <x:c r="C824" s="12" t="n">
        <x:v>3886.444</x:v>
      </x:c>
      <x:c r="D824" s="12" t="n">
        <x:v>3900.959</x:v>
      </x:c>
      <x:c r="E824" s="12" t="n">
        <x:v>3882.0877</x:v>
      </x:c>
      <x:c r="F824" s="12" t="n">
        <x:v>3900.3843</x:v>
      </x:c>
      <x:c r="G824" s="12" t="n">
        <x:v>3895.4468</x:v>
      </x:c>
      <x:c r="H824" s="12" t="n">
        <x:v>4.9375</x:v>
      </x:c>
      <x:c r="I824" s="12" t="n">
        <x:v>0.1268</x:v>
      </x:c>
      <x:c r="J824" s="12" t="n">
        <x:v>0.0012667028304908915</x:v>
      </x:c>
      <x:c r="K824" s="12" t="n">
        <x:v>86262928</x:v>
      </x:c>
      <x:c r="L824" s="12" t="n">
        <x:v>121118412.751</x:v>
      </x:c>
      <x:c r="M824" s="12" t="str">
        <x:v>TuShare index_daily</x:v>
      </x:c>
    </x:row>
    <x:row r="825" ht="18" customHeight="1">
      <x:c r="A825" s="13" t="n">
        <x:v>43810</x:v>
      </x:c>
      <x:c r="B825" s="12" t="str">
        <x:v>000300.SH</x:v>
      </x:c>
      <x:c r="C825" s="12" t="n">
        <x:v>3907.1592</x:v>
      </x:c>
      <x:c r="D825" s="12" t="n">
        <x:v>3909.3854</x:v>
      </x:c>
      <x:c r="E825" s="12" t="n">
        <x:v>3890.341</x:v>
      </x:c>
      <x:c r="F825" s="12" t="n">
        <x:v>3902.7492</x:v>
      </x:c>
      <x:c r="G825" s="12" t="n">
        <x:v>3900.3843</x:v>
      </x:c>
      <x:c r="H825" s="12" t="n">
        <x:v>2.3649</x:v>
      </x:c>
      <x:c r="I825" s="12" t="n">
        <x:v>0.0606</x:v>
      </x:c>
      <x:c r="J825" s="12" t="n">
        <x:v>0.0006061411284087119</x:v>
      </x:c>
      <x:c r="K825" s="12" t="n">
        <x:v>99765480</x:v>
      </x:c>
      <x:c r="L825" s="12" t="n">
        <x:v>127690403.434</x:v>
      </x:c>
      <x:c r="M825" s="12" t="str">
        <x:v>TuShare index_daily</x:v>
      </x:c>
    </x:row>
    <x:row r="826" ht="18" customHeight="1">
      <x:c r="A826" s="13" t="n">
        <x:v>43811</x:v>
      </x:c>
      <x:c r="B826" s="12" t="str">
        <x:v>000300.SH</x:v>
      </x:c>
      <x:c r="C826" s="12" t="n">
        <x:v>3908.4537</x:v>
      </x:c>
      <x:c r="D826" s="12" t="n">
        <x:v>3908.4537</x:v>
      </x:c>
      <x:c r="E826" s="12" t="n">
        <x:v>3886.1188</x:v>
      </x:c>
      <x:c r="F826" s="12" t="n">
        <x:v>3891.0242</x:v>
      </x:c>
      <x:c r="G826" s="12" t="n">
        <x:v>3902.7492</x:v>
      </x:c>
      <x:c r="H826" s="12" t="n">
        <x:v>-11.725</x:v>
      </x:c>
      <x:c r="I826" s="12" t="n">
        <x:v>-0.3004</x:v>
      </x:c>
      <x:c r="J826" s="12" t="n">
        <x:v>-0.003008814407023755</x:v>
      </x:c>
      <x:c r="K826" s="12" t="n">
        <x:v>84708330</x:v>
      </x:c>
      <x:c r="L826" s="12" t="n">
        <x:v>117874313.734</x:v>
      </x:c>
      <x:c r="M826" s="12" t="str">
        <x:v>TuShare index_daily</x:v>
      </x:c>
    </x:row>
    <x:row r="827" ht="18" customHeight="1">
      <x:c r="A827" s="13" t="n">
        <x:v>43812</x:v>
      </x:c>
      <x:c r="B827" s="12" t="str">
        <x:v>000300.SH</x:v>
      </x:c>
      <x:c r="C827" s="12" t="n">
        <x:v>3928.0044</x:v>
      </x:c>
      <x:c r="D827" s="12" t="n">
        <x:v>3969.4568</x:v>
      </x:c>
      <x:c r="E827" s="12" t="n">
        <x:v>3925.2757</x:v>
      </x:c>
      <x:c r="F827" s="12" t="n">
        <x:v>3968.2211</x:v>
      </x:c>
      <x:c r="G827" s="12" t="n">
        <x:v>3891.0242</x:v>
      </x:c>
      <x:c r="H827" s="12" t="n">
        <x:v>77.1969</x:v>
      </x:c>
      <x:c r="I827" s="12" t="n">
        <x:v>1.984</x:v>
      </x:c>
      <x:c r="J827" s="12" t="n">
        <x:v>0.01964549517248232</x:v>
      </x:c>
      <x:c r="K827" s="12" t="n">
        <x:v>148571349</x:v>
      </x:c>
      <x:c r="L827" s="12" t="n">
        <x:v>201018885.799</x:v>
      </x:c>
      <x:c r="M827" s="12" t="str">
        <x:v>TuShare index_daily</x:v>
      </x:c>
    </x:row>
    <x:row r="828" ht="18" customHeight="1">
      <x:c r="A828" s="13" t="n">
        <x:v>43815</x:v>
      </x:c>
      <x:c r="B828" s="12" t="str">
        <x:v>000300.SH</x:v>
      </x:c>
      <x:c r="C828" s="12" t="n">
        <x:v>3970.7092</x:v>
      </x:c>
      <x:c r="D828" s="12" t="n">
        <x:v>3987.5866</x:v>
      </x:c>
      <x:c r="E828" s="12" t="n">
        <x:v>3953.5126</x:v>
      </x:c>
      <x:c r="F828" s="12" t="n">
        <x:v>3987.5464</x:v>
      </x:c>
      <x:c r="G828" s="12" t="n">
        <x:v>3968.2211</x:v>
      </x:c>
      <x:c r="H828" s="12" t="n">
        <x:v>19.3253</x:v>
      </x:c>
      <x:c r="I828" s="12" t="n">
        <x:v>0.487</x:v>
      </x:c>
      <x:c r="J828" s="12" t="n">
        <x:v>0.0048581957704862165</x:v>
      </x:c>
      <x:c r="K828" s="12" t="n">
        <x:v>148486670</x:v>
      </x:c>
      <x:c r="L828" s="12" t="n">
        <x:v>202154895.254</x:v>
      </x:c>
      <x:c r="M828" s="12" t="str">
        <x:v>TuShare index_daily</x:v>
      </x:c>
    </x:row>
    <x:row r="829" ht="18" customHeight="1">
      <x:c r="A829" s="13" t="n">
        <x:v>43816</x:v>
      </x:c>
      <x:c r="B829" s="12" t="str">
        <x:v>000300.SH</x:v>
      </x:c>
      <x:c r="C829" s="12" t="n">
        <x:v>3987.7426</x:v>
      </x:c>
      <x:c r="D829" s="12" t="n">
        <x:v>4067.1355</x:v>
      </x:c>
      <x:c r="E829" s="12" t="n">
        <x:v>3984.5193</x:v>
      </x:c>
      <x:c r="F829" s="12" t="n">
        <x:v>4041.7996</x:v>
      </x:c>
      <x:c r="G829" s="12" t="n">
        <x:v>3987.5464</x:v>
      </x:c>
      <x:c r="H829" s="12" t="n">
        <x:v>54.2532</x:v>
      </x:c>
      <x:c r="I829" s="12" t="n">
        <x:v>1.3606</x:v>
      </x:c>
      <x:c r="J829" s="12" t="n">
        <x:v>0.01351393392930136</x:v>
      </x:c>
      <x:c r="K829" s="12" t="n">
        <x:v>201162937</x:v>
      </x:c>
      <x:c r="L829" s="12" t="n">
        <x:v>251637865.288</x:v>
      </x:c>
      <x:c r="M829" s="12" t="str">
        <x:v>TuShare index_daily</x:v>
      </x:c>
    </x:row>
    <x:row r="830" ht="18" customHeight="1">
      <x:c r="A830" s="13" t="n">
        <x:v>43817</x:v>
      </x:c>
      <x:c r="B830" s="12" t="str">
        <x:v>000300.SH</x:v>
      </x:c>
      <x:c r="C830" s="12" t="n">
        <x:v>4039.724</x:v>
      </x:c>
      <x:c r="D830" s="12" t="n">
        <x:v>4057.64</x:v>
      </x:c>
      <x:c r="E830" s="12" t="n">
        <x:v>4025.3433</x:v>
      </x:c>
      <x:c r="F830" s="12" t="n">
        <x:v>4032.7826</x:v>
      </x:c>
      <x:c r="G830" s="12" t="n">
        <x:v>4041.7996</x:v>
      </x:c>
      <x:c r="H830" s="12" t="n">
        <x:v>-9.017</x:v>
      </x:c>
      <x:c r="I830" s="12" t="n">
        <x:v>-0.2231</x:v>
      </x:c>
      <x:c r="J830" s="12" t="n">
        <x:v>-0.002233429179337791</x:v>
      </x:c>
      <x:c r="K830" s="12" t="n">
        <x:v>151351764</x:v>
      </x:c>
      <x:c r="L830" s="12" t="n">
        <x:v>197620207.485</x:v>
      </x:c>
      <x:c r="M830" s="12" t="str">
        <x:v>TuShare index_daily</x:v>
      </x:c>
    </x:row>
    <x:row r="831" ht="18" customHeight="1">
      <x:c r="A831" s="13" t="n">
        <x:v>43818</x:v>
      </x:c>
      <x:c r="B831" s="12" t="str">
        <x:v>000300.SH</x:v>
      </x:c>
      <x:c r="C831" s="12" t="n">
        <x:v>4034.6159</x:v>
      </x:c>
      <x:c r="D831" s="12" t="n">
        <x:v>4038.5435</x:v>
      </x:c>
      <x:c r="E831" s="12" t="n">
        <x:v>4014.8951</x:v>
      </x:c>
      <x:c r="F831" s="12" t="n">
        <x:v>4027.1495</x:v>
      </x:c>
      <x:c r="G831" s="12" t="n">
        <x:v>4032.7826</x:v>
      </x:c>
      <x:c r="H831" s="12" t="n">
        <x:v>-5.6331</x:v>
      </x:c>
      <x:c r="I831" s="12" t="n">
        <x:v>-0.1397</x:v>
      </x:c>
      <x:c r="J831" s="12" t="n">
        <x:v>-0.001397803566406833</x:v>
      </x:c>
      <x:c r="K831" s="12" t="n">
        <x:v>117900558</x:v>
      </x:c>
      <x:c r="L831" s="12" t="n">
        <x:v>152553809.117</x:v>
      </x:c>
      <x:c r="M831" s="12" t="str">
        <x:v>TuShare index_daily</x:v>
      </x:c>
    </x:row>
    <x:row r="832" ht="18" customHeight="1">
      <x:c r="A832" s="13" t="n">
        <x:v>43819</x:v>
      </x:c>
      <x:c r="B832" s="12" t="str">
        <x:v>000300.SH</x:v>
      </x:c>
      <x:c r="C832" s="12" t="n">
        <x:v>4032.1519</x:v>
      </x:c>
      <x:c r="D832" s="12" t="n">
        <x:v>4046.7261</x:v>
      </x:c>
      <x:c r="E832" s="12" t="n">
        <x:v>4014.9296</x:v>
      </x:c>
      <x:c r="F832" s="12" t="n">
        <x:v>4017.2527</x:v>
      </x:c>
      <x:c r="G832" s="12" t="n">
        <x:v>4027.1495</x:v>
      </x:c>
      <x:c r="H832" s="12" t="n">
        <x:v>-9.8968</x:v>
      </x:c>
      <x:c r="I832" s="12" t="n">
        <x:v>-0.2458</x:v>
      </x:c>
      <x:c r="J832" s="12" t="n">
        <x:v>-0.0024605445493925703</x:v>
      </x:c>
      <x:c r="K832" s="12" t="n">
        <x:v>121267662</x:v>
      </x:c>
      <x:c r="L832" s="12" t="n">
        <x:v>158460232.417</x:v>
      </x:c>
      <x:c r="M832" s="12" t="str">
        <x:v>TuShare index_daily</x:v>
      </x:c>
    </x:row>
    <x:row r="833" ht="18" customHeight="1">
      <x:c r="A833" s="13" t="n">
        <x:v>43822</x:v>
      </x:c>
      <x:c r="B833" s="12" t="str">
        <x:v>000300.SH</x:v>
      </x:c>
      <x:c r="C833" s="12" t="n">
        <x:v>4014.6929</x:v>
      </x:c>
      <x:c r="D833" s="12" t="n">
        <x:v>4032.1721</x:v>
      </x:c>
      <x:c r="E833" s="12" t="n">
        <x:v>3964.3798</x:v>
      </x:c>
      <x:c r="F833" s="12" t="n">
        <x:v>3967.0962</x:v>
      </x:c>
      <x:c r="G833" s="12" t="n">
        <x:v>4017.2527</x:v>
      </x:c>
      <x:c r="H833" s="12" t="n">
        <x:v>-50.1565</x:v>
      </x:c>
      <x:c r="I833" s="12" t="n">
        <x:v>-1.2485</x:v>
      </x:c>
      <x:c r="J833" s="12" t="n">
        <x:v>-0.012563869739876722</x:v>
      </x:c>
      <x:c r="K833" s="12" t="n">
        <x:v>122816246</x:v>
      </x:c>
      <x:c r="L833" s="12" t="n">
        <x:v>162048261.474</x:v>
      </x:c>
      <x:c r="M833" s="12" t="str">
        <x:v>TuShare index_daily</x:v>
      </x:c>
    </x:row>
    <x:row r="834" ht="18" customHeight="1">
      <x:c r="A834" s="13" t="n">
        <x:v>43823</x:v>
      </x:c>
      <x:c r="B834" s="12" t="str">
        <x:v>000300.SH</x:v>
      </x:c>
      <x:c r="C834" s="12" t="n">
        <x:v>3971.56</x:v>
      </x:c>
      <x:c r="D834" s="12" t="n">
        <x:v>3994.5092</x:v>
      </x:c>
      <x:c r="E834" s="12" t="n">
        <x:v>3963.6653</x:v>
      </x:c>
      <x:c r="F834" s="12" t="n">
        <x:v>3992.9581</x:v>
      </x:c>
      <x:c r="G834" s="12" t="n">
        <x:v>3967.0962</x:v>
      </x:c>
      <x:c r="H834" s="12" t="n">
        <x:v>25.8619</x:v>
      </x:c>
      <x:c r="I834" s="12" t="n">
        <x:v>0.6519</x:v>
      </x:c>
      <x:c r="J834" s="12" t="n">
        <x:v>0.006497943361457646</x:v>
      </x:c>
      <x:c r="K834" s="12" t="n">
        <x:v>95989045</x:v>
      </x:c>
      <x:c r="L834" s="12" t="n">
        <x:v>122499163.329</x:v>
      </x:c>
      <x:c r="M834" s="12" t="str">
        <x:v>TuShare index_daily</x:v>
      </x:c>
    </x:row>
    <x:row r="835" ht="18" customHeight="1">
      <x:c r="A835" s="13" t="n">
        <x:v>43824</x:v>
      </x:c>
      <x:c r="B835" s="12" t="str">
        <x:v>000300.SH</x:v>
      </x:c>
      <x:c r="C835" s="12" t="n">
        <x:v>3988.6574</x:v>
      </x:c>
      <x:c r="D835" s="12" t="n">
        <x:v>4000.5556</x:v>
      </x:c>
      <x:c r="E835" s="12" t="n">
        <x:v>3976.3559</x:v>
      </x:c>
      <x:c r="F835" s="12" t="n">
        <x:v>3990.8671</x:v>
      </x:c>
      <x:c r="G835" s="12" t="n">
        <x:v>3992.9581</x:v>
      </x:c>
      <x:c r="H835" s="12" t="n">
        <x:v>-2.091</x:v>
      </x:c>
      <x:c r="I835" s="12" t="n">
        <x:v>-0.0524</x:v>
      </x:c>
      <x:c r="J835" s="12" t="n">
        <x:v>-0.000523809075331489</x:v>
      </x:c>
      <x:c r="K835" s="12" t="n">
        <x:v>94938890</x:v>
      </x:c>
      <x:c r="L835" s="12" t="n">
        <x:v>131896466.969</x:v>
      </x:c>
      <x:c r="M835" s="12" t="str">
        <x:v>TuShare index_daily</x:v>
      </x:c>
    </x:row>
    <x:row r="836" ht="18" customHeight="1">
      <x:c r="A836" s="13" t="n">
        <x:v>43825</x:v>
      </x:c>
      <x:c r="B836" s="12" t="str">
        <x:v>000300.SH</x:v>
      </x:c>
      <x:c r="C836" s="12" t="n">
        <x:v>3993.6686</x:v>
      </x:c>
      <x:c r="D836" s="12" t="n">
        <x:v>4025.9879</x:v>
      </x:c>
      <x:c r="E836" s="12" t="n">
        <x:v>3993.5413</x:v>
      </x:c>
      <x:c r="F836" s="12" t="n">
        <x:v>4025.9879</x:v>
      </x:c>
      <x:c r="G836" s="12" t="n">
        <x:v>3990.8671</x:v>
      </x:c>
      <x:c r="H836" s="12" t="n">
        <x:v>35.1208</x:v>
      </x:c>
      <x:c r="I836" s="12" t="n">
        <x:v>0.88</x:v>
      </x:c>
      <x:c r="J836" s="12" t="n">
        <x:v>0.008761796161291392</x:v>
      </x:c>
      <x:c r="K836" s="12" t="n">
        <x:v>108860640</x:v>
      </x:c>
      <x:c r="L836" s="12" t="n">
        <x:v>140814968.243</x:v>
      </x:c>
      <x:c r="M836" s="12" t="str">
        <x:v>TuShare index_daily</x:v>
      </x:c>
    </x:row>
    <x:row r="837" ht="18" customHeight="1">
      <x:c r="A837" s="13" t="n">
        <x:v>43826</x:v>
      </x:c>
      <x:c r="B837" s="12" t="str">
        <x:v>000300.SH</x:v>
      </x:c>
      <x:c r="C837" s="12" t="n">
        <x:v>4029.2454</x:v>
      </x:c>
      <x:c r="D837" s="12" t="n">
        <x:v>4066.7964</x:v>
      </x:c>
      <x:c r="E837" s="12" t="n">
        <x:v>4019.7223</x:v>
      </x:c>
      <x:c r="F837" s="12" t="n">
        <x:v>4022.0278</x:v>
      </x:c>
      <x:c r="G837" s="12" t="n">
        <x:v>4025.9879</x:v>
      </x:c>
      <x:c r="H837" s="12" t="n">
        <x:v>-3.9601</x:v>
      </x:c>
      <x:c r="I837" s="12" t="n">
        <x:v>-0.0984</x:v>
      </x:c>
      <x:c r="J837" s="12" t="n">
        <x:v>-0.0009841184379423033</x:v>
      </x:c>
      <x:c r="K837" s="12" t="n">
        <x:v>150926411</x:v>
      </x:c>
      <x:c r="L837" s="12" t="n">
        <x:v>195090417.042</x:v>
      </x:c>
      <x:c r="M837" s="12" t="str">
        <x:v>TuShare index_daily</x:v>
      </x:c>
    </x:row>
    <x:row r="838" ht="18" customHeight="1">
      <x:c r="A838" s="13" t="n">
        <x:v>43829</x:v>
      </x:c>
      <x:c r="B838" s="12" t="str">
        <x:v>000300.SH</x:v>
      </x:c>
      <x:c r="C838" s="12" t="n">
        <x:v>4015.5195</x:v>
      </x:c>
      <x:c r="D838" s="12" t="n">
        <x:v>4083.6901</x:v>
      </x:c>
      <x:c r="E838" s="12" t="n">
        <x:v>4001.4951</x:v>
      </x:c>
      <x:c r="F838" s="12" t="n">
        <x:v>4081.6334</x:v>
      </x:c>
      <x:c r="G838" s="12" t="n">
        <x:v>4022.0278</x:v>
      </x:c>
      <x:c r="H838" s="12" t="n">
        <x:v>59.6056</x:v>
      </x:c>
      <x:c r="I838" s="12" t="n">
        <x:v>1.482</x:v>
      </x:c>
      <x:c r="J838" s="12" t="n">
        <x:v>0.014711048126733142</x:v>
      </x:c>
      <x:c r="K838" s="12" t="n">
        <x:v>155971488</x:v>
      </x:c>
      <x:c r="L838" s="12" t="n">
        <x:v>216814660.017</x:v>
      </x:c>
      <x:c r="M838" s="12" t="str">
        <x:v>TuShare index_daily</x:v>
      </x:c>
    </x:row>
    <x:row r="839" ht="18" customHeight="1">
      <x:c r="A839" s="13" t="n">
        <x:v>43830</x:v>
      </x:c>
      <x:c r="B839" s="12" t="str">
        <x:v>000300.SH</x:v>
      </x:c>
      <x:c r="C839" s="12" t="n">
        <x:v>4077.7519</x:v>
      </x:c>
      <x:c r="D839" s="12" t="n">
        <x:v>4098.1444</x:v>
      </x:c>
      <x:c r="E839" s="12" t="n">
        <x:v>4069.0086</x:v>
      </x:c>
      <x:c r="F839" s="12" t="n">
        <x:v>4096.5821</x:v>
      </x:c>
      <x:c r="G839" s="12" t="n">
        <x:v>4081.6334</x:v>
      </x:c>
      <x:c r="H839" s="12" t="n">
        <x:v>14.9487</x:v>
      </x:c>
      <x:c r="I839" s="12" t="n">
        <x:v>0.3662</x:v>
      </x:c>
      <x:c r="J839" s="12" t="n">
        <x:v>0.0036557404603511975</x:v>
      </x:c>
      <x:c r="K839" s="12" t="n">
        <x:v>123264258</x:v>
      </x:c>
      <x:c r="L839" s="12" t="n">
        <x:v>173119348.51</x:v>
      </x:c>
      <x:c r="M839" s="12" t="str">
        <x:v>TuShare index_daily</x:v>
      </x:c>
    </x:row>
    <x:row r="840" ht="18" customHeight="1">
      <x:c r="A840" s="13" t="n">
        <x:v>43832</x:v>
      </x:c>
      <x:c r="B840" s="12" t="str">
        <x:v>000300.SH</x:v>
      </x:c>
      <x:c r="C840" s="12" t="n">
        <x:v>4121.3487</x:v>
      </x:c>
      <x:c r="D840" s="12" t="n">
        <x:v>4172.6555</x:v>
      </x:c>
      <x:c r="E840" s="12" t="n">
        <x:v>4121.3487</x:v>
      </x:c>
      <x:c r="F840" s="12" t="n">
        <x:v>4152.2408</x:v>
      </x:c>
      <x:c r="G840" s="12" t="n">
        <x:v>4096.5821</x:v>
      </x:c>
      <x:c r="H840" s="12" t="n">
        <x:v>55.6587</x:v>
      </x:c>
      <x:c r="I840" s="12" t="n">
        <x:v>1.3587</x:v>
      </x:c>
      <x:c r="J840" s="12" t="n">
        <x:v>0.013495148430566905</x:v>
      </x:c>
      <x:c r="K840" s="12" t="n">
        <x:v>182116772</x:v>
      </x:c>
      <x:c r="L840" s="12" t="n">
        <x:v>270105532.028</x:v>
      </x:c>
      <x:c r="M840" s="12" t="str">
        <x:v>TuShare index_daily</x:v>
      </x:c>
    </x:row>
    <x:row r="841" ht="18" customHeight="1">
      <x:c r="A841" s="13" t="n">
        <x:v>43833</x:v>
      </x:c>
      <x:c r="B841" s="12" t="str">
        <x:v>000300.SH</x:v>
      </x:c>
      <x:c r="C841" s="12" t="n">
        <x:v>4161.2185</x:v>
      </x:c>
      <x:c r="D841" s="12" t="n">
        <x:v>4164.2989</x:v>
      </x:c>
      <x:c r="E841" s="12" t="n">
        <x:v>4131.864</x:v>
      </x:c>
      <x:c r="F841" s="12" t="n">
        <x:v>4144.9649</x:v>
      </x:c>
      <x:c r="G841" s="12" t="n">
        <x:v>4152.2408</x:v>
      </x:c>
      <x:c r="H841" s="12" t="n">
        <x:v>-7.2759</x:v>
      </x:c>
      <x:c r="I841" s="12" t="n">
        <x:v>-0.1752</x:v>
      </x:c>
      <x:c r="J841" s="12" t="n">
        <x:v>-0.0017538198106827857</x:v>
      </x:c>
      <x:c r="K841" s="12" t="n">
        <x:v>142826244</x:v>
      </x:c>
      <x:c r="L841" s="12" t="n">
        <x:v>215216288.331</x:v>
      </x:c>
      <x:c r="M841" s="12" t="str">
        <x:v>TuShare index_daily</x:v>
      </x:c>
    </x:row>
    <x:row r="842" ht="18" customHeight="1">
      <x:c r="A842" s="13" t="n">
        <x:v>43836</x:v>
      </x:c>
      <x:c r="B842" s="12" t="str">
        <x:v>000300.SH</x:v>
      </x:c>
      <x:c r="C842" s="12" t="n">
        <x:v>4120.5211</x:v>
      </x:c>
      <x:c r="D842" s="12" t="n">
        <x:v>4170.6384</x:v>
      </x:c>
      <x:c r="E842" s="12" t="n">
        <x:v>4102.3796</x:v>
      </x:c>
      <x:c r="F842" s="12" t="n">
        <x:v>4129.2954</x:v>
      </x:c>
      <x:c r="G842" s="12" t="n">
        <x:v>4144.9649</x:v>
      </x:c>
      <x:c r="H842" s="12" t="n">
        <x:v>-15.6695</x:v>
      </x:c>
      <x:c r="I842" s="12" t="n">
        <x:v>-0.378</x:v>
      </x:c>
      <x:c r="J842" s="12" t="n">
        <x:v>-0.003787533426308017</x:v>
      </x:c>
      <x:c r="K842" s="12" t="n">
        <x:v>175309953</x:v>
      </x:c>
      <x:c r="L842" s="12" t="n">
        <x:v>250182071.294</x:v>
      </x:c>
      <x:c r="M842" s="12" t="str">
        <x:v>TuShare index_daily</x:v>
      </x:c>
    </x:row>
    <x:row r="843" ht="18" customHeight="1">
      <x:c r="A843" s="13" t="n">
        <x:v>43837</x:v>
      </x:c>
      <x:c r="B843" s="12" t="str">
        <x:v>000300.SH</x:v>
      </x:c>
      <x:c r="C843" s="12" t="n">
        <x:v>4137.4019</x:v>
      </x:c>
      <x:c r="D843" s="12" t="n">
        <x:v>4161.2504</x:v>
      </x:c>
      <x:c r="E843" s="12" t="n">
        <x:v>4135.0972</x:v>
      </x:c>
      <x:c r="F843" s="12" t="n">
        <x:v>4160.2274</x:v>
      </x:c>
      <x:c r="G843" s="12" t="n">
        <x:v>4129.2954</x:v>
      </x:c>
      <x:c r="H843" s="12" t="n">
        <x:v>30.932</x:v>
      </x:c>
      <x:c r="I843" s="12" t="n">
        <x:v>0.7491</x:v>
      </x:c>
      <x:c r="J843" s="12" t="n">
        <x:v>0.007462949149397088</x:v>
      </x:c>
      <x:c r="K843" s="12" t="n">
        <x:v>139489031</x:v>
      </x:c>
      <x:c r="L843" s="12" t="n">
        <x:v>196389059.715</x:v>
      </x:c>
      <x:c r="M843" s="12" t="str">
        <x:v>TuShare index_daily</x:v>
      </x:c>
    </x:row>
    <x:row r="844" ht="18" customHeight="1">
      <x:c r="A844" s="13" t="n">
        <x:v>43838</x:v>
      </x:c>
      <x:c r="B844" s="12" t="str">
        <x:v>000300.SH</x:v>
      </x:c>
      <x:c r="C844" s="12" t="n">
        <x:v>4139.6315</x:v>
      </x:c>
      <x:c r="D844" s="12" t="n">
        <x:v>4149.813</x:v>
      </x:c>
      <x:c r="E844" s="12" t="n">
        <x:v>4101.9801</x:v>
      </x:c>
      <x:c r="F844" s="12" t="n">
        <x:v>4112.3172</x:v>
      </x:c>
      <x:c r="G844" s="12" t="n">
        <x:v>4160.2274</x:v>
      </x:c>
      <x:c r="H844" s="12" t="n">
        <x:v>-47.9102</x:v>
      </x:c>
      <x:c r="I844" s="12" t="n">
        <x:v>-1.1516</x:v>
      </x:c>
      <x:c r="J844" s="12" t="n">
        <x:v>-0.0115830709851755</x:v>
      </x:c>
      <x:c r="K844" s="12" t="n">
        <x:v>167585850</x:v>
      </x:c>
      <x:c r="L844" s="12" t="n">
        <x:v>212406263.857</x:v>
      </x:c>
      <x:c r="M844" s="12" t="str">
        <x:v>TuShare index_daily</x:v>
      </x:c>
    </x:row>
    <x:row r="845" ht="18" customHeight="1">
      <x:c r="A845" s="13" t="n">
        <x:v>43839</x:v>
      </x:c>
      <x:c r="B845" s="12" t="str">
        <x:v>000300.SH</x:v>
      </x:c>
      <x:c r="C845" s="12" t="n">
        <x:v>4145.5345</x:v>
      </x:c>
      <x:c r="D845" s="12" t="n">
        <x:v>4165.6574</x:v>
      </x:c>
      <x:c r="E845" s="12" t="n">
        <x:v>4143.592</x:v>
      </x:c>
      <x:c r="F845" s="12" t="n">
        <x:v>4164.3697</x:v>
      </x:c>
      <x:c r="G845" s="12" t="n">
        <x:v>4112.3172</x:v>
      </x:c>
      <x:c r="H845" s="12" t="n">
        <x:v>52.0525</x:v>
      </x:c>
      <x:c r="I845" s="12" t="n">
        <x:v>1.2658</x:v>
      </x:c>
      <x:c r="J845" s="12" t="n">
        <x:v>0.012578266378327381</x:v>
      </x:c>
      <x:c r="K845" s="12" t="n">
        <x:v>136886324</x:v>
      </x:c>
      <x:c r="L845" s="12" t="n">
        <x:v>200150352.942</x:v>
      </x:c>
      <x:c r="M845" s="12" t="str">
        <x:v>TuShare index_daily</x:v>
      </x:c>
    </x:row>
    <x:row r="846" ht="18" customHeight="1">
      <x:c r="A846" s="13" t="n">
        <x:v>43840</x:v>
      </x:c>
      <x:c r="B846" s="12" t="str">
        <x:v>000300.SH</x:v>
      </x:c>
      <x:c r="C846" s="12" t="n">
        <x:v>4177.5777</x:v>
      </x:c>
      <x:c r="D846" s="12" t="n">
        <x:v>4180.9771</x:v>
      </x:c>
      <x:c r="E846" s="12" t="n">
        <x:v>4148.4817</x:v>
      </x:c>
      <x:c r="F846" s="12" t="n">
        <x:v>4163.1849</x:v>
      </x:c>
      <x:c r="G846" s="12" t="n">
        <x:v>4164.3697</x:v>
      </x:c>
      <x:c r="H846" s="12" t="n">
        <x:v>-1.1848</x:v>
      </x:c>
      <x:c r="I846" s="12" t="n">
        <x:v>-0.0285</x:v>
      </x:c>
      <x:c r="J846" s="12" t="n">
        <x:v>-0.0002845493220769424</x:v>
      </x:c>
      <x:c r="K846" s="12" t="n">
        <x:v>113031719</x:v>
      </x:c>
      <x:c r="L846" s="12" t="n">
        <x:v>177827413.709</x:v>
      </x:c>
      <x:c r="M846" s="12" t="str">
        <x:v>TuShare index_daily</x:v>
      </x:c>
    </x:row>
    <x:row r="847" ht="18" customHeight="1">
      <x:c r="A847" s="13" t="n">
        <x:v>43843</x:v>
      </x:c>
      <x:c r="B847" s="12" t="str">
        <x:v>000300.SH</x:v>
      </x:c>
      <x:c r="C847" s="12" t="n">
        <x:v>4166.9254</x:v>
      </x:c>
      <x:c r="D847" s="12" t="n">
        <x:v>4203.9883</x:v>
      </x:c>
      <x:c r="E847" s="12" t="n">
        <x:v>4148.6007</x:v>
      </x:c>
      <x:c r="F847" s="12" t="n">
        <x:v>4203.9883</x:v>
      </x:c>
      <x:c r="G847" s="12" t="n">
        <x:v>4163.1849</x:v>
      </x:c>
      <x:c r="H847" s="12" t="n">
        <x:v>40.8034</x:v>
      </x:c>
      <x:c r="I847" s="12" t="n">
        <x:v>0.9801</x:v>
      </x:c>
      <x:c r="J847" s="12" t="n">
        <x:v>0.0097532876352903</x:v>
      </x:c>
      <x:c r="K847" s="12" t="n">
        <x:v>119691982</x:v>
      </x:c>
      <x:c r="L847" s="12" t="n">
        <x:v>199795489.709</x:v>
      </x:c>
      <x:c r="M847" s="12" t="str">
        <x:v>TuShare index_daily</x:v>
      </x:c>
    </x:row>
    <x:row r="848" ht="18" customHeight="1">
      <x:c r="A848" s="13" t="n">
        <x:v>43844</x:v>
      </x:c>
      <x:c r="B848" s="12" t="str">
        <x:v>000300.SH</x:v>
      </x:c>
      <x:c r="C848" s="12" t="n">
        <x:v>4215.1578</x:v>
      </x:c>
      <x:c r="D848" s="12" t="n">
        <x:v>4223.5078</x:v>
      </x:c>
      <x:c r="E848" s="12" t="n">
        <x:v>4188.0809</x:v>
      </x:c>
      <x:c r="F848" s="12" t="n">
        <x:v>4189.8862</x:v>
      </x:c>
      <x:c r="G848" s="12" t="n">
        <x:v>4203.9883</x:v>
      </x:c>
      <x:c r="H848" s="12" t="n">
        <x:v>-14.1021</x:v>
      </x:c>
      <x:c r="I848" s="12" t="n">
        <x:v>-0.3354</x:v>
      </x:c>
      <x:c r="J848" s="12" t="n">
        <x:v>-0.003360096286408275</x:v>
      </x:c>
      <x:c r="K848" s="12" t="n">
        <x:v>129320783</x:v>
      </x:c>
      <x:c r="L848" s="12" t="n">
        <x:v>196221263.396</x:v>
      </x:c>
      <x:c r="M848" s="12" t="str">
        <x:v>TuShare index_daily</x:v>
      </x:c>
    </x:row>
    <x:row r="849" ht="18" customHeight="1">
      <x:c r="A849" s="13" t="n">
        <x:v>43845</x:v>
      </x:c>
      <x:c r="B849" s="12" t="str">
        <x:v>000300.SH</x:v>
      </x:c>
      <x:c r="C849" s="12" t="n">
        <x:v>4186.881</x:v>
      </x:c>
      <x:c r="D849" s="12" t="n">
        <x:v>4193.8686</x:v>
      </x:c>
      <x:c r="E849" s="12" t="n">
        <x:v>4150.8799</x:v>
      </x:c>
      <x:c r="F849" s="12" t="n">
        <x:v>4166.7344</x:v>
      </x:c>
      <x:c r="G849" s="12" t="n">
        <x:v>4189.8862</x:v>
      </x:c>
      <x:c r="H849" s="12" t="n">
        <x:v>-23.1518</x:v>
      </x:c>
      <x:c r="I849" s="12" t="n">
        <x:v>-0.5526</x:v>
      </x:c>
      <x:c r="J849" s="12" t="n">
        <x:v>-0.00554096215265634</x:v>
      </x:c>
      <x:c r="K849" s="12" t="n">
        <x:v>104633136</x:v>
      </x:c>
      <x:c r="L849" s="12" t="n">
        <x:v>163081930.622</x:v>
      </x:c>
      <x:c r="M849" s="12" t="str">
        <x:v>TuShare index_daily</x:v>
      </x:c>
    </x:row>
    <x:row r="850" ht="18" customHeight="1">
      <x:c r="A850" s="13" t="n">
        <x:v>43846</x:v>
      </x:c>
      <x:c r="B850" s="12" t="str">
        <x:v>000300.SH</x:v>
      </x:c>
      <x:c r="C850" s="12" t="n">
        <x:v>4174.8172</x:v>
      </x:c>
      <x:c r="D850" s="12" t="n">
        <x:v>4175.2938</x:v>
      </x:c>
      <x:c r="E850" s="12" t="n">
        <x:v>4142.1795</x:v>
      </x:c>
      <x:c r="F850" s="12" t="n">
        <x:v>4149.0434</x:v>
      </x:c>
      <x:c r="G850" s="12" t="n">
        <x:v>4166.7344</x:v>
      </x:c>
      <x:c r="H850" s="12" t="n">
        <x:v>-17.691</x:v>
      </x:c>
      <x:c r="I850" s="12" t="n">
        <x:v>-0.4246</x:v>
      </x:c>
      <x:c r="J850" s="12" t="n">
        <x:v>-0.004254809860104781</x:v>
      </x:c>
      <x:c r="K850" s="12" t="n">
        <x:v>100267642</x:v>
      </x:c>
      <x:c r="L850" s="12" t="n">
        <x:v>156242505.812</x:v>
      </x:c>
      <x:c r="M850" s="12" t="str">
        <x:v>TuShare index_daily</x:v>
      </x:c>
    </x:row>
    <x:row r="851" ht="18" customHeight="1">
      <x:c r="A851" s="13" t="n">
        <x:v>43847</x:v>
      </x:c>
      <x:c r="B851" s="12" t="str">
        <x:v>000300.SH</x:v>
      </x:c>
      <x:c r="C851" s="12" t="n">
        <x:v>4162.1939</x:v>
      </x:c>
      <x:c r="D851" s="12" t="n">
        <x:v>4177.0282</x:v>
      </x:c>
      <x:c r="E851" s="12" t="n">
        <x:v>4141.6448</x:v>
      </x:c>
      <x:c r="F851" s="12" t="n">
        <x:v>4154.853</x:v>
      </x:c>
      <x:c r="G851" s="12" t="n">
        <x:v>4149.0434</x:v>
      </x:c>
      <x:c r="H851" s="12" t="n">
        <x:v>5.8096</x:v>
      </x:c>
      <x:c r="I851" s="12" t="n">
        <x:v>0.14</x:v>
      </x:c>
      <x:c r="J851" s="12" t="n">
        <x:v>0.0013992469722722961</x:v>
      </x:c>
      <x:c r="K851" s="12" t="n">
        <x:v>98725682</x:v>
      </x:c>
      <x:c r="L851" s="12" t="n">
        <x:v>166591591.594</x:v>
      </x:c>
      <x:c r="M851" s="12" t="str">
        <x:v>TuShare index_daily</x:v>
      </x:c>
    </x:row>
    <x:row r="852" ht="18" customHeight="1">
      <x:c r="A852" s="13" t="n">
        <x:v>43850</x:v>
      </x:c>
      <x:c r="B852" s="12" t="str">
        <x:v>000300.SH</x:v>
      </x:c>
      <x:c r="C852" s="12" t="n">
        <x:v>4170.7365</x:v>
      </x:c>
      <x:c r="D852" s="12" t="n">
        <x:v>4185.9629</x:v>
      </x:c>
      <x:c r="E852" s="12" t="n">
        <x:v>4149.4879</x:v>
      </x:c>
      <x:c r="F852" s="12" t="n">
        <x:v>4185.8304</x:v>
      </x:c>
      <x:c r="G852" s="12" t="n">
        <x:v>4154.853</x:v>
      </x:c>
      <x:c r="H852" s="12" t="n">
        <x:v>30.9774</x:v>
      </x:c>
      <x:c r="I852" s="12" t="n">
        <x:v>0.7456</x:v>
      </x:c>
      <x:c r="J852" s="12" t="n">
        <x:v>0.007428058577093128</x:v>
      </x:c>
      <x:c r="K852" s="12" t="n">
        <x:v>122409147</x:v>
      </x:c>
      <x:c r="L852" s="12" t="n">
        <x:v>202692287.442</x:v>
      </x:c>
      <x:c r="M852" s="12" t="str">
        <x:v>TuShare index_daily</x:v>
      </x:c>
    </x:row>
    <x:row r="853" ht="18" customHeight="1">
      <x:c r="A853" s="13" t="n">
        <x:v>43851</x:v>
      </x:c>
      <x:c r="B853" s="12" t="str">
        <x:v>000300.SH</x:v>
      </x:c>
      <x:c r="C853" s="12" t="n">
        <x:v>4165.0203</x:v>
      </x:c>
      <x:c r="D853" s="12" t="n">
        <x:v>4165.0203</x:v>
      </x:c>
      <x:c r="E853" s="12" t="n">
        <x:v>4113.3251</x:v>
      </x:c>
      <x:c r="F853" s="12" t="n">
        <x:v>4114.3085</x:v>
      </x:c>
      <x:c r="G853" s="12" t="n">
        <x:v>4185.8304</x:v>
      </x:c>
      <x:c r="H853" s="12" t="n">
        <x:v>-71.5219</x:v>
      </x:c>
      <x:c r="I853" s="12" t="n">
        <x:v>-1.7087</x:v>
      </x:c>
      <x:c r="J853" s="12" t="n">
        <x:v>-0.017234330931583355</x:v>
      </x:c>
      <x:c r="K853" s="12" t="n">
        <x:v>130527507</x:v>
      </x:c>
      <x:c r="L853" s="12" t="n">
        <x:v>204586880.494</x:v>
      </x:c>
      <x:c r="M853" s="12" t="str">
        <x:v>TuShare index_daily</x:v>
      </x:c>
    </x:row>
    <x:row r="854" ht="18" customHeight="1">
      <x:c r="A854" s="13" t="n">
        <x:v>43852</x:v>
      </x:c>
      <x:c r="B854" s="12" t="str">
        <x:v>000300.SH</x:v>
      </x:c>
      <x:c r="C854" s="12" t="n">
        <x:v>4093.8009</x:v>
      </x:c>
      <x:c r="D854" s="12" t="n">
        <x:v>4141.1772</x:v>
      </x:c>
      <x:c r="E854" s="12" t="n">
        <x:v>4046.4866</x:v>
      </x:c>
      <x:c r="F854" s="12" t="n">
        <x:v>4131.9311</x:v>
      </x:c>
      <x:c r="G854" s="12" t="n">
        <x:v>4114.3085</x:v>
      </x:c>
      <x:c r="H854" s="12" t="n">
        <x:v>17.6226</x:v>
      </x:c>
      <x:c r="I854" s="12" t="n">
        <x:v>0.4283</x:v>
      </x:c>
      <x:c r="J854" s="12" t="n">
        <x:v>0.0042741001188863715</x:v>
      </x:c>
      <x:c r="K854" s="12" t="n">
        <x:v>126758763</x:v>
      </x:c>
      <x:c r="L854" s="12" t="n">
        <x:v>208136150.792</x:v>
      </x:c>
      <x:c r="M854" s="12" t="str">
        <x:v>TuShare index_daily</x:v>
      </x:c>
    </x:row>
    <x:row r="855" ht="18" customHeight="1">
      <x:c r="A855" s="13" t="n">
        <x:v>43853</x:v>
      </x:c>
      <x:c r="B855" s="12" t="str">
        <x:v>000300.SH</x:v>
      </x:c>
      <x:c r="C855" s="12" t="n">
        <x:v>4093.3229</x:v>
      </x:c>
      <x:c r="D855" s="12" t="n">
        <x:v>4103.5244</x:v>
      </x:c>
      <x:c r="E855" s="12" t="n">
        <x:v>3972.3933</x:v>
      </x:c>
      <x:c r="F855" s="12" t="n">
        <x:v>4003.9013</x:v>
      </x:c>
      <x:c r="G855" s="12" t="n">
        <x:v>4131.9311</x:v>
      </x:c>
      <x:c r="H855" s="12" t="n">
        <x:v>-128.0298</x:v>
      </x:c>
      <x:c r="I855" s="12" t="n">
        <x:v>-3.0985</x:v>
      </x:c>
      <x:c r="J855" s="12" t="n">
        <x:v>-0.03147566558508316</x:v>
      </x:c>
      <x:c r="K855" s="12" t="n">
        <x:v>160357603</x:v>
      </x:c>
      <x:c r="L855" s="12" t="n">
        <x:v>250409357.701</x:v>
      </x:c>
      <x:c r="M855" s="12" t="str">
        <x:v>TuShare index_daily</x:v>
      </x:c>
    </x:row>
    <x:row r="856" ht="18" customHeight="1">
      <x:c r="A856" s="13" t="n">
        <x:v>43864</x:v>
      </x:c>
      <x:c r="B856" s="12" t="str">
        <x:v>000300.SH</x:v>
      </x:c>
      <x:c r="C856" s="12" t="n">
        <x:v>3639.9089</x:v>
      </x:c>
      <x:c r="D856" s="12" t="n">
        <x:v>3732.1572</x:v>
      </x:c>
      <x:c r="E856" s="12" t="n">
        <x:v>3639.9089</x:v>
      </x:c>
      <x:c r="F856" s="12" t="n">
        <x:v>3688.3578</x:v>
      </x:c>
      <x:c r="G856" s="12" t="n">
        <x:v>4003.9013</x:v>
      </x:c>
      <x:c r="H856" s="12" t="n">
        <x:v>-315.5435</x:v>
      </x:c>
      <x:c r="I856" s="12" t="n">
        <x:v>-7.8809</x:v>
      </x:c>
      <x:c r="J856" s="12" t="n">
        <x:v>-0.08208789245745143</x:v>
      </x:c>
      <x:c r="K856" s="12" t="n">
        <x:v>157559647</x:v>
      </x:c>
      <x:c r="L856" s="12" t="n">
        <x:v>243303105.386</x:v>
      </x:c>
      <x:c r="M856" s="12" t="str">
        <x:v>TuShare index_daily</x:v>
      </x:c>
    </x:row>
    <x:row r="857" ht="18" customHeight="1">
      <x:c r="A857" s="13" t="n">
        <x:v>43865</x:v>
      </x:c>
      <x:c r="B857" s="12" t="str">
        <x:v>000300.SH</x:v>
      </x:c>
      <x:c r="C857" s="12" t="n">
        <x:v>3652.0035</x:v>
      </x:c>
      <x:c r="D857" s="12" t="n">
        <x:v>3786.8629</x:v>
      </x:c>
      <x:c r="E857" s="12" t="n">
        <x:v>3652.0035</x:v>
      </x:c>
      <x:c r="F857" s="12" t="n">
        <x:v>3785.6376</x:v>
      </x:c>
      <x:c r="G857" s="12" t="n">
        <x:v>3688.3578</x:v>
      </x:c>
      <x:c r="H857" s="12" t="n">
        <x:v>97.2798</x:v>
      </x:c>
      <x:c r="I857" s="12" t="n">
        <x:v>2.6375</x:v>
      </x:c>
      <x:c r="J857" s="12" t="n">
        <x:v>0.026033008785874372</x:v>
      </x:c>
      <x:c r="K857" s="12" t="n">
        <x:v>213933328</x:v>
      </x:c>
      <x:c r="L857" s="12" t="n">
        <x:v>298165767.621</x:v>
      </x:c>
      <x:c r="M857" s="12" t="str">
        <x:v>TuShare index_daily</x:v>
      </x:c>
    </x:row>
    <x:row r="858" ht="18" customHeight="1">
      <x:c r="A858" s="13" t="n">
        <x:v>43866</x:v>
      </x:c>
      <x:c r="B858" s="12" t="str">
        <x:v>000300.SH</x:v>
      </x:c>
      <x:c r="C858" s="12" t="n">
        <x:v>3801.099</x:v>
      </x:c>
      <x:c r="D858" s="12" t="n">
        <x:v>3866.0108</x:v>
      </x:c>
      <x:c r="E858" s="12" t="n">
        <x:v>3781.613</x:v>
      </x:c>
      <x:c r="F858" s="12" t="n">
        <x:v>3828.5272</x:v>
      </x:c>
      <x:c r="G858" s="12" t="n">
        <x:v>3785.6376</x:v>
      </x:c>
      <x:c r="H858" s="12" t="n">
        <x:v>42.8896</x:v>
      </x:c>
      <x:c r="I858" s="12" t="n">
        <x:v>1.133</x:v>
      </x:c>
      <x:c r="J858" s="12" t="n">
        <x:v>0.01126585902804228</x:v>
      </x:c>
      <x:c r="K858" s="12" t="n">
        <x:v>174925524</x:v>
      </x:c>
      <x:c r="L858" s="12" t="n">
        <x:v>264042920.866</x:v>
      </x:c>
      <x:c r="M858" s="12" t="str">
        <x:v>TuShare index_daily</x:v>
      </x:c>
    </x:row>
    <x:row r="859" ht="18" customHeight="1">
      <x:c r="A859" s="13" t="n">
        <x:v>43867</x:v>
      </x:c>
      <x:c r="B859" s="12" t="str">
        <x:v>000300.SH</x:v>
      </x:c>
      <x:c r="C859" s="12" t="n">
        <x:v>3841.7537</x:v>
      </x:c>
      <x:c r="D859" s="12" t="n">
        <x:v>3914.915</x:v>
      </x:c>
      <x:c r="E859" s="12" t="n">
        <x:v>3806.9601</x:v>
      </x:c>
      <x:c r="F859" s="12" t="n">
        <x:v>3899.7751</x:v>
      </x:c>
      <x:c r="G859" s="12" t="n">
        <x:v>3828.5272</x:v>
      </x:c>
      <x:c r="H859" s="12" t="n">
        <x:v>71.2479</x:v>
      </x:c>
      <x:c r="I859" s="12" t="n">
        <x:v>1.861</x:v>
      </x:c>
      <x:c r="J859" s="12" t="n">
        <x:v>0.018438698650183886</x:v>
      </x:c>
      <x:c r="K859" s="12" t="n">
        <x:v>176462235</x:v>
      </x:c>
      <x:c r="L859" s="12" t="n">
        <x:v>262820088.452</x:v>
      </x:c>
      <x:c r="M859" s="12" t="str">
        <x:v>TuShare index_daily</x:v>
      </x:c>
    </x:row>
    <x:row r="860" ht="18" customHeight="1">
      <x:c r="A860" s="13" t="n">
        <x:v>43868</x:v>
      </x:c>
      <x:c r="B860" s="12" t="str">
        <x:v>000300.SH</x:v>
      </x:c>
      <x:c r="C860" s="12" t="n">
        <x:v>3879.5531</x:v>
      </x:c>
      <x:c r="D860" s="12" t="n">
        <x:v>3899.8837</x:v>
      </x:c>
      <x:c r="E860" s="12" t="n">
        <x:v>3849.7127</x:v>
      </x:c>
      <x:c r="F860" s="12" t="n">
        <x:v>3899.8693</x:v>
      </x:c>
      <x:c r="G860" s="12" t="n">
        <x:v>3899.7751</x:v>
      </x:c>
      <x:c r="H860" s="12" t="n">
        <x:v>0.0942</x:v>
      </x:c>
      <x:c r="I860" s="12" t="n">
        <x:v>0.0024</x:v>
      </x:c>
      <x:c r="J860" s="12" t="n">
        <x:v>0.000024154947372948227</x:v>
      </x:c>
      <x:c r="K860" s="12" t="n">
        <x:v>151731759</x:v>
      </x:c>
      <x:c r="L860" s="12" t="n">
        <x:v>237508816.256</x:v>
      </x:c>
      <x:c r="M860" s="12" t="str">
        <x:v>TuShare index_daily</x:v>
      </x:c>
    </x:row>
    <x:row r="861" ht="18" customHeight="1">
      <x:c r="A861" s="13" t="n">
        <x:v>43871</x:v>
      </x:c>
      <x:c r="B861" s="12" t="str">
        <x:v>000300.SH</x:v>
      </x:c>
      <x:c r="C861" s="12" t="n">
        <x:v>3872.3738</x:v>
      </x:c>
      <x:c r="D861" s="12" t="n">
        <x:v>3920.1667</x:v>
      </x:c>
      <x:c r="E861" s="12" t="n">
        <x:v>3861.0066</x:v>
      </x:c>
      <x:c r="F861" s="12" t="n">
        <x:v>3916.0052</x:v>
      </x:c>
      <x:c r="G861" s="12" t="n">
        <x:v>3899.8693</x:v>
      </x:c>
      <x:c r="H861" s="12" t="n">
        <x:v>16.1359</x:v>
      </x:c>
      <x:c r="I861" s="12" t="n">
        <x:v>0.4138</x:v>
      </x:c>
      <x:c r="J861" s="12" t="n">
        <x:v>0.00412901279945909</x:v>
      </x:c>
      <x:c r="K861" s="12" t="n">
        <x:v>148406969</x:v>
      </x:c>
      <x:c r="L861" s="12" t="n">
        <x:v>229625441.896</x:v>
      </x:c>
      <x:c r="M861" s="12" t="str">
        <x:v>TuShare index_daily</x:v>
      </x:c>
    </x:row>
    <x:row r="862" ht="18" customHeight="1">
      <x:c r="A862" s="13" t="n">
        <x:v>43872</x:v>
      </x:c>
      <x:c r="B862" s="12" t="str">
        <x:v>000300.SH</x:v>
      </x:c>
      <x:c r="C862" s="12" t="n">
        <x:v>3926.4204</x:v>
      </x:c>
      <x:c r="D862" s="12" t="n">
        <x:v>3970.5221</x:v>
      </x:c>
      <x:c r="E862" s="12" t="n">
        <x:v>3915.7077</x:v>
      </x:c>
      <x:c r="F862" s="12" t="n">
        <x:v>3952.4643</x:v>
      </x:c>
      <x:c r="G862" s="12" t="n">
        <x:v>3916.0052</x:v>
      </x:c>
      <x:c r="H862" s="12" t="n">
        <x:v>36.4591</x:v>
      </x:c>
      <x:c r="I862" s="12" t="n">
        <x:v>0.931</x:v>
      </x:c>
      <x:c r="J862" s="12" t="n">
        <x:v>0.009267205249654655</x:v>
      </x:c>
      <x:c r="K862" s="12" t="n">
        <x:v>143441674</x:v>
      </x:c>
      <x:c r="L862" s="12" t="n">
        <x:v>219307119.361</x:v>
      </x:c>
      <x:c r="M862" s="12" t="str">
        <x:v>TuShare index_daily</x:v>
      </x:c>
    </x:row>
    <x:row r="863" ht="18" customHeight="1">
      <x:c r="A863" s="13" t="n">
        <x:v>43873</x:v>
      </x:c>
      <x:c r="B863" s="12" t="str">
        <x:v>000300.SH</x:v>
      </x:c>
      <x:c r="C863" s="12" t="n">
        <x:v>3945.6663</x:v>
      </x:c>
      <x:c r="D863" s="12" t="n">
        <x:v>3984.4325</x:v>
      </x:c>
      <x:c r="E863" s="12" t="n">
        <x:v>3940.6667</x:v>
      </x:c>
      <x:c r="F863" s="12" t="n">
        <x:v>3984.4325</x:v>
      </x:c>
      <x:c r="G863" s="12" t="n">
        <x:v>3952.4643</x:v>
      </x:c>
      <x:c r="H863" s="12" t="n">
        <x:v>31.9682</x:v>
      </x:c>
      <x:c r="I863" s="12" t="n">
        <x:v>0.8088</x:v>
      </x:c>
      <x:c r="J863" s="12" t="n">
        <x:v>0.008055635264537581</x:v>
      </x:c>
      <x:c r="K863" s="12" t="n">
        <x:v>126710321</x:v>
      </x:c>
      <x:c r="L863" s="12" t="n">
        <x:v>200776706.55</x:v>
      </x:c>
      <x:c r="M863" s="12" t="str">
        <x:v>TuShare index_daily</x:v>
      </x:c>
    </x:row>
    <x:row r="864" ht="18" customHeight="1">
      <x:c r="A864" s="13" t="n">
        <x:v>43874</x:v>
      </x:c>
      <x:c r="B864" s="12" t="str">
        <x:v>000300.SH</x:v>
      </x:c>
      <x:c r="C864" s="12" t="n">
        <x:v>3985.8757</x:v>
      </x:c>
      <x:c r="D864" s="12" t="n">
        <x:v>3999.5495</x:v>
      </x:c>
      <x:c r="E864" s="12" t="n">
        <x:v>3950.1422</x:v>
      </x:c>
      <x:c r="F864" s="12" t="n">
        <x:v>3959.9188</x:v>
      </x:c>
      <x:c r="G864" s="12" t="n">
        <x:v>3984.4325</x:v>
      </x:c>
      <x:c r="H864" s="12" t="n">
        <x:v>-24.5137</x:v>
      </x:c>
      <x:c r="I864" s="12" t="n">
        <x:v>-0.6152</x:v>
      </x:c>
      <x:c r="J864" s="12" t="n">
        <x:v>-0.0061713730615193555</x:v>
      </x:c>
      <x:c r="K864" s="12" t="n">
        <x:v>145001843</x:v>
      </x:c>
      <x:c r="L864" s="12" t="n">
        <x:v>228605964.793</x:v>
      </x:c>
      <x:c r="M864" s="12" t="str">
        <x:v>TuShare index_daily</x:v>
      </x:c>
    </x:row>
    <x:row r="865" ht="18" customHeight="1">
      <x:c r="A865" s="13" t="n">
        <x:v>43875</x:v>
      </x:c>
      <x:c r="B865" s="12" t="str">
        <x:v>000300.SH</x:v>
      </x:c>
      <x:c r="C865" s="12" t="n">
        <x:v>3954.234</x:v>
      </x:c>
      <x:c r="D865" s="12" t="n">
        <x:v>4001.5627</x:v>
      </x:c>
      <x:c r="E865" s="12" t="n">
        <x:v>3954.0233</x:v>
      </x:c>
      <x:c r="F865" s="12" t="n">
        <x:v>3987.7342</x:v>
      </x:c>
      <x:c r="G865" s="12" t="n">
        <x:v>3959.9188</x:v>
      </x:c>
      <x:c r="H865" s="12" t="n">
        <x:v>27.8154</x:v>
      </x:c>
      <x:c r="I865" s="12" t="n">
        <x:v>0.7024</x:v>
      </x:c>
      <x:c r="J865" s="12" t="n">
        <x:v>0.006999679922883055</x:v>
      </x:c>
      <x:c r="K865" s="12" t="n">
        <x:v>143239803</x:v>
      </x:c>
      <x:c r="L865" s="12" t="n">
        <x:v>222895073.625</x:v>
      </x:c>
      <x:c r="M865" s="12" t="str">
        <x:v>TuShare index_daily</x:v>
      </x:c>
    </x:row>
    <x:row r="866" ht="18" customHeight="1">
      <x:c r="A866" s="13" t="n">
        <x:v>43878</x:v>
      </x:c>
      <x:c r="B866" s="12" t="str">
        <x:v>000300.SH</x:v>
      </x:c>
      <x:c r="C866" s="12" t="n">
        <x:v>3999.6511</x:v>
      </x:c>
      <x:c r="D866" s="12" t="n">
        <x:v>4077.4464</x:v>
      </x:c>
      <x:c r="E866" s="12" t="n">
        <x:v>3999.6511</x:v>
      </x:c>
      <x:c r="F866" s="12" t="n">
        <x:v>4077.4241</x:v>
      </x:c>
      <x:c r="G866" s="12" t="n">
        <x:v>3987.7342</x:v>
      </x:c>
      <x:c r="H866" s="12" t="n">
        <x:v>89.6899</x:v>
      </x:c>
      <x:c r="I866" s="12" t="n">
        <x:v>2.2491</x:v>
      </x:c>
      <x:c r="J866" s="12" t="n">
        <x:v>0.022242241064220722</x:v>
      </x:c>
      <x:c r="K866" s="12" t="n">
        <x:v>182778969</x:v>
      </x:c>
      <x:c r="L866" s="12" t="n">
        <x:v>273067817.278</x:v>
      </x:c>
      <x:c r="M866" s="12" t="str">
        <x:v>TuShare index_daily</x:v>
      </x:c>
    </x:row>
    <x:row r="867" ht="18" customHeight="1">
      <x:c r="A867" s="13" t="n">
        <x:v>43879</x:v>
      </x:c>
      <x:c r="B867" s="12" t="str">
        <x:v>000300.SH</x:v>
      </x:c>
      <x:c r="C867" s="12" t="n">
        <x:v>4069.8315</x:v>
      </x:c>
      <x:c r="D867" s="12" t="n">
        <x:v>4076.388</x:v>
      </x:c>
      <x:c r="E867" s="12" t="n">
        <x:v>4027.7859</x:v>
      </x:c>
      <x:c r="F867" s="12" t="n">
        <x:v>4057.5108</x:v>
      </x:c>
      <x:c r="G867" s="12" t="n">
        <x:v>4077.4241</x:v>
      </x:c>
      <x:c r="H867" s="12" t="n">
        <x:v>-19.9133</x:v>
      </x:c>
      <x:c r="I867" s="12" t="n">
        <x:v>-0.4884</x:v>
      </x:c>
      <x:c r="J867" s="12" t="n">
        <x:v>-0.004895758852166483</x:v>
      </x:c>
      <x:c r="K867" s="12" t="n">
        <x:v>163236220</x:v>
      </x:c>
      <x:c r="L867" s="12" t="n">
        <x:v>242552517.334</x:v>
      </x:c>
      <x:c r="M867" s="12" t="str">
        <x:v>TuShare index_daily</x:v>
      </x:c>
    </x:row>
    <x:row r="868" ht="18" customHeight="1">
      <x:c r="A868" s="13" t="n">
        <x:v>43880</x:v>
      </x:c>
      <x:c r="B868" s="12" t="str">
        <x:v>000300.SH</x:v>
      </x:c>
      <x:c r="C868" s="12" t="n">
        <x:v>4049.5862</x:v>
      </x:c>
      <x:c r="D868" s="12" t="n">
        <x:v>4085.1704</x:v>
      </x:c>
      <x:c r="E868" s="12" t="n">
        <x:v>4042.8451</x:v>
      </x:c>
      <x:c r="F868" s="12" t="n">
        <x:v>4051.3107</x:v>
      </x:c>
      <x:c r="G868" s="12" t="n">
        <x:v>4057.5108</x:v>
      </x:c>
      <x:c r="H868" s="12" t="n">
        <x:v>-6.2001</x:v>
      </x:c>
      <x:c r="I868" s="12" t="n">
        <x:v>-0.1528</x:v>
      </x:c>
      <x:c r="J868" s="12" t="n">
        <x:v>-0.0015292237492852212</x:v>
      </x:c>
      <x:c r="K868" s="12" t="n">
        <x:v>169046441</x:v>
      </x:c>
      <x:c r="L868" s="12" t="n">
        <x:v>257554535.73</x:v>
      </x:c>
      <x:c r="M868" s="12" t="str">
        <x:v>TuShare index_daily</x:v>
      </x:c>
    </x:row>
    <x:row r="869" ht="18" customHeight="1">
      <x:c r="A869" s="13" t="n">
        <x:v>43881</x:v>
      </x:c>
      <x:c r="B869" s="12" t="str">
        <x:v>000300.SH</x:v>
      </x:c>
      <x:c r="C869" s="12" t="n">
        <x:v>4062.8968</x:v>
      </x:c>
      <x:c r="D869" s="12" t="n">
        <x:v>4148.5287</x:v>
      </x:c>
      <x:c r="E869" s="12" t="n">
        <x:v>4055.8105</x:v>
      </x:c>
      <x:c r="F869" s="12" t="n">
        <x:v>4144.6561</x:v>
      </x:c>
      <x:c r="G869" s="12" t="n">
        <x:v>4051.3107</x:v>
      </x:c>
      <x:c r="H869" s="12" t="n">
        <x:v>93.3454</x:v>
      </x:c>
      <x:c r="I869" s="12" t="n">
        <x:v>2.3041</x:v>
      </x:c>
      <x:c r="J869" s="12" t="n">
        <x:v>0.02277935932332665</x:v>
      </x:c>
      <x:c r="K869" s="12" t="n">
        <x:v>212232624</x:v>
      </x:c>
      <x:c r="L869" s="12" t="n">
        <x:v>310835589.162</x:v>
      </x:c>
      <x:c r="M869" s="12" t="str">
        <x:v>TuShare index_daily</x:v>
      </x:c>
    </x:row>
    <x:row r="870" ht="18" customHeight="1">
      <x:c r="A870" s="13" t="n">
        <x:v>43882</x:v>
      </x:c>
      <x:c r="B870" s="12" t="str">
        <x:v>000300.SH</x:v>
      </x:c>
      <x:c r="C870" s="12" t="n">
        <x:v>4134.8747</x:v>
      </x:c>
      <x:c r="D870" s="12" t="n">
        <x:v>4184.4379</x:v>
      </x:c>
      <x:c r="E870" s="12" t="n">
        <x:v>4130.1677</x:v>
      </x:c>
      <x:c r="F870" s="12" t="n">
        <x:v>4149.4903</x:v>
      </x:c>
      <x:c r="G870" s="12" t="n">
        <x:v>4144.6561</x:v>
      </x:c>
      <x:c r="H870" s="12" t="n">
        <x:v>4.8342</x:v>
      </x:c>
      <x:c r="I870" s="12" t="n">
        <x:v>0.1166</x:v>
      </x:c>
      <x:c r="J870" s="12" t="n">
        <x:v>0.0011656897079620984</x:v>
      </x:c>
      <x:c r="K870" s="12" t="n">
        <x:v>217213604</x:v>
      </x:c>
      <x:c r="L870" s="12" t="n">
        <x:v>326564003.559</x:v>
      </x:c>
      <x:c r="M870" s="12" t="str">
        <x:v>TuShare index_daily</x:v>
      </x:c>
    </x:row>
    <x:row r="871" ht="18" customHeight="1">
      <x:c r="A871" s="13" t="n">
        <x:v>43885</x:v>
      </x:c>
      <x:c r="B871" s="12" t="str">
        <x:v>000300.SH</x:v>
      </x:c>
      <x:c r="C871" s="12" t="n">
        <x:v>4131.8364</x:v>
      </x:c>
      <x:c r="D871" s="12" t="n">
        <x:v>4149.0102</x:v>
      </x:c>
      <x:c r="E871" s="12" t="n">
        <x:v>4097.1753</x:v>
      </x:c>
      <x:c r="F871" s="12" t="n">
        <x:v>4132.8388</x:v>
      </x:c>
      <x:c r="G871" s="12" t="n">
        <x:v>4149.4903</x:v>
      </x:c>
      <x:c r="H871" s="12" t="n">
        <x:v>-16.6515</x:v>
      </x:c>
      <x:c r="I871" s="12" t="n">
        <x:v>-0.4013</x:v>
      </x:c>
      <x:c r="J871" s="12" t="n">
        <x:v>-0.0040209757990555175</x:v>
      </x:c>
      <x:c r="K871" s="12" t="n">
        <x:v>212869303</x:v>
      </x:c>
      <x:c r="L871" s="12" t="n">
        <x:v>326387800.606</x:v>
      </x:c>
      <x:c r="M871" s="12" t="str">
        <x:v>TuShare index_daily</x:v>
      </x:c>
    </x:row>
    <x:row r="872" ht="18" customHeight="1">
      <x:c r="A872" s="13" t="n">
        <x:v>43886</x:v>
      </x:c>
      <x:c r="B872" s="12" t="str">
        <x:v>000300.SH</x:v>
      </x:c>
      <x:c r="C872" s="12" t="n">
        <x:v>4066.302</x:v>
      </x:c>
      <x:c r="D872" s="12" t="n">
        <x:v>4126.7075</x:v>
      </x:c>
      <x:c r="E872" s="12" t="n">
        <x:v>4020.9075</x:v>
      </x:c>
      <x:c r="F872" s="12" t="n">
        <x:v>4123.8543</x:v>
      </x:c>
      <x:c r="G872" s="12" t="n">
        <x:v>4132.8388</x:v>
      </x:c>
      <x:c r="H872" s="12" t="n">
        <x:v>-8.9845</x:v>
      </x:c>
      <x:c r="I872" s="12" t="n">
        <x:v>-0.2174</x:v>
      </x:c>
      <x:c r="J872" s="12" t="n">
        <x:v>-0.0021762958698513814</x:v>
      </x:c>
      <x:c r="K872" s="12" t="n">
        <x:v>244167831</x:v>
      </x:c>
      <x:c r="L872" s="12" t="n">
        <x:v>372213717.03</x:v>
      </x:c>
      <x:c r="M872" s="12" t="str">
        <x:v>TuShare index_daily</x:v>
      </x:c>
    </x:row>
    <x:row r="873" ht="18" customHeight="1">
      <x:c r="A873" s="13" t="n">
        <x:v>43887</x:v>
      </x:c>
      <x:c r="B873" s="12" t="str">
        <x:v>000300.SH</x:v>
      </x:c>
      <x:c r="C873" s="12" t="n">
        <x:v>4070.0994</x:v>
      </x:c>
      <x:c r="D873" s="12" t="n">
        <x:v>4132.7817</x:v>
      </x:c>
      <x:c r="E873" s="12" t="n">
        <x:v>4061.125</x:v>
      </x:c>
      <x:c r="F873" s="12" t="n">
        <x:v>4073.0152</x:v>
      </x:c>
      <x:c r="G873" s="12" t="n">
        <x:v>4123.8543</x:v>
      </x:c>
      <x:c r="H873" s="12" t="n">
        <x:v>-50.8391</x:v>
      </x:c>
      <x:c r="I873" s="12" t="n">
        <x:v>-1.2328</x:v>
      </x:c>
      <x:c r="J873" s="12" t="n">
        <x:v>-0.012404675201421004</x:v>
      </x:c>
      <x:c r="K873" s="12" t="n">
        <x:v>261094061</x:v>
      </x:c>
      <x:c r="L873" s="12" t="n">
        <x:v>366022417.907</x:v>
      </x:c>
      <x:c r="M873" s="12" t="str">
        <x:v>TuShare index_daily</x:v>
      </x:c>
    </x:row>
    <x:row r="874" ht="18" customHeight="1">
      <x:c r="A874" s="13" t="n">
        <x:v>43888</x:v>
      </x:c>
      <x:c r="B874" s="12" t="str">
        <x:v>000300.SH</x:v>
      </x:c>
      <x:c r="C874" s="12" t="n">
        <x:v>4084.0782</x:v>
      </x:c>
      <x:c r="D874" s="12" t="n">
        <x:v>4110.5275</x:v>
      </x:c>
      <x:c r="E874" s="12" t="n">
        <x:v>4067.4408</x:v>
      </x:c>
      <x:c r="F874" s="12" t="n">
        <x:v>4084.8759</x:v>
      </x:c>
      <x:c r="G874" s="12" t="n">
        <x:v>4073.0152</x:v>
      </x:c>
      <x:c r="H874" s="12" t="n">
        <x:v>11.8607</x:v>
      </x:c>
      <x:c r="I874" s="12" t="n">
        <x:v>0.2912</x:v>
      </x:c>
      <x:c r="J874" s="12" t="n">
        <x:v>0.002907787861271764</x:v>
      </x:c>
      <x:c r="K874" s="12" t="n">
        <x:v>181290981</x:v>
      </x:c>
      <x:c r="L874" s="12" t="n">
        <x:v>282050206.371</x:v>
      </x:c>
      <x:c r="M874" s="12" t="str">
        <x:v>TuShare index_daily</x:v>
      </x:c>
    </x:row>
    <x:row r="875" ht="18" customHeight="1">
      <x:c r="A875" s="13" t="n">
        <x:v>43889</x:v>
      </x:c>
      <x:c r="B875" s="12" t="str">
        <x:v>000300.SH</x:v>
      </x:c>
      <x:c r="C875" s="12" t="n">
        <x:v>3988.7274</x:v>
      </x:c>
      <x:c r="D875" s="12" t="n">
        <x:v>4031.1453</x:v>
      </x:c>
      <x:c r="E875" s="12" t="n">
        <x:v>3928.0663</x:v>
      </x:c>
      <x:c r="F875" s="12" t="n">
        <x:v>3940.0488</x:v>
      </x:c>
      <x:c r="G875" s="12" t="n">
        <x:v>4084.8759</x:v>
      </x:c>
      <x:c r="H875" s="12" t="n">
        <x:v>-144.8271</x:v>
      </x:c>
      <x:c r="I875" s="12" t="n">
        <x:v>-3.5454</x:v>
      </x:c>
      <x:c r="J875" s="12" t="n">
        <x:v>-0.036098239393596</x:v>
      </x:c>
      <x:c r="K875" s="12" t="n">
        <x:v>230275093</x:v>
      </x:c>
      <x:c r="L875" s="12" t="n">
        <x:v>330358907.266</x:v>
      </x:c>
      <x:c r="M875" s="12" t="str">
        <x:v>TuShare index_daily</x:v>
      </x:c>
    </x:row>
    <x:row r="876" ht="18" customHeight="1">
      <x:c r="A876" s="13" t="n">
        <x:v>43892</x:v>
      </x:c>
      <x:c r="B876" s="12" t="str">
        <x:v>000300.SH</x:v>
      </x:c>
      <x:c r="C876" s="12" t="n">
        <x:v>3968.8435</x:v>
      </x:c>
      <x:c r="D876" s="12" t="n">
        <x:v>4092.5394</x:v>
      </x:c>
      <x:c r="E876" s="12" t="n">
        <x:v>3968.8435</x:v>
      </x:c>
      <x:c r="F876" s="12" t="n">
        <x:v>4069.6662</x:v>
      </x:c>
      <x:c r="G876" s="12" t="n">
        <x:v>3940.0488</x:v>
      </x:c>
      <x:c r="H876" s="12" t="n">
        <x:v>129.6174</x:v>
      </x:c>
      <x:c r="I876" s="12" t="n">
        <x:v>3.2897</x:v>
      </x:c>
      <x:c r="J876" s="12" t="n">
        <x:v>0.03236787232915487</x:v>
      </x:c>
      <x:c r="K876" s="12" t="n">
        <x:v>219313559</x:v>
      </x:c>
      <x:c r="L876" s="12" t="n">
        <x:v>317426205.457</x:v>
      </x:c>
      <x:c r="M876" s="12" t="str">
        <x:v>TuShare index_daily</x:v>
      </x:c>
    </x:row>
    <x:row r="877" ht="18" customHeight="1">
      <x:c r="A877" s="13" t="n">
        <x:v>43893</x:v>
      </x:c>
      <x:c r="B877" s="12" t="str">
        <x:v>000300.SH</x:v>
      </x:c>
      <x:c r="C877" s="12" t="n">
        <x:v>4125.1356</x:v>
      </x:c>
      <x:c r="D877" s="12" t="n">
        <x:v>4147.6525</x:v>
      </x:c>
      <x:c r="E877" s="12" t="n">
        <x:v>4067.9094</x:v>
      </x:c>
      <x:c r="F877" s="12" t="n">
        <x:v>4091.3615</x:v>
      </x:c>
      <x:c r="G877" s="12" t="n">
        <x:v>4069.6662</x:v>
      </x:c>
      <x:c r="H877" s="12" t="n">
        <x:v>21.6953</x:v>
      </x:c>
      <x:c r="I877" s="12" t="n">
        <x:v>0.5331</x:v>
      </x:c>
      <x:c r="J877" s="12" t="n">
        <x:v>0.0053168183972415635</x:v>
      </x:c>
      <x:c r="K877" s="12" t="n">
        <x:v>219369777</x:v>
      </x:c>
      <x:c r="L877" s="12" t="n">
        <x:v>330802584.619</x:v>
      </x:c>
      <x:c r="M877" s="12" t="str">
        <x:v>TuShare index_daily</x:v>
      </x:c>
    </x:row>
    <x:row r="878" ht="18" customHeight="1">
      <x:c r="A878" s="13" t="n">
        <x:v>43894</x:v>
      </x:c>
      <x:c r="B878" s="12" t="str">
        <x:v>000300.SH</x:v>
      </x:c>
      <x:c r="C878" s="12" t="n">
        <x:v>4078.4998</x:v>
      </x:c>
      <x:c r="D878" s="12" t="n">
        <x:v>4115.2618</x:v>
      </x:c>
      <x:c r="E878" s="12" t="n">
        <x:v>4060.729</x:v>
      </x:c>
      <x:c r="F878" s="12" t="n">
        <x:v>4115.0524</x:v>
      </x:c>
      <x:c r="G878" s="12" t="n">
        <x:v>4091.3615</x:v>
      </x:c>
      <x:c r="H878" s="12" t="n">
        <x:v>23.6909</x:v>
      </x:c>
      <x:c r="I878" s="12" t="n">
        <x:v>0.579</x:v>
      </x:c>
      <x:c r="J878" s="12" t="n">
        <x:v>0.005773768201984381</x:v>
      </x:c>
      <x:c r="K878" s="12" t="n">
        <x:v>182424730</x:v>
      </x:c>
      <x:c r="L878" s="12" t="n">
        <x:v>281784863.845</x:v>
      </x:c>
      <x:c r="M878" s="12" t="str">
        <x:v>TuShare index_daily</x:v>
      </x:c>
    </x:row>
    <x:row r="879" ht="18" customHeight="1">
      <x:c r="A879" s="13" t="n">
        <x:v>43895</x:v>
      </x:c>
      <x:c r="B879" s="12" t="str">
        <x:v>000300.SH</x:v>
      </x:c>
      <x:c r="C879" s="12" t="n">
        <x:v>4150.21</x:v>
      </x:c>
      <x:c r="D879" s="12" t="n">
        <x:v>4215.8513</x:v>
      </x:c>
      <x:c r="E879" s="12" t="n">
        <x:v>4127.0386</x:v>
      </x:c>
      <x:c r="F879" s="12" t="n">
        <x:v>4206.7251</x:v>
      </x:c>
      <x:c r="G879" s="12" t="n">
        <x:v>4115.0524</x:v>
      </x:c>
      <x:c r="H879" s="12" t="n">
        <x:v>91.6727</x:v>
      </x:c>
      <x:c r="I879" s="12" t="n">
        <x:v>2.2277</x:v>
      </x:c>
      <x:c r="J879" s="12" t="n">
        <x:v>0.02203289104992335</x:v>
      </x:c>
      <x:c r="K879" s="12" t="n">
        <x:v>231823115</x:v>
      </x:c>
      <x:c r="L879" s="12" t="n">
        <x:v>362838831.776</x:v>
      </x:c>
      <x:c r="M879" s="12" t="str">
        <x:v>TuShare index_daily</x:v>
      </x:c>
    </x:row>
    <x:row r="880" ht="18" customHeight="1">
      <x:c r="A880" s="13" t="n">
        <x:v>43896</x:v>
      </x:c>
      <x:c r="B880" s="12" t="str">
        <x:v>000300.SH</x:v>
      </x:c>
      <x:c r="C880" s="12" t="n">
        <x:v>4158.2021</x:v>
      </x:c>
      <x:c r="D880" s="12" t="n">
        <x:v>4181.3102</x:v>
      </x:c>
      <x:c r="E880" s="12" t="n">
        <x:v>4135.3901</x:v>
      </x:c>
      <x:c r="F880" s="12" t="n">
        <x:v>4138.5072</x:v>
      </x:c>
      <x:c r="G880" s="12" t="n">
        <x:v>4206.7251</x:v>
      </x:c>
      <x:c r="H880" s="12" t="n">
        <x:v>-68.2179</x:v>
      </x:c>
      <x:c r="I880" s="12" t="n">
        <x:v>-1.6216</x:v>
      </x:c>
      <x:c r="J880" s="12" t="n">
        <x:v>-0.016349315895662495</x:v>
      </x:c>
      <x:c r="K880" s="12" t="n">
        <x:v>172475717</x:v>
      </x:c>
      <x:c r="L880" s="12" t="n">
        <x:v>253168631.959</x:v>
      </x:c>
      <x:c r="M880" s="12" t="str">
        <x:v>TuShare index_daily</x:v>
      </x:c>
    </x:row>
    <x:row r="881" ht="18" customHeight="1">
      <x:c r="A881" s="13" t="n">
        <x:v>43899</x:v>
      </x:c>
      <x:c r="B881" s="12" t="str">
        <x:v>000300.SH</x:v>
      </x:c>
      <x:c r="C881" s="12" t="n">
        <x:v>4063.076</x:v>
      </x:c>
      <x:c r="D881" s="12" t="n">
        <x:v>4063.076</x:v>
      </x:c>
      <x:c r="E881" s="12" t="n">
        <x:v>3995.1313</x:v>
      </x:c>
      <x:c r="F881" s="12" t="n">
        <x:v>3997.1325</x:v>
      </x:c>
      <x:c r="G881" s="12" t="n">
        <x:v>4138.5072</x:v>
      </x:c>
      <x:c r="H881" s="12" t="n">
        <x:v>-141.3747</x:v>
      </x:c>
      <x:c r="I881" s="12" t="n">
        <x:v>-3.4161</x:v>
      </x:c>
      <x:c r="J881" s="12" t="n">
        <x:v>-0.034757914060444206</x:v>
      </x:c>
      <x:c r="K881" s="12" t="n">
        <x:v>208102035</x:v>
      </x:c>
      <x:c r="L881" s="12" t="n">
        <x:v>305428730.304</x:v>
      </x:c>
      <x:c r="M881" s="12" t="str">
        <x:v>TuShare index_daily</x:v>
      </x:c>
    </x:row>
    <x:row r="882" ht="18" customHeight="1">
      <x:c r="A882" s="13" t="n">
        <x:v>43900</x:v>
      </x:c>
      <x:c r="B882" s="12" t="str">
        <x:v>000300.SH</x:v>
      </x:c>
      <x:c r="C882" s="12" t="n">
        <x:v>3975.2288</x:v>
      </x:c>
      <x:c r="D882" s="12" t="n">
        <x:v>4093.0024</x:v>
      </x:c>
      <x:c r="E882" s="12" t="n">
        <x:v>3954.7506</x:v>
      </x:c>
      <x:c r="F882" s="12" t="n">
        <x:v>4082.7315</x:v>
      </x:c>
      <x:c r="G882" s="12" t="n">
        <x:v>3997.1325</x:v>
      </x:c>
      <x:c r="H882" s="12" t="n">
        <x:v>85.599</x:v>
      </x:c>
      <x:c r="I882" s="12" t="n">
        <x:v>2.1415</x:v>
      </x:c>
      <x:c r="J882" s="12" t="n">
        <x:v>0.02118902066274294</x:v>
      </x:c>
      <x:c r="K882" s="12" t="n">
        <x:v>197416402</x:v>
      </x:c>
      <x:c r="L882" s="12" t="n">
        <x:v>296184435.851</x:v>
      </x:c>
      <x:c r="M882" s="12" t="str">
        <x:v>TuShare index_daily</x:v>
      </x:c>
    </x:row>
    <x:row r="883" ht="18" customHeight="1">
      <x:c r="A883" s="13" t="n">
        <x:v>43901</x:v>
      </x:c>
      <x:c r="B883" s="12" t="str">
        <x:v>000300.SH</x:v>
      </x:c>
      <x:c r="C883" s="12" t="n">
        <x:v>4090.9348</x:v>
      </x:c>
      <x:c r="D883" s="12" t="n">
        <x:v>4091.2704</x:v>
      </x:c>
      <x:c r="E883" s="12" t="n">
        <x:v>4028.3964</x:v>
      </x:c>
      <x:c r="F883" s="12" t="n">
        <x:v>4028.4289</x:v>
      </x:c>
      <x:c r="G883" s="12" t="n">
        <x:v>4082.7315</x:v>
      </x:c>
      <x:c r="H883" s="12" t="n">
        <x:v>-54.3026</x:v>
      </x:c>
      <x:c r="I883" s="12" t="n">
        <x:v>-1.3301</x:v>
      </x:c>
      <x:c r="J883" s="12" t="n">
        <x:v>-0.013389800874618088</x:v>
      </x:c>
      <x:c r="K883" s="12" t="n">
        <x:v>161656111</x:v>
      </x:c>
      <x:c r="L883" s="12" t="n">
        <x:v>244990872.686</x:v>
      </x:c>
      <x:c r="M883" s="12" t="str">
        <x:v>TuShare index_daily</x:v>
      </x:c>
    </x:row>
    <x:row r="884" ht="18" customHeight="1">
      <x:c r="A884" s="13" t="n">
        <x:v>43902</x:v>
      </x:c>
      <x:c r="B884" s="12" t="str">
        <x:v>000300.SH</x:v>
      </x:c>
      <x:c r="C884" s="12" t="n">
        <x:v>3976.1139</x:v>
      </x:c>
      <x:c r="D884" s="12" t="n">
        <x:v>3987.4336</x:v>
      </x:c>
      <x:c r="E884" s="12" t="n">
        <x:v>3926.2704</x:v>
      </x:c>
      <x:c r="F884" s="12" t="n">
        <x:v>3950.9111</x:v>
      </x:c>
      <x:c r="G884" s="12" t="n">
        <x:v>4028.4289</x:v>
      </x:c>
      <x:c r="H884" s="12" t="n">
        <x:v>-77.5178</x:v>
      </x:c>
      <x:c r="I884" s="12" t="n">
        <x:v>-1.9243</x:v>
      </x:c>
      <x:c r="J884" s="12" t="n">
        <x:v>-0.01943023828690416</x:v>
      </x:c>
      <x:c r="K884" s="12" t="n">
        <x:v>157060458</x:v>
      </x:c>
      <x:c r="L884" s="12" t="n">
        <x:v>233152848.759</x:v>
      </x:c>
      <x:c r="M884" s="12" t="str">
        <x:v>TuShare index_daily</x:v>
      </x:c>
    </x:row>
    <x:row r="885" ht="18" customHeight="1">
      <x:c r="A885" s="13" t="n">
        <x:v>43903</x:v>
      </x:c>
      <x:c r="B885" s="12" t="str">
        <x:v>000300.SH</x:v>
      </x:c>
      <x:c r="C885" s="12" t="n">
        <x:v>3771.0139</x:v>
      </x:c>
      <x:c r="D885" s="12" t="n">
        <x:v>3937.1806</x:v>
      </x:c>
      <x:c r="E885" s="12" t="n">
        <x:v>3765.1479</x:v>
      </x:c>
      <x:c r="F885" s="12" t="n">
        <x:v>3895.3128</x:v>
      </x:c>
      <x:c r="G885" s="12" t="n">
        <x:v>3950.9111</x:v>
      </x:c>
      <x:c r="H885" s="12" t="n">
        <x:v>-55.5983</x:v>
      </x:c>
      <x:c r="I885" s="12" t="n">
        <x:v>-1.4072</x:v>
      </x:c>
      <x:c r="J885" s="12" t="n">
        <x:v>-0.014172226357878227</x:v>
      </x:c>
      <x:c r="K885" s="12" t="n">
        <x:v>188296722</x:v>
      </x:c>
      <x:c r="L885" s="12" t="n">
        <x:v>280213453.214</x:v>
      </x:c>
      <x:c r="M885" s="12" t="str">
        <x:v>TuShare index_daily</x:v>
      </x:c>
    </x:row>
    <x:row r="886" ht="18" customHeight="1">
      <x:c r="A886" s="13" t="n">
        <x:v>43906</x:v>
      </x:c>
      <x:c r="B886" s="12" t="str">
        <x:v>000300.SH</x:v>
      </x:c>
      <x:c r="C886" s="12" t="n">
        <x:v>3899.8598</x:v>
      </x:c>
      <x:c r="D886" s="12" t="n">
        <x:v>3899.8598</x:v>
      </x:c>
      <x:c r="E886" s="12" t="n">
        <x:v>3720.5127</x:v>
      </x:c>
      <x:c r="F886" s="12" t="n">
        <x:v>3727.8398</x:v>
      </x:c>
      <x:c r="G886" s="12" t="n">
        <x:v>3895.3128</x:v>
      </x:c>
      <x:c r="H886" s="12" t="n">
        <x:v>-167.473</x:v>
      </x:c>
      <x:c r="I886" s="12" t="n">
        <x:v>-4.2993</x:v>
      </x:c>
      <x:c r="J886" s="12" t="n">
        <x:v>-0.043945060388467926</x:v>
      </x:c>
      <x:c r="K886" s="12" t="n">
        <x:v>185968260</x:v>
      </x:c>
      <x:c r="L886" s="12" t="n">
        <x:v>282836238.271</x:v>
      </x:c>
      <x:c r="M886" s="12" t="str">
        <x:v>TuShare index_daily</x:v>
      </x:c>
    </x:row>
    <x:row r="887" ht="18" customHeight="1">
      <x:c r="A887" s="13" t="n">
        <x:v>43907</x:v>
      </x:c>
      <x:c r="B887" s="12" t="str">
        <x:v>000300.SH</x:v>
      </x:c>
      <x:c r="C887" s="12" t="n">
        <x:v>3739.7833</x:v>
      </x:c>
      <x:c r="D887" s="12" t="n">
        <x:v>3786.8908</x:v>
      </x:c>
      <x:c r="E887" s="12" t="n">
        <x:v>3618.307</x:v>
      </x:c>
      <x:c r="F887" s="12" t="n">
        <x:v>3709.6822</x:v>
      </x:c>
      <x:c r="G887" s="12" t="n">
        <x:v>3727.8398</x:v>
      </x:c>
      <x:c r="H887" s="12" t="n">
        <x:v>-18.1576</x:v>
      </x:c>
      <x:c r="I887" s="12" t="n">
        <x:v>-0.4871</x:v>
      </x:c>
      <x:c r="J887" s="12" t="n">
        <x:v>-0.004882711224087619</x:v>
      </x:c>
      <x:c r="K887" s="12" t="n">
        <x:v>166246129</x:v>
      </x:c>
      <x:c r="L887" s="12" t="n">
        <x:v>250824025.697</x:v>
      </x:c>
      <x:c r="M887" s="12" t="str">
        <x:v>TuShare index_daily</x:v>
      </x:c>
    </x:row>
    <x:row r="888" ht="18" customHeight="1">
      <x:c r="A888" s="13" t="n">
        <x:v>43908</x:v>
      </x:c>
      <x:c r="B888" s="12" t="str">
        <x:v>000300.SH</x:v>
      </x:c>
      <x:c r="C888" s="12" t="n">
        <x:v>3729.6853</x:v>
      </x:c>
      <x:c r="D888" s="12" t="n">
        <x:v>3775.8506</x:v>
      </x:c>
      <x:c r="E888" s="12" t="n">
        <x:v>3636.2565</x:v>
      </x:c>
      <x:c r="F888" s="12" t="n">
        <x:v>3636.2565</x:v>
      </x:c>
      <x:c r="G888" s="12" t="n">
        <x:v>3709.6822</x:v>
      </x:c>
      <x:c r="H888" s="12" t="n">
        <x:v>-73.4257</x:v>
      </x:c>
      <x:c r="I888" s="12" t="n">
        <x:v>-1.9793</x:v>
      </x:c>
      <x:c r="J888" s="12" t="n">
        <x:v>-0.01999149419138795</x:v>
      </x:c>
      <x:c r="K888" s="12" t="n">
        <x:v>155037547</x:v>
      </x:c>
      <x:c r="L888" s="12" t="n">
        <x:v>244127161.535</x:v>
      </x:c>
      <x:c r="M888" s="12" t="str">
        <x:v>TuShare index_daily</x:v>
      </x:c>
    </x:row>
    <x:row r="889" ht="18" customHeight="1">
      <x:c r="A889" s="13" t="n">
        <x:v>43909</x:v>
      </x:c>
      <x:c r="B889" s="12" t="str">
        <x:v>000300.SH</x:v>
      </x:c>
      <x:c r="C889" s="12" t="n">
        <x:v>3623.789</x:v>
      </x:c>
      <x:c r="D889" s="12" t="n">
        <x:v>3647.9874</x:v>
      </x:c>
      <x:c r="E889" s="12" t="n">
        <x:v>3503.1866</x:v>
      </x:c>
      <x:c r="F889" s="12" t="n">
        <x:v>3589.0926</x:v>
      </x:c>
      <x:c r="G889" s="12" t="n">
        <x:v>3636.2565</x:v>
      </x:c>
      <x:c r="H889" s="12" t="n">
        <x:v>-47.1639</x:v>
      </x:c>
      <x:c r="I889" s="12" t="n">
        <x:v>-1.297</x:v>
      </x:c>
      <x:c r="J889" s="12" t="n">
        <x:v>-0.013055305490118364</x:v>
      </x:c>
      <x:c r="K889" s="12" t="n">
        <x:v>180807407</x:v>
      </x:c>
      <x:c r="L889" s="12" t="n">
        <x:v>271827467.962</x:v>
      </x:c>
      <x:c r="M889" s="12" t="str">
        <x:v>TuShare index_daily</x:v>
      </x:c>
    </x:row>
    <x:row r="890" ht="18" customHeight="1">
      <x:c r="A890" s="13" t="n">
        <x:v>43910</x:v>
      </x:c>
      <x:c r="B890" s="12" t="str">
        <x:v>000300.SH</x:v>
      </x:c>
      <x:c r="C890" s="12" t="n">
        <x:v>3629.5126</x:v>
      </x:c>
      <x:c r="D890" s="12" t="n">
        <x:v>3663.9517</x:v>
      </x:c>
      <x:c r="E890" s="12" t="n">
        <x:v>3588.7766</x:v>
      </x:c>
      <x:c r="F890" s="12" t="n">
        <x:v>3653.2239</x:v>
      </x:c>
      <x:c r="G890" s="12" t="n">
        <x:v>3589.0926</x:v>
      </x:c>
      <x:c r="H890" s="12" t="n">
        <x:v>64.1313</x:v>
      </x:c>
      <x:c r="I890" s="12" t="n">
        <x:v>1.7868</x:v>
      </x:c>
      <x:c r="J890" s="12" t="n">
        <x:v>0.01771062513213693</x:v>
      </x:c>
      <x:c r="K890" s="12" t="n">
        <x:v>139603000</x:v>
      </x:c>
      <x:c r="L890" s="12" t="n">
        <x:v>211223073.323</x:v>
      </x:c>
      <x:c r="M890" s="12" t="str">
        <x:v>TuShare index_daily</x:v>
      </x:c>
    </x:row>
    <x:row r="891" ht="18" customHeight="1">
      <x:c r="A891" s="13" t="n">
        <x:v>43913</x:v>
      </x:c>
      <x:c r="B891" s="12" t="str">
        <x:v>000300.SH</x:v>
      </x:c>
      <x:c r="C891" s="12" t="n">
        <x:v>3542.6837</x:v>
      </x:c>
      <x:c r="D891" s="12" t="n">
        <x:v>3585.8014</x:v>
      </x:c>
      <x:c r="E891" s="12" t="n">
        <x:v>3523.7877</x:v>
      </x:c>
      <x:c r="F891" s="12" t="n">
        <x:v>3530.3058</x:v>
      </x:c>
      <x:c r="G891" s="12" t="n">
        <x:v>3653.2239</x:v>
      </x:c>
      <x:c r="H891" s="12" t="n">
        <x:v>-122.9181</x:v>
      </x:c>
      <x:c r="I891" s="12" t="n">
        <x:v>-3.3646</x:v>
      </x:c>
      <x:c r="J891" s="12" t="n">
        <x:v>-0.03422554193523279</x:v>
      </x:c>
      <x:c r="K891" s="12" t="n">
        <x:v>137108790</x:v>
      </x:c>
      <x:c r="L891" s="12" t="n">
        <x:v>197669624.97</x:v>
      </x:c>
      <x:c r="M891" s="12" t="str">
        <x:v>TuShare index_daily</x:v>
      </x:c>
    </x:row>
    <x:row r="892" ht="18" customHeight="1">
      <x:c r="A892" s="13" t="n">
        <x:v>43914</x:v>
      </x:c>
      <x:c r="B892" s="12" t="str">
        <x:v>000300.SH</x:v>
      </x:c>
      <x:c r="C892" s="12" t="n">
        <x:v>3598.6548</x:v>
      </x:c>
      <x:c r="D892" s="12" t="n">
        <x:v>3627.7592</x:v>
      </x:c>
      <x:c r="E892" s="12" t="n">
        <x:v>3545.4524</x:v>
      </x:c>
      <x:c r="F892" s="12" t="n">
        <x:v>3625.1146</x:v>
      </x:c>
      <x:c r="G892" s="12" t="n">
        <x:v>3530.3058</x:v>
      </x:c>
      <x:c r="H892" s="12" t="n">
        <x:v>94.8088</x:v>
      </x:c>
      <x:c r="I892" s="12" t="n">
        <x:v>2.6856</x:v>
      </x:c>
      <x:c r="J892" s="12" t="n">
        <x:v>0.026501405511712626</x:v>
      </x:c>
      <x:c r="K892" s="12" t="n">
        <x:v>143103021</x:v>
      </x:c>
      <x:c r="L892" s="12" t="n">
        <x:v>208553840.689</x:v>
      </x:c>
      <x:c r="M892" s="12" t="str">
        <x:v>TuShare index_daily</x:v>
      </x:c>
    </x:row>
    <x:row r="893" ht="18" customHeight="1">
      <x:c r="A893" s="13" t="n">
        <x:v>43915</x:v>
      </x:c>
      <x:c r="B893" s="12" t="str">
        <x:v>000300.SH</x:v>
      </x:c>
      <x:c r="C893" s="12" t="n">
        <x:v>3711.4753</x:v>
      </x:c>
      <x:c r="D893" s="12" t="n">
        <x:v>3732.6536</x:v>
      </x:c>
      <x:c r="E893" s="12" t="n">
        <x:v>3685.9942</x:v>
      </x:c>
      <x:c r="F893" s="12" t="n">
        <x:v>3722.5181</x:v>
      </x:c>
      <x:c r="G893" s="12" t="n">
        <x:v>3625.1146</x:v>
      </x:c>
      <x:c r="H893" s="12" t="n">
        <x:v>97.4035</x:v>
      </x:c>
      <x:c r="I893" s="12" t="n">
        <x:v>2.6869</x:v>
      </x:c>
      <x:c r="J893" s="12" t="n">
        <x:v>0.02651444628787693</x:v>
      </x:c>
      <x:c r="K893" s="12" t="n">
        <x:v>153495958</x:v>
      </x:c>
      <x:c r="L893" s="12" t="n">
        <x:v>231561518.761</x:v>
      </x:c>
      <x:c r="M893" s="12" t="str">
        <x:v>TuShare index_daily</x:v>
      </x:c>
    </x:row>
    <x:row r="894" ht="18" customHeight="1">
      <x:c r="A894" s="13" t="n">
        <x:v>43916</x:v>
      </x:c>
      <x:c r="B894" s="12" t="str">
        <x:v>000300.SH</x:v>
      </x:c>
      <x:c r="C894" s="12" t="n">
        <x:v>3692.6083</x:v>
      </x:c>
      <x:c r="D894" s="12" t="n">
        <x:v>3736.2536</x:v>
      </x:c>
      <x:c r="E894" s="12" t="n">
        <x:v>3681.2668</x:v>
      </x:c>
      <x:c r="F894" s="12" t="n">
        <x:v>3698.0472</x:v>
      </x:c>
      <x:c r="G894" s="12" t="n">
        <x:v>3722.5181</x:v>
      </x:c>
      <x:c r="H894" s="12" t="n">
        <x:v>-24.4709</x:v>
      </x:c>
      <x:c r="I894" s="12" t="n">
        <x:v>-0.6574</x:v>
      </x:c>
      <x:c r="J894" s="12" t="n">
        <x:v>-0.006595451348404441</x:v>
      </x:c>
      <x:c r="K894" s="12" t="n">
        <x:v>112310665</x:v>
      </x:c>
      <x:c r="L894" s="12" t="n">
        <x:v>169336311.861</x:v>
      </x:c>
      <x:c r="M894" s="12" t="str">
        <x:v>TuShare index_daily</x:v>
      </x:c>
    </x:row>
    <x:row r="895" ht="18" customHeight="1">
      <x:c r="A895" s="13" t="n">
        <x:v>43917</x:v>
      </x:c>
      <x:c r="B895" s="12" t="str">
        <x:v>000300.SH</x:v>
      </x:c>
      <x:c r="C895" s="12" t="n">
        <x:v>3746.3914</x:v>
      </x:c>
      <x:c r="D895" s="12" t="n">
        <x:v>3758.7827</x:v>
      </x:c>
      <x:c r="E895" s="12" t="n">
        <x:v>3709.9213</x:v>
      </x:c>
      <x:c r="F895" s="12" t="n">
        <x:v>3710.0605</x:v>
      </x:c>
      <x:c r="G895" s="12" t="n">
        <x:v>3698.0472</x:v>
      </x:c>
      <x:c r="H895" s="12" t="n">
        <x:v>12.0133</x:v>
      </x:c>
      <x:c r="I895" s="12" t="n">
        <x:v>0.3249</x:v>
      </x:c>
      <x:c r="J895" s="12" t="n">
        <x:v>0.0032432872245010047</x:v>
      </x:c>
      <x:c r="K895" s="12" t="n">
        <x:v>124060995</x:v>
      </x:c>
      <x:c r="L895" s="12" t="n">
        <x:v>186103426.335</x:v>
      </x:c>
      <x:c r="M895" s="12" t="str">
        <x:v>TuShare index_daily</x:v>
      </x:c>
    </x:row>
    <x:row r="896" ht="18" customHeight="1">
      <x:c r="A896" s="13" t="n">
        <x:v>43920</x:v>
      </x:c>
      <x:c r="B896" s="12" t="str">
        <x:v>000300.SH</x:v>
      </x:c>
      <x:c r="C896" s="12" t="n">
        <x:v>3657.4624</x:v>
      </x:c>
      <x:c r="D896" s="12" t="n">
        <x:v>3690.6388</x:v>
      </x:c>
      <x:c r="E896" s="12" t="n">
        <x:v>3637.5853</x:v>
      </x:c>
      <x:c r="F896" s="12" t="n">
        <x:v>3674.1108</x:v>
      </x:c>
      <x:c r="G896" s="12" t="n">
        <x:v>3710.0605</x:v>
      </x:c>
      <x:c r="H896" s="12" t="n">
        <x:v>-35.9497</x:v>
      </x:c>
      <x:c r="I896" s="12" t="n">
        <x:v>-0.969</x:v>
      </x:c>
      <x:c r="J896" s="12" t="n">
        <x:v>-0.009737039559729033</x:v>
      </x:c>
      <x:c r="K896" s="12" t="n">
        <x:v>126876673</x:v>
      </x:c>
      <x:c r="L896" s="12" t="n">
        <x:v>180640799.409</x:v>
      </x:c>
      <x:c r="M896" s="12" t="str">
        <x:v>TuShare index_daily</x:v>
      </x:c>
    </x:row>
    <x:row r="897" ht="18" customHeight="1">
      <x:c r="A897" s="13" t="n">
        <x:v>43921</x:v>
      </x:c>
      <x:c r="B897" s="12" t="str">
        <x:v>000300.SH</x:v>
      </x:c>
      <x:c r="C897" s="12" t="n">
        <x:v>3708.1404</x:v>
      </x:c>
      <x:c r="D897" s="12" t="n">
        <x:v>3716.0707</x:v>
      </x:c>
      <x:c r="E897" s="12" t="n">
        <x:v>3676.2024</x:v>
      </x:c>
      <x:c r="F897" s="12" t="n">
        <x:v>3686.1551</x:v>
      </x:c>
      <x:c r="G897" s="12" t="n">
        <x:v>3674.1108</x:v>
      </x:c>
      <x:c r="H897" s="12" t="n">
        <x:v>12.0443</x:v>
      </x:c>
      <x:c r="I897" s="12" t="n">
        <x:v>0.3278</x:v>
      </x:c>
      <x:c r="J897" s="12" t="n">
        <x:v>0.003272792291569129</x:v>
      </x:c>
      <x:c r="K897" s="12" t="n">
        <x:v>111453025</x:v>
      </x:c>
      <x:c r="L897" s="12" t="n">
        <x:v>161595510.008</x:v>
      </x:c>
      <x:c r="M897" s="12" t="str">
        <x:v>TuShare index_daily</x:v>
      </x:c>
    </x:row>
    <x:row r="898" ht="18" customHeight="1">
      <x:c r="A898" s="13" t="n">
        <x:v>43922</x:v>
      </x:c>
      <x:c r="B898" s="12" t="str">
        <x:v>000300.SH</x:v>
      </x:c>
      <x:c r="C898" s="12" t="n">
        <x:v>3682.2966</x:v>
      </x:c>
      <x:c r="D898" s="12" t="n">
        <x:v>3731.7799</x:v>
      </x:c>
      <x:c r="E898" s="12" t="n">
        <x:v>3670.9653</x:v>
      </x:c>
      <x:c r="F898" s="12" t="n">
        <x:v>3675.0758</x:v>
      </x:c>
      <x:c r="G898" s="12" t="n">
        <x:v>3686.1551</x:v>
      </x:c>
      <x:c r="H898" s="12" t="n">
        <x:v>-11.0793</x:v>
      </x:c>
      <x:c r="I898" s="12" t="n">
        <x:v>-0.3006</x:v>
      </x:c>
      <x:c r="J898" s="12" t="n">
        <x:v>-0.003010178193419536</x:v>
      </x:c>
      <x:c r="K898" s="12" t="n">
        <x:v>119352620</x:v>
      </x:c>
      <x:c r="L898" s="12" t="n">
        <x:v>170422568.804</x:v>
      </x:c>
      <x:c r="M898" s="12" t="str">
        <x:v>TuShare index_daily</x:v>
      </x:c>
    </x:row>
    <x:row r="899" ht="18" customHeight="1">
      <x:c r="A899" s="13" t="n">
        <x:v>43923</x:v>
      </x:c>
      <x:c r="B899" s="12" t="str">
        <x:v>000300.SH</x:v>
      </x:c>
      <x:c r="C899" s="12" t="n">
        <x:v>3656.3225</x:v>
      </x:c>
      <x:c r="D899" s="12" t="n">
        <x:v>3734.5306</x:v>
      </x:c>
      <x:c r="E899" s="12" t="n">
        <x:v>3652.3167</x:v>
      </x:c>
      <x:c r="F899" s="12" t="n">
        <x:v>3734.5306</x:v>
      </x:c>
      <x:c r="G899" s="12" t="n">
        <x:v>3675.0758</x:v>
      </x:c>
      <x:c r="H899" s="12" t="n">
        <x:v>59.4548</x:v>
      </x:c>
      <x:c r="I899" s="12" t="n">
        <x:v>1.6178</x:v>
      </x:c>
      <x:c r="J899" s="12" t="n">
        <x:v>0.016048376346972232</x:v>
      </x:c>
      <x:c r="K899" s="12" t="n">
        <x:v>115168209</x:v>
      </x:c>
      <x:c r="L899" s="12" t="n">
        <x:v>168893255.657</x:v>
      </x:c>
      <x:c r="M899" s="12" t="str">
        <x:v>TuShare index_daily</x:v>
      </x:c>
    </x:row>
    <x:row r="900" ht="18" customHeight="1">
      <x:c r="A900" s="13" t="n">
        <x:v>43924</x:v>
      </x:c>
      <x:c r="B900" s="12" t="str">
        <x:v>000300.SH</x:v>
      </x:c>
      <x:c r="C900" s="12" t="n">
        <x:v>3721.4815</x:v>
      </x:c>
      <x:c r="D900" s="12" t="n">
        <x:v>3738.8323</x:v>
      </x:c>
      <x:c r="E900" s="12" t="n">
        <x:v>3698.9822</x:v>
      </x:c>
      <x:c r="F900" s="12" t="n">
        <x:v>3713.2183</x:v>
      </x:c>
      <x:c r="G900" s="12" t="n">
        <x:v>3734.5306</x:v>
      </x:c>
      <x:c r="H900" s="12" t="n">
        <x:v>-21.3123</x:v>
      </x:c>
      <x:c r="I900" s="12" t="n">
        <x:v>-0.5707</x:v>
      </x:c>
      <x:c r="J900" s="12" t="n">
        <x:v>-0.005723167754230772</x:v>
      </x:c>
      <x:c r="K900" s="12" t="n">
        <x:v>99825083</x:v>
      </x:c>
      <x:c r="L900" s="12" t="n">
        <x:v>150132815.029</x:v>
      </x:c>
      <x:c r="M900" s="12" t="str">
        <x:v>TuShare index_daily</x:v>
      </x:c>
    </x:row>
    <x:row r="901" ht="18" customHeight="1">
      <x:c r="A901" s="13" t="n">
        <x:v>43928</x:v>
      </x:c>
      <x:c r="B901" s="12" t="str">
        <x:v>000300.SH</x:v>
      </x:c>
      <x:c r="C901" s="12" t="n">
        <x:v>3779.9076</x:v>
      </x:c>
      <x:c r="D901" s="12" t="n">
        <x:v>3803.6286</x:v>
      </x:c>
      <x:c r="E901" s="12" t="n">
        <x:v>3772.2054</x:v>
      </x:c>
      <x:c r="F901" s="12" t="n">
        <x:v>3798.0214</x:v>
      </x:c>
      <x:c r="G901" s="12" t="n">
        <x:v>3713.2183</x:v>
      </x:c>
      <x:c r="H901" s="12" t="n">
        <x:v>84.8031</x:v>
      </x:c>
      <x:c r="I901" s="12" t="n">
        <x:v>2.2838</x:v>
      </x:c>
      <x:c r="J901" s="12" t="n">
        <x:v>0.02258128002354555</x:v>
      </x:c>
      <x:c r="K901" s="12" t="n">
        <x:v>142778030</x:v>
      </x:c>
      <x:c r="L901" s="12" t="n">
        <x:v>207642820.317</x:v>
      </x:c>
      <x:c r="M901" s="12" t="str">
        <x:v>TuShare index_daily</x:v>
      </x:c>
    </x:row>
    <x:row r="902" ht="18" customHeight="1">
      <x:c r="A902" s="13" t="n">
        <x:v>43929</x:v>
      </x:c>
      <x:c r="B902" s="12" t="str">
        <x:v>000300.SH</x:v>
      </x:c>
      <x:c r="C902" s="12" t="n">
        <x:v>3776.4171</x:v>
      </x:c>
      <x:c r="D902" s="12" t="n">
        <x:v>3793.0023</x:v>
      </x:c>
      <x:c r="E902" s="12" t="n">
        <x:v>3767.2924</x:v>
      </x:c>
      <x:c r="F902" s="12" t="n">
        <x:v>3780.3445</x:v>
      </x:c>
      <x:c r="G902" s="12" t="n">
        <x:v>3798.0214</x:v>
      </x:c>
      <x:c r="H902" s="12" t="n">
        <x:v>-17.6769</x:v>
      </x:c>
      <x:c r="I902" s="12" t="n">
        <x:v>-0.4654</x:v>
      </x:c>
      <x:c r="J902" s="12" t="n">
        <x:v>-0.00466510387385904</x:v>
      </x:c>
      <x:c r="K902" s="12" t="n">
        <x:v>111389513</x:v>
      </x:c>
      <x:c r="L902" s="12" t="n">
        <x:v>161576772.32</x:v>
      </x:c>
      <x:c r="M902" s="12" t="str">
        <x:v>TuShare index_daily</x:v>
      </x:c>
    </x:row>
    <x:row r="903" ht="18" customHeight="1">
      <x:c r="A903" s="13" t="n">
        <x:v>43930</x:v>
      </x:c>
      <x:c r="B903" s="12" t="str">
        <x:v>000300.SH</x:v>
      </x:c>
      <x:c r="C903" s="12" t="n">
        <x:v>3798.4879</x:v>
      </x:c>
      <x:c r="D903" s="12" t="n">
        <x:v>3801.7245</x:v>
      </x:c>
      <x:c r="E903" s="12" t="n">
        <x:v>3785.3116</x:v>
      </x:c>
      <x:c r="F903" s="12" t="n">
        <x:v>3792.8105</x:v>
      </x:c>
      <x:c r="G903" s="12" t="n">
        <x:v>3780.3445</x:v>
      </x:c>
      <x:c r="H903" s="12" t="n">
        <x:v>12.466</x:v>
      </x:c>
      <x:c r="I903" s="12" t="n">
        <x:v>0.3298</x:v>
      </x:c>
      <x:c r="J903" s="12" t="n">
        <x:v>0.003292157960371772</x:v>
      </x:c>
      <x:c r="K903" s="12" t="n">
        <x:v>100485032</x:v>
      </x:c>
      <x:c r="L903" s="12" t="n">
        <x:v>154595318.813</x:v>
      </x:c>
      <x:c r="M903" s="12" t="str">
        <x:v>TuShare index_daily</x:v>
      </x:c>
    </x:row>
    <x:row r="904" ht="18" customHeight="1">
      <x:c r="A904" s="13" t="n">
        <x:v>43931</x:v>
      </x:c>
      <x:c r="B904" s="12" t="str">
        <x:v>000300.SH</x:v>
      </x:c>
      <x:c r="C904" s="12" t="n">
        <x:v>3794.8429</x:v>
      </x:c>
      <x:c r="D904" s="12" t="n">
        <x:v>3824.7441</x:v>
      </x:c>
      <x:c r="E904" s="12" t="n">
        <x:v>3758.9599</x:v>
      </x:c>
      <x:c r="F904" s="12" t="n">
        <x:v>3769.1782</x:v>
      </x:c>
      <x:c r="G904" s="12" t="n">
        <x:v>3792.8105</x:v>
      </x:c>
      <x:c r="H904" s="12" t="n">
        <x:v>-23.6323</x:v>
      </x:c>
      <x:c r="I904" s="12" t="n">
        <x:v>-0.6231</x:v>
      </x:c>
      <x:c r="J904" s="12" t="n">
        <x:v>-0.006250307392175125</x:v>
      </x:c>
      <x:c r="K904" s="12" t="n">
        <x:v>102444956</x:v>
      </x:c>
      <x:c r="L904" s="12" t="n">
        <x:v>162251233.801</x:v>
      </x:c>
      <x:c r="M904" s="12" t="str">
        <x:v>TuShare index_daily</x:v>
      </x:c>
    </x:row>
    <x:row r="905" ht="18" customHeight="1">
      <x:c r="A905" s="13" t="n">
        <x:v>43934</x:v>
      </x:c>
      <x:c r="B905" s="12" t="str">
        <x:v>000300.SH</x:v>
      </x:c>
      <x:c r="C905" s="12" t="n">
        <x:v>3751.7093</x:v>
      </x:c>
      <x:c r="D905" s="12" t="n">
        <x:v>3769.8764</x:v>
      </x:c>
      <x:c r="E905" s="12" t="n">
        <x:v>3740.1936</x:v>
      </x:c>
      <x:c r="F905" s="12" t="n">
        <x:v>3753.2566</x:v>
      </x:c>
      <x:c r="G905" s="12" t="n">
        <x:v>3769.1782</x:v>
      </x:c>
      <x:c r="H905" s="12" t="n">
        <x:v>-15.9216</x:v>
      </x:c>
      <x:c r="I905" s="12" t="n">
        <x:v>-0.4224</x:v>
      </x:c>
      <x:c r="J905" s="12" t="n">
        <x:v>-0.004233103828336165</x:v>
      </x:c>
      <x:c r="K905" s="12" t="n">
        <x:v>79053343</x:v>
      </x:c>
      <x:c r="L905" s="12" t="n">
        <x:v>119874303.205</x:v>
      </x:c>
      <x:c r="M905" s="12" t="str">
        <x:v>TuShare index_daily</x:v>
      </x:c>
    </x:row>
    <x:row r="906" ht="18" customHeight="1">
      <x:c r="A906" s="13" t="n">
        <x:v>43935</x:v>
      </x:c>
      <x:c r="B906" s="12" t="str">
        <x:v>000300.SH</x:v>
      </x:c>
      <x:c r="C906" s="12" t="n">
        <x:v>3777.8343</x:v>
      </x:c>
      <x:c r="D906" s="12" t="n">
        <x:v>3825.7599</x:v>
      </x:c>
      <x:c r="E906" s="12" t="n">
        <x:v>3764.9838</x:v>
      </x:c>
      <x:c r="F906" s="12" t="n">
        <x:v>3825.6991</x:v>
      </x:c>
      <x:c r="G906" s="12" t="n">
        <x:v>3753.2566</x:v>
      </x:c>
      <x:c r="H906" s="12" t="n">
        <x:v>72.4425</x:v>
      </x:c>
      <x:c r="I906" s="12" t="n">
        <x:v>1.9301</x:v>
      </x:c>
      <x:c r="J906" s="12" t="n">
        <x:v>0.01911733203498188</x:v>
      </x:c>
      <x:c r="K906" s="12" t="n">
        <x:v>110637585</x:v>
      </x:c>
      <x:c r="L906" s="12" t="n">
        <x:v>170612579.792</x:v>
      </x:c>
      <x:c r="M906" s="12" t="str">
        <x:v>TuShare index_daily</x:v>
      </x:c>
    </x:row>
    <x:row r="907" ht="18" customHeight="1">
      <x:c r="A907" s="13" t="n">
        <x:v>43936</x:v>
      </x:c>
      <x:c r="B907" s="12" t="str">
        <x:v>000300.SH</x:v>
      </x:c>
      <x:c r="C907" s="12" t="n">
        <x:v>3820.8506</x:v>
      </x:c>
      <x:c r="D907" s="12" t="n">
        <x:v>3829.8009</x:v>
      </x:c>
      <x:c r="E907" s="12" t="n">
        <x:v>3793.4402</x:v>
      </x:c>
      <x:c r="F907" s="12" t="n">
        <x:v>3797.3623</x:v>
      </x:c>
      <x:c r="G907" s="12" t="n">
        <x:v>3825.6991</x:v>
      </x:c>
      <x:c r="H907" s="12" t="n">
        <x:v>-28.3368</x:v>
      </x:c>
      <x:c r="I907" s="12" t="n">
        <x:v>-0.7407</x:v>
      </x:c>
      <x:c r="J907" s="12" t="n">
        <x:v>-0.007434527687172356</x:v>
      </x:c>
      <x:c r="K907" s="12" t="n">
        <x:v>108461984</x:v>
      </x:c>
      <x:c r="L907" s="12" t="n">
        <x:v>169700216.633</x:v>
      </x:c>
      <x:c r="M907" s="12" t="str">
        <x:v>TuShare index_daily</x:v>
      </x:c>
    </x:row>
    <x:row r="908" ht="18" customHeight="1">
      <x:c r="A908" s="13" t="n">
        <x:v>43937</x:v>
      </x:c>
      <x:c r="B908" s="12" t="str">
        <x:v>000300.SH</x:v>
      </x:c>
      <x:c r="C908" s="12" t="n">
        <x:v>3777.7986</x:v>
      </x:c>
      <x:c r="D908" s="12" t="n">
        <x:v>3807.3569</x:v>
      </x:c>
      <x:c r="E908" s="12" t="n">
        <x:v>3774.5585</x:v>
      </x:c>
      <x:c r="F908" s="12" t="n">
        <x:v>3802.3806</x:v>
      </x:c>
      <x:c r="G908" s="12" t="n">
        <x:v>3797.3623</x:v>
      </x:c>
      <x:c r="H908" s="12" t="n">
        <x:v>5.0183</x:v>
      </x:c>
      <x:c r="I908" s="12" t="n">
        <x:v>0.1322</x:v>
      </x:c>
      <x:c r="J908" s="12" t="n">
        <x:v>0.0013206501313025463</x:v>
      </x:c>
      <x:c r="K908" s="12" t="n">
        <x:v>95947965</x:v>
      </x:c>
      <x:c r="L908" s="12" t="n">
        <x:v>147164302.057</x:v>
      </x:c>
      <x:c r="M908" s="12" t="str">
        <x:v>TuShare index_daily</x:v>
      </x:c>
    </x:row>
    <x:row r="909" ht="18" customHeight="1">
      <x:c r="A909" s="13" t="n">
        <x:v>43938</x:v>
      </x:c>
      <x:c r="B909" s="12" t="str">
        <x:v>000300.SH</x:v>
      </x:c>
      <x:c r="C909" s="12" t="n">
        <x:v>3831.9232</x:v>
      </x:c>
      <x:c r="D909" s="12" t="n">
        <x:v>3863.4521</x:v>
      </x:c>
      <x:c r="E909" s="12" t="n">
        <x:v>3821.4201</x:v>
      </x:c>
      <x:c r="F909" s="12" t="n">
        <x:v>3839.4871</x:v>
      </x:c>
      <x:c r="G909" s="12" t="n">
        <x:v>3802.3806</x:v>
      </x:c>
      <x:c r="H909" s="12" t="n">
        <x:v>37.1065</x:v>
      </x:c>
      <x:c r="I909" s="12" t="n">
        <x:v>0.9759</x:v>
      </x:c>
      <x:c r="J909" s="12" t="n">
        <x:v>0.009711445706510577</x:v>
      </x:c>
      <x:c r="K909" s="12" t="n">
        <x:v>132004301</x:v>
      </x:c>
      <x:c r="L909" s="12" t="n">
        <x:v>203595267.034</x:v>
      </x:c>
      <x:c r="M909" s="12" t="str">
        <x:v>TuShare index_daily</x:v>
      </x:c>
    </x:row>
    <x:row r="910" ht="18" customHeight="1">
      <x:c r="A910" s="13" t="n">
        <x:v>43941</x:v>
      </x:c>
      <x:c r="B910" s="12" t="str">
        <x:v>000300.SH</x:v>
      </x:c>
      <x:c r="C910" s="12" t="n">
        <x:v>3845.4598</x:v>
      </x:c>
      <x:c r="D910" s="12" t="n">
        <x:v>3853.7984</x:v>
      </x:c>
      <x:c r="E910" s="12" t="n">
        <x:v>3831.553</x:v>
      </x:c>
      <x:c r="F910" s="12" t="n">
        <x:v>3853.4551</x:v>
      </x:c>
      <x:c r="G910" s="12" t="n">
        <x:v>3839.4871</x:v>
      </x:c>
      <x:c r="H910" s="12" t="n">
        <x:v>13.968</x:v>
      </x:c>
      <x:c r="I910" s="12" t="n">
        <x:v>0.3638</x:v>
      </x:c>
      <x:c r="J910" s="12" t="n">
        <x:v>0.0036313844525207206</x:v>
      </x:c>
      <x:c r="K910" s="12" t="n">
        <x:v>100013115</x:v>
      </x:c>
      <x:c r="L910" s="12" t="n">
        <x:v>151924090.117</x:v>
      </x:c>
      <x:c r="M910" s="12" t="str">
        <x:v>TuShare index_daily</x:v>
      </x:c>
    </x:row>
    <x:row r="911" ht="18" customHeight="1">
      <x:c r="A911" s="13" t="n">
        <x:v>43942</x:v>
      </x:c>
      <x:c r="B911" s="12" t="str">
        <x:v>000300.SH</x:v>
      </x:c>
      <x:c r="C911" s="12" t="n">
        <x:v>3838.2314</x:v>
      </x:c>
      <x:c r="D911" s="12" t="n">
        <x:v>3838.2314</x:v>
      </x:c>
      <x:c r="E911" s="12" t="n">
        <x:v>3779.9967</x:v>
      </x:c>
      <x:c r="F911" s="12" t="n">
        <x:v>3808.0474</x:v>
      </x:c>
      <x:c r="G911" s="12" t="n">
        <x:v>3853.4551</x:v>
      </x:c>
      <x:c r="H911" s="12" t="n">
        <x:v>-45.4077</x:v>
      </x:c>
      <x:c r="I911" s="12" t="n">
        <x:v>-1.1784</x:v>
      </x:c>
      <x:c r="J911" s="12" t="n">
        <x:v>-0.011853610092220858</x:v>
      </x:c>
      <x:c r="K911" s="12" t="n">
        <x:v>102921888</x:v>
      </x:c>
      <x:c r="L911" s="12" t="n">
        <x:v>155077454.132</x:v>
      </x:c>
      <x:c r="M911" s="12" t="str">
        <x:v>TuShare index_daily</x:v>
      </x:c>
    </x:row>
    <x:row r="912" ht="18" customHeight="1">
      <x:c r="A912" s="13" t="n">
        <x:v>43943</x:v>
      </x:c>
      <x:c r="B912" s="12" t="str">
        <x:v>000300.SH</x:v>
      </x:c>
      <x:c r="C912" s="12" t="n">
        <x:v>3789.1297</x:v>
      </x:c>
      <x:c r="D912" s="12" t="n">
        <x:v>3839.3834</x:v>
      </x:c>
      <x:c r="E912" s="12" t="n">
        <x:v>3782.2149</x:v>
      </x:c>
      <x:c r="F912" s="12" t="n">
        <x:v>3839.3834</x:v>
      </x:c>
      <x:c r="G912" s="12" t="n">
        <x:v>3808.0474</x:v>
      </x:c>
      <x:c r="H912" s="12" t="n">
        <x:v>31.336</x:v>
      </x:c>
      <x:c r="I912" s="12" t="n">
        <x:v>0.8229</x:v>
      </x:c>
      <x:c r="J912" s="12" t="n">
        <x:v>0.008195216459116533</x:v>
      </x:c>
      <x:c r="K912" s="12" t="n">
        <x:v>85899464</x:v>
      </x:c>
      <x:c r="L912" s="12" t="n">
        <x:v>135547280.79</x:v>
      </x:c>
      <x:c r="M912" s="12" t="str">
        <x:v>TuShare index_daily</x:v>
      </x:c>
    </x:row>
    <x:row r="913" ht="18" customHeight="1">
      <x:c r="A913" s="13" t="n">
        <x:v>43944</x:v>
      </x:c>
      <x:c r="B913" s="12" t="str">
        <x:v>000300.SH</x:v>
      </x:c>
      <x:c r="C913" s="12" t="n">
        <x:v>3851.9132</x:v>
      </x:c>
      <x:c r="D913" s="12" t="n">
        <x:v>3857.4709</x:v>
      </x:c>
      <x:c r="E913" s="12" t="n">
        <x:v>3826.5565</x:v>
      </x:c>
      <x:c r="F913" s="12" t="n">
        <x:v>3829.7525</x:v>
      </x:c>
      <x:c r="G913" s="12" t="n">
        <x:v>3839.3834</x:v>
      </x:c>
      <x:c r="H913" s="12" t="n">
        <x:v>-9.6309</x:v>
      </x:c>
      <x:c r="I913" s="12" t="n">
        <x:v>-0.2508</x:v>
      </x:c>
      <x:c r="J913" s="12" t="n">
        <x:v>-0.0025116010951781896</x:v>
      </x:c>
      <x:c r="K913" s="12" t="n">
        <x:v>95508450</x:v>
      </x:c>
      <x:c r="L913" s="12" t="n">
        <x:v>142122548.832</x:v>
      </x:c>
      <x:c r="M913" s="12" t="str">
        <x:v>TuShare index_daily</x:v>
      </x:c>
    </x:row>
    <x:row r="914" ht="18" customHeight="1">
      <x:c r="A914" s="13" t="n">
        <x:v>43945</x:v>
      </x:c>
      <x:c r="B914" s="12" t="str">
        <x:v>000300.SH</x:v>
      </x:c>
      <x:c r="C914" s="12" t="n">
        <x:v>3826.3116</x:v>
      </x:c>
      <x:c r="D914" s="12" t="n">
        <x:v>3827.212</x:v>
      </x:c>
      <x:c r="E914" s="12" t="n">
        <x:v>3787.0714</x:v>
      </x:c>
      <x:c r="F914" s="12" t="n">
        <x:v>3796.9721</x:v>
      </x:c>
      <x:c r="G914" s="12" t="n">
        <x:v>3829.7525</x:v>
      </x:c>
      <x:c r="H914" s="12" t="n">
        <x:v>-32.7804</x:v>
      </x:c>
      <x:c r="I914" s="12" t="n">
        <x:v>-0.8559</x:v>
      </x:c>
      <x:c r="J914" s="12" t="n">
        <x:v>-0.008596246378152223</x:v>
      </x:c>
      <x:c r="K914" s="12" t="n">
        <x:v>94844135</x:v>
      </x:c>
      <x:c r="L914" s="12" t="n">
        <x:v>138961200.283</x:v>
      </x:c>
      <x:c r="M914" s="12" t="str">
        <x:v>TuShare index_daily</x:v>
      </x:c>
    </x:row>
    <x:row r="915" ht="18" customHeight="1">
      <x:c r="A915" s="13" t="n">
        <x:v>43948</x:v>
      </x:c>
      <x:c r="B915" s="12" t="str">
        <x:v>000300.SH</x:v>
      </x:c>
      <x:c r="C915" s="12" t="n">
        <x:v>3808.0171</x:v>
      </x:c>
      <x:c r="D915" s="12" t="n">
        <x:v>3842.8706</x:v>
      </x:c>
      <x:c r="E915" s="12" t="n">
        <x:v>3793.7655</x:v>
      </x:c>
      <x:c r="F915" s="12" t="n">
        <x:v>3822.769</x:v>
      </x:c>
      <x:c r="G915" s="12" t="n">
        <x:v>3796.9721</x:v>
      </x:c>
      <x:c r="H915" s="12" t="n">
        <x:v>25.7969</x:v>
      </x:c>
      <x:c r="I915" s="12" t="n">
        <x:v>0.6794</x:v>
      </x:c>
      <x:c r="J915" s="12" t="n">
        <x:v>0.006771095821278923</x:v>
      </x:c>
      <x:c r="K915" s="12" t="n">
        <x:v>95462735</x:v>
      </x:c>
      <x:c r="L915" s="12" t="n">
        <x:v>145301151.875</x:v>
      </x:c>
      <x:c r="M915" s="12" t="str">
        <x:v>TuShare index_daily</x:v>
      </x:c>
    </x:row>
    <x:row r="916" ht="18" customHeight="1">
      <x:c r="A916" s="13" t="n">
        <x:v>43949</x:v>
      </x:c>
      <x:c r="B916" s="12" t="str">
        <x:v>000300.SH</x:v>
      </x:c>
      <x:c r="C916" s="12" t="n">
        <x:v>3835.348</x:v>
      </x:c>
      <x:c r="D916" s="12" t="n">
        <x:v>3859.6754</x:v>
      </x:c>
      <x:c r="E916" s="12" t="n">
        <x:v>3768.2</x:v>
      </x:c>
      <x:c r="F916" s="12" t="n">
        <x:v>3849.1465</x:v>
      </x:c>
      <x:c r="G916" s="12" t="n">
        <x:v>3822.769</x:v>
      </x:c>
      <x:c r="H916" s="12" t="n">
        <x:v>26.3775</x:v>
      </x:c>
      <x:c r="I916" s="12" t="n">
        <x:v>0.69</x:v>
      </x:c>
      <x:c r="J916" s="12" t="n">
        <x:v>0.006876406273812152</x:v>
      </x:c>
      <x:c r="K916" s="12" t="n">
        <x:v>122093476</x:v>
      </x:c>
      <x:c r="L916" s="12" t="n">
        <x:v>184179759.24</x:v>
      </x:c>
      <x:c r="M916" s="12" t="str">
        <x:v>TuShare index_daily</x:v>
      </x:c>
    </x:row>
    <x:row r="917" ht="18" customHeight="1">
      <x:c r="A917" s="13" t="n">
        <x:v>43950</x:v>
      </x:c>
      <x:c r="B917" s="12" t="str">
        <x:v>000300.SH</x:v>
      </x:c>
      <x:c r="C917" s="12" t="n">
        <x:v>3837.5135</x:v>
      </x:c>
      <x:c r="D917" s="12" t="n">
        <x:v>3880.7444</x:v>
      </x:c>
      <x:c r="E917" s="12" t="n">
        <x:v>3833.7164</x:v>
      </x:c>
      <x:c r="F917" s="12" t="n">
        <x:v>3867.032</x:v>
      </x:c>
      <x:c r="G917" s="12" t="n">
        <x:v>3849.1465</x:v>
      </x:c>
      <x:c r="H917" s="12" t="n">
        <x:v>17.8855</x:v>
      </x:c>
      <x:c r="I917" s="12" t="n">
        <x:v>0.4647</x:v>
      </x:c>
      <x:c r="J917" s="12" t="n">
        <x:v>0.004635852328096864</x:v>
      </x:c>
      <x:c r="K917" s="12" t="n">
        <x:v>95854590</x:v>
      </x:c>
      <x:c r="L917" s="12" t="n">
        <x:v>151282103.744</x:v>
      </x:c>
      <x:c r="M917" s="12" t="str">
        <x:v>TuShare index_daily</x:v>
      </x:c>
    </x:row>
    <x:row r="918" ht="18" customHeight="1">
      <x:c r="A918" s="13" t="n">
        <x:v>43951</x:v>
      </x:c>
      <x:c r="B918" s="12" t="str">
        <x:v>000300.SH</x:v>
      </x:c>
      <x:c r="C918" s="12" t="n">
        <x:v>3880.4094</x:v>
      </x:c>
      <x:c r="D918" s="12" t="n">
        <x:v>3921.7004</x:v>
      </x:c>
      <x:c r="E918" s="12" t="n">
        <x:v>3880.4094</x:v>
      </x:c>
      <x:c r="F918" s="12" t="n">
        <x:v>3912.5772</x:v>
      </x:c>
      <x:c r="G918" s="12" t="n">
        <x:v>3867.032</x:v>
      </x:c>
      <x:c r="H918" s="12" t="n">
        <x:v>45.5452</x:v>
      </x:c>
      <x:c r="I918" s="12" t="n">
        <x:v>1.1778</x:v>
      </x:c>
      <x:c r="J918" s="12" t="n">
        <x:v>0.011708999561383372</x:v>
      </x:c>
      <x:c r="K918" s="12" t="n">
        <x:v>132917125</x:v>
      </x:c>
      <x:c r="L918" s="12" t="n">
        <x:v>202268288.802</x:v>
      </x:c>
      <x:c r="M918" s="12" t="str">
        <x:v>TuShare index_daily</x:v>
      </x:c>
    </x:row>
    <x:row r="919" ht="18" customHeight="1">
      <x:c r="A919" s="13" t="n">
        <x:v>43957</x:v>
      </x:c>
      <x:c r="B919" s="12" t="str">
        <x:v>000300.SH</x:v>
      </x:c>
      <x:c r="C919" s="12" t="n">
        <x:v>3867.2587</x:v>
      </x:c>
      <x:c r="D919" s="12" t="n">
        <x:v>3937.6909</x:v>
      </x:c>
      <x:c r="E919" s="12" t="n">
        <x:v>3865.9875</x:v>
      </x:c>
      <x:c r="F919" s="12" t="n">
        <x:v>3936.2539</x:v>
      </x:c>
      <x:c r="G919" s="12" t="n">
        <x:v>3912.5772</x:v>
      </x:c>
      <x:c r="H919" s="12" t="n">
        <x:v>23.6767</x:v>
      </x:c>
      <x:c r="I919" s="12" t="n">
        <x:v>0.6051</x:v>
      </x:c>
      <x:c r="J919" s="12" t="n">
        <x:v>0.006033196922335174</x:v>
      </x:c>
      <x:c r="K919" s="12" t="n">
        <x:v>139855675</x:v>
      </x:c>
      <x:c r="L919" s="12" t="n">
        <x:v>214935962.364</x:v>
      </x:c>
      <x:c r="M919" s="12" t="str">
        <x:v>TuShare index_daily</x:v>
      </x:c>
    </x:row>
    <x:row r="920" ht="18" customHeight="1">
      <x:c r="A920" s="13" t="n">
        <x:v>43958</x:v>
      </x:c>
      <x:c r="B920" s="12" t="str">
        <x:v>000300.SH</x:v>
      </x:c>
      <x:c r="C920" s="12" t="n">
        <x:v>3937.5918</x:v>
      </x:c>
      <x:c r="D920" s="12" t="n">
        <x:v>3941.4833</x:v>
      </x:c>
      <x:c r="E920" s="12" t="n">
        <x:v>3915.9048</x:v>
      </x:c>
      <x:c r="F920" s="12" t="n">
        <x:v>3924.8946</x:v>
      </x:c>
      <x:c r="G920" s="12" t="n">
        <x:v>3936.2539</x:v>
      </x:c>
      <x:c r="H920" s="12" t="n">
        <x:v>-11.3593</x:v>
      </x:c>
      <x:c r="I920" s="12" t="n">
        <x:v>-0.2886</x:v>
      </x:c>
      <x:c r="J920" s="12" t="n">
        <x:v>-0.0028899868527085043</x:v>
      </x:c>
      <x:c r="K920" s="12" t="n">
        <x:v>105514646</x:v>
      </x:c>
      <x:c r="L920" s="12" t="n">
        <x:v>167207801.84</x:v>
      </x:c>
      <x:c r="M920" s="12" t="str">
        <x:v>TuShare index_daily</x:v>
      </x:c>
    </x:row>
    <x:row r="921" ht="18" customHeight="1">
      <x:c r="A921" s="13" t="n">
        <x:v>43959</x:v>
      </x:c>
      <x:c r="B921" s="12" t="str">
        <x:v>000300.SH</x:v>
      </x:c>
      <x:c r="C921" s="12" t="n">
        <x:v>3942.9972</x:v>
      </x:c>
      <x:c r="D921" s="12" t="n">
        <x:v>3979.6627</x:v>
      </x:c>
      <x:c r="E921" s="12" t="n">
        <x:v>3935.9805</x:v>
      </x:c>
      <x:c r="F921" s="12" t="n">
        <x:v>3963.6217</x:v>
      </x:c>
      <x:c r="G921" s="12" t="n">
        <x:v>3924.8946</x:v>
      </x:c>
      <x:c r="H921" s="12" t="n">
        <x:v>38.7271</x:v>
      </x:c>
      <x:c r="I921" s="12" t="n">
        <x:v>0.9867</x:v>
      </x:c>
      <x:c r="J921" s="12" t="n">
        <x:v>0.009818680637865151</x:v>
      </x:c>
      <x:c r="K921" s="12" t="n">
        <x:v>116943341</x:v>
      </x:c>
      <x:c r="L921" s="12" t="n">
        <x:v>190299584.717</x:v>
      </x:c>
      <x:c r="M921" s="12" t="str">
        <x:v>TuShare index_daily</x:v>
      </x:c>
    </x:row>
    <x:row r="922" ht="18" customHeight="1">
      <x:c r="A922" s="13" t="n">
        <x:v>43962</x:v>
      </x:c>
      <x:c r="B922" s="12" t="str">
        <x:v>000300.SH</x:v>
      </x:c>
      <x:c r="C922" s="12" t="n">
        <x:v>3974.7605</x:v>
      </x:c>
      <x:c r="D922" s="12" t="n">
        <x:v>3998.0972</x:v>
      </x:c>
      <x:c r="E922" s="12" t="n">
        <x:v>3944.5037</x:v>
      </x:c>
      <x:c r="F922" s="12" t="n">
        <x:v>3960.1803</x:v>
      </x:c>
      <x:c r="G922" s="12" t="n">
        <x:v>3963.6217</x:v>
      </x:c>
      <x:c r="H922" s="12" t="n">
        <x:v>-3.4414</x:v>
      </x:c>
      <x:c r="I922" s="12" t="n">
        <x:v>-0.0868</x:v>
      </x:c>
      <x:c r="J922" s="12" t="n">
        <x:v>-0.0008686234755437449</x:v>
      </x:c>
      <x:c r="K922" s="12" t="n">
        <x:v>122673803</x:v>
      </x:c>
      <x:c r="L922" s="12" t="n">
        <x:v>193758093.9</x:v>
      </x:c>
      <x:c r="M922" s="12" t="str">
        <x:v>TuShare index_daily</x:v>
      </x:c>
    </x:row>
    <x:row r="923" ht="18" customHeight="1">
      <x:c r="A923" s="13" t="n">
        <x:v>43963</x:v>
      </x:c>
      <x:c r="B923" s="12" t="str">
        <x:v>000300.SH</x:v>
      </x:c>
      <x:c r="C923" s="12" t="n">
        <x:v>3961.3427</x:v>
      </x:c>
      <x:c r="D923" s="12" t="n">
        <x:v>3970.1115</x:v>
      </x:c>
      <x:c r="E923" s="12" t="n">
        <x:v>3930.2108</x:v>
      </x:c>
      <x:c r="F923" s="12" t="n">
        <x:v>3960.2378</x:v>
      </x:c>
      <x:c r="G923" s="12" t="n">
        <x:v>3960.1803</x:v>
      </x:c>
      <x:c r="H923" s="12" t="n">
        <x:v>0.0575</x:v>
      </x:c>
      <x:c r="I923" s="12" t="n">
        <x:v>0.0015</x:v>
      </x:c>
      <x:c r="J923" s="12" t="n">
        <x:v>0.000014519435533601591</x:v>
      </x:c>
      <x:c r="K923" s="12" t="n">
        <x:v>98250554</x:v>
      </x:c>
      <x:c r="L923" s="12" t="n">
        <x:v>157465780.06</x:v>
      </x:c>
      <x:c r="M923" s="12" t="str">
        <x:v>TuShare index_daily</x:v>
      </x:c>
    </x:row>
    <x:row r="924" ht="18" customHeight="1">
      <x:c r="A924" s="13" t="n">
        <x:v>43964</x:v>
      </x:c>
      <x:c r="B924" s="12" t="str">
        <x:v>000300.SH</x:v>
      </x:c>
      <x:c r="C924" s="12" t="n">
        <x:v>3946.6428</x:v>
      </x:c>
      <x:c r="D924" s="12" t="n">
        <x:v>3972.5254</x:v>
      </x:c>
      <x:c r="E924" s="12" t="n">
        <x:v>3932.5711</x:v>
      </x:c>
      <x:c r="F924" s="12" t="n">
        <x:v>3968.2529</x:v>
      </x:c>
      <x:c r="G924" s="12" t="n">
        <x:v>3960.2378</x:v>
      </x:c>
      <x:c r="H924" s="12" t="n">
        <x:v>8.0151</x:v>
      </x:c>
      <x:c r="I924" s="12" t="n">
        <x:v>0.2024</x:v>
      </x:c>
      <x:c r="J924" s="12" t="n">
        <x:v>0.002021848302197205</x:v>
      </x:c>
      <x:c r="K924" s="12" t="n">
        <x:v>88190669</x:v>
      </x:c>
      <x:c r="L924" s="12" t="n">
        <x:v>145563383.276</x:v>
      </x:c>
      <x:c r="M924" s="12" t="str">
        <x:v>TuShare index_daily</x:v>
      </x:c>
    </x:row>
    <x:row r="925" ht="18" customHeight="1">
      <x:c r="A925" s="13" t="n">
        <x:v>43965</x:v>
      </x:c>
      <x:c r="B925" s="12" t="str">
        <x:v>000300.SH</x:v>
      </x:c>
      <x:c r="C925" s="12" t="n">
        <x:v>3952.1986</x:v>
      </x:c>
      <x:c r="D925" s="12" t="n">
        <x:v>3952.1986</x:v>
      </x:c>
      <x:c r="E925" s="12" t="n">
        <x:v>3924.0452</x:v>
      </x:c>
      <x:c r="F925" s="12" t="n">
        <x:v>3925.2177</x:v>
      </x:c>
      <x:c r="G925" s="12" t="n">
        <x:v>3968.2529</x:v>
      </x:c>
      <x:c r="H925" s="12" t="n">
        <x:v>-43.0352</x:v>
      </x:c>
      <x:c r="I925" s="12" t="n">
        <x:v>-1.0845</x:v>
      </x:c>
      <x:c r="J925" s="12" t="n">
        <x:v>-0.010904107606277304</x:v>
      </x:c>
      <x:c r="K925" s="12" t="n">
        <x:v>88530004</x:v>
      </x:c>
      <x:c r="L925" s="12" t="n">
        <x:v>143499177.72</x:v>
      </x:c>
      <x:c r="M925" s="12" t="str">
        <x:v>TuShare index_daily</x:v>
      </x:c>
    </x:row>
    <x:row r="926" ht="18" customHeight="1">
      <x:c r="A926" s="13" t="n">
        <x:v>43966</x:v>
      </x:c>
      <x:c r="B926" s="12" t="str">
        <x:v>000300.SH</x:v>
      </x:c>
      <x:c r="C926" s="12" t="n">
        <x:v>3941.125</x:v>
      </x:c>
      <x:c r="D926" s="12" t="n">
        <x:v>3945.1956</x:v>
      </x:c>
      <x:c r="E926" s="12" t="n">
        <x:v>3907.4021</x:v>
      </x:c>
      <x:c r="F926" s="12" t="n">
        <x:v>3912.8159</x:v>
      </x:c>
      <x:c r="G926" s="12" t="n">
        <x:v>3925.2177</x:v>
      </x:c>
      <x:c r="H926" s="12" t="n">
        <x:v>-12.4018</x:v>
      </x:c>
      <x:c r="I926" s="12" t="n">
        <x:v>-0.316</x:v>
      </x:c>
      <x:c r="J926" s="12" t="n">
        <x:v>-0.0031645208434674514</x:v>
      </x:c>
      <x:c r="K926" s="12" t="n">
        <x:v>92618382</x:v>
      </x:c>
      <x:c r="L926" s="12" t="n">
        <x:v>153301505.149</x:v>
      </x:c>
      <x:c r="M926" s="12" t="str">
        <x:v>TuShare index_daily</x:v>
      </x:c>
    </x:row>
    <x:row r="927" ht="18" customHeight="1">
      <x:c r="A927" s="13" t="n">
        <x:v>43969</x:v>
      </x:c>
      <x:c r="B927" s="12" t="str">
        <x:v>000300.SH</x:v>
      </x:c>
      <x:c r="C927" s="12" t="n">
        <x:v>3914.6602</x:v>
      </x:c>
      <x:c r="D927" s="12" t="n">
        <x:v>3946.4312</x:v>
      </x:c>
      <x:c r="E927" s="12" t="n">
        <x:v>3898.4041</x:v>
      </x:c>
      <x:c r="F927" s="12" t="n">
        <x:v>3922.9117</x:v>
      </x:c>
      <x:c r="G927" s="12" t="n">
        <x:v>3912.8159</x:v>
      </x:c>
      <x:c r="H927" s="12" t="n">
        <x:v>10.0958</x:v>
      </x:c>
      <x:c r="I927" s="12" t="n">
        <x:v>0.258</x:v>
      </x:c>
      <x:c r="J927" s="12" t="n">
        <x:v>0.0025768648686913405</x:v>
      </x:c>
      <x:c r="K927" s="12" t="n">
        <x:v>112801762</x:v>
      </x:c>
      <x:c r="L927" s="12" t="n">
        <x:v>188528121.368</x:v>
      </x:c>
      <x:c r="M927" s="12" t="str">
        <x:v>TuShare index_daily</x:v>
      </x:c>
    </x:row>
    <x:row r="928" ht="18" customHeight="1">
      <x:c r="A928" s="13" t="n">
        <x:v>43970</x:v>
      </x:c>
      <x:c r="B928" s="12" t="str">
        <x:v>000300.SH</x:v>
      </x:c>
      <x:c r="C928" s="12" t="n">
        <x:v>3963.7754</x:v>
      </x:c>
      <x:c r="D928" s="12" t="n">
        <x:v>3966.8518</x:v>
      </x:c>
      <x:c r="E928" s="12" t="n">
        <x:v>3944.0715</x:v>
      </x:c>
      <x:c r="F928" s="12" t="n">
        <x:v>3956.2495</x:v>
      </x:c>
      <x:c r="G928" s="12" t="n">
        <x:v>3922.9117</x:v>
      </x:c>
      <x:c r="H928" s="12" t="n">
        <x:v>33.3378</x:v>
      </x:c>
      <x:c r="I928" s="12" t="n">
        <x:v>0.8498</x:v>
      </x:c>
      <x:c r="J928" s="12" t="n">
        <x:v>0.008462321838410712</x:v>
      </x:c>
      <x:c r="K928" s="12" t="n">
        <x:v>94015291</x:v>
      </x:c>
      <x:c r="L928" s="12" t="n">
        <x:v>159886222.402</x:v>
      </x:c>
      <x:c r="M928" s="12" t="str">
        <x:v>TuShare index_daily</x:v>
      </x:c>
    </x:row>
    <x:row r="929" ht="18" customHeight="1">
      <x:c r="A929" s="13" t="n">
        <x:v>43971</x:v>
      </x:c>
      <x:c r="B929" s="12" t="str">
        <x:v>000300.SH</x:v>
      </x:c>
      <x:c r="C929" s="12" t="n">
        <x:v>3955.7145</x:v>
      </x:c>
      <x:c r="D929" s="12" t="n">
        <x:v>3955.7145</x:v>
      </x:c>
      <x:c r="E929" s="12" t="n">
        <x:v>3923.9213</x:v>
      </x:c>
      <x:c r="F929" s="12" t="n">
        <x:v>3935.222</x:v>
      </x:c>
      <x:c r="G929" s="12" t="n">
        <x:v>3956.2495</x:v>
      </x:c>
      <x:c r="H929" s="12" t="n">
        <x:v>-21.0275</x:v>
      </x:c>
      <x:c r="I929" s="12" t="n">
        <x:v>-0.5315</x:v>
      </x:c>
      <x:c r="J929" s="12" t="n">
        <x:v>-0.005329183477480376</x:v>
      </x:c>
      <x:c r="K929" s="12" t="n">
        <x:v>100791150</x:v>
      </x:c>
      <x:c r="L929" s="12" t="n">
        <x:v>157102533.276</x:v>
      </x:c>
      <x:c r="M929" s="12" t="str">
        <x:v>TuShare index_daily</x:v>
      </x:c>
    </x:row>
    <x:row r="930" ht="18" customHeight="1">
      <x:c r="A930" s="13" t="n">
        <x:v>43972</x:v>
      </x:c>
      <x:c r="B930" s="12" t="str">
        <x:v>000300.SH</x:v>
      </x:c>
      <x:c r="C930" s="12" t="n">
        <x:v>3950.5981</x:v>
      </x:c>
      <x:c r="D930" s="12" t="n">
        <x:v>3951.743</x:v>
      </x:c>
      <x:c r="E930" s="12" t="n">
        <x:v>3907.5788</x:v>
      </x:c>
      <x:c r="F930" s="12" t="n">
        <x:v>3913.7949</x:v>
      </x:c>
      <x:c r="G930" s="12" t="n">
        <x:v>3935.222</x:v>
      </x:c>
      <x:c r="H930" s="12" t="n">
        <x:v>-21.4271</x:v>
      </x:c>
      <x:c r="I930" s="12" t="n">
        <x:v>-0.5445</x:v>
      </x:c>
      <x:c r="J930" s="12" t="n">
        <x:v>-0.005459831084839416</x:v>
      </x:c>
      <x:c r="K930" s="12" t="n">
        <x:v>94861033</x:v>
      </x:c>
      <x:c r="L930" s="12" t="n">
        <x:v>149154142.258</x:v>
      </x:c>
      <x:c r="M930" s="12" t="str">
        <x:v>TuShare index_daily</x:v>
      </x:c>
    </x:row>
    <x:row r="931" ht="18" customHeight="1">
      <x:c r="A931" s="13" t="n">
        <x:v>43973</x:v>
      </x:c>
      <x:c r="B931" s="12" t="str">
        <x:v>000300.SH</x:v>
      </x:c>
      <x:c r="C931" s="12" t="n">
        <x:v>3907.5761</x:v>
      </x:c>
      <x:c r="D931" s="12" t="n">
        <x:v>3907.5761</x:v>
      </x:c>
      <x:c r="E931" s="12" t="n">
        <x:v>3818.1488</x:v>
      </x:c>
      <x:c r="F931" s="12" t="n">
        <x:v>3824.064</x:v>
      </x:c>
      <x:c r="G931" s="12" t="n">
        <x:v>3913.7949</x:v>
      </x:c>
      <x:c r="H931" s="12" t="n">
        <x:v>-89.7309</x:v>
      </x:c>
      <x:c r="I931" s="12" t="n">
        <x:v>-2.2927</x:v>
      </x:c>
      <x:c r="J931" s="12" t="n">
        <x:v>-0.023193734514938474</x:v>
      </x:c>
      <x:c r="K931" s="12" t="n">
        <x:v>103378360</x:v>
      </x:c>
      <x:c r="L931" s="12" t="n">
        <x:v>157286504.986</x:v>
      </x:c>
      <x:c r="M931" s="12" t="str">
        <x:v>TuShare index_daily</x:v>
      </x:c>
    </x:row>
    <x:row r="932" ht="18" customHeight="1">
      <x:c r="A932" s="13" t="n">
        <x:v>43976</x:v>
      </x:c>
      <x:c r="B932" s="12" t="str">
        <x:v>000300.SH</x:v>
      </x:c>
      <x:c r="C932" s="12" t="n">
        <x:v>3828.3206</x:v>
      </x:c>
      <x:c r="D932" s="12" t="n">
        <x:v>3835.6333</x:v>
      </x:c>
      <x:c r="E932" s="12" t="n">
        <x:v>3800.1796</x:v>
      </x:c>
      <x:c r="F932" s="12" t="n">
        <x:v>3829.3245</x:v>
      </x:c>
      <x:c r="G932" s="12" t="n">
        <x:v>3824.064</x:v>
      </x:c>
      <x:c r="H932" s="12" t="n">
        <x:v>5.2605</x:v>
      </x:c>
      <x:c r="I932" s="12" t="n">
        <x:v>0.1376</x:v>
      </x:c>
      <x:c r="J932" s="12" t="n">
        <x:v>0.0013746854294471086</x:v>
      </x:c>
      <x:c r="K932" s="12" t="n">
        <x:v>79033326</x:v>
      </x:c>
      <x:c r="L932" s="12" t="n">
        <x:v>127011917.716</x:v>
      </x:c>
      <x:c r="M932" s="12" t="str">
        <x:v>TuShare index_daily</x:v>
      </x:c>
    </x:row>
    <x:row r="933" ht="18" customHeight="1">
      <x:c r="A933" s="13" t="n">
        <x:v>43977</x:v>
      </x:c>
      <x:c r="B933" s="12" t="str">
        <x:v>000300.SH</x:v>
      </x:c>
      <x:c r="C933" s="12" t="n">
        <x:v>3850.0009</x:v>
      </x:c>
      <x:c r="D933" s="12" t="n">
        <x:v>3874.7484</x:v>
      </x:c>
      <x:c r="E933" s="12" t="n">
        <x:v>3844.4776</x:v>
      </x:c>
      <x:c r="F933" s="12" t="n">
        <x:v>3872.7701</x:v>
      </x:c>
      <x:c r="G933" s="12" t="n">
        <x:v>3829.3245</x:v>
      </x:c>
      <x:c r="H933" s="12" t="n">
        <x:v>43.4456</x:v>
      </x:c>
      <x:c r="I933" s="12" t="n">
        <x:v>1.1345</x:v>
      </x:c>
      <x:c r="J933" s="12" t="n">
        <x:v>0.01128162222103003</x:v>
      </x:c>
      <x:c r="K933" s="12" t="n">
        <x:v>77448076</x:v>
      </x:c>
      <x:c r="L933" s="12" t="n">
        <x:v>125445619.317</x:v>
      </x:c>
      <x:c r="M933" s="12" t="str">
        <x:v>TuShare index_daily</x:v>
      </x:c>
    </x:row>
    <x:row r="934" ht="18" customHeight="1">
      <x:c r="A934" s="13" t="n">
        <x:v>43978</x:v>
      </x:c>
      <x:c r="B934" s="12" t="str">
        <x:v>000300.SH</x:v>
      </x:c>
      <x:c r="C934" s="12" t="n">
        <x:v>3873.6984</x:v>
      </x:c>
      <x:c r="D934" s="12" t="n">
        <x:v>3873.6984</x:v>
      </x:c>
      <x:c r="E934" s="12" t="n">
        <x:v>3838.4247</x:v>
      </x:c>
      <x:c r="F934" s="12" t="n">
        <x:v>3845.6135</x:v>
      </x:c>
      <x:c r="G934" s="12" t="n">
        <x:v>3872.7701</x:v>
      </x:c>
      <x:c r="H934" s="12" t="n">
        <x:v>-27.1566</x:v>
      </x:c>
      <x:c r="I934" s="12" t="n">
        <x:v>-0.7012</x:v>
      </x:c>
      <x:c r="J934" s="12" t="n">
        <x:v>-0.007036891004288614</x:v>
      </x:c>
      <x:c r="K934" s="12" t="n">
        <x:v>83711831</x:v>
      </x:c>
      <x:c r="L934" s="12" t="n">
        <x:v>123737501.165</x:v>
      </x:c>
      <x:c r="M934" s="12" t="str">
        <x:v>TuShare index_daily</x:v>
      </x:c>
    </x:row>
    <x:row r="935" ht="18" customHeight="1">
      <x:c r="A935" s="13" t="n">
        <x:v>43979</x:v>
      </x:c>
      <x:c r="B935" s="12" t="str">
        <x:v>000300.SH</x:v>
      </x:c>
      <x:c r="C935" s="12" t="n">
        <x:v>3848.4892</x:v>
      </x:c>
      <x:c r="D935" s="12" t="n">
        <x:v>3885.4211</x:v>
      </x:c>
      <x:c r="E935" s="12" t="n">
        <x:v>3818.4318</x:v>
      </x:c>
      <x:c r="F935" s="12" t="n">
        <x:v>3856.6324</x:v>
      </x:c>
      <x:c r="G935" s="12" t="n">
        <x:v>3845.6135</x:v>
      </x:c>
      <x:c r="H935" s="12" t="n">
        <x:v>11.0189</x:v>
      </x:c>
      <x:c r="I935" s="12" t="n">
        <x:v>0.2865</x:v>
      </x:c>
      <x:c r="J935" s="12" t="n">
        <x:v>0.002861219353501663</x:v>
      </x:c>
      <x:c r="K935" s="12" t="n">
        <x:v>93064054</x:v>
      </x:c>
      <x:c r="L935" s="12" t="n">
        <x:v>139108407.792</x:v>
      </x:c>
      <x:c r="M935" s="12" t="str">
        <x:v>TuShare index_daily</x:v>
      </x:c>
    </x:row>
    <x:row r="936" ht="18" customHeight="1">
      <x:c r="A936" s="13" t="n">
        <x:v>43980</x:v>
      </x:c>
      <x:c r="B936" s="12" t="str">
        <x:v>000300.SH</x:v>
      </x:c>
      <x:c r="C936" s="12" t="n">
        <x:v>3838.3769</x:v>
      </x:c>
      <x:c r="D936" s="12" t="n">
        <x:v>3872.3031</x:v>
      </x:c>
      <x:c r="E936" s="12" t="n">
        <x:v>3830.4185</x:v>
      </x:c>
      <x:c r="F936" s="12" t="n">
        <x:v>3867.0232</x:v>
      </x:c>
      <x:c r="G936" s="12" t="n">
        <x:v>3856.6324</x:v>
      </x:c>
      <x:c r="H936" s="12" t="n">
        <x:v>10.3908</x:v>
      </x:c>
      <x:c r="I936" s="12" t="n">
        <x:v>0.2694</x:v>
      </x:c>
      <x:c r="J936" s="12" t="n">
        <x:v>0.0026906446394998444</x:v>
      </x:c>
      <x:c r="K936" s="12" t="n">
        <x:v>93813832</x:v>
      </x:c>
      <x:c r="L936" s="12" t="n">
        <x:v>135658136.028</x:v>
      </x:c>
      <x:c r="M936" s="12" t="str">
        <x:v>TuShare index_daily</x:v>
      </x:c>
    </x:row>
    <x:row r="937" ht="18" customHeight="1">
      <x:c r="A937" s="13" t="n">
        <x:v>43983</x:v>
      </x:c>
      <x:c r="B937" s="12" t="str">
        <x:v>000300.SH</x:v>
      </x:c>
      <x:c r="C937" s="12" t="n">
        <x:v>3901.7263</x:v>
      </x:c>
      <x:c r="D937" s="12" t="n">
        <x:v>3976.3151</x:v>
      </x:c>
      <x:c r="E937" s="12" t="n">
        <x:v>3901.7263</x:v>
      </x:c>
      <x:c r="F937" s="12" t="n">
        <x:v>3971.3402</x:v>
      </x:c>
      <x:c r="G937" s="12" t="n">
        <x:v>3867.0232</x:v>
      </x:c>
      <x:c r="H937" s="12" t="n">
        <x:v>104.317</x:v>
      </x:c>
      <x:c r="I937" s="12" t="n">
        <x:v>2.6976</x:v>
      </x:c>
      <x:c r="J937" s="12" t="n">
        <x:v>0.026618607505175626</x:v>
      </x:c>
      <x:c r="K937" s="12" t="n">
        <x:v>136456652</x:v>
      </x:c>
      <x:c r="L937" s="12" t="n">
        <x:v>208436512.945</x:v>
      </x:c>
      <x:c r="M937" s="12" t="str">
        <x:v>TuShare index_daily</x:v>
      </x:c>
    </x:row>
    <x:row r="938" ht="18" customHeight="1">
      <x:c r="A938" s="13" t="n">
        <x:v>43984</x:v>
      </x:c>
      <x:c r="B938" s="12" t="str">
        <x:v>000300.SH</x:v>
      </x:c>
      <x:c r="C938" s="12" t="n">
        <x:v>3969.9521</x:v>
      </x:c>
      <x:c r="D938" s="12" t="n">
        <x:v>3991.7761</x:v>
      </x:c>
      <x:c r="E938" s="12" t="n">
        <x:v>3958.9774</x:v>
      </x:c>
      <x:c r="F938" s="12" t="n">
        <x:v>3983.5677</x:v>
      </x:c>
      <x:c r="G938" s="12" t="n">
        <x:v>3971.3402</x:v>
      </x:c>
      <x:c r="H938" s="12" t="n">
        <x:v>12.2275</x:v>
      </x:c>
      <x:c r="I938" s="12" t="n">
        <x:v>0.3079</x:v>
      </x:c>
      <x:c r="J938" s="12" t="n">
        <x:v>0.003074205203533941</x:v>
      </x:c>
      <x:c r="K938" s="12" t="n">
        <x:v>144303060</x:v>
      </x:c>
      <x:c r="L938" s="12" t="n">
        <x:v>195563304.256</x:v>
      </x:c>
      <x:c r="M938" s="12" t="str">
        <x:v>TuShare index_daily</x:v>
      </x:c>
    </x:row>
    <x:row r="939" ht="18" customHeight="1">
      <x:c r="A939" s="13" t="n">
        <x:v>43985</x:v>
      </x:c>
      <x:c r="B939" s="12" t="str">
        <x:v>000300.SH</x:v>
      </x:c>
      <x:c r="C939" s="12" t="n">
        <x:v>4001.1708</x:v>
      </x:c>
      <x:c r="D939" s="12" t="n">
        <x:v>4018.6759</x:v>
      </x:c>
      <x:c r="E939" s="12" t="n">
        <x:v>3982.9299</x:v>
      </x:c>
      <x:c r="F939" s="12" t="n">
        <x:v>3983.6477</x:v>
      </x:c>
      <x:c r="G939" s="12" t="n">
        <x:v>3983.5677</x:v>
      </x:c>
      <x:c r="H939" s="12" t="n">
        <x:v>0.08</x:v>
      </x:c>
      <x:c r="I939" s="12" t="n">
        <x:v>0.002</x:v>
      </x:c>
      <x:c r="J939" s="12" t="n">
        <x:v>0.00002008229876724991</x:v>
      </x:c>
      <x:c r="K939" s="12" t="n">
        <x:v>136597483</x:v>
      </x:c>
      <x:c r="L939" s="12" t="n">
        <x:v>200882767.677</x:v>
      </x:c>
      <x:c r="M939" s="12" t="str">
        <x:v>TuShare index_daily</x:v>
      </x:c>
    </x:row>
    <x:row r="940" ht="18" customHeight="1">
      <x:c r="A940" s="13" t="n">
        <x:v>43986</x:v>
      </x:c>
      <x:c r="B940" s="12" t="str">
        <x:v>000300.SH</x:v>
      </x:c>
      <x:c r="C940" s="12" t="n">
        <x:v>3998.1636</x:v>
      </x:c>
      <x:c r="D940" s="12" t="n">
        <x:v>3999.8051</x:v>
      </x:c>
      <x:c r="E940" s="12" t="n">
        <x:v>3968.5723</x:v>
      </x:c>
      <x:c r="F940" s="12" t="n">
        <x:v>3982.1851</x:v>
      </x:c>
      <x:c r="G940" s="12" t="n">
        <x:v>3983.6477</x:v>
      </x:c>
      <x:c r="H940" s="12" t="n">
        <x:v>-1.4626</x:v>
      </x:c>
      <x:c r="I940" s="12" t="n">
        <x:v>-0.0367</x:v>
      </x:c>
      <x:c r="J940" s="12" t="n">
        <x:v>-0.00036721835698979503</x:v>
      </x:c>
      <x:c r="K940" s="12" t="n">
        <x:v>104277737</x:v>
      </x:c>
      <x:c r="L940" s="12" t="n">
        <x:v>149057855.838</x:v>
      </x:c>
      <x:c r="M940" s="12" t="str">
        <x:v>TuShare index_daily</x:v>
      </x:c>
    </x:row>
    <x:row r="941" ht="18" customHeight="1">
      <x:c r="A941" s="13" t="n">
        <x:v>43987</x:v>
      </x:c>
      <x:c r="B941" s="12" t="str">
        <x:v>000300.SH</x:v>
      </x:c>
      <x:c r="C941" s="12" t="n">
        <x:v>3988.2239</x:v>
      </x:c>
      <x:c r="D941" s="12" t="n">
        <x:v>4001.2509</x:v>
      </x:c>
      <x:c r="E941" s="12" t="n">
        <x:v>3967.926</x:v>
      </x:c>
      <x:c r="F941" s="12" t="n">
        <x:v>4001.2509</x:v>
      </x:c>
      <x:c r="G941" s="12" t="n">
        <x:v>3982.1851</x:v>
      </x:c>
      <x:c r="H941" s="12" t="n">
        <x:v>19.0658</x:v>
      </x:c>
      <x:c r="I941" s="12" t="n">
        <x:v>0.4788</x:v>
      </x:c>
      <x:c r="J941" s="12" t="n">
        <x:v>0.004776348491166621</x:v>
      </x:c>
      <x:c r="K941" s="12" t="n">
        <x:v>102443942</x:v>
      </x:c>
      <x:c r="L941" s="12" t="n">
        <x:v>154311342.982</x:v>
      </x:c>
      <x:c r="M941" s="12" t="str">
        <x:v>TuShare index_daily</x:v>
      </x:c>
    </x:row>
    <x:row r="942" ht="18" customHeight="1">
      <x:c r="A942" s="13" t="n">
        <x:v>43990</x:v>
      </x:c>
      <x:c r="B942" s="12" t="str">
        <x:v>000300.SH</x:v>
      </x:c>
      <x:c r="C942" s="12" t="n">
        <x:v>4023.606</x:v>
      </x:c>
      <x:c r="D942" s="12" t="n">
        <x:v>4050.2213</x:v>
      </x:c>
      <x:c r="E942" s="12" t="n">
        <x:v>4016.1015</x:v>
      </x:c>
      <x:c r="F942" s="12" t="n">
        <x:v>4021.9549</x:v>
      </x:c>
      <x:c r="G942" s="12" t="n">
        <x:v>4001.2509</x:v>
      </x:c>
      <x:c r="H942" s="12" t="n">
        <x:v>20.704</x:v>
      </x:c>
      <x:c r="I942" s="12" t="n">
        <x:v>0.5174</x:v>
      </x:c>
      <x:c r="J942" s="12" t="n">
        <x:v>0.005161040729267489</x:v>
      </x:c>
      <x:c r="K942" s="12" t="n">
        <x:v>137925813</x:v>
      </x:c>
      <x:c r="L942" s="12" t="n">
        <x:v>193047518.688</x:v>
      </x:c>
      <x:c r="M942" s="12" t="str">
        <x:v>TuShare index_daily</x:v>
      </x:c>
    </x:row>
    <x:row r="943" ht="18" customHeight="1">
      <x:c r="A943" s="13" t="n">
        <x:v>43991</x:v>
      </x:c>
      <x:c r="B943" s="12" t="str">
        <x:v>000300.SH</x:v>
      </x:c>
      <x:c r="C943" s="12" t="n">
        <x:v>4027.5613</x:v>
      </x:c>
      <x:c r="D943" s="12" t="n">
        <x:v>4052.1557</x:v>
      </x:c>
      <x:c r="E943" s="12" t="n">
        <x:v>4016.3387</x:v>
      </x:c>
      <x:c r="F943" s="12" t="n">
        <x:v>4047.0293</x:v>
      </x:c>
      <x:c r="G943" s="12" t="n">
        <x:v>4021.9549</x:v>
      </x:c>
      <x:c r="H943" s="12" t="n">
        <x:v>25.0744</x:v>
      </x:c>
      <x:c r="I943" s="12" t="n">
        <x:v>0.6234</x:v>
      </x:c>
      <x:c r="J943" s="12" t="n">
        <x:v>0.006215027837446011</x:v>
      </x:c>
      <x:c r="K943" s="12" t="n">
        <x:v>115304479</x:v>
      </x:c>
      <x:c r="L943" s="12" t="n">
        <x:v>166533966.01</x:v>
      </x:c>
      <x:c r="M943" s="12" t="str">
        <x:v>TuShare index_daily</x:v>
      </x:c>
    </x:row>
    <x:row r="944" ht="18" customHeight="1">
      <x:c r="A944" s="13" t="n">
        <x:v>43992</x:v>
      </x:c>
      <x:c r="B944" s="12" t="str">
        <x:v>000300.SH</x:v>
      </x:c>
      <x:c r="C944" s="12" t="n">
        <x:v>4046.2317</x:v>
      </x:c>
      <x:c r="D944" s="12" t="n">
        <x:v>4046.2317</x:v>
      </x:c>
      <x:c r="E944" s="12" t="n">
        <x:v>4024.4185</x:v>
      </x:c>
      <x:c r="F944" s="12" t="n">
        <x:v>4039.7051</x:v>
      </x:c>
      <x:c r="G944" s="12" t="n">
        <x:v>4047.0293</x:v>
      </x:c>
      <x:c r="H944" s="12" t="n">
        <x:v>-7.3242</x:v>
      </x:c>
      <x:c r="I944" s="12" t="n">
        <x:v>-0.181</x:v>
      </x:c>
      <x:c r="J944" s="12" t="n">
        <x:v>-0.0018114115390478484</x:v>
      </x:c>
      <x:c r="K944" s="12" t="n">
        <x:v>112265728</x:v>
      </x:c>
      <x:c r="L944" s="12" t="n">
        <x:v>166778642.366</x:v>
      </x:c>
      <x:c r="M944" s="12" t="str">
        <x:v>TuShare index_daily</x:v>
      </x:c>
    </x:row>
    <x:row r="945" ht="18" customHeight="1">
      <x:c r="A945" s="13" t="n">
        <x:v>43993</x:v>
      </x:c>
      <x:c r="B945" s="12" t="str">
        <x:v>000300.SH</x:v>
      </x:c>
      <x:c r="C945" s="12" t="n">
        <x:v>4031.7396</x:v>
      </x:c>
      <x:c r="D945" s="12" t="n">
        <x:v>4043.0123</x:v>
      </x:c>
      <x:c r="E945" s="12" t="n">
        <x:v>3979.7522</x:v>
      </x:c>
      <x:c r="F945" s="12" t="n">
        <x:v>3995.8846</x:v>
      </x:c>
      <x:c r="G945" s="12" t="n">
        <x:v>4039.7051</x:v>
      </x:c>
      <x:c r="H945" s="12" t="n">
        <x:v>-43.8205</x:v>
      </x:c>
      <x:c r="I945" s="12" t="n">
        <x:v>-1.0847</x:v>
      </x:c>
      <x:c r="J945" s="12" t="n">
        <x:v>-0.010906712768860143</x:v>
      </x:c>
      <x:c r="K945" s="12" t="n">
        <x:v>127308941</x:v>
      </x:c>
      <x:c r="L945" s="12" t="n">
        <x:v>197079441.861</x:v>
      </x:c>
      <x:c r="M945" s="12" t="str">
        <x:v>TuShare index_daily</x:v>
      </x:c>
    </x:row>
    <x:row r="946" ht="18" customHeight="1">
      <x:c r="A946" s="13" t="n">
        <x:v>43994</x:v>
      </x:c>
      <x:c r="B946" s="12" t="str">
        <x:v>000300.SH</x:v>
      </x:c>
      <x:c r="C946" s="12" t="n">
        <x:v>3931.6236</x:v>
      </x:c>
      <x:c r="D946" s="12" t="n">
        <x:v>4011.0591</x:v>
      </x:c>
      <x:c r="E946" s="12" t="n">
        <x:v>3927.2491</x:v>
      </x:c>
      <x:c r="F946" s="12" t="n">
        <x:v>4003.0829</x:v>
      </x:c>
      <x:c r="G946" s="12" t="n">
        <x:v>3995.8846</x:v>
      </x:c>
      <x:c r="H946" s="12" t="n">
        <x:v>7.1983</x:v>
      </x:c>
      <x:c r="I946" s="12" t="n">
        <x:v>0.1801</x:v>
      </x:c>
      <x:c r="J946" s="12" t="n">
        <x:v>0.0017998077734721176</x:v>
      </x:c>
      <x:c r="K946" s="12" t="n">
        <x:v>134166649</x:v>
      </x:c>
      <x:c r="L946" s="12" t="n">
        <x:v>193504046.742</x:v>
      </x:c>
      <x:c r="M946" s="12" t="str">
        <x:v>TuShare index_daily</x:v>
      </x:c>
    </x:row>
    <x:row r="947" ht="18" customHeight="1">
      <x:c r="A947" s="13" t="n">
        <x:v>43997</x:v>
      </x:c>
      <x:c r="B947" s="12" t="str">
        <x:v>000300.SH</x:v>
      </x:c>
      <x:c r="C947" s="12" t="n">
        <x:v>3982.9672</x:v>
      </x:c>
      <x:c r="D947" s="12" t="n">
        <x:v>4007.1396</x:v>
      </x:c>
      <x:c r="E947" s="12" t="n">
        <x:v>3954.9883</x:v>
      </x:c>
      <x:c r="F947" s="12" t="n">
        <x:v>3954.9883</x:v>
      </x:c>
      <x:c r="G947" s="12" t="n">
        <x:v>4003.0829</x:v>
      </x:c>
      <x:c r="H947" s="12" t="n">
        <x:v>-48.0946</x:v>
      </x:c>
      <x:c r="I947" s="12" t="n">
        <x:v>-1.2014</x:v>
      </x:c>
      <x:c r="J947" s="12" t="n">
        <x:v>-0.012087146329313512</x:v>
      </x:c>
      <x:c r="K947" s="12" t="n">
        <x:v>131297860</x:v>
      </x:c>
      <x:c r="L947" s="12" t="n">
        <x:v>211125336.144</x:v>
      </x:c>
      <x:c r="M947" s="12" t="str">
        <x:v>TuShare index_daily</x:v>
      </x:c>
    </x:row>
    <x:row r="948" ht="18" customHeight="1">
      <x:c r="A948" s="13" t="n">
        <x:v>43998</x:v>
      </x:c>
      <x:c r="B948" s="12" t="str">
        <x:v>000300.SH</x:v>
      </x:c>
      <x:c r="C948" s="12" t="n">
        <x:v>3995.5786</x:v>
      </x:c>
      <x:c r="D948" s="12" t="n">
        <x:v>4014.5702</x:v>
      </x:c>
      <x:c r="E948" s="12" t="n">
        <x:v>3987.8637</x:v>
      </x:c>
      <x:c r="F948" s="12" t="n">
        <x:v>4014.5702</x:v>
      </x:c>
      <x:c r="G948" s="12" t="n">
        <x:v>3954.9883</x:v>
      </x:c>
      <x:c r="H948" s="12" t="n">
        <x:v>59.5819</x:v>
      </x:c>
      <x:c r="I948" s="12" t="n">
        <x:v>1.5065</x:v>
      </x:c>
      <x:c r="J948" s="12" t="n">
        <x:v>0.014952650166163503</x:v>
      </x:c>
      <x:c r="K948" s="12" t="n">
        <x:v>111051539</x:v>
      </x:c>
      <x:c r="L948" s="12" t="n">
        <x:v>185104029.159</x:v>
      </x:c>
      <x:c r="M948" s="12" t="str">
        <x:v>TuShare index_daily</x:v>
      </x:c>
    </x:row>
    <x:row r="949" ht="18" customHeight="1">
      <x:c r="A949" s="13" t="n">
        <x:v>43999</x:v>
      </x:c>
      <x:c r="B949" s="12" t="str">
        <x:v>000300.SH</x:v>
      </x:c>
      <x:c r="C949" s="12" t="n">
        <x:v>4018.6094</x:v>
      </x:c>
      <x:c r="D949" s="12" t="n">
        <x:v>4018.6094</x:v>
      </x:c>
      <x:c r="E949" s="12" t="n">
        <x:v>3992.1339</x:v>
      </x:c>
      <x:c r="F949" s="12" t="n">
        <x:v>4017.5941</x:v>
      </x:c>
      <x:c r="G949" s="12" t="n">
        <x:v>4014.5702</x:v>
      </x:c>
      <x:c r="H949" s="12" t="n">
        <x:v>3.0239</x:v>
      </x:c>
      <x:c r="I949" s="12" t="n">
        <x:v>0.0753</x:v>
      </x:c>
      <x:c r="J949" s="12" t="n">
        <x:v>0.0007529477809265026</x:v>
      </x:c>
      <x:c r="K949" s="12" t="n">
        <x:v>105605799</x:v>
      </x:c>
      <x:c r="L949" s="12" t="n">
        <x:v>176977503.611</x:v>
      </x:c>
      <x:c r="M949" s="12" t="str">
        <x:v>TuShare index_daily</x:v>
      </x:c>
    </x:row>
    <x:row r="950" ht="18" customHeight="1">
      <x:c r="A950" s="13" t="n">
        <x:v>44000</x:v>
      </x:c>
      <x:c r="B950" s="12" t="str">
        <x:v>000300.SH</x:v>
      </x:c>
      <x:c r="C950" s="12" t="n">
        <x:v>4009.7831</x:v>
      </x:c>
      <x:c r="D950" s="12" t="n">
        <x:v>4047.5566</x:v>
      </x:c>
      <x:c r="E950" s="12" t="n">
        <x:v>4000.9008</x:v>
      </x:c>
      <x:c r="F950" s="12" t="n">
        <x:v>4044.3842</x:v>
      </x:c>
      <x:c r="G950" s="12" t="n">
        <x:v>4017.5941</x:v>
      </x:c>
      <x:c r="H950" s="12" t="n">
        <x:v>26.7901</x:v>
      </x:c>
      <x:c r="I950" s="12" t="n">
        <x:v>0.6668</x:v>
      </x:c>
      <x:c r="J950" s="12" t="n">
        <x:v>0.006646060709465059</x:v>
      </x:c>
      <x:c r="K950" s="12" t="n">
        <x:v>138148761</x:v>
      </x:c>
      <x:c r="L950" s="12" t="n">
        <x:v>210192918.146</x:v>
      </x:c>
      <x:c r="M950" s="12" t="str">
        <x:v>TuShare index_daily</x:v>
      </x:c>
    </x:row>
    <x:row r="951" ht="18" customHeight="1">
      <x:c r="A951" s="13" t="n">
        <x:v>44001</x:v>
      </x:c>
      <x:c r="B951" s="12" t="str">
        <x:v>000300.SH</x:v>
      </x:c>
      <x:c r="C951" s="12" t="n">
        <x:v>4047.0483</x:v>
      </x:c>
      <x:c r="D951" s="12" t="n">
        <x:v>4109.3602</x:v>
      </x:c>
      <x:c r="E951" s="12" t="n">
        <x:v>4043.4925</x:v>
      </x:c>
      <x:c r="F951" s="12" t="n">
        <x:v>4098.7095</x:v>
      </x:c>
      <x:c r="G951" s="12" t="n">
        <x:v>4044.3842</x:v>
      </x:c>
      <x:c r="H951" s="12" t="n">
        <x:v>54.3253</x:v>
      </x:c>
      <x:c r="I951" s="12" t="n">
        <x:v>1.3432</x:v>
      </x:c>
      <x:c r="J951" s="12" t="n">
        <x:v>0.013342866475464435</x:v>
      </x:c>
      <x:c r="K951" s="12" t="n">
        <x:v>152946990</x:v>
      </x:c>
      <x:c r="L951" s="12" t="n">
        <x:v>255549797.3</x:v>
      </x:c>
      <x:c r="M951" s="12" t="str">
        <x:v>TuShare index_daily</x:v>
      </x:c>
    </x:row>
    <x:row r="952" ht="18" customHeight="1">
      <x:c r="A952" s="13" t="n">
        <x:v>44004</x:v>
      </x:c>
      <x:c r="B952" s="12" t="str">
        <x:v>000300.SH</x:v>
      </x:c>
      <x:c r="C952" s="12" t="n">
        <x:v>4097.5071</x:v>
      </x:c>
      <x:c r="D952" s="12" t="n">
        <x:v>4126.9421</x:v>
      </x:c>
      <x:c r="E952" s="12" t="n">
        <x:v>4088.7822</x:v>
      </x:c>
      <x:c r="F952" s="12" t="n">
        <x:v>4102.0459</x:v>
      </x:c>
      <x:c r="G952" s="12" t="n">
        <x:v>4098.7095</x:v>
      </x:c>
      <x:c r="H952" s="12" t="n">
        <x:v>3.3364</x:v>
      </x:c>
      <x:c r="I952" s="12" t="n">
        <x:v>0.0814</x:v>
      </x:c>
      <x:c r="J952" s="12" t="n">
        <x:v>0.0008136811845599733</x:v>
      </x:c>
      <x:c r="K952" s="12" t="n">
        <x:v>155829465</x:v>
      </x:c>
      <x:c r="L952" s="12" t="n">
        <x:v>259200520.726</x:v>
      </x:c>
      <x:c r="M952" s="12" t="str">
        <x:v>TuShare index_daily</x:v>
      </x:c>
    </x:row>
    <x:row r="953" ht="18" customHeight="1">
      <x:c r="A953" s="13" t="n">
        <x:v>44005</x:v>
      </x:c>
      <x:c r="B953" s="12" t="str">
        <x:v>000300.SH</x:v>
      </x:c>
      <x:c r="C953" s="12" t="n">
        <x:v>4098.0373</x:v>
      </x:c>
      <x:c r="D953" s="12" t="n">
        <x:v>4124.725</x:v>
      </x:c>
      <x:c r="E953" s="12" t="n">
        <x:v>4080.7533</x:v>
      </x:c>
      <x:c r="F953" s="12" t="n">
        <x:v>4121.7944</x:v>
      </x:c>
      <x:c r="G953" s="12" t="n">
        <x:v>4102.0459</x:v>
      </x:c>
      <x:c r="H953" s="12" t="n">
        <x:v>19.7485</x:v>
      </x:c>
      <x:c r="I953" s="12" t="n">
        <x:v>0.4814</x:v>
      </x:c>
      <x:c r="J953" s="12" t="n">
        <x:v>0.00480275327345941</x:v>
      </x:c>
      <x:c r="K953" s="12" t="n">
        <x:v>129229510</x:v>
      </x:c>
      <x:c r="L953" s="12" t="n">
        <x:v>234806510.835</x:v>
      </x:c>
      <x:c r="M953" s="12" t="str">
        <x:v>TuShare index_daily</x:v>
      </x:c>
    </x:row>
    <x:row r="954" ht="18" customHeight="1">
      <x:c r="A954" s="13" t="n">
        <x:v>44006</x:v>
      </x:c>
      <x:c r="B954" s="12" t="str">
        <x:v>000300.SH</x:v>
      </x:c>
      <x:c r="C954" s="12" t="n">
        <x:v>4128.1003</x:v>
      </x:c>
      <x:c r="D954" s="12" t="n">
        <x:v>4144.6782</x:v>
      </x:c>
      <x:c r="E954" s="12" t="n">
        <x:v>4123.3582</x:v>
      </x:c>
      <x:c r="F954" s="12" t="n">
        <x:v>4138.9895</x:v>
      </x:c>
      <x:c r="G954" s="12" t="n">
        <x:v>4121.7944</x:v>
      </x:c>
      <x:c r="H954" s="12" t="n">
        <x:v>17.1951</x:v>
      </x:c>
      <x:c r="I954" s="12" t="n">
        <x:v>0.4172</x:v>
      </x:c>
      <x:c r="J954" s="12" t="n">
        <x:v>0.004163073394105781</x:v>
      </x:c>
      <x:c r="K954" s="12" t="n">
        <x:v>121712465</x:v>
      </x:c>
      <x:c r="L954" s="12" t="n">
        <x:v>224551430.008</x:v>
      </x:c>
      <x:c r="M954" s="12" t="str">
        <x:v>TuShare index_daily</x:v>
      </x:c>
    </x:row>
    <x:row r="955" ht="18" customHeight="1">
      <x:c r="A955" s="13" t="n">
        <x:v>44011</x:v>
      </x:c>
      <x:c r="B955" s="12" t="str">
        <x:v>000300.SH</x:v>
      </x:c>
      <x:c r="C955" s="12" t="n">
        <x:v>4127.9348</x:v>
      </x:c>
      <x:c r="D955" s="12" t="n">
        <x:v>4137.3696</x:v>
      </x:c>
      <x:c r="E955" s="12" t="n">
        <x:v>4092.5352</x:v>
      </x:c>
      <x:c r="F955" s="12" t="n">
        <x:v>4109.7164</x:v>
      </x:c>
      <x:c r="G955" s="12" t="n">
        <x:v>4138.9895</x:v>
      </x:c>
      <x:c r="H955" s="12" t="n">
        <x:v>-29.2731</x:v>
      </x:c>
      <x:c r="I955" s="12" t="n">
        <x:v>-0.7073</x:v>
      </x:c>
      <x:c r="J955" s="12" t="n">
        <x:v>-0.007097652224453106</x:v>
      </x:c>
      <x:c r="K955" s="12" t="n">
        <x:v>130865854</x:v>
      </x:c>
      <x:c r="L955" s="12" t="n">
        <x:v>226522059.763</x:v>
      </x:c>
      <x:c r="M955" s="12" t="str">
        <x:v>TuShare index_daily</x:v>
      </x:c>
    </x:row>
    <x:row r="956" ht="18" customHeight="1">
      <x:c r="A956" s="13" t="n">
        <x:v>44012</x:v>
      </x:c>
      <x:c r="B956" s="12" t="str">
        <x:v>000300.SH</x:v>
      </x:c>
      <x:c r="C956" s="12" t="n">
        <x:v>4130.0028</x:v>
      </x:c>
      <x:c r="D956" s="12" t="n">
        <x:v>4174.4236</x:v>
      </x:c>
      <x:c r="E956" s="12" t="n">
        <x:v>4129.7754</x:v>
      </x:c>
      <x:c r="F956" s="12" t="n">
        <x:v>4163.9637</x:v>
      </x:c>
      <x:c r="G956" s="12" t="n">
        <x:v>4109.7164</x:v>
      </x:c>
      <x:c r="H956" s="12" t="n">
        <x:v>54.2473</x:v>
      </x:c>
      <x:c r="I956" s="12" t="n">
        <x:v>1.32</x:v>
      </x:c>
      <x:c r="J956" s="12" t="n">
        <x:v>0.013113409441197675</x:v>
      </x:c>
      <x:c r="K956" s="12" t="n">
        <x:v>125933521</x:v>
      </x:c>
      <x:c r="L956" s="12" t="n">
        <x:v>227935704.489</x:v>
      </x:c>
      <x:c r="M956" s="12" t="str">
        <x:v>TuShare index_daily</x:v>
      </x:c>
    </x:row>
    <x:row r="957" ht="18" customHeight="1">
      <x:c r="A957" s="13" t="n">
        <x:v>44013</x:v>
      </x:c>
      <x:c r="B957" s="12" t="str">
        <x:v>000300.SH</x:v>
      </x:c>
      <x:c r="C957" s="12" t="n">
        <x:v>4172.6425</x:v>
      </x:c>
      <x:c r="D957" s="12" t="n">
        <x:v>4247.7835</x:v>
      </x:c>
      <x:c r="E957" s="12" t="n">
        <x:v>4163.4954</x:v>
      </x:c>
      <x:c r="F957" s="12" t="n">
        <x:v>4247.7835</x:v>
      </x:c>
      <x:c r="G957" s="12" t="n">
        <x:v>4163.9637</x:v>
      </x:c>
      <x:c r="H957" s="12" t="n">
        <x:v>83.8198</x:v>
      </x:c>
      <x:c r="I957" s="12" t="n">
        <x:v>2.013</x:v>
      </x:c>
      <x:c r="J957" s="12" t="n">
        <x:v>0.019929884345320857</x:v>
      </x:c>
      <x:c r="K957" s="12" t="n">
        <x:v>169990456</x:v>
      </x:c>
      <x:c r="L957" s="12" t="n">
        <x:v>305711799.762</x:v>
      </x:c>
      <x:c r="M957" s="12" t="str">
        <x:v>TuShare index_daily</x:v>
      </x:c>
    </x:row>
    <x:row r="958" ht="18" customHeight="1">
      <x:c r="A958" s="13" t="n">
        <x:v>44014</x:v>
      </x:c>
      <x:c r="B958" s="12" t="str">
        <x:v>000300.SH</x:v>
      </x:c>
      <x:c r="C958" s="12" t="n">
        <x:v>4239.408</x:v>
      </x:c>
      <x:c r="D958" s="12" t="n">
        <x:v>4340.1039</x:v>
      </x:c>
      <x:c r="E958" s="12" t="n">
        <x:v>4238.1164</x:v>
      </x:c>
      <x:c r="F958" s="12" t="n">
        <x:v>4335.8445</x:v>
      </x:c>
      <x:c r="G958" s="12" t="n">
        <x:v>4247.7835</x:v>
      </x:c>
      <x:c r="H958" s="12" t="n">
        <x:v>88.061</x:v>
      </x:c>
      <x:c r="I958" s="12" t="n">
        <x:v>2.0731</x:v>
      </x:c>
      <x:c r="J958" s="12" t="n">
        <x:v>0.0205190834673487</x:v>
      </x:c>
      <x:c r="K958" s="12" t="n">
        <x:v>252939368</x:v>
      </x:c>
      <x:c r="L958" s="12" t="n">
        <x:v>399571526.695</x:v>
      </x:c>
      <x:c r="M958" s="12" t="str">
        <x:v>TuShare index_daily</x:v>
      </x:c>
    </x:row>
    <x:row r="959" ht="18" customHeight="1">
      <x:c r="A959" s="13" t="n">
        <x:v>44015</x:v>
      </x:c>
      <x:c r="B959" s="12" t="str">
        <x:v>000300.SH</x:v>
      </x:c>
      <x:c r="C959" s="12" t="n">
        <x:v>4353.1937</x:v>
      </x:c>
      <x:c r="D959" s="12" t="n">
        <x:v>4419.5955</x:v>
      </x:c>
      <x:c r="E959" s="12" t="n">
        <x:v>4348.4535</x:v>
      </x:c>
      <x:c r="F959" s="12" t="n">
        <x:v>4419.5955</x:v>
      </x:c>
      <x:c r="G959" s="12" t="n">
        <x:v>4335.8445</x:v>
      </x:c>
      <x:c r="H959" s="12" t="n">
        <x:v>83.751</x:v>
      </x:c>
      <x:c r="I959" s="12" t="n">
        <x:v>1.9316</x:v>
      </x:c>
      <x:c r="J959" s="12" t="n">
        <x:v>0.01913177511652984</x:v>
      </x:c>
      <x:c r="K959" s="12" t="n">
        <x:v>290485539</x:v>
      </x:c>
      <x:c r="L959" s="12" t="n">
        <x:v>442335024.266</x:v>
      </x:c>
      <x:c r="M959" s="12" t="str">
        <x:v>TuShare index_daily</x:v>
      </x:c>
    </x:row>
    <x:row r="960" ht="18" customHeight="1">
      <x:c r="A960" s="13" t="n">
        <x:v>44018</x:v>
      </x:c>
      <x:c r="B960" s="12" t="str">
        <x:v>000300.SH</x:v>
      </x:c>
      <x:c r="C960" s="12" t="n">
        <x:v>4465.8081</x:v>
      </x:c>
      <x:c r="D960" s="12" t="n">
        <x:v>4678.1121</x:v>
      </x:c>
      <x:c r="E960" s="12" t="n">
        <x:v>4465.8081</x:v>
      </x:c>
      <x:c r="F960" s="12" t="n">
        <x:v>4670.0949</x:v>
      </x:c>
      <x:c r="G960" s="12" t="n">
        <x:v>4419.5955</x:v>
      </x:c>
      <x:c r="H960" s="12" t="n">
        <x:v>250.4994</x:v>
      </x:c>
      <x:c r="I960" s="12" t="n">
        <x:v>5.6679</x:v>
      </x:c>
      <x:c r="J960" s="12" t="n">
        <x:v>0.055131216608803546</x:v>
      </x:c>
      <x:c r="K960" s="12" t="n">
        <x:v>405821025</x:v>
      </x:c>
      <x:c r="L960" s="12" t="n">
        <x:v>597438217.716</x:v>
      </x:c>
      <x:c r="M960" s="12" t="str">
        <x:v>TuShare index_daily</x:v>
      </x:c>
    </x:row>
    <x:row r="961" ht="18" customHeight="1">
      <x:c r="A961" s="13" t="n">
        <x:v>44019</x:v>
      </x:c>
      <x:c r="B961" s="12" t="str">
        <x:v>000300.SH</x:v>
      </x:c>
      <x:c r="C961" s="12" t="n">
        <x:v>4739.6104</x:v>
      </x:c>
      <x:c r="D961" s="12" t="n">
        <x:v>4796.3155</x:v>
      </x:c>
      <x:c r="E961" s="12" t="n">
        <x:v>4688.0574</x:v>
      </x:c>
      <x:c r="F961" s="12" t="n">
        <x:v>4698.1264</x:v>
      </x:c>
      <x:c r="G961" s="12" t="n">
        <x:v>4670.0949</x:v>
      </x:c>
      <x:c r="H961" s="12" t="n">
        <x:v>28.0315</x:v>
      </x:c>
      <x:c r="I961" s="12" t="n">
        <x:v>0.6002</x:v>
      </x:c>
      <x:c r="J961" s="12" t="n">
        <x:v>0.005984398267295105</x:v>
      </x:c>
      <x:c r="K961" s="12" t="n">
        <x:v>406008553</x:v>
      </x:c>
      <x:c r="L961" s="12" t="n">
        <x:v>635254742.706</x:v>
      </x:c>
      <x:c r="M961" s="12" t="str">
        <x:v>TuShare index_daily</x:v>
      </x:c>
    </x:row>
    <x:row r="962" ht="18" customHeight="1">
      <x:c r="A962" s="13" t="n">
        <x:v>44020</x:v>
      </x:c>
      <x:c r="B962" s="12" t="str">
        <x:v>000300.SH</x:v>
      </x:c>
      <x:c r="C962" s="12" t="n">
        <x:v>4692.8621</x:v>
      </x:c>
      <x:c r="D962" s="12" t="n">
        <x:v>4803.3643</x:v>
      </x:c>
      <x:c r="E962" s="12" t="n">
        <x:v>4670.6501</x:v>
      </x:c>
      <x:c r="F962" s="12" t="n">
        <x:v>4774.0042</x:v>
      </x:c>
      <x:c r="G962" s="12" t="n">
        <x:v>4698.1264</x:v>
      </x:c>
      <x:c r="H962" s="12" t="n">
        <x:v>75.8778</x:v>
      </x:c>
      <x:c r="I962" s="12" t="n">
        <x:v>1.6151</x:v>
      </x:c>
      <x:c r="J962" s="12" t="n">
        <x:v>0.01602161674087557</x:v>
      </x:c>
      <x:c r="K962" s="12" t="n">
        <x:v>348074847</x:v>
      </x:c>
      <x:c r="L962" s="12" t="n">
        <x:v>532849825.965</x:v>
      </x:c>
      <x:c r="M962" s="12" t="str">
        <x:v>TuShare index_daily</x:v>
      </x:c>
    </x:row>
    <x:row r="963" ht="18" customHeight="1">
      <x:c r="A963" s="13" t="n">
        <x:v>44021</x:v>
      </x:c>
      <x:c r="B963" s="12" t="str">
        <x:v>000300.SH</x:v>
      </x:c>
      <x:c r="C963" s="12" t="n">
        <x:v>4770.0769</x:v>
      </x:c>
      <x:c r="D963" s="12" t="n">
        <x:v>4854.1201</x:v>
      </x:c>
      <x:c r="E963" s="12" t="n">
        <x:v>4757.2943</x:v>
      </x:c>
      <x:c r="F963" s="12" t="n">
        <x:v>4840.7712</x:v>
      </x:c>
      <x:c r="G963" s="12" t="n">
        <x:v>4774.0042</x:v>
      </x:c>
      <x:c r="H963" s="12" t="n">
        <x:v>66.767</x:v>
      </x:c>
      <x:c r="I963" s="12" t="n">
        <x:v>1.3986</x:v>
      </x:c>
      <x:c r="J963" s="12" t="n">
        <x:v>0.013888639196783053</x:v>
      </x:c>
      <x:c r="K963" s="12" t="n">
        <x:v>351046893</x:v>
      </x:c>
      <x:c r="L963" s="12" t="n">
        <x:v>556718732.099</x:v>
      </x:c>
      <x:c r="M963" s="12" t="str">
        <x:v>TuShare index_daily</x:v>
      </x:c>
    </x:row>
    <x:row r="964" ht="18" customHeight="1">
      <x:c r="A964" s="13" t="n">
        <x:v>44022</x:v>
      </x:c>
      <x:c r="B964" s="12" t="str">
        <x:v>000300.SH</x:v>
      </x:c>
      <x:c r="C964" s="12" t="n">
        <x:v>4796.0873</x:v>
      </x:c>
      <x:c r="D964" s="12" t="n">
        <x:v>4821.3745</x:v>
      </x:c>
      <x:c r="E964" s="12" t="n">
        <x:v>4734.4725</x:v>
      </x:c>
      <x:c r="F964" s="12" t="n">
        <x:v>4753.1333</x:v>
      </x:c>
      <x:c r="G964" s="12" t="n">
        <x:v>4840.7712</x:v>
      </x:c>
      <x:c r="H964" s="12" t="n">
        <x:v>-87.6379</x:v>
      </x:c>
      <x:c r="I964" s="12" t="n">
        <x:v>-1.8104</x:v>
      </x:c>
      <x:c r="J964" s="12" t="n">
        <x:v>-0.018270004194841982</x:v>
      </x:c>
      <x:c r="K964" s="12" t="n">
        <x:v>316949651</x:v>
      </x:c>
      <x:c r="L964" s="12" t="n">
        <x:v>510472055.096</x:v>
      </x:c>
      <x:c r="M964" s="12" t="str">
        <x:v>TuShare index_daily</x:v>
      </x:c>
    </x:row>
    <x:row r="965" ht="18" customHeight="1">
      <x:c r="A965" s="13" t="n">
        <x:v>44025</x:v>
      </x:c>
      <x:c r="B965" s="12" t="str">
        <x:v>000300.SH</x:v>
      </x:c>
      <x:c r="C965" s="12" t="n">
        <x:v>4742.3738</x:v>
      </x:c>
      <x:c r="D965" s="12" t="n">
        <x:v>4878.0773</x:v>
      </x:c>
      <x:c r="E965" s="12" t="n">
        <x:v>4741.8743</x:v>
      </x:c>
      <x:c r="F965" s="12" t="n">
        <x:v>4852.9612</x:v>
      </x:c>
      <x:c r="G965" s="12" t="n">
        <x:v>4753.1333</x:v>
      </x:c>
      <x:c r="H965" s="12" t="n">
        <x:v>99.8279</x:v>
      </x:c>
      <x:c r="I965" s="12" t="n">
        <x:v>2.1003</x:v>
      </x:c>
      <x:c r="J965" s="12" t="n">
        <x:v>0.02078503265292465</x:v>
      </x:c>
      <x:c r="K965" s="12" t="n">
        <x:v>321645446</x:v>
      </x:c>
      <x:c r="L965" s="12" t="n">
        <x:v>541105098.721</x:v>
      </x:c>
      <x:c r="M965" s="12" t="str">
        <x:v>TuShare index_daily</x:v>
      </x:c>
    </x:row>
    <x:row r="966" ht="18" customHeight="1">
      <x:c r="A966" s="13" t="n">
        <x:v>44026</x:v>
      </x:c>
      <x:c r="B966" s="12" t="str">
        <x:v>000300.SH</x:v>
      </x:c>
      <x:c r="C966" s="12" t="n">
        <x:v>4836.1655</x:v>
      </x:c>
      <x:c r="D966" s="12" t="n">
        <x:v>4860.4404</x:v>
      </x:c>
      <x:c r="E966" s="12" t="n">
        <x:v>4729.9258</x:v>
      </x:c>
      <x:c r="F966" s="12" t="n">
        <x:v>4806.6902</x:v>
      </x:c>
      <x:c r="G966" s="12" t="n">
        <x:v>4852.9612</x:v>
      </x:c>
      <x:c r="H966" s="12" t="n">
        <x:v>-46.271</x:v>
      </x:c>
      <x:c r="I966" s="12" t="n">
        <x:v>-0.9535</x:v>
      </x:c>
      <x:c r="J966" s="12" t="n">
        <x:v>-0.009580336181996442</x:v>
      </x:c>
      <x:c r="K966" s="12" t="n">
        <x:v>297241985</x:v>
      </x:c>
      <x:c r="L966" s="12" t="n">
        <x:v>511211048.185</x:v>
      </x:c>
      <x:c r="M966" s="12" t="str">
        <x:v>TuShare index_daily</x:v>
      </x:c>
    </x:row>
    <x:row r="967" ht="18" customHeight="1">
      <x:c r="A967" s="13" t="n">
        <x:v>44027</x:v>
      </x:c>
      <x:c r="B967" s="12" t="str">
        <x:v>000300.SH</x:v>
      </x:c>
      <x:c r="C967" s="12" t="n">
        <x:v>4821.5155</x:v>
      </x:c>
      <x:c r="D967" s="12" t="n">
        <x:v>4837.4757</x:v>
      </x:c>
      <x:c r="E967" s="12" t="n">
        <x:v>4723.3608</x:v>
      </x:c>
      <x:c r="F967" s="12" t="n">
        <x:v>4744.4687</x:v>
      </x:c>
      <x:c r="G967" s="12" t="n">
        <x:v>4806.6902</x:v>
      </x:c>
      <x:c r="H967" s="12" t="n">
        <x:v>-62.2215</x:v>
      </x:c>
      <x:c r="I967" s="12" t="n">
        <x:v>-1.2945</x:v>
      </x:c>
      <x:c r="J967" s="12" t="n">
        <x:v>-0.013029283857047434</x:v>
      </x:c>
      <x:c r="K967" s="12" t="n">
        <x:v>272389006</x:v>
      </x:c>
      <x:c r="L967" s="12" t="n">
        <x:v>486748347.68</x:v>
      </x:c>
      <x:c r="M967" s="12" t="str">
        <x:v>TuShare index_daily</x:v>
      </x:c>
    </x:row>
    <x:row r="968" ht="18" customHeight="1">
      <x:c r="A968" s="13" t="n">
        <x:v>44028</x:v>
      </x:c>
      <x:c r="B968" s="12" t="str">
        <x:v>000300.SH</x:v>
      </x:c>
      <x:c r="C968" s="12" t="n">
        <x:v>4741.5295</x:v>
      </x:c>
      <x:c r="D968" s="12" t="n">
        <x:v>4772.5638</x:v>
      </x:c>
      <x:c r="E968" s="12" t="n">
        <x:v>4513.6537</x:v>
      </x:c>
      <x:c r="F968" s="12" t="n">
        <x:v>4516.2532</x:v>
      </x:c>
      <x:c r="G968" s="12" t="n">
        <x:v>4744.4687</x:v>
      </x:c>
      <x:c r="H968" s="12" t="n">
        <x:v>-228.2155</x:v>
      </x:c>
      <x:c r="I968" s="12" t="n">
        <x:v>-4.8101</x:v>
      </x:c>
      <x:c r="J968" s="12" t="n">
        <x:v>-0.04929674326555778</x:v>
      </x:c>
      <x:c r="K968" s="12" t="n">
        <x:v>284657133</x:v>
      </x:c>
      <x:c r="L968" s="12" t="n">
        <x:v>511237962.884</x:v>
      </x:c>
      <x:c r="M968" s="12" t="str">
        <x:v>TuShare index_daily</x:v>
      </x:c>
    </x:row>
    <x:row r="969" ht="18" customHeight="1">
      <x:c r="A969" s="13" t="n">
        <x:v>44029</x:v>
      </x:c>
      <x:c r="B969" s="12" t="str">
        <x:v>000300.SH</x:v>
      </x:c>
      <x:c r="C969" s="12" t="n">
        <x:v>4524.7717</x:v>
      </x:c>
      <x:c r="D969" s="12" t="n">
        <x:v>4601.3733</x:v>
      </x:c>
      <x:c r="E969" s="12" t="n">
        <x:v>4485.8214</x:v>
      </x:c>
      <x:c r="F969" s="12" t="n">
        <x:v>4544.7007</x:v>
      </x:c>
      <x:c r="G969" s="12" t="n">
        <x:v>4516.2532</x:v>
      </x:c>
      <x:c r="H969" s="12" t="n">
        <x:v>28.4475</x:v>
      </x:c>
      <x:c r="I969" s="12" t="n">
        <x:v>0.6299</x:v>
      </x:c>
      <x:c r="J969" s="12" t="n">
        <x:v>0.006279160843895698</x:v>
      </x:c>
      <x:c r="K969" s="12" t="n">
        <x:v>207375563</x:v>
      </x:c>
      <x:c r="L969" s="12" t="n">
        <x:v>372973887.046</x:v>
      </x:c>
      <x:c r="M969" s="12" t="str">
        <x:v>TuShare index_daily</x:v>
      </x:c>
    </x:row>
    <x:row r="970" ht="18" customHeight="1">
      <x:c r="A970" s="13" t="n">
        <x:v>44032</x:v>
      </x:c>
      <x:c r="B970" s="12" t="str">
        <x:v>000300.SH</x:v>
      </x:c>
      <x:c r="C970" s="12" t="n">
        <x:v>4597.2038</x:v>
      </x:c>
      <x:c r="D970" s="12" t="n">
        <x:v>4681.9431</x:v>
      </x:c>
      <x:c r="E970" s="12" t="n">
        <x:v>4534.2305</x:v>
      </x:c>
      <x:c r="F970" s="12" t="n">
        <x:v>4680.3046</x:v>
      </x:c>
      <x:c r="G970" s="12" t="n">
        <x:v>4544.7007</x:v>
      </x:c>
      <x:c r="H970" s="12" t="n">
        <x:v>135.6039</x:v>
      </x:c>
      <x:c r="I970" s="12" t="n">
        <x:v>2.9838</x:v>
      </x:c>
      <x:c r="J970" s="12" t="n">
        <x:v>0.029401320405866512</x:v>
      </x:c>
      <x:c r="K970" s="12" t="n">
        <x:v>246068914</x:v>
      </x:c>
      <x:c r="L970" s="12" t="n">
        <x:v>416714222.276</x:v>
      </x:c>
      <x:c r="M970" s="12" t="str">
        <x:v>TuShare index_daily</x:v>
      </x:c>
    </x:row>
    <x:row r="971" ht="18" customHeight="1">
      <x:c r="A971" s="13" t="n">
        <x:v>44033</x:v>
      </x:c>
      <x:c r="B971" s="12" t="str">
        <x:v>000300.SH</x:v>
      </x:c>
      <x:c r="C971" s="12" t="n">
        <x:v>4697.5026</x:v>
      </x:c>
      <x:c r="D971" s="12" t="n">
        <x:v>4714.2925</x:v>
      </x:c>
      <x:c r="E971" s="12" t="n">
        <x:v>4661.444</x:v>
      </x:c>
      <x:c r="F971" s="12" t="n">
        <x:v>4691.0425</x:v>
      </x:c>
      <x:c r="G971" s="12" t="n">
        <x:v>4680.3046</x:v>
      </x:c>
      <x:c r="H971" s="12" t="n">
        <x:v>10.7379</x:v>
      </x:c>
      <x:c r="I971" s="12" t="n">
        <x:v>0.2294</x:v>
      </x:c>
      <x:c r="J971" s="12" t="n">
        <x:v>0.002291645925546458</x:v>
      </x:c>
      <x:c r="K971" s="12" t="n">
        <x:v>200415659</x:v>
      </x:c>
      <x:c r="L971" s="12" t="n">
        <x:v>356069805.763</x:v>
      </x:c>
      <x:c r="M971" s="12" t="str">
        <x:v>TuShare index_daily</x:v>
      </x:c>
    </x:row>
    <x:row r="972" ht="18" customHeight="1">
      <x:c r="A972" s="13" t="n">
        <x:v>44034</x:v>
      </x:c>
      <x:c r="B972" s="12" t="str">
        <x:v>000300.SH</x:v>
      </x:c>
      <x:c r="C972" s="12" t="n">
        <x:v>4682.6575</x:v>
      </x:c>
      <x:c r="D972" s="12" t="n">
        <x:v>4790.4491</x:v>
      </x:c>
      <x:c r="E972" s="12" t="n">
        <x:v>4675.3488</x:v>
      </x:c>
      <x:c r="F972" s="12" t="n">
        <x:v>4714.4454</x:v>
      </x:c>
      <x:c r="G972" s="12" t="n">
        <x:v>4691.0425</x:v>
      </x:c>
      <x:c r="H972" s="12" t="n">
        <x:v>23.4029</x:v>
      </x:c>
      <x:c r="I972" s="12" t="n">
        <x:v>0.4989</x:v>
      </x:c>
      <x:c r="J972" s="12" t="n">
        <x:v>0.004976445357551661</x:v>
      </x:c>
      <x:c r="K972" s="12" t="n">
        <x:v>224199211</x:v>
      </x:c>
      <x:c r="L972" s="12" t="n">
        <x:v>386470859.914</x:v>
      </x:c>
      <x:c r="M972" s="12" t="str">
        <x:v>TuShare index_daily</x:v>
      </x:c>
    </x:row>
    <x:row r="973" ht="18" customHeight="1">
      <x:c r="A973" s="13" t="n">
        <x:v>44035</x:v>
      </x:c>
      <x:c r="B973" s="12" t="str">
        <x:v>000300.SH</x:v>
      </x:c>
      <x:c r="C973" s="12" t="n">
        <x:v>4668.7401</x:v>
      </x:c>
      <x:c r="D973" s="12" t="n">
        <x:v>4731.4004</x:v>
      </x:c>
      <x:c r="E973" s="12" t="n">
        <x:v>4607.6585</x:v>
      </x:c>
      <x:c r="F973" s="12" t="n">
        <x:v>4712.4357</x:v>
      </x:c>
      <x:c r="G973" s="12" t="n">
        <x:v>4714.4454</x:v>
      </x:c>
      <x:c r="H973" s="12" t="n">
        <x:v>-2.0097</x:v>
      </x:c>
      <x:c r="I973" s="12" t="n">
        <x:v>-0.0426</x:v>
      </x:c>
      <x:c r="J973" s="12" t="n">
        <x:v>-0.0004263764460646308</x:v>
      </x:c>
      <x:c r="K973" s="12" t="n">
        <x:v>234314569</x:v>
      </x:c>
      <x:c r="L973" s="12" t="n">
        <x:v>405175268.661</x:v>
      </x:c>
      <x:c r="M973" s="12" t="str">
        <x:v>TuShare index_daily</x:v>
      </x:c>
    </x:row>
    <x:row r="974" ht="18" customHeight="1">
      <x:c r="A974" s="13" t="n">
        <x:v>44036</x:v>
      </x:c>
      <x:c r="B974" s="12" t="str">
        <x:v>000300.SH</x:v>
      </x:c>
      <x:c r="C974" s="12" t="n">
        <x:v>4679.0273</x:v>
      </x:c>
      <x:c r="D974" s="12" t="n">
        <x:v>4691.698</x:v>
      </x:c>
      <x:c r="E974" s="12" t="n">
        <x:v>4479.3928</x:v>
      </x:c>
      <x:c r="F974" s="12" t="n">
        <x:v>4505.5906</x:v>
      </x:c>
      <x:c r="G974" s="12" t="n">
        <x:v>4712.4357</x:v>
      </x:c>
      <x:c r="H974" s="12" t="n">
        <x:v>-206.8451</x:v>
      </x:c>
      <x:c r="I974" s="12" t="n">
        <x:v>-4.3893</x:v>
      </x:c>
      <x:c r="J974" s="12" t="n">
        <x:v>-0.044885926871965375</x:v>
      </x:c>
      <x:c r="K974" s="12" t="n">
        <x:v>243905203</x:v>
      </x:c>
      <x:c r="L974" s="12" t="n">
        <x:v>437726712.28</x:v>
      </x:c>
      <x:c r="M974" s="12" t="str">
        <x:v>TuShare index_daily</x:v>
      </x:c>
    </x:row>
    <x:row r="975" ht="18" customHeight="1">
      <x:c r="A975" s="13" t="n">
        <x:v>44039</x:v>
      </x:c>
      <x:c r="B975" s="12" t="str">
        <x:v>000300.SH</x:v>
      </x:c>
      <x:c r="C975" s="12" t="n">
        <x:v>4535.0053</x:v>
      </x:c>
      <x:c r="D975" s="12" t="n">
        <x:v>4558.1189</x:v>
      </x:c>
      <x:c r="E975" s="12" t="n">
        <x:v>4482.4408</x:v>
      </x:c>
      <x:c r="F975" s="12" t="n">
        <x:v>4528.45</x:v>
      </x:c>
      <x:c r="G975" s="12" t="n">
        <x:v>4505.5906</x:v>
      </x:c>
      <x:c r="H975" s="12" t="n">
        <x:v>22.8594</x:v>
      </x:c>
      <x:c r="I975" s="12" t="n">
        <x:v>0.5074</x:v>
      </x:c>
      <x:c r="J975" s="12" t="n">
        <x:v>0.005060736341555208</x:v>
      </x:c>
      <x:c r="K975" s="12" t="n">
        <x:v>171420551</x:v>
      </x:c>
      <x:c r="L975" s="12" t="n">
        <x:v>301893370.163</x:v>
      </x:c>
      <x:c r="M975" s="12" t="str">
        <x:v>TuShare index_daily</x:v>
      </x:c>
    </x:row>
    <x:row r="976" ht="18" customHeight="1">
      <x:c r="A976" s="13" t="n">
        <x:v>44040</x:v>
      </x:c>
      <x:c r="B976" s="12" t="str">
        <x:v>000300.SH</x:v>
      </x:c>
      <x:c r="C976" s="12" t="n">
        <x:v>4567.6691</x:v>
      </x:c>
      <x:c r="D976" s="12" t="n">
        <x:v>4590.2496</x:v>
      </x:c>
      <x:c r="E976" s="12" t="n">
        <x:v>4537.6849</x:v>
      </x:c>
      <x:c r="F976" s="12" t="n">
        <x:v>4568.2576</x:v>
      </x:c>
      <x:c r="G976" s="12" t="n">
        <x:v>4528.45</x:v>
      </x:c>
      <x:c r="H976" s="12" t="n">
        <x:v>39.8076</x:v>
      </x:c>
      <x:c r="I976" s="12" t="n">
        <x:v>0.8791</x:v>
      </x:c>
      <x:c r="J976" s="12" t="n">
        <x:v>0.008752145469647098</x:v>
      </x:c>
      <x:c r="K976" s="12" t="n">
        <x:v>162768498</x:v>
      </x:c>
      <x:c r="L976" s="12" t="n">
        <x:v>292835785.345</x:v>
      </x:c>
      <x:c r="M976" s="12" t="str">
        <x:v>TuShare index_daily</x:v>
      </x:c>
    </x:row>
    <x:row r="977" ht="18" customHeight="1">
      <x:c r="A977" s="13" t="n">
        <x:v>44041</x:v>
      </x:c>
      <x:c r="B977" s="12" t="str">
        <x:v>000300.SH</x:v>
      </x:c>
      <x:c r="C977" s="12" t="n">
        <x:v>4559.1634</x:v>
      </x:c>
      <x:c r="D977" s="12" t="n">
        <x:v>4680.558</x:v>
      </x:c>
      <x:c r="E977" s="12" t="n">
        <x:v>4548.8535</x:v>
      </x:c>
      <x:c r="F977" s="12" t="n">
        <x:v>4679.008</x:v>
      </x:c>
      <x:c r="G977" s="12" t="n">
        <x:v>4568.2576</x:v>
      </x:c>
      <x:c r="H977" s="12" t="n">
        <x:v>110.7504</x:v>
      </x:c>
      <x:c r="I977" s="12" t="n">
        <x:v>2.4243</x:v>
      </x:c>
      <x:c r="J977" s="12" t="n">
        <x:v>0.023954258591717723</x:v>
      </x:c>
      <x:c r="K977" s="12" t="n">
        <x:v>186695305</x:v>
      </x:c>
      <x:c r="L977" s="12" t="n">
        <x:v>350432649.161</x:v>
      </x:c>
      <x:c r="M977" s="12" t="str">
        <x:v>TuShare index_daily</x:v>
      </x:c>
    </x:row>
    <x:row r="978" ht="18" customHeight="1">
      <x:c r="A978" s="13" t="n">
        <x:v>44042</x:v>
      </x:c>
      <x:c r="B978" s="12" t="str">
        <x:v>000300.SH</x:v>
      </x:c>
      <x:c r="C978" s="12" t="n">
        <x:v>4689.7632</x:v>
      </x:c>
      <x:c r="D978" s="12" t="n">
        <x:v>4704.6305</x:v>
      </x:c>
      <x:c r="E978" s="12" t="n">
        <x:v>4649.7677</x:v>
      </x:c>
      <x:c r="F978" s="12" t="n">
        <x:v>4656.1506</x:v>
      </x:c>
      <x:c r="G978" s="12" t="n">
        <x:v>4679.008</x:v>
      </x:c>
      <x:c r="H978" s="12" t="n">
        <x:v>-22.8574</x:v>
      </x:c>
      <x:c r="I978" s="12" t="n">
        <x:v>-0.4885</x:v>
      </x:c>
      <x:c r="J978" s="12" t="n">
        <x:v>-0.004897066382800305</x:v>
      </x:c>
      <x:c r="K978" s="12" t="n">
        <x:v>166967566</x:v>
      </x:c>
      <x:c r="L978" s="12" t="n">
        <x:v>324009242.692</x:v>
      </x:c>
      <x:c r="M978" s="12" t="str">
        <x:v>TuShare index_daily</x:v>
      </x:c>
    </x:row>
    <x:row r="979" ht="18" customHeight="1">
      <x:c r="A979" s="13" t="n">
        <x:v>44043</x:v>
      </x:c>
      <x:c r="B979" s="12" t="str">
        <x:v>000300.SH</x:v>
      </x:c>
      <x:c r="C979" s="12" t="n">
        <x:v>4652.1824</x:v>
      </x:c>
      <x:c r="D979" s="12" t="n">
        <x:v>4741.8084</x:v>
      </x:c>
      <x:c r="E979" s="12" t="n">
        <x:v>4621.9635</x:v>
      </x:c>
      <x:c r="F979" s="12" t="n">
        <x:v>4695.0462</x:v>
      </x:c>
      <x:c r="G979" s="12" t="n">
        <x:v>4656.1506</x:v>
      </x:c>
      <x:c r="H979" s="12" t="n">
        <x:v>38.8956</x:v>
      </x:c>
      <x:c r="I979" s="12" t="n">
        <x:v>0.8354</x:v>
      </x:c>
      <x:c r="J979" s="12" t="n">
        <x:v>0.00831889760054069</x:v>
      </x:c>
      <x:c r="K979" s="12" t="n">
        <x:v>184839026</x:v>
      </x:c>
      <x:c r="L979" s="12" t="n">
        <x:v>351119312.415</x:v>
      </x:c>
      <x:c r="M979" s="12" t="str">
        <x:v>TuShare index_daily</x:v>
      </x:c>
    </x:row>
    <x:row r="980" ht="18" customHeight="1">
      <x:c r="A980" s="13" t="n">
        <x:v>44046</x:v>
      </x:c>
      <x:c r="B980" s="12" t="str">
        <x:v>000300.SH</x:v>
      </x:c>
      <x:c r="C980" s="12" t="n">
        <x:v>4735.8985</x:v>
      </x:c>
      <x:c r="D980" s="12" t="n">
        <x:v>4771.3694</x:v>
      </x:c>
      <x:c r="E980" s="12" t="n">
        <x:v>4720.025</x:v>
      </x:c>
      <x:c r="F980" s="12" t="n">
        <x:v>4771.3108</x:v>
      </x:c>
      <x:c r="G980" s="12" t="n">
        <x:v>4695.0462</x:v>
      </x:c>
      <x:c r="H980" s="12" t="n">
        <x:v>76.2646</x:v>
      </x:c>
      <x:c r="I980" s="12" t="n">
        <x:v>1.6244</x:v>
      </x:c>
      <x:c r="J980" s="12" t="n">
        <x:v>0.01611311512058742</x:v>
      </x:c>
      <x:c r="K980" s="12" t="n">
        <x:v>214776239</x:v>
      </x:c>
      <x:c r="L980" s="12" t="n">
        <x:v>401914824.928</x:v>
      </x:c>
      <x:c r="M980" s="12" t="str">
        <x:v>TuShare index_daily</x:v>
      </x:c>
    </x:row>
    <x:row r="981" ht="18" customHeight="1">
      <x:c r="A981" s="13" t="n">
        <x:v>44047</x:v>
      </x:c>
      <x:c r="B981" s="12" t="str">
        <x:v>000300.SH</x:v>
      </x:c>
      <x:c r="C981" s="12" t="n">
        <x:v>4778.4866</x:v>
      </x:c>
      <x:c r="D981" s="12" t="n">
        <x:v>4807.0782</x:v>
      </x:c>
      <x:c r="E981" s="12" t="n">
        <x:v>4747.7748</x:v>
      </x:c>
      <x:c r="F981" s="12" t="n">
        <x:v>4775.8024</x:v>
      </x:c>
      <x:c r="G981" s="12" t="n">
        <x:v>4771.3108</x:v>
      </x:c>
      <x:c r="H981" s="12" t="n">
        <x:v>4.4916</x:v>
      </x:c>
      <x:c r="I981" s="12" t="n">
        <x:v>0.0941</x:v>
      </x:c>
      <x:c r="J981" s="12" t="n">
        <x:v>0.0009409337120644999</x:v>
      </x:c>
      <x:c r="K981" s="12" t="n">
        <x:v>239974985</x:v>
      </x:c>
      <x:c r="L981" s="12" t="n">
        <x:v>426411345.936</x:v>
      </x:c>
      <x:c r="M981" s="12" t="str">
        <x:v>TuShare index_daily</x:v>
      </x:c>
    </x:row>
    <x:row r="982" ht="18" customHeight="1">
      <x:c r="A982" s="13" t="n">
        <x:v>44048</x:v>
      </x:c>
      <x:c r="B982" s="12" t="str">
        <x:v>000300.SH</x:v>
      </x:c>
      <x:c r="C982" s="12" t="n">
        <x:v>4761.7637</x:v>
      </x:c>
      <x:c r="D982" s="12" t="n">
        <x:v>4786.7031</x:v>
      </x:c>
      <x:c r="E982" s="12" t="n">
        <x:v>4711.2723</x:v>
      </x:c>
      <x:c r="F982" s="12" t="n">
        <x:v>4777.1089</x:v>
      </x:c>
      <x:c r="G982" s="12" t="n">
        <x:v>4775.8024</x:v>
      </x:c>
      <x:c r="H982" s="12" t="n">
        <x:v>1.3065</x:v>
      </x:c>
      <x:c r="I982" s="12" t="n">
        <x:v>0.0274</x:v>
      </x:c>
      <x:c r="J982" s="12" t="n">
        <x:v>0.0002735291822812058</x:v>
      </x:c>
      <x:c r="K982" s="12" t="n">
        <x:v>196700548</x:v>
      </x:c>
      <x:c r="L982" s="12" t="n">
        <x:v>347407839.399</x:v>
      </x:c>
      <x:c r="M982" s="12" t="str">
        <x:v>TuShare index_daily</x:v>
      </x:c>
    </x:row>
    <x:row r="983" ht="18" customHeight="1">
      <x:c r="A983" s="13" t="n">
        <x:v>44049</x:v>
      </x:c>
      <x:c r="B983" s="12" t="str">
        <x:v>000300.SH</x:v>
      </x:c>
      <x:c r="C983" s="12" t="n">
        <x:v>4779.2377</x:v>
      </x:c>
      <x:c r="D983" s="12" t="n">
        <x:v>4791.8565</x:v>
      </x:c>
      <x:c r="E983" s="12" t="n">
        <x:v>4691.1569</x:v>
      </x:c>
      <x:c r="F983" s="12" t="n">
        <x:v>4762.7642</x:v>
      </x:c>
      <x:c r="G983" s="12" t="n">
        <x:v>4777.1089</x:v>
      </x:c>
      <x:c r="H983" s="12" t="n">
        <x:v>-14.3447</x:v>
      </x:c>
      <x:c r="I983" s="12" t="n">
        <x:v>-0.3003</x:v>
      </x:c>
      <x:c r="J983" s="12" t="n">
        <x:v>-0.0030073169025837867</x:v>
      </x:c>
      <x:c r="K983" s="12" t="n">
        <x:v>227854406</x:v>
      </x:c>
      <x:c r="L983" s="12" t="n">
        <x:v>404323404.007</x:v>
      </x:c>
      <x:c r="M983" s="12" t="str">
        <x:v>TuShare index_daily</x:v>
      </x:c>
    </x:row>
    <x:row r="984" ht="18" customHeight="1">
      <x:c r="A984" s="13" t="n">
        <x:v>44050</x:v>
      </x:c>
      <x:c r="B984" s="12" t="str">
        <x:v>000300.SH</x:v>
      </x:c>
      <x:c r="C984" s="12" t="n">
        <x:v>4742.2939</x:v>
      </x:c>
      <x:c r="D984" s="12" t="n">
        <x:v>4749.0217</x:v>
      </x:c>
      <x:c r="E984" s="12" t="n">
        <x:v>4637.8427</x:v>
      </x:c>
      <x:c r="F984" s="12" t="n">
        <x:v>4707.9262</x:v>
      </x:c>
      <x:c r="G984" s="12" t="n">
        <x:v>4762.7642</x:v>
      </x:c>
      <x:c r="H984" s="12" t="n">
        <x:v>-54.838</x:v>
      </x:c>
      <x:c r="I984" s="12" t="n">
        <x:v>-1.1514</x:v>
      </x:c>
      <x:c r="J984" s="12" t="n">
        <x:v>-0.0115807001506316</x:v>
      </x:c>
      <x:c r="K984" s="12" t="n">
        <x:v>213518216</x:v>
      </x:c>
      <x:c r="L984" s="12" t="n">
        <x:v>397041212.825</x:v>
      </x:c>
      <x:c r="M984" s="12" t="str">
        <x:v>TuShare index_daily</x:v>
      </x:c>
    </x:row>
    <x:row r="985" ht="18" customHeight="1">
      <x:c r="A985" s="13" t="n">
        <x:v>44053</x:v>
      </x:c>
      <x:c r="B985" s="12" t="str">
        <x:v>000300.SH</x:v>
      </x:c>
      <x:c r="C985" s="12" t="n">
        <x:v>4681.7553</x:v>
      </x:c>
      <x:c r="D985" s="12" t="n">
        <x:v>4757.6634</x:v>
      </x:c>
      <x:c r="E985" s="12" t="n">
        <x:v>4646.2885</x:v>
      </x:c>
      <x:c r="F985" s="12" t="n">
        <x:v>4724.8697</x:v>
      </x:c>
      <x:c r="G985" s="12" t="n">
        <x:v>4707.9262</x:v>
      </x:c>
      <x:c r="H985" s="12" t="n">
        <x:v>16.9435</x:v>
      </x:c>
      <x:c r="I985" s="12" t="n">
        <x:v>0.3599</x:v>
      </x:c>
      <x:c r="J985" s="12" t="n">
        <x:v>0.00359247001676474</x:v>
      </x:c>
      <x:c r="K985" s="12" t="n">
        <x:v>203788832</x:v>
      </x:c>
      <x:c r="L985" s="12" t="n">
        <x:v>371297560.018</x:v>
      </x:c>
      <x:c r="M985" s="12" t="str">
        <x:v>TuShare index_daily</x:v>
      </x:c>
    </x:row>
    <x:row r="986" ht="18" customHeight="1">
      <x:c r="A986" s="13" t="n">
        <x:v>44054</x:v>
      </x:c>
      <x:c r="B986" s="12" t="str">
        <x:v>000300.SH</x:v>
      </x:c>
      <x:c r="C986" s="12" t="n">
        <x:v>4730.3748</x:v>
      </x:c>
      <x:c r="D986" s="12" t="n">
        <x:v>4791.5337</x:v>
      </x:c>
      <x:c r="E986" s="12" t="n">
        <x:v>4674.8642</x:v>
      </x:c>
      <x:c r="F986" s="12" t="n">
        <x:v>4681.7837</x:v>
      </x:c>
      <x:c r="G986" s="12" t="n">
        <x:v>4724.8697</x:v>
      </x:c>
      <x:c r="H986" s="12" t="n">
        <x:v>-43.086</x:v>
      </x:c>
      <x:c r="I986" s="12" t="n">
        <x:v>-0.9119</x:v>
      </x:c>
      <x:c r="J986" s="12" t="n">
        <x:v>-0.009160814050230533</x:v>
      </x:c>
      <x:c r="K986" s="12" t="n">
        <x:v>205546511</x:v>
      </x:c>
      <x:c r="L986" s="12" t="n">
        <x:v>350828586.241</x:v>
      </x:c>
      <x:c r="M986" s="12" t="str">
        <x:v>TuShare index_daily</x:v>
      </x:c>
    </x:row>
    <x:row r="987" ht="18" customHeight="1">
      <x:c r="A987" s="13" t="n">
        <x:v>44055</x:v>
      </x:c>
      <x:c r="B987" s="12" t="str">
        <x:v>000300.SH</x:v>
      </x:c>
      <x:c r="C987" s="12" t="n">
        <x:v>4668.8899</x:v>
      </x:c>
      <x:c r="D987" s="12" t="n">
        <x:v>4681.6206</x:v>
      </x:c>
      <x:c r="E987" s="12" t="n">
        <x:v>4566.2736</x:v>
      </x:c>
      <x:c r="F987" s="12" t="n">
        <x:v>4647.6446</x:v>
      </x:c>
      <x:c r="G987" s="12" t="n">
        <x:v>4681.7837</x:v>
      </x:c>
      <x:c r="H987" s="12" t="n">
        <x:v>-34.1391</x:v>
      </x:c>
      <x:c r="I987" s="12" t="n">
        <x:v>-0.7292</x:v>
      </x:c>
      <x:c r="J987" s="12" t="n">
        <x:v>-0.00731861616432439</x:v>
      </x:c>
      <x:c r="K987" s="12" t="n">
        <x:v>202887239</x:v>
      </x:c>
      <x:c r="L987" s="12" t="n">
        <x:v>347298673.202</x:v>
      </x:c>
      <x:c r="M987" s="12" t="str">
        <x:v>TuShare index_daily</x:v>
      </x:c>
    </x:row>
    <x:row r="988" ht="18" customHeight="1">
      <x:c r="A988" s="13" t="n">
        <x:v>44056</x:v>
      </x:c>
      <x:c r="B988" s="12" t="str">
        <x:v>000300.SH</x:v>
      </x:c>
      <x:c r="C988" s="12" t="n">
        <x:v>4666.4901</x:v>
      </x:c>
      <x:c r="D988" s="12" t="n">
        <x:v>4671.7689</x:v>
      </x:c>
      <x:c r="E988" s="12" t="n">
        <x:v>4626.1033</x:v>
      </x:c>
      <x:c r="F988" s="12" t="n">
        <x:v>4635.7126</x:v>
      </x:c>
      <x:c r="G988" s="12" t="n">
        <x:v>4647.6446</x:v>
      </x:c>
      <x:c r="H988" s="12" t="n">
        <x:v>-11.932</x:v>
      </x:c>
      <x:c r="I988" s="12" t="n">
        <x:v>-0.2567</x:v>
      </x:c>
      <x:c r="J988" s="12" t="n">
        <x:v>-0.0025706231729737705</x:v>
      </x:c>
      <x:c r="K988" s="12" t="n">
        <x:v>152550092</x:v>
      </x:c>
      <x:c r="L988" s="12" t="n">
        <x:v>250945872.579</x:v>
      </x:c>
      <x:c r="M988" s="12" t="str">
        <x:v>TuShare index_daily</x:v>
      </x:c>
    </x:row>
    <x:row r="989" ht="18" customHeight="1">
      <x:c r="A989" s="13" t="n">
        <x:v>44057</x:v>
      </x:c>
      <x:c r="B989" s="12" t="str">
        <x:v>000300.SH</x:v>
      </x:c>
      <x:c r="C989" s="12" t="n">
        <x:v>4627.61</x:v>
      </x:c>
      <x:c r="D989" s="12" t="n">
        <x:v>4708.0709</x:v>
      </x:c>
      <x:c r="E989" s="12" t="n">
        <x:v>4617.632</x:v>
      </x:c>
      <x:c r="F989" s="12" t="n">
        <x:v>4704.6288</x:v>
      </x:c>
      <x:c r="G989" s="12" t="n">
        <x:v>4635.7126</x:v>
      </x:c>
      <x:c r="H989" s="12" t="n">
        <x:v>68.9162</x:v>
      </x:c>
      <x:c r="I989" s="12" t="n">
        <x:v>1.4866</x:v>
      </x:c>
      <x:c r="J989" s="12" t="n">
        <x:v>0.014756944673855646</x:v>
      </x:c>
      <x:c r="K989" s="12" t="n">
        <x:v>147292921</x:v>
      </x:c>
      <x:c r="L989" s="12" t="n">
        <x:v>254343934.256</x:v>
      </x:c>
      <x:c r="M989" s="12" t="str">
        <x:v>TuShare index_daily</x:v>
      </x:c>
    </x:row>
    <x:row r="990" ht="18" customHeight="1">
      <x:c r="A990" s="13" t="n">
        <x:v>44060</x:v>
      </x:c>
      <x:c r="B990" s="12" t="str">
        <x:v>000300.SH</x:v>
      </x:c>
      <x:c r="C990" s="12" t="n">
        <x:v>4727.1204</x:v>
      </x:c>
      <x:c r="D990" s="12" t="n">
        <x:v>4838.0864</x:v>
      </x:c>
      <x:c r="E990" s="12" t="n">
        <x:v>4721.3589</x:v>
      </x:c>
      <x:c r="F990" s="12" t="n">
        <x:v>4815.2261</x:v>
      </x:c>
      <x:c r="G990" s="12" t="n">
        <x:v>4704.6288</x:v>
      </x:c>
      <x:c r="H990" s="12" t="n">
        <x:v>110.5973</x:v>
      </x:c>
      <x:c r="I990" s="12" t="n">
        <x:v>2.3508</x:v>
      </x:c>
      <x:c r="J990" s="12" t="n">
        <x:v>0.02323612644012645</x:v>
      </x:c>
      <x:c r="K990" s="12" t="n">
        <x:v>268001556</x:v>
      </x:c>
      <x:c r="L990" s="12" t="n">
        <x:v>416469154.934</x:v>
      </x:c>
      <x:c r="M990" s="12" t="str">
        <x:v>TuShare index_daily</x:v>
      </x:c>
    </x:row>
    <x:row r="991" ht="18" customHeight="1">
      <x:c r="A991" s="13" t="n">
        <x:v>44061</x:v>
      </x:c>
      <x:c r="B991" s="12" t="str">
        <x:v>000300.SH</x:v>
      </x:c>
      <x:c r="C991" s="12" t="n">
        <x:v>4816.5703</x:v>
      </x:c>
      <x:c r="D991" s="12" t="n">
        <x:v>4825.3861</x:v>
      </x:c>
      <x:c r="E991" s="12" t="n">
        <x:v>4788.8293</x:v>
      </x:c>
      <x:c r="F991" s="12" t="n">
        <x:v>4812.7564</x:v>
      </x:c>
      <x:c r="G991" s="12" t="n">
        <x:v>4815.2261</x:v>
      </x:c>
      <x:c r="H991" s="12" t="n">
        <x:v>-2.4697</x:v>
      </x:c>
      <x:c r="I991" s="12" t="n">
        <x:v>-0.0513</x:v>
      </x:c>
      <x:c r="J991" s="12" t="n">
        <x:v>-0.000513025455575405</x:v>
      </x:c>
      <x:c r="K991" s="12" t="n">
        <x:v>189139854</x:v>
      </x:c>
      <x:c r="L991" s="12" t="n">
        <x:v>314395904.536</x:v>
      </x:c>
      <x:c r="M991" s="12" t="str">
        <x:v>TuShare index_daily</x:v>
      </x:c>
    </x:row>
    <x:row r="992" ht="18" customHeight="1">
      <x:c r="A992" s="13" t="n">
        <x:v>44062</x:v>
      </x:c>
      <x:c r="B992" s="12" t="str">
        <x:v>000300.SH</x:v>
      </x:c>
      <x:c r="C992" s="12" t="n">
        <x:v>4804.6655</x:v>
      </x:c>
      <x:c r="D992" s="12" t="n">
        <x:v>4809.0499</x:v>
      </x:c>
      <x:c r="E992" s="12" t="n">
        <x:v>4738.0086</x:v>
      </x:c>
      <x:c r="F992" s="12" t="n">
        <x:v>4740.6784</x:v>
      </x:c>
      <x:c r="G992" s="12" t="n">
        <x:v>4812.7564</x:v>
      </x:c>
      <x:c r="H992" s="12" t="n">
        <x:v>-72.078</x:v>
      </x:c>
      <x:c r="I992" s="12" t="n">
        <x:v>-1.4976</x:v>
      </x:c>
      <x:c r="J992" s="12" t="n">
        <x:v>-0.01508972828793647</x:v>
      </x:c>
      <x:c r="K992" s="12" t="n">
        <x:v>192442948</x:v>
      </x:c>
      <x:c r="L992" s="12" t="n">
        <x:v>319403284.708</x:v>
      </x:c>
      <x:c r="M992" s="12" t="str">
        <x:v>TuShare index_daily</x:v>
      </x:c>
    </x:row>
    <x:row r="993" ht="18" customHeight="1">
      <x:c r="A993" s="13" t="n">
        <x:v>44063</x:v>
      </x:c>
      <x:c r="B993" s="12" t="str">
        <x:v>000300.SH</x:v>
      </x:c>
      <x:c r="C993" s="12" t="n">
        <x:v>4708.1253</x:v>
      </x:c>
      <x:c r="D993" s="12" t="n">
        <x:v>4721.4357</x:v>
      </x:c>
      <x:c r="E993" s="12" t="n">
        <x:v>4662.8032</x:v>
      </x:c>
      <x:c r="F993" s="12" t="n">
        <x:v>4679.1544</x:v>
      </x:c>
      <x:c r="G993" s="12" t="n">
        <x:v>4740.6784</x:v>
      </x:c>
      <x:c r="H993" s="12" t="n">
        <x:v>-61.524</x:v>
      </x:c>
      <x:c r="I993" s="12" t="n">
        <x:v>-1.2978</x:v>
      </x:c>
      <x:c r="J993" s="12" t="n">
        <x:v>-0.013062837985231536</x:v>
      </x:c>
      <x:c r="K993" s="12" t="n">
        <x:v>158368639</x:v>
      </x:c>
      <x:c r="L993" s="12" t="n">
        <x:v>260486563.515</x:v>
      </x:c>
      <x:c r="M993" s="12" t="str">
        <x:v>TuShare index_daily</x:v>
      </x:c>
    </x:row>
    <x:row r="994" ht="18" customHeight="1">
      <x:c r="A994" s="13" t="n">
        <x:v>44064</x:v>
      </x:c>
      <x:c r="B994" s="12" t="str">
        <x:v>000300.SH</x:v>
      </x:c>
      <x:c r="C994" s="12" t="n">
        <x:v>4717.7874</x:v>
      </x:c>
      <x:c r="D994" s="12" t="n">
        <x:v>4739.4836</x:v>
      </x:c>
      <x:c r="E994" s="12" t="n">
        <x:v>4684.8101</x:v>
      </x:c>
      <x:c r="F994" s="12" t="n">
        <x:v>4718.8431</x:v>
      </x:c>
      <x:c r="G994" s="12" t="n">
        <x:v>4679.1544</x:v>
      </x:c>
      <x:c r="H994" s="12" t="n">
        <x:v>39.6887</x:v>
      </x:c>
      <x:c r="I994" s="12" t="n">
        <x:v>0.8482</x:v>
      </x:c>
      <x:c r="J994" s="12" t="n">
        <x:v>0.00844625377829779</x:v>
      </x:c>
      <x:c r="K994" s="12" t="n">
        <x:v>142657864</x:v>
      </x:c>
      <x:c r="L994" s="12" t="n">
        <x:v>251775160.234</x:v>
      </x:c>
      <x:c r="M994" s="12" t="str">
        <x:v>TuShare index_daily</x:v>
      </x:c>
    </x:row>
    <x:row r="995" ht="18" customHeight="1">
      <x:c r="A995" s="13" t="n">
        <x:v>44067</x:v>
      </x:c>
      <x:c r="B995" s="12" t="str">
        <x:v>000300.SH</x:v>
      </x:c>
      <x:c r="C995" s="12" t="n">
        <x:v>4746.4035</x:v>
      </x:c>
      <x:c r="D995" s="12" t="n">
        <x:v>4769.4673</x:v>
      </x:c>
      <x:c r="E995" s="12" t="n">
        <x:v>4716.6054</x:v>
      </x:c>
      <x:c r="F995" s="12" t="n">
        <x:v>4755.8491</x:v>
      </x:c>
      <x:c r="G995" s="12" t="n">
        <x:v>4718.8431</x:v>
      </x:c>
      <x:c r="H995" s="12" t="n">
        <x:v>37.006</x:v>
      </x:c>
      <x:c r="I995" s="12" t="n">
        <x:v>0.7842</x:v>
      </x:c>
      <x:c r="J995" s="12" t="n">
        <x:v>0.007811586360143104</x:v>
      </x:c>
      <x:c r="K995" s="12" t="n">
        <x:v>151143512</x:v>
      </x:c>
      <x:c r="L995" s="12" t="n">
        <x:v>272428686.419</x:v>
      </x:c>
      <x:c r="M995" s="12" t="str">
        <x:v>TuShare index_daily</x:v>
      </x:c>
    </x:row>
    <x:row r="996" ht="18" customHeight="1">
      <x:c r="A996" s="13" t="n">
        <x:v>44068</x:v>
      </x:c>
      <x:c r="B996" s="12" t="str">
        <x:v>000300.SH</x:v>
      </x:c>
      <x:c r="C996" s="12" t="n">
        <x:v>4769.2107</x:v>
      </x:c>
      <x:c r="D996" s="12" t="n">
        <x:v>4802.4122</x:v>
      </x:c>
      <x:c r="E996" s="12" t="n">
        <x:v>4746.313</x:v>
      </x:c>
      <x:c r="F996" s="12" t="n">
        <x:v>4761.9507</x:v>
      </x:c>
      <x:c r="G996" s="12" t="n">
        <x:v>4755.8491</x:v>
      </x:c>
      <x:c r="H996" s="12" t="n">
        <x:v>6.1016</x:v>
      </x:c>
      <x:c r="I996" s="12" t="n">
        <x:v>0.1283</x:v>
      </x:c>
      <x:c r="J996" s="12" t="n">
        <x:v>0.001282145236100936</x:v>
      </x:c>
      <x:c r="K996" s="12" t="n">
        <x:v>141701351</x:v>
      </x:c>
      <x:c r="L996" s="12" t="n">
        <x:v>262308788.275</x:v>
      </x:c>
      <x:c r="M996" s="12" t="str">
        <x:v>TuShare index_daily</x:v>
      </x:c>
    </x:row>
    <x:row r="997" ht="18" customHeight="1">
      <x:c r="A997" s="13" t="n">
        <x:v>44069</x:v>
      </x:c>
      <x:c r="B997" s="12" t="str">
        <x:v>000300.SH</x:v>
      </x:c>
      <x:c r="C997" s="12" t="n">
        <x:v>4761.7186</x:v>
      </x:c>
      <x:c r="D997" s="12" t="n">
        <x:v>4786.4249</x:v>
      </x:c>
      <x:c r="E997" s="12" t="n">
        <x:v>4689.881</x:v>
      </x:c>
      <x:c r="F997" s="12" t="n">
        <x:v>4706.1302</x:v>
      </x:c>
      <x:c r="G997" s="12" t="n">
        <x:v>4761.9507</x:v>
      </x:c>
      <x:c r="H997" s="12" t="n">
        <x:v>-55.8205</x:v>
      </x:c>
      <x:c r="I997" s="12" t="n">
        <x:v>-1.1722</x:v>
      </x:c>
      <x:c r="J997" s="12" t="n">
        <x:v>-0.01179143848735509</x:v>
      </x:c>
      <x:c r="K997" s="12" t="n">
        <x:v>151305180</x:v>
      </x:c>
      <x:c r="L997" s="12" t="n">
        <x:v>277456360.643</x:v>
      </x:c>
      <x:c r="M997" s="12" t="str">
        <x:v>TuShare index_daily</x:v>
      </x:c>
    </x:row>
    <x:row r="998" ht="18" customHeight="1">
      <x:c r="A998" s="13" t="n">
        <x:v>44070</x:v>
      </x:c>
      <x:c r="B998" s="12" t="str">
        <x:v>000300.SH</x:v>
      </x:c>
      <x:c r="C998" s="12" t="n">
        <x:v>4718.062</x:v>
      </x:c>
      <x:c r="D998" s="12" t="n">
        <x:v>4731.9351</x:v>
      </x:c>
      <x:c r="E998" s="12" t="n">
        <x:v>4679.3623</x:v>
      </x:c>
      <x:c r="F998" s="12" t="n">
        <x:v>4731.3451</x:v>
      </x:c>
      <x:c r="G998" s="12" t="n">
        <x:v>4706.1302</x:v>
      </x:c>
      <x:c r="H998" s="12" t="n">
        <x:v>25.2149</x:v>
      </x:c>
      <x:c r="I998" s="12" t="n">
        <x:v>0.5358</x:v>
      </x:c>
      <x:c r="J998" s="12" t="n">
        <x:v>0.005343581667131274</x:v>
      </x:c>
      <x:c r="K998" s="12" t="n">
        <x:v>119042850</x:v>
      </x:c>
      <x:c r="L998" s="12" t="n">
        <x:v>223631511.406</x:v>
      </x:c>
      <x:c r="M998" s="12" t="str">
        <x:v>TuShare index_daily</x:v>
      </x:c>
    </x:row>
    <x:row r="999" ht="18" customHeight="1">
      <x:c r="A999" s="13" t="n">
        <x:v>44071</x:v>
      </x:c>
      <x:c r="B999" s="12" t="str">
        <x:v>000300.SH</x:v>
      </x:c>
      <x:c r="C999" s="12" t="n">
        <x:v>4727.292</x:v>
      </x:c>
      <x:c r="D999" s="12" t="n">
        <x:v>4850.4884</x:v>
      </x:c>
      <x:c r="E999" s="12" t="n">
        <x:v>4719.3526</x:v>
      </x:c>
      <x:c r="F999" s="12" t="n">
        <x:v>4844.2652</x:v>
      </x:c>
      <x:c r="G999" s="12" t="n">
        <x:v>4731.3451</x:v>
      </x:c>
      <x:c r="H999" s="12" t="n">
        <x:v>112.9201</x:v>
      </x:c>
      <x:c r="I999" s="12" t="n">
        <x:v>2.3866</x:v>
      </x:c>
      <x:c r="J999" s="12" t="n">
        <x:v>0.02358603393633957</x:v>
      </x:c>
      <x:c r="K999" s="12" t="n">
        <x:v>159399765</x:v>
      </x:c>
      <x:c r="L999" s="12" t="n">
        <x:v>305047882.509</x:v>
      </x:c>
      <x:c r="M999" s="12" t="str">
        <x:v>TuShare index_daily</x:v>
      </x:c>
    </x:row>
    <x:row r="1000" ht="18" customHeight="1">
      <x:c r="A1000" s="13" t="n">
        <x:v>44074</x:v>
      </x:c>
      <x:c r="B1000" s="12" t="str">
        <x:v>000300.SH</x:v>
      </x:c>
      <x:c r="C1000" s="12" t="n">
        <x:v>4870.9337</x:v>
      </x:c>
      <x:c r="D1000" s="12" t="n">
        <x:v>4901.2115</x:v>
      </x:c>
      <x:c r="E1000" s="12" t="n">
        <x:v>4816.2123</x:v>
      </x:c>
      <x:c r="F1000" s="12" t="n">
        <x:v>4816.2153</x:v>
      </x:c>
      <x:c r="G1000" s="12" t="n">
        <x:v>4844.2652</x:v>
      </x:c>
      <x:c r="H1000" s="12" t="n">
        <x:v>-28.0499</x:v>
      </x:c>
      <x:c r="I1000" s="12" t="n">
        <x:v>-0.579</x:v>
      </x:c>
      <x:c r="J1000" s="12" t="n">
        <x:v>-0.005807160177476246</x:v>
      </x:c>
      <x:c r="K1000" s="12" t="n">
        <x:v>202567029</x:v>
      </x:c>
      <x:c r="L1000" s="12" t="n">
        <x:v>357005064.605</x:v>
      </x:c>
      <x:c r="M1000" s="12" t="str">
        <x:v>TuShare index_daily</x:v>
      </x:c>
    </x:row>
    <x:row r="1001" ht="18" customHeight="1">
      <x:c r="A1001" s="13" t="n">
        <x:v>44075</x:v>
      </x:c>
      <x:c r="B1001" s="12" t="str">
        <x:v>000300.SH</x:v>
      </x:c>
      <x:c r="C1001" s="12" t="n">
        <x:v>4803.3922</x:v>
      </x:c>
      <x:c r="D1001" s="12" t="n">
        <x:v>4842.135</x:v>
      </x:c>
      <x:c r="E1001" s="12" t="n">
        <x:v>4791.7829</x:v>
      </x:c>
      <x:c r="F1001" s="12" t="n">
        <x:v>4842.1223</x:v>
      </x:c>
      <x:c r="G1001" s="12" t="n">
        <x:v>4816.2153</x:v>
      </x:c>
      <x:c r="H1001" s="12" t="n">
        <x:v>25.907</x:v>
      </x:c>
      <x:c r="I1001" s="12" t="n">
        <x:v>0.5379</x:v>
      </x:c>
      <x:c r="J1001" s="12" t="n">
        <x:v>0.005364704197894736</x:v>
      </x:c>
      <x:c r="K1001" s="12" t="n">
        <x:v>138395402</x:v>
      </x:c>
      <x:c r="L1001" s="12" t="n">
        <x:v>262018070.577</x:v>
      </x:c>
      <x:c r="M1001" s="12" t="str">
        <x:v>TuShare index_daily</x:v>
      </x:c>
    </x:row>
    <x:row r="1002" ht="18" customHeight="1">
      <x:c r="A1002" s="13" t="n">
        <x:v>44076</x:v>
      </x:c>
      <x:c r="B1002" s="12" t="str">
        <x:v>000300.SH</x:v>
      </x:c>
      <x:c r="C1002" s="12" t="n">
        <x:v>4859.0754</x:v>
      </x:c>
      <x:c r="D1002" s="12" t="n">
        <x:v>4863.5509</x:v>
      </x:c>
      <x:c r="E1002" s="12" t="n">
        <x:v>4797.5204</x:v>
      </x:c>
      <x:c r="F1002" s="12" t="n">
        <x:v>4843.887</x:v>
      </x:c>
      <x:c r="G1002" s="12" t="n">
        <x:v>4842.1223</x:v>
      </x:c>
      <x:c r="H1002" s="12" t="n">
        <x:v>1.7647</x:v>
      </x:c>
      <x:c r="I1002" s="12" t="n">
        <x:v>0.0364</x:v>
      </x:c>
      <x:c r="J1002" s="12" t="n">
        <x:v>0.0003643812358356593</x:v>
      </x:c>
      <x:c r="K1002" s="12" t="n">
        <x:v>157989524</x:v>
      </x:c>
      <x:c r="L1002" s="12" t="n">
        <x:v>280778613.751</x:v>
      </x:c>
      <x:c r="M1002" s="12" t="str">
        <x:v>TuShare index_daily</x:v>
      </x:c>
    </x:row>
    <x:row r="1003" ht="18" customHeight="1">
      <x:c r="A1003" s="13" t="n">
        <x:v>44077</x:v>
      </x:c>
      <x:c r="B1003" s="12" t="str">
        <x:v>000300.SH</x:v>
      </x:c>
      <x:c r="C1003" s="12" t="n">
        <x:v>4841.502</x:v>
      </x:c>
      <x:c r="D1003" s="12" t="n">
        <x:v>4877.0117</x:v>
      </x:c>
      <x:c r="E1003" s="12" t="n">
        <x:v>4800.0577</x:v>
      </x:c>
      <x:c r="F1003" s="12" t="n">
        <x:v>4817.0952</x:v>
      </x:c>
      <x:c r="G1003" s="12" t="n">
        <x:v>4843.887</x:v>
      </x:c>
      <x:c r="H1003" s="12" t="n">
        <x:v>-26.7918</x:v>
      </x:c>
      <x:c r="I1003" s="12" t="n">
        <x:v>-0.5531</x:v>
      </x:c>
      <x:c r="J1003" s="12" t="n">
        <x:v>-0.005546406799537806</x:v>
      </x:c>
      <x:c r="K1003" s="12" t="n">
        <x:v>145671201</x:v>
      </x:c>
      <x:c r="L1003" s="12" t="n">
        <x:v>279411988.792</x:v>
      </x:c>
      <x:c r="M1003" s="12" t="str">
        <x:v>TuShare index_daily</x:v>
      </x:c>
    </x:row>
    <x:row r="1004" ht="18" customHeight="1">
      <x:c r="A1004" s="13" t="n">
        <x:v>44078</x:v>
      </x:c>
      <x:c r="B1004" s="12" t="str">
        <x:v>000300.SH</x:v>
      </x:c>
      <x:c r="C1004" s="12" t="n">
        <x:v>4737.2368</x:v>
      </x:c>
      <x:c r="D1004" s="12" t="n">
        <x:v>4778.203</x:v>
      </x:c>
      <x:c r="E1004" s="12" t="n">
        <x:v>4726.5559</x:v>
      </x:c>
      <x:c r="F1004" s="12" t="n">
        <x:v>4770.219</x:v>
      </x:c>
      <x:c r="G1004" s="12" t="n">
        <x:v>4817.0952</x:v>
      </x:c>
      <x:c r="H1004" s="12" t="n">
        <x:v>-46.8762</x:v>
      </x:c>
      <x:c r="I1004" s="12" t="n">
        <x:v>-0.9731</x:v>
      </x:c>
      <x:c r="J1004" s="12" t="n">
        <x:v>-0.009778874994954716</x:v>
      </x:c>
      <x:c r="K1004" s="12" t="n">
        <x:v>120032796</x:v>
      </x:c>
      <x:c r="L1004" s="12" t="n">
        <x:v>238463337.879</x:v>
      </x:c>
      <x:c r="M1004" s="12" t="str">
        <x:v>TuShare index_daily</x:v>
      </x:c>
    </x:row>
    <x:row r="1005" ht="18" customHeight="1">
      <x:c r="A1005" s="13" t="n">
        <x:v>44081</x:v>
      </x:c>
      <x:c r="B1005" s="12" t="str">
        <x:v>000300.SH</x:v>
      </x:c>
      <x:c r="C1005" s="12" t="n">
        <x:v>4759.5213</x:v>
      </x:c>
      <x:c r="D1005" s="12" t="n">
        <x:v>4789.3031</x:v>
      </x:c>
      <x:c r="E1005" s="12" t="n">
        <x:v>4655.56</x:v>
      </x:c>
      <x:c r="F1005" s="12" t="n">
        <x:v>4669.3677</x:v>
      </x:c>
      <x:c r="G1005" s="12" t="n">
        <x:v>4770.219</x:v>
      </x:c>
      <x:c r="H1005" s="12" t="n">
        <x:v>-100.8513</x:v>
      </x:c>
      <x:c r="I1005" s="12" t="n">
        <x:v>-2.1142</x:v>
      </x:c>
      <x:c r="J1005" s="12" t="n">
        <x:v>-0.021368549427703998</x:v>
      </x:c>
      <x:c r="K1005" s="12" t="n">
        <x:v>148607791</x:v>
      </x:c>
      <x:c r="L1005" s="12" t="n">
        <x:v>282316394.068</x:v>
      </x:c>
      <x:c r="M1005" s="12" t="str">
        <x:v>TuShare index_daily</x:v>
      </x:c>
    </x:row>
    <x:row r="1006" ht="18" customHeight="1">
      <x:c r="A1006" s="13" t="n">
        <x:v>44082</x:v>
      </x:c>
      <x:c r="B1006" s="12" t="str">
        <x:v>000300.SH</x:v>
      </x:c>
      <x:c r="C1006" s="12" t="n">
        <x:v>4683.8256</x:v>
      </x:c>
      <x:c r="D1006" s="12" t="n">
        <x:v>4707.8966</x:v>
      </x:c>
      <x:c r="E1006" s="12" t="n">
        <x:v>4639.0531</x:v>
      </x:c>
      <x:c r="F1006" s="12" t="n">
        <x:v>4694.3894</x:v>
      </x:c>
      <x:c r="G1006" s="12" t="n">
        <x:v>4669.3677</x:v>
      </x:c>
      <x:c r="H1006" s="12" t="n">
        <x:v>25.0217</x:v>
      </x:c>
      <x:c r="I1006" s="12" t="n">
        <x:v>0.5359</x:v>
      </x:c>
      <x:c r="J1006" s="12" t="n">
        <x:v>0.0053443845861228375</x:v>
      </x:c>
      <x:c r="K1006" s="12" t="n">
        <x:v>139199227</x:v>
      </x:c>
      <x:c r="L1006" s="12" t="n">
        <x:v>249198138.076</x:v>
      </x:c>
      <x:c r="M1006" s="12" t="str">
        <x:v>TuShare index_daily</x:v>
      </x:c>
    </x:row>
    <x:row r="1007" ht="18" customHeight="1">
      <x:c r="A1007" s="13" t="n">
        <x:v>44083</x:v>
      </x:c>
      <x:c r="B1007" s="12" t="str">
        <x:v>000300.SH</x:v>
      </x:c>
      <x:c r="C1007" s="12" t="n">
        <x:v>4634.247</x:v>
      </x:c>
      <x:c r="D1007" s="12" t="n">
        <x:v>4645.1972</x:v>
      </x:c>
      <x:c r="E1007" s="12" t="n">
        <x:v>4558.0304</x:v>
      </x:c>
      <x:c r="F1007" s="12" t="n">
        <x:v>4584.5887</x:v>
      </x:c>
      <x:c r="G1007" s="12" t="n">
        <x:v>4694.3894</x:v>
      </x:c>
      <x:c r="H1007" s="12" t="n">
        <x:v>-109.8007</x:v>
      </x:c>
      <x:c r="I1007" s="12" t="n">
        <x:v>-2.339</x:v>
      </x:c>
      <x:c r="J1007" s="12" t="n">
        <x:v>-0.02366765483140326</x:v>
      </x:c>
      <x:c r="K1007" s="12" t="n">
        <x:v>162277107</x:v>
      </x:c>
      <x:c r="L1007" s="12" t="n">
        <x:v>244905191.934</x:v>
      </x:c>
      <x:c r="M1007" s="12" t="str">
        <x:v>TuShare index_daily</x:v>
      </x:c>
    </x:row>
    <x:row r="1008" ht="18" customHeight="1">
      <x:c r="A1008" s="13" t="n">
        <x:v>44084</x:v>
      </x:c>
      <x:c r="B1008" s="12" t="str">
        <x:v>000300.SH</x:v>
      </x:c>
      <x:c r="C1008" s="12" t="n">
        <x:v>4632.0994</x:v>
      </x:c>
      <x:c r="D1008" s="12" t="n">
        <x:v>4647.7505</x:v>
      </x:c>
      <x:c r="E1008" s="12" t="n">
        <x:v>4572.2058</x:v>
      </x:c>
      <x:c r="F1008" s="12" t="n">
        <x:v>4581.9775</x:v>
      </x:c>
      <x:c r="G1008" s="12" t="n">
        <x:v>4584.5887</x:v>
      </x:c>
      <x:c r="H1008" s="12" t="n">
        <x:v>-2.6112</x:v>
      </x:c>
      <x:c r="I1008" s="12" t="n">
        <x:v>-0.057</x:v>
      </x:c>
      <x:c r="J1008" s="12" t="n">
        <x:v>-0.0005697226232063961</x:v>
      </x:c>
      <x:c r="K1008" s="12" t="n">
        <x:v>150652878</x:v>
      </x:c>
      <x:c r="L1008" s="12" t="n">
        <x:v>226146354.805</x:v>
      </x:c>
      <x:c r="M1008" s="12" t="str">
        <x:v>TuShare index_daily</x:v>
      </x:c>
    </x:row>
    <x:row r="1009" ht="18" customHeight="1">
      <x:c r="A1009" s="13" t="n">
        <x:v>44085</x:v>
      </x:c>
      <x:c r="B1009" s="12" t="str">
        <x:v>000300.SH</x:v>
      </x:c>
      <x:c r="C1009" s="12" t="n">
        <x:v>4572.2572</x:v>
      </x:c>
      <x:c r="D1009" s="12" t="n">
        <x:v>4630.8842</x:v>
      </x:c>
      <x:c r="E1009" s="12" t="n">
        <x:v>4563.1061</x:v>
      </x:c>
      <x:c r="F1009" s="12" t="n">
        <x:v>4627.2826</x:v>
      </x:c>
      <x:c r="G1009" s="12" t="n">
        <x:v>4581.9775</x:v>
      </x:c>
      <x:c r="H1009" s="12" t="n">
        <x:v>45.3051</x:v>
      </x:c>
      <x:c r="I1009" s="12" t="n">
        <x:v>0.9888</x:v>
      </x:c>
      <x:c r="J1009" s="12" t="n">
        <x:v>0.009839110851291967</x:v>
      </x:c>
      <x:c r="K1009" s="12" t="n">
        <x:v>115302424</x:v>
      </x:c>
      <x:c r="L1009" s="12" t="n">
        <x:v>198240927.302</x:v>
      </x:c>
      <x:c r="M1009" s="12" t="str">
        <x:v>TuShare index_daily</x:v>
      </x:c>
    </x:row>
    <x:row r="1010" ht="18" customHeight="1">
      <x:c r="A1010" s="13" t="n">
        <x:v>44088</x:v>
      </x:c>
      <x:c r="B1010" s="12" t="str">
        <x:v>000300.SH</x:v>
      </x:c>
      <x:c r="C1010" s="12" t="n">
        <x:v>4652.0539</x:v>
      </x:c>
      <x:c r="D1010" s="12" t="n">
        <x:v>4666.9862</x:v>
      </x:c>
      <x:c r="E1010" s="12" t="n">
        <x:v>4625.9877</x:v>
      </x:c>
      <x:c r="F1010" s="12" t="n">
        <x:v>4651.0507</x:v>
      </x:c>
      <x:c r="G1010" s="12" t="n">
        <x:v>4627.2826</x:v>
      </x:c>
      <x:c r="H1010" s="12" t="n">
        <x:v>23.7681</x:v>
      </x:c>
      <x:c r="I1010" s="12" t="n">
        <x:v>0.5137</x:v>
      </x:c>
      <x:c r="J1010" s="12" t="n">
        <x:v>0.005123366712961365</x:v>
      </x:c>
      <x:c r="K1010" s="12" t="n">
        <x:v>107235179</x:v>
      </x:c>
      <x:c r="L1010" s="12" t="n">
        <x:v>211653411.811</x:v>
      </x:c>
      <x:c r="M1010" s="12" t="str">
        <x:v>TuShare index_daily</x:v>
      </x:c>
    </x:row>
    <x:row r="1011" ht="18" customHeight="1">
      <x:c r="A1011" s="13" t="n">
        <x:v>44089</x:v>
      </x:c>
      <x:c r="B1011" s="12" t="str">
        <x:v>000300.SH</x:v>
      </x:c>
      <x:c r="C1011" s="12" t="n">
        <x:v>4649.4472</x:v>
      </x:c>
      <x:c r="D1011" s="12" t="n">
        <x:v>4691.4997</x:v>
      </x:c>
      <x:c r="E1011" s="12" t="n">
        <x:v>4630.5374</x:v>
      </x:c>
      <x:c r="F1011" s="12" t="n">
        <x:v>4688.4826</x:v>
      </x:c>
      <x:c r="G1011" s="12" t="n">
        <x:v>4651.0507</x:v>
      </x:c>
      <x:c r="H1011" s="12" t="n">
        <x:v>37.4319</x:v>
      </x:c>
      <x:c r="I1011" s="12" t="n">
        <x:v>0.8048</x:v>
      </x:c>
      <x:c r="J1011" s="12" t="n">
        <x:v>0.008015839598304212</x:v>
      </x:c>
      <x:c r="K1011" s="12" t="n">
        <x:v>101915925</x:v>
      </x:c>
      <x:c r="L1011" s="12" t="n">
        <x:v>194573684.119</x:v>
      </x:c>
      <x:c r="M1011" s="12" t="str">
        <x:v>TuShare index_daily</x:v>
      </x:c>
    </x:row>
    <x:row r="1012" ht="18" customHeight="1">
      <x:c r="A1012" s="13" t="n">
        <x:v>44090</x:v>
      </x:c>
      <x:c r="B1012" s="12" t="str">
        <x:v>000300.SH</x:v>
      </x:c>
      <x:c r="C1012" s="12" t="n">
        <x:v>4683.006</x:v>
      </x:c>
      <x:c r="D1012" s="12" t="n">
        <x:v>4690.6815</x:v>
      </x:c>
      <x:c r="E1012" s="12" t="n">
        <x:v>4638.4586</x:v>
      </x:c>
      <x:c r="F1012" s="12" t="n">
        <x:v>4657.3584</x:v>
      </x:c>
      <x:c r="G1012" s="12" t="n">
        <x:v>4688.4826</x:v>
      </x:c>
      <x:c r="H1012" s="12" t="n">
        <x:v>-31.1242</x:v>
      </x:c>
      <x:c r="I1012" s="12" t="n">
        <x:v>-0.6638</x:v>
      </x:c>
      <x:c r="J1012" s="12" t="n">
        <x:v>-0.00666057020743151</x:v>
      </x:c>
      <x:c r="K1012" s="12" t="n">
        <x:v>108753641</x:v>
      </x:c>
      <x:c r="L1012" s="12" t="n">
        <x:v>196120184.851</x:v>
      </x:c>
      <x:c r="M1012" s="12" t="str">
        <x:v>TuShare index_daily</x:v>
      </x:c>
    </x:row>
    <x:row r="1013" ht="18" customHeight="1">
      <x:c r="A1013" s="13" t="n">
        <x:v>44091</x:v>
      </x:c>
      <x:c r="B1013" s="12" t="str">
        <x:v>000300.SH</x:v>
      </x:c>
      <x:c r="C1013" s="12" t="n">
        <x:v>4642.0542</x:v>
      </x:c>
      <x:c r="D1013" s="12" t="n">
        <x:v>4664.9491</x:v>
      </x:c>
      <x:c r="E1013" s="12" t="n">
        <x:v>4601.639</x:v>
      </x:c>
      <x:c r="F1013" s="12" t="n">
        <x:v>4632.7142</x:v>
      </x:c>
      <x:c r="G1013" s="12" t="n">
        <x:v>4657.3584</x:v>
      </x:c>
      <x:c r="H1013" s="12" t="n">
        <x:v>-24.6442</x:v>
      </x:c>
      <x:c r="I1013" s="12" t="n">
        <x:v>-0.5291</x:v>
      </x:c>
      <x:c r="J1013" s="12" t="n">
        <x:v>-0.005305503814429285</x:v>
      </x:c>
      <x:c r="K1013" s="12" t="n">
        <x:v>105983631</x:v>
      </x:c>
      <x:c r="L1013" s="12" t="n">
        <x:v>214146647.27</x:v>
      </x:c>
      <x:c r="M1013" s="12" t="str">
        <x:v>TuShare index_daily</x:v>
      </x:c>
    </x:row>
    <x:row r="1014" ht="18" customHeight="1">
      <x:c r="A1014" s="13" t="n">
        <x:v>44092</x:v>
      </x:c>
      <x:c r="B1014" s="12" t="str">
        <x:v>000300.SH</x:v>
      </x:c>
      <x:c r="C1014" s="12" t="n">
        <x:v>4636.6422</x:v>
      </x:c>
      <x:c r="D1014" s="12" t="n">
        <x:v>4737.8039</x:v>
      </x:c>
      <x:c r="E1014" s="12" t="n">
        <x:v>4631.7045</x:v>
      </x:c>
      <x:c r="F1014" s="12" t="n">
        <x:v>4737.0887</x:v>
      </x:c>
      <x:c r="G1014" s="12" t="n">
        <x:v>4632.7142</x:v>
      </x:c>
      <x:c r="H1014" s="12" t="n">
        <x:v>104.3745</x:v>
      </x:c>
      <x:c r="I1014" s="12" t="n">
        <x:v>2.253</x:v>
      </x:c>
      <x:c r="J1014" s="12" t="n">
        <x:v>0.02227983205717658</x:v>
      </x:c>
      <x:c r="K1014" s="12" t="n">
        <x:v>160426475</x:v>
      </x:c>
      <x:c r="L1014" s="12" t="n">
        <x:v>281885944.229</x:v>
      </x:c>
      <x:c r="M1014" s="12" t="str">
        <x:v>TuShare index_daily</x:v>
      </x:c>
    </x:row>
    <x:row r="1015" ht="18" customHeight="1">
      <x:c r="A1015" s="13" t="n">
        <x:v>44095</x:v>
      </x:c>
      <x:c r="B1015" s="12" t="str">
        <x:v>000300.SH</x:v>
      </x:c>
      <x:c r="C1015" s="12" t="n">
        <x:v>4750.7481</x:v>
      </x:c>
      <x:c r="D1015" s="12" t="n">
        <x:v>4752.9799</x:v>
      </x:c>
      <x:c r="E1015" s="12" t="n">
        <x:v>4688.7199</x:v>
      </x:c>
      <x:c r="F1015" s="12" t="n">
        <x:v>4691.4281</x:v>
      </x:c>
      <x:c r="G1015" s="12" t="n">
        <x:v>4737.0887</x:v>
      </x:c>
      <x:c r="H1015" s="12" t="n">
        <x:v>-45.6606</x:v>
      </x:c>
      <x:c r="I1015" s="12" t="n">
        <x:v>-0.9639</x:v>
      </x:c>
      <x:c r="J1015" s="12" t="n">
        <x:v>-0.009685713655998145</x:v>
      </x:c>
      <x:c r="K1015" s="12" t="n">
        <x:v>124535827</x:v>
      </x:c>
      <x:c r="L1015" s="12" t="n">
        <x:v>224137912.695</x:v>
      </x:c>
      <x:c r="M1015" s="12" t="str">
        <x:v>TuShare index_daily</x:v>
      </x:c>
    </x:row>
    <x:row r="1016" ht="18" customHeight="1">
      <x:c r="A1016" s="13" t="n">
        <x:v>44096</x:v>
      </x:c>
      <x:c r="B1016" s="12" t="str">
        <x:v>000300.SH</x:v>
      </x:c>
      <x:c r="C1016" s="12" t="n">
        <x:v>4654.2179</x:v>
      </x:c>
      <x:c r="D1016" s="12" t="n">
        <x:v>4706.2096</x:v>
      </x:c>
      <x:c r="E1016" s="12" t="n">
        <x:v>4622.1111</x:v>
      </x:c>
      <x:c r="F1016" s="12" t="n">
        <x:v>4635.7608</x:v>
      </x:c>
      <x:c r="G1016" s="12" t="n">
        <x:v>4691.4281</x:v>
      </x:c>
      <x:c r="H1016" s="12" t="n">
        <x:v>-55.6673</x:v>
      </x:c>
      <x:c r="I1016" s="12" t="n">
        <x:v>-1.1866</x:v>
      </x:c>
      <x:c r="J1016" s="12" t="n">
        <x:v>-0.01193670709894685</x:v>
      </x:c>
      <x:c r="K1016" s="12" t="n">
        <x:v>119672947</x:v>
      </x:c>
      <x:c r="L1016" s="12" t="n">
        <x:v>202909215.535</x:v>
      </x:c>
      <x:c r="M1016" s="12" t="str">
        <x:v>TuShare index_daily</x:v>
      </x:c>
    </x:row>
    <x:row r="1017" ht="18" customHeight="1">
      <x:c r="A1017" s="13" t="n">
        <x:v>44097</x:v>
      </x:c>
      <x:c r="B1017" s="12" t="str">
        <x:v>000300.SH</x:v>
      </x:c>
      <x:c r="C1017" s="12" t="n">
        <x:v>4639.6592</x:v>
      </x:c>
      <x:c r="D1017" s="12" t="n">
        <x:v>4665.96</x:v>
      </x:c>
      <x:c r="E1017" s="12" t="n">
        <x:v>4623.5528</x:v>
      </x:c>
      <x:c r="F1017" s="12" t="n">
        <x:v>4652.3273</x:v>
      </x:c>
      <x:c r="G1017" s="12" t="n">
        <x:v>4635.7608</x:v>
      </x:c>
      <x:c r="H1017" s="12" t="n">
        <x:v>16.5665</x:v>
      </x:c>
      <x:c r="I1017" s="12" t="n">
        <x:v>0.3574</x:v>
      </x:c>
      <x:c r="J1017" s="12" t="n">
        <x:v>0.003567261074509898</x:v>
      </x:c>
      <x:c r="K1017" s="12" t="n">
        <x:v>95826528</x:v>
      </x:c>
      <x:c r="L1017" s="12" t="n">
        <x:v>190393472.276</x:v>
      </x:c>
      <x:c r="M1017" s="12" t="str">
        <x:v>TuShare index_daily</x:v>
      </x:c>
    </x:row>
    <x:row r="1018" ht="18" customHeight="1">
      <x:c r="A1018" s="13" t="n">
        <x:v>44098</x:v>
      </x:c>
      <x:c r="B1018" s="12" t="str">
        <x:v>000300.SH</x:v>
      </x:c>
      <x:c r="C1018" s="12" t="n">
        <x:v>4623.9535</x:v>
      </x:c>
      <x:c r="D1018" s="12" t="n">
        <x:v>4631.9482</x:v>
      </x:c>
      <x:c r="E1018" s="12" t="n">
        <x:v>4562.2086</x:v>
      </x:c>
      <x:c r="F1018" s="12" t="n">
        <x:v>4563.0657</x:v>
      </x:c>
      <x:c r="G1018" s="12" t="n">
        <x:v>4652.3273</x:v>
      </x:c>
      <x:c r="H1018" s="12" t="n">
        <x:v>-89.2616</x:v>
      </x:c>
      <x:c r="I1018" s="12" t="n">
        <x:v>-1.9186</x:v>
      </x:c>
      <x:c r="J1018" s="12" t="n">
        <x:v>-0.019372888753561534</x:v>
      </x:c>
      <x:c r="K1018" s="12" t="n">
        <x:v>112593683</x:v>
      </x:c>
      <x:c r="L1018" s="12" t="n">
        <x:v>193515873.7</x:v>
      </x:c>
      <x:c r="M1018" s="12" t="str">
        <x:v>TuShare index_daily</x:v>
      </x:c>
    </x:row>
    <x:row r="1019" ht="18" customHeight="1">
      <x:c r="A1019" s="13" t="n">
        <x:v>44099</x:v>
      </x:c>
      <x:c r="B1019" s="12" t="str">
        <x:v>000300.SH</x:v>
      </x:c>
      <x:c r="C1019" s="12" t="n">
        <x:v>4582.482</x:v>
      </x:c>
      <x:c r="D1019" s="12" t="n">
        <x:v>4599.5387</x:v>
      </x:c>
      <x:c r="E1019" s="12" t="n">
        <x:v>4554.7199</x:v>
      </x:c>
      <x:c r="F1019" s="12" t="n">
        <x:v>4570.0216</x:v>
      </x:c>
      <x:c r="G1019" s="12" t="n">
        <x:v>4563.0657</x:v>
      </x:c>
      <x:c r="H1019" s="12" t="n">
        <x:v>6.9559</x:v>
      </x:c>
      <x:c r="I1019" s="12" t="n">
        <x:v>0.1524</x:v>
      </x:c>
      <x:c r="J1019" s="12" t="n">
        <x:v>0.0015232311082675793</x:v>
      </x:c>
      <x:c r="K1019" s="12" t="n">
        <x:v>93015155</x:v>
      </x:c>
      <x:c r="L1019" s="12" t="n">
        <x:v>167457376.964</x:v>
      </x:c>
      <x:c r="M1019" s="12" t="str">
        <x:v>TuShare index_daily</x:v>
      </x:c>
    </x:row>
    <x:row r="1020" ht="18" customHeight="1">
      <x:c r="A1020" s="13" t="n">
        <x:v>44102</x:v>
      </x:c>
      <x:c r="B1020" s="12" t="str">
        <x:v>000300.SH</x:v>
      </x:c>
      <x:c r="C1020" s="12" t="n">
        <x:v>4582.6471</x:v>
      </x:c>
      <x:c r="D1020" s="12" t="n">
        <x:v>4613.6324</x:v>
      </x:c>
      <x:c r="E1020" s="12" t="n">
        <x:v>4571.1507</x:v>
      </x:c>
      <x:c r="F1020" s="12" t="n">
        <x:v>4581.9085</x:v>
      </x:c>
      <x:c r="G1020" s="12" t="n">
        <x:v>4570.0216</x:v>
      </x:c>
      <x:c r="H1020" s="12" t="n">
        <x:v>11.8869</x:v>
      </x:c>
      <x:c r="I1020" s="12" t="n">
        <x:v>0.2601</x:v>
      </x:c>
      <x:c r="J1020" s="12" t="n">
        <x:v>0.0025976830142870892</x:v>
      </x:c>
      <x:c r="K1020" s="12" t="n">
        <x:v>85048389</x:v>
      </x:c>
      <x:c r="L1020" s="12" t="n">
        <x:v>159314675.407</x:v>
      </x:c>
      <x:c r="M1020" s="12" t="str">
        <x:v>TuShare index_daily</x:v>
      </x:c>
    </x:row>
    <x:row r="1021" ht="18" customHeight="1">
      <x:c r="A1021" s="13" t="n">
        <x:v>44103</x:v>
      </x:c>
      <x:c r="B1021" s="12" t="str">
        <x:v>000300.SH</x:v>
      </x:c>
      <x:c r="C1021" s="12" t="n">
        <x:v>4608.2926</x:v>
      </x:c>
      <x:c r="D1021" s="12" t="n">
        <x:v>4616.6767</x:v>
      </x:c>
      <x:c r="E1021" s="12" t="n">
        <x:v>4586.3537</x:v>
      </x:c>
      <x:c r="F1021" s="12" t="n">
        <x:v>4591.7993</x:v>
      </x:c>
      <x:c r="G1021" s="12" t="n">
        <x:v>4581.9085</x:v>
      </x:c>
      <x:c r="H1021" s="12" t="n">
        <x:v>9.8908</x:v>
      </x:c>
      <x:c r="I1021" s="12" t="n">
        <x:v>0.2159</x:v>
      </x:c>
      <x:c r="J1021" s="12" t="n">
        <x:v>0.0021563372298629402</x:v>
      </x:c>
      <x:c r="K1021" s="12" t="n">
        <x:v>85993858</x:v>
      </x:c>
      <x:c r="L1021" s="12" t="n">
        <x:v>159937888.502</x:v>
      </x:c>
      <x:c r="M1021" s="12" t="str">
        <x:v>TuShare index_daily</x:v>
      </x:c>
    </x:row>
    <x:row r="1022" ht="18" customHeight="1">
      <x:c r="A1022" s="13" t="n">
        <x:v>44104</x:v>
      </x:c>
      <x:c r="B1022" s="12" t="str">
        <x:v>000300.SH</x:v>
      </x:c>
      <x:c r="C1022" s="12" t="n">
        <x:v>4607.5753</x:v>
      </x:c>
      <x:c r="D1022" s="12" t="n">
        <x:v>4634.7239</x:v>
      </x:c>
      <x:c r="E1022" s="12" t="n">
        <x:v>4563.4108</x:v>
      </x:c>
      <x:c r="F1022" s="12" t="n">
        <x:v>4587.3953</x:v>
      </x:c>
      <x:c r="G1022" s="12" t="n">
        <x:v>4591.7993</x:v>
      </x:c>
      <x:c r="H1022" s="12" t="n">
        <x:v>-4.404</x:v>
      </x:c>
      <x:c r="I1022" s="12" t="n">
        <x:v>-0.0959</x:v>
      </x:c>
      <x:c r="J1022" s="12" t="n">
        <x:v>-0.000959561384158417</x:v>
      </x:c>
      <x:c r="K1022" s="12" t="n">
        <x:v>89081200</x:v>
      </x:c>
      <x:c r="L1022" s="12" t="n">
        <x:v>165532220.885</x:v>
      </x:c>
      <x:c r="M1022" s="12" t="str">
        <x:v>TuShare index_daily</x:v>
      </x:c>
    </x:row>
    <x:row r="1023" ht="18" customHeight="1">
      <x:c r="A1023" s="13" t="n">
        <x:v>44113</x:v>
      </x:c>
      <x:c r="B1023" s="12" t="str">
        <x:v>000300.SH</x:v>
      </x:c>
      <x:c r="C1023" s="12" t="n">
        <x:v>4663.61</x:v>
      </x:c>
      <x:c r="D1023" s="12" t="n">
        <x:v>4695.4041</x:v>
      </x:c>
      <x:c r="E1023" s="12" t="n">
        <x:v>4655.0851</x:v>
      </x:c>
      <x:c r="F1023" s="12" t="n">
        <x:v>4681.1412</x:v>
      </x:c>
      <x:c r="G1023" s="12" t="n">
        <x:v>4587.3953</x:v>
      </x:c>
      <x:c r="H1023" s="12" t="n">
        <x:v>93.7459</x:v>
      </x:c>
      <x:c r="I1023" s="12" t="n">
        <x:v>2.0436</x:v>
      </x:c>
      <x:c r="J1023" s="12" t="n">
        <x:v>0.0202295361258012</x:v>
      </x:c>
      <x:c r="K1023" s="12" t="n">
        <x:v>111337512</x:v>
      </x:c>
      <x:c r="L1023" s="12" t="n">
        <x:v>229926731.49</x:v>
      </x:c>
      <x:c r="M1023" s="12" t="str">
        <x:v>TuShare index_daily</x:v>
      </x:c>
    </x:row>
    <x:row r="1024" ht="18" customHeight="1">
      <x:c r="A1024" s="13" t="n">
        <x:v>44116</x:v>
      </x:c>
      <x:c r="B1024" s="12" t="str">
        <x:v>000300.SH</x:v>
      </x:c>
      <x:c r="C1024" s="12" t="n">
        <x:v>4705.1883</x:v>
      </x:c>
      <x:c r="D1024" s="12" t="n">
        <x:v>4823.2666</x:v>
      </x:c>
      <x:c r="E1024" s="12" t="n">
        <x:v>4704.1554</x:v>
      </x:c>
      <x:c r="F1024" s="12" t="n">
        <x:v>4823.1578</x:v>
      </x:c>
      <x:c r="G1024" s="12" t="n">
        <x:v>4681.1412</x:v>
      </x:c>
      <x:c r="H1024" s="12" t="n">
        <x:v>142.0166</x:v>
      </x:c>
      <x:c r="I1024" s="12" t="n">
        <x:v>3.0338</x:v>
      </x:c>
      <x:c r="J1024" s="12" t="n">
        <x:v>0.02988693241901605</x:v>
      </x:c>
      <x:c r="K1024" s="12" t="n">
        <x:v>155784558</x:v>
      </x:c>
      <x:c r="L1024" s="12" t="n">
        <x:v>307848558.046</x:v>
      </x:c>
      <x:c r="M1024" s="12" t="str">
        <x:v>TuShare index_daily</x:v>
      </x:c>
    </x:row>
    <x:row r="1025" ht="18" customHeight="1">
      <x:c r="A1025" s="13" t="n">
        <x:v>44117</x:v>
      </x:c>
      <x:c r="B1025" s="12" t="str">
        <x:v>000300.SH</x:v>
      </x:c>
      <x:c r="C1025" s="12" t="n">
        <x:v>4812.8989</x:v>
      </x:c>
      <x:c r="D1025" s="12" t="n">
        <x:v>4845.9191</x:v>
      </x:c>
      <x:c r="E1025" s="12" t="n">
        <x:v>4795.373</x:v>
      </x:c>
      <x:c r="F1025" s="12" t="n">
        <x:v>4839.201</x:v>
      </x:c>
      <x:c r="G1025" s="12" t="n">
        <x:v>4823.1578</x:v>
      </x:c>
      <x:c r="H1025" s="12" t="n">
        <x:v>16.0432</x:v>
      </x:c>
      <x:c r="I1025" s="12" t="n">
        <x:v>0.3326</x:v>
      </x:c>
      <x:c r="J1025" s="12" t="n">
        <x:v>0.003320765679496209</x:v>
      </x:c>
      <x:c r="K1025" s="12" t="n">
        <x:v>116516338</x:v>
      </x:c>
      <x:c r="L1025" s="12" t="n">
        <x:v>242172567.249</x:v>
      </x:c>
      <x:c r="M1025" s="12" t="str">
        <x:v>TuShare index_daily</x:v>
      </x:c>
    </x:row>
    <x:row r="1026" ht="18" customHeight="1">
      <x:c r="A1026" s="13" t="n">
        <x:v>44118</x:v>
      </x:c>
      <x:c r="B1026" s="12" t="str">
        <x:v>000300.SH</x:v>
      </x:c>
      <x:c r="C1026" s="12" t="n">
        <x:v>4830.4575</x:v>
      </x:c>
      <x:c r="D1026" s="12" t="n">
        <x:v>4830.4575</x:v>
      </x:c>
      <x:c r="E1026" s="12" t="n">
        <x:v>4795.9069</x:v>
      </x:c>
      <x:c r="F1026" s="12" t="n">
        <x:v>4807.1021</x:v>
      </x:c>
      <x:c r="G1026" s="12" t="n">
        <x:v>4839.201</x:v>
      </x:c>
      <x:c r="H1026" s="12" t="n">
        <x:v>-32.0989</x:v>
      </x:c>
      <x:c r="I1026" s="12" t="n">
        <x:v>-0.6633</x:v>
      </x:c>
      <x:c r="J1026" s="12" t="n">
        <x:v>-0.0066551959114719535</x:v>
      </x:c>
      <x:c r="K1026" s="12" t="n">
        <x:v>111906923</x:v>
      </x:c>
      <x:c r="L1026" s="12" t="n">
        <x:v>229836207.248</x:v>
      </x:c>
      <x:c r="M1026" s="12" t="str">
        <x:v>TuShare index_daily</x:v>
      </x:c>
    </x:row>
    <x:row r="1027" ht="18" customHeight="1">
      <x:c r="A1027" s="13" t="n">
        <x:v>44119</x:v>
      </x:c>
      <x:c r="B1027" s="12" t="str">
        <x:v>000300.SH</x:v>
      </x:c>
      <x:c r="C1027" s="12" t="n">
        <x:v>4810.7821</x:v>
      </x:c>
      <x:c r="D1027" s="12" t="n">
        <x:v>4833.8925</x:v>
      </x:c>
      <x:c r="E1027" s="12" t="n">
        <x:v>4796.2647</x:v>
      </x:c>
      <x:c r="F1027" s="12" t="n">
        <x:v>4798.7361</x:v>
      </x:c>
      <x:c r="G1027" s="12" t="n">
        <x:v>4807.1021</x:v>
      </x:c>
      <x:c r="H1027" s="12" t="n">
        <x:v>-8.366</x:v>
      </x:c>
      <x:c r="I1027" s="12" t="n">
        <x:v>-0.174</x:v>
      </x:c>
      <x:c r="J1027" s="12" t="n">
        <x:v>-0.00174185780377837</x:v>
      </x:c>
      <x:c r="K1027" s="12" t="n">
        <x:v>109964962</x:v>
      </x:c>
      <x:c r="L1027" s="12" t="n">
        <x:v>213878285.047</x:v>
      </x:c>
      <x:c r="M1027" s="12" t="str">
        <x:v>TuShare index_daily</x:v>
      </x:c>
    </x:row>
    <x:row r="1028" ht="18" customHeight="1">
      <x:c r="A1028" s="13" t="n">
        <x:v>44120</x:v>
      </x:c>
      <x:c r="B1028" s="12" t="str">
        <x:v>000300.SH</x:v>
      </x:c>
      <x:c r="C1028" s="12" t="n">
        <x:v>4798.9162</x:v>
      </x:c>
      <x:c r="D1028" s="12" t="n">
        <x:v>4825.5518</x:v>
      </x:c>
      <x:c r="E1028" s="12" t="n">
        <x:v>4765.967</x:v>
      </x:c>
      <x:c r="F1028" s="12" t="n">
        <x:v>4791.676</x:v>
      </x:c>
      <x:c r="G1028" s="12" t="n">
        <x:v>4798.7361</x:v>
      </x:c>
      <x:c r="H1028" s="12" t="n">
        <x:v>-7.0601</x:v>
      </x:c>
      <x:c r="I1028" s="12" t="n">
        <x:v>-0.1471</x:v>
      </x:c>
      <x:c r="J1028" s="12" t="n">
        <x:v>-0.0014723249015277874</x:v>
      </x:c>
      <x:c r="K1028" s="12" t="n">
        <x:v>116716102</x:v>
      </x:c>
      <x:c r="L1028" s="12" t="n">
        <x:v>204175130.718</x:v>
      </x:c>
      <x:c r="M1028" s="12" t="str">
        <x:v>TuShare index_daily</x:v>
      </x:c>
    </x:row>
    <x:row r="1029" ht="18" customHeight="1">
      <x:c r="A1029" s="13" t="n">
        <x:v>44123</x:v>
      </x:c>
      <x:c r="B1029" s="12" t="str">
        <x:v>000300.SH</x:v>
      </x:c>
      <x:c r="C1029" s="12" t="n">
        <x:v>4823.4944</x:v>
      </x:c>
      <x:c r="D1029" s="12" t="n">
        <x:v>4849.605</x:v>
      </x:c>
      <x:c r="E1029" s="12" t="n">
        <x:v>4747.3356</x:v>
      </x:c>
      <x:c r="F1029" s="12" t="n">
        <x:v>4755.4879</x:v>
      </x:c>
      <x:c r="G1029" s="12" t="n">
        <x:v>4791.676</x:v>
      </x:c>
      <x:c r="H1029" s="12" t="n">
        <x:v>-36.1881</x:v>
      </x:c>
      <x:c r="I1029" s="12" t="n">
        <x:v>-0.7552</x:v>
      </x:c>
      <x:c r="J1029" s="12" t="n">
        <x:v>-0.007580947324676243</x:v>
      </x:c>
      <x:c r="K1029" s="12" t="n">
        <x:v>129246361</x:v>
      </x:c>
      <x:c r="L1029" s="12" t="n">
        <x:v>225392198.225</x:v>
      </x:c>
      <x:c r="M1029" s="12" t="str">
        <x:v>TuShare index_daily</x:v>
      </x:c>
    </x:row>
    <x:row r="1030" ht="18" customHeight="1">
      <x:c r="A1030" s="13" t="n">
        <x:v>44124</x:v>
      </x:c>
      <x:c r="B1030" s="12" t="str">
        <x:v>000300.SH</x:v>
      </x:c>
      <x:c r="C1030" s="12" t="n">
        <x:v>4751.3694</x:v>
      </x:c>
      <x:c r="D1030" s="12" t="n">
        <x:v>4793.4672</x:v>
      </x:c>
      <x:c r="E1030" s="12" t="n">
        <x:v>4739.4583</x:v>
      </x:c>
      <x:c r="F1030" s="12" t="n">
        <x:v>4793.4672</x:v>
      </x:c>
      <x:c r="G1030" s="12" t="n">
        <x:v>4755.4879</x:v>
      </x:c>
      <x:c r="H1030" s="12" t="n">
        <x:v>37.9793</x:v>
      </x:c>
      <x:c r="I1030" s="12" t="n">
        <x:v>0.7986</x:v>
      </x:c>
      <x:c r="J1030" s="12" t="n">
        <x:v>0.007954692397331964</x:v>
      </x:c>
      <x:c r="K1030" s="12" t="n">
        <x:v>98048156</x:v>
      </x:c>
      <x:c r="L1030" s="12" t="n">
        <x:v>185849198.018</x:v>
      </x:c>
      <x:c r="M1030" s="12" t="str">
        <x:v>TuShare index_daily</x:v>
      </x:c>
    </x:row>
    <x:row r="1031" ht="18" customHeight="1">
      <x:c r="A1031" s="13" t="n">
        <x:v>44125</x:v>
      </x:c>
      <x:c r="B1031" s="12" t="str">
        <x:v>000300.SH</x:v>
      </x:c>
      <x:c r="C1031" s="12" t="n">
        <x:v>4801.6313</x:v>
      </x:c>
      <x:c r="D1031" s="12" t="n">
        <x:v>4801.6313</x:v>
      </x:c>
      <x:c r="E1031" s="12" t="n">
        <x:v>4758.8552</x:v>
      </x:c>
      <x:c r="F1031" s="12" t="n">
        <x:v>4792.8284</x:v>
      </x:c>
      <x:c r="G1031" s="12" t="n">
        <x:v>4793.4672</x:v>
      </x:c>
      <x:c r="H1031" s="12" t="n">
        <x:v>-0.6388</x:v>
      </x:c>
      <x:c r="I1031" s="12" t="n">
        <x:v>-0.0133</x:v>
      </x:c>
      <x:c r="J1031" s="12" t="n">
        <x:v>-0.0001332735871289077</x:v>
      </x:c>
      <x:c r="K1031" s="12" t="n">
        <x:v>103805703</x:v>
      </x:c>
      <x:c r="L1031" s="12" t="n">
        <x:v>189978697.044</x:v>
      </x:c>
      <x:c r="M1031" s="12" t="str">
        <x:v>TuShare index_daily</x:v>
      </x:c>
    </x:row>
    <x:row r="1032" ht="18" customHeight="1">
      <x:c r="A1032" s="13" t="n">
        <x:v>44126</x:v>
      </x:c>
      <x:c r="B1032" s="12" t="str">
        <x:v>000300.SH</x:v>
      </x:c>
      <x:c r="C1032" s="12" t="n">
        <x:v>4780.5954</x:v>
      </x:c>
      <x:c r="D1032" s="12" t="n">
        <x:v>4791.8078</x:v>
      </x:c>
      <x:c r="E1032" s="12" t="n">
        <x:v>4725.4993</x:v>
      </x:c>
      <x:c r="F1032" s="12" t="n">
        <x:v>4777.9845</x:v>
      </x:c>
      <x:c r="G1032" s="12" t="n">
        <x:v>4792.8284</x:v>
      </x:c>
      <x:c r="H1032" s="12" t="n">
        <x:v>-14.8439</x:v>
      </x:c>
      <x:c r="I1032" s="12" t="n">
        <x:v>-0.3097</x:v>
      </x:c>
      <x:c r="J1032" s="12" t="n">
        <x:v>-0.0031019124618266</x:v>
      </x:c>
      <x:c r="K1032" s="12" t="n">
        <x:v>101350891</x:v>
      </x:c>
      <x:c r="L1032" s="12" t="n">
        <x:v>194614971.17</x:v>
      </x:c>
      <x:c r="M1032" s="12" t="str">
        <x:v>TuShare index_daily</x:v>
      </x:c>
    </x:row>
    <x:row r="1033" ht="18" customHeight="1">
      <x:c r="A1033" s="13" t="n">
        <x:v>44127</x:v>
      </x:c>
      <x:c r="B1033" s="12" t="str">
        <x:v>000300.SH</x:v>
      </x:c>
      <x:c r="C1033" s="12" t="n">
        <x:v>4775.4665</x:v>
      </x:c>
      <x:c r="D1033" s="12" t="n">
        <x:v>4802.456</x:v>
      </x:c>
      <x:c r="E1033" s="12" t="n">
        <x:v>4717.0984</x:v>
      </x:c>
      <x:c r="F1033" s="12" t="n">
        <x:v>4718.4881</x:v>
      </x:c>
      <x:c r="G1033" s="12" t="n">
        <x:v>4777.9845</x:v>
      </x:c>
      <x:c r="H1033" s="12" t="n">
        <x:v>-59.4964</x:v>
      </x:c>
      <x:c r="I1033" s="12" t="n">
        <x:v>-1.2452</x:v>
      </x:c>
      <x:c r="J1033" s="12" t="n">
        <x:v>-0.012530374375044237</x:v>
      </x:c>
      <x:c r="K1033" s="12" t="n">
        <x:v>106825184</x:v>
      </x:c>
      <x:c r="L1033" s="12" t="n">
        <x:v>200985821.992</x:v>
      </x:c>
      <x:c r="M1033" s="12" t="str">
        <x:v>TuShare index_daily</x:v>
      </x:c>
    </x:row>
    <x:row r="1034" ht="18" customHeight="1">
      <x:c r="A1034" s="13" t="n">
        <x:v>44130</x:v>
      </x:c>
      <x:c r="B1034" s="12" t="str">
        <x:v>000300.SH</x:v>
      </x:c>
      <x:c r="C1034" s="12" t="n">
        <x:v>4684.0465</x:v>
      </x:c>
      <x:c r="D1034" s="12" t="n">
        <x:v>4713.3945</x:v>
      </x:c>
      <x:c r="E1034" s="12" t="n">
        <x:v>4639.3019</x:v>
      </x:c>
      <x:c r="F1034" s="12" t="n">
        <x:v>4691.2359</x:v>
      </x:c>
      <x:c r="G1034" s="12" t="n">
        <x:v>4718.4881</x:v>
      </x:c>
      <x:c r="H1034" s="12" t="n">
        <x:v>-27.2522</x:v>
      </x:c>
      <x:c r="I1034" s="12" t="n">
        <x:v>-0.5776</x:v>
      </x:c>
      <x:c r="J1034" s="12" t="n">
        <x:v>-0.005792364621097337</x:v>
      </x:c>
      <x:c r="K1034" s="12" t="n">
        <x:v>108343275</x:v>
      </x:c>
      <x:c r="L1034" s="12" t="n">
        <x:v>205518988.284</x:v>
      </x:c>
      <x:c r="M1034" s="12" t="str">
        <x:v>TuShare index_daily</x:v>
      </x:c>
    </x:row>
    <x:row r="1035" ht="18" customHeight="1">
      <x:c r="A1035" s="13" t="n">
        <x:v>44131</x:v>
      </x:c>
      <x:c r="B1035" s="12" t="str">
        <x:v>000300.SH</x:v>
      </x:c>
      <x:c r="C1035" s="12" t="n">
        <x:v>4680.1371</x:v>
      </x:c>
      <x:c r="D1035" s="12" t="n">
        <x:v>4708.4623</x:v>
      </x:c>
      <x:c r="E1035" s="12" t="n">
        <x:v>4671.8536</x:v>
      </x:c>
      <x:c r="F1035" s="12" t="n">
        <x:v>4699.2792</x:v>
      </x:c>
      <x:c r="G1035" s="12" t="n">
        <x:v>4691.2359</x:v>
      </x:c>
      <x:c r="H1035" s="12" t="n">
        <x:v>8.0433</x:v>
      </x:c>
      <x:c r="I1035" s="12" t="n">
        <x:v>0.1715</x:v>
      </x:c>
      <x:c r="J1035" s="12" t="n">
        <x:v>0.0017130693857238426</x:v>
      </x:c>
      <x:c r="K1035" s="12" t="n">
        <x:v>92656304</x:v>
      </x:c>
      <x:c r="L1035" s="12" t="n">
        <x:v>186675545.69</x:v>
      </x:c>
      <x:c r="M1035" s="12" t="str">
        <x:v>TuShare index_daily</x:v>
      </x:c>
    </x:row>
    <x:row r="1036" ht="18" customHeight="1">
      <x:c r="A1036" s="13" t="n">
        <x:v>44132</x:v>
      </x:c>
      <x:c r="B1036" s="12" t="str">
        <x:v>000300.SH</x:v>
      </x:c>
      <x:c r="C1036" s="12" t="n">
        <x:v>4703.0036</x:v>
      </x:c>
      <x:c r="D1036" s="12" t="n">
        <x:v>4753.3125</x:v>
      </x:c>
      <x:c r="E1036" s="12" t="n">
        <x:v>4685.6012</x:v>
      </x:c>
      <x:c r="F1036" s="12" t="n">
        <x:v>4737.2718</x:v>
      </x:c>
      <x:c r="G1036" s="12" t="n">
        <x:v>4699.2792</x:v>
      </x:c>
      <x:c r="H1036" s="12" t="n">
        <x:v>37.9926</x:v>
      </x:c>
      <x:c r="I1036" s="12" t="n">
        <x:v>0.8085</x:v>
      </x:c>
      <x:c r="J1036" s="12" t="n">
        <x:v>0.008052265130175401</x:v>
      </x:c>
      <x:c r="K1036" s="12" t="n">
        <x:v>108463402</x:v>
      </x:c>
      <x:c r="L1036" s="12" t="n">
        <x:v>226754264.067</x:v>
      </x:c>
      <x:c r="M1036" s="12" t="str">
        <x:v>TuShare index_daily</x:v>
      </x:c>
    </x:row>
    <x:row r="1037" ht="18" customHeight="1">
      <x:c r="A1037" s="13" t="n">
        <x:v>44133</x:v>
      </x:c>
      <x:c r="B1037" s="12" t="str">
        <x:v>000300.SH</x:v>
      </x:c>
      <x:c r="C1037" s="12" t="n">
        <x:v>4683.607</x:v>
      </x:c>
      <x:c r="D1037" s="12" t="n">
        <x:v>4803.0317</x:v>
      </x:c>
      <x:c r="E1037" s="12" t="n">
        <x:v>4679.2529</x:v>
      </x:c>
      <x:c r="F1037" s="12" t="n">
        <x:v>4772.9198</x:v>
      </x:c>
      <x:c r="G1037" s="12" t="n">
        <x:v>4737.2718</x:v>
      </x:c>
      <x:c r="H1037" s="12" t="n">
        <x:v>35.648</x:v>
      </x:c>
      <x:c r="I1037" s="12" t="n">
        <x:v>0.7525</x:v>
      </x:c>
      <x:c r="J1037" s="12" t="n">
        <x:v>0.007496834650276579</x:v>
      </x:c>
      <x:c r="K1037" s="12" t="n">
        <x:v>117117250</x:v>
      </x:c>
      <x:c r="L1037" s="12" t="n">
        <x:v>252303504.993</x:v>
      </x:c>
      <x:c r="M1037" s="12" t="str">
        <x:v>TuShare index_daily</x:v>
      </x:c>
    </x:row>
    <x:row r="1038" ht="18" customHeight="1">
      <x:c r="A1038" s="13" t="n">
        <x:v>44134</x:v>
      </x:c>
      <x:c r="B1038" s="12" t="str">
        <x:v>000300.SH</x:v>
      </x:c>
      <x:c r="C1038" s="12" t="n">
        <x:v>4776.4726</x:v>
      </x:c>
      <x:c r="D1038" s="12" t="n">
        <x:v>4778.5089</x:v>
      </x:c>
      <x:c r="E1038" s="12" t="n">
        <x:v>4683.4719</x:v>
      </x:c>
      <x:c r="F1038" s="12" t="n">
        <x:v>4695.3338</x:v>
      </x:c>
      <x:c r="G1038" s="12" t="n">
        <x:v>4772.9198</x:v>
      </x:c>
      <x:c r="H1038" s="12" t="n">
        <x:v>-77.586</x:v>
      </x:c>
      <x:c r="I1038" s="12" t="n">
        <x:v>-1.6255</x:v>
      </x:c>
      <x:c r="J1038" s="12" t="n">
        <x:v>-0.016389027988660262</x:v>
      </x:c>
      <x:c r="K1038" s="12" t="n">
        <x:v>139802303</x:v>
      </x:c>
      <x:c r="L1038" s="12" t="n">
        <x:v>280783321.713</x:v>
      </x:c>
      <x:c r="M1038" s="12" t="str">
        <x:v>TuShare index_daily</x:v>
      </x:c>
    </x:row>
    <x:row r="1039" ht="18" customHeight="1">
      <x:c r="A1039" s="13" t="n">
        <x:v>44137</x:v>
      </x:c>
      <x:c r="B1039" s="12" t="str">
        <x:v>000300.SH</x:v>
      </x:c>
      <x:c r="C1039" s="12" t="n">
        <x:v>4702.7457</x:v>
      </x:c>
      <x:c r="D1039" s="12" t="n">
        <x:v>4738.0239</x:v>
      </x:c>
      <x:c r="E1039" s="12" t="n">
        <x:v>4695.4436</x:v>
      </x:c>
      <x:c r="F1039" s="12" t="n">
        <x:v>4720.8313</x:v>
      </x:c>
      <x:c r="G1039" s="12" t="n">
        <x:v>4695.3338</x:v>
      </x:c>
      <x:c r="H1039" s="12" t="n">
        <x:v>25.4975</x:v>
      </x:c>
      <x:c r="I1039" s="12" t="n">
        <x:v>0.543</x:v>
      </x:c>
      <x:c r="J1039" s="12" t="n">
        <x:v>0.005415699926437235</x:v>
      </x:c>
      <x:c r="K1039" s="12" t="n">
        <x:v>142867693</x:v>
      </x:c>
      <x:c r="L1039" s="12" t="n">
        <x:v>279027685.157</x:v>
      </x:c>
      <x:c r="M1039" s="12" t="str">
        <x:v>TuShare index_daily</x:v>
      </x:c>
    </x:row>
    <x:row r="1040" ht="18" customHeight="1">
      <x:c r="A1040" s="13" t="n">
        <x:v>44138</x:v>
      </x:c>
      <x:c r="B1040" s="12" t="str">
        <x:v>000300.SH</x:v>
      </x:c>
      <x:c r="C1040" s="12" t="n">
        <x:v>4743.1742</x:v>
      </x:c>
      <x:c r="D1040" s="12" t="n">
        <x:v>4793.3963</x:v>
      </x:c>
      <x:c r="E1040" s="12" t="n">
        <x:v>4734.1748</x:v>
      </x:c>
      <x:c r="F1040" s="12" t="n">
        <x:v>4777.5608</x:v>
      </x:c>
      <x:c r="G1040" s="12" t="n">
        <x:v>4720.8313</x:v>
      </x:c>
      <x:c r="H1040" s="12" t="n">
        <x:v>56.7295</x:v>
      </x:c>
      <x:c r="I1040" s="12" t="n">
        <x:v>1.2017</x:v>
      </x:c>
      <x:c r="J1040" s="12" t="n">
        <x:v>0.011945216401603785</x:v>
      </x:c>
      <x:c r="K1040" s="12" t="n">
        <x:v>136055408</x:v>
      </x:c>
      <x:c r="L1040" s="12" t="n">
        <x:v>252390556.314</x:v>
      </x:c>
      <x:c r="M1040" s="12" t="str">
        <x:v>TuShare index_daily</x:v>
      </x:c>
    </x:row>
    <x:row r="1041" ht="18" customHeight="1">
      <x:c r="A1041" s="13" t="n">
        <x:v>44139</x:v>
      </x:c>
      <x:c r="B1041" s="12" t="str">
        <x:v>000300.SH</x:v>
      </x:c>
      <x:c r="C1041" s="12" t="n">
        <x:v>4781.448</x:v>
      </x:c>
      <x:c r="D1041" s="12" t="n">
        <x:v>4825.4638</x:v>
      </x:c>
      <x:c r="E1041" s="12" t="n">
        <x:v>4770.5582</x:v>
      </x:c>
      <x:c r="F1041" s="12" t="n">
        <x:v>4813.6564</x:v>
      </x:c>
      <x:c r="G1041" s="12" t="n">
        <x:v>4777.5608</x:v>
      </x:c>
      <x:c r="H1041" s="12" t="n">
        <x:v>36.0956</x:v>
      </x:c>
      <x:c r="I1041" s="12" t="n">
        <x:v>0.7555</x:v>
      </x:c>
      <x:c r="J1041" s="12" t="n">
        <x:v>0.007526838285146994</x:v>
      </x:c>
      <x:c r="K1041" s="12" t="n">
        <x:v>114661806</x:v>
      </x:c>
      <x:c r="L1041" s="12" t="n">
        <x:v>230513773.046</x:v>
      </x:c>
      <x:c r="M1041" s="12" t="str">
        <x:v>TuShare index_daily</x:v>
      </x:c>
    </x:row>
    <x:row r="1042" ht="18" customHeight="1">
      <x:c r="A1042" s="13" t="n">
        <x:v>44140</x:v>
      </x:c>
      <x:c r="B1042" s="12" t="str">
        <x:v>000300.SH</x:v>
      </x:c>
      <x:c r="C1042" s="12" t="n">
        <x:v>4861.3377</x:v>
      </x:c>
      <x:c r="D1042" s="12" t="n">
        <x:v>4885.1118</x:v>
      </x:c>
      <x:c r="E1042" s="12" t="n">
        <x:v>4837.9996</x:v>
      </x:c>
      <x:c r="F1042" s="12" t="n">
        <x:v>4885.1118</x:v>
      </x:c>
      <x:c r="G1042" s="12" t="n">
        <x:v>4813.6564</x:v>
      </x:c>
      <x:c r="H1042" s="12" t="n">
        <x:v>71.4554</x:v>
      </x:c>
      <x:c r="I1042" s="12" t="n">
        <x:v>1.4844</x:v>
      </x:c>
      <x:c r="J1042" s="12" t="n">
        <x:v>0.01473520996199845</x:v>
      </x:c>
      <x:c r="K1042" s="12" t="n">
        <x:v>139244594</x:v>
      </x:c>
      <x:c r="L1042" s="12" t="n">
        <x:v>281951932.371</x:v>
      </x:c>
      <x:c r="M1042" s="12" t="str">
        <x:v>TuShare index_daily</x:v>
      </x:c>
    </x:row>
    <x:row r="1043" ht="18" customHeight="1">
      <x:c r="A1043" s="13" t="n">
        <x:v>44141</x:v>
      </x:c>
      <x:c r="B1043" s="12" t="str">
        <x:v>000300.SH</x:v>
      </x:c>
      <x:c r="C1043" s="12" t="n">
        <x:v>4897.6295</x:v>
      </x:c>
      <x:c r="D1043" s="12" t="n">
        <x:v>4897.6295</x:v>
      </x:c>
      <x:c r="E1043" s="12" t="n">
        <x:v>4845.4293</x:v>
      </x:c>
      <x:c r="F1043" s="12" t="n">
        <x:v>4885.7178</x:v>
      </x:c>
      <x:c r="G1043" s="12" t="n">
        <x:v>4885.1118</x:v>
      </x:c>
      <x:c r="H1043" s="12" t="n">
        <x:v>0.606</x:v>
      </x:c>
      <x:c r="I1043" s="12" t="n">
        <x:v>0.0124</x:v>
      </x:c>
      <x:c r="J1043" s="12" t="n">
        <x:v>0.00012404269147779382</x:v>
      </x:c>
      <x:c r="K1043" s="12" t="n">
        <x:v>153639034</x:v>
      </x:c>
      <x:c r="L1043" s="12" t="n">
        <x:v>305365103.653</x:v>
      </x:c>
      <x:c r="M1043" s="12" t="str">
        <x:v>TuShare index_daily</x:v>
      </x:c>
    </x:row>
    <x:row r="1044" ht="18" customHeight="1">
      <x:c r="A1044" s="13" t="n">
        <x:v>44144</x:v>
      </x:c>
      <x:c r="B1044" s="12" t="str">
        <x:v>000300.SH</x:v>
      </x:c>
      <x:c r="C1044" s="12" t="n">
        <x:v>4918.8609</x:v>
      </x:c>
      <x:c r="D1044" s="12" t="n">
        <x:v>4997.8017</x:v>
      </x:c>
      <x:c r="E1044" s="12" t="n">
        <x:v>4918.8609</x:v>
      </x:c>
      <x:c r="F1044" s="12" t="n">
        <x:v>4981.3497</x:v>
      </x:c>
      <x:c r="G1044" s="12" t="n">
        <x:v>4885.7178</x:v>
      </x:c>
      <x:c r="H1044" s="12" t="n">
        <x:v>95.6319</x:v>
      </x:c>
      <x:c r="I1044" s="12" t="n">
        <x:v>1.9574</x:v>
      </x:c>
      <x:c r="J1044" s="12" t="n">
        <x:v>0.019384664101318113</x:v>
      </x:c>
      <x:c r="K1044" s="12" t="n">
        <x:v>197131984</x:v>
      </x:c>
      <x:c r="L1044" s="12" t="n">
        <x:v>371923282.063</x:v>
      </x:c>
      <x:c r="M1044" s="12" t="str">
        <x:v>TuShare index_daily</x:v>
      </x:c>
    </x:row>
    <x:row r="1045" ht="18" customHeight="1">
      <x:c r="A1045" s="13" t="n">
        <x:v>44145</x:v>
      </x:c>
      <x:c r="B1045" s="12" t="str">
        <x:v>000300.SH</x:v>
      </x:c>
      <x:c r="C1045" s="12" t="n">
        <x:v>4995.4126</x:v>
      </x:c>
      <x:c r="D1045" s="12" t="n">
        <x:v>4995.4126</x:v>
      </x:c>
      <x:c r="E1045" s="12" t="n">
        <x:v>4928.9319</x:v>
      </x:c>
      <x:c r="F1045" s="12" t="n">
        <x:v>4953.8756</x:v>
      </x:c>
      <x:c r="G1045" s="12" t="n">
        <x:v>4981.3497</x:v>
      </x:c>
      <x:c r="H1045" s="12" t="n">
        <x:v>-27.4741</x:v>
      </x:c>
      <x:c r="I1045" s="12" t="n">
        <x:v>-0.5515</x:v>
      </x:c>
      <x:c r="J1045" s="12" t="n">
        <x:v>-0.005530658682067191</x:v>
      </x:c>
      <x:c r="K1045" s="12" t="n">
        <x:v>176267214</x:v>
      </x:c>
      <x:c r="L1045" s="12" t="n">
        <x:v>334271459.964</x:v>
      </x:c>
      <x:c r="M1045" s="12" t="str">
        <x:v>TuShare index_daily</x:v>
      </x:c>
    </x:row>
    <x:row r="1046" ht="18" customHeight="1">
      <x:c r="A1046" s="13" t="n">
        <x:v>44146</x:v>
      </x:c>
      <x:c r="B1046" s="12" t="str">
        <x:v>000300.SH</x:v>
      </x:c>
      <x:c r="C1046" s="12" t="n">
        <x:v>4937.7582</x:v>
      </x:c>
      <x:c r="D1046" s="12" t="n">
        <x:v>4957.5846</x:v>
      </x:c>
      <x:c r="E1046" s="12" t="n">
        <x:v>4901.7067</x:v>
      </x:c>
      <x:c r="F1046" s="12" t="n">
        <x:v>4904.8981</x:v>
      </x:c>
      <x:c r="G1046" s="12" t="n">
        <x:v>4953.8756</x:v>
      </x:c>
      <x:c r="H1046" s="12" t="n">
        <x:v>-48.9775</x:v>
      </x:c>
      <x:c r="I1046" s="12" t="n">
        <x:v>-0.9887</x:v>
      </x:c>
      <x:c r="J1046" s="12" t="n">
        <x:v>-0.009935901648628813</x:v>
      </x:c>
      <x:c r="K1046" s="12" t="n">
        <x:v>164470515</x:v>
      </x:c>
      <x:c r="L1046" s="12" t="n">
        <x:v>303858557.977</x:v>
      </x:c>
      <x:c r="M1046" s="12" t="str">
        <x:v>TuShare index_daily</x:v>
      </x:c>
    </x:row>
    <x:row r="1047" ht="18" customHeight="1">
      <x:c r="A1047" s="13" t="n">
        <x:v>44147</x:v>
      </x:c>
      <x:c r="B1047" s="12" t="str">
        <x:v>000300.SH</x:v>
      </x:c>
      <x:c r="C1047" s="12" t="n">
        <x:v>4916.7736</x:v>
      </x:c>
      <x:c r="D1047" s="12" t="n">
        <x:v>4926.3422</x:v>
      </x:c>
      <x:c r="E1047" s="12" t="n">
        <x:v>4891.51</x:v>
      </x:c>
      <x:c r="F1047" s="12" t="n">
        <x:v>4908.463</x:v>
      </x:c>
      <x:c r="G1047" s="12" t="n">
        <x:v>4904.8981</x:v>
      </x:c>
      <x:c r="H1047" s="12" t="n">
        <x:v>3.5649</x:v>
      </x:c>
      <x:c r="I1047" s="12" t="n">
        <x:v>0.0727</x:v>
      </x:c>
      <x:c r="J1047" s="12" t="n">
        <x:v>0.0007265400957911837</x:v>
      </x:c>
      <x:c r="K1047" s="12" t="n">
        <x:v>118114619</x:v>
      </x:c>
      <x:c r="L1047" s="12" t="n">
        <x:v>227645907.147</x:v>
      </x:c>
      <x:c r="M1047" s="12" t="str">
        <x:v>TuShare index_daily</x:v>
      </x:c>
    </x:row>
    <x:row r="1048" ht="18" customHeight="1">
      <x:c r="A1048" s="13" t="n">
        <x:v>44148</x:v>
      </x:c>
      <x:c r="B1048" s="12" t="str">
        <x:v>000300.SH</x:v>
      </x:c>
      <x:c r="C1048" s="12" t="n">
        <x:v>4886.9778</x:v>
      </x:c>
      <x:c r="D1048" s="12" t="n">
        <x:v>4886.9778</x:v>
      </x:c>
      <x:c r="E1048" s="12" t="n">
        <x:v>4825.7578</x:v>
      </x:c>
      <x:c r="F1048" s="12" t="n">
        <x:v>4856.8513</x:v>
      </x:c>
      <x:c r="G1048" s="12" t="n">
        <x:v>4908.463</x:v>
      </x:c>
      <x:c r="H1048" s="12" t="n">
        <x:v>-51.6117</x:v>
      </x:c>
      <x:c r="I1048" s="12" t="n">
        <x:v>-1.0515</x:v>
      </x:c>
      <x:c r="J1048" s="12" t="n">
        <x:v>-0.010570510889047147</x:v>
      </x:c>
      <x:c r="K1048" s="12" t="n">
        <x:v>133693079</x:v>
      </x:c>
      <x:c r="L1048" s="12" t="n">
        <x:v>255353111.738</x:v>
      </x:c>
      <x:c r="M1048" s="12" t="str">
        <x:v>TuShare index_daily</x:v>
      </x:c>
    </x:row>
    <x:row r="1049" ht="18" customHeight="1">
      <x:c r="A1049" s="13" t="n">
        <x:v>44151</x:v>
      </x:c>
      <x:c r="B1049" s="12" t="str">
        <x:v>000300.SH</x:v>
      </x:c>
      <x:c r="C1049" s="12" t="n">
        <x:v>4880.958</x:v>
      </x:c>
      <x:c r="D1049" s="12" t="n">
        <x:v>4904.1716</x:v>
      </x:c>
      <x:c r="E1049" s="12" t="n">
        <x:v>4848.6239</x:v>
      </x:c>
      <x:c r="F1049" s="12" t="n">
        <x:v>4904.1716</x:v>
      </x:c>
      <x:c r="G1049" s="12" t="n">
        <x:v>4856.8513</x:v>
      </x:c>
      <x:c r="H1049" s="12" t="n">
        <x:v>47.3203</x:v>
      </x:c>
      <x:c r="I1049" s="12" t="n">
        <x:v>0.9743</x:v>
      </x:c>
      <x:c r="J1049" s="12" t="n">
        <x:v>0.009695842576503763</x:v>
      </x:c>
      <x:c r="K1049" s="12" t="n">
        <x:v>148770980</x:v>
      </x:c>
      <x:c r="L1049" s="12" t="n">
        <x:v>266705031.672</x:v>
      </x:c>
      <x:c r="M1049" s="12" t="str">
        <x:v>TuShare index_daily</x:v>
      </x:c>
    </x:row>
    <x:row r="1050" ht="18" customHeight="1">
      <x:c r="A1050" s="13" t="n">
        <x:v>44152</x:v>
      </x:c>
      <x:c r="B1050" s="12" t="str">
        <x:v>000300.SH</x:v>
      </x:c>
      <x:c r="C1050" s="12" t="n">
        <x:v>4903.12</x:v>
      </x:c>
      <x:c r="D1050" s="12" t="n">
        <x:v>4909.2902</x:v>
      </x:c>
      <x:c r="E1050" s="12" t="n">
        <x:v>4865.3942</x:v>
      </x:c>
      <x:c r="F1050" s="12" t="n">
        <x:v>4894.786</x:v>
      </x:c>
      <x:c r="G1050" s="12" t="n">
        <x:v>4904.1716</x:v>
      </x:c>
      <x:c r="H1050" s="12" t="n">
        <x:v>-9.3856</x:v>
      </x:c>
      <x:c r="I1050" s="12" t="n">
        <x:v>-0.1914</x:v>
      </x:c>
      <x:c r="J1050" s="12" t="n">
        <x:v>-0.0019156329179655564</x:v>
      </x:c>
      <x:c r="K1050" s="12" t="n">
        <x:v>151487464</x:v>
      </x:c>
      <x:c r="L1050" s="12" t="n">
        <x:v>288911408.551</x:v>
      </x:c>
      <x:c r="M1050" s="12" t="str">
        <x:v>TuShare index_daily</x:v>
      </x:c>
    </x:row>
    <x:row r="1051" ht="18" customHeight="1">
      <x:c r="A1051" s="13" t="n">
        <x:v>44153</x:v>
      </x:c>
      <x:c r="B1051" s="12" t="str">
        <x:v>000300.SH</x:v>
      </x:c>
      <x:c r="C1051" s="12" t="n">
        <x:v>4889.6749</x:v>
      </x:c>
      <x:c r="D1051" s="12" t="n">
        <x:v>4911.0876</x:v>
      </x:c>
      <x:c r="E1051" s="12" t="n">
        <x:v>4870.7162</x:v>
      </x:c>
      <x:c r="F1051" s="12" t="n">
        <x:v>4891.6716</x:v>
      </x:c>
      <x:c r="G1051" s="12" t="n">
        <x:v>4894.786</x:v>
      </x:c>
      <x:c r="H1051" s="12" t="n">
        <x:v>-3.1144</x:v>
      </x:c>
      <x:c r="I1051" s="12" t="n">
        <x:v>-0.0636</x:v>
      </x:c>
      <x:c r="J1051" s="12" t="n">
        <x:v>-0.0006364713837081073</x:v>
      </x:c>
      <x:c r="K1051" s="12" t="n">
        <x:v>164216616</x:v>
      </x:c>
      <x:c r="L1051" s="12" t="n">
        <x:v>290727223.227</x:v>
      </x:c>
      <x:c r="M1051" s="12" t="str">
        <x:v>TuShare index_daily</x:v>
      </x:c>
    </x:row>
    <x:row r="1052" ht="18" customHeight="1">
      <x:c r="A1052" s="13" t="n">
        <x:v>44154</x:v>
      </x:c>
      <x:c r="B1052" s="12" t="str">
        <x:v>000300.SH</x:v>
      </x:c>
      <x:c r="C1052" s="12" t="n">
        <x:v>4880.9224</x:v>
      </x:c>
      <x:c r="D1052" s="12" t="n">
        <x:v>4939.7911</x:v>
      </x:c>
      <x:c r="E1052" s="12" t="n">
        <x:v>4870.2005</x:v>
      </x:c>
      <x:c r="F1052" s="12" t="n">
        <x:v>4927.9891</x:v>
      </x:c>
      <x:c r="G1052" s="12" t="n">
        <x:v>4891.6716</x:v>
      </x:c>
      <x:c r="H1052" s="12" t="n">
        <x:v>36.3175</x:v>
      </x:c>
      <x:c r="I1052" s="12" t="n">
        <x:v>0.7424</x:v>
      </x:c>
      <x:c r="J1052" s="12" t="n">
        <x:v>0.007396928814693623</x:v>
      </x:c>
      <x:c r="K1052" s="12" t="n">
        <x:v>133681378</x:v>
      </x:c>
      <x:c r="L1052" s="12" t="n">
        <x:v>247727135.001</x:v>
      </x:c>
      <x:c r="M1052" s="12" t="str">
        <x:v>TuShare index_daily</x:v>
      </x:c>
    </x:row>
    <x:row r="1053" ht="18" customHeight="1">
      <x:c r="A1053" s="13" t="n">
        <x:v>44155</x:v>
      </x:c>
      <x:c r="B1053" s="12" t="str">
        <x:v>000300.SH</x:v>
      </x:c>
      <x:c r="C1053" s="12" t="n">
        <x:v>4928.2223</x:v>
      </x:c>
      <x:c r="D1053" s="12" t="n">
        <x:v>4947.4297</x:v>
      </x:c>
      <x:c r="E1053" s="12" t="n">
        <x:v>4922.5895</x:v>
      </x:c>
      <x:c r="F1053" s="12" t="n">
        <x:v>4943.2882</x:v>
      </x:c>
      <x:c r="G1053" s="12" t="n">
        <x:v>4927.9891</x:v>
      </x:c>
      <x:c r="H1053" s="12" t="n">
        <x:v>15.2991</x:v>
      </x:c>
      <x:c r="I1053" s="12" t="n">
        <x:v>0.3105</x:v>
      </x:c>
      <x:c r="J1053" s="12" t="n">
        <x:v>0.003099722920323173</x:v>
      </x:c>
      <x:c r="K1053" s="12" t="n">
        <x:v>129400341</x:v>
      </x:c>
      <x:c r="L1053" s="12" t="n">
        <x:v>229053679.195</x:v>
      </x:c>
      <x:c r="M1053" s="12" t="str">
        <x:v>TuShare index_daily</x:v>
      </x:c>
    </x:row>
    <x:row r="1054" ht="18" customHeight="1">
      <x:c r="A1054" s="13" t="n">
        <x:v>44158</x:v>
      </x:c>
      <x:c r="B1054" s="12" t="str">
        <x:v>000300.SH</x:v>
      </x:c>
      <x:c r="C1054" s="12" t="n">
        <x:v>4954.5987</x:v>
      </x:c>
      <x:c r="D1054" s="12" t="n">
        <x:v>5029.6515</x:v>
      </x:c>
      <x:c r="E1054" s="12" t="n">
        <x:v>4940.4494</x:v>
      </x:c>
      <x:c r="F1054" s="12" t="n">
        <x:v>5005.0273</x:v>
      </x:c>
      <x:c r="G1054" s="12" t="n">
        <x:v>4943.2882</x:v>
      </x:c>
      <x:c r="H1054" s="12" t="n">
        <x:v>61.7391</x:v>
      </x:c>
      <x:c r="I1054" s="12" t="n">
        <x:v>1.2489</x:v>
      </x:c>
      <x:c r="J1054" s="12" t="n">
        <x:v>0.012412129999316287</x:v>
      </x:c>
      <x:c r="K1054" s="12" t="n">
        <x:v>205915187</x:v>
      </x:c>
      <x:c r="L1054" s="12" t="n">
        <x:v>333633826.417</x:v>
      </x:c>
      <x:c r="M1054" s="12" t="str">
        <x:v>TuShare index_daily</x:v>
      </x:c>
    </x:row>
    <x:row r="1055" ht="18" customHeight="1">
      <x:c r="A1055" s="13" t="n">
        <x:v>44159</x:v>
      </x:c>
      <x:c r="B1055" s="12" t="str">
        <x:v>000300.SH</x:v>
      </x:c>
      <x:c r="C1055" s="12" t="n">
        <x:v>4997.0485</x:v>
      </x:c>
      <x:c r="D1055" s="12" t="n">
        <x:v>5001.0614</x:v>
      </x:c>
      <x:c r="E1055" s="12" t="n">
        <x:v>4960.9817</x:v>
      </x:c>
      <x:c r="F1055" s="12" t="n">
        <x:v>4974.2855</x:v>
      </x:c>
      <x:c r="G1055" s="12" t="n">
        <x:v>5005.0273</x:v>
      </x:c>
      <x:c r="H1055" s="12" t="n">
        <x:v>-30.7418</x:v>
      </x:c>
      <x:c r="I1055" s="12" t="n">
        <x:v>-0.6142</x:v>
      </x:c>
      <x:c r="J1055" s="12" t="n">
        <x:v>-0.006161125091724083</x:v>
      </x:c>
      <x:c r="K1055" s="12" t="n">
        <x:v>156637911</x:v>
      </x:c>
      <x:c r="L1055" s="12" t="n">
        <x:v>264804443.318</x:v>
      </x:c>
      <x:c r="M1055" s="12" t="str">
        <x:v>TuShare index_daily</x:v>
      </x:c>
    </x:row>
    <x:row r="1056" ht="18" customHeight="1">
      <x:c r="A1056" s="13" t="n">
        <x:v>44160</x:v>
      </x:c>
      <x:c r="B1056" s="12" t="str">
        <x:v>000300.SH</x:v>
      </x:c>
      <x:c r="C1056" s="12" t="n">
        <x:v>4992.7466</x:v>
      </x:c>
      <x:c r="D1056" s="12" t="n">
        <x:v>5004.7732</x:v>
      </x:c>
      <x:c r="E1056" s="12" t="n">
        <x:v>4910.7</x:v>
      </x:c>
      <x:c r="F1056" s="12" t="n">
        <x:v>4910.7</x:v>
      </x:c>
      <x:c r="G1056" s="12" t="n">
        <x:v>4974.2855</x:v>
      </x:c>
      <x:c r="H1056" s="12" t="n">
        <x:v>-63.5855</x:v>
      </x:c>
      <x:c r="I1056" s="12" t="n">
        <x:v>-1.2783</x:v>
      </x:c>
      <x:c r="J1056" s="12" t="n">
        <x:v>-0.012865244369756808</x:v>
      </x:c>
      <x:c r="K1056" s="12" t="n">
        <x:v>170340527</x:v>
      </x:c>
      <x:c r="L1056" s="12" t="n">
        <x:v>277070642.971</x:v>
      </x:c>
      <x:c r="M1056" s="12" t="str">
        <x:v>TuShare index_daily</x:v>
      </x:c>
    </x:row>
    <x:row r="1057" ht="18" customHeight="1">
      <x:c r="A1057" s="13" t="n">
        <x:v>44161</x:v>
      </x:c>
      <x:c r="B1057" s="12" t="str">
        <x:v>000300.SH</x:v>
      </x:c>
      <x:c r="C1057" s="12" t="n">
        <x:v>4908.3208</x:v>
      </x:c>
      <x:c r="D1057" s="12" t="n">
        <x:v>4925.2857</x:v>
      </x:c>
      <x:c r="E1057" s="12" t="n">
        <x:v>4867.8153</x:v>
      </x:c>
      <x:c r="F1057" s="12" t="n">
        <x:v>4919.5912</x:v>
      </x:c>
      <x:c r="G1057" s="12" t="n">
        <x:v>4910.7</x:v>
      </x:c>
      <x:c r="H1057" s="12" t="n">
        <x:v>8.8912</x:v>
      </x:c>
      <x:c r="I1057" s="12" t="n">
        <x:v>0.1811</x:v>
      </x:c>
      <x:c r="J1057" s="12" t="n">
        <x:v>0.0018089397849228442</x:v>
      </x:c>
      <x:c r="K1057" s="12" t="n">
        <x:v>137202338</x:v>
      </x:c>
      <x:c r="L1057" s="12" t="n">
        <x:v>239748145.476</x:v>
      </x:c>
      <x:c r="M1057" s="12" t="str">
        <x:v>TuShare index_daily</x:v>
      </x:c>
    </x:row>
    <x:row r="1058" ht="18" customHeight="1">
      <x:c r="A1058" s="13" t="n">
        <x:v>44162</x:v>
      </x:c>
      <x:c r="B1058" s="12" t="str">
        <x:v>000300.SH</x:v>
      </x:c>
      <x:c r="C1058" s="12" t="n">
        <x:v>4930.5928</x:v>
      </x:c>
      <x:c r="D1058" s="12" t="n">
        <x:v>4980.765</x:v>
      </x:c>
      <x:c r="E1058" s="12" t="n">
        <x:v>4917.3479</x:v>
      </x:c>
      <x:c r="F1058" s="12" t="n">
        <x:v>4980.765</x:v>
      </x:c>
      <x:c r="G1058" s="12" t="n">
        <x:v>4919.5912</x:v>
      </x:c>
      <x:c r="H1058" s="12" t="n">
        <x:v>61.1738</x:v>
      </x:c>
      <x:c r="I1058" s="12" t="n">
        <x:v>1.2435</x:v>
      </x:c>
      <x:c r="J1058" s="12" t="n">
        <x:v>0.012358056075695761</x:v>
      </x:c>
      <x:c r="K1058" s="12" t="n">
        <x:v>162952922</x:v>
      </x:c>
      <x:c r="L1058" s="12" t="n">
        <x:v>253178971.224</x:v>
      </x:c>
      <x:c r="M1058" s="12" t="str">
        <x:v>TuShare index_daily</x:v>
      </x:c>
    </x:row>
    <x:row r="1059" ht="18" customHeight="1">
      <x:c r="A1059" s="13" t="n">
        <x:v>44165</x:v>
      </x:c>
      <x:c r="B1059" s="12" t="str">
        <x:v>000300.SH</x:v>
      </x:c>
      <x:c r="C1059" s="12" t="n">
        <x:v>4994.1063</x:v>
      </x:c>
      <x:c r="D1059" s="12" t="n">
        <x:v>5055.192</x:v>
      </x:c>
      <x:c r="E1059" s="12" t="n">
        <x:v>4960.2519</x:v>
      </x:c>
      <x:c r="F1059" s="12" t="n">
        <x:v>4960.2519</x:v>
      </x:c>
      <x:c r="G1059" s="12" t="n">
        <x:v>4980.765</x:v>
      </x:c>
      <x:c r="H1059" s="12" t="n">
        <x:v>-20.5131</x:v>
      </x:c>
      <x:c r="I1059" s="12" t="n">
        <x:v>-0.4118</x:v>
      </x:c>
      <x:c r="J1059" s="12" t="n">
        <x:v>-0.0041269679593215775</x:v>
      </x:c>
      <x:c r="K1059" s="12" t="n">
        <x:v>262638950</x:v>
      </x:c>
      <x:c r="L1059" s="12" t="n">
        <x:v>396495834.421</x:v>
      </x:c>
      <x:c r="M1059" s="12" t="str">
        <x:v>TuShare index_daily</x:v>
      </x:c>
    </x:row>
    <x:row r="1060" ht="18" customHeight="1">
      <x:c r="A1060" s="13" t="n">
        <x:v>44166</x:v>
      </x:c>
      <x:c r="B1060" s="12" t="str">
        <x:v>000300.SH</x:v>
      </x:c>
      <x:c r="C1060" s="12" t="n">
        <x:v>4963.1302</x:v>
      </x:c>
      <x:c r="D1060" s="12" t="n">
        <x:v>5072.5494</x:v>
      </x:c>
      <x:c r="E1060" s="12" t="n">
        <x:v>4963.1302</x:v>
      </x:c>
      <x:c r="F1060" s="12" t="n">
        <x:v>5067.0983</x:v>
      </x:c>
      <x:c r="G1060" s="12" t="n">
        <x:v>4960.2519</x:v>
      </x:c>
      <x:c r="H1060" s="12" t="n">
        <x:v>106.8464</x:v>
      </x:c>
      <x:c r="I1060" s="12" t="n">
        <x:v>2.1541</x:v>
      </x:c>
      <x:c r="J1060" s="12" t="n">
        <x:v>0.02131180060748671</x:v>
      </x:c>
      <x:c r="K1060" s="12" t="n">
        <x:v>204065638</x:v>
      </x:c>
      <x:c r="L1060" s="12" t="n">
        <x:v>328451014.444</x:v>
      </x:c>
      <x:c r="M1060" s="12" t="str">
        <x:v>TuShare index_daily</x:v>
      </x:c>
    </x:row>
    <x:row r="1061" ht="18" customHeight="1">
      <x:c r="A1061" s="13" t="n">
        <x:v>44167</x:v>
      </x:c>
      <x:c r="B1061" s="12" t="str">
        <x:v>000300.SH</x:v>
      </x:c>
      <x:c r="C1061" s="12" t="n">
        <x:v>5072.9755</x:v>
      </x:c>
      <x:c r="D1061" s="12" t="n">
        <x:v>5090.6084</x:v>
      </x:c>
      <x:c r="E1061" s="12" t="n">
        <x:v>5043.3091</x:v>
      </x:c>
      <x:c r="F1061" s="12" t="n">
        <x:v>5067.1447</x:v>
      </x:c>
      <x:c r="G1061" s="12" t="n">
        <x:v>5067.0983</x:v>
      </x:c>
      <x:c r="H1061" s="12" t="n">
        <x:v>0.0464</x:v>
      </x:c>
      <x:c r="I1061" s="12" t="n">
        <x:v>0.0009</x:v>
      </x:c>
      <x:c r="J1061" s="12" t="n">
        <x:v>0.000009157072708887299</x:v>
      </x:c>
      <x:c r="K1061" s="12" t="n">
        <x:v>195435476</x:v>
      </x:c>
      <x:c r="L1061" s="12" t="n">
        <x:v>310609728.843</x:v>
      </x:c>
      <x:c r="M1061" s="12" t="str">
        <x:v>TuShare index_daily</x:v>
      </x:c>
    </x:row>
    <x:row r="1062" ht="18" customHeight="1">
      <x:c r="A1062" s="13" t="n">
        <x:v>44168</x:v>
      </x:c>
      <x:c r="B1062" s="12" t="str">
        <x:v>000300.SH</x:v>
      </x:c>
      <x:c r="C1062" s="12" t="n">
        <x:v>5065.4531</x:v>
      </x:c>
      <x:c r="D1062" s="12" t="n">
        <x:v>5072.3046</x:v>
      </x:c>
      <x:c r="E1062" s="12" t="n">
        <x:v>5033.7887</x:v>
      </x:c>
      <x:c r="F1062" s="12" t="n">
        <x:v>5057.0603</x:v>
      </x:c>
      <x:c r="G1062" s="12" t="n">
        <x:v>5067.1447</x:v>
      </x:c>
      <x:c r="H1062" s="12" t="n">
        <x:v>-10.0844</x:v>
      </x:c>
      <x:c r="I1062" s="12" t="n">
        <x:v>-0.199</x:v>
      </x:c>
      <x:c r="J1062" s="12" t="n">
        <x:v>-0.0019921373253678587</x:v>
      </x:c>
      <x:c r="K1062" s="12" t="n">
        <x:v>177865748</x:v>
      </x:c>
      <x:c r="L1062" s="12" t="n">
        <x:v>275335207.429</x:v>
      </x:c>
      <x:c r="M1062" s="12" t="str">
        <x:v>TuShare index_daily</x:v>
      </x:c>
    </x:row>
    <x:row r="1063" ht="18" customHeight="1">
      <x:c r="A1063" s="13" t="n">
        <x:v>44169</x:v>
      </x:c>
      <x:c r="B1063" s="12" t="str">
        <x:v>000300.SH</x:v>
      </x:c>
      <x:c r="C1063" s="12" t="n">
        <x:v>5049.5231</x:v>
      </x:c>
      <x:c r="D1063" s="12" t="n">
        <x:v>5072.3865</x:v>
      </x:c>
      <x:c r="E1063" s="12" t="n">
        <x:v>5017.8506</x:v>
      </x:c>
      <x:c r="F1063" s="12" t="n">
        <x:v>5065.9163</x:v>
      </x:c>
      <x:c r="G1063" s="12" t="n">
        <x:v>5057.0603</x:v>
      </x:c>
      <x:c r="H1063" s="12" t="n">
        <x:v>8.856</x:v>
      </x:c>
      <x:c r="I1063" s="12" t="n">
        <x:v>0.1751</x:v>
      </x:c>
      <x:c r="J1063" s="12" t="n">
        <x:v>0.0017496834398110467</x:v>
      </x:c>
      <x:c r="K1063" s="12" t="n">
        <x:v>144347167</x:v>
      </x:c>
      <x:c r="L1063" s="12" t="n">
        <x:v>257798820.735</x:v>
      </x:c>
      <x:c r="M1063" s="12" t="str">
        <x:v>TuShare index_daily</x:v>
      </x:c>
    </x:row>
    <x:row r="1064" ht="18" customHeight="1">
      <x:c r="A1064" s="13" t="n">
        <x:v>44172</x:v>
      </x:c>
      <x:c r="B1064" s="12" t="str">
        <x:v>000300.SH</x:v>
      </x:c>
      <x:c r="C1064" s="12" t="n">
        <x:v>5065.7285</x:v>
      </x:c>
      <x:c r="D1064" s="12" t="n">
        <x:v>5067.8698</x:v>
      </x:c>
      <x:c r="E1064" s="12" t="n">
        <x:v>5014.609</x:v>
      </x:c>
      <x:c r="F1064" s="12" t="n">
        <x:v>5022.2351</x:v>
      </x:c>
      <x:c r="G1064" s="12" t="n">
        <x:v>5065.9163</x:v>
      </x:c>
      <x:c r="H1064" s="12" t="n">
        <x:v>-43.6812</x:v>
      </x:c>
      <x:c r="I1064" s="12" t="n">
        <x:v>-0.8623</x:v>
      </x:c>
      <x:c r="J1064" s="12" t="n">
        <x:v>-0.008659955874246816</x:v>
      </x:c>
      <x:c r="K1064" s="12" t="n">
        <x:v>139896217</x:v>
      </x:c>
      <x:c r="L1064" s="12" t="n">
        <x:v>264657773.933</x:v>
      </x:c>
      <x:c r="M1064" s="12" t="str">
        <x:v>TuShare index_daily</x:v>
      </x:c>
    </x:row>
    <x:row r="1065" ht="18" customHeight="1">
      <x:c r="A1065" s="13" t="n">
        <x:v>44173</x:v>
      </x:c>
      <x:c r="B1065" s="12" t="str">
        <x:v>000300.SH</x:v>
      </x:c>
      <x:c r="C1065" s="12" t="n">
        <x:v>5029.1063</x:v>
      </x:c>
      <x:c r="D1065" s="12" t="n">
        <x:v>5043.0605</x:v>
      </x:c>
      <x:c r="E1065" s="12" t="n">
        <x:v>4998.9218</x:v>
      </x:c>
      <x:c r="F1065" s="12" t="n">
        <x:v>5009.8786</x:v>
      </x:c>
      <x:c r="G1065" s="12" t="n">
        <x:v>5022.2351</x:v>
      </x:c>
      <x:c r="H1065" s="12" t="n">
        <x:v>-12.3565</x:v>
      </x:c>
      <x:c r="I1065" s="12" t="n">
        <x:v>-0.246</x:v>
      </x:c>
      <x:c r="J1065" s="12" t="n">
        <x:v>-0.0024633903917117748</x:v>
      </x:c>
      <x:c r="K1065" s="12" t="n">
        <x:v>123073029</x:v>
      </x:c>
      <x:c r="L1065" s="12" t="n">
        <x:v>234880648.439</x:v>
      </x:c>
      <x:c r="M1065" s="12" t="str">
        <x:v>TuShare index_daily</x:v>
      </x:c>
    </x:row>
    <x:row r="1066" ht="18" customHeight="1">
      <x:c r="A1066" s="13" t="n">
        <x:v>44174</x:v>
      </x:c>
      <x:c r="B1066" s="12" t="str">
        <x:v>000300.SH</x:v>
      </x:c>
      <x:c r="C1066" s="12" t="n">
        <x:v>5022.3846</x:v>
      </x:c>
      <x:c r="D1066" s="12" t="n">
        <x:v>5033.6417</x:v>
      </x:c>
      <x:c r="E1066" s="12" t="n">
        <x:v>4942.5195</x:v>
      </x:c>
      <x:c r="F1066" s="12" t="n">
        <x:v>4942.6986</x:v>
      </x:c>
      <x:c r="G1066" s="12" t="n">
        <x:v>5009.8786</x:v>
      </x:c>
      <x:c r="H1066" s="12" t="n">
        <x:v>-67.18</x:v>
      </x:c>
      <x:c r="I1066" s="12" t="n">
        <x:v>-1.341</x:v>
      </x:c>
      <x:c r="J1066" s="12" t="n">
        <x:v>-0.013500225916820758</x:v>
      </x:c>
      <x:c r="K1066" s="12" t="n">
        <x:v>138916965</x:v>
      </x:c>
      <x:c r="L1066" s="12" t="n">
        <x:v>260772774.153</x:v>
      </x:c>
      <x:c r="M1066" s="12" t="str">
        <x:v>TuShare index_daily</x:v>
      </x:c>
    </x:row>
    <x:row r="1067" ht="18" customHeight="1">
      <x:c r="A1067" s="13" t="n">
        <x:v>44175</x:v>
      </x:c>
      <x:c r="B1067" s="12" t="str">
        <x:v>000300.SH</x:v>
      </x:c>
      <x:c r="C1067" s="12" t="n">
        <x:v>4931.2933</x:v>
      </x:c>
      <x:c r="D1067" s="12" t="n">
        <x:v>4962.7433</x:v>
      </x:c>
      <x:c r="E1067" s="12" t="n">
        <x:v>4919.7696</x:v>
      </x:c>
      <x:c r="F1067" s="12" t="n">
        <x:v>4940.5249</x:v>
      </x:c>
      <x:c r="G1067" s="12" t="n">
        <x:v>4942.6986</x:v>
      </x:c>
      <x:c r="H1067" s="12" t="n">
        <x:v>-2.1737</x:v>
      </x:c>
      <x:c r="I1067" s="12" t="n">
        <x:v>-0.044</x:v>
      </x:c>
      <x:c r="J1067" s="12" t="n">
        <x:v>-0.00043987673354727903</x:v>
      </x:c>
      <x:c r="K1067" s="12" t="n">
        <x:v>125914270</x:v>
      </x:c>
      <x:c r="L1067" s="12" t="n">
        <x:v>229651278.357</x:v>
      </x:c>
      <x:c r="M1067" s="12" t="str">
        <x:v>TuShare index_daily</x:v>
      </x:c>
    </x:row>
    <x:row r="1068" ht="18" customHeight="1">
      <x:c r="A1068" s="13" t="n">
        <x:v>44176</x:v>
      </x:c>
      <x:c r="B1068" s="12" t="str">
        <x:v>000300.SH</x:v>
      </x:c>
      <x:c r="C1068" s="12" t="n">
        <x:v>4957.8236</x:v>
      </x:c>
      <x:c r="D1068" s="12" t="n">
        <x:v>4957.8236</x:v>
      </x:c>
      <x:c r="E1068" s="12" t="n">
        <x:v>4849.3547</x:v>
      </x:c>
      <x:c r="F1068" s="12" t="n">
        <x:v>4889.6292</x:v>
      </x:c>
      <x:c r="G1068" s="12" t="n">
        <x:v>4940.5249</x:v>
      </x:c>
      <x:c r="H1068" s="12" t="n">
        <x:v>-50.8957</x:v>
      </x:c>
      <x:c r="I1068" s="12" t="n">
        <x:v>-1.0302</x:v>
      </x:c>
      <x:c r="J1068" s="12" t="n">
        <x:v>-0.010355108225073873</x:v>
      </x:c>
      <x:c r="K1068" s="12" t="n">
        <x:v>159357697</x:v>
      </x:c>
      <x:c r="L1068" s="12" t="n">
        <x:v>275212730.07</x:v>
      </x:c>
      <x:c r="M1068" s="12" t="str">
        <x:v>TuShare index_daily</x:v>
      </x:c>
    </x:row>
    <x:row r="1069" ht="18" customHeight="1">
      <x:c r="A1069" s="13" t="n">
        <x:v>44179</x:v>
      </x:c>
      <x:c r="B1069" s="12" t="str">
        <x:v>000300.SH</x:v>
      </x:c>
      <x:c r="C1069" s="12" t="n">
        <x:v>4903.627</x:v>
      </x:c>
      <x:c r="D1069" s="12" t="n">
        <x:v>4937.2601</x:v>
      </x:c>
      <x:c r="E1069" s="12" t="n">
        <x:v>4887.6599</x:v>
      </x:c>
      <x:c r="F1069" s="12" t="n">
        <x:v>4934.8352</x:v>
      </x:c>
      <x:c r="G1069" s="12" t="n">
        <x:v>4889.6292</x:v>
      </x:c>
      <x:c r="H1069" s="12" t="n">
        <x:v>45.206</x:v>
      </x:c>
      <x:c r="I1069" s="12" t="n">
        <x:v>0.9245</x:v>
      </x:c>
      <x:c r="J1069" s="12" t="n">
        <x:v>0.009202805813425094</x:v>
      </x:c>
      <x:c r="K1069" s="12" t="n">
        <x:v>120801552</x:v>
      </x:c>
      <x:c r="L1069" s="12" t="n">
        <x:v>247878279.711</x:v>
      </x:c>
      <x:c r="M1069" s="12" t="str">
        <x:v>TuShare index_daily</x:v>
      </x:c>
    </x:row>
    <x:row r="1070" ht="18" customHeight="1">
      <x:c r="A1070" s="13" t="n">
        <x:v>44180</x:v>
      </x:c>
      <x:c r="B1070" s="12" t="str">
        <x:v>000300.SH</x:v>
      </x:c>
      <x:c r="C1070" s="12" t="n">
        <x:v>4931.6019</x:v>
      </x:c>
      <x:c r="D1070" s="12" t="n">
        <x:v>4954.1885</x:v>
      </x:c>
      <x:c r="E1070" s="12" t="n">
        <x:v>4904.7926</x:v>
      </x:c>
      <x:c r="F1070" s="12" t="n">
        <x:v>4945.1</x:v>
      </x:c>
      <x:c r="G1070" s="12" t="n">
        <x:v>4934.8352</x:v>
      </x:c>
      <x:c r="H1070" s="12" t="n">
        <x:v>10.2648</x:v>
      </x:c>
      <x:c r="I1070" s="12" t="n">
        <x:v>0.208</x:v>
      </x:c>
      <x:c r="J1070" s="12" t="n">
        <x:v>0.0020779091128788284</x:v>
      </x:c>
      <x:c r="K1070" s="12" t="n">
        <x:v>118342633</x:v>
      </x:c>
      <x:c r="L1070" s="12" t="n">
        <x:v>248093390.249</x:v>
      </x:c>
      <x:c r="M1070" s="12" t="str">
        <x:v>TuShare index_daily</x:v>
      </x:c>
    </x:row>
    <x:row r="1071" ht="18" customHeight="1">
      <x:c r="A1071" s="13" t="n">
        <x:v>44181</x:v>
      </x:c>
      <x:c r="B1071" s="12" t="str">
        <x:v>000300.SH</x:v>
      </x:c>
      <x:c r="C1071" s="12" t="n">
        <x:v>4957.2971</x:v>
      </x:c>
      <x:c r="D1071" s="12" t="n">
        <x:v>4968.8558</x:v>
      </x:c>
      <x:c r="E1071" s="12" t="n">
        <x:v>4938.1932</x:v>
      </x:c>
      <x:c r="F1071" s="12" t="n">
        <x:v>4953.867</x:v>
      </x:c>
      <x:c r="G1071" s="12" t="n">
        <x:v>4945.1</x:v>
      </x:c>
      <x:c r="H1071" s="12" t="n">
        <x:v>8.767</x:v>
      </x:c>
      <x:c r="I1071" s="12" t="n">
        <x:v>0.1773</x:v>
      </x:c>
      <x:c r="J1071" s="12" t="n">
        <x:v>0.0017712963973308576</x:v>
      </x:c>
      <x:c r="K1071" s="12" t="n">
        <x:v>106778968</x:v>
      </x:c>
      <x:c r="L1071" s="12" t="n">
        <x:v>229696035.697</x:v>
      </x:c>
      <x:c r="M1071" s="12" t="str">
        <x:v>TuShare index_daily</x:v>
      </x:c>
    </x:row>
    <x:row r="1072" ht="18" customHeight="1">
      <x:c r="A1072" s="13" t="n">
        <x:v>44182</x:v>
      </x:c>
      <x:c r="B1072" s="12" t="str">
        <x:v>000300.SH</x:v>
      </x:c>
      <x:c r="C1072" s="12" t="n">
        <x:v>4960.729</x:v>
      </x:c>
      <x:c r="D1072" s="12" t="n">
        <x:v>5021.6171</x:v>
      </x:c>
      <x:c r="E1072" s="12" t="n">
        <x:v>4950.3713</x:v>
      </x:c>
      <x:c r="F1072" s="12" t="n">
        <x:v>5017.4784</x:v>
      </x:c>
      <x:c r="G1072" s="12" t="n">
        <x:v>4953.867</x:v>
      </x:c>
      <x:c r="H1072" s="12" t="n">
        <x:v>63.6114</x:v>
      </x:c>
      <x:c r="I1072" s="12" t="n">
        <x:v>1.2841</x:v>
      </x:c>
      <x:c r="J1072" s="12" t="n">
        <x:v>0.012759013031903096</x:v>
      </x:c>
      <x:c r="K1072" s="12" t="n">
        <x:v>133385479</x:v>
      </x:c>
      <x:c r="L1072" s="12" t="n">
        <x:v>270180356.109</x:v>
      </x:c>
      <x:c r="M1072" s="12" t="str">
        <x:v>TuShare index_daily</x:v>
      </x:c>
    </x:row>
    <x:row r="1073" ht="18" customHeight="1">
      <x:c r="A1073" s="13" t="n">
        <x:v>44183</x:v>
      </x:c>
      <x:c r="B1073" s="12" t="str">
        <x:v>000300.SH</x:v>
      </x:c>
      <x:c r="C1073" s="12" t="n">
        <x:v>5014.3211</x:v>
      </x:c>
      <x:c r="D1073" s="12" t="n">
        <x:v>5027.4446</x:v>
      </x:c>
      <x:c r="E1073" s="12" t="n">
        <x:v>4979.0051</x:v>
      </x:c>
      <x:c r="F1073" s="12" t="n">
        <x:v>4999.9678</x:v>
      </x:c>
      <x:c r="G1073" s="12" t="n">
        <x:v>5017.4784</x:v>
      </x:c>
      <x:c r="H1073" s="12" t="n">
        <x:v>-17.5106</x:v>
      </x:c>
      <x:c r="I1073" s="12" t="n">
        <x:v>-0.349</x:v>
      </x:c>
      <x:c r="J1073" s="12" t="n">
        <x:v>-0.003496024332990864</x:v>
      </x:c>
      <x:c r="K1073" s="12" t="n">
        <x:v>128049618</x:v>
      </x:c>
      <x:c r="L1073" s="12" t="n">
        <x:v>258938551.536</x:v>
      </x:c>
      <x:c r="M1073" s="12" t="str">
        <x:v>TuShare index_daily</x:v>
      </x:c>
    </x:row>
    <x:row r="1074" ht="18" customHeight="1">
      <x:c r="A1074" s="13" t="n">
        <x:v>44186</x:v>
      </x:c>
      <x:c r="B1074" s="12" t="str">
        <x:v>000300.SH</x:v>
      </x:c>
      <x:c r="C1074" s="12" t="n">
        <x:v>4995.7622</x:v>
      </x:c>
      <x:c r="D1074" s="12" t="n">
        <x:v>5048.5074</x:v>
      </x:c>
      <x:c r="E1074" s="12" t="n">
        <x:v>4969.999</x:v>
      </x:c>
      <x:c r="F1074" s="12" t="n">
        <x:v>5046.8396</x:v>
      </x:c>
      <x:c r="G1074" s="12" t="n">
        <x:v>4999.9678</x:v>
      </x:c>
      <x:c r="H1074" s="12" t="n">
        <x:v>46.8718</x:v>
      </x:c>
      <x:c r="I1074" s="12" t="n">
        <x:v>0.9374</x:v>
      </x:c>
      <x:c r="J1074" s="12" t="n">
        <x:v>0.009330753183535155</x:v>
      </x:c>
      <x:c r="K1074" s="12" t="n">
        <x:v>140811782</x:v>
      </x:c>
      <x:c r="L1074" s="12" t="n">
        <x:v>298204296.843</x:v>
      </x:c>
      <x:c r="M1074" s="12" t="str">
        <x:v>TuShare index_daily</x:v>
      </x:c>
    </x:row>
    <x:row r="1075" ht="18" customHeight="1">
      <x:c r="A1075" s="13" t="n">
        <x:v>44187</x:v>
      </x:c>
      <x:c r="B1075" s="12" t="str">
        <x:v>000300.SH</x:v>
      </x:c>
      <x:c r="C1075" s="12" t="n">
        <x:v>5034.9831</x:v>
      </x:c>
      <x:c r="D1075" s="12" t="n">
        <x:v>5055.1348</x:v>
      </x:c>
      <x:c r="E1075" s="12" t="n">
        <x:v>4960.9457</x:v>
      </x:c>
      <x:c r="F1075" s="12" t="n">
        <x:v>4964.7727</x:v>
      </x:c>
      <x:c r="G1075" s="12" t="n">
        <x:v>5046.8396</x:v>
      </x:c>
      <x:c r="H1075" s="12" t="n">
        <x:v>-82.0669</x:v>
      </x:c>
      <x:c r="I1075" s="12" t="n">
        <x:v>-1.6261</x:v>
      </x:c>
      <x:c r="J1075" s="12" t="n">
        <x:v>-0.016394709610962847</x:v>
      </x:c>
      <x:c r="K1075" s="12" t="n">
        <x:v>162344970</x:v>
      </x:c>
      <x:c r="L1075" s="12" t="n">
        <x:v>326758817.663</x:v>
      </x:c>
      <x:c r="M1075" s="12" t="str">
        <x:v>TuShare index_daily</x:v>
      </x:c>
    </x:row>
    <x:row r="1076" ht="18" customHeight="1">
      <x:c r="A1076" s="13" t="n">
        <x:v>44188</x:v>
      </x:c>
      <x:c r="B1076" s="12" t="str">
        <x:v>000300.SH</x:v>
      </x:c>
      <x:c r="C1076" s="12" t="n">
        <x:v>4977.2994</x:v>
      </x:c>
      <x:c r="D1076" s="12" t="n">
        <x:v>5028.4506</x:v>
      </x:c>
      <x:c r="E1076" s="12" t="n">
        <x:v>4968.1509</x:v>
      </x:c>
      <x:c r="F1076" s="12" t="n">
        <x:v>5007.1235</x:v>
      </x:c>
      <x:c r="G1076" s="12" t="n">
        <x:v>4964.7727</x:v>
      </x:c>
      <x:c r="H1076" s="12" t="n">
        <x:v>42.3508</x:v>
      </x:c>
      <x:c r="I1076" s="12" t="n">
        <x:v>0.853</x:v>
      </x:c>
      <x:c r="J1076" s="12" t="n">
        <x:v>0.00849408252602842</x:v>
      </x:c>
      <x:c r="K1076" s="12" t="n">
        <x:v>140292819</x:v>
      </x:c>
      <x:c r="L1076" s="12" t="n">
        <x:v>308729037.474</x:v>
      </x:c>
      <x:c r="M1076" s="12" t="str">
        <x:v>TuShare index_daily</x:v>
      </x:c>
    </x:row>
    <x:row r="1077" ht="18" customHeight="1">
      <x:c r="A1077" s="13" t="n">
        <x:v>44189</x:v>
      </x:c>
      <x:c r="B1077" s="12" t="str">
        <x:v>000300.SH</x:v>
      </x:c>
      <x:c r="C1077" s="12" t="n">
        <x:v>5006.0051</x:v>
      </x:c>
      <x:c r="D1077" s="12" t="n">
        <x:v>5033.038</x:v>
      </x:c>
      <x:c r="E1077" s="12" t="n">
        <x:v>4979.2371</x:v>
      </x:c>
      <x:c r="F1077" s="12" t="n">
        <x:v>5000.0154</x:v>
      </x:c>
      <x:c r="G1077" s="12" t="n">
        <x:v>5007.1235</x:v>
      </x:c>
      <x:c r="H1077" s="12" t="n">
        <x:v>-7.1081</x:v>
      </x:c>
      <x:c r="I1077" s="12" t="n">
        <x:v>-0.142</x:v>
      </x:c>
      <x:c r="J1077" s="12" t="n">
        <x:v>-0.001420606082607069</x:v>
      </x:c>
      <x:c r="K1077" s="12" t="n">
        <x:v>114418667</x:v>
      </x:c>
      <x:c r="L1077" s="12" t="n">
        <x:v>246674476.189</x:v>
      </x:c>
      <x:c r="M1077" s="12" t="str">
        <x:v>TuShare index_daily</x:v>
      </x:c>
    </x:row>
    <x:row r="1078" ht="18" customHeight="1">
      <x:c r="A1078" s="13" t="n">
        <x:v>44190</x:v>
      </x:c>
      <x:c r="B1078" s="12" t="str">
        <x:v>000300.SH</x:v>
      </x:c>
      <x:c r="C1078" s="12" t="n">
        <x:v>4985.7695</x:v>
      </x:c>
      <x:c r="D1078" s="12" t="n">
        <x:v>5042.0978</x:v>
      </x:c>
      <x:c r="E1078" s="12" t="n">
        <x:v>4973.6812</x:v>
      </x:c>
      <x:c r="F1078" s="12" t="n">
        <x:v>5042.0137</x:v>
      </x:c>
      <x:c r="G1078" s="12" t="n">
        <x:v>5000.0154</x:v>
      </x:c>
      <x:c r="H1078" s="12" t="n">
        <x:v>41.9983</x:v>
      </x:c>
      <x:c r="I1078" s="12" t="n">
        <x:v>0.84</x:v>
      </x:c>
      <x:c r="J1078" s="12" t="n">
        <x:v>0.00836455350840345</x:v>
      </x:c>
      <x:c r="K1078" s="12" t="n">
        <x:v>121006979</x:v>
      </x:c>
      <x:c r="L1078" s="12" t="n">
        <x:v>243992268.243</x:v>
      </x:c>
      <x:c r="M1078" s="12" t="str">
        <x:v>TuShare index_daily</x:v>
      </x:c>
    </x:row>
    <x:row r="1079" ht="18" customHeight="1">
      <x:c r="A1079" s="13" t="n">
        <x:v>44193</x:v>
      </x:c>
      <x:c r="B1079" s="12" t="str">
        <x:v>000300.SH</x:v>
      </x:c>
      <x:c r="C1079" s="12" t="n">
        <x:v>5042.9432</x:v>
      </x:c>
      <x:c r="D1079" s="12" t="n">
        <x:v>5089.3447</x:v>
      </x:c>
      <x:c r="E1079" s="12" t="n">
        <x:v>5037.8582</x:v>
      </x:c>
      <x:c r="F1079" s="12" t="n">
        <x:v>5064.4147</x:v>
      </x:c>
      <x:c r="G1079" s="12" t="n">
        <x:v>5042.0137</x:v>
      </x:c>
      <x:c r="H1079" s="12" t="n">
        <x:v>22.401</x:v>
      </x:c>
      <x:c r="I1079" s="12" t="n">
        <x:v>0.4443</x:v>
      </x:c>
      <x:c r="J1079" s="12" t="n">
        <x:v>0.004433027336315451</x:v>
      </x:c>
      <x:c r="K1079" s="12" t="n">
        <x:v>136914407</x:v>
      </x:c>
      <x:c r="L1079" s="12" t="n">
        <x:v>281019254.171</x:v>
      </x:c>
      <x:c r="M1079" s="12" t="str">
        <x:v>TuShare index_daily</x:v>
      </x:c>
    </x:row>
    <x:row r="1080" ht="18" customHeight="1">
      <x:c r="A1080" s="13" t="n">
        <x:v>44194</x:v>
      </x:c>
      <x:c r="B1080" s="12" t="str">
        <x:v>000300.SH</x:v>
      </x:c>
      <x:c r="C1080" s="12" t="n">
        <x:v>5071.449</x:v>
      </x:c>
      <x:c r="D1080" s="12" t="n">
        <x:v>5077.4167</x:v>
      </x:c>
      <x:c r="E1080" s="12" t="n">
        <x:v>5034.3078</x:v>
      </x:c>
      <x:c r="F1080" s="12" t="n">
        <x:v>5042.9361</x:v>
      </x:c>
      <x:c r="G1080" s="12" t="n">
        <x:v>5064.4147</x:v>
      </x:c>
      <x:c r="H1080" s="12" t="n">
        <x:v>-21.4786</x:v>
      </x:c>
      <x:c r="I1080" s="12" t="n">
        <x:v>-0.4241</x:v>
      </x:c>
      <x:c r="J1080" s="12" t="n">
        <x:v>-0.004250101288915238</x:v>
      </x:c>
      <x:c r="K1080" s="12" t="n">
        <x:v>141198662</x:v>
      </x:c>
      <x:c r="L1080" s="12" t="n">
        <x:v>279035233.254</x:v>
      </x:c>
      <x:c r="M1080" s="12" t="str">
        <x:v>TuShare index_daily</x:v>
      </x:c>
    </x:row>
    <x:row r="1081" ht="18" customHeight="1">
      <x:c r="A1081" s="13" t="n">
        <x:v>44195</x:v>
      </x:c>
      <x:c r="B1081" s="12" t="str">
        <x:v>000300.SH</x:v>
      </x:c>
      <x:c r="C1081" s="12" t="n">
        <x:v>5037.9848</x:v>
      </x:c>
      <x:c r="D1081" s="12" t="n">
        <x:v>5113.7105</x:v>
      </x:c>
      <x:c r="E1081" s="12" t="n">
        <x:v>5036.6288</x:v>
      </x:c>
      <x:c r="F1081" s="12" t="n">
        <x:v>5113.7105</x:v>
      </x:c>
      <x:c r="G1081" s="12" t="n">
        <x:v>5042.9361</x:v>
      </x:c>
      <x:c r="H1081" s="12" t="n">
        <x:v>70.7744</x:v>
      </x:c>
      <x:c r="I1081" s="12" t="n">
        <x:v>1.4034</x:v>
      </x:c>
      <x:c r="J1081" s="12" t="n">
        <x:v>0.013936793973684268</x:v>
      </x:c>
      <x:c r="K1081" s="12" t="n">
        <x:v>148626448</x:v>
      </x:c>
      <x:c r="L1081" s="12" t="n">
        <x:v>296577812.603</x:v>
      </x:c>
      <x:c r="M1081" s="12" t="str">
        <x:v>TuShare index_daily</x:v>
      </x:c>
    </x:row>
    <x:row r="1082" ht="18" customHeight="1">
      <x:c r="A1082" s="13" t="n">
        <x:v>44196</x:v>
      </x:c>
      <x:c r="B1082" s="12" t="str">
        <x:v>000300.SH</x:v>
      </x:c>
      <x:c r="C1082" s="12" t="n">
        <x:v>5122.4799</x:v>
      </x:c>
      <x:c r="D1082" s="12" t="n">
        <x:v>5215.6178</x:v>
      </x:c>
      <x:c r="E1082" s="12" t="n">
        <x:v>5122.4799</x:v>
      </x:c>
      <x:c r="F1082" s="12" t="n">
        <x:v>5211.2885</x:v>
      </x:c>
      <x:c r="G1082" s="12" t="n">
        <x:v>5113.7105</x:v>
      </x:c>
      <x:c r="H1082" s="12" t="n">
        <x:v>97.578</x:v>
      </x:c>
      <x:c r="I1082" s="12" t="n">
        <x:v>1.9082</x:v>
      </x:c>
      <x:c r="J1082" s="12" t="n">
        <x:v>0.018901872089531136</x:v>
      </x:c>
      <x:c r="K1082" s="12" t="n">
        <x:v>171602509</x:v>
      </x:c>
      <x:c r="L1082" s="12" t="n">
        <x:v>358731371.835</x:v>
      </x:c>
      <x:c r="M1082" s="12" t="str">
        <x:v>TuShare index_daily</x:v>
      </x:c>
    </x:row>
    <x:row r="1083" ht="18" customHeight="1">
      <x:c r="A1083" s="13" t="n">
        <x:v>44200</x:v>
      </x:c>
      <x:c r="B1083" s="12" t="str">
        <x:v>000300.SH</x:v>
      </x:c>
      <x:c r="C1083" s="12" t="n">
        <x:v>5212.9313</x:v>
      </x:c>
      <x:c r="D1083" s="12" t="n">
        <x:v>5284.4343</x:v>
      </x:c>
      <x:c r="E1083" s="12" t="n">
        <x:v>5190.9372</x:v>
      </x:c>
      <x:c r="F1083" s="12" t="n">
        <x:v>5267.7181</x:v>
      </x:c>
      <x:c r="G1083" s="12" t="n">
        <x:v>5211.2885</x:v>
      </x:c>
      <x:c r="H1083" s="12" t="n">
        <x:v>56.4296</x:v>
      </x:c>
      <x:c r="I1083" s="12" t="n">
        <x:v>1.0828</x:v>
      </x:c>
      <x:c r="J1083" s="12" t="n">
        <x:v>0.010770132631680113</x:v>
      </x:c>
      <x:c r="K1083" s="12" t="n">
        <x:v>211711382</x:v>
      </x:c>
      <x:c r="L1083" s="12" t="n">
        <x:v>452796175.554</x:v>
      </x:c>
      <x:c r="M1083" s="12" t="str">
        <x:v>TuShare index_daily</x:v>
      </x:c>
    </x:row>
    <x:row r="1084" ht="18" customHeight="1">
      <x:c r="A1084" s="13" t="n">
        <x:v>44201</x:v>
      </x:c>
      <x:c r="B1084" s="12" t="str">
        <x:v>000300.SH</x:v>
      </x:c>
      <x:c r="C1084" s="12" t="n">
        <x:v>5245.8355</x:v>
      </x:c>
      <x:c r="D1084" s="12" t="n">
        <x:v>5368.5049</x:v>
      </x:c>
      <x:c r="E1084" s="12" t="n">
        <x:v>5234.3775</x:v>
      </x:c>
      <x:c r="F1084" s="12" t="n">
        <x:v>5368.5049</x:v>
      </x:c>
      <x:c r="G1084" s="12" t="n">
        <x:v>5267.7181</x:v>
      </x:c>
      <x:c r="H1084" s="12" t="n">
        <x:v>100.7868</x:v>
      </x:c>
      <x:c r="I1084" s="12" t="n">
        <x:v>1.9133</x:v>
      </x:c>
      <x:c r="J1084" s="12" t="n">
        <x:v>0.018952181943255562</x:v>
      </x:c>
      <x:c r="K1084" s="12" t="n">
        <x:v>224931159</x:v>
      </x:c>
      <x:c r="L1084" s="12" t="n">
        <x:v>498041939.761</x:v>
      </x:c>
      <x:c r="M1084" s="12" t="str">
        <x:v>TuShare index_daily</x:v>
      </x:c>
    </x:row>
    <x:row r="1085" ht="18" customHeight="1">
      <x:c r="A1085" s="13" t="n">
        <x:v>44202</x:v>
      </x:c>
      <x:c r="B1085" s="12" t="str">
        <x:v>000300.SH</x:v>
      </x:c>
      <x:c r="C1085" s="12" t="n">
        <x:v>5386.5144</x:v>
      </x:c>
      <x:c r="D1085" s="12" t="n">
        <x:v>5433.4694</x:v>
      </x:c>
      <x:c r="E1085" s="12" t="n">
        <x:v>5341.4304</x:v>
      </x:c>
      <x:c r="F1085" s="12" t="n">
        <x:v>5417.6677</x:v>
      </x:c>
      <x:c r="G1085" s="12" t="n">
        <x:v>5368.5049</x:v>
      </x:c>
      <x:c r="H1085" s="12" t="n">
        <x:v>49.1628</x:v>
      </x:c>
      <x:c r="I1085" s="12" t="n">
        <x:v>0.9158</x:v>
      </x:c>
      <x:c r="J1085" s="12" t="n">
        <x:v>0.00911595656361716</x:v>
      </x:c>
      <x:c r="K1085" s="12" t="n">
        <x:v>193773444</x:v>
      </x:c>
      <x:c r="L1085" s="12" t="n">
        <x:v>444434377.137</x:v>
      </x:c>
      <x:c r="M1085" s="12" t="str">
        <x:v>TuShare index_daily</x:v>
      </x:c>
    </x:row>
    <x:row r="1086" ht="18" customHeight="1">
      <x:c r="A1086" s="13" t="n">
        <x:v>44203</x:v>
      </x:c>
      <x:c r="B1086" s="12" t="str">
        <x:v>000300.SH</x:v>
      </x:c>
      <x:c r="C1086" s="12" t="n">
        <x:v>5428.3944</x:v>
      </x:c>
      <x:c r="D1086" s="12" t="n">
        <x:v>5513.6568</x:v>
      </x:c>
      <x:c r="E1086" s="12" t="n">
        <x:v>5413.3526</x:v>
      </x:c>
      <x:c r="F1086" s="12" t="n">
        <x:v>5513.6568</x:v>
      </x:c>
      <x:c r="G1086" s="12" t="n">
        <x:v>5417.6677</x:v>
      </x:c>
      <x:c r="H1086" s="12" t="n">
        <x:v>95.9891</x:v>
      </x:c>
      <x:c r="I1086" s="12" t="n">
        <x:v>1.7718</x:v>
      </x:c>
      <x:c r="J1086" s="12" t="n">
        <x:v>0.01756265991066838</x:v>
      </x:c>
      <x:c r="K1086" s="12" t="n">
        <x:v>219872080</x:v>
      </x:c>
      <x:c r="L1086" s="12" t="n">
        <x:v>473385353.696</x:v>
      </x:c>
      <x:c r="M1086" s="12" t="str">
        <x:v>TuShare index_daily</x:v>
      </x:c>
    </x:row>
    <x:row r="1087" ht="18" customHeight="1">
      <x:c r="A1087" s="13" t="n">
        <x:v>44204</x:v>
      </x:c>
      <x:c r="B1087" s="12" t="str">
        <x:v>000300.SH</x:v>
      </x:c>
      <x:c r="C1087" s="12" t="n">
        <x:v>5526.2876</x:v>
      </x:c>
      <x:c r="D1087" s="12" t="n">
        <x:v>5547.4733</x:v>
      </x:c>
      <x:c r="E1087" s="12" t="n">
        <x:v>5442.6939</x:v>
      </x:c>
      <x:c r="F1087" s="12" t="n">
        <x:v>5495.4306</x:v>
      </x:c>
      <x:c r="G1087" s="12" t="n">
        <x:v>5513.6568</x:v>
      </x:c>
      <x:c r="H1087" s="12" t="n">
        <x:v>-18.2262</x:v>
      </x:c>
      <x:c r="I1087" s="12" t="n">
        <x:v>-0.3306</x:v>
      </x:c>
      <x:c r="J1087" s="12" t="n">
        <x:v>-0.0033111221647590546</x:v>
      </x:c>
      <x:c r="K1087" s="12" t="n">
        <x:v>204324956</x:v>
      </x:c>
      <x:c r="L1087" s="12" t="n">
        <x:v>473567653.979</x:v>
      </x:c>
      <x:c r="M1087" s="12" t="str">
        <x:v>TuShare index_daily</x:v>
      </x:c>
    </x:row>
    <x:row r="1088" ht="18" customHeight="1">
      <x:c r="A1088" s="13" t="n">
        <x:v>44207</x:v>
      </x:c>
      <x:c r="B1088" s="12" t="str">
        <x:v>000300.SH</x:v>
      </x:c>
      <x:c r="C1088" s="12" t="n">
        <x:v>5504.2358</x:v>
      </x:c>
      <x:c r="D1088" s="12" t="n">
        <x:v>5555.6916</x:v>
      </x:c>
      <x:c r="E1088" s="12" t="n">
        <x:v>5412.5046</x:v>
      </x:c>
      <x:c r="F1088" s="12" t="n">
        <x:v>5441.1583</x:v>
      </x:c>
      <x:c r="G1088" s="12" t="n">
        <x:v>5495.4306</x:v>
      </x:c>
      <x:c r="H1088" s="12" t="n">
        <x:v>-54.2723</x:v>
      </x:c>
      <x:c r="I1088" s="12" t="n">
        <x:v>-0.9876</x:v>
      </x:c>
      <x:c r="J1088" s="12" t="n">
        <x:v>-0.009924985935710723</x:v>
      </x:c>
      <x:c r="K1088" s="12" t="n">
        <x:v>231835983</x:v>
      </x:c>
      <x:c r="L1088" s="12" t="n">
        <x:v>522298482.544</x:v>
      </x:c>
      <x:c r="M1088" s="12" t="str">
        <x:v>TuShare index_daily</x:v>
      </x:c>
    </x:row>
    <x:row r="1089" ht="18" customHeight="1">
      <x:c r="A1089" s="13" t="n">
        <x:v>44208</x:v>
      </x:c>
      <x:c r="B1089" s="12" t="str">
        <x:v>000300.SH</x:v>
      </x:c>
      <x:c r="C1089" s="12" t="n">
        <x:v>5419.4996</x:v>
      </x:c>
      <x:c r="D1089" s="12" t="n">
        <x:v>5596.3525</x:v>
      </x:c>
      <x:c r="E1089" s="12" t="n">
        <x:v>5417.6272</x:v>
      </x:c>
      <x:c r="F1089" s="12" t="n">
        <x:v>5596.3525</x:v>
      </x:c>
      <x:c r="G1089" s="12" t="n">
        <x:v>5441.1583</x:v>
      </x:c>
      <x:c r="H1089" s="12" t="n">
        <x:v>155.1942</x:v>
      </x:c>
      <x:c r="I1089" s="12" t="n">
        <x:v>2.8522</x:v>
      </x:c>
      <x:c r="J1089" s="12" t="n">
        <x:v>0.02812308524467504</x:v>
      </x:c>
      <x:c r="K1089" s="12" t="n">
        <x:v>224220186</x:v>
      </x:c>
      <x:c r="L1089" s="12" t="n">
        <x:v>486233760.74</x:v>
      </x:c>
      <x:c r="M1089" s="12" t="str">
        <x:v>TuShare index_daily</x:v>
      </x:c>
    </x:row>
    <x:row r="1090" ht="18" customHeight="1">
      <x:c r="A1090" s="13" t="n">
        <x:v>44209</x:v>
      </x:c>
      <x:c r="B1090" s="12" t="str">
        <x:v>000300.SH</x:v>
      </x:c>
      <x:c r="C1090" s="12" t="n">
        <x:v>5609.2637</x:v>
      </x:c>
      <x:c r="D1090" s="12" t="n">
        <x:v>5644.7195</x:v>
      </x:c>
      <x:c r="E1090" s="12" t="n">
        <x:v>5535.1435</x:v>
      </x:c>
      <x:c r="F1090" s="12" t="n">
        <x:v>5577.9711</x:v>
      </x:c>
      <x:c r="G1090" s="12" t="n">
        <x:v>5596.3525</x:v>
      </x:c>
      <x:c r="H1090" s="12" t="n">
        <x:v>-18.3814</x:v>
      </x:c>
      <x:c r="I1090" s="12" t="n">
        <x:v>-0.3285</x:v>
      </x:c>
      <x:c r="J1090" s="12" t="n">
        <x:v>-0.00328993811841089</x:v>
      </x:c>
      <x:c r="K1090" s="12" t="n">
        <x:v>261569886</x:v>
      </x:c>
      <x:c r="L1090" s="12" t="n">
        <x:v>546959736.366</x:v>
      </x:c>
      <x:c r="M1090" s="12" t="str">
        <x:v>TuShare index_daily</x:v>
      </x:c>
    </x:row>
    <x:row r="1091" ht="18" customHeight="1">
      <x:c r="A1091" s="13" t="n">
        <x:v>44210</x:v>
      </x:c>
      <x:c r="B1091" s="12" t="str">
        <x:v>000300.SH</x:v>
      </x:c>
      <x:c r="C1091" s="12" t="n">
        <x:v>5556.2125</x:v>
      </x:c>
      <x:c r="D1091" s="12" t="n">
        <x:v>5568.0179</x:v>
      </x:c>
      <x:c r="E1091" s="12" t="n">
        <x:v>5458.6818</x:v>
      </x:c>
      <x:c r="F1091" s="12" t="n">
        <x:v>5470.4563</x:v>
      </x:c>
      <x:c r="G1091" s="12" t="n">
        <x:v>5577.9711</x:v>
      </x:c>
      <x:c r="H1091" s="12" t="n">
        <x:v>-107.5148</x:v>
      </x:c>
      <x:c r="I1091" s="12" t="n">
        <x:v>-1.9275</x:v>
      </x:c>
      <x:c r="J1091" s="12" t="n">
        <x:v>-0.01946307652147776</x:v>
      </x:c>
      <x:c r="K1091" s="12" t="n">
        <x:v>243683380</x:v>
      </x:c>
      <x:c r="L1091" s="12" t="n">
        <x:v>501890111.879</x:v>
      </x:c>
      <x:c r="M1091" s="12" t="str">
        <x:v>TuShare index_daily</x:v>
      </x:c>
    </x:row>
    <x:row r="1092" ht="18" customHeight="1">
      <x:c r="A1092" s="13" t="n">
        <x:v>44211</x:v>
      </x:c>
      <x:c r="B1092" s="12" t="str">
        <x:v>000300.SH</x:v>
      </x:c>
      <x:c r="C1092" s="12" t="n">
        <x:v>5471.391</x:v>
      </x:c>
      <x:c r="D1092" s="12" t="n">
        <x:v>5500.6348</x:v>
      </x:c>
      <x:c r="E1092" s="12" t="n">
        <x:v>5390.2737</x:v>
      </x:c>
      <x:c r="F1092" s="12" t="n">
        <x:v>5458.0812</x:v>
      </x:c>
      <x:c r="G1092" s="12" t="n">
        <x:v>5470.4563</x:v>
      </x:c>
      <x:c r="H1092" s="12" t="n">
        <x:v>-12.3751</x:v>
      </x:c>
      <x:c r="I1092" s="12" t="n">
        <x:v>-0.2262</x:v>
      </x:c>
      <x:c r="J1092" s="12" t="n">
        <x:v>-0.0022647321820208678</x:v>
      </x:c>
      <x:c r="K1092" s="12" t="n">
        <x:v>238637435</x:v>
      </x:c>
      <x:c r="L1092" s="12" t="n">
        <x:v>475709920.372</x:v>
      </x:c>
      <x:c r="M1092" s="12" t="str">
        <x:v>TuShare index_daily</x:v>
      </x:c>
    </x:row>
    <x:row r="1093" ht="18" customHeight="1">
      <x:c r="A1093" s="13" t="n">
        <x:v>44214</x:v>
      </x:c>
      <x:c r="B1093" s="12" t="str">
        <x:v>000300.SH</x:v>
      </x:c>
      <x:c r="C1093" s="12" t="n">
        <x:v>5438.1618</x:v>
      </x:c>
      <x:c r="D1093" s="12" t="n">
        <x:v>5541.4613</x:v>
      </x:c>
      <x:c r="E1093" s="12" t="n">
        <x:v>5410.775</x:v>
      </x:c>
      <x:c r="F1093" s="12" t="n">
        <x:v>5518.5205</x:v>
      </x:c>
      <x:c r="G1093" s="12" t="n">
        <x:v>5458.0812</x:v>
      </x:c>
      <x:c r="H1093" s="12" t="n">
        <x:v>60.4393</x:v>
      </x:c>
      <x:c r="I1093" s="12" t="n">
        <x:v>1.1073</x:v>
      </x:c>
      <x:c r="J1093" s="12" t="n">
        <x:v>0.011012499581574684</x:v>
      </x:c>
      <x:c r="K1093" s="12" t="n">
        <x:v>207051869</x:v>
      </x:c>
      <x:c r="L1093" s="12" t="n">
        <x:v>422717209.153</x:v>
      </x:c>
      <x:c r="M1093" s="12" t="str">
        <x:v>TuShare index_daily</x:v>
      </x:c>
    </x:row>
    <x:row r="1094" ht="18" customHeight="1">
      <x:c r="A1094" s="13" t="n">
        <x:v>44215</x:v>
      </x:c>
      <x:c r="B1094" s="12" t="str">
        <x:v>000300.SH</x:v>
      </x:c>
      <x:c r="C1094" s="12" t="n">
        <x:v>5525.969</x:v>
      </x:c>
      <x:c r="D1094" s="12" t="n">
        <x:v>5532.4793</x:v>
      </x:c>
      <x:c r="E1094" s="12" t="n">
        <x:v>5415.7166</x:v>
      </x:c>
      <x:c r="F1094" s="12" t="n">
        <x:v>5437.5234</x:v>
      </x:c>
      <x:c r="G1094" s="12" t="n">
        <x:v>5518.5205</x:v>
      </x:c>
      <x:c r="H1094" s="12" t="n">
        <x:v>-80.9971</x:v>
      </x:c>
      <x:c r="I1094" s="12" t="n">
        <x:v>-1.4677</x:v>
      </x:c>
      <x:c r="J1094" s="12" t="n">
        <x:v>-0.014786099147649704</x:v>
      </x:c>
      <x:c r="K1094" s="12" t="n">
        <x:v>211043425</x:v>
      </x:c>
      <x:c r="L1094" s="12" t="n">
        <x:v>433205176.45</x:v>
      </x:c>
      <x:c r="M1094" s="12" t="str">
        <x:v>TuShare index_daily</x:v>
      </x:c>
    </x:row>
    <x:row r="1095" ht="18" customHeight="1">
      <x:c r="A1095" s="13" t="n">
        <x:v>44216</x:v>
      </x:c>
      <x:c r="B1095" s="12" t="str">
        <x:v>000300.SH</x:v>
      </x:c>
      <x:c r="C1095" s="12" t="n">
        <x:v>5439.9111</x:v>
      </x:c>
      <x:c r="D1095" s="12" t="n">
        <x:v>5496.0493</x:v>
      </x:c>
      <x:c r="E1095" s="12" t="n">
        <x:v>5426.5357</x:v>
      </x:c>
      <x:c r="F1095" s="12" t="n">
        <x:v>5476.4336</x:v>
      </x:c>
      <x:c r="G1095" s="12" t="n">
        <x:v>5437.5234</x:v>
      </x:c>
      <x:c r="H1095" s="12" t="n">
        <x:v>38.9102</x:v>
      </x:c>
      <x:c r="I1095" s="12" t="n">
        <x:v>0.7156</x:v>
      </x:c>
      <x:c r="J1095" s="12" t="n">
        <x:v>0.007130386322251297</x:v>
      </x:c>
      <x:c r="K1095" s="12" t="n">
        <x:v>170913260</x:v>
      </x:c>
      <x:c r="L1095" s="12" t="n">
        <x:v>373770384.496</x:v>
      </x:c>
      <x:c r="M1095" s="12" t="str">
        <x:v>TuShare index_daily</x:v>
      </x:c>
    </x:row>
    <x:row r="1096" ht="18" customHeight="1">
      <x:c r="A1096" s="13" t="n">
        <x:v>44217</x:v>
      </x:c>
      <x:c r="B1096" s="12" t="str">
        <x:v>000300.SH</x:v>
      </x:c>
      <x:c r="C1096" s="12" t="n">
        <x:v>5492.9587</x:v>
      </x:c>
      <x:c r="D1096" s="12" t="n">
        <x:v>5593.1058</x:v>
      </x:c>
      <x:c r="E1096" s="12" t="n">
        <x:v>5490.5626</x:v>
      </x:c>
      <x:c r="F1096" s="12" t="n">
        <x:v>5564.9693</x:v>
      </x:c>
      <x:c r="G1096" s="12" t="n">
        <x:v>5476.4336</x:v>
      </x:c>
      <x:c r="H1096" s="12" t="n">
        <x:v>88.5357</x:v>
      </x:c>
      <x:c r="I1096" s="12" t="n">
        <x:v>1.6167</x:v>
      </x:c>
      <x:c r="J1096" s="12" t="n">
        <x:v>0.016037381914478555</x:v>
      </x:c>
      <x:c r="K1096" s="12" t="n">
        <x:v>209950197</x:v>
      </x:c>
      <x:c r="L1096" s="12" t="n">
        <x:v>453183684.479</x:v>
      </x:c>
      <x:c r="M1096" s="12" t="str">
        <x:v>TuShare index_daily</x:v>
      </x:c>
    </x:row>
    <x:row r="1097" ht="18" customHeight="1">
      <x:c r="A1097" s="13" t="n">
        <x:v>44218</x:v>
      </x:c>
      <x:c r="B1097" s="12" t="str">
        <x:v>000300.SH</x:v>
      </x:c>
      <x:c r="C1097" s="12" t="n">
        <x:v>5562.379</x:v>
      </x:c>
      <x:c r="D1097" s="12" t="n">
        <x:v>5573.6594</x:v>
      </x:c>
      <x:c r="E1097" s="12" t="n">
        <x:v>5513.8769</x:v>
      </x:c>
      <x:c r="F1097" s="12" t="n">
        <x:v>5569.776</x:v>
      </x:c>
      <x:c r="G1097" s="12" t="n">
        <x:v>5564.9693</x:v>
      </x:c>
      <x:c r="H1097" s="12" t="n">
        <x:v>4.8067</x:v>
      </x:c>
      <x:c r="I1097" s="12" t="n">
        <x:v>0.0864</x:v>
      </x:c>
      <x:c r="J1097" s="12" t="n">
        <x:v>0.0008633696001252266</x:v>
      </x:c>
      <x:c r="K1097" s="12" t="n">
        <x:v>199300020</x:v>
      </x:c>
      <x:c r="L1097" s="12" t="n">
        <x:v>456622193.436</x:v>
      </x:c>
      <x:c r="M1097" s="12" t="str">
        <x:v>TuShare index_daily</x:v>
      </x:c>
    </x:row>
    <x:row r="1098" ht="18" customHeight="1">
      <x:c r="A1098" s="13" t="n">
        <x:v>44221</x:v>
      </x:c>
      <x:c r="B1098" s="12" t="str">
        <x:v>000300.SH</x:v>
      </x:c>
      <x:c r="C1098" s="12" t="n">
        <x:v>5564.1237</x:v>
      </x:c>
      <x:c r="D1098" s="12" t="n">
        <x:v>5655.4795</x:v>
      </x:c>
      <x:c r="E1098" s="12" t="n">
        <x:v>5543.2663</x:v>
      </x:c>
      <x:c r="F1098" s="12" t="n">
        <x:v>5625.9232</x:v>
      </x:c>
      <x:c r="G1098" s="12" t="n">
        <x:v>5569.776</x:v>
      </x:c>
      <x:c r="H1098" s="12" t="n">
        <x:v>56.1472</x:v>
      </x:c>
      <x:c r="I1098" s="12" t="n">
        <x:v>1.0081</x:v>
      </x:c>
      <x:c r="J1098" s="12" t="n">
        <x:v>0.010030221377311308</x:v>
      </x:c>
      <x:c r="K1098" s="12" t="n">
        <x:v>197047019</x:v>
      </x:c>
      <x:c r="L1098" s="12" t="n">
        <x:v>508166980.802</x:v>
      </x:c>
      <x:c r="M1098" s="12" t="str">
        <x:v>TuShare index_daily</x:v>
      </x:c>
    </x:row>
    <x:row r="1099" ht="18" customHeight="1">
      <x:c r="A1099" s="13" t="n">
        <x:v>44222</x:v>
      </x:c>
      <x:c r="B1099" s="12" t="str">
        <x:v>000300.SH</x:v>
      </x:c>
      <x:c r="C1099" s="12" t="n">
        <x:v>5600.9017</x:v>
      </x:c>
      <x:c r="D1099" s="12" t="n">
        <x:v>5600.9017</x:v>
      </x:c>
      <x:c r="E1099" s="12" t="n">
        <x:v>5505.9962</x:v>
      </x:c>
      <x:c r="F1099" s="12" t="n">
        <x:v>5512.9678</x:v>
      </x:c>
      <x:c r="G1099" s="12" t="n">
        <x:v>5625.9232</x:v>
      </x:c>
      <x:c r="H1099" s="12" t="n">
        <x:v>-112.9554</x:v>
      </x:c>
      <x:c r="I1099" s="12" t="n">
        <x:v>-2.0078</x:v>
      </x:c>
      <x:c r="J1099" s="12" t="n">
        <x:v>-0.020281960217564652</x:v>
      </x:c>
      <x:c r="K1099" s="12" t="n">
        <x:v>171904590</x:v>
      </x:c>
      <x:c r="L1099" s="12" t="n">
        <x:v>415008069.865</x:v>
      </x:c>
      <x:c r="M1099" s="12" t="str">
        <x:v>TuShare index_daily</x:v>
      </x:c>
    </x:row>
    <x:row r="1100" ht="18" customHeight="1">
      <x:c r="A1100" s="13" t="n">
        <x:v>44223</x:v>
      </x:c>
      <x:c r="B1100" s="12" t="str">
        <x:v>000300.SH</x:v>
      </x:c>
      <x:c r="C1100" s="12" t="n">
        <x:v>5505.7708</x:v>
      </x:c>
      <x:c r="D1100" s="12" t="n">
        <x:v>5534.9928</x:v>
      </x:c>
      <x:c r="E1100" s="12" t="n">
        <x:v>5449.6385</x:v>
      </x:c>
      <x:c r="F1100" s="12" t="n">
        <x:v>5528.0034</x:v>
      </x:c>
      <x:c r="G1100" s="12" t="n">
        <x:v>5512.9678</x:v>
      </x:c>
      <x:c r="H1100" s="12" t="n">
        <x:v>15.0356</x:v>
      </x:c>
      <x:c r="I1100" s="12" t="n">
        <x:v>0.2727</x:v>
      </x:c>
      <x:c r="J1100" s="12" t="n">
        <x:v>0.0027236026654103474</x:v>
      </x:c>
      <x:c r="K1100" s="12" t="n">
        <x:v>160190841</x:v>
      </x:c>
      <x:c r="L1100" s="12" t="n">
        <x:v>376892605.839</x:v>
      </x:c>
      <x:c r="M1100" s="12" t="str">
        <x:v>TuShare index_daily</x:v>
      </x:c>
    </x:row>
    <x:row r="1101" ht="18" customHeight="1">
      <x:c r="A1101" s="13" t="n">
        <x:v>44224</x:v>
      </x:c>
      <x:c r="B1101" s="12" t="str">
        <x:v>000300.SH</x:v>
      </x:c>
      <x:c r="C1101" s="12" t="n">
        <x:v>5450.3695</x:v>
      </x:c>
      <x:c r="D1101" s="12" t="n">
        <x:v>5462.2352</x:v>
      </x:c>
      <x:c r="E1101" s="12" t="n">
        <x:v>5360.3766</x:v>
      </x:c>
      <x:c r="F1101" s="12" t="n">
        <x:v>5377.1427</x:v>
      </x:c>
      <x:c r="G1101" s="12" t="n">
        <x:v>5528.0034</x:v>
      </x:c>
      <x:c r="H1101" s="12" t="n">
        <x:v>-150.8607</x:v>
      </x:c>
      <x:c r="I1101" s="12" t="n">
        <x:v>-2.729</x:v>
      </x:c>
      <x:c r="J1101" s="12" t="n">
        <x:v>-0.027669565078195076</x:v>
      </x:c>
      <x:c r="K1101" s="12" t="n">
        <x:v>170485585</x:v>
      </x:c>
      <x:c r="L1101" s="12" t="n">
        <x:v>376166523.178</x:v>
      </x:c>
      <x:c r="M1101" s="12" t="str">
        <x:v>TuShare index_daily</x:v>
      </x:c>
    </x:row>
    <x:row r="1102" ht="18" customHeight="1">
      <x:c r="A1102" s="13" t="n">
        <x:v>44225</x:v>
      </x:c>
      <x:c r="B1102" s="12" t="str">
        <x:v>000300.SH</x:v>
      </x:c>
      <x:c r="C1102" s="12" t="n">
        <x:v>5413.9684</x:v>
      </x:c>
      <x:c r="D1102" s="12" t="n">
        <x:v>5430.2015</x:v>
      </x:c>
      <x:c r="E1102" s="12" t="n">
        <x:v>5288.0955</x:v>
      </x:c>
      <x:c r="F1102" s="12" t="n">
        <x:v>5351.9646</x:v>
      </x:c>
      <x:c r="G1102" s="12" t="n">
        <x:v>5377.1427</x:v>
      </x:c>
      <x:c r="H1102" s="12" t="n">
        <x:v>-25.1781</x:v>
      </x:c>
      <x:c r="I1102" s="12" t="n">
        <x:v>-0.4682</x:v>
      </x:c>
      <x:c r="J1102" s="12" t="n">
        <x:v>-0.004693427983358953</x:v>
      </x:c>
      <x:c r="K1102" s="12" t="n">
        <x:v>182178784</x:v>
      </x:c>
      <x:c r="L1102" s="12" t="n">
        <x:v>390287690.019</x:v>
      </x:c>
      <x:c r="M1102" s="12" t="str">
        <x:v>TuShare index_daily</x:v>
      </x:c>
    </x:row>
    <x:row r="1103" ht="18" customHeight="1">
      <x:c r="A1103" s="13" t="n">
        <x:v>44228</x:v>
      </x:c>
      <x:c r="B1103" s="12" t="str">
        <x:v>000300.SH</x:v>
      </x:c>
      <x:c r="C1103" s="12" t="n">
        <x:v>5356.8535</x:v>
      </x:c>
      <x:c r="D1103" s="12" t="n">
        <x:v>5422.299</x:v>
      </x:c>
      <x:c r="E1103" s="12" t="n">
        <x:v>5342.0458</x:v>
      </x:c>
      <x:c r="F1103" s="12" t="n">
        <x:v>5417.6484</x:v>
      </x:c>
      <x:c r="G1103" s="12" t="n">
        <x:v>5351.9646</x:v>
      </x:c>
      <x:c r="H1103" s="12" t="n">
        <x:v>65.6838</x:v>
      </x:c>
      <x:c r="I1103" s="12" t="n">
        <x:v>1.2273</x:v>
      </x:c>
      <x:c r="J1103" s="12" t="n">
        <x:v>0.012198138307740969</x:v>
      </x:c>
      <x:c r="K1103" s="12" t="n">
        <x:v>166313706</x:v>
      </x:c>
      <x:c r="L1103" s="12" t="n">
        <x:v>346859083.73</x:v>
      </x:c>
      <x:c r="M1103" s="12" t="str">
        <x:v>TuShare index_daily</x:v>
      </x:c>
    </x:row>
    <x:row r="1104" ht="18" customHeight="1">
      <x:c r="A1104" s="13" t="n">
        <x:v>44229</x:v>
      </x:c>
      <x:c r="B1104" s="12" t="str">
        <x:v>000300.SH</x:v>
      </x:c>
      <x:c r="C1104" s="12" t="n">
        <x:v>5429.7032</x:v>
      </x:c>
      <x:c r="D1104" s="12" t="n">
        <x:v>5503.2145</x:v>
      </x:c>
      <x:c r="E1104" s="12" t="n">
        <x:v>5411.5173</x:v>
      </x:c>
      <x:c r="F1104" s="12" t="n">
        <x:v>5501.0915</x:v>
      </x:c>
      <x:c r="G1104" s="12" t="n">
        <x:v>5417.6484</x:v>
      </x:c>
      <x:c r="H1104" s="12" t="n">
        <x:v>83.4431</x:v>
      </x:c>
      <x:c r="I1104" s="12" t="n">
        <x:v>1.5402</x:v>
      </x:c>
      <x:c r="J1104" s="12" t="n">
        <x:v>0.015284680332363739</x:v>
      </x:c>
      <x:c r="K1104" s="12" t="n">
        <x:v>165210565</x:v>
      </x:c>
      <x:c r="L1104" s="12" t="n">
        <x:v>380016716.112</x:v>
      </x:c>
      <x:c r="M1104" s="12" t="str">
        <x:v>TuShare index_daily</x:v>
      </x:c>
    </x:row>
    <x:row r="1105" ht="18" customHeight="1">
      <x:c r="A1105" s="13" t="n">
        <x:v>44230</x:v>
      </x:c>
      <x:c r="B1105" s="12" t="str">
        <x:v>000300.SH</x:v>
      </x:c>
      <x:c r="C1105" s="12" t="n">
        <x:v>5499.2961</x:v>
      </x:c>
      <x:c r="D1105" s="12" t="n">
        <x:v>5532.8864</x:v>
      </x:c>
      <x:c r="E1105" s="12" t="n">
        <x:v>5473.1237</x:v>
      </x:c>
      <x:c r="F1105" s="12" t="n">
        <x:v>5485.2008</x:v>
      </x:c>
      <x:c r="G1105" s="12" t="n">
        <x:v>5501.0915</x:v>
      </x:c>
      <x:c r="H1105" s="12" t="n">
        <x:v>-15.8907</x:v>
      </x:c>
      <x:c r="I1105" s="12" t="n">
        <x:v>-0.2889</x:v>
      </x:c>
      <x:c r="J1105" s="12" t="n">
        <x:v>-0.0028928251038237156</x:v>
      </x:c>
      <x:c r="K1105" s="12" t="n">
        <x:v>188054317</x:v>
      </x:c>
      <x:c r="L1105" s="12" t="n">
        <x:v>404343602.638</x:v>
      </x:c>
      <x:c r="M1105" s="12" t="str">
        <x:v>TuShare index_daily</x:v>
      </x:c>
    </x:row>
    <x:row r="1106" ht="18" customHeight="1">
      <x:c r="A1106" s="13" t="n">
        <x:v>44231</x:v>
      </x:c>
      <x:c r="B1106" s="12" t="str">
        <x:v>000300.SH</x:v>
      </x:c>
      <x:c r="C1106" s="12" t="n">
        <x:v>5453.9764</x:v>
      </x:c>
      <x:c r="D1106" s="12" t="n">
        <x:v>5510.0535</x:v>
      </x:c>
      <x:c r="E1106" s="12" t="n">
        <x:v>5411.5749</x:v>
      </x:c>
      <x:c r="F1106" s="12" t="n">
        <x:v>5473.9475</x:v>
      </x:c>
      <x:c r="G1106" s="12" t="n">
        <x:v>5485.2008</x:v>
      </x:c>
      <x:c r="H1106" s="12" t="n">
        <x:v>-11.2533</x:v>
      </x:c>
      <x:c r="I1106" s="12" t="n">
        <x:v>-0.2052</x:v>
      </x:c>
      <x:c r="J1106" s="12" t="n">
        <x:v>-0.0020536822109012143</x:v>
      </x:c>
      <x:c r="K1106" s="12" t="n">
        <x:v>180575654</x:v>
      </x:c>
      <x:c r="L1106" s="12" t="n">
        <x:v>397995205.38</x:v>
      </x:c>
      <x:c r="M1106" s="12" t="str">
        <x:v>TuShare index_daily</x:v>
      </x:c>
    </x:row>
    <x:row r="1107" ht="18" customHeight="1">
      <x:c r="A1107" s="13" t="n">
        <x:v>44232</x:v>
      </x:c>
      <x:c r="B1107" s="12" t="str">
        <x:v>000300.SH</x:v>
      </x:c>
      <x:c r="C1107" s="12" t="n">
        <x:v>5494.7011</x:v>
      </x:c>
      <x:c r="D1107" s="12" t="n">
        <x:v>5550.7714</x:v>
      </x:c>
      <x:c r="E1107" s="12" t="n">
        <x:v>5477.6517</x:v>
      </x:c>
      <x:c r="F1107" s="12" t="n">
        <x:v>5483.414</x:v>
      </x:c>
      <x:c r="G1107" s="12" t="n">
        <x:v>5473.9475</x:v>
      </x:c>
      <x:c r="H1107" s="12" t="n">
        <x:v>9.4665</x:v>
      </x:c>
      <x:c r="I1107" s="12" t="n">
        <x:v>0.1729</x:v>
      </x:c>
      <x:c r="J1107" s="12" t="n">
        <x:v>0.0017278799016058849</x:v>
      </x:c>
      <x:c r="K1107" s="12" t="n">
        <x:v>189699598</x:v>
      </x:c>
      <x:c r="L1107" s="12" t="n">
        <x:v>395400134.49</x:v>
      </x:c>
      <x:c r="M1107" s="12" t="str">
        <x:v>TuShare index_daily</x:v>
      </x:c>
    </x:row>
    <x:row r="1108" ht="18" customHeight="1">
      <x:c r="A1108" s="13" t="n">
        <x:v>44235</x:v>
      </x:c>
      <x:c r="B1108" s="12" t="str">
        <x:v>000300.SH</x:v>
      </x:c>
      <x:c r="C1108" s="12" t="n">
        <x:v>5506.1423</x:v>
      </x:c>
      <x:c r="D1108" s="12" t="n">
        <x:v>5576.4908</x:v>
      </x:c>
      <x:c r="E1108" s="12" t="n">
        <x:v>5479.8529</x:v>
      </x:c>
      <x:c r="F1108" s="12" t="n">
        <x:v>5564.5618</x:v>
      </x:c>
      <x:c r="G1108" s="12" t="n">
        <x:v>5483.414</x:v>
      </x:c>
      <x:c r="H1108" s="12" t="n">
        <x:v>81.1478</x:v>
      </x:c>
      <x:c r="I1108" s="12" t="n">
        <x:v>1.4799</x:v>
      </x:c>
      <x:c r="J1108" s="12" t="n">
        <x:v>0.014690339807556038</x:v>
      </x:c>
      <x:c r="K1108" s="12" t="n">
        <x:v>164033775</x:v>
      </x:c>
      <x:c r="L1108" s="12" t="n">
        <x:v>367582771.659</x:v>
      </x:c>
      <x:c r="M1108" s="12" t="str">
        <x:v>TuShare index_daily</x:v>
      </x:c>
    </x:row>
    <x:row r="1109" ht="18" customHeight="1">
      <x:c r="A1109" s="13" t="n">
        <x:v>44236</x:v>
      </x:c>
      <x:c r="B1109" s="12" t="str">
        <x:v>000300.SH</x:v>
      </x:c>
      <x:c r="C1109" s="12" t="n">
        <x:v>5584.165</x:v>
      </x:c>
      <x:c r="D1109" s="12" t="n">
        <x:v>5686.2502</x:v>
      </x:c>
      <x:c r="E1109" s="12" t="n">
        <x:v>5555.0537</x:v>
      </x:c>
      <x:c r="F1109" s="12" t="n">
        <x:v>5686.2502</x:v>
      </x:c>
      <x:c r="G1109" s="12" t="n">
        <x:v>5564.5618</x:v>
      </x:c>
      <x:c r="H1109" s="12" t="n">
        <x:v>121.6884</x:v>
      </x:c>
      <x:c r="I1109" s="12" t="n">
        <x:v>2.1868</x:v>
      </x:c>
      <x:c r="J1109" s="12" t="n">
        <x:v>0.021632775585823095</x:v>
      </x:c>
      <x:c r="K1109" s="12" t="n">
        <x:v>164887260</x:v>
      </x:c>
      <x:c r="L1109" s="12" t="n">
        <x:v>378769121.172</x:v>
      </x:c>
      <x:c r="M1109" s="12" t="str">
        <x:v>TuShare index_daily</x:v>
      </x:c>
    </x:row>
    <x:row r="1110" ht="18" customHeight="1">
      <x:c r="A1110" s="13" t="n">
        <x:v>44237</x:v>
      </x:c>
      <x:c r="B1110" s="12" t="str">
        <x:v>000300.SH</x:v>
      </x:c>
      <x:c r="C1110" s="12" t="n">
        <x:v>5709.684</x:v>
      </x:c>
      <x:c r="D1110" s="12" t="n">
        <x:v>5823.4219</x:v>
      </x:c>
      <x:c r="E1110" s="12" t="n">
        <x:v>5707.3295</x:v>
      </x:c>
      <x:c r="F1110" s="12" t="n">
        <x:v>5807.7191</x:v>
      </x:c>
      <x:c r="G1110" s="12" t="n">
        <x:v>5686.2502</x:v>
      </x:c>
      <x:c r="H1110" s="12" t="n">
        <x:v>121.4689</x:v>
      </x:c>
      <x:c r="I1110" s="12" t="n">
        <x:v>2.1362</x:v>
      </x:c>
      <x:c r="J1110" s="12" t="n">
        <x:v>0.021136896953192888</x:v>
      </x:c>
      <x:c r="K1110" s="12" t="n">
        <x:v>170169786</x:v>
      </x:c>
      <x:c r="L1110" s="12" t="n">
        <x:v>417056463.361</x:v>
      </x:c>
      <x:c r="M1110" s="12" t="str">
        <x:v>TuShare index_daily</x:v>
      </x:c>
    </x:row>
    <x:row r="1111" ht="18" customHeight="1">
      <x:c r="A1111" s="13" t="n">
        <x:v>44245</x:v>
      </x:c>
      <x:c r="B1111" s="12" t="str">
        <x:v>000300.SH</x:v>
      </x:c>
      <x:c r="C1111" s="12" t="n">
        <x:v>5922.0714</x:v>
      </x:c>
      <x:c r="D1111" s="12" t="n">
        <x:v>5930.9122</x:v>
      </x:c>
      <x:c r="E1111" s="12" t="n">
        <x:v>5747.6631</x:v>
      </x:c>
      <x:c r="F1111" s="12" t="n">
        <x:v>5768.3814</x:v>
      </x:c>
      <x:c r="G1111" s="12" t="n">
        <x:v>5807.7191</x:v>
      </x:c>
      <x:c r="H1111" s="12" t="n">
        <x:v>-39.3377</x:v>
      </x:c>
      <x:c r="I1111" s="12" t="n">
        <x:v>-0.6773</x:v>
      </x:c>
      <x:c r="J1111" s="12" t="n">
        <x:v>-0.006796390791577607</x:v>
      </x:c>
      <x:c r="K1111" s="12" t="n">
        <x:v>218848686</x:v>
      </x:c>
      <x:c r="L1111" s="12" t="n">
        <x:v>507481235.978</x:v>
      </x:c>
      <x:c r="M1111" s="12" t="str">
        <x:v>TuShare index_daily</x:v>
      </x:c>
    </x:row>
    <x:row r="1112" ht="18" customHeight="1">
      <x:c r="A1112" s="13" t="n">
        <x:v>44246</x:v>
      </x:c>
      <x:c r="B1112" s="12" t="str">
        <x:v>000300.SH</x:v>
      </x:c>
      <x:c r="C1112" s="12" t="n">
        <x:v>5734.0193</x:v>
      </x:c>
      <x:c r="D1112" s="12" t="n">
        <x:v>5787.8871</x:v>
      </x:c>
      <x:c r="E1112" s="12" t="n">
        <x:v>5667.3209</x:v>
      </x:c>
      <x:c r="F1112" s="12" t="n">
        <x:v>5778.842</x:v>
      </x:c>
      <x:c r="G1112" s="12" t="n">
        <x:v>5768.3814</x:v>
      </x:c>
      <x:c r="H1112" s="12" t="n">
        <x:v>10.4606</x:v>
      </x:c>
      <x:c r="I1112" s="12" t="n">
        <x:v>0.1813</x:v>
      </x:c>
      <x:c r="J1112" s="12" t="n">
        <x:v>0.0018117953553229548</x:v>
      </x:c>
      <x:c r="K1112" s="12" t="n">
        <x:v>214475780</x:v>
      </x:c>
      <x:c r="L1112" s="12" t="n">
        <x:v>456433793.702</x:v>
      </x:c>
      <x:c r="M1112" s="12" t="str">
        <x:v>TuShare index_daily</x:v>
      </x:c>
    </x:row>
    <x:row r="1113" ht="18" customHeight="1">
      <x:c r="A1113" s="13" t="n">
        <x:v>44249</x:v>
      </x:c>
      <x:c r="B1113" s="12" t="str">
        <x:v>000300.SH</x:v>
      </x:c>
      <x:c r="C1113" s="12" t="n">
        <x:v>5785.5097</x:v>
      </x:c>
      <x:c r="D1113" s="12" t="n">
        <x:v>5785.5097</x:v>
      </x:c>
      <x:c r="E1113" s="12" t="n">
        <x:v>5597.3327</x:v>
      </x:c>
      <x:c r="F1113" s="12" t="n">
        <x:v>5597.3327</x:v>
      </x:c>
      <x:c r="G1113" s="12" t="n">
        <x:v>5778.842</x:v>
      </x:c>
      <x:c r="H1113" s="12" t="n">
        <x:v>-181.5093</x:v>
      </x:c>
      <x:c r="I1113" s="12" t="n">
        <x:v>-3.1409</x:v>
      </x:c>
      <x:c r="J1113" s="12" t="n">
        <x:v>-0.031913135890482676</x:v>
      </x:c>
      <x:c r="K1113" s="12" t="n">
        <x:v>282124382</x:v>
      </x:c>
      <x:c r="L1113" s="12" t="n">
        <x:v>543633153.217</x:v>
      </x:c>
      <x:c r="M1113" s="12" t="str">
        <x:v>TuShare index_daily</x:v>
      </x:c>
    </x:row>
    <x:row r="1114" ht="18" customHeight="1">
      <x:c r="A1114" s="13" t="n">
        <x:v>44250</x:v>
      </x:c>
      <x:c r="B1114" s="12" t="str">
        <x:v>000300.SH</x:v>
      </x:c>
      <x:c r="C1114" s="12" t="n">
        <x:v>5542.6841</x:v>
      </x:c>
      <x:c r="D1114" s="12" t="n">
        <x:v>5644.7551</x:v>
      </x:c>
      <x:c r="E1114" s="12" t="n">
        <x:v>5541.1092</x:v>
      </x:c>
      <x:c r="F1114" s="12" t="n">
        <x:v>5579.6681</x:v>
      </x:c>
      <x:c r="G1114" s="12" t="n">
        <x:v>5597.3327</x:v>
      </x:c>
      <x:c r="H1114" s="12" t="n">
        <x:v>-17.6646</x:v>
      </x:c>
      <x:c r="I1114" s="12" t="n">
        <x:v>-0.3156</x:v>
      </x:c>
      <x:c r="J1114" s="12" t="n">
        <x:v>-0.00316088636363837</x:v>
      </x:c>
      <x:c r="K1114" s="12" t="n">
        <x:v>233807727</x:v>
      </x:c>
      <x:c r="L1114" s="12" t="n">
        <x:v>424904470.814</x:v>
      </x:c>
      <x:c r="M1114" s="12" t="str">
        <x:v>TuShare index_daily</x:v>
      </x:c>
    </x:row>
    <x:row r="1115" ht="18" customHeight="1">
      <x:c r="A1115" s="13" t="n">
        <x:v>44251</x:v>
      </x:c>
      <x:c r="B1115" s="12" t="str">
        <x:v>000300.SH</x:v>
      </x:c>
      <x:c r="C1115" s="12" t="n">
        <x:v>5591.4795</x:v>
      </x:c>
      <x:c r="D1115" s="12" t="n">
        <x:v>5598.8284</x:v>
      </x:c>
      <x:c r="E1115" s="12" t="n">
        <x:v>5379.7278</x:v>
      </x:c>
      <x:c r="F1115" s="12" t="n">
        <x:v>5437.5683</x:v>
      </x:c>
      <x:c r="G1115" s="12" t="n">
        <x:v>5579.6681</x:v>
      </x:c>
      <x:c r="H1115" s="12" t="n">
        <x:v>-142.0998</x:v>
      </x:c>
      <x:c r="I1115" s="12" t="n">
        <x:v>-2.5467</x:v>
      </x:c>
      <x:c r="J1115" s="12" t="n">
        <x:v>-0.025797337082003765</x:v>
      </x:c>
      <x:c r="K1115" s="12" t="n">
        <x:v>225428610</x:v>
      </x:c>
      <x:c r="L1115" s="12" t="n">
        <x:v>472369211.004</x:v>
      </x:c>
      <x:c r="M1115" s="12" t="str">
        <x:v>TuShare index_daily</x:v>
      </x:c>
    </x:row>
    <x:row r="1116" ht="18" customHeight="1">
      <x:c r="A1116" s="13" t="n">
        <x:v>44252</x:v>
      </x:c>
      <x:c r="B1116" s="12" t="str">
        <x:v>000300.SH</x:v>
      </x:c>
      <x:c r="C1116" s="12" t="n">
        <x:v>5494.4706</x:v>
      </x:c>
      <x:c r="D1116" s="12" t="n">
        <x:v>5527.6296</x:v>
      </x:c>
      <x:c r="E1116" s="12" t="n">
        <x:v>5444.1646</x:v>
      </x:c>
      <x:c r="F1116" s="12" t="n">
        <x:v>5469.5584</x:v>
      </x:c>
      <x:c r="G1116" s="12" t="n">
        <x:v>5437.5683</x:v>
      </x:c>
      <x:c r="H1116" s="12" t="n">
        <x:v>31.9901</x:v>
      </x:c>
      <x:c r="I1116" s="12" t="n">
        <x:v>0.5883</x:v>
      </x:c>
      <x:c r="J1116" s="12" t="n">
        <x:v>0.0058659246580651195</x:v>
      </x:c>
      <x:c r="K1116" s="12" t="n">
        <x:v>230736028</x:v>
      </x:c>
      <x:c r="L1116" s="12" t="n">
        <x:v>412206157.141</x:v>
      </x:c>
      <x:c r="M1116" s="12" t="str">
        <x:v>TuShare index_daily</x:v>
      </x:c>
    </x:row>
    <x:row r="1117" ht="18" customHeight="1">
      <x:c r="A1117" s="13" t="n">
        <x:v>44253</x:v>
      </x:c>
      <x:c r="B1117" s="12" t="str">
        <x:v>000300.SH</x:v>
      </x:c>
      <x:c r="C1117" s="12" t="n">
        <x:v>5343.9041</x:v>
      </x:c>
      <x:c r="D1117" s="12" t="n">
        <x:v>5416.3197</x:v>
      </x:c>
      <x:c r="E1117" s="12" t="n">
        <x:v>5318.8579</x:v>
      </x:c>
      <x:c r="F1117" s="12" t="n">
        <x:v>5336.7609</x:v>
      </x:c>
      <x:c r="G1117" s="12" t="n">
        <x:v>5469.5584</x:v>
      </x:c>
      <x:c r="H1117" s="12" t="n">
        <x:v>-132.7975</x:v>
      </x:c>
      <x:c r="I1117" s="12" t="n">
        <x:v>-2.4279</x:v>
      </x:c>
      <x:c r="J1117" s="12" t="n">
        <x:v>-0.024578986014973294</x:v>
      </x:c>
      <x:c r="K1117" s="12" t="n">
        <x:v>212264543</x:v>
      </x:c>
      <x:c r="L1117" s="12" t="n">
        <x:v>405717700.128</x:v>
      </x:c>
      <x:c r="M1117" s="12" t="str">
        <x:v>TuShare index_daily</x:v>
      </x:c>
    </x:row>
    <x:row r="1118" ht="18" customHeight="1">
      <x:c r="A1118" s="13" t="n">
        <x:v>44256</x:v>
      </x:c>
      <x:c r="B1118" s="12" t="str">
        <x:v>000300.SH</x:v>
      </x:c>
      <x:c r="C1118" s="12" t="n">
        <x:v>5389.2499</x:v>
      </x:c>
      <x:c r="D1118" s="12" t="n">
        <x:v>5421.555</x:v>
      </x:c>
      <x:c r="E1118" s="12" t="n">
        <x:v>5345.9449</x:v>
      </x:c>
      <x:c r="F1118" s="12" t="n">
        <x:v>5418.7837</x:v>
      </x:c>
      <x:c r="G1118" s="12" t="n">
        <x:v>5336.7609</x:v>
      </x:c>
      <x:c r="H1118" s="12" t="n">
        <x:v>82.0228</x:v>
      </x:c>
      <x:c r="I1118" s="12" t="n">
        <x:v>1.5369</x:v>
      </x:c>
      <x:c r="J1118" s="12" t="n">
        <x:v>0.015252484775311331</x:v>
      </x:c>
      <x:c r="K1118" s="12" t="n">
        <x:v>177463523</x:v>
      </x:c>
      <x:c r="L1118" s="12" t="n">
        <x:v>358146545.967</x:v>
      </x:c>
      <x:c r="M1118" s="12" t="str">
        <x:v>TuShare index_daily</x:v>
      </x:c>
    </x:row>
    <x:row r="1119" ht="18" customHeight="1">
      <x:c r="A1119" s="13" t="n">
        <x:v>44257</x:v>
      </x:c>
      <x:c r="B1119" s="12" t="str">
        <x:v>000300.SH</x:v>
      </x:c>
      <x:c r="C1119" s="12" t="n">
        <x:v>5453.2847</x:v>
      </x:c>
      <x:c r="D1119" s="12" t="n">
        <x:v>5454.9687</x:v>
      </x:c>
      <x:c r="E1119" s="12" t="n">
        <x:v>5305.0545</x:v>
      </x:c>
      <x:c r="F1119" s="12" t="n">
        <x:v>5349.6301</x:v>
      </x:c>
      <x:c r="G1119" s="12" t="n">
        <x:v>5418.7837</x:v>
      </x:c>
      <x:c r="H1119" s="12" t="n">
        <x:v>-69.1536</x:v>
      </x:c>
      <x:c r="I1119" s="12" t="n">
        <x:v>-1.2762</x:v>
      </x:c>
      <x:c r="J1119" s="12" t="n">
        <x:v>-0.012843962343151796</x:v>
      </x:c>
      <x:c r="K1119" s="12" t="n">
        <x:v>196511115</x:v>
      </x:c>
      <x:c r="L1119" s="12" t="n">
        <x:v>376444604.695</x:v>
      </x:c>
      <x:c r="M1119" s="12" t="str">
        <x:v>TuShare index_daily</x:v>
      </x:c>
    </x:row>
    <x:row r="1120" ht="18" customHeight="1">
      <x:c r="A1120" s="13" t="n">
        <x:v>44258</x:v>
      </x:c>
      <x:c r="B1120" s="12" t="str">
        <x:v>000300.SH</x:v>
      </x:c>
      <x:c r="C1120" s="12" t="n">
        <x:v>5327.3467</x:v>
      </x:c>
      <x:c r="D1120" s="12" t="n">
        <x:v>5452.396</x:v>
      </x:c>
      <x:c r="E1120" s="12" t="n">
        <x:v>5316.4809</x:v>
      </x:c>
      <x:c r="F1120" s="12" t="n">
        <x:v>5452.2125</x:v>
      </x:c>
      <x:c r="G1120" s="12" t="n">
        <x:v>5349.6301</x:v>
      </x:c>
      <x:c r="H1120" s="12" t="n">
        <x:v>102.5824</x:v>
      </x:c>
      <x:c r="I1120" s="12" t="n">
        <x:v>1.9176</x:v>
      </x:c>
      <x:c r="J1120" s="12" t="n">
        <x:v>0.01899407126639186</x:v>
      </x:c>
      <x:c r="K1120" s="12" t="n">
        <x:v>194709054</x:v>
      </x:c>
      <x:c r="L1120" s="12" t="n">
        <x:v>337610313.596</x:v>
      </x:c>
      <x:c r="M1120" s="12" t="str">
        <x:v>TuShare index_daily</x:v>
      </x:c>
    </x:row>
    <x:row r="1121" ht="18" customHeight="1">
      <x:c r="A1121" s="13" t="n">
        <x:v>44259</x:v>
      </x:c>
      <x:c r="B1121" s="12" t="str">
        <x:v>000300.SH</x:v>
      </x:c>
      <x:c r="C1121" s="12" t="n">
        <x:v>5388.4785</x:v>
      </x:c>
      <x:c r="D1121" s="12" t="n">
        <x:v>5392.3725</x:v>
      </x:c>
      <x:c r="E1121" s="12" t="n">
        <x:v>5254.7771</x:v>
      </x:c>
      <x:c r="F1121" s="12" t="n">
        <x:v>5280.7058</x:v>
      </x:c>
      <x:c r="G1121" s="12" t="n">
        <x:v>5452.2125</x:v>
      </x:c>
      <x:c r="H1121" s="12" t="n">
        <x:v>-171.5067</x:v>
      </x:c>
      <x:c r="I1121" s="12" t="n">
        <x:v>-3.1456</x:v>
      </x:c>
      <x:c r="J1121" s="12" t="n">
        <x:v>-0.03196172657010949</x:v>
      </x:c>
      <x:c r="K1121" s="12" t="n">
        <x:v>212775211</x:v>
      </x:c>
      <x:c r="L1121" s="12" t="n">
        <x:v>384382456.961</x:v>
      </x:c>
      <x:c r="M1121" s="12" t="str">
        <x:v>TuShare index_daily</x:v>
      </x:c>
    </x:row>
    <x:row r="1122" ht="18" customHeight="1">
      <x:c r="A1122" s="13" t="n">
        <x:v>44260</x:v>
      </x:c>
      <x:c r="B1122" s="12" t="str">
        <x:v>000300.SH</x:v>
      </x:c>
      <x:c r="C1122" s="12" t="n">
        <x:v>5191.9699</x:v>
      </x:c>
      <x:c r="D1122" s="12" t="n">
        <x:v>5307.8203</x:v>
      </x:c>
      <x:c r="E1122" s="12" t="n">
        <x:v>5174.2458</x:v>
      </x:c>
      <x:c r="F1122" s="12" t="n">
        <x:v>5262.7958</x:v>
      </x:c>
      <x:c r="G1122" s="12" t="n">
        <x:v>5280.7058</x:v>
      </x:c>
      <x:c r="H1122" s="12" t="n">
        <x:v>-17.91</x:v>
      </x:c>
      <x:c r="I1122" s="12" t="n">
        <x:v>-0.3392</x:v>
      </x:c>
      <x:c r="J1122" s="12" t="n">
        <x:v>-0.003397356572028898</x:v>
      </x:c>
      <x:c r="K1122" s="12" t="n">
        <x:v>202627956</x:v>
      </x:c>
      <x:c r="L1122" s="12" t="n">
        <x:v>352539774.295</x:v>
      </x:c>
      <x:c r="M1122" s="12" t="str">
        <x:v>TuShare index_daily</x:v>
      </x:c>
    </x:row>
    <x:row r="1123" ht="18" customHeight="1">
      <x:c r="A1123" s="13" t="n">
        <x:v>44263</x:v>
      </x:c>
      <x:c r="B1123" s="12" t="str">
        <x:v>000300.SH</x:v>
      </x:c>
      <x:c r="C1123" s="12" t="n">
        <x:v>5299.7907</x:v>
      </x:c>
      <x:c r="D1123" s="12" t="n">
        <x:v>5326.2602</x:v>
      </x:c>
      <x:c r="E1123" s="12" t="n">
        <x:v>5079.7984</x:v>
      </x:c>
      <x:c r="F1123" s="12" t="n">
        <x:v>5080.0246</x:v>
      </x:c>
      <x:c r="G1123" s="12" t="n">
        <x:v>5262.7958</x:v>
      </x:c>
      <x:c r="H1123" s="12" t="n">
        <x:v>-182.7712</x:v>
      </x:c>
      <x:c r="I1123" s="12" t="n">
        <x:v>-3.4729</x:v>
      </x:c>
      <x:c r="J1123" s="12" t="n">
        <x:v>-0.03534630235660933</x:v>
      </x:c>
      <x:c r="K1123" s="12" t="n">
        <x:v>230231635</x:v>
      </x:c>
      <x:c r="L1123" s="12" t="n">
        <x:v>407133802.142</x:v>
      </x:c>
      <x:c r="M1123" s="12" t="str">
        <x:v>TuShare index_daily</x:v>
      </x:c>
    </x:row>
    <x:row r="1124" ht="18" customHeight="1">
      <x:c r="A1124" s="13" t="n">
        <x:v>44264</x:v>
      </x:c>
      <x:c r="B1124" s="12" t="str">
        <x:v>000300.SH</x:v>
      </x:c>
      <x:c r="C1124" s="12" t="n">
        <x:v>5066.1546</x:v>
      </x:c>
      <x:c r="D1124" s="12" t="n">
        <x:v>5094.311</x:v>
      </x:c>
      <x:c r="E1124" s="12" t="n">
        <x:v>4917.909</x:v>
      </x:c>
      <x:c r="F1124" s="12" t="n">
        <x:v>4970.9994</x:v>
      </x:c>
      <x:c r="G1124" s="12" t="n">
        <x:v>5080.0246</x:v>
      </x:c>
      <x:c r="H1124" s="12" t="n">
        <x:v>-109.0252</x:v>
      </x:c>
      <x:c r="I1124" s="12" t="n">
        <x:v>-2.1462</x:v>
      </x:c>
      <x:c r="J1124" s="12" t="n">
        <x:v>-0.02169519768588273</x:v>
      </x:c>
      <x:c r="K1124" s="12" t="n">
        <x:v>230711004</x:v>
      </x:c>
      <x:c r="L1124" s="12" t="n">
        <x:v>414415213.806</x:v>
      </x:c>
      <x:c r="M1124" s="12" t="str">
        <x:v>TuShare index_daily</x:v>
      </x:c>
    </x:row>
    <x:row r="1125" ht="18" customHeight="1">
      <x:c r="A1125" s="13" t="n">
        <x:v>44265</x:v>
      </x:c>
      <x:c r="B1125" s="12" t="str">
        <x:v>000300.SH</x:v>
      </x:c>
      <x:c r="C1125" s="12" t="n">
        <x:v>5047.0589</x:v>
      </x:c>
      <x:c r="D1125" s="12" t="n">
        <x:v>5055.2785</x:v>
      </x:c>
      <x:c r="E1125" s="12" t="n">
        <x:v>4981.6161</x:v>
      </x:c>
      <x:c r="F1125" s="12" t="n">
        <x:v>5003.6121</x:v>
      </x:c>
      <x:c r="G1125" s="12" t="n">
        <x:v>4970.9994</x:v>
      </x:c>
      <x:c r="H1125" s="12" t="n">
        <x:v>32.6127</x:v>
      </x:c>
      <x:c r="I1125" s="12" t="n">
        <x:v>0.6561</x:v>
      </x:c>
      <x:c r="J1125" s="12" t="n">
        <x:v>0.006539165201911017</x:v>
      </x:c>
      <x:c r="K1125" s="12" t="n">
        <x:v>169928490</x:v>
      </x:c>
      <x:c r="L1125" s="12" t="n">
        <x:v>309577408.715</x:v>
      </x:c>
      <x:c r="M1125" s="12" t="str">
        <x:v>TuShare index_daily</x:v>
      </x:c>
    </x:row>
    <x:row r="1126" ht="18" customHeight="1">
      <x:c r="A1126" s="13" t="n">
        <x:v>44266</x:v>
      </x:c>
      <x:c r="B1126" s="12" t="str">
        <x:v>000300.SH</x:v>
      </x:c>
      <x:c r="C1126" s="12" t="n">
        <x:v>5024.5586</x:v>
      </x:c>
      <x:c r="D1126" s="12" t="n">
        <x:v>5138.4146</x:v>
      </x:c>
      <x:c r="E1126" s="12" t="n">
        <x:v>5020.5784</x:v>
      </x:c>
      <x:c r="F1126" s="12" t="n">
        <x:v>5128.2156</x:v>
      </x:c>
      <x:c r="G1126" s="12" t="n">
        <x:v>5003.6121</x:v>
      </x:c>
      <x:c r="H1126" s="12" t="n">
        <x:v>124.6035</x:v>
      </x:c>
      <x:c r="I1126" s="12" t="n">
        <x:v>2.4903</x:v>
      </x:c>
      <x:c r="J1126" s="12" t="n">
        <x:v>0.02459769080192662</x:v>
      </x:c>
      <x:c r="K1126" s="12" t="n">
        <x:v>189600766</x:v>
      </x:c>
      <x:c r="L1126" s="12" t="n">
        <x:v>333859199.679</x:v>
      </x:c>
      <x:c r="M1126" s="12" t="str">
        <x:v>TuShare index_daily</x:v>
      </x:c>
    </x:row>
    <x:row r="1127" ht="18" customHeight="1">
      <x:c r="A1127" s="13" t="n">
        <x:v>44267</x:v>
      </x:c>
      <x:c r="B1127" s="12" t="str">
        <x:v>000300.SH</x:v>
      </x:c>
      <x:c r="C1127" s="12" t="n">
        <x:v>5153.674</x:v>
      </x:c>
      <x:c r="D1127" s="12" t="n">
        <x:v>5153.674</x:v>
      </x:c>
      <x:c r="E1127" s="12" t="n">
        <x:v>5086.8234</x:v>
      </x:c>
      <x:c r="F1127" s="12" t="n">
        <x:v>5146.3786</x:v>
      </x:c>
      <x:c r="G1127" s="12" t="n">
        <x:v>5128.2156</x:v>
      </x:c>
      <x:c r="H1127" s="12" t="n">
        <x:v>18.163</x:v>
      </x:c>
      <x:c r="I1127" s="12" t="n">
        <x:v>0.3542</x:v>
      </x:c>
      <x:c r="J1127" s="12" t="n">
        <x:v>0.003535520443161178</x:v>
      </x:c>
      <x:c r="K1127" s="12" t="n">
        <x:v>201020589</x:v>
      </x:c>
      <x:c r="L1127" s="12" t="n">
        <x:v>323237751.413</x:v>
      </x:c>
      <x:c r="M1127" s="12" t="str">
        <x:v>TuShare index_daily</x:v>
      </x:c>
    </x:row>
    <x:row r="1128" ht="18" customHeight="1">
      <x:c r="A1128" s="13" t="n">
        <x:v>44270</x:v>
      </x:c>
      <x:c r="B1128" s="12" t="str">
        <x:v>000300.SH</x:v>
      </x:c>
      <x:c r="C1128" s="12" t="n">
        <x:v>5116.1228</x:v>
      </x:c>
      <x:c r="D1128" s="12" t="n">
        <x:v>5120.8757</x:v>
      </x:c>
      <x:c r="E1128" s="12" t="n">
        <x:v>4992.3989</x:v>
      </x:c>
      <x:c r="F1128" s="12" t="n">
        <x:v>5035.5441</x:v>
      </x:c>
      <x:c r="G1128" s="12" t="n">
        <x:v>5146.3786</x:v>
      </x:c>
      <x:c r="H1128" s="12" t="n">
        <x:v>-110.8345</x:v>
      </x:c>
      <x:c r="I1128" s="12" t="n">
        <x:v>-2.1536</x:v>
      </x:c>
      <x:c r="J1128" s="12" t="n">
        <x:v>-0.021771698972272314</x:v>
      </x:c>
      <x:c r="K1128" s="12" t="n">
        <x:v>204153084</x:v>
      </x:c>
      <x:c r="L1128" s="12" t="n">
        <x:v>330740513.808</x:v>
      </x:c>
      <x:c r="M1128" s="12" t="str">
        <x:v>TuShare index_daily</x:v>
      </x:c>
    </x:row>
    <x:row r="1129" ht="18" customHeight="1">
      <x:c r="A1129" s="13" t="n">
        <x:v>44271</x:v>
      </x:c>
      <x:c r="B1129" s="12" t="str">
        <x:v>000300.SH</x:v>
      </x:c>
      <x:c r="C1129" s="12" t="n">
        <x:v>5054.4089</x:v>
      </x:c>
      <x:c r="D1129" s="12" t="n">
        <x:v>5084.3085</x:v>
      </x:c>
      <x:c r="E1129" s="12" t="n">
        <x:v>5009.951</x:v>
      </x:c>
      <x:c r="F1129" s="12" t="n">
        <x:v>5079.3624</x:v>
      </x:c>
      <x:c r="G1129" s="12" t="n">
        <x:v>5035.5441</x:v>
      </x:c>
      <x:c r="H1129" s="12" t="n">
        <x:v>43.8183</x:v>
      </x:c>
      <x:c r="I1129" s="12" t="n">
        <x:v>0.8702</x:v>
      </x:c>
      <x:c r="J1129" s="12" t="n">
        <x:v>0.00866415801490597</x:v>
      </x:c>
      <x:c r="K1129" s="12" t="n">
        <x:v>161390054</x:v>
      </x:c>
      <x:c r="L1129" s="12" t="n">
        <x:v>271755048.564</x:v>
      </x:c>
      <x:c r="M1129" s="12" t="str">
        <x:v>TuShare index_daily</x:v>
      </x:c>
    </x:row>
    <x:row r="1130" ht="18" customHeight="1">
      <x:c r="A1130" s="13" t="n">
        <x:v>44272</x:v>
      </x:c>
      <x:c r="B1130" s="12" t="str">
        <x:v>000300.SH</x:v>
      </x:c>
      <x:c r="C1130" s="12" t="n">
        <x:v>5062.7706</x:v>
      </x:c>
      <x:c r="D1130" s="12" t="n">
        <x:v>5123.5452</x:v>
      </x:c>
      <x:c r="E1130" s="12" t="n">
        <x:v>5020.1255</x:v>
      </x:c>
      <x:c r="F1130" s="12" t="n">
        <x:v>5100.8581</x:v>
      </x:c>
      <x:c r="G1130" s="12" t="n">
        <x:v>5079.3624</x:v>
      </x:c>
      <x:c r="H1130" s="12" t="n">
        <x:v>21.4957</x:v>
      </x:c>
      <x:c r="I1130" s="12" t="n">
        <x:v>0.4232</x:v>
      </x:c>
      <x:c r="J1130" s="12" t="n">
        <x:v>0.004223038576872044</x:v>
      </x:c>
      <x:c r="K1130" s="12" t="n">
        <x:v>149162376</x:v>
      </x:c>
      <x:c r="L1130" s="12" t="n">
        <x:v>263492417.709</x:v>
      </x:c>
      <x:c r="M1130" s="12" t="str">
        <x:v>TuShare index_daily</x:v>
      </x:c>
    </x:row>
    <x:row r="1131" ht="18" customHeight="1">
      <x:c r="A1131" s="13" t="n">
        <x:v>44273</x:v>
      </x:c>
      <x:c r="B1131" s="12" t="str">
        <x:v>000300.SH</x:v>
      </x:c>
      <x:c r="C1131" s="12" t="n">
        <x:v>5114.5872</x:v>
      </x:c>
      <x:c r="D1131" s="12" t="n">
        <x:v>5160.4566</x:v>
      </x:c>
      <x:c r="E1131" s="12" t="n">
        <x:v>5111.1294</x:v>
      </x:c>
      <x:c r="F1131" s="12" t="n">
        <x:v>5141.7681</x:v>
      </x:c>
      <x:c r="G1131" s="12" t="n">
        <x:v>5100.8581</x:v>
      </x:c>
      <x:c r="H1131" s="12" t="n">
        <x:v>40.91</x:v>
      </x:c>
      <x:c r="I1131" s="12" t="n">
        <x:v>0.802</x:v>
      </x:c>
      <x:c r="J1131" s="12" t="n">
        <x:v>0.007988228164529472</x:v>
      </x:c>
      <x:c r="K1131" s="12" t="n">
        <x:v>142901518</x:v>
      </x:c>
      <x:c r="L1131" s="12" t="n">
        <x:v>260930046.845</x:v>
      </x:c>
      <x:c r="M1131" s="12" t="str">
        <x:v>TuShare index_daily</x:v>
      </x:c>
    </x:row>
    <x:row r="1132" ht="18" customHeight="1">
      <x:c r="A1132" s="13" t="n">
        <x:v>44274</x:v>
      </x:c>
      <x:c r="B1132" s="12" t="str">
        <x:v>000300.SH</x:v>
      </x:c>
      <x:c r="C1132" s="12" t="n">
        <x:v>5068.5319</x:v>
      </x:c>
      <x:c r="D1132" s="12" t="n">
        <x:v>5089.9175</x:v>
      </x:c>
      <x:c r="E1132" s="12" t="n">
        <x:v>4980.7609</x:v>
      </x:c>
      <x:c r="F1132" s="12" t="n">
        <x:v>5007.0907</x:v>
      </x:c>
      <x:c r="G1132" s="12" t="n">
        <x:v>5141.7681</x:v>
      </x:c>
      <x:c r="H1132" s="12" t="n">
        <x:v>-134.6774</x:v>
      </x:c>
      <x:c r="I1132" s="12" t="n">
        <x:v>-2.6193</x:v>
      </x:c>
      <x:c r="J1132" s="12" t="n">
        <x:v>-0.0265419608202576</x:v>
      </x:c>
      <x:c r="K1132" s="12" t="n">
        <x:v>164174849</x:v>
      </x:c>
      <x:c r="L1132" s="12" t="n">
        <x:v>282974489.237</x:v>
      </x:c>
      <x:c r="M1132" s="12" t="str">
        <x:v>TuShare index_daily</x:v>
      </x:c>
    </x:row>
    <x:row r="1133" ht="18" customHeight="1">
      <x:c r="A1133" s="13" t="n">
        <x:v>44277</x:v>
      </x:c>
      <x:c r="B1133" s="12" t="str">
        <x:v>000300.SH</x:v>
      </x:c>
      <x:c r="C1133" s="12" t="n">
        <x:v>5008.3953</x:v>
      </x:c>
      <x:c r="D1133" s="12" t="n">
        <x:v>5071.3378</x:v>
      </x:c>
      <x:c r="E1133" s="12" t="n">
        <x:v>4996.541</x:v>
      </x:c>
      <x:c r="F1133" s="12" t="n">
        <x:v>5057.152</x:v>
      </x:c>
      <x:c r="G1133" s="12" t="n">
        <x:v>5007.0907</x:v>
      </x:c>
      <x:c r="H1133" s="12" t="n">
        <x:v>50.0613</x:v>
      </x:c>
      <x:c r="I1133" s="12" t="n">
        <x:v>0.9998</x:v>
      </x:c>
      <x:c r="J1133" s="12" t="n">
        <x:v>0.009948431169141384</x:v>
      </x:c>
      <x:c r="K1133" s="12" t="n">
        <x:v>167402632</x:v>
      </x:c>
      <x:c r="L1133" s="12" t="n">
        <x:v>264209098.943</x:v>
      </x:c>
      <x:c r="M1133" s="12" t="str">
        <x:v>TuShare index_daily</x:v>
      </x:c>
    </x:row>
    <x:row r="1134" ht="18" customHeight="1">
      <x:c r="A1134" s="13" t="n">
        <x:v>44278</x:v>
      </x:c>
      <x:c r="B1134" s="12" t="str">
        <x:v>000300.SH</x:v>
      </x:c>
      <x:c r="C1134" s="12" t="n">
        <x:v>5057.0632</x:v>
      </x:c>
      <x:c r="D1134" s="12" t="n">
        <x:v>5064.02</x:v>
      </x:c>
      <x:c r="E1134" s="12" t="n">
        <x:v>4966.534</x:v>
      </x:c>
      <x:c r="F1134" s="12" t="n">
        <x:v>5009.2459</x:v>
      </x:c>
      <x:c r="G1134" s="12" t="n">
        <x:v>5057.152</x:v>
      </x:c>
      <x:c r="H1134" s="12" t="n">
        <x:v>-47.9061</x:v>
      </x:c>
      <x:c r="I1134" s="12" t="n">
        <x:v>-0.9473</x:v>
      </x:c>
      <x:c r="J1134" s="12" t="n">
        <x:v>-0.009518094186803952</x:v>
      </x:c>
      <x:c r="K1134" s="12" t="n">
        <x:v>158013967</x:v>
      </x:c>
      <x:c r="L1134" s="12" t="n">
        <x:v>255755377.66</x:v>
      </x:c>
      <x:c r="M1134" s="12" t="str">
        <x:v>TuShare index_daily</x:v>
      </x:c>
    </x:row>
    <x:row r="1135" ht="18" customHeight="1">
      <x:c r="A1135" s="13" t="n">
        <x:v>44279</x:v>
      </x:c>
      <x:c r="B1135" s="12" t="str">
        <x:v>000300.SH</x:v>
      </x:c>
      <x:c r="C1135" s="12" t="n">
        <x:v>4985.4013</x:v>
      </x:c>
      <x:c r="D1135" s="12" t="n">
        <x:v>5024.3274</x:v>
      </x:c>
      <x:c r="E1135" s="12" t="n">
        <x:v>4919.8932</x:v>
      </x:c>
      <x:c r="F1135" s="12" t="n">
        <x:v>4928.6853</x:v>
      </x:c>
      <x:c r="G1135" s="12" t="n">
        <x:v>5009.2459</x:v>
      </x:c>
      <x:c r="H1135" s="12" t="n">
        <x:v>-80.5606</x:v>
      </x:c>
      <x:c r="I1135" s="12" t="n">
        <x:v>-1.6082</x:v>
      </x:c>
      <x:c r="J1135" s="12" t="n">
        <x:v>-0.016213105742656164</x:v>
      </x:c>
      <x:c r="K1135" s="12" t="n">
        <x:v>159385982</x:v>
      </x:c>
      <x:c r="L1135" s="12" t="n">
        <x:v>265970020.152</x:v>
      </x:c>
      <x:c r="M1135" s="12" t="str">
        <x:v>TuShare index_daily</x:v>
      </x:c>
    </x:row>
    <x:row r="1136" ht="18" customHeight="1">
      <x:c r="A1136" s="13" t="n">
        <x:v>44280</x:v>
      </x:c>
      <x:c r="B1136" s="12" t="str">
        <x:v>000300.SH</x:v>
      </x:c>
      <x:c r="C1136" s="12" t="n">
        <x:v>4904.0683</x:v>
      </x:c>
      <x:c r="D1136" s="12" t="n">
        <x:v>4950.7608</x:v>
      </x:c>
      <x:c r="E1136" s="12" t="n">
        <x:v>4883.6615</x:v>
      </x:c>
      <x:c r="F1136" s="12" t="n">
        <x:v>4926.3469</x:v>
      </x:c>
      <x:c r="G1136" s="12" t="n">
        <x:v>4928.6853</x:v>
      </x:c>
      <x:c r="H1136" s="12" t="n">
        <x:v>-2.3384</x:v>
      </x:c>
      <x:c r="I1136" s="12" t="n">
        <x:v>-0.0474</x:v>
      </x:c>
      <x:c r="J1136" s="12" t="n">
        <x:v>-0.00047455959482012024</x:v>
      </x:c>
      <x:c r="K1136" s="12" t="n">
        <x:v>132945189</x:v>
      </x:c>
      <x:c r="L1136" s="12" t="n">
        <x:v>219782049.462</x:v>
      </x:c>
      <x:c r="M1136" s="12" t="str">
        <x:v>TuShare index_daily</x:v>
      </x:c>
    </x:row>
    <x:row r="1137" ht="18" customHeight="1">
      <x:c r="A1137" s="13" t="n">
        <x:v>44281</x:v>
      </x:c>
      <x:c r="B1137" s="12" t="str">
        <x:v>000300.SH</x:v>
      </x:c>
      <x:c r="C1137" s="12" t="n">
        <x:v>4953.9453</x:v>
      </x:c>
      <x:c r="D1137" s="12" t="n">
        <x:v>5050.8292</x:v>
      </x:c>
      <x:c r="E1137" s="12" t="n">
        <x:v>4953.9453</x:v>
      </x:c>
      <x:c r="F1137" s="12" t="n">
        <x:v>5037.9899</x:v>
      </x:c>
      <x:c r="G1137" s="12" t="n">
        <x:v>4926.3469</x:v>
      </x:c>
      <x:c r="H1137" s="12" t="n">
        <x:v>111.643</x:v>
      </x:c>
      <x:c r="I1137" s="12" t="n">
        <x:v>2.2662</x:v>
      </x:c>
      <x:c r="J1137" s="12" t="n">
        <x:v>0.022409453696508205</x:v>
      </x:c>
      <x:c r="K1137" s="12" t="n">
        <x:v>145926697</x:v>
      </x:c>
      <x:c r="L1137" s="12" t="n">
        <x:v>273901922.431</x:v>
      </x:c>
      <x:c r="M1137" s="12" t="str">
        <x:v>TuShare index_daily</x:v>
      </x:c>
    </x:row>
    <x:row r="1138" ht="18" customHeight="1">
      <x:c r="A1138" s="13" t="n">
        <x:v>44284</x:v>
      </x:c>
      <x:c r="B1138" s="12" t="str">
        <x:v>000300.SH</x:v>
      </x:c>
      <x:c r="C1138" s="12" t="n">
        <x:v>5052.2634</x:v>
      </x:c>
      <x:c r="D1138" s="12" t="n">
        <x:v>5086.6543</x:v>
      </x:c>
      <x:c r="E1138" s="12" t="n">
        <x:v>5010.3902</x:v>
      </x:c>
      <x:c r="F1138" s="12" t="n">
        <x:v>5046.8773</x:v>
      </x:c>
      <x:c r="G1138" s="12" t="n">
        <x:v>5037.9899</x:v>
      </x:c>
      <x:c r="H1138" s="12" t="n">
        <x:v>8.8874</x:v>
      </x:c>
      <x:c r="I1138" s="12" t="n">
        <x:v>0.1764</x:v>
      </x:c>
      <x:c r="J1138" s="12" t="n">
        <x:v>0.0017625224258213089</x:v>
      </x:c>
      <x:c r="K1138" s="12" t="n">
        <x:v>143388215</x:v>
      </x:c>
      <x:c r="L1138" s="12" t="n">
        <x:v>266176599.971</x:v>
      </x:c>
      <x:c r="M1138" s="12" t="str">
        <x:v>TuShare index_daily</x:v>
      </x:c>
    </x:row>
    <x:row r="1139" ht="18" customHeight="1">
      <x:c r="A1139" s="13" t="n">
        <x:v>44285</x:v>
      </x:c>
      <x:c r="B1139" s="12" t="str">
        <x:v>000300.SH</x:v>
      </x:c>
      <x:c r="C1139" s="12" t="n">
        <x:v>5043.0952</x:v>
      </x:c>
      <x:c r="D1139" s="12" t="n">
        <x:v>5106.0365</x:v>
      </x:c>
      <x:c r="E1139" s="12" t="n">
        <x:v>5032.795</x:v>
      </x:c>
      <x:c r="F1139" s="12" t="n">
        <x:v>5094.7291</x:v>
      </x:c>
      <x:c r="G1139" s="12" t="n">
        <x:v>5046.8773</x:v>
      </x:c>
      <x:c r="H1139" s="12" t="n">
        <x:v>47.8518</x:v>
      </x:c>
      <x:c r="I1139" s="12" t="n">
        <x:v>0.9481</x:v>
      </x:c>
      <x:c r="J1139" s="12" t="n">
        <x:v>0.00943679989640187</x:v>
      </x:c>
      <x:c r="K1139" s="12" t="n">
        <x:v>138618560</x:v>
      </x:c>
      <x:c r="L1139" s="12" t="n">
        <x:v>254928014.461</x:v>
      </x:c>
      <x:c r="M1139" s="12" t="str">
        <x:v>TuShare index_daily</x:v>
      </x:c>
    </x:row>
    <x:row r="1140" ht="18" customHeight="1">
      <x:c r="A1140" s="13" t="n">
        <x:v>44286</x:v>
      </x:c>
      <x:c r="B1140" s="12" t="str">
        <x:v>000300.SH</x:v>
      </x:c>
      <x:c r="C1140" s="12" t="n">
        <x:v>5085.9497</x:v>
      </x:c>
      <x:c r="D1140" s="12" t="n">
        <x:v>5085.9497</x:v>
      </x:c>
      <x:c r="E1140" s="12" t="n">
        <x:v>5015.607</x:v>
      </x:c>
      <x:c r="F1140" s="12" t="n">
        <x:v>5048.3607</x:v>
      </x:c>
      <x:c r="G1140" s="12" t="n">
        <x:v>5094.7291</x:v>
      </x:c>
      <x:c r="H1140" s="12" t="n">
        <x:v>-46.3684</x:v>
      </x:c>
      <x:c r="I1140" s="12" t="n">
        <x:v>-0.9101</x:v>
      </x:c>
      <x:c r="J1140" s="12" t="n">
        <x:v>-0.009142918759438923</x:v>
      </x:c>
      <x:c r="K1140" s="12" t="n">
        <x:v>141335743</x:v>
      </x:c>
      <x:c r="L1140" s="12" t="n">
        <x:v>241058485.554</x:v>
      </x:c>
      <x:c r="M1140" s="12" t="str">
        <x:v>TuShare index_daily</x:v>
      </x:c>
    </x:row>
    <x:row r="1141" ht="18" customHeight="1">
      <x:c r="A1141" s="13" t="n">
        <x:v>44287</x:v>
      </x:c>
      <x:c r="B1141" s="12" t="str">
        <x:v>000300.SH</x:v>
      </x:c>
      <x:c r="C1141" s="12" t="n">
        <x:v>5059.9359</x:v>
      </x:c>
      <x:c r="D1141" s="12" t="n">
        <x:v>5115.4286</x:v>
      </x:c>
      <x:c r="E1141" s="12" t="n">
        <x:v>5056.8718</x:v>
      </x:c>
      <x:c r="F1141" s="12" t="n">
        <x:v>5110.7768</x:v>
      </x:c>
      <x:c r="G1141" s="12" t="n">
        <x:v>5048.3607</x:v>
      </x:c>
      <x:c r="H1141" s="12" t="n">
        <x:v>62.4161</x:v>
      </x:c>
      <x:c r="I1141" s="12" t="n">
        <x:v>1.2364</x:v>
      </x:c>
      <x:c r="J1141" s="12" t="n">
        <x:v>0.012287831590583272</x:v>
      </x:c>
      <x:c r="K1141" s="12" t="n">
        <x:v>120324890</x:v>
      </x:c>
      <x:c r="L1141" s="12" t="n">
        <x:v>211493324.391</x:v>
      </x:c>
      <x:c r="M1141" s="12" t="str">
        <x:v>TuShare index_daily</x:v>
      </x:c>
    </x:row>
    <x:row r="1142" ht="18" customHeight="1">
      <x:c r="A1142" s="13" t="n">
        <x:v>44288</x:v>
      </x:c>
      <x:c r="B1142" s="12" t="str">
        <x:v>000300.SH</x:v>
      </x:c>
      <x:c r="C1142" s="12" t="n">
        <x:v>5129.8545</x:v>
      </x:c>
      <x:c r="D1142" s="12" t="n">
        <x:v>5169.8312</x:v>
      </x:c>
      <x:c r="E1142" s="12" t="n">
        <x:v>5116.3472</x:v>
      </x:c>
      <x:c r="F1142" s="12" t="n">
        <x:v>5161.5569</x:v>
      </x:c>
      <x:c r="G1142" s="12" t="n">
        <x:v>5110.7768</x:v>
      </x:c>
      <x:c r="H1142" s="12" t="n">
        <x:v>50.7801</x:v>
      </x:c>
      <x:c r="I1142" s="12" t="n">
        <x:v>0.9936</x:v>
      </x:c>
      <x:c r="J1142" s="12" t="n">
        <x:v>0.009886850471916106</x:v>
      </x:c>
      <x:c r="K1142" s="12" t="n">
        <x:v>127002254</x:v>
      </x:c>
      <x:c r="L1142" s="12" t="n">
        <x:v>248060376.224</x:v>
      </x:c>
      <x:c r="M1142" s="12" t="str">
        <x:v>TuShare index_daily</x:v>
      </x:c>
    </x:row>
    <x:row r="1143" ht="18" customHeight="1">
      <x:c r="A1143" s="13" t="n">
        <x:v>44292</x:v>
      </x:c>
      <x:c r="B1143" s="12" t="str">
        <x:v>000300.SH</x:v>
      </x:c>
      <x:c r="C1143" s="12" t="n">
        <x:v>5178.6401</x:v>
      </x:c>
      <x:c r="D1143" s="12" t="n">
        <x:v>5181.149</x:v>
      </x:c>
      <x:c r="E1143" s="12" t="n">
        <x:v>5125.3301</x:v>
      </x:c>
      <x:c r="F1143" s="12" t="n">
        <x:v>5140.3418</x:v>
      </x:c>
      <x:c r="G1143" s="12" t="n">
        <x:v>5161.5569</x:v>
      </x:c>
      <x:c r="H1143" s="12" t="n">
        <x:v>-21.2151</x:v>
      </x:c>
      <x:c r="I1143" s="12" t="n">
        <x:v>-0.411</x:v>
      </x:c>
      <x:c r="J1143" s="12" t="n">
        <x:v>-0.004118683479246685</x:v>
      </x:c>
      <x:c r="K1143" s="12" t="n">
        <x:v>109834210</x:v>
      </x:c>
      <x:c r="L1143" s="12" t="n">
        <x:v>213852444.065</x:v>
      </x:c>
      <x:c r="M1143" s="12" t="str">
        <x:v>TuShare index_daily</x:v>
      </x:c>
    </x:row>
    <x:row r="1144" ht="18" customHeight="1">
      <x:c r="A1144" s="13" t="n">
        <x:v>44293</x:v>
      </x:c>
      <x:c r="B1144" s="12" t="str">
        <x:v>000300.SH</x:v>
      </x:c>
      <x:c r="C1144" s="12" t="n">
        <x:v>5141.6556</x:v>
      </x:c>
      <x:c r="D1144" s="12" t="n">
        <x:v>5141.6556</x:v>
      </x:c>
      <x:c r="E1144" s="12" t="n">
        <x:v>5065.1932</x:v>
      </x:c>
      <x:c r="F1144" s="12" t="n">
        <x:v>5103.7428</x:v>
      </x:c>
      <x:c r="G1144" s="12" t="n">
        <x:v>5140.3418</x:v>
      </x:c>
      <x:c r="H1144" s="12" t="n">
        <x:v>-36.599</x:v>
      </x:c>
      <x:c r="I1144" s="12" t="n">
        <x:v>-0.712</x:v>
      </x:c>
      <x:c r="J1144" s="12" t="n">
        <x:v>-0.007145422387403772</x:v>
      </x:c>
      <x:c r="K1144" s="12" t="n">
        <x:v>145763748</x:v>
      </x:c>
      <x:c r="L1144" s="12" t="n">
        <x:v>246271190.297</x:v>
      </x:c>
      <x:c r="M1144" s="12" t="str">
        <x:v>TuShare index_daily</x:v>
      </x:c>
    </x:row>
    <x:row r="1145" ht="18" customHeight="1">
      <x:c r="A1145" s="13" t="n">
        <x:v>44294</x:v>
      </x:c>
      <x:c r="B1145" s="12" t="str">
        <x:v>000300.SH</x:v>
      </x:c>
      <x:c r="C1145" s="12" t="n">
        <x:v>5078.2627</x:v>
      </x:c>
      <x:c r="D1145" s="12" t="n">
        <x:v>5129.1318</x:v>
      </x:c>
      <x:c r="E1145" s="12" t="n">
        <x:v>5062.0725</x:v>
      </x:c>
      <x:c r="F1145" s="12" t="n">
        <x:v>5112.2086</x:v>
      </x:c>
      <x:c r="G1145" s="12" t="n">
        <x:v>5103.7428</x:v>
      </x:c>
      <x:c r="H1145" s="12" t="n">
        <x:v>8.4658</x:v>
      </x:c>
      <x:c r="I1145" s="12" t="n">
        <x:v>0.1659</x:v>
      </x:c>
      <x:c r="J1145" s="12" t="n">
        <x:v>0.0016573692662383715</x:v>
      </x:c>
      <x:c r="K1145" s="12" t="n">
        <x:v>141771047</x:v>
      </x:c>
      <x:c r="L1145" s="12" t="n">
        <x:v>228422004.675</x:v>
      </x:c>
      <x:c r="M1145" s="12" t="str">
        <x:v>TuShare index_daily</x:v>
      </x:c>
    </x:row>
    <x:row r="1146" ht="18" customHeight="1">
      <x:c r="A1146" s="13" t="n">
        <x:v>44295</x:v>
      </x:c>
      <x:c r="B1146" s="12" t="str">
        <x:v>000300.SH</x:v>
      </x:c>
      <x:c r="C1146" s="12" t="n">
        <x:v>5100.0422</x:v>
      </x:c>
      <x:c r="D1146" s="12" t="n">
        <x:v>5100.0422</x:v>
      </x:c>
      <x:c r="E1146" s="12" t="n">
        <x:v>5022.0926</x:v>
      </x:c>
      <x:c r="F1146" s="12" t="n">
        <x:v>5035.3374</x:v>
      </x:c>
      <x:c r="G1146" s="12" t="n">
        <x:v>5112.2086</x:v>
      </x:c>
      <x:c r="H1146" s="12" t="n">
        <x:v>-76.8712</x:v>
      </x:c>
      <x:c r="I1146" s="12" t="n">
        <x:v>-1.5037</x:v>
      </x:c>
      <x:c r="J1146" s="12" t="n">
        <x:v>-0.015150987340556255</x:v>
      </x:c>
      <x:c r="K1146" s="12" t="n">
        <x:v>128416509</x:v>
      </x:c>
      <x:c r="L1146" s="12" t="n">
        <x:v>221519791.678</x:v>
      </x:c>
      <x:c r="M1146" s="12" t="str">
        <x:v>TuShare index_daily</x:v>
      </x:c>
    </x:row>
    <x:row r="1147" ht="18" customHeight="1">
      <x:c r="A1147" s="13" t="n">
        <x:v>44298</x:v>
      </x:c>
      <x:c r="B1147" s="12" t="str">
        <x:v>000300.SH</x:v>
      </x:c>
      <x:c r="C1147" s="12" t="n">
        <x:v>5026.9791</x:v>
      </x:c>
      <x:c r="D1147" s="12" t="n">
        <x:v>5045.6018</x:v>
      </x:c>
      <x:c r="E1147" s="12" t="n">
        <x:v>4933.0126</x:v>
      </x:c>
      <x:c r="F1147" s="12" t="n">
        <x:v>4947.7459</x:v>
      </x:c>
      <x:c r="G1147" s="12" t="n">
        <x:v>5035.3374</x:v>
      </x:c>
      <x:c r="H1147" s="12" t="n">
        <x:v>-87.5915</x:v>
      </x:c>
      <x:c r="I1147" s="12" t="n">
        <x:v>-1.7395</x:v>
      </x:c>
      <x:c r="J1147" s="12" t="n">
        <x:v>-0.017548435719811403</x:v>
      </x:c>
      <x:c r="K1147" s="12" t="n">
        <x:v>152644314</x:v>
      </x:c>
      <x:c r="L1147" s="12" t="n">
        <x:v>267218195.773</x:v>
      </x:c>
      <x:c r="M1147" s="12" t="str">
        <x:v>TuShare index_daily</x:v>
      </x:c>
    </x:row>
    <x:row r="1148" ht="18" customHeight="1">
      <x:c r="A1148" s="13" t="n">
        <x:v>44299</x:v>
      </x:c>
      <x:c r="B1148" s="12" t="str">
        <x:v>000300.SH</x:v>
      </x:c>
      <x:c r="C1148" s="12" t="n">
        <x:v>4949.8074</x:v>
      </x:c>
      <x:c r="D1148" s="12" t="n">
        <x:v>4994.5404</x:v>
      </x:c>
      <x:c r="E1148" s="12" t="n">
        <x:v>4924.1979</x:v>
      </x:c>
      <x:c r="F1148" s="12" t="n">
        <x:v>4939.6438</x:v>
      </x:c>
      <x:c r="G1148" s="12" t="n">
        <x:v>4947.7459</x:v>
      </x:c>
      <x:c r="H1148" s="12" t="n">
        <x:v>-8.1021</x:v>
      </x:c>
      <x:c r="I1148" s="12" t="n">
        <x:v>-0.1638</x:v>
      </x:c>
      <x:c r="J1148" s="12" t="n">
        <x:v>-0.001638875792154115</x:v>
      </x:c>
      <x:c r="K1148" s="12" t="n">
        <x:v>132919358</x:v>
      </x:c>
      <x:c r="L1148" s="12" t="n">
        <x:v>225753230.649</x:v>
      </x:c>
      <x:c r="M1148" s="12" t="str">
        <x:v>TuShare index_daily</x:v>
      </x:c>
    </x:row>
    <x:row r="1149" ht="18" customHeight="1">
      <x:c r="A1149" s="13" t="n">
        <x:v>44300</x:v>
      </x:c>
      <x:c r="B1149" s="12" t="str">
        <x:v>000300.SH</x:v>
      </x:c>
      <x:c r="C1149" s="12" t="n">
        <x:v>4945.6857</x:v>
      </x:c>
      <x:c r="D1149" s="12" t="n">
        <x:v>4987.1191</x:v>
      </x:c>
      <x:c r="E1149" s="12" t="n">
        <x:v>4940.2686</x:v>
      </x:c>
      <x:c r="F1149" s="12" t="n">
        <x:v>4980.6279</x:v>
      </x:c>
      <x:c r="G1149" s="12" t="n">
        <x:v>4939.6438</x:v>
      </x:c>
      <x:c r="H1149" s="12" t="n">
        <x:v>40.9841</x:v>
      </x:c>
      <x:c r="I1149" s="12" t="n">
        <x:v>0.8297</x:v>
      </x:c>
      <x:c r="J1149" s="12" t="n">
        <x:v>0.0082627440889853</x:v>
      </x:c>
      <x:c r="K1149" s="12" t="n">
        <x:v>120860838</x:v>
      </x:c>
      <x:c r="L1149" s="12" t="n">
        <x:v>221036276.09</x:v>
      </x:c>
      <x:c r="M1149" s="12" t="str">
        <x:v>TuShare index_daily</x:v>
      </x:c>
    </x:row>
    <x:row r="1150" ht="18" customHeight="1">
      <x:c r="A1150" s="13" t="n">
        <x:v>44301</x:v>
      </x:c>
      <x:c r="B1150" s="12" t="str">
        <x:v>000300.SH</x:v>
      </x:c>
      <x:c r="C1150" s="12" t="n">
        <x:v>4969.9099</x:v>
      </x:c>
      <x:c r="D1150" s="12" t="n">
        <x:v>4969.9099</x:v>
      </x:c>
      <x:c r="E1150" s="12" t="n">
        <x:v>4900.3033</x:v>
      </x:c>
      <x:c r="F1150" s="12" t="n">
        <x:v>4948.9741</x:v>
      </x:c>
      <x:c r="G1150" s="12" t="n">
        <x:v>4980.6279</x:v>
      </x:c>
      <x:c r="H1150" s="12" t="n">
        <x:v>-31.6538</x:v>
      </x:c>
      <x:c r="I1150" s="12" t="n">
        <x:v>-0.6355</x:v>
      </x:c>
      <x:c r="J1150" s="12" t="n">
        <x:v>-0.0063756648503750565</x:v>
      </x:c>
      <x:c r="K1150" s="12" t="n">
        <x:v>108829384</x:v>
      </x:c>
      <x:c r="L1150" s="12" t="n">
        <x:v>213820884.104</x:v>
      </x:c>
      <x:c r="M1150" s="12" t="str">
        <x:v>TuShare index_daily</x:v>
      </x:c>
    </x:row>
    <x:row r="1151" ht="18" customHeight="1">
      <x:c r="A1151" s="13" t="n">
        <x:v>44302</x:v>
      </x:c>
      <x:c r="B1151" s="12" t="str">
        <x:v>000300.SH</x:v>
      </x:c>
      <x:c r="C1151" s="12" t="n">
        <x:v>4966.8999</x:v>
      </x:c>
      <x:c r="D1151" s="12" t="n">
        <x:v>4979.1731</x:v>
      </x:c>
      <x:c r="E1151" s="12" t="n">
        <x:v>4917.9596</x:v>
      </x:c>
      <x:c r="F1151" s="12" t="n">
        <x:v>4966.1811</x:v>
      </x:c>
      <x:c r="G1151" s="12" t="n">
        <x:v>4948.9741</x:v>
      </x:c>
      <x:c r="H1151" s="12" t="n">
        <x:v>17.207</x:v>
      </x:c>
      <x:c r="I1151" s="12" t="n">
        <x:v>0.3477</x:v>
      </x:c>
      <x:c r="J1151" s="12" t="n">
        <x:v>0.003470851827739531</x:v>
      </x:c>
      <x:c r="K1151" s="12" t="n">
        <x:v>111239924</x:v>
      </x:c>
      <x:c r="L1151" s="12" t="n">
        <x:v>213389173.714</x:v>
      </x:c>
      <x:c r="M1151" s="12" t="str">
        <x:v>TuShare index_daily</x:v>
      </x:c>
    </x:row>
    <x:row r="1152" ht="18" customHeight="1">
      <x:c r="A1152" s="13" t="n">
        <x:v>44305</x:v>
      </x:c>
      <x:c r="B1152" s="12" t="str">
        <x:v>000300.SH</x:v>
      </x:c>
      <x:c r="C1152" s="12" t="n">
        <x:v>4966.409</x:v>
      </x:c>
      <x:c r="D1152" s="12" t="n">
        <x:v>5088.2106</x:v>
      </x:c>
      <x:c r="E1152" s="12" t="n">
        <x:v>4940.7473</x:v>
      </x:c>
      <x:c r="F1152" s="12" t="n">
        <x:v>5087.0165</x:v>
      </x:c>
      <x:c r="G1152" s="12" t="n">
        <x:v>4966.1811</x:v>
      </x:c>
      <x:c r="H1152" s="12" t="n">
        <x:v>120.8354</x:v>
      </x:c>
      <x:c r="I1152" s="12" t="n">
        <x:v>2.4332</x:v>
      </x:c>
      <x:c r="J1152" s="12" t="n">
        <x:v>0.024040354994074857</x:v>
      </x:c>
      <x:c r="K1152" s="12" t="n">
        <x:v>154769824</x:v>
      </x:c>
      <x:c r="L1152" s="12" t="n">
        <x:v>307899776.738</x:v>
      </x:c>
      <x:c r="M1152" s="12" t="str">
        <x:v>TuShare index_daily</x:v>
      </x:c>
    </x:row>
    <x:row r="1153" ht="18" customHeight="1">
      <x:c r="A1153" s="13" t="n">
        <x:v>44306</x:v>
      </x:c>
      <x:c r="B1153" s="12" t="str">
        <x:v>000300.SH</x:v>
      </x:c>
      <x:c r="C1153" s="12" t="n">
        <x:v>5065.7757</x:v>
      </x:c>
      <x:c r="D1153" s="12" t="n">
        <x:v>5119.8586</x:v>
      </x:c>
      <x:c r="E1153" s="12" t="n">
        <x:v>5058.9247</x:v>
      </x:c>
      <x:c r="F1153" s="12" t="n">
        <x:v>5083.3654</x:v>
      </x:c>
      <x:c r="G1153" s="12" t="n">
        <x:v>5087.0165</x:v>
      </x:c>
      <x:c r="H1153" s="12" t="n">
        <x:v>-3.6511</x:v>
      </x:c>
      <x:c r="I1153" s="12" t="n">
        <x:v>-0.0718</x:v>
      </x:c>
      <x:c r="J1153" s="12" t="n">
        <x:v>-0.000717986835252842</x:v>
      </x:c>
      <x:c r="K1153" s="12" t="n">
        <x:v>136541700</x:v>
      </x:c>
      <x:c r="L1153" s="12" t="n">
        <x:v>276640588.159</x:v>
      </x:c>
      <x:c r="M1153" s="12" t="str">
        <x:v>TuShare index_daily</x:v>
      </x:c>
    </x:row>
    <x:row r="1154" ht="18" customHeight="1">
      <x:c r="A1154" s="13" t="n">
        <x:v>44307</x:v>
      </x:c>
      <x:c r="B1154" s="12" t="str">
        <x:v>000300.SH</x:v>
      </x:c>
      <x:c r="C1154" s="12" t="n">
        <x:v>5055.2398</x:v>
      </x:c>
      <x:c r="D1154" s="12" t="n">
        <x:v>5110.5623</x:v>
      </x:c>
      <x:c r="E1154" s="12" t="n">
        <x:v>5047.9916</x:v>
      </x:c>
      <x:c r="F1154" s="12" t="n">
        <x:v>5098.7449</x:v>
      </x:c>
      <x:c r="G1154" s="12" t="n">
        <x:v>5083.3654</x:v>
      </x:c>
      <x:c r="H1154" s="12" t="n">
        <x:v>15.3795</x:v>
      </x:c>
      <x:c r="I1154" s="12" t="n">
        <x:v>0.3025</x:v>
      </x:c>
      <x:c r="J1154" s="12" t="n">
        <x:v>0.00302088884183706</x:v>
      </x:c>
      <x:c r="K1154" s="12" t="n">
        <x:v>124637277</x:v>
      </x:c>
      <x:c r="L1154" s="12" t="n">
        <x:v>242574995.256</x:v>
      </x:c>
      <x:c r="M1154" s="12" t="str">
        <x:v>TuShare index_daily</x:v>
      </x:c>
    </x:row>
    <x:row r="1155" ht="18" customHeight="1">
      <x:c r="A1155" s="13" t="n">
        <x:v>44308</x:v>
      </x:c>
      <x:c r="B1155" s="12" t="str">
        <x:v>000300.SH</x:v>
      </x:c>
      <x:c r="C1155" s="12" t="n">
        <x:v>5114.2799</x:v>
      </x:c>
      <x:c r="D1155" s="12" t="n">
        <x:v>5119.2246</x:v>
      </x:c>
      <x:c r="E1155" s="12" t="n">
        <x:v>5067.1382</x:v>
      </x:c>
      <x:c r="F1155" s="12" t="n">
        <x:v>5089.2435</x:v>
      </x:c>
      <x:c r="G1155" s="12" t="n">
        <x:v>5098.7449</x:v>
      </x:c>
      <x:c r="H1155" s="12" t="n">
        <x:v>-9.5014</x:v>
      </x:c>
      <x:c r="I1155" s="12" t="n">
        <x:v>-0.1863</x:v>
      </x:c>
      <x:c r="J1155" s="12" t="n">
        <x:v>-0.0018652166417151464</x:v>
      </x:c>
      <x:c r="K1155" s="12" t="n">
        <x:v>121167645</x:v>
      </x:c>
      <x:c r="L1155" s="12" t="n">
        <x:v>241488845.756</x:v>
      </x:c>
      <x:c r="M1155" s="12" t="str">
        <x:v>TuShare index_daily</x:v>
      </x:c>
    </x:row>
    <x:row r="1156" ht="18" customHeight="1">
      <x:c r="A1156" s="13" t="n">
        <x:v>44309</x:v>
      </x:c>
      <x:c r="B1156" s="12" t="str">
        <x:v>000300.SH</x:v>
      </x:c>
      <x:c r="C1156" s="12" t="n">
        <x:v>5088.8263</x:v>
      </x:c>
      <x:c r="D1156" s="12" t="n">
        <x:v>5149.9825</x:v>
      </x:c>
      <x:c r="E1156" s="12" t="n">
        <x:v>5086.4914</x:v>
      </x:c>
      <x:c r="F1156" s="12" t="n">
        <x:v>5135.4534</x:v>
      </x:c>
      <x:c r="G1156" s="12" t="n">
        <x:v>5089.2435</x:v>
      </x:c>
      <x:c r="H1156" s="12" t="n">
        <x:v>46.2099</x:v>
      </x:c>
      <x:c r="I1156" s="12" t="n">
        <x:v>0.908</x:v>
      </x:c>
      <x:c r="J1156" s="12" t="n">
        <x:v>0.009038940728190753</x:v>
      </x:c>
      <x:c r="K1156" s="12" t="n">
        <x:v>122056991</x:v>
      </x:c>
      <x:c r="L1156" s="12" t="n">
        <x:v>264345183.119</x:v>
      </x:c>
      <x:c r="M1156" s="12" t="str">
        <x:v>TuShare index_daily</x:v>
      </x:c>
    </x:row>
    <x:row r="1157" ht="18" customHeight="1">
      <x:c r="A1157" s="13" t="n">
        <x:v>44312</x:v>
      </x:c>
      <x:c r="B1157" s="12" t="str">
        <x:v>000300.SH</x:v>
      </x:c>
      <x:c r="C1157" s="12" t="n">
        <x:v>5156.5941</x:v>
      </x:c>
      <x:c r="D1157" s="12" t="n">
        <x:v>5181.1066</x:v>
      </x:c>
      <x:c r="E1157" s="12" t="n">
        <x:v>5072.9585</x:v>
      </x:c>
      <x:c r="F1157" s="12" t="n">
        <x:v>5077.2372</x:v>
      </x:c>
      <x:c r="G1157" s="12" t="n">
        <x:v>5135.4534</x:v>
      </x:c>
      <x:c r="H1157" s="12" t="n">
        <x:v>-58.2162</x:v>
      </x:c>
      <x:c r="I1157" s="12" t="n">
        <x:v>-1.1336</x:v>
      </x:c>
      <x:c r="J1157" s="12" t="n">
        <x:v>-0.011400880112324985</x:v>
      </x:c>
      <x:c r="K1157" s="12" t="n">
        <x:v>151381967</x:v>
      </x:c>
      <x:c r="L1157" s="12" t="n">
        <x:v>325760384.278</x:v>
      </x:c>
      <x:c r="M1157" s="12" t="str">
        <x:v>TuShare index_daily</x:v>
      </x:c>
    </x:row>
    <x:row r="1158" ht="18" customHeight="1">
      <x:c r="A1158" s="13" t="n">
        <x:v>44313</x:v>
      </x:c>
      <x:c r="B1158" s="12" t="str">
        <x:v>000300.SH</x:v>
      </x:c>
      <x:c r="C1158" s="12" t="n">
        <x:v>5076.6415</x:v>
      </x:c>
      <x:c r="D1158" s="12" t="n">
        <x:v>5095.9842</x:v>
      </x:c>
      <x:c r="E1158" s="12" t="n">
        <x:v>5042.6099</x:v>
      </x:c>
      <x:c r="F1158" s="12" t="n">
        <x:v>5090.5195</x:v>
      </x:c>
      <x:c r="G1158" s="12" t="n">
        <x:v>5077.2372</x:v>
      </x:c>
      <x:c r="H1158" s="12" t="n">
        <x:v>13.2823</x:v>
      </x:c>
      <x:c r="I1158" s="12" t="n">
        <x:v>0.2616</x:v>
      </x:c>
      <x:c r="J1158" s="12" t="n">
        <x:v>0.002612632844617457</x:v>
      </x:c>
      <x:c r="K1158" s="12" t="n">
        <x:v>123961837</x:v>
      </x:c>
      <x:c r="L1158" s="12" t="n">
        <x:v>254738009.834</x:v>
      </x:c>
      <x:c r="M1158" s="12" t="str">
        <x:v>TuShare index_daily</x:v>
      </x:c>
    </x:row>
    <x:row r="1159" ht="18" customHeight="1">
      <x:c r="A1159" s="13" t="n">
        <x:v>44314</x:v>
      </x:c>
      <x:c r="B1159" s="12" t="str">
        <x:v>000300.SH</x:v>
      </x:c>
      <x:c r="C1159" s="12" t="n">
        <x:v>5073.9728</x:v>
      </x:c>
      <x:c r="D1159" s="12" t="n">
        <x:v>5119.4455</x:v>
      </x:c>
      <x:c r="E1159" s="12" t="n">
        <x:v>5059.2628</x:v>
      </x:c>
      <x:c r="F1159" s="12" t="n">
        <x:v>5119.2421</x:v>
      </x:c>
      <x:c r="G1159" s="12" t="n">
        <x:v>5090.5195</x:v>
      </x:c>
      <x:c r="H1159" s="12" t="n">
        <x:v>28.7226</x:v>
      </x:c>
      <x:c r="I1159" s="12" t="n">
        <x:v>0.5642</x:v>
      </x:c>
      <x:c r="J1159" s="12" t="n">
        <x:v>0.005626512527797331</x:v>
      </x:c>
      <x:c r="K1159" s="12" t="n">
        <x:v>120620318</x:v>
      </x:c>
      <x:c r="L1159" s="12" t="n">
        <x:v>272182521.893</x:v>
      </x:c>
      <x:c r="M1159" s="12" t="str">
        <x:v>TuShare index_daily</x:v>
      </x:c>
    </x:row>
    <x:row r="1160" ht="18" customHeight="1">
      <x:c r="A1160" s="13" t="n">
        <x:v>44315</x:v>
      </x:c>
      <x:c r="B1160" s="12" t="str">
        <x:v>000300.SH</x:v>
      </x:c>
      <x:c r="C1160" s="12" t="n">
        <x:v>5128.2795</x:v>
      </x:c>
      <x:c r="D1160" s="12" t="n">
        <x:v>5170.5852</x:v>
      </x:c>
      <x:c r="E1160" s="12" t="n">
        <x:v>5113.6484</x:v>
      </x:c>
      <x:c r="F1160" s="12" t="n">
        <x:v>5164.1692</x:v>
      </x:c>
      <x:c r="G1160" s="12" t="n">
        <x:v>5119.2421</x:v>
      </x:c>
      <x:c r="H1160" s="12" t="n">
        <x:v>44.9271</x:v>
      </x:c>
      <x:c r="I1160" s="12" t="n">
        <x:v>0.8776</x:v>
      </x:c>
      <x:c r="J1160" s="12" t="n">
        <x:v>0.008737836995305902</x:v>
      </x:c>
      <x:c r="K1160" s="12" t="n">
        <x:v>140092480</x:v>
      </x:c>
      <x:c r="L1160" s="12" t="n">
        <x:v>294112454.366</x:v>
      </x:c>
      <x:c r="M1160" s="12" t="str">
        <x:v>TuShare index_daily</x:v>
      </x:c>
    </x:row>
    <x:row r="1161" ht="18" customHeight="1">
      <x:c r="A1161" s="13" t="n">
        <x:v>44316</x:v>
      </x:c>
      <x:c r="B1161" s="12" t="str">
        <x:v>000300.SH</x:v>
      </x:c>
      <x:c r="C1161" s="12" t="n">
        <x:v>5156.3557</x:v>
      </x:c>
      <x:c r="D1161" s="12" t="n">
        <x:v>5163.2517</x:v>
      </x:c>
      <x:c r="E1161" s="12" t="n">
        <x:v>5094.9285</x:v>
      </x:c>
      <x:c r="F1161" s="12" t="n">
        <x:v>5123.489</x:v>
      </x:c>
      <x:c r="G1161" s="12" t="n">
        <x:v>5164.1692</x:v>
      </x:c>
      <x:c r="H1161" s="12" t="n">
        <x:v>-40.6802</x:v>
      </x:c>
      <x:c r="I1161" s="12" t="n">
        <x:v>-0.7877</x:v>
      </x:c>
      <x:c r="J1161" s="12" t="n">
        <x:v>-0.007908585460357973</x:v>
      </x:c>
      <x:c r="K1161" s="12" t="n">
        <x:v>160121621</x:v>
      </x:c>
      <x:c r="L1161" s="12" t="n">
        <x:v>315075102.885</x:v>
      </x:c>
      <x:c r="M1161" s="12" t="str">
        <x:v>TuShare index_daily</x:v>
      </x:c>
    </x:row>
    <x:row r="1162" ht="18" customHeight="1">
      <x:c r="A1162" s="13" t="n">
        <x:v>44322</x:v>
      </x:c>
      <x:c r="B1162" s="12" t="str">
        <x:v>000300.SH</x:v>
      </x:c>
      <x:c r="C1162" s="12" t="n">
        <x:v>5098.8006</x:v>
      </x:c>
      <x:c r="D1162" s="12" t="n">
        <x:v>5132.8986</x:v>
      </x:c>
      <x:c r="E1162" s="12" t="n">
        <x:v>5037.4083</x:v>
      </x:c>
      <x:c r="F1162" s="12" t="n">
        <x:v>5061.1244</x:v>
      </x:c>
      <x:c r="G1162" s="12" t="n">
        <x:v>5123.489</x:v>
      </x:c>
      <x:c r="H1162" s="12" t="n">
        <x:v>-62.3646</x:v>
      </x:c>
      <x:c r="I1162" s="12" t="n">
        <x:v>-1.2172</x:v>
      </x:c>
      <x:c r="J1162" s="12" t="n">
        <x:v>-0.012246980233125798</x:v>
      </x:c>
      <x:c r="K1162" s="12" t="n">
        <x:v>158822630</x:v>
      </x:c>
      <x:c r="L1162" s="12" t="n">
        <x:v>323258264.642</x:v>
      </x:c>
      <x:c r="M1162" s="12" t="str">
        <x:v>TuShare index_daily</x:v>
      </x:c>
    </x:row>
    <x:row r="1163" ht="18" customHeight="1">
      <x:c r="A1163" s="13" t="n">
        <x:v>44323</x:v>
      </x:c>
      <x:c r="B1163" s="12" t="str">
        <x:v>000300.SH</x:v>
      </x:c>
      <x:c r="C1163" s="12" t="n">
        <x:v>5073.4554</x:v>
      </x:c>
      <x:c r="D1163" s="12" t="n">
        <x:v>5093.7471</x:v>
      </x:c>
      <x:c r="E1163" s="12" t="n">
        <x:v>4996.037</x:v>
      </x:c>
      <x:c r="F1163" s="12" t="n">
        <x:v>4996.0527</x:v>
      </x:c>
      <x:c r="G1163" s="12" t="n">
        <x:v>5061.1244</x:v>
      </x:c>
      <x:c r="H1163" s="12" t="n">
        <x:v>-65.0717</x:v>
      </x:c>
      <x:c r="I1163" s="12" t="n">
        <x:v>-1.2857</x:v>
      </x:c>
      <x:c r="J1163" s="12" t="n">
        <x:v>-0.012940531405912142</x:v>
      </x:c>
      <x:c r="K1163" s="12" t="n">
        <x:v>172258321</x:v>
      </x:c>
      <x:c r="L1163" s="12" t="n">
        <x:v>304638402.155</x:v>
      </x:c>
      <x:c r="M1163" s="12" t="str">
        <x:v>TuShare index_daily</x:v>
      </x:c>
    </x:row>
    <x:row r="1164" ht="18" customHeight="1">
      <x:c r="A1164" s="13" t="n">
        <x:v>44326</x:v>
      </x:c>
      <x:c r="B1164" s="12" t="str">
        <x:v>000300.SH</x:v>
      </x:c>
      <x:c r="C1164" s="12" t="n">
        <x:v>5001.4371</x:v>
      </x:c>
      <x:c r="D1164" s="12" t="n">
        <x:v>5019.3927</x:v>
      </x:c>
      <x:c r="E1164" s="12" t="n">
        <x:v>4953.6965</x:v>
      </x:c>
      <x:c r="F1164" s="12" t="n">
        <x:v>4992.422</x:v>
      </x:c>
      <x:c r="G1164" s="12" t="n">
        <x:v>4996.0527</x:v>
      </x:c>
      <x:c r="H1164" s="12" t="n">
        <x:v>-3.6307</x:v>
      </x:c>
      <x:c r="I1164" s="12" t="n">
        <x:v>-0.0727</x:v>
      </x:c>
      <x:c r="J1164" s="12" t="n">
        <x:v>-0.0007269778958146385</x:v>
      </x:c>
      <x:c r="K1164" s="12" t="n">
        <x:v>170820585</x:v>
      </x:c>
      <x:c r="L1164" s="12" t="n">
        <x:v>282656808.853</x:v>
      </x:c>
      <x:c r="M1164" s="12" t="str">
        <x:v>TuShare index_daily</x:v>
      </x:c>
    </x:row>
    <x:row r="1165" ht="18" customHeight="1">
      <x:c r="A1165" s="13" t="n">
        <x:v>44327</x:v>
      </x:c>
      <x:c r="B1165" s="12" t="str">
        <x:v>000300.SH</x:v>
      </x:c>
      <x:c r="C1165" s="12" t="n">
        <x:v>4956.0794</x:v>
      </x:c>
      <x:c r="D1165" s="12" t="n">
        <x:v>5033.4938</x:v>
      </x:c>
      <x:c r="E1165" s="12" t="n">
        <x:v>4925.9152</x:v>
      </x:c>
      <x:c r="F1165" s="12" t="n">
        <x:v>5023.0595</x:v>
      </x:c>
      <x:c r="G1165" s="12" t="n">
        <x:v>4992.422</x:v>
      </x:c>
      <x:c r="H1165" s="12" t="n">
        <x:v>30.6375</x:v>
      </x:c>
      <x:c r="I1165" s="12" t="n">
        <x:v>0.6137</x:v>
      </x:c>
      <x:c r="J1165" s="12" t="n">
        <x:v>0.006118047457768018</x:v>
      </x:c>
      <x:c r="K1165" s="12" t="n">
        <x:v>151526497</x:v>
      </x:c>
      <x:c r="L1165" s="12" t="n">
        <x:v>270931616.513</x:v>
      </x:c>
      <x:c r="M1165" s="12" t="str">
        <x:v>TuShare index_daily</x:v>
      </x:c>
    </x:row>
    <x:row r="1166" ht="18" customHeight="1">
      <x:c r="A1166" s="13" t="n">
        <x:v>44328</x:v>
      </x:c>
      <x:c r="B1166" s="12" t="str">
        <x:v>000300.SH</x:v>
      </x:c>
      <x:c r="C1166" s="12" t="n">
        <x:v>5003.8171</x:v>
      </x:c>
      <x:c r="D1166" s="12" t="n">
        <x:v>5051.1682</x:v>
      </x:c>
      <x:c r="E1166" s="12" t="n">
        <x:v>4995.4048</x:v>
      </x:c>
      <x:c r="F1166" s="12" t="n">
        <x:v>5044.5481</x:v>
      </x:c>
      <x:c r="G1166" s="12" t="n">
        <x:v>5023.0595</x:v>
      </x:c>
      <x:c r="H1166" s="12" t="n">
        <x:v>21.4886</x:v>
      </x:c>
      <x:c r="I1166" s="12" t="n">
        <x:v>0.4278</x:v>
      </x:c>
      <x:c r="J1166" s="12" t="n">
        <x:v>0.004268865749714823</x:v>
      </x:c>
      <x:c r="K1166" s="12" t="n">
        <x:v>126619086</x:v>
      </x:c>
      <x:c r="L1166" s="12" t="n">
        <x:v>228344006.493</x:v>
      </x:c>
      <x:c r="M1166" s="12" t="str">
        <x:v>TuShare index_daily</x:v>
      </x:c>
    </x:row>
    <x:row r="1167" ht="18" customHeight="1">
      <x:c r="A1167" s="13" t="n">
        <x:v>44329</x:v>
      </x:c>
      <x:c r="B1167" s="12" t="str">
        <x:v>000300.SH</x:v>
      </x:c>
      <x:c r="C1167" s="12" t="n">
        <x:v>4992.3519</x:v>
      </x:c>
      <x:c r="D1167" s="12" t="n">
        <x:v>5022.0836</x:v>
      </x:c>
      <x:c r="E1167" s="12" t="n">
        <x:v>4975.4462</x:v>
      </x:c>
      <x:c r="F1167" s="12" t="n">
        <x:v>4992.9738</x:v>
      </x:c>
      <x:c r="G1167" s="12" t="n">
        <x:v>5044.5481</x:v>
      </x:c>
      <x:c r="H1167" s="12" t="n">
        <x:v>-51.5743</x:v>
      </x:c>
      <x:c r="I1167" s="12" t="n">
        <x:v>-1.0224</x:v>
      </x:c>
      <x:c r="J1167" s="12" t="n">
        <x:v>-0.010276391799696024</x:v>
      </x:c>
      <x:c r="K1167" s="12" t="n">
        <x:v>132279406</x:v>
      </x:c>
      <x:c r="L1167" s="12" t="n">
        <x:v>237821404.345</x:v>
      </x:c>
      <x:c r="M1167" s="12" t="str">
        <x:v>TuShare index_daily</x:v>
      </x:c>
    </x:row>
    <x:row r="1168" ht="18" customHeight="1">
      <x:c r="A1168" s="13" t="n">
        <x:v>44330</x:v>
      </x:c>
      <x:c r="B1168" s="12" t="str">
        <x:v>000300.SH</x:v>
      </x:c>
      <x:c r="C1168" s="12" t="n">
        <x:v>5007.6286</x:v>
      </x:c>
      <x:c r="D1168" s="12" t="n">
        <x:v>5112.9838</x:v>
      </x:c>
      <x:c r="E1168" s="12" t="n">
        <x:v>4981.2948</x:v>
      </x:c>
      <x:c r="F1168" s="12" t="n">
        <x:v>5110.5901</x:v>
      </x:c>
      <x:c r="G1168" s="12" t="n">
        <x:v>4992.9738</x:v>
      </x:c>
      <x:c r="H1168" s="12" t="n">
        <x:v>117.6163</x:v>
      </x:c>
      <x:c r="I1168" s="12" t="n">
        <x:v>2.3556</x:v>
      </x:c>
      <x:c r="J1168" s="12" t="n">
        <x:v>0.023283192842009297</x:v>
      </x:c>
      <x:c r="K1168" s="12" t="n">
        <x:v>159426180</x:v>
      </x:c>
      <x:c r="L1168" s="12" t="n">
        <x:v>318802786.823</x:v>
      </x:c>
      <x:c r="M1168" s="12" t="str">
        <x:v>TuShare index_daily</x:v>
      </x:c>
    </x:row>
    <x:row r="1169" ht="18" customHeight="1">
      <x:c r="A1169" s="13" t="n">
        <x:v>44333</x:v>
      </x:c>
      <x:c r="B1169" s="12" t="str">
        <x:v>000300.SH</x:v>
      </x:c>
      <x:c r="C1169" s="12" t="n">
        <x:v>5115.3063</x:v>
      </x:c>
      <x:c r="D1169" s="12" t="n">
        <x:v>5206.6947</x:v>
      </x:c>
      <x:c r="E1169" s="12" t="n">
        <x:v>5115.3063</x:v>
      </x:c>
      <x:c r="F1169" s="12" t="n">
        <x:v>5184.9853</x:v>
      </x:c>
      <x:c r="G1169" s="12" t="n">
        <x:v>5110.5901</x:v>
      </x:c>
      <x:c r="H1169" s="12" t="n">
        <x:v>74.3952</x:v>
      </x:c>
      <x:c r="I1169" s="12" t="n">
        <x:v>1.4557</x:v>
      </x:c>
      <x:c r="J1169" s="12" t="n">
        <x:v>0.014452129575788978</x:v>
      </x:c>
      <x:c r="K1169" s="12" t="n">
        <x:v>153889634</x:v>
      </x:c>
      <x:c r="L1169" s="12" t="n">
        <x:v>335439913.424</x:v>
      </x:c>
      <x:c r="M1169" s="12" t="str">
        <x:v>TuShare index_daily</x:v>
      </x:c>
    </x:row>
    <x:row r="1170" ht="18" customHeight="1">
      <x:c r="A1170" s="13" t="n">
        <x:v>44334</x:v>
      </x:c>
      <x:c r="B1170" s="12" t="str">
        <x:v>000300.SH</x:v>
      </x:c>
      <x:c r="C1170" s="12" t="n">
        <x:v>5190.9345</x:v>
      </x:c>
      <x:c r="D1170" s="12" t="n">
        <x:v>5201.6721</x:v>
      </x:c>
      <x:c r="E1170" s="12" t="n">
        <x:v>5156.7924</x:v>
      </x:c>
      <x:c r="F1170" s="12" t="n">
        <x:v>5187.6013</x:v>
      </x:c>
      <x:c r="G1170" s="12" t="n">
        <x:v>5184.9853</x:v>
      </x:c>
      <x:c r="H1170" s="12" t="n">
        <x:v>2.616</x:v>
      </x:c>
      <x:c r="I1170" s="12" t="n">
        <x:v>0.0505</x:v>
      </x:c>
      <x:c r="J1170" s="12" t="n">
        <x:v>0.0005044065007787606</x:v>
      </x:c>
      <x:c r="K1170" s="12" t="n">
        <x:v>118404261</x:v>
      </x:c>
      <x:c r="L1170" s="12" t="n">
        <x:v>238182265.922</x:v>
      </x:c>
      <x:c r="M1170" s="12" t="str">
        <x:v>TuShare index_daily</x:v>
      </x:c>
    </x:row>
    <x:row r="1171" ht="18" customHeight="1">
      <x:c r="A1171" s="13" t="n">
        <x:v>44335</x:v>
      </x:c>
      <x:c r="B1171" s="12" t="str">
        <x:v>000300.SH</x:v>
      </x:c>
      <x:c r="C1171" s="12" t="n">
        <x:v>5173.1666</x:v>
      </x:c>
      <x:c r="D1171" s="12" t="n">
        <x:v>5193.5574</x:v>
      </x:c>
      <x:c r="E1171" s="12" t="n">
        <x:v>5151.6392</x:v>
      </x:c>
      <x:c r="F1171" s="12" t="n">
        <x:v>5172.272</x:v>
      </x:c>
      <x:c r="G1171" s="12" t="n">
        <x:v>5187.6013</x:v>
      </x:c>
      <x:c r="H1171" s="12" t="n">
        <x:v>-15.3293</x:v>
      </x:c>
      <x:c r="I1171" s="12" t="n">
        <x:v>-0.2955</x:v>
      </x:c>
      <x:c r="J1171" s="12" t="n">
        <x:v>-0.002959362676300788</x:v>
      </x:c>
      <x:c r="K1171" s="12" t="n">
        <x:v>118729983</x:v>
      </x:c>
      <x:c r="L1171" s="12" t="n">
        <x:v>250736278.156</x:v>
      </x:c>
      <x:c r="M1171" s="12" t="str">
        <x:v>TuShare index_daily</x:v>
      </x:c>
    </x:row>
    <x:row r="1172" ht="18" customHeight="1">
      <x:c r="A1172" s="13" t="n">
        <x:v>44336</x:v>
      </x:c>
      <x:c r="B1172" s="12" t="str">
        <x:v>000300.SH</x:v>
      </x:c>
      <x:c r="C1172" s="12" t="n">
        <x:v>5167.0546</x:v>
      </x:c>
      <x:c r="D1172" s="12" t="n">
        <x:v>5201.5935</x:v>
      </x:c>
      <x:c r="E1172" s="12" t="n">
        <x:v>5152.0358</x:v>
      </x:c>
      <x:c r="F1172" s="12" t="n">
        <x:v>5186.412</x:v>
      </x:c>
      <x:c r="G1172" s="12" t="n">
        <x:v>5172.272</x:v>
      </x:c>
      <x:c r="H1172" s="12" t="n">
        <x:v>14.14</x:v>
      </x:c>
      <x:c r="I1172" s="12" t="n">
        <x:v>0.2734</x:v>
      </x:c>
      <x:c r="J1172" s="12" t="n">
        <x:v>0.002730078218913397</x:v>
      </x:c>
      <x:c r="K1172" s="12" t="n">
        <x:v>138454775</x:v>
      </x:c>
      <x:c r="L1172" s="12" t="n">
        <x:v>277088462.047</x:v>
      </x:c>
      <x:c r="M1172" s="12" t="str">
        <x:v>TuShare index_daily</x:v>
      </x:c>
    </x:row>
    <x:row r="1173" ht="18" customHeight="1">
      <x:c r="A1173" s="13" t="n">
        <x:v>44337</x:v>
      </x:c>
      <x:c r="B1173" s="12" t="str">
        <x:v>000300.SH</x:v>
      </x:c>
      <x:c r="C1173" s="12" t="n">
        <x:v>5199.1285</x:v>
      </x:c>
      <x:c r="D1173" s="12" t="n">
        <x:v>5216.1615</x:v>
      </x:c>
      <x:c r="E1173" s="12" t="n">
        <x:v>5123.1171</x:v>
      </x:c>
      <x:c r="F1173" s="12" t="n">
        <x:v>5134.1483</x:v>
      </x:c>
      <x:c r="G1173" s="12" t="n">
        <x:v>5186.412</x:v>
      </x:c>
      <x:c r="H1173" s="12" t="n">
        <x:v>-52.2637</x:v>
      </x:c>
      <x:c r="I1173" s="12" t="n">
        <x:v>-1.0077</x:v>
      </x:c>
      <x:c r="J1173" s="12" t="n">
        <x:v>-0.010128160728869793</x:v>
      </x:c>
      <x:c r="K1173" s="12" t="n">
        <x:v>124768485</x:v>
      </x:c>
      <x:c r="L1173" s="12" t="n">
        <x:v>268053627.531</x:v>
      </x:c>
      <x:c r="M1173" s="12" t="str">
        <x:v>TuShare index_daily</x:v>
      </x:c>
    </x:row>
    <x:row r="1174" ht="18" customHeight="1">
      <x:c r="A1174" s="13" t="n">
        <x:v>44340</x:v>
      </x:c>
      <x:c r="B1174" s="12" t="str">
        <x:v>000300.SH</x:v>
      </x:c>
      <x:c r="C1174" s="12" t="n">
        <x:v>5138.8149</x:v>
      </x:c>
      <x:c r="D1174" s="12" t="n">
        <x:v>5155.5875</x:v>
      </x:c>
      <x:c r="E1174" s="12" t="n">
        <x:v>5092.3894</x:v>
      </x:c>
      <x:c r="F1174" s="12" t="n">
        <x:v>5155.5875</x:v>
      </x:c>
      <x:c r="G1174" s="12" t="n">
        <x:v>5134.1483</x:v>
      </x:c>
      <x:c r="H1174" s="12" t="n">
        <x:v>21.4392</x:v>
      </x:c>
      <x:c r="I1174" s="12" t="n">
        <x:v>0.4176</x:v>
      </x:c>
      <x:c r="J1174" s="12" t="n">
        <x:v>0.004167110106744392</x:v>
      </x:c>
      <x:c r="K1174" s="12" t="n">
        <x:v>126742336</x:v>
      </x:c>
      <x:c r="L1174" s="12" t="n">
        <x:v>278513133.226</x:v>
      </x:c>
      <x:c r="M1174" s="12" t="str">
        <x:v>TuShare index_daily</x:v>
      </x:c>
    </x:row>
    <x:row r="1175" ht="18" customHeight="1">
      <x:c r="A1175" s="13" t="n">
        <x:v>44341</x:v>
      </x:c>
      <x:c r="B1175" s="12" t="str">
        <x:v>000300.SH</x:v>
      </x:c>
      <x:c r="C1175" s="12" t="n">
        <x:v>5165.0361</x:v>
      </x:c>
      <x:c r="D1175" s="12" t="n">
        <x:v>5324.3609</x:v>
      </x:c>
      <x:c r="E1175" s="12" t="n">
        <x:v>5161.5238</x:v>
      </x:c>
      <x:c r="F1175" s="12" t="n">
        <x:v>5318.478</x:v>
      </x:c>
      <x:c r="G1175" s="12" t="n">
        <x:v>5155.5875</x:v>
      </x:c>
      <x:c r="H1175" s="12" t="n">
        <x:v>162.8905</x:v>
      </x:c>
      <x:c r="I1175" s="12" t="n">
        <x:v>3.1595</x:v>
      </x:c>
      <x:c r="J1175" s="12" t="n">
        <x:v>0.031106094198889784</x:v>
      </x:c>
      <x:c r="K1175" s="12" t="n">
        <x:v>182996839</x:v>
      </x:c>
      <x:c r="L1175" s="12" t="n">
        <x:v>404683305.641</x:v>
      </x:c>
      <x:c r="M1175" s="12" t="str">
        <x:v>TuShare index_daily</x:v>
      </x:c>
    </x:row>
    <x:row r="1176" ht="18" customHeight="1">
      <x:c r="A1176" s="13" t="n">
        <x:v>44342</x:v>
      </x:c>
      <x:c r="B1176" s="12" t="str">
        <x:v>000300.SH</x:v>
      </x:c>
      <x:c r="C1176" s="12" t="n">
        <x:v>5326.1169</x:v>
      </x:c>
      <x:c r="D1176" s="12" t="n">
        <x:v>5344.2837</x:v>
      </x:c>
      <x:c r="E1176" s="12" t="n">
        <x:v>5308.7389</x:v>
      </x:c>
      <x:c r="F1176" s="12" t="n">
        <x:v>5320.5927</x:v>
      </x:c>
      <x:c r="G1176" s="12" t="n">
        <x:v>5318.478</x:v>
      </x:c>
      <x:c r="H1176" s="12" t="n">
        <x:v>2.1147</x:v>
      </x:c>
      <x:c r="I1176" s="12" t="n">
        <x:v>0.0398</x:v>
      </x:c>
      <x:c r="J1176" s="12" t="n">
        <x:v>0.0003975347260076317</x:v>
      </x:c>
      <x:c r="K1176" s="12" t="n">
        <x:v>169607096</x:v>
      </x:c>
      <x:c r="L1176" s="12" t="n">
        <x:v>346444644.793</x:v>
      </x:c>
      <x:c r="M1176" s="12" t="str">
        <x:v>TuShare index_daily</x:v>
      </x:c>
    </x:row>
    <x:row r="1177" ht="18" customHeight="1">
      <x:c r="A1177" s="13" t="n">
        <x:v>44343</x:v>
      </x:c>
      <x:c r="B1177" s="12" t="str">
        <x:v>000300.SH</x:v>
      </x:c>
      <x:c r="C1177" s="12" t="n">
        <x:v>5311.3726</x:v>
      </x:c>
      <x:c r="D1177" s="12" t="n">
        <x:v>5378.4764</x:v>
      </x:c>
      <x:c r="E1177" s="12" t="n">
        <x:v>5286.05</x:v>
      </x:c>
      <x:c r="F1177" s="12" t="n">
        <x:v>5338.2329</x:v>
      </x:c>
      <x:c r="G1177" s="12" t="n">
        <x:v>5320.5927</x:v>
      </x:c>
      <x:c r="H1177" s="12" t="n">
        <x:v>17.6402</x:v>
      </x:c>
      <x:c r="I1177" s="12" t="n">
        <x:v>0.3315</x:v>
      </x:c>
      <x:c r="J1177" s="12" t="n">
        <x:v>0.00330997368141398</x:v>
      </x:c>
      <x:c r="K1177" s="12" t="n">
        <x:v>148462855</x:v>
      </x:c>
      <x:c r="L1177" s="12" t="n">
        <x:v>311893705.935</x:v>
      </x:c>
      <x:c r="M1177" s="12" t="str">
        <x:v>TuShare index_daily</x:v>
      </x:c>
    </x:row>
    <x:row r="1178" ht="18" customHeight="1">
      <x:c r="A1178" s="13" t="n">
        <x:v>44344</x:v>
      </x:c>
      <x:c r="B1178" s="12" t="str">
        <x:v>000300.SH</x:v>
      </x:c>
      <x:c r="C1178" s="12" t="n">
        <x:v>5338.7278</x:v>
      </x:c>
      <x:c r="D1178" s="12" t="n">
        <x:v>5360.2774</x:v>
      </x:c>
      <x:c r="E1178" s="12" t="n">
        <x:v>5288.6515</x:v>
      </x:c>
      <x:c r="F1178" s="12" t="n">
        <x:v>5321.0886</x:v>
      </x:c>
      <x:c r="G1178" s="12" t="n">
        <x:v>5338.2329</x:v>
      </x:c>
      <x:c r="H1178" s="12" t="n">
        <x:v>-17.1443</x:v>
      </x:c>
      <x:c r="I1178" s="12" t="n">
        <x:v>-0.3212</x:v>
      </x:c>
      <x:c r="J1178" s="12" t="n">
        <x:v>-0.003216774122739079</x:v>
      </x:c>
      <x:c r="K1178" s="12" t="n">
        <x:v>164605806</x:v>
      </x:c>
      <x:c r="L1178" s="12" t="n">
        <x:v>330711896.344</x:v>
      </x:c>
      <x:c r="M1178" s="12" t="str">
        <x:v>TuShare index_daily</x:v>
      </x:c>
    </x:row>
    <x:row r="1179" ht="18" customHeight="1">
      <x:c r="A1179" s="13" t="n">
        <x:v>44347</x:v>
      </x:c>
      <x:c r="B1179" s="12" t="str">
        <x:v>000300.SH</x:v>
      </x:c>
      <x:c r="C1179" s="12" t="n">
        <x:v>5318.0825</x:v>
      </x:c>
      <x:c r="D1179" s="12" t="n">
        <x:v>5331.6294</x:v>
      </x:c>
      <x:c r="E1179" s="12" t="n">
        <x:v>5281.6851</x:v>
      </x:c>
      <x:c r="F1179" s="12" t="n">
        <x:v>5331.5696</x:v>
      </x:c>
      <x:c r="G1179" s="12" t="n">
        <x:v>5321.0886</x:v>
      </x:c>
      <x:c r="H1179" s="12" t="n">
        <x:v>10.481</x:v>
      </x:c>
      <x:c r="I1179" s="12" t="n">
        <x:v>0.197</x:v>
      </x:c>
      <x:c r="J1179" s="12" t="n">
        <x:v>0.0019677723973122578</x:v>
      </x:c>
      <x:c r="K1179" s="12" t="n">
        <x:v>144603269</x:v>
      </x:c>
      <x:c r="L1179" s="12" t="n">
        <x:v>321450798.234</x:v>
      </x:c>
      <x:c r="M1179" s="12" t="str">
        <x:v>TuShare index_daily</x:v>
      </x:c>
    </x:row>
    <x:row r="1180" ht="18" customHeight="1">
      <x:c r="A1180" s="13" t="n">
        <x:v>44348</x:v>
      </x:c>
      <x:c r="B1180" s="12" t="str">
        <x:v>000300.SH</x:v>
      </x:c>
      <x:c r="C1180" s="12" t="n">
        <x:v>5320.4745</x:v>
      </x:c>
      <x:c r="D1180" s="12" t="n">
        <x:v>5343.7529</x:v>
      </x:c>
      <x:c r="E1180" s="12" t="n">
        <x:v>5269.259</x:v>
      </x:c>
      <x:c r="F1180" s="12" t="n">
        <x:v>5341.6798</x:v>
      </x:c>
      <x:c r="G1180" s="12" t="n">
        <x:v>5331.5696</x:v>
      </x:c>
      <x:c r="H1180" s="12" t="n">
        <x:v>10.1102</x:v>
      </x:c>
      <x:c r="I1180" s="12" t="n">
        <x:v>0.1896</x:v>
      </x:c>
      <x:c r="J1180" s="12" t="n">
        <x:v>0.001894493915579741</x:v>
      </x:c>
      <x:c r="K1180" s="12" t="n">
        <x:v>143831474</x:v>
      </x:c>
      <x:c r="L1180" s="12" t="n">
        <x:v>321845842.153</x:v>
      </x:c>
      <x:c r="M1180" s="12" t="str">
        <x:v>TuShare index_daily</x:v>
      </x:c>
    </x:row>
    <x:row r="1181" ht="18" customHeight="1">
      <x:c r="A1181" s="13" t="n">
        <x:v>44349</x:v>
      </x:c>
      <x:c r="B1181" s="12" t="str">
        <x:v>000300.SH</x:v>
      </x:c>
      <x:c r="C1181" s="12" t="n">
        <x:v>5348.344</x:v>
      </x:c>
      <x:c r="D1181" s="12" t="n">
        <x:v>5352.6404</x:v>
      </x:c>
      <x:c r="E1181" s="12" t="n">
        <x:v>5266.7852</x:v>
      </x:c>
      <x:c r="F1181" s="12" t="n">
        <x:v>5289.9736</x:v>
      </x:c>
      <x:c r="G1181" s="12" t="n">
        <x:v>5341.6798</x:v>
      </x:c>
      <x:c r="H1181" s="12" t="n">
        <x:v>-51.7062</x:v>
      </x:c>
      <x:c r="I1181" s="12" t="n">
        <x:v>-0.968</x:v>
      </x:c>
      <x:c r="J1181" s="12" t="n">
        <x:v>-0.00972691748439677</x:v>
      </x:c>
      <x:c r="K1181" s="12" t="n">
        <x:v>137754319</x:v>
      </x:c>
      <x:c r="L1181" s="12" t="n">
        <x:v>296176177.154</x:v>
      </x:c>
      <x:c r="M1181" s="12" t="str">
        <x:v>TuShare index_daily</x:v>
      </x:c>
    </x:row>
    <x:row r="1182" ht="18" customHeight="1">
      <x:c r="A1182" s="13" t="n">
        <x:v>44350</x:v>
      </x:c>
      <x:c r="B1182" s="12" t="str">
        <x:v>000300.SH</x:v>
      </x:c>
      <x:c r="C1182" s="12" t="n">
        <x:v>5285.7098</x:v>
      </x:c>
      <x:c r="D1182" s="12" t="n">
        <x:v>5314.3691</x:v>
      </x:c>
      <x:c r="E1182" s="12" t="n">
        <x:v>5255.0719</x:v>
      </x:c>
      <x:c r="F1182" s="12" t="n">
        <x:v>5255.2855</x:v>
      </x:c>
      <x:c r="G1182" s="12" t="n">
        <x:v>5289.9736</x:v>
      </x:c>
      <x:c r="H1182" s="12" t="n">
        <x:v>-34.6881</x:v>
      </x:c>
      <x:c r="I1182" s="12" t="n">
        <x:v>-0.6557</x:v>
      </x:c>
      <x:c r="J1182" s="12" t="n">
        <x:v>-0.0065789232461387894</x:v>
      </x:c>
      <x:c r="K1182" s="12" t="n">
        <x:v>141968878</x:v>
      </x:c>
      <x:c r="L1182" s="12" t="n">
        <x:v>285448632.489</x:v>
      </x:c>
      <x:c r="M1182" s="12" t="str">
        <x:v>TuShare index_daily</x:v>
      </x:c>
    </x:row>
    <x:row r="1183" ht="18" customHeight="1">
      <x:c r="A1183" s="13" t="n">
        <x:v>44351</x:v>
      </x:c>
      <x:c r="B1183" s="12" t="str">
        <x:v>000300.SH</x:v>
      </x:c>
      <x:c r="C1183" s="12" t="n">
        <x:v>5228.2761</x:v>
      </x:c>
      <x:c r="D1183" s="12" t="n">
        <x:v>5334.4899</x:v>
      </x:c>
      <x:c r="E1183" s="12" t="n">
        <x:v>5221.2291</x:v>
      </x:c>
      <x:c r="F1183" s="12" t="n">
        <x:v>5282.2772</x:v>
      </x:c>
      <x:c r="G1183" s="12" t="n">
        <x:v>5255.2855</x:v>
      </x:c>
      <x:c r="H1183" s="12" t="n">
        <x:v>26.9917</x:v>
      </x:c>
      <x:c r="I1183" s="12" t="n">
        <x:v>0.5136</x:v>
      </x:c>
      <x:c r="J1183" s="12" t="n">
        <x:v>0.005122960555661023</x:v>
      </x:c>
      <x:c r="K1183" s="12" t="n">
        <x:v>144732087</x:v>
      </x:c>
      <x:c r="L1183" s="12" t="n">
        <x:v>292326048.776</x:v>
      </x:c>
      <x:c r="M1183" s="12" t="str">
        <x:v>TuShare index_daily</x:v>
      </x:c>
    </x:row>
    <x:row r="1184" ht="18" customHeight="1">
      <x:c r="A1184" s="13" t="n">
        <x:v>44354</x:v>
      </x:c>
      <x:c r="B1184" s="12" t="str">
        <x:v>000300.SH</x:v>
      </x:c>
      <x:c r="C1184" s="12" t="n">
        <x:v>5284.8907</x:v>
      </x:c>
      <x:c r="D1184" s="12" t="n">
        <x:v>5286.8424</x:v>
      </x:c>
      <x:c r="E1184" s="12" t="n">
        <x:v>5242.9481</x:v>
      </x:c>
      <x:c r="F1184" s="12" t="n">
        <x:v>5277.6271</x:v>
      </x:c>
      <x:c r="G1184" s="12" t="n">
        <x:v>5282.2772</x:v>
      </x:c>
      <x:c r="H1184" s="12" t="n">
        <x:v>-4.6501</x:v>
      </x:c>
      <x:c r="I1184" s="12" t="n">
        <x:v>-0.088</x:v>
      </x:c>
      <x:c r="J1184" s="12" t="n">
        <x:v>-0.0008807087959255326</x:v>
      </x:c>
      <x:c r="K1184" s="12" t="n">
        <x:v>127704971</x:v>
      </x:c>
      <x:c r="L1184" s="12" t="n">
        <x:v>280463260.583</x:v>
      </x:c>
      <x:c r="M1184" s="12" t="str">
        <x:v>TuShare index_daily</x:v>
      </x:c>
    </x:row>
    <x:row r="1185" ht="18" customHeight="1">
      <x:c r="A1185" s="13" t="n">
        <x:v>44355</x:v>
      </x:c>
      <x:c r="B1185" s="12" t="str">
        <x:v>000300.SH</x:v>
      </x:c>
      <x:c r="C1185" s="12" t="n">
        <x:v>5276.9711</x:v>
      </x:c>
      <x:c r="D1185" s="12" t="n">
        <x:v>5319.0406</x:v>
      </x:c>
      <x:c r="E1185" s="12" t="n">
        <x:v>5201.1404</x:v>
      </x:c>
      <x:c r="F1185" s="12" t="n">
        <x:v>5232.1165</x:v>
      </x:c>
      <x:c r="G1185" s="12" t="n">
        <x:v>5277.6271</x:v>
      </x:c>
      <x:c r="H1185" s="12" t="n">
        <x:v>-45.5106</x:v>
      </x:c>
      <x:c r="I1185" s="12" t="n">
        <x:v>-0.8623</x:v>
      </x:c>
      <x:c r="J1185" s="12" t="n">
        <x:v>-0.008660703096580333</x:v>
      </x:c>
      <x:c r="K1185" s="12" t="n">
        <x:v>130559532</x:v>
      </x:c>
      <x:c r="L1185" s="12" t="n">
        <x:v>304042218.266</x:v>
      </x:c>
      <x:c r="M1185" s="12" t="str">
        <x:v>TuShare index_daily</x:v>
      </x:c>
    </x:row>
    <x:row r="1186" ht="18" customHeight="1">
      <x:c r="A1186" s="13" t="n">
        <x:v>44356</x:v>
      </x:c>
      <x:c r="B1186" s="12" t="str">
        <x:v>000300.SH</x:v>
      </x:c>
      <x:c r="C1186" s="12" t="n">
        <x:v>5224.9496</x:v>
      </x:c>
      <x:c r="D1186" s="12" t="n">
        <x:v>5253.3555</x:v>
      </x:c>
      <x:c r="E1186" s="12" t="n">
        <x:v>5215.3506</x:v>
      </x:c>
      <x:c r="F1186" s="12" t="n">
        <x:v>5236.4493</x:v>
      </x:c>
      <x:c r="G1186" s="12" t="n">
        <x:v>5232.1165</x:v>
      </x:c>
      <x:c r="H1186" s="12" t="n">
        <x:v>4.3328</x:v>
      </x:c>
      <x:c r="I1186" s="12" t="n">
        <x:v>0.0828</x:v>
      </x:c>
      <x:c r="J1186" s="12" t="n">
        <x:v>0.0008277734180943219</x:v>
      </x:c>
      <x:c r="K1186" s="12" t="n">
        <x:v>121820321</x:v>
      </x:c>
      <x:c r="L1186" s="12" t="n">
        <x:v>255075448.703</x:v>
      </x:c>
      <x:c r="M1186" s="12" t="str">
        <x:v>TuShare index_daily</x:v>
      </x:c>
    </x:row>
    <x:row r="1187" ht="18" customHeight="1">
      <x:c r="A1187" s="13" t="n">
        <x:v>44357</x:v>
      </x:c>
      <x:c r="B1187" s="12" t="str">
        <x:v>000300.SH</x:v>
      </x:c>
      <x:c r="C1187" s="12" t="n">
        <x:v>5236.4691</x:v>
      </x:c>
      <x:c r="D1187" s="12" t="n">
        <x:v>5299.5299</x:v>
      </x:c>
      <x:c r="E1187" s="12" t="n">
        <x:v>5229.5182</x:v>
      </x:c>
      <x:c r="F1187" s="12" t="n">
        <x:v>5271.4661</x:v>
      </x:c>
      <x:c r="G1187" s="12" t="n">
        <x:v>5236.4493</x:v>
      </x:c>
      <x:c r="H1187" s="12" t="n">
        <x:v>35.0168</x:v>
      </x:c>
      <x:c r="I1187" s="12" t="n">
        <x:v>0.6687</x:v>
      </x:c>
      <x:c r="J1187" s="12" t="n">
        <x:v>0.006664867062356995</x:v>
      </x:c>
      <x:c r="K1187" s="12" t="n">
        <x:v>138991967</x:v>
      </x:c>
      <x:c r="L1187" s="12" t="n">
        <x:v>301454334.61</x:v>
      </x:c>
      <x:c r="M1187" s="12" t="str">
        <x:v>TuShare index_daily</x:v>
      </x:c>
    </x:row>
    <x:row r="1188" ht="18" customHeight="1">
      <x:c r="A1188" s="13" t="n">
        <x:v>44358</x:v>
      </x:c>
      <x:c r="B1188" s="12" t="str">
        <x:v>000300.SH</x:v>
      </x:c>
      <x:c r="C1188" s="12" t="n">
        <x:v>5275.7456</x:v>
      </x:c>
      <x:c r="D1188" s="12" t="n">
        <x:v>5276.1039</x:v>
      </x:c>
      <x:c r="E1188" s="12" t="n">
        <x:v>5213.5991</x:v>
      </x:c>
      <x:c r="F1188" s="12" t="n">
        <x:v>5224.703</x:v>
      </x:c>
      <x:c r="G1188" s="12" t="n">
        <x:v>5271.4661</x:v>
      </x:c>
      <x:c r="H1188" s="12" t="n">
        <x:v>-46.7631</x:v>
      </x:c>
      <x:c r="I1188" s="12" t="n">
        <x:v>-0.8871</x:v>
      </x:c>
      <x:c r="J1188" s="12" t="n">
        <x:v>-0.008910567076980907</x:v>
      </x:c>
      <x:c r="K1188" s="12" t="n">
        <x:v>180807173</x:v>
      </x:c>
      <x:c r="L1188" s="12" t="n">
        <x:v>365363494.542</x:v>
      </x:c>
      <x:c r="M1188" s="12" t="str">
        <x:v>TuShare index_daily</x:v>
      </x:c>
    </x:row>
    <x:row r="1189" ht="18" customHeight="1">
      <x:c r="A1189" s="13" t="n">
        <x:v>44362</x:v>
      </x:c>
      <x:c r="B1189" s="12" t="str">
        <x:v>000300.SH</x:v>
      </x:c>
      <x:c r="C1189" s="12" t="n">
        <x:v>5218.5648</x:v>
      </x:c>
      <x:c r="D1189" s="12" t="n">
        <x:v>5225.5021</x:v>
      </x:c>
      <x:c r="E1189" s="12" t="n">
        <x:v>5137.409</x:v>
      </x:c>
      <x:c r="F1189" s="12" t="n">
        <x:v>5166.5597</x:v>
      </x:c>
      <x:c r="G1189" s="12" t="n">
        <x:v>5224.703</x:v>
      </x:c>
      <x:c r="H1189" s="12" t="n">
        <x:v>-58.1433</x:v>
      </x:c>
      <x:c r="I1189" s="12" t="n">
        <x:v>-1.1129</x:v>
      </x:c>
      <x:c r="J1189" s="12" t="n">
        <x:v>-0.011190922313067906</x:v>
      </x:c>
      <x:c r="K1189" s="12" t="n">
        <x:v>142880058</x:v>
      </x:c>
      <x:c r="L1189" s="12" t="n">
        <x:v>330616618.622</x:v>
      </x:c>
      <x:c r="M1189" s="12" t="str">
        <x:v>TuShare index_daily</x:v>
      </x:c>
    </x:row>
    <x:row r="1190" ht="18" customHeight="1">
      <x:c r="A1190" s="13" t="n">
        <x:v>44363</x:v>
      </x:c>
      <x:c r="B1190" s="12" t="str">
        <x:v>000300.SH</x:v>
      </x:c>
      <x:c r="C1190" s="12" t="n">
        <x:v>5163.2493</x:v>
      </x:c>
      <x:c r="D1190" s="12" t="n">
        <x:v>5164.5192</x:v>
      </x:c>
      <x:c r="E1190" s="12" t="n">
        <x:v>5076.0222</x:v>
      </x:c>
      <x:c r="F1190" s="12" t="n">
        <x:v>5080.4909</x:v>
      </x:c>
      <x:c r="G1190" s="12" t="n">
        <x:v>5166.5597</x:v>
      </x:c>
      <x:c r="H1190" s="12" t="n">
        <x:v>-86.0688</x:v>
      </x:c>
      <x:c r="I1190" s="12" t="n">
        <x:v>-1.6659</x:v>
      </x:c>
      <x:c r="J1190" s="12" t="n">
        <x:v>-0.016799141037062326</x:v>
      </x:c>
      <x:c r="K1190" s="12" t="n">
        <x:v>125147985</x:v>
      </x:c>
      <x:c r="L1190" s="12" t="n">
        <x:v>298286772.933</x:v>
      </x:c>
      <x:c r="M1190" s="12" t="str">
        <x:v>TuShare index_daily</x:v>
      </x:c>
    </x:row>
    <x:row r="1191" ht="18" customHeight="1">
      <x:c r="A1191" s="13" t="n">
        <x:v>44364</x:v>
      </x:c>
      <x:c r="B1191" s="12" t="str">
        <x:v>000300.SH</x:v>
      </x:c>
      <x:c r="C1191" s="12" t="n">
        <x:v>5074.3839</x:v>
      </x:c>
      <x:c r="D1191" s="12" t="n">
        <x:v>5123.3651</x:v>
      </x:c>
      <x:c r="E1191" s="12" t="n">
        <x:v>5073.8211</x:v>
      </x:c>
      <x:c r="F1191" s="12" t="n">
        <x:v>5101.8924</x:v>
      </x:c>
      <x:c r="G1191" s="12" t="n">
        <x:v>5080.4909</x:v>
      </x:c>
      <x:c r="H1191" s="12" t="n">
        <x:v>21.4015</x:v>
      </x:c>
      <x:c r="I1191" s="12" t="n">
        <x:v>0.4212</x:v>
      </x:c>
      <x:c r="J1191" s="12" t="n">
        <x:v>0.004203638948601504</x:v>
      </x:c>
      <x:c r="K1191" s="12" t="n">
        <x:v>120452518</x:v>
      </x:c>
      <x:c r="L1191" s="12" t="n">
        <x:v>281927280.723</x:v>
      </x:c>
      <x:c r="M1191" s="12" t="str">
        <x:v>TuShare index_daily</x:v>
      </x:c>
    </x:row>
    <x:row r="1192" ht="18" customHeight="1">
      <x:c r="A1192" s="13" t="n">
        <x:v>44365</x:v>
      </x:c>
      <x:c r="B1192" s="12" t="str">
        <x:v>000300.SH</x:v>
      </x:c>
      <x:c r="C1192" s="12" t="n">
        <x:v>5104.9297</x:v>
      </x:c>
      <x:c r="D1192" s="12" t="n">
        <x:v>5128.0309</x:v>
      </x:c>
      <x:c r="E1192" s="12" t="n">
        <x:v>5064.9208</x:v>
      </x:c>
      <x:c r="F1192" s="12" t="n">
        <x:v>5102.4657</x:v>
      </x:c>
      <x:c r="G1192" s="12" t="n">
        <x:v>5101.8924</x:v>
      </x:c>
      <x:c r="H1192" s="12" t="n">
        <x:v>0.5733</x:v>
      </x:c>
      <x:c r="I1192" s="12" t="n">
        <x:v>0.0112</x:v>
      </x:c>
      <x:c r="J1192" s="12" t="n">
        <x:v>0.00011236375575712845</x:v>
      </x:c>
      <x:c r="K1192" s="12" t="n">
        <x:v>148585805</x:v>
      </x:c>
      <x:c r="L1192" s="12" t="n">
        <x:v>356697096.116</x:v>
      </x:c>
      <x:c r="M1192" s="12" t="str">
        <x:v>TuShare index_daily</x:v>
      </x:c>
    </x:row>
    <x:row r="1193" ht="18" customHeight="1">
      <x:c r="A1193" s="13" t="n">
        <x:v>44368</x:v>
      </x:c>
      <x:c r="B1193" s="12" t="str">
        <x:v>000300.SH</x:v>
      </x:c>
      <x:c r="C1193" s="12" t="n">
        <x:v>5088.0893</x:v>
      </x:c>
      <x:c r="D1193" s="12" t="n">
        <x:v>5123.7827</x:v>
      </x:c>
      <x:c r="E1193" s="12" t="n">
        <x:v>5058.5699</x:v>
      </x:c>
      <x:c r="F1193" s="12" t="n">
        <x:v>5090.3854</x:v>
      </x:c>
      <x:c r="G1193" s="12" t="n">
        <x:v>5102.4657</x:v>
      </x:c>
      <x:c r="H1193" s="12" t="n">
        <x:v>-12.0803</x:v>
      </x:c>
      <x:c r="I1193" s="12" t="n">
        <x:v>-0.2368</x:v>
      </x:c>
      <x:c r="J1193" s="12" t="n">
        <x:v>-0.0023703486958912613</x:v>
      </x:c>
      <x:c r="K1193" s="12" t="n">
        <x:v>132184516</x:v>
      </x:c>
      <x:c r="L1193" s="12" t="n">
        <x:v>331527114.639</x:v>
      </x:c>
      <x:c r="M1193" s="12" t="str">
        <x:v>TuShare index_daily</x:v>
      </x:c>
    </x:row>
    <x:row r="1194" ht="18" customHeight="1">
      <x:c r="A1194" s="13" t="n">
        <x:v>44369</x:v>
      </x:c>
      <x:c r="B1194" s="12" t="str">
        <x:v>000300.SH</x:v>
      </x:c>
      <x:c r="C1194" s="12" t="n">
        <x:v>5106.0743</x:v>
      </x:c>
      <x:c r="D1194" s="12" t="n">
        <x:v>5125.8186</x:v>
      </x:c>
      <x:c r="E1194" s="12" t="n">
        <x:v>5086.2776</x:v>
      </x:c>
      <x:c r="F1194" s="12" t="n">
        <x:v>5122.1583</x:v>
      </x:c>
      <x:c r="G1194" s="12" t="n">
        <x:v>5090.3854</x:v>
      </x:c>
      <x:c r="H1194" s="12" t="n">
        <x:v>31.7729</x:v>
      </x:c>
      <x:c r="I1194" s="12" t="n">
        <x:v>0.6242</x:v>
      </x:c>
      <x:c r="J1194" s="12" t="n">
        <x:v>0.0062223484075154345</x:v>
      </x:c>
      <x:c r="K1194" s="12" t="n">
        <x:v>130416753</x:v>
      </x:c>
      <x:c r="L1194" s="12" t="n">
        <x:v>313690367.125</x:v>
      </x:c>
      <x:c r="M1194" s="12" t="str">
        <x:v>TuShare index_daily</x:v>
      </x:c>
    </x:row>
    <x:row r="1195" ht="18" customHeight="1">
      <x:c r="A1195" s="13" t="n">
        <x:v>44370</x:v>
      </x:c>
      <x:c r="B1195" s="12" t="str">
        <x:v>000300.SH</x:v>
      </x:c>
      <x:c r="C1195" s="12" t="n">
        <x:v>5127.191</x:v>
      </x:c>
      <x:c r="D1195" s="12" t="n">
        <x:v>5171.033</x:v>
      </x:c>
      <x:c r="E1195" s="12" t="n">
        <x:v>5109.7571</x:v>
      </x:c>
      <x:c r="F1195" s="12" t="n">
        <x:v>5147.3938</x:v>
      </x:c>
      <x:c r="G1195" s="12" t="n">
        <x:v>5122.1583</x:v>
      </x:c>
      <x:c r="H1195" s="12" t="n">
        <x:v>25.2355</x:v>
      </x:c>
      <x:c r="I1195" s="12" t="n">
        <x:v>0.4927</x:v>
      </x:c>
      <x:c r="J1195" s="12" t="n">
        <x:v>0.004914635136633502</x:v>
      </x:c>
      <x:c r="K1195" s="12" t="n">
        <x:v>136356058</x:v>
      </x:c>
      <x:c r="L1195" s="12" t="n">
        <x:v>358765666.33</x:v>
      </x:c>
      <x:c r="M1195" s="12" t="str">
        <x:v>TuShare index_daily</x:v>
      </x:c>
    </x:row>
    <x:row r="1196" ht="18" customHeight="1">
      <x:c r="A1196" s="13" t="n">
        <x:v>44371</x:v>
      </x:c>
      <x:c r="B1196" s="12" t="str">
        <x:v>000300.SH</x:v>
      </x:c>
      <x:c r="C1196" s="12" t="n">
        <x:v>5156.5638</x:v>
      </x:c>
      <x:c r="D1196" s="12" t="n">
        <x:v>5160.4346</x:v>
      </x:c>
      <x:c r="E1196" s="12" t="n">
        <x:v>5120.5844</x:v>
      </x:c>
      <x:c r="F1196" s="12" t="n">
        <x:v>5155.9738</x:v>
      </x:c>
      <x:c r="G1196" s="12" t="n">
        <x:v>5147.3938</x:v>
      </x:c>
      <x:c r="H1196" s="12" t="n">
        <x:v>8.58</x:v>
      </x:c>
      <x:c r="I1196" s="12" t="n">
        <x:v>0.1667</x:v>
      </x:c>
      <x:c r="J1196" s="12" t="n">
        <x:v>0.0016654752730112406</x:v>
      </x:c>
      <x:c r="K1196" s="12" t="n">
        <x:v>126685625</x:v>
      </x:c>
      <x:c r="L1196" s="12" t="n">
        <x:v>312607422.609</x:v>
      </x:c>
      <x:c r="M1196" s="12" t="str">
        <x:v>TuShare index_daily</x:v>
      </x:c>
    </x:row>
    <x:row r="1197" ht="18" customHeight="1">
      <x:c r="A1197" s="13" t="n">
        <x:v>44372</x:v>
      </x:c>
      <x:c r="B1197" s="12" t="str">
        <x:v>000300.SH</x:v>
      </x:c>
      <x:c r="C1197" s="12" t="n">
        <x:v>5159.8017</x:v>
      </x:c>
      <x:c r="D1197" s="12" t="n">
        <x:v>5251.6076</x:v>
      </x:c>
      <x:c r="E1197" s="12" t="n">
        <x:v>5157.4758</x:v>
      </x:c>
      <x:c r="F1197" s="12" t="n">
        <x:v>5239.9684</x:v>
      </x:c>
      <x:c r="G1197" s="12" t="n">
        <x:v>5155.9738</x:v>
      </x:c>
      <x:c r="H1197" s="12" t="n">
        <x:v>83.9946</x:v>
      </x:c>
      <x:c r="I1197" s="12" t="n">
        <x:v>1.6291</x:v>
      </x:c>
      <x:c r="J1197" s="12" t="n">
        <x:v>0.01615946417488065</x:v>
      </x:c>
      <x:c r="K1197" s="12" t="n">
        <x:v>154931061</x:v>
      </x:c>
      <x:c r="L1197" s="12" t="n">
        <x:v>368265641.241</x:v>
      </x:c>
      <x:c r="M1197" s="12" t="str">
        <x:v>TuShare index_daily</x:v>
      </x:c>
    </x:row>
    <x:row r="1198" ht="18" customHeight="1">
      <x:c r="A1198" s="13" t="n">
        <x:v>44375</x:v>
      </x:c>
      <x:c r="B1198" s="12" t="str">
        <x:v>000300.SH</x:v>
      </x:c>
      <x:c r="C1198" s="12" t="n">
        <x:v>5253.6081</x:v>
      </x:c>
      <x:c r="D1198" s="12" t="n">
        <x:v>5260.6372</x:v>
      </x:c>
      <x:c r="E1198" s="12" t="n">
        <x:v>5226.2201</x:v>
      </x:c>
      <x:c r="F1198" s="12" t="n">
        <x:v>5251.7604</x:v>
      </x:c>
      <x:c r="G1198" s="12" t="n">
        <x:v>5239.9684</x:v>
      </x:c>
      <x:c r="H1198" s="12" t="n">
        <x:v>11.792</x:v>
      </x:c>
      <x:c r="I1198" s="12" t="n">
        <x:v>0.225</x:v>
      </x:c>
      <x:c r="J1198" s="12" t="n">
        <x:v>0.002247866903559741</x:v>
      </x:c>
      <x:c r="K1198" s="12" t="n">
        <x:v>133193783</x:v>
      </x:c>
      <x:c r="L1198" s="12" t="n">
        <x:v>337452771.676</x:v>
      </x:c>
      <x:c r="M1198" s="12" t="str">
        <x:v>TuShare index_daily</x:v>
      </x:c>
    </x:row>
    <x:row r="1199" ht="18" customHeight="1">
      <x:c r="A1199" s="13" t="n">
        <x:v>44376</x:v>
      </x:c>
      <x:c r="B1199" s="12" t="str">
        <x:v>000300.SH</x:v>
      </x:c>
      <x:c r="C1199" s="12" t="n">
        <x:v>5248.5249</x:v>
      </x:c>
      <x:c r="D1199" s="12" t="n">
        <x:v>5248.5249</x:v>
      </x:c>
      <x:c r="E1199" s="12" t="n">
        <x:v>5182.6771</x:v>
      </x:c>
      <x:c r="F1199" s="12" t="n">
        <x:v>5190.5445</x:v>
      </x:c>
      <x:c r="G1199" s="12" t="n">
        <x:v>5251.7604</x:v>
      </x:c>
      <x:c r="H1199" s="12" t="n">
        <x:v>-61.2159</x:v>
      </x:c>
      <x:c r="I1199" s="12" t="n">
        <x:v>-1.1656</x:v>
      </x:c>
      <x:c r="J1199" s="12" t="n">
        <x:v>-0.011724729714395393</x:v>
      </x:c>
      <x:c r="K1199" s="12" t="n">
        <x:v>125162997</x:v>
      </x:c>
      <x:c r="L1199" s="12" t="n">
        <x:v>314896843.024</x:v>
      </x:c>
      <x:c r="M1199" s="12" t="str">
        <x:v>TuShare index_daily</x:v>
      </x:c>
    </x:row>
    <x:row r="1200" ht="18" customHeight="1">
      <x:c r="A1200" s="13" t="n">
        <x:v>44377</x:v>
      </x:c>
      <x:c r="B1200" s="12" t="str">
        <x:v>000300.SH</x:v>
      </x:c>
      <x:c r="C1200" s="12" t="n">
        <x:v>5189.3797</x:v>
      </x:c>
      <x:c r="D1200" s="12" t="n">
        <x:v>5231.4262</x:v>
      </x:c>
      <x:c r="E1200" s="12" t="n">
        <x:v>5186.625</x:v>
      </x:c>
      <x:c r="F1200" s="12" t="n">
        <x:v>5224.041</x:v>
      </x:c>
      <x:c r="G1200" s="12" t="n">
        <x:v>5190.5445</x:v>
      </x:c>
      <x:c r="H1200" s="12" t="n">
        <x:v>33.4965</x:v>
      </x:c>
      <x:c r="I1200" s="12" t="n">
        <x:v>0.6453</x:v>
      </x:c>
      <x:c r="J1200" s="12" t="n">
        <x:v>0.006432635365788018</x:v>
      </x:c>
      <x:c r="K1200" s="12" t="n">
        <x:v>103752671</x:v>
      </x:c>
      <x:c r="L1200" s="12" t="n">
        <x:v>281015504.941</x:v>
      </x:c>
      <x:c r="M1200" s="12" t="str">
        <x:v>TuShare index_daily</x:v>
      </x:c>
    </x:row>
    <x:row r="1201" ht="18" customHeight="1">
      <x:c r="A1201" s="13" t="n">
        <x:v>44378</x:v>
      </x:c>
      <x:c r="B1201" s="12" t="str">
        <x:v>000300.SH</x:v>
      </x:c>
      <x:c r="C1201" s="12" t="n">
        <x:v>5241.2039</x:v>
      </x:c>
      <x:c r="D1201" s="12" t="n">
        <x:v>5252.2642</x:v>
      </x:c>
      <x:c r="E1201" s="12" t="n">
        <x:v>5190.8762</x:v>
      </x:c>
      <x:c r="F1201" s="12" t="n">
        <x:v>5229.6642</x:v>
      </x:c>
      <x:c r="G1201" s="12" t="n">
        <x:v>5224.041</x:v>
      </x:c>
      <x:c r="H1201" s="12" t="n">
        <x:v>5.6232</x:v>
      </x:c>
      <x:c r="I1201" s="12" t="n">
        <x:v>0.1076</x:v>
      </x:c>
      <x:c r="J1201" s="12" t="n">
        <x:v>0.0010758291791815775</x:v>
      </x:c>
      <x:c r="K1201" s="12" t="n">
        <x:v>127240620</x:v>
      </x:c>
      <x:c r="L1201" s="12" t="n">
        <x:v>324097400.268</x:v>
      </x:c>
      <x:c r="M1201" s="12" t="str">
        <x:v>TuShare index_daily</x:v>
      </x:c>
    </x:row>
    <x:row r="1202" ht="18" customHeight="1">
      <x:c r="A1202" s="13" t="n">
        <x:v>44379</x:v>
      </x:c>
      <x:c r="B1202" s="12" t="str">
        <x:v>000300.SH</x:v>
      </x:c>
      <x:c r="C1202" s="12" t="n">
        <x:v>5186.6613</x:v>
      </x:c>
      <x:c r="D1202" s="12" t="n">
        <x:v>5186.6613</x:v>
      </x:c>
      <x:c r="E1202" s="12" t="n">
        <x:v>5074.3621</x:v>
      </x:c>
      <x:c r="F1202" s="12" t="n">
        <x:v>5081.1172</x:v>
      </x:c>
      <x:c r="G1202" s="12" t="n">
        <x:v>5229.6642</x:v>
      </x:c>
      <x:c r="H1202" s="12" t="n">
        <x:v>-148.547</x:v>
      </x:c>
      <x:c r="I1202" s="12" t="n">
        <x:v>-2.8405</x:v>
      </x:c>
      <x:c r="J1202" s="12" t="n">
        <x:v>-0.02881591084345226</x:v>
      </x:c>
      <x:c r="K1202" s="12" t="n">
        <x:v>130426424</x:v>
      </x:c>
      <x:c r="L1202" s="12" t="n">
        <x:v>342578961.248</x:v>
      </x:c>
      <x:c r="M1202" s="12" t="str">
        <x:v>TuShare index_daily</x:v>
      </x:c>
    </x:row>
    <x:row r="1203" ht="18" customHeight="1">
      <x:c r="A1203" s="13" t="n">
        <x:v>44382</x:v>
      </x:c>
      <x:c r="B1203" s="12" t="str">
        <x:v>000300.SH</x:v>
      </x:c>
      <x:c r="C1203" s="12" t="n">
        <x:v>5073.7787</x:v>
      </x:c>
      <x:c r="D1203" s="12" t="n">
        <x:v>5098.2305</x:v>
      </x:c>
      <x:c r="E1203" s="12" t="n">
        <x:v>5048.004</x:v>
      </x:c>
      <x:c r="F1203" s="12" t="n">
        <x:v>5085.7924</x:v>
      </x:c>
      <x:c r="G1203" s="12" t="n">
        <x:v>5081.1172</x:v>
      </x:c>
      <x:c r="H1203" s="12" t="n">
        <x:v>4.6752</x:v>
      </x:c>
      <x:c r="I1203" s="12" t="n">
        <x:v>0.092</x:v>
      </x:c>
      <x:c r="J1203" s="12" t="n">
        <x:v>0.0009196895641789991</x:v>
      </x:c>
      <x:c r="K1203" s="12" t="n">
        <x:v>131211589</x:v>
      </x:c>
      <x:c r="L1203" s="12" t="n">
        <x:v>335197786.63</x:v>
      </x:c>
      <x:c r="M1203" s="12" t="str">
        <x:v>TuShare index_daily</x:v>
      </x:c>
    </x:row>
    <x:row r="1204" ht="18" customHeight="1">
      <x:c r="A1204" s="13" t="n">
        <x:v>44383</x:v>
      </x:c>
      <x:c r="B1204" s="12" t="str">
        <x:v>000300.SH</x:v>
      </x:c>
      <x:c r="C1204" s="12" t="n">
        <x:v>5089.778</x:v>
      </x:c>
      <x:c r="D1204" s="12" t="n">
        <x:v>5092.2066</x:v>
      </x:c>
      <x:c r="E1204" s="12" t="n">
        <x:v>5028.5058</x:v>
      </x:c>
      <x:c r="F1204" s="12" t="n">
        <x:v>5083.1043</x:v>
      </x:c>
      <x:c r="G1204" s="12" t="n">
        <x:v>5085.7924</x:v>
      </x:c>
      <x:c r="H1204" s="12" t="n">
        <x:v>-2.6881</x:v>
      </x:c>
      <x:c r="I1204" s="12" t="n">
        <x:v>-0.0529</x:v>
      </x:c>
      <x:c r="J1204" s="12" t="n">
        <x:v>-0.0005286906027109014</x:v>
      </x:c>
      <x:c r="K1204" s="12" t="n">
        <x:v>140655220</x:v>
      </x:c>
      <x:c r="L1204" s="12" t="n">
        <x:v>362828901.849</x:v>
      </x:c>
      <x:c r="M1204" s="12" t="str">
        <x:v>TuShare index_daily</x:v>
      </x:c>
    </x:row>
    <x:row r="1205" ht="18" customHeight="1">
      <x:c r="A1205" s="13" t="n">
        <x:v>44384</x:v>
      </x:c>
      <x:c r="B1205" s="12" t="str">
        <x:v>000300.SH</x:v>
      </x:c>
      <x:c r="C1205" s="12" t="n">
        <x:v>5052.4204</x:v>
      </x:c>
      <x:c r="D1205" s="12" t="n">
        <x:v>5152.7711</x:v>
      </x:c>
      <x:c r="E1205" s="12" t="n">
        <x:v>5045.4056</x:v>
      </x:c>
      <x:c r="F1205" s="12" t="n">
        <x:v>5140.4899</x:v>
      </x:c>
      <x:c r="G1205" s="12" t="n">
        <x:v>5083.1043</x:v>
      </x:c>
      <x:c r="H1205" s="12" t="n">
        <x:v>57.3856</x:v>
      </x:c>
      <x:c r="I1205" s="12" t="n">
        <x:v>1.1289</x:v>
      </x:c>
      <x:c r="J1205" s="12" t="n">
        <x:v>0.011226228576722806</x:v>
      </x:c>
      <x:c r="K1205" s="12" t="n">
        <x:v>148549060</x:v>
      </x:c>
      <x:c r="L1205" s="12" t="n">
        <x:v>336731403.376</x:v>
      </x:c>
      <x:c r="M1205" s="12" t="str">
        <x:v>TuShare index_daily</x:v>
      </x:c>
    </x:row>
    <x:row r="1206" ht="18" customHeight="1">
      <x:c r="A1206" s="13" t="n">
        <x:v>44385</x:v>
      </x:c>
      <x:c r="B1206" s="12" t="str">
        <x:v>000300.SH</x:v>
      </x:c>
      <x:c r="C1206" s="12" t="n">
        <x:v>5149.3095</x:v>
      </x:c>
      <x:c r="D1206" s="12" t="n">
        <x:v>5151.2171</x:v>
      </x:c>
      <x:c r="E1206" s="12" t="n">
        <x:v>5078.9295</x:v>
      </x:c>
      <x:c r="F1206" s="12" t="n">
        <x:v>5088.2566</x:v>
      </x:c>
      <x:c r="G1206" s="12" t="n">
        <x:v>5140.4899</x:v>
      </x:c>
      <x:c r="H1206" s="12" t="n">
        <x:v>-52.2333</x:v>
      </x:c>
      <x:c r="I1206" s="12" t="n">
        <x:v>-1.0161</x:v>
      </x:c>
      <x:c r="J1206" s="12" t="n">
        <x:v>-0.010213129053200676</x:v>
      </x:c>
      <x:c r="K1206" s="12" t="n">
        <x:v>173901008</x:v>
      </x:c>
      <x:c r="L1206" s="12" t="n">
        <x:v>397879869.88</x:v>
      </x:c>
      <x:c r="M1206" s="12" t="str">
        <x:v>TuShare index_daily</x:v>
      </x:c>
    </x:row>
    <x:row r="1207" ht="18" customHeight="1">
      <x:c r="A1207" s="13" t="n">
        <x:v>44386</x:v>
      </x:c>
      <x:c r="B1207" s="12" t="str">
        <x:v>000300.SH</x:v>
      </x:c>
      <x:c r="C1207" s="12" t="n">
        <x:v>5063.148</x:v>
      </x:c>
      <x:c r="D1207" s="12" t="n">
        <x:v>5081.4086</x:v>
      </x:c>
      <x:c r="E1207" s="12" t="n">
        <x:v>5006.4115</x:v>
      </x:c>
      <x:c r="F1207" s="12" t="n">
        <x:v>5069.4361</x:v>
      </x:c>
      <x:c r="G1207" s="12" t="n">
        <x:v>5088.2566</x:v>
      </x:c>
      <x:c r="H1207" s="12" t="n">
        <x:v>-18.8205</x:v>
      </x:c>
      <x:c r="I1207" s="12" t="n">
        <x:v>-0.3699</x:v>
      </x:c>
      <x:c r="J1207" s="12" t="n">
        <x:v>-0.003705668618403645</x:v>
      </x:c>
      <x:c r="K1207" s="12" t="n">
        <x:v>160653226</x:v>
      </x:c>
      <x:c r="L1207" s="12" t="n">
        <x:v>352845583.769</x:v>
      </x:c>
      <x:c r="M1207" s="12" t="str">
        <x:v>TuShare index_daily</x:v>
      </x:c>
    </x:row>
    <x:row r="1208" ht="18" customHeight="1">
      <x:c r="A1208" s="13" t="n">
        <x:v>44389</x:v>
      </x:c>
      <x:c r="B1208" s="12" t="str">
        <x:v>000300.SH</x:v>
      </x:c>
      <x:c r="C1208" s="12" t="n">
        <x:v>5108.3783</x:v>
      </x:c>
      <x:c r="D1208" s="12" t="n">
        <x:v>5159.4115</x:v>
      </x:c>
      <x:c r="E1208" s="12" t="n">
        <x:v>5070.3188</x:v>
      </x:c>
      <x:c r="F1208" s="12" t="n">
        <x:v>5132.7088</x:v>
      </x:c>
      <x:c r="G1208" s="12" t="n">
        <x:v>5069.4361</x:v>
      </x:c>
      <x:c r="H1208" s="12" t="n">
        <x:v>63.2727</x:v>
      </x:c>
      <x:c r="I1208" s="12" t="n">
        <x:v>1.2481</x:v>
      </x:c>
      <x:c r="J1208" s="12" t="n">
        <x:v>0.012403962474664831</x:v>
      </x:c>
      <x:c r="K1208" s="12" t="n">
        <x:v>206212039</x:v>
      </x:c>
      <x:c r="L1208" s="12" t="n">
        <x:v>437203145.943</x:v>
      </x:c>
      <x:c r="M1208" s="12" t="str">
        <x:v>TuShare index_daily</x:v>
      </x:c>
    </x:row>
    <x:row r="1209" ht="18" customHeight="1">
      <x:c r="A1209" s="13" t="n">
        <x:v>44390</x:v>
      </x:c>
      <x:c r="B1209" s="12" t="str">
        <x:v>000300.SH</x:v>
      </x:c>
      <x:c r="C1209" s="12" t="n">
        <x:v>5128.6138</x:v>
      </x:c>
      <x:c r="D1209" s="12" t="n">
        <x:v>5154.0508</x:v>
      </x:c>
      <x:c r="E1209" s="12" t="n">
        <x:v>5114.943</x:v>
      </x:c>
      <x:c r="F1209" s="12" t="n">
        <x:v>5142.0991</x:v>
      </x:c>
      <x:c r="G1209" s="12" t="n">
        <x:v>5132.7088</x:v>
      </x:c>
      <x:c r="H1209" s="12" t="n">
        <x:v>9.3903</x:v>
      </x:c>
      <x:c r="I1209" s="12" t="n">
        <x:v>0.183</x:v>
      </x:c>
      <x:c r="J1209" s="12" t="n">
        <x:v>0.001827830302187363</x:v>
      </x:c>
      <x:c r="K1209" s="12" t="n">
        <x:v>166482209</x:v>
      </x:c>
      <x:c r="L1209" s="12" t="n">
        <x:v>361328491.653</x:v>
      </x:c>
      <x:c r="M1209" s="12" t="str">
        <x:v>TuShare index_daily</x:v>
      </x:c>
    </x:row>
    <x:row r="1210" ht="18" customHeight="1">
      <x:c r="A1210" s="13" t="n">
        <x:v>44391</x:v>
      </x:c>
      <x:c r="B1210" s="12" t="str">
        <x:v>000300.SH</x:v>
      </x:c>
      <x:c r="C1210" s="12" t="n">
        <x:v>5130.7522</x:v>
      </x:c>
      <x:c r="D1210" s="12" t="n">
        <x:v>5130.7522</x:v>
      </x:c>
      <x:c r="E1210" s="12" t="n">
        <x:v>5075.1252</x:v>
      </x:c>
      <x:c r="F1210" s="12" t="n">
        <x:v>5083.0849</x:v>
      </x:c>
      <x:c r="G1210" s="12" t="n">
        <x:v>5142.0991</x:v>
      </x:c>
      <x:c r="H1210" s="12" t="n">
        <x:v>-59.0142</x:v>
      </x:c>
      <x:c r="I1210" s="12" t="n">
        <x:v>-1.1477</x:v>
      </x:c>
      <x:c r="J1210" s="12" t="n">
        <x:v>-0.011543040254654557</x:v>
      </x:c>
      <x:c r="K1210" s="12" t="n">
        <x:v>188352720</x:v>
      </x:c>
      <x:c r="L1210" s="12" t="n">
        <x:v>372568110.292</x:v>
      </x:c>
      <x:c r="M1210" s="12" t="str">
        <x:v>TuShare index_daily</x:v>
      </x:c>
    </x:row>
    <x:row r="1211" ht="18" customHeight="1">
      <x:c r="A1211" s="13" t="n">
        <x:v>44392</x:v>
      </x:c>
      <x:c r="B1211" s="12" t="str">
        <x:v>000300.SH</x:v>
      </x:c>
      <x:c r="C1211" s="12" t="n">
        <x:v>5073.2634</x:v>
      </x:c>
      <x:c r="D1211" s="12" t="n">
        <x:v>5153.8056</x:v>
      </x:c>
      <x:c r="E1211" s="12" t="n">
        <x:v>5067.6767</x:v>
      </x:c>
      <x:c r="F1211" s="12" t="n">
        <x:v>5151.4626</x:v>
      </x:c>
      <x:c r="G1211" s="12" t="n">
        <x:v>5083.0849</x:v>
      </x:c>
      <x:c r="H1211" s="12" t="n">
        <x:v>68.3777</x:v>
      </x:c>
      <x:c r="I1211" s="12" t="n">
        <x:v>1.3452</x:v>
      </x:c>
      <x:c r="J1211" s="12" t="n">
        <x:v>0.013362333295396704</x:v>
      </x:c>
      <x:c r="K1211" s="12" t="n">
        <x:v>181077103</x:v>
      </x:c>
      <x:c r="L1211" s="12" t="n">
        <x:v>372484081.123</x:v>
      </x:c>
      <x:c r="M1211" s="12" t="str">
        <x:v>TuShare index_daily</x:v>
      </x:c>
    </x:row>
    <x:row r="1212" ht="18" customHeight="1">
      <x:c r="A1212" s="13" t="n">
        <x:v>44393</x:v>
      </x:c>
      <x:c r="B1212" s="12" t="str">
        <x:v>000300.SH</x:v>
      </x:c>
      <x:c r="C1212" s="12" t="n">
        <x:v>5140.904</x:v>
      </x:c>
      <x:c r="D1212" s="12" t="n">
        <x:v>5140.904</x:v>
      </x:c>
      <x:c r="E1212" s="12" t="n">
        <x:v>5090.6321</x:v>
      </x:c>
      <x:c r="F1212" s="12" t="n">
        <x:v>5094.7727</x:v>
      </x:c>
      <x:c r="G1212" s="12" t="n">
        <x:v>5151.4626</x:v>
      </x:c>
      <x:c r="H1212" s="12" t="n">
        <x:v>-56.6899</x:v>
      </x:c>
      <x:c r="I1212" s="12" t="n">
        <x:v>-1.1005</x:v>
      </x:c>
      <x:c r="J1212" s="12" t="n">
        <x:v>-0.011065621040815304</x:v>
      </x:c>
      <x:c r="K1212" s="12" t="n">
        <x:v>169955982</x:v>
      </x:c>
      <x:c r="L1212" s="12" t="n">
        <x:v>362594258.079</x:v>
      </x:c>
      <x:c r="M1212" s="12" t="str">
        <x:v>TuShare index_daily</x:v>
      </x:c>
    </x:row>
    <x:row r="1213" ht="18" customHeight="1">
      <x:c r="A1213" s="13" t="n">
        <x:v>44396</x:v>
      </x:c>
      <x:c r="B1213" s="12" t="str">
        <x:v>000300.SH</x:v>
      </x:c>
      <x:c r="C1213" s="12" t="n">
        <x:v>5083.7276</x:v>
      </x:c>
      <x:c r="D1213" s="12" t="n">
        <x:v>5120.8235</x:v>
      </x:c>
      <x:c r="E1213" s="12" t="n">
        <x:v>5047.6234</x:v>
      </x:c>
      <x:c r="F1213" s="12" t="n">
        <x:v>5113.4945</x:v>
      </x:c>
      <x:c r="G1213" s="12" t="n">
        <x:v>5094.7727</x:v>
      </x:c>
      <x:c r="H1213" s="12" t="n">
        <x:v>18.7218</x:v>
      </x:c>
      <x:c r="I1213" s="12" t="n">
        <x:v>0.3675</x:v>
      </x:c>
      <x:c r="J1213" s="12" t="n">
        <x:v>0.0036679723646509273</x:v>
      </x:c>
      <x:c r="K1213" s="12" t="n">
        <x:v>153199589</x:v>
      </x:c>
      <x:c r="L1213" s="12" t="n">
        <x:v>340322623.792</x:v>
      </x:c>
      <x:c r="M1213" s="12" t="str">
        <x:v>TuShare index_daily</x:v>
      </x:c>
    </x:row>
    <x:row r="1214" ht="18" customHeight="1">
      <x:c r="A1214" s="13" t="n">
        <x:v>44397</x:v>
      </x:c>
      <x:c r="B1214" s="12" t="str">
        <x:v>000300.SH</x:v>
      </x:c>
      <x:c r="C1214" s="12" t="n">
        <x:v>5080.2158</x:v>
      </x:c>
      <x:c r="D1214" s="12" t="n">
        <x:v>5114.0033</x:v>
      </x:c>
      <x:c r="E1214" s="12" t="n">
        <x:v>5067.8619</x:v>
      </x:c>
      <x:c r="F1214" s="12" t="n">
        <x:v>5108.9941</x:v>
      </x:c>
      <x:c r="G1214" s="12" t="n">
        <x:v>5113.4945</x:v>
      </x:c>
      <x:c r="H1214" s="12" t="n">
        <x:v>-4.5004</x:v>
      </x:c>
      <x:c r="I1214" s="12" t="n">
        <x:v>-0.088</x:v>
      </x:c>
      <x:c r="J1214" s="12" t="n">
        <x:v>-0.0008804901559389637</x:v>
      </x:c>
      <x:c r="K1214" s="12" t="n">
        <x:v>129300044</x:v>
      </x:c>
      <x:c r="L1214" s="12" t="n">
        <x:v>283543130.755</x:v>
      </x:c>
      <x:c r="M1214" s="12" t="str">
        <x:v>TuShare index_daily</x:v>
      </x:c>
    </x:row>
    <x:row r="1215" ht="18" customHeight="1">
      <x:c r="A1215" s="13" t="n">
        <x:v>44398</x:v>
      </x:c>
      <x:c r="B1215" s="12" t="str">
        <x:v>000300.SH</x:v>
      </x:c>
      <x:c r="C1215" s="12" t="n">
        <x:v>5122.7843</x:v>
      </x:c>
      <x:c r="D1215" s="12" t="n">
        <x:v>5160.5447</x:v>
      </x:c>
      <x:c r="E1215" s="12" t="n">
        <x:v>5122.3046</x:v>
      </x:c>
      <x:c r="F1215" s="12" t="n">
        <x:v>5144.0428</x:v>
      </x:c>
      <x:c r="G1215" s="12" t="n">
        <x:v>5108.9941</x:v>
      </x:c>
      <x:c r="H1215" s="12" t="n">
        <x:v>35.0487</x:v>
      </x:c>
      <x:c r="I1215" s="12" t="n">
        <x:v>0.686</x:v>
      </x:c>
      <x:c r="J1215" s="12" t="n">
        <x:v>0.006836771750779328</x:v>
      </x:c>
      <x:c r="K1215" s="12" t="n">
        <x:v>167976469</x:v>
      </x:c>
      <x:c r="L1215" s="12" t="n">
        <x:v>390275519.305</x:v>
      </x:c>
      <x:c r="M1215" s="12" t="str">
        <x:v>TuShare index_daily</x:v>
      </x:c>
    </x:row>
    <x:row r="1216" ht="18" customHeight="1">
      <x:c r="A1216" s="13" t="n">
        <x:v>44399</x:v>
      </x:c>
      <x:c r="B1216" s="12" t="str">
        <x:v>000300.SH</x:v>
      </x:c>
      <x:c r="C1216" s="12" t="n">
        <x:v>5150.3859</x:v>
      </x:c>
      <x:c r="D1216" s="12" t="n">
        <x:v>5171.2096</x:v>
      </x:c>
      <x:c r="E1216" s="12" t="n">
        <x:v>5137.8795</x:v>
      </x:c>
      <x:c r="F1216" s="12" t="n">
        <x:v>5151.7517</x:v>
      </x:c>
      <x:c r="G1216" s="12" t="n">
        <x:v>5144.0428</x:v>
      </x:c>
      <x:c r="H1216" s="12" t="n">
        <x:v>7.7089</x:v>
      </x:c>
      <x:c r="I1216" s="12" t="n">
        <x:v>0.1499</x:v>
      </x:c>
      <x:c r="J1216" s="12" t="n">
        <x:v>0.001497485490911058</x:v>
      </x:c>
      <x:c r="K1216" s="12" t="n">
        <x:v>185556864</x:v>
      </x:c>
      <x:c r="L1216" s="12" t="n">
        <x:v>418221654.806</x:v>
      </x:c>
      <x:c r="M1216" s="12" t="str">
        <x:v>TuShare index_daily</x:v>
      </x:c>
    </x:row>
    <x:row r="1217" ht="18" customHeight="1">
      <x:c r="A1217" s="13" t="n">
        <x:v>44400</x:v>
      </x:c>
      <x:c r="B1217" s="12" t="str">
        <x:v>000300.SH</x:v>
      </x:c>
      <x:c r="C1217" s="12" t="n">
        <x:v>5145.4308</x:v>
      </x:c>
      <x:c r="D1217" s="12" t="n">
        <x:v>5145.4308</x:v>
      </x:c>
      <x:c r="E1217" s="12" t="n">
        <x:v>5079.9973</x:v>
      </x:c>
      <x:c r="F1217" s="12" t="n">
        <x:v>5089.2282</x:v>
      </x:c>
      <x:c r="G1217" s="12" t="n">
        <x:v>5151.7517</x:v>
      </x:c>
      <x:c r="H1217" s="12" t="n">
        <x:v>-62.5235</x:v>
      </x:c>
      <x:c r="I1217" s="12" t="n">
        <x:v>-1.2136</x:v>
      </x:c>
      <x:c r="J1217" s="12" t="n">
        <x:v>-0.012210604347853416</x:v>
      </x:c>
      <x:c r="K1217" s="12" t="n">
        <x:v>216536847</x:v>
      </x:c>
      <x:c r="L1217" s="12" t="n">
        <x:v>435521169.695</x:v>
      </x:c>
      <x:c r="M1217" s="12" t="str">
        <x:v>TuShare index_daily</x:v>
      </x:c>
    </x:row>
    <x:row r="1218" ht="18" customHeight="1">
      <x:c r="A1218" s="13" t="n">
        <x:v>44403</x:v>
      </x:c>
      <x:c r="B1218" s="12" t="str">
        <x:v>000300.SH</x:v>
      </x:c>
      <x:c r="C1218" s="12" t="n">
        <x:v>5067.3072</x:v>
      </x:c>
      <x:c r="D1218" s="12" t="n">
        <x:v>5067.3072</x:v>
      </x:c>
      <x:c r="E1218" s="12" t="n">
        <x:v>4859.6031</x:v>
      </x:c>
      <x:c r="F1218" s="12" t="n">
        <x:v>4925.299</x:v>
      </x:c>
      <x:c r="G1218" s="12" t="n">
        <x:v>5089.2282</x:v>
      </x:c>
      <x:c r="H1218" s="12" t="n">
        <x:v>-163.9292</x:v>
      </x:c>
      <x:c r="I1218" s="12" t="n">
        <x:v>-3.2211</x:v>
      </x:c>
      <x:c r="J1218" s="12" t="n">
        <x:v>-0.03274120497587915</x:v>
      </x:c>
      <x:c r="K1218" s="12" t="n">
        <x:v>228111710</x:v>
      </x:c>
      <x:c r="L1218" s="12" t="n">
        <x:v>495153655.117</x:v>
      </x:c>
      <x:c r="M1218" s="12" t="str">
        <x:v>TuShare index_daily</x:v>
      </x:c>
    </x:row>
    <x:row r="1219" ht="18" customHeight="1">
      <x:c r="A1219" s="13" t="n">
        <x:v>44404</x:v>
      </x:c>
      <x:c r="B1219" s="12" t="str">
        <x:v>000300.SH</x:v>
      </x:c>
      <x:c r="C1219" s="12" t="n">
        <x:v>4924.2816</x:v>
      </x:c>
      <x:c r="D1219" s="12" t="n">
        <x:v>4940.86</x:v>
      </x:c>
      <x:c r="E1219" s="12" t="n">
        <x:v>4749.0327</x:v>
      </x:c>
      <x:c r="F1219" s="12" t="n">
        <x:v>4751.313</x:v>
      </x:c>
      <x:c r="G1219" s="12" t="n">
        <x:v>4925.299</x:v>
      </x:c>
      <x:c r="H1219" s="12" t="n">
        <x:v>-173.986</x:v>
      </x:c>
      <x:c r="I1219" s="12" t="n">
        <x:v>-3.5325</x:v>
      </x:c>
      <x:c r="J1219" s="12" t="n">
        <x:v>-0.03596398253921202</x:v>
      </x:c>
      <x:c r="K1219" s="12" t="n">
        <x:v>236631225</x:v>
      </x:c>
      <x:c r="L1219" s="12" t="n">
        <x:v>521146117.041</x:v>
      </x:c>
      <x:c r="M1219" s="12" t="str">
        <x:v>TuShare index_daily</x:v>
      </x:c>
    </x:row>
    <x:row r="1220" ht="18" customHeight="1">
      <x:c r="A1220" s="13" t="n">
        <x:v>44405</x:v>
      </x:c>
      <x:c r="B1220" s="12" t="str">
        <x:v>000300.SH</x:v>
      </x:c>
      <x:c r="C1220" s="12" t="n">
        <x:v>4714.2948</x:v>
      </x:c>
      <x:c r="D1220" s="12" t="n">
        <x:v>4785.6567</x:v>
      </x:c>
      <x:c r="E1220" s="12" t="n">
        <x:v>4663.9009</x:v>
      </x:c>
      <x:c r="F1220" s="12" t="n">
        <x:v>4760.4826</x:v>
      </x:c>
      <x:c r="G1220" s="12" t="n">
        <x:v>4751.313</x:v>
      </x:c>
      <x:c r="H1220" s="12" t="n">
        <x:v>9.1696</x:v>
      </x:c>
      <x:c r="I1220" s="12" t="n">
        <x:v>0.193</x:v>
      </x:c>
      <x:c r="J1220" s="12" t="n">
        <x:v>0.0019280487567601367</x:v>
      </x:c>
      <x:c r="K1220" s="12" t="n">
        <x:v>192634393</x:v>
      </x:c>
      <x:c r="L1220" s="12" t="n">
        <x:v>419706155.163</x:v>
      </x:c>
      <x:c r="M1220" s="12" t="str">
        <x:v>TuShare index_daily</x:v>
      </x:c>
    </x:row>
    <x:row r="1221" ht="18" customHeight="1">
      <x:c r="A1221" s="13" t="n">
        <x:v>44406</x:v>
      </x:c>
      <x:c r="B1221" s="12" t="str">
        <x:v>000300.SH</x:v>
      </x:c>
      <x:c r="C1221" s="12" t="n">
        <x:v>4845.7603</x:v>
      </x:c>
      <x:c r="D1221" s="12" t="n">
        <x:v>4857.9709</x:v>
      </x:c>
      <x:c r="E1221" s="12" t="n">
        <x:v>4800.0125</x:v>
      </x:c>
      <x:c r="F1221" s="12" t="n">
        <x:v>4850.2746</x:v>
      </x:c>
      <x:c r="G1221" s="12" t="n">
        <x:v>4760.4826</x:v>
      </x:c>
      <x:c r="H1221" s="12" t="n">
        <x:v>89.792</x:v>
      </x:c>
      <x:c r="I1221" s="12" t="n">
        <x:v>1.8862</x:v>
      </x:c>
      <x:c r="J1221" s="12" t="n">
        <x:v>0.018686272244641713</x:v>
      </x:c>
      <x:c r="K1221" s="12" t="n">
        <x:v>173322054</x:v>
      </x:c>
      <x:c r="L1221" s="12" t="n">
        <x:v>415676120.878</x:v>
      </x:c>
      <x:c r="M1221" s="12" t="str">
        <x:v>TuShare index_daily</x:v>
      </x:c>
    </x:row>
    <x:row r="1222" ht="18" customHeight="1">
      <x:c r="A1222" s="13" t="n">
        <x:v>44407</x:v>
      </x:c>
      <x:c r="B1222" s="12" t="str">
        <x:v>000300.SH</x:v>
      </x:c>
      <x:c r="C1222" s="12" t="n">
        <x:v>4825.7002</x:v>
      </x:c>
      <x:c r="D1222" s="12" t="n">
        <x:v>4825.7002</x:v>
      </x:c>
      <x:c r="E1222" s="12" t="n">
        <x:v>4761.0376</x:v>
      </x:c>
      <x:c r="F1222" s="12" t="n">
        <x:v>4811.1695</x:v>
      </x:c>
      <x:c r="G1222" s="12" t="n">
        <x:v>4850.2746</x:v>
      </x:c>
      <x:c r="H1222" s="12" t="n">
        <x:v>-39.1051</x:v>
      </x:c>
      <x:c r="I1222" s="12" t="n">
        <x:v>-0.8062</x:v>
      </x:c>
      <x:c r="J1222" s="12" t="n">
        <x:v>-0.008095128046081285</x:v>
      </x:c>
      <x:c r="K1222" s="12" t="n">
        <x:v>182349776</x:v>
      </x:c>
      <x:c r="L1222" s="12" t="n">
        <x:v>420943935.062</x:v>
      </x:c>
      <x:c r="M1222" s="12" t="str">
        <x:v>TuShare index_daily</x:v>
      </x:c>
    </x:row>
    <x:row r="1223" ht="18" customHeight="1">
      <x:c r="A1223" s="13" t="n">
        <x:v>44410</x:v>
      </x:c>
      <x:c r="B1223" s="12" t="str">
        <x:v>000300.SH</x:v>
      </x:c>
      <x:c r="C1223" s="12" t="n">
        <x:v>4794.8192</x:v>
      </x:c>
      <x:c r="D1223" s="12" t="n">
        <x:v>4938.8154</x:v>
      </x:c>
      <x:c r="E1223" s="12" t="n">
        <x:v>4761.4593</x:v>
      </x:c>
      <x:c r="F1223" s="12" t="n">
        <x:v>4933.736</x:v>
      </x:c>
      <x:c r="G1223" s="12" t="n">
        <x:v>4811.1695</x:v>
      </x:c>
      <x:c r="H1223" s="12" t="n">
        <x:v>122.5665</x:v>
      </x:c>
      <x:c r="I1223" s="12" t="n">
        <x:v>2.5475</x:v>
      </x:c>
      <x:c r="J1223" s="12" t="n">
        <x:v>0.025156316535476436</x:v>
      </x:c>
      <x:c r="K1223" s="12" t="n">
        <x:v>227194918</x:v>
      </x:c>
      <x:c r="L1223" s="12" t="n">
        <x:v>524659449.296</x:v>
      </x:c>
      <x:c r="M1223" s="12" t="str">
        <x:v>TuShare index_daily</x:v>
      </x:c>
    </x:row>
    <x:row r="1224" ht="18" customHeight="1">
      <x:c r="A1224" s="13" t="n">
        <x:v>44411</x:v>
      </x:c>
      <x:c r="B1224" s="12" t="str">
        <x:v>000300.SH</x:v>
      </x:c>
      <x:c r="C1224" s="12" t="n">
        <x:v>4909.2325</x:v>
      </x:c>
      <x:c r="D1224" s="12" t="n">
        <x:v>4957.0291</x:v>
      </x:c>
      <x:c r="E1224" s="12" t="n">
        <x:v>4890.8495</x:v>
      </x:c>
      <x:c r="F1224" s="12" t="n">
        <x:v>4934.4583</x:v>
      </x:c>
      <x:c r="G1224" s="12" t="n">
        <x:v>4933.736</x:v>
      </x:c>
      <x:c r="H1224" s="12" t="n">
        <x:v>0.7223</x:v>
      </x:c>
      <x:c r="I1224" s="12" t="n">
        <x:v>0.0146</x:v>
      </x:c>
      <x:c r="J1224" s="12" t="n">
        <x:v>0.00014638949727404575</x:v>
      </x:c>
      <x:c r="K1224" s="12" t="n">
        <x:v>203533360</x:v>
      </x:c>
      <x:c r="L1224" s="12" t="n">
        <x:v>471194128.402</x:v>
      </x:c>
      <x:c r="M1224" s="12" t="str">
        <x:v>TuShare index_daily</x:v>
      </x:c>
    </x:row>
    <x:row r="1225" ht="18" customHeight="1">
      <x:c r="A1225" s="13" t="n">
        <x:v>44412</x:v>
      </x:c>
      <x:c r="B1225" s="12" t="str">
        <x:v>000300.SH</x:v>
      </x:c>
      <x:c r="C1225" s="12" t="n">
        <x:v>4927.7358</x:v>
      </x:c>
      <x:c r="D1225" s="12" t="n">
        <x:v>4979.2911</x:v>
      </x:c>
      <x:c r="E1225" s="12" t="n">
        <x:v>4919.6569</x:v>
      </x:c>
      <x:c r="F1225" s="12" t="n">
        <x:v>4978.8479</x:v>
      </x:c>
      <x:c r="G1225" s="12" t="n">
        <x:v>4934.4583</x:v>
      </x:c>
      <x:c r="H1225" s="12" t="n">
        <x:v>44.3896</x:v>
      </x:c>
      <x:c r="I1225" s="12" t="n">
        <x:v>0.8996</x:v>
      </x:c>
      <x:c r="J1225" s="12" t="n">
        <x:v>0.00895561900057252</x:v>
      </x:c>
      <x:c r="K1225" s="12" t="n">
        <x:v>175466461</x:v>
      </x:c>
      <x:c r="L1225" s="12" t="n">
        <x:v>425801406.612</x:v>
      </x:c>
      <x:c r="M1225" s="12" t="str">
        <x:v>TuShare index_daily</x:v>
      </x:c>
    </x:row>
    <x:row r="1226" ht="18" customHeight="1">
      <x:c r="A1226" s="13" t="n">
        <x:v>44413</x:v>
      </x:c>
      <x:c r="B1226" s="12" t="str">
        <x:v>000300.SH</x:v>
      </x:c>
      <x:c r="C1226" s="12" t="n">
        <x:v>4946.1668</x:v>
      </x:c>
      <x:c r="D1226" s="12" t="n">
        <x:v>4997.1397</x:v>
      </x:c>
      <x:c r="E1226" s="12" t="n">
        <x:v>4921.9382</x:v>
      </x:c>
      <x:c r="F1226" s="12" t="n">
        <x:v>4948.6703</x:v>
      </x:c>
      <x:c r="G1226" s="12" t="n">
        <x:v>4978.8479</x:v>
      </x:c>
      <x:c r="H1226" s="12" t="n">
        <x:v>-30.1776</x:v>
      </x:c>
      <x:c r="I1226" s="12" t="n">
        <x:v>-0.6061</x:v>
      </x:c>
      <x:c r="J1226" s="12" t="n">
        <x:v>-0.0060796046590891285</x:v>
      </x:c>
      <x:c r="K1226" s="12" t="n">
        <x:v>167381829</x:v>
      </x:c>
      <x:c r="L1226" s="12" t="n">
        <x:v>398772206.808</x:v>
      </x:c>
      <x:c r="M1226" s="12" t="str">
        <x:v>TuShare index_daily</x:v>
      </x:c>
    </x:row>
    <x:row r="1227" ht="18" customHeight="1">
      <x:c r="A1227" s="13" t="n">
        <x:v>44414</x:v>
      </x:c>
      <x:c r="B1227" s="12" t="str">
        <x:v>000300.SH</x:v>
      </x:c>
      <x:c r="C1227" s="12" t="n">
        <x:v>4943.0427</x:v>
      </x:c>
      <x:c r="D1227" s="12" t="n">
        <x:v>4944.3486</x:v>
      </x:c>
      <x:c r="E1227" s="12" t="n">
        <x:v>4891.7968</x:v>
      </x:c>
      <x:c r="F1227" s="12" t="n">
        <x:v>4921.5647</x:v>
      </x:c>
      <x:c r="G1227" s="12" t="n">
        <x:v>4948.6703</x:v>
      </x:c>
      <x:c r="H1227" s="12" t="n">
        <x:v>-27.1056</x:v>
      </x:c>
      <x:c r="I1227" s="12" t="n">
        <x:v>-0.5477</x:v>
      </x:c>
      <x:c r="J1227" s="12" t="n">
        <x:v>-0.005492405832303928</x:v>
      </x:c>
      <x:c r="K1227" s="12" t="n">
        <x:v>154179688</x:v>
      </x:c>
      <x:c r="L1227" s="12" t="n">
        <x:v>371773603.785</x:v>
      </x:c>
      <x:c r="M1227" s="12" t="str">
        <x:v>TuShare index_daily</x:v>
      </x:c>
    </x:row>
    <x:row r="1228" ht="18" customHeight="1">
      <x:c r="A1228" s="13" t="n">
        <x:v>44417</x:v>
      </x:c>
      <x:c r="B1228" s="12" t="str">
        <x:v>000300.SH</x:v>
      </x:c>
      <x:c r="C1228" s="12" t="n">
        <x:v>4890.2573</x:v>
      </x:c>
      <x:c r="D1228" s="12" t="n">
        <x:v>5002.8944</x:v>
      </x:c>
      <x:c r="E1228" s="12" t="n">
        <x:v>4884.0392</x:v>
      </x:c>
      <x:c r="F1228" s="12" t="n">
        <x:v>4985.5627</x:v>
      </x:c>
      <x:c r="G1228" s="12" t="n">
        <x:v>4921.5647</x:v>
      </x:c>
      <x:c r="H1228" s="12" t="n">
        <x:v>63.998</x:v>
      </x:c>
      <x:c r="I1228" s="12" t="n">
        <x:v>1.3004</x:v>
      </x:c>
      <x:c r="J1228" s="12" t="n">
        <x:v>0.012919767280224079</x:v>
      </x:c>
      <x:c r="K1228" s="12" t="n">
        <x:v>182436871</x:v>
      </x:c>
      <x:c r="L1228" s="12" t="n">
        <x:v>408897062.935</x:v>
      </x:c>
      <x:c r="M1228" s="12" t="str">
        <x:v>TuShare index_daily</x:v>
      </x:c>
    </x:row>
    <x:row r="1229" ht="18" customHeight="1">
      <x:c r="A1229" s="13" t="n">
        <x:v>44418</x:v>
      </x:c>
      <x:c r="B1229" s="12" t="str">
        <x:v>000300.SH</x:v>
      </x:c>
      <x:c r="C1229" s="12" t="n">
        <x:v>4977.8164</x:v>
      </x:c>
      <x:c r="D1229" s="12" t="n">
        <x:v>5043.7608</x:v>
      </x:c>
      <x:c r="E1229" s="12" t="n">
        <x:v>4941.2399</x:v>
      </x:c>
      <x:c r="F1229" s="12" t="n">
        <x:v>5043.148</x:v>
      </x:c>
      <x:c r="G1229" s="12" t="n">
        <x:v>4985.5627</x:v>
      </x:c>
      <x:c r="H1229" s="12" t="n">
        <x:v>57.5853</x:v>
      </x:c>
      <x:c r="I1229" s="12" t="n">
        <x:v>1.155</x:v>
      </x:c>
      <x:c r="J1229" s="12" t="n">
        <x:v>0.011484214595109173</x:v>
      </x:c>
      <x:c r="K1229" s="12" t="n">
        <x:v>167051902</x:v>
      </x:c>
      <x:c r="L1229" s="12" t="n">
        <x:v>410098755.61</x:v>
      </x:c>
      <x:c r="M1229" s="12" t="str">
        <x:v>TuShare index_daily</x:v>
      </x:c>
    </x:row>
    <x:row r="1230" ht="18" customHeight="1">
      <x:c r="A1230" s="13" t="n">
        <x:v>44419</x:v>
      </x:c>
      <x:c r="B1230" s="12" t="str">
        <x:v>000300.SH</x:v>
      </x:c>
      <x:c r="C1230" s="12" t="n">
        <x:v>5037.0819</x:v>
      </x:c>
      <x:c r="D1230" s="12" t="n">
        <x:v>5059.7887</x:v>
      </x:c>
      <x:c r="E1230" s="12" t="n">
        <x:v>5009.9782</x:v>
      </x:c>
      <x:c r="F1230" s="12" t="n">
        <x:v>5015.3406</x:v>
      </x:c>
      <x:c r="G1230" s="12" t="n">
        <x:v>5043.148</x:v>
      </x:c>
      <x:c r="H1230" s="12" t="n">
        <x:v>-27.8074</x:v>
      </x:c>
      <x:c r="I1230" s="12" t="n">
        <x:v>-0.5514</x:v>
      </x:c>
      <x:c r="J1230" s="12" t="n">
        <x:v>-0.005529154915563814</x:v>
      </x:c>
      <x:c r="K1230" s="12" t="n">
        <x:v>182266074</x:v>
      </x:c>
      <x:c r="L1230" s="12" t="n">
        <x:v>373386347.207</x:v>
      </x:c>
      <x:c r="M1230" s="12" t="str">
        <x:v>TuShare index_daily</x:v>
      </x:c>
    </x:row>
    <x:row r="1231" ht="18" customHeight="1">
      <x:c r="A1231" s="13" t="n">
        <x:v>44420</x:v>
      </x:c>
      <x:c r="B1231" s="12" t="str">
        <x:v>000300.SH</x:v>
      </x:c>
      <x:c r="C1231" s="12" t="n">
        <x:v>4998.0733</x:v>
      </x:c>
      <x:c r="D1231" s="12" t="n">
        <x:v>5016.2628</x:v>
      </x:c>
      <x:c r="E1231" s="12" t="n">
        <x:v>4962.985</x:v>
      </x:c>
      <x:c r="F1231" s="12" t="n">
        <x:v>4973.3509</x:v>
      </x:c>
      <x:c r="G1231" s="12" t="n">
        <x:v>5015.3406</x:v>
      </x:c>
      <x:c r="H1231" s="12" t="n">
        <x:v>-41.9897</x:v>
      </x:c>
      <x:c r="I1231" s="12" t="n">
        <x:v>-0.8372</x:v>
      </x:c>
      <x:c r="J1231" s="12" t="n">
        <x:v>-0.008407497086092142</x:v>
      </x:c>
      <x:c r="K1231" s="12" t="n">
        <x:v>168223733</x:v>
      </x:c>
      <x:c r="L1231" s="12" t="n">
        <x:v>361828381.964</x:v>
      </x:c>
      <x:c r="M1231" s="12" t="str">
        <x:v>TuShare index_daily</x:v>
      </x:c>
    </x:row>
    <x:row r="1232" ht="18" customHeight="1">
      <x:c r="A1232" s="13" t="n">
        <x:v>44421</x:v>
      </x:c>
      <x:c r="B1232" s="12" t="str">
        <x:v>000300.SH</x:v>
      </x:c>
      <x:c r="C1232" s="12" t="n">
        <x:v>4958.7577</x:v>
      </x:c>
      <x:c r="D1232" s="12" t="n">
        <x:v>4993.7432</x:v>
      </x:c>
      <x:c r="E1232" s="12" t="n">
        <x:v>4921.2812</x:v>
      </x:c>
      <x:c r="F1232" s="12" t="n">
        <x:v>4945.9829</x:v>
      </x:c>
      <x:c r="G1232" s="12" t="n">
        <x:v>4973.3509</x:v>
      </x:c>
      <x:c r="H1232" s="12" t="n">
        <x:v>-27.368</x:v>
      </x:c>
      <x:c r="I1232" s="12" t="n">
        <x:v>-0.5503</x:v>
      </x:c>
      <x:c r="J1232" s="12" t="n">
        <x:v>-0.005518126518865006</x:v>
      </x:c>
      <x:c r="K1232" s="12" t="n">
        <x:v>158314321</x:v>
      </x:c>
      <x:c r="L1232" s="12" t="n">
        <x:v>352459069.036</x:v>
      </x:c>
      <x:c r="M1232" s="12" t="str">
        <x:v>TuShare index_daily</x:v>
      </x:c>
    </x:row>
    <x:row r="1233" ht="18" customHeight="1">
      <x:c r="A1233" s="13" t="n">
        <x:v>44424</x:v>
      </x:c>
      <x:c r="B1233" s="12" t="str">
        <x:v>000300.SH</x:v>
      </x:c>
      <x:c r="C1233" s="12" t="n">
        <x:v>4935.9229</x:v>
      </x:c>
      <x:c r="D1233" s="12" t="n">
        <x:v>4973.3761</x:v>
      </x:c>
      <x:c r="E1233" s="12" t="n">
        <x:v>4931.3691</x:v>
      </x:c>
      <x:c r="F1233" s="12" t="n">
        <x:v>4941.0676</x:v>
      </x:c>
      <x:c r="G1233" s="12" t="n">
        <x:v>4945.9829</x:v>
      </x:c>
      <x:c r="H1233" s="12" t="n">
        <x:v>-4.9153</x:v>
      </x:c>
      <x:c r="I1233" s="12" t="n">
        <x:v>-0.0994</x:v>
      </x:c>
      <x:c r="J1233" s="12" t="n">
        <x:v>-0.0009942905429570182</x:v>
      </x:c>
      <x:c r="K1233" s="12" t="n">
        <x:v>161953373</x:v>
      </x:c>
      <x:c r="L1233" s="12" t="n">
        <x:v>340735120.175</x:v>
      </x:c>
      <x:c r="M1233" s="12" t="str">
        <x:v>TuShare index_daily</x:v>
      </x:c>
    </x:row>
    <x:row r="1234" ht="18" customHeight="1">
      <x:c r="A1234" s="13" t="n">
        <x:v>44425</x:v>
      </x:c>
      <x:c r="B1234" s="12" t="str">
        <x:v>000300.SH</x:v>
      </x:c>
      <x:c r="C1234" s="12" t="n">
        <x:v>4935.0044</x:v>
      </x:c>
      <x:c r="D1234" s="12" t="n">
        <x:v>4967.5648</x:v>
      </x:c>
      <x:c r="E1234" s="12" t="n">
        <x:v>4823.3923</x:v>
      </x:c>
      <x:c r="F1234" s="12" t="n">
        <x:v>4837.4034</x:v>
      </x:c>
      <x:c r="G1234" s="12" t="n">
        <x:v>4941.0676</x:v>
      </x:c>
      <x:c r="H1234" s="12" t="n">
        <x:v>-103.6642</x:v>
      </x:c>
      <x:c r="I1234" s="12" t="n">
        <x:v>-2.098</x:v>
      </x:c>
      <x:c r="J1234" s="12" t="n">
        <x:v>-0.02120333204675759</x:v>
      </x:c>
      <x:c r="K1234" s="12" t="n">
        <x:v>187573472</x:v>
      </x:c>
      <x:c r="L1234" s="12" t="n">
        <x:v>388457131.504</x:v>
      </x:c>
      <x:c r="M1234" s="12" t="str">
        <x:v>TuShare index_daily</x:v>
      </x:c>
    </x:row>
    <x:row r="1235" ht="18" customHeight="1">
      <x:c r="A1235" s="13" t="n">
        <x:v>44426</x:v>
      </x:c>
      <x:c r="B1235" s="12" t="str">
        <x:v>000300.SH</x:v>
      </x:c>
      <x:c r="C1235" s="12" t="n">
        <x:v>4838.4706</x:v>
      </x:c>
      <x:c r="D1235" s="12" t="n">
        <x:v>4909.5409</x:v>
      </x:c>
      <x:c r="E1235" s="12" t="n">
        <x:v>4818.9013</x:v>
      </x:c>
      <x:c r="F1235" s="12" t="n">
        <x:v>4894.2384</x:v>
      </x:c>
      <x:c r="G1235" s="12" t="n">
        <x:v>4837.4034</x:v>
      </x:c>
      <x:c r="H1235" s="12" t="n">
        <x:v>56.835</x:v>
      </x:c>
      <x:c r="I1235" s="12" t="n">
        <x:v>1.1749</x:v>
      </x:c>
      <x:c r="J1235" s="12" t="n">
        <x:v>0.011680587379225442</x:v>
      </x:c>
      <x:c r="K1235" s="12" t="n">
        <x:v>197474378</x:v>
      </x:c>
      <x:c r="L1235" s="12" t="n">
        <x:v>395792165.76</x:v>
      </x:c>
      <x:c r="M1235" s="12" t="str">
        <x:v>TuShare index_daily</x:v>
      </x:c>
    </x:row>
    <x:row r="1236" ht="18" customHeight="1">
      <x:c r="A1236" s="13" t="n">
        <x:v>44427</x:v>
      </x:c>
      <x:c r="B1236" s="12" t="str">
        <x:v>000300.SH</x:v>
      </x:c>
      <x:c r="C1236" s="12" t="n">
        <x:v>4886.564</x:v>
      </x:c>
      <x:c r="D1236" s="12" t="n">
        <x:v>4893.467</x:v>
      </x:c>
      <x:c r="E1236" s="12" t="n">
        <x:v>4839.5681</x:v>
      </x:c>
      <x:c r="F1236" s="12" t="n">
        <x:v>4862.1394</x:v>
      </x:c>
      <x:c r="G1236" s="12" t="n">
        <x:v>4894.2384</x:v>
      </x:c>
      <x:c r="H1236" s="12" t="n">
        <x:v>-32.099</x:v>
      </x:c>
      <x:c r="I1236" s="12" t="n">
        <x:v>-0.6559</x:v>
      </x:c>
      <x:c r="J1236" s="12" t="n">
        <x:v>-0.006580129731906379</x:v>
      </x:c>
      <x:c r="K1236" s="12" t="n">
        <x:v>201711719</x:v>
      </x:c>
      <x:c r="L1236" s="12" t="n">
        <x:v>397424964.846</x:v>
      </x:c>
      <x:c r="M1236" s="12" t="str">
        <x:v>TuShare index_daily</x:v>
      </x:c>
    </x:row>
    <x:row r="1237" ht="18" customHeight="1">
      <x:c r="A1237" s="13" t="n">
        <x:v>44428</x:v>
      </x:c>
      <x:c r="B1237" s="12" t="str">
        <x:v>000300.SH</x:v>
      </x:c>
      <x:c r="C1237" s="12" t="n">
        <x:v>4817.4937</x:v>
      </x:c>
      <x:c r="D1237" s="12" t="n">
        <x:v>4835.153</x:v>
      </x:c>
      <x:c r="E1237" s="12" t="n">
        <x:v>4720.8257</x:v>
      </x:c>
      <x:c r="F1237" s="12" t="n">
        <x:v>4769.2678</x:v>
      </x:c>
      <x:c r="G1237" s="12" t="n">
        <x:v>4862.1394</x:v>
      </x:c>
      <x:c r="H1237" s="12" t="n">
        <x:v>-92.8716</x:v>
      </x:c>
      <x:c r="I1237" s="12" t="n">
        <x:v>-1.9101</x:v>
      </x:c>
      <x:c r="J1237" s="12" t="n">
        <x:v>-0.019285754742048165</x:v>
      </x:c>
      <x:c r="K1237" s="12" t="n">
        <x:v>177635810</x:v>
      </x:c>
      <x:c r="L1237" s="12" t="n">
        <x:v>404938035.667</x:v>
      </x:c>
      <x:c r="M1237" s="12" t="str">
        <x:v>TuShare index_daily</x:v>
      </x:c>
    </x:row>
    <x:row r="1238" ht="18" customHeight="1">
      <x:c r="A1238" s="13" t="n">
        <x:v>44431</x:v>
      </x:c>
      <x:c r="B1238" s="12" t="str">
        <x:v>000300.SH</x:v>
      </x:c>
      <x:c r="C1238" s="12" t="n">
        <x:v>4777.7347</x:v>
      </x:c>
      <x:c r="D1238" s="12" t="n">
        <x:v>4843.8193</x:v>
      </x:c>
      <x:c r="E1238" s="12" t="n">
        <x:v>4764.0089</x:v>
      </x:c>
      <x:c r="F1238" s="12" t="n">
        <x:v>4835.8782</x:v>
      </x:c>
      <x:c r="G1238" s="12" t="n">
        <x:v>4769.2678</x:v>
      </x:c>
      <x:c r="H1238" s="12" t="n">
        <x:v>66.6104</x:v>
      </x:c>
      <x:c r="I1238" s="12" t="n">
        <x:v>1.3967</x:v>
      </x:c>
      <x:c r="J1238" s="12" t="n">
        <x:v>0.013869954261612503</x:v>
      </x:c>
      <x:c r="K1238" s="12" t="n">
        <x:v>167579093</x:v>
      </x:c>
      <x:c r="L1238" s="12" t="n">
        <x:v>389599126.282</x:v>
      </x:c>
      <x:c r="M1238" s="12" t="str">
        <x:v>TuShare index_daily</x:v>
      </x:c>
    </x:row>
    <x:row r="1239" ht="18" customHeight="1">
      <x:c r="A1239" s="13" t="n">
        <x:v>44432</x:v>
      </x:c>
      <x:c r="B1239" s="12" t="str">
        <x:v>000300.SH</x:v>
      </x:c>
      <x:c r="C1239" s="12" t="n">
        <x:v>4844.5925</x:v>
      </x:c>
      <x:c r="D1239" s="12" t="n">
        <x:v>4906.2036</x:v>
      </x:c>
      <x:c r="E1239" s="12" t="n">
        <x:v>4842.7476</x:v>
      </x:c>
      <x:c r="F1239" s="12" t="n">
        <x:v>4888.3902</x:v>
      </x:c>
      <x:c r="G1239" s="12" t="n">
        <x:v>4835.8782</x:v>
      </x:c>
      <x:c r="H1239" s="12" t="n">
        <x:v>52.512</x:v>
      </x:c>
      <x:c r="I1239" s="12" t="n">
        <x:v>1.0859</x:v>
      </x:c>
      <x:c r="J1239" s="12" t="n">
        <x:v>0.010800300502617191</x:v>
      </x:c>
      <x:c r="K1239" s="12" t="n">
        <x:v>197883163</x:v>
      </x:c>
      <x:c r="L1239" s="12" t="n">
        <x:v>417481426.158</x:v>
      </x:c>
      <x:c r="M1239" s="12" t="str">
        <x:v>TuShare index_daily</x:v>
      </x:c>
    </x:row>
    <x:row r="1240" ht="18" customHeight="1">
      <x:c r="A1240" s="13" t="n">
        <x:v>44433</x:v>
      </x:c>
      <x:c r="B1240" s="12" t="str">
        <x:v>000300.SH</x:v>
      </x:c>
      <x:c r="C1240" s="12" t="n">
        <x:v>4890.5211</x:v>
      </x:c>
      <x:c r="D1240" s="12" t="n">
        <x:v>4899.7651</x:v>
      </x:c>
      <x:c r="E1240" s="12" t="n">
        <x:v>4865.7646</x:v>
      </x:c>
      <x:c r="F1240" s="12" t="n">
        <x:v>4898.1572</x:v>
      </x:c>
      <x:c r="G1240" s="12" t="n">
        <x:v>4888.3902</x:v>
      </x:c>
      <x:c r="H1240" s="12" t="n">
        <x:v>9.767</x:v>
      </x:c>
      <x:c r="I1240" s="12" t="n">
        <x:v>0.1998</x:v>
      </x:c>
      <x:c r="J1240" s="12" t="n">
        <x:v>0.00199600591372526</x:v>
      </x:c>
      <x:c r="K1240" s="12" t="n">
        <x:v>189448016</x:v>
      </x:c>
      <x:c r="L1240" s="12" t="n">
        <x:v>371868197.459</x:v>
      </x:c>
      <x:c r="M1240" s="12" t="str">
        <x:v>TuShare index_daily</x:v>
      </x:c>
    </x:row>
    <x:row r="1241" ht="18" customHeight="1">
      <x:c r="A1241" s="13" t="n">
        <x:v>44434</x:v>
      </x:c>
      <x:c r="B1241" s="12" t="str">
        <x:v>000300.SH</x:v>
      </x:c>
      <x:c r="C1241" s="12" t="n">
        <x:v>4892.2044</x:v>
      </x:c>
      <x:c r="D1241" s="12" t="n">
        <x:v>4892.2044</x:v>
      </x:c>
      <x:c r="E1241" s="12" t="n">
        <x:v>4798.6954</x:v>
      </x:c>
      <x:c r="F1241" s="12" t="n">
        <x:v>4801.6094</x:v>
      </x:c>
      <x:c r="G1241" s="12" t="n">
        <x:v>4898.1572</x:v>
      </x:c>
      <x:c r="H1241" s="12" t="n">
        <x:v>-96.5478</x:v>
      </x:c>
      <x:c r="I1241" s="12" t="n">
        <x:v>-1.9711</x:v>
      </x:c>
      <x:c r="J1241" s="12" t="n">
        <x:v>-0.019907899364672393</x:v>
      </x:c>
      <x:c r="K1241" s="12" t="n">
        <x:v>197617387</x:v>
      </x:c>
      <x:c r="L1241" s="12" t="n">
        <x:v>368987718.506</x:v>
      </x:c>
      <x:c r="M1241" s="12" t="str">
        <x:v>TuShare index_daily</x:v>
      </x:c>
    </x:row>
    <x:row r="1242" ht="18" customHeight="1">
      <x:c r="A1242" s="13" t="n">
        <x:v>44435</x:v>
      </x:c>
      <x:c r="B1242" s="12" t="str">
        <x:v>000300.SH</x:v>
      </x:c>
      <x:c r="C1242" s="12" t="n">
        <x:v>4794.974</x:v>
      </x:c>
      <x:c r="D1242" s="12" t="n">
        <x:v>4863.4692</x:v>
      </x:c>
      <x:c r="E1242" s="12" t="n">
        <x:v>4793.5908</x:v>
      </x:c>
      <x:c r="F1242" s="12" t="n">
        <x:v>4827.0433</x:v>
      </x:c>
      <x:c r="G1242" s="12" t="n">
        <x:v>4801.6094</x:v>
      </x:c>
      <x:c r="H1242" s="12" t="n">
        <x:v>25.4339</x:v>
      </x:c>
      <x:c r="I1242" s="12" t="n">
        <x:v>0.5297</x:v>
      </x:c>
      <x:c r="J1242" s="12" t="n">
        <x:v>0.005282973630273834</x:v>
      </x:c>
      <x:c r="K1242" s="12" t="n">
        <x:v>183310211</x:v>
      </x:c>
      <x:c r="L1242" s="12" t="n">
        <x:v>368421410.281</x:v>
      </x:c>
      <x:c r="M1242" s="12" t="str">
        <x:v>TuShare index_daily</x:v>
      </x:c>
    </x:row>
    <x:row r="1243" ht="18" customHeight="1">
      <x:c r="A1243" s="13" t="n">
        <x:v>44438</x:v>
      </x:c>
      <x:c r="B1243" s="12" t="str">
        <x:v>000300.SH</x:v>
      </x:c>
      <x:c r="C1243" s="12" t="n">
        <x:v>4847.0348</x:v>
      </x:c>
      <x:c r="D1243" s="12" t="n">
        <x:v>4849.1598</x:v>
      </x:c>
      <x:c r="E1243" s="12" t="n">
        <x:v>4787.1999</x:v>
      </x:c>
      <x:c r="F1243" s="12" t="n">
        <x:v>4813.2703</x:v>
      </x:c>
      <x:c r="G1243" s="12" t="n">
        <x:v>4827.0433</x:v>
      </x:c>
      <x:c r="H1243" s="12" t="n">
        <x:v>-13.773</x:v>
      </x:c>
      <x:c r="I1243" s="12" t="n">
        <x:v>-0.2853</x:v>
      </x:c>
      <x:c r="J1243" s="12" t="n">
        <x:v>-0.0028573778701406795</x:v>
      </x:c>
      <x:c r="K1243" s="12" t="n">
        <x:v>219635757</x:v>
      </x:c>
      <x:c r="L1243" s="12" t="n">
        <x:v>477182071.72</x:v>
      </x:c>
      <x:c r="M1243" s="12" t="str">
        <x:v>TuShare index_daily</x:v>
      </x:c>
    </x:row>
    <x:row r="1244" ht="18" customHeight="1">
      <x:c r="A1244" s="13" t="n">
        <x:v>44439</x:v>
      </x:c>
      <x:c r="B1244" s="12" t="str">
        <x:v>000300.SH</x:v>
      </x:c>
      <x:c r="C1244" s="12" t="n">
        <x:v>4803.0854</x:v>
      </x:c>
      <x:c r="D1244" s="12" t="n">
        <x:v>4821.7564</x:v>
      </x:c>
      <x:c r="E1244" s="12" t="n">
        <x:v>4740.7524</x:v>
      </x:c>
      <x:c r="F1244" s="12" t="n">
        <x:v>4805.6099</x:v>
      </x:c>
      <x:c r="G1244" s="12" t="n">
        <x:v>4813.2703</x:v>
      </x:c>
      <x:c r="H1244" s="12" t="n">
        <x:v>-7.6604</x:v>
      </x:c>
      <x:c r="I1244" s="12" t="n">
        <x:v>-0.1592</x:v>
      </x:c>
      <x:c r="J1244" s="12" t="n">
        <x:v>-0.0015927844947090822</x:v>
      </x:c>
      <x:c r="K1244" s="12" t="n">
        <x:v>235118658</x:v>
      </x:c>
      <x:c r="L1244" s="12" t="n">
        <x:v>460805653.996</x:v>
      </x:c>
      <x:c r="M1244" s="12" t="str">
        <x:v>TuShare index_daily</x:v>
      </x:c>
    </x:row>
    <x:row r="1245" ht="18" customHeight="1">
      <x:c r="A1245" s="13" t="n">
        <x:v>44440</x:v>
      </x:c>
      <x:c r="B1245" s="12" t="str">
        <x:v>000300.SH</x:v>
      </x:c>
      <x:c r="C1245" s="12" t="n">
        <x:v>4804.6863</x:v>
      </x:c>
      <x:c r="D1245" s="12" t="n">
        <x:v>4906.4024</x:v>
      </x:c>
      <x:c r="E1245" s="12" t="n">
        <x:v>4763.2992</x:v>
      </x:c>
      <x:c r="F1245" s="12" t="n">
        <x:v>4869.4587</x:v>
      </x:c>
      <x:c r="G1245" s="12" t="n">
        <x:v>4805.6099</x:v>
      </x:c>
      <x:c r="H1245" s="12" t="n">
        <x:v>63.8488</x:v>
      </x:c>
      <x:c r="I1245" s="12" t="n">
        <x:v>1.3286</x:v>
      </x:c>
      <x:c r="J1245" s="12" t="n">
        <x:v>0.013198816371313428</x:v>
      </x:c>
      <x:c r="K1245" s="12" t="n">
        <x:v>326721080</x:v>
      </x:c>
      <x:c r="L1245" s="12" t="n">
        <x:v>568819748.406</x:v>
      </x:c>
      <x:c r="M1245" s="12" t="str">
        <x:v>TuShare index_daily</x:v>
      </x:c>
    </x:row>
    <x:row r="1246" ht="18" customHeight="1">
      <x:c r="A1246" s="13" t="n">
        <x:v>44441</x:v>
      </x:c>
      <x:c r="B1246" s="12" t="str">
        <x:v>000300.SH</x:v>
      </x:c>
      <x:c r="C1246" s="12" t="n">
        <x:v>4865.8218</x:v>
      </x:c>
      <x:c r="D1246" s="12" t="n">
        <x:v>4892.7049</x:v>
      </x:c>
      <x:c r="E1246" s="12" t="n">
        <x:v>4845.6246</x:v>
      </x:c>
      <x:c r="F1246" s="12" t="n">
        <x:v>4869.4113</x:v>
      </x:c>
      <x:c r="G1246" s="12" t="n">
        <x:v>4869.4587</x:v>
      </x:c>
      <x:c r="H1246" s="12" t="n">
        <x:v>-0.0474</x:v>
      </x:c>
      <x:c r="I1246" s="12" t="n">
        <x:v>-0.001</x:v>
      </x:c>
      <x:c r="J1246" s="12" t="n">
        <x:v>-0.000009734188874249115</x:v>
      </x:c>
      <x:c r="K1246" s="12" t="n">
        <x:v>267858013</x:v>
      </x:c>
      <x:c r="L1246" s="12" t="n">
        <x:v>465954132.797</x:v>
      </x:c>
      <x:c r="M1246" s="12" t="str">
        <x:v>TuShare index_daily</x:v>
      </x:c>
    </x:row>
    <x:row r="1247" ht="18" customHeight="1">
      <x:c r="A1247" s="13" t="n">
        <x:v>44442</x:v>
      </x:c>
      <x:c r="B1247" s="12" t="str">
        <x:v>000300.SH</x:v>
      </x:c>
      <x:c r="C1247" s="12" t="n">
        <x:v>4875.0656</x:v>
      </x:c>
      <x:c r="D1247" s="12" t="n">
        <x:v>4886.5477</x:v>
      </x:c>
      <x:c r="E1247" s="12" t="n">
        <x:v>4828.6991</x:v>
      </x:c>
      <x:c r="F1247" s="12" t="n">
        <x:v>4843.0624</x:v>
      </x:c>
      <x:c r="G1247" s="12" t="n">
        <x:v>4869.4113</x:v>
      </x:c>
      <x:c r="H1247" s="12" t="n">
        <x:v>-26.3489</x:v>
      </x:c>
      <x:c r="I1247" s="12" t="n">
        <x:v>-0.5411</x:v>
      </x:c>
      <x:c r="J1247" s="12" t="n">
        <x:v>-0.005425798916923169</x:v>
      </x:c>
      <x:c r="K1247" s="12" t="n">
        <x:v>268091896</x:v>
      </x:c>
      <x:c r="L1247" s="12" t="n">
        <x:v>466430119.7</x:v>
      </x:c>
      <x:c r="M1247" s="12" t="str">
        <x:v>TuShare index_daily</x:v>
      </x:c>
    </x:row>
    <x:row r="1248" ht="18" customHeight="1">
      <x:c r="A1248" s="13" t="n">
        <x:v>44445</x:v>
      </x:c>
      <x:c r="B1248" s="12" t="str">
        <x:v>000300.SH</x:v>
      </x:c>
      <x:c r="C1248" s="12" t="n">
        <x:v>4841.0623</x:v>
      </x:c>
      <x:c r="D1248" s="12" t="n">
        <x:v>4944.4497</x:v>
      </x:c>
      <x:c r="E1248" s="12" t="n">
        <x:v>4837.7859</x:v>
      </x:c>
      <x:c r="F1248" s="12" t="n">
        <x:v>4933.7262</x:v>
      </x:c>
      <x:c r="G1248" s="12" t="n">
        <x:v>4843.0624</x:v>
      </x:c>
      <x:c r="H1248" s="12" t="n">
        <x:v>90.6638</x:v>
      </x:c>
      <x:c r="I1248" s="12" t="n">
        <x:v>1.872</x:v>
      </x:c>
      <x:c r="J1248" s="12" t="n">
        <x:v>0.01854727615262288</x:v>
      </x:c>
      <x:c r="K1248" s="12" t="n">
        <x:v>240507245</x:v>
      </x:c>
      <x:c r="L1248" s="12" t="n">
        <x:v>452756275.292</x:v>
      </x:c>
      <x:c r="M1248" s="12" t="str">
        <x:v>TuShare index_daily</x:v>
      </x:c>
    </x:row>
    <x:row r="1249" ht="18" customHeight="1">
      <x:c r="A1249" s="13" t="n">
        <x:v>44446</x:v>
      </x:c>
      <x:c r="B1249" s="12" t="str">
        <x:v>000300.SH</x:v>
      </x:c>
      <x:c r="C1249" s="12" t="n">
        <x:v>4932.9759</x:v>
      </x:c>
      <x:c r="D1249" s="12" t="n">
        <x:v>5005.9606</x:v>
      </x:c>
      <x:c r="E1249" s="12" t="n">
        <x:v>4915.6119</x:v>
      </x:c>
      <x:c r="F1249" s="12" t="n">
        <x:v>4992.8294</x:v>
      </x:c>
      <x:c r="G1249" s="12" t="n">
        <x:v>4933.7262</x:v>
      </x:c>
      <x:c r="H1249" s="12" t="n">
        <x:v>59.1032</x:v>
      </x:c>
      <x:c r="I1249" s="12" t="n">
        <x:v>1.1979</x:v>
      </x:c>
      <x:c r="J1249" s="12" t="n">
        <x:v>0.011908239033383661</x:v>
      </x:c>
      <x:c r="K1249" s="12" t="n">
        <x:v>244178519</x:v>
      </x:c>
      <x:c r="L1249" s="12" t="n">
        <x:v>417759639.121</x:v>
      </x:c>
      <x:c r="M1249" s="12" t="str">
        <x:v>TuShare index_daily</x:v>
      </x:c>
    </x:row>
    <x:row r="1250" ht="18" customHeight="1">
      <x:c r="A1250" s="13" t="n">
        <x:v>44447</x:v>
      </x:c>
      <x:c r="B1250" s="12" t="str">
        <x:v>000300.SH</x:v>
      </x:c>
      <x:c r="C1250" s="12" t="n">
        <x:v>4986.7953</x:v>
      </x:c>
      <x:c r="D1250" s="12" t="n">
        <x:v>5013.9764</x:v>
      </x:c>
      <x:c r="E1250" s="12" t="n">
        <x:v>4955.8876</x:v>
      </x:c>
      <x:c r="F1250" s="12" t="n">
        <x:v>4972.1324</x:v>
      </x:c>
      <x:c r="G1250" s="12" t="n">
        <x:v>4992.8294</x:v>
      </x:c>
      <x:c r="H1250" s="12" t="n">
        <x:v>-20.697</x:v>
      </x:c>
      <x:c r="I1250" s="12" t="n">
        <x:v>-0.4145</x:v>
      </x:c>
      <x:c r="J1250" s="12" t="n">
        <x:v>-0.004153960682764128</x:v>
      </x:c>
      <x:c r="K1250" s="12" t="n">
        <x:v>264615315</x:v>
      </x:c>
      <x:c r="L1250" s="12" t="n">
        <x:v>428591077.708</x:v>
      </x:c>
      <x:c r="M1250" s="12" t="str">
        <x:v>TuShare index_daily</x:v>
      </x:c>
    </x:row>
    <x:row r="1251" ht="18" customHeight="1">
      <x:c r="A1251" s="13" t="n">
        <x:v>44448</x:v>
      </x:c>
      <x:c r="B1251" s="12" t="str">
        <x:v>000300.SH</x:v>
      </x:c>
      <x:c r="C1251" s="12" t="n">
        <x:v>4952.4924</x:v>
      </x:c>
      <x:c r="D1251" s="12" t="n">
        <x:v>4970.147</x:v>
      </x:c>
      <x:c r="E1251" s="12" t="n">
        <x:v>4929.9501</x:v>
      </x:c>
      <x:c r="F1251" s="12" t="n">
        <x:v>4970.0133</x:v>
      </x:c>
      <x:c r="G1251" s="12" t="n">
        <x:v>4972.1324</x:v>
      </x:c>
      <x:c r="H1251" s="12" t="n">
        <x:v>-2.1191</x:v>
      </x:c>
      <x:c r="I1251" s="12" t="n">
        <x:v>-0.0426</x:v>
      </x:c>
      <x:c r="J1251" s="12" t="n">
        <x:v>-0.0004262862557105811</x:v>
      </x:c>
      <x:c r="K1251" s="12" t="n">
        <x:v>256530217</x:v>
      </x:c>
      <x:c r="L1251" s="12" t="n">
        <x:v>401675689.276</x:v>
      </x:c>
      <x:c r="M1251" s="12" t="str">
        <x:v>TuShare index_daily</x:v>
      </x:c>
    </x:row>
    <x:row r="1252" ht="18" customHeight="1">
      <x:c r="A1252" s="13" t="n">
        <x:v>44449</x:v>
      </x:c>
      <x:c r="B1252" s="12" t="str">
        <x:v>000300.SH</x:v>
      </x:c>
      <x:c r="C1252" s="12" t="n">
        <x:v>4967.9759</x:v>
      </x:c>
      <x:c r="D1252" s="12" t="n">
        <x:v>5042.7994</x:v>
      </x:c>
      <x:c r="E1252" s="12" t="n">
        <x:v>4962.3707</x:v>
      </x:c>
      <x:c r="F1252" s="12" t="n">
        <x:v>5013.5219</x:v>
      </x:c>
      <x:c r="G1252" s="12" t="n">
        <x:v>4970.0133</x:v>
      </x:c>
      <x:c r="H1252" s="12" t="n">
        <x:v>43.5086</x:v>
      </x:c>
      <x:c r="I1252" s="12" t="n">
        <x:v>0.8754</x:v>
      </x:c>
      <x:c r="J1252" s="12" t="n">
        <x:v>0.008716126016851936</x:v>
      </x:c>
      <x:c r="K1252" s="12" t="n">
        <x:v>288304352</x:v>
      </x:c>
      <x:c r="L1252" s="12" t="n">
        <x:v>472762533.239</x:v>
      </x:c>
      <x:c r="M1252" s="12" t="str">
        <x:v>TuShare index_daily</x:v>
      </x:c>
    </x:row>
    <x:row r="1253" ht="18" customHeight="1">
      <x:c r="A1253" s="13" t="n">
        <x:v>44452</x:v>
      </x:c>
      <x:c r="B1253" s="12" t="str">
        <x:v>000300.SH</x:v>
      </x:c>
      <x:c r="C1253" s="12" t="n">
        <x:v>5006.7748</x:v>
      </x:c>
      <x:c r="D1253" s="12" t="n">
        <x:v>5029.7237</x:v>
      </x:c>
      <x:c r="E1253" s="12" t="n">
        <x:v>4964.9599</x:v>
      </x:c>
      <x:c r="F1253" s="12" t="n">
        <x:v>4991.6598</x:v>
      </x:c>
      <x:c r="G1253" s="12" t="n">
        <x:v>5013.5219</x:v>
      </x:c>
      <x:c r="H1253" s="12" t="n">
        <x:v>-21.8621</x:v>
      </x:c>
      <x:c r="I1253" s="12" t="n">
        <x:v>-0.4361</x:v>
      </x:c>
      <x:c r="J1253" s="12" t="n">
        <x:v>-0.004370162471732712</x:v>
      </x:c>
      <x:c r="K1253" s="12" t="n">
        <x:v>249915298</x:v>
      </x:c>
      <x:c r="L1253" s="12" t="n">
        <x:v>433329627.421</x:v>
      </x:c>
      <x:c r="M1253" s="12" t="str">
        <x:v>TuShare index_daily</x:v>
      </x:c>
    </x:row>
    <x:row r="1254" ht="18" customHeight="1">
      <x:c r="A1254" s="13" t="n">
        <x:v>44453</x:v>
      </x:c>
      <x:c r="B1254" s="12" t="str">
        <x:v>000300.SH</x:v>
      </x:c>
      <x:c r="C1254" s="12" t="n">
        <x:v>4989.8348</x:v>
      </x:c>
      <x:c r="D1254" s="12" t="n">
        <x:v>5000.9772</x:v>
      </x:c>
      <x:c r="E1254" s="12" t="n">
        <x:v>4907.3159</x:v>
      </x:c>
      <x:c r="F1254" s="12" t="n">
        <x:v>4917.1617</x:v>
      </x:c>
      <x:c r="G1254" s="12" t="n">
        <x:v>4991.6598</x:v>
      </x:c>
      <x:c r="H1254" s="12" t="n">
        <x:v>-74.4981</x:v>
      </x:c>
      <x:c r="I1254" s="12" t="n">
        <x:v>-1.4925</x:v>
      </x:c>
      <x:c r="J1254" s="12" t="n">
        <x:v>-0.015037005911300897</x:v>
      </x:c>
      <x:c r="K1254" s="12" t="n">
        <x:v>245590402</x:v>
      </x:c>
      <x:c r="L1254" s="12" t="n">
        <x:v>417245830.782</x:v>
      </x:c>
      <x:c r="M1254" s="12" t="str">
        <x:v>TuShare index_daily</x:v>
      </x:c>
    </x:row>
    <x:row r="1255" ht="18" customHeight="1">
      <x:c r="A1255" s="13" t="n">
        <x:v>44454</x:v>
      </x:c>
      <x:c r="B1255" s="12" t="str">
        <x:v>000300.SH</x:v>
      </x:c>
      <x:c r="C1255" s="12" t="n">
        <x:v>4903.8471</x:v>
      </x:c>
      <x:c r="D1255" s="12" t="n">
        <x:v>4903.8471</x:v>
      </x:c>
      <x:c r="E1255" s="12" t="n">
        <x:v>4843.1158</x:v>
      </x:c>
      <x:c r="F1255" s="12" t="n">
        <x:v>4867.3187</x:v>
      </x:c>
      <x:c r="G1255" s="12" t="n">
        <x:v>4917.1617</x:v>
      </x:c>
      <x:c r="H1255" s="12" t="n">
        <x:v>-49.843</x:v>
      </x:c>
      <x:c r="I1255" s="12" t="n">
        <x:v>-1.0137</x:v>
      </x:c>
      <x:c r="J1255" s="12" t="n">
        <x:v>-0.010188263271322358</x:v>
      </x:c>
      <x:c r="K1255" s="12" t="n">
        <x:v>187984730</x:v>
      </x:c>
      <x:c r="L1255" s="12" t="n">
        <x:v>363256653.878</x:v>
      </x:c>
      <x:c r="M1255" s="12" t="str">
        <x:v>TuShare index_daily</x:v>
      </x:c>
    </x:row>
    <x:row r="1256" ht="18" customHeight="1">
      <x:c r="A1256" s="13" t="n">
        <x:v>44455</x:v>
      </x:c>
      <x:c r="B1256" s="12" t="str">
        <x:v>000300.SH</x:v>
      </x:c>
      <x:c r="C1256" s="12" t="n">
        <x:v>4866.7936</x:v>
      </x:c>
      <x:c r="D1256" s="12" t="n">
        <x:v>4879.5306</x:v>
      </x:c>
      <x:c r="E1256" s="12" t="n">
        <x:v>4806.1442</x:v>
      </x:c>
      <x:c r="F1256" s="12" t="n">
        <x:v>4807.6978</x:v>
      </x:c>
      <x:c r="G1256" s="12" t="n">
        <x:v>4867.3187</x:v>
      </x:c>
      <x:c r="H1256" s="12" t="n">
        <x:v>-59.6209</x:v>
      </x:c>
      <x:c r="I1256" s="12" t="n">
        <x:v>-1.2249</x:v>
      </x:c>
      <x:c r="J1256" s="12" t="n">
        <x:v>-0.012324868843624045</x:v>
      </x:c>
      <x:c r="K1256" s="12" t="n">
        <x:v>216752099</x:v>
      </x:c>
      <x:c r="L1256" s="12" t="n">
        <x:v>393517267.166</x:v>
      </x:c>
      <x:c r="M1256" s="12" t="str">
        <x:v>TuShare index_daily</x:v>
      </x:c>
    </x:row>
    <x:row r="1257" ht="18" customHeight="1">
      <x:c r="A1257" s="13" t="n">
        <x:v>44456</x:v>
      </x:c>
      <x:c r="B1257" s="12" t="str">
        <x:v>000300.SH</x:v>
      </x:c>
      <x:c r="C1257" s="12" t="n">
        <x:v>4797.1129</x:v>
      </x:c>
      <x:c r="D1257" s="12" t="n">
        <x:v>4857.958</x:v>
      </x:c>
      <x:c r="E1257" s="12" t="n">
        <x:v>4786.0876</x:v>
      </x:c>
      <x:c r="F1257" s="12" t="n">
        <x:v>4855.9402</x:v>
      </x:c>
      <x:c r="G1257" s="12" t="n">
        <x:v>4807.6978</x:v>
      </x:c>
      <x:c r="H1257" s="12" t="n">
        <x:v>48.2424</x:v>
      </x:c>
      <x:c r="I1257" s="12" t="n">
        <x:v>1.0034</x:v>
      </x:c>
      <x:c r="J1257" s="12" t="n">
        <x:v>0.009984397338931174</x:v>
      </x:c>
      <x:c r="K1257" s="12" t="n">
        <x:v>201958127</x:v>
      </x:c>
      <x:c r="L1257" s="12" t="n">
        <x:v>360397420.087</x:v>
      </x:c>
      <x:c r="M1257" s="12" t="str">
        <x:v>TuShare index_daily</x:v>
      </x:c>
    </x:row>
    <x:row r="1258" ht="18" customHeight="1">
      <x:c r="A1258" s="13" t="n">
        <x:v>44461</x:v>
      </x:c>
      <x:c r="B1258" s="12" t="str">
        <x:v>000300.SH</x:v>
      </x:c>
      <x:c r="C1258" s="12" t="n">
        <x:v>4770.7323</x:v>
      </x:c>
      <x:c r="D1258" s="12" t="n">
        <x:v>4830.8496</x:v>
      </x:c>
      <x:c r="E1258" s="12" t="n">
        <x:v>4765.2301</x:v>
      </x:c>
      <x:c r="F1258" s="12" t="n">
        <x:v>4821.7675</x:v>
      </x:c>
      <x:c r="G1258" s="12" t="n">
        <x:v>4855.9402</x:v>
      </x:c>
      <x:c r="H1258" s="12" t="n">
        <x:v>-34.1727</x:v>
      </x:c>
      <x:c r="I1258" s="12" t="n">
        <x:v>-0.7037</x:v>
      </x:c>
      <x:c r="J1258" s="12" t="n">
        <x:v>-0.0070621769302446555</x:v>
      </x:c>
      <x:c r="K1258" s="12" t="n">
        <x:v>191220376</x:v>
      </x:c>
      <x:c r="L1258" s="12" t="n">
        <x:v>311952989.432</x:v>
      </x:c>
      <x:c r="M1258" s="12" t="str">
        <x:v>TuShare index_daily</x:v>
      </x:c>
    </x:row>
    <x:row r="1259" ht="18" customHeight="1">
      <x:c r="A1259" s="13" t="n">
        <x:v>44462</x:v>
      </x:c>
      <x:c r="B1259" s="12" t="str">
        <x:v>000300.SH</x:v>
      </x:c>
      <x:c r="C1259" s="12" t="n">
        <x:v>4848.2223</x:v>
      </x:c>
      <x:c r="D1259" s="12" t="n">
        <x:v>4877.3359</x:v>
      </x:c>
      <x:c r="E1259" s="12" t="n">
        <x:v>4837.5571</x:v>
      </x:c>
      <x:c r="F1259" s="12" t="n">
        <x:v>4853.1957</x:v>
      </x:c>
      <x:c r="G1259" s="12" t="n">
        <x:v>4821.7675</x:v>
      </x:c>
      <x:c r="H1259" s="12" t="n">
        <x:v>31.4282</x:v>
      </x:c>
      <x:c r="I1259" s="12" t="n">
        <x:v>0.6518</x:v>
      </x:c>
      <x:c r="J1259" s="12" t="n">
        <x:v>0.0064968330929834825</x:v>
      </x:c>
      <x:c r="K1259" s="12" t="n">
        <x:v>228151064</x:v>
      </x:c>
      <x:c r="L1259" s="12" t="n">
        <x:v>362140919.563</x:v>
      </x:c>
      <x:c r="M1259" s="12" t="str">
        <x:v>TuShare index_daily</x:v>
      </x:c>
    </x:row>
    <x:row r="1260" ht="18" customHeight="1">
      <x:c r="A1260" s="13" t="n">
        <x:v>44463</x:v>
      </x:c>
      <x:c r="B1260" s="12" t="str">
        <x:v>000300.SH</x:v>
      </x:c>
      <x:c r="C1260" s="12" t="n">
        <x:v>4845.638</x:v>
      </x:c>
      <x:c r="D1260" s="12" t="n">
        <x:v>4897.0596</x:v>
      </x:c>
      <x:c r="E1260" s="12" t="n">
        <x:v>4838.5352</x:v>
      </x:c>
      <x:c r="F1260" s="12" t="n">
        <x:v>4849.4277</x:v>
      </x:c>
      <x:c r="G1260" s="12" t="n">
        <x:v>4853.1957</x:v>
      </x:c>
      <x:c r="H1260" s="12" t="n">
        <x:v>-3.768</x:v>
      </x:c>
      <x:c r="I1260" s="12" t="n">
        <x:v>-0.0776</x:v>
      </x:c>
      <x:c r="J1260" s="12" t="n">
        <x:v>-0.0007766971949922549</x:v>
      </x:c>
      <x:c r="K1260" s="12" t="n">
        <x:v>207693290</x:v>
      </x:c>
      <x:c r="L1260" s="12" t="n">
        <x:v>361849453.197</x:v>
      </x:c>
      <x:c r="M1260" s="12" t="str">
        <x:v>TuShare index_daily</x:v>
      </x:c>
    </x:row>
    <x:row r="1261" ht="18" customHeight="1">
      <x:c r="A1261" s="13" t="n">
        <x:v>44466</x:v>
      </x:c>
      <x:c r="B1261" s="12" t="str">
        <x:v>000300.SH</x:v>
      </x:c>
      <x:c r="C1261" s="12" t="n">
        <x:v>4870.8482</x:v>
      </x:c>
      <x:c r="D1261" s="12" t="n">
        <x:v>4922.5626</x:v>
      </x:c>
      <x:c r="E1261" s="12" t="n">
        <x:v>4852.1997</x:v>
      </x:c>
      <x:c r="F1261" s="12" t="n">
        <x:v>4877.3698</x:v>
      </x:c>
      <x:c r="G1261" s="12" t="n">
        <x:v>4849.4277</x:v>
      </x:c>
      <x:c r="H1261" s="12" t="n">
        <x:v>27.9421</x:v>
      </x:c>
      <x:c r="I1261" s="12" t="n">
        <x:v>0.5762</x:v>
      </x:c>
      <x:c r="J1261" s="12" t="n">
        <x:v>0.005745401168918581</x:v>
      </x:c>
      <x:c r="K1261" s="12" t="n">
        <x:v>215967030</x:v>
      </x:c>
      <x:c r="L1261" s="12" t="n">
        <x:v>426083025.418</x:v>
      </x:c>
      <x:c r="M1261" s="12" t="str">
        <x:v>TuShare index_daily</x:v>
      </x:c>
    </x:row>
    <x:row r="1262" ht="18" customHeight="1">
      <x:c r="A1262" s="13" t="n">
        <x:v>44467</x:v>
      </x:c>
      <x:c r="B1262" s="12" t="str">
        <x:v>000300.SH</x:v>
      </x:c>
      <x:c r="C1262" s="12" t="n">
        <x:v>4869.0845</x:v>
      </x:c>
      <x:c r="D1262" s="12" t="n">
        <x:v>4901.3114</x:v>
      </x:c>
      <x:c r="E1262" s="12" t="n">
        <x:v>4846.6306</x:v>
      </x:c>
      <x:c r="F1262" s="12" t="n">
        <x:v>4883.828</x:v>
      </x:c>
      <x:c r="G1262" s="12" t="n">
        <x:v>4877.3698</x:v>
      </x:c>
      <x:c r="H1262" s="12" t="n">
        <x:v>6.4582</x:v>
      </x:c>
      <x:c r="I1262" s="12" t="n">
        <x:v>0.1324</x:v>
      </x:c>
      <x:c r="J1262" s="12" t="n">
        <x:v>0.0013232394373443024</x:v>
      </x:c>
      <x:c r="K1262" s="12" t="n">
        <x:v>176890880</x:v>
      </x:c>
      <x:c r="L1262" s="12" t="n">
        <x:v>321272191.534</x:v>
      </x:c>
      <x:c r="M1262" s="12" t="str">
        <x:v>TuShare index_daily</x:v>
      </x:c>
    </x:row>
    <x:row r="1263" ht="18" customHeight="1">
      <x:c r="A1263" s="13" t="n">
        <x:v>44468</x:v>
      </x:c>
      <x:c r="B1263" s="12" t="str">
        <x:v>000300.SH</x:v>
      </x:c>
      <x:c r="C1263" s="12" t="n">
        <x:v>4846.0212</x:v>
      </x:c>
      <x:c r="D1263" s="12" t="n">
        <x:v>4868.0678</x:v>
      </x:c>
      <x:c r="E1263" s="12" t="n">
        <x:v>4799.877</x:v>
      </x:c>
      <x:c r="F1263" s="12" t="n">
        <x:v>4833.9281</x:v>
      </x:c>
      <x:c r="G1263" s="12" t="n">
        <x:v>4883.828</x:v>
      </x:c>
      <x:c r="H1263" s="12" t="n">
        <x:v>-49.8999</x:v>
      </x:c>
      <x:c r="I1263" s="12" t="n">
        <x:v>-1.0217</x:v>
      </x:c>
      <x:c r="J1263" s="12" t="n">
        <x:v>-0.010269930232940807</x:v>
      </x:c>
      <x:c r="K1263" s="12" t="n">
        <x:v>188171366</x:v>
      </x:c>
      <x:c r="L1263" s="12" t="n">
        <x:v>331841767.749</x:v>
      </x:c>
      <x:c r="M1263" s="12" t="str">
        <x:v>TuShare index_daily</x:v>
      </x:c>
    </x:row>
    <x:row r="1264" ht="18" customHeight="1">
      <x:c r="A1264" s="13" t="n">
        <x:v>44469</x:v>
      </x:c>
      <x:c r="B1264" s="12" t="str">
        <x:v>000300.SH</x:v>
      </x:c>
      <x:c r="C1264" s="12" t="n">
        <x:v>4843.9531</x:v>
      </x:c>
      <x:c r="D1264" s="12" t="n">
        <x:v>4876.0728</x:v>
      </x:c>
      <x:c r="E1264" s="12" t="n">
        <x:v>4843.9531</x:v>
      </x:c>
      <x:c r="F1264" s="12" t="n">
        <x:v>4866.3826</x:v>
      </x:c>
      <x:c r="G1264" s="12" t="n">
        <x:v>4833.9281</x:v>
      </x:c>
      <x:c r="H1264" s="12" t="n">
        <x:v>32.4545</x:v>
      </x:c>
      <x:c r="I1264" s="12" t="n">
        <x:v>0.6714</x:v>
      </x:c>
      <x:c r="J1264" s="12" t="n">
        <x:v>0.0066914601194143246</x:v>
      </x:c>
      <x:c r="K1264" s="12" t="n">
        <x:v>146113896</x:v>
      </x:c>
      <x:c r="L1264" s="12" t="n">
        <x:v>283254685.232</x:v>
      </x:c>
      <x:c r="M1264" s="12" t="str">
        <x:v>TuShare index_daily</x:v>
      </x:c>
    </x:row>
    <x:row r="1265" ht="18" customHeight="1">
      <x:c r="A1265" s="13" t="n">
        <x:v>44477</x:v>
      </x:c>
      <x:c r="B1265" s="12" t="str">
        <x:v>000300.SH</x:v>
      </x:c>
      <x:c r="C1265" s="12" t="n">
        <x:v>4915.7305</x:v>
      </x:c>
      <x:c r="D1265" s="12" t="n">
        <x:v>4937.0918</x:v>
      </x:c>
      <x:c r="E1265" s="12" t="n">
        <x:v>4891.6249</x:v>
      </x:c>
      <x:c r="F1265" s="12" t="n">
        <x:v>4929.9409</x:v>
      </x:c>
      <x:c r="G1265" s="12" t="n">
        <x:v>4866.3826</x:v>
      </x:c>
      <x:c r="H1265" s="12" t="n">
        <x:v>63.5583</x:v>
      </x:c>
      <x:c r="I1265" s="12" t="n">
        <x:v>1.3061</x:v>
      </x:c>
      <x:c r="J1265" s="12" t="n">
        <x:v>0.01297613167354878</x:v>
      </x:c>
      <x:c r="K1265" s="12" t="n">
        <x:v>168968077</x:v>
      </x:c>
      <x:c r="L1265" s="12" t="n">
        <x:v>343635835.306</x:v>
      </x:c>
      <x:c r="M1265" s="12" t="str">
        <x:v>TuShare index_daily</x:v>
      </x:c>
    </x:row>
    <x:row r="1266" ht="18" customHeight="1">
      <x:c r="A1266" s="13" t="n">
        <x:v>44480</x:v>
      </x:c>
      <x:c r="B1266" s="12" t="str">
        <x:v>000300.SH</x:v>
      </x:c>
      <x:c r="C1266" s="12" t="n">
        <x:v>4941.2918</x:v>
      </x:c>
      <x:c r="D1266" s="12" t="n">
        <x:v>4983.7294</x:v>
      </x:c>
      <x:c r="E1266" s="12" t="n">
        <x:v>4930.7132</x:v>
      </x:c>
      <x:c r="F1266" s="12" t="n">
        <x:v>4936.1918</x:v>
      </x:c>
      <x:c r="G1266" s="12" t="n">
        <x:v>4929.9409</x:v>
      </x:c>
      <x:c r="H1266" s="12" t="n">
        <x:v>6.2509</x:v>
      </x:c>
      <x:c r="I1266" s="12" t="n">
        <x:v>0.1268</x:v>
      </x:c>
      <x:c r="J1266" s="12" t="n">
        <x:v>0.0012671430694210562</x:v>
      </x:c>
      <x:c r="K1266" s="12" t="n">
        <x:v>163511624</x:v>
      </x:c>
      <x:c r="L1266" s="12" t="n">
        <x:v>315186321.382</x:v>
      </x:c>
      <x:c r="M1266" s="12" t="str">
        <x:v>TuShare index_daily</x:v>
      </x:c>
    </x:row>
    <x:row r="1267" ht="18" customHeight="1">
      <x:c r="A1267" s="13" t="n">
        <x:v>44481</x:v>
      </x:c>
      <x:c r="B1267" s="12" t="str">
        <x:v>000300.SH</x:v>
      </x:c>
      <x:c r="C1267" s="12" t="n">
        <x:v>4920.6596</x:v>
      </x:c>
      <x:c r="D1267" s="12" t="n">
        <x:v>4925.4883</x:v>
      </x:c>
      <x:c r="E1267" s="12" t="n">
        <x:v>4840.77</x:v>
      </x:c>
      <x:c r="F1267" s="12" t="n">
        <x:v>4883.8369</x:v>
      </x:c>
      <x:c r="G1267" s="12" t="n">
        <x:v>4936.1918</x:v>
      </x:c>
      <x:c r="H1267" s="12" t="n">
        <x:v>-52.3549</x:v>
      </x:c>
      <x:c r="I1267" s="12" t="n">
        <x:v>-1.0606</x:v>
      </x:c>
      <x:c r="J1267" s="12" t="n">
        <x:v>-0.010662982290104397</x:v>
      </x:c>
      <x:c r="K1267" s="12" t="n">
        <x:v>168079337</x:v>
      </x:c>
      <x:c r="L1267" s="12" t="n">
        <x:v>299424238.601</x:v>
      </x:c>
      <x:c r="M1267" s="12" t="str">
        <x:v>TuShare index_daily</x:v>
      </x:c>
    </x:row>
    <x:row r="1268" ht="18" customHeight="1">
      <x:c r="A1268" s="13" t="n">
        <x:v>44482</x:v>
      </x:c>
      <x:c r="B1268" s="12" t="str">
        <x:v>000300.SH</x:v>
      </x:c>
      <x:c r="C1268" s="12" t="n">
        <x:v>4880.144</x:v>
      </x:c>
      <x:c r="D1268" s="12" t="n">
        <x:v>4953.3749</x:v>
      </x:c>
      <x:c r="E1268" s="12" t="n">
        <x:v>4869.8307</x:v>
      </x:c>
      <x:c r="F1268" s="12" t="n">
        <x:v>4940.1089</x:v>
      </x:c>
      <x:c r="G1268" s="12" t="n">
        <x:v>4883.8369</x:v>
      </x:c>
      <x:c r="H1268" s="12" t="n">
        <x:v>56.272</x:v>
      </x:c>
      <x:c r="I1268" s="12" t="n">
        <x:v>1.1522</x:v>
      </x:c>
      <x:c r="J1268" s="12" t="n">
        <x:v>0.011456214558820853</x:v>
      </x:c>
      <x:c r="K1268" s="12" t="n">
        <x:v>131142813</x:v>
      </x:c>
      <x:c r="L1268" s="12" t="n">
        <x:v>280044666.628</x:v>
      </x:c>
      <x:c r="M1268" s="12" t="str">
        <x:v>TuShare index_daily</x:v>
      </x:c>
    </x:row>
    <x:row r="1269" ht="18" customHeight="1">
      <x:c r="A1269" s="13" t="n">
        <x:v>44483</x:v>
      </x:c>
      <x:c r="B1269" s="12" t="str">
        <x:v>000300.SH</x:v>
      </x:c>
      <x:c r="C1269" s="12" t="n">
        <x:v>4934.2575</x:v>
      </x:c>
      <x:c r="D1269" s="12" t="n">
        <x:v>4953.9231</x:v>
      </x:c>
      <x:c r="E1269" s="12" t="n">
        <x:v>4903.2498</x:v>
      </x:c>
      <x:c r="F1269" s="12" t="n">
        <x:v>4913.6123</x:v>
      </x:c>
      <x:c r="G1269" s="12" t="n">
        <x:v>4940.1089</x:v>
      </x:c>
      <x:c r="H1269" s="12" t="n">
        <x:v>-26.4966</x:v>
      </x:c>
      <x:c r="I1269" s="12" t="n">
        <x:v>-0.5364</x:v>
      </x:c>
      <x:c r="J1269" s="12" t="n">
        <x:v>-0.005378001533710975</x:v>
      </x:c>
      <x:c r="K1269" s="12" t="n">
        <x:v>119557013</x:v>
      </x:c>
      <x:c r="L1269" s="12" t="n">
        <x:v>249151666.554</x:v>
      </x:c>
      <x:c r="M1269" s="12" t="str">
        <x:v>TuShare index_daily</x:v>
      </x:c>
    </x:row>
    <x:row r="1270" ht="18" customHeight="1">
      <x:c r="A1270" s="13" t="n">
        <x:v>44484</x:v>
      </x:c>
      <x:c r="B1270" s="12" t="str">
        <x:v>000300.SH</x:v>
      </x:c>
      <x:c r="C1270" s="12" t="n">
        <x:v>4896.5578</x:v>
      </x:c>
      <x:c r="D1270" s="12" t="n">
        <x:v>4939.8153</x:v>
      </x:c>
      <x:c r="E1270" s="12" t="n">
        <x:v>4881.0136</x:v>
      </x:c>
      <x:c r="F1270" s="12" t="n">
        <x:v>4932.1084</x:v>
      </x:c>
      <x:c r="G1270" s="12" t="n">
        <x:v>4913.6123</x:v>
      </x:c>
      <x:c r="H1270" s="12" t="n">
        <x:v>18.4961</x:v>
      </x:c>
      <x:c r="I1270" s="12" t="n">
        <x:v>0.3764</x:v>
      </x:c>
      <x:c r="J1270" s="12" t="n">
        <x:v>0.0037571900162288</x:v>
      </x:c>
      <x:c r="K1270" s="12" t="n">
        <x:v>142822001</x:v>
      </x:c>
      <x:c r="L1270" s="12" t="n">
        <x:v>300728491.201</x:v>
      </x:c>
      <x:c r="M1270" s="12" t="str">
        <x:v>TuShare index_daily</x:v>
      </x:c>
    </x:row>
    <x:row r="1271" ht="18" customHeight="1">
      <x:c r="A1271" s="13" t="n">
        <x:v>44487</x:v>
      </x:c>
      <x:c r="B1271" s="12" t="str">
        <x:v>000300.SH</x:v>
      </x:c>
      <x:c r="C1271" s="12" t="n">
        <x:v>4922.5137</x:v>
      </x:c>
      <x:c r="D1271" s="12" t="n">
        <x:v>4922.5137</x:v>
      </x:c>
      <x:c r="E1271" s="12" t="n">
        <x:v>4844.9383</x:v>
      </x:c>
      <x:c r="F1271" s="12" t="n">
        <x:v>4874.7753</x:v>
      </x:c>
      <x:c r="G1271" s="12" t="n">
        <x:v>4932.1084</x:v>
      </x:c>
      <x:c r="H1271" s="12" t="n">
        <x:v>-57.3331</x:v>
      </x:c>
      <x:c r="I1271" s="12" t="n">
        <x:v>-1.1624</x:v>
      </x:c>
      <x:c r="J1271" s="12" t="n">
        <x:v>-0.011692552893949727</x:v>
      </x:c>
      <x:c r="K1271" s="12" t="n">
        <x:v>141245199</x:v>
      </x:c>
      <x:c r="L1271" s="12" t="n">
        <x:v>302539444.437</x:v>
      </x:c>
      <x:c r="M1271" s="12" t="str">
        <x:v>TuShare index_daily</x:v>
      </x:c>
    </x:row>
    <x:row r="1272" ht="18" customHeight="1">
      <x:c r="A1272" s="13" t="n">
        <x:v>44488</x:v>
      </x:c>
      <x:c r="B1272" s="12" t="str">
        <x:v>000300.SH</x:v>
      </x:c>
      <x:c r="C1272" s="12" t="n">
        <x:v>4869.3907</x:v>
      </x:c>
      <x:c r="D1272" s="12" t="n">
        <x:v>4928.1433</x:v>
      </x:c>
      <x:c r="E1272" s="12" t="n">
        <x:v>4868.8106</x:v>
      </x:c>
      <x:c r="F1272" s="12" t="n">
        <x:v>4922.7232</x:v>
      </x:c>
      <x:c r="G1272" s="12" t="n">
        <x:v>4874.7753</x:v>
      </x:c>
      <x:c r="H1272" s="12" t="n">
        <x:v>47.9479</x:v>
      </x:c>
      <x:c r="I1272" s="12" t="n">
        <x:v>0.9836</x:v>
      </x:c>
      <x:c r="J1272" s="12" t="n">
        <x:v>0.009787862236965015</x:v>
      </x:c>
      <x:c r="K1272" s="12" t="n">
        <x:v>135266493</x:v>
      </x:c>
      <x:c r="L1272" s="12" t="n">
        <x:v>282928243.807</x:v>
      </x:c>
      <x:c r="M1272" s="12" t="str">
        <x:v>TuShare index_daily</x:v>
      </x:c>
    </x:row>
    <x:row r="1273" ht="18" customHeight="1">
      <x:c r="A1273" s="13" t="n">
        <x:v>44489</x:v>
      </x:c>
      <x:c r="B1273" s="12" t="str">
        <x:v>000300.SH</x:v>
      </x:c>
      <x:c r="C1273" s="12" t="n">
        <x:v>4926.7727</x:v>
      </x:c>
      <x:c r="D1273" s="12" t="n">
        <x:v>4944.0216</x:v>
      </x:c>
      <x:c r="E1273" s="12" t="n">
        <x:v>4898.3651</x:v>
      </x:c>
      <x:c r="F1273" s="12" t="n">
        <x:v>4910.1846</x:v>
      </x:c>
      <x:c r="G1273" s="12" t="n">
        <x:v>4922.7232</x:v>
      </x:c>
      <x:c r="H1273" s="12" t="n">
        <x:v>-12.5386</x:v>
      </x:c>
      <x:c r="I1273" s="12" t="n">
        <x:v>-0.2547</x:v>
      </x:c>
      <x:c r="J1273" s="12" t="n">
        <x:v>-0.002550335475766727</x:v>
      </x:c>
      <x:c r="K1273" s="12" t="n">
        <x:v>141533183</x:v>
      </x:c>
      <x:c r="L1273" s="12" t="n">
        <x:v>279747732.455</x:v>
      </x:c>
      <x:c r="M1273" s="12" t="str">
        <x:v>TuShare index_daily</x:v>
      </x:c>
    </x:row>
    <x:row r="1274" ht="18" customHeight="1">
      <x:c r="A1274" s="13" t="n">
        <x:v>44490</x:v>
      </x:c>
      <x:c r="B1274" s="12" t="str">
        <x:v>000300.SH</x:v>
      </x:c>
      <x:c r="C1274" s="12" t="n">
        <x:v>4914.7378</x:v>
      </x:c>
      <x:c r="D1274" s="12" t="n">
        <x:v>4946.1764</x:v>
      </x:c>
      <x:c r="E1274" s="12" t="n">
        <x:v>4893.8525</x:v>
      </x:c>
      <x:c r="F1274" s="12" t="n">
        <x:v>4928.0156</x:v>
      </x:c>
      <x:c r="G1274" s="12" t="n">
        <x:v>4910.1846</x:v>
      </x:c>
      <x:c r="H1274" s="12" t="n">
        <x:v>17.831</x:v>
      </x:c>
      <x:c r="I1274" s="12" t="n">
        <x:v>0.3631</x:v>
      </x:c>
      <x:c r="J1274" s="12" t="n">
        <x:v>0.003624853969590148</x:v>
      </x:c>
      <x:c r="K1274" s="12" t="n">
        <x:v>148898154</x:v>
      </x:c>
      <x:c r="L1274" s="12" t="n">
        <x:v>274802962.495</x:v>
      </x:c>
      <x:c r="M1274" s="12" t="str">
        <x:v>TuShare index_daily</x:v>
      </x:c>
    </x:row>
    <x:row r="1275" ht="18" customHeight="1">
      <x:c r="A1275" s="13" t="n">
        <x:v>44491</x:v>
      </x:c>
      <x:c r="B1275" s="12" t="str">
        <x:v>000300.SH</x:v>
      </x:c>
      <x:c r="C1275" s="12" t="n">
        <x:v>4934.8698</x:v>
      </x:c>
      <x:c r="D1275" s="12" t="n">
        <x:v>4989.887</x:v>
      </x:c>
      <x:c r="E1275" s="12" t="n">
        <x:v>4934.8698</x:v>
      </x:c>
      <x:c r="F1275" s="12" t="n">
        <x:v>4959.7254</x:v>
      </x:c>
      <x:c r="G1275" s="12" t="n">
        <x:v>4928.0156</x:v>
      </x:c>
      <x:c r="H1275" s="12" t="n">
        <x:v>31.7098</x:v>
      </x:c>
      <x:c r="I1275" s="12" t="n">
        <x:v>0.6435</x:v>
      </x:c>
      <x:c r="J1275" s="12" t="n">
        <x:v>0.006413984490404525</x:v>
      </x:c>
      <x:c r="K1275" s="12" t="n">
        <x:v>143926228</x:v>
      </x:c>
      <x:c r="L1275" s="12" t="n">
        <x:v>289252612.2</x:v>
      </x:c>
      <x:c r="M1275" s="12" t="str">
        <x:v>TuShare index_daily</x:v>
      </x:c>
    </x:row>
    <x:row r="1276" ht="18" customHeight="1">
      <x:c r="A1276" s="13" t="n">
        <x:v>44494</x:v>
      </x:c>
      <x:c r="B1276" s="12" t="str">
        <x:v>000300.SH</x:v>
      </x:c>
      <x:c r="C1276" s="12" t="n">
        <x:v>4940.8962</x:v>
      </x:c>
      <x:c r="D1276" s="12" t="n">
        <x:v>4981.6499</x:v>
      </x:c>
      <x:c r="E1276" s="12" t="n">
        <x:v>4930.112</x:v>
      </x:c>
      <x:c r="F1276" s="12" t="n">
        <x:v>4979.5235</x:v>
      </x:c>
      <x:c r="G1276" s="12" t="n">
        <x:v>4959.7254</x:v>
      </x:c>
      <x:c r="H1276" s="12" t="n">
        <x:v>19.7981</x:v>
      </x:c>
      <x:c r="I1276" s="12" t="n">
        <x:v>0.3992</x:v>
      </x:c>
      <x:c r="J1276" s="12" t="n">
        <x:v>0.003983827426725137</x:v>
      </x:c>
      <x:c r="K1276" s="12" t="n">
        <x:v>141861490</x:v>
      </x:c>
      <x:c r="L1276" s="12" t="n">
        <x:v>299408232.158</x:v>
      </x:c>
      <x:c r="M1276" s="12" t="str">
        <x:v>TuShare index_daily</x:v>
      </x:c>
    </x:row>
    <x:row r="1277" ht="18" customHeight="1">
      <x:c r="A1277" s="13" t="n">
        <x:v>44495</x:v>
      </x:c>
      <x:c r="B1277" s="12" t="str">
        <x:v>000300.SH</x:v>
      </x:c>
      <x:c r="C1277" s="12" t="n">
        <x:v>4983.2383</x:v>
      </x:c>
      <x:c r="D1277" s="12" t="n">
        <x:v>5002.5746</x:v>
      </x:c>
      <x:c r="E1277" s="12" t="n">
        <x:v>4953.4787</x:v>
      </x:c>
      <x:c r="F1277" s="12" t="n">
        <x:v>4963.0984</x:v>
      </x:c>
      <x:c r="G1277" s="12" t="n">
        <x:v>4979.5235</x:v>
      </x:c>
      <x:c r="H1277" s="12" t="n">
        <x:v>-16.4251</x:v>
      </x:c>
      <x:c r="I1277" s="12" t="n">
        <x:v>-0.3299</x:v>
      </x:c>
      <x:c r="J1277" s="12" t="n">
        <x:v>-0.003303980601285361</x:v>
      </x:c>
      <x:c r="K1277" s="12" t="n">
        <x:v>140888943</x:v>
      </x:c>
      <x:c r="L1277" s="12" t="n">
        <x:v>301786229.74</x:v>
      </x:c>
      <x:c r="M1277" s="12" t="str">
        <x:v>TuShare index_daily</x:v>
      </x:c>
    </x:row>
    <x:row r="1278" ht="18" customHeight="1">
      <x:c r="A1278" s="13" t="n">
        <x:v>44496</x:v>
      </x:c>
      <x:c r="B1278" s="12" t="str">
        <x:v>000300.SH</x:v>
      </x:c>
      <x:c r="C1278" s="12" t="n">
        <x:v>4949.2269</x:v>
      </x:c>
      <x:c r="D1278" s="12" t="n">
        <x:v>4949.2269</x:v>
      </x:c>
      <x:c r="E1278" s="12" t="n">
        <x:v>4884.9418</x:v>
      </x:c>
      <x:c r="F1278" s="12" t="n">
        <x:v>4898.1644</x:v>
      </x:c>
      <x:c r="G1278" s="12" t="n">
        <x:v>4963.0984</x:v>
      </x:c>
      <x:c r="H1278" s="12" t="n">
        <x:v>-64.934</x:v>
      </x:c>
      <x:c r="I1278" s="12" t="n">
        <x:v>-1.3083</x:v>
      </x:c>
      <x:c r="J1278" s="12" t="n">
        <x:v>-0.01316970043948072</x:v>
      </x:c>
      <x:c r="K1278" s="12" t="n">
        <x:v>147111593</x:v>
      </x:c>
      <x:c r="L1278" s="12" t="n">
        <x:v>299460469.415</x:v>
      </x:c>
      <x:c r="M1278" s="12" t="str">
        <x:v>TuShare index_daily</x:v>
      </x:c>
    </x:row>
    <x:row r="1279" ht="18" customHeight="1">
      <x:c r="A1279" s="13" t="n">
        <x:v>44497</x:v>
      </x:c>
      <x:c r="B1279" s="12" t="str">
        <x:v>000300.SH</x:v>
      </x:c>
      <x:c r="C1279" s="12" t="n">
        <x:v>4882.5858</x:v>
      </x:c>
      <x:c r="D1279" s="12" t="n">
        <x:v>4898.6576</x:v>
      </x:c>
      <x:c r="E1279" s="12" t="n">
        <x:v>4846.2779</x:v>
      </x:c>
      <x:c r="F1279" s="12" t="n">
        <x:v>4864.138</x:v>
      </x:c>
      <x:c r="G1279" s="12" t="n">
        <x:v>4898.1644</x:v>
      </x:c>
      <x:c r="H1279" s="12" t="n">
        <x:v>-34.0264</x:v>
      </x:c>
      <x:c r="I1279" s="12" t="n">
        <x:v>-0.6947</x:v>
      </x:c>
      <x:c r="J1279" s="12" t="n">
        <x:v>-0.0069710067150644435</x:v>
      </x:c>
      <x:c r="K1279" s="12" t="n">
        <x:v>156649472</x:v>
      </x:c>
      <x:c r="L1279" s="12" t="n">
        <x:v>316631709.566</x:v>
      </x:c>
      <x:c r="M1279" s="12" t="str">
        <x:v>TuShare index_daily</x:v>
      </x:c>
    </x:row>
    <x:row r="1280" ht="18" customHeight="1">
      <x:c r="A1280" s="13" t="n">
        <x:v>44498</x:v>
      </x:c>
      <x:c r="B1280" s="12" t="str">
        <x:v>000300.SH</x:v>
      </x:c>
      <x:c r="C1280" s="12" t="n">
        <x:v>4861.2667</x:v>
      </x:c>
      <x:c r="D1280" s="12" t="n">
        <x:v>4908.7701</x:v>
      </x:c>
      <x:c r="E1280" s="12" t="n">
        <x:v>4855.7593</x:v>
      </x:c>
      <x:c r="F1280" s="12" t="n">
        <x:v>4908.7701</x:v>
      </x:c>
      <x:c r="G1280" s="12" t="n">
        <x:v>4864.138</x:v>
      </x:c>
      <x:c r="H1280" s="12" t="n">
        <x:v>44.6321</x:v>
      </x:c>
      <x:c r="I1280" s="12" t="n">
        <x:v>0.9176</x:v>
      </x:c>
      <x:c r="J1280" s="12" t="n">
        <x:v>0.009133905658576713</x:v>
      </x:c>
      <x:c r="K1280" s="12" t="n">
        <x:v>159887353</x:v>
      </x:c>
      <x:c r="L1280" s="12" t="n">
        <x:v>368731987.31</x:v>
      </x:c>
      <x:c r="M1280" s="12" t="str">
        <x:v>TuShare index_daily</x:v>
      </x:c>
    </x:row>
    <x:row r="1281" ht="18" customHeight="1">
      <x:c r="A1281" s="13" t="n">
        <x:v>44501</x:v>
      </x:c>
      <x:c r="B1281" s="12" t="str">
        <x:v>000300.SH</x:v>
      </x:c>
      <x:c r="C1281" s="12" t="n">
        <x:v>4878.1276</x:v>
      </x:c>
      <x:c r="D1281" s="12" t="n">
        <x:v>4908.2056</x:v>
      </x:c>
      <x:c r="E1281" s="12" t="n">
        <x:v>4858.2485</x:v>
      </x:c>
      <x:c r="F1281" s="12" t="n">
        <x:v>4890.6851</x:v>
      </x:c>
      <x:c r="G1281" s="12" t="n">
        <x:v>4908.7701</x:v>
      </x:c>
      <x:c r="H1281" s="12" t="n">
        <x:v>-18.085</x:v>
      </x:c>
      <x:c r="I1281" s="12" t="n">
        <x:v>-0.3684</x:v>
      </x:c>
      <x:c r="J1281" s="12" t="n">
        <x:v>-0.0036910257076337187</x:v>
      </x:c>
      <x:c r="K1281" s="12" t="n">
        <x:v>171583974</x:v>
      </x:c>
      <x:c r="L1281" s="12" t="n">
        <x:v>379730767.559</x:v>
      </x:c>
      <x:c r="M1281" s="12" t="str">
        <x:v>TuShare index_daily</x:v>
      </x:c>
    </x:row>
    <x:row r="1282" ht="18" customHeight="1">
      <x:c r="A1282" s="13" t="n">
        <x:v>44502</x:v>
      </x:c>
      <x:c r="B1282" s="12" t="str">
        <x:v>000300.SH</x:v>
      </x:c>
      <x:c r="C1282" s="12" t="n">
        <x:v>4886.1849</x:v>
      </x:c>
      <x:c r="D1282" s="12" t="n">
        <x:v>4911.2266</x:v>
      </x:c>
      <x:c r="E1282" s="12" t="n">
        <x:v>4797.899</x:v>
      </x:c>
      <x:c r="F1282" s="12" t="n">
        <x:v>4839.8457</x:v>
      </x:c>
      <x:c r="G1282" s="12" t="n">
        <x:v>4890.6851</x:v>
      </x:c>
      <x:c r="H1282" s="12" t="n">
        <x:v>-50.8394</x:v>
      </x:c>
      <x:c r="I1282" s="12" t="n">
        <x:v>-1.0395</x:v>
      </x:c>
      <x:c r="J1282" s="12" t="n">
        <x:v>-0.010449555867797935</x:v>
      </x:c>
      <x:c r="K1282" s="12" t="n">
        <x:v>185437688</x:v>
      </x:c>
      <x:c r="L1282" s="12" t="n">
        <x:v>385731879.818</x:v>
      </x:c>
      <x:c r="M1282" s="12" t="str">
        <x:v>TuShare index_daily</x:v>
      </x:c>
    </x:row>
    <x:row r="1283" ht="18" customHeight="1">
      <x:c r="A1283" s="13" t="n">
        <x:v>44503</x:v>
      </x:c>
      <x:c r="B1283" s="12" t="str">
        <x:v>000300.SH</x:v>
      </x:c>
      <x:c r="C1283" s="12" t="n">
        <x:v>4835.8093</x:v>
      </x:c>
      <x:c r="D1283" s="12" t="n">
        <x:v>4858.7133</x:v>
      </x:c>
      <x:c r="E1283" s="12" t="n">
        <x:v>4804.3657</x:v>
      </x:c>
      <x:c r="F1283" s="12" t="n">
        <x:v>4821.1119</x:v>
      </x:c>
      <x:c r="G1283" s="12" t="n">
        <x:v>4839.8457</x:v>
      </x:c>
      <x:c r="H1283" s="12" t="n">
        <x:v>-18.7338</x:v>
      </x:c>
      <x:c r="I1283" s="12" t="n">
        <x:v>-0.3871</x:v>
      </x:c>
      <x:c r="J1283" s="12" t="n">
        <x:v>-0.00387825394886795</x:v>
      </x:c>
      <x:c r="K1283" s="12" t="n">
        <x:v>142763820</x:v>
      </x:c>
      <x:c r="L1283" s="12" t="n">
        <x:v>302269934.656</x:v>
      </x:c>
      <x:c r="M1283" s="12" t="str">
        <x:v>TuShare index_daily</x:v>
      </x:c>
    </x:row>
    <x:row r="1284" ht="18" customHeight="1">
      <x:c r="A1284" s="13" t="n">
        <x:v>44504</x:v>
      </x:c>
      <x:c r="B1284" s="12" t="str">
        <x:v>000300.SH</x:v>
      </x:c>
      <x:c r="C1284" s="12" t="n">
        <x:v>4841.0912</x:v>
      </x:c>
      <x:c r="D1284" s="12" t="n">
        <x:v>4873.9394</x:v>
      </x:c>
      <x:c r="E1284" s="12" t="n">
        <x:v>4834.7433</x:v>
      </x:c>
      <x:c r="F1284" s="12" t="n">
        <x:v>4868.7419</x:v>
      </x:c>
      <x:c r="G1284" s="12" t="n">
        <x:v>4821.1119</x:v>
      </x:c>
      <x:c r="H1284" s="12" t="n">
        <x:v>47.63</x:v>
      </x:c>
      <x:c r="I1284" s="12" t="n">
        <x:v>0.9879</x:v>
      </x:c>
      <x:c r="J1284" s="12" t="n">
        <x:v>0.00983098085796393</x:v>
      </x:c>
      <x:c r="K1284" s="12" t="n">
        <x:v>132592970</x:v>
      </x:c>
      <x:c r="L1284" s="12" t="n">
        <x:v>308688054.574</x:v>
      </x:c>
      <x:c r="M1284" s="12" t="str">
        <x:v>TuShare index_daily</x:v>
      </x:c>
    </x:row>
    <x:row r="1285" ht="18" customHeight="1">
      <x:c r="A1285" s="13" t="n">
        <x:v>44505</x:v>
      </x:c>
      <x:c r="B1285" s="12" t="str">
        <x:v>000300.SH</x:v>
      </x:c>
      <x:c r="C1285" s="12" t="n">
        <x:v>4858.8999</x:v>
      </x:c>
      <x:c r="D1285" s="12" t="n">
        <x:v>4889.6835</x:v>
      </x:c>
      <x:c r="E1285" s="12" t="n">
        <x:v>4841.7442</x:v>
      </x:c>
      <x:c r="F1285" s="12" t="n">
        <x:v>4842.3458</x:v>
      </x:c>
      <x:c r="G1285" s="12" t="n">
        <x:v>4868.7419</x:v>
      </x:c>
      <x:c r="H1285" s="12" t="n">
        <x:v>-26.3961</x:v>
      </x:c>
      <x:c r="I1285" s="12" t="n">
        <x:v>-0.5422</x:v>
      </x:c>
      <x:c r="J1285" s="12" t="n">
        <x:v>-0.005436294228423467</x:v>
      </x:c>
      <x:c r="K1285" s="12" t="n">
        <x:v>147789359</x:v>
      </x:c>
      <x:c r="L1285" s="12" t="n">
        <x:v>312070841.453</x:v>
      </x:c>
      <x:c r="M1285" s="12" t="str">
        <x:v>TuShare index_daily</x:v>
      </x:c>
    </x:row>
    <x:row r="1286" ht="18" customHeight="1">
      <x:c r="A1286" s="13" t="n">
        <x:v>44508</x:v>
      </x:c>
      <x:c r="B1286" s="12" t="str">
        <x:v>000300.SH</x:v>
      </x:c>
      <x:c r="C1286" s="12" t="n">
        <x:v>4841.1527</x:v>
      </x:c>
      <x:c r="D1286" s="12" t="n">
        <x:v>4866.0822</x:v>
      </x:c>
      <x:c r="E1286" s="12" t="n">
        <x:v>4827.6892</x:v>
      </x:c>
      <x:c r="F1286" s="12" t="n">
        <x:v>4848.1795</x:v>
      </x:c>
      <x:c r="G1286" s="12" t="n">
        <x:v>4842.3458</x:v>
      </x:c>
      <x:c r="H1286" s="12" t="n">
        <x:v>5.8337</x:v>
      </x:c>
      <x:c r="I1286" s="12" t="n">
        <x:v>0.1205</x:v>
      </x:c>
      <x:c r="J1286" s="12" t="n">
        <x:v>0.0012040009234010089</x:v>
      </x:c>
      <x:c r="K1286" s="12" t="n">
        <x:v>137398264</x:v>
      </x:c>
      <x:c r="L1286" s="12" t="n">
        <x:v>295893824</x:v>
      </x:c>
      <x:c r="M1286" s="12" t="str">
        <x:v>TuShare index_daily</x:v>
      </x:c>
    </x:row>
    <x:row r="1287" ht="18" customHeight="1">
      <x:c r="A1287" s="13" t="n">
        <x:v>44509</x:v>
      </x:c>
      <x:c r="B1287" s="12" t="str">
        <x:v>000300.SH</x:v>
      </x:c>
      <x:c r="C1287" s="12" t="n">
        <x:v>4858.2525</x:v>
      </x:c>
      <x:c r="D1287" s="12" t="n">
        <x:v>4870.7905</x:v>
      </x:c>
      <x:c r="E1287" s="12" t="n">
        <x:v>4818.5386</x:v>
      </x:c>
      <x:c r="F1287" s="12" t="n">
        <x:v>4846.7444</x:v>
      </x:c>
      <x:c r="G1287" s="12" t="n">
        <x:v>4848.1795</x:v>
      </x:c>
      <x:c r="H1287" s="12" t="n">
        <x:v>-1.4351</x:v>
      </x:c>
      <x:c r="I1287" s="12" t="n">
        <x:v>-0.0296</x:v>
      </x:c>
      <x:c r="J1287" s="12" t="n">
        <x:v>-0.0002960518360504767</x:v>
      </x:c>
      <x:c r="K1287" s="12" t="n">
        <x:v>118375526</x:v>
      </x:c>
      <x:c r="L1287" s="12" t="n">
        <x:v>261645065.376</x:v>
      </x:c>
      <x:c r="M1287" s="12" t="str">
        <x:v>TuShare index_daily</x:v>
      </x:c>
    </x:row>
    <x:row r="1288" ht="18" customHeight="1">
      <x:c r="A1288" s="13" t="n">
        <x:v>44510</x:v>
      </x:c>
      <x:c r="B1288" s="12" t="str">
        <x:v>000300.SH</x:v>
      </x:c>
      <x:c r="C1288" s="12" t="n">
        <x:v>4832.8006</x:v>
      </x:c>
      <x:c r="D1288" s="12" t="n">
        <x:v>4832.8006</x:v>
      </x:c>
      <x:c r="E1288" s="12" t="n">
        <x:v>4753.9959</x:v>
      </x:c>
      <x:c r="F1288" s="12" t="n">
        <x:v>4821.1925</x:v>
      </x:c>
      <x:c r="G1288" s="12" t="n">
        <x:v>4846.7444</x:v>
      </x:c>
      <x:c r="H1288" s="12" t="n">
        <x:v>-25.5519</x:v>
      </x:c>
      <x:c r="I1288" s="12" t="n">
        <x:v>-0.5272</x:v>
      </x:c>
      <x:c r="J1288" s="12" t="n">
        <x:v>-0.005285917721553265</x:v>
      </x:c>
      <x:c r="K1288" s="12" t="n">
        <x:v>135118179</x:v>
      </x:c>
      <x:c r="L1288" s="12" t="n">
        <x:v>301058966.271</x:v>
      </x:c>
      <x:c r="M1288" s="12" t="str">
        <x:v>TuShare index_daily</x:v>
      </x:c>
    </x:row>
    <x:row r="1289" ht="18" customHeight="1">
      <x:c r="A1289" s="13" t="n">
        <x:v>44511</x:v>
      </x:c>
      <x:c r="B1289" s="12" t="str">
        <x:v>000300.SH</x:v>
      </x:c>
      <x:c r="C1289" s="12" t="n">
        <x:v>4814.7655</x:v>
      </x:c>
      <x:c r="D1289" s="12" t="n">
        <x:v>4898.6529</x:v>
      </x:c>
      <x:c r="E1289" s="12" t="n">
        <x:v>4809.1109</x:v>
      </x:c>
      <x:c r="F1289" s="12" t="n">
        <x:v>4898.6529</x:v>
      </x:c>
      <x:c r="G1289" s="12" t="n">
        <x:v>4821.1925</x:v>
      </x:c>
      <x:c r="H1289" s="12" t="n">
        <x:v>77.4604</x:v>
      </x:c>
      <x:c r="I1289" s="12" t="n">
        <x:v>1.6067</x:v>
      </x:c>
      <x:c r="J1289" s="12" t="n">
        <x:v>0.01593894485071449</x:v>
      </x:c>
      <x:c r="K1289" s="12" t="n">
        <x:v>160484863</x:v>
      </x:c>
      <x:c r="L1289" s="12" t="n">
        <x:v>323624626.069</x:v>
      </x:c>
      <x:c r="M1289" s="12" t="str">
        <x:v>TuShare index_daily</x:v>
      </x:c>
    </x:row>
    <x:row r="1290" ht="18" customHeight="1">
      <x:c r="A1290" s="13" t="n">
        <x:v>44512</x:v>
      </x:c>
      <x:c r="B1290" s="12" t="str">
        <x:v>000300.SH</x:v>
      </x:c>
      <x:c r="C1290" s="12" t="n">
        <x:v>4902.9289</x:v>
      </x:c>
      <x:c r="D1290" s="12" t="n">
        <x:v>4909.0839</x:v>
      </x:c>
      <x:c r="E1290" s="12" t="n">
        <x:v>4875.3492</x:v>
      </x:c>
      <x:c r="F1290" s="12" t="n">
        <x:v>4888.3749</x:v>
      </x:c>
      <x:c r="G1290" s="12" t="n">
        <x:v>4898.6529</x:v>
      </x:c>
      <x:c r="H1290" s="12" t="n">
        <x:v>-10.278</x:v>
      </x:c>
      <x:c r="I1290" s="12" t="n">
        <x:v>-0.2098</x:v>
      </x:c>
      <x:c r="J1290" s="12" t="n">
        <x:v>-0.002100331988095335</x:v>
      </x:c>
      <x:c r="K1290" s="12" t="n">
        <x:v>132662969</x:v>
      </x:c>
      <x:c r="L1290" s="12" t="n">
        <x:v>271773244.503</x:v>
      </x:c>
      <x:c r="M1290" s="12" t="str">
        <x:v>TuShare index_daily</x:v>
      </x:c>
    </x:row>
    <x:row r="1291" ht="18" customHeight="1">
      <x:c r="A1291" s="13" t="n">
        <x:v>44515</x:v>
      </x:c>
      <x:c r="B1291" s="12" t="str">
        <x:v>000300.SH</x:v>
      </x:c>
      <x:c r="C1291" s="12" t="n">
        <x:v>4894.4119</x:v>
      </x:c>
      <x:c r="D1291" s="12" t="n">
        <x:v>4906.3301</x:v>
      </x:c>
      <x:c r="E1291" s="12" t="n">
        <x:v>4863.396</x:v>
      </x:c>
      <x:c r="F1291" s="12" t="n">
        <x:v>4882.3777</x:v>
      </x:c>
      <x:c r="G1291" s="12" t="n">
        <x:v>4888.3749</x:v>
      </x:c>
      <x:c r="H1291" s="12" t="n">
        <x:v>-5.9972</x:v>
      </x:c>
      <x:c r="I1291" s="12" t="n">
        <x:v>-0.1227</x:v>
      </x:c>
      <x:c r="J1291" s="12" t="n">
        <x:v>-0.0012275821522954918</x:v>
      </x:c>
      <x:c r="K1291" s="12" t="n">
        <x:v>121823149</x:v>
      </x:c>
      <x:c r="L1291" s="12" t="n">
        <x:v>272997748.91</x:v>
      </x:c>
      <x:c r="M1291" s="12" t="str">
        <x:v>TuShare index_daily</x:v>
      </x:c>
    </x:row>
    <x:row r="1292" ht="18" customHeight="1">
      <x:c r="A1292" s="13" t="n">
        <x:v>44516</x:v>
      </x:c>
      <x:c r="B1292" s="12" t="str">
        <x:v>000300.SH</x:v>
      </x:c>
      <x:c r="C1292" s="12" t="n">
        <x:v>4880.8964</x:v>
      </x:c>
      <x:c r="D1292" s="12" t="n">
        <x:v>4915.3717</x:v>
      </x:c>
      <x:c r="E1292" s="12" t="n">
        <x:v>4876.5004</x:v>
      </x:c>
      <x:c r="F1292" s="12" t="n">
        <x:v>4883.3206</x:v>
      </x:c>
      <x:c r="G1292" s="12" t="n">
        <x:v>4882.3777</x:v>
      </x:c>
      <x:c r="H1292" s="12" t="n">
        <x:v>0.9429</x:v>
      </x:c>
      <x:c r="I1292" s="12" t="n">
        <x:v>0.0193</x:v>
      </x:c>
      <x:c r="J1292" s="12" t="n">
        <x:v>0.00019310447117343</x:v>
      </x:c>
      <x:c r="K1292" s="12" t="n">
        <x:v>127254406</x:v>
      </x:c>
      <x:c r="L1292" s="12" t="n">
        <x:v>284094590.893</x:v>
      </x:c>
      <x:c r="M1292" s="12" t="str">
        <x:v>TuShare index_daily</x:v>
      </x:c>
    </x:row>
    <x:row r="1293" ht="18" customHeight="1">
      <x:c r="A1293" s="13" t="n">
        <x:v>44517</x:v>
      </x:c>
      <x:c r="B1293" s="12" t="str">
        <x:v>000300.SH</x:v>
      </x:c>
      <x:c r="C1293" s="12" t="n">
        <x:v>4883.2481</x:v>
      </x:c>
      <x:c r="D1293" s="12" t="n">
        <x:v>4891.5232</x:v>
      </x:c>
      <x:c r="E1293" s="12" t="n">
        <x:v>4864.5198</x:v>
      </x:c>
      <x:c r="F1293" s="12" t="n">
        <x:v>4885.7544</x:v>
      </x:c>
      <x:c r="G1293" s="12" t="n">
        <x:v>4883.3206</x:v>
      </x:c>
      <x:c r="H1293" s="12" t="n">
        <x:v>2.4338</x:v>
      </x:c>
      <x:c r="I1293" s="12" t="n">
        <x:v>0.0498</x:v>
      </x:c>
      <x:c r="J1293" s="12" t="n">
        <x:v>0.000498266222820992</x:v>
      </x:c>
      <x:c r="K1293" s="12" t="n">
        <x:v>108459223</x:v>
      </x:c>
      <x:c r="L1293" s="12" t="n">
        <x:v>246177916.949</x:v>
      </x:c>
      <x:c r="M1293" s="12" t="str">
        <x:v>TuShare index_daily</x:v>
      </x:c>
    </x:row>
    <x:row r="1294" ht="18" customHeight="1">
      <x:c r="A1294" s="13" t="n">
        <x:v>44518</x:v>
      </x:c>
      <x:c r="B1294" s="12" t="str">
        <x:v>000300.SH</x:v>
      </x:c>
      <x:c r="C1294" s="12" t="n">
        <x:v>4871.4216</x:v>
      </x:c>
      <x:c r="D1294" s="12" t="n">
        <x:v>4871.4216</x:v>
      </x:c>
      <x:c r="E1294" s="12" t="n">
        <x:v>4830.4123</x:v>
      </x:c>
      <x:c r="F1294" s="12" t="n">
        <x:v>4837.6185</x:v>
      </x:c>
      <x:c r="G1294" s="12" t="n">
        <x:v>4885.7544</x:v>
      </x:c>
      <x:c r="H1294" s="12" t="n">
        <x:v>-48.1359</x:v>
      </x:c>
      <x:c r="I1294" s="12" t="n">
        <x:v>-0.9852</x:v>
      </x:c>
      <x:c r="J1294" s="12" t="n">
        <x:v>-0.009901151325949787</x:v>
      </x:c>
      <x:c r="K1294" s="12" t="n">
        <x:v>114480565</x:v>
      </x:c>
      <x:c r="L1294" s="12" t="n">
        <x:v>244484713.797</x:v>
      </x:c>
      <x:c r="M1294" s="12" t="str">
        <x:v>TuShare index_daily</x:v>
      </x:c>
    </x:row>
    <x:row r="1295" ht="18" customHeight="1">
      <x:c r="A1295" s="13" t="n">
        <x:v>44519</x:v>
      </x:c>
      <x:c r="B1295" s="12" t="str">
        <x:v>000300.SH</x:v>
      </x:c>
      <x:c r="C1295" s="12" t="n">
        <x:v>4832.0595</x:v>
      </x:c>
      <x:c r="D1295" s="12" t="n">
        <x:v>4892.8093</x:v>
      </x:c>
      <x:c r="E1295" s="12" t="n">
        <x:v>4829.5665</x:v>
      </x:c>
      <x:c r="F1295" s="12" t="n">
        <x:v>4890.0575</x:v>
      </x:c>
      <x:c r="G1295" s="12" t="n">
        <x:v>4837.6185</x:v>
      </x:c>
      <x:c r="H1295" s="12" t="n">
        <x:v>52.439</x:v>
      </x:c>
      <x:c r="I1295" s="12" t="n">
        <x:v>1.084</x:v>
      </x:c>
      <x:c r="J1295" s="12" t="n">
        <x:v>0.010781507928948286</x:v>
      </x:c>
      <x:c r="K1295" s="12" t="n">
        <x:v>127198312</x:v>
      </x:c>
      <x:c r="L1295" s="12" t="n">
        <x:v>266280681.864</x:v>
      </x:c>
      <x:c r="M1295" s="12" t="str">
        <x:v>TuShare index_daily</x:v>
      </x:c>
    </x:row>
    <x:row r="1296" ht="18" customHeight="1">
      <x:c r="A1296" s="13" t="n">
        <x:v>44522</x:v>
      </x:c>
      <x:c r="B1296" s="12" t="str">
        <x:v>000300.SH</x:v>
      </x:c>
      <x:c r="C1296" s="12" t="n">
        <x:v>4895.3875</x:v>
      </x:c>
      <x:c r="D1296" s="12" t="n">
        <x:v>4918.9957</x:v>
      </x:c>
      <x:c r="E1296" s="12" t="n">
        <x:v>4893.2732</x:v>
      </x:c>
      <x:c r="F1296" s="12" t="n">
        <x:v>4912.399</x:v>
      </x:c>
      <x:c r="G1296" s="12" t="n">
        <x:v>4890.0575</x:v>
      </x:c>
      <x:c r="H1296" s="12" t="n">
        <x:v>22.3415</x:v>
      </x:c>
      <x:c r="I1296" s="12" t="n">
        <x:v>0.4569</x:v>
      </x:c>
      <x:c r="J1296" s="12" t="n">
        <x:v>0.004558355078732283</x:v>
      </x:c>
      <x:c r="K1296" s="12" t="n">
        <x:v>138092836</x:v>
      </x:c>
      <x:c r="L1296" s="12" t="n">
        <x:v>316148811.48</x:v>
      </x:c>
      <x:c r="M1296" s="12" t="str">
        <x:v>TuShare index_daily</x:v>
      </x:c>
    </x:row>
    <x:row r="1297" ht="18" customHeight="1">
      <x:c r="A1297" s="13" t="n">
        <x:v>44523</x:v>
      </x:c>
      <x:c r="B1297" s="12" t="str">
        <x:v>000300.SH</x:v>
      </x:c>
      <x:c r="C1297" s="12" t="n">
        <x:v>4905.7587</x:v>
      </x:c>
      <x:c r="D1297" s="12" t="n">
        <x:v>4927.5211</x:v>
      </x:c>
      <x:c r="E1297" s="12" t="n">
        <x:v>4896.8781</x:v>
      </x:c>
      <x:c r="F1297" s="12" t="n">
        <x:v>4913.3457</x:v>
      </x:c>
      <x:c r="G1297" s="12" t="n">
        <x:v>4912.399</x:v>
      </x:c>
      <x:c r="H1297" s="12" t="n">
        <x:v>0.9467</x:v>
      </x:c>
      <x:c r="I1297" s="12" t="n">
        <x:v>0.0193</x:v>
      </x:c>
      <x:c r="J1297" s="12" t="n">
        <x:v>0.00019269786297804745</x:v>
      </x:c>
      <x:c r="K1297" s="12" t="n">
        <x:v>154304411</x:v>
      </x:c>
      <x:c r="L1297" s="12" t="n">
        <x:v>301022146.081</x:v>
      </x:c>
      <x:c r="M1297" s="12" t="str">
        <x:v>TuShare index_daily</x:v>
      </x:c>
    </x:row>
    <x:row r="1298" ht="18" customHeight="1">
      <x:c r="A1298" s="13" t="n">
        <x:v>44524</x:v>
      </x:c>
      <x:c r="B1298" s="12" t="str">
        <x:v>000300.SH</x:v>
      </x:c>
      <x:c r="C1298" s="12" t="n">
        <x:v>4914.0266</x:v>
      </x:c>
      <x:c r="D1298" s="12" t="n">
        <x:v>4935.4885</x:v>
      </x:c>
      <x:c r="E1298" s="12" t="n">
        <x:v>4899.6112</x:v>
      </x:c>
      <x:c r="F1298" s="12" t="n">
        <x:v>4916.6579</x:v>
      </x:c>
      <x:c r="G1298" s="12" t="n">
        <x:v>4913.3457</x:v>
      </x:c>
      <x:c r="H1298" s="12" t="n">
        <x:v>3.3122</x:v>
      </x:c>
      <x:c r="I1298" s="12" t="n">
        <x:v>0.0674</x:v>
      </x:c>
      <x:c r="J1298" s="12" t="n">
        <x:v>0.0006738960147175844</x:v>
      </x:c>
      <x:c r="K1298" s="12" t="n">
        <x:v>137150673</x:v>
      </x:c>
      <x:c r="L1298" s="12" t="n">
        <x:v>289707337.709</x:v>
      </x:c>
      <x:c r="M1298" s="12" t="str">
        <x:v>TuShare index_daily</x:v>
      </x:c>
    </x:row>
    <x:row r="1299" ht="18" customHeight="1">
      <x:c r="A1299" s="13" t="n">
        <x:v>44525</x:v>
      </x:c>
      <x:c r="B1299" s="12" t="str">
        <x:v>000300.SH</x:v>
      </x:c>
      <x:c r="C1299" s="12" t="n">
        <x:v>4917.6055</x:v>
      </x:c>
      <x:c r="D1299" s="12" t="n">
        <x:v>4921.3333</x:v>
      </x:c>
      <x:c r="E1299" s="12" t="n">
        <x:v>4891.728</x:v>
      </x:c>
      <x:c r="F1299" s="12" t="n">
        <x:v>4896.4416</x:v>
      </x:c>
      <x:c r="G1299" s="12" t="n">
        <x:v>4916.6579</x:v>
      </x:c>
      <x:c r="H1299" s="12" t="n">
        <x:v>-20.2163</x:v>
      </x:c>
      <x:c r="I1299" s="12" t="n">
        <x:v>-0.4112</x:v>
      </x:c>
      <x:c r="J1299" s="12" t="n">
        <x:v>-0.004120273844247433</x:v>
      </x:c>
      <x:c r="K1299" s="12" t="n">
        <x:v>115984031</x:v>
      </x:c>
      <x:c r="L1299" s="12" t="n">
        <x:v>255450994.352</x:v>
      </x:c>
      <x:c r="M1299" s="12" t="str">
        <x:v>TuShare index_daily</x:v>
      </x:c>
    </x:row>
    <x:row r="1300" ht="18" customHeight="1">
      <x:c r="A1300" s="13" t="n">
        <x:v>44526</x:v>
      </x:c>
      <x:c r="B1300" s="12" t="str">
        <x:v>000300.SH</x:v>
      </x:c>
      <x:c r="C1300" s="12" t="n">
        <x:v>4886.9516</x:v>
      </x:c>
      <x:c r="D1300" s="12" t="n">
        <x:v>4886.9516</x:v>
      </x:c>
      <x:c r="E1300" s="12" t="n">
        <x:v>4850.8114</x:v>
      </x:c>
      <x:c r="F1300" s="12" t="n">
        <x:v>4860.1265</x:v>
      </x:c>
      <x:c r="G1300" s="12" t="n">
        <x:v>4896.4416</x:v>
      </x:c>
      <x:c r="H1300" s="12" t="n">
        <x:v>-36.3151</x:v>
      </x:c>
      <x:c r="I1300" s="12" t="n">
        <x:v>-0.7417</x:v>
      </x:c>
      <x:c r="J1300" s="12" t="n">
        <x:v>-0.007444270840791316</x:v>
      </x:c>
      <x:c r="K1300" s="12" t="n">
        <x:v>120368974</x:v>
      </x:c>
      <x:c r="L1300" s="12" t="n">
        <x:v>243041335.647</x:v>
      </x:c>
      <x:c r="M1300" s="12" t="str">
        <x:v>TuShare index_daily</x:v>
      </x:c>
    </x:row>
    <x:row r="1301" ht="18" customHeight="1">
      <x:c r="A1301" s="13" t="n">
        <x:v>44529</x:v>
      </x:c>
      <x:c r="B1301" s="12" t="str">
        <x:v>000300.SH</x:v>
      </x:c>
      <x:c r="C1301" s="12" t="n">
        <x:v>4820.0053</x:v>
      </x:c>
      <x:c r="D1301" s="12" t="n">
        <x:v>4858.5322</x:v>
      </x:c>
      <x:c r="E1301" s="12" t="n">
        <x:v>4818.7058</x:v>
      </x:c>
      <x:c r="F1301" s="12" t="n">
        <x:v>4851.423</x:v>
      </x:c>
      <x:c r="G1301" s="12" t="n">
        <x:v>4860.1265</x:v>
      </x:c>
      <x:c r="H1301" s="12" t="n">
        <x:v>-8.7035</x:v>
      </x:c>
      <x:c r="I1301" s="12" t="n">
        <x:v>-0.1791</x:v>
      </x:c>
      <x:c r="J1301" s="12" t="n">
        <x:v>-0.0017924024029635618</x:v>
      </x:c>
      <x:c r="K1301" s="12" t="n">
        <x:v>133626862</x:v>
      </x:c>
      <x:c r="L1301" s="12" t="n">
        <x:v>285995221.657</x:v>
      </x:c>
      <x:c r="M1301" s="12" t="str">
        <x:v>TuShare index_daily</x:v>
      </x:c>
    </x:row>
    <x:row r="1302" ht="18" customHeight="1">
      <x:c r="A1302" s="13" t="n">
        <x:v>44530</x:v>
      </x:c>
      <x:c r="B1302" s="12" t="str">
        <x:v>000300.SH</x:v>
      </x:c>
      <x:c r="C1302" s="12" t="n">
        <x:v>4857.183</x:v>
      </x:c>
      <x:c r="D1302" s="12" t="n">
        <x:v>4871.2528</x:v>
      </x:c>
      <x:c r="E1302" s="12" t="n">
        <x:v>4810.2192</x:v>
      </x:c>
      <x:c r="F1302" s="12" t="n">
        <x:v>4832.026</x:v>
      </x:c>
      <x:c r="G1302" s="12" t="n">
        <x:v>4851.423</x:v>
      </x:c>
      <x:c r="H1302" s="12" t="n">
        <x:v>-19.397</x:v>
      </x:c>
      <x:c r="I1302" s="12" t="n">
        <x:v>-0.3998</x:v>
      </x:c>
      <x:c r="J1302" s="12" t="n">
        <x:v>-0.004006222564540432</x:v>
      </x:c>
      <x:c r="K1302" s="12" t="n">
        <x:v>129630596</x:v>
      </x:c>
      <x:c r="L1302" s="12" t="n">
        <x:v>279268234.018</x:v>
      </x:c>
      <x:c r="M1302" s="12" t="str">
        <x:v>TuShare index_daily</x:v>
      </x:c>
    </x:row>
    <x:row r="1303" ht="18" customHeight="1">
      <x:c r="A1303" s="13" t="n">
        <x:v>44531</x:v>
      </x:c>
      <x:c r="B1303" s="12" t="str">
        <x:v>000300.SH</x:v>
      </x:c>
      <x:c r="C1303" s="12" t="n">
        <x:v>4831.8885</x:v>
      </x:c>
      <x:c r="D1303" s="12" t="n">
        <x:v>4844.5242</x:v>
      </x:c>
      <x:c r="E1303" s="12" t="n">
        <x:v>4823.9254</x:v>
      </x:c>
      <x:c r="F1303" s="12" t="n">
        <x:v>4843.851</x:v>
      </x:c>
      <x:c r="G1303" s="12" t="n">
        <x:v>4832.026</x:v>
      </x:c>
      <x:c r="H1303" s="12" t="n">
        <x:v>11.825</x:v>
      </x:c>
      <x:c r="I1303" s="12" t="n">
        <x:v>0.2447</x:v>
      </x:c>
      <x:c r="J1303" s="12" t="n">
        <x:v>0.0024442241022921175</x:v>
      </x:c>
      <x:c r="K1303" s="12" t="n">
        <x:v>123086789</x:v>
      </x:c>
      <x:c r="L1303" s="12" t="n">
        <x:v>255968912.362</x:v>
      </x:c>
      <x:c r="M1303" s="12" t="str">
        <x:v>TuShare index_daily</x:v>
      </x:c>
    </x:row>
    <x:row r="1304" ht="18" customHeight="1">
      <x:c r="A1304" s="13" t="n">
        <x:v>44532</x:v>
      </x:c>
      <x:c r="B1304" s="12" t="str">
        <x:v>000300.SH</x:v>
      </x:c>
      <x:c r="C1304" s="12" t="n">
        <x:v>4839.9137</x:v>
      </x:c>
      <x:c r="D1304" s="12" t="n">
        <x:v>4866.8505</x:v>
      </x:c>
      <x:c r="E1304" s="12" t="n">
        <x:v>4830.3228</x:v>
      </x:c>
      <x:c r="F1304" s="12" t="n">
        <x:v>4856.163</x:v>
      </x:c>
      <x:c r="G1304" s="12" t="n">
        <x:v>4843.851</x:v>
      </x:c>
      <x:c r="H1304" s="12" t="n">
        <x:v>12.312</x:v>
      </x:c>
      <x:c r="I1304" s="12" t="n">
        <x:v>0.2542</x:v>
      </x:c>
      <x:c r="J1304" s="12" t="n">
        <x:v>0.002538554400397358</x:v>
      </x:c>
      <x:c r="K1304" s="12" t="n">
        <x:v>148088521</x:v>
      </x:c>
      <x:c r="L1304" s="12" t="n">
        <x:v>278051726.156</x:v>
      </x:c>
      <x:c r="M1304" s="12" t="str">
        <x:v>TuShare index_daily</x:v>
      </x:c>
    </x:row>
    <x:row r="1305" ht="18" customHeight="1">
      <x:c r="A1305" s="13" t="n">
        <x:v>44533</x:v>
      </x:c>
      <x:c r="B1305" s="12" t="str">
        <x:v>000300.SH</x:v>
      </x:c>
      <x:c r="C1305" s="12" t="n">
        <x:v>4856.9802</x:v>
      </x:c>
      <x:c r="D1305" s="12" t="n">
        <x:v>4901.0175</x:v>
      </x:c>
      <x:c r="E1305" s="12" t="n">
        <x:v>4853.3505</x:v>
      </x:c>
      <x:c r="F1305" s="12" t="n">
        <x:v>4901.0175</x:v>
      </x:c>
      <x:c r="G1305" s="12" t="n">
        <x:v>4856.163</x:v>
      </x:c>
      <x:c r="H1305" s="12" t="n">
        <x:v>44.8545</x:v>
      </x:c>
      <x:c r="I1305" s="12" t="n">
        <x:v>0.9237</x:v>
      </x:c>
      <x:c r="J1305" s="12" t="n">
        <x:v>0.009194216705463765</x:v>
      </x:c>
      <x:c r="K1305" s="12" t="n">
        <x:v>144059626</x:v>
      </x:c>
      <x:c r="L1305" s="12" t="n">
        <x:v>300052698.342</x:v>
      </x:c>
      <x:c r="M1305" s="12" t="str">
        <x:v>TuShare index_daily</x:v>
      </x:c>
    </x:row>
    <x:row r="1306" ht="18" customHeight="1">
      <x:c r="A1306" s="13" t="n">
        <x:v>44536</x:v>
      </x:c>
      <x:c r="B1306" s="12" t="str">
        <x:v>000300.SH</x:v>
      </x:c>
      <x:c r="C1306" s="12" t="n">
        <x:v>4909.4292</x:v>
      </x:c>
      <x:c r="D1306" s="12" t="n">
        <x:v>4943.9032</x:v>
      </x:c>
      <x:c r="E1306" s="12" t="n">
        <x:v>4888.6927</x:v>
      </x:c>
      <x:c r="F1306" s="12" t="n">
        <x:v>4892.6209</x:v>
      </x:c>
      <x:c r="G1306" s="12" t="n">
        <x:v>4901.0175</x:v>
      </x:c>
      <x:c r="H1306" s="12" t="n">
        <x:v>-8.3966</x:v>
      </x:c>
      <x:c r="I1306" s="12" t="n">
        <x:v>-0.1713</x:v>
      </x:c>
      <x:c r="J1306" s="12" t="n">
        <x:v>-0.0017147053453223631</x:v>
      </x:c>
      <x:c r="K1306" s="12" t="n">
        <x:v>173615683</x:v>
      </x:c>
      <x:c r="L1306" s="12" t="n">
        <x:v>333405791.015</x:v>
      </x:c>
      <x:c r="M1306" s="12" t="str">
        <x:v>TuShare index_daily</x:v>
      </x:c>
    </x:row>
    <x:row r="1307" ht="18" customHeight="1">
      <x:c r="A1307" s="13" t="n">
        <x:v>44537</x:v>
      </x:c>
      <x:c r="B1307" s="12" t="str">
        <x:v>000300.SH</x:v>
      </x:c>
      <x:c r="C1307" s="12" t="n">
        <x:v>4930.8261</x:v>
      </x:c>
      <x:c r="D1307" s="12" t="n">
        <x:v>4934.0973</x:v>
      </x:c>
      <x:c r="E1307" s="12" t="n">
        <x:v>4895.2178</x:v>
      </x:c>
      <x:c r="F1307" s="12" t="n">
        <x:v>4922.1015</x:v>
      </x:c>
      <x:c r="G1307" s="12" t="n">
        <x:v>4892.6209</x:v>
      </x:c>
      <x:c r="H1307" s="12" t="n">
        <x:v>29.4806</x:v>
      </x:c>
      <x:c r="I1307" s="12" t="n">
        <x:v>0.6026</x:v>
      </x:c>
      <x:c r="J1307" s="12" t="n">
        <x:v>0.006007442179166062</x:v>
      </x:c>
      <x:c r="K1307" s="12" t="n">
        <x:v>179053460</x:v>
      </x:c>
      <x:c r="L1307" s="12" t="n">
        <x:v>340617766.238</x:v>
      </x:c>
      <x:c r="M1307" s="12" t="str">
        <x:v>TuShare index_daily</x:v>
      </x:c>
    </x:row>
    <x:row r="1308" ht="18" customHeight="1">
      <x:c r="A1308" s="13" t="n">
        <x:v>44538</x:v>
      </x:c>
      <x:c r="B1308" s="12" t="str">
        <x:v>000300.SH</x:v>
      </x:c>
      <x:c r="C1308" s="12" t="n">
        <x:v>4934.4056</x:v>
      </x:c>
      <x:c r="D1308" s="12" t="n">
        <x:v>4995.9298</x:v>
      </x:c>
      <x:c r="E1308" s="12" t="n">
        <x:v>4915.7898</x:v>
      </x:c>
      <x:c r="F1308" s="12" t="n">
        <x:v>4995.9298</x:v>
      </x:c>
      <x:c r="G1308" s="12" t="n">
        <x:v>4922.1015</x:v>
      </x:c>
      <x:c r="H1308" s="12" t="n">
        <x:v>73.8283</x:v>
      </x:c>
      <x:c r="I1308" s="12" t="n">
        <x:v>1.4999</x:v>
      </x:c>
      <x:c r="J1308" s="12" t="n">
        <x:v>0.014887967468882464</x:v>
      </x:c>
      <x:c r="K1308" s="12" t="n">
        <x:v>157490559</x:v>
      </x:c>
      <x:c r="L1308" s="12" t="n">
        <x:v>329064831.239</x:v>
      </x:c>
      <x:c r="M1308" s="12" t="str">
        <x:v>TuShare index_daily</x:v>
      </x:c>
    </x:row>
    <x:row r="1309" ht="18" customHeight="1">
      <x:c r="A1309" s="13" t="n">
        <x:v>44539</x:v>
      </x:c>
      <x:c r="B1309" s="12" t="str">
        <x:v>000300.SH</x:v>
      </x:c>
      <x:c r="C1309" s="12" t="n">
        <x:v>5000.6871</x:v>
      </x:c>
      <x:c r="D1309" s="12" t="n">
        <x:v>5114.5012</x:v>
      </x:c>
      <x:c r="E1309" s="12" t="n">
        <x:v>4999.4097</x:v>
      </x:c>
      <x:c r="F1309" s="12" t="n">
        <x:v>5078.6901</x:v>
      </x:c>
      <x:c r="G1309" s="12" t="n">
        <x:v>4995.9298</x:v>
      </x:c>
      <x:c r="H1309" s="12" t="n">
        <x:v>82.7603</x:v>
      </x:c>
      <x:c r="I1309" s="12" t="n">
        <x:v>1.6566</x:v>
      </x:c>
      <x:c r="J1309" s="12" t="n">
        <x:v>0.016429833085919086</x:v>
      </x:c>
      <x:c r="K1309" s="12" t="n">
        <x:v>220568776</x:v>
      </x:c>
      <x:c r="L1309" s="12" t="n">
        <x:v>425680958.779</x:v>
      </x:c>
      <x:c r="M1309" s="12" t="str">
        <x:v>TuShare index_daily</x:v>
      </x:c>
    </x:row>
    <x:row r="1310" ht="18" customHeight="1">
      <x:c r="A1310" s="13" t="n">
        <x:v>44540</x:v>
      </x:c>
      <x:c r="B1310" s="12" t="str">
        <x:v>000300.SH</x:v>
      </x:c>
      <x:c r="C1310" s="12" t="n">
        <x:v>5046.2677</x:v>
      </x:c>
      <x:c r="D1310" s="12" t="n">
        <x:v>5060.0554</x:v>
      </x:c>
      <x:c r="E1310" s="12" t="n">
        <x:v>5035.8087</x:v>
      </x:c>
      <x:c r="F1310" s="12" t="n">
        <x:v>5055.1172</x:v>
      </x:c>
      <x:c r="G1310" s="12" t="n">
        <x:v>5078.6901</x:v>
      </x:c>
      <x:c r="H1310" s="12" t="n">
        <x:v>-23.5729</x:v>
      </x:c>
      <x:c r="I1310" s="12" t="n">
        <x:v>-0.4642</x:v>
      </x:c>
      <x:c r="J1310" s="12" t="n">
        <x:v>-0.004652336840489615</x:v>
      </x:c>
      <x:c r="K1310" s="12" t="n">
        <x:v>193695154</x:v>
      </x:c>
      <x:c r="L1310" s="12" t="n">
        <x:v>356917625.38</x:v>
      </x:c>
      <x:c r="M1310" s="12" t="str">
        <x:v>TuShare index_daily</x:v>
      </x:c>
    </x:row>
    <x:row r="1311" ht="18" customHeight="1">
      <x:c r="A1311" s="13" t="n">
        <x:v>44543</x:v>
      </x:c>
      <x:c r="B1311" s="12" t="str">
        <x:v>000300.SH</x:v>
      </x:c>
      <x:c r="C1311" s="12" t="n">
        <x:v>5090.0207</x:v>
      </x:c>
      <x:c r="D1311" s="12" t="n">
        <x:v>5143.841</x:v>
      </x:c>
      <x:c r="E1311" s="12" t="n">
        <x:v>5079.7276</x:v>
      </x:c>
      <x:c r="F1311" s="12" t="n">
        <x:v>5083.8007</x:v>
      </x:c>
      <x:c r="G1311" s="12" t="n">
        <x:v>5055.1172</x:v>
      </x:c>
      <x:c r="H1311" s="12" t="n">
        <x:v>28.6835</x:v>
      </x:c>
      <x:c r="I1311" s="12" t="n">
        <x:v>0.5674</x:v>
      </x:c>
      <x:c r="J1311" s="12" t="n">
        <x:v>0.0056581139735559045</x:v>
      </x:c>
      <x:c r="K1311" s="12" t="n">
        <x:v>211801596</x:v>
      </x:c>
      <x:c r="L1311" s="12" t="n">
        <x:v>426376532.477</x:v>
      </x:c>
      <x:c r="M1311" s="12" t="str">
        <x:v>TuShare index_daily</x:v>
      </x:c>
    </x:row>
    <x:row r="1312" ht="18" customHeight="1">
      <x:c r="A1312" s="13" t="n">
        <x:v>44544</x:v>
      </x:c>
      <x:c r="B1312" s="12" t="str">
        <x:v>000300.SH</x:v>
      </x:c>
      <x:c r="C1312" s="12" t="n">
        <x:v>5066.3497</x:v>
      </x:c>
      <x:c r="D1312" s="12" t="n">
        <x:v>5075.2138</x:v>
      </x:c>
      <x:c r="E1312" s="12" t="n">
        <x:v>5038.8583</x:v>
      </x:c>
      <x:c r="F1312" s="12" t="n">
        <x:v>5049.6953</x:v>
      </x:c>
      <x:c r="G1312" s="12" t="n">
        <x:v>5083.8007</x:v>
      </x:c>
      <x:c r="H1312" s="12" t="n">
        <x:v>-34.1054</x:v>
      </x:c>
      <x:c r="I1312" s="12" t="n">
        <x:v>-0.6709</x:v>
      </x:c>
      <x:c r="J1312" s="12" t="n">
        <x:v>-0.006731246309327015</x:v>
      </x:c>
      <x:c r="K1312" s="12" t="n">
        <x:v>159107790</x:v>
      </x:c>
      <x:c r="L1312" s="12" t="n">
        <x:v>318685538.074</x:v>
      </x:c>
      <x:c r="M1312" s="12" t="str">
        <x:v>TuShare index_daily</x:v>
      </x:c>
    </x:row>
    <x:row r="1313" ht="18" customHeight="1">
      <x:c r="A1313" s="13" t="n">
        <x:v>44545</x:v>
      </x:c>
      <x:c r="B1313" s="12" t="str">
        <x:v>000300.SH</x:v>
      </x:c>
      <x:c r="C1313" s="12" t="n">
        <x:v>5036.284</x:v>
      </x:c>
      <x:c r="D1313" s="12" t="n">
        <x:v>5060.368</x:v>
      </x:c>
      <x:c r="E1313" s="12" t="n">
        <x:v>5003.7776</x:v>
      </x:c>
      <x:c r="F1313" s="12" t="n">
        <x:v>5005.8991</x:v>
      </x:c>
      <x:c r="G1313" s="12" t="n">
        <x:v>5049.6953</x:v>
      </x:c>
      <x:c r="H1313" s="12" t="n">
        <x:v>-43.7962</x:v>
      </x:c>
      <x:c r="I1313" s="12" t="n">
        <x:v>-0.8673</x:v>
      </x:c>
      <x:c r="J1313" s="12" t="n">
        <x:v>-0.008710867839850396</x:v>
      </x:c>
      <x:c r="K1313" s="12" t="n">
        <x:v>150529752</x:v>
      </x:c>
      <x:c r="L1313" s="12" t="n">
        <x:v>291072568.761</x:v>
      </x:c>
      <x:c r="M1313" s="12" t="str">
        <x:v>TuShare index_daily</x:v>
      </x:c>
    </x:row>
    <x:row r="1314" ht="18" customHeight="1">
      <x:c r="A1314" s="13" t="n">
        <x:v>44546</x:v>
      </x:c>
      <x:c r="B1314" s="12" t="str">
        <x:v>000300.SH</x:v>
      </x:c>
      <x:c r="C1314" s="12" t="n">
        <x:v>5006.6105</x:v>
      </x:c>
      <x:c r="D1314" s="12" t="n">
        <x:v>5034.7321</x:v>
      </x:c>
      <x:c r="E1314" s="12" t="n">
        <x:v>4987.2247</x:v>
      </x:c>
      <x:c r="F1314" s="12" t="n">
        <x:v>5034.7321</x:v>
      </x:c>
      <x:c r="G1314" s="12" t="n">
        <x:v>5005.8991</x:v>
      </x:c>
      <x:c r="H1314" s="12" t="n">
        <x:v>28.833</x:v>
      </x:c>
      <x:c r="I1314" s="12" t="n">
        <x:v>0.576</x:v>
      </x:c>
      <x:c r="J1314" s="12" t="n">
        <x:v>0.005743280214357276</x:v>
      </x:c>
      <x:c r="K1314" s="12" t="n">
        <x:v>144053867</x:v>
      </x:c>
      <x:c r="L1314" s="12" t="n">
        <x:v>291474766.866</x:v>
      </x:c>
      <x:c r="M1314" s="12" t="str">
        <x:v>TuShare index_daily</x:v>
      </x:c>
    </x:row>
    <x:row r="1315" ht="18" customHeight="1">
      <x:c r="A1315" s="13" t="n">
        <x:v>44547</x:v>
      </x:c>
      <x:c r="B1315" s="12" t="str">
        <x:v>000300.SH</x:v>
      </x:c>
      <x:c r="C1315" s="12" t="n">
        <x:v>5021.3385</x:v>
      </x:c>
      <x:c r="D1315" s="12" t="n">
        <x:v>5022.1067</x:v>
      </x:c>
      <x:c r="E1315" s="12" t="n">
        <x:v>4954.7592</x:v>
      </x:c>
      <x:c r="F1315" s="12" t="n">
        <x:v>4954.7599</x:v>
      </x:c>
      <x:c r="G1315" s="12" t="n">
        <x:v>5034.7321</x:v>
      </x:c>
      <x:c r="H1315" s="12" t="n">
        <x:v>-79.9722</x:v>
      </x:c>
      <x:c r="I1315" s="12" t="n">
        <x:v>-1.5884</x:v>
      </x:c>
      <x:c r="J1315" s="12" t="n">
        <x:v>-0.016011606704812265</x:v>
      </x:c>
      <x:c r="K1315" s="12" t="n">
        <x:v>149005399</x:v>
      </x:c>
      <x:c r="L1315" s="12" t="n">
        <x:v>297943311.187</x:v>
      </x:c>
      <x:c r="M1315" s="12" t="str">
        <x:v>TuShare index_daily</x:v>
      </x:c>
    </x:row>
    <x:row r="1316" ht="18" customHeight="1">
      <x:c r="A1316" s="13" t="n">
        <x:v>44550</x:v>
      </x:c>
      <x:c r="B1316" s="12" t="str">
        <x:v>000300.SH</x:v>
      </x:c>
      <x:c r="C1316" s="12" t="n">
        <x:v>4934.9662</x:v>
      </x:c>
      <x:c r="D1316" s="12" t="n">
        <x:v>4971.6727</x:v>
      </x:c>
      <x:c r="E1316" s="12" t="n">
        <x:v>4872.6846</x:v>
      </x:c>
      <x:c r="F1316" s="12" t="n">
        <x:v>4880.4178</x:v>
      </x:c>
      <x:c r="G1316" s="12" t="n">
        <x:v>4954.7599</x:v>
      </x:c>
      <x:c r="H1316" s="12" t="n">
        <x:v>-74.3421</x:v>
      </x:c>
      <x:c r="I1316" s="12" t="n">
        <x:v>-1.5004</x:v>
      </x:c>
      <x:c r="J1316" s="12" t="n">
        <x:v>-0.01511787954855152</x:v>
      </x:c>
      <x:c r="K1316" s="12" t="n">
        <x:v>169675690</x:v>
      </x:c>
      <x:c r="L1316" s="12" t="n">
        <x:v>317536919.39</x:v>
      </x:c>
      <x:c r="M1316" s="12" t="str">
        <x:v>TuShare index_daily</x:v>
      </x:c>
    </x:row>
    <x:row r="1317" ht="18" customHeight="1">
      <x:c r="A1317" s="13" t="n">
        <x:v>44551</x:v>
      </x:c>
      <x:c r="B1317" s="12" t="str">
        <x:v>000300.SH</x:v>
      </x:c>
      <x:c r="C1317" s="12" t="n">
        <x:v>4876.5141</x:v>
      </x:c>
      <x:c r="D1317" s="12" t="n">
        <x:v>4917.7994</x:v>
      </x:c>
      <x:c r="E1317" s="12" t="n">
        <x:v>4872.9491</x:v>
      </x:c>
      <x:c r="F1317" s="12" t="n">
        <x:v>4913.4853</x:v>
      </x:c>
      <x:c r="G1317" s="12" t="n">
        <x:v>4880.4178</x:v>
      </x:c>
      <x:c r="H1317" s="12" t="n">
        <x:v>33.0675</x:v>
      </x:c>
      <x:c r="I1317" s="12" t="n">
        <x:v>0.6776</x:v>
      </x:c>
      <x:c r="J1317" s="12" t="n">
        <x:v>0.006752696104045924</x:v>
      </x:c>
      <x:c r="K1317" s="12" t="n">
        <x:v>143339898</x:v>
      </x:c>
      <x:c r="L1317" s="12" t="n">
        <x:v>259023177.323</x:v>
      </x:c>
      <x:c r="M1317" s="12" t="str">
        <x:v>TuShare index_daily</x:v>
      </x:c>
    </x:row>
    <x:row r="1318" ht="18" customHeight="1">
      <x:c r="A1318" s="13" t="n">
        <x:v>44552</x:v>
      </x:c>
      <x:c r="B1318" s="12" t="str">
        <x:v>000300.SH</x:v>
      </x:c>
      <x:c r="C1318" s="12" t="n">
        <x:v>4924.5771</x:v>
      </x:c>
      <x:c r="D1318" s="12" t="n">
        <x:v>4936.6731</x:v>
      </x:c>
      <x:c r="E1318" s="12" t="n">
        <x:v>4903.1652</x:v>
      </x:c>
      <x:c r="F1318" s="12" t="n">
        <x:v>4914.4544</x:v>
      </x:c>
      <x:c r="G1318" s="12" t="n">
        <x:v>4913.4853</x:v>
      </x:c>
      <x:c r="H1318" s="12" t="n">
        <x:v>0.9691</x:v>
      </x:c>
      <x:c r="I1318" s="12" t="n">
        <x:v>0.0197</x:v>
      </x:c>
      <x:c r="J1318" s="12" t="n">
        <x:v>0.00019721325785909577</x:v>
      </x:c>
      <x:c r="K1318" s="12" t="n">
        <x:v>133256740</x:v>
      </x:c>
      <x:c r="L1318" s="12" t="n">
        <x:v>244642450.514</x:v>
      </x:c>
      <x:c r="M1318" s="12" t="str">
        <x:v>TuShare index_daily</x:v>
      </x:c>
    </x:row>
    <x:row r="1319" ht="18" customHeight="1">
      <x:c r="A1319" s="13" t="n">
        <x:v>44553</x:v>
      </x:c>
      <x:c r="B1319" s="12" t="str">
        <x:v>000300.SH</x:v>
      </x:c>
      <x:c r="C1319" s="12" t="n">
        <x:v>4924.2912</x:v>
      </x:c>
      <x:c r="D1319" s="12" t="n">
        <x:v>4948.7389</x:v>
      </x:c>
      <x:c r="E1319" s="12" t="n">
        <x:v>4906.7473</x:v>
      </x:c>
      <x:c r="F1319" s="12" t="n">
        <x:v>4948.7389</x:v>
      </x:c>
      <x:c r="G1319" s="12" t="n">
        <x:v>4914.4544</x:v>
      </x:c>
      <x:c r="H1319" s="12" t="n">
        <x:v>34.2845</x:v>
      </x:c>
      <x:c r="I1319" s="12" t="n">
        <x:v>0.6976</x:v>
      </x:c>
      <x:c r="J1319" s="12" t="n">
        <x:v>0.006952036128708292</x:v>
      </x:c>
      <x:c r="K1319" s="12" t="n">
        <x:v>139555406</x:v>
      </x:c>
      <x:c r="L1319" s="12" t="n">
        <x:v>263359754.801</x:v>
      </x:c>
      <x:c r="M1319" s="12" t="str">
        <x:v>TuShare index_daily</x:v>
      </x:c>
    </x:row>
    <x:row r="1320" ht="18" customHeight="1">
      <x:c r="A1320" s="13" t="n">
        <x:v>44554</x:v>
      </x:c>
      <x:c r="B1320" s="12" t="str">
        <x:v>000300.SH</x:v>
      </x:c>
      <x:c r="C1320" s="12" t="n">
        <x:v>4953.0616</x:v>
      </x:c>
      <x:c r="D1320" s="12" t="n">
        <x:v>4964.9064</x:v>
      </x:c>
      <x:c r="E1320" s="12" t="n">
        <x:v>4905.9785</x:v>
      </x:c>
      <x:c r="F1320" s="12" t="n">
        <x:v>4921.3449</x:v>
      </x:c>
      <x:c r="G1320" s="12" t="n">
        <x:v>4948.7389</x:v>
      </x:c>
      <x:c r="H1320" s="12" t="n">
        <x:v>-27.394</x:v>
      </x:c>
      <x:c r="I1320" s="12" t="n">
        <x:v>-0.5536</x:v>
      </x:c>
      <x:c r="J1320" s="12" t="n">
        <x:v>-0.00555092963658456</x:v>
      </x:c>
      <x:c r="K1320" s="12" t="n">
        <x:v>142673323</x:v>
      </x:c>
      <x:c r="L1320" s="12" t="n">
        <x:v>290483663.506</x:v>
      </x:c>
      <x:c r="M1320" s="12" t="str">
        <x:v>TuShare index_daily</x:v>
      </x:c>
    </x:row>
    <x:row r="1321" ht="18" customHeight="1">
      <x:c r="A1321" s="13" t="n">
        <x:v>44557</x:v>
      </x:c>
      <x:c r="B1321" s="12" t="str">
        <x:v>000300.SH</x:v>
      </x:c>
      <x:c r="C1321" s="12" t="n">
        <x:v>4918.1462</x:v>
      </x:c>
      <x:c r="D1321" s="12" t="n">
        <x:v>4939.689</x:v>
      </x:c>
      <x:c r="E1321" s="12" t="n">
        <x:v>4894.1598</x:v>
      </x:c>
      <x:c r="F1321" s="12" t="n">
        <x:v>4919.3238</x:v>
      </x:c>
      <x:c r="G1321" s="12" t="n">
        <x:v>4921.3449</x:v>
      </x:c>
      <x:c r="H1321" s="12" t="n">
        <x:v>-2.0211</x:v>
      </x:c>
      <x:c r="I1321" s="12" t="n">
        <x:v>-0.0411</x:v>
      </x:c>
      <x:c r="J1321" s="12" t="n">
        <x:v>-0.00041076477423087026</x:v>
      </x:c>
      <x:c r="K1321" s="12" t="n">
        <x:v>124100952</x:v>
      </x:c>
      <x:c r="L1321" s="12" t="n">
        <x:v>254421525.173</x:v>
      </x:c>
      <x:c r="M1321" s="12" t="str">
        <x:v>TuShare index_daily</x:v>
      </x:c>
    </x:row>
    <x:row r="1322" ht="18" customHeight="1">
      <x:c r="A1322" s="13" t="n">
        <x:v>44558</x:v>
      </x:c>
      <x:c r="B1322" s="12" t="str">
        <x:v>000300.SH</x:v>
      </x:c>
      <x:c r="C1322" s="12" t="n">
        <x:v>4923.6917</x:v>
      </x:c>
      <x:c r="D1322" s="12" t="n">
        <x:v>4959.1448</x:v>
      </x:c>
      <x:c r="E1322" s="12" t="n">
        <x:v>4913.5983</x:v>
      </x:c>
      <x:c r="F1322" s="12" t="n">
        <x:v>4955.9644</x:v>
      </x:c>
      <x:c r="G1322" s="12" t="n">
        <x:v>4919.3238</x:v>
      </x:c>
      <x:c r="H1322" s="12" t="n">
        <x:v>36.6406</x:v>
      </x:c>
      <x:c r="I1322" s="12" t="n">
        <x:v>0.7448</x:v>
      </x:c>
      <x:c r="J1322" s="12" t="n">
        <x:v>0.00742069849461029</x:v>
      </x:c>
      <x:c r="K1322" s="12" t="n">
        <x:v>130457757</x:v>
      </x:c>
      <x:c r="L1322" s="12" t="n">
        <x:v>276316732.181</x:v>
      </x:c>
      <x:c r="M1322" s="12" t="str">
        <x:v>TuShare index_daily</x:v>
      </x:c>
    </x:row>
    <x:row r="1323" ht="18" customHeight="1">
      <x:c r="A1323" s="13" t="n">
        <x:v>44559</x:v>
      </x:c>
      <x:c r="B1323" s="12" t="str">
        <x:v>000300.SH</x:v>
      </x:c>
      <x:c r="C1323" s="12" t="n">
        <x:v>4958.6455</x:v>
      </x:c>
      <x:c r="D1323" s="12" t="n">
        <x:v>4958.6455</x:v>
      </x:c>
      <x:c r="E1323" s="12" t="n">
        <x:v>4883.4804</x:v>
      </x:c>
      <x:c r="F1323" s="12" t="n">
        <x:v>4883.4804</x:v>
      </x:c>
      <x:c r="G1323" s="12" t="n">
        <x:v>4955.9644</x:v>
      </x:c>
      <x:c r="H1323" s="12" t="n">
        <x:v>-72.484</x:v>
      </x:c>
      <x:c r="I1323" s="12" t="n">
        <x:v>-1.4626</x:v>
      </x:c>
      <x:c r="J1323" s="12" t="n">
        <x:v>-0.014733618146385177</x:v>
      </x:c>
      <x:c r="K1323" s="12" t="n">
        <x:v>113587002</x:v>
      </x:c>
      <x:c r="L1323" s="12" t="n">
        <x:v>273225467.112</x:v>
      </x:c>
      <x:c r="M1323" s="12" t="str">
        <x:v>TuShare index_daily</x:v>
      </x:c>
    </x:row>
    <x:row r="1324" ht="18" customHeight="1">
      <x:c r="A1324" s="13" t="n">
        <x:v>44560</x:v>
      </x:c>
      <x:c r="B1324" s="12" t="str">
        <x:v>000300.SH</x:v>
      </x:c>
      <x:c r="C1324" s="12" t="n">
        <x:v>4882.1561</x:v>
      </x:c>
      <x:c r="D1324" s="12" t="n">
        <x:v>4940.178</x:v>
      </x:c>
      <x:c r="E1324" s="12" t="n">
        <x:v>4878.6478</x:v>
      </x:c>
      <x:c r="F1324" s="12" t="n">
        <x:v>4921.5109</x:v>
      </x:c>
      <x:c r="G1324" s="12" t="n">
        <x:v>4883.4804</x:v>
      </x:c>
      <x:c r="H1324" s="12" t="n">
        <x:v>38.0305</x:v>
      </x:c>
      <x:c r="I1324" s="12" t="n">
        <x:v>0.7788</x:v>
      </x:c>
      <x:c r="J1324" s="12" t="n">
        <x:v>0.007757414474152084</x:v>
      </x:c>
      <x:c r="K1324" s="12" t="n">
        <x:v>121617178</x:v>
      </x:c>
      <x:c r="L1324" s="12" t="n">
        <x:v>268022477.312</x:v>
      </x:c>
      <x:c r="M1324" s="12" t="str">
        <x:v>TuShare index_daily</x:v>
      </x:c>
    </x:row>
    <x:row r="1325" ht="18" customHeight="1">
      <x:c r="A1325" s="13" t="n">
        <x:v>44561</x:v>
      </x:c>
      <x:c r="B1325" s="12" t="str">
        <x:v>000300.SH</x:v>
      </x:c>
      <x:c r="C1325" s="12" t="n">
        <x:v>4937.463</x:v>
      </x:c>
      <x:c r="D1325" s="12" t="n">
        <x:v>4950.3639</x:v>
      </x:c>
      <x:c r="E1325" s="12" t="n">
        <x:v>4923.1392</x:v>
      </x:c>
      <x:c r="F1325" s="12" t="n">
        <x:v>4940.3733</x:v>
      </x:c>
      <x:c r="G1325" s="12" t="n">
        <x:v>4921.5109</x:v>
      </x:c>
      <x:c r="H1325" s="12" t="n">
        <x:v>18.8624</x:v>
      </x:c>
      <x:c r="I1325" s="12" t="n">
        <x:v>0.3833</x:v>
      </x:c>
      <x:c r="J1325" s="12" t="n">
        <x:v>0.0038253182898282034</x:v>
      </x:c>
      <x:c r="K1325" s="12" t="n">
        <x:v>121313737</x:v>
      </x:c>
      <x:c r="L1325" s="12" t="n">
        <x:v>266975388.723</x:v>
      </x:c>
      <x:c r="M1325" s="12" t="str">
        <x:v>TuShare index_daily</x:v>
      </x:c>
    </x:row>
    <x:row r="1326" ht="18" customHeight="1">
      <x:c r="A1326" s="13" t="n">
        <x:v>44565</x:v>
      </x:c>
      <x:c r="B1326" s="12" t="str">
        <x:v>000300.SH</x:v>
      </x:c>
      <x:c r="C1326" s="12" t="n">
        <x:v>4957.9835</x:v>
      </x:c>
      <x:c r="D1326" s="12" t="n">
        <x:v>4961.4527</x:v>
      </x:c>
      <x:c r="E1326" s="12" t="n">
        <x:v>4874.5337</x:v>
      </x:c>
      <x:c r="F1326" s="12" t="n">
        <x:v>4917.7653</x:v>
      </x:c>
      <x:c r="G1326" s="12" t="n">
        <x:v>4940.3733</x:v>
      </x:c>
      <x:c r="H1326" s="12" t="n">
        <x:v>-22.608</x:v>
      </x:c>
      <x:c r="I1326" s="12" t="n">
        <x:v>-0.4576</x:v>
      </x:c>
      <x:c r="J1326" s="12" t="n">
        <x:v>-0.004586675142669136</x:v>
      </x:c>
      <x:c r="K1326" s="12" t="n">
        <x:v>151534776</x:v>
      </x:c>
      <x:c r="L1326" s="12" t="n">
        <x:v>336516961.627</x:v>
      </x:c>
      <x:c r="M1326" s="12" t="str">
        <x:v>TuShare index_daily</x:v>
      </x:c>
    </x:row>
    <x:row r="1327" ht="18" customHeight="1">
      <x:c r="A1327" s="13" t="n">
        <x:v>44566</x:v>
      </x:c>
      <x:c r="B1327" s="12" t="str">
        <x:v>000300.SH</x:v>
      </x:c>
      <x:c r="C1327" s="12" t="n">
        <x:v>4907.9347</x:v>
      </x:c>
      <x:c r="D1327" s="12" t="n">
        <x:v>4916.2822</x:v>
      </x:c>
      <x:c r="E1327" s="12" t="n">
        <x:v>4851.9835</x:v>
      </x:c>
      <x:c r="F1327" s="12" t="n">
        <x:v>4868.1202</x:v>
      </x:c>
      <x:c r="G1327" s="12" t="n">
        <x:v>4917.7653</x:v>
      </x:c>
      <x:c r="H1327" s="12" t="n">
        <x:v>-49.6451</x:v>
      </x:c>
      <x:c r="I1327" s="12" t="n">
        <x:v>-1.0095</x:v>
      </x:c>
      <x:c r="J1327" s="12" t="n">
        <x:v>-0.01014635331807042</x:v>
      </x:c>
      <x:c r="K1327" s="12" t="n">
        <x:v>178816100</x:v>
      </x:c>
      <x:c r="L1327" s="12" t="n">
        <x:v>363944528.848</x:v>
      </x:c>
      <x:c r="M1327" s="12" t="str">
        <x:v>TuShare index_daily</x:v>
      </x:c>
    </x:row>
    <x:row r="1328" ht="18" customHeight="1">
      <x:c r="A1328" s="13" t="n">
        <x:v>44567</x:v>
      </x:c>
      <x:c r="B1328" s="12" t="str">
        <x:v>000300.SH</x:v>
      </x:c>
      <x:c r="C1328" s="12" t="n">
        <x:v>4842.156</x:v>
      </x:c>
      <x:c r="D1328" s="12" t="n">
        <x:v>4857.5596</x:v>
      </x:c>
      <x:c r="E1328" s="12" t="n">
        <x:v>4786.433</x:v>
      </x:c>
      <x:c r="F1328" s="12" t="n">
        <x:v>4818.2318</x:v>
      </x:c>
      <x:c r="G1328" s="12" t="n">
        <x:v>4868.1202</x:v>
      </x:c>
      <x:c r="H1328" s="12" t="n">
        <x:v>-49.8884</x:v>
      </x:c>
      <x:c r="I1328" s="12" t="n">
        <x:v>-1.0248</x:v>
      </x:c>
      <x:c r="J1328" s="12" t="n">
        <x:v>-0.010300852400832543</x:v>
      </x:c>
      <x:c r="K1328" s="12" t="n">
        <x:v>157665826</x:v>
      </x:c>
      <x:c r="L1328" s="12" t="n">
        <x:v>321750076.5</x:v>
      </x:c>
      <x:c r="M1328" s="12" t="str">
        <x:v>TuShare index_daily</x:v>
      </x:c>
    </x:row>
    <x:row r="1329" ht="18" customHeight="1">
      <x:c r="A1329" s="13" t="n">
        <x:v>44568</x:v>
      </x:c>
      <x:c r="B1329" s="12" t="str">
        <x:v>000300.SH</x:v>
      </x:c>
      <x:c r="C1329" s="12" t="n">
        <x:v>4824.3181</x:v>
      </x:c>
      <x:c r="D1329" s="12" t="n">
        <x:v>4856.6522</x:v>
      </x:c>
      <x:c r="E1329" s="12" t="n">
        <x:v>4818.1931</x:v>
      </x:c>
      <x:c r="F1329" s="12" t="n">
        <x:v>4822.3689</x:v>
      </x:c>
      <x:c r="G1329" s="12" t="n">
        <x:v>4818.2318</x:v>
      </x:c>
      <x:c r="H1329" s="12" t="n">
        <x:v>4.1371</x:v>
      </x:c>
      <x:c r="I1329" s="12" t="n">
        <x:v>0.0859</x:v>
      </x:c>
      <x:c r="J1329" s="12" t="n">
        <x:v>0.0008582660733904354</x:v>
      </x:c>
      <x:c r="K1329" s="12" t="n">
        <x:v>187139413</x:v>
      </x:c>
      <x:c r="L1329" s="12" t="n">
        <x:v>332218950.735</x:v>
      </x:c>
      <x:c r="M1329" s="12" t="str">
        <x:v>TuShare index_daily</x:v>
      </x:c>
    </x:row>
    <x:row r="1330" ht="18" customHeight="1">
      <x:c r="A1330" s="13" t="n">
        <x:v>44571</x:v>
      </x:c>
      <x:c r="B1330" s="12" t="str">
        <x:v>000300.SH</x:v>
      </x:c>
      <x:c r="C1330" s="12" t="n">
        <x:v>4812.23</x:v>
      </x:c>
      <x:c r="D1330" s="12" t="n">
        <x:v>4844.3928</x:v>
      </x:c>
      <x:c r="E1330" s="12" t="n">
        <x:v>4780.8191</x:v>
      </x:c>
      <x:c r="F1330" s="12" t="n">
        <x:v>4844.0451</x:v>
      </x:c>
      <x:c r="G1330" s="12" t="n">
        <x:v>4822.3689</x:v>
      </x:c>
      <x:c r="H1330" s="12" t="n">
        <x:v>21.6762</x:v>
      </x:c>
      <x:c r="I1330" s="12" t="n">
        <x:v>0.4495</x:v>
      </x:c>
      <x:c r="J1330" s="12" t="n">
        <x:v>0.004484855776462298</x:v>
      </x:c>
      <x:c r="K1330" s="12" t="n">
        <x:v>156211696</x:v>
      </x:c>
      <x:c r="L1330" s="12" t="n">
        <x:v>305033816.784</x:v>
      </x:c>
      <x:c r="M1330" s="12" t="str">
        <x:v>TuShare index_daily</x:v>
      </x:c>
    </x:row>
    <x:row r="1331" ht="18" customHeight="1">
      <x:c r="A1331" s="13" t="n">
        <x:v>44572</x:v>
      </x:c>
      <x:c r="B1331" s="12" t="str">
        <x:v>000300.SH</x:v>
      </x:c>
      <x:c r="C1331" s="12" t="n">
        <x:v>4840.0087</x:v>
      </x:c>
      <x:c r="D1331" s="12" t="n">
        <x:v>4850.879</x:v>
      </x:c>
      <x:c r="E1331" s="12" t="n">
        <x:v>4791.8854</x:v>
      </x:c>
      <x:c r="F1331" s="12" t="n">
        <x:v>4797.7735</x:v>
      </x:c>
      <x:c r="G1331" s="12" t="n">
        <x:v>4844.0451</x:v>
      </x:c>
      <x:c r="H1331" s="12" t="n">
        <x:v>-46.2716</x:v>
      </x:c>
      <x:c r="I1331" s="12" t="n">
        <x:v>-0.9552</x:v>
      </x:c>
      <x:c r="J1331" s="12" t="n">
        <x:v>-0.009598180001148815</x:v>
      </x:c>
      <x:c r="K1331" s="12" t="n">
        <x:v>146928004</x:v>
      </x:c>
      <x:c r="L1331" s="12" t="n">
        <x:v>286445756.034</x:v>
      </x:c>
      <x:c r="M1331" s="12" t="str">
        <x:v>TuShare index_daily</x:v>
      </x:c>
    </x:row>
    <x:row r="1332" ht="18" customHeight="1">
      <x:c r="A1332" s="13" t="n">
        <x:v>44573</x:v>
      </x:c>
      <x:c r="B1332" s="12" t="str">
        <x:v>000300.SH</x:v>
      </x:c>
      <x:c r="C1332" s="12" t="n">
        <x:v>4818.8902</x:v>
      </x:c>
      <x:c r="D1332" s="12" t="n">
        <x:v>4852.7314</x:v>
      </x:c>
      <x:c r="E1332" s="12" t="n">
        <x:v>4810.919</x:v>
      </x:c>
      <x:c r="F1332" s="12" t="n">
        <x:v>4845.5787</x:v>
      </x:c>
      <x:c r="G1332" s="12" t="n">
        <x:v>4797.7735</x:v>
      </x:c>
      <x:c r="H1332" s="12" t="n">
        <x:v>47.8052</x:v>
      </x:c>
      <x:c r="I1332" s="12" t="n">
        <x:v>0.9964</x:v>
      </x:c>
      <x:c r="J1332" s="12" t="n">
        <x:v>0.00991472480091817</x:v>
      </x:c>
      <x:c r="K1332" s="12" t="n">
        <x:v>143200204</x:v>
      </x:c>
      <x:c r="L1332" s="12" t="n">
        <x:v>293153042.845</x:v>
      </x:c>
      <x:c r="M1332" s="12" t="str">
        <x:v>TuShare index_daily</x:v>
      </x:c>
    </x:row>
    <x:row r="1333" ht="18" customHeight="1">
      <x:c r="A1333" s="13" t="n">
        <x:v>44574</x:v>
      </x:c>
      <x:c r="B1333" s="12" t="str">
        <x:v>000300.SH</x:v>
      </x:c>
      <x:c r="C1333" s="12" t="n">
        <x:v>4853.0314</x:v>
      </x:c>
      <x:c r="D1333" s="12" t="n">
        <x:v>4853.0632</x:v>
      </x:c>
      <x:c r="E1333" s="12" t="n">
        <x:v>4765.2416</x:v>
      </x:c>
      <x:c r="F1333" s="12" t="n">
        <x:v>4765.9191</x:v>
      </x:c>
      <x:c r="G1333" s="12" t="n">
        <x:v>4845.5787</x:v>
      </x:c>
      <x:c r="H1333" s="12" t="n">
        <x:v>-79.6596</x:v>
      </x:c>
      <x:c r="I1333" s="12" t="n">
        <x:v>-1.644</x:v>
      </x:c>
      <x:c r="J1333" s="12" t="n">
        <x:v>-0.016576276804004232</x:v>
      </x:c>
      <x:c r="K1333" s="12" t="n">
        <x:v>142519653</x:v>
      </x:c>
      <x:c r="L1333" s="12" t="n">
        <x:v>288799117.043</x:v>
      </x:c>
      <x:c r="M1333" s="12" t="str">
        <x:v>TuShare index_daily</x:v>
      </x:c>
    </x:row>
    <x:row r="1334" ht="18" customHeight="1">
      <x:c r="A1334" s="13" t="n">
        <x:v>44575</x:v>
      </x:c>
      <x:c r="B1334" s="12" t="str">
        <x:v>000300.SH</x:v>
      </x:c>
      <x:c r="C1334" s="12" t="n">
        <x:v>4743.9124</x:v>
      </x:c>
      <x:c r="D1334" s="12" t="n">
        <x:v>4764.0522</x:v>
      </x:c>
      <x:c r="E1334" s="12" t="n">
        <x:v>4723.9428</x:v>
      </x:c>
      <x:c r="F1334" s="12" t="n">
        <x:v>4726.7317</x:v>
      </x:c>
      <x:c r="G1334" s="12" t="n">
        <x:v>4765.9191</x:v>
      </x:c>
      <x:c r="H1334" s="12" t="n">
        <x:v>-39.1874</x:v>
      </x:c>
      <x:c r="I1334" s="12" t="n">
        <x:v>-0.8222</x:v>
      </x:c>
      <x:c r="J1334" s="12" t="n">
        <x:v>-0.008256412974016464</x:v>
      </x:c>
      <x:c r="K1334" s="12" t="n">
        <x:v>146863126</x:v>
      </x:c>
      <x:c r="L1334" s="12" t="n">
        <x:v>281828448.517</x:v>
      </x:c>
      <x:c r="M1334" s="12" t="str">
        <x:v>TuShare index_daily</x:v>
      </x:c>
    </x:row>
    <x:row r="1335" ht="18" customHeight="1">
      <x:c r="A1335" s="13" t="n">
        <x:v>44578</x:v>
      </x:c>
      <x:c r="B1335" s="12" t="str">
        <x:v>000300.SH</x:v>
      </x:c>
      <x:c r="C1335" s="12" t="n">
        <x:v>4728.7595</x:v>
      </x:c>
      <x:c r="D1335" s="12" t="n">
        <x:v>4775.2385</x:v>
      </x:c>
      <x:c r="E1335" s="12" t="n">
        <x:v>4726.7083</x:v>
      </x:c>
      <x:c r="F1335" s="12" t="n">
        <x:v>4767.2762</x:v>
      </x:c>
      <x:c r="G1335" s="12" t="n">
        <x:v>4726.7317</x:v>
      </x:c>
      <x:c r="H1335" s="12" t="n">
        <x:v>40.5445</x:v>
      </x:c>
      <x:c r="I1335" s="12" t="n">
        <x:v>0.8578</x:v>
      </x:c>
      <x:c r="J1335" s="12" t="n">
        <x:v>0.008541123391974052</x:v>
      </x:c>
      <x:c r="K1335" s="12" t="n">
        <x:v>115295691</x:v>
      </x:c>
      <x:c r="L1335" s="12" t="n">
        <x:v>263788241.676</x:v>
      </x:c>
      <x:c r="M1335" s="12" t="str">
        <x:v>TuShare index_daily</x:v>
      </x:c>
    </x:row>
    <x:row r="1336" ht="18" customHeight="1">
      <x:c r="A1336" s="13" t="n">
        <x:v>44579</x:v>
      </x:c>
      <x:c r="B1336" s="12" t="str">
        <x:v>000300.SH</x:v>
      </x:c>
      <x:c r="C1336" s="12" t="n">
        <x:v>4766.7811</x:v>
      </x:c>
      <x:c r="D1336" s="12" t="n">
        <x:v>4826.3003</x:v>
      </x:c>
      <x:c r="E1336" s="12" t="n">
        <x:v>4747.92</x:v>
      </x:c>
      <x:c r="F1336" s="12" t="n">
        <x:v>4813.3472</x:v>
      </x:c>
      <x:c r="G1336" s="12" t="n">
        <x:v>4767.2762</x:v>
      </x:c>
      <x:c r="H1336" s="12" t="n">
        <x:v>46.071</x:v>
      </x:c>
      <x:c r="I1336" s="12" t="n">
        <x:v>0.9664</x:v>
      </x:c>
      <x:c r="J1336" s="12" t="n">
        <x:v>0.00961761113042047</x:v>
      </x:c>
      <x:c r="K1336" s="12" t="n">
        <x:v>150870802</x:v>
      </x:c>
      <x:c r="L1336" s="12" t="n">
        <x:v>282749393.139</x:v>
      </x:c>
      <x:c r="M1336" s="12" t="str">
        <x:v>TuShare index_daily</x:v>
      </x:c>
    </x:row>
    <x:row r="1337" ht="18" customHeight="1">
      <x:c r="A1337" s="13" t="n">
        <x:v>44580</x:v>
      </x:c>
      <x:c r="B1337" s="12" t="str">
        <x:v>000300.SH</x:v>
      </x:c>
      <x:c r="C1337" s="12" t="n">
        <x:v>4815.8106</x:v>
      </x:c>
      <x:c r="D1337" s="12" t="n">
        <x:v>4828.7522</x:v>
      </x:c>
      <x:c r="E1337" s="12" t="n">
        <x:v>4755.9301</x:v>
      </x:c>
      <x:c r="F1337" s="12" t="n">
        <x:v>4780.3784</x:v>
      </x:c>
      <x:c r="G1337" s="12" t="n">
        <x:v>4813.3472</x:v>
      </x:c>
      <x:c r="H1337" s="12" t="n">
        <x:v>-32.9688</x:v>
      </x:c>
      <x:c r="I1337" s="12" t="n">
        <x:v>-0.6849</x:v>
      </x:c>
      <x:c r="J1337" s="12" t="n">
        <x:v>-0.0068730191288057345</x:v>
      </x:c>
      <x:c r="K1337" s="12" t="n">
        <x:v>133927360</x:v>
      </x:c>
      <x:c r="L1337" s="12" t="n">
        <x:v>275534557.469</x:v>
      </x:c>
      <x:c r="M1337" s="12" t="str">
        <x:v>TuShare index_daily</x:v>
      </x:c>
    </x:row>
    <x:row r="1338" ht="18" customHeight="1">
      <x:c r="A1338" s="13" t="n">
        <x:v>44581</x:v>
      </x:c>
      <x:c r="B1338" s="12" t="str">
        <x:v>000300.SH</x:v>
      </x:c>
      <x:c r="C1338" s="12" t="n">
        <x:v>4778.2616</x:v>
      </x:c>
      <x:c r="D1338" s="12" t="n">
        <x:v>4845.0048</x:v>
      </x:c>
      <x:c r="E1338" s="12" t="n">
        <x:v>4777.5683</x:v>
      </x:c>
      <x:c r="F1338" s="12" t="n">
        <x:v>4823.5091</x:v>
      </x:c>
      <x:c r="G1338" s="12" t="n">
        <x:v>4780.3784</x:v>
      </x:c>
      <x:c r="H1338" s="12" t="n">
        <x:v>43.1307</x:v>
      </x:c>
      <x:c r="I1338" s="12" t="n">
        <x:v>0.9022</x:v>
      </x:c>
      <x:c r="J1338" s="12" t="n">
        <x:v>0.008981985673519537</x:v>
      </x:c>
      <x:c r="K1338" s="12" t="n">
        <x:v>164971315</x:v>
      </x:c>
      <x:c r="L1338" s="12" t="n">
        <x:v>304344267.971</x:v>
      </x:c>
      <x:c r="M1338" s="12" t="str">
        <x:v>TuShare index_daily</x:v>
      </x:c>
    </x:row>
    <x:row r="1339" ht="18" customHeight="1">
      <x:c r="A1339" s="13" t="n">
        <x:v>44582</x:v>
      </x:c>
      <x:c r="B1339" s="12" t="str">
        <x:v>000300.SH</x:v>
      </x:c>
      <x:c r="C1339" s="12" t="n">
        <x:v>4808.7733</x:v>
      </x:c>
      <x:c r="D1339" s="12" t="n">
        <x:v>4818.3052</x:v>
      </x:c>
      <x:c r="E1339" s="12" t="n">
        <x:v>4762.5641</x:v>
      </x:c>
      <x:c r="F1339" s="12" t="n">
        <x:v>4779.3142</x:v>
      </x:c>
      <x:c r="G1339" s="12" t="n">
        <x:v>4823.5091</x:v>
      </x:c>
      <x:c r="H1339" s="12" t="n">
        <x:v>-44.1949</x:v>
      </x:c>
      <x:c r="I1339" s="12" t="n">
        <x:v>-0.9162</x:v>
      </x:c>
      <x:c r="J1339" s="12" t="n">
        <x:v>-0.009204628816751045</x:v>
      </x:c>
      <x:c r="K1339" s="12" t="n">
        <x:v>138952585</x:v>
      </x:c>
      <x:c r="L1339" s="12" t="n">
        <x:v>274699155.294</x:v>
      </x:c>
      <x:c r="M1339" s="12" t="str">
        <x:v>TuShare index_daily</x:v>
      </x:c>
    </x:row>
    <x:row r="1340" ht="18" customHeight="1">
      <x:c r="A1340" s="13" t="n">
        <x:v>44585</x:v>
      </x:c>
      <x:c r="B1340" s="12" t="str">
        <x:v>000300.SH</x:v>
      </x:c>
      <x:c r="C1340" s="12" t="n">
        <x:v>4753.9413</x:v>
      </x:c>
      <x:c r="D1340" s="12" t="n">
        <x:v>4801.0976</x:v>
      </x:c>
      <x:c r="E1340" s="12" t="n">
        <x:v>4746.4479</x:v>
      </x:c>
      <x:c r="F1340" s="12" t="n">
        <x:v>4786.7377</x:v>
      </x:c>
      <x:c r="G1340" s="12" t="n">
        <x:v>4779.3142</x:v>
      </x:c>
      <x:c r="H1340" s="12" t="n">
        <x:v>7.4235</x:v>
      </x:c>
      <x:c r="I1340" s="12" t="n">
        <x:v>0.1553</x:v>
      </x:c>
      <x:c r="J1340" s="12" t="n">
        <x:v>0.001552051267918045</x:v>
      </x:c>
      <x:c r="K1340" s="12" t="n">
        <x:v>114463880</x:v>
      </x:c>
      <x:c r="L1340" s="12" t="n">
        <x:v>246261594.853</x:v>
      </x:c>
      <x:c r="M1340" s="12" t="str">
        <x:v>TuShare index_daily</x:v>
      </x:c>
    </x:row>
    <x:row r="1341" ht="18" customHeight="1">
      <x:c r="A1341" s="13" t="n">
        <x:v>44586</x:v>
      </x:c>
      <x:c r="B1341" s="12" t="str">
        <x:v>000300.SH</x:v>
      </x:c>
      <x:c r="C1341" s="12" t="n">
        <x:v>4761.95</x:v>
      </x:c>
      <x:c r="D1341" s="12" t="n">
        <x:v>4781.3908</x:v>
      </x:c>
      <x:c r="E1341" s="12" t="n">
        <x:v>4678.2472</x:v>
      </x:c>
      <x:c r="F1341" s="12" t="n">
        <x:v>4678.4511</x:v>
      </x:c>
      <x:c r="G1341" s="12" t="n">
        <x:v>4786.7377</x:v>
      </x:c>
      <x:c r="H1341" s="12" t="n">
        <x:v>-108.2866</x:v>
      </x:c>
      <x:c r="I1341" s="12" t="n">
        <x:v>-2.2622</x:v>
      </x:c>
      <x:c r="J1341" s="12" t="n">
        <x:v>-0.022882021063491267</x:v>
      </x:c>
      <x:c r="K1341" s="12" t="n">
        <x:v>133667586</x:v>
      </x:c>
      <x:c r="L1341" s="12" t="n">
        <x:v>250555769.168</x:v>
      </x:c>
      <x:c r="M1341" s="12" t="str">
        <x:v>TuShare index_daily</x:v>
      </x:c>
    </x:row>
    <x:row r="1342" ht="18" customHeight="1">
      <x:c r="A1342" s="13" t="n">
        <x:v>44587</x:v>
      </x:c>
      <x:c r="B1342" s="12" t="str">
        <x:v>000300.SH</x:v>
      </x:c>
      <x:c r="C1342" s="12" t="n">
        <x:v>4697.0991</x:v>
      </x:c>
      <x:c r="D1342" s="12" t="n">
        <x:v>4718.9946</x:v>
      </x:c>
      <x:c r="E1342" s="12" t="n">
        <x:v>4648.1283</x:v>
      </x:c>
      <x:c r="F1342" s="12" t="n">
        <x:v>4712.3109</x:v>
      </x:c>
      <x:c r="G1342" s="12" t="n">
        <x:v>4678.4511</x:v>
      </x:c>
      <x:c r="H1342" s="12" t="n">
        <x:v>33.8598</x:v>
      </x:c>
      <x:c r="I1342" s="12" t="n">
        <x:v>0.7237</x:v>
      </x:c>
      <x:c r="J1342" s="12" t="n">
        <x:v>0.007211331036815009</x:v>
      </x:c>
      <x:c r="K1342" s="12" t="n">
        <x:v>107070842</x:v>
      </x:c>
      <x:c r="L1342" s="12" t="n">
        <x:v>226553448.357</x:v>
      </x:c>
      <x:c r="M1342" s="12" t="str">
        <x:v>TuShare index_daily</x:v>
      </x:c>
    </x:row>
    <x:row r="1343" ht="18" customHeight="1">
      <x:c r="A1343" s="13" t="n">
        <x:v>44588</x:v>
      </x:c>
      <x:c r="B1343" s="12" t="str">
        <x:v>000300.SH</x:v>
      </x:c>
      <x:c r="C1343" s="12" t="n">
        <x:v>4708.0989</x:v>
      </x:c>
      <x:c r="D1343" s="12" t="n">
        <x:v>4708.4364</x:v>
      </x:c>
      <x:c r="E1343" s="12" t="n">
        <x:v>4616.0273</x:v>
      </x:c>
      <x:c r="F1343" s="12" t="n">
        <x:v>4619.8765</x:v>
      </x:c>
      <x:c r="G1343" s="12" t="n">
        <x:v>4712.3109</x:v>
      </x:c>
      <x:c r="H1343" s="12" t="n">
        <x:v>-92.4344</x:v>
      </x:c>
      <x:c r="I1343" s="12" t="n">
        <x:v>-1.9616</x:v>
      </x:c>
      <x:c r="J1343" s="12" t="n">
        <x:v>-0.019810451513431557</x:v>
      </x:c>
      <x:c r="K1343" s="12" t="n">
        <x:v>121263804</x:v>
      </x:c>
      <x:c r="L1343" s="12" t="n">
        <x:v>250535654.824</x:v>
      </x:c>
      <x:c r="M1343" s="12" t="str">
        <x:v>TuShare index_daily</x:v>
      </x:c>
    </x:row>
    <x:row r="1344" ht="18" customHeight="1">
      <x:c r="A1344" s="13" t="n">
        <x:v>44589</x:v>
      </x:c>
      <x:c r="B1344" s="12" t="str">
        <x:v>000300.SH</x:v>
      </x:c>
      <x:c r="C1344" s="12" t="n">
        <x:v>4641.8137</x:v>
      </x:c>
      <x:c r="D1344" s="12" t="n">
        <x:v>4660.519</x:v>
      </x:c>
      <x:c r="E1344" s="12" t="n">
        <x:v>4559.8331</x:v>
      </x:c>
      <x:c r="F1344" s="12" t="n">
        <x:v>4563.772</x:v>
      </x:c>
      <x:c r="G1344" s="12" t="n">
        <x:v>4619.8765</x:v>
      </x:c>
      <x:c r="H1344" s="12" t="n">
        <x:v>-56.1045</x:v>
      </x:c>
      <x:c r="I1344" s="12" t="n">
        <x:v>-1.2144</x:v>
      </x:c>
      <x:c r="J1344" s="12" t="n">
        <x:v>-0.01221849856143308</x:v>
      </x:c>
      <x:c r="K1344" s="12" t="n">
        <x:v>126480112</x:v>
      </x:c>
      <x:c r="L1344" s="12" t="n">
        <x:v>263967891.828</x:v>
      </x:c>
      <x:c r="M1344" s="12" t="str">
        <x:v>TuShare index_daily</x:v>
      </x:c>
    </x:row>
    <x:row r="1345" ht="18" customHeight="1">
      <x:c r="A1345" s="13" t="n">
        <x:v>44599</x:v>
      </x:c>
      <x:c r="B1345" s="12" t="str">
        <x:v>000300.SH</x:v>
      </x:c>
      <x:c r="C1345" s="12" t="n">
        <x:v>4638.5754</x:v>
      </x:c>
      <x:c r="D1345" s="12" t="n">
        <x:v>4672.6535</x:v>
      </x:c>
      <x:c r="E1345" s="12" t="n">
        <x:v>4615.0052</x:v>
      </x:c>
      <x:c r="F1345" s="12" t="n">
        <x:v>4634.0899</x:v>
      </x:c>
      <x:c r="G1345" s="12" t="n">
        <x:v>4563.772</x:v>
      </x:c>
      <x:c r="H1345" s="12" t="n">
        <x:v>70.3179</x:v>
      </x:c>
      <x:c r="I1345" s="12" t="n">
        <x:v>1.5408</x:v>
      </x:c>
      <x:c r="J1345" s="12" t="n">
        <x:v>0.015290351335136535</x:v>
      </x:c>
      <x:c r="K1345" s="12" t="n">
        <x:v>144849720</x:v>
      </x:c>
      <x:c r="L1345" s="12" t="n">
        <x:v>266031793.985</x:v>
      </x:c>
      <x:c r="M1345" s="12" t="str">
        <x:v>TuShare index_daily</x:v>
      </x:c>
    </x:row>
    <x:row r="1346" ht="18" customHeight="1">
      <x:c r="A1346" s="13" t="n">
        <x:v>44600</x:v>
      </x:c>
      <x:c r="B1346" s="12" t="str">
        <x:v>000300.SH</x:v>
      </x:c>
      <x:c r="C1346" s="12" t="n">
        <x:v>4626.4365</x:v>
      </x:c>
      <x:c r="D1346" s="12" t="n">
        <x:v>4626.4365</x:v>
      </x:c>
      <x:c r="E1346" s="12" t="n">
        <x:v>4522.4709</x:v>
      </x:c>
      <x:c r="F1346" s="12" t="n">
        <x:v>4608.7729</x:v>
      </x:c>
      <x:c r="G1346" s="12" t="n">
        <x:v>4634.0899</x:v>
      </x:c>
      <x:c r="H1346" s="12" t="n">
        <x:v>-25.317</x:v>
      </x:c>
      <x:c r="I1346" s="12" t="n">
        <x:v>-0.5463</x:v>
      </x:c>
      <x:c r="J1346" s="12" t="n">
        <x:v>-0.005478186545120943</x:v>
      </x:c>
      <x:c r="K1346" s="12" t="n">
        <x:v>155830708</x:v>
      </x:c>
      <x:c r="L1346" s="12" t="n">
        <x:v>281364873.763</x:v>
      </x:c>
      <x:c r="M1346" s="12" t="str">
        <x:v>TuShare index_daily</x:v>
      </x:c>
    </x:row>
    <x:row r="1347" ht="18" customHeight="1">
      <x:c r="A1347" s="13" t="n">
        <x:v>44601</x:v>
      </x:c>
      <x:c r="B1347" s="12" t="str">
        <x:v>000300.SH</x:v>
      </x:c>
      <x:c r="C1347" s="12" t="n">
        <x:v>4608.1491</x:v>
      </x:c>
      <x:c r="D1347" s="12" t="n">
        <x:v>4659.4611</x:v>
      </x:c>
      <x:c r="E1347" s="12" t="n">
        <x:v>4595.2826</x:v>
      </x:c>
      <x:c r="F1347" s="12" t="n">
        <x:v>4652.0609</x:v>
      </x:c>
      <x:c r="G1347" s="12" t="n">
        <x:v>4608.7729</x:v>
      </x:c>
      <x:c r="H1347" s="12" t="n">
        <x:v>43.288</x:v>
      </x:c>
      <x:c r="I1347" s="12" t="n">
        <x:v>0.9393</x:v>
      </x:c>
      <x:c r="J1347" s="12" t="n">
        <x:v>0.009348686351121224</x:v>
      </x:c>
      <x:c r="K1347" s="12" t="n">
        <x:v>148335547</x:v>
      </x:c>
      <x:c r="L1347" s="12" t="n">
        <x:v>273771960.506</x:v>
      </x:c>
      <x:c r="M1347" s="12" t="str">
        <x:v>TuShare index_daily</x:v>
      </x:c>
    </x:row>
    <x:row r="1348" ht="18" customHeight="1">
      <x:c r="A1348" s="13" t="n">
        <x:v>44602</x:v>
      </x:c>
      <x:c r="B1348" s="12" t="str">
        <x:v>000300.SH</x:v>
      </x:c>
      <x:c r="C1348" s="12" t="n">
        <x:v>4657.2107</x:v>
      </x:c>
      <x:c r="D1348" s="12" t="n">
        <x:v>4657.2107</x:v>
      </x:c>
      <x:c r="E1348" s="12" t="n">
        <x:v>4608.0905</x:v>
      </x:c>
      <x:c r="F1348" s="12" t="n">
        <x:v>4639.8625</x:v>
      </x:c>
      <x:c r="G1348" s="12" t="n">
        <x:v>4652.0609</x:v>
      </x:c>
      <x:c r="H1348" s="12" t="n">
        <x:v>-12.1984</x:v>
      </x:c>
      <x:c r="I1348" s="12" t="n">
        <x:v>-0.2622</x:v>
      </x:c>
      <x:c r="J1348" s="12" t="n">
        <x:v>-0.002625593535934055</x:v>
      </x:c>
      <x:c r="K1348" s="12" t="n">
        <x:v>151576666</x:v>
      </x:c>
      <x:c r="L1348" s="12" t="n">
        <x:v>287224388.086</x:v>
      </x:c>
      <x:c r="M1348" s="12" t="str">
        <x:v>TuShare index_daily</x:v>
      </x:c>
    </x:row>
    <x:row r="1349" ht="18" customHeight="1">
      <x:c r="A1349" s="13" t="n">
        <x:v>44603</x:v>
      </x:c>
      <x:c r="B1349" s="12" t="str">
        <x:v>000300.SH</x:v>
      </x:c>
      <x:c r="C1349" s="12" t="n">
        <x:v>4617.8741</x:v>
      </x:c>
      <x:c r="D1349" s="12" t="n">
        <x:v>4662.5963</x:v>
      </x:c>
      <x:c r="E1349" s="12" t="n">
        <x:v>4595.8751</x:v>
      </x:c>
      <x:c r="F1349" s="12" t="n">
        <x:v>4601.3953</x:v>
      </x:c>
      <x:c r="G1349" s="12" t="n">
        <x:v>4639.8625</x:v>
      </x:c>
      <x:c r="H1349" s="12" t="n">
        <x:v>-38.4672</x:v>
      </x:c>
      <x:c r="I1349" s="12" t="n">
        <x:v>-0.8291</x:v>
      </x:c>
      <x:c r="J1349" s="12" t="n">
        <x:v>-0.0083251485904409</x:v>
      </x:c>
      <x:c r="K1349" s="12" t="n">
        <x:v>155974584</x:v>
      </x:c>
      <x:c r="L1349" s="12" t="n">
        <x:v>307938016.715</x:v>
      </x:c>
      <x:c r="M1349" s="12" t="str">
        <x:v>TuShare index_daily</x:v>
      </x:c>
    </x:row>
    <x:row r="1350" ht="18" customHeight="1">
      <x:c r="A1350" s="13" t="n">
        <x:v>44606</x:v>
      </x:c>
      <x:c r="B1350" s="12" t="str">
        <x:v>000300.SH</x:v>
      </x:c>
      <x:c r="C1350" s="12" t="n">
        <x:v>4579.4202</x:v>
      </x:c>
      <x:c r="D1350" s="12" t="n">
        <x:v>4593.6324</x:v>
      </x:c>
      <x:c r="E1350" s="12" t="n">
        <x:v>4530.0566</x:v>
      </x:c>
      <x:c r="F1350" s="12" t="n">
        <x:v>4551.6878</x:v>
      </x:c>
      <x:c r="G1350" s="12" t="n">
        <x:v>4601.3953</x:v>
      </x:c>
      <x:c r="H1350" s="12" t="n">
        <x:v>-49.7075</x:v>
      </x:c>
      <x:c r="I1350" s="12" t="n">
        <x:v>-1.0803</x:v>
      </x:c>
      <x:c r="J1350" s="12" t="n">
        <x:v>-0.010861474353252425</x:v>
      </x:c>
      <x:c r="K1350" s="12" t="n">
        <x:v>143673894</x:v>
      </x:c>
      <x:c r="L1350" s="12" t="n">
        <x:v>275737553.467</x:v>
      </x:c>
      <x:c r="M1350" s="12" t="str">
        <x:v>TuShare index_daily</x:v>
      </x:c>
    </x:row>
    <x:row r="1351" ht="18" customHeight="1">
      <x:c r="A1351" s="13" t="n">
        <x:v>44607</x:v>
      </x:c>
      <x:c r="B1351" s="12" t="str">
        <x:v>000300.SH</x:v>
      </x:c>
      <x:c r="C1351" s="12" t="n">
        <x:v>4553.8112</x:v>
      </x:c>
      <x:c r="D1351" s="12" t="n">
        <x:v>4601.453</x:v>
      </x:c>
      <x:c r="E1351" s="12" t="n">
        <x:v>4550.543</x:v>
      </x:c>
      <x:c r="F1351" s="12" t="n">
        <x:v>4600.1025</x:v>
      </x:c>
      <x:c r="G1351" s="12" t="n">
        <x:v>4551.6878</x:v>
      </x:c>
      <x:c r="H1351" s="12" t="n">
        <x:v>48.4147</x:v>
      </x:c>
      <x:c r="I1351" s="12" t="n">
        <x:v>1.0637</x:v>
      </x:c>
      <x:c r="J1351" s="12" t="n">
        <x:v>0.010580476620794905</x:v>
      </x:c>
      <x:c r="K1351" s="12" t="n">
        <x:v>115025600</x:v>
      </x:c>
      <x:c r="L1351" s="12" t="n">
        <x:v>249977008.675</x:v>
      </x:c>
      <x:c r="M1351" s="12" t="str">
        <x:v>TuShare index_daily</x:v>
      </x:c>
    </x:row>
    <x:row r="1352" ht="18" customHeight="1">
      <x:c r="A1352" s="13" t="n">
        <x:v>44608</x:v>
      </x:c>
      <x:c r="B1352" s="12" t="str">
        <x:v>000300.SH</x:v>
      </x:c>
      <x:c r="C1352" s="12" t="n">
        <x:v>4619.8458</x:v>
      </x:c>
      <x:c r="D1352" s="12" t="n">
        <x:v>4643.1003</x:v>
      </x:c>
      <x:c r="E1352" s="12" t="n">
        <x:v>4607.2178</x:v>
      </x:c>
      <x:c r="F1352" s="12" t="n">
        <x:v>4617.9893</x:v>
      </x:c>
      <x:c r="G1352" s="12" t="n">
        <x:v>4600.1025</x:v>
      </x:c>
      <x:c r="H1352" s="12" t="n">
        <x:v>17.8868</x:v>
      </x:c>
      <x:c r="I1352" s="12" t="n">
        <x:v>0.3888</x:v>
      </x:c>
      <x:c r="J1352" s="12" t="n">
        <x:v>0.0038808080537729023</x:v>
      </x:c>
      <x:c r="K1352" s="12" t="n">
        <x:v>107258955</x:v>
      </x:c>
      <x:c r="L1352" s="12" t="n">
        <x:v>210190931.036</x:v>
      </x:c>
      <x:c r="M1352" s="12" t="str">
        <x:v>TuShare index_daily</x:v>
      </x:c>
    </x:row>
    <x:row r="1353" ht="18" customHeight="1">
      <x:c r="A1353" s="13" t="n">
        <x:v>44609</x:v>
      </x:c>
      <x:c r="B1353" s="12" t="str">
        <x:v>000300.SH</x:v>
      </x:c>
      <x:c r="C1353" s="12" t="n">
        <x:v>4616.8955</x:v>
      </x:c>
      <x:c r="D1353" s="12" t="n">
        <x:v>4650.1591</x:v>
      </x:c>
      <x:c r="E1353" s="12" t="n">
        <x:v>4606.9522</x:v>
      </x:c>
      <x:c r="F1353" s="12" t="n">
        <x:v>4629.1649</x:v>
      </x:c>
      <x:c r="G1353" s="12" t="n">
        <x:v>4617.9893</x:v>
      </x:c>
      <x:c r="H1353" s="12" t="n">
        <x:v>11.1756</x:v>
      </x:c>
      <x:c r="I1353" s="12" t="n">
        <x:v>0.242</x:v>
      </x:c>
      <x:c r="J1353" s="12" t="n">
        <x:v>0.0024170907501377373</x:v>
      </x:c>
      <x:c r="K1353" s="12" t="n">
        <x:v>110014643</x:v>
      </x:c>
      <x:c r="L1353" s="12" t="n">
        <x:v>227946249.307</x:v>
      </x:c>
      <x:c r="M1353" s="12" t="str">
        <x:v>TuShare index_daily</x:v>
      </x:c>
    </x:row>
    <x:row r="1354" ht="18" customHeight="1">
      <x:c r="A1354" s="13" t="n">
        <x:v>44610</x:v>
      </x:c>
      <x:c r="B1354" s="12" t="str">
        <x:v>000300.SH</x:v>
      </x:c>
      <x:c r="C1354" s="12" t="n">
        <x:v>4604.5669</x:v>
      </x:c>
      <x:c r="D1354" s="12" t="n">
        <x:v>4651.3415</x:v>
      </x:c>
      <x:c r="E1354" s="12" t="n">
        <x:v>4598.1003</x:v>
      </x:c>
      <x:c r="F1354" s="12" t="n">
        <x:v>4651.2358</x:v>
      </x:c>
      <x:c r="G1354" s="12" t="n">
        <x:v>4629.1649</x:v>
      </x:c>
      <x:c r="H1354" s="12" t="n">
        <x:v>22.0709</x:v>
      </x:c>
      <x:c r="I1354" s="12" t="n">
        <x:v>0.4768</x:v>
      </x:c>
      <x:c r="J1354" s="12" t="n">
        <x:v>0.0047564630718757005</x:v>
      </x:c>
      <x:c r="K1354" s="12" t="n">
        <x:v>104550228</x:v>
      </x:c>
      <x:c r="L1354" s="12" t="n">
        <x:v>195825700.478</x:v>
      </x:c>
      <x:c r="M1354" s="12" t="str">
        <x:v>TuShare index_daily</x:v>
      </x:c>
    </x:row>
    <x:row r="1355" ht="18" customHeight="1">
      <x:c r="A1355" s="13" t="n">
        <x:v>44613</x:v>
      </x:c>
      <x:c r="B1355" s="12" t="str">
        <x:v>000300.SH</x:v>
      </x:c>
      <x:c r="C1355" s="12" t="n">
        <x:v>4646.0522</x:v>
      </x:c>
      <x:c r="D1355" s="12" t="n">
        <x:v>4646.6724</x:v>
      </x:c>
      <x:c r="E1355" s="12" t="n">
        <x:v>4613.2971</x:v>
      </x:c>
      <x:c r="F1355" s="12" t="n">
        <x:v>4634.3141</x:v>
      </x:c>
      <x:c r="G1355" s="12" t="n">
        <x:v>4651.2358</x:v>
      </x:c>
      <x:c r="H1355" s="12" t="n">
        <x:v>-16.9217</x:v>
      </x:c>
      <x:c r="I1355" s="12" t="n">
        <x:v>-0.3638</x:v>
      </x:c>
      <x:c r="J1355" s="12" t="n">
        <x:v>-0.0036447424040068816</x:v>
      </x:c>
      <x:c r="K1355" s="12" t="n">
        <x:v>112516512</x:v>
      </x:c>
      <x:c r="L1355" s="12" t="n">
        <x:v>215039182.297</x:v>
      </x:c>
      <x:c r="M1355" s="12" t="str">
        <x:v>TuShare index_daily</x:v>
      </x:c>
    </x:row>
    <x:row r="1356" ht="18" customHeight="1">
      <x:c r="A1356" s="13" t="n">
        <x:v>44614</x:v>
      </x:c>
      <x:c r="B1356" s="12" t="str">
        <x:v>000300.SH</x:v>
      </x:c>
      <x:c r="C1356" s="12" t="n">
        <x:v>4601.9184</x:v>
      </x:c>
      <x:c r="D1356" s="12" t="n">
        <x:v>4602.066</x:v>
      </x:c>
      <x:c r="E1356" s="12" t="n">
        <x:v>4550.804</x:v>
      </x:c>
      <x:c r="F1356" s="12" t="n">
        <x:v>4574.1527</x:v>
      </x:c>
      <x:c r="G1356" s="12" t="n">
        <x:v>4634.3141</x:v>
      </x:c>
      <x:c r="H1356" s="12" t="n">
        <x:v>-60.1614</x:v>
      </x:c>
      <x:c r="I1356" s="12" t="n">
        <x:v>-1.2982</x:v>
      </x:c>
      <x:c r="J1356" s="12" t="n">
        <x:v>-0.013066725937621202</x:v>
      </x:c>
      <x:c r="K1356" s="12" t="n">
        <x:v>123317237</x:v>
      </x:c>
      <x:c r="L1356" s="12" t="n">
        <x:v>246872960.668</x:v>
      </x:c>
      <x:c r="M1356" s="12" t="str">
        <x:v>TuShare index_daily</x:v>
      </x:c>
    </x:row>
    <x:row r="1357" ht="18" customHeight="1">
      <x:c r="A1357" s="13" t="n">
        <x:v>44615</x:v>
      </x:c>
      <x:c r="B1357" s="12" t="str">
        <x:v>000300.SH</x:v>
      </x:c>
      <x:c r="C1357" s="12" t="n">
        <x:v>4582.0064</x:v>
      </x:c>
      <x:c r="D1357" s="12" t="n">
        <x:v>4625.2979</x:v>
      </x:c>
      <x:c r="E1357" s="12" t="n">
        <x:v>4579.2945</x:v>
      </x:c>
      <x:c r="F1357" s="12" t="n">
        <x:v>4623.0465</x:v>
      </x:c>
      <x:c r="G1357" s="12" t="n">
        <x:v>4574.1527</x:v>
      </x:c>
      <x:c r="H1357" s="12" t="n">
        <x:v>48.8938</x:v>
      </x:c>
      <x:c r="I1357" s="12" t="n">
        <x:v>1.0689</x:v>
      </x:c>
      <x:c r="J1357" s="12" t="n">
        <x:v>0.010632423969487506</x:v>
      </x:c>
      <x:c r="K1357" s="12" t="n">
        <x:v>122952916</x:v>
      </x:c>
      <x:c r="L1357" s="12" t="n">
        <x:v>259050146.194</x:v>
      </x:c>
      <x:c r="M1357" s="12" t="str">
        <x:v>TuShare index_daily</x:v>
      </x:c>
    </x:row>
    <x:row r="1358" ht="18" customHeight="1">
      <x:c r="A1358" s="13" t="n">
        <x:v>44616</x:v>
      </x:c>
      <x:c r="B1358" s="12" t="str">
        <x:v>000300.SH</x:v>
      </x:c>
      <x:c r="C1358" s="12" t="n">
        <x:v>4592.069</x:v>
      </x:c>
      <x:c r="D1358" s="12" t="n">
        <x:v>4610.8792</x:v>
      </x:c>
      <x:c r="E1358" s="12" t="n">
        <x:v>4488.4763</x:v>
      </x:c>
      <x:c r="F1358" s="12" t="n">
        <x:v>4529.3189</x:v>
      </x:c>
      <x:c r="G1358" s="12" t="n">
        <x:v>4623.0465</x:v>
      </x:c>
      <x:c r="H1358" s="12" t="n">
        <x:v>-93.7276</x:v>
      </x:c>
      <x:c r="I1358" s="12" t="n">
        <x:v>-2.0274</x:v>
      </x:c>
      <x:c r="J1358" s="12" t="n">
        <x:v>-0.020482328369252952</x:v>
      </x:c>
      <x:c r="K1358" s="12" t="n">
        <x:v>184403058</x:v>
      </x:c>
      <x:c r="L1358" s="12" t="n">
        <x:v>342346666.857</x:v>
      </x:c>
      <x:c r="M1358" s="12" t="str">
        <x:v>TuShare index_daily</x:v>
      </x:c>
    </x:row>
    <x:row r="1359" ht="18" customHeight="1">
      <x:c r="A1359" s="13" t="n">
        <x:v>44617</x:v>
      </x:c>
      <x:c r="B1359" s="12" t="str">
        <x:v>000300.SH</x:v>
      </x:c>
      <x:c r="C1359" s="12" t="n">
        <x:v>4564.6321</x:v>
      </x:c>
      <x:c r="D1359" s="12" t="n">
        <x:v>4611.8602</x:v>
      </x:c>
      <x:c r="E1359" s="12" t="n">
        <x:v>4561.8964</x:v>
      </x:c>
      <x:c r="F1359" s="12" t="n">
        <x:v>4573.4247</x:v>
      </x:c>
      <x:c r="G1359" s="12" t="n">
        <x:v>4529.3189</x:v>
      </x:c>
      <x:c r="H1359" s="12" t="n">
        <x:v>44.1058</x:v>
      </x:c>
      <x:c r="I1359" s="12" t="n">
        <x:v>0.9738</x:v>
      </x:c>
      <x:c r="J1359" s="12" t="n">
        <x:v>0.009690736574295752</x:v>
      </x:c>
      <x:c r="K1359" s="12" t="n">
        <x:v>149722583</x:v>
      </x:c>
      <x:c r="L1359" s="12" t="n">
        <x:v>271727599.672</x:v>
      </x:c>
      <x:c r="M1359" s="12" t="str">
        <x:v>TuShare index_daily</x:v>
      </x:c>
    </x:row>
    <x:row r="1360" ht="18" customHeight="1">
      <x:c r="A1360" s="13" t="n">
        <x:v>44620</x:v>
      </x:c>
      <x:c r="B1360" s="12" t="str">
        <x:v>000300.SH</x:v>
      </x:c>
      <x:c r="C1360" s="12" t="n">
        <x:v>4563.7427</x:v>
      </x:c>
      <x:c r="D1360" s="12" t="n">
        <x:v>4581.6459</x:v>
      </x:c>
      <x:c r="E1360" s="12" t="n">
        <x:v>4530.6764</x:v>
      </x:c>
      <x:c r="F1360" s="12" t="n">
        <x:v>4581.6459</x:v>
      </x:c>
      <x:c r="G1360" s="12" t="n">
        <x:v>4573.4247</x:v>
      </x:c>
      <x:c r="H1360" s="12" t="n">
        <x:v>8.2212</x:v>
      </x:c>
      <x:c r="I1360" s="12" t="n">
        <x:v>0.1798</x:v>
      </x:c>
      <x:c r="J1360" s="12" t="n">
        <x:v>0.0017959888173538045</x:v>
      </x:c>
      <x:c r="K1360" s="12" t="n">
        <x:v>135406978</x:v>
      </x:c>
      <x:c r="L1360" s="12" t="n">
        <x:v>248363727.483</x:v>
      </x:c>
      <x:c r="M1360" s="12" t="str">
        <x:v>TuShare index_daily</x:v>
      </x:c>
    </x:row>
    <x:row r="1361" ht="18" customHeight="1">
      <x:c r="A1361" s="13" t="n">
        <x:v>44621</x:v>
      </x:c>
      <x:c r="B1361" s="12" t="str">
        <x:v>000300.SH</x:v>
      </x:c>
      <x:c r="C1361" s="12" t="n">
        <x:v>4597.855</x:v>
      </x:c>
      <x:c r="D1361" s="12" t="n">
        <x:v>4623.4312</x:v>
      </x:c>
      <x:c r="E1361" s="12" t="n">
        <x:v>4583.917</x:v>
      </x:c>
      <x:c r="F1361" s="12" t="n">
        <x:v>4619.6862</x:v>
      </x:c>
      <x:c r="G1361" s="12" t="n">
        <x:v>4581.6459</x:v>
      </x:c>
      <x:c r="H1361" s="12" t="n">
        <x:v>38.0403</x:v>
      </x:c>
      <x:c r="I1361" s="12" t="n">
        <x:v>0.8303</x:v>
      </x:c>
      <x:c r="J1361" s="12" t="n">
        <x:v>0.008268480327382815</x:v>
      </x:c>
      <x:c r="K1361" s="12" t="n">
        <x:v>123139220</x:v>
      </x:c>
      <x:c r="L1361" s="12" t="n">
        <x:v>260431185.064</x:v>
      </x:c>
      <x:c r="M1361" s="12" t="str">
        <x:v>TuShare index_daily</x:v>
      </x:c>
    </x:row>
    <x:row r="1362" ht="18" customHeight="1">
      <x:c r="A1362" s="13" t="n">
        <x:v>44622</x:v>
      </x:c>
      <x:c r="B1362" s="12" t="str">
        <x:v>000300.SH</x:v>
      </x:c>
      <x:c r="C1362" s="12" t="n">
        <x:v>4594.017</x:v>
      </x:c>
      <x:c r="D1362" s="12" t="n">
        <x:v>4594.017</x:v>
      </x:c>
      <x:c r="E1362" s="12" t="n">
        <x:v>4558.4416</x:v>
      </x:c>
      <x:c r="F1362" s="12" t="n">
        <x:v>4578.6007</x:v>
      </x:c>
      <x:c r="G1362" s="12" t="n">
        <x:v>4619.6862</x:v>
      </x:c>
      <x:c r="H1362" s="12" t="n">
        <x:v>-41.0855</x:v>
      </x:c>
      <x:c r="I1362" s="12" t="n">
        <x:v>-0.8894</x:v>
      </x:c>
      <x:c r="J1362" s="12" t="n">
        <x:v>-0.008933353282261443</x:v>
      </x:c>
      <x:c r="K1362" s="12" t="n">
        <x:v>113298325</x:v>
      </x:c>
      <x:c r="L1362" s="12" t="n">
        <x:v>215299655.365</x:v>
      </x:c>
      <x:c r="M1362" s="12" t="str">
        <x:v>TuShare index_daily</x:v>
      </x:c>
    </x:row>
    <x:row r="1363" ht="18" customHeight="1">
      <x:c r="A1363" s="13" t="n">
        <x:v>44623</x:v>
      </x:c>
      <x:c r="B1363" s="12" t="str">
        <x:v>000300.SH</x:v>
      </x:c>
      <x:c r="C1363" s="12" t="n">
        <x:v>4595.0249</x:v>
      </x:c>
      <x:c r="D1363" s="12" t="n">
        <x:v>4599.3973</x:v>
      </x:c>
      <x:c r="E1363" s="12" t="n">
        <x:v>4544.4313</x:v>
      </x:c>
      <x:c r="F1363" s="12" t="n">
        <x:v>4551.6283</x:v>
      </x:c>
      <x:c r="G1363" s="12" t="n">
        <x:v>4578.6007</x:v>
      </x:c>
      <x:c r="H1363" s="12" t="n">
        <x:v>-26.9724</x:v>
      </x:c>
      <x:c r="I1363" s="12" t="n">
        <x:v>-0.5891</x:v>
      </x:c>
      <x:c r="J1363" s="12" t="n">
        <x:v>-0.005908390351454624</x:v>
      </x:c>
      <x:c r="K1363" s="12" t="n">
        <x:v>138285877</x:v>
      </x:c>
      <x:c r="L1363" s="12" t="n">
        <x:v>242701771.996</x:v>
      </x:c>
      <x:c r="M1363" s="12" t="str">
        <x:v>TuShare index_daily</x:v>
      </x:c>
    </x:row>
    <x:row r="1364" ht="18" customHeight="1">
      <x:c r="A1364" s="13" t="n">
        <x:v>44624</x:v>
      </x:c>
      <x:c r="B1364" s="12" t="str">
        <x:v>000300.SH</x:v>
      </x:c>
      <x:c r="C1364" s="12" t="n">
        <x:v>4513.3636</x:v>
      </x:c>
      <x:c r="D1364" s="12" t="n">
        <x:v>4539.3925</x:v>
      </x:c>
      <x:c r="E1364" s="12" t="n">
        <x:v>4481.4927</x:v>
      </x:c>
      <x:c r="F1364" s="12" t="n">
        <x:v>4496.4301</x:v>
      </x:c>
      <x:c r="G1364" s="12" t="n">
        <x:v>4551.6283</x:v>
      </x:c>
      <x:c r="H1364" s="12" t="n">
        <x:v>-55.1982</x:v>
      </x:c>
      <x:c r="I1364" s="12" t="n">
        <x:v>-1.2127</x:v>
      </x:c>
      <x:c r="J1364" s="12" t="n">
        <x:v>-0.012201266247817722</x:v>
      </x:c>
      <x:c r="K1364" s="12" t="n">
        <x:v>127266806</x:v>
      </x:c>
      <x:c r="L1364" s="12" t="n">
        <x:v>249970282.271</x:v>
      </x:c>
      <x:c r="M1364" s="12" t="str">
        <x:v>TuShare index_daily</x:v>
      </x:c>
    </x:row>
    <x:row r="1365" ht="18" customHeight="1">
      <x:c r="A1365" s="13" t="n">
        <x:v>44627</x:v>
      </x:c>
      <x:c r="B1365" s="12" t="str">
        <x:v>000300.SH</x:v>
      </x:c>
      <x:c r="C1365" s="12" t="n">
        <x:v>4462.5174</x:v>
      </x:c>
      <x:c r="D1365" s="12" t="n">
        <x:v>4462.5174</x:v>
      </x:c>
      <x:c r="E1365" s="12" t="n">
        <x:v>4338.3042</x:v>
      </x:c>
      <x:c r="F1365" s="12" t="n">
        <x:v>4352.7775</x:v>
      </x:c>
      <x:c r="G1365" s="12" t="n">
        <x:v>4496.4301</x:v>
      </x:c>
      <x:c r="H1365" s="12" t="n">
        <x:v>-143.6526</x:v>
      </x:c>
      <x:c r="I1365" s="12" t="n">
        <x:v>-3.1948</x:v>
      </x:c>
      <x:c r="J1365" s="12" t="n">
        <x:v>-0.03246962373772898</x:v>
      </x:c>
      <x:c r="K1365" s="12" t="n">
        <x:v>162197706</x:v>
      </x:c>
      <x:c r="L1365" s="12" t="n">
        <x:v>306898527.658</x:v>
      </x:c>
      <x:c r="M1365" s="12" t="str">
        <x:v>TuShare index_daily</x:v>
      </x:c>
    </x:row>
    <x:row r="1366" ht="18" customHeight="1">
      <x:c r="A1366" s="13" t="n">
        <x:v>44628</x:v>
      </x:c>
      <x:c r="B1366" s="12" t="str">
        <x:v>000300.SH</x:v>
      </x:c>
      <x:c r="C1366" s="12" t="n">
        <x:v>4361.6424</x:v>
      </x:c>
      <x:c r="D1366" s="12" t="n">
        <x:v>4383.6467</x:v>
      </x:c>
      <x:c r="E1366" s="12" t="n">
        <x:v>4252.5386</x:v>
      </x:c>
      <x:c r="F1366" s="12" t="n">
        <x:v>4265.391</x:v>
      </x:c>
      <x:c r="G1366" s="12" t="n">
        <x:v>4352.7775</x:v>
      </x:c>
      <x:c r="H1366" s="12" t="n">
        <x:v>-87.3865</x:v>
      </x:c>
      <x:c r="I1366" s="12" t="n">
        <x:v>-2.0076</x:v>
      </x:c>
      <x:c r="J1366" s="12" t="n">
        <x:v>-0.020280293911931237</x:v>
      </x:c>
      <x:c r="K1366" s="12" t="n">
        <x:v>167863277</x:v>
      </x:c>
      <x:c r="L1366" s="12" t="n">
        <x:v>315176698.371</x:v>
      </x:c>
      <x:c r="M1366" s="12" t="str">
        <x:v>TuShare index_daily</x:v>
      </x:c>
    </x:row>
    <x:row r="1367" ht="18" customHeight="1">
      <x:c r="A1367" s="13" t="n">
        <x:v>44629</x:v>
      </x:c>
      <x:c r="B1367" s="12" t="str">
        <x:v>000300.SH</x:v>
      </x:c>
      <x:c r="C1367" s="12" t="n">
        <x:v>4280.9789</x:v>
      </x:c>
      <x:c r="D1367" s="12" t="n">
        <x:v>4304.482</x:v>
      </x:c>
      <x:c r="E1367" s="12" t="n">
        <x:v>4068.193</x:v>
      </x:c>
      <x:c r="F1367" s="12" t="n">
        <x:v>4226.3463</x:v>
      </x:c>
      <x:c r="G1367" s="12" t="n">
        <x:v>4265.391</x:v>
      </x:c>
      <x:c r="H1367" s="12" t="n">
        <x:v>-39.0447</x:v>
      </x:c>
      <x:c r="I1367" s="12" t="n">
        <x:v>-0.9154</x:v>
      </x:c>
      <x:c r="J1367" s="12" t="n">
        <x:v>-0.009195992239422945</x:v>
      </x:c>
      <x:c r="K1367" s="12" t="n">
        <x:v>194232900</x:v>
      </x:c>
      <x:c r="L1367" s="12" t="n">
        <x:v>341009391.866</x:v>
      </x:c>
      <x:c r="M1367" s="12" t="str">
        <x:v>TuShare index_daily</x:v>
      </x:c>
    </x:row>
    <x:row r="1368" ht="18" customHeight="1">
      <x:c r="A1368" s="13" t="n">
        <x:v>44630</x:v>
      </x:c>
      <x:c r="B1368" s="12" t="str">
        <x:v>000300.SH</x:v>
      </x:c>
      <x:c r="C1368" s="12" t="n">
        <x:v>4326.2035</x:v>
      </x:c>
      <x:c r="D1368" s="12" t="n">
        <x:v>4335.6731</x:v>
      </x:c>
      <x:c r="E1368" s="12" t="n">
        <x:v>4288.5078</x:v>
      </x:c>
      <x:c r="F1368" s="12" t="n">
        <x:v>4292.8374</x:v>
      </x:c>
      <x:c r="G1368" s="12" t="n">
        <x:v>4226.3463</x:v>
      </x:c>
      <x:c r="H1368" s="12" t="n">
        <x:v>66.4911</x:v>
      </x:c>
      <x:c r="I1368" s="12" t="n">
        <x:v>1.5733</x:v>
      </x:c>
      <x:c r="J1368" s="12" t="n">
        <x:v>0.015610051975364502</x:v>
      </x:c>
      <x:c r="K1368" s="12" t="n">
        <x:v>145266383</x:v>
      </x:c>
      <x:c r="L1368" s="12" t="n">
        <x:v>301636182.195</x:v>
      </x:c>
      <x:c r="M1368" s="12" t="str">
        <x:v>TuShare index_daily</x:v>
      </x:c>
    </x:row>
    <x:row r="1369" ht="18" customHeight="1">
      <x:c r="A1369" s="13" t="n">
        <x:v>44631</x:v>
      </x:c>
      <x:c r="B1369" s="12" t="str">
        <x:v>000300.SH</x:v>
      </x:c>
      <x:c r="C1369" s="12" t="n">
        <x:v>4231.1961</x:v>
      </x:c>
      <x:c r="D1369" s="12" t="n">
        <x:v>4316.044</x:v>
      </x:c>
      <x:c r="E1369" s="12" t="n">
        <x:v>4176.4522</x:v>
      </x:c>
      <x:c r="F1369" s="12" t="n">
        <x:v>4306.5217</x:v>
      </x:c>
      <x:c r="G1369" s="12" t="n">
        <x:v>4292.8374</x:v>
      </x:c>
      <x:c r="H1369" s="12" t="n">
        <x:v>13.6843</x:v>
      </x:c>
      <x:c r="I1369" s="12" t="n">
        <x:v>0.3188</x:v>
      </x:c>
      <x:c r="J1369" s="12" t="n">
        <x:v>0.003182635215426298</x:v>
      </x:c>
      <x:c r="K1369" s="12" t="n">
        <x:v>152399921</x:v>
      </x:c>
      <x:c r="L1369" s="12" t="n">
        <x:v>295008832.432</x:v>
      </x:c>
      <x:c r="M1369" s="12" t="str">
        <x:v>TuShare index_daily</x:v>
      </x:c>
    </x:row>
    <x:row r="1370" ht="18" customHeight="1">
      <x:c r="A1370" s="13" t="n">
        <x:v>44634</x:v>
      </x:c>
      <x:c r="B1370" s="12" t="str">
        <x:v>000300.SH</x:v>
      </x:c>
      <x:c r="C1370" s="12" t="n">
        <x:v>4248.1526</x:v>
      </x:c>
      <x:c r="D1370" s="12" t="n">
        <x:v>4280.3609</x:v>
      </x:c>
      <x:c r="E1370" s="12" t="n">
        <x:v>4174.7577</x:v>
      </x:c>
      <x:c r="F1370" s="12" t="n">
        <x:v>4174.7577</x:v>
      </x:c>
      <x:c r="G1370" s="12" t="n">
        <x:v>4306.5217</x:v>
      </x:c>
      <x:c r="H1370" s="12" t="n">
        <x:v>-131.764</x:v>
      </x:c>
      <x:c r="I1370" s="12" t="n">
        <x:v>-3.0596</x:v>
      </x:c>
      <x:c r="J1370" s="12" t="n">
        <x:v>-0.031074227438564684</x:v>
      </x:c>
      <x:c r="K1370" s="12" t="n">
        <x:v>130187236</x:v>
      </x:c>
      <x:c r="L1370" s="12" t="n">
        <x:v>260691659.461</x:v>
      </x:c>
      <x:c r="M1370" s="12" t="str">
        <x:v>TuShare index_daily</x:v>
      </x:c>
    </x:row>
    <x:row r="1371" ht="18" customHeight="1">
      <x:c r="A1371" s="13" t="n">
        <x:v>44635</x:v>
      </x:c>
      <x:c r="B1371" s="12" t="str">
        <x:v>000300.SH</x:v>
      </x:c>
      <x:c r="C1371" s="12" t="n">
        <x:v>4125.4866</x:v>
      </x:c>
      <x:c r="D1371" s="12" t="n">
        <x:v>4163.4176</x:v>
      </x:c>
      <x:c r="E1371" s="12" t="n">
        <x:v>3983.812</x:v>
      </x:c>
      <x:c r="F1371" s="12" t="n">
        <x:v>3983.812</x:v>
      </x:c>
      <x:c r="G1371" s="12" t="n">
        <x:v>4174.7577</x:v>
      </x:c>
      <x:c r="H1371" s="12" t="n">
        <x:v>-190.9457</x:v>
      </x:c>
      <x:c r="I1371" s="12" t="n">
        <x:v>-4.5738</x:v>
      </x:c>
      <x:c r="J1371" s="12" t="n">
        <x:v>-0.046817170836618086</x:v>
      </x:c>
      <x:c r="K1371" s="12" t="n">
        <x:v>202524699</x:v>
      </x:c>
      <x:c r="L1371" s="12" t="n">
        <x:v>346988947.368</x:v>
      </x:c>
      <x:c r="M1371" s="12" t="str">
        <x:v>TuShare index_daily</x:v>
      </x:c>
    </x:row>
    <x:row r="1372" ht="18" customHeight="1">
      <x:c r="A1372" s="13" t="n">
        <x:v>44636</x:v>
      </x:c>
      <x:c r="B1372" s="12" t="str">
        <x:v>000300.SH</x:v>
      </x:c>
      <x:c r="C1372" s="12" t="n">
        <x:v>4053.099</x:v>
      </x:c>
      <x:c r="D1372" s="12" t="n">
        <x:v>4168.5853</x:v>
      </x:c>
      <x:c r="E1372" s="12" t="n">
        <x:v>3942.861</x:v>
      </x:c>
      <x:c r="F1372" s="12" t="n">
        <x:v>4156.081</x:v>
      </x:c>
      <x:c r="G1372" s="12" t="n">
        <x:v>3983.812</x:v>
      </x:c>
      <x:c r="H1372" s="12" t="n">
        <x:v>172.269</x:v>
      </x:c>
      <x:c r="I1372" s="12" t="n">
        <x:v>4.3242</x:v>
      </x:c>
      <x:c r="J1372" s="12" t="n">
        <x:v>0.042333413087277144</x:v>
      </x:c>
      <x:c r="K1372" s="12" t="n">
        <x:v>196021982</x:v>
      </x:c>
      <x:c r="L1372" s="12" t="n">
        <x:v>378883588.29</x:v>
      </x:c>
      <x:c r="M1372" s="12" t="str">
        <x:v>TuShare index_daily</x:v>
      </x:c>
    </x:row>
    <x:row r="1373" ht="18" customHeight="1">
      <x:c r="A1373" s="13" t="n">
        <x:v>44637</x:v>
      </x:c>
      <x:c r="B1373" s="12" t="str">
        <x:v>000300.SH</x:v>
      </x:c>
      <x:c r="C1373" s="12" t="n">
        <x:v>4237.6722</x:v>
      </x:c>
      <x:c r="D1373" s="12" t="n">
        <x:v>4302.7426</x:v>
      </x:c>
      <x:c r="E1373" s="12" t="n">
        <x:v>4217.8038</x:v>
      </x:c>
      <x:c r="F1373" s="12" t="n">
        <x:v>4237.6956</x:v>
      </x:c>
      <x:c r="G1373" s="12" t="n">
        <x:v>4156.081</x:v>
      </x:c>
      <x:c r="H1373" s="12" t="n">
        <x:v>81.6146</x:v>
      </x:c>
      <x:c r="I1373" s="12" t="n">
        <x:v>1.9637</x:v>
      </x:c>
      <x:c r="J1373" s="12" t="n">
        <x:v>0.019447067992112203</x:v>
      </x:c>
      <x:c r="K1373" s="12" t="n">
        <x:v>179407344</x:v>
      </x:c>
      <x:c r="L1373" s="12" t="n">
        <x:v>385039197.286</x:v>
      </x:c>
      <x:c r="M1373" s="12" t="str">
        <x:v>TuShare index_daily</x:v>
      </x:c>
    </x:row>
    <x:row r="1374" ht="18" customHeight="1">
      <x:c r="A1374" s="13" t="n">
        <x:v>44638</x:v>
      </x:c>
      <x:c r="B1374" s="12" t="str">
        <x:v>000300.SH</x:v>
      </x:c>
      <x:c r="C1374" s="12" t="n">
        <x:v>4218.4736</x:v>
      </x:c>
      <x:c r="D1374" s="12" t="n">
        <x:v>4283.3679</x:v>
      </x:c>
      <x:c r="E1374" s="12" t="n">
        <x:v>4194.9402</x:v>
      </x:c>
      <x:c r="F1374" s="12" t="n">
        <x:v>4265.9017</x:v>
      </x:c>
      <x:c r="G1374" s="12" t="n">
        <x:v>4237.6956</x:v>
      </x:c>
      <x:c r="H1374" s="12" t="n">
        <x:v>28.2061</x:v>
      </x:c>
      <x:c r="I1374" s="12" t="n">
        <x:v>0.6656</x:v>
      </x:c>
      <x:c r="J1374" s="12" t="n">
        <x:v>0.006633946187459856</x:v>
      </x:c>
      <x:c r="K1374" s="12" t="n">
        <x:v>149458305</x:v>
      </x:c>
      <x:c r="L1374" s="12" t="n">
        <x:v>275791291.073</x:v>
      </x:c>
      <x:c r="M1374" s="12" t="str">
        <x:v>TuShare index_daily</x:v>
      </x:c>
    </x:row>
    <x:row r="1375" ht="18" customHeight="1">
      <x:c r="A1375" s="13" t="n">
        <x:v>44641</x:v>
      </x:c>
      <x:c r="B1375" s="12" t="str">
        <x:v>000300.SH</x:v>
      </x:c>
      <x:c r="C1375" s="12" t="n">
        <x:v>4280.1397</x:v>
      </x:c>
      <x:c r="D1375" s="12" t="n">
        <x:v>4287.8166</x:v>
      </x:c>
      <x:c r="E1375" s="12" t="n">
        <x:v>4223.024</x:v>
      </x:c>
      <x:c r="F1375" s="12" t="n">
        <x:v>4258.7459</x:v>
      </x:c>
      <x:c r="G1375" s="12" t="n">
        <x:v>4265.9017</x:v>
      </x:c>
      <x:c r="H1375" s="12" t="n">
        <x:v>-7.1558</x:v>
      </x:c>
      <x:c r="I1375" s="12" t="n">
        <x:v>-0.1677</x:v>
      </x:c>
      <x:c r="J1375" s="12" t="n">
        <x:v>-0.001678849851984703</x:v>
      </x:c>
      <x:c r="K1375" s="12" t="n">
        <x:v>127036360</x:v>
      </x:c>
      <x:c r="L1375" s="12" t="n">
        <x:v>251214543.321</x:v>
      </x:c>
      <x:c r="M1375" s="12" t="str">
        <x:v>TuShare index_daily</x:v>
      </x:c>
    </x:row>
    <x:row r="1376" ht="18" customHeight="1">
      <x:c r="A1376" s="13" t="n">
        <x:v>44642</x:v>
      </x:c>
      <x:c r="B1376" s="12" t="str">
        <x:v>000300.SH</x:v>
      </x:c>
      <x:c r="C1376" s="12" t="n">
        <x:v>4252.5658</x:v>
      </x:c>
      <x:c r="D1376" s="12" t="n">
        <x:v>4283.3344</x:v>
      </x:c>
      <x:c r="E1376" s="12" t="n">
        <x:v>4236.6888</x:v>
      </x:c>
      <x:c r="F1376" s="12" t="n">
        <x:v>4255.295</x:v>
      </x:c>
      <x:c r="G1376" s="12" t="n">
        <x:v>4258.7459</x:v>
      </x:c>
      <x:c r="H1376" s="12" t="n">
        <x:v>-3.4509</x:v>
      </x:c>
      <x:c r="I1376" s="12" t="n">
        <x:v>-0.081</x:v>
      </x:c>
      <x:c r="J1376" s="12" t="n">
        <x:v>-0.0008106374468966272</x:v>
      </x:c>
      <x:c r="K1376" s="12" t="n">
        <x:v>126382470</x:v>
      </x:c>
      <x:c r="L1376" s="12" t="n">
        <x:v>226213533.985</x:v>
      </x:c>
      <x:c r="M1376" s="12" t="str">
        <x:v>TuShare index_daily</x:v>
      </x:c>
    </x:row>
    <x:row r="1377" ht="18" customHeight="1">
      <x:c r="A1377" s="13" t="n">
        <x:v>44643</x:v>
      </x:c>
      <x:c r="B1377" s="12" t="str">
        <x:v>000300.SH</x:v>
      </x:c>
      <x:c r="C1377" s="12" t="n">
        <x:v>4269.6088</x:v>
      </x:c>
      <x:c r="D1377" s="12" t="n">
        <x:v>4287.5771</x:v>
      </x:c>
      <x:c r="E1377" s="12" t="n">
        <x:v>4241.957</x:v>
      </x:c>
      <x:c r="F1377" s="12" t="n">
        <x:v>4276.5174</x:v>
      </x:c>
      <x:c r="G1377" s="12" t="n">
        <x:v>4255.295</x:v>
      </x:c>
      <x:c r="H1377" s="12" t="n">
        <x:v>21.2224</x:v>
      </x:c>
      <x:c r="I1377" s="12" t="n">
        <x:v>0.4987</x:v>
      </x:c>
      <x:c r="J1377" s="12" t="n">
        <x:v>0.004974896956354492</x:v>
      </x:c>
      <x:c r="K1377" s="12" t="n">
        <x:v>117089078</x:v>
      </x:c>
      <x:c r="L1377" s="12" t="n">
        <x:v>226390778.403</x:v>
      </x:c>
      <x:c r="M1377" s="12" t="str">
        <x:v>TuShare index_daily</x:v>
      </x:c>
    </x:row>
    <x:row r="1378" ht="18" customHeight="1">
      <x:c r="A1378" s="13" t="n">
        <x:v>44644</x:v>
      </x:c>
      <x:c r="B1378" s="12" t="str">
        <x:v>000300.SH</x:v>
      </x:c>
      <x:c r="C1378" s="12" t="n">
        <x:v>4249.5328</x:v>
      </x:c>
      <x:c r="D1378" s="12" t="n">
        <x:v>4273.9568</x:v>
      </x:c>
      <x:c r="E1378" s="12" t="n">
        <x:v>4216.8506</x:v>
      </x:c>
      <x:c r="F1378" s="12" t="n">
        <x:v>4251.3061</x:v>
      </x:c>
      <x:c r="G1378" s="12" t="n">
        <x:v>4276.5174</x:v>
      </x:c>
      <x:c r="H1378" s="12" t="n">
        <x:v>-25.2113</x:v>
      </x:c>
      <x:c r="I1378" s="12" t="n">
        <x:v>-0.5895</x:v>
      </x:c>
      <x:c r="J1378" s="12" t="n">
        <x:v>-0.005912733407240968</x:v>
      </x:c>
      <x:c r="K1378" s="12" t="n">
        <x:v>108918272</x:v>
      </x:c>
      <x:c r="L1378" s="12" t="n">
        <x:v>219594430.54</x:v>
      </x:c>
      <x:c r="M1378" s="12" t="str">
        <x:v>TuShare index_daily</x:v>
      </x:c>
    </x:row>
    <x:row r="1379" ht="18" customHeight="1">
      <x:c r="A1379" s="13" t="n">
        <x:v>44645</x:v>
      </x:c>
      <x:c r="B1379" s="12" t="str">
        <x:v>000300.SH</x:v>
      </x:c>
      <x:c r="C1379" s="12" t="n">
        <x:v>4249.0731</x:v>
      </x:c>
      <x:c r="D1379" s="12" t="n">
        <x:v>4254.8449</x:v>
      </x:c>
      <x:c r="E1379" s="12" t="n">
        <x:v>4173.93</x:v>
      </x:c>
      <x:c r="F1379" s="12" t="n">
        <x:v>4174.5742</x:v>
      </x:c>
      <x:c r="G1379" s="12" t="n">
        <x:v>4251.3061</x:v>
      </x:c>
      <x:c r="H1379" s="12" t="n">
        <x:v>-76.7319</x:v>
      </x:c>
      <x:c r="I1379" s="12" t="n">
        <x:v>-1.8049</x:v>
      </x:c>
      <x:c r="J1379" s="12" t="n">
        <x:v>-0.018213888293254144</x:v>
      </x:c>
      <x:c r="K1379" s="12" t="n">
        <x:v>108808046</x:v>
      </x:c>
      <x:c r="L1379" s="12" t="n">
        <x:v>217013187.265</x:v>
      </x:c>
      <x:c r="M1379" s="12" t="str">
        <x:v>TuShare index_daily</x:v>
      </x:c>
    </x:row>
    <x:row r="1380" ht="18" customHeight="1">
      <x:c r="A1380" s="13" t="n">
        <x:v>44648</x:v>
      </x:c>
      <x:c r="B1380" s="12" t="str">
        <x:v>000300.SH</x:v>
      </x:c>
      <x:c r="C1380" s="12" t="n">
        <x:v>4128.8379</x:v>
      </x:c>
      <x:c r="D1380" s="12" t="n">
        <x:v>4174.1206</x:v>
      </x:c>
      <x:c r="E1380" s="12" t="n">
        <x:v>4091.2978</x:v>
      </x:c>
      <x:c r="F1380" s="12" t="n">
        <x:v>4148.4663</x:v>
      </x:c>
      <x:c r="G1380" s="12" t="n">
        <x:v>4174.5742</x:v>
      </x:c>
      <x:c r="H1380" s="12" t="n">
        <x:v>-26.1079</x:v>
      </x:c>
      <x:c r="I1380" s="12" t="n">
        <x:v>-0.6254</x:v>
      </x:c>
      <x:c r="J1380" s="12" t="n">
        <x:v>-0.006273665406629652</x:v>
      </x:c>
      <x:c r="K1380" s="12" t="n">
        <x:v>118449021</x:v>
      </x:c>
      <x:c r="L1380" s="12" t="n">
        <x:v>213468973.998</x:v>
      </x:c>
      <x:c r="M1380" s="12" t="str">
        <x:v>TuShare index_daily</x:v>
      </x:c>
    </x:row>
    <x:row r="1381" ht="18" customHeight="1">
      <x:c r="A1381" s="13" t="n">
        <x:v>44649</x:v>
      </x:c>
      <x:c r="B1381" s="12" t="str">
        <x:v>000300.SH</x:v>
      </x:c>
      <x:c r="C1381" s="12" t="n">
        <x:v>4155.4182</x:v>
      </x:c>
      <x:c r="D1381" s="12" t="n">
        <x:v>4177.2134</x:v>
      </x:c>
      <x:c r="E1381" s="12" t="n">
        <x:v>4124.7179</x:v>
      </x:c>
      <x:c r="F1381" s="12" t="n">
        <x:v>4134.1441</x:v>
      </x:c>
      <x:c r="G1381" s="12" t="n">
        <x:v>4148.4663</x:v>
      </x:c>
      <x:c r="H1381" s="12" t="n">
        <x:v>-14.3222</x:v>
      </x:c>
      <x:c r="I1381" s="12" t="n">
        <x:v>-0.3452</x:v>
      </x:c>
      <x:c r="J1381" s="12" t="n">
        <x:v>-0.0034583817379454304</x:v>
      </x:c>
      <x:c r="K1381" s="12" t="n">
        <x:v>100266972</x:v>
      </x:c>
      <x:c r="L1381" s="12" t="n">
        <x:v>199463853.668</x:v>
      </x:c>
      <x:c r="M1381" s="12" t="str">
        <x:v>TuShare index_daily</x:v>
      </x:c>
    </x:row>
    <x:row r="1382" ht="18" customHeight="1">
      <x:c r="A1382" s="13" t="n">
        <x:v>44650</x:v>
      </x:c>
      <x:c r="B1382" s="12" t="str">
        <x:v>000300.SH</x:v>
      </x:c>
      <x:c r="C1382" s="12" t="n">
        <x:v>4162.1666</x:v>
      </x:c>
      <x:c r="D1382" s="12" t="n">
        <x:v>4254.0989</x:v>
      </x:c>
      <x:c r="E1382" s="12" t="n">
        <x:v>4160.7351</x:v>
      </x:c>
      <x:c r="F1382" s="12" t="n">
        <x:v>4254.0989</x:v>
      </x:c>
      <x:c r="G1382" s="12" t="n">
        <x:v>4134.1441</x:v>
      </x:c>
      <x:c r="H1382" s="12" t="n">
        <x:v>119.9548</x:v>
      </x:c>
      <x:c r="I1382" s="12" t="n">
        <x:v>2.9016</x:v>
      </x:c>
      <x:c r="J1382" s="12" t="n">
        <x:v>0.02860264728173825</x:v>
      </x:c>
      <x:c r="K1382" s="12" t="n">
        <x:v>138346024</x:v>
      </x:c>
      <x:c r="L1382" s="12" t="n">
        <x:v>268869181.171</x:v>
      </x:c>
      <x:c r="M1382" s="12" t="str">
        <x:v>TuShare index_daily</x:v>
      </x:c>
    </x:row>
    <x:row r="1383" ht="18" customHeight="1">
      <x:c r="A1383" s="13" t="n">
        <x:v>44651</x:v>
      </x:c>
      <x:c r="B1383" s="12" t="str">
        <x:v>000300.SH</x:v>
      </x:c>
      <x:c r="C1383" s="12" t="n">
        <x:v>4234.7159</x:v>
      </x:c>
      <x:c r="D1383" s="12" t="n">
        <x:v>4247.3602</x:v>
      </x:c>
      <x:c r="E1383" s="12" t="n">
        <x:v>4214.5352</x:v>
      </x:c>
      <x:c r="F1383" s="12" t="n">
        <x:v>4222.5968</x:v>
      </x:c>
      <x:c r="G1383" s="12" t="n">
        <x:v>4254.0989</x:v>
      </x:c>
      <x:c r="H1383" s="12" t="n">
        <x:v>-31.5021</x:v>
      </x:c>
      <x:c r="I1383" s="12" t="n">
        <x:v>-0.7405</x:v>
      </x:c>
      <x:c r="J1383" s="12" t="n">
        <x:v>-0.00743267097027041</x:v>
      </x:c>
      <x:c r="K1383" s="12" t="n">
        <x:v>134029185</x:v>
      </x:c>
      <x:c r="L1383" s="12" t="n">
        <x:v>238877216.806</x:v>
      </x:c>
      <x:c r="M1383" s="12" t="str">
        <x:v>TuShare index_daily</x:v>
      </x:c>
    </x:row>
    <x:row r="1384" ht="18" customHeight="1">
      <x:c r="A1384" s="13" t="n">
        <x:v>44652</x:v>
      </x:c>
      <x:c r="B1384" s="12" t="str">
        <x:v>000300.SH</x:v>
      </x:c>
      <x:c r="C1384" s="12" t="n">
        <x:v>4198.8191</x:v>
      </x:c>
      <x:c r="D1384" s="12" t="n">
        <x:v>4290.671</x:v>
      </x:c>
      <x:c r="E1384" s="12" t="n">
        <x:v>4190.0835</x:v>
      </x:c>
      <x:c r="F1384" s="12" t="n">
        <x:v>4276.158</x:v>
      </x:c>
      <x:c r="G1384" s="12" t="n">
        <x:v>4222.5968</x:v>
      </x:c>
      <x:c r="H1384" s="12" t="n">
        <x:v>53.5612</x:v>
      </x:c>
      <x:c r="I1384" s="12" t="n">
        <x:v>1.2684</x:v>
      </x:c>
      <x:c r="J1384" s="12" t="n">
        <x:v>0.01260464865647588</x:v>
      </x:c>
      <x:c r="K1384" s="12" t="n">
        <x:v>133803053</x:v>
      </x:c>
      <x:c r="L1384" s="12" t="n">
        <x:v>244758870.755</x:v>
      </x:c>
      <x:c r="M1384" s="12" t="str">
        <x:v>TuShare index_daily</x:v>
      </x:c>
    </x:row>
    <x:row r="1385" ht="18" customHeight="1">
      <x:c r="A1385" s="13" t="n">
        <x:v>44657</x:v>
      </x:c>
      <x:c r="B1385" s="12" t="str">
        <x:v>000300.SH</x:v>
      </x:c>
      <x:c r="C1385" s="12" t="n">
        <x:v>4258.8325</x:v>
      </x:c>
      <x:c r="D1385" s="12" t="n">
        <x:v>4277.5238</x:v>
      </x:c>
      <x:c r="E1385" s="12" t="n">
        <x:v>4236.7283</x:v>
      </x:c>
      <x:c r="F1385" s="12" t="n">
        <x:v>4263.8411</x:v>
      </x:c>
      <x:c r="G1385" s="12" t="n">
        <x:v>4276.158</x:v>
      </x:c>
      <x:c r="H1385" s="12" t="n">
        <x:v>-12.3169</x:v>
      </x:c>
      <x:c r="I1385" s="12" t="n">
        <x:v>-0.288</x:v>
      </x:c>
      <x:c r="J1385" s="12" t="n">
        <x:v>-0.0028845222103589074</x:v>
      </x:c>
      <x:c r="K1385" s="12" t="n">
        <x:v>159062195</x:v>
      </x:c>
      <x:c r="L1385" s="12" t="n">
        <x:v>253690929.898</x:v>
      </x:c>
      <x:c r="M1385" s="12" t="str">
        <x:v>TuShare index_daily</x:v>
      </x:c>
    </x:row>
    <x:row r="1386" ht="18" customHeight="1">
      <x:c r="A1386" s="13" t="n">
        <x:v>44658</x:v>
      </x:c>
      <x:c r="B1386" s="12" t="str">
        <x:v>000300.SH</x:v>
      </x:c>
      <x:c r="C1386" s="12" t="n">
        <x:v>4240.0237</x:v>
      </x:c>
      <x:c r="D1386" s="12" t="n">
        <x:v>4278.1127</x:v>
      </x:c>
      <x:c r="E1386" s="12" t="n">
        <x:v>4205.743</x:v>
      </x:c>
      <x:c r="F1386" s="12" t="n">
        <x:v>4209.0998</x:v>
      </x:c>
      <x:c r="G1386" s="12" t="n">
        <x:v>4263.8411</x:v>
      </x:c>
      <x:c r="H1386" s="12" t="n">
        <x:v>-54.7413</x:v>
      </x:c>
      <x:c r="I1386" s="12" t="n">
        <x:v>-1.2838</x:v>
      </x:c>
      <x:c r="J1386" s="12" t="n">
        <x:v>-0.012921620088142112</x:v>
      </x:c>
      <x:c r="K1386" s="12" t="n">
        <x:v>134880353</x:v>
      </x:c>
      <x:c r="L1386" s="12" t="n">
        <x:v>216996185.504</x:v>
      </x:c>
      <x:c r="M1386" s="12" t="str">
        <x:v>TuShare index_daily</x:v>
      </x:c>
    </x:row>
    <x:row r="1387" ht="18" customHeight="1">
      <x:c r="A1387" s="13" t="n">
        <x:v>44659</x:v>
      </x:c>
      <x:c r="B1387" s="12" t="str">
        <x:v>000300.SH</x:v>
      </x:c>
      <x:c r="C1387" s="12" t="n">
        <x:v>4213.2107</x:v>
      </x:c>
      <x:c r="D1387" s="12" t="n">
        <x:v>4237.8126</x:v>
      </x:c>
      <x:c r="E1387" s="12" t="n">
        <x:v>4175.5287</x:v>
      </x:c>
      <x:c r="F1387" s="12" t="n">
        <x:v>4230.7669</x:v>
      </x:c>
      <x:c r="G1387" s="12" t="n">
        <x:v>4209.0998</x:v>
      </x:c>
      <x:c r="H1387" s="12" t="n">
        <x:v>21.6671</x:v>
      </x:c>
      <x:c r="I1387" s="12" t="n">
        <x:v>0.5148</x:v>
      </x:c>
      <x:c r="J1387" s="12" t="n">
        <x:v>0.005134476259089511</x:v>
      </x:c>
      <x:c r="K1387" s="12" t="n">
        <x:v>142843793</x:v>
      </x:c>
      <x:c r="L1387" s="12" t="n">
        <x:v>229081764.759</x:v>
      </x:c>
      <x:c r="M1387" s="12" t="str">
        <x:v>TuShare index_daily</x:v>
      </x:c>
    </x:row>
    <x:row r="1388" ht="18" customHeight="1">
      <x:c r="A1388" s="13" t="n">
        <x:v>44662</x:v>
      </x:c>
      <x:c r="B1388" s="12" t="str">
        <x:v>000300.SH</x:v>
      </x:c>
      <x:c r="C1388" s="12" t="n">
        <x:v>4203.7902</x:v>
      </x:c>
      <x:c r="D1388" s="12" t="n">
        <x:v>4203.7902</x:v>
      </x:c>
      <x:c r="E1388" s="12" t="n">
        <x:v>4089.0934</x:v>
      </x:c>
      <x:c r="F1388" s="12" t="n">
        <x:v>4100.0703</x:v>
      </x:c>
      <x:c r="G1388" s="12" t="n">
        <x:v>4230.7669</x:v>
      </x:c>
      <x:c r="H1388" s="12" t="n">
        <x:v>-130.6966</x:v>
      </x:c>
      <x:c r="I1388" s="12" t="n">
        <x:v>-3.0892</x:v>
      </x:c>
      <x:c r="J1388" s="12" t="n">
        <x:v>-0.031379156956962674</x:v>
      </x:c>
      <x:c r="K1388" s="12" t="n">
        <x:v>148197071</x:v>
      </x:c>
      <x:c r="L1388" s="12" t="n">
        <x:v>265224932.472</x:v>
      </x:c>
      <x:c r="M1388" s="12" t="str">
        <x:v>TuShare index_daily</x:v>
      </x:c>
    </x:row>
    <x:row r="1389" ht="18" customHeight="1">
      <x:c r="A1389" s="13" t="n">
        <x:v>44663</x:v>
      </x:c>
      <x:c r="B1389" s="12" t="str">
        <x:v>000300.SH</x:v>
      </x:c>
      <x:c r="C1389" s="12" t="n">
        <x:v>4102.9711</x:v>
      </x:c>
      <x:c r="D1389" s="12" t="n">
        <x:v>4179.9727</x:v>
      </x:c>
      <x:c r="E1389" s="12" t="n">
        <x:v>4075.796</x:v>
      </x:c>
      <x:c r="F1389" s="12" t="n">
        <x:v>4179.9727</x:v>
      </x:c>
      <x:c r="G1389" s="12" t="n">
        <x:v>4100.0703</x:v>
      </x:c>
      <x:c r="H1389" s="12" t="n">
        <x:v>79.9024</x:v>
      </x:c>
      <x:c r="I1389" s="12" t="n">
        <x:v>1.9488</x:v>
      </x:c>
      <x:c r="J1389" s="12" t="n">
        <x:v>0.01930059551012999</x:v>
      </x:c>
      <x:c r="K1389" s="12" t="n">
        <x:v>144285684</x:v>
      </x:c>
      <x:c r="L1389" s="12" t="n">
        <x:v>252830412.756</x:v>
      </x:c>
      <x:c r="M1389" s="12" t="str">
        <x:v>TuShare index_daily</x:v>
      </x:c>
    </x:row>
    <x:row r="1390" ht="18" customHeight="1">
      <x:c r="A1390" s="13" t="n">
        <x:v>44664</x:v>
      </x:c>
      <x:c r="B1390" s="12" t="str">
        <x:v>000300.SH</x:v>
      </x:c>
      <x:c r="C1390" s="12" t="n">
        <x:v>4154.4121</x:v>
      </x:c>
      <x:c r="D1390" s="12" t="n">
        <x:v>4194.0374</x:v>
      </x:c>
      <x:c r="E1390" s="12" t="n">
        <x:v>4139.737</x:v>
      </x:c>
      <x:c r="F1390" s="12" t="n">
        <x:v>4139.737</x:v>
      </x:c>
      <x:c r="G1390" s="12" t="n">
        <x:v>4179.9727</x:v>
      </x:c>
      <x:c r="H1390" s="12" t="n">
        <x:v>-40.2357</x:v>
      </x:c>
      <x:c r="I1390" s="12" t="n">
        <x:v>-0.9626</x:v>
      </x:c>
      <x:c r="J1390" s="12" t="n">
        <x:v>-0.009672456165582058</x:v>
      </x:c>
      <x:c r="K1390" s="12" t="n">
        <x:v>125097489</x:v>
      </x:c>
      <x:c r="L1390" s="12" t="n">
        <x:v>221281029.56</x:v>
      </x:c>
      <x:c r="M1390" s="12" t="str">
        <x:v>TuShare index_daily</x:v>
      </x:c>
    </x:row>
    <x:row r="1391" ht="18" customHeight="1">
      <x:c r="A1391" s="13" t="n">
        <x:v>44665</x:v>
      </x:c>
      <x:c r="B1391" s="12" t="str">
        <x:v>000300.SH</x:v>
      </x:c>
      <x:c r="C1391" s="12" t="n">
        <x:v>4172.6443</x:v>
      </x:c>
      <x:c r="D1391" s="12" t="n">
        <x:v>4217.0612</x:v>
      </x:c>
      <x:c r="E1391" s="12" t="n">
        <x:v>4155.5509</x:v>
      </x:c>
      <x:c r="F1391" s="12" t="n">
        <x:v>4191.5684</x:v>
      </x:c>
      <x:c r="G1391" s="12" t="n">
        <x:v>4139.737</x:v>
      </x:c>
      <x:c r="H1391" s="12" t="n">
        <x:v>51.8314</x:v>
      </x:c>
      <x:c r="I1391" s="12" t="n">
        <x:v>1.252</x:v>
      </x:c>
      <x:c r="J1391" s="12" t="n">
        <x:v>0.012442724453656956</x:v>
      </x:c>
      <x:c r="K1391" s="12" t="n">
        <x:v>124791316</x:v>
      </x:c>
      <x:c r="L1391" s="12" t="n">
        <x:v>245993822.041</x:v>
      </x:c>
      <x:c r="M1391" s="12" t="str">
        <x:v>TuShare index_daily</x:v>
      </x:c>
    </x:row>
    <x:row r="1392" ht="18" customHeight="1">
      <x:c r="A1392" s="13" t="n">
        <x:v>44666</x:v>
      </x:c>
      <x:c r="B1392" s="12" t="str">
        <x:v>000300.SH</x:v>
      </x:c>
      <x:c r="C1392" s="12" t="n">
        <x:v>4162.3718</x:v>
      </x:c>
      <x:c r="D1392" s="12" t="n">
        <x:v>4211.3174</x:v>
      </x:c>
      <x:c r="E1392" s="12" t="n">
        <x:v>4152.974</x:v>
      </x:c>
      <x:c r="F1392" s="12" t="n">
        <x:v>4188.7472</x:v>
      </x:c>
      <x:c r="G1392" s="12" t="n">
        <x:v>4191.5684</x:v>
      </x:c>
      <x:c r="H1392" s="12" t="n">
        <x:v>-2.8212</x:v>
      </x:c>
      <x:c r="I1392" s="12" t="n">
        <x:v>-0.0673</x:v>
      </x:c>
      <x:c r="J1392" s="12" t="n">
        <x:v>-0.0006732920909509533</x:v>
      </x:c>
      <x:c r="K1392" s="12" t="n">
        <x:v>124762263</x:v>
      </x:c>
      <x:c r="L1392" s="12" t="n">
        <x:v>226229740.275</x:v>
      </x:c>
      <x:c r="M1392" s="12" t="str">
        <x:v>TuShare index_daily</x:v>
      </x:c>
    </x:row>
    <x:row r="1393" ht="18" customHeight="1">
      <x:c r="A1393" s="13" t="n">
        <x:v>44669</x:v>
      </x:c>
      <x:c r="B1393" s="12" t="str">
        <x:v>000300.SH</x:v>
      </x:c>
      <x:c r="C1393" s="12" t="n">
        <x:v>4152.9306</x:v>
      </x:c>
      <x:c r="D1393" s="12" t="n">
        <x:v>4171.7427</x:v>
      </x:c>
      <x:c r="E1393" s="12" t="n">
        <x:v>4119.9941</x:v>
      </x:c>
      <x:c r="F1393" s="12" t="n">
        <x:v>4166.3844</x:v>
      </x:c>
      <x:c r="G1393" s="12" t="n">
        <x:v>4188.7472</x:v>
      </x:c>
      <x:c r="H1393" s="12" t="n">
        <x:v>-22.3628</x:v>
      </x:c>
      <x:c r="I1393" s="12" t="n">
        <x:v>-0.5339</x:v>
      </x:c>
      <x:c r="J1393" s="12" t="n">
        <x:v>-0.005353082266565374</x:v>
      </x:c>
      <x:c r="K1393" s="12" t="n">
        <x:v>117504610</x:v>
      </x:c>
      <x:c r="L1393" s="12" t="n">
        <x:v>212855328.187</x:v>
      </x:c>
      <x:c r="M1393" s="12" t="str">
        <x:v>TuShare index_daily</x:v>
      </x:c>
    </x:row>
    <x:row r="1394" ht="18" customHeight="1">
      <x:c r="A1394" s="13" t="n">
        <x:v>44670</x:v>
      </x:c>
      <x:c r="B1394" s="12" t="str">
        <x:v>000300.SH</x:v>
      </x:c>
      <x:c r="C1394" s="12" t="n">
        <x:v>4161.9328</x:v>
      </x:c>
      <x:c r="D1394" s="12" t="n">
        <x:v>4186.9389</x:v>
      </x:c>
      <x:c r="E1394" s="12" t="n">
        <x:v>4115.4184</x:v>
      </x:c>
      <x:c r="F1394" s="12" t="n">
        <x:v>4134.9017</x:v>
      </x:c>
      <x:c r="G1394" s="12" t="n">
        <x:v>4166.3844</x:v>
      </x:c>
      <x:c r="H1394" s="12" t="n">
        <x:v>-31.4827</x:v>
      </x:c>
      <x:c r="I1394" s="12" t="n">
        <x:v>-0.7556</x:v>
      </x:c>
      <x:c r="J1394" s="12" t="n">
        <x:v>-0.007585053824646595</x:v>
      </x:c>
      <x:c r="K1394" s="12" t="n">
        <x:v>110217471</x:v>
      </x:c>
      <x:c r="L1394" s="12" t="n">
        <x:v>208570579.129</x:v>
      </x:c>
      <x:c r="M1394" s="12" t="str">
        <x:v>TuShare index_daily</x:v>
      </x:c>
    </x:row>
    <x:row r="1395" ht="18" customHeight="1">
      <x:c r="A1395" s="13" t="n">
        <x:v>44671</x:v>
      </x:c>
      <x:c r="B1395" s="12" t="str">
        <x:v>000300.SH</x:v>
      </x:c>
      <x:c r="C1395" s="12" t="n">
        <x:v>4130.5427</x:v>
      </x:c>
      <x:c r="D1395" s="12" t="n">
        <x:v>4136.1661</x:v>
      </x:c>
      <x:c r="E1395" s="12" t="n">
        <x:v>4060.5044</x:v>
      </x:c>
      <x:c r="F1395" s="12" t="n">
        <x:v>4070.7889</x:v>
      </x:c>
      <x:c r="G1395" s="12" t="n">
        <x:v>4134.9017</x:v>
      </x:c>
      <x:c r="H1395" s="12" t="n">
        <x:v>-64.1128</x:v>
      </x:c>
      <x:c r="I1395" s="12" t="n">
        <x:v>-1.5505</x:v>
      </x:c>
      <x:c r="J1395" s="12" t="n">
        <x:v>-0.015626741925608204</x:v>
      </x:c>
      <x:c r="K1395" s="12" t="n">
        <x:v>117331658</x:v>
      </x:c>
      <x:c r="L1395" s="12" t="n">
        <x:v>216536635.695</x:v>
      </x:c>
      <x:c r="M1395" s="12" t="str">
        <x:v>TuShare index_daily</x:v>
      </x:c>
    </x:row>
    <x:row r="1396" ht="18" customHeight="1">
      <x:c r="A1396" s="13" t="n">
        <x:v>44672</x:v>
      </x:c>
      <x:c r="B1396" s="12" t="str">
        <x:v>000300.SH</x:v>
      </x:c>
      <x:c r="C1396" s="12" t="n">
        <x:v>4048.7338</x:v>
      </x:c>
      <x:c r="D1396" s="12" t="n">
        <x:v>4086.4393</x:v>
      </x:c>
      <x:c r="E1396" s="12" t="n">
        <x:v>3978.3669</x:v>
      </x:c>
      <x:c r="F1396" s="12" t="n">
        <x:v>3995.83</x:v>
      </x:c>
      <x:c r="G1396" s="12" t="n">
        <x:v>4070.7889</x:v>
      </x:c>
      <x:c r="H1396" s="12" t="n">
        <x:v>-74.9589</x:v>
      </x:c>
      <x:c r="I1396" s="12" t="n">
        <x:v>-1.8414</x:v>
      </x:c>
      <x:c r="J1396" s="12" t="n">
        <x:v>-0.01858549625635768</x:v>
      </x:c>
      <x:c r="K1396" s="12" t="n">
        <x:v>132783828</x:v>
      </x:c>
      <x:c r="L1396" s="12" t="n">
        <x:v>227026679.682</x:v>
      </x:c>
      <x:c r="M1396" s="12" t="str">
        <x:v>TuShare index_daily</x:v>
      </x:c>
    </x:row>
    <x:row r="1397" ht="18" customHeight="1">
      <x:c r="A1397" s="13" t="n">
        <x:v>44673</x:v>
      </x:c>
      <x:c r="B1397" s="12" t="str">
        <x:v>000300.SH</x:v>
      </x:c>
      <x:c r="C1397" s="12" t="n">
        <x:v>3967.2016</x:v>
      </x:c>
      <x:c r="D1397" s="12" t="n">
        <x:v>4037.084</x:v>
      </x:c>
      <x:c r="E1397" s="12" t="n">
        <x:v>3953.7217</x:v>
      </x:c>
      <x:c r="F1397" s="12" t="n">
        <x:v>4013.2498</x:v>
      </x:c>
      <x:c r="G1397" s="12" t="n">
        <x:v>3995.83</x:v>
      </x:c>
      <x:c r="H1397" s="12" t="n">
        <x:v>17.4198</x:v>
      </x:c>
      <x:c r="I1397" s="12" t="n">
        <x:v>0.4359</x:v>
      </x:c>
      <x:c r="J1397" s="12" t="n">
        <x:v>0.00435001970365872</x:v>
      </x:c>
      <x:c r="K1397" s="12" t="n">
        <x:v>122101811</x:v>
      </x:c>
      <x:c r="L1397" s="12" t="n">
        <x:v>206371766.716</x:v>
      </x:c>
      <x:c r="M1397" s="12" t="str">
        <x:v>TuShare index_daily</x:v>
      </x:c>
    </x:row>
    <x:row r="1398" ht="18" customHeight="1">
      <x:c r="A1398" s="13" t="n">
        <x:v>44676</x:v>
      </x:c>
      <x:c r="B1398" s="12" t="str">
        <x:v>000300.SH</x:v>
      </x:c>
      <x:c r="C1398" s="12" t="n">
        <x:v>3933.4459</x:v>
      </x:c>
      <x:c r="D1398" s="12" t="n">
        <x:v>3958.2102</x:v>
      </x:c>
      <x:c r="E1398" s="12" t="n">
        <x:v>3814.9127</x:v>
      </x:c>
      <x:c r="F1398" s="12" t="n">
        <x:v>3814.9127</x:v>
      </x:c>
      <x:c r="G1398" s="12" t="n">
        <x:v>4013.2498</x:v>
      </x:c>
      <x:c r="H1398" s="12" t="n">
        <x:v>-198.3371</x:v>
      </x:c>
      <x:c r="I1398" s="12" t="n">
        <x:v>-4.9421</x:v>
      </x:c>
      <x:c r="J1398" s="12" t="n">
        <x:v>-0.05068355592304823</x:v>
      </x:c>
      <x:c r="K1398" s="12" t="n">
        <x:v>168364502</x:v>
      </x:c>
      <x:c r="L1398" s="12" t="n">
        <x:v>272889272.275</x:v>
      </x:c>
      <x:c r="M1398" s="12" t="str">
        <x:v>TuShare index_daily</x:v>
      </x:c>
    </x:row>
    <x:row r="1399" ht="18" customHeight="1">
      <x:c r="A1399" s="13" t="n">
        <x:v>44677</x:v>
      </x:c>
      <x:c r="B1399" s="12" t="str">
        <x:v>000300.SH</x:v>
      </x:c>
      <x:c r="C1399" s="12" t="n">
        <x:v>3822.4887</x:v>
      </x:c>
      <x:c r="D1399" s="12" t="n">
        <x:v>3871.8498</x:v>
      </x:c>
      <x:c r="E1399" s="12" t="n">
        <x:v>3773.8986</x:v>
      </x:c>
      <x:c r="F1399" s="12" t="n">
        <x:v>3784.1198</x:v>
      </x:c>
      <x:c r="G1399" s="12" t="n">
        <x:v>3814.9127</x:v>
      </x:c>
      <x:c r="H1399" s="12" t="n">
        <x:v>-30.7929</x:v>
      </x:c>
      <x:c r="I1399" s="12" t="n">
        <x:v>-0.8072</x:v>
      </x:c>
      <x:c r="J1399" s="12" t="n">
        <x:v>-0.008104470811488438</x:v>
      </x:c>
      <x:c r="K1399" s="12" t="n">
        <x:v>157577611</x:v>
      </x:c>
      <x:c r="L1399" s="12" t="n">
        <x:v>259626354.225</x:v>
      </x:c>
      <x:c r="M1399" s="12" t="str">
        <x:v>TuShare index_daily</x:v>
      </x:c>
    </x:row>
    <x:row r="1400" ht="18" customHeight="1">
      <x:c r="A1400" s="13" t="n">
        <x:v>44678</x:v>
      </x:c>
      <x:c r="B1400" s="12" t="str">
        <x:v>000300.SH</x:v>
      </x:c>
      <x:c r="C1400" s="12" t="n">
        <x:v>3758.0835</x:v>
      </x:c>
      <x:c r="D1400" s="12" t="n">
        <x:v>3895.731</x:v>
      </x:c>
      <x:c r="E1400" s="12" t="n">
        <x:v>3757.0859</x:v>
      </x:c>
      <x:c r="F1400" s="12" t="n">
        <x:v>3895.5361</x:v>
      </x:c>
      <x:c r="G1400" s="12" t="n">
        <x:v>3784.1198</x:v>
      </x:c>
      <x:c r="H1400" s="12" t="n">
        <x:v>111.4163</x:v>
      </x:c>
      <x:c r="I1400" s="12" t="n">
        <x:v>2.9443</x:v>
      </x:c>
      <x:c r="J1400" s="12" t="n">
        <x:v>0.02901799754097714</x:v>
      </x:c>
      <x:c r="K1400" s="12" t="n">
        <x:v>172734046</x:v>
      </x:c>
      <x:c r="L1400" s="12" t="n">
        <x:v>296924102.939</x:v>
      </x:c>
      <x:c r="M1400" s="12" t="str">
        <x:v>TuShare index_daily</x:v>
      </x:c>
    </x:row>
    <x:row r="1401" ht="18" customHeight="1">
      <x:c r="A1401" s="13" t="n">
        <x:v>44679</x:v>
      </x:c>
      <x:c r="B1401" s="12" t="str">
        <x:v>000300.SH</x:v>
      </x:c>
      <x:c r="C1401" s="12" t="n">
        <x:v>3883.4196</x:v>
      </x:c>
      <x:c r="D1401" s="12" t="n">
        <x:v>3943.4349</x:v>
      </x:c>
      <x:c r="E1401" s="12" t="n">
        <x:v>3873.5781</x:v>
      </x:c>
      <x:c r="F1401" s="12" t="n">
        <x:v>3921.1073</x:v>
      </x:c>
      <x:c r="G1401" s="12" t="n">
        <x:v>3895.5361</x:v>
      </x:c>
      <x:c r="H1401" s="12" t="n">
        <x:v>25.5712</x:v>
      </x:c>
      <x:c r="I1401" s="12" t="n">
        <x:v>0.6564</x:v>
      </x:c>
      <x:c r="J1401" s="12" t="n">
        <x:v>0.006542780554855859</x:v>
      </x:c>
      <x:c r="K1401" s="12" t="n">
        <x:v>153056586</x:v>
      </x:c>
      <x:c r="L1401" s="12" t="n">
        <x:v>268502242.453</x:v>
      </x:c>
      <x:c r="M1401" s="12" t="str">
        <x:v>TuShare index_daily</x:v>
      </x:c>
    </x:row>
    <x:row r="1402" ht="18" customHeight="1">
      <x:c r="A1402" s="13" t="n">
        <x:v>44680</x:v>
      </x:c>
      <x:c r="B1402" s="12" t="str">
        <x:v>000300.SH</x:v>
      </x:c>
      <x:c r="C1402" s="12" t="n">
        <x:v>3939.6238</x:v>
      </x:c>
      <x:c r="D1402" s="12" t="n">
        <x:v>4017.4281</x:v>
      </x:c>
      <x:c r="E1402" s="12" t="n">
        <x:v>3898.5701</x:v>
      </x:c>
      <x:c r="F1402" s="12" t="n">
        <x:v>4016.241</x:v>
      </x:c>
      <x:c r="G1402" s="12" t="n">
        <x:v>3921.1073</x:v>
      </x:c>
      <x:c r="H1402" s="12" t="n">
        <x:v>95.1337</x:v>
      </x:c>
      <x:c r="I1402" s="12" t="n">
        <x:v>2.4262</x:v>
      </x:c>
      <x:c r="J1402" s="12" t="n">
        <x:v>0.023972302145301865</x:v>
      </x:c>
      <x:c r="K1402" s="12" t="n">
        <x:v>179458377</x:v>
      </x:c>
      <x:c r="L1402" s="12" t="n">
        <x:v>321414877.428</x:v>
      </x:c>
      <x:c r="M1402" s="12" t="str">
        <x:v>TuShare index_daily</x:v>
      </x:c>
    </x:row>
    <x:row r="1403" ht="18" customHeight="1">
      <x:c r="A1403" s="13" t="n">
        <x:v>44686</x:v>
      </x:c>
      <x:c r="B1403" s="12" t="str">
        <x:v>000300.SH</x:v>
      </x:c>
      <x:c r="C1403" s="12" t="n">
        <x:v>3995.3533</x:v>
      </x:c>
      <x:c r="D1403" s="12" t="n">
        <x:v>4039.7</x:v>
      </x:c>
      <x:c r="E1403" s="12" t="n">
        <x:v>3988.9312</x:v>
      </x:c>
      <x:c r="F1403" s="12" t="n">
        <x:v>4010.2102</x:v>
      </x:c>
      <x:c r="G1403" s="12" t="n">
        <x:v>4016.241</x:v>
      </x:c>
      <x:c r="H1403" s="12" t="n">
        <x:v>-6.0308</x:v>
      </x:c>
      <x:c r="I1403" s="12" t="n">
        <x:v>-0.1502</x:v>
      </x:c>
      <x:c r="J1403" s="12" t="n">
        <x:v>-0.0015027316517908444</x:v>
      </x:c>
      <x:c r="K1403" s="12" t="n">
        <x:v>154170716</x:v>
      </x:c>
      <x:c r="L1403" s="12" t="n">
        <x:v>290538230.663</x:v>
      </x:c>
      <x:c r="M1403" s="12" t="str">
        <x:v>TuShare index_daily</x:v>
      </x:c>
    </x:row>
    <x:row r="1404" ht="18" customHeight="1">
      <x:c r="A1404" s="13" t="n">
        <x:v>44687</x:v>
      </x:c>
      <x:c r="B1404" s="12" t="str">
        <x:v>000300.SH</x:v>
      </x:c>
      <x:c r="C1404" s="12" t="n">
        <x:v>3928.8548</x:v>
      </x:c>
      <x:c r="D1404" s="12" t="n">
        <x:v>3947.2378</x:v>
      </x:c>
      <x:c r="E1404" s="12" t="n">
        <x:v>3902.051</x:v>
      </x:c>
      <x:c r="F1404" s="12" t="n">
        <x:v>3908.815</x:v>
      </x:c>
      <x:c r="G1404" s="12" t="n">
        <x:v>4010.2102</x:v>
      </x:c>
      <x:c r="H1404" s="12" t="n">
        <x:v>-101.3952</x:v>
      </x:c>
      <x:c r="I1404" s="12" t="n">
        <x:v>-2.5284</x:v>
      </x:c>
      <x:c r="J1404" s="12" t="n">
        <x:v>-0.02560939988841187</x:v>
      </x:c>
      <x:c r="K1404" s="12" t="n">
        <x:v>123005551</x:v>
      </x:c>
      <x:c r="L1404" s="12" t="n">
        <x:v>214825174.047</x:v>
      </x:c>
      <x:c r="M1404" s="12" t="str">
        <x:v>TuShare index_daily</x:v>
      </x:c>
    </x:row>
    <x:row r="1405" ht="18" customHeight="1">
      <x:c r="A1405" s="13" t="n">
        <x:v>44690</x:v>
      </x:c>
      <x:c r="B1405" s="12" t="str">
        <x:v>000300.SH</x:v>
      </x:c>
      <x:c r="C1405" s="12" t="n">
        <x:v>3883.9514</x:v>
      </x:c>
      <x:c r="D1405" s="12" t="n">
        <x:v>3914.1116</x:v>
      </x:c>
      <x:c r="E1405" s="12" t="n">
        <x:v>3854.9353</x:v>
      </x:c>
      <x:c r="F1405" s="12" t="n">
        <x:v>3877.4364</x:v>
      </x:c>
      <x:c r="G1405" s="12" t="n">
        <x:v>3908.815</x:v>
      </x:c>
      <x:c r="H1405" s="12" t="n">
        <x:v>-31.3786</x:v>
      </x:c>
      <x:c r="I1405" s="12" t="n">
        <x:v>-0.8028</x:v>
      </x:c>
      <x:c r="J1405" s="12" t="n">
        <x:v>-0.008060045395905031</x:v>
      </x:c>
      <x:c r="K1405" s="12" t="n">
        <x:v>92936694</x:v>
      </x:c>
      <x:c r="L1405" s="12" t="n">
        <x:v>171756502.864</x:v>
      </x:c>
      <x:c r="M1405" s="12" t="str">
        <x:v>TuShare index_daily</x:v>
      </x:c>
    </x:row>
    <x:row r="1406" ht="18" customHeight="1">
      <x:c r="A1406" s="13" t="n">
        <x:v>44691</x:v>
      </x:c>
      <x:c r="B1406" s="12" t="str">
        <x:v>000300.SH</x:v>
      </x:c>
      <x:c r="C1406" s="12" t="n">
        <x:v>3820.6278</x:v>
      </x:c>
      <x:c r="D1406" s="12" t="n">
        <x:v>3932.6823</x:v>
      </x:c>
      <x:c r="E1406" s="12" t="n">
        <x:v>3808.5699</x:v>
      </x:c>
      <x:c r="F1406" s="12" t="n">
        <x:v>3919.8684</x:v>
      </x:c>
      <x:c r="G1406" s="12" t="n">
        <x:v>3877.4364</x:v>
      </x:c>
      <x:c r="H1406" s="12" t="n">
        <x:v>42.432</x:v>
      </x:c>
      <x:c r="I1406" s="12" t="n">
        <x:v>1.0943</x:v>
      </x:c>
      <x:c r="J1406" s="12" t="n">
        <x:v>0.010883868197312553</x:v>
      </x:c>
      <x:c r="K1406" s="12" t="n">
        <x:v>136416918</x:v>
      </x:c>
      <x:c r="L1406" s="12" t="n">
        <x:v>239060211.933</x:v>
      </x:c>
      <x:c r="M1406" s="12" t="str">
        <x:v>TuShare index_daily</x:v>
      </x:c>
    </x:row>
    <x:row r="1407" ht="18" customHeight="1">
      <x:c r="A1407" s="13" t="n">
        <x:v>44692</x:v>
      </x:c>
      <x:c r="B1407" s="12" t="str">
        <x:v>000300.SH</x:v>
      </x:c>
      <x:c r="C1407" s="12" t="n">
        <x:v>3917.9322</x:v>
      </x:c>
      <x:c r="D1407" s="12" t="n">
        <x:v>4033.3026</x:v>
      </x:c>
      <x:c r="E1407" s="12" t="n">
        <x:v>3916.5249</x:v>
      </x:c>
      <x:c r="F1407" s="12" t="n">
        <x:v>3976.4231</x:v>
      </x:c>
      <x:c r="G1407" s="12" t="n">
        <x:v>3919.8684</x:v>
      </x:c>
      <x:c r="H1407" s="12" t="n">
        <x:v>56.5547</x:v>
      </x:c>
      <x:c r="I1407" s="12" t="n">
        <x:v>1.4428</x:v>
      </x:c>
      <x:c r="J1407" s="12" t="n">
        <x:v>0.014324614803433415</x:v>
      </x:c>
      <x:c r="K1407" s="12" t="n">
        <x:v>165632256</x:v>
      </x:c>
      <x:c r="L1407" s="12" t="n">
        <x:v>309294912.8</x:v>
      </x:c>
      <x:c r="M1407" s="12" t="str">
        <x:v>TuShare index_daily</x:v>
      </x:c>
    </x:row>
    <x:row r="1408" ht="18" customHeight="1">
      <x:c r="A1408" s="13" t="n">
        <x:v>44693</x:v>
      </x:c>
      <x:c r="B1408" s="12" t="str">
        <x:v>000300.SH</x:v>
      </x:c>
      <x:c r="C1408" s="12" t="n">
        <x:v>3949.949</x:v>
      </x:c>
      <x:c r="D1408" s="12" t="n">
        <x:v>3985.9268</x:v>
      </x:c>
      <x:c r="E1408" s="12" t="n">
        <x:v>3935.5886</x:v>
      </x:c>
      <x:c r="F1408" s="12" t="n">
        <x:v>3958.74</x:v>
      </x:c>
      <x:c r="G1408" s="12" t="n">
        <x:v>3976.4231</x:v>
      </x:c>
      <x:c r="H1408" s="12" t="n">
        <x:v>-17.6831</x:v>
      </x:c>
      <x:c r="I1408" s="12" t="n">
        <x:v>-0.4447</x:v>
      </x:c>
      <x:c r="J1408" s="12" t="n">
        <x:v>-0.004456903796067587</x:v>
      </x:c>
      <x:c r="K1408" s="12" t="n">
        <x:v>113376066</x:v>
      </x:c>
      <x:c r="L1408" s="12" t="n">
        <x:v>202029156.4</x:v>
      </x:c>
      <x:c r="M1408" s="12" t="str">
        <x:v>TuShare index_daily</x:v>
      </x:c>
    </x:row>
    <x:row r="1409" ht="18" customHeight="1">
      <x:c r="A1409" s="13" t="n">
        <x:v>44694</x:v>
      </x:c>
      <x:c r="B1409" s="12" t="str">
        <x:v>000300.SH</x:v>
      </x:c>
      <x:c r="C1409" s="12" t="n">
        <x:v>3983.8201</x:v>
      </x:c>
      <x:c r="D1409" s="12" t="n">
        <x:v>4003.8539</x:v>
      </x:c>
      <x:c r="E1409" s="12" t="n">
        <x:v>3957.1392</x:v>
      </x:c>
      <x:c r="F1409" s="12" t="n">
        <x:v>3988.6002</x:v>
      </x:c>
      <x:c r="G1409" s="12" t="n">
        <x:v>3958.74</x:v>
      </x:c>
      <x:c r="H1409" s="12" t="n">
        <x:v>29.8602</x:v>
      </x:c>
      <x:c r="I1409" s="12" t="n">
        <x:v>0.7543</x:v>
      </x:c>
      <x:c r="J1409" s="12" t="n">
        <x:v>0.007514549462257705</x:v>
      </x:c>
      <x:c r="K1409" s="12" t="n">
        <x:v>109968357</x:v>
      </x:c>
      <x:c r="L1409" s="12" t="n">
        <x:v>195727044.9</x:v>
      </x:c>
      <x:c r="M1409" s="12" t="str">
        <x:v>TuShare index_daily</x:v>
      </x:c>
    </x:row>
    <x:row r="1410" ht="18" customHeight="1">
      <x:c r="A1410" s="13" t="n">
        <x:v>44697</x:v>
      </x:c>
      <x:c r="B1410" s="12" t="str">
        <x:v>000300.SH</x:v>
      </x:c>
      <x:c r="C1410" s="12" t="n">
        <x:v>4014.9955</x:v>
      </x:c>
      <x:c r="D1410" s="12" t="n">
        <x:v>4018.0283</x:v>
      </x:c>
      <x:c r="E1410" s="12" t="n">
        <x:v>3947.7461</x:v>
      </x:c>
      <x:c r="F1410" s="12" t="n">
        <x:v>3956.5378</x:v>
      </x:c>
      <x:c r="G1410" s="12" t="n">
        <x:v>3988.6002</x:v>
      </x:c>
      <x:c r="H1410" s="12" t="n">
        <x:v>-32.0624</x:v>
      </x:c>
      <x:c r="I1410" s="12" t="n">
        <x:v>-0.8039</x:v>
      </x:c>
      <x:c r="J1410" s="12" t="n">
        <x:v>-0.00807099235976954</x:v>
      </x:c>
      <x:c r="K1410" s="12" t="n">
        <x:v>112425294</x:v>
      </x:c>
      <x:c r="L1410" s="12" t="n">
        <x:v>199717909.5</x:v>
      </x:c>
      <x:c r="M1410" s="12" t="str">
        <x:v>TuShare index_daily</x:v>
      </x:c>
    </x:row>
    <x:row r="1411" ht="18" customHeight="1">
      <x:c r="A1411" s="13" t="n">
        <x:v>44698</x:v>
      </x:c>
      <x:c r="B1411" s="12" t="str">
        <x:v>000300.SH</x:v>
      </x:c>
      <x:c r="C1411" s="12" t="n">
        <x:v>3961.7605</x:v>
      </x:c>
      <x:c r="D1411" s="12" t="n">
        <x:v>4005.8934</x:v>
      </x:c>
      <x:c r="E1411" s="12" t="n">
        <x:v>3955.1018</x:v>
      </x:c>
      <x:c r="F1411" s="12" t="n">
        <x:v>4005.8934</x:v>
      </x:c>
      <x:c r="G1411" s="12" t="n">
        <x:v>3956.5378</x:v>
      </x:c>
      <x:c r="H1411" s="12" t="n">
        <x:v>49.3556</x:v>
      </x:c>
      <x:c r="I1411" s="12" t="n">
        <x:v>1.2474</x:v>
      </x:c>
      <x:c r="J1411" s="12" t="n">
        <x:v>0.012397276884578638</x:v>
      </x:c>
      <x:c r="K1411" s="12" t="n">
        <x:v>109661454</x:v>
      </x:c>
      <x:c r="L1411" s="12" t="n">
        <x:v>210117539.7</x:v>
      </x:c>
      <x:c r="M1411" s="12" t="str">
        <x:v>TuShare index_daily</x:v>
      </x:c>
    </x:row>
    <x:row r="1412" ht="18" customHeight="1">
      <x:c r="A1412" s="13" t="n">
        <x:v>44699</x:v>
      </x:c>
      <x:c r="B1412" s="12" t="str">
        <x:v>000300.SH</x:v>
      </x:c>
      <x:c r="C1412" s="12" t="n">
        <x:v>4015.0134</x:v>
      </x:c>
      <x:c r="D1412" s="12" t="n">
        <x:v>4017.341</x:v>
      </x:c>
      <x:c r="E1412" s="12" t="n">
        <x:v>3964.7503</x:v>
      </x:c>
      <x:c r="F1412" s="12" t="n">
        <x:v>3991.9069</x:v>
      </x:c>
      <x:c r="G1412" s="12" t="n">
        <x:v>4005.8934</x:v>
      </x:c>
      <x:c r="H1412" s="12" t="n">
        <x:v>-13.9865</x:v>
      </x:c>
      <x:c r="I1412" s="12" t="n">
        <x:v>-0.3491</x:v>
      </x:c>
      <x:c r="J1412" s="12" t="n">
        <x:v>-0.0034975902707219692</x:v>
      </x:c>
      <x:c r="K1412" s="12" t="n">
        <x:v>108074233</x:v>
      </x:c>
      <x:c r="L1412" s="12" t="n">
        <x:v>201800666.052</x:v>
      </x:c>
      <x:c r="M1412" s="12" t="str">
        <x:v>TuShare index_daily</x:v>
      </x:c>
    </x:row>
    <x:row r="1413" ht="18" customHeight="1">
      <x:c r="A1413" s="13" t="n">
        <x:v>44700</x:v>
      </x:c>
      <x:c r="B1413" s="12" t="str">
        <x:v>000300.SH</x:v>
      </x:c>
      <x:c r="C1413" s="12" t="n">
        <x:v>3938.2964</x:v>
      </x:c>
      <x:c r="D1413" s="12" t="n">
        <x:v>3999.5984</x:v>
      </x:c>
      <x:c r="E1413" s="12" t="n">
        <x:v>3933.7452</x:v>
      </x:c>
      <x:c r="F1413" s="12" t="n">
        <x:v>3999.5984</x:v>
      </x:c>
      <x:c r="G1413" s="12" t="n">
        <x:v>3991.9069</x:v>
      </x:c>
      <x:c r="H1413" s="12" t="n">
        <x:v>7.6915</x:v>
      </x:c>
      <x:c r="I1413" s="12" t="n">
        <x:v>0.1927</x:v>
      </x:c>
      <x:c r="J1413" s="12" t="n">
        <x:v>0.001924919545495968</x:v>
      </x:c>
      <x:c r="K1413" s="12" t="n">
        <x:v>116293420</x:v>
      </x:c>
      <x:c r="L1413" s="12" t="n">
        <x:v>210206681.642</x:v>
      </x:c>
      <x:c r="M1413" s="12" t="str">
        <x:v>TuShare index_daily</x:v>
      </x:c>
    </x:row>
    <x:row r="1414" ht="18" customHeight="1">
      <x:c r="A1414" s="13" t="n">
        <x:v>44701</x:v>
      </x:c>
      <x:c r="B1414" s="12" t="str">
        <x:v>000300.SH</x:v>
      </x:c>
      <x:c r="C1414" s="12" t="n">
        <x:v>4020.8162</x:v>
      </x:c>
      <x:c r="D1414" s="12" t="n">
        <x:v>4077.6016</x:v>
      </x:c>
      <x:c r="E1414" s="12" t="n">
        <x:v>4020.8162</x:v>
      </x:c>
      <x:c r="F1414" s="12" t="n">
        <x:v>4077.5998</x:v>
      </x:c>
      <x:c r="G1414" s="12" t="n">
        <x:v>3999.5984</x:v>
      </x:c>
      <x:c r="H1414" s="12" t="n">
        <x:v>78.0014</x:v>
      </x:c>
      <x:c r="I1414" s="12" t="n">
        <x:v>1.9502</x:v>
      </x:c>
      <x:c r="J1414" s="12" t="n">
        <x:v>0.019314574915760673</x:v>
      </x:c>
      <x:c r="K1414" s="12" t="n">
        <x:v>147069173</x:v>
      </x:c>
      <x:c r="L1414" s="12" t="n">
        <x:v>265609089.943</x:v>
      </x:c>
      <x:c r="M1414" s="12" t="str">
        <x:v>TuShare index_daily</x:v>
      </x:c>
    </x:row>
    <x:row r="1415" ht="18" customHeight="1">
      <x:c r="A1415" s="13" t="n">
        <x:v>44704</x:v>
      </x:c>
      <x:c r="B1415" s="12" t="str">
        <x:v>000300.SH</x:v>
      </x:c>
      <x:c r="C1415" s="12" t="n">
        <x:v>4080.9694</x:v>
      </x:c>
      <x:c r="D1415" s="12" t="n">
        <x:v>4080.9694</x:v>
      </x:c>
      <x:c r="E1415" s="12" t="n">
        <x:v>4029.0846</x:v>
      </x:c>
      <x:c r="F1415" s="12" t="n">
        <x:v>4053.9823</x:v>
      </x:c>
      <x:c r="G1415" s="12" t="n">
        <x:v>4077.5998</x:v>
      </x:c>
      <x:c r="H1415" s="12" t="n">
        <x:v>-23.6175</x:v>
      </x:c>
      <x:c r="I1415" s="12" t="n">
        <x:v>-0.5792</x:v>
      </x:c>
      <x:c r="J1415" s="12" t="n">
        <x:v>-0.005808849033170905</x:v>
      </x:c>
      <x:c r="K1415" s="12" t="n">
        <x:v>130477810</x:v>
      </x:c>
      <x:c r="L1415" s="12" t="n">
        <x:v>225981540.919</x:v>
      </x:c>
      <x:c r="M1415" s="12" t="str">
        <x:v>TuShare index_daily</x:v>
      </x:c>
    </x:row>
    <x:row r="1416" ht="18" customHeight="1">
      <x:c r="A1416" s="13" t="n">
        <x:v>44705</x:v>
      </x:c>
      <x:c r="B1416" s="12" t="str">
        <x:v>000300.SH</x:v>
      </x:c>
      <x:c r="C1416" s="12" t="n">
        <x:v>4052.8675</x:v>
      </x:c>
      <x:c r="D1416" s="12" t="n">
        <x:v>4055.783</x:v>
      </x:c>
      <x:c r="E1416" s="12" t="n">
        <x:v>3959.1541</x:v>
      </x:c>
      <x:c r="F1416" s="12" t="n">
        <x:v>3959.1541</x:v>
      </x:c>
      <x:c r="G1416" s="12" t="n">
        <x:v>4053.9823</x:v>
      </x:c>
      <x:c r="H1416" s="12" t="n">
        <x:v>-94.8282</x:v>
      </x:c>
      <x:c r="I1416" s="12" t="n">
        <x:v>-2.3391</x:v>
      </x:c>
      <x:c r="J1416" s="12" t="n">
        <x:v>-0.023669290624887738</x:v>
      </x:c>
      <x:c r="K1416" s="12" t="n">
        <x:v>145554336</x:v>
      </x:c>
      <x:c r="L1416" s="12" t="n">
        <x:v>247713039.713</x:v>
      </x:c>
      <x:c r="M1416" s="12" t="str">
        <x:v>TuShare index_daily</x:v>
      </x:c>
    </x:row>
    <x:row r="1417" ht="18" customHeight="1">
      <x:c r="A1417" s="13" t="n">
        <x:v>44706</x:v>
      </x:c>
      <x:c r="B1417" s="12" t="str">
        <x:v>000300.SH</x:v>
      </x:c>
      <x:c r="C1417" s="12" t="n">
        <x:v>3959.7672</x:v>
      </x:c>
      <x:c r="D1417" s="12" t="n">
        <x:v>3983.6236</x:v>
      </x:c>
      <x:c r="E1417" s="12" t="n">
        <x:v>3946.8083</x:v>
      </x:c>
      <x:c r="F1417" s="12" t="n">
        <x:v>3983.1784</x:v>
      </x:c>
      <x:c r="G1417" s="12" t="n">
        <x:v>3959.1541</x:v>
      </x:c>
      <x:c r="H1417" s="12" t="n">
        <x:v>24.0243</x:v>
      </x:c>
      <x:c r="I1417" s="12" t="n">
        <x:v>0.6068</x:v>
      </x:c>
      <x:c r="J1417" s="12" t="n">
        <x:v>0.00604970221829956</x:v>
      </x:c>
      <x:c r="K1417" s="12" t="n">
        <x:v>107734015</x:v>
      </x:c>
      <x:c r="L1417" s="12" t="n">
        <x:v>188700537.391</x:v>
      </x:c>
      <x:c r="M1417" s="12" t="str">
        <x:v>TuShare index_daily</x:v>
      </x:c>
    </x:row>
    <x:row r="1418" ht="18" customHeight="1">
      <x:c r="A1418" s="13" t="n">
        <x:v>44707</x:v>
      </x:c>
      <x:c r="B1418" s="12" t="str">
        <x:v>000300.SH</x:v>
      </x:c>
      <x:c r="C1418" s="12" t="n">
        <x:v>3987.6815</x:v>
      </x:c>
      <x:c r="D1418" s="12" t="n">
        <x:v>4015.7468</x:v>
      </x:c>
      <x:c r="E1418" s="12" t="n">
        <x:v>3938.2389</x:v>
      </x:c>
      <x:c r="F1418" s="12" t="n">
        <x:v>3993.0446</x:v>
      </x:c>
      <x:c r="G1418" s="12" t="n">
        <x:v>3983.1784</x:v>
      </x:c>
      <x:c r="H1418" s="12" t="n">
        <x:v>9.8662</x:v>
      </x:c>
      <x:c r="I1418" s="12" t="n">
        <x:v>0.2477</x:v>
      </x:c>
      <x:c r="J1418" s="12" t="n">
        <x:v>0.002473904009937255</x:v>
      </x:c>
      <x:c r="K1418" s="12" t="n">
        <x:v>126263689</x:v>
      </x:c>
      <x:c r="L1418" s="12" t="n">
        <x:v>216987025.401</x:v>
      </x:c>
      <x:c r="M1418" s="12" t="str">
        <x:v>TuShare index_daily</x:v>
      </x:c>
    </x:row>
    <x:row r="1419" ht="18" customHeight="1">
      <x:c r="A1419" s="13" t="n">
        <x:v>44708</x:v>
      </x:c>
      <x:c r="B1419" s="12" t="str">
        <x:v>000300.SH</x:v>
      </x:c>
      <x:c r="C1419" s="12" t="n">
        <x:v>4022.7095</x:v>
      </x:c>
      <x:c r="D1419" s="12" t="n">
        <x:v>4051.1428</x:v>
      </x:c>
      <x:c r="E1419" s="12" t="n">
        <x:v>3983.3838</x:v>
      </x:c>
      <x:c r="F1419" s="12" t="n">
        <x:v>4001.2988</x:v>
      </x:c>
      <x:c r="G1419" s="12" t="n">
        <x:v>3993.0446</x:v>
      </x:c>
      <x:c r="H1419" s="12" t="n">
        <x:v>8.2542</x:v>
      </x:c>
      <x:c r="I1419" s="12" t="n">
        <x:v>0.2067</x:v>
      </x:c>
      <x:c r="J1419" s="12" t="n">
        <x:v>0.002065010850841763</x:v>
      </x:c>
      <x:c r="K1419" s="12" t="n">
        <x:v>112769337</x:v>
      </x:c>
      <x:c r="L1419" s="12" t="n">
        <x:v>206944426.227</x:v>
      </x:c>
      <x:c r="M1419" s="12" t="str">
        <x:v>TuShare index_daily</x:v>
      </x:c>
    </x:row>
    <x:row r="1420" ht="18" customHeight="1">
      <x:c r="A1420" s="13" t="n">
        <x:v>44711</x:v>
      </x:c>
      <x:c r="B1420" s="12" t="str">
        <x:v>000300.SH</x:v>
      </x:c>
      <x:c r="C1420" s="12" t="n">
        <x:v>4020.8584</x:v>
      </x:c>
      <x:c r="D1420" s="12" t="n">
        <x:v>4040.819</x:v>
      </x:c>
      <x:c r="E1420" s="12" t="n">
        <x:v>4003.3768</x:v>
      </x:c>
      <x:c r="F1420" s="12" t="n">
        <x:v>4029.0179</x:v>
      </x:c>
      <x:c r="G1420" s="12" t="n">
        <x:v>4001.2988</x:v>
      </x:c>
      <x:c r="H1420" s="12" t="n">
        <x:v>27.7191</x:v>
      </x:c>
      <x:c r="I1420" s="12" t="n">
        <x:v>0.6928</x:v>
      </x:c>
      <x:c r="J1420" s="12" t="n">
        <x:v>0.006903640572861194</x:v>
      </x:c>
      <x:c r="K1420" s="12" t="n">
        <x:v>111152241</x:v>
      </x:c>
      <x:c r="L1420" s="12" t="n">
        <x:v>211144721.616</x:v>
      </x:c>
      <x:c r="M1420" s="12" t="str">
        <x:v>TuShare index_daily</x:v>
      </x:c>
    </x:row>
    <x:row r="1421" ht="18" customHeight="1">
      <x:c r="A1421" s="13" t="n">
        <x:v>44712</x:v>
      </x:c>
      <x:c r="B1421" s="12" t="str">
        <x:v>000300.SH</x:v>
      </x:c>
      <x:c r="C1421" s="12" t="n">
        <x:v>4031.7621</x:v>
      </x:c>
      <x:c r="D1421" s="12" t="n">
        <x:v>4096.1971</x:v>
      </x:c>
      <x:c r="E1421" s="12" t="n">
        <x:v>4020.3781</x:v>
      </x:c>
      <x:c r="F1421" s="12" t="n">
        <x:v>4091.5176</x:v>
      </x:c>
      <x:c r="G1421" s="12" t="n">
        <x:v>4029.0179</x:v>
      </x:c>
      <x:c r="H1421" s="12" t="n">
        <x:v>62.4997</x:v>
      </x:c>
      <x:c r="I1421" s="12" t="n">
        <x:v>1.5512</x:v>
      </x:c>
      <x:c r="J1421" s="12" t="n">
        <x:v>0.015393303587812266</x:v>
      </x:c>
      <x:c r="K1421" s="12" t="n">
        <x:v>135415513</x:v>
      </x:c>
      <x:c r="L1421" s="12" t="n">
        <x:v>267770088.726</x:v>
      </x:c>
      <x:c r="M1421" s="12" t="str">
        <x:v>TuShare index_daily</x:v>
      </x:c>
    </x:row>
    <x:row r="1422" ht="18" customHeight="1">
      <x:c r="A1422" s="13" t="n">
        <x:v>44713</x:v>
      </x:c>
      <x:c r="B1422" s="12" t="str">
        <x:v>000300.SH</x:v>
      </x:c>
      <x:c r="C1422" s="12" t="n">
        <x:v>4086.6177</x:v>
      </x:c>
      <x:c r="D1422" s="12" t="n">
        <x:v>4094.9008</x:v>
      </x:c>
      <x:c r="E1422" s="12" t="n">
        <x:v>4058.8468</x:v>
      </x:c>
      <x:c r="F1422" s="12" t="n">
        <x:v>4083.1772</x:v>
      </x:c>
      <x:c r="G1422" s="12" t="n">
        <x:v>4091.5176</x:v>
      </x:c>
      <x:c r="H1422" s="12" t="n">
        <x:v>-8.3404</x:v>
      </x:c>
      <x:c r="I1422" s="12" t="n">
        <x:v>-0.2038</x:v>
      </x:c>
      <x:c r="J1422" s="12" t="n">
        <x:v>-0.0020405417200374844</x:v>
      </x:c>
      <x:c r="K1422" s="12" t="n">
        <x:v>114850879</x:v>
      </x:c>
      <x:c r="L1422" s="12" t="n">
        <x:v>225416237.873</x:v>
      </x:c>
      <x:c r="M1422" s="12" t="str">
        <x:v>TuShare index_daily</x:v>
      </x:c>
    </x:row>
    <x:row r="1423" ht="18" customHeight="1">
      <x:c r="A1423" s="13" t="n">
        <x:v>44714</x:v>
      </x:c>
      <x:c r="B1423" s="12" t="str">
        <x:v>000300.SH</x:v>
      </x:c>
      <x:c r="C1423" s="12" t="n">
        <x:v>4063.9996</x:v>
      </x:c>
      <x:c r="D1423" s="12" t="n">
        <x:v>4091.152</x:v>
      </x:c>
      <x:c r="E1423" s="12" t="n">
        <x:v>4057.9135</x:v>
      </x:c>
      <x:c r="F1423" s="12" t="n">
        <x:v>4089.5682</x:v>
      </x:c>
      <x:c r="G1423" s="12" t="n">
        <x:v>4083.1772</x:v>
      </x:c>
      <x:c r="H1423" s="12" t="n">
        <x:v>6.391</x:v>
      </x:c>
      <x:c r="I1423" s="12" t="n">
        <x:v>0.1565</x:v>
      </x:c>
      <x:c r="J1423" s="12" t="n">
        <x:v>0.0015639790523059368</x:v>
      </x:c>
      <x:c r="K1423" s="12" t="n">
        <x:v>113893638</x:v>
      </x:c>
      <x:c r="L1423" s="12" t="n">
        <x:v>222657537.906</x:v>
      </x:c>
      <x:c r="M1423" s="12" t="str">
        <x:v>TuShare index_daily</x:v>
      </x:c>
    </x:row>
    <x:row r="1424" ht="18" customHeight="1">
      <x:c r="A1424" s="13" t="n">
        <x:v>44718</x:v>
      </x:c>
      <x:c r="B1424" s="12" t="str">
        <x:v>000300.SH</x:v>
      </x:c>
      <x:c r="C1424" s="12" t="n">
        <x:v>4090.5286</x:v>
      </x:c>
      <x:c r="D1424" s="12" t="n">
        <x:v>4166.6151</x:v>
      </x:c>
      <x:c r="E1424" s="12" t="n">
        <x:v>4063.9057</x:v>
      </x:c>
      <x:c r="F1424" s="12" t="n">
        <x:v>4166.085</x:v>
      </x:c>
      <x:c r="G1424" s="12" t="n">
        <x:v>4089.5682</x:v>
      </x:c>
      <x:c r="H1424" s="12" t="n">
        <x:v>76.5168</x:v>
      </x:c>
      <x:c r="I1424" s="12" t="n">
        <x:v>1.871</x:v>
      </x:c>
      <x:c r="J1424" s="12" t="n">
        <x:v>0.01853735598596303</x:v>
      </x:c>
      <x:c r="K1424" s="12" t="n">
        <x:v>167871011</x:v>
      </x:c>
      <x:c r="L1424" s="12" t="n">
        <x:v>324075626.903</x:v>
      </x:c>
      <x:c r="M1424" s="12" t="str">
        <x:v>TuShare index_daily</x:v>
      </x:c>
    </x:row>
    <x:row r="1425" ht="18" customHeight="1">
      <x:c r="A1425" s="13" t="n">
        <x:v>44719</x:v>
      </x:c>
      <x:c r="B1425" s="12" t="str">
        <x:v>000300.SH</x:v>
      </x:c>
      <x:c r="C1425" s="12" t="n">
        <x:v>4165.6899</x:v>
      </x:c>
      <x:c r="D1425" s="12" t="n">
        <x:v>4198.0863</x:v>
      </x:c>
      <x:c r="E1425" s="12" t="n">
        <x:v>4155.1683</x:v>
      </x:c>
      <x:c r="F1425" s="12" t="n">
        <x:v>4179.1285</x:v>
      </x:c>
      <x:c r="G1425" s="12" t="n">
        <x:v>4166.085</x:v>
      </x:c>
      <x:c r="H1425" s="12" t="n">
        <x:v>13.0435</x:v>
      </x:c>
      <x:c r="I1425" s="12" t="n">
        <x:v>0.3131</x:v>
      </x:c>
      <x:c r="J1425" s="12" t="n">
        <x:v>0.0031259860808895245</x:v>
      </x:c>
      <x:c r="K1425" s="12" t="n">
        <x:v>142992881</x:v>
      </x:c>
      <x:c r="L1425" s="12" t="n">
        <x:v>285733722.333</x:v>
      </x:c>
      <x:c r="M1425" s="12" t="str">
        <x:v>TuShare index_daily</x:v>
      </x:c>
    </x:row>
    <x:row r="1426" ht="18" customHeight="1">
      <x:c r="A1426" s="13" t="n">
        <x:v>44720</x:v>
      </x:c>
      <x:c r="B1426" s="12" t="str">
        <x:v>000300.SH</x:v>
      </x:c>
      <x:c r="C1426" s="12" t="n">
        <x:v>4187.1483</x:v>
      </x:c>
      <x:c r="D1426" s="12" t="n">
        <x:v>4224.8096</x:v>
      </x:c>
      <x:c r="E1426" s="12" t="n">
        <x:v>4158.0329</x:v>
      </x:c>
      <x:c r="F1426" s="12" t="n">
        <x:v>4219.8122</x:v>
      </x:c>
      <x:c r="G1426" s="12" t="n">
        <x:v>4179.1285</x:v>
      </x:c>
      <x:c r="H1426" s="12" t="n">
        <x:v>40.6837</x:v>
      </x:c>
      <x:c r="I1426" s="12" t="n">
        <x:v>0.9735</x:v>
      </x:c>
      <x:c r="J1426" s="12" t="n">
        <x:v>0.009687892711944179</x:v>
      </x:c>
      <x:c r="K1426" s="12" t="n">
        <x:v>157374057</x:v>
      </x:c>
      <x:c r="L1426" s="12" t="n">
        <x:v>319480252.837</x:v>
      </x:c>
      <x:c r="M1426" s="12" t="str">
        <x:v>TuShare index_daily</x:v>
      </x:c>
    </x:row>
    <x:row r="1427" ht="18" customHeight="1">
      <x:c r="A1427" s="13" t="n">
        <x:v>44721</x:v>
      </x:c>
      <x:c r="B1427" s="12" t="str">
        <x:v>000300.SH</x:v>
      </x:c>
      <x:c r="C1427" s="12" t="n">
        <x:v>4211.7225</x:v>
      </x:c>
      <x:c r="D1427" s="12" t="n">
        <x:v>4227.4484</x:v>
      </x:c>
      <x:c r="E1427" s="12" t="n">
        <x:v>4160.8814</x:v>
      </x:c>
      <x:c r="F1427" s="12" t="n">
        <x:v>4175.6747</x:v>
      </x:c>
      <x:c r="G1427" s="12" t="n">
        <x:v>4219.8122</x:v>
      </x:c>
      <x:c r="H1427" s="12" t="n">
        <x:v>-44.1375</x:v>
      </x:c>
      <x:c r="I1427" s="12" t="n">
        <x:v>-1.046</x:v>
      </x:c>
      <x:c r="J1427" s="12" t="n">
        <x:v>-0.010514674651401995</x:v>
      </x:c>
      <x:c r="K1427" s="12" t="n">
        <x:v>168449154</x:v>
      </x:c>
      <x:c r="L1427" s="12" t="n">
        <x:v>285172804.212</x:v>
      </x:c>
      <x:c r="M1427" s="12" t="str">
        <x:v>TuShare index_daily</x:v>
      </x:c>
    </x:row>
    <x:row r="1428" ht="18" customHeight="1">
      <x:c r="A1428" s="13" t="n">
        <x:v>44722</x:v>
      </x:c>
      <x:c r="B1428" s="12" t="str">
        <x:v>000300.SH</x:v>
      </x:c>
      <x:c r="C1428" s="12" t="n">
        <x:v>4145.6505</x:v>
      </x:c>
      <x:c r="D1428" s="12" t="n">
        <x:v>4241.3541</x:v>
      </x:c>
      <x:c r="E1428" s="12" t="n">
        <x:v>4140.2203</x:v>
      </x:c>
      <x:c r="F1428" s="12" t="n">
        <x:v>4238.9936</x:v>
      </x:c>
      <x:c r="G1428" s="12" t="n">
        <x:v>4175.6747</x:v>
      </x:c>
      <x:c r="H1428" s="12" t="n">
        <x:v>63.3189</x:v>
      </x:c>
      <x:c r="I1428" s="12" t="n">
        <x:v>1.5164</x:v>
      </x:c>
      <x:c r="J1428" s="12" t="n">
        <x:v>0.01504993254272511</x:v>
      </x:c>
      <x:c r="K1428" s="12" t="n">
        <x:v>184796214</x:v>
      </x:c>
      <x:c r="L1428" s="12" t="n">
        <x:v>324091440.663</x:v>
      </x:c>
      <x:c r="M1428" s="12" t="str">
        <x:v>TuShare index_daily</x:v>
      </x:c>
    </x:row>
    <x:row r="1429" ht="18" customHeight="1">
      <x:c r="A1429" s="13" t="n">
        <x:v>44725</x:v>
      </x:c>
      <x:c r="B1429" s="12" t="str">
        <x:v>000300.SH</x:v>
      </x:c>
      <x:c r="C1429" s="12" t="n">
        <x:v>4194.4574</x:v>
      </x:c>
      <x:c r="D1429" s="12" t="n">
        <x:v>4218.2327</x:v>
      </x:c>
      <x:c r="E1429" s="12" t="n">
        <x:v>4156.7146</x:v>
      </x:c>
      <x:c r="F1429" s="12" t="n">
        <x:v>4189.3527</x:v>
      </x:c>
      <x:c r="G1429" s="12" t="n">
        <x:v>4238.9936</x:v>
      </x:c>
      <x:c r="H1429" s="12" t="n">
        <x:v>-49.6409</x:v>
      </x:c>
      <x:c r="I1429" s="12" t="n">
        <x:v>-1.1711</x:v>
      </x:c>
      <x:c r="J1429" s="12" t="n">
        <x:v>-0.011779647453103595</x:v>
      </x:c>
      <x:c r="K1429" s="12" t="n">
        <x:v>168475622</x:v>
      </x:c>
      <x:c r="L1429" s="12" t="n">
        <x:v>336585670.508</x:v>
      </x:c>
      <x:c r="M1429" s="12" t="str">
        <x:v>TuShare index_daily</x:v>
      </x:c>
    </x:row>
    <x:row r="1430" ht="18" customHeight="1">
      <x:c r="A1430" s="13" t="n">
        <x:v>44726</x:v>
      </x:c>
      <x:c r="B1430" s="12" t="str">
        <x:v>000300.SH</x:v>
      </x:c>
      <x:c r="C1430" s="12" t="n">
        <x:v>4143.2232</x:v>
      </x:c>
      <x:c r="D1430" s="12" t="n">
        <x:v>4224.0857</x:v>
      </x:c>
      <x:c r="E1430" s="12" t="n">
        <x:v>4102.929</x:v>
      </x:c>
      <x:c r="F1430" s="12" t="n">
        <x:v>4222.3114</x:v>
      </x:c>
      <x:c r="G1430" s="12" t="n">
        <x:v>4189.3527</x:v>
      </x:c>
      <x:c r="H1430" s="12" t="n">
        <x:v>32.9587</x:v>
      </x:c>
      <x:c r="I1430" s="12" t="n">
        <x:v>0.7867</x:v>
      </x:c>
      <x:c r="J1430" s="12" t="n">
        <x:v>0.007836468093539762</x:v>
      </x:c>
      <x:c r="K1430" s="12" t="n">
        <x:v>171385904</x:v>
      </x:c>
      <x:c r="L1430" s="12" t="n">
        <x:v>335418557.932</x:v>
      </x:c>
      <x:c r="M1430" s="12" t="str">
        <x:v>TuShare index_daily</x:v>
      </x:c>
    </x:row>
    <x:row r="1431" ht="18" customHeight="1">
      <x:c r="A1431" s="13" t="n">
        <x:v>44727</x:v>
      </x:c>
      <x:c r="B1431" s="12" t="str">
        <x:v>000300.SH</x:v>
      </x:c>
      <x:c r="C1431" s="12" t="n">
        <x:v>4228.2926</x:v>
      </x:c>
      <x:c r="D1431" s="12" t="n">
        <x:v>4348.4226</x:v>
      </x:c>
      <x:c r="E1431" s="12" t="n">
        <x:v>4228.2926</x:v>
      </x:c>
      <x:c r="F1431" s="12" t="n">
        <x:v>4278.2178</x:v>
      </x:c>
      <x:c r="G1431" s="12" t="n">
        <x:v>4222.3114</x:v>
      </x:c>
      <x:c r="H1431" s="12" t="n">
        <x:v>55.9064</x:v>
      </x:c>
      <x:c r="I1431" s="12" t="n">
        <x:v>1.3241</x:v>
      </x:c>
      <x:c r="J1431" s="12" t="n">
        <x:v>0.013153817785462499</x:v>
      </x:c>
      <x:c r="K1431" s="12" t="n">
        <x:v>257046590</x:v>
      </x:c>
      <x:c r="L1431" s="12" t="n">
        <x:v>459766820.665</x:v>
      </x:c>
      <x:c r="M1431" s="12" t="str">
        <x:v>TuShare index_daily</x:v>
      </x:c>
    </x:row>
    <x:row r="1432" ht="18" customHeight="1">
      <x:c r="A1432" s="13" t="n">
        <x:v>44728</x:v>
      </x:c>
      <x:c r="B1432" s="12" t="str">
        <x:v>000300.SH</x:v>
      </x:c>
      <x:c r="C1432" s="12" t="n">
        <x:v>4282.0827</x:v>
      </x:c>
      <x:c r="D1432" s="12" t="n">
        <x:v>4302.9212</x:v>
      </x:c>
      <x:c r="E1432" s="12" t="n">
        <x:v>4241.075</x:v>
      </x:c>
      <x:c r="F1432" s="12" t="n">
        <x:v>4250.0614</x:v>
      </x:c>
      <x:c r="G1432" s="12" t="n">
        <x:v>4278.2178</x:v>
      </x:c>
      <x:c r="H1432" s="12" t="n">
        <x:v>-28.1564</x:v>
      </x:c>
      <x:c r="I1432" s="12" t="n">
        <x:v>-0.6581</x:v>
      </x:c>
      <x:c r="J1432" s="12" t="n">
        <x:v>-0.006603091114422981</x:v>
      </x:c>
      <x:c r="K1432" s="12" t="n">
        <x:v>184074416</x:v>
      </x:c>
      <x:c r="L1432" s="12" t="n">
        <x:v>337235911.542</x:v>
      </x:c>
      <x:c r="M1432" s="12" t="str">
        <x:v>TuShare index_daily</x:v>
      </x:c>
    </x:row>
    <x:row r="1433" ht="18" customHeight="1">
      <x:c r="A1433" s="13" t="n">
        <x:v>44729</x:v>
      </x:c>
      <x:c r="B1433" s="12" t="str">
        <x:v>000300.SH</x:v>
      </x:c>
      <x:c r="C1433" s="12" t="n">
        <x:v>4219.2339</x:v>
      </x:c>
      <x:c r="D1433" s="12" t="n">
        <x:v>4318.7655</x:v>
      </x:c>
      <x:c r="E1433" s="12" t="n">
        <x:v>4218.6817</x:v>
      </x:c>
      <x:c r="F1433" s="12" t="n">
        <x:v>4309.0444</x:v>
      </x:c>
      <x:c r="G1433" s="12" t="n">
        <x:v>4250.0614</x:v>
      </x:c>
      <x:c r="H1433" s="12" t="n">
        <x:v>58.983</x:v>
      </x:c>
      <x:c r="I1433" s="12" t="n">
        <x:v>1.3878</x:v>
      </x:c>
      <x:c r="J1433" s="12" t="n">
        <x:v>0.013782732704676438</x:v>
      </x:c>
      <x:c r="K1433" s="12" t="n">
        <x:v>158649098</x:v>
      </x:c>
      <x:c r="L1433" s="12" t="n">
        <x:v>346675726.829</x:v>
      </x:c>
      <x:c r="M1433" s="12" t="str">
        <x:v>TuShare index_daily</x:v>
      </x:c>
    </x:row>
    <x:row r="1434" ht="18" customHeight="1">
      <x:c r="A1434" s="13" t="n">
        <x:v>44732</x:v>
      </x:c>
      <x:c r="B1434" s="12" t="str">
        <x:v>000300.SH</x:v>
      </x:c>
      <x:c r="C1434" s="12" t="n">
        <x:v>4322.8324</x:v>
      </x:c>
      <x:c r="D1434" s="12" t="n">
        <x:v>4368.3555</x:v>
      </x:c>
      <x:c r="E1434" s="12" t="n">
        <x:v>4297.8912</x:v>
      </x:c>
      <x:c r="F1434" s="12" t="n">
        <x:v>4330.4328</x:v>
      </x:c>
      <x:c r="G1434" s="12" t="n">
        <x:v>4309.0444</x:v>
      </x:c>
      <x:c r="H1434" s="12" t="n">
        <x:v>21.3884</x:v>
      </x:c>
      <x:c r="I1434" s="12" t="n">
        <x:v>0.4964</x:v>
      </x:c>
      <x:c r="J1434" s="12" t="n">
        <x:v>0.004951328234505022</x:v>
      </x:c>
      <x:c r="K1434" s="12" t="n">
        <x:v>165666382</x:v>
      </x:c>
      <x:c r="L1434" s="12" t="n">
        <x:v>359569296.86</x:v>
      </x:c>
      <x:c r="M1434" s="12" t="str">
        <x:v>TuShare index_daily</x:v>
      </x:c>
    </x:row>
    <x:row r="1435" ht="18" customHeight="1">
      <x:c r="A1435" s="13" t="n">
        <x:v>44733</x:v>
      </x:c>
      <x:c r="B1435" s="12" t="str">
        <x:v>000300.SH</x:v>
      </x:c>
      <x:c r="C1435" s="12" t="n">
        <x:v>4327.9159</x:v>
      </x:c>
      <x:c r="D1435" s="12" t="n">
        <x:v>4357.3396</x:v>
      </x:c>
      <x:c r="E1435" s="12" t="n">
        <x:v>4287.1406</x:v>
      </x:c>
      <x:c r="F1435" s="12" t="n">
        <x:v>4325.5657</x:v>
      </x:c>
      <x:c r="G1435" s="12" t="n">
        <x:v>4330.4328</x:v>
      </x:c>
      <x:c r="H1435" s="12" t="n">
        <x:v>-4.8671</x:v>
      </x:c>
      <x:c r="I1435" s="12" t="n">
        <x:v>-0.1124</x:v>
      </x:c>
      <x:c r="J1435" s="12" t="n">
        <x:v>-0.0011245613115404183</x:v>
      </x:c>
      <x:c r="K1435" s="12" t="n">
        <x:v>164667615</x:v>
      </x:c>
      <x:c r="L1435" s="12" t="n">
        <x:v>317163317.74</x:v>
      </x:c>
      <x:c r="M1435" s="12" t="str">
        <x:v>TuShare index_daily</x:v>
      </x:c>
    </x:row>
    <x:row r="1436" ht="18" customHeight="1">
      <x:c r="A1436" s="13" t="n">
        <x:v>44734</x:v>
      </x:c>
      <x:c r="B1436" s="12" t="str">
        <x:v>000300.SH</x:v>
      </x:c>
      <x:c r="C1436" s="12" t="n">
        <x:v>4331.902</x:v>
      </x:c>
      <x:c r="D1436" s="12" t="n">
        <x:v>4333.1827</x:v>
      </x:c>
      <x:c r="E1436" s="12" t="n">
        <x:v>4269.2456</x:v>
      </x:c>
      <x:c r="F1436" s="12" t="n">
        <x:v>4270.6227</x:v>
      </x:c>
      <x:c r="G1436" s="12" t="n">
        <x:v>4325.5657</x:v>
      </x:c>
      <x:c r="H1436" s="12" t="n">
        <x:v>-54.943</x:v>
      </x:c>
      <x:c r="I1436" s="12" t="n">
        <x:v>-1.2702</x:v>
      </x:c>
      <x:c r="J1436" s="12" t="n">
        <x:v>-0.012783281528528277</x:v>
      </x:c>
      <x:c r="K1436" s="12" t="n">
        <x:v>158565854</x:v>
      </x:c>
      <x:c r="L1436" s="12" t="n">
        <x:v>298656263.311</x:v>
      </x:c>
      <x:c r="M1436" s="12" t="str">
        <x:v>TuShare index_daily</x:v>
      </x:c>
    </x:row>
    <x:row r="1437" ht="18" customHeight="1">
      <x:c r="A1437" s="13" t="n">
        <x:v>44735</x:v>
      </x:c>
      <x:c r="B1437" s="12" t="str">
        <x:v>000300.SH</x:v>
      </x:c>
      <x:c r="C1437" s="12" t="n">
        <x:v>4277.9555</x:v>
      </x:c>
      <x:c r="D1437" s="12" t="n">
        <x:v>4343.8781</x:v>
      </x:c>
      <x:c r="E1437" s="12" t="n">
        <x:v>4260.9002</x:v>
      </x:c>
      <x:c r="F1437" s="12" t="n">
        <x:v>4343.8781</x:v>
      </x:c>
      <x:c r="G1437" s="12" t="n">
        <x:v>4270.6227</x:v>
      </x:c>
      <x:c r="H1437" s="12" t="n">
        <x:v>73.2554</x:v>
      </x:c>
      <x:c r="I1437" s="12" t="n">
        <x:v>1.7153</x:v>
      </x:c>
      <x:c r="J1437" s="12" t="n">
        <x:v>0.017007872553702612</x:v>
      </x:c>
      <x:c r="K1437" s="12" t="n">
        <x:v>170882360</x:v>
      </x:c>
      <x:c r="L1437" s="12" t="n">
        <x:v>327144780.544</x:v>
      </x:c>
      <x:c r="M1437" s="12" t="str">
        <x:v>TuShare index_daily</x:v>
      </x:c>
    </x:row>
    <x:row r="1438" ht="18" customHeight="1">
      <x:c r="A1438" s="13" t="n">
        <x:v>44736</x:v>
      </x:c>
      <x:c r="B1438" s="12" t="str">
        <x:v>000300.SH</x:v>
      </x:c>
      <x:c r="C1438" s="12" t="n">
        <x:v>4354.553</x:v>
      </x:c>
      <x:c r="D1438" s="12" t="n">
        <x:v>4400.6852</x:v>
      </x:c>
      <x:c r="E1438" s="12" t="n">
        <x:v>4346.1221</x:v>
      </x:c>
      <x:c r="F1438" s="12" t="n">
        <x:v>4394.7723</x:v>
      </x:c>
      <x:c r="G1438" s="12" t="n">
        <x:v>4343.8781</x:v>
      </x:c>
      <x:c r="H1438" s="12" t="n">
        <x:v>50.8942</x:v>
      </x:c>
      <x:c r="I1438" s="12" t="n">
        <x:v>1.1716</x:v>
      </x:c>
      <x:c r="J1438" s="12" t="n">
        <x:v>0.011648200377687492</x:v>
      </x:c>
      <x:c r="K1438" s="12" t="n">
        <x:v>168972199</x:v>
      </x:c>
      <x:c r="L1438" s="12" t="n">
        <x:v>356054750.522</x:v>
      </x:c>
      <x:c r="M1438" s="12" t="str">
        <x:v>TuShare index_daily</x:v>
      </x:c>
    </x:row>
    <x:row r="1439" ht="18" customHeight="1">
      <x:c r="A1439" s="13" t="n">
        <x:v>44739</x:v>
      </x:c>
      <x:c r="B1439" s="12" t="str">
        <x:v>000300.SH</x:v>
      </x:c>
      <x:c r="C1439" s="12" t="n">
        <x:v>4414.3321</x:v>
      </x:c>
      <x:c r="D1439" s="12" t="n">
        <x:v>4472.6948</x:v>
      </x:c>
      <x:c r="E1439" s="12" t="n">
        <x:v>4414.3321</x:v>
      </x:c>
      <x:c r="F1439" s="12" t="n">
        <x:v>4444.2639</x:v>
      </x:c>
      <x:c r="G1439" s="12" t="n">
        <x:v>4394.7723</x:v>
      </x:c>
      <x:c r="H1439" s="12" t="n">
        <x:v>49.4916</x:v>
      </x:c>
      <x:c r="I1439" s="12" t="n">
        <x:v>1.1261</x:v>
      </x:c>
      <x:c r="J1439" s="12" t="n">
        <x:v>0.01119853253130678</x:v>
      </x:c>
      <x:c r="K1439" s="12" t="n">
        <x:v>177385676</x:v>
      </x:c>
      <x:c r="L1439" s="12" t="n">
        <x:v>381432966.328</x:v>
      </x:c>
      <x:c r="M1439" s="12" t="str">
        <x:v>TuShare index_daily</x:v>
      </x:c>
    </x:row>
    <x:row r="1440" ht="18" customHeight="1">
      <x:c r="A1440" s="13" t="n">
        <x:v>44740</x:v>
      </x:c>
      <x:c r="B1440" s="12" t="str">
        <x:v>000300.SH</x:v>
      </x:c>
      <x:c r="C1440" s="12" t="n">
        <x:v>4442.5811</x:v>
      </x:c>
      <x:c r="D1440" s="12" t="n">
        <x:v>4497.8949</x:v>
      </x:c>
      <x:c r="E1440" s="12" t="n">
        <x:v>4407.3519</x:v>
      </x:c>
      <x:c r="F1440" s="12" t="n">
        <x:v>4490.5166</x:v>
      </x:c>
      <x:c r="G1440" s="12" t="n">
        <x:v>4444.2639</x:v>
      </x:c>
      <x:c r="H1440" s="12" t="n">
        <x:v>46.2527</x:v>
      </x:c>
      <x:c r="I1440" s="12" t="n">
        <x:v>1.0407</x:v>
      </x:c>
      <x:c r="J1440" s="12" t="n">
        <x:v>0.010353497362452436</x:v>
      </x:c>
      <x:c r="K1440" s="12" t="n">
        <x:v>174756489</x:v>
      </x:c>
      <x:c r="L1440" s="12" t="n">
        <x:v>361685970.664</x:v>
      </x:c>
      <x:c r="M1440" s="12" t="str">
        <x:v>TuShare index_daily</x:v>
      </x:c>
    </x:row>
    <x:row r="1441" ht="18" customHeight="1">
      <x:c r="A1441" s="13" t="n">
        <x:v>44741</x:v>
      </x:c>
      <x:c r="B1441" s="12" t="str">
        <x:v>000300.SH</x:v>
      </x:c>
      <x:c r="C1441" s="12" t="n">
        <x:v>4472.7346</x:v>
      </x:c>
      <x:c r="D1441" s="12" t="n">
        <x:v>4503.1307</x:v>
      </x:c>
      <x:c r="E1441" s="12" t="n">
        <x:v>4413.9961</x:v>
      </x:c>
      <x:c r="F1441" s="12" t="n">
        <x:v>4421.357</x:v>
      </x:c>
      <x:c r="G1441" s="12" t="n">
        <x:v>4490.5166</x:v>
      </x:c>
      <x:c r="H1441" s="12" t="n">
        <x:v>-69.1596</x:v>
      </x:c>
      <x:c r="I1441" s="12" t="n">
        <x:v>-1.5401</x:v>
      </x:c>
      <x:c r="J1441" s="12" t="n">
        <x:v>-0.01552108826980948</x:v>
      </x:c>
      <x:c r="K1441" s="12" t="n">
        <x:v>187276688</x:v>
      </x:c>
      <x:c r="L1441" s="12" t="n">
        <x:v>395926107.699</x:v>
      </x:c>
      <x:c r="M1441" s="12" t="str">
        <x:v>TuShare index_daily</x:v>
      </x:c>
    </x:row>
    <x:row r="1442" ht="18" customHeight="1">
      <x:c r="A1442" s="13" t="n">
        <x:v>44742</x:v>
      </x:c>
      <x:c r="B1442" s="12" t="str">
        <x:v>000300.SH</x:v>
      </x:c>
      <x:c r="C1442" s="12" t="n">
        <x:v>4418.0656</x:v>
      </x:c>
      <x:c r="D1442" s="12" t="n">
        <x:v>4514.9968</x:v>
      </x:c>
      <x:c r="E1442" s="12" t="n">
        <x:v>4418.0656</x:v>
      </x:c>
      <x:c r="F1442" s="12" t="n">
        <x:v>4485.0108</x:v>
      </x:c>
      <x:c r="G1442" s="12" t="n">
        <x:v>4421.357</x:v>
      </x:c>
      <x:c r="H1442" s="12" t="n">
        <x:v>63.6538</x:v>
      </x:c>
      <x:c r="I1442" s="12" t="n">
        <x:v>1.4397</x:v>
      </x:c>
      <x:c r="J1442" s="12" t="n">
        <x:v>0.014294240989372303</x:v>
      </x:c>
      <x:c r="K1442" s="12" t="n">
        <x:v>156666289</x:v>
      </x:c>
      <x:c r="L1442" s="12" t="n">
        <x:v>354343886.76</x:v>
      </x:c>
      <x:c r="M1442" s="12" t="str">
        <x:v>TuShare index_daily</x:v>
      </x:c>
    </x:row>
    <x:row r="1443" ht="18" customHeight="1">
      <x:c r="A1443" s="13" t="n">
        <x:v>44743</x:v>
      </x:c>
      <x:c r="B1443" s="12" t="str">
        <x:v>000300.SH</x:v>
      </x:c>
      <x:c r="C1443" s="12" t="n">
        <x:v>4489.5204</x:v>
      </x:c>
      <x:c r="D1443" s="12" t="n">
        <x:v>4500.9853</x:v>
      </x:c>
      <x:c r="E1443" s="12" t="n">
        <x:v>4449.2914</x:v>
      </x:c>
      <x:c r="F1443" s="12" t="n">
        <x:v>4466.7179</x:v>
      </x:c>
      <x:c r="G1443" s="12" t="n">
        <x:v>4485.0108</x:v>
      </x:c>
      <x:c r="H1443" s="12" t="n">
        <x:v>-18.2929</x:v>
      </x:c>
      <x:c r="I1443" s="12" t="n">
        <x:v>-0.4079</x:v>
      </x:c>
      <x:c r="J1443" s="12" t="n">
        <x:v>-0.004087015162388046</x:v>
      </x:c>
      <x:c r="K1443" s="12" t="n">
        <x:v>144779599</x:v>
      </x:c>
      <x:c r="L1443" s="12" t="n">
        <x:v>318492130.2</x:v>
      </x:c>
      <x:c r="M1443" s="12" t="str">
        <x:v>TuShare index_daily</x:v>
      </x:c>
    </x:row>
    <x:row r="1444" ht="18" customHeight="1">
      <x:c r="A1444" s="13" t="n">
        <x:v>44746</x:v>
      </x:c>
      <x:c r="B1444" s="12" t="str">
        <x:v>000300.SH</x:v>
      </x:c>
      <x:c r="C1444" s="12" t="n">
        <x:v>4447.2159</x:v>
      </x:c>
      <x:c r="D1444" s="12" t="n">
        <x:v>4496.0338</x:v>
      </x:c>
      <x:c r="E1444" s="12" t="n">
        <x:v>4427.8232</x:v>
      </x:c>
      <x:c r="F1444" s="12" t="n">
        <x:v>4496.0303</x:v>
      </x:c>
      <x:c r="G1444" s="12" t="n">
        <x:v>4466.7179</x:v>
      </x:c>
      <x:c r="H1444" s="12" t="n">
        <x:v>29.3124</x:v>
      </x:c>
      <x:c r="I1444" s="12" t="n">
        <x:v>0.6562</x:v>
      </x:c>
      <x:c r="J1444" s="12" t="n">
        <x:v>0.0065409635202963844</x:v>
      </x:c>
      <x:c r="K1444" s="12" t="n">
        <x:v>146345651</x:v>
      </x:c>
      <x:c r="L1444" s="12" t="n">
        <x:v>356968521.261</x:v>
      </x:c>
      <x:c r="M1444" s="12" t="str">
        <x:v>TuShare index_daily</x:v>
      </x:c>
    </x:row>
    <x:row r="1445" ht="18" customHeight="1">
      <x:c r="A1445" s="13" t="n">
        <x:v>44747</x:v>
      </x:c>
      <x:c r="B1445" s="12" t="str">
        <x:v>000300.SH</x:v>
      </x:c>
      <x:c r="C1445" s="12" t="n">
        <x:v>4505.4572</x:v>
      </x:c>
      <x:c r="D1445" s="12" t="n">
        <x:v>4530.3245</x:v>
      </x:c>
      <x:c r="E1445" s="12" t="n">
        <x:v>4439.4511</x:v>
      </x:c>
      <x:c r="F1445" s="12" t="n">
        <x:v>4489.5383</x:v>
      </x:c>
      <x:c r="G1445" s="12" t="n">
        <x:v>4496.0303</x:v>
      </x:c>
      <x:c r="H1445" s="12" t="n">
        <x:v>-6.492</x:v>
      </x:c>
      <x:c r="I1445" s="12" t="n">
        <x:v>-0.1444</x:v>
      </x:c>
      <x:c r="J1445" s="12" t="n">
        <x:v>-0.0014449839333698677</x:v>
      </x:c>
      <x:c r="K1445" s="12" t="n">
        <x:v>154962415</x:v>
      </x:c>
      <x:c r="L1445" s="12" t="n">
        <x:v>361891850.839</x:v>
      </x:c>
      <x:c r="M1445" s="12" t="str">
        <x:v>TuShare index_daily</x:v>
      </x:c>
    </x:row>
    <x:row r="1446" ht="18" customHeight="1">
      <x:c r="A1446" s="13" t="n">
        <x:v>44748</x:v>
      </x:c>
      <x:c r="B1446" s="12" t="str">
        <x:v>000300.SH</x:v>
      </x:c>
      <x:c r="C1446" s="12" t="n">
        <x:v>4475.4815</x:v>
      </x:c>
      <x:c r="D1446" s="12" t="n">
        <x:v>4484.3615</x:v>
      </x:c>
      <x:c r="E1446" s="12" t="n">
        <x:v>4393.4165</x:v>
      </x:c>
      <x:c r="F1446" s="12" t="n">
        <x:v>4423.9698</x:v>
      </x:c>
      <x:c r="G1446" s="12" t="n">
        <x:v>4489.5383</x:v>
      </x:c>
      <x:c r="H1446" s="12" t="n">
        <x:v>-65.5685</x:v>
      </x:c>
      <x:c r="I1446" s="12" t="n">
        <x:v>-1.4605</x:v>
      </x:c>
      <x:c r="J1446" s="12" t="n">
        <x:v>-0.014712430163867453</x:v>
      </x:c>
      <x:c r="K1446" s="12" t="n">
        <x:v>149800235</x:v>
      </x:c>
      <x:c r="L1446" s="12" t="n">
        <x:v>344672707.728</x:v>
      </x:c>
      <x:c r="M1446" s="12" t="str">
        <x:v>TuShare index_daily</x:v>
      </x:c>
    </x:row>
    <x:row r="1447" ht="18" customHeight="1">
      <x:c r="A1447" s="13" t="n">
        <x:v>44749</x:v>
      </x:c>
      <x:c r="B1447" s="12" t="str">
        <x:v>000300.SH</x:v>
      </x:c>
      <x:c r="C1447" s="12" t="n">
        <x:v>4425.2814</x:v>
      </x:c>
      <x:c r="D1447" s="12" t="n">
        <x:v>4457.3431</x:v>
      </x:c>
      <x:c r="E1447" s="12" t="n">
        <x:v>4391.1938</x:v>
      </x:c>
      <x:c r="F1447" s="12" t="n">
        <x:v>4443.4736</x:v>
      </x:c>
      <x:c r="G1447" s="12" t="n">
        <x:v>4423.9698</x:v>
      </x:c>
      <x:c r="H1447" s="12" t="n">
        <x:v>19.5038</x:v>
      </x:c>
      <x:c r="I1447" s="12" t="n">
        <x:v>0.4409</x:v>
      </x:c>
      <x:c r="J1447" s="12" t="n">
        <x:v>0.004398975120938163</x:v>
      </x:c>
      <x:c r="K1447" s="12" t="n">
        <x:v>132660906</x:v>
      </x:c>
      <x:c r="L1447" s="12" t="n">
        <x:v>328133133.657</x:v>
      </x:c>
      <x:c r="M1447" s="12" t="str">
        <x:v>TuShare index_daily</x:v>
      </x:c>
    </x:row>
    <x:row r="1448" ht="18" customHeight="1">
      <x:c r="A1448" s="13" t="n">
        <x:v>44750</x:v>
      </x:c>
      <x:c r="B1448" s="12" t="str">
        <x:v>000300.SH</x:v>
      </x:c>
      <x:c r="C1448" s="12" t="n">
        <x:v>4468.0627</x:v>
      </x:c>
      <x:c r="D1448" s="12" t="n">
        <x:v>4479.4937</x:v>
      </x:c>
      <x:c r="E1448" s="12" t="n">
        <x:v>4426.8856</x:v>
      </x:c>
      <x:c r="F1448" s="12" t="n">
        <x:v>4428.781</x:v>
      </x:c>
      <x:c r="G1448" s="12" t="n">
        <x:v>4443.4736</x:v>
      </x:c>
      <x:c r="H1448" s="12" t="n">
        <x:v>-14.6926</x:v>
      </x:c>
      <x:c r="I1448" s="12" t="n">
        <x:v>-0.3307</x:v>
      </x:c>
      <x:c r="J1448" s="12" t="n">
        <x:v>-0.0033120360254251173</x:v>
      </x:c>
      <x:c r="K1448" s="12" t="n">
        <x:v>123195739</x:v>
      </x:c>
      <x:c r="L1448" s="12" t="n">
        <x:v>304031107.303</x:v>
      </x:c>
      <x:c r="M1448" s="12" t="str">
        <x:v>TuShare index_daily</x:v>
      </x:c>
    </x:row>
    <x:row r="1449" ht="18" customHeight="1">
      <x:c r="A1449" s="13" t="n">
        <x:v>44753</x:v>
      </x:c>
      <x:c r="B1449" s="12" t="str">
        <x:v>000300.SH</x:v>
      </x:c>
      <x:c r="C1449" s="12" t="n">
        <x:v>4406.1476</x:v>
      </x:c>
      <x:c r="D1449" s="12" t="n">
        <x:v>4406.1476</x:v>
      </x:c>
      <x:c r="E1449" s="12" t="n">
        <x:v>4330.5819</x:v>
      </x:c>
      <x:c r="F1449" s="12" t="n">
        <x:v>4354.6167</x:v>
      </x:c>
      <x:c r="G1449" s="12" t="n">
        <x:v>4428.781</x:v>
      </x:c>
      <x:c r="H1449" s="12" t="n">
        <x:v>-74.1643</x:v>
      </x:c>
      <x:c r="I1449" s="12" t="n">
        <x:v>-1.6746</x:v>
      </x:c>
      <x:c r="J1449" s="12" t="n">
        <x:v>-0.016887784237041334</x:v>
      </x:c>
      <x:c r="K1449" s="12" t="n">
        <x:v>134448578</x:v>
      </x:c>
      <x:c r="L1449" s="12" t="n">
        <x:v>299195233.43</x:v>
      </x:c>
      <x:c r="M1449" s="12" t="str">
        <x:v>TuShare index_daily</x:v>
      </x:c>
    </x:row>
    <x:row r="1450" ht="18" customHeight="1">
      <x:c r="A1450" s="13" t="n">
        <x:v>44754</x:v>
      </x:c>
      <x:c r="B1450" s="12" t="str">
        <x:v>000300.SH</x:v>
      </x:c>
      <x:c r="C1450" s="12" t="n">
        <x:v>4352.6456</x:v>
      </x:c>
      <x:c r="D1450" s="12" t="n">
        <x:v>4370.3411</x:v>
      </x:c>
      <x:c r="E1450" s="12" t="n">
        <x:v>4296.6215</x:v>
      </x:c>
      <x:c r="F1450" s="12" t="n">
        <x:v>4313.6184</x:v>
      </x:c>
      <x:c r="G1450" s="12" t="n">
        <x:v>4354.6167</x:v>
      </x:c>
      <x:c r="H1450" s="12" t="n">
        <x:v>-40.9983</x:v>
      </x:c>
      <x:c r="I1450" s="12" t="n">
        <x:v>-0.9415</x:v>
      </x:c>
      <x:c r="J1450" s="12" t="n">
        <x:v>-0.009459504788425098</x:v>
      </x:c>
      <x:c r="K1450" s="12" t="n">
        <x:v>130187838</x:v>
      </x:c>
      <x:c r="L1450" s="12" t="n">
        <x:v>291072311.85</x:v>
      </x:c>
      <x:c r="M1450" s="12" t="str">
        <x:v>TuShare index_daily</x:v>
      </x:c>
    </x:row>
    <x:row r="1451" ht="18" customHeight="1">
      <x:c r="A1451" s="13" t="n">
        <x:v>44755</x:v>
      </x:c>
      <x:c r="B1451" s="12" t="str">
        <x:v>000300.SH</x:v>
      </x:c>
      <x:c r="C1451" s="12" t="n">
        <x:v>4313.3589</x:v>
      </x:c>
      <x:c r="D1451" s="12" t="n">
        <x:v>4341.4663</x:v>
      </x:c>
      <x:c r="E1451" s="12" t="n">
        <x:v>4284.9419</x:v>
      </x:c>
      <x:c r="F1451" s="12" t="n">
        <x:v>4321.4617</x:v>
      </x:c>
      <x:c r="G1451" s="12" t="n">
        <x:v>4313.6184</x:v>
      </x:c>
      <x:c r="H1451" s="12" t="n">
        <x:v>7.8433</x:v>
      </x:c>
      <x:c r="I1451" s="12" t="n">
        <x:v>0.1818</x:v>
      </x:c>
      <x:c r="J1451" s="12" t="n">
        <x:v>0.0018166136425214962</x:v>
      </x:c>
      <x:c r="K1451" s="12" t="n">
        <x:v>131113179</x:v>
      </x:c>
      <x:c r="L1451" s="12" t="n">
        <x:v>286075545.407</x:v>
      </x:c>
      <x:c r="M1451" s="12" t="str">
        <x:v>TuShare index_daily</x:v>
      </x:c>
    </x:row>
    <x:row r="1452" ht="18" customHeight="1">
      <x:c r="A1452" s="13" t="n">
        <x:v>44756</x:v>
      </x:c>
      <x:c r="B1452" s="12" t="str">
        <x:v>000300.SH</x:v>
      </x:c>
      <x:c r="C1452" s="12" t="n">
        <x:v>4308.8229</x:v>
      </x:c>
      <x:c r="D1452" s="12" t="n">
        <x:v>4352.0978</x:v>
      </x:c>
      <x:c r="E1452" s="12" t="n">
        <x:v>4292.7595</x:v>
      </x:c>
      <x:c r="F1452" s="12" t="n">
        <x:v>4322.0742</x:v>
      </x:c>
      <x:c r="G1452" s="12" t="n">
        <x:v>4321.4617</x:v>
      </x:c>
      <x:c r="H1452" s="12" t="n">
        <x:v>0.6125</x:v>
      </x:c>
      <x:c r="I1452" s="12" t="n">
        <x:v>0.0142</x:v>
      </x:c>
      <x:c r="J1452" s="12" t="n">
        <x:v>0.0001417244072591004</x:v>
      </x:c>
      <x:c r="K1452" s="12" t="n">
        <x:v>145250926</x:v>
      </x:c>
      <x:c r="L1452" s="12" t="n">
        <x:v>301569861.037</x:v>
      </x:c>
      <x:c r="M1452" s="12" t="str">
        <x:v>TuShare index_daily</x:v>
      </x:c>
    </x:row>
    <x:row r="1453" ht="18" customHeight="1">
      <x:c r="A1453" s="13" t="n">
        <x:v>44757</x:v>
      </x:c>
      <x:c r="B1453" s="12" t="str">
        <x:v>000300.SH</x:v>
      </x:c>
      <x:c r="C1453" s="12" t="n">
        <x:v>4299.4714</x:v>
      </x:c>
      <x:c r="D1453" s="12" t="n">
        <x:v>4344.8572</x:v>
      </x:c>
      <x:c r="E1453" s="12" t="n">
        <x:v>4248.5273</x:v>
      </x:c>
      <x:c r="F1453" s="12" t="n">
        <x:v>4248.5273</x:v>
      </x:c>
      <x:c r="G1453" s="12" t="n">
        <x:v>4322.0742</x:v>
      </x:c>
      <x:c r="H1453" s="12" t="n">
        <x:v>-73.5469</x:v>
      </x:c>
      <x:c r="I1453" s="12" t="n">
        <x:v>-1.7017</x:v>
      </x:c>
      <x:c r="J1453" s="12" t="n">
        <x:v>-0.017163020676960457</x:v>
      </x:c>
      <x:c r="K1453" s="12" t="n">
        <x:v>150214453</x:v>
      </x:c>
      <x:c r="L1453" s="12" t="n">
        <x:v>316793192.67</x:v>
      </x:c>
      <x:c r="M1453" s="12" t="str">
        <x:v>TuShare index_daily</x:v>
      </x:c>
    </x:row>
    <x:row r="1454" ht="18" customHeight="1">
      <x:c r="A1454" s="13" t="n">
        <x:v>44760</x:v>
      </x:c>
      <x:c r="B1454" s="12" t="str">
        <x:v>000300.SH</x:v>
      </x:c>
      <x:c r="C1454" s="12" t="n">
        <x:v>4262.1539</x:v>
      </x:c>
      <x:c r="D1454" s="12" t="n">
        <x:v>4300.7777</x:v>
      </x:c>
      <x:c r="E1454" s="12" t="n">
        <x:v>4217.5064</x:v>
      </x:c>
      <x:c r="F1454" s="12" t="n">
        <x:v>4292.5858</x:v>
      </x:c>
      <x:c r="G1454" s="12" t="n">
        <x:v>4248.5273</x:v>
      </x:c>
      <x:c r="H1454" s="12" t="n">
        <x:v>44.0585</x:v>
      </x:c>
      <x:c r="I1454" s="12" t="n">
        <x:v>1.037</x:v>
      </x:c>
      <x:c r="J1454" s="12" t="n">
        <x:v>0.010316896703351534</x:v>
      </x:c>
      <x:c r="K1454" s="12" t="n">
        <x:v>122601192</x:v>
      </x:c>
      <x:c r="L1454" s="12" t="n">
        <x:v>281055128.64</x:v>
      </x:c>
      <x:c r="M1454" s="12" t="str">
        <x:v>TuShare index_daily</x:v>
      </x:c>
    </x:row>
    <x:row r="1455" ht="18" customHeight="1">
      <x:c r="A1455" s="13" t="n">
        <x:v>44761</x:v>
      </x:c>
      <x:c r="B1455" s="12" t="str">
        <x:v>000300.SH</x:v>
      </x:c>
      <x:c r="C1455" s="12" t="n">
        <x:v>4288.4441</x:v>
      </x:c>
      <x:c r="D1455" s="12" t="n">
        <x:v>4288.4441</x:v>
      </x:c>
      <x:c r="E1455" s="12" t="n">
        <x:v>4238.8238</x:v>
      </x:c>
      <x:c r="F1455" s="12" t="n">
        <x:v>4269.3401</x:v>
      </x:c>
      <x:c r="G1455" s="12" t="n">
        <x:v>4292.5858</x:v>
      </x:c>
      <x:c r="H1455" s="12" t="n">
        <x:v>-23.2457</x:v>
      </x:c>
      <x:c r="I1455" s="12" t="n">
        <x:v>-0.5415</x:v>
      </x:c>
      <x:c r="J1455" s="12" t="n">
        <x:v>-0.005430029969549267</x:v>
      </x:c>
      <x:c r="K1455" s="12" t="n">
        <x:v>103805730</x:v>
      </x:c>
      <x:c r="L1455" s="12" t="n">
        <x:v>231117731.807</x:v>
      </x:c>
      <x:c r="M1455" s="12" t="str">
        <x:v>TuShare index_daily</x:v>
      </x:c>
    </x:row>
    <x:row r="1456" ht="18" customHeight="1">
      <x:c r="A1456" s="13" t="n">
        <x:v>44762</x:v>
      </x:c>
      <x:c r="B1456" s="12" t="str">
        <x:v>000300.SH</x:v>
      </x:c>
      <x:c r="C1456" s="12" t="n">
        <x:v>4291.2808</x:v>
      </x:c>
      <x:c r="D1456" s="12" t="n">
        <x:v>4303.3668</x:v>
      </x:c>
      <x:c r="E1456" s="12" t="n">
        <x:v>4269.9717</x:v>
      </x:c>
      <x:c r="F1456" s="12" t="n">
        <x:v>4283.8027</x:v>
      </x:c>
      <x:c r="G1456" s="12" t="n">
        <x:v>4269.3401</x:v>
      </x:c>
      <x:c r="H1456" s="12" t="n">
        <x:v>14.4626</x:v>
      </x:c>
      <x:c r="I1456" s="12" t="n">
        <x:v>0.3388</x:v>
      </x:c>
      <x:c r="J1456" s="12" t="n">
        <x:v>0.0033818244642759895</x:v>
      </x:c>
      <x:c r="K1456" s="12" t="n">
        <x:v>94490144</x:v>
      </x:c>
      <x:c r="L1456" s="12" t="n">
        <x:v>212301881.408</x:v>
      </x:c>
      <x:c r="M1456" s="12" t="str">
        <x:v>TuShare index_daily</x:v>
      </x:c>
    </x:row>
    <x:row r="1457" ht="18" customHeight="1">
      <x:c r="A1457" s="13" t="n">
        <x:v>44763</x:v>
      </x:c>
      <x:c r="B1457" s="12" t="str">
        <x:v>000300.SH</x:v>
      </x:c>
      <x:c r="C1457" s="12" t="n">
        <x:v>4270.3624</x:v>
      </x:c>
      <x:c r="D1457" s="12" t="n">
        <x:v>4283.1471</x:v>
      </x:c>
      <x:c r="E1457" s="12" t="n">
        <x:v>4236.0499</x:v>
      </x:c>
      <x:c r="F1457" s="12" t="n">
        <x:v>4236.0578</x:v>
      </x:c>
      <x:c r="G1457" s="12" t="n">
        <x:v>4283.8027</x:v>
      </x:c>
      <x:c r="H1457" s="12" t="n">
        <x:v>-47.7449</x:v>
      </x:c>
      <x:c r="I1457" s="12" t="n">
        <x:v>-1.1145</x:v>
      </x:c>
      <x:c r="J1457" s="12" t="n">
        <x:v>-0.011208023842099372</x:v>
      </x:c>
      <x:c r="K1457" s="12" t="n">
        <x:v>117156344</x:v>
      </x:c>
      <x:c r="L1457" s="12" t="n">
        <x:v>239228146.812</x:v>
      </x:c>
      <x:c r="M1457" s="12" t="str">
        <x:v>TuShare index_daily</x:v>
      </x:c>
    </x:row>
    <x:row r="1458" ht="18" customHeight="1">
      <x:c r="A1458" s="13" t="n">
        <x:v>44764</x:v>
      </x:c>
      <x:c r="B1458" s="12" t="str">
        <x:v>000300.SH</x:v>
      </x:c>
      <x:c r="C1458" s="12" t="n">
        <x:v>4251.7867</x:v>
      </x:c>
      <x:c r="D1458" s="12" t="n">
        <x:v>4275.4696</x:v>
      </x:c>
      <x:c r="E1458" s="12" t="n">
        <x:v>4207.3135</x:v>
      </x:c>
      <x:c r="F1458" s="12" t="n">
        <x:v>4238.2341</x:v>
      </x:c>
      <x:c r="G1458" s="12" t="n">
        <x:v>4236.0578</x:v>
      </x:c>
      <x:c r="H1458" s="12" t="n">
        <x:v>2.1763</x:v>
      </x:c>
      <x:c r="I1458" s="12" t="n">
        <x:v>0.0514</x:v>
      </x:c>
      <x:c r="J1458" s="12" t="n">
        <x:v>0.0005136240463570039</x:v>
      </x:c>
      <x:c r="K1458" s="12" t="n">
        <x:v>103840624</x:v>
      </x:c>
      <x:c r="L1458" s="12" t="n">
        <x:v>224295333.457</x:v>
      </x:c>
      <x:c r="M1458" s="12" t="str">
        <x:v>TuShare index_daily</x:v>
      </x:c>
    </x:row>
    <x:row r="1459" ht="18" customHeight="1">
      <x:c r="A1459" s="13" t="n">
        <x:v>44767</x:v>
      </x:c>
      <x:c r="B1459" s="12" t="str">
        <x:v>000300.SH</x:v>
      </x:c>
      <x:c r="C1459" s="12" t="n">
        <x:v>4233.9277</x:v>
      </x:c>
      <x:c r="D1459" s="12" t="n">
        <x:v>4234.8448</x:v>
      </x:c>
      <x:c r="E1459" s="12" t="n">
        <x:v>4201.919</x:v>
      </x:c>
      <x:c r="F1459" s="12" t="n">
        <x:v>4212.6441</x:v>
      </x:c>
      <x:c r="G1459" s="12" t="n">
        <x:v>4238.2341</x:v>
      </x:c>
      <x:c r="H1459" s="12" t="n">
        <x:v>-25.59</x:v>
      </x:c>
      <x:c r="I1459" s="12" t="n">
        <x:v>-0.6038</x:v>
      </x:c>
      <x:c r="J1459" s="12" t="n">
        <x:v>-0.006056193831946438</x:v>
      </x:c>
      <x:c r="K1459" s="12" t="n">
        <x:v>83636664</x:v>
      </x:c>
      <x:c r="L1459" s="12" t="n">
        <x:v>188136426.673</x:v>
      </x:c>
      <x:c r="M1459" s="12" t="str">
        <x:v>TuShare index_daily</x:v>
      </x:c>
    </x:row>
    <x:row r="1460" ht="18" customHeight="1">
      <x:c r="A1460" s="13" t="n">
        <x:v>44768</x:v>
      </x:c>
      <x:c r="B1460" s="12" t="str">
        <x:v>000300.SH</x:v>
      </x:c>
      <x:c r="C1460" s="12" t="n">
        <x:v>4220.0911</x:v>
      </x:c>
      <x:c r="D1460" s="12" t="n">
        <x:v>4259.9854</x:v>
      </x:c>
      <x:c r="E1460" s="12" t="n">
        <x:v>4214.5343</x:v>
      </x:c>
      <x:c r="F1460" s="12" t="n">
        <x:v>4245.9758</x:v>
      </x:c>
      <x:c r="G1460" s="12" t="n">
        <x:v>4212.6441</x:v>
      </x:c>
      <x:c r="H1460" s="12" t="n">
        <x:v>33.3317</x:v>
      </x:c>
      <x:c r="I1460" s="12" t="n">
        <x:v>0.7912</x:v>
      </x:c>
      <x:c r="J1460" s="12" t="n">
        <x:v>0.007881160974413862</x:v>
      </x:c>
      <x:c r="K1460" s="12" t="n">
        <x:v>85823274</x:v>
      </x:c>
      <x:c r="L1460" s="12" t="n">
        <x:v>197601406.374</x:v>
      </x:c>
      <x:c r="M1460" s="12" t="str">
        <x:v>TuShare index_daily</x:v>
      </x:c>
    </x:row>
    <x:row r="1461" ht="18" customHeight="1">
      <x:c r="A1461" s="13" t="n">
        <x:v>44769</x:v>
      </x:c>
      <x:c r="B1461" s="12" t="str">
        <x:v>000300.SH</x:v>
      </x:c>
      <x:c r="C1461" s="12" t="n">
        <x:v>4236.154</x:v>
      </x:c>
      <x:c r="D1461" s="12" t="n">
        <x:v>4242.0951</x:v>
      </x:c>
      <x:c r="E1461" s="12" t="n">
        <x:v>4217.2809</x:v>
      </x:c>
      <x:c r="F1461" s="12" t="n">
        <x:v>4225.0357</x:v>
      </x:c>
      <x:c r="G1461" s="12" t="n">
        <x:v>4245.9758</x:v>
      </x:c>
      <x:c r="H1461" s="12" t="n">
        <x:v>-20.9401</x:v>
      </x:c>
      <x:c r="I1461" s="12" t="n">
        <x:v>-0.4932</x:v>
      </x:c>
      <x:c r="J1461" s="12" t="n">
        <x:v>-0.004943953305376326</x:v>
      </x:c>
      <x:c r="K1461" s="12" t="n">
        <x:v>78904940</x:v>
      </x:c>
      <x:c r="L1461" s="12" t="n">
        <x:v>194245303.807</x:v>
      </x:c>
      <x:c r="M1461" s="12" t="str">
        <x:v>TuShare index_daily</x:v>
      </x:c>
    </x:row>
    <x:row r="1462" ht="18" customHeight="1">
      <x:c r="A1462" s="13" t="n">
        <x:v>44770</x:v>
      </x:c>
      <x:c r="B1462" s="12" t="str">
        <x:v>000300.SH</x:v>
      </x:c>
      <x:c r="C1462" s="12" t="n">
        <x:v>4242.2743</x:v>
      </x:c>
      <x:c r="D1462" s="12" t="n">
        <x:v>4267.9181</x:v>
      </x:c>
      <x:c r="E1462" s="12" t="n">
        <x:v>4223.029</x:v>
      </x:c>
      <x:c r="F1462" s="12" t="n">
        <x:v>4225.6733</x:v>
      </x:c>
      <x:c r="G1462" s="12" t="n">
        <x:v>4225.0357</x:v>
      </x:c>
      <x:c r="H1462" s="12" t="n">
        <x:v>0.6376</x:v>
      </x:c>
      <x:c r="I1462" s="12" t="n">
        <x:v>0.0151</x:v>
      </x:c>
      <x:c r="J1462" s="12" t="n">
        <x:v>0.000150898581695364</x:v>
      </x:c>
      <x:c r="K1462" s="12" t="n">
        <x:v>107531930</x:v>
      </x:c>
      <x:c r="L1462" s="12" t="n">
        <x:v>243871486.472</x:v>
      </x:c>
      <x:c r="M1462" s="12" t="str">
        <x:v>TuShare index_daily</x:v>
      </x:c>
    </x:row>
    <x:row r="1463" ht="18" customHeight="1">
      <x:c r="A1463" s="13" t="n">
        <x:v>44771</x:v>
      </x:c>
      <x:c r="B1463" s="12" t="str">
        <x:v>000300.SH</x:v>
      </x:c>
      <x:c r="C1463" s="12" t="n">
        <x:v>4226.4245</x:v>
      </x:c>
      <x:c r="D1463" s="12" t="n">
        <x:v>4243.5143</x:v>
      </x:c>
      <x:c r="E1463" s="12" t="n">
        <x:v>4160.8735</x:v>
      </x:c>
      <x:c r="F1463" s="12" t="n">
        <x:v>4170.1019</x:v>
      </x:c>
      <x:c r="G1463" s="12" t="n">
        <x:v>4225.6733</x:v>
      </x:c>
      <x:c r="H1463" s="12" t="n">
        <x:v>-55.5714</x:v>
      </x:c>
      <x:c r="I1463" s="12" t="n">
        <x:v>-1.3151</x:v>
      </x:c>
      <x:c r="J1463" s="12" t="n">
        <x:v>-0.013238137096291935</x:v>
      </x:c>
      <x:c r="K1463" s="12" t="n">
        <x:v>114179286</x:v>
      </x:c>
      <x:c r="L1463" s="12" t="n">
        <x:v>253198574.648</x:v>
      </x:c>
      <x:c r="M1463" s="12" t="str">
        <x:v>TuShare index_daily</x:v>
      </x:c>
    </x:row>
    <x:row r="1464" ht="18" customHeight="1">
      <x:c r="A1464" s="13" t="n">
        <x:v>44774</x:v>
      </x:c>
      <x:c r="B1464" s="12" t="str">
        <x:v>000300.SH</x:v>
      </x:c>
      <x:c r="C1464" s="12" t="n">
        <x:v>4160.6478</x:v>
      </x:c>
      <x:c r="D1464" s="12" t="n">
        <x:v>4196.5743</x:v>
      </x:c>
      <x:c r="E1464" s="12" t="n">
        <x:v>4129.4528</x:v>
      </x:c>
      <x:c r="F1464" s="12" t="n">
        <x:v>4188.6784</x:v>
      </x:c>
      <x:c r="G1464" s="12" t="n">
        <x:v>4170.1019</x:v>
      </x:c>
      <x:c r="H1464" s="12" t="n">
        <x:v>18.5765</x:v>
      </x:c>
      <x:c r="I1464" s="12" t="n">
        <x:v>0.4455</x:v>
      </x:c>
      <x:c r="J1464" s="12" t="n">
        <x:v>0.004444794555351318</x:v>
      </x:c>
      <x:c r="K1464" s="12" t="n">
        <x:v>107749029</x:v>
      </x:c>
      <x:c r="L1464" s="12" t="n">
        <x:v>251125308.598</x:v>
      </x:c>
      <x:c r="M1464" s="12" t="str">
        <x:v>TuShare index_daily</x:v>
      </x:c>
    </x:row>
    <x:row r="1465" ht="18" customHeight="1">
      <x:c r="A1465" s="13" t="n">
        <x:v>44775</x:v>
      </x:c>
      <x:c r="B1465" s="12" t="str">
        <x:v>000300.SH</x:v>
      </x:c>
      <x:c r="C1465" s="12" t="n">
        <x:v>4144.3765</x:v>
      </x:c>
      <x:c r="D1465" s="12" t="n">
        <x:v>4144.3765</x:v>
      </x:c>
      <x:c r="E1465" s="12" t="n">
        <x:v>4071.431</x:v>
      </x:c>
      <x:c r="F1465" s="12" t="n">
        <x:v>4107.024</x:v>
      </x:c>
      <x:c r="G1465" s="12" t="n">
        <x:v>4188.6784</x:v>
      </x:c>
      <x:c r="H1465" s="12" t="n">
        <x:v>-81.6544</x:v>
      </x:c>
      <x:c r="I1465" s="12" t="n">
        <x:v>-1.9494</x:v>
      </x:c>
      <x:c r="J1465" s="12" t="n">
        <x:v>-0.0196865878794687</x:v>
      </x:c>
      <x:c r="K1465" s="12" t="n">
        <x:v>142224425</x:v>
      </x:c>
      <x:c r="L1465" s="12" t="n">
        <x:v>281013555.28</x:v>
      </x:c>
      <x:c r="M1465" s="12" t="str">
        <x:v>TuShare index_daily</x:v>
      </x:c>
    </x:row>
    <x:row r="1466" ht="18" customHeight="1">
      <x:c r="A1466" s="13" t="n">
        <x:v>44776</x:v>
      </x:c>
      <x:c r="B1466" s="12" t="str">
        <x:v>000300.SH</x:v>
      </x:c>
      <x:c r="C1466" s="12" t="n">
        <x:v>4114.8251</x:v>
      </x:c>
      <x:c r="D1466" s="12" t="n">
        <x:v>4150.9804</x:v>
      </x:c>
      <x:c r="E1466" s="12" t="n">
        <x:v>4058.1792</x:v>
      </x:c>
      <x:c r="F1466" s="12" t="n">
        <x:v>4066.9754</x:v>
      </x:c>
      <x:c r="G1466" s="12" t="n">
        <x:v>4107.024</x:v>
      </x:c>
      <x:c r="H1466" s="12" t="n">
        <x:v>-40.0486</x:v>
      </x:c>
      <x:c r="I1466" s="12" t="n">
        <x:v>-0.9751</x:v>
      </x:c>
      <x:c r="J1466" s="12" t="n">
        <x:v>-0.009799100416606756</x:v>
      </x:c>
      <x:c r="K1466" s="12" t="n">
        <x:v>116666124</x:v>
      </x:c>
      <x:c r="L1466" s="12" t="n">
        <x:v>268695834.765</x:v>
      </x:c>
      <x:c r="M1466" s="12" t="str">
        <x:v>TuShare index_daily</x:v>
      </x:c>
    </x:row>
    <x:row r="1467" ht="18" customHeight="1">
      <x:c r="A1467" s="13" t="n">
        <x:v>44777</x:v>
      </x:c>
      <x:c r="B1467" s="12" t="str">
        <x:v>000300.SH</x:v>
      </x:c>
      <x:c r="C1467" s="12" t="n">
        <x:v>4089.4419</x:v>
      </x:c>
      <x:c r="D1467" s="12" t="n">
        <x:v>4108.1591</x:v>
      </x:c>
      <x:c r="E1467" s="12" t="n">
        <x:v>4064.6594</x:v>
      </x:c>
      <x:c r="F1467" s="12" t="n">
        <x:v>4101.5367</x:v>
      </x:c>
      <x:c r="G1467" s="12" t="n">
        <x:v>4066.9754</x:v>
      </x:c>
      <x:c r="H1467" s="12" t="n">
        <x:v>34.5613</x:v>
      </x:c>
      <x:c r="I1467" s="12" t="n">
        <x:v>0.8498</x:v>
      </x:c>
      <x:c r="J1467" s="12" t="n">
        <x:v>0.008462130144248198</x:v>
      </x:c>
      <x:c r="K1467" s="12" t="n">
        <x:v>89532644</x:v>
      </x:c>
      <x:c r="L1467" s="12" t="n">
        <x:v>216898674.902</x:v>
      </x:c>
      <x:c r="M1467" s="12" t="str">
        <x:v>TuShare index_daily</x:v>
      </x:c>
    </x:row>
    <x:row r="1468" ht="18" customHeight="1">
      <x:c r="A1468" s="13" t="n">
        <x:v>44778</x:v>
      </x:c>
      <x:c r="B1468" s="12" t="str">
        <x:v>000300.SH</x:v>
      </x:c>
      <x:c r="C1468" s="12" t="n">
        <x:v>4109.6287</x:v>
      </x:c>
      <x:c r="D1468" s="12" t="n">
        <x:v>4159.485</x:v>
      </x:c>
      <x:c r="E1468" s="12" t="n">
        <x:v>4097.8625</x:v>
      </x:c>
      <x:c r="F1468" s="12" t="n">
        <x:v>4156.9111</x:v>
      </x:c>
      <x:c r="G1468" s="12" t="n">
        <x:v>4101.5367</x:v>
      </x:c>
      <x:c r="H1468" s="12" t="n">
        <x:v>55.3744</x:v>
      </x:c>
      <x:c r="I1468" s="12" t="n">
        <x:v>1.3501</x:v>
      </x:c>
      <x:c r="J1468" s="12" t="n">
        <x:v>0.013410566060690658</x:v>
      </x:c>
      <x:c r="K1468" s="12" t="n">
        <x:v>102571004</x:v>
      </x:c>
      <x:c r="L1468" s="12" t="n">
        <x:v>247325902.015</x:v>
      </x:c>
      <x:c r="M1468" s="12" t="str">
        <x:v>TuShare index_daily</x:v>
      </x:c>
    </x:row>
    <x:row r="1469" ht="18" customHeight="1">
      <x:c r="A1469" s="13" t="n">
        <x:v>44781</x:v>
      </x:c>
      <x:c r="B1469" s="12" t="str">
        <x:v>000300.SH</x:v>
      </x:c>
      <x:c r="C1469" s="12" t="n">
        <x:v>4142.1111</x:v>
      </x:c>
      <x:c r="D1469" s="12" t="n">
        <x:v>4155.7301</x:v>
      </x:c>
      <x:c r="E1469" s="12" t="n">
        <x:v>4135.0809</x:v>
      </x:c>
      <x:c r="F1469" s="12" t="n">
        <x:v>4148.0746</x:v>
      </x:c>
      <x:c r="G1469" s="12" t="n">
        <x:v>4156.9111</x:v>
      </x:c>
      <x:c r="H1469" s="12" t="n">
        <x:v>-8.8365</x:v>
      </x:c>
      <x:c r="I1469" s="12" t="n">
        <x:v>-0.2126</x:v>
      </x:c>
      <x:c r="J1469" s="12" t="n">
        <x:v>-0.0021279996507610082</x:v>
      </x:c>
      <x:c r="K1469" s="12" t="n">
        <x:v>90208138</x:v>
      </x:c>
      <x:c r="L1469" s="12" t="n">
        <x:v>224080812.055</x:v>
      </x:c>
      <x:c r="M1469" s="12" t="str">
        <x:v>TuShare index_daily</x:v>
      </x:c>
    </x:row>
    <x:row r="1470" ht="18" customHeight="1">
      <x:c r="A1470" s="13" t="n">
        <x:v>44782</x:v>
      </x:c>
      <x:c r="B1470" s="12" t="str">
        <x:v>000300.SH</x:v>
      </x:c>
      <x:c r="C1470" s="12" t="n">
        <x:v>4143.666</x:v>
      </x:c>
      <x:c r="D1470" s="12" t="n">
        <x:v>4161.8086</x:v>
      </x:c>
      <x:c r="E1470" s="12" t="n">
        <x:v>4131.4252</x:v>
      </x:c>
      <x:c r="F1470" s="12" t="n">
        <x:v>4156.2907</x:v>
      </x:c>
      <x:c r="G1470" s="12" t="n">
        <x:v>4148.0746</x:v>
      </x:c>
      <x:c r="H1470" s="12" t="n">
        <x:v>8.2161</x:v>
      </x:c>
      <x:c r="I1470" s="12" t="n">
        <x:v>0.1981</x:v>
      </x:c>
      <x:c r="J1470" s="12" t="n">
        <x:v>0.0019787430788460333</x:v>
      </x:c>
      <x:c r="K1470" s="12" t="n">
        <x:v>84136959</x:v>
      </x:c>
      <x:c r="L1470" s="12" t="n">
        <x:v>214223692.26</x:v>
      </x:c>
      <x:c r="M1470" s="12" t="str">
        <x:v>TuShare index_daily</x:v>
      </x:c>
    </x:row>
    <x:row r="1471" ht="18" customHeight="1">
      <x:c r="A1471" s="13" t="n">
        <x:v>44783</x:v>
      </x:c>
      <x:c r="B1471" s="12" t="str">
        <x:v>000300.SH</x:v>
      </x:c>
      <x:c r="C1471" s="12" t="n">
        <x:v>4149.2071</x:v>
      </x:c>
      <x:c r="D1471" s="12" t="n">
        <x:v>4160.7871</x:v>
      </x:c>
      <x:c r="E1471" s="12" t="n">
        <x:v>4092.5455</x:v>
      </x:c>
      <x:c r="F1471" s="12" t="n">
        <x:v>4109.7373</x:v>
      </x:c>
      <x:c r="G1471" s="12" t="n">
        <x:v>4156.2907</x:v>
      </x:c>
      <x:c r="H1471" s="12" t="n">
        <x:v>-46.5534</x:v>
      </x:c>
      <x:c r="I1471" s="12" t="n">
        <x:v>-1.1201</x:v>
      </x:c>
      <x:c r="J1471" s="12" t="n">
        <x:v>-0.011263908664876135</x:v>
      </x:c>
      <x:c r="K1471" s="12" t="n">
        <x:v>85565839</x:v>
      </x:c>
      <x:c r="L1471" s="12" t="n">
        <x:v>217447368.47</x:v>
      </x:c>
      <x:c r="M1471" s="12" t="str">
        <x:v>TuShare index_daily</x:v>
      </x:c>
    </x:row>
    <x:row r="1472" ht="18" customHeight="1">
      <x:c r="A1472" s="13" t="n">
        <x:v>44784</x:v>
      </x:c>
      <x:c r="B1472" s="12" t="str">
        <x:v>000300.SH</x:v>
      </x:c>
      <x:c r="C1472" s="12" t="n">
        <x:v>4130.741</x:v>
      </x:c>
      <x:c r="D1472" s="12" t="n">
        <x:v>4193.8115</x:v>
      </x:c>
      <x:c r="E1472" s="12" t="n">
        <x:v>4116.0558</x:v>
      </x:c>
      <x:c r="F1472" s="12" t="n">
        <x:v>4193.5428</x:v>
      </x:c>
      <x:c r="G1472" s="12" t="n">
        <x:v>4109.7373</x:v>
      </x:c>
      <x:c r="H1472" s="12" t="n">
        <x:v>83.8055</x:v>
      </x:c>
      <x:c r="I1472" s="12" t="n">
        <x:v>2.0392</x:v>
      </x:c>
      <x:c r="J1472" s="12" t="n">
        <x:v>0.02018680447144849</x:v>
      </x:c>
      <x:c r="K1472" s="12" t="n">
        <x:v>121385051</x:v>
      </x:c>
      <x:c r="L1472" s="12" t="n">
        <x:v>269630998.407</x:v>
      </x:c>
      <x:c r="M1472" s="12" t="str">
        <x:v>TuShare index_daily</x:v>
      </x:c>
    </x:row>
    <x:row r="1473" ht="18" customHeight="1">
      <x:c r="A1473" s="13" t="n">
        <x:v>44785</x:v>
      </x:c>
      <x:c r="B1473" s="12" t="str">
        <x:v>000300.SH</x:v>
      </x:c>
      <x:c r="C1473" s="12" t="n">
        <x:v>4185.4203</x:v>
      </x:c>
      <x:c r="D1473" s="12" t="n">
        <x:v>4202.4663</x:v>
      </x:c>
      <x:c r="E1473" s="12" t="n">
        <x:v>4175.0501</x:v>
      </x:c>
      <x:c r="F1473" s="12" t="n">
        <x:v>4191.152</x:v>
      </x:c>
      <x:c r="G1473" s="12" t="n">
        <x:v>4193.5428</x:v>
      </x:c>
      <x:c r="H1473" s="12" t="n">
        <x:v>-2.3908</x:v>
      </x:c>
      <x:c r="I1473" s="12" t="n">
        <x:v>-0.057</x:v>
      </x:c>
      <x:c r="J1473" s="12" t="n">
        <x:v>-0.000570277182848478</x:v>
      </x:c>
      <x:c r="K1473" s="12" t="n">
        <x:v>106808295</x:v>
      </x:c>
      <x:c r="L1473" s="12" t="n">
        <x:v>219208055.255</x:v>
      </x:c>
      <x:c r="M1473" s="12" t="str">
        <x:v>TuShare index_daily</x:v>
      </x:c>
    </x:row>
    <x:row r="1474" ht="18" customHeight="1">
      <x:c r="A1474" s="13" t="n">
        <x:v>44788</x:v>
      </x:c>
      <x:c r="B1474" s="12" t="str">
        <x:v>000300.SH</x:v>
      </x:c>
      <x:c r="C1474" s="12" t="n">
        <x:v>4180.0006</x:v>
      </x:c>
      <x:c r="D1474" s="12" t="n">
        <x:v>4219.9183</x:v>
      </x:c>
      <x:c r="E1474" s="12" t="n">
        <x:v>4174.3</x:v>
      </x:c>
      <x:c r="F1474" s="12" t="n">
        <x:v>4185.6794</x:v>
      </x:c>
      <x:c r="G1474" s="12" t="n">
        <x:v>4191.152</x:v>
      </x:c>
      <x:c r="H1474" s="12" t="n">
        <x:v>-5.4726</x:v>
      </x:c>
      <x:c r="I1474" s="12" t="n">
        <x:v>-0.1306</x:v>
      </x:c>
      <x:c r="J1474" s="12" t="n">
        <x:v>-0.0013066040170212304</x:v>
      </x:c>
      <x:c r="K1474" s="12" t="n">
        <x:v>105898495</x:v>
      </x:c>
      <x:c r="L1474" s="12" t="n">
        <x:v>245539800.985</x:v>
      </x:c>
      <x:c r="M1474" s="12" t="str">
        <x:v>TuShare index_daily</x:v>
      </x:c>
    </x:row>
    <x:row r="1475" ht="18" customHeight="1">
      <x:c r="A1475" s="13" t="n">
        <x:v>44789</x:v>
      </x:c>
      <x:c r="B1475" s="12" t="str">
        <x:v>000300.SH</x:v>
      </x:c>
      <x:c r="C1475" s="12" t="n">
        <x:v>4190.5269</x:v>
      </x:c>
      <x:c r="D1475" s="12" t="n">
        <x:v>4208.8006</x:v>
      </x:c>
      <x:c r="E1475" s="12" t="n">
        <x:v>4170.5197</x:v>
      </x:c>
      <x:c r="F1475" s="12" t="n">
        <x:v>4177.837</x:v>
      </x:c>
      <x:c r="G1475" s="12" t="n">
        <x:v>4185.6794</x:v>
      </x:c>
      <x:c r="H1475" s="12" t="n">
        <x:v>-7.8424</x:v>
      </x:c>
      <x:c r="I1475" s="12" t="n">
        <x:v>-0.1874</x:v>
      </x:c>
      <x:c r="J1475" s="12" t="n">
        <x:v>-0.0018753839709140833</x:v>
      </x:c>
      <x:c r="K1475" s="12" t="n">
        <x:v>93906139</x:v>
      </x:c>
      <x:c r="L1475" s="12" t="n">
        <x:v>233818584.732</x:v>
      </x:c>
      <x:c r="M1475" s="12" t="str">
        <x:v>TuShare index_daily</x:v>
      </x:c>
    </x:row>
    <x:row r="1476" ht="18" customHeight="1">
      <x:c r="A1476" s="13" t="n">
        <x:v>44790</x:v>
      </x:c>
      <x:c r="B1476" s="12" t="str">
        <x:v>000300.SH</x:v>
      </x:c>
      <x:c r="C1476" s="12" t="n">
        <x:v>4182.5668</x:v>
      </x:c>
      <x:c r="D1476" s="12" t="n">
        <x:v>4222.7866</x:v>
      </x:c>
      <x:c r="E1476" s="12" t="n">
        <x:v>4155.1734</x:v>
      </x:c>
      <x:c r="F1476" s="12" t="n">
        <x:v>4216.9586</x:v>
      </x:c>
      <x:c r="G1476" s="12" t="n">
        <x:v>4177.837</x:v>
      </x:c>
      <x:c r="H1476" s="12" t="n">
        <x:v>39.1216</x:v>
      </x:c>
      <x:c r="I1476" s="12" t="n">
        <x:v>0.9364</x:v>
      </x:c>
      <x:c r="J1476" s="12" t="n">
        <x:v>0.009320508819420452</x:v>
      </x:c>
      <x:c r="K1476" s="12" t="n">
        <x:v>112864659</x:v>
      </x:c>
      <x:c r="L1476" s="12" t="n">
        <x:v>252044325.052</x:v>
      </x:c>
      <x:c r="M1476" s="12" t="str">
        <x:v>TuShare index_daily</x:v>
      </x:c>
    </x:row>
    <x:row r="1477" ht="18" customHeight="1">
      <x:c r="A1477" s="13" t="n">
        <x:v>44791</x:v>
      </x:c>
      <x:c r="B1477" s="12" t="str">
        <x:v>000300.SH</x:v>
      </x:c>
      <x:c r="C1477" s="12" t="n">
        <x:v>4205.7851</x:v>
      </x:c>
      <x:c r="D1477" s="12" t="n">
        <x:v>4211.9141</x:v>
      </x:c>
      <x:c r="E1477" s="12" t="n">
        <x:v>4173.541</x:v>
      </x:c>
      <x:c r="F1477" s="12" t="n">
        <x:v>4180.0996</x:v>
      </x:c>
      <x:c r="G1477" s="12" t="n">
        <x:v>4216.9586</x:v>
      </x:c>
      <x:c r="H1477" s="12" t="n">
        <x:v>-36.859</x:v>
      </x:c>
      <x:c r="I1477" s="12" t="n">
        <x:v>-0.8741</x:v>
      </x:c>
      <x:c r="J1477" s="12" t="n">
        <x:v>-0.008779083306508366</x:v>
      </x:c>
      <x:c r="K1477" s="12" t="n">
        <x:v>101052650</x:v>
      </x:c>
      <x:c r="L1477" s="12" t="n">
        <x:v>233115491.39</x:v>
      </x:c>
      <x:c r="M1477" s="12" t="str">
        <x:v>TuShare index_daily</x:v>
      </x:c>
    </x:row>
    <x:row r="1478" ht="18" customHeight="1">
      <x:c r="A1478" s="13" t="n">
        <x:v>44792</x:v>
      </x:c>
      <x:c r="B1478" s="12" t="str">
        <x:v>000300.SH</x:v>
      </x:c>
      <x:c r="C1478" s="12" t="n">
        <x:v>4174.5458</x:v>
      </x:c>
      <x:c r="D1478" s="12" t="n">
        <x:v>4185.6579</x:v>
      </x:c>
      <x:c r="E1478" s="12" t="n">
        <x:v>4151.0738</x:v>
      </x:c>
      <x:c r="F1478" s="12" t="n">
        <x:v>4151.0738</x:v>
      </x:c>
      <x:c r="G1478" s="12" t="n">
        <x:v>4180.0996</x:v>
      </x:c>
      <x:c r="H1478" s="12" t="n">
        <x:v>-29.0258</x:v>
      </x:c>
      <x:c r="I1478" s="12" t="n">
        <x:v>-0.6944</x:v>
      </x:c>
      <x:c r="J1478" s="12" t="n">
        <x:v>-0.006968026242654508</x:v>
      </x:c>
      <x:c r="K1478" s="12" t="n">
        <x:v>117402978</x:v>
      </x:c>
      <x:c r="L1478" s="12" t="n">
        <x:v>262494128.152</x:v>
      </x:c>
      <x:c r="M1478" s="12" t="str">
        <x:v>TuShare index_daily</x:v>
      </x:c>
    </x:row>
    <x:row r="1479" ht="18" customHeight="1">
      <x:c r="A1479" s="13" t="n">
        <x:v>44795</x:v>
      </x:c>
      <x:c r="B1479" s="12" t="str">
        <x:v>000300.SH</x:v>
      </x:c>
      <x:c r="C1479" s="12" t="n">
        <x:v>4135.1623</x:v>
      </x:c>
      <x:c r="D1479" s="12" t="n">
        <x:v>4183.6498</x:v>
      </x:c>
      <x:c r="E1479" s="12" t="n">
        <x:v>4134.2008</x:v>
      </x:c>
      <x:c r="F1479" s="12" t="n">
        <x:v>4181.3965</x:v>
      </x:c>
      <x:c r="G1479" s="12" t="n">
        <x:v>4151.0738</x:v>
      </x:c>
      <x:c r="H1479" s="12" t="n">
        <x:v>30.3227</x:v>
      </x:c>
      <x:c r="I1479" s="12" t="n">
        <x:v>0.7305</x:v>
      </x:c>
      <x:c r="J1479" s="12" t="n">
        <x:v>0.007278233888484915</x:v>
      </x:c>
      <x:c r="K1479" s="12" t="n">
        <x:v>112442720</x:v>
      </x:c>
      <x:c r="L1479" s="12" t="n">
        <x:v>259747163.698</x:v>
      </x:c>
      <x:c r="M1479" s="12" t="str">
        <x:v>TuShare index_daily</x:v>
      </x:c>
    </x:row>
    <x:row r="1480" ht="18" customHeight="1">
      <x:c r="A1480" s="13" t="n">
        <x:v>44796</x:v>
      </x:c>
      <x:c r="B1480" s="12" t="str">
        <x:v>000300.SH</x:v>
      </x:c>
      <x:c r="C1480" s="12" t="n">
        <x:v>4175.5314</x:v>
      </x:c>
      <x:c r="D1480" s="12" t="n">
        <x:v>4187.3875</x:v>
      </x:c>
      <x:c r="E1480" s="12" t="n">
        <x:v>4147.4127</x:v>
      </x:c>
      <x:c r="F1480" s="12" t="n">
        <x:v>4161.0823</x:v>
      </x:c>
      <x:c r="G1480" s="12" t="n">
        <x:v>4181.3965</x:v>
      </x:c>
      <x:c r="H1480" s="12" t="n">
        <x:v>-20.3142</x:v>
      </x:c>
      <x:c r="I1480" s="12" t="n">
        <x:v>-0.4858</x:v>
      </x:c>
      <x:c r="J1480" s="12" t="n">
        <x:v>-0.00487007294530757</x:v>
      </x:c>
      <x:c r="K1480" s="12" t="n">
        <x:v>103153512</x:v>
      </x:c>
      <x:c r="L1480" s="12" t="n">
        <x:v>239101330.833</x:v>
      </x:c>
      <x:c r="M1480" s="12" t="str">
        <x:v>TuShare index_daily</x:v>
      </x:c>
    </x:row>
    <x:row r="1481" ht="18" customHeight="1">
      <x:c r="A1481" s="13" t="n">
        <x:v>44797</x:v>
      </x:c>
      <x:c r="B1481" s="12" t="str">
        <x:v>000300.SH</x:v>
      </x:c>
      <x:c r="C1481" s="12" t="n">
        <x:v>4168.5764</x:v>
      </x:c>
      <x:c r="D1481" s="12" t="n">
        <x:v>4174.1565</x:v>
      </x:c>
      <x:c r="E1481" s="12" t="n">
        <x:v>4079.0934</x:v>
      </x:c>
      <x:c r="F1481" s="12" t="n">
        <x:v>4082.4195</x:v>
      </x:c>
      <x:c r="G1481" s="12" t="n">
        <x:v>4161.0823</x:v>
      </x:c>
      <x:c r="H1481" s="12" t="n">
        <x:v>-78.6628</x:v>
      </x:c>
      <x:c r="I1481" s="12" t="n">
        <x:v>-1.8904</x:v>
      </x:c>
      <x:c r="J1481" s="12" t="n">
        <x:v>-0.01908538134629194</x:v>
      </x:c>
      <x:c r="K1481" s="12" t="n">
        <x:v>119069679</x:v>
      </x:c>
      <x:c r="L1481" s="12" t="n">
        <x:v>262844309.316</x:v>
      </x:c>
      <x:c r="M1481" s="12" t="str">
        <x:v>TuShare index_daily</x:v>
      </x:c>
    </x:row>
    <x:row r="1482" ht="18" customHeight="1">
      <x:c r="A1482" s="13" t="n">
        <x:v>44798</x:v>
      </x:c>
      <x:c r="B1482" s="12" t="str">
        <x:v>000300.SH</x:v>
      </x:c>
      <x:c r="C1482" s="12" t="n">
        <x:v>4093.2949</x:v>
      </x:c>
      <x:c r="D1482" s="12" t="n">
        <x:v>4119.6196</x:v>
      </x:c>
      <x:c r="E1482" s="12" t="n">
        <x:v>4058.7454</x:v>
      </x:c>
      <x:c r="F1482" s="12" t="n">
        <x:v>4116.2396</x:v>
      </x:c>
      <x:c r="G1482" s="12" t="n">
        <x:v>4082.4195</x:v>
      </x:c>
      <x:c r="H1482" s="12" t="n">
        <x:v>33.8201</x:v>
      </x:c>
      <x:c r="I1482" s="12" t="n">
        <x:v>0.8284</x:v>
      </x:c>
      <x:c r="J1482" s="12" t="n">
        <x:v>0.00825020077551431</x:v>
      </x:c>
      <x:c r="K1482" s="12" t="n">
        <x:v>111320745</x:v>
      </x:c>
      <x:c r="L1482" s="12" t="n">
        <x:v>242149581.478</x:v>
      </x:c>
      <x:c r="M1482" s="12" t="str">
        <x:v>TuShare index_daily</x:v>
      </x:c>
    </x:row>
    <x:row r="1483" ht="18" customHeight="1">
      <x:c r="A1483" s="13" t="n">
        <x:v>44799</x:v>
      </x:c>
      <x:c r="B1483" s="12" t="str">
        <x:v>000300.SH</x:v>
      </x:c>
      <x:c r="C1483" s="12" t="n">
        <x:v>4127.8142</x:v>
      </x:c>
      <x:c r="D1483" s="12" t="n">
        <x:v>4139.7879</x:v>
      </x:c>
      <x:c r="E1483" s="12" t="n">
        <x:v>4102.6818</x:v>
      </x:c>
      <x:c r="F1483" s="12" t="n">
        <x:v>4107.5455</x:v>
      </x:c>
      <x:c r="G1483" s="12" t="n">
        <x:v>4116.2396</x:v>
      </x:c>
      <x:c r="H1483" s="12" t="n">
        <x:v>-8.6941</x:v>
      </x:c>
      <x:c r="I1483" s="12" t="n">
        <x:v>-0.2112</x:v>
      </x:c>
      <x:c r="J1483" s="12" t="n">
        <x:v>-0.002114379968170268</x:v>
      </x:c>
      <x:c r="K1483" s="12" t="n">
        <x:v>99000493</x:v>
      </x:c>
      <x:c r="L1483" s="12" t="n">
        <x:v>225519196.8</x:v>
      </x:c>
      <x:c r="M1483" s="12" t="str">
        <x:v>TuShare index_daily</x:v>
      </x:c>
    </x:row>
    <x:row r="1484" ht="18" customHeight="1">
      <x:c r="A1484" s="13" t="n">
        <x:v>44802</x:v>
      </x:c>
      <x:c r="B1484" s="12" t="str">
        <x:v>000300.SH</x:v>
      </x:c>
      <x:c r="C1484" s="12" t="n">
        <x:v>4063.8825</x:v>
      </x:c>
      <x:c r="D1484" s="12" t="n">
        <x:v>4092.9474</x:v>
      </x:c>
      <x:c r="E1484" s="12" t="n">
        <x:v>4059.5963</x:v>
      </x:c>
      <x:c r="F1484" s="12" t="n">
        <x:v>4089.5205</x:v>
      </x:c>
      <x:c r="G1484" s="12" t="n">
        <x:v>4107.5455</x:v>
      </x:c>
      <x:c r="H1484" s="12" t="n">
        <x:v>-18.025</x:v>
      </x:c>
      <x:c r="I1484" s="12" t="n">
        <x:v>-0.4388</x:v>
      </x:c>
      <x:c r="J1484" s="12" t="n">
        <x:v>-0.004397922147476834</x:v>
      </x:c>
      <x:c r="K1484" s="12" t="n">
        <x:v>94354432</x:v>
      </x:c>
      <x:c r="L1484" s="12" t="n">
        <x:v>203086114.712</x:v>
      </x:c>
      <x:c r="M1484" s="12" t="str">
        <x:v>TuShare index_daily</x:v>
      </x:c>
    </x:row>
    <x:row r="1485" ht="18" customHeight="1">
      <x:c r="A1485" s="13" t="n">
        <x:v>44803</x:v>
      </x:c>
      <x:c r="B1485" s="12" t="str">
        <x:v>000300.SH</x:v>
      </x:c>
      <x:c r="C1485" s="12" t="n">
        <x:v>4088.5262</x:v>
      </x:c>
      <x:c r="D1485" s="12" t="n">
        <x:v>4093.1356</x:v>
      </x:c>
      <x:c r="E1485" s="12" t="n">
        <x:v>4048.5244</x:v>
      </x:c>
      <x:c r="F1485" s="12" t="n">
        <x:v>4075.7937</x:v>
      </x:c>
      <x:c r="G1485" s="12" t="n">
        <x:v>4089.5205</x:v>
      </x:c>
      <x:c r="H1485" s="12" t="n">
        <x:v>-13.7268</x:v>
      </x:c>
      <x:c r="I1485" s="12" t="n">
        <x:v>-0.3357</x:v>
      </x:c>
      <x:c r="J1485" s="12" t="n">
        <x:v>-0.0033622252849209834</x:v>
      </x:c>
      <x:c r="K1485" s="12" t="n">
        <x:v>93301662</x:v>
      </x:c>
      <x:c r="L1485" s="12" t="n">
        <x:v>192649001.278</x:v>
      </x:c>
      <x:c r="M1485" s="12" t="str">
        <x:v>TuShare index_daily</x:v>
      </x:c>
    </x:row>
    <x:row r="1486" ht="18" customHeight="1">
      <x:c r="A1486" s="13" t="n">
        <x:v>44804</x:v>
      </x:c>
      <x:c r="B1486" s="12" t="str">
        <x:v>000300.SH</x:v>
      </x:c>
      <x:c r="C1486" s="12" t="n">
        <x:v>4057.1443</x:v>
      </x:c>
      <x:c r="D1486" s="12" t="n">
        <x:v>4112.8485</x:v>
      </x:c>
      <x:c r="E1486" s="12" t="n">
        <x:v>4046.6225</x:v>
      </x:c>
      <x:c r="F1486" s="12" t="n">
        <x:v>4078.8402</x:v>
      </x:c>
      <x:c r="G1486" s="12" t="n">
        <x:v>4075.7937</x:v>
      </x:c>
      <x:c r="H1486" s="12" t="n">
        <x:v>3.0465</x:v>
      </x:c>
      <x:c r="I1486" s="12" t="n">
        <x:v>0.0747</x:v>
      </x:c>
      <x:c r="J1486" s="12" t="n">
        <x:v>0.0007471825661562693</x:v>
      </x:c>
      <x:c r="K1486" s="12" t="n">
        <x:v>132449765</x:v>
      </x:c>
      <x:c r="L1486" s="12" t="n">
        <x:v>292974665.546</x:v>
      </x:c>
      <x:c r="M1486" s="12" t="str">
        <x:v>TuShare index_daily</x:v>
      </x:c>
    </x:row>
    <x:row r="1487" ht="18" customHeight="1">
      <x:c r="A1487" s="13" t="n">
        <x:v>44805</x:v>
      </x:c>
      <x:c r="B1487" s="12" t="str">
        <x:v>000300.SH</x:v>
      </x:c>
      <x:c r="C1487" s="12" t="n">
        <x:v>4066.1869</x:v>
      </x:c>
      <x:c r="D1487" s="12" t="n">
        <x:v>4090.8852</x:v>
      </x:c>
      <x:c r="E1487" s="12" t="n">
        <x:v>4041.1281</x:v>
      </x:c>
      <x:c r="F1487" s="12" t="n">
        <x:v>4043.7395</x:v>
      </x:c>
      <x:c r="G1487" s="12" t="n">
        <x:v>4078.8402</x:v>
      </x:c>
      <x:c r="H1487" s="12" t="n">
        <x:v>-35.1007</x:v>
      </x:c>
      <x:c r="I1487" s="12" t="n">
        <x:v>-0.8606</x:v>
      </x:c>
      <x:c r="J1487" s="12" t="n">
        <x:v>-0.00864280063530641</x:v>
      </x:c>
      <x:c r="K1487" s="12" t="n">
        <x:v>97387071</x:v>
      </x:c>
      <x:c r="L1487" s="12" t="n">
        <x:v>210898503.454</x:v>
      </x:c>
      <x:c r="M1487" s="12" t="str">
        <x:v>TuShare index_daily</x:v>
      </x:c>
    </x:row>
    <x:row r="1488" ht="18" customHeight="1">
      <x:c r="A1488" s="13" t="n">
        <x:v>44806</x:v>
      </x:c>
      <x:c r="B1488" s="12" t="str">
        <x:v>000300.SH</x:v>
      </x:c>
      <x:c r="C1488" s="12" t="n">
        <x:v>4054.8423</x:v>
      </x:c>
      <x:c r="D1488" s="12" t="n">
        <x:v>4056.1805</x:v>
      </x:c>
      <x:c r="E1488" s="12" t="n">
        <x:v>4004.911</x:v>
      </x:c>
      <x:c r="F1488" s="12" t="n">
        <x:v>4023.6131</x:v>
      </x:c>
      <x:c r="G1488" s="12" t="n">
        <x:v>4043.7395</x:v>
      </x:c>
      <x:c r="H1488" s="12" t="n">
        <x:v>-20.1264</x:v>
      </x:c>
      <x:c r="I1488" s="12" t="n">
        <x:v>-0.4977</x:v>
      </x:c>
      <x:c r="J1488" s="12" t="n">
        <x:v>-0.004989602600431504</x:v>
      </x:c>
      <x:c r="K1488" s="12" t="n">
        <x:v>86789278</x:v>
      </x:c>
      <x:c r="L1488" s="12" t="n">
        <x:v>184468327.006</x:v>
      </x:c>
      <x:c r="M1488" s="12" t="str">
        <x:v>TuShare index_daily</x:v>
      </x:c>
    </x:row>
    <x:row r="1489" ht="18" customHeight="1">
      <x:c r="A1489" s="13" t="n">
        <x:v>44809</x:v>
      </x:c>
      <x:c r="B1489" s="12" t="str">
        <x:v>000300.SH</x:v>
      </x:c>
      <x:c r="C1489" s="12" t="n">
        <x:v>4010.4052</x:v>
      </x:c>
      <x:c r="D1489" s="12" t="n">
        <x:v>4016.9986</x:v>
      </x:c>
      <x:c r="E1489" s="12" t="n">
        <x:v>3982.7395</x:v>
      </x:c>
      <x:c r="F1489" s="12" t="n">
        <x:v>4015.4264</x:v>
      </x:c>
      <x:c r="G1489" s="12" t="n">
        <x:v>4023.6131</x:v>
      </x:c>
      <x:c r="H1489" s="12" t="n">
        <x:v>-8.1867</x:v>
      </x:c>
      <x:c r="I1489" s="12" t="n">
        <x:v>-0.2035</x:v>
      </x:c>
      <x:c r="J1489" s="12" t="n">
        <x:v>-0.0020367365603991064</x:v>
      </x:c>
      <x:c r="K1489" s="12" t="n">
        <x:v>93767109</x:v>
      </x:c>
      <x:c r="L1489" s="12" t="n">
        <x:v>201118696.559</x:v>
      </x:c>
      <x:c r="M1489" s="12" t="str">
        <x:v>TuShare index_daily</x:v>
      </x:c>
    </x:row>
    <x:row r="1490" ht="18" customHeight="1">
      <x:c r="A1490" s="13" t="n">
        <x:v>44810</x:v>
      </x:c>
      <x:c r="B1490" s="12" t="str">
        <x:v>000300.SH</x:v>
      </x:c>
      <x:c r="C1490" s="12" t="n">
        <x:v>4024.4726</x:v>
      </x:c>
      <x:c r="D1490" s="12" t="n">
        <x:v>4054.004</x:v>
      </x:c>
      <x:c r="E1490" s="12" t="n">
        <x:v>4009.5826</x:v>
      </x:c>
      <x:c r="F1490" s="12" t="n">
        <x:v>4052.2802</x:v>
      </x:c>
      <x:c r="G1490" s="12" t="n">
        <x:v>4015.4264</x:v>
      </x:c>
      <x:c r="H1490" s="12" t="n">
        <x:v>36.8538</x:v>
      </x:c>
      <x:c r="I1490" s="12" t="n">
        <x:v>0.9178</x:v>
      </x:c>
      <x:c r="J1490" s="12" t="n">
        <x:v>0.00913619152895841</x:v>
      </x:c>
      <x:c r="K1490" s="12" t="n">
        <x:v>113506265</x:v>
      </x:c>
      <x:c r="L1490" s="12" t="n">
        <x:v>235921838.118</x:v>
      </x:c>
      <x:c r="M1490" s="12" t="str">
        <x:v>TuShare index_daily</x:v>
      </x:c>
    </x:row>
    <x:row r="1491" ht="18" customHeight="1">
      <x:c r="A1491" s="13" t="n">
        <x:v>44811</x:v>
      </x:c>
      <x:c r="B1491" s="12" t="str">
        <x:v>000300.SH</x:v>
      </x:c>
      <x:c r="C1491" s="12" t="n">
        <x:v>4032.7231</x:v>
      </x:c>
      <x:c r="D1491" s="12" t="n">
        <x:v>4067.5437</x:v>
      </x:c>
      <x:c r="E1491" s="12" t="n">
        <x:v>4028.374</x:v>
      </x:c>
      <x:c r="F1491" s="12" t="n">
        <x:v>4054.983</x:v>
      </x:c>
      <x:c r="G1491" s="12" t="n">
        <x:v>4052.2802</x:v>
      </x:c>
      <x:c r="H1491" s="12" t="n">
        <x:v>2.7028</x:v>
      </x:c>
      <x:c r="I1491" s="12" t="n">
        <x:v>0.0667</x:v>
      </x:c>
      <x:c r="J1491" s="12" t="n">
        <x:v>0.0006667601713317303</x:v>
      </x:c>
      <x:c r="K1491" s="12" t="n">
        <x:v>107678059</x:v>
      </x:c>
      <x:c r="L1491" s="12" t="n">
        <x:v>215147152.182</x:v>
      </x:c>
      <x:c r="M1491" s="12" t="str">
        <x:v>TuShare index_daily</x:v>
      </x:c>
    </x:row>
    <x:row r="1492" ht="18" customHeight="1">
      <x:c r="A1492" s="13" t="n">
        <x:v>44812</x:v>
      </x:c>
      <x:c r="B1492" s="12" t="str">
        <x:v>000300.SH</x:v>
      </x:c>
      <x:c r="C1492" s="12" t="n">
        <x:v>4059.1689</x:v>
      </x:c>
      <x:c r="D1492" s="12" t="n">
        <x:v>4067.758</x:v>
      </x:c>
      <x:c r="E1492" s="12" t="n">
        <x:v>4036.0226</x:v>
      </x:c>
      <x:c r="F1492" s="12" t="n">
        <x:v>4037.6839</x:v>
      </x:c>
      <x:c r="G1492" s="12" t="n">
        <x:v>4054.983</x:v>
      </x:c>
      <x:c r="H1492" s="12" t="n">
        <x:v>-17.2991</x:v>
      </x:c>
      <x:c r="I1492" s="12" t="n">
        <x:v>-0.4266</x:v>
      </x:c>
      <x:c r="J1492" s="12" t="n">
        <x:v>-0.004275259704358225</x:v>
      </x:c>
      <x:c r="K1492" s="12" t="n">
        <x:v>100886049</x:v>
      </x:c>
      <x:c r="L1492" s="12" t="n">
        <x:v>186889047.981</x:v>
      </x:c>
      <x:c r="M1492" s="12" t="str">
        <x:v>TuShare index_daily</x:v>
      </x:c>
    </x:row>
    <x:row r="1493" ht="18" customHeight="1">
      <x:c r="A1493" s="13" t="n">
        <x:v>44813</x:v>
      </x:c>
      <x:c r="B1493" s="12" t="str">
        <x:v>000300.SH</x:v>
      </x:c>
      <x:c r="C1493" s="12" t="n">
        <x:v>4050.5853</x:v>
      </x:c>
      <x:c r="D1493" s="12" t="n">
        <x:v>4099.0081</x:v>
      </x:c>
      <x:c r="E1493" s="12" t="n">
        <x:v>4042.2498</x:v>
      </x:c>
      <x:c r="F1493" s="12" t="n">
        <x:v>4093.7874</x:v>
      </x:c>
      <x:c r="G1493" s="12" t="n">
        <x:v>4037.6839</x:v>
      </x:c>
      <x:c r="H1493" s="12" t="n">
        <x:v>56.1035</x:v>
      </x:c>
      <x:c r="I1493" s="12" t="n">
        <x:v>1.3895</x:v>
      </x:c>
      <x:c r="J1493" s="12" t="n">
        <x:v>0.013799320738442802</x:v>
      </x:c>
      <x:c r="K1493" s="12" t="n">
        <x:v>118427114</x:v>
      </x:c>
      <x:c r="L1493" s="12" t="n">
        <x:v>221442547.204</x:v>
      </x:c>
      <x:c r="M1493" s="12" t="str">
        <x:v>TuShare index_daily</x:v>
      </x:c>
    </x:row>
    <x:row r="1494" ht="18" customHeight="1">
      <x:c r="A1494" s="13" t="n">
        <x:v>44817</x:v>
      </x:c>
      <x:c r="B1494" s="12" t="str">
        <x:v>000300.SH</x:v>
      </x:c>
      <x:c r="C1494" s="12" t="n">
        <x:v>4112.0123</x:v>
      </x:c>
      <x:c r="D1494" s="12" t="n">
        <x:v>4128.1113</x:v>
      </x:c>
      <x:c r="E1494" s="12" t="n">
        <x:v>4097.1408</x:v>
      </x:c>
      <x:c r="F1494" s="12" t="n">
        <x:v>4111.1145</x:v>
      </x:c>
      <x:c r="G1494" s="12" t="n">
        <x:v>4093.7874</x:v>
      </x:c>
      <x:c r="H1494" s="12" t="n">
        <x:v>17.3271</x:v>
      </x:c>
      <x:c r="I1494" s="12" t="n">
        <x:v>0.4233</x:v>
      </x:c>
      <x:c r="J1494" s="12" t="n">
        <x:v>0.004223603394433809</x:v>
      </x:c>
      <x:c r="K1494" s="12" t="n">
        <x:v>111789737</x:v>
      </x:c>
      <x:c r="L1494" s="12" t="n">
        <x:v>218521062.136</x:v>
      </x:c>
      <x:c r="M1494" s="12" t="str">
        <x:v>TuShare index_daily</x:v>
      </x:c>
    </x:row>
    <x:row r="1495" ht="18" customHeight="1">
      <x:c r="A1495" s="13" t="n">
        <x:v>44818</x:v>
      </x:c>
      <x:c r="B1495" s="12" t="str">
        <x:v>000300.SH</x:v>
      </x:c>
      <x:c r="C1495" s="12" t="n">
        <x:v>4058.0441</x:v>
      </x:c>
      <x:c r="D1495" s="12" t="n">
        <x:v>4089.0583</x:v>
      </x:c>
      <x:c r="E1495" s="12" t="n">
        <x:v>4047.9187</x:v>
      </x:c>
      <x:c r="F1495" s="12" t="n">
        <x:v>4065.359</x:v>
      </x:c>
      <x:c r="G1495" s="12" t="n">
        <x:v>4111.1145</x:v>
      </x:c>
      <x:c r="H1495" s="12" t="n">
        <x:v>-45.7555</x:v>
      </x:c>
      <x:c r="I1495" s="12" t="n">
        <x:v>-1.113</x:v>
      </x:c>
      <x:c r="J1495" s="12" t="n">
        <x:v>-0.011192105648596497</x:v>
      </x:c>
      <x:c r="K1495" s="12" t="n">
        <x:v>90793681</x:v>
      </x:c>
      <x:c r="L1495" s="12" t="n">
        <x:v>185484965.111</x:v>
      </x:c>
      <x:c r="M1495" s="12" t="str">
        <x:v>TuShare index_daily</x:v>
      </x:c>
    </x:row>
    <x:row r="1496" ht="18" customHeight="1">
      <x:c r="A1496" s="13" t="n">
        <x:v>44819</x:v>
      </x:c>
      <x:c r="B1496" s="12" t="str">
        <x:v>000300.SH</x:v>
      </x:c>
      <x:c r="C1496" s="12" t="n">
        <x:v>4078.6495</x:v>
      </x:c>
      <x:c r="D1496" s="12" t="n">
        <x:v>4088.8078</x:v>
      </x:c>
      <x:c r="E1496" s="12" t="n">
        <x:v>3998.8564</x:v>
      </x:c>
      <x:c r="F1496" s="12" t="n">
        <x:v>4027.1186</x:v>
      </x:c>
      <x:c r="G1496" s="12" t="n">
        <x:v>4065.359</x:v>
      </x:c>
      <x:c r="H1496" s="12" t="n">
        <x:v>-38.2404</x:v>
      </x:c>
      <x:c r="I1496" s="12" t="n">
        <x:v>-0.9406</x:v>
      </x:c>
      <x:c r="J1496" s="12" t="n">
        <x:v>-0.009450921343383703</x:v>
      </x:c>
      <x:c r="K1496" s="12" t="n">
        <x:v>123951196</x:v>
      </x:c>
      <x:c r="L1496" s="12" t="n">
        <x:v>254367492.776</x:v>
      </x:c>
      <x:c r="M1496" s="12" t="str">
        <x:v>TuShare index_daily</x:v>
      </x:c>
    </x:row>
    <x:row r="1497" ht="18" customHeight="1">
      <x:c r="A1497" s="13" t="n">
        <x:v>44820</x:v>
      </x:c>
      <x:c r="B1497" s="12" t="str">
        <x:v>000300.SH</x:v>
      </x:c>
      <x:c r="C1497" s="12" t="n">
        <x:v>4013.5829</x:v>
      </x:c>
      <x:c r="D1497" s="12" t="n">
        <x:v>4019.4104</x:v>
      </x:c>
      <x:c r="E1497" s="12" t="n">
        <x:v>3932.6826</x:v>
      </x:c>
      <x:c r="F1497" s="12" t="n">
        <x:v>3932.6826</x:v>
      </x:c>
      <x:c r="G1497" s="12" t="n">
        <x:v>4027.1186</x:v>
      </x:c>
      <x:c r="H1497" s="12" t="n">
        <x:v>-94.436</x:v>
      </x:c>
      <x:c r="I1497" s="12" t="n">
        <x:v>-2.345</x:v>
      </x:c>
      <x:c r="J1497" s="12" t="n">
        <x:v>-0.023729344201284554</x:v>
      </x:c>
      <x:c r="K1497" s="12" t="n">
        <x:v>137193655</x:v>
      </x:c>
      <x:c r="L1497" s="12" t="n">
        <x:v>241251840.05</x:v>
      </x:c>
      <x:c r="M1497" s="12" t="str">
        <x:v>TuShare index_daily</x:v>
      </x:c>
    </x:row>
    <x:row r="1498" ht="18" customHeight="1">
      <x:c r="A1498" s="13" t="n">
        <x:v>44823</x:v>
      </x:c>
      <x:c r="B1498" s="12" t="str">
        <x:v>000300.SH</x:v>
      </x:c>
      <x:c r="C1498" s="12" t="n">
        <x:v>3928.4239</x:v>
      </x:c>
      <x:c r="D1498" s="12" t="n">
        <x:v>3953.6494</x:v>
      </x:c>
      <x:c r="E1498" s="12" t="n">
        <x:v>3910.3106</x:v>
      </x:c>
      <x:c r="F1498" s="12" t="n">
        <x:v>3928.0001</x:v>
      </x:c>
      <x:c r="G1498" s="12" t="n">
        <x:v>3932.6826</x:v>
      </x:c>
      <x:c r="H1498" s="12" t="n">
        <x:v>-4.6825</x:v>
      </x:c>
      <x:c r="I1498" s="12" t="n">
        <x:v>-0.1191</x:v>
      </x:c>
      <x:c r="J1498" s="12" t="n">
        <x:v>-0.0011913724882571326</x:v>
      </x:c>
      <x:c r="K1498" s="12" t="n">
        <x:v>97719575</x:v>
      </x:c>
      <x:c r="L1498" s="12" t="n">
        <x:v>183574440.582</x:v>
      </x:c>
      <x:c r="M1498" s="12" t="str">
        <x:v>TuShare index_daily</x:v>
      </x:c>
    </x:row>
    <x:row r="1499" ht="18" customHeight="1">
      <x:c r="A1499" s="13" t="n">
        <x:v>44824</x:v>
      </x:c>
      <x:c r="B1499" s="12" t="str">
        <x:v>000300.SH</x:v>
      </x:c>
      <x:c r="C1499" s="12" t="n">
        <x:v>3945.6467</x:v>
      </x:c>
      <x:c r="D1499" s="12" t="n">
        <x:v>3957.5538</x:v>
      </x:c>
      <x:c r="E1499" s="12" t="n">
        <x:v>3921.6884</x:v>
      </x:c>
      <x:c r="F1499" s="12" t="n">
        <x:v>3932.8361</x:v>
      </x:c>
      <x:c r="G1499" s="12" t="n">
        <x:v>3928.0001</x:v>
      </x:c>
      <x:c r="H1499" s="12" t="n">
        <x:v>4.836</x:v>
      </x:c>
      <x:c r="I1499" s="12" t="n">
        <x:v>0.1231</x:v>
      </x:c>
      <x:c r="J1499" s="12" t="n">
        <x:v>0.0012304036077226527</x:v>
      </x:c>
      <x:c r="K1499" s="12" t="n">
        <x:v>84824134</x:v>
      </x:c>
      <x:c r="L1499" s="12" t="n">
        <x:v>179248153.538</x:v>
      </x:c>
      <x:c r="M1499" s="12" t="str">
        <x:v>TuShare index_daily</x:v>
      </x:c>
    </x:row>
    <x:row r="1500" ht="18" customHeight="1">
      <x:c r="A1500" s="13" t="n">
        <x:v>44825</x:v>
      </x:c>
      <x:c r="B1500" s="12" t="str">
        <x:v>000300.SH</x:v>
      </x:c>
      <x:c r="C1500" s="12" t="n">
        <x:v>3921.3177</x:v>
      </x:c>
      <x:c r="D1500" s="12" t="n">
        <x:v>3924.3914</x:v>
      </x:c>
      <x:c r="E1500" s="12" t="n">
        <x:v>3884.2268</x:v>
      </x:c>
      <x:c r="F1500" s="12" t="n">
        <x:v>3903.7348</x:v>
      </x:c>
      <x:c r="G1500" s="12" t="n">
        <x:v>3932.8361</x:v>
      </x:c>
      <x:c r="H1500" s="12" t="n">
        <x:v>-29.1013</x:v>
      </x:c>
      <x:c r="I1500" s="12" t="n">
        <x:v>-0.74</x:v>
      </x:c>
      <x:c r="J1500" s="12" t="n">
        <x:v>-0.007427083642582392</x:v>
      </x:c>
      <x:c r="K1500" s="12" t="n">
        <x:v>86458391</x:v>
      </x:c>
      <x:c r="L1500" s="12" t="n">
        <x:v>168939074.343</x:v>
      </x:c>
      <x:c r="M1500" s="12" t="str">
        <x:v>TuShare index_daily</x:v>
      </x:c>
    </x:row>
    <x:row r="1501" ht="18" customHeight="1">
      <x:c r="A1501" s="13" t="n">
        <x:v>44826</x:v>
      </x:c>
      <x:c r="B1501" s="12" t="str">
        <x:v>000300.SH</x:v>
      </x:c>
      <x:c r="C1501" s="12" t="n">
        <x:v>3875.1771</x:v>
      </x:c>
      <x:c r="D1501" s="12" t="n">
        <x:v>3900.2736</x:v>
      </x:c>
      <x:c r="E1501" s="12" t="n">
        <x:v>3860.2308</x:v>
      </x:c>
      <x:c r="F1501" s="12" t="n">
        <x:v>3869.344</x:v>
      </x:c>
      <x:c r="G1501" s="12" t="n">
        <x:v>3903.7348</x:v>
      </x:c>
      <x:c r="H1501" s="12" t="n">
        <x:v>-34.3908</x:v>
      </x:c>
      <x:c r="I1501" s="12" t="n">
        <x:v>-0.881</x:v>
      </x:c>
      <x:c r="J1501" s="12" t="n">
        <x:v>-0.008848752286126995</x:v>
      </x:c>
      <x:c r="K1501" s="12" t="n">
        <x:v>80946919</x:v>
      </x:c>
      <x:c r="L1501" s="12" t="n">
        <x:v>161134102.784</x:v>
      </x:c>
      <x:c r="M1501" s="12" t="str">
        <x:v>TuShare index_daily</x:v>
      </x:c>
    </x:row>
    <x:row r="1502" ht="18" customHeight="1">
      <x:c r="A1502" s="13" t="n">
        <x:v>44827</x:v>
      </x:c>
      <x:c r="B1502" s="12" t="str">
        <x:v>000300.SH</x:v>
      </x:c>
      <x:c r="C1502" s="12" t="n">
        <x:v>3865.1049</x:v>
      </x:c>
      <x:c r="D1502" s="12" t="n">
        <x:v>3888.3958</x:v>
      </x:c>
      <x:c r="E1502" s="12" t="n">
        <x:v>3829.6913</x:v>
      </x:c>
      <x:c r="F1502" s="12" t="n">
        <x:v>3856.0212</x:v>
      </x:c>
      <x:c r="G1502" s="12" t="n">
        <x:v>3869.344</x:v>
      </x:c>
      <x:c r="H1502" s="12" t="n">
        <x:v>-13.3228</x:v>
      </x:c>
      <x:c r="I1502" s="12" t="n">
        <x:v>-0.3443</x:v>
      </x:c>
      <x:c r="J1502" s="12" t="n">
        <x:v>-0.0034491089709841913</x:v>
      </x:c>
      <x:c r="K1502" s="12" t="n">
        <x:v>94342462</x:v>
      </x:c>
      <x:c r="L1502" s="12" t="n">
        <x:v>172904807.364</x:v>
      </x:c>
      <x:c r="M1502" s="12" t="str">
        <x:v>TuShare index_daily</x:v>
      </x:c>
    </x:row>
    <x:row r="1503" ht="18" customHeight="1">
      <x:c r="A1503" s="13" t="n">
        <x:v>44830</x:v>
      </x:c>
      <x:c r="B1503" s="12" t="str">
        <x:v>000300.SH</x:v>
      </x:c>
      <x:c r="C1503" s="12" t="n">
        <x:v>3829.5958</x:v>
      </x:c>
      <x:c r="D1503" s="12" t="n">
        <x:v>3893.3186</x:v>
      </x:c>
      <x:c r="E1503" s="12" t="n">
        <x:v>3827.9498</x:v>
      </x:c>
      <x:c r="F1503" s="12" t="n">
        <x:v>3836.6773</x:v>
      </x:c>
      <x:c r="G1503" s="12" t="n">
        <x:v>3856.0212</x:v>
      </x:c>
      <x:c r="H1503" s="12" t="n">
        <x:v>-19.3439</x:v>
      </x:c>
      <x:c r="I1503" s="12" t="n">
        <x:v>-0.5017</x:v>
      </x:c>
      <x:c r="J1503" s="12" t="n">
        <x:v>-0.00502916909361511</x:v>
      </x:c>
      <x:c r="K1503" s="12" t="n">
        <x:v>104526031</x:v>
      </x:c>
      <x:c r="L1503" s="12" t="n">
        <x:v>192906200.254</x:v>
      </x:c>
      <x:c r="M1503" s="12" t="str">
        <x:v>TuShare index_daily</x:v>
      </x:c>
    </x:row>
    <x:row r="1504" ht="18" customHeight="1">
      <x:c r="A1504" s="13" t="n">
        <x:v>44831</x:v>
      </x:c>
      <x:c r="B1504" s="12" t="str">
        <x:v>000300.SH</x:v>
      </x:c>
      <x:c r="C1504" s="12" t="n">
        <x:v>3844.0692</x:v>
      </x:c>
      <x:c r="D1504" s="12" t="n">
        <x:v>3893.0283</x:v>
      </x:c>
      <x:c r="E1504" s="12" t="n">
        <x:v>3827.9265</x:v>
      </x:c>
      <x:c r="F1504" s="12" t="n">
        <x:v>3892.295</x:v>
      </x:c>
      <x:c r="G1504" s="12" t="n">
        <x:v>3836.6773</x:v>
      </x:c>
      <x:c r="H1504" s="12" t="n">
        <x:v>55.6177</x:v>
      </x:c>
      <x:c r="I1504" s="12" t="n">
        <x:v>1.4496</x:v>
      </x:c>
      <x:c r="J1504" s="12" t="n">
        <x:v>0.01439225239211946</x:v>
      </x:c>
      <x:c r="K1504" s="12" t="n">
        <x:v>88860160</x:v>
      </x:c>
      <x:c r="L1504" s="12" t="n">
        <x:v>185955247.353</x:v>
      </x:c>
      <x:c r="M1504" s="12" t="str">
        <x:v>TuShare index_daily</x:v>
      </x:c>
    </x:row>
    <x:row r="1505" ht="18" customHeight="1">
      <x:c r="A1505" s="13" t="n">
        <x:v>44832</x:v>
      </x:c>
      <x:c r="B1505" s="12" t="str">
        <x:v>000300.SH</x:v>
      </x:c>
      <x:c r="C1505" s="12" t="n">
        <x:v>3879.4398</x:v>
      </x:c>
      <x:c r="D1505" s="12" t="n">
        <x:v>3879.4398</x:v>
      </x:c>
      <x:c r="E1505" s="12" t="n">
        <x:v>3828.0545</x:v>
      </x:c>
      <x:c r="F1505" s="12" t="n">
        <x:v>3828.7098</x:v>
      </x:c>
      <x:c r="G1505" s="12" t="n">
        <x:v>3892.295</x:v>
      </x:c>
      <x:c r="H1505" s="12" t="n">
        <x:v>-63.5852</x:v>
      </x:c>
      <x:c r="I1505" s="12" t="n">
        <x:v>-1.6336</x:v>
      </x:c>
      <x:c r="J1505" s="12" t="n">
        <x:v>-0.01647107835755761</x:v>
      </x:c>
      <x:c r="K1505" s="12" t="n">
        <x:v>86592213</x:v>
      </x:c>
      <x:c r="L1505" s="12" t="n">
        <x:v>172438042.788</x:v>
      </x:c>
      <x:c r="M1505" s="12" t="str">
        <x:v>TuShare index_daily</x:v>
      </x:c>
    </x:row>
    <x:row r="1506" ht="18" customHeight="1">
      <x:c r="A1506" s="13" t="n">
        <x:v>44833</x:v>
      </x:c>
      <x:c r="B1506" s="12" t="str">
        <x:v>000300.SH</x:v>
      </x:c>
      <x:c r="C1506" s="12" t="n">
        <x:v>3864.316</x:v>
      </x:c>
      <x:c r="D1506" s="12" t="n">
        <x:v>3873.1823</x:v>
      </x:c>
      <x:c r="E1506" s="12" t="n">
        <x:v>3808.6496</x:v>
      </x:c>
      <x:c r="F1506" s="12" t="n">
        <x:v>3827.1434</x:v>
      </x:c>
      <x:c r="G1506" s="12" t="n">
        <x:v>3828.7098</x:v>
      </x:c>
      <x:c r="H1506" s="12" t="n">
        <x:v>-1.5664</x:v>
      </x:c>
      <x:c r="I1506" s="12" t="n">
        <x:v>-0.0409</x:v>
      </x:c>
      <x:c r="J1506" s="12" t="n">
        <x:v>-0.0004092032542780825</x:v>
      </x:c>
      <x:c r="K1506" s="12" t="n">
        <x:v>85654142</x:v>
      </x:c>
      <x:c r="L1506" s="12" t="n">
        <x:v>171635940.008</x:v>
      </x:c>
      <x:c r="M1506" s="12" t="str">
        <x:v>TuShare index_daily</x:v>
      </x:c>
    </x:row>
    <x:row r="1507" ht="18" customHeight="1">
      <x:c r="A1507" s="13" t="n">
        <x:v>44834</x:v>
      </x:c>
      <x:c r="B1507" s="12" t="str">
        <x:v>000300.SH</x:v>
      </x:c>
      <x:c r="C1507" s="12" t="n">
        <x:v>3833.3504</x:v>
      </x:c>
      <x:c r="D1507" s="12" t="n">
        <x:v>3848.6018</x:v>
      </x:c>
      <x:c r="E1507" s="12" t="n">
        <x:v>3801.2798</x:v>
      </x:c>
      <x:c r="F1507" s="12" t="n">
        <x:v>3804.8853</x:v>
      </x:c>
      <x:c r="G1507" s="12" t="n">
        <x:v>3827.1434</x:v>
      </x:c>
      <x:c r="H1507" s="12" t="n">
        <x:v>-22.2581</x:v>
      </x:c>
      <x:c r="I1507" s="12" t="n">
        <x:v>-0.5816</x:v>
      </x:c>
      <x:c r="J1507" s="12" t="n">
        <x:v>-0.005832830032521587</x:v>
      </x:c>
      <x:c r="K1507" s="12" t="n">
        <x:v>78559966</x:v>
      </x:c>
      <x:c r="L1507" s="12" t="n">
        <x:v>158692748.773</x:v>
      </x:c>
      <x:c r="M1507" s="12" t="str">
        <x:v>TuShare index_daily</x:v>
      </x:c>
    </x:row>
    <x:row r="1508" ht="18" customHeight="1">
      <x:c r="A1508" s="13" t="n">
        <x:v>44844</x:v>
      </x:c>
      <x:c r="B1508" s="12" t="str">
        <x:v>000300.SH</x:v>
      </x:c>
      <x:c r="C1508" s="12" t="n">
        <x:v>3806.5596</x:v>
      </x:c>
      <x:c r="D1508" s="12" t="n">
        <x:v>3807.4574</x:v>
      </x:c>
      <x:c r="E1508" s="12" t="n">
        <x:v>3715.7142</x:v>
      </x:c>
      <x:c r="F1508" s="12" t="n">
        <x:v>3720.9365</x:v>
      </x:c>
      <x:c r="G1508" s="12" t="n">
        <x:v>3804.8853</x:v>
      </x:c>
      <x:c r="H1508" s="12" t="n">
        <x:v>-83.9488</x:v>
      </x:c>
      <x:c r="I1508" s="12" t="n">
        <x:v>-2.2063</x:v>
      </x:c>
      <x:c r="J1508" s="12" t="n">
        <x:v>-0.02231046239879809</x:v>
      </x:c>
      <x:c r="K1508" s="12" t="n">
        <x:v>102647595</x:v>
      </x:c>
      <x:c r="L1508" s="12" t="n">
        <x:v>194635904.094</x:v>
      </x:c>
      <x:c r="M1508" s="12" t="str">
        <x:v>TuShare index_daily</x:v>
      </x:c>
    </x:row>
    <x:row r="1509" ht="18" customHeight="1">
      <x:c r="A1509" s="13" t="n">
        <x:v>44845</x:v>
      </x:c>
      <x:c r="B1509" s="12" t="str">
        <x:v>000300.SH</x:v>
      </x:c>
      <x:c r="C1509" s="12" t="n">
        <x:v>3732.0191</x:v>
      </x:c>
      <x:c r="D1509" s="12" t="n">
        <x:v>3739.8084</x:v>
      </x:c>
      <x:c r="E1509" s="12" t="n">
        <x:v>3706.0629</x:v>
      </x:c>
      <x:c r="F1509" s="12" t="n">
        <x:v>3727.6867</x:v>
      </x:c>
      <x:c r="G1509" s="12" t="n">
        <x:v>3720.9365</x:v>
      </x:c>
      <x:c r="H1509" s="12" t="n">
        <x:v>6.7502</x:v>
      </x:c>
      <x:c r="I1509" s="12" t="n">
        <x:v>0.1814</x:v>
      </x:c>
      <x:c r="J1509" s="12" t="n">
        <x:v>0.0018124696783947004</x:v>
      </x:c>
      <x:c r="K1509" s="12" t="n">
        <x:v>83944625</x:v>
      </x:c>
      <x:c r="L1509" s="12" t="n">
        <x:v>166800394.853</x:v>
      </x:c>
      <x:c r="M1509" s="12" t="str">
        <x:v>TuShare index_daily</x:v>
      </x:c>
    </x:row>
    <x:row r="1510" ht="18" customHeight="1">
      <x:c r="A1510" s="13" t="n">
        <x:v>44846</x:v>
      </x:c>
      <x:c r="B1510" s="12" t="str">
        <x:v>000300.SH</x:v>
      </x:c>
      <x:c r="C1510" s="12" t="n">
        <x:v>3722.8659</x:v>
      </x:c>
      <x:c r="D1510" s="12" t="n">
        <x:v>3784.3064</x:v>
      </x:c>
      <x:c r="E1510" s="12" t="n">
        <x:v>3661.5255</x:v>
      </x:c>
      <x:c r="F1510" s="12" t="n">
        <x:v>3784.3064</x:v>
      </x:c>
      <x:c r="G1510" s="12" t="n">
        <x:v>3727.6867</x:v>
      </x:c>
      <x:c r="H1510" s="12" t="n">
        <x:v>56.6197</x:v>
      </x:c>
      <x:c r="I1510" s="12" t="n">
        <x:v>1.5189</x:v>
      </x:c>
      <x:c r="J1510" s="12" t="n">
        <x:v>0.015074766835150348</x:v>
      </x:c>
      <x:c r="K1510" s="12" t="n">
        <x:v>108089319</x:v>
      </x:c>
      <x:c r="L1510" s="12" t="n">
        <x:v>210931362.292</x:v>
      </x:c>
      <x:c r="M1510" s="12" t="str">
        <x:v>TuShare index_daily</x:v>
      </x:c>
    </x:row>
    <x:row r="1511" ht="18" customHeight="1">
      <x:c r="A1511" s="13" t="n">
        <x:v>44847</x:v>
      </x:c>
      <x:c r="B1511" s="12" t="str">
        <x:v>000300.SH</x:v>
      </x:c>
      <x:c r="C1511" s="12" t="n">
        <x:v>3756.4176</x:v>
      </x:c>
      <x:c r="D1511" s="12" t="n">
        <x:v>3783.596</x:v>
      </x:c>
      <x:c r="E1511" s="12" t="n">
        <x:v>3749.6393</x:v>
      </x:c>
      <x:c r="F1511" s="12" t="n">
        <x:v>3752.6729</x:v>
      </x:c>
      <x:c r="G1511" s="12" t="n">
        <x:v>3784.3064</x:v>
      </x:c>
      <x:c r="H1511" s="12" t="n">
        <x:v>-31.6335</x:v>
      </x:c>
      <x:c r="I1511" s="12" t="n">
        <x:v>-0.8359</x:v>
      </x:c>
      <x:c r="J1511" s="12" t="n">
        <x:v>-0.008394261014007776</x:v>
      </x:c>
      <x:c r="K1511" s="12" t="n">
        <x:v>99018915</x:v>
      </x:c>
      <x:c r="L1511" s="12" t="n">
        <x:v>198368891.549</x:v>
      </x:c>
      <x:c r="M1511" s="12" t="str">
        <x:v>TuShare index_daily</x:v>
      </x:c>
    </x:row>
    <x:row r="1512" ht="18" customHeight="1">
      <x:c r="A1512" s="13" t="n">
        <x:v>44848</x:v>
      </x:c>
      <x:c r="B1512" s="12" t="str">
        <x:v>000300.SH</x:v>
      </x:c>
      <x:c r="C1512" s="12" t="n">
        <x:v>3783.316</x:v>
      </x:c>
      <x:c r="D1512" s="12" t="n">
        <x:v>3863.2265</x:v>
      </x:c>
      <x:c r="E1512" s="12" t="n">
        <x:v>3780.8415</x:v>
      </x:c>
      <x:c r="F1512" s="12" t="n">
        <x:v>3842.4698</x:v>
      </x:c>
      <x:c r="G1512" s="12" t="n">
        <x:v>3752.6729</x:v>
      </x:c>
      <x:c r="H1512" s="12" t="n">
        <x:v>89.7969</x:v>
      </x:c>
      <x:c r="I1512" s="12" t="n">
        <x:v>2.3929</x:v>
      </x:c>
      <x:c r="J1512" s="12" t="n">
        <x:v>0.023646977519851727</x:v>
      </x:c>
      <x:c r="K1512" s="12" t="n">
        <x:v>116242293</x:v>
      </x:c>
      <x:c r="L1512" s="12" t="n">
        <x:v>256551271.975</x:v>
      </x:c>
      <x:c r="M1512" s="12" t="str">
        <x:v>TuShare index_daily</x:v>
      </x:c>
    </x:row>
    <x:row r="1513" ht="18" customHeight="1">
      <x:c r="A1513" s="13" t="n">
        <x:v>44851</x:v>
      </x:c>
      <x:c r="B1513" s="12" t="str">
        <x:v>000300.SH</x:v>
      </x:c>
      <x:c r="C1513" s="12" t="n">
        <x:v>3822.2428</x:v>
      </x:c>
      <x:c r="D1513" s="12" t="n">
        <x:v>3849.6207</x:v>
      </x:c>
      <x:c r="E1513" s="12" t="n">
        <x:v>3809.1196</x:v>
      </x:c>
      <x:c r="F1513" s="12" t="n">
        <x:v>3846.4119</x:v>
      </x:c>
      <x:c r="G1513" s="12" t="n">
        <x:v>3842.4698</x:v>
      </x:c>
      <x:c r="H1513" s="12" t="n">
        <x:v>3.9421</x:v>
      </x:c>
      <x:c r="I1513" s="12" t="n">
        <x:v>0.1026</x:v>
      </x:c>
      <x:c r="J1513" s="12" t="n">
        <x:v>0.0010254027826726963</x:v>
      </x:c>
      <x:c r="K1513" s="12" t="n">
        <x:v>104192019</x:v>
      </x:c>
      <x:c r="L1513" s="12" t="n">
        <x:v>220488874.407</x:v>
      </x:c>
      <x:c r="M1513" s="12" t="str">
        <x:v>TuShare index_daily</x:v>
      </x:c>
    </x:row>
    <x:row r="1514" ht="18" customHeight="1">
      <x:c r="A1514" s="13" t="n">
        <x:v>44852</x:v>
      </x:c>
      <x:c r="B1514" s="12" t="str">
        <x:v>000300.SH</x:v>
      </x:c>
      <x:c r="C1514" s="12" t="n">
        <x:v>3865.8258</x:v>
      </x:c>
      <x:c r="D1514" s="12" t="n">
        <x:v>3870.2155</x:v>
      </x:c>
      <x:c r="E1514" s="12" t="n">
        <x:v>3831.1723</x:v>
      </x:c>
      <x:c r="F1514" s="12" t="n">
        <x:v>3838.2667</x:v>
      </x:c>
      <x:c r="G1514" s="12" t="n">
        <x:v>3846.4119</x:v>
      </x:c>
      <x:c r="H1514" s="12" t="n">
        <x:v>-8.1452</x:v>
      </x:c>
      <x:c r="I1514" s="12" t="n">
        <x:v>-0.2118</x:v>
      </x:c>
      <x:c r="J1514" s="12" t="n">
        <x:v>-0.002119855227317334</x:v>
      </x:c>
      <x:c r="K1514" s="12" t="n">
        <x:v>88346907</x:v>
      </x:c>
      <x:c r="L1514" s="12" t="n">
        <x:v>186556295.766</x:v>
      </x:c>
      <x:c r="M1514" s="12" t="str">
        <x:v>TuShare index_daily</x:v>
      </x:c>
    </x:row>
    <x:row r="1515" ht="18" customHeight="1">
      <x:c r="A1515" s="13" t="n">
        <x:v>44853</x:v>
      </x:c>
      <x:c r="B1515" s="12" t="str">
        <x:v>000300.SH</x:v>
      </x:c>
      <x:c r="C1515" s="12" t="n">
        <x:v>3827.4658</x:v>
      </x:c>
      <x:c r="D1515" s="12" t="n">
        <x:v>3840.487</x:v>
      </x:c>
      <x:c r="E1515" s="12" t="n">
        <x:v>3776.5335</x:v>
      </x:c>
      <x:c r="F1515" s="12" t="n">
        <x:v>3776.5335</x:v>
      </x:c>
      <x:c r="G1515" s="12" t="n">
        <x:v>3838.2667</x:v>
      </x:c>
      <x:c r="H1515" s="12" t="n">
        <x:v>-61.7332</x:v>
      </x:c>
      <x:c r="I1515" s="12" t="n">
        <x:v>-1.6084</x:v>
      </x:c>
      <x:c r="J1515" s="12" t="n">
        <x:v>-0.01621435910914368</x:v>
      </x:c>
      <x:c r="K1515" s="12" t="n">
        <x:v>81574844</x:v>
      </x:c>
      <x:c r="L1515" s="12" t="n">
        <x:v>186736408.23</x:v>
      </x:c>
      <x:c r="M1515" s="12" t="str">
        <x:v>TuShare index_daily</x:v>
      </x:c>
    </x:row>
    <x:row r="1516" ht="18" customHeight="1">
      <x:c r="A1516" s="13" t="n">
        <x:v>44854</x:v>
      </x:c>
      <x:c r="B1516" s="12" t="str">
        <x:v>000300.SH</x:v>
      </x:c>
      <x:c r="C1516" s="12" t="n">
        <x:v>3746.5793</x:v>
      </x:c>
      <x:c r="D1516" s="12" t="n">
        <x:v>3804.2468</x:v>
      </x:c>
      <x:c r="E1516" s="12" t="n">
        <x:v>3726.7925</x:v>
      </x:c>
      <x:c r="F1516" s="12" t="n">
        <x:v>3754.9269</x:v>
      </x:c>
      <x:c r="G1516" s="12" t="n">
        <x:v>3776.5335</x:v>
      </x:c>
      <x:c r="H1516" s="12" t="n">
        <x:v>-21.6066</x:v>
      </x:c>
      <x:c r="I1516" s="12" t="n">
        <x:v>-0.5721</x:v>
      </x:c>
      <x:c r="J1516" s="12" t="n">
        <x:v>-0.005737707729671164</x:v>
      </x:c>
      <x:c r="K1516" s="12" t="n">
        <x:v>90290895</x:v>
      </x:c>
      <x:c r="L1516" s="12" t="n">
        <x:v>203781618.922</x:v>
      </x:c>
      <x:c r="M1516" s="12" t="str">
        <x:v>TuShare index_daily</x:v>
      </x:c>
    </x:row>
    <x:row r="1517" ht="18" customHeight="1">
      <x:c r="A1517" s="13" t="n">
        <x:v>44855</x:v>
      </x:c>
      <x:c r="B1517" s="12" t="str">
        <x:v>000300.SH</x:v>
      </x:c>
      <x:c r="C1517" s="12" t="n">
        <x:v>3753.8903</x:v>
      </x:c>
      <x:c r="D1517" s="12" t="n">
        <x:v>3768.6895</x:v>
      </x:c>
      <x:c r="E1517" s="12" t="n">
        <x:v>3724.69</x:v>
      </x:c>
      <x:c r="F1517" s="12" t="n">
        <x:v>3742.8929</x:v>
      </x:c>
      <x:c r="G1517" s="12" t="n">
        <x:v>3754.9269</x:v>
      </x:c>
      <x:c r="H1517" s="12" t="n">
        <x:v>-12.034</x:v>
      </x:c>
      <x:c r="I1517" s="12" t="n">
        <x:v>-0.3205</x:v>
      </x:c>
      <x:c r="J1517" s="12" t="n">
        <x:v>-0.0032100025485567343</x:v>
      </x:c>
      <x:c r="K1517" s="12" t="n">
        <x:v>98750038</x:v>
      </x:c>
      <x:c r="L1517" s="12" t="n">
        <x:v>180686357.677</x:v>
      </x:c>
      <x:c r="M1517" s="12" t="str">
        <x:v>TuShare index_daily</x:v>
      </x:c>
    </x:row>
    <x:row r="1518" ht="18" customHeight="1">
      <x:c r="A1518" s="13" t="n">
        <x:v>44858</x:v>
      </x:c>
      <x:c r="B1518" s="12" t="str">
        <x:v>000300.SH</x:v>
      </x:c>
      <x:c r="C1518" s="12" t="n">
        <x:v>3727.915</x:v>
      </x:c>
      <x:c r="D1518" s="12" t="n">
        <x:v>3762.158</x:v>
      </x:c>
      <x:c r="E1518" s="12" t="n">
        <x:v>3619.9876</x:v>
      </x:c>
      <x:c r="F1518" s="12" t="n">
        <x:v>3633.3733</x:v>
      </x:c>
      <x:c r="G1518" s="12" t="n">
        <x:v>3742.8929</x:v>
      </x:c>
      <x:c r="H1518" s="12" t="n">
        <x:v>-109.5196</x:v>
      </x:c>
      <x:c r="I1518" s="12" t="n">
        <x:v>-2.9261</x:v>
      </x:c>
      <x:c r="J1518" s="12" t="n">
        <x:v>-0.02969731459472971</x:v>
      </x:c>
      <x:c r="K1518" s="12" t="n">
        <x:v>130056864</x:v>
      </x:c>
      <x:c r="L1518" s="12" t="n">
        <x:v>259450743.134</x:v>
      </x:c>
      <x:c r="M1518" s="12" t="str">
        <x:v>TuShare index_daily</x:v>
      </x:c>
    </x:row>
    <x:row r="1519" ht="18" customHeight="1">
      <x:c r="A1519" s="13" t="n">
        <x:v>44859</x:v>
      </x:c>
      <x:c r="B1519" s="12" t="str">
        <x:v>000300.SH</x:v>
      </x:c>
      <x:c r="C1519" s="12" t="n">
        <x:v>3621.9356</x:v>
      </x:c>
      <x:c r="D1519" s="12" t="n">
        <x:v>3670.7327</x:v>
      </x:c>
      <x:c r="E1519" s="12" t="n">
        <x:v>3594.7011</x:v>
      </x:c>
      <x:c r="F1519" s="12" t="n">
        <x:v>3627.4542</x:v>
      </x:c>
      <x:c r="G1519" s="12" t="n">
        <x:v>3633.3733</x:v>
      </x:c>
      <x:c r="H1519" s="12" t="n">
        <x:v>-5.9191</x:v>
      </x:c>
      <x:c r="I1519" s="12" t="n">
        <x:v>-0.1629</x:v>
      </x:c>
      <x:c r="J1519" s="12" t="n">
        <x:v>-0.001630420585316052</x:v>
      </x:c>
      <x:c r="K1519" s="12" t="n">
        <x:v>110953882</x:v>
      </x:c>
      <x:c r="L1519" s="12" t="n">
        <x:v>219302759.597</x:v>
      </x:c>
      <x:c r="M1519" s="12" t="str">
        <x:v>TuShare index_daily</x:v>
      </x:c>
    </x:row>
    <x:row r="1520" ht="18" customHeight="1">
      <x:c r="A1520" s="13" t="n">
        <x:v>44860</x:v>
      </x:c>
      <x:c r="B1520" s="12" t="str">
        <x:v>000300.SH</x:v>
      </x:c>
      <x:c r="C1520" s="12" t="n">
        <x:v>3633.3107</x:v>
      </x:c>
      <x:c r="D1520" s="12" t="n">
        <x:v>3700.8797</x:v>
      </x:c>
      <x:c r="E1520" s="12" t="n">
        <x:v>3633.3107</x:v>
      </x:c>
      <x:c r="F1520" s="12" t="n">
        <x:v>3656.9027</x:v>
      </x:c>
      <x:c r="G1520" s="12" t="n">
        <x:v>3627.4542</x:v>
      </x:c>
      <x:c r="H1520" s="12" t="n">
        <x:v>29.4485</x:v>
      </x:c>
      <x:c r="I1520" s="12" t="n">
        <x:v>0.8118</x:v>
      </x:c>
      <x:c r="J1520" s="12" t="n">
        <x:v>0.0080854523840452</x:v>
      </x:c>
      <x:c r="K1520" s="12" t="n">
        <x:v>121301548</x:v>
      </x:c>
      <x:c r="L1520" s="12" t="n">
        <x:v>242453810.572</x:v>
      </x:c>
      <x:c r="M1520" s="12" t="str">
        <x:v>TuShare index_daily</x:v>
      </x:c>
    </x:row>
    <x:row r="1521" ht="18" customHeight="1">
      <x:c r="A1521" s="13" t="n">
        <x:v>44861</x:v>
      </x:c>
      <x:c r="B1521" s="12" t="str">
        <x:v>000300.SH</x:v>
      </x:c>
      <x:c r="C1521" s="12" t="n">
        <x:v>3667.6645</x:v>
      </x:c>
      <x:c r="D1521" s="12" t="n">
        <x:v>3685.0837</x:v>
      </x:c>
      <x:c r="E1521" s="12" t="n">
        <x:v>3631.0639</x:v>
      </x:c>
      <x:c r="F1521" s="12" t="n">
        <x:v>3631.1448</x:v>
      </x:c>
      <x:c r="G1521" s="12" t="n">
        <x:v>3656.9027</x:v>
      </x:c>
      <x:c r="H1521" s="12" t="n">
        <x:v>-25.7579</x:v>
      </x:c>
      <x:c r="I1521" s="12" t="n">
        <x:v>-0.7044</x:v>
      </x:c>
      <x:c r="J1521" s="12" t="n">
        <x:v>-0.007068561846897027</x:v>
      </x:c>
      <x:c r="K1521" s="12" t="n">
        <x:v>117998675</x:v>
      </x:c>
      <x:c r="L1521" s="12" t="n">
        <x:v>257473315.676</x:v>
      </x:c>
      <x:c r="M1521" s="12" t="str">
        <x:v>TuShare index_daily</x:v>
      </x:c>
    </x:row>
    <x:row r="1522" ht="18" customHeight="1">
      <x:c r="A1522" s="13" t="n">
        <x:v>44862</x:v>
      </x:c>
      <x:c r="B1522" s="12" t="str">
        <x:v>000300.SH</x:v>
      </x:c>
      <x:c r="C1522" s="12" t="n">
        <x:v>3605.1598</x:v>
      </x:c>
      <x:c r="D1522" s="12" t="n">
        <x:v>3618.864</x:v>
      </x:c>
      <x:c r="E1522" s="12" t="n">
        <x:v>3533.4993</x:v>
      </x:c>
      <x:c r="F1522" s="12" t="n">
        <x:v>3541.3295</x:v>
      </x:c>
      <x:c r="G1522" s="12" t="n">
        <x:v>3631.1448</x:v>
      </x:c>
      <x:c r="H1522" s="12" t="n">
        <x:v>-89.8153</x:v>
      </x:c>
      <x:c r="I1522" s="12" t="n">
        <x:v>-2.4735</x:v>
      </x:c>
      <x:c r="J1522" s="12" t="n">
        <x:v>-0.025045748847757898</x:v>
      </x:c>
      <x:c r="K1522" s="12" t="n">
        <x:v>118772162</x:v>
      </x:c>
      <x:c r="L1522" s="12" t="n">
        <x:v>245816451.978</x:v>
      </x:c>
      <x:c r="M1522" s="12" t="str">
        <x:v>TuShare index_daily</x:v>
      </x:c>
    </x:row>
    <x:row r="1523" ht="18" customHeight="1">
      <x:c r="A1523" s="13" t="n">
        <x:v>44865</x:v>
      </x:c>
      <x:c r="B1523" s="12" t="str">
        <x:v>000300.SH</x:v>
      </x:c>
      <x:c r="C1523" s="12" t="n">
        <x:v>3504.507</x:v>
      </x:c>
      <x:c r="D1523" s="12" t="n">
        <x:v>3553.3871</x:v>
      </x:c>
      <x:c r="E1523" s="12" t="n">
        <x:v>3495.9509</x:v>
      </x:c>
      <x:c r="F1523" s="12" t="n">
        <x:v>3508.7034</x:v>
      </x:c>
      <x:c r="G1523" s="12" t="n">
        <x:v>3541.3295</x:v>
      </x:c>
      <x:c r="H1523" s="12" t="n">
        <x:v>-32.6261</x:v>
      </x:c>
      <x:c r="I1523" s="12" t="n">
        <x:v>-0.9213</x:v>
      </x:c>
      <x:c r="J1523" s="12" t="n">
        <x:v>-0.009255654087809153</x:v>
      </x:c>
      <x:c r="K1523" s="12" t="n">
        <x:v>138465655</x:v>
      </x:c>
      <x:c r="L1523" s="12" t="n">
        <x:v>256574822.102</x:v>
      </x:c>
      <x:c r="M1523" s="12" t="str">
        <x:v>TuShare index_daily</x:v>
      </x:c>
    </x:row>
    <x:row r="1524" ht="18" customHeight="1">
      <x:c r="A1524" s="13" t="n">
        <x:v>44866</x:v>
      </x:c>
      <x:c r="B1524" s="12" t="str">
        <x:v>000300.SH</x:v>
      </x:c>
      <x:c r="C1524" s="12" t="n">
        <x:v>3519.8174</x:v>
      </x:c>
      <x:c r="D1524" s="12" t="n">
        <x:v>3634.1732</x:v>
      </x:c>
      <x:c r="E1524" s="12" t="n">
        <x:v>3517.6209</x:v>
      </x:c>
      <x:c r="F1524" s="12" t="n">
        <x:v>3634.1732</x:v>
      </x:c>
      <x:c r="G1524" s="12" t="n">
        <x:v>3508.7034</x:v>
      </x:c>
      <x:c r="H1524" s="12" t="n">
        <x:v>125.4698</x:v>
      </x:c>
      <x:c r="I1524" s="12" t="n">
        <x:v>3.576</x:v>
      </x:c>
      <x:c r="J1524" s="12" t="n">
        <x:v>0.035135062295113866</x:v>
      </x:c>
      <x:c r="K1524" s="12" t="n">
        <x:v>149286698</x:v>
      </x:c>
      <x:c r="L1524" s="12" t="n">
        <x:v>295089928.407</x:v>
      </x:c>
      <x:c r="M1524" s="12" t="str">
        <x:v>TuShare index_daily</x:v>
      </x:c>
    </x:row>
    <x:row r="1525" ht="18" customHeight="1">
      <x:c r="A1525" s="13" t="n">
        <x:v>44867</x:v>
      </x:c>
      <x:c r="B1525" s="12" t="str">
        <x:v>000300.SH</x:v>
      </x:c>
      <x:c r="C1525" s="12" t="n">
        <x:v>3620.3693</x:v>
      </x:c>
      <x:c r="D1525" s="12" t="n">
        <x:v>3703.465</x:v>
      </x:c>
      <x:c r="E1525" s="12" t="n">
        <x:v>3610.8029</x:v>
      </x:c>
      <x:c r="F1525" s="12" t="n">
        <x:v>3677.8051</x:v>
      </x:c>
      <x:c r="G1525" s="12" t="n">
        <x:v>3634.1732</x:v>
      </x:c>
      <x:c r="H1525" s="12" t="n">
        <x:v>43.6319</x:v>
      </x:c>
      <x:c r="I1525" s="12" t="n">
        <x:v>1.2006</x:v>
      </x:c>
      <x:c r="J1525" s="12" t="n">
        <x:v>0.011934504204356282</x:v>
      </x:c>
      <x:c r="K1525" s="12" t="n">
        <x:v>141592919</x:v>
      </x:c>
      <x:c r="L1525" s="12" t="n">
        <x:v>291648245.712</x:v>
      </x:c>
      <x:c r="M1525" s="12" t="str">
        <x:v>TuShare index_daily</x:v>
      </x:c>
    </x:row>
    <x:row r="1526" ht="18" customHeight="1">
      <x:c r="A1526" s="13" t="n">
        <x:v>44868</x:v>
      </x:c>
      <x:c r="B1526" s="12" t="str">
        <x:v>000300.SH</x:v>
      </x:c>
      <x:c r="C1526" s="12" t="n">
        <x:v>3645.0604</x:v>
      </x:c>
      <x:c r="D1526" s="12" t="n">
        <x:v>3670.1574</x:v>
      </x:c>
      <x:c r="E1526" s="12" t="n">
        <x:v>3628.4987</x:v>
      </x:c>
      <x:c r="F1526" s="12" t="n">
        <x:v>3647.8966</x:v>
      </x:c>
      <x:c r="G1526" s="12" t="n">
        <x:v>3677.8051</x:v>
      </x:c>
      <x:c r="H1526" s="12" t="n">
        <x:v>-29.9085</x:v>
      </x:c>
      <x:c r="I1526" s="12" t="n">
        <x:v>-0.8132</x:v>
      </x:c>
      <x:c r="J1526" s="12" t="n">
        <x:v>-0.008165406510091901</x:v>
      </x:c>
      <x:c r="K1526" s="12" t="n">
        <x:v>110566035</x:v>
      </x:c>
      <x:c r="L1526" s="12" t="n">
        <x:v>215379297.964</x:v>
      </x:c>
      <x:c r="M1526" s="12" t="str">
        <x:v>TuShare index_daily</x:v>
      </x:c>
    </x:row>
    <x:row r="1527" ht="18" customHeight="1">
      <x:c r="A1527" s="13" t="n">
        <x:v>44869</x:v>
      </x:c>
      <x:c r="B1527" s="12" t="str">
        <x:v>000300.SH</x:v>
      </x:c>
      <x:c r="C1527" s="12" t="n">
        <x:v>3646.7709</x:v>
      </x:c>
      <x:c r="D1527" s="12" t="n">
        <x:v>3782.8823</x:v>
      </x:c>
      <x:c r="E1527" s="12" t="n">
        <x:v>3646.7709</x:v>
      </x:c>
      <x:c r="F1527" s="12" t="n">
        <x:v>3767.1746</x:v>
      </x:c>
      <x:c r="G1527" s="12" t="n">
        <x:v>3647.8966</x:v>
      </x:c>
      <x:c r="H1527" s="12" t="n">
        <x:v>119.278</x:v>
      </x:c>
      <x:c r="I1527" s="12" t="n">
        <x:v>3.2698</x:v>
      </x:c>
      <x:c r="J1527" s="12" t="n">
        <x:v>0.032174550004190845</x:v>
      </x:c>
      <x:c r="K1527" s="12" t="n">
        <x:v>149734949</x:v>
      </x:c>
      <x:c r="L1527" s="12" t="n">
        <x:v>311145477.555</x:v>
      </x:c>
      <x:c r="M1527" s="12" t="str">
        <x:v>TuShare index_daily</x:v>
      </x:c>
    </x:row>
    <x:row r="1528" ht="18" customHeight="1">
      <x:c r="A1528" s="13" t="n">
        <x:v>44872</x:v>
      </x:c>
      <x:c r="B1528" s="12" t="str">
        <x:v>000300.SH</x:v>
      </x:c>
      <x:c r="C1528" s="12" t="n">
        <x:v>3754.5227</x:v>
      </x:c>
      <x:c r="D1528" s="12" t="n">
        <x:v>3792.7942</x:v>
      </x:c>
      <x:c r="E1528" s="12" t="n">
        <x:v>3746.3715</x:v>
      </x:c>
      <x:c r="F1528" s="12" t="n">
        <x:v>3775.2971</x:v>
      </x:c>
      <x:c r="G1528" s="12" t="n">
        <x:v>3767.1746</x:v>
      </x:c>
      <x:c r="H1528" s="12" t="n">
        <x:v>8.1225</x:v>
      </x:c>
      <x:c r="I1528" s="12" t="n">
        <x:v>0.2156</x:v>
      </x:c>
      <x:c r="J1528" s="12" t="n">
        <x:v>0.0021538040745810905</x:v>
      </x:c>
      <x:c r="K1528" s="12" t="n">
        <x:v>129826371</x:v>
      </x:c>
      <x:c r="L1528" s="12" t="n">
        <x:v>251195699.937</x:v>
      </x:c>
      <x:c r="M1528" s="12" t="str">
        <x:v>TuShare index_daily</x:v>
      </x:c>
    </x:row>
    <x:row r="1529" ht="18" customHeight="1">
      <x:c r="A1529" s="13" t="n">
        <x:v>44873</x:v>
      </x:c>
      <x:c r="B1529" s="12" t="str">
        <x:v>000300.SH</x:v>
      </x:c>
      <x:c r="C1529" s="12" t="n">
        <x:v>3773.6612</x:v>
      </x:c>
      <x:c r="D1529" s="12" t="n">
        <x:v>3779.1156</x:v>
      </x:c>
      <x:c r="E1529" s="12" t="n">
        <x:v>3723.3415</x:v>
      </x:c>
      <x:c r="F1529" s="12" t="n">
        <x:v>3749.3251</x:v>
      </x:c>
      <x:c r="G1529" s="12" t="n">
        <x:v>3775.2971</x:v>
      </x:c>
      <x:c r="H1529" s="12" t="n">
        <x:v>-25.972</x:v>
      </x:c>
      <x:c r="I1529" s="12" t="n">
        <x:v>-0.6879</x:v>
      </x:c>
      <x:c r="J1529" s="12" t="n">
        <x:v>-0.006903231139061722</x:v>
      </x:c>
      <x:c r="K1529" s="12" t="n">
        <x:v>99016451</x:v>
      </x:c>
      <x:c r="L1529" s="12" t="n">
        <x:v>193351324.897</x:v>
      </x:c>
      <x:c r="M1529" s="12" t="str">
        <x:v>TuShare index_daily</x:v>
      </x:c>
    </x:row>
    <x:row r="1530" ht="18" customHeight="1">
      <x:c r="A1530" s="13" t="n">
        <x:v>44874</x:v>
      </x:c>
      <x:c r="B1530" s="12" t="str">
        <x:v>000300.SH</x:v>
      </x:c>
      <x:c r="C1530" s="12" t="n">
        <x:v>3750.7821</x:v>
      </x:c>
      <x:c r="D1530" s="12" t="n">
        <x:v>3760.4068</x:v>
      </x:c>
      <x:c r="E1530" s="12" t="n">
        <x:v>3711.268</x:v>
      </x:c>
      <x:c r="F1530" s="12" t="n">
        <x:v>3714.2704</x:v>
      </x:c>
      <x:c r="G1530" s="12" t="n">
        <x:v>3749.3251</x:v>
      </x:c>
      <x:c r="H1530" s="12" t="n">
        <x:v>-35.0547</x:v>
      </x:c>
      <x:c r="I1530" s="12" t="n">
        <x:v>-0.935</x:v>
      </x:c>
      <x:c r="J1530" s="12" t="n">
        <x:v>-0.00939358457109661</x:v>
      </x:c>
      <x:c r="K1530" s="12" t="n">
        <x:v>89434525</x:v>
      </x:c>
      <x:c r="L1530" s="12" t="n">
        <x:v>172029529.944</x:v>
      </x:c>
      <x:c r="M1530" s="12" t="str">
        <x:v>TuShare index_daily</x:v>
      </x:c>
    </x:row>
    <x:row r="1531" ht="18" customHeight="1">
      <x:c r="A1531" s="13" t="n">
        <x:v>44875</x:v>
      </x:c>
      <x:c r="B1531" s="12" t="str">
        <x:v>000300.SH</x:v>
      </x:c>
      <x:c r="C1531" s="12" t="n">
        <x:v>3685.8274</x:v>
      </x:c>
      <x:c r="D1531" s="12" t="n">
        <x:v>3701.5306</x:v>
      </x:c>
      <x:c r="E1531" s="12" t="n">
        <x:v>3665.0585</x:v>
      </x:c>
      <x:c r="F1531" s="12" t="n">
        <x:v>3685.6885</x:v>
      </x:c>
      <x:c r="G1531" s="12" t="n">
        <x:v>3714.2704</x:v>
      </x:c>
      <x:c r="H1531" s="12" t="n">
        <x:v>-28.5819</x:v>
      </x:c>
      <x:c r="I1531" s="12" t="n">
        <x:v>-0.7695</x:v>
      </x:c>
      <x:c r="J1531" s="12" t="n">
        <x:v>-0.007724919156991287</x:v>
      </x:c>
      <x:c r="K1531" s="12" t="n">
        <x:v>103509302</x:v>
      </x:c>
      <x:c r="L1531" s="12" t="n">
        <x:v>183155308.703</x:v>
      </x:c>
      <x:c r="M1531" s="12" t="str">
        <x:v>TuShare index_daily</x:v>
      </x:c>
    </x:row>
    <x:row r="1532" ht="18" customHeight="1">
      <x:c r="A1532" s="13" t="n">
        <x:v>44876</x:v>
      </x:c>
      <x:c r="B1532" s="12" t="str">
        <x:v>000300.SH</x:v>
      </x:c>
      <x:c r="C1532" s="12" t="n">
        <x:v>3787.7568</x:v>
      </x:c>
      <x:c r="D1532" s="12" t="n">
        <x:v>3828.9004</x:v>
      </x:c>
      <x:c r="E1532" s="12" t="n">
        <x:v>3747.0902</x:v>
      </x:c>
      <x:c r="F1532" s="12" t="n">
        <x:v>3788.4387</x:v>
      </x:c>
      <x:c r="G1532" s="12" t="n">
        <x:v>3685.6885</x:v>
      </x:c>
      <x:c r="H1532" s="12" t="n">
        <x:v>102.7502</x:v>
      </x:c>
      <x:c r="I1532" s="12" t="n">
        <x:v>2.7878</x:v>
      </x:c>
      <x:c r="J1532" s="12" t="n">
        <x:v>0.027496634988239666</x:v>
      </x:c>
      <x:c r="K1532" s="12" t="n">
        <x:v>189685586</x:v>
      </x:c>
      <x:c r="L1532" s="12" t="n">
        <x:v>344471326.267</x:v>
      </x:c>
      <x:c r="M1532" s="12" t="str">
        <x:v>TuShare index_daily</x:v>
      </x:c>
    </x:row>
    <x:row r="1533" ht="18" customHeight="1">
      <x:c r="A1533" s="13" t="n">
        <x:v>44879</x:v>
      </x:c>
      <x:c r="B1533" s="12" t="str">
        <x:v>000300.SH</x:v>
      </x:c>
      <x:c r="C1533" s="12" t="n">
        <x:v>3818.1447</x:v>
      </x:c>
      <x:c r="D1533" s="12" t="n">
        <x:v>3848.4116</x:v>
      </x:c>
      <x:c r="E1533" s="12" t="n">
        <x:v>3781.7778</x:v>
      </x:c>
      <x:c r="F1533" s="12" t="n">
        <x:v>3794.0171</x:v>
      </x:c>
      <x:c r="G1533" s="12" t="n">
        <x:v>3788.4387</x:v>
      </x:c>
      <x:c r="H1533" s="12" t="n">
        <x:v>5.5784</x:v>
      </x:c>
      <x:c r="I1533" s="12" t="n">
        <x:v>0.1472</x:v>
      </x:c>
      <x:c r="J1533" s="12" t="n">
        <x:v>0.0014713969071710126</x:v>
      </x:c>
      <x:c r="K1533" s="12" t="n">
        <x:v>169665048</x:v>
      </x:c>
      <x:c r="L1533" s="12" t="n">
        <x:v>315536856.085</x:v>
      </x:c>
      <x:c r="M1533" s="12" t="str">
        <x:v>TuShare index_daily</x:v>
      </x:c>
    </x:row>
    <x:row r="1534" ht="18" customHeight="1">
      <x:c r="A1534" s="13" t="n">
        <x:v>44880</x:v>
      </x:c>
      <x:c r="B1534" s="12" t="str">
        <x:v>000300.SH</x:v>
      </x:c>
      <x:c r="C1534" s="12" t="n">
        <x:v>3788.926</x:v>
      </x:c>
      <x:c r="D1534" s="12" t="n">
        <x:v>3871.6424</x:v>
      </x:c>
      <x:c r="E1534" s="12" t="n">
        <x:v>3775.4988</x:v>
      </x:c>
      <x:c r="F1534" s="12" t="n">
        <x:v>3865.9726</x:v>
      </x:c>
      <x:c r="G1534" s="12" t="n">
        <x:v>3794.0171</x:v>
      </x:c>
      <x:c r="H1534" s="12" t="n">
        <x:v>71.9555</x:v>
      </x:c>
      <x:c r="I1534" s="12" t="n">
        <x:v>1.8966</x:v>
      </x:c>
      <x:c r="J1534" s="12" t="n">
        <x:v>0.018787914712990912</x:v>
      </x:c>
      <x:c r="K1534" s="12" t="n">
        <x:v>151515650</x:v>
      </x:c>
      <x:c r="L1534" s="12" t="n">
        <x:v>296268142.769</x:v>
      </x:c>
      <x:c r="M1534" s="12" t="str">
        <x:v>TuShare index_daily</x:v>
      </x:c>
    </x:row>
    <x:row r="1535" ht="18" customHeight="1">
      <x:c r="A1535" s="13" t="n">
        <x:v>44881</x:v>
      </x:c>
      <x:c r="B1535" s="12" t="str">
        <x:v>000300.SH</x:v>
      </x:c>
      <x:c r="C1535" s="12" t="n">
        <x:v>3860.811</x:v>
      </x:c>
      <x:c r="D1535" s="12" t="n">
        <x:v>3877.6781</x:v>
      </x:c>
      <x:c r="E1535" s="12" t="n">
        <x:v>3829.3126</x:v>
      </x:c>
      <x:c r="F1535" s="12" t="n">
        <x:v>3834.3899</x:v>
      </x:c>
      <x:c r="G1535" s="12" t="n">
        <x:v>3865.9726</x:v>
      </x:c>
      <x:c r="H1535" s="12" t="n">
        <x:v>-31.5827</x:v>
      </x:c>
      <x:c r="I1535" s="12" t="n">
        <x:v>-0.8169</x:v>
      </x:c>
      <x:c r="J1535" s="12" t="n">
        <x:v>-0.00820295852199649</x:v>
      </x:c>
      <x:c r="K1535" s="12" t="n">
        <x:v>120610964</x:v>
      </x:c>
      <x:c r="L1535" s="12" t="n">
        <x:v>235844588.245</x:v>
      </x:c>
      <x:c r="M1535" s="12" t="str">
        <x:v>TuShare index_daily</x:v>
      </x:c>
    </x:row>
    <x:row r="1536" ht="18" customHeight="1">
      <x:c r="A1536" s="13" t="n">
        <x:v>44882</x:v>
      </x:c>
      <x:c r="B1536" s="12" t="str">
        <x:v>000300.SH</x:v>
      </x:c>
      <x:c r="C1536" s="12" t="n">
        <x:v>3821.2709</x:v>
      </x:c>
      <x:c r="D1536" s="12" t="n">
        <x:v>3821.7419</x:v>
      </x:c>
      <x:c r="E1536" s="12" t="n">
        <x:v>3776.5739</x:v>
      </x:c>
      <x:c r="F1536" s="12" t="n">
        <x:v>3818.664</x:v>
      </x:c>
      <x:c r="G1536" s="12" t="n">
        <x:v>3834.3899</x:v>
      </x:c>
      <x:c r="H1536" s="12" t="n">
        <x:v>-15.7259</x:v>
      </x:c>
      <x:c r="I1536" s="12" t="n">
        <x:v>-0.4101</x:v>
      </x:c>
      <x:c r="J1536" s="12" t="n">
        <x:v>-0.00410971158424564</x:v>
      </x:c>
      <x:c r="K1536" s="12" t="n">
        <x:v>105940632</x:v>
      </x:c>
      <x:c r="L1536" s="12" t="n">
        <x:v>219540811.335</x:v>
      </x:c>
      <x:c r="M1536" s="12" t="str">
        <x:v>TuShare index_daily</x:v>
      </x:c>
    </x:row>
    <x:row r="1537" ht="18" customHeight="1">
      <x:c r="A1537" s="13" t="n">
        <x:v>44883</x:v>
      </x:c>
      <x:c r="B1537" s="12" t="str">
        <x:v>000300.SH</x:v>
      </x:c>
      <x:c r="C1537" s="12" t="n">
        <x:v>3823.8207</x:v>
      </x:c>
      <x:c r="D1537" s="12" t="n">
        <x:v>3840.3018</x:v>
      </x:c>
      <x:c r="E1537" s="12" t="n">
        <x:v>3801.5686</x:v>
      </x:c>
      <x:c r="F1537" s="12" t="n">
        <x:v>3801.5686</x:v>
      </x:c>
      <x:c r="G1537" s="12" t="n">
        <x:v>3818.664</x:v>
      </x:c>
      <x:c r="H1537" s="12" t="n">
        <x:v>-17.0954</x:v>
      </x:c>
      <x:c r="I1537" s="12" t="n">
        <x:v>-0.4477</x:v>
      </x:c>
      <x:c r="J1537" s="12" t="n">
        <x:v>-0.004486852194025924</x:v>
      </x:c>
      <x:c r="K1537" s="12" t="n">
        <x:v>115078777</x:v>
      </x:c>
      <x:c r="L1537" s="12" t="n">
        <x:v>224276131.008</x:v>
      </x:c>
      <x:c r="M1537" s="12" t="str">
        <x:v>TuShare index_daily</x:v>
      </x:c>
    </x:row>
    <x:row r="1538" ht="18" customHeight="1">
      <x:c r="A1538" s="13" t="n">
        <x:v>44886</x:v>
      </x:c>
      <x:c r="B1538" s="12" t="str">
        <x:v>000300.SH</x:v>
      </x:c>
      <x:c r="C1538" s="12" t="n">
        <x:v>3769.627</x:v>
      </x:c>
      <x:c r="D1538" s="12" t="n">
        <x:v>3769.8731</x:v>
      </x:c>
      <x:c r="E1538" s="12" t="n">
        <x:v>3733.9954</x:v>
      </x:c>
      <x:c r="F1538" s="12" t="n">
        <x:v>3769.1269</x:v>
      </x:c>
      <x:c r="G1538" s="12" t="n">
        <x:v>3801.5686</x:v>
      </x:c>
      <x:c r="H1538" s="12" t="n">
        <x:v>-32.4417</x:v>
      </x:c>
      <x:c r="I1538" s="12" t="n">
        <x:v>-0.8534</x:v>
      </x:c>
      <x:c r="J1538" s="12" t="n">
        <x:v>-0.008570387905360253</x:v>
      </x:c>
      <x:c r="K1538" s="12" t="n">
        <x:v>95866966</x:v>
      </x:c>
      <x:c r="L1538" s="12" t="n">
        <x:v>188230373.665</x:v>
      </x:c>
      <x:c r="M1538" s="12" t="str">
        <x:v>TuShare index_daily</x:v>
      </x:c>
    </x:row>
    <x:row r="1539" ht="18" customHeight="1">
      <x:c r="A1539" s="13" t="n">
        <x:v>44887</x:v>
      </x:c>
      <x:c r="B1539" s="12" t="str">
        <x:v>000300.SH</x:v>
      </x:c>
      <x:c r="C1539" s="12" t="n">
        <x:v>3766.0817</x:v>
      </x:c>
      <x:c r="D1539" s="12" t="n">
        <x:v>3809.8582</x:v>
      </x:c>
      <x:c r="E1539" s="12" t="n">
        <x:v>3751.0448</x:v>
      </x:c>
      <x:c r="F1539" s="12" t="n">
        <x:v>3769.5727</x:v>
      </x:c>
      <x:c r="G1539" s="12" t="n">
        <x:v>3769.1269</x:v>
      </x:c>
      <x:c r="H1539" s="12" t="n">
        <x:v>0.4458</x:v>
      </x:c>
      <x:c r="I1539" s="12" t="n">
        <x:v>0.0118</x:v>
      </x:c>
      <x:c r="J1539" s="12" t="n">
        <x:v>0.00011826973461562479</x:v>
      </x:c>
      <x:c r="K1539" s="12" t="n">
        <x:v>144486334</x:v>
      </x:c>
      <x:c r="L1539" s="12" t="n">
        <x:v>203490828.432</x:v>
      </x:c>
      <x:c r="M1539" s="12" t="str">
        <x:v>TuShare index_daily</x:v>
      </x:c>
    </x:row>
    <x:row r="1540" ht="18" customHeight="1">
      <x:c r="A1540" s="13" t="n">
        <x:v>44888</x:v>
      </x:c>
      <x:c r="B1540" s="12" t="str">
        <x:v>000300.SH</x:v>
      </x:c>
      <x:c r="C1540" s="12" t="n">
        <x:v>3760.2157</x:v>
      </x:c>
      <x:c r="D1540" s="12" t="n">
        <x:v>3791.1782</x:v>
      </x:c>
      <x:c r="E1540" s="12" t="n">
        <x:v>3753.2136</x:v>
      </x:c>
      <x:c r="F1540" s="12" t="n">
        <x:v>3773.5287</x:v>
      </x:c>
      <x:c r="G1540" s="12" t="n">
        <x:v>3769.5727</x:v>
      </x:c>
      <x:c r="H1540" s="12" t="n">
        <x:v>3.956</x:v>
      </x:c>
      <x:c r="I1540" s="12" t="n">
        <x:v>0.1049</x:v>
      </x:c>
      <x:c r="J1540" s="12" t="n">
        <x:v>0.0010489055238472717</x:v>
      </x:c>
      <x:c r="K1540" s="12" t="n">
        <x:v>144527911</x:v>
      </x:c>
      <x:c r="L1540" s="12" t="n">
        <x:v>201070601.178</x:v>
      </x:c>
      <x:c r="M1540" s="12" t="str">
        <x:v>TuShare index_daily</x:v>
      </x:c>
    </x:row>
    <x:row r="1541" ht="18" customHeight="1">
      <x:c r="A1541" s="13" t="n">
        <x:v>44889</x:v>
      </x:c>
      <x:c r="B1541" s="12" t="str">
        <x:v>000300.SH</x:v>
      </x:c>
      <x:c r="C1541" s="12" t="n">
        <x:v>3791.5399</x:v>
      </x:c>
      <x:c r="D1541" s="12" t="n">
        <x:v>3804.8987</x:v>
      </x:c>
      <x:c r="E1541" s="12" t="n">
        <x:v>3751.3818</x:v>
      </x:c>
      <x:c r="F1541" s="12" t="n">
        <x:v>3756.8082</x:v>
      </x:c>
      <x:c r="G1541" s="12" t="n">
        <x:v>3773.5287</x:v>
      </x:c>
      <x:c r="H1541" s="12" t="n">
        <x:v>-16.7205</x:v>
      </x:c>
      <x:c r="I1541" s="12" t="n">
        <x:v>-0.4431</x:v>
      </x:c>
      <x:c r="J1541" s="12" t="n">
        <x:v>-0.0044408444670989014</x:v>
      </x:c>
      <x:c r="K1541" s="12" t="n">
        <x:v>101073447</x:v>
      </x:c>
      <x:c r="L1541" s="12" t="n">
        <x:v>160698921.546</x:v>
      </x:c>
      <x:c r="M1541" s="12" t="str">
        <x:v>TuShare index_daily</x:v>
      </x:c>
    </x:row>
    <x:row r="1542" ht="18" customHeight="1">
      <x:c r="A1542" s="13" t="n">
        <x:v>44890</x:v>
      </x:c>
      <x:c r="B1542" s="12" t="str">
        <x:v>000300.SH</x:v>
      </x:c>
      <x:c r="C1542" s="12" t="n">
        <x:v>3751.2822</x:v>
      </x:c>
      <x:c r="D1542" s="12" t="n">
        <x:v>3790.566</x:v>
      </x:c>
      <x:c r="E1542" s="12" t="n">
        <x:v>3743.4138</x:v>
      </x:c>
      <x:c r="F1542" s="12" t="n">
        <x:v>3775.7764</x:v>
      </x:c>
      <x:c r="G1542" s="12" t="n">
        <x:v>3756.8082</x:v>
      </x:c>
      <x:c r="H1542" s="12" t="n">
        <x:v>18.9682</x:v>
      </x:c>
      <x:c r="I1542" s="12" t="n">
        <x:v>0.5049</x:v>
      </x:c>
      <x:c r="J1542" s="12" t="n">
        <x:v>0.005036316510325149</x:v>
      </x:c>
      <x:c r="K1542" s="12" t="n">
        <x:v>142929711</x:v>
      </x:c>
      <x:c r="L1542" s="12" t="n">
        <x:v>191711040.707</x:v>
      </x:c>
      <x:c r="M1542" s="12" t="str">
        <x:v>TuShare index_daily</x:v>
      </x:c>
    </x:row>
    <x:row r="1543" ht="18" customHeight="1">
      <x:c r="A1543" s="13" t="n">
        <x:v>44893</x:v>
      </x:c>
      <x:c r="B1543" s="12" t="str">
        <x:v>000300.SH</x:v>
      </x:c>
      <x:c r="C1543" s="12" t="n">
        <x:v>3701.902</x:v>
      </x:c>
      <x:c r="D1543" s="12" t="n">
        <x:v>3736.0813</x:v>
      </x:c>
      <x:c r="E1543" s="12" t="n">
        <x:v>3672.1306</x:v>
      </x:c>
      <x:c r="F1543" s="12" t="n">
        <x:v>3733.2424</x:v>
      </x:c>
      <x:c r="G1543" s="12" t="n">
        <x:v>3775.7764</x:v>
      </x:c>
      <x:c r="H1543" s="12" t="n">
        <x:v>-42.534</x:v>
      </x:c>
      <x:c r="I1543" s="12" t="n">
        <x:v>-1.1265</x:v>
      </x:c>
      <x:c r="J1543" s="12" t="n">
        <x:v>-0.011328898234774747</x:v>
      </x:c>
      <x:c r="K1543" s="12" t="n">
        <x:v>127825748</x:v>
      </x:c>
      <x:c r="L1543" s="12" t="n">
        <x:v>196305561.706</x:v>
      </x:c>
      <x:c r="M1543" s="12" t="str">
        <x:v>TuShare index_daily</x:v>
      </x:c>
    </x:row>
    <x:row r="1544" ht="18" customHeight="1">
      <x:c r="A1544" s="13" t="n">
        <x:v>44894</x:v>
      </x:c>
      <x:c r="B1544" s="12" t="str">
        <x:v>000300.SH</x:v>
      </x:c>
      <x:c r="C1544" s="12" t="n">
        <x:v>3766.5702</x:v>
      </x:c>
      <x:c r="D1544" s="12" t="n">
        <x:v>3854.7742</x:v>
      </x:c>
      <x:c r="E1544" s="12" t="n">
        <x:v>3766.5702</x:v>
      </x:c>
      <x:c r="F1544" s="12" t="n">
        <x:v>3848.4224</x:v>
      </x:c>
      <x:c r="G1544" s="12" t="n">
        <x:v>3733.2424</x:v>
      </x:c>
      <x:c r="H1544" s="12" t="n">
        <x:v>115.18</x:v>
      </x:c>
      <x:c r="I1544" s="12" t="n">
        <x:v>3.0853</x:v>
      </x:c>
      <x:c r="J1544" s="12" t="n">
        <x:v>0.030386165895360008</x:v>
      </x:c>
      <x:c r="K1544" s="12" t="n">
        <x:v>178701392</x:v>
      </x:c>
      <x:c r="L1544" s="12" t="n">
        <x:v>289062336.431</x:v>
      </x:c>
      <x:c r="M1544" s="12" t="str">
        <x:v>TuShare index_daily</x:v>
      </x:c>
    </x:row>
    <x:row r="1545" ht="18" customHeight="1">
      <x:c r="A1545" s="13" t="n">
        <x:v>44895</x:v>
      </x:c>
      <x:c r="B1545" s="12" t="str">
        <x:v>000300.SH</x:v>
      </x:c>
      <x:c r="C1545" s="12" t="n">
        <x:v>3836.5598</x:v>
      </x:c>
      <x:c r="D1545" s="12" t="n">
        <x:v>3867.6591</x:v>
      </x:c>
      <x:c r="E1545" s="12" t="n">
        <x:v>3833.8272</x:v>
      </x:c>
      <x:c r="F1545" s="12" t="n">
        <x:v>3853.0365</x:v>
      </x:c>
      <x:c r="G1545" s="12" t="n">
        <x:v>3848.4224</x:v>
      </x:c>
      <x:c r="H1545" s="12" t="n">
        <x:v>4.6141</x:v>
      </x:c>
      <x:c r="I1545" s="12" t="n">
        <x:v>0.1199</x:v>
      </x:c>
      <x:c r="J1545" s="12" t="n">
        <x:v>0.0011982406481633547</x:v>
      </x:c>
      <x:c r="K1545" s="12" t="n">
        <x:v>157511400</x:v>
      </x:c>
      <x:c r="L1545" s="12" t="n">
        <x:v>250051468.093</x:v>
      </x:c>
      <x:c r="M1545" s="12" t="str">
        <x:v>TuShare index_daily</x:v>
      </x:c>
    </x:row>
    <x:row r="1546" ht="18" customHeight="1">
      <x:c r="A1546" s="13" t="n">
        <x:v>44896</x:v>
      </x:c>
      <x:c r="B1546" s="12" t="str">
        <x:v>000300.SH</x:v>
      </x:c>
      <x:c r="C1546" s="12" t="n">
        <x:v>3921.2954</x:v>
      </x:c>
      <x:c r="D1546" s="12" t="n">
        <x:v>3944.5645</x:v>
      </x:c>
      <x:c r="E1546" s="12" t="n">
        <x:v>3893.8718</x:v>
      </x:c>
      <x:c r="F1546" s="12" t="n">
        <x:v>3894.7687</x:v>
      </x:c>
      <x:c r="G1546" s="12" t="n">
        <x:v>3853.0365</x:v>
      </x:c>
      <x:c r="H1546" s="12" t="n">
        <x:v>41.7322</x:v>
      </x:c>
      <x:c r="I1546" s="12" t="n">
        <x:v>1.0831</x:v>
      </x:c>
      <x:c r="J1546" s="12" t="n">
        <x:v>0.010772754997039927</x:v>
      </x:c>
      <x:c r="K1546" s="12" t="n">
        <x:v>169964585</x:v>
      </x:c>
      <x:c r="L1546" s="12" t="n">
        <x:v>306678195.716</x:v>
      </x:c>
      <x:c r="M1546" s="12" t="str">
        <x:v>TuShare index_daily</x:v>
      </x:c>
    </x:row>
    <x:row r="1547" ht="18" customHeight="1">
      <x:c r="A1547" s="13" t="n">
        <x:v>44897</x:v>
      </x:c>
      <x:c r="B1547" s="12" t="str">
        <x:v>000300.SH</x:v>
      </x:c>
      <x:c r="C1547" s="12" t="n">
        <x:v>3886.4034</x:v>
      </x:c>
      <x:c r="D1547" s="12" t="n">
        <x:v>3898.1146</x:v>
      </x:c>
      <x:c r="E1547" s="12" t="n">
        <x:v>3865.8844</x:v>
      </x:c>
      <x:c r="F1547" s="12" t="n">
        <x:v>3870.9478</x:v>
      </x:c>
      <x:c r="G1547" s="12" t="n">
        <x:v>3894.7687</x:v>
      </x:c>
      <x:c r="H1547" s="12" t="n">
        <x:v>-23.8209</x:v>
      </x:c>
      <x:c r="I1547" s="12" t="n">
        <x:v>-0.6116</x:v>
      </x:c>
      <x:c r="J1547" s="12" t="n">
        <x:v>-0.006134907117042015</x:v>
      </x:c>
      <x:c r="K1547" s="12" t="n">
        <x:v>116786350</x:v>
      </x:c>
      <x:c r="L1547" s="12" t="n">
        <x:v>201253166.363</x:v>
      </x:c>
      <x:c r="M1547" s="12" t="str">
        <x:v>TuShare index_daily</x:v>
      </x:c>
    </x:row>
    <x:row r="1548" ht="18" customHeight="1">
      <x:c r="A1548" s="13" t="n">
        <x:v>44900</x:v>
      </x:c>
      <x:c r="B1548" s="12" t="str">
        <x:v>000300.SH</x:v>
      </x:c>
      <x:c r="C1548" s="12" t="n">
        <x:v>3907.6375</x:v>
      </x:c>
      <x:c r="D1548" s="12" t="n">
        <x:v>3947.476</x:v>
      </x:c>
      <x:c r="E1548" s="12" t="n">
        <x:v>3900.6742</x:v>
      </x:c>
      <x:c r="F1548" s="12" t="n">
        <x:v>3946.8759</x:v>
      </x:c>
      <x:c r="G1548" s="12" t="n">
        <x:v>3870.9478</x:v>
      </x:c>
      <x:c r="H1548" s="12" t="n">
        <x:v>75.9281</x:v>
      </x:c>
      <x:c r="I1548" s="12" t="n">
        <x:v>1.9615</x:v>
      </x:c>
      <x:c r="J1548" s="12" t="n">
        <x:v>0.019424967968233346</x:v>
      </x:c>
      <x:c r="K1548" s="12" t="n">
        <x:v>201747221</x:v>
      </x:c>
      <x:c r="L1548" s="12" t="n">
        <x:v>296615512.327</x:v>
      </x:c>
      <x:c r="M1548" s="12" t="str">
        <x:v>TuShare index_daily</x:v>
      </x:c>
    </x:row>
    <x:row r="1549" ht="18" customHeight="1">
      <x:c r="A1549" s="13" t="n">
        <x:v>44901</x:v>
      </x:c>
      <x:c r="B1549" s="12" t="str">
        <x:v>000300.SH</x:v>
      </x:c>
      <x:c r="C1549" s="12" t="n">
        <x:v>3929.0063</x:v>
      </x:c>
      <x:c r="D1549" s="12" t="n">
        <x:v>3988.9007</x:v>
      </x:c>
      <x:c r="E1549" s="12" t="n">
        <x:v>3922.9969</x:v>
      </x:c>
      <x:c r="F1549" s="12" t="n">
        <x:v>3968.1979</x:v>
      </x:c>
      <x:c r="G1549" s="12" t="n">
        <x:v>3946.8759</x:v>
      </x:c>
      <x:c r="H1549" s="12" t="n">
        <x:v>21.322</x:v>
      </x:c>
      <x:c r="I1549" s="12" t="n">
        <x:v>0.5402</x:v>
      </x:c>
      <x:c r="J1549" s="12" t="n">
        <x:v>0.005387707585699159</x:v>
      </x:c>
      <x:c r="K1549" s="12" t="n">
        <x:v>155108323</x:v>
      </x:c>
      <x:c r="L1549" s="12" t="n">
        <x:v>275583430.841</x:v>
      </x:c>
      <x:c r="M1549" s="12" t="str">
        <x:v>TuShare index_daily</x:v>
      </x:c>
    </x:row>
    <x:row r="1550" ht="18" customHeight="1">
      <x:c r="A1550" s="13" t="n">
        <x:v>44902</x:v>
      </x:c>
      <x:c r="B1550" s="12" t="str">
        <x:v>000300.SH</x:v>
      </x:c>
      <x:c r="C1550" s="12" t="n">
        <x:v>3956.6722</x:v>
      </x:c>
      <x:c r="D1550" s="12" t="n">
        <x:v>3999.5864</x:v>
      </x:c>
      <x:c r="E1550" s="12" t="n">
        <x:v>3944.1831</x:v>
      </x:c>
      <x:c r="F1550" s="12" t="n">
        <x:v>3958.4409</x:v>
      </x:c>
      <x:c r="G1550" s="12" t="n">
        <x:v>3968.1979</x:v>
      </x:c>
      <x:c r="H1550" s="12" t="n">
        <x:v>-9.757</x:v>
      </x:c>
      <x:c r="I1550" s="12" t="n">
        <x:v>-0.2459</x:v>
      </x:c>
      <x:c r="J1550" s="12" t="n">
        <x:v>-0.002461826550684833</x:v>
      </x:c>
      <x:c r="K1550" s="12" t="n">
        <x:v>143001356</x:v>
      </x:c>
      <x:c r="L1550" s="12" t="n">
        <x:v>255490829.027</x:v>
      </x:c>
      <x:c r="M1550" s="12" t="str">
        <x:v>TuShare index_daily</x:v>
      </x:c>
    </x:row>
    <x:row r="1551" ht="18" customHeight="1">
      <x:c r="A1551" s="13" t="n">
        <x:v>44903</x:v>
      </x:c>
      <x:c r="B1551" s="12" t="str">
        <x:v>000300.SH</x:v>
      </x:c>
      <x:c r="C1551" s="12" t="n">
        <x:v>3953.199</x:v>
      </x:c>
      <x:c r="D1551" s="12" t="n">
        <x:v>3971.4927</x:v>
      </x:c>
      <x:c r="E1551" s="12" t="n">
        <x:v>3941.2966</x:v>
      </x:c>
      <x:c r="F1551" s="12" t="n">
        <x:v>3959.1798</x:v>
      </x:c>
      <x:c r="G1551" s="12" t="n">
        <x:v>3958.4409</x:v>
      </x:c>
      <x:c r="H1551" s="12" t="n">
        <x:v>0.7389</x:v>
      </x:c>
      <x:c r="I1551" s="12" t="n">
        <x:v>0.0187</x:v>
      </x:c>
      <x:c r="J1551" s="12" t="n">
        <x:v>0.00018664698149652585</x:v>
      </x:c>
      <x:c r="K1551" s="12" t="n">
        <x:v>115199986</x:v>
      </x:c>
      <x:c r="L1551" s="12" t="n">
        <x:v>198037690.481</x:v>
      </x:c>
      <x:c r="M1551" s="12" t="str">
        <x:v>TuShare index_daily</x:v>
      </x:c>
    </x:row>
    <x:row r="1552" ht="18" customHeight="1">
      <x:c r="A1552" s="13" t="n">
        <x:v>44904</x:v>
      </x:c>
      <x:c r="B1552" s="12" t="str">
        <x:v>000300.SH</x:v>
      </x:c>
      <x:c r="C1552" s="12" t="n">
        <x:v>3961.9919</x:v>
      </x:c>
      <x:c r="D1552" s="12" t="n">
        <x:v>4003.3178</x:v>
      </x:c>
      <x:c r="E1552" s="12" t="n">
        <x:v>3944.4396</x:v>
      </x:c>
      <x:c r="F1552" s="12" t="n">
        <x:v>3998.2442</x:v>
      </x:c>
      <x:c r="G1552" s="12" t="n">
        <x:v>3959.1798</x:v>
      </x:c>
      <x:c r="H1552" s="12" t="n">
        <x:v>39.0644</x:v>
      </x:c>
      <x:c r="I1552" s="12" t="n">
        <x:v>0.9867</x:v>
      </x:c>
      <x:c r="J1552" s="12" t="n">
        <x:v>0.00981843215143076</x:v>
      </x:c>
      <x:c r="K1552" s="12" t="n">
        <x:v>153774954</x:v>
      </x:c>
      <x:c r="L1552" s="12" t="n">
        <x:v>268166789.657</x:v>
      </x:c>
      <x:c r="M1552" s="12" t="str">
        <x:v>TuShare index_daily</x:v>
      </x:c>
    </x:row>
    <x:row r="1553" ht="18" customHeight="1">
      <x:c r="A1553" s="13" t="n">
        <x:v>44907</x:v>
      </x:c>
      <x:c r="B1553" s="12" t="str">
        <x:v>000300.SH</x:v>
      </x:c>
      <x:c r="C1553" s="12" t="n">
        <x:v>3976.1722</x:v>
      </x:c>
      <x:c r="D1553" s="12" t="n">
        <x:v>3983.4332</x:v>
      </x:c>
      <x:c r="E1553" s="12" t="n">
        <x:v>3950.3203</x:v>
      </x:c>
      <x:c r="F1553" s="12" t="n">
        <x:v>3953.4433</x:v>
      </x:c>
      <x:c r="G1553" s="12" t="n">
        <x:v>3998.2442</x:v>
      </x:c>
      <x:c r="H1553" s="12" t="n">
        <x:v>-44.8009</x:v>
      </x:c>
      <x:c r="I1553" s="12" t="n">
        <x:v>-1.1205</x:v>
      </x:c>
      <x:c r="J1553" s="12" t="n">
        <x:v>-0.011268394049661413</x:v>
      </x:c>
      <x:c r="K1553" s="12" t="n">
        <x:v>125935368</x:v>
      </x:c>
      <x:c r="L1553" s="12" t="n">
        <x:v>227606300.937</x:v>
      </x:c>
      <x:c r="M1553" s="12" t="str">
        <x:v>TuShare index_daily</x:v>
      </x:c>
    </x:row>
    <x:row r="1554" ht="18" customHeight="1">
      <x:c r="A1554" s="13" t="n">
        <x:v>44908</x:v>
      </x:c>
      <x:c r="B1554" s="12" t="str">
        <x:v>000300.SH</x:v>
      </x:c>
      <x:c r="C1554" s="12" t="n">
        <x:v>3953.5482</x:v>
      </x:c>
      <x:c r="D1554" s="12" t="n">
        <x:v>3964.3957</x:v>
      </x:c>
      <x:c r="E1554" s="12" t="n">
        <x:v>3939.9795</x:v>
      </x:c>
      <x:c r="F1554" s="12" t="n">
        <x:v>3945.6813</x:v>
      </x:c>
      <x:c r="G1554" s="12" t="n">
        <x:v>3953.4433</x:v>
      </x:c>
      <x:c r="H1554" s="12" t="n">
        <x:v>-7.762</x:v>
      </x:c>
      <x:c r="I1554" s="12" t="n">
        <x:v>-0.1963</x:v>
      </x:c>
      <x:c r="J1554" s="12" t="n">
        <x:v>-0.0019652816967299248</x:v>
      </x:c>
      <x:c r="K1554" s="12" t="n">
        <x:v>100994100</x:v>
      </x:c>
      <x:c r="L1554" s="12" t="n">
        <x:v>184020700.11</x:v>
      </x:c>
      <x:c r="M1554" s="12" t="str">
        <x:v>TuShare index_daily</x:v>
      </x:c>
    </x:row>
    <x:row r="1555" ht="18" customHeight="1">
      <x:c r="A1555" s="13" t="n">
        <x:v>44909</x:v>
      </x:c>
      <x:c r="B1555" s="12" t="str">
        <x:v>000300.SH</x:v>
      </x:c>
      <x:c r="C1555" s="12" t="n">
        <x:v>3952.7885</x:v>
      </x:c>
      <x:c r="D1555" s="12" t="n">
        <x:v>3972.7381</x:v>
      </x:c>
      <x:c r="E1555" s="12" t="n">
        <x:v>3935.7668</x:v>
      </x:c>
      <x:c r="F1555" s="12" t="n">
        <x:v>3954.8857</x:v>
      </x:c>
      <x:c r="G1555" s="12" t="n">
        <x:v>3945.6813</x:v>
      </x:c>
      <x:c r="H1555" s="12" t="n">
        <x:v>9.2044</x:v>
      </x:c>
      <x:c r="I1555" s="12" t="n">
        <x:v>0.2333</x:v>
      </x:c>
      <x:c r="J1555" s="12" t="n">
        <x:v>0.002330061668831265</x:v>
      </x:c>
      <x:c r="K1555" s="12" t="n">
        <x:v>98528006</x:v>
      </x:c>
      <x:c r="L1555" s="12" t="n">
        <x:v>196175108.617</x:v>
      </x:c>
      <x:c r="M1555" s="12" t="str">
        <x:v>TuShare index_daily</x:v>
      </x:c>
    </x:row>
    <x:row r="1556" ht="18" customHeight="1">
      <x:c r="A1556" s="13" t="n">
        <x:v>44910</x:v>
      </x:c>
      <x:c r="B1556" s="12" t="str">
        <x:v>000300.SH</x:v>
      </x:c>
      <x:c r="C1556" s="12" t="n">
        <x:v>3954.672</x:v>
      </x:c>
      <x:c r="D1556" s="12" t="n">
        <x:v>3963.5002</x:v>
      </x:c>
      <x:c r="E1556" s="12" t="n">
        <x:v>3926.4997</x:v>
      </x:c>
      <x:c r="F1556" s="12" t="n">
        <x:v>3951.9885</x:v>
      </x:c>
      <x:c r="G1556" s="12" t="n">
        <x:v>3954.8857</x:v>
      </x:c>
      <x:c r="H1556" s="12" t="n">
        <x:v>-2.8972</x:v>
      </x:c>
      <x:c r="I1556" s="12" t="n">
        <x:v>-0.0733</x:v>
      </x:c>
      <x:c r="J1556" s="12" t="n">
        <x:v>-0.0007328307132189436</x:v>
      </x:c>
      <x:c r="K1556" s="12" t="n">
        <x:v>88864725</x:v>
      </x:c>
      <x:c r="L1556" s="12" t="n">
        <x:v>181994889.123</x:v>
      </x:c>
      <x:c r="M1556" s="12" t="str">
        <x:v>TuShare index_daily</x:v>
      </x:c>
    </x:row>
    <x:row r="1557" ht="18" customHeight="1">
      <x:c r="A1557" s="13" t="n">
        <x:v>44911</x:v>
      </x:c>
      <x:c r="B1557" s="12" t="str">
        <x:v>000300.SH</x:v>
      </x:c>
      <x:c r="C1557" s="12" t="n">
        <x:v>3931.2318</x:v>
      </x:c>
      <x:c r="D1557" s="12" t="n">
        <x:v>3960.4705</x:v>
      </x:c>
      <x:c r="E1557" s="12" t="n">
        <x:v>3929.4873</x:v>
      </x:c>
      <x:c r="F1557" s="12" t="n">
        <x:v>3954.227</x:v>
      </x:c>
      <x:c r="G1557" s="12" t="n">
        <x:v>3951.9885</x:v>
      </x:c>
      <x:c r="H1557" s="12" t="n">
        <x:v>2.2385</x:v>
      </x:c>
      <x:c r="I1557" s="12" t="n">
        <x:v>0.0566</x:v>
      </x:c>
      <x:c r="J1557" s="12" t="n">
        <x:v>0.0005662633556637898</x:v>
      </x:c>
      <x:c r="K1557" s="12" t="n">
        <x:v>93178567</x:v>
      </x:c>
      <x:c r="L1557" s="12" t="n">
        <x:v>167488442.589</x:v>
      </x:c>
      <x:c r="M1557" s="12" t="str">
        <x:v>TuShare index_daily</x:v>
      </x:c>
    </x:row>
    <x:row r="1558" ht="18" customHeight="1">
      <x:c r="A1558" s="13" t="n">
        <x:v>44914</x:v>
      </x:c>
      <x:c r="B1558" s="12" t="str">
        <x:v>000300.SH</x:v>
      </x:c>
      <x:c r="C1558" s="12" t="n">
        <x:v>3952.7707</x:v>
      </x:c>
      <x:c r="D1558" s="12" t="n">
        <x:v>3966.5679</x:v>
      </x:c>
      <x:c r="E1558" s="12" t="n">
        <x:v>3878.4367</x:v>
      </x:c>
      <x:c r="F1558" s="12" t="n">
        <x:v>3893.2207</x:v>
      </x:c>
      <x:c r="G1558" s="12" t="n">
        <x:v>3954.227</x:v>
      </x:c>
      <x:c r="H1558" s="12" t="n">
        <x:v>-61.0063</x:v>
      </x:c>
      <x:c r="I1558" s="12" t="n">
        <x:v>-1.5428</x:v>
      </x:c>
      <x:c r="J1558" s="12" t="n">
        <x:v>-0.015548374799046806</x:v>
      </x:c>
      <x:c r="K1558" s="12" t="n">
        <x:v>106919075</x:v>
      </x:c>
      <x:c r="L1558" s="12" t="n">
        <x:v>180801387.702</x:v>
      </x:c>
      <x:c r="M1558" s="12" t="str">
        <x:v>TuShare index_daily</x:v>
      </x:c>
    </x:row>
    <x:row r="1559" ht="18" customHeight="1">
      <x:c r="A1559" s="13" t="n">
        <x:v>44915</x:v>
      </x:c>
      <x:c r="B1559" s="12" t="str">
        <x:v>000300.SH</x:v>
      </x:c>
      <x:c r="C1559" s="12" t="n">
        <x:v>3881.2257</x:v>
      </x:c>
      <x:c r="D1559" s="12" t="n">
        <x:v>3881.2729</x:v>
      </x:c>
      <x:c r="E1559" s="12" t="n">
        <x:v>3811.4759</x:v>
      </x:c>
      <x:c r="F1559" s="12" t="n">
        <x:v>3829.0173</x:v>
      </x:c>
      <x:c r="G1559" s="12" t="n">
        <x:v>3893.2207</x:v>
      </x:c>
      <x:c r="H1559" s="12" t="n">
        <x:v>-64.2034</x:v>
      </x:c>
      <x:c r="I1559" s="12" t="n">
        <x:v>-1.6491</x:v>
      </x:c>
      <x:c r="J1559" s="12" t="n">
        <x:v>-0.01662856788307226</x:v>
      </x:c>
      <x:c r="K1559" s="12" t="n">
        <x:v>83096822</x:v>
      </x:c>
      <x:c r="L1559" s="12" t="n">
        <x:v>164046440.874</x:v>
      </x:c>
      <x:c r="M1559" s="12" t="str">
        <x:v>TuShare index_daily</x:v>
      </x:c>
    </x:row>
    <x:row r="1560" ht="18" customHeight="1">
      <x:c r="A1560" s="13" t="n">
        <x:v>44916</x:v>
      </x:c>
      <x:c r="B1560" s="12" t="str">
        <x:v>000300.SH</x:v>
      </x:c>
      <x:c r="C1560" s="12" t="n">
        <x:v>3839.0009</x:v>
      </x:c>
      <x:c r="D1560" s="12" t="n">
        <x:v>3853.7272</x:v>
      </x:c>
      <x:c r="E1560" s="12" t="n">
        <x:v>3821.4037</x:v>
      </x:c>
      <x:c r="F1560" s="12" t="n">
        <x:v>3830.5384</x:v>
      </x:c>
      <x:c r="G1560" s="12" t="n">
        <x:v>3829.0173</x:v>
      </x:c>
      <x:c r="H1560" s="12" t="n">
        <x:v>1.5211</x:v>
      </x:c>
      <x:c r="I1560" s="12" t="n">
        <x:v>0.0397</x:v>
      </x:c>
      <x:c r="J1560" s="12" t="n">
        <x:v>0.0003971770895265506</x:v>
      </x:c>
      <x:c r="K1560" s="12" t="n">
        <x:v>64839215</x:v>
      </x:c>
      <x:c r="L1560" s="12" t="n">
        <x:v>123450040.36</x:v>
      </x:c>
      <x:c r="M1560" s="12" t="str">
        <x:v>TuShare index_daily</x:v>
      </x:c>
    </x:row>
    <x:row r="1561" ht="18" customHeight="1">
      <x:c r="A1561" s="13" t="n">
        <x:v>44917</x:v>
      </x:c>
      <x:c r="B1561" s="12" t="str">
        <x:v>000300.SH</x:v>
      </x:c>
      <x:c r="C1561" s="12" t="n">
        <x:v>3859.2041</x:v>
      </x:c>
      <x:c r="D1561" s="12" t="n">
        <x:v>3882.1263</x:v>
      </x:c>
      <x:c r="E1561" s="12" t="n">
        <x:v>3821.3418</x:v>
      </x:c>
      <x:c r="F1561" s="12" t="n">
        <x:v>3836.028</x:v>
      </x:c>
      <x:c r="G1561" s="12" t="n">
        <x:v>3830.5384</x:v>
      </x:c>
      <x:c r="H1561" s="12" t="n">
        <x:v>5.4896</x:v>
      </x:c>
      <x:c r="I1561" s="12" t="n">
        <x:v>0.1433</x:v>
      </x:c>
      <x:c r="J1561" s="12" t="n">
        <x:v>0.0014320885391947411</x:v>
      </x:c>
      <x:c r="K1561" s="12" t="n">
        <x:v>83705173</x:v>
      </x:c>
      <x:c r="L1561" s="12" t="n">
        <x:v>163970306.951</x:v>
      </x:c>
      <x:c r="M1561" s="12" t="str">
        <x:v>TuShare index_daily</x:v>
      </x:c>
    </x:row>
    <x:row r="1562" ht="18" customHeight="1">
      <x:c r="A1562" s="13" t="n">
        <x:v>44918</x:v>
      </x:c>
      <x:c r="B1562" s="12" t="str">
        <x:v>000300.SH</x:v>
      </x:c>
      <x:c r="C1562" s="12" t="n">
        <x:v>3811.6164</x:v>
      </x:c>
      <x:c r="D1562" s="12" t="n">
        <x:v>3848.3436</x:v>
      </x:c>
      <x:c r="E1562" s="12" t="n">
        <x:v>3805.9487</x:v>
      </x:c>
      <x:c r="F1562" s="12" t="n">
        <x:v>3828.2188</x:v>
      </x:c>
      <x:c r="G1562" s="12" t="n">
        <x:v>3836.028</x:v>
      </x:c>
      <x:c r="H1562" s="12" t="n">
        <x:v>-7.8092</x:v>
      </x:c>
      <x:c r="I1562" s="12" t="n">
        <x:v>-0.2036</x:v>
      </x:c>
      <x:c r="J1562" s="12" t="n">
        <x:v>-0.0020378265226173122</x:v>
      </x:c>
      <x:c r="K1562" s="12" t="n">
        <x:v>65278148</x:v>
      </x:c>
      <x:c r="L1562" s="12" t="n">
        <x:v>130559415.566</x:v>
      </x:c>
      <x:c r="M1562" s="12" t="str">
        <x:v>TuShare index_daily</x:v>
      </x:c>
    </x:row>
    <x:row r="1563" ht="18" customHeight="1">
      <x:c r="A1563" s="13" t="n">
        <x:v>44921</x:v>
      </x:c>
      <x:c r="B1563" s="12" t="str">
        <x:v>000300.SH</x:v>
      </x:c>
      <x:c r="C1563" s="12" t="n">
        <x:v>3830.5682</x:v>
      </x:c>
      <x:c r="D1563" s="12" t="n">
        <x:v>3856.8066</x:v>
      </x:c>
      <x:c r="E1563" s="12" t="n">
        <x:v>3827.5186</x:v>
      </x:c>
      <x:c r="F1563" s="12" t="n">
        <x:v>3843.4887</x:v>
      </x:c>
      <x:c r="G1563" s="12" t="n">
        <x:v>3828.2188</x:v>
      </x:c>
      <x:c r="H1563" s="12" t="n">
        <x:v>15.2699</x:v>
      </x:c>
      <x:c r="I1563" s="12" t="n">
        <x:v>0.3989</x:v>
      </x:c>
      <x:c r="J1563" s="12" t="n">
        <x:v>0.003980840032099933</x:v>
      </x:c>
      <x:c r="K1563" s="12" t="n">
        <x:v>73005712</x:v>
      </x:c>
      <x:c r="L1563" s="12" t="n">
        <x:v>148692832.422</x:v>
      </x:c>
      <x:c r="M1563" s="12" t="str">
        <x:v>TuShare index_daily</x:v>
      </x:c>
    </x:row>
    <x:row r="1564" ht="18" customHeight="1">
      <x:c r="A1564" s="13" t="n">
        <x:v>44922</x:v>
      </x:c>
      <x:c r="B1564" s="12" t="str">
        <x:v>000300.SH</x:v>
      </x:c>
      <x:c r="C1564" s="12" t="n">
        <x:v>3860.9054</x:v>
      </x:c>
      <x:c r="D1564" s="12" t="n">
        <x:v>3891.8497</x:v>
      </x:c>
      <x:c r="E1564" s="12" t="n">
        <x:v>3856.58</x:v>
      </x:c>
      <x:c r="F1564" s="12" t="n">
        <x:v>3887.854</x:v>
      </x:c>
      <x:c r="G1564" s="12" t="n">
        <x:v>3843.4887</x:v>
      </x:c>
      <x:c r="H1564" s="12" t="n">
        <x:v>44.3653</x:v>
      </x:c>
      <x:c r="I1564" s="12" t="n">
        <x:v>1.1543</x:v>
      </x:c>
      <x:c r="J1564" s="12" t="n">
        <x:v>0.011476864678682468</x:v>
      </x:c>
      <x:c r="K1564" s="12" t="n">
        <x:v>77515350</x:v>
      </x:c>
      <x:c r="L1564" s="12" t="n">
        <x:v>152032206.631</x:v>
      </x:c>
      <x:c r="M1564" s="12" t="str">
        <x:v>TuShare index_daily</x:v>
      </x:c>
    </x:row>
    <x:row r="1565" ht="18" customHeight="1">
      <x:c r="A1565" s="13" t="n">
        <x:v>44923</x:v>
      </x:c>
      <x:c r="B1565" s="12" t="str">
        <x:v>000300.SH</x:v>
      </x:c>
      <x:c r="C1565" s="12" t="n">
        <x:v>3874.9132</x:v>
      </x:c>
      <x:c r="D1565" s="12" t="n">
        <x:v>3884.7205</x:v>
      </x:c>
      <x:c r="E1565" s="12" t="n">
        <x:v>3854.9406</x:v>
      </x:c>
      <x:c r="F1565" s="12" t="n">
        <x:v>3871.2644</x:v>
      </x:c>
      <x:c r="G1565" s="12" t="n">
        <x:v>3887.854</x:v>
      </x:c>
      <x:c r="H1565" s="12" t="n">
        <x:v>-16.5896</x:v>
      </x:c>
      <x:c r="I1565" s="12" t="n">
        <x:v>-0.4267</x:v>
      </x:c>
      <x:c r="J1565" s="12" t="n">
        <x:v>-0.004276162425663309</x:v>
      </x:c>
      <x:c r="K1565" s="12" t="n">
        <x:v>84424656</x:v>
      </x:c>
      <x:c r="L1565" s="12" t="n">
        <x:v>160671122.031</x:v>
      </x:c>
      <x:c r="M1565" s="12" t="str">
        <x:v>TuShare index_daily</x:v>
      </x:c>
    </x:row>
    <x:row r="1566" ht="18" customHeight="1">
      <x:c r="A1566" s="13" t="n">
        <x:v>44924</x:v>
      </x:c>
      <x:c r="B1566" s="12" t="str">
        <x:v>000300.SH</x:v>
      </x:c>
      <x:c r="C1566" s="12" t="n">
        <x:v>3854.2363</x:v>
      </x:c>
      <x:c r="D1566" s="12" t="n">
        <x:v>3868.2933</x:v>
      </x:c>
      <x:c r="E1566" s="12" t="n">
        <x:v>3838.4803</x:v>
      </x:c>
      <x:c r="F1566" s="12" t="n">
        <x:v>3856.7007</x:v>
      </x:c>
      <x:c r="G1566" s="12" t="n">
        <x:v>3871.2644</x:v>
      </x:c>
      <x:c r="H1566" s="12" t="n">
        <x:v>-14.5637</x:v>
      </x:c>
      <x:c r="I1566" s="12" t="n">
        <x:v>-0.3762</x:v>
      </x:c>
      <x:c r="J1566" s="12" t="n">
        <x:v>-0.0037690949823474674</x:v>
      </x:c>
      <x:c r="K1566" s="12" t="n">
        <x:v>79394815</x:v>
      </x:c>
      <x:c r="L1566" s="12" t="n">
        <x:v>149011372.437</x:v>
      </x:c>
      <x:c r="M1566" s="12" t="str">
        <x:v>TuShare index_daily</x:v>
      </x:c>
    </x:row>
    <x:row r="1567" ht="18" customHeight="1">
      <x:c r="A1567" s="13" t="n">
        <x:v>44925</x:v>
      </x:c>
      <x:c r="B1567" s="12" t="str">
        <x:v>000300.SH</x:v>
      </x:c>
      <x:c r="C1567" s="12" t="n">
        <x:v>3873.9358</x:v>
      </x:c>
      <x:c r="D1567" s="12" t="n">
        <x:v>3887.5527</x:v>
      </x:c>
      <x:c r="E1567" s="12" t="n">
        <x:v>3868.7569</x:v>
      </x:c>
      <x:c r="F1567" s="12" t="n">
        <x:v>3871.6338</x:v>
      </x:c>
      <x:c r="G1567" s="12" t="n">
        <x:v>3856.7007</x:v>
      </x:c>
      <x:c r="H1567" s="12" t="n">
        <x:v>14.9331</x:v>
      </x:c>
      <x:c r="I1567" s="12" t="n">
        <x:v>0.3872</x:v>
      </x:c>
      <x:c r="J1567" s="12" t="n">
        <x:v>0.003864511450635922</x:v>
      </x:c>
      <x:c r="K1567" s="12" t="n">
        <x:v>78773272</x:v>
      </x:c>
      <x:c r="L1567" s="12" t="n">
        <x:v>148295049.382</x:v>
      </x:c>
      <x:c r="M1567" s="12" t="str">
        <x:v>TuShare index_daily</x:v>
      </x:c>
    </x:row>
    <x:row r="1568" ht="18" customHeight="1">
      <x:c r="A1568" s="13" t="n">
        <x:v>44929</x:v>
      </x:c>
      <x:c r="B1568" s="12" t="str">
        <x:v>000300.SH</x:v>
      </x:c>
      <x:c r="C1568" s="12" t="n">
        <x:v>3864.8356</x:v>
      </x:c>
      <x:c r="D1568" s="12" t="n">
        <x:v>3893.9904</x:v>
      </x:c>
      <x:c r="E1568" s="12" t="n">
        <x:v>3831.245</x:v>
      </x:c>
      <x:c r="F1568" s="12" t="n">
        <x:v>3887.8992</x:v>
      </x:c>
      <x:c r="G1568" s="12" t="n">
        <x:v>3871.6338</x:v>
      </x:c>
      <x:c r="H1568" s="12" t="n">
        <x:v>16.2654</x:v>
      </x:c>
      <x:c r="I1568" s="12" t="n">
        <x:v>0.4201</x:v>
      </x:c>
      <x:c r="J1568" s="12" t="n">
        <x:v>0.004192371840768464</x:v>
      </x:c>
      <x:c r="K1568" s="12" t="n">
        <x:v>115051875</x:v>
      </x:c>
      <x:c r="L1568" s="12" t="n">
        <x:v>207540165.953</x:v>
      </x:c>
      <x:c r="M1568" s="12" t="str">
        <x:v>TuShare index_daily</x:v>
      </x:c>
    </x:row>
    <x:row r="1569" ht="18" customHeight="1">
      <x:c r="A1569" s="13" t="n">
        <x:v>44930</x:v>
      </x:c>
      <x:c r="B1569" s="12" t="str">
        <x:v>000300.SH</x:v>
      </x:c>
      <x:c r="C1569" s="12" t="n">
        <x:v>3886.2504</x:v>
      </x:c>
      <x:c r="D1569" s="12" t="n">
        <x:v>3905.9032</x:v>
      </x:c>
      <x:c r="E1569" s="12" t="n">
        <x:v>3873.6549</x:v>
      </x:c>
      <x:c r="F1569" s="12" t="n">
        <x:v>3892.9477</x:v>
      </x:c>
      <x:c r="G1569" s="12" t="n">
        <x:v>3887.8992</x:v>
      </x:c>
      <x:c r="H1569" s="12" t="n">
        <x:v>5.0485</x:v>
      </x:c>
      <x:c r="I1569" s="12" t="n">
        <x:v>0.1299</x:v>
      </x:c>
      <x:c r="J1569" s="12" t="n">
        <x:v>0.0012976738325117976</x:v>
      </x:c>
      <x:c r="K1569" s="12" t="n">
        <x:v>110660743</x:v>
      </x:c>
      <x:c r="L1569" s="12" t="n">
        <x:v>198997711.686</x:v>
      </x:c>
      <x:c r="M1569" s="12" t="str">
        <x:v>TuShare index_daily</x:v>
      </x:c>
    </x:row>
    <x:row r="1570" ht="18" customHeight="1">
      <x:c r="A1570" s="13" t="n">
        <x:v>44931</x:v>
      </x:c>
      <x:c r="B1570" s="12" t="str">
        <x:v>000300.SH</x:v>
      </x:c>
      <x:c r="C1570" s="12" t="n">
        <x:v>3913.4928</x:v>
      </x:c>
      <x:c r="D1570" s="12" t="n">
        <x:v>3974.875</x:v>
      </x:c>
      <x:c r="E1570" s="12" t="n">
        <x:v>3912.26</x:v>
      </x:c>
      <x:c r="F1570" s="12" t="n">
        <x:v>3968.5782</x:v>
      </x:c>
      <x:c r="G1570" s="12" t="n">
        <x:v>3892.9477</x:v>
      </x:c>
      <x:c r="H1570" s="12" t="n">
        <x:v>75.6305</x:v>
      </x:c>
      <x:c r="I1570" s="12" t="n">
        <x:v>1.9428</x:v>
      </x:c>
      <x:c r="J1570" s="12" t="n">
        <x:v>0.019241260364231842</x:v>
      </x:c>
      <x:c r="K1570" s="12" t="n">
        <x:v>116502395</x:v>
      </x:c>
      <x:c r="L1570" s="12" t="n">
        <x:v>256312608.292</x:v>
      </x:c>
      <x:c r="M1570" s="12" t="str">
        <x:v>TuShare index_daily</x:v>
      </x:c>
    </x:row>
    <x:row r="1571" ht="18" customHeight="1">
      <x:c r="A1571" s="13" t="n">
        <x:v>44932</x:v>
      </x:c>
      <x:c r="B1571" s="12" t="str">
        <x:v>000300.SH</x:v>
      </x:c>
      <x:c r="C1571" s="12" t="n">
        <x:v>3969.5493</x:v>
      </x:c>
      <x:c r="D1571" s="12" t="n">
        <x:v>4000.4143</x:v>
      </x:c>
      <x:c r="E1571" s="12" t="n">
        <x:v>3966.4696</x:v>
      </x:c>
      <x:c r="F1571" s="12" t="n">
        <x:v>3980.8888</x:v>
      </x:c>
      <x:c r="G1571" s="12" t="n">
        <x:v>3968.5782</x:v>
      </x:c>
      <x:c r="H1571" s="12" t="n">
        <x:v>12.3106</x:v>
      </x:c>
      <x:c r="I1571" s="12" t="n">
        <x:v>0.3102</x:v>
      </x:c>
      <x:c r="J1571" s="12" t="n">
        <x:v>0.0030972164148969136</x:v>
      </x:c>
      <x:c r="K1571" s="12" t="n">
        <x:v>110953038</x:v>
      </x:c>
      <x:c r="L1571" s="12" t="n">
        <x:v>235744305.582</x:v>
      </x:c>
      <x:c r="M1571" s="12" t="str">
        <x:v>TuShare index_daily</x:v>
      </x:c>
    </x:row>
    <x:row r="1572" ht="18" customHeight="1">
      <x:c r="A1572" s="13" t="n">
        <x:v>44935</x:v>
      </x:c>
      <x:c r="B1572" s="12" t="str">
        <x:v>000300.SH</x:v>
      </x:c>
      <x:c r="C1572" s="12" t="n">
        <x:v>3998.5278</x:v>
      </x:c>
      <x:c r="D1572" s="12" t="n">
        <x:v>4023.0898</x:v>
      </x:c>
      <x:c r="E1572" s="12" t="n">
        <x:v>3990.7073</x:v>
      </x:c>
      <x:c r="F1572" s="12" t="n">
        <x:v>4013.1196</x:v>
      </x:c>
      <x:c r="G1572" s="12" t="n">
        <x:v>3980.8888</x:v>
      </x:c>
      <x:c r="H1572" s="12" t="n">
        <x:v>32.2308</x:v>
      </x:c>
      <x:c r="I1572" s="12" t="n">
        <x:v>0.8096</x:v>
      </x:c>
      <x:c r="J1572" s="12" t="n">
        <x:v>0.008063783032646063</x:v>
      </x:c>
      <x:c r="K1572" s="12" t="n">
        <x:v>117054425</x:v>
      </x:c>
      <x:c r="L1572" s="12" t="n">
        <x:v>233212426.458</x:v>
      </x:c>
      <x:c r="M1572" s="12" t="str">
        <x:v>TuShare index_daily</x:v>
      </x:c>
    </x:row>
    <x:row r="1573" ht="18" customHeight="1">
      <x:c r="A1573" s="13" t="n">
        <x:v>44936</x:v>
      </x:c>
      <x:c r="B1573" s="12" t="str">
        <x:v>000300.SH</x:v>
      </x:c>
      <x:c r="C1573" s="12" t="n">
        <x:v>4014.7125</x:v>
      </x:c>
      <x:c r="D1573" s="12" t="n">
        <x:v>4030.4574</x:v>
      </x:c>
      <x:c r="E1573" s="12" t="n">
        <x:v>4002.2297</x:v>
      </x:c>
      <x:c r="F1573" s="12" t="n">
        <x:v>4017.4737</x:v>
      </x:c>
      <x:c r="G1573" s="12" t="n">
        <x:v>4013.1196</x:v>
      </x:c>
      <x:c r="H1573" s="12" t="n">
        <x:v>4.3541</x:v>
      </x:c>
      <x:c r="I1573" s="12" t="n">
        <x:v>0.1085</x:v>
      </x:c>
      <x:c r="J1573" s="12" t="n">
        <x:v>0.001084378267956015</x:v>
      </x:c>
      <x:c r="K1573" s="12" t="n">
        <x:v>101751141</x:v>
      </x:c>
      <x:c r="L1573" s="12" t="n">
        <x:v>214871166.24</x:v>
      </x:c>
      <x:c r="M1573" s="12" t="str">
        <x:v>TuShare index_daily</x:v>
      </x:c>
    </x:row>
    <x:row r="1574" ht="18" customHeight="1">
      <x:c r="A1574" s="13" t="n">
        <x:v>44937</x:v>
      </x:c>
      <x:c r="B1574" s="12" t="str">
        <x:v>000300.SH</x:v>
      </x:c>
      <x:c r="C1574" s="12" t="n">
        <x:v>4019.8844</x:v>
      </x:c>
      <x:c r="D1574" s="12" t="n">
        <x:v>4043.3991</x:v>
      </x:c>
      <x:c r="E1574" s="12" t="n">
        <x:v>4008.0153</x:v>
      </x:c>
      <x:c r="F1574" s="12" t="n">
        <x:v>4010.0309</x:v>
      </x:c>
      <x:c r="G1574" s="12" t="n">
        <x:v>4017.4737</x:v>
      </x:c>
      <x:c r="H1574" s="12" t="n">
        <x:v>-7.4428</x:v>
      </x:c>
      <x:c r="I1574" s="12" t="n">
        <x:v>-0.1853</x:v>
      </x:c>
      <x:c r="J1574" s="12" t="n">
        <x:v>-0.0018543252239770138</x:v>
      </x:c>
      <x:c r="K1574" s="12" t="n">
        <x:v>99997889</x:v>
      </x:c>
      <x:c r="L1574" s="12" t="n">
        <x:v>203000262.961</x:v>
      </x:c>
      <x:c r="M1574" s="12" t="str">
        <x:v>TuShare index_daily</x:v>
      </x:c>
    </x:row>
    <x:row r="1575" ht="18" customHeight="1">
      <x:c r="A1575" s="13" t="n">
        <x:v>44938</x:v>
      </x:c>
      <x:c r="B1575" s="12" t="str">
        <x:v>000300.SH</x:v>
      </x:c>
      <x:c r="C1575" s="12" t="n">
        <x:v>4021.7547</x:v>
      </x:c>
      <x:c r="D1575" s="12" t="n">
        <x:v>4030.2876</x:v>
      </x:c>
      <x:c r="E1575" s="12" t="n">
        <x:v>4003.5079</x:v>
      </x:c>
      <x:c r="F1575" s="12" t="n">
        <x:v>4017.8692</x:v>
      </x:c>
      <x:c r="G1575" s="12" t="n">
        <x:v>4010.0309</x:v>
      </x:c>
      <x:c r="H1575" s="12" t="n">
        <x:v>7.8383</x:v>
      </x:c>
      <x:c r="I1575" s="12" t="n">
        <x:v>0.1955</x:v>
      </x:c>
      <x:c r="J1575" s="12" t="n">
        <x:v>0.0019527653292073786</x:v>
      </x:c>
      <x:c r="K1575" s="12" t="n">
        <x:v>90552627</x:v>
      </x:c>
      <x:c r="L1575" s="12" t="n">
        <x:v>183686268.107</x:v>
      </x:c>
      <x:c r="M1575" s="12" t="str">
        <x:v>TuShare index_daily</x:v>
      </x:c>
    </x:row>
    <x:row r="1576" ht="18" customHeight="1">
      <x:c r="A1576" s="13" t="n">
        <x:v>44939</x:v>
      </x:c>
      <x:c r="B1576" s="12" t="str">
        <x:v>000300.SH</x:v>
      </x:c>
      <x:c r="C1576" s="12" t="n">
        <x:v>4032.2906</x:v>
      </x:c>
      <x:c r="D1576" s="12" t="n">
        <x:v>4074.3772</x:v>
      </x:c>
      <x:c r="E1576" s="12" t="n">
        <x:v>4027.8864</x:v>
      </x:c>
      <x:c r="F1576" s="12" t="n">
        <x:v>4074.3772</x:v>
      </x:c>
      <x:c r="G1576" s="12" t="n">
        <x:v>4017.8692</x:v>
      </x:c>
      <x:c r="H1576" s="12" t="n">
        <x:v>56.508</x:v>
      </x:c>
      <x:c r="I1576" s="12" t="n">
        <x:v>1.4064</x:v>
      </x:c>
      <x:c r="J1576" s="12" t="n">
        <x:v>0.013966188302980416</x:v>
      </x:c>
      <x:c r="K1576" s="12" t="n">
        <x:v>95871896</x:v>
      </x:c>
      <x:c r="L1576" s="12" t="n">
        <x:v>212173997.498</x:v>
      </x:c>
      <x:c r="M1576" s="12" t="str">
        <x:v>TuShare index_daily</x:v>
      </x:c>
    </x:row>
    <x:row r="1577" ht="18" customHeight="1">
      <x:c r="A1577" s="13" t="n">
        <x:v>44942</x:v>
      </x:c>
      <x:c r="B1577" s="12" t="str">
        <x:v>000300.SH</x:v>
      </x:c>
      <x:c r="C1577" s="12" t="n">
        <x:v>4077.8793</x:v>
      </x:c>
      <x:c r="D1577" s="12" t="n">
        <x:v>4177.1035</x:v>
      </x:c>
      <x:c r="E1577" s="12" t="n">
        <x:v>4076.6394</x:v>
      </x:c>
      <x:c r="F1577" s="12" t="n">
        <x:v>4137.9643</x:v>
      </x:c>
      <x:c r="G1577" s="12" t="n">
        <x:v>4074.3772</x:v>
      </x:c>
      <x:c r="H1577" s="12" t="n">
        <x:v>63.5871</x:v>
      </x:c>
      <x:c r="I1577" s="12" t="n">
        <x:v>1.5607</x:v>
      </x:c>
      <x:c r="J1577" s="12" t="n">
        <x:v>0.015486051273287112</x:v>
      </x:c>
      <x:c r="K1577" s="12" t="n">
        <x:v>151395455</x:v>
      </x:c>
      <x:c r="L1577" s="12" t="n">
        <x:v>319007749.371</x:v>
      </x:c>
      <x:c r="M1577" s="12" t="str">
        <x:v>TuShare index_daily</x:v>
      </x:c>
    </x:row>
    <x:row r="1578" ht="18" customHeight="1">
      <x:c r="A1578" s="13" t="n">
        <x:v>44943</x:v>
      </x:c>
      <x:c r="B1578" s="12" t="str">
        <x:v>000300.SH</x:v>
      </x:c>
      <x:c r="C1578" s="12" t="n">
        <x:v>4138.8433</x:v>
      </x:c>
      <x:c r="D1578" s="12" t="n">
        <x:v>4148.5838</x:v>
      </x:c>
      <x:c r="E1578" s="12" t="n">
        <x:v>4118.157</x:v>
      </x:c>
      <x:c r="F1578" s="12" t="n">
        <x:v>4137.2422</x:v>
      </x:c>
      <x:c r="G1578" s="12" t="n">
        <x:v>4137.9643</x:v>
      </x:c>
      <x:c r="H1578" s="12" t="n">
        <x:v>-0.7221</x:v>
      </x:c>
      <x:c r="I1578" s="12" t="n">
        <x:v>-0.0175</x:v>
      </x:c>
      <x:c r="J1578" s="12" t="n">
        <x:v>-0.0001745213250770172</x:v>
      </x:c>
      <x:c r="K1578" s="12" t="n">
        <x:v>95479040</x:v>
      </x:c>
      <x:c r="L1578" s="12" t="n">
        <x:v>204381576.523</x:v>
      </x:c>
      <x:c r="M1578" s="12" t="str">
        <x:v>TuShare index_daily</x:v>
      </x:c>
    </x:row>
    <x:row r="1579" ht="18" customHeight="1">
      <x:c r="A1579" s="13" t="n">
        <x:v>44944</x:v>
      </x:c>
      <x:c r="B1579" s="12" t="str">
        <x:v>000300.SH</x:v>
      </x:c>
      <x:c r="C1579" s="12" t="n">
        <x:v>4140.1019</x:v>
      </x:c>
      <x:c r="D1579" s="12" t="n">
        <x:v>4151.4577</x:v>
      </x:c>
      <x:c r="E1579" s="12" t="n">
        <x:v>4125.7687</x:v>
      </x:c>
      <x:c r="F1579" s="12" t="n">
        <x:v>4130.3143</x:v>
      </x:c>
      <x:c r="G1579" s="12" t="n">
        <x:v>4137.2422</x:v>
      </x:c>
      <x:c r="H1579" s="12" t="n">
        <x:v>-6.9279</x:v>
      </x:c>
      <x:c r="I1579" s="12" t="n">
        <x:v>-0.1675</x:v>
      </x:c>
      <x:c r="J1579" s="12" t="n">
        <x:v>-0.0016759248325780656</x:v>
      </x:c>
      <x:c r="K1579" s="12" t="n">
        <x:v>84200645</x:v>
      </x:c>
      <x:c r="L1579" s="12" t="n">
        <x:v>172126171.819</x:v>
      </x:c>
      <x:c r="M1579" s="12" t="str">
        <x:v>TuShare index_daily</x:v>
      </x:c>
    </x:row>
    <x:row r="1580" ht="18" customHeight="1">
      <x:c r="A1580" s="13" t="n">
        <x:v>44945</x:v>
      </x:c>
      <x:c r="B1580" s="12" t="str">
        <x:v>000300.SH</x:v>
      </x:c>
      <x:c r="C1580" s="12" t="n">
        <x:v>4125.5772</x:v>
      </x:c>
      <x:c r="D1580" s="12" t="n">
        <x:v>4156.0077</x:v>
      </x:c>
      <x:c r="E1580" s="12" t="n">
        <x:v>4105.9797</x:v>
      </x:c>
      <x:c r="F1580" s="12" t="n">
        <x:v>4156.0077</x:v>
      </x:c>
      <x:c r="G1580" s="12" t="n">
        <x:v>4130.3143</x:v>
      </x:c>
      <x:c r="H1580" s="12" t="n">
        <x:v>25.6934</x:v>
      </x:c>
      <x:c r="I1580" s="12" t="n">
        <x:v>0.6221</x:v>
      </x:c>
      <x:c r="J1580" s="12" t="n">
        <x:v>0.0062014202060171756</x:v>
      </x:c>
      <x:c r="K1580" s="12" t="n">
        <x:v>94608398</x:v>
      </x:c>
      <x:c r="L1580" s="12" t="n">
        <x:v>192699589.774</x:v>
      </x:c>
      <x:c r="M1580" s="12" t="str">
        <x:v>TuShare index_daily</x:v>
      </x:c>
    </x:row>
    <x:row r="1581" ht="18" customHeight="1">
      <x:c r="A1581" s="13" t="n">
        <x:v>44946</x:v>
      </x:c>
      <x:c r="B1581" s="12" t="str">
        <x:v>000300.SH</x:v>
      </x:c>
      <x:c r="C1581" s="12" t="n">
        <x:v>4166.8444</x:v>
      </x:c>
      <x:c r="D1581" s="12" t="n">
        <x:v>4189.831</x:v>
      </x:c>
      <x:c r="E1581" s="12" t="n">
        <x:v>4161.6698</x:v>
      </x:c>
      <x:c r="F1581" s="12" t="n">
        <x:v>4181.5267</x:v>
      </x:c>
      <x:c r="G1581" s="12" t="n">
        <x:v>4156.0077</x:v>
      </x:c>
      <x:c r="H1581" s="12" t="n">
        <x:v>25.519</x:v>
      </x:c>
      <x:c r="I1581" s="12" t="n">
        <x:v>0.614</x:v>
      </x:c>
      <x:c r="J1581" s="12" t="n">
        <x:v>0.006121493109215215</x:v>
      </x:c>
      <x:c r="K1581" s="12" t="n">
        <x:v>123553809</x:v>
      </x:c>
      <x:c r="L1581" s="12" t="n">
        <x:v>222342455.101</x:v>
      </x:c>
      <x:c r="M1581" s="12" t="str">
        <x:v>TuShare index_daily</x:v>
      </x:c>
    </x:row>
    <x:row r="1582" ht="18" customHeight="1">
      <x:c r="A1582" s="13" t="n">
        <x:v>44956</x:v>
      </x:c>
      <x:c r="B1582" s="12" t="str">
        <x:v>000300.SH</x:v>
      </x:c>
      <x:c r="C1582" s="12" t="n">
        <x:v>4267.6248</x:v>
      </x:c>
      <x:c r="D1582" s="12" t="n">
        <x:v>4268.1522</x:v>
      </x:c>
      <x:c r="E1582" s="12" t="n">
        <x:v>4197.8596</x:v>
      </x:c>
      <x:c r="F1582" s="12" t="n">
        <x:v>4201.345</x:v>
      </x:c>
      <x:c r="G1582" s="12" t="n">
        <x:v>4181.5267</x:v>
      </x:c>
      <x:c r="H1582" s="12" t="n">
        <x:v>19.8183</x:v>
      </x:c>
      <x:c r="I1582" s="12" t="n">
        <x:v>0.4739</x:v>
      </x:c>
      <x:c r="J1582" s="12" t="n">
        <x:v>0.004728293031784344</x:v>
      </x:c>
      <x:c r="K1582" s="12" t="n">
        <x:v>164607064</x:v>
      </x:c>
      <x:c r="L1582" s="12" t="n">
        <x:v>330193322.092</x:v>
      </x:c>
      <x:c r="M1582" s="12" t="str">
        <x:v>TuShare index_daily</x:v>
      </x:c>
    </x:row>
    <x:row r="1583" ht="18" customHeight="1">
      <x:c r="A1583" s="13" t="n">
        <x:v>44957</x:v>
      </x:c>
      <x:c r="B1583" s="12" t="str">
        <x:v>000300.SH</x:v>
      </x:c>
      <x:c r="C1583" s="12" t="n">
        <x:v>4200.5813</x:v>
      </x:c>
      <x:c r="D1583" s="12" t="n">
        <x:v>4212.7347</x:v>
      </x:c>
      <x:c r="E1583" s="12" t="n">
        <x:v>4153.0484</x:v>
      </x:c>
      <x:c r="F1583" s="12" t="n">
        <x:v>4156.8578</x:v>
      </x:c>
      <x:c r="G1583" s="12" t="n">
        <x:v>4201.345</x:v>
      </x:c>
      <x:c r="H1583" s="12" t="n">
        <x:v>-44.4872</x:v>
      </x:c>
      <x:c r="I1583" s="12" t="n">
        <x:v>-1.0589</x:v>
      </x:c>
      <x:c r="J1583" s="12" t="n">
        <x:v>-0.010645259794948916</x:v>
      </x:c>
      <x:c r="K1583" s="12" t="n">
        <x:v>124550835</x:v>
      </x:c>
      <x:c r="L1583" s="12" t="n">
        <x:v>249365321.627</x:v>
      </x:c>
      <x:c r="M1583" s="12" t="str">
        <x:v>TuShare index_daily</x:v>
      </x:c>
    </x:row>
    <x:row r="1584" ht="18" customHeight="1">
      <x:c r="A1584" s="13" t="n">
        <x:v>44958</x:v>
      </x:c>
      <x:c r="B1584" s="12" t="str">
        <x:v>000300.SH</x:v>
      </x:c>
      <x:c r="C1584" s="12" t="n">
        <x:v>4170.1322</x:v>
      </x:c>
      <x:c r="D1584" s="12" t="n">
        <x:v>4195.9332</x:v>
      </x:c>
      <x:c r="E1584" s="12" t="n">
        <x:v>4137.7659</x:v>
      </x:c>
      <x:c r="F1584" s="12" t="n">
        <x:v>4195.9332</x:v>
      </x:c>
      <x:c r="G1584" s="12" t="n">
        <x:v>4156.8578</x:v>
      </x:c>
      <x:c r="H1584" s="12" t="n">
        <x:v>39.0754</x:v>
      </x:c>
      <x:c r="I1584" s="12" t="n">
        <x:v>0.94</x:v>
      </x:c>
      <x:c r="J1584" s="12" t="n">
        <x:v>0.009356318159253127</x:v>
      </x:c>
      <x:c r="K1584" s="12" t="n">
        <x:v>141008954</x:v>
      </x:c>
      <x:c r="L1584" s="12" t="n">
        <x:v>265553944.709</x:v>
      </x:c>
      <x:c r="M1584" s="12" t="str">
        <x:v>TuShare index_daily</x:v>
      </x:c>
    </x:row>
    <x:row r="1585" ht="18" customHeight="1">
      <x:c r="A1585" s="13" t="n">
        <x:v>44959</x:v>
      </x:c>
      <x:c r="B1585" s="12" t="str">
        <x:v>000300.SH</x:v>
      </x:c>
      <x:c r="C1585" s="12" t="n">
        <x:v>4207.4123</x:v>
      </x:c>
      <x:c r="D1585" s="12" t="n">
        <x:v>4207.4123</x:v>
      </x:c>
      <x:c r="E1585" s="12" t="n">
        <x:v>4170.5565</x:v>
      </x:c>
      <x:c r="F1585" s="12" t="n">
        <x:v>4181.1493</x:v>
      </x:c>
      <x:c r="G1585" s="12" t="n">
        <x:v>4195.9332</x:v>
      </x:c>
      <x:c r="H1585" s="12" t="n">
        <x:v>-14.7839</x:v>
      </x:c>
      <x:c r="I1585" s="12" t="n">
        <x:v>-0.3523</x:v>
      </x:c>
      <x:c r="J1585" s="12" t="n">
        <x:v>-0.0035296095862316335</x:v>
      </x:c>
      <x:c r="K1585" s="12" t="n">
        <x:v>133823736</x:v>
      </x:c>
      <x:c r="L1585" s="12" t="n">
        <x:v>262497434.837</x:v>
      </x:c>
      <x:c r="M1585" s="12" t="str">
        <x:v>TuShare index_daily</x:v>
      </x:c>
    </x:row>
    <x:row r="1586" ht="18" customHeight="1">
      <x:c r="A1586" s="13" t="n">
        <x:v>44960</x:v>
      </x:c>
      <x:c r="B1586" s="12" t="str">
        <x:v>000300.SH</x:v>
      </x:c>
      <x:c r="C1586" s="12" t="n">
        <x:v>4162.0258</x:v>
      </x:c>
      <x:c r="D1586" s="12" t="n">
        <x:v>4162.0258</x:v>
      </x:c>
      <x:c r="E1586" s="12" t="n">
        <x:v>4103.1654</x:v>
      </x:c>
      <x:c r="F1586" s="12" t="n">
        <x:v>4141.6319</x:v>
      </x:c>
      <x:c r="G1586" s="12" t="n">
        <x:v>4181.1493</x:v>
      </x:c>
      <x:c r="H1586" s="12" t="n">
        <x:v>-39.5174</x:v>
      </x:c>
      <x:c r="I1586" s="12" t="n">
        <x:v>-0.9451</x:v>
      </x:c>
      <x:c r="J1586" s="12" t="n">
        <x:v>-0.009496271984206292</x:v>
      </x:c>
      <x:c r="K1586" s="12" t="n">
        <x:v>117041221</x:v>
      </x:c>
      <x:c r="L1586" s="12" t="n">
        <x:v>226914770.044</x:v>
      </x:c>
      <x:c r="M1586" s="12" t="str">
        <x:v>TuShare index_daily</x:v>
      </x:c>
    </x:row>
    <x:row r="1587" ht="18" customHeight="1">
      <x:c r="A1587" s="13" t="n">
        <x:v>44963</x:v>
      </x:c>
      <x:c r="B1587" s="12" t="str">
        <x:v>000300.SH</x:v>
      </x:c>
      <x:c r="C1587" s="12" t="n">
        <x:v>4103.8307</x:v>
      </x:c>
      <x:c r="D1587" s="12" t="n">
        <x:v>4105.9445</x:v>
      </x:c>
      <x:c r="E1587" s="12" t="n">
        <x:v>4065.2224</x:v>
      </x:c>
      <x:c r="F1587" s="12" t="n">
        <x:v>4086.8779</x:v>
      </x:c>
      <x:c r="G1587" s="12" t="n">
        <x:v>4141.6319</x:v>
      </x:c>
      <x:c r="H1587" s="12" t="n">
        <x:v>-54.754</x:v>
      </x:c>
      <x:c r="I1587" s="12" t="n">
        <x:v>-1.322</x:v>
      </x:c>
      <x:c r="J1587" s="12" t="n">
        <x:v>-0.0133085599913791</x:v>
      </x:c>
      <x:c r="K1587" s="12" t="n">
        <x:v>110192717</x:v>
      </x:c>
      <x:c r="L1587" s="12" t="n">
        <x:v>226345113.969</x:v>
      </x:c>
      <x:c r="M1587" s="12" t="str">
        <x:v>TuShare index_daily</x:v>
      </x:c>
    </x:row>
    <x:row r="1588" ht="18" customHeight="1">
      <x:c r="A1588" s="13" t="n">
        <x:v>44964</x:v>
      </x:c>
      <x:c r="B1588" s="12" t="str">
        <x:v>000300.SH</x:v>
      </x:c>
      <x:c r="C1588" s="12" t="n">
        <x:v>4098.3117</x:v>
      </x:c>
      <x:c r="D1588" s="12" t="n">
        <x:v>4107.3438</x:v>
      </x:c>
      <x:c r="E1588" s="12" t="n">
        <x:v>4077.9623</x:v>
      </x:c>
      <x:c r="F1588" s="12" t="n">
        <x:v>4094.2335</x:v>
      </x:c>
      <x:c r="G1588" s="12" t="n">
        <x:v>4086.8779</x:v>
      </x:c>
      <x:c r="H1588" s="12" t="n">
        <x:v>7.3556</x:v>
      </x:c>
      <x:c r="I1588" s="12" t="n">
        <x:v>0.18</x:v>
      </x:c>
      <x:c r="J1588" s="12" t="n">
        <x:v>0.0017981913758129378</x:v>
      </x:c>
      <x:c r="K1588" s="12" t="n">
        <x:v>91360072</x:v>
      </x:c>
      <x:c r="L1588" s="12" t="n">
        <x:v>183537351.577</x:v>
      </x:c>
      <x:c r="M1588" s="12" t="str">
        <x:v>TuShare index_daily</x:v>
      </x:c>
    </x:row>
    <x:row r="1589" ht="18" customHeight="1">
      <x:c r="A1589" s="13" t="n">
        <x:v>44965</x:v>
      </x:c>
      <x:c r="B1589" s="12" t="str">
        <x:v>000300.SH</x:v>
      </x:c>
      <x:c r="C1589" s="12" t="n">
        <x:v>4099.8573</x:v>
      </x:c>
      <x:c r="D1589" s="12" t="n">
        <x:v>4111.4745</x:v>
      </x:c>
      <x:c r="E1589" s="12" t="n">
        <x:v>4072.6474</x:v>
      </x:c>
      <x:c r="F1589" s="12" t="n">
        <x:v>4076.1411</x:v>
      </x:c>
      <x:c r="G1589" s="12" t="n">
        <x:v>4094.2335</x:v>
      </x:c>
      <x:c r="H1589" s="12" t="n">
        <x:v>-18.0924</x:v>
      </x:c>
      <x:c r="I1589" s="12" t="n">
        <x:v>-0.4419</x:v>
      </x:c>
      <x:c r="J1589" s="12" t="n">
        <x:v>-0.004428788264437137</x:v>
      </x:c>
      <x:c r="K1589" s="12" t="n">
        <x:v>84786099</x:v>
      </x:c>
      <x:c r="L1589" s="12" t="n">
        <x:v>170591751.817</x:v>
      </x:c>
      <x:c r="M1589" s="12" t="str">
        <x:v>TuShare index_daily</x:v>
      </x:c>
    </x:row>
    <x:row r="1590" ht="18" customHeight="1">
      <x:c r="A1590" s="13" t="n">
        <x:v>44966</x:v>
      </x:c>
      <x:c r="B1590" s="12" t="str">
        <x:v>000300.SH</x:v>
      </x:c>
      <x:c r="C1590" s="12" t="n">
        <x:v>4067.5631</x:v>
      </x:c>
      <x:c r="D1590" s="12" t="n">
        <x:v>4130.8565</x:v>
      </x:c>
      <x:c r="E1590" s="12" t="n">
        <x:v>4064.7489</x:v>
      </x:c>
      <x:c r="F1590" s="12" t="n">
        <x:v>4130.8565</x:v>
      </x:c>
      <x:c r="G1590" s="12" t="n">
        <x:v>4076.1411</x:v>
      </x:c>
      <x:c r="H1590" s="12" t="n">
        <x:v>54.7154</x:v>
      </x:c>
      <x:c r="I1590" s="12" t="n">
        <x:v>1.3423</x:v>
      </x:c>
      <x:c r="J1590" s="12" t="n">
        <x:v>0.013334038426391324</x:v>
      </x:c>
      <x:c r="K1590" s="12" t="n">
        <x:v>102289961</x:v>
      </x:c>
      <x:c r="L1590" s="12" t="n">
        <x:v>211722604.859</x:v>
      </x:c>
      <x:c r="M1590" s="12" t="str">
        <x:v>TuShare index_daily</x:v>
      </x:c>
    </x:row>
    <x:row r="1591" ht="18" customHeight="1">
      <x:c r="A1591" s="13" t="n">
        <x:v>44967</x:v>
      </x:c>
      <x:c r="B1591" s="12" t="str">
        <x:v>000300.SH</x:v>
      </x:c>
      <x:c r="C1591" s="12" t="n">
        <x:v>4124.0986</x:v>
      </x:c>
      <x:c r="D1591" s="12" t="n">
        <x:v>4125.2893</x:v>
      </x:c>
      <x:c r="E1591" s="12" t="n">
        <x:v>4092.3472</x:v>
      </x:c>
      <x:c r="F1591" s="12" t="n">
        <x:v>4106.3097</x:v>
      </x:c>
      <x:c r="G1591" s="12" t="n">
        <x:v>4130.8565</x:v>
      </x:c>
      <x:c r="H1591" s="12" t="n">
        <x:v>-24.5468</x:v>
      </x:c>
      <x:c r="I1591" s="12" t="n">
        <x:v>-0.5942</x:v>
      </x:c>
      <x:c r="J1591" s="12" t="n">
        <x:v>-0.0059600285016594545</x:v>
      </x:c>
      <x:c r="K1591" s="12" t="n">
        <x:v>96716733</x:v>
      </x:c>
      <x:c r="L1591" s="12" t="n">
        <x:v>195348320.573</x:v>
      </x:c>
      <x:c r="M1591" s="12" t="str">
        <x:v>TuShare index_daily</x:v>
      </x:c>
    </x:row>
    <x:row r="1592" ht="18" customHeight="1">
      <x:c r="A1592" s="13" t="n">
        <x:v>44970</x:v>
      </x:c>
      <x:c r="B1592" s="12" t="str">
        <x:v>000300.SH</x:v>
      </x:c>
      <x:c r="C1592" s="12" t="n">
        <x:v>4098.8795</x:v>
      </x:c>
      <x:c r="D1592" s="12" t="n">
        <x:v>4146.45</x:v>
      </x:c>
      <x:c r="E1592" s="12" t="n">
        <x:v>4092.2729</x:v>
      </x:c>
      <x:c r="F1592" s="12" t="n">
        <x:v>4143.574</x:v>
      </x:c>
      <x:c r="G1592" s="12" t="n">
        <x:v>4106.3097</x:v>
      </x:c>
      <x:c r="H1592" s="12" t="n">
        <x:v>37.2643</x:v>
      </x:c>
      <x:c r="I1592" s="12" t="n">
        <x:v>0.9075</x:v>
      </x:c>
      <x:c r="J1592" s="12" t="n">
        <x:v>0.009033958487298481</x:v>
      </x:c>
      <x:c r="K1592" s="12" t="n">
        <x:v>128892577</x:v>
      </x:c>
      <x:c r="L1592" s="12" t="n">
        <x:v>251990181.554</x:v>
      </x:c>
      <x:c r="M1592" s="12" t="str">
        <x:v>TuShare index_daily</x:v>
      </x:c>
    </x:row>
    <x:row r="1593" ht="18" customHeight="1">
      <x:c r="A1593" s="13" t="n">
        <x:v>44971</x:v>
      </x:c>
      <x:c r="B1593" s="12" t="str">
        <x:v>000300.SH</x:v>
      </x:c>
      <x:c r="C1593" s="12" t="n">
        <x:v>4151.247</x:v>
      </x:c>
      <x:c r="D1593" s="12" t="n">
        <x:v>4152.0487</x:v>
      </x:c>
      <x:c r="E1593" s="12" t="n">
        <x:v>4125.2583</x:v>
      </x:c>
      <x:c r="F1593" s="12" t="n">
        <x:v>4145.2902</x:v>
      </x:c>
      <x:c r="G1593" s="12" t="n">
        <x:v>4143.574</x:v>
      </x:c>
      <x:c r="H1593" s="12" t="n">
        <x:v>1.7162</x:v>
      </x:c>
      <x:c r="I1593" s="12" t="n">
        <x:v>0.0414</x:v>
      </x:c>
      <x:c r="J1593" s="12" t="n">
        <x:v>0.00041409775407470783</x:v>
      </x:c>
      <x:c r="K1593" s="12" t="n">
        <x:v>102499890</x:v>
      </x:c>
      <x:c r="L1593" s="12" t="n">
        <x:v>204915435.75</x:v>
      </x:c>
      <x:c r="M1593" s="12" t="str">
        <x:v>TuShare index_daily</x:v>
      </x:c>
    </x:row>
    <x:row r="1594" ht="18" customHeight="1">
      <x:c r="A1594" s="13" t="n">
        <x:v>44972</x:v>
      </x:c>
      <x:c r="B1594" s="12" t="str">
        <x:v>000300.SH</x:v>
      </x:c>
      <x:c r="C1594" s="12" t="n">
        <x:v>4146.8547</x:v>
      </x:c>
      <x:c r="D1594" s="12" t="n">
        <x:v>4153.7159</x:v>
      </x:c>
      <x:c r="E1594" s="12" t="n">
        <x:v>4115.9671</x:v>
      </x:c>
      <x:c r="F1594" s="12" t="n">
        <x:v>4123.6893</x:v>
      </x:c>
      <x:c r="G1594" s="12" t="n">
        <x:v>4145.2902</x:v>
      </x:c>
      <x:c r="H1594" s="12" t="n">
        <x:v>-21.6009</x:v>
      </x:c>
      <x:c r="I1594" s="12" t="n">
        <x:v>-0.5211</x:v>
      </x:c>
      <x:c r="J1594" s="12" t="n">
        <x:v>-0.00522457435893855</x:v>
      </x:c>
      <x:c r="K1594" s="12" t="n">
        <x:v>121664508</x:v>
      </x:c>
      <x:c r="L1594" s="12" t="n">
        <x:v>219855528.966</x:v>
      </x:c>
      <x:c r="M1594" s="12" t="str">
        <x:v>TuShare index_daily</x:v>
      </x:c>
    </x:row>
    <x:row r="1595" ht="18" customHeight="1">
      <x:c r="A1595" s="13" t="n">
        <x:v>44973</x:v>
      </x:c>
      <x:c r="B1595" s="12" t="str">
        <x:v>000300.SH</x:v>
      </x:c>
      <x:c r="C1595" s="12" t="n">
        <x:v>4125.4087</x:v>
      </x:c>
      <x:c r="D1595" s="12" t="n">
        <x:v>4167.9003</x:v>
      </x:c>
      <x:c r="E1595" s="12" t="n">
        <x:v>4068.8591</x:v>
      </x:c>
      <x:c r="F1595" s="12" t="n">
        <x:v>4093.4876</x:v>
      </x:c>
      <x:c r="G1595" s="12" t="n">
        <x:v>4123.6893</x:v>
      </x:c>
      <x:c r="H1595" s="12" t="n">
        <x:v>-30.2017</x:v>
      </x:c>
      <x:c r="I1595" s="12" t="n">
        <x:v>-0.7324</x:v>
      </x:c>
      <x:c r="J1595" s="12" t="n">
        <x:v>-0.007350903203160604</x:v>
      </x:c>
      <x:c r="K1595" s="12" t="n">
        <x:v>159310585</x:v>
      </x:c>
      <x:c r="L1595" s="12" t="n">
        <x:v>281315625.589</x:v>
      </x:c>
      <x:c r="M1595" s="12" t="str">
        <x:v>TuShare index_daily</x:v>
      </x:c>
    </x:row>
    <x:row r="1596" ht="18" customHeight="1">
      <x:c r="A1596" s="13" t="n">
        <x:v>44974</x:v>
      </x:c>
      <x:c r="B1596" s="12" t="str">
        <x:v>000300.SH</x:v>
      </x:c>
      <x:c r="C1596" s="12" t="n">
        <x:v>4086.2237</x:v>
      </x:c>
      <x:c r="D1596" s="12" t="n">
        <x:v>4104.6398</x:v>
      </x:c>
      <x:c r="E1596" s="12" t="n">
        <x:v>4032.9285</x:v>
      </x:c>
      <x:c r="F1596" s="12" t="n">
        <x:v>4034.507</x:v>
      </x:c>
      <x:c r="G1596" s="12" t="n">
        <x:v>4093.4876</x:v>
      </x:c>
      <x:c r="H1596" s="12" t="n">
        <x:v>-58.9806</x:v>
      </x:c>
      <x:c r="I1596" s="12" t="n">
        <x:v>-1.4408</x:v>
      </x:c>
      <x:c r="J1596" s="12" t="n">
        <x:v>-0.014513207296915924</x:v>
      </x:c>
      <x:c r="K1596" s="12" t="n">
        <x:v>116142589</x:v>
      </x:c>
      <x:c r="L1596" s="12" t="n">
        <x:v>225737746.955</x:v>
      </x:c>
      <x:c r="M1596" s="12" t="str">
        <x:v>TuShare index_daily</x:v>
      </x:c>
    </x:row>
    <x:row r="1597" ht="18" customHeight="1">
      <x:c r="A1597" s="13" t="n">
        <x:v>44977</x:v>
      </x:c>
      <x:c r="B1597" s="12" t="str">
        <x:v>000300.SH</x:v>
      </x:c>
      <x:c r="C1597" s="12" t="n">
        <x:v>4039.9623</x:v>
      </x:c>
      <x:c r="D1597" s="12" t="n">
        <x:v>4134.8623</x:v>
      </x:c>
      <x:c r="E1597" s="12" t="n">
        <x:v>4035.4762</x:v>
      </x:c>
      <x:c r="F1597" s="12" t="n">
        <x:v>4133.4896</x:v>
      </x:c>
      <x:c r="G1597" s="12" t="n">
        <x:v>4034.507</x:v>
      </x:c>
      <x:c r="H1597" s="12" t="n">
        <x:v>98.9826</x:v>
      </x:c>
      <x:c r="I1597" s="12" t="n">
        <x:v>2.4534</x:v>
      </x:c>
      <x:c r="J1597" s="12" t="n">
        <x:v>0.02423787633960909</x:v>
      </x:c>
      <x:c r="K1597" s="12" t="n">
        <x:v>161794481</x:v>
      </x:c>
      <x:c r="L1597" s="12" t="n">
        <x:v>280122962.15</x:v>
      </x:c>
      <x:c r="M1597" s="12" t="str">
        <x:v>TuShare index_daily</x:v>
      </x:c>
    </x:row>
    <x:row r="1598" ht="18" customHeight="1">
      <x:c r="A1598" s="13" t="n">
        <x:v>44978</x:v>
      </x:c>
      <x:c r="B1598" s="12" t="str">
        <x:v>000300.SH</x:v>
      </x:c>
      <x:c r="C1598" s="12" t="n">
        <x:v>4130.0632</x:v>
      </x:c>
      <x:c r="D1598" s="12" t="n">
        <x:v>4151.7994</x:v>
      </x:c>
      <x:c r="E1598" s="12" t="n">
        <x:v>4116.2716</x:v>
      </x:c>
      <x:c r="F1598" s="12" t="n">
        <x:v>4144.3536</x:v>
      </x:c>
      <x:c r="G1598" s="12" t="n">
        <x:v>4133.4896</x:v>
      </x:c>
      <x:c r="H1598" s="12" t="n">
        <x:v>10.864</x:v>
      </x:c>
      <x:c r="I1598" s="12" t="n">
        <x:v>0.2628</x:v>
      </x:c>
      <x:c r="J1598" s="12" t="n">
        <x:v>0.00262483982241926</x:v>
      </x:c>
      <x:c r="K1598" s="12" t="n">
        <x:v>145776173</x:v>
      </x:c>
      <x:c r="L1598" s="12" t="n">
        <x:v>249674201.048</x:v>
      </x:c>
      <x:c r="M1598" s="12" t="str">
        <x:v>TuShare index_daily</x:v>
      </x:c>
    </x:row>
    <x:row r="1599" ht="18" customHeight="1">
      <x:c r="A1599" s="13" t="n">
        <x:v>44979</x:v>
      </x:c>
      <x:c r="B1599" s="12" t="str">
        <x:v>000300.SH</x:v>
      </x:c>
      <x:c r="C1599" s="12" t="n">
        <x:v>4118.9669</x:v>
      </x:c>
      <x:c r="D1599" s="12" t="n">
        <x:v>4134.8759</x:v>
      </x:c>
      <x:c r="E1599" s="12" t="n">
        <x:v>4101.8596</x:v>
      </x:c>
      <x:c r="F1599" s="12" t="n">
        <x:v>4106.9506</x:v>
      </x:c>
      <x:c r="G1599" s="12" t="n">
        <x:v>4144.3536</x:v>
      </x:c>
      <x:c r="H1599" s="12" t="n">
        <x:v>-37.403</x:v>
      </x:c>
      <x:c r="I1599" s="12" t="n">
        <x:v>-0.9025</x:v>
      </x:c>
      <x:c r="J1599" s="12" t="n">
        <x:v>-0.009066022844646674</x:v>
      </x:c>
      <x:c r="K1599" s="12" t="n">
        <x:v>104290295</x:v>
      </x:c>
      <x:c r="L1599" s="12" t="n">
        <x:v>191586158.991</x:v>
      </x:c>
      <x:c r="M1599" s="12" t="str">
        <x:v>TuShare index_daily</x:v>
      </x:c>
    </x:row>
    <x:row r="1600" ht="18" customHeight="1">
      <x:c r="A1600" s="13" t="n">
        <x:v>44980</x:v>
      </x:c>
      <x:c r="B1600" s="12" t="str">
        <x:v>000300.SH</x:v>
      </x:c>
      <x:c r="C1600" s="12" t="n">
        <x:v>4106.2136</x:v>
      </x:c>
      <x:c r="D1600" s="12" t="n">
        <x:v>4132.3896</x:v>
      </x:c>
      <x:c r="E1600" s="12" t="n">
        <x:v>4088.2073</x:v>
      </x:c>
      <x:c r="F1600" s="12" t="n">
        <x:v>4103.6463</x:v>
      </x:c>
      <x:c r="G1600" s="12" t="n">
        <x:v>4106.9506</x:v>
      </x:c>
      <x:c r="H1600" s="12" t="n">
        <x:v>-3.3043</x:v>
      </x:c>
      <x:c r="I1600" s="12" t="n">
        <x:v>-0.0805</x:v>
      </x:c>
      <x:c r="J1600" s="12" t="n">
        <x:v>-0.0008048867137512138</x:v>
      </x:c>
      <x:c r="K1600" s="12" t="n">
        <x:v>103564906</x:v>
      </x:c>
      <x:c r="L1600" s="12" t="n">
        <x:v>197193582.43</x:v>
      </x:c>
      <x:c r="M1600" s="12" t="str">
        <x:v>TuShare index_daily</x:v>
      </x:c>
    </x:row>
    <x:row r="1601" ht="18" customHeight="1">
      <x:c r="A1601" s="13" t="n">
        <x:v>44981</x:v>
      </x:c>
      <x:c r="B1601" s="12" t="str">
        <x:v>000300.SH</x:v>
      </x:c>
      <x:c r="C1601" s="12" t="n">
        <x:v>4100.9897</x:v>
      </x:c>
      <x:c r="D1601" s="12" t="n">
        <x:v>4102.6094</x:v>
      </x:c>
      <x:c r="E1601" s="12" t="n">
        <x:v>4048.2374</x:v>
      </x:c>
      <x:c r="F1601" s="12" t="n">
        <x:v>4061.0457</x:v>
      </x:c>
      <x:c r="G1601" s="12" t="n">
        <x:v>4103.6463</x:v>
      </x:c>
      <x:c r="H1601" s="12" t="n">
        <x:v>-42.6006</x:v>
      </x:c>
      <x:c r="I1601" s="12" t="n">
        <x:v>-1.0381</x:v>
      </x:c>
      <x:c r="J1601" s="12" t="n">
        <x:v>-0.010435417917162276</x:v>
      </x:c>
      <x:c r="K1601" s="12" t="n">
        <x:v>100989425</x:v>
      </x:c>
      <x:c r="L1601" s="12" t="n">
        <x:v>191210465.053</x:v>
      </x:c>
      <x:c r="M1601" s="12" t="str">
        <x:v>TuShare index_daily</x:v>
      </x:c>
    </x:row>
    <x:row r="1602" ht="18" customHeight="1">
      <x:c r="A1602" s="13" t="n">
        <x:v>44984</x:v>
      </x:c>
      <x:c r="B1602" s="12" t="str">
        <x:v>000300.SH</x:v>
      </x:c>
      <x:c r="C1602" s="12" t="n">
        <x:v>4040.4571</x:v>
      </x:c>
      <x:c r="D1602" s="12" t="n">
        <x:v>4067.0296</x:v>
      </x:c>
      <x:c r="E1602" s="12" t="n">
        <x:v>4034.5237</x:v>
      </x:c>
      <x:c r="F1602" s="12" t="n">
        <x:v>4043.8444</x:v>
      </x:c>
      <x:c r="G1602" s="12" t="n">
        <x:v>4061.0457</x:v>
      </x:c>
      <x:c r="H1602" s="12" t="n">
        <x:v>-17.2013</x:v>
      </x:c>
      <x:c r="I1602" s="12" t="n">
        <x:v>-0.4236</x:v>
      </x:c>
      <x:c r="J1602" s="12" t="n">
        <x:v>-0.00424467836441928</x:v>
      </x:c>
      <x:c r="K1602" s="12" t="n">
        <x:v>93787630</x:v>
      </x:c>
      <x:c r="L1602" s="12" t="n">
        <x:v>187959491.145</x:v>
      </x:c>
      <x:c r="M1602" s="12" t="str">
        <x:v>TuShare index_daily</x:v>
      </x:c>
    </x:row>
    <x:row r="1603" ht="18" customHeight="1">
      <x:c r="A1603" s="13" t="n">
        <x:v>44985</x:v>
      </x:c>
      <x:c r="B1603" s="12" t="str">
        <x:v>000300.SH</x:v>
      </x:c>
      <x:c r="C1603" s="12" t="n">
        <x:v>4058.1298</x:v>
      </x:c>
      <x:c r="D1603" s="12" t="n">
        <x:v>4074.2639</x:v>
      </x:c>
      <x:c r="E1603" s="12" t="n">
        <x:v>4026.4476</x:v>
      </x:c>
      <x:c r="F1603" s="12" t="n">
        <x:v>4069.4587</x:v>
      </x:c>
      <x:c r="G1603" s="12" t="n">
        <x:v>4043.8444</x:v>
      </x:c>
      <x:c r="H1603" s="12" t="n">
        <x:v>25.6143</x:v>
      </x:c>
      <x:c r="I1603" s="12" t="n">
        <x:v>0.6334</x:v>
      </x:c>
      <x:c r="J1603" s="12" t="n">
        <x:v>0.006314169404260476</x:v>
      </x:c>
      <x:c r="K1603" s="12" t="n">
        <x:v>110323591</x:v>
      </x:c>
      <x:c r="L1603" s="12" t="n">
        <x:v>198799712.379</x:v>
      </x:c>
      <x:c r="M1603" s="12" t="str">
        <x:v>TuShare index_daily</x:v>
      </x:c>
    </x:row>
    <x:row r="1604" ht="18" customHeight="1">
      <x:c r="A1604" s="13" t="n">
        <x:v>44986</x:v>
      </x:c>
      <x:c r="B1604" s="12" t="str">
        <x:v>000300.SH</x:v>
      </x:c>
      <x:c r="C1604" s="12" t="n">
        <x:v>4068.7331</x:v>
      </x:c>
      <x:c r="D1604" s="12" t="n">
        <x:v>4135.4812</x:v>
      </x:c>
      <x:c r="E1604" s="12" t="n">
        <x:v>4061.2167</x:v>
      </x:c>
      <x:c r="F1604" s="12" t="n">
        <x:v>4126.9415</x:v>
      </x:c>
      <x:c r="G1604" s="12" t="n">
        <x:v>4069.4587</x:v>
      </x:c>
      <x:c r="H1604" s="12" t="n">
        <x:v>57.4828</x:v>
      </x:c>
      <x:c r="I1604" s="12" t="n">
        <x:v>1.4125</x:v>
      </x:c>
      <x:c r="J1604" s="12" t="n">
        <x:v>0.014026582657949621</x:v>
      </x:c>
      <x:c r="K1604" s="12" t="n">
        <x:v>156015794</x:v>
      </x:c>
      <x:c r="L1604" s="12" t="n">
        <x:v>255374791.016</x:v>
      </x:c>
      <x:c r="M1604" s="12" t="str">
        <x:v>TuShare index_daily</x:v>
      </x:c>
    </x:row>
    <x:row r="1605" ht="18" customHeight="1">
      <x:c r="A1605" s="13" t="n">
        <x:v>44987</x:v>
      </x:c>
      <x:c r="B1605" s="12" t="str">
        <x:v>000300.SH</x:v>
      </x:c>
      <x:c r="C1605" s="12" t="n">
        <x:v>4119.9919</x:v>
      </x:c>
      <x:c r="D1605" s="12" t="n">
        <x:v>4137.2525</x:v>
      </x:c>
      <x:c r="E1605" s="12" t="n">
        <x:v>4113.8264</x:v>
      </x:c>
      <x:c r="F1605" s="12" t="n">
        <x:v>4117.7377</x:v>
      </x:c>
      <x:c r="G1605" s="12" t="n">
        <x:v>4126.9415</x:v>
      </x:c>
      <x:c r="H1605" s="12" t="n">
        <x:v>-9.2038</x:v>
      </x:c>
      <x:c r="I1605" s="12" t="n">
        <x:v>-0.223</x:v>
      </x:c>
      <x:c r="J1605" s="12" t="n">
        <x:v>-0.0022326651164919576</x:v>
      </x:c>
      <x:c r="K1605" s="12" t="n">
        <x:v>148217637</x:v>
      </x:c>
      <x:c r="L1605" s="12" t="n">
        <x:v>235953764.97</x:v>
      </x:c>
      <x:c r="M1605" s="12" t="str">
        <x:v>TuShare index_daily</x:v>
      </x:c>
    </x:row>
    <x:row r="1606" ht="18" customHeight="1">
      <x:c r="A1606" s="13" t="n">
        <x:v>44988</x:v>
      </x:c>
      <x:c r="B1606" s="12" t="str">
        <x:v>000300.SH</x:v>
      </x:c>
      <x:c r="C1606" s="12" t="n">
        <x:v>4126.0183</x:v>
      </x:c>
      <x:c r="D1606" s="12" t="n">
        <x:v>4135.2116</x:v>
      </x:c>
      <x:c r="E1606" s="12" t="n">
        <x:v>4100.3827</x:v>
      </x:c>
      <x:c r="F1606" s="12" t="n">
        <x:v>4130.5513</x:v>
      </x:c>
      <x:c r="G1606" s="12" t="n">
        <x:v>4117.7377</x:v>
      </x:c>
      <x:c r="H1606" s="12" t="n">
        <x:v>12.8136</x:v>
      </x:c>
      <x:c r="I1606" s="12" t="n">
        <x:v>0.3112</x:v>
      </x:c>
      <x:c r="J1606" s="12" t="n">
        <x:v>0.0031069741391894392</x:v>
      </x:c>
      <x:c r="K1606" s="12" t="n">
        <x:v>160331741</x:v>
      </x:c>
      <x:c r="L1606" s="12" t="n">
        <x:v>226914545.628</x:v>
      </x:c>
      <x:c r="M1606" s="12" t="str">
        <x:v>TuShare index_daily</x:v>
      </x:c>
    </x:row>
    <x:row r="1607" ht="18" customHeight="1">
      <x:c r="A1607" s="13" t="n">
        <x:v>44991</x:v>
      </x:c>
      <x:c r="B1607" s="12" t="str">
        <x:v>000300.SH</x:v>
      </x:c>
      <x:c r="C1607" s="12" t="n">
        <x:v>4131.1525</x:v>
      </x:c>
      <x:c r="D1607" s="12" t="n">
        <x:v>4132.8367</x:v>
      </x:c>
      <x:c r="E1607" s="12" t="n">
        <x:v>4088.4484</x:v>
      </x:c>
      <x:c r="F1607" s="12" t="n">
        <x:v>4109.0102</x:v>
      </x:c>
      <x:c r="G1607" s="12" t="n">
        <x:v>4130.5513</x:v>
      </x:c>
      <x:c r="H1607" s="12" t="n">
        <x:v>-21.5411</x:v>
      </x:c>
      <x:c r="I1607" s="12" t="n">
        <x:v>-0.5215</x:v>
      </x:c>
      <x:c r="J1607" s="12" t="n">
        <x:v>-0.00522871249319971</x:v>
      </x:c>
      <x:c r="K1607" s="12" t="n">
        <x:v>162971807</x:v>
      </x:c>
      <x:c r="L1607" s="12" t="n">
        <x:v>283079861.972</x:v>
      </x:c>
      <x:c r="M1607" s="12" t="str">
        <x:v>TuShare index_daily</x:v>
      </x:c>
    </x:row>
    <x:row r="1608" ht="18" customHeight="1">
      <x:c r="A1608" s="13" t="n">
        <x:v>44992</x:v>
      </x:c>
      <x:c r="B1608" s="12" t="str">
        <x:v>000300.SH</x:v>
      </x:c>
      <x:c r="C1608" s="12" t="n">
        <x:v>4103.6419</x:v>
      </x:c>
      <x:c r="D1608" s="12" t="n">
        <x:v>4124.9609</x:v>
      </x:c>
      <x:c r="E1608" s="12" t="n">
        <x:v>4046.5679</x:v>
      </x:c>
      <x:c r="F1608" s="12" t="n">
        <x:v>4048.8519</x:v>
      </x:c>
      <x:c r="G1608" s="12" t="n">
        <x:v>4109.0102</x:v>
      </x:c>
      <x:c r="H1608" s="12" t="n">
        <x:v>-60.1583</x:v>
      </x:c>
      <x:c r="I1608" s="12" t="n">
        <x:v>-1.4641</x:v>
      </x:c>
      <x:c r="J1608" s="12" t="n">
        <x:v>-0.014748812805500063</x:v>
      </x:c>
      <x:c r="K1608" s="12" t="n">
        <x:v>195912068</x:v>
      </x:c>
      <x:c r="L1608" s="12" t="n">
        <x:v>272491994.009</x:v>
      </x:c>
      <x:c r="M1608" s="12" t="str">
        <x:v>TuShare index_daily</x:v>
      </x:c>
    </x:row>
    <x:row r="1609" ht="18" customHeight="1">
      <x:c r="A1609" s="13" t="n">
        <x:v>44993</x:v>
      </x:c>
      <x:c r="B1609" s="12" t="str">
        <x:v>000300.SH</x:v>
      </x:c>
      <x:c r="C1609" s="12" t="n">
        <x:v>4030.7387</x:v>
      </x:c>
      <x:c r="D1609" s="12" t="n">
        <x:v>4037.287</x:v>
      </x:c>
      <x:c r="E1609" s="12" t="n">
        <x:v>4011.5231</x:v>
      </x:c>
      <x:c r="F1609" s="12" t="n">
        <x:v>4034.1077</x:v>
      </x:c>
      <x:c r="G1609" s="12" t="n">
        <x:v>4048.8519</x:v>
      </x:c>
      <x:c r="H1609" s="12" t="n">
        <x:v>-14.7442</x:v>
      </x:c>
      <x:c r="I1609" s="12" t="n">
        <x:v>-0.3642</x:v>
      </x:c>
      <x:c r="J1609" s="12" t="n">
        <x:v>-0.00364822220642755</x:v>
      </x:c>
      <x:c r="K1609" s="12" t="n">
        <x:v>117936493</x:v>
      </x:c>
      <x:c r="L1609" s="12" t="n">
        <x:v>191659655.191</x:v>
      </x:c>
      <x:c r="M1609" s="12" t="str">
        <x:v>TuShare index_daily</x:v>
      </x:c>
    </x:row>
    <x:row r="1610" ht="18" customHeight="1">
      <x:c r="A1610" s="13" t="n">
        <x:v>44994</x:v>
      </x:c>
      <x:c r="B1610" s="12" t="str">
        <x:v>000300.SH</x:v>
      </x:c>
      <x:c r="C1610" s="12" t="n">
        <x:v>4035.8433</x:v>
      </x:c>
      <x:c r="D1610" s="12" t="n">
        <x:v>4043.8493</x:v>
      </x:c>
      <x:c r="E1610" s="12" t="n">
        <x:v>4000.8901</x:v>
      </x:c>
      <x:c r="F1610" s="12" t="n">
        <x:v>4019.8505</x:v>
      </x:c>
      <x:c r="G1610" s="12" t="n">
        <x:v>4034.1077</x:v>
      </x:c>
      <x:c r="H1610" s="12" t="n">
        <x:v>-14.2572</x:v>
      </x:c>
      <x:c r="I1610" s="12" t="n">
        <x:v>-0.3534</x:v>
      </x:c>
      <x:c r="J1610" s="12" t="n">
        <x:v>-0.003540424357395067</x:v>
      </x:c>
      <x:c r="K1610" s="12" t="n">
        <x:v>116539629</x:v>
      </x:c>
      <x:c r="L1610" s="12" t="n">
        <x:v>201737990.687</x:v>
      </x:c>
      <x:c r="M1610" s="12" t="str">
        <x:v>TuShare index_daily</x:v>
      </x:c>
    </x:row>
    <x:row r="1611" ht="18" customHeight="1">
      <x:c r="A1611" s="13" t="n">
        <x:v>44995</x:v>
      </x:c>
      <x:c r="B1611" s="12" t="str">
        <x:v>000300.SH</x:v>
      </x:c>
      <x:c r="C1611" s="12" t="n">
        <x:v>3991.7959</x:v>
      </x:c>
      <x:c r="D1611" s="12" t="n">
        <x:v>4004.3612</x:v>
      </x:c>
      <x:c r="E1611" s="12" t="n">
        <x:v>3966.428</x:v>
      </x:c>
      <x:c r="F1611" s="12" t="n">
        <x:v>3967.1352</x:v>
      </x:c>
      <x:c r="G1611" s="12" t="n">
        <x:v>4019.8505</x:v>
      </x:c>
      <x:c r="H1611" s="12" t="n">
        <x:v>-52.7153</x:v>
      </x:c>
      <x:c r="I1611" s="12" t="n">
        <x:v>-1.3114</x:v>
      </x:c>
      <x:c r="J1611" s="12" t="n">
        <x:v>-0.01320049076358043</x:v>
      </x:c>
      <x:c r="K1611" s="12" t="n">
        <x:v>123855409</x:v>
      </x:c>
      <x:c r="L1611" s="12" t="n">
        <x:v>218286956.131</x:v>
      </x:c>
      <x:c r="M1611" s="12" t="str">
        <x:v>TuShare index_daily</x:v>
      </x:c>
    </x:row>
    <x:row r="1612" ht="18" customHeight="1">
      <x:c r="A1612" s="13" t="n">
        <x:v>44998</x:v>
      </x:c>
      <x:c r="B1612" s="12" t="str">
        <x:v>000300.SH</x:v>
      </x:c>
      <x:c r="C1612" s="12" t="n">
        <x:v>3962.6426</x:v>
      </x:c>
      <x:c r="D1612" s="12" t="n">
        <x:v>4008.686</x:v>
      </x:c>
      <x:c r="E1612" s="12" t="n">
        <x:v>3962.6426</x:v>
      </x:c>
      <x:c r="F1612" s="12" t="n">
        <x:v>4008.686</x:v>
      </x:c>
      <x:c r="G1612" s="12" t="n">
        <x:v>3967.1352</x:v>
      </x:c>
      <x:c r="H1612" s="12" t="n">
        <x:v>41.5508</x:v>
      </x:c>
      <x:c r="I1612" s="12" t="n">
        <x:v>1.0474</x:v>
      </x:c>
      <x:c r="J1612" s="12" t="n">
        <x:v>0.010419284700296166</x:v>
      </x:c>
      <x:c r="K1612" s="12" t="n">
        <x:v>143561370</x:v>
      </x:c>
      <x:c r="L1612" s="12" t="n">
        <x:v>242865516.758</x:v>
      </x:c>
      <x:c r="M1612" s="12" t="str">
        <x:v>TuShare index_daily</x:v>
      </x:c>
    </x:row>
    <x:row r="1613" ht="18" customHeight="1">
      <x:c r="A1613" s="13" t="n">
        <x:v>44999</x:v>
      </x:c>
      <x:c r="B1613" s="12" t="str">
        <x:v>000300.SH</x:v>
      </x:c>
      <x:c r="C1613" s="12" t="n">
        <x:v>3999.8803</x:v>
      </x:c>
      <x:c r="D1613" s="12" t="n">
        <x:v>4001.9415</x:v>
      </x:c>
      <x:c r="E1613" s="12" t="n">
        <x:v>3946.9405</x:v>
      </x:c>
      <x:c r="F1613" s="12" t="n">
        <x:v>3984.6956</x:v>
      </x:c>
      <x:c r="G1613" s="12" t="n">
        <x:v>4008.686</x:v>
      </x:c>
      <x:c r="H1613" s="12" t="n">
        <x:v>-23.9904</x:v>
      </x:c>
      <x:c r="I1613" s="12" t="n">
        <x:v>-0.5985</x:v>
      </x:c>
      <x:c r="J1613" s="12" t="n">
        <x:v>-0.006002583945988547</x:v>
      </x:c>
      <x:c r="K1613" s="12" t="n">
        <x:v>150544174</x:v>
      </x:c>
      <x:c r="L1613" s="12" t="n">
        <x:v>267224848.811</x:v>
      </x:c>
      <x:c r="M1613" s="12" t="str">
        <x:v>TuShare index_daily</x:v>
      </x:c>
    </x:row>
    <x:row r="1614" ht="18" customHeight="1">
      <x:c r="A1614" s="13" t="n">
        <x:v>45000</x:v>
      </x:c>
      <x:c r="B1614" s="12" t="str">
        <x:v>000300.SH</x:v>
      </x:c>
      <x:c r="C1614" s="12" t="n">
        <x:v>4011.8444</x:v>
      </x:c>
      <x:c r="D1614" s="12" t="n">
        <x:v>4018.7495</x:v>
      </x:c>
      <x:c r="E1614" s="12" t="n">
        <x:v>3986.902</x:v>
      </x:c>
      <x:c r="F1614" s="12" t="n">
        <x:v>3986.902</x:v>
      </x:c>
      <x:c r="G1614" s="12" t="n">
        <x:v>3984.6956</x:v>
      </x:c>
      <x:c r="H1614" s="12" t="n">
        <x:v>2.2064</x:v>
      </x:c>
      <x:c r="I1614" s="12" t="n">
        <x:v>0.0554</x:v>
      </x:c>
      <x:c r="J1614" s="12" t="n">
        <x:v>0.0005535653371021109</x:v>
      </x:c>
      <x:c r="K1614" s="12" t="n">
        <x:v>142026007</x:v>
      </x:c>
      <x:c r="L1614" s="12" t="n">
        <x:v>232101093.979</x:v>
      </x:c>
      <x:c r="M1614" s="12" t="str">
        <x:v>TuShare index_daily</x:v>
      </x:c>
    </x:row>
    <x:row r="1615" ht="18" customHeight="1">
      <x:c r="A1615" s="13" t="n">
        <x:v>45001</x:v>
      </x:c>
      <x:c r="B1615" s="12" t="str">
        <x:v>000300.SH</x:v>
      </x:c>
      <x:c r="C1615" s="12" t="n">
        <x:v>3958.1962</x:v>
      </x:c>
      <x:c r="D1615" s="12" t="n">
        <x:v>3981.321</x:v>
      </x:c>
      <x:c r="E1615" s="12" t="n">
        <x:v>3936.4758</x:v>
      </x:c>
      <x:c r="F1615" s="12" t="n">
        <x:v>3939.1505</x:v>
      </x:c>
      <x:c r="G1615" s="12" t="n">
        <x:v>3986.902</x:v>
      </x:c>
      <x:c r="H1615" s="12" t="n">
        <x:v>-47.7515</x:v>
      </x:c>
      <x:c r="I1615" s="12" t="n">
        <x:v>-1.1977</x:v>
      </x:c>
      <x:c r="J1615" s="12" t="n">
        <x:v>-0.012049397286707548</x:v>
      </x:c>
      <x:c r="K1615" s="12" t="n">
        <x:v>152515644</x:v>
      </x:c>
      <x:c r="L1615" s="12" t="n">
        <x:v>246264286.428</x:v>
      </x:c>
      <x:c r="M1615" s="12" t="str">
        <x:v>TuShare index_daily</x:v>
      </x:c>
    </x:row>
    <x:row r="1616" ht="18" customHeight="1">
      <x:c r="A1616" s="13" t="n">
        <x:v>45002</x:v>
      </x:c>
      <x:c r="B1616" s="12" t="str">
        <x:v>000300.SH</x:v>
      </x:c>
      <x:c r="C1616" s="12" t="n">
        <x:v>3971.1585</x:v>
      </x:c>
      <x:c r="D1616" s="12" t="n">
        <x:v>4004.2153</x:v>
      </x:c>
      <x:c r="E1616" s="12" t="n">
        <x:v>3945.2501</x:v>
      </x:c>
      <x:c r="F1616" s="12" t="n">
        <x:v>3958.8194</x:v>
      </x:c>
      <x:c r="G1616" s="12" t="n">
        <x:v>3939.1505</x:v>
      </x:c>
      <x:c r="H1616" s="12" t="n">
        <x:v>19.6689</x:v>
      </x:c>
      <x:c r="I1616" s="12" t="n">
        <x:v>0.4993</x:v>
      </x:c>
      <x:c r="J1616" s="12" t="n">
        <x:v>0.004980758577487929</x:v>
      </x:c>
      <x:c r="K1616" s="12" t="n">
        <x:v>177433818</x:v>
      </x:c>
      <x:c r="L1616" s="12" t="n">
        <x:v>305541015.556</x:v>
      </x:c>
      <x:c r="M1616" s="12" t="str">
        <x:v>TuShare index_daily</x:v>
      </x:c>
    </x:row>
    <x:row r="1617" ht="18" customHeight="1">
      <x:c r="A1617" s="13" t="n">
        <x:v>45005</x:v>
      </x:c>
      <x:c r="B1617" s="12" t="str">
        <x:v>000300.SH</x:v>
      </x:c>
      <x:c r="C1617" s="12" t="n">
        <x:v>3962.6625</x:v>
      </x:c>
      <x:c r="D1617" s="12" t="n">
        <x:v>3979.5485</x:v>
      </x:c>
      <x:c r="E1617" s="12" t="n">
        <x:v>3935.0161</x:v>
      </x:c>
      <x:c r="F1617" s="12" t="n">
        <x:v>3939.077</x:v>
      </x:c>
      <x:c r="G1617" s="12" t="n">
        <x:v>3958.8194</x:v>
      </x:c>
      <x:c r="H1617" s="12" t="n">
        <x:v>-19.7424</x:v>
      </x:c>
      <x:c r="I1617" s="12" t="n">
        <x:v>-0.4987</x:v>
      </x:c>
      <x:c r="J1617" s="12" t="n">
        <x:v>-0.004999417596918964</x:v>
      </x:c>
      <x:c r="K1617" s="12" t="n">
        <x:v>205264970</x:v>
      </x:c>
      <x:c r="L1617" s="12" t="n">
        <x:v>319760032.638</x:v>
      </x:c>
      <x:c r="M1617" s="12" t="str">
        <x:v>TuShare index_daily</x:v>
      </x:c>
    </x:row>
    <x:row r="1618" ht="18" customHeight="1">
      <x:c r="A1618" s="13" t="n">
        <x:v>45006</x:v>
      </x:c>
      <x:c r="B1618" s="12" t="str">
        <x:v>000300.SH</x:v>
      </x:c>
      <x:c r="C1618" s="12" t="n">
        <x:v>3948.1573</x:v>
      </x:c>
      <x:c r="D1618" s="12" t="n">
        <x:v>3982.7047</x:v>
      </x:c>
      <x:c r="E1618" s="12" t="n">
        <x:v>3948.1573</x:v>
      </x:c>
      <x:c r="F1618" s="12" t="n">
        <x:v>3982.3782</x:v>
      </x:c>
      <x:c r="G1618" s="12" t="n">
        <x:v>3939.077</x:v>
      </x:c>
      <x:c r="H1618" s="12" t="n">
        <x:v>43.3012</x:v>
      </x:c>
      <x:c r="I1618" s="12" t="n">
        <x:v>1.0993</x:v>
      </x:c>
      <x:c r="J1618" s="12" t="n">
        <x:v>0.010932746623865211</x:v>
      </x:c>
      <x:c r="K1618" s="12" t="n">
        <x:v>145090679</x:v>
      </x:c>
      <x:c r="L1618" s="12" t="n">
        <x:v>251631985.017</x:v>
      </x:c>
      <x:c r="M1618" s="12" t="str">
        <x:v>TuShare index_daily</x:v>
      </x:c>
    </x:row>
    <x:row r="1619" ht="18" customHeight="1">
      <x:c r="A1619" s="13" t="n">
        <x:v>45007</x:v>
      </x:c>
      <x:c r="B1619" s="12" t="str">
        <x:v>000300.SH</x:v>
      </x:c>
      <x:c r="C1619" s="12" t="n">
        <x:v>3993.7849</x:v>
      </x:c>
      <x:c r="D1619" s="12" t="n">
        <x:v>4016.4495</x:v>
      </x:c>
      <x:c r="E1619" s="12" t="n">
        <x:v>3986.7093</x:v>
      </x:c>
      <x:c r="F1619" s="12" t="n">
        <x:v>3999.4427</x:v>
      </x:c>
      <x:c r="G1619" s="12" t="n">
        <x:v>3982.3782</x:v>
      </x:c>
      <x:c r="H1619" s="12" t="n">
        <x:v>17.0645</x:v>
      </x:c>
      <x:c r="I1619" s="12" t="n">
        <x:v>0.4285</x:v>
      </x:c>
      <x:c r="J1619" s="12" t="n">
        <x:v>0.00427584788303179</x:v>
      </x:c>
      <x:c r="K1619" s="12" t="n">
        <x:v>149228970</x:v>
      </x:c>
      <x:c r="L1619" s="12" t="n">
        <x:v>265180992.104</x:v>
      </x:c>
      <x:c r="M1619" s="12" t="str">
        <x:v>TuShare index_daily</x:v>
      </x:c>
    </x:row>
    <x:row r="1620" ht="18" customHeight="1">
      <x:c r="A1620" s="13" t="n">
        <x:v>45008</x:v>
      </x:c>
      <x:c r="B1620" s="12" t="str">
        <x:v>000300.SH</x:v>
      </x:c>
      <x:c r="C1620" s="12" t="n">
        <x:v>3985.9928</x:v>
      </x:c>
      <x:c r="D1620" s="12" t="n">
        <x:v>4039.0895</x:v>
      </x:c>
      <x:c r="E1620" s="12" t="n">
        <x:v>3983.9986</x:v>
      </x:c>
      <x:c r="F1620" s="12" t="n">
        <x:v>4039.0895</x:v>
      </x:c>
      <x:c r="G1620" s="12" t="n">
        <x:v>3999.4427</x:v>
      </x:c>
      <x:c r="H1620" s="12" t="n">
        <x:v>39.6468</x:v>
      </x:c>
      <x:c r="I1620" s="12" t="n">
        <x:v>0.9913</x:v>
      </x:c>
      <x:c r="J1620" s="12" t="n">
        <x:v>0.00986426887274393</x:v>
      </x:c>
      <x:c r="K1620" s="12" t="n">
        <x:v>158887421</x:v>
      </x:c>
      <x:c r="L1620" s="12" t="n">
        <x:v>296479529.467</x:v>
      </x:c>
      <x:c r="M1620" s="12" t="str">
        <x:v>TuShare index_daily</x:v>
      </x:c>
    </x:row>
    <x:row r="1621" ht="18" customHeight="1">
      <x:c r="A1621" s="13" t="n">
        <x:v>45009</x:v>
      </x:c>
      <x:c r="B1621" s="12" t="str">
        <x:v>000300.SH</x:v>
      </x:c>
      <x:c r="C1621" s="12" t="n">
        <x:v>4035.1564</x:v>
      </x:c>
      <x:c r="D1621" s="12" t="n">
        <x:v>4037.8417</x:v>
      </x:c>
      <x:c r="E1621" s="12" t="n">
        <x:v>4017.0028</x:v>
      </x:c>
      <x:c r="F1621" s="12" t="n">
        <x:v>4027.0457</x:v>
      </x:c>
      <x:c r="G1621" s="12" t="n">
        <x:v>4039.0895</x:v>
      </x:c>
      <x:c r="H1621" s="12" t="n">
        <x:v>-12.0438</x:v>
      </x:c>
      <x:c r="I1621" s="12" t="n">
        <x:v>-0.2982</x:v>
      </x:c>
      <x:c r="J1621" s="12" t="n">
        <x:v>-0.002986265082769179</x:v>
      </x:c>
      <x:c r="K1621" s="12" t="n">
        <x:v>159442330</x:v>
      </x:c>
      <x:c r="L1621" s="12" t="n">
        <x:v>295785588.943</x:v>
      </x:c>
      <x:c r="M1621" s="12" t="str">
        <x:v>TuShare index_daily</x:v>
      </x:c>
    </x:row>
    <x:row r="1622" ht="18" customHeight="1">
      <x:c r="A1622" s="13" t="n">
        <x:v>45012</x:v>
      </x:c>
      <x:c r="B1622" s="12" t="str">
        <x:v>000300.SH</x:v>
      </x:c>
      <x:c r="C1622" s="12" t="n">
        <x:v>4023.3028</x:v>
      </x:c>
      <x:c r="D1622" s="12" t="n">
        <x:v>4023.3028</x:v>
      </x:c>
      <x:c r="E1622" s="12" t="n">
        <x:v>3987.0297</x:v>
      </x:c>
      <x:c r="F1622" s="12" t="n">
        <x:v>4012.4771</x:v>
      </x:c>
      <x:c r="G1622" s="12" t="n">
        <x:v>4027.0457</x:v>
      </x:c>
      <x:c r="H1622" s="12" t="n">
        <x:v>-14.5686</x:v>
      </x:c>
      <x:c r="I1622" s="12" t="n">
        <x:v>-0.3618</x:v>
      </x:c>
      <x:c r="J1622" s="12" t="n">
        <x:v>-0.0036242489284966603</x:v>
      </x:c>
      <x:c r="K1622" s="12" t="n">
        <x:v>168482279</x:v>
      </x:c>
      <x:c r="L1622" s="12" t="n">
        <x:v>315474696.948</x:v>
      </x:c>
      <x:c r="M1622" s="12" t="str">
        <x:v>TuShare index_daily</x:v>
      </x:c>
    </x:row>
    <x:row r="1623" ht="18" customHeight="1">
      <x:c r="A1623" s="13" t="n">
        <x:v>45013</x:v>
      </x:c>
      <x:c r="B1623" s="12" t="str">
        <x:v>000300.SH</x:v>
      </x:c>
      <x:c r="C1623" s="12" t="n">
        <x:v>4015.6973</x:v>
      </x:c>
      <x:c r="D1623" s="12" t="n">
        <x:v>4023.7834</x:v>
      </x:c>
      <x:c r="E1623" s="12" t="n">
        <x:v>3994.5999</x:v>
      </x:c>
      <x:c r="F1623" s="12" t="n">
        <x:v>3999.5147</x:v>
      </x:c>
      <x:c r="G1623" s="12" t="n">
        <x:v>4012.4771</x:v>
      </x:c>
      <x:c r="H1623" s="12" t="n">
        <x:v>-12.9624</x:v>
      </x:c>
      <x:c r="I1623" s="12" t="n">
        <x:v>-0.3231</x:v>
      </x:c>
      <x:c r="J1623" s="12" t="n">
        <x:v>-0.003235752515321773</x:v>
      </x:c>
      <x:c r="K1623" s="12" t="n">
        <x:v>131895117</x:v>
      </x:c>
      <x:c r="L1623" s="12" t="n">
        <x:v>248736920.972</x:v>
      </x:c>
      <x:c r="M1623" s="12" t="str">
        <x:v>TuShare index_daily</x:v>
      </x:c>
    </x:row>
    <x:row r="1624" ht="18" customHeight="1">
      <x:c r="A1624" s="13" t="n">
        <x:v>45014</x:v>
      </x:c>
      <x:c r="B1624" s="12" t="str">
        <x:v>000300.SH</x:v>
      </x:c>
      <x:c r="C1624" s="12" t="n">
        <x:v>4013.5926</x:v>
      </x:c>
      <x:c r="D1624" s="12" t="n">
        <x:v>4017.7572</x:v>
      </x:c>
      <x:c r="E1624" s="12" t="n">
        <x:v>3992.6662</x:v>
      </x:c>
      <x:c r="F1624" s="12" t="n">
        <x:v>4006.144</x:v>
      </x:c>
      <x:c r="G1624" s="12" t="n">
        <x:v>3999.5147</x:v>
      </x:c>
      <x:c r="H1624" s="12" t="n">
        <x:v>6.6293</x:v>
      </x:c>
      <x:c r="I1624" s="12" t="n">
        <x:v>0.1658</x:v>
      </x:c>
      <x:c r="J1624" s="12" t="n">
        <x:v>0.0016561539190427233</x:v>
      </x:c>
      <x:c r="K1624" s="12" t="n">
        <x:v>133743510</x:v>
      </x:c>
      <x:c r="L1624" s="12" t="n">
        <x:v>263866922.733</x:v>
      </x:c>
      <x:c r="M1624" s="12" t="str">
        <x:v>TuShare index_daily</x:v>
      </x:c>
    </x:row>
    <x:row r="1625" ht="18" customHeight="1">
      <x:c r="A1625" s="13" t="n">
        <x:v>45015</x:v>
      </x:c>
      <x:c r="B1625" s="12" t="str">
        <x:v>000300.SH</x:v>
      </x:c>
      <x:c r="C1625" s="12" t="n">
        <x:v>4009.5573</x:v>
      </x:c>
      <x:c r="D1625" s="12" t="n">
        <x:v>4040.5023</x:v>
      </x:c>
      <x:c r="E1625" s="12" t="n">
        <x:v>3983.8958</x:v>
      </x:c>
      <x:c r="F1625" s="12" t="n">
        <x:v>4038.5257</x:v>
      </x:c>
      <x:c r="G1625" s="12" t="n">
        <x:v>4006.144</x:v>
      </x:c>
      <x:c r="H1625" s="12" t="n">
        <x:v>32.3817</x:v>
      </x:c>
      <x:c r="I1625" s="12" t="n">
        <x:v>0.8083</x:v>
      </x:c>
      <x:c r="J1625" s="12" t="n">
        <x:v>0.008050516950421808</x:v>
      </x:c>
      <x:c r="K1625" s="12" t="n">
        <x:v>149901037</x:v>
      </x:c>
      <x:c r="L1625" s="12" t="n">
        <x:v>280004715.991</x:v>
      </x:c>
      <x:c r="M1625" s="12" t="str">
        <x:v>TuShare index_daily</x:v>
      </x:c>
    </x:row>
    <x:row r="1626" ht="18" customHeight="1">
      <x:c r="A1626" s="13" t="n">
        <x:v>45016</x:v>
      </x:c>
      <x:c r="B1626" s="12" t="str">
        <x:v>000300.SH</x:v>
      </x:c>
      <x:c r="C1626" s="12" t="n">
        <x:v>4045.4538</x:v>
      </x:c>
      <x:c r="D1626" s="12" t="n">
        <x:v>4063.5675</x:v>
      </x:c>
      <x:c r="E1626" s="12" t="n">
        <x:v>4039.9587</x:v>
      </x:c>
      <x:c r="F1626" s="12" t="n">
        <x:v>4050.9257</x:v>
      </x:c>
      <x:c r="G1626" s="12" t="n">
        <x:v>4038.5257</x:v>
      </x:c>
      <x:c r="H1626" s="12" t="n">
        <x:v>12.4</x:v>
      </x:c>
      <x:c r="I1626" s="12" t="n">
        <x:v>0.307</x:v>
      </x:c>
      <x:c r="J1626" s="12" t="n">
        <x:v>0.0030657232731370397</x:v>
      </x:c>
      <x:c r="K1626" s="12" t="n">
        <x:v>138842546</x:v>
      </x:c>
      <x:c r="L1626" s="12" t="n">
        <x:v>279863685.781</x:v>
      </x:c>
      <x:c r="M1626" s="12" t="str">
        <x:v>TuShare index_daily</x:v>
      </x:c>
    </x:row>
    <x:row r="1627" ht="18" customHeight="1">
      <x:c r="A1627" s="13" t="n">
        <x:v>45019</x:v>
      </x:c>
      <x:c r="B1627" s="12" t="str">
        <x:v>000300.SH</x:v>
      </x:c>
      <x:c r="C1627" s="12" t="n">
        <x:v>4059.6227</x:v>
      </x:c>
      <x:c r="D1627" s="12" t="n">
        <x:v>4094.9376</x:v>
      </x:c>
      <x:c r="E1627" s="12" t="n">
        <x:v>4059.0607</x:v>
      </x:c>
      <x:c r="F1627" s="12" t="n">
        <x:v>4090.5676</x:v>
      </x:c>
      <x:c r="G1627" s="12" t="n">
        <x:v>4050.9257</x:v>
      </x:c>
      <x:c r="H1627" s="12" t="n">
        <x:v>39.6419</x:v>
      </x:c>
      <x:c r="I1627" s="12" t="n">
        <x:v>0.9786</x:v>
      </x:c>
      <x:c r="J1627" s="12" t="n">
        <x:v>0.00973831503009619</x:v>
      </x:c>
      <x:c r="K1627" s="12" t="n">
        <x:v>182124313</x:v>
      </x:c>
      <x:c r="L1627" s="12" t="n">
        <x:v>382895558.426</x:v>
      </x:c>
      <x:c r="M1627" s="12" t="str">
        <x:v>TuShare index_daily</x:v>
      </x:c>
    </x:row>
    <x:row r="1628" ht="18" customHeight="1">
      <x:c r="A1628" s="13" t="n">
        <x:v>45020</x:v>
      </x:c>
      <x:c r="B1628" s="12" t="str">
        <x:v>000300.SH</x:v>
      </x:c>
      <x:c r="C1628" s="12" t="n">
        <x:v>4089.2932</x:v>
      </x:c>
      <x:c r="D1628" s="12" t="n">
        <x:v>4103.1583</x:v>
      </x:c>
      <x:c r="E1628" s="12" t="n">
        <x:v>4080.0682</x:v>
      </x:c>
      <x:c r="F1628" s="12" t="n">
        <x:v>4103.1052</x:v>
      </x:c>
      <x:c r="G1628" s="12" t="n">
        <x:v>4090.5676</x:v>
      </x:c>
      <x:c r="H1628" s="12" t="n">
        <x:v>12.5376</x:v>
      </x:c>
      <x:c r="I1628" s="12" t="n">
        <x:v>0.3065</x:v>
      </x:c>
      <x:c r="J1628" s="12" t="n">
        <x:v>0.0030603149750138407</x:v>
      </x:c>
      <x:c r="K1628" s="12" t="n">
        <x:v>197146631</x:v>
      </x:c>
      <x:c r="L1628" s="12" t="n">
        <x:v>394443175.146</x:v>
      </x:c>
      <x:c r="M1628" s="12" t="str">
        <x:v>TuShare index_daily</x:v>
      </x:c>
    </x:row>
    <x:row r="1629" ht="18" customHeight="1">
      <x:c r="A1629" s="13" t="n">
        <x:v>45022</x:v>
      </x:c>
      <x:c r="B1629" s="12" t="str">
        <x:v>000300.SH</x:v>
      </x:c>
      <x:c r="C1629" s="12" t="n">
        <x:v>4084.132</x:v>
      </x:c>
      <x:c r="D1629" s="12" t="n">
        <x:v>4098.8332</x:v>
      </x:c>
      <x:c r="E1629" s="12" t="n">
        <x:v>4078.4048</x:v>
      </x:c>
      <x:c r="F1629" s="12" t="n">
        <x:v>4096.64</x:v>
      </x:c>
      <x:c r="G1629" s="12" t="n">
        <x:v>4103.1052</x:v>
      </x:c>
      <x:c r="H1629" s="12" t="n">
        <x:v>-6.4652</x:v>
      </x:c>
      <x:c r="I1629" s="12" t="n">
        <x:v>-0.1576</x:v>
      </x:c>
      <x:c r="J1629" s="12" t="n">
        <x:v>-0.0015769273756824943</x:v>
      </x:c>
      <x:c r="K1629" s="12" t="n">
        <x:v>150703374</x:v>
      </x:c>
      <x:c r="L1629" s="12" t="n">
        <x:v>328981851.588</x:v>
      </x:c>
      <x:c r="M1629" s="12" t="str">
        <x:v>TuShare index_daily</x:v>
      </x:c>
    </x:row>
    <x:row r="1630" ht="18" customHeight="1">
      <x:c r="A1630" s="13" t="n">
        <x:v>45023</x:v>
      </x:c>
      <x:c r="B1630" s="12" t="str">
        <x:v>000300.SH</x:v>
      </x:c>
      <x:c r="C1630" s="12" t="n">
        <x:v>4096.9009</x:v>
      </x:c>
      <x:c r="D1630" s="12" t="n">
        <x:v>4131.3126</x:v>
      </x:c>
      <x:c r="E1630" s="12" t="n">
        <x:v>4092.1848</x:v>
      </x:c>
      <x:c r="F1630" s="12" t="n">
        <x:v>4123.2799</x:v>
      </x:c>
      <x:c r="G1630" s="12" t="n">
        <x:v>4096.64</x:v>
      </x:c>
      <x:c r="H1630" s="12" t="n">
        <x:v>26.6399</x:v>
      </x:c>
      <x:c r="I1630" s="12" t="n">
        <x:v>0.6503</x:v>
      </x:c>
      <x:c r="J1630" s="12" t="n">
        <x:v>0.006481813349653767</x:v>
      </x:c>
      <x:c r="K1630" s="12" t="n">
        <x:v>128676738</x:v>
      </x:c>
      <x:c r="L1630" s="12" t="n">
        <x:v>286567771.883</x:v>
      </x:c>
      <x:c r="M1630" s="12" t="str">
        <x:v>TuShare index_daily</x:v>
      </x:c>
    </x:row>
    <x:row r="1631" ht="18" customHeight="1">
      <x:c r="A1631" s="13" t="n">
        <x:v>45026</x:v>
      </x:c>
      <x:c r="B1631" s="12" t="str">
        <x:v>000300.SH</x:v>
      </x:c>
      <x:c r="C1631" s="12" t="n">
        <x:v>4132.0096</x:v>
      </x:c>
      <x:c r="D1631" s="12" t="n">
        <x:v>4132.2952</x:v>
      </x:c>
      <x:c r="E1631" s="12" t="n">
        <x:v>4099.0519</x:v>
      </x:c>
      <x:c r="F1631" s="12" t="n">
        <x:v>4104.8118</x:v>
      </x:c>
      <x:c r="G1631" s="12" t="n">
        <x:v>4123.2799</x:v>
      </x:c>
      <x:c r="H1631" s="12" t="n">
        <x:v>-18.4681</x:v>
      </x:c>
      <x:c r="I1631" s="12" t="n">
        <x:v>-0.4479</x:v>
      </x:c>
      <x:c r="J1631" s="12" t="n">
        <x:v>-0.004489043556316856</x:v>
      </x:c>
      <x:c r="K1631" s="12" t="n">
        <x:v>152453002</x:v>
      </x:c>
      <x:c r="L1631" s="12" t="n">
        <x:v>340822557.208</x:v>
      </x:c>
      <x:c r="M1631" s="12" t="str">
        <x:v>TuShare index_daily</x:v>
      </x:c>
    </x:row>
    <x:row r="1632" ht="18" customHeight="1">
      <x:c r="A1632" s="13" t="n">
        <x:v>45027</x:v>
      </x:c>
      <x:c r="B1632" s="12" t="str">
        <x:v>000300.SH</x:v>
      </x:c>
      <x:c r="C1632" s="12" t="n">
        <x:v>4108.5062</x:v>
      </x:c>
      <x:c r="D1632" s="12" t="n">
        <x:v>4116.1247</x:v>
      </x:c>
      <x:c r="E1632" s="12" t="n">
        <x:v>4083.4946</x:v>
      </x:c>
      <x:c r="F1632" s="12" t="n">
        <x:v>4100.1479</x:v>
      </x:c>
      <x:c r="G1632" s="12" t="n">
        <x:v>4104.8118</x:v>
      </x:c>
      <x:c r="H1632" s="12" t="n">
        <x:v>-4.6639</x:v>
      </x:c>
      <x:c r="I1632" s="12" t="n">
        <x:v>-0.1136</x:v>
      </x:c>
      <x:c r="J1632" s="12" t="n">
        <x:v>-0.0011368490944111537</x:v>
      </x:c>
      <x:c r="K1632" s="12" t="n">
        <x:v>153901333</x:v>
      </x:c>
      <x:c r="L1632" s="12" t="n">
        <x:v>324192951.999</x:v>
      </x:c>
      <x:c r="M1632" s="12" t="str">
        <x:v>TuShare index_daily</x:v>
      </x:c>
    </x:row>
    <x:row r="1633" ht="18" customHeight="1">
      <x:c r="A1633" s="13" t="n">
        <x:v>45028</x:v>
      </x:c>
      <x:c r="B1633" s="12" t="str">
        <x:v>000300.SH</x:v>
      </x:c>
      <x:c r="C1633" s="12" t="n">
        <x:v>4102.3968</x:v>
      </x:c>
      <x:c r="D1633" s="12" t="n">
        <x:v>4108.2451</x:v>
      </x:c>
      <x:c r="E1633" s="12" t="n">
        <x:v>4090.2784</x:v>
      </x:c>
      <x:c r="F1633" s="12" t="n">
        <x:v>4097.2876</x:v>
      </x:c>
      <x:c r="G1633" s="12" t="n">
        <x:v>4100.1479</x:v>
      </x:c>
      <x:c r="H1633" s="12" t="n">
        <x:v>-2.8603</x:v>
      </x:c>
      <x:c r="I1633" s="12" t="n">
        <x:v>-0.0698</x:v>
      </x:c>
      <x:c r="J1633" s="12" t="n">
        <x:v>-0.00069785242374403</x:v>
      </x:c>
      <x:c r="K1633" s="12" t="n">
        <x:v>165965278</x:v>
      </x:c>
      <x:c r="L1633" s="12" t="n">
        <x:v>325425226.403</x:v>
      </x:c>
      <x:c r="M1633" s="12" t="str">
        <x:v>TuShare index_daily</x:v>
      </x:c>
    </x:row>
    <x:row r="1634" ht="18" customHeight="1">
      <x:c r="A1634" s="13" t="n">
        <x:v>45029</x:v>
      </x:c>
      <x:c r="B1634" s="12" t="str">
        <x:v>000300.SH</x:v>
      </x:c>
      <x:c r="C1634" s="12" t="n">
        <x:v>4081.3871</x:v>
      </x:c>
      <x:c r="D1634" s="12" t="n">
        <x:v>4088.8809</x:v>
      </x:c>
      <x:c r="E1634" s="12" t="n">
        <x:v>4059.5744</x:v>
      </x:c>
      <x:c r="F1634" s="12" t="n">
        <x:v>4068.9786</x:v>
      </x:c>
      <x:c r="G1634" s="12" t="n">
        <x:v>4097.2876</x:v>
      </x:c>
      <x:c r="H1634" s="12" t="n">
        <x:v>-28.309</x:v>
      </x:c>
      <x:c r="I1634" s="12" t="n">
        <x:v>-0.6909</x:v>
      </x:c>
      <x:c r="J1634" s="12" t="n">
        <x:v>-0.006933184078369438</x:v>
      </x:c>
      <x:c r="K1634" s="12" t="n">
        <x:v>156444295</x:v>
      </x:c>
      <x:c r="L1634" s="12" t="n">
        <x:v>300291020.753</x:v>
      </x:c>
      <x:c r="M1634" s="12" t="str">
        <x:v>TuShare index_daily</x:v>
      </x:c>
    </x:row>
    <x:row r="1635" ht="18" customHeight="1">
      <x:c r="A1635" s="13" t="n">
        <x:v>45030</x:v>
      </x:c>
      <x:c r="B1635" s="12" t="str">
        <x:v>000300.SH</x:v>
      </x:c>
      <x:c r="C1635" s="12" t="n">
        <x:v>4078.9703</x:v>
      </x:c>
      <x:c r="D1635" s="12" t="n">
        <x:v>4098.2151</x:v>
      </x:c>
      <x:c r="E1635" s="12" t="n">
        <x:v>4075.2049</x:v>
      </x:c>
      <x:c r="F1635" s="12" t="n">
        <x:v>4091.9988</x:v>
      </x:c>
      <x:c r="G1635" s="12" t="n">
        <x:v>4068.9786</x:v>
      </x:c>
      <x:c r="H1635" s="12" t="n">
        <x:v>23.0202</x:v>
      </x:c>
      <x:c r="I1635" s="12" t="n">
        <x:v>0.5657</x:v>
      </x:c>
      <x:c r="J1635" s="12" t="n">
        <x:v>0.005641545105945867</x:v>
      </x:c>
      <x:c r="K1635" s="12" t="n">
        <x:v>150695682</x:v>
      </x:c>
      <x:c r="L1635" s="12" t="n">
        <x:v>306201501.439</x:v>
      </x:c>
      <x:c r="M1635" s="12" t="str">
        <x:v>TuShare index_daily</x:v>
      </x:c>
    </x:row>
    <x:row r="1636" ht="18" customHeight="1">
      <x:c r="A1636" s="13" t="n">
        <x:v>45033</x:v>
      </x:c>
      <x:c r="B1636" s="12" t="str">
        <x:v>000300.SH</x:v>
      </x:c>
      <x:c r="C1636" s="12" t="n">
        <x:v>4090.0719</x:v>
      </x:c>
      <x:c r="D1636" s="12" t="n">
        <x:v>4149.3836</x:v>
      </x:c>
      <x:c r="E1636" s="12" t="n">
        <x:v>4089.509</x:v>
      </x:c>
      <x:c r="F1636" s="12" t="n">
        <x:v>4149.3836</x:v>
      </x:c>
      <x:c r="G1636" s="12" t="n">
        <x:v>4091.9988</x:v>
      </x:c>
      <x:c r="H1636" s="12" t="n">
        <x:v>57.3848</x:v>
      </x:c>
      <x:c r="I1636" s="12" t="n">
        <x:v>1.4024</x:v>
      </x:c>
      <x:c r="J1636" s="12" t="n">
        <x:v>0.013926238256229347</x:v>
      </x:c>
      <x:c r="K1636" s="12" t="n">
        <x:v>188773095</x:v>
      </x:c>
      <x:c r="L1636" s="12" t="n">
        <x:v>341831272.793</x:v>
      </x:c>
      <x:c r="M1636" s="12" t="str">
        <x:v>TuShare index_daily</x:v>
      </x:c>
    </x:row>
    <x:row r="1637" ht="18" customHeight="1">
      <x:c r="A1637" s="13" t="n">
        <x:v>45034</x:v>
      </x:c>
      <x:c r="B1637" s="12" t="str">
        <x:v>000300.SH</x:v>
      </x:c>
      <x:c r="C1637" s="12" t="n">
        <x:v>4139.3088</x:v>
      </x:c>
      <x:c r="D1637" s="12" t="n">
        <x:v>4169.6678</x:v>
      </x:c>
      <x:c r="E1637" s="12" t="n">
        <x:v>4138.4618</x:v>
      </x:c>
      <x:c r="F1637" s="12" t="n">
        <x:v>4162.032</x:v>
      </x:c>
      <x:c r="G1637" s="12" t="n">
        <x:v>4149.3836</x:v>
      </x:c>
      <x:c r="H1637" s="12" t="n">
        <x:v>12.6484</x:v>
      </x:c>
      <x:c r="I1637" s="12" t="n">
        <x:v>0.3048</x:v>
      </x:c>
      <x:c r="J1637" s="12" t="n">
        <x:v>0.0030436234626958596</x:v>
      </x:c>
      <x:c r="K1637" s="12" t="n">
        <x:v>170184130</x:v>
      </x:c>
      <x:c r="L1637" s="12" t="n">
        <x:v>331545662.316</x:v>
      </x:c>
      <x:c r="M1637" s="12" t="str">
        <x:v>TuShare index_daily</x:v>
      </x:c>
    </x:row>
    <x:row r="1638" ht="18" customHeight="1">
      <x:c r="A1638" s="13" t="n">
        <x:v>45035</x:v>
      </x:c>
      <x:c r="B1638" s="12" t="str">
        <x:v>000300.SH</x:v>
      </x:c>
      <x:c r="C1638" s="12" t="n">
        <x:v>4159.3938</x:v>
      </x:c>
      <x:c r="D1638" s="12" t="n">
        <x:v>4159.3938</x:v>
      </x:c>
      <x:c r="E1638" s="12" t="n">
        <x:v>4118.6261</x:v>
      </x:c>
      <x:c r="F1638" s="12" t="n">
        <x:v>4124.5589</x:v>
      </x:c>
      <x:c r="G1638" s="12" t="n">
        <x:v>4162.032</x:v>
      </x:c>
      <x:c r="H1638" s="12" t="n">
        <x:v>-37.4731</x:v>
      </x:c>
      <x:c r="I1638" s="12" t="n">
        <x:v>-0.9004</x:v>
      </x:c>
      <x:c r="J1638" s="12" t="n">
        <x:v>-0.00904433581759568</x:v>
      </x:c>
      <x:c r="K1638" s="12" t="n">
        <x:v>162554592</x:v>
      </x:c>
      <x:c r="L1638" s="12" t="n">
        <x:v>312219504.523</x:v>
      </x:c>
      <x:c r="M1638" s="12" t="str">
        <x:v>TuShare index_daily</x:v>
      </x:c>
    </x:row>
    <x:row r="1639" ht="18" customHeight="1">
      <x:c r="A1639" s="13" t="n">
        <x:v>45036</x:v>
      </x:c>
      <x:c r="B1639" s="12" t="str">
        <x:v>000300.SH</x:v>
      </x:c>
      <x:c r="C1639" s="12" t="n">
        <x:v>4122.9461</x:v>
      </x:c>
      <x:c r="D1639" s="12" t="n">
        <x:v>4125.8231</x:v>
      </x:c>
      <x:c r="E1639" s="12" t="n">
        <x:v>4094.0022</x:v>
      </x:c>
      <x:c r="F1639" s="12" t="n">
        <x:v>4113.0192</x:v>
      </x:c>
      <x:c r="G1639" s="12" t="n">
        <x:v>4124.5589</x:v>
      </x:c>
      <x:c r="H1639" s="12" t="n">
        <x:v>-11.5397</x:v>
      </x:c>
      <x:c r="I1639" s="12" t="n">
        <x:v>-0.2798</x:v>
      </x:c>
      <x:c r="J1639" s="12" t="n">
        <x:v>-0.0028017233726872733</x:v>
      </x:c>
      <x:c r="K1639" s="12" t="n">
        <x:v>162706677</x:v>
      </x:c>
      <x:c r="L1639" s="12" t="n">
        <x:v>332172409.512</x:v>
      </x:c>
      <x:c r="M1639" s="12" t="str">
        <x:v>TuShare index_daily</x:v>
      </x:c>
    </x:row>
    <x:row r="1640" ht="18" customHeight="1">
      <x:c r="A1640" s="13" t="n">
        <x:v>45037</x:v>
      </x:c>
      <x:c r="B1640" s="12" t="str">
        <x:v>000300.SH</x:v>
      </x:c>
      <x:c r="C1640" s="12" t="n">
        <x:v>4114.2642</x:v>
      </x:c>
      <x:c r="D1640" s="12" t="n">
        <x:v>4114.2642</x:v>
      </x:c>
      <x:c r="E1640" s="12" t="n">
        <x:v>4031.9123</x:v>
      </x:c>
      <x:c r="F1640" s="12" t="n">
        <x:v>4032.5672</x:v>
      </x:c>
      <x:c r="G1640" s="12" t="n">
        <x:v>4113.0192</x:v>
      </x:c>
      <x:c r="H1640" s="12" t="n">
        <x:v>-80.452</x:v>
      </x:c>
      <x:c r="I1640" s="12" t="n">
        <x:v>-1.956</x:v>
      </x:c>
      <x:c r="J1640" s="12" t="n">
        <x:v>-0.01975416188434926</x:v>
      </x:c>
      <x:c r="K1640" s="12" t="n">
        <x:v>180802435</x:v>
      </x:c>
      <x:c r="L1640" s="12" t="n">
        <x:v>347852011.603</x:v>
      </x:c>
      <x:c r="M1640" s="12" t="str">
        <x:v>TuShare index_daily</x:v>
      </x:c>
    </x:row>
    <x:row r="1641" ht="18" customHeight="1">
      <x:c r="A1641" s="13" t="n">
        <x:v>45040</x:v>
      </x:c>
      <x:c r="B1641" s="12" t="str">
        <x:v>000300.SH</x:v>
      </x:c>
      <x:c r="C1641" s="12" t="n">
        <x:v>4031.303</x:v>
      </x:c>
      <x:c r="D1641" s="12" t="n">
        <x:v>4033.6367</x:v>
      </x:c>
      <x:c r="E1641" s="12" t="n">
        <x:v>3967.907</x:v>
      </x:c>
      <x:c r="F1641" s="12" t="n">
        <x:v>3982.6429</x:v>
      </x:c>
      <x:c r="G1641" s="12" t="n">
        <x:v>4032.5672</x:v>
      </x:c>
      <x:c r="H1641" s="12" t="n">
        <x:v>-49.9243</x:v>
      </x:c>
      <x:c r="I1641" s="12" t="n">
        <x:v>-1.238</x:v>
      </x:c>
      <x:c r="J1641" s="12" t="n">
        <x:v>-0.012457551336495796</x:v>
      </x:c>
      <x:c r="K1641" s="12" t="n">
        <x:v>170099217</x:v>
      </x:c>
      <x:c r="L1641" s="12" t="n">
        <x:v>328375614.674</x:v>
      </x:c>
      <x:c r="M1641" s="12" t="str">
        <x:v>TuShare index_daily</x:v>
      </x:c>
    </x:row>
    <x:row r="1642" ht="18" customHeight="1">
      <x:c r="A1642" s="13" t="n">
        <x:v>45041</x:v>
      </x:c>
      <x:c r="B1642" s="12" t="str">
        <x:v>000300.SH</x:v>
      </x:c>
      <x:c r="C1642" s="12" t="n">
        <x:v>3985.1055</x:v>
      </x:c>
      <x:c r="D1642" s="12" t="n">
        <x:v>3991.6868</x:v>
      </x:c>
      <x:c r="E1642" s="12" t="n">
        <x:v>3925.436</x:v>
      </x:c>
      <x:c r="F1642" s="12" t="n">
        <x:v>3962.6658</x:v>
      </x:c>
      <x:c r="G1642" s="12" t="n">
        <x:v>3982.6429</x:v>
      </x:c>
      <x:c r="H1642" s="12" t="n">
        <x:v>-19.9771</x:v>
      </x:c>
      <x:c r="I1642" s="12" t="n">
        <x:v>-0.5016</x:v>
      </x:c>
      <x:c r="J1642" s="12" t="n">
        <x:v>-0.005028663542673135</x:v>
      </x:c>
      <x:c r="K1642" s="12" t="n">
        <x:v>172555409</x:v>
      </x:c>
      <x:c r="L1642" s="12" t="n">
        <x:v>331110619.768</x:v>
      </x:c>
      <x:c r="M1642" s="12" t="str">
        <x:v>TuShare index_daily</x:v>
      </x:c>
    </x:row>
    <x:row r="1643" ht="18" customHeight="1">
      <x:c r="A1643" s="13" t="n">
        <x:v>45042</x:v>
      </x:c>
      <x:c r="B1643" s="12" t="str">
        <x:v>000300.SH</x:v>
      </x:c>
      <x:c r="C1643" s="12" t="n">
        <x:v>3950.2553</x:v>
      </x:c>
      <x:c r="D1643" s="12" t="n">
        <x:v>3975.6562</x:v>
      </x:c>
      <x:c r="E1643" s="12" t="n">
        <x:v>3934.6625</x:v>
      </x:c>
      <x:c r="F1643" s="12" t="n">
        <x:v>3959.2323</x:v>
      </x:c>
      <x:c r="G1643" s="12" t="n">
        <x:v>3962.6658</x:v>
      </x:c>
      <x:c r="H1643" s="12" t="n">
        <x:v>-3.4335</x:v>
      </x:c>
      <x:c r="I1643" s="12" t="n">
        <x:v>-0.0866</x:v>
      </x:c>
      <x:c r="J1643" s="12" t="n">
        <x:v>-0.0008668377632871743</x:v>
      </x:c>
      <x:c r="K1643" s="12" t="n">
        <x:v>162702006</x:v>
      </x:c>
      <x:c r="L1643" s="12" t="n">
        <x:v>322062811.334</x:v>
      </x:c>
      <x:c r="M1643" s="12" t="str">
        <x:v>TuShare index_daily</x:v>
      </x:c>
    </x:row>
    <x:row r="1644" ht="18" customHeight="1">
      <x:c r="A1644" s="13" t="n">
        <x:v>45043</x:v>
      </x:c>
      <x:c r="B1644" s="12" t="str">
        <x:v>000300.SH</x:v>
      </x:c>
      <x:c r="C1644" s="12" t="n">
        <x:v>3948.0313</x:v>
      </x:c>
      <x:c r="D1644" s="12" t="n">
        <x:v>3999.1302</x:v>
      </x:c>
      <x:c r="E1644" s="12" t="n">
        <x:v>3942.8152</x:v>
      </x:c>
      <x:c r="F1644" s="12" t="n">
        <x:v>3988.4185</x:v>
      </x:c>
      <x:c r="G1644" s="12" t="n">
        <x:v>3959.2323</x:v>
      </x:c>
      <x:c r="H1644" s="12" t="n">
        <x:v>29.1862</x:v>
      </x:c>
      <x:c r="I1644" s="12" t="n">
        <x:v>0.7372</x:v>
      </x:c>
      <x:c r="J1644" s="12" t="n">
        <x:v>0.007344643577210908</x:v>
      </x:c>
      <x:c r="K1644" s="12" t="n">
        <x:v>153828195</x:v>
      </x:c>
      <x:c r="L1644" s="12" t="n">
        <x:v>304804002.557</x:v>
      </x:c>
      <x:c r="M1644" s="12" t="str">
        <x:v>TuShare index_daily</x:v>
      </x:c>
    </x:row>
    <x:row r="1645" ht="18" customHeight="1">
      <x:c r="A1645" s="13" t="n">
        <x:v>45044</x:v>
      </x:c>
      <x:c r="B1645" s="12" t="str">
        <x:v>000300.SH</x:v>
      </x:c>
      <x:c r="C1645" s="12" t="n">
        <x:v>3993.2561</x:v>
      </x:c>
      <x:c r="D1645" s="12" t="n">
        <x:v>4030.4469</x:v>
      </x:c>
      <x:c r="E1645" s="12" t="n">
        <x:v>3993.2561</x:v>
      </x:c>
      <x:c r="F1645" s="12" t="n">
        <x:v>4029.0858</x:v>
      </x:c>
      <x:c r="G1645" s="12" t="n">
        <x:v>3988.4185</x:v>
      </x:c>
      <x:c r="H1645" s="12" t="n">
        <x:v>40.6673</x:v>
      </x:c>
      <x:c r="I1645" s="12" t="n">
        <x:v>1.0196</x:v>
      </x:c>
      <x:c r="J1645" s="12" t="n">
        <x:v>0.01014471517605962</x:v>
      </x:c>
      <x:c r="K1645" s="12" t="n">
        <x:v>179508488</x:v>
      </x:c>
      <x:c r="L1645" s="12" t="n">
        <x:v>328936294.025</x:v>
      </x:c>
      <x:c r="M1645" s="12" t="str">
        <x:v>TuShare index_daily</x:v>
      </x:c>
    </x:row>
    <x:row r="1646" ht="18" customHeight="1">
      <x:c r="A1646" s="13" t="n">
        <x:v>45050</x:v>
      </x:c>
      <x:c r="B1646" s="12" t="str">
        <x:v>000300.SH</x:v>
      </x:c>
      <x:c r="C1646" s="12" t="n">
        <x:v>4013.4713</x:v>
      </x:c>
      <x:c r="D1646" s="12" t="n">
        <x:v>4035.7832</x:v>
      </x:c>
      <x:c r="E1646" s="12" t="n">
        <x:v>4001.1259</x:v>
      </x:c>
      <x:c r="F1646" s="12" t="n">
        <x:v>4030.2471</x:v>
      </x:c>
      <x:c r="G1646" s="12" t="n">
        <x:v>4029.0858</x:v>
      </x:c>
      <x:c r="H1646" s="12" t="n">
        <x:v>1.1613</x:v>
      </x:c>
      <x:c r="I1646" s="12" t="n">
        <x:v>0.0288</x:v>
      </x:c>
      <x:c r="J1646" s="12" t="n">
        <x:v>0.00028818762605953345</x:v>
      </x:c>
      <x:c r="K1646" s="12" t="n">
        <x:v>227582846</x:v>
      </x:c>
      <x:c r="L1646" s="12" t="n">
        <x:v>345492506.049</x:v>
      </x:c>
      <x:c r="M1646" s="12" t="str">
        <x:v>TuShare index_daily</x:v>
      </x:c>
    </x:row>
    <x:row r="1647" ht="18" customHeight="1">
      <x:c r="A1647" s="13" t="n">
        <x:v>45051</x:v>
      </x:c>
      <x:c r="B1647" s="12" t="str">
        <x:v>000300.SH</x:v>
      </x:c>
      <x:c r="C1647" s="12" t="n">
        <x:v>4031.0946</x:v>
      </x:c>
      <x:c r="D1647" s="12" t="n">
        <x:v>4047.6015</x:v>
      </x:c>
      <x:c r="E1647" s="12" t="n">
        <x:v>3998.392</x:v>
      </x:c>
      <x:c r="F1647" s="12" t="n">
        <x:v>4016.8774</x:v>
      </x:c>
      <x:c r="G1647" s="12" t="n">
        <x:v>4030.2471</x:v>
      </x:c>
      <x:c r="H1647" s="12" t="n">
        <x:v>-13.3697</x:v>
      </x:c>
      <x:c r="I1647" s="12" t="n">
        <x:v>-0.3317</x:v>
      </x:c>
      <x:c r="J1647" s="12" t="n">
        <x:v>-0.0033228545927530486</x:v>
      </x:c>
      <x:c r="K1647" s="12" t="n">
        <x:v>206626924</x:v>
      </x:c>
      <x:c r="L1647" s="12" t="n">
        <x:v>307694489.937</x:v>
      </x:c>
      <x:c r="M1647" s="12" t="str">
        <x:v>TuShare index_daily</x:v>
      </x:c>
    </x:row>
    <x:row r="1648" ht="18" customHeight="1">
      <x:c r="A1648" s="13" t="n">
        <x:v>45054</x:v>
      </x:c>
      <x:c r="B1648" s="12" t="str">
        <x:v>000300.SH</x:v>
      </x:c>
      <x:c r="C1648" s="12" t="n">
        <x:v>4028.1056</x:v>
      </x:c>
      <x:c r="D1648" s="12" t="n">
        <x:v>4070.7724</x:v>
      </x:c>
      <x:c r="E1648" s="12" t="n">
        <x:v>4018.9608</x:v>
      </x:c>
      <x:c r="F1648" s="12" t="n">
        <x:v>4062.6624</x:v>
      </x:c>
      <x:c r="G1648" s="12" t="n">
        <x:v>4016.8774</x:v>
      </x:c>
      <x:c r="H1648" s="12" t="n">
        <x:v>45.785</x:v>
      </x:c>
      <x:c r="I1648" s="12" t="n">
        <x:v>1.1398</x:v>
      </x:c>
      <x:c r="J1648" s="12" t="n">
        <x:v>0.011333687618858015</x:v>
      </x:c>
      <x:c r="K1648" s="12" t="n">
        <x:v>255583085</x:v>
      </x:c>
      <x:c r="L1648" s="12" t="n">
        <x:v>359539954.17</x:v>
      </x:c>
      <x:c r="M1648" s="12" t="str">
        <x:v>TuShare index_daily</x:v>
      </x:c>
    </x:row>
    <x:row r="1649" ht="18" customHeight="1">
      <x:c r="A1649" s="13" t="n">
        <x:v>45055</x:v>
      </x:c>
      <x:c r="B1649" s="12" t="str">
        <x:v>000300.SH</x:v>
      </x:c>
      <x:c r="C1649" s="12" t="n">
        <x:v>4065.439</x:v>
      </x:c>
      <x:c r="D1649" s="12" t="n">
        <x:v>4092.8501</x:v>
      </x:c>
      <x:c r="E1649" s="12" t="n">
        <x:v>4026.3886</x:v>
      </x:c>
      <x:c r="F1649" s="12" t="n">
        <x:v>4027.8754</x:v>
      </x:c>
      <x:c r="G1649" s="12" t="n">
        <x:v>4062.6624</x:v>
      </x:c>
      <x:c r="H1649" s="12" t="n">
        <x:v>-34.787</x:v>
      </x:c>
      <x:c r="I1649" s="12" t="n">
        <x:v>-0.8563</x:v>
      </x:c>
      <x:c r="J1649" s="12" t="n">
        <x:v>-0.008599481329350357</x:v>
      </x:c>
      <x:c r="K1649" s="12" t="n">
        <x:v>279306048</x:v>
      </x:c>
      <x:c r="L1649" s="12" t="n">
        <x:v>396422120.421</x:v>
      </x:c>
      <x:c r="M1649" s="12" t="str">
        <x:v>TuShare index_daily</x:v>
      </x:c>
    </x:row>
    <x:row r="1650" ht="18" customHeight="1">
      <x:c r="A1650" s="13" t="n">
        <x:v>45056</x:v>
      </x:c>
      <x:c r="B1650" s="12" t="str">
        <x:v>000300.SH</x:v>
      </x:c>
      <x:c r="C1650" s="12" t="n">
        <x:v>4017.9358</x:v>
      </x:c>
      <x:c r="D1650" s="12" t="n">
        <x:v>4019.0587</x:v>
      </x:c>
      <x:c r="E1650" s="12" t="n">
        <x:v>3984.6287</x:v>
      </x:c>
      <x:c r="F1650" s="12" t="n">
        <x:v>3996.8695</x:v>
      </x:c>
      <x:c r="G1650" s="12" t="n">
        <x:v>4027.8754</x:v>
      </x:c>
      <x:c r="H1650" s="12" t="n">
        <x:v>-31.0059</x:v>
      </x:c>
      <x:c r="I1650" s="12" t="n">
        <x:v>-0.7698</x:v>
      </x:c>
      <x:c r="J1650" s="12" t="n">
        <x:v>-0.0077276112030614744</x:v>
      </x:c>
      <x:c r="K1650" s="12" t="n">
        <x:v>207552709</x:v>
      </x:c>
      <x:c r="L1650" s="12" t="n">
        <x:v>309484851.741</x:v>
      </x:c>
      <x:c r="M1650" s="12" t="str">
        <x:v>TuShare index_daily</x:v>
      </x:c>
    </x:row>
    <x:row r="1651" ht="18" customHeight="1">
      <x:c r="A1651" s="13" t="n">
        <x:v>45057</x:v>
      </x:c>
      <x:c r="B1651" s="12" t="str">
        <x:v>000300.SH</x:v>
      </x:c>
      <x:c r="C1651" s="12" t="n">
        <x:v>4005.7823</x:v>
      </x:c>
      <x:c r="D1651" s="12" t="n">
        <x:v>4018.0579</x:v>
      </x:c>
      <x:c r="E1651" s="12" t="n">
        <x:v>3988.4816</x:v>
      </x:c>
      <x:c r="F1651" s="12" t="n">
        <x:v>3990.6637</x:v>
      </x:c>
      <x:c r="G1651" s="12" t="n">
        <x:v>3996.8695</x:v>
      </x:c>
      <x:c r="H1651" s="12" t="n">
        <x:v>-6.2058</x:v>
      </x:c>
      <x:c r="I1651" s="12" t="n">
        <x:v>-0.1553</x:v>
      </x:c>
      <x:c r="J1651" s="12" t="n">
        <x:v>-0.001553871788268113</x:v>
      </x:c>
      <x:c r="K1651" s="12" t="n">
        <x:v>144804619</x:v>
      </x:c>
      <x:c r="L1651" s="12" t="n">
        <x:v>241052071.432</x:v>
      </x:c>
      <x:c r="M1651" s="12" t="str">
        <x:v>TuShare index_daily</x:v>
      </x:c>
    </x:row>
    <x:row r="1652" ht="18" customHeight="1">
      <x:c r="A1652" s="13" t="n">
        <x:v>45058</x:v>
      </x:c>
      <x:c r="B1652" s="12" t="str">
        <x:v>000300.SH</x:v>
      </x:c>
      <x:c r="C1652" s="12" t="n">
        <x:v>3987.769</x:v>
      </x:c>
      <x:c r="D1652" s="12" t="n">
        <x:v>3999.3831</x:v>
      </x:c>
      <x:c r="E1652" s="12" t="n">
        <x:v>3937.5274</x:v>
      </x:c>
      <x:c r="F1652" s="12" t="n">
        <x:v>3937.7622</x:v>
      </x:c>
      <x:c r="G1652" s="12" t="n">
        <x:v>3990.6637</x:v>
      </x:c>
      <x:c r="H1652" s="12" t="n">
        <x:v>-52.9015</x:v>
      </x:c>
      <x:c r="I1652" s="12" t="n">
        <x:v>-1.3256</x:v>
      </x:c>
      <x:c r="J1652" s="12" t="n">
        <x:v>-0.013344965509902268</x:v>
      </x:c>
      <x:c r="K1652" s="12" t="n">
        <x:v>144421728</x:v>
      </x:c>
      <x:c r="L1652" s="12" t="n">
        <x:v>228992923.388</x:v>
      </x:c>
      <x:c r="M1652" s="12" t="str">
        <x:v>TuShare index_daily</x:v>
      </x:c>
    </x:row>
    <x:row r="1653" ht="18" customHeight="1">
      <x:c r="A1653" s="13" t="n">
        <x:v>45061</x:v>
      </x:c>
      <x:c r="B1653" s="12" t="str">
        <x:v>000300.SH</x:v>
      </x:c>
      <x:c r="C1653" s="12" t="n">
        <x:v>3938.83</x:v>
      </x:c>
      <x:c r="D1653" s="12" t="n">
        <x:v>3998.8872</x:v>
      </x:c>
      <x:c r="E1653" s="12" t="n">
        <x:v>3923.0317</x:v>
      </x:c>
      <x:c r="F1653" s="12" t="n">
        <x:v>3998.8872</x:v>
      </x:c>
      <x:c r="G1653" s="12" t="n">
        <x:v>3937.7622</x:v>
      </x:c>
      <x:c r="H1653" s="12" t="n">
        <x:v>61.125</x:v>
      </x:c>
      <x:c r="I1653" s="12" t="n">
        <x:v>1.5523</x:v>
      </x:c>
      <x:c r="J1653" s="12" t="n">
        <x:v>0.015403530004197431</x:v>
      </x:c>
      <x:c r="K1653" s="12" t="n">
        <x:v>176257362</x:v>
      </x:c>
      <x:c r="L1653" s="12" t="n">
        <x:v>279531163.508</x:v>
      </x:c>
      <x:c r="M1653" s="12" t="str">
        <x:v>TuShare index_daily</x:v>
      </x:c>
    </x:row>
    <x:row r="1654" ht="18" customHeight="1">
      <x:c r="A1654" s="13" t="n">
        <x:v>45062</x:v>
      </x:c>
      <x:c r="B1654" s="12" t="str">
        <x:v>000300.SH</x:v>
      </x:c>
      <x:c r="C1654" s="12" t="n">
        <x:v>4002.5237</x:v>
      </x:c>
      <x:c r="D1654" s="12" t="n">
        <x:v>4005.015</x:v>
      </x:c>
      <x:c r="E1654" s="12" t="n">
        <x:v>3966.9921</x:v>
      </x:c>
      <x:c r="F1654" s="12" t="n">
        <x:v>3978.2054</x:v>
      </x:c>
      <x:c r="G1654" s="12" t="n">
        <x:v>3998.8872</x:v>
      </x:c>
      <x:c r="H1654" s="12" t="n">
        <x:v>-20.6818</x:v>
      </x:c>
      <x:c r="I1654" s="12" t="n">
        <x:v>-0.5172</x:v>
      </x:c>
      <x:c r="J1654" s="12" t="n">
        <x:v>-0.0051853093293719</x:v>
      </x:c>
      <x:c r="K1654" s="12" t="n">
        <x:v>136833271</x:v>
      </x:c>
      <x:c r="L1654" s="12" t="n">
        <x:v>234840652.671</x:v>
      </x:c>
      <x:c r="M1654" s="12" t="str">
        <x:v>TuShare index_daily</x:v>
      </x:c>
    </x:row>
    <x:row r="1655" ht="18" customHeight="1">
      <x:c r="A1655" s="13" t="n">
        <x:v>45063</x:v>
      </x:c>
      <x:c r="B1655" s="12" t="str">
        <x:v>000300.SH</x:v>
      </x:c>
      <x:c r="C1655" s="12" t="n">
        <x:v>3971.7017</x:v>
      </x:c>
      <x:c r="D1655" s="12" t="n">
        <x:v>3982.6044</x:v>
      </x:c>
      <x:c r="E1655" s="12" t="n">
        <x:v>3945.7137</x:v>
      </x:c>
      <x:c r="F1655" s="12" t="n">
        <x:v>3960.165</x:v>
      </x:c>
      <x:c r="G1655" s="12" t="n">
        <x:v>3978.2054</x:v>
      </x:c>
      <x:c r="H1655" s="12" t="n">
        <x:v>-18.0404</x:v>
      </x:c>
      <x:c r="I1655" s="12" t="n">
        <x:v>-0.4535</x:v>
      </x:c>
      <x:c r="J1655" s="12" t="n">
        <x:v>-0.004545122020695687</x:v>
      </x:c>
      <x:c r="K1655" s="12" t="n">
        <x:v>118448185</x:v>
      </x:c>
      <x:c r="L1655" s="12" t="n">
        <x:v>205195685.976</x:v>
      </x:c>
      <x:c r="M1655" s="12" t="str">
        <x:v>TuShare index_daily</x:v>
      </x:c>
    </x:row>
    <x:row r="1656" ht="18" customHeight="1">
      <x:c r="A1656" s="13" t="n">
        <x:v>45064</x:v>
      </x:c>
      <x:c r="B1656" s="12" t="str">
        <x:v>000300.SH</x:v>
      </x:c>
      <x:c r="C1656" s="12" t="n">
        <x:v>3965.5162</x:v>
      </x:c>
      <x:c r="D1656" s="12" t="n">
        <x:v>3982.7178</x:v>
      </x:c>
      <x:c r="E1656" s="12" t="n">
        <x:v>3939.5526</x:v>
      </x:c>
      <x:c r="F1656" s="12" t="n">
        <x:v>3956.0701</x:v>
      </x:c>
      <x:c r="G1656" s="12" t="n">
        <x:v>3960.165</x:v>
      </x:c>
      <x:c r="H1656" s="12" t="n">
        <x:v>-4.0949</x:v>
      </x:c>
      <x:c r="I1656" s="12" t="n">
        <x:v>-0.1034</x:v>
      </x:c>
      <x:c r="J1656" s="12" t="n">
        <x:v>-0.001034557542444401</x:v>
      </x:c>
      <x:c r="K1656" s="12" t="n">
        <x:v>136533947</x:v>
      </x:c>
      <x:c r="L1656" s="12" t="n">
        <x:v>229134184.413</x:v>
      </x:c>
      <x:c r="M1656" s="12" t="str">
        <x:v>TuShare index_daily</x:v>
      </x:c>
    </x:row>
    <x:row r="1657" ht="18" customHeight="1">
      <x:c r="A1657" s="13" t="n">
        <x:v>45065</x:v>
      </x:c>
      <x:c r="B1657" s="12" t="str">
        <x:v>000300.SH</x:v>
      </x:c>
      <x:c r="C1657" s="12" t="n">
        <x:v>3946.2215</x:v>
      </x:c>
      <x:c r="D1657" s="12" t="n">
        <x:v>3967.2816</x:v>
      </x:c>
      <x:c r="E1657" s="12" t="n">
        <x:v>3928.316</x:v>
      </x:c>
      <x:c r="F1657" s="12" t="n">
        <x:v>3944.5403</x:v>
      </x:c>
      <x:c r="G1657" s="12" t="n">
        <x:v>3956.0701</x:v>
      </x:c>
      <x:c r="H1657" s="12" t="n">
        <x:v>-11.5298</x:v>
      </x:c>
      <x:c r="I1657" s="12" t="n">
        <x:v>-0.2914</x:v>
      </x:c>
      <x:c r="J1657" s="12" t="n">
        <x:v>-0.002918713264252902</x:v>
      </x:c>
      <x:c r="K1657" s="12" t="n">
        <x:v>120212479</x:v>
      </x:c>
      <x:c r="L1657" s="12" t="n">
        <x:v>207094944.781</x:v>
      </x:c>
      <x:c r="M1657" s="12" t="str">
        <x:v>TuShare index_daily</x:v>
      </x:c>
    </x:row>
    <x:row r="1658" ht="18" customHeight="1">
      <x:c r="A1658" s="13" t="n">
        <x:v>45068</x:v>
      </x:c>
      <x:c r="B1658" s="12" t="str">
        <x:v>000300.SH</x:v>
      </x:c>
      <x:c r="C1658" s="12" t="n">
        <x:v>3941.0015</x:v>
      </x:c>
      <x:c r="D1658" s="12" t="n">
        <x:v>3985.4031</x:v>
      </x:c>
      <x:c r="E1658" s="12" t="n">
        <x:v>3935.8015</x:v>
      </x:c>
      <x:c r="F1658" s="12" t="n">
        <x:v>3969.3277</x:v>
      </x:c>
      <x:c r="G1658" s="12" t="n">
        <x:v>3944.5403</x:v>
      </x:c>
      <x:c r="H1658" s="12" t="n">
        <x:v>24.7874</x:v>
      </x:c>
      <x:c r="I1658" s="12" t="n">
        <x:v>0.6284</x:v>
      </x:c>
      <x:c r="J1658" s="12" t="n">
        <x:v>0.006264315012112265</x:v>
      </x:c>
      <x:c r="K1658" s="12" t="n">
        <x:v>109116605</x:v>
      </x:c>
      <x:c r="L1658" s="12" t="n">
        <x:v>202185550.246</x:v>
      </x:c>
      <x:c r="M1658" s="12" t="str">
        <x:v>TuShare index_daily</x:v>
      </x:c>
    </x:row>
    <x:row r="1659" ht="18" customHeight="1">
      <x:c r="A1659" s="13" t="n">
        <x:v>45069</x:v>
      </x:c>
      <x:c r="B1659" s="12" t="str">
        <x:v>000300.SH</x:v>
      </x:c>
      <x:c r="C1659" s="12" t="n">
        <x:v>3968.2346</x:v>
      </x:c>
      <x:c r="D1659" s="12" t="n">
        <x:v>3971.939</x:v>
      </x:c>
      <x:c r="E1659" s="12" t="n">
        <x:v>3913.1882</x:v>
      </x:c>
      <x:c r="F1659" s="12" t="n">
        <x:v>3913.1882</x:v>
      </x:c>
      <x:c r="G1659" s="12" t="n">
        <x:v>3969.3277</x:v>
      </x:c>
      <x:c r="H1659" s="12" t="n">
        <x:v>-56.1395</x:v>
      </x:c>
      <x:c r="I1659" s="12" t="n">
        <x:v>-1.4143</x:v>
      </x:c>
      <x:c r="J1659" s="12" t="n">
        <x:v>-0.014244297108787168</x:v>
      </x:c>
      <x:c r="K1659" s="12" t="n">
        <x:v>118685077</x:v>
      </x:c>
      <x:c r="L1659" s="12" t="n">
        <x:v>189955815.34</x:v>
      </x:c>
      <x:c r="M1659" s="12" t="str">
        <x:v>TuShare index_daily</x:v>
      </x:c>
    </x:row>
    <x:row r="1660" ht="18" customHeight="1">
      <x:c r="A1660" s="13" t="n">
        <x:v>45070</x:v>
      </x:c>
      <x:c r="B1660" s="12" t="str">
        <x:v>000300.SH</x:v>
      </x:c>
      <x:c r="C1660" s="12" t="n">
        <x:v>3903.7818</x:v>
      </x:c>
      <x:c r="D1660" s="12" t="n">
        <x:v>3903.7818</x:v>
      </x:c>
      <x:c r="E1660" s="12" t="n">
        <x:v>3859.0935</x:v>
      </x:c>
      <x:c r="F1660" s="12" t="n">
        <x:v>3859.0935</x:v>
      </x:c>
      <x:c r="G1660" s="12" t="n">
        <x:v>3913.1882</x:v>
      </x:c>
      <x:c r="H1660" s="12" t="n">
        <x:v>-54.0947</x:v>
      </x:c>
      <x:c r="I1660" s="12" t="n">
        <x:v>-1.3824</x:v>
      </x:c>
      <x:c r="J1660" s="12" t="n">
        <x:v>-0.013920126824799891</x:v>
      </x:c>
      <x:c r="K1660" s="12" t="n">
        <x:v>137258265</x:v>
      </x:c>
      <x:c r="L1660" s="12" t="n">
        <x:v>211768410.52</x:v>
      </x:c>
      <x:c r="M1660" s="12" t="str">
        <x:v>TuShare index_daily</x:v>
      </x:c>
    </x:row>
    <x:row r="1661" ht="18" customHeight="1">
      <x:c r="A1661" s="13" t="n">
        <x:v>45071</x:v>
      </x:c>
      <x:c r="B1661" s="12" t="str">
        <x:v>000300.SH</x:v>
      </x:c>
      <x:c r="C1661" s="12" t="n">
        <x:v>3851.4053</x:v>
      </x:c>
      <x:c r="D1661" s="12" t="n">
        <x:v>3861.3815</x:v>
      </x:c>
      <x:c r="E1661" s="12" t="n">
        <x:v>3817.8365</x:v>
      </x:c>
      <x:c r="F1661" s="12" t="n">
        <x:v>3850.4996</x:v>
      </x:c>
      <x:c r="G1661" s="12" t="n">
        <x:v>3859.0935</x:v>
      </x:c>
      <x:c r="H1661" s="12" t="n">
        <x:v>-8.5939</x:v>
      </x:c>
      <x:c r="I1661" s="12" t="n">
        <x:v>-0.2227</x:v>
      </x:c>
      <x:c r="J1661" s="12" t="n">
        <x:v>-0.002229405222302582</x:v>
      </x:c>
      <x:c r="K1661" s="12" t="n">
        <x:v>124150770</x:v>
      </x:c>
      <x:c r="L1661" s="12" t="n">
        <x:v>213313620.055</x:v>
      </x:c>
      <x:c r="M1661" s="12" t="str">
        <x:v>TuShare index_daily</x:v>
      </x:c>
    </x:row>
    <x:row r="1662" ht="18" customHeight="1">
      <x:c r="A1662" s="13" t="n">
        <x:v>45072</x:v>
      </x:c>
      <x:c r="B1662" s="12" t="str">
        <x:v>000300.SH</x:v>
      </x:c>
      <x:c r="C1662" s="12" t="n">
        <x:v>3848.4174</x:v>
      </x:c>
      <x:c r="D1662" s="12" t="n">
        <x:v>3859.6291</x:v>
      </x:c>
      <x:c r="E1662" s="12" t="n">
        <x:v>3815.5701</x:v>
      </x:c>
      <x:c r="F1662" s="12" t="n">
        <x:v>3850.9511</x:v>
      </x:c>
      <x:c r="G1662" s="12" t="n">
        <x:v>3850.4996</x:v>
      </x:c>
      <x:c r="H1662" s="12" t="n">
        <x:v>0.4515</x:v>
      </x:c>
      <x:c r="I1662" s="12" t="n">
        <x:v>0.0117</x:v>
      </x:c>
      <x:c r="J1662" s="12" t="n">
        <x:v>0.00011725063708255876</x:v>
      </x:c>
      <x:c r="K1662" s="12" t="n">
        <x:v>100326439</x:v>
      </x:c>
      <x:c r="L1662" s="12" t="n">
        <x:v>191537814.873</x:v>
      </x:c>
      <x:c r="M1662" s="12" t="str">
        <x:v>TuShare index_daily</x:v>
      </x:c>
    </x:row>
    <x:row r="1663" ht="18" customHeight="1">
      <x:c r="A1663" s="13" t="n">
        <x:v>45075</x:v>
      </x:c>
      <x:c r="B1663" s="12" t="str">
        <x:v>000300.SH</x:v>
      </x:c>
      <x:c r="C1663" s="12" t="n">
        <x:v>3862.0838</x:v>
      </x:c>
      <x:c r="D1663" s="12" t="n">
        <x:v>3866.7238</x:v>
      </x:c>
      <x:c r="E1663" s="12" t="n">
        <x:v>3819.1822</x:v>
      </x:c>
      <x:c r="F1663" s="12" t="n">
        <x:v>3833.9416</x:v>
      </x:c>
      <x:c r="G1663" s="12" t="n">
        <x:v>3850.9511</x:v>
      </x:c>
      <x:c r="H1663" s="12" t="n">
        <x:v>-17.0095</x:v>
      </x:c>
      <x:c r="I1663" s="12" t="n">
        <x:v>-0.4417</x:v>
      </x:c>
      <x:c r="J1663" s="12" t="n">
        <x:v>-0.004426744377731629</x:v>
      </x:c>
      <x:c r="K1663" s="12" t="n">
        <x:v>131859967</x:v>
      </x:c>
      <x:c r="L1663" s="12" t="n">
        <x:v>230095604.813</x:v>
      </x:c>
      <x:c r="M1663" s="12" t="str">
        <x:v>TuShare index_daily</x:v>
      </x:c>
    </x:row>
    <x:row r="1664" ht="18" customHeight="1">
      <x:c r="A1664" s="13" t="n">
        <x:v>45076</x:v>
      </x:c>
      <x:c r="B1664" s="12" t="str">
        <x:v>000300.SH</x:v>
      </x:c>
      <x:c r="C1664" s="12" t="n">
        <x:v>3827.7924</x:v>
      </x:c>
      <x:c r="D1664" s="12" t="n">
        <x:v>3844.0052</x:v>
      </x:c>
      <x:c r="E1664" s="12" t="n">
        <x:v>3789.2736</x:v>
      </x:c>
      <x:c r="F1664" s="12" t="n">
        <x:v>3837.7531</x:v>
      </x:c>
      <x:c r="G1664" s="12" t="n">
        <x:v>3833.9416</x:v>
      </x:c>
      <x:c r="H1664" s="12" t="n">
        <x:v>3.8115</x:v>
      </x:c>
      <x:c r="I1664" s="12" t="n">
        <x:v>0.0994</x:v>
      </x:c>
      <x:c r="J1664" s="12" t="n">
        <x:v>0.0009936527619133092</x:v>
      </x:c>
      <x:c r="K1664" s="12" t="n">
        <x:v>137619629</x:v>
      </x:c>
      <x:c r="L1664" s="12" t="n">
        <x:v>244566265.535</x:v>
      </x:c>
      <x:c r="M1664" s="12" t="str">
        <x:v>TuShare index_daily</x:v>
      </x:c>
    </x:row>
    <x:row r="1665" ht="18" customHeight="1">
      <x:c r="A1665" s="13" t="n">
        <x:v>45077</x:v>
      </x:c>
      <x:c r="B1665" s="12" t="str">
        <x:v>000300.SH</x:v>
      </x:c>
      <x:c r="C1665" s="12" t="n">
        <x:v>3827.1634</x:v>
      </x:c>
      <x:c r="D1665" s="12" t="n">
        <x:v>3827.1634</x:v>
      </x:c>
      <x:c r="E1665" s="12" t="n">
        <x:v>3781.4034</x:v>
      </x:c>
      <x:c r="F1665" s="12" t="n">
        <x:v>3798.5434</x:v>
      </x:c>
      <x:c r="G1665" s="12" t="n">
        <x:v>3837.7531</x:v>
      </x:c>
      <x:c r="H1665" s="12" t="n">
        <x:v>-39.2097</x:v>
      </x:c>
      <x:c r="I1665" s="12" t="n">
        <x:v>-1.0217</x:v>
      </x:c>
      <x:c r="J1665" s="12" t="n">
        <x:v>-0.01026938767722393</x:v>
      </x:c>
      <x:c r="K1665" s="12" t="n">
        <x:v>126387368</x:v>
      </x:c>
      <x:c r="L1665" s="12" t="n">
        <x:v>235606123.948</x:v>
      </x:c>
      <x:c r="M1665" s="12" t="str">
        <x:v>TuShare index_daily</x:v>
      </x:c>
    </x:row>
    <x:row r="1666" ht="18" customHeight="1">
      <x:c r="A1666" s="13" t="n">
        <x:v>45078</x:v>
      </x:c>
      <x:c r="B1666" s="12" t="str">
        <x:v>000300.SH</x:v>
      </x:c>
      <x:c r="C1666" s="12" t="n">
        <x:v>3788.5902</x:v>
      </x:c>
      <x:c r="D1666" s="12" t="n">
        <x:v>3832.2051</x:v>
      </x:c>
      <x:c r="E1666" s="12" t="n">
        <x:v>3786.7344</x:v>
      </x:c>
      <x:c r="F1666" s="12" t="n">
        <x:v>3806.8679</x:v>
      </x:c>
      <x:c r="G1666" s="12" t="n">
        <x:v>3798.5434</x:v>
      </x:c>
      <x:c r="H1666" s="12" t="n">
        <x:v>8.3245</x:v>
      </x:c>
      <x:c r="I1666" s="12" t="n">
        <x:v>0.2191</x:v>
      </x:c>
      <x:c r="J1666" s="12" t="n">
        <x:v>0.002189100101492375</x:v>
      </x:c>
      <x:c r="K1666" s="12" t="n">
        <x:v>134561881</x:v>
      </x:c>
      <x:c r="L1666" s="12" t="n">
        <x:v>241829546.409</x:v>
      </x:c>
      <x:c r="M1666" s="12" t="str">
        <x:v>TuShare index_daily</x:v>
      </x:c>
    </x:row>
    <x:row r="1667" ht="18" customHeight="1">
      <x:c r="A1667" s="13" t="n">
        <x:v>45079</x:v>
      </x:c>
      <x:c r="B1667" s="12" t="str">
        <x:v>000300.SH</x:v>
      </x:c>
      <x:c r="C1667" s="12" t="n">
        <x:v>3821.6198</x:v>
      </x:c>
      <x:c r="D1667" s="12" t="n">
        <x:v>3865.2843</x:v>
      </x:c>
      <x:c r="E1667" s="12" t="n">
        <x:v>3821.6198</x:v>
      </x:c>
      <x:c r="F1667" s="12" t="n">
        <x:v>3861.8337</x:v>
      </x:c>
      <x:c r="G1667" s="12" t="n">
        <x:v>3806.8679</x:v>
      </x:c>
      <x:c r="H1667" s="12" t="n">
        <x:v>54.9658</x:v>
      </x:c>
      <x:c r="I1667" s="12" t="n">
        <x:v>1.4439</x:v>
      </x:c>
      <x:c r="J1667" s="12" t="n">
        <x:v>0.01433534492873864</x:v>
      </x:c>
      <x:c r="K1667" s="12" t="n">
        <x:v>125015110</x:v>
      </x:c>
      <x:c r="L1667" s="12" t="n">
        <x:v>232696547.131</x:v>
      </x:c>
      <x:c r="M1667" s="12" t="str">
        <x:v>TuShare index_daily</x:v>
      </x:c>
    </x:row>
    <x:row r="1668" ht="18" customHeight="1">
      <x:c r="A1668" s="13" t="n">
        <x:v>45082</x:v>
      </x:c>
      <x:c r="B1668" s="12" t="str">
        <x:v>000300.SH</x:v>
      </x:c>
      <x:c r="C1668" s="12" t="n">
        <x:v>3860.5557</x:v>
      </x:c>
      <x:c r="D1668" s="12" t="n">
        <x:v>3860.5557</x:v>
      </x:c>
      <x:c r="E1668" s="12" t="n">
        <x:v>3832.4578</x:v>
      </x:c>
      <x:c r="F1668" s="12" t="n">
        <x:v>3844.2492</x:v>
      </x:c>
      <x:c r="G1668" s="12" t="n">
        <x:v>3861.8337</x:v>
      </x:c>
      <x:c r="H1668" s="12" t="n">
        <x:v>-17.5845</x:v>
      </x:c>
      <x:c r="I1668" s="12" t="n">
        <x:v>-0.4553</x:v>
      </x:c>
      <x:c r="J1668" s="12" t="n">
        <x:v>-0.004563805178188675</x:v>
      </x:c>
      <x:c r="K1668" s="12" t="n">
        <x:v>116163989</x:v>
      </x:c>
      <x:c r="L1668" s="12" t="n">
        <x:v>211144360.144</x:v>
      </x:c>
      <x:c r="M1668" s="12" t="str">
        <x:v>TuShare index_daily</x:v>
      </x:c>
    </x:row>
    <x:row r="1669" ht="18" customHeight="1">
      <x:c r="A1669" s="13" t="n">
        <x:v>45083</x:v>
      </x:c>
      <x:c r="B1669" s="12" t="str">
        <x:v>000300.SH</x:v>
      </x:c>
      <x:c r="C1669" s="12" t="n">
        <x:v>3840.4587</x:v>
      </x:c>
      <x:c r="D1669" s="12" t="n">
        <x:v>3867.8452</x:v>
      </x:c>
      <x:c r="E1669" s="12" t="n">
        <x:v>3802.8449</x:v>
      </x:c>
      <x:c r="F1669" s="12" t="n">
        <x:v>3808.1629</x:v>
      </x:c>
      <x:c r="G1669" s="12" t="n">
        <x:v>3844.2492</x:v>
      </x:c>
      <x:c r="H1669" s="12" t="n">
        <x:v>-36.0863</x:v>
      </x:c>
      <x:c r="I1669" s="12" t="n">
        <x:v>-0.9387</x:v>
      </x:c>
      <x:c r="J1669" s="12" t="n">
        <x:v>-0.009431422935137213</x:v>
      </x:c>
      <x:c r="K1669" s="12" t="n">
        <x:v>125781258</x:v>
      </x:c>
      <x:c r="L1669" s="12" t="n">
        <x:v>222091722.592</x:v>
      </x:c>
      <x:c r="M1669" s="12" t="str">
        <x:v>TuShare index_daily</x:v>
      </x:c>
    </x:row>
    <x:row r="1670" ht="18" customHeight="1">
      <x:c r="A1670" s="13" t="n">
        <x:v>45084</x:v>
      </x:c>
      <x:c r="B1670" s="12" t="str">
        <x:v>000300.SH</x:v>
      </x:c>
      <x:c r="C1670" s="12" t="n">
        <x:v>3815.4823</x:v>
      </x:c>
      <x:c r="D1670" s="12" t="n">
        <x:v>3823.1124</x:v>
      </x:c>
      <x:c r="E1670" s="12" t="n">
        <x:v>3780.1021</x:v>
      </x:c>
      <x:c r="F1670" s="12" t="n">
        <x:v>3789.3418</x:v>
      </x:c>
      <x:c r="G1670" s="12" t="n">
        <x:v>3808.1629</x:v>
      </x:c>
      <x:c r="H1670" s="12" t="n">
        <x:v>-18.8211</x:v>
      </x:c>
      <x:c r="I1670" s="12" t="n">
        <x:v>-0.4942</x:v>
      </x:c>
      <x:c r="J1670" s="12" t="n">
        <x:v>-0.004954557909288927</x:v>
      </x:c>
      <x:c r="K1670" s="12" t="n">
        <x:v>98862432</x:v>
      </x:c>
      <x:c r="L1670" s="12" t="n">
        <x:v>189879792.18</x:v>
      </x:c>
      <x:c r="M1670" s="12" t="str">
        <x:v>TuShare index_daily</x:v>
      </x:c>
    </x:row>
    <x:row r="1671" ht="18" customHeight="1">
      <x:c r="A1671" s="13" t="n">
        <x:v>45085</x:v>
      </x:c>
      <x:c r="B1671" s="12" t="str">
        <x:v>000300.SH</x:v>
      </x:c>
      <x:c r="C1671" s="12" t="n">
        <x:v>3791.0826</x:v>
      </x:c>
      <x:c r="D1671" s="12" t="n">
        <x:v>3834.3888</x:v>
      </x:c>
      <x:c r="E1671" s="12" t="n">
        <x:v>3777.7752</x:v>
      </x:c>
      <x:c r="F1671" s="12" t="n">
        <x:v>3820.1867</x:v>
      </x:c>
      <x:c r="G1671" s="12" t="n">
        <x:v>3789.3418</x:v>
      </x:c>
      <x:c r="H1671" s="12" t="n">
        <x:v>30.8449</x:v>
      </x:c>
      <x:c r="I1671" s="12" t="n">
        <x:v>0.814</x:v>
      </x:c>
      <x:c r="J1671" s="12" t="n">
        <x:v>0.008106959303515378</x:v>
      </x:c>
      <x:c r="K1671" s="12" t="n">
        <x:v>118700934</x:v>
      </x:c>
      <x:c r="L1671" s="12" t="n">
        <x:v>199119300.65</x:v>
      </x:c>
      <x:c r="M1671" s="12" t="str">
        <x:v>TuShare index_daily</x:v>
      </x:c>
    </x:row>
    <x:row r="1672" ht="18" customHeight="1">
      <x:c r="A1672" s="13" t="n">
        <x:v>45086</x:v>
      </x:c>
      <x:c r="B1672" s="12" t="str">
        <x:v>000300.SH</x:v>
      </x:c>
      <x:c r="C1672" s="12" t="n">
        <x:v>3822.4088</x:v>
      </x:c>
      <x:c r="D1672" s="12" t="n">
        <x:v>3836.7026</x:v>
      </x:c>
      <x:c r="E1672" s="12" t="n">
        <x:v>3811.2189</x:v>
      </x:c>
      <x:c r="F1672" s="12" t="n">
        <x:v>3836.7026</x:v>
      </x:c>
      <x:c r="G1672" s="12" t="n">
        <x:v>3820.1867</x:v>
      </x:c>
      <x:c r="H1672" s="12" t="n">
        <x:v>16.5159</x:v>
      </x:c>
      <x:c r="I1672" s="12" t="n">
        <x:v>0.4323</x:v>
      </x:c>
      <x:c r="J1672" s="12" t="n">
        <x:v>0.00431400402099796</x:v>
      </x:c>
      <x:c r="K1672" s="12" t="n">
        <x:v>134319863</x:v>
      </x:c>
      <x:c r="L1672" s="12" t="n">
        <x:v>247296087.071</x:v>
      </x:c>
      <x:c r="M1672" s="12" t="str">
        <x:v>TuShare index_daily</x:v>
      </x:c>
    </x:row>
    <x:row r="1673" ht="18" customHeight="1">
      <x:c r="A1673" s="13" t="n">
        <x:v>45089</x:v>
      </x:c>
      <x:c r="B1673" s="12" t="str">
        <x:v>000300.SH</x:v>
      </x:c>
      <x:c r="C1673" s="12" t="n">
        <x:v>3827.3253</x:v>
      </x:c>
      <x:c r="D1673" s="12" t="n">
        <x:v>3859.7156</x:v>
      </x:c>
      <x:c r="E1673" s="12" t="n">
        <x:v>3813.8577</x:v>
      </x:c>
      <x:c r="F1673" s="12" t="n">
        <x:v>3844.4324</x:v>
      </x:c>
      <x:c r="G1673" s="12" t="n">
        <x:v>3836.7026</x:v>
      </x:c>
      <x:c r="H1673" s="12" t="n">
        <x:v>7.7298</x:v>
      </x:c>
      <x:c r="I1673" s="12" t="n">
        <x:v>0.2015</x:v>
      </x:c>
      <x:c r="J1673" s="12" t="n">
        <x:v>0.002012671983855088</x:v>
      </x:c>
      <x:c r="K1673" s="12" t="n">
        <x:v>126758543</x:v>
      </x:c>
      <x:c r="L1673" s="12" t="n">
        <x:v>240791270.474</x:v>
      </x:c>
      <x:c r="M1673" s="12" t="str">
        <x:v>TuShare index_daily</x:v>
      </x:c>
    </x:row>
    <x:row r="1674" ht="18" customHeight="1">
      <x:c r="A1674" s="13" t="n">
        <x:v>45090</x:v>
      </x:c>
      <x:c r="B1674" s="12" t="str">
        <x:v>000300.SH</x:v>
      </x:c>
      <x:c r="C1674" s="12" t="n">
        <x:v>3838.1287</x:v>
      </x:c>
      <x:c r="D1674" s="12" t="n">
        <x:v>3867.3034</x:v>
      </x:c>
      <x:c r="E1674" s="12" t="n">
        <x:v>3833.4598</x:v>
      </x:c>
      <x:c r="F1674" s="12" t="n">
        <x:v>3864.9074</x:v>
      </x:c>
      <x:c r="G1674" s="12" t="n">
        <x:v>3844.4324</x:v>
      </x:c>
      <x:c r="H1674" s="12" t="n">
        <x:v>20.475</x:v>
      </x:c>
      <x:c r="I1674" s="12" t="n">
        <x:v>0.5326</x:v>
      </x:c>
      <x:c r="J1674" s="12" t="n">
        <x:v>0.005311751374952578</x:v>
      </x:c>
      <x:c r="K1674" s="12" t="n">
        <x:v>110924946</x:v>
      </x:c>
      <x:c r="L1674" s="12" t="n">
        <x:v>225435215.315</x:v>
      </x:c>
      <x:c r="M1674" s="12" t="str">
        <x:v>TuShare index_daily</x:v>
      </x:c>
    </x:row>
    <x:row r="1675" ht="18" customHeight="1">
      <x:c r="A1675" s="13" t="n">
        <x:v>45091</x:v>
      </x:c>
      <x:c r="B1675" s="12" t="str">
        <x:v>000300.SH</x:v>
      </x:c>
      <x:c r="C1675" s="12" t="n">
        <x:v>3872.7155</x:v>
      </x:c>
      <x:c r="D1675" s="12" t="n">
        <x:v>3891.6656</x:v>
      </x:c>
      <x:c r="E1675" s="12" t="n">
        <x:v>3862.0609</x:v>
      </x:c>
      <x:c r="F1675" s="12" t="n">
        <x:v>3864.0247</x:v>
      </x:c>
      <x:c r="G1675" s="12" t="n">
        <x:v>3864.9074</x:v>
      </x:c>
      <x:c r="H1675" s="12" t="n">
        <x:v>-0.8827</x:v>
      </x:c>
      <x:c r="I1675" s="12" t="n">
        <x:v>-0.0228</x:v>
      </x:c>
      <x:c r="J1675" s="12" t="n">
        <x:v>-0.00022841448014214406</x:v>
      </x:c>
      <x:c r="K1675" s="12" t="n">
        <x:v>124955759</x:v>
      </x:c>
      <x:c r="L1675" s="12" t="n">
        <x:v>243932581.184</x:v>
      </x:c>
      <x:c r="M1675" s="12" t="str">
        <x:v>TuShare index_daily</x:v>
      </x:c>
    </x:row>
    <x:row r="1676" ht="18" customHeight="1">
      <x:c r="A1676" s="13" t="n">
        <x:v>45092</x:v>
      </x:c>
      <x:c r="B1676" s="12" t="str">
        <x:v>000300.SH</x:v>
      </x:c>
      <x:c r="C1676" s="12" t="n">
        <x:v>3871.7746</x:v>
      </x:c>
      <x:c r="D1676" s="12" t="n">
        <x:v>3925.4994</x:v>
      </x:c>
      <x:c r="E1676" s="12" t="n">
        <x:v>3871.7746</x:v>
      </x:c>
      <x:c r="F1676" s="12" t="n">
        <x:v>3925.4994</x:v>
      </x:c>
      <x:c r="G1676" s="12" t="n">
        <x:v>3864.0247</x:v>
      </x:c>
      <x:c r="H1676" s="12" t="n">
        <x:v>61.4747</x:v>
      </x:c>
      <x:c r="I1676" s="12" t="n">
        <x:v>1.5909</x:v>
      </x:c>
      <x:c r="J1676" s="12" t="n">
        <x:v>0.01578427014000531</x:v>
      </x:c>
      <x:c r="K1676" s="12" t="n">
        <x:v>128369938</x:v>
      </x:c>
      <x:c r="L1676" s="12" t="n">
        <x:v>282635910.894</x:v>
      </x:c>
      <x:c r="M1676" s="12" t="str">
        <x:v>TuShare index_daily</x:v>
      </x:c>
    </x:row>
    <x:row r="1677" ht="18" customHeight="1">
      <x:c r="A1677" s="13" t="n">
        <x:v>45093</x:v>
      </x:c>
      <x:c r="B1677" s="12" t="str">
        <x:v>000300.SH</x:v>
      </x:c>
      <x:c r="C1677" s="12" t="n">
        <x:v>3932.2114</x:v>
      </x:c>
      <x:c r="D1677" s="12" t="n">
        <x:v>3968.0128</x:v>
      </x:c>
      <x:c r="E1677" s="12" t="n">
        <x:v>3928.5419</x:v>
      </x:c>
      <x:c r="F1677" s="12" t="n">
        <x:v>3963.3509</x:v>
      </x:c>
      <x:c r="G1677" s="12" t="n">
        <x:v>3925.4994</x:v>
      </x:c>
      <x:c r="H1677" s="12" t="n">
        <x:v>37.8515</x:v>
      </x:c>
      <x:c r="I1677" s="12" t="n">
        <x:v>0.9642</x:v>
      </x:c>
      <x:c r="J1677" s="12" t="n">
        <x:v>0.009596275511414851</x:v>
      </x:c>
      <x:c r="K1677" s="12" t="n">
        <x:v>139760076</x:v>
      </x:c>
      <x:c r="L1677" s="12" t="n">
        <x:v>280374762.838</x:v>
      </x:c>
      <x:c r="M1677" s="12" t="str">
        <x:v>TuShare index_daily</x:v>
      </x:c>
    </x:row>
    <x:row r="1678" ht="18" customHeight="1">
      <x:c r="A1678" s="13" t="n">
        <x:v>45096</x:v>
      </x:c>
      <x:c r="B1678" s="12" t="str">
        <x:v>000300.SH</x:v>
      </x:c>
      <x:c r="C1678" s="12" t="n">
        <x:v>3957.0327</x:v>
      </x:c>
      <x:c r="D1678" s="12" t="n">
        <x:v>3957.0327</x:v>
      </x:c>
      <x:c r="E1678" s="12" t="n">
        <x:v>3922.4742</x:v>
      </x:c>
      <x:c r="F1678" s="12" t="n">
        <x:v>3930.9079</x:v>
      </x:c>
      <x:c r="G1678" s="12" t="n">
        <x:v>3963.3509</x:v>
      </x:c>
      <x:c r="H1678" s="12" t="n">
        <x:v>-32.443</x:v>
      </x:c>
      <x:c r="I1678" s="12" t="n">
        <x:v>-0.8186</x:v>
      </x:c>
      <x:c r="J1678" s="12" t="n">
        <x:v>-0.0082194373084361</x:v>
      </x:c>
      <x:c r="K1678" s="12" t="n">
        <x:v>134905848</x:v>
      </x:c>
      <x:c r="L1678" s="12" t="n">
        <x:v>268213068.58</x:v>
      </x:c>
      <x:c r="M1678" s="12" t="str">
        <x:v>TuShare index_daily</x:v>
      </x:c>
    </x:row>
    <x:row r="1679" ht="18" customHeight="1">
      <x:c r="A1679" s="13" t="n">
        <x:v>45097</x:v>
      </x:c>
      <x:c r="B1679" s="12" t="str">
        <x:v>000300.SH</x:v>
      </x:c>
      <x:c r="C1679" s="12" t="n">
        <x:v>3926.094</x:v>
      </x:c>
      <x:c r="D1679" s="12" t="n">
        <x:v>3937.4945</x:v>
      </x:c>
      <x:c r="E1679" s="12" t="n">
        <x:v>3918.473</x:v>
      </x:c>
      <x:c r="F1679" s="12" t="n">
        <x:v>3924.2377</x:v>
      </x:c>
      <x:c r="G1679" s="12" t="n">
        <x:v>3930.9079</x:v>
      </x:c>
      <x:c r="H1679" s="12" t="n">
        <x:v>-6.6702</x:v>
      </x:c>
      <x:c r="I1679" s="12" t="n">
        <x:v>-0.1697</x:v>
      </x:c>
      <x:c r="J1679" s="12" t="n">
        <x:v>-0.001698301200985408</x:v>
      </x:c>
      <x:c r="K1679" s="12" t="n">
        <x:v>122520318</x:v>
      </x:c>
      <x:c r="L1679" s="12" t="n">
        <x:v>266274081.287</x:v>
      </x:c>
      <x:c r="M1679" s="12" t="str">
        <x:v>TuShare index_daily</x:v>
      </x:c>
    </x:row>
    <x:row r="1680" ht="18" customHeight="1">
      <x:c r="A1680" s="13" t="n">
        <x:v>45098</x:v>
      </x:c>
      <x:c r="B1680" s="12" t="str">
        <x:v>000300.SH</x:v>
      </x:c>
      <x:c r="C1680" s="12" t="n">
        <x:v>3909.1044</x:v>
      </x:c>
      <x:c r="D1680" s="12" t="n">
        <x:v>3920.1276</x:v>
      </x:c>
      <x:c r="E1680" s="12" t="n">
        <x:v>3864.0323</x:v>
      </x:c>
      <x:c r="F1680" s="12" t="n">
        <x:v>3864.0323</x:v>
      </x:c>
      <x:c r="G1680" s="12" t="n">
        <x:v>3924.2377</x:v>
      </x:c>
      <x:c r="H1680" s="12" t="n">
        <x:v>-60.2054</x:v>
      </x:c>
      <x:c r="I1680" s="12" t="n">
        <x:v>-1.5342</x:v>
      </x:c>
      <x:c r="J1680" s="12" t="n">
        <x:v>-0.01546084028279967</x:v>
      </x:c>
      <x:c r="K1680" s="12" t="n">
        <x:v>118346575</x:v>
      </x:c>
      <x:c r="L1680" s="12" t="n">
        <x:v>243630705.592</x:v>
      </x:c>
      <x:c r="M1680" s="12" t="str">
        <x:v>TuShare index_daily</x:v>
      </x:c>
    </x:row>
    <x:row r="1681" ht="18" customHeight="1">
      <x:c r="A1681" s="13" t="n">
        <x:v>45103</x:v>
      </x:c>
      <x:c r="B1681" s="12" t="str">
        <x:v>000300.SH</x:v>
      </x:c>
      <x:c r="C1681" s="12" t="n">
        <x:v>3833.4436</x:v>
      </x:c>
      <x:c r="D1681" s="12" t="n">
        <x:v>3841.2862</x:v>
      </x:c>
      <x:c r="E1681" s="12" t="n">
        <x:v>3801.0537</x:v>
      </x:c>
      <x:c r="F1681" s="12" t="n">
        <x:v>3809.6962</x:v>
      </x:c>
      <x:c r="G1681" s="12" t="n">
        <x:v>3864.0323</x:v>
      </x:c>
      <x:c r="H1681" s="12" t="n">
        <x:v>-54.3361</x:v>
      </x:c>
      <x:c r="I1681" s="12" t="n">
        <x:v>-1.4062</x:v>
      </x:c>
      <x:c r="J1681" s="12" t="n">
        <x:v>-0.014161827101988902</x:v>
      </x:c>
      <x:c r="K1681" s="12" t="n">
        <x:v>133990419</x:v>
      </x:c>
      <x:c r="L1681" s="12" t="n">
        <x:v>247713845.78</x:v>
      </x:c>
      <x:c r="M1681" s="12" t="str">
        <x:v>TuShare index_daily</x:v>
      </x:c>
    </x:row>
    <x:row r="1682" ht="18" customHeight="1">
      <x:c r="A1682" s="13" t="n">
        <x:v>45104</x:v>
      </x:c>
      <x:c r="B1682" s="12" t="str">
        <x:v>000300.SH</x:v>
      </x:c>
      <x:c r="C1682" s="12" t="n">
        <x:v>3811.6872</x:v>
      </x:c>
      <x:c r="D1682" s="12" t="n">
        <x:v>3851.8957</x:v>
      </x:c>
      <x:c r="E1682" s="12" t="n">
        <x:v>3806.3242</x:v>
      </x:c>
      <x:c r="F1682" s="12" t="n">
        <x:v>3845.4334</x:v>
      </x:c>
      <x:c r="G1682" s="12" t="n">
        <x:v>3809.6962</x:v>
      </x:c>
      <x:c r="H1682" s="12" t="n">
        <x:v>35.7372</x:v>
      </x:c>
      <x:c r="I1682" s="12" t="n">
        <x:v>0.9381</x:v>
      </x:c>
      <x:c r="J1682" s="12" t="n">
        <x:v>0.009336865994181069</x:v>
      </x:c>
      <x:c r="K1682" s="12" t="n">
        <x:v>116992681</x:v>
      </x:c>
      <x:c r="L1682" s="12" t="n">
        <x:v>210097713.688</x:v>
      </x:c>
      <x:c r="M1682" s="12" t="str">
        <x:v>TuShare index_daily</x:v>
      </x:c>
    </x:row>
    <x:row r="1683" ht="18" customHeight="1">
      <x:c r="A1683" s="13" t="n">
        <x:v>45105</x:v>
      </x:c>
      <x:c r="B1683" s="12" t="str">
        <x:v>000300.SH</x:v>
      </x:c>
      <x:c r="C1683" s="12" t="n">
        <x:v>3836.6086</x:v>
      </x:c>
      <x:c r="D1683" s="12" t="n">
        <x:v>3846.8516</x:v>
      </x:c>
      <x:c r="E1683" s="12" t="n">
        <x:v>3808.1607</x:v>
      </x:c>
      <x:c r="F1683" s="12" t="n">
        <x:v>3840.7986</x:v>
      </x:c>
      <x:c r="G1683" s="12" t="n">
        <x:v>3845.4334</x:v>
      </x:c>
      <x:c r="H1683" s="12" t="n">
        <x:v>-4.6348</x:v>
      </x:c>
      <x:c r="I1683" s="12" t="n">
        <x:v>-0.1205</x:v>
      </x:c>
      <x:c r="J1683" s="12" t="n">
        <x:v>-0.0012060006936434353</x:v>
      </x:c>
      <x:c r="K1683" s="12" t="n">
        <x:v>107021541</x:v>
      </x:c>
      <x:c r="L1683" s="12" t="n">
        <x:v>206187959.877</x:v>
      </x:c>
      <x:c r="M1683" s="12" t="str">
        <x:v>TuShare index_daily</x:v>
      </x:c>
    </x:row>
    <x:row r="1684" ht="18" customHeight="1">
      <x:c r="A1684" s="13" t="n">
        <x:v>45106</x:v>
      </x:c>
      <x:c r="B1684" s="12" t="str">
        <x:v>000300.SH</x:v>
      </x:c>
      <x:c r="C1684" s="12" t="n">
        <x:v>3836.7305</x:v>
      </x:c>
      <x:c r="D1684" s="12" t="n">
        <x:v>3840.7132</x:v>
      </x:c>
      <x:c r="E1684" s="12" t="n">
        <x:v>3817.3759</x:v>
      </x:c>
      <x:c r="F1684" s="12" t="n">
        <x:v>3821.8435</x:v>
      </x:c>
      <x:c r="G1684" s="12" t="n">
        <x:v>3840.7986</x:v>
      </x:c>
      <x:c r="H1684" s="12" t="n">
        <x:v>-18.9551</x:v>
      </x:c>
      <x:c r="I1684" s="12" t="n">
        <x:v>-0.4935</x:v>
      </x:c>
      <x:c r="J1684" s="12" t="n">
        <x:v>-0.004947415895498865</x:v>
      </x:c>
      <x:c r="K1684" s="12" t="n">
        <x:v>98289274</x:v>
      </x:c>
      <x:c r="L1684" s="12" t="n">
        <x:v>204110031.408</x:v>
      </x:c>
      <x:c r="M1684" s="12" t="str">
        <x:v>TuShare index_daily</x:v>
      </x:c>
    </x:row>
    <x:row r="1685" ht="18" customHeight="1">
      <x:c r="A1685" s="13" t="n">
        <x:v>45107</x:v>
      </x:c>
      <x:c r="B1685" s="12" t="str">
        <x:v>000300.SH</x:v>
      </x:c>
      <x:c r="C1685" s="12" t="n">
        <x:v>3816.3345</x:v>
      </x:c>
      <x:c r="D1685" s="12" t="n">
        <x:v>3860.0311</x:v>
      </x:c>
      <x:c r="E1685" s="12" t="n">
        <x:v>3813.552</x:v>
      </x:c>
      <x:c r="F1685" s="12" t="n">
        <x:v>3842.4516</x:v>
      </x:c>
      <x:c r="G1685" s="12" t="n">
        <x:v>3821.8435</x:v>
      </x:c>
      <x:c r="H1685" s="12" t="n">
        <x:v>20.6081</x:v>
      </x:c>
      <x:c r="I1685" s="12" t="n">
        <x:v>0.5392</x:v>
      </x:c>
      <x:c r="J1685" s="12" t="n">
        <x:v>0.005377702553482227</x:v>
      </x:c>
      <x:c r="K1685" s="12" t="n">
        <x:v>101268429</x:v>
      </x:c>
      <x:c r="L1685" s="12" t="n">
        <x:v>208146272.909</x:v>
      </x:c>
      <x:c r="M1685" s="12" t="str">
        <x:v>TuShare index_daily</x:v>
      </x:c>
    </x:row>
    <x:row r="1686" ht="18" customHeight="1">
      <x:c r="A1686" s="13" t="n">
        <x:v>45110</x:v>
      </x:c>
      <x:c r="B1686" s="12" t="str">
        <x:v>000300.SH</x:v>
      </x:c>
      <x:c r="C1686" s="12" t="n">
        <x:v>3853.2919</x:v>
      </x:c>
      <x:c r="D1686" s="12" t="n">
        <x:v>3897.3273</x:v>
      </x:c>
      <x:c r="E1686" s="12" t="n">
        <x:v>3853.2919</x:v>
      </x:c>
      <x:c r="F1686" s="12" t="n">
        <x:v>3892.8821</x:v>
      </x:c>
      <x:c r="G1686" s="12" t="n">
        <x:v>3842.4516</x:v>
      </x:c>
      <x:c r="H1686" s="12" t="n">
        <x:v>50.4305</x:v>
      </x:c>
      <x:c r="I1686" s="12" t="n">
        <x:v>1.3125</x:v>
      </x:c>
      <x:c r="J1686" s="12" t="n">
        <x:v>0.013039182657447542</x:v>
      </x:c>
      <x:c r="K1686" s="12" t="n">
        <x:v>133158051</x:v>
      </x:c>
      <x:c r="L1686" s="12" t="n">
        <x:v>256876520.212</x:v>
      </x:c>
      <x:c r="M1686" s="12" t="str">
        <x:v>TuShare index_daily</x:v>
      </x:c>
    </x:row>
    <x:row r="1687" ht="18" customHeight="1">
      <x:c r="A1687" s="13" t="n">
        <x:v>45111</x:v>
      </x:c>
      <x:c r="B1687" s="12" t="str">
        <x:v>000300.SH</x:v>
      </x:c>
      <x:c r="C1687" s="12" t="n">
        <x:v>3888.0328</x:v>
      </x:c>
      <x:c r="D1687" s="12" t="n">
        <x:v>3899.9755</x:v>
      </x:c>
      <x:c r="E1687" s="12" t="n">
        <x:v>3878.3978</x:v>
      </x:c>
      <x:c r="F1687" s="12" t="n">
        <x:v>3899.0133</x:v>
      </x:c>
      <x:c r="G1687" s="12" t="n">
        <x:v>3892.8821</x:v>
      </x:c>
      <x:c r="H1687" s="12" t="n">
        <x:v>6.1312</x:v>
      </x:c>
      <x:c r="I1687" s="12" t="n">
        <x:v>0.1575</x:v>
      </x:c>
      <x:c r="J1687" s="12" t="n">
        <x:v>0.0015737380831380055</x:v>
      </x:c>
      <x:c r="K1687" s="12" t="n">
        <x:v>109494527</x:v>
      </x:c>
      <x:c r="L1687" s="12" t="n">
        <x:v>216335611.422</x:v>
      </x:c>
      <x:c r="M1687" s="12" t="str">
        <x:v>TuShare index_daily</x:v>
      </x:c>
    </x:row>
    <x:row r="1688" ht="18" customHeight="1">
      <x:c r="A1688" s="13" t="n">
        <x:v>45112</x:v>
      </x:c>
      <x:c r="B1688" s="12" t="str">
        <x:v>000300.SH</x:v>
      </x:c>
      <x:c r="C1688" s="12" t="n">
        <x:v>3895.1945</x:v>
      </x:c>
      <x:c r="D1688" s="12" t="n">
        <x:v>3899.5188</x:v>
      </x:c>
      <x:c r="E1688" s="12" t="n">
        <x:v>3864.1301</x:v>
      </x:c>
      <x:c r="F1688" s="12" t="n">
        <x:v>3868.8054</x:v>
      </x:c>
      <x:c r="G1688" s="12" t="n">
        <x:v>3899.0133</x:v>
      </x:c>
      <x:c r="H1688" s="12" t="n">
        <x:v>-30.2079</x:v>
      </x:c>
      <x:c r="I1688" s="12" t="n">
        <x:v>-0.7748</x:v>
      </x:c>
      <x:c r="J1688" s="12" t="n">
        <x:v>-0.007777743906701456</x:v>
      </x:c>
      <x:c r="K1688" s="12" t="n">
        <x:v>97636384</x:v>
      </x:c>
      <x:c r="L1688" s="12" t="n">
        <x:v>188400265.051</x:v>
      </x:c>
      <x:c r="M1688" s="12" t="str">
        <x:v>TuShare index_daily</x:v>
      </x:c>
    </x:row>
    <x:row r="1689" ht="18" customHeight="1">
      <x:c r="A1689" s="13" t="n">
        <x:v>45113</x:v>
      </x:c>
      <x:c r="B1689" s="12" t="str">
        <x:v>000300.SH</x:v>
      </x:c>
      <x:c r="C1689" s="12" t="n">
        <x:v>3857.0304</x:v>
      </x:c>
      <x:c r="D1689" s="12" t="n">
        <x:v>3876.8901</x:v>
      </x:c>
      <x:c r="E1689" s="12" t="n">
        <x:v>3836.4573</x:v>
      </x:c>
      <x:c r="F1689" s="12" t="n">
        <x:v>3842.7547</x:v>
      </x:c>
      <x:c r="G1689" s="12" t="n">
        <x:v>3868.8054</x:v>
      </x:c>
      <x:c r="H1689" s="12" t="n">
        <x:v>-26.0507</x:v>
      </x:c>
      <x:c r="I1689" s="12" t="n">
        <x:v>-0.6734</x:v>
      </x:c>
      <x:c r="J1689" s="12" t="n">
        <x:v>-0.0067562980144157386</x:v>
      </x:c>
      <x:c r="K1689" s="12" t="n">
        <x:v>100121842</x:v>
      </x:c>
      <x:c r="L1689" s="12" t="n">
        <x:v>184742420.862</x:v>
      </x:c>
      <x:c r="M1689" s="12" t="str">
        <x:v>TuShare index_daily</x:v>
      </x:c>
    </x:row>
    <x:row r="1690" ht="18" customHeight="1">
      <x:c r="A1690" s="13" t="n">
        <x:v>45114</x:v>
      </x:c>
      <x:c r="B1690" s="12" t="str">
        <x:v>000300.SH</x:v>
      </x:c>
      <x:c r="C1690" s="12" t="n">
        <x:v>3831.5955</x:v>
      </x:c>
      <x:c r="D1690" s="12" t="n">
        <x:v>3844.8438</x:v>
      </x:c>
      <x:c r="E1690" s="12" t="n">
        <x:v>3819.0772</x:v>
      </x:c>
      <x:c r="F1690" s="12" t="n">
        <x:v>3825.6988</x:v>
      </x:c>
      <x:c r="G1690" s="12" t="n">
        <x:v>3842.7547</x:v>
      </x:c>
      <x:c r="H1690" s="12" t="n">
        <x:v>-17.0559</x:v>
      </x:c>
      <x:c r="I1690" s="12" t="n">
        <x:v>-0.4438</x:v>
      </x:c>
      <x:c r="J1690" s="12" t="n">
        <x:v>-0.004448335801926922</x:v>
      </x:c>
      <x:c r="K1690" s="12" t="n">
        <x:v>100906920</x:v>
      </x:c>
      <x:c r="L1690" s="12" t="n">
        <x:v>173918560.673</x:v>
      </x:c>
      <x:c r="M1690" s="12" t="str">
        <x:v>TuShare index_daily</x:v>
      </x:c>
    </x:row>
    <x:row r="1691" ht="18" customHeight="1">
      <x:c r="A1691" s="13" t="n">
        <x:v>45117</x:v>
      </x:c>
      <x:c r="B1691" s="12" t="str">
        <x:v>000300.SH</x:v>
      </x:c>
      <x:c r="C1691" s="12" t="n">
        <x:v>3841.5591</x:v>
      </x:c>
      <x:c r="D1691" s="12" t="n">
        <x:v>3865.4566</x:v>
      </x:c>
      <x:c r="E1691" s="12" t="n">
        <x:v>3831.92</x:v>
      </x:c>
      <x:c r="F1691" s="12" t="n">
        <x:v>3844.3269</x:v>
      </x:c>
      <x:c r="G1691" s="12" t="n">
        <x:v>3825.6988</x:v>
      </x:c>
      <x:c r="H1691" s="12" t="n">
        <x:v>18.6281</x:v>
      </x:c>
      <x:c r="I1691" s="12" t="n">
        <x:v>0.4869</x:v>
      </x:c>
      <x:c r="J1691" s="12" t="n">
        <x:v>0.004857385712863811</x:v>
      </x:c>
      <x:c r="K1691" s="12" t="n">
        <x:v>92033441</x:v>
      </x:c>
      <x:c r="L1691" s="12" t="n">
        <x:v>185360813.111</x:v>
      </x:c>
      <x:c r="M1691" s="12" t="str">
        <x:v>TuShare index_daily</x:v>
      </x:c>
    </x:row>
    <x:row r="1692" ht="18" customHeight="1">
      <x:c r="A1692" s="13" t="n">
        <x:v>45118</x:v>
      </x:c>
      <x:c r="B1692" s="12" t="str">
        <x:v>000300.SH</x:v>
      </x:c>
      <x:c r="C1692" s="12" t="n">
        <x:v>3853.7955</x:v>
      </x:c>
      <x:c r="D1692" s="12" t="n">
        <x:v>3870.6549</x:v>
      </x:c>
      <x:c r="E1692" s="12" t="n">
        <x:v>3844.5244</x:v>
      </x:c>
      <x:c r="F1692" s="12" t="n">
        <x:v>3869.4861</x:v>
      </x:c>
      <x:c r="G1692" s="12" t="n">
        <x:v>3844.3269</x:v>
      </x:c>
      <x:c r="H1692" s="12" t="n">
        <x:v>25.1592</x:v>
      </x:c>
      <x:c r="I1692" s="12" t="n">
        <x:v>0.6545</x:v>
      </x:c>
      <x:c r="J1692" s="12" t="n">
        <x:v>0.006523178411029411</x:v>
      </x:c>
      <x:c r="K1692" s="12" t="n">
        <x:v>86510716</x:v>
      </x:c>
      <x:c r="L1692" s="12" t="n">
        <x:v>177585694.368</x:v>
      </x:c>
      <x:c r="M1692" s="12" t="str">
        <x:v>TuShare index_daily</x:v>
      </x:c>
    </x:row>
    <x:row r="1693" ht="18" customHeight="1">
      <x:c r="A1693" s="13" t="n">
        <x:v>45119</x:v>
      </x:c>
      <x:c r="B1693" s="12" t="str">
        <x:v>000300.SH</x:v>
      </x:c>
      <x:c r="C1693" s="12" t="n">
        <x:v>3864.6013</x:v>
      </x:c>
      <x:c r="D1693" s="12" t="n">
        <x:v>3874.0403</x:v>
      </x:c>
      <x:c r="E1693" s="12" t="n">
        <x:v>3838.5632</x:v>
      </x:c>
      <x:c r="F1693" s="12" t="n">
        <x:v>3843.4369</x:v>
      </x:c>
      <x:c r="G1693" s="12" t="n">
        <x:v>3869.4861</x:v>
      </x:c>
      <x:c r="H1693" s="12" t="n">
        <x:v>-26.0492</x:v>
      </x:c>
      <x:c r="I1693" s="12" t="n">
        <x:v>-0.6732</x:v>
      </x:c>
      <x:c r="J1693" s="12" t="n">
        <x:v>-0.006754715182223218</x:v>
      </x:c>
      <x:c r="K1693" s="12" t="n">
        <x:v>111522024</x:v>
      </x:c>
      <x:c r="L1693" s="12" t="n">
        <x:v>214046519.056</x:v>
      </x:c>
      <x:c r="M1693" s="12" t="str">
        <x:v>TuShare index_daily</x:v>
      </x:c>
    </x:row>
    <x:row r="1694" ht="18" customHeight="1">
      <x:c r="A1694" s="13" t="n">
        <x:v>45120</x:v>
      </x:c>
      <x:c r="B1694" s="12" t="str">
        <x:v>000300.SH</x:v>
      </x:c>
      <x:c r="C1694" s="12" t="n">
        <x:v>3855.662</x:v>
      </x:c>
      <x:c r="D1694" s="12" t="n">
        <x:v>3901.1023</x:v>
      </x:c>
      <x:c r="E1694" s="12" t="n">
        <x:v>3855.662</x:v>
      </x:c>
      <x:c r="F1694" s="12" t="n">
        <x:v>3898.4229</x:v>
      </x:c>
      <x:c r="G1694" s="12" t="n">
        <x:v>3843.4369</x:v>
      </x:c>
      <x:c r="H1694" s="12" t="n">
        <x:v>54.986</x:v>
      </x:c>
      <x:c r="I1694" s="12" t="n">
        <x:v>1.4306</x:v>
      </x:c>
      <x:c r="J1694" s="12" t="n">
        <x:v>0.014205094390380651</x:v>
      </x:c>
      <x:c r="K1694" s="12" t="n">
        <x:v>120300232</x:v>
      </x:c>
      <x:c r="L1694" s="12" t="n">
        <x:v>235278706.835</x:v>
      </x:c>
      <x:c r="M1694" s="12" t="str">
        <x:v>TuShare index_daily</x:v>
      </x:c>
    </x:row>
    <x:row r="1695" ht="18" customHeight="1">
      <x:c r="A1695" s="13" t="n">
        <x:v>45121</x:v>
      </x:c>
      <x:c r="B1695" s="12" t="str">
        <x:v>000300.SH</x:v>
      </x:c>
      <x:c r="C1695" s="12" t="n">
        <x:v>3904.6033</x:v>
      </x:c>
      <x:c r="D1695" s="12" t="n">
        <x:v>3908.4871</x:v>
      </x:c>
      <x:c r="E1695" s="12" t="n">
        <x:v>3893.7862</x:v>
      </x:c>
      <x:c r="F1695" s="12" t="n">
        <x:v>3899.1027</x:v>
      </x:c>
      <x:c r="G1695" s="12" t="n">
        <x:v>3898.4229</x:v>
      </x:c>
      <x:c r="H1695" s="12" t="n">
        <x:v>0.6798</x:v>
      </x:c>
      <x:c r="I1695" s="12" t="n">
        <x:v>0.0174</x:v>
      </x:c>
      <x:c r="J1695" s="12" t="n">
        <x:v>0.000174363006059742</x:v>
      </x:c>
      <x:c r="K1695" s="12" t="n">
        <x:v>122364846</x:v>
      </x:c>
      <x:c r="L1695" s="12" t="n">
        <x:v>220230466.523</x:v>
      </x:c>
      <x:c r="M1695" s="12" t="str">
        <x:v>TuShare index_daily</x:v>
      </x:c>
    </x:row>
    <x:row r="1696" ht="18" customHeight="1">
      <x:c r="A1696" s="13" t="n">
        <x:v>45124</x:v>
      </x:c>
      <x:c r="B1696" s="12" t="str">
        <x:v>000300.SH</x:v>
      </x:c>
      <x:c r="C1696" s="12" t="n">
        <x:v>3881.6225</x:v>
      </x:c>
      <x:c r="D1696" s="12" t="n">
        <x:v>3881.6225</x:v>
      </x:c>
      <x:c r="E1696" s="12" t="n">
        <x:v>3852.2626</x:v>
      </x:c>
      <x:c r="F1696" s="12" t="n">
        <x:v>3867.1749</x:v>
      </x:c>
      <x:c r="G1696" s="12" t="n">
        <x:v>3899.1027</x:v>
      </x:c>
      <x:c r="H1696" s="12" t="n">
        <x:v>-31.9278</x:v>
      </x:c>
      <x:c r="I1696" s="12" t="n">
        <x:v>-0.8188</x:v>
      </x:c>
      <x:c r="J1696" s="12" t="n">
        <x:v>-0.008222209278820985</x:v>
      </x:c>
      <x:c r="K1696" s="12" t="n">
        <x:v>98340144</x:v>
      </x:c>
      <x:c r="L1696" s="12" t="n">
        <x:v>174623552.807</x:v>
      </x:c>
      <x:c r="M1696" s="12" t="str">
        <x:v>TuShare index_daily</x:v>
      </x:c>
    </x:row>
    <x:row r="1697" ht="18" customHeight="1">
      <x:c r="A1697" s="13" t="n">
        <x:v>45125</x:v>
      </x:c>
      <x:c r="B1697" s="12" t="str">
        <x:v>000300.SH</x:v>
      </x:c>
      <x:c r="C1697" s="12" t="n">
        <x:v>3871.0444</x:v>
      </x:c>
      <x:c r="D1697" s="12" t="n">
        <x:v>3871.0444</x:v>
      </x:c>
      <x:c r="E1697" s="12" t="n">
        <x:v>3844.5129</x:v>
      </x:c>
      <x:c r="F1697" s="12" t="n">
        <x:v>3854.9393</x:v>
      </x:c>
      <x:c r="G1697" s="12" t="n">
        <x:v>3867.1749</x:v>
      </x:c>
      <x:c r="H1697" s="12" t="n">
        <x:v>-12.2356</x:v>
      </x:c>
      <x:c r="I1697" s="12" t="n">
        <x:v>-0.3164</x:v>
      </x:c>
      <x:c r="J1697" s="12" t="n">
        <x:v>-0.0031689793553156373</x:v>
      </x:c>
      <x:c r="K1697" s="12" t="n">
        <x:v>91438615</x:v>
      </x:c>
      <x:c r="L1697" s="12" t="n">
        <x:v>167104315.117</x:v>
      </x:c>
      <x:c r="M1697" s="12" t="str">
        <x:v>TuShare index_daily</x:v>
      </x:c>
    </x:row>
    <x:row r="1698" ht="18" customHeight="1">
      <x:c r="A1698" s="13" t="n">
        <x:v>45126</x:v>
      </x:c>
      <x:c r="B1698" s="12" t="str">
        <x:v>000300.SH</x:v>
      </x:c>
      <x:c r="C1698" s="12" t="n">
        <x:v>3848.4826</x:v>
      </x:c>
      <x:c r="D1698" s="12" t="n">
        <x:v>3860.0092</x:v>
      </x:c>
      <x:c r="E1698" s="12" t="n">
        <x:v>3830.4073</x:v>
      </x:c>
      <x:c r="F1698" s="12" t="n">
        <x:v>3850.8663</x:v>
      </x:c>
      <x:c r="G1698" s="12" t="n">
        <x:v>3854.9393</x:v>
      </x:c>
      <x:c r="H1698" s="12" t="n">
        <x:v>-4.073</x:v>
      </x:c>
      <x:c r="I1698" s="12" t="n">
        <x:v>-0.1057</x:v>
      </x:c>
      <x:c r="J1698" s="12" t="n">
        <x:v>-0.00105712513155086</x:v>
      </x:c>
      <x:c r="K1698" s="12" t="n">
        <x:v>79585700</x:v>
      </x:c>
      <x:c r="L1698" s="12" t="n">
        <x:v>151311481.03</x:v>
      </x:c>
      <x:c r="M1698" s="12" t="str">
        <x:v>TuShare index_daily</x:v>
      </x:c>
    </x:row>
    <x:row r="1699" ht="18" customHeight="1">
      <x:c r="A1699" s="13" t="n">
        <x:v>45127</x:v>
      </x:c>
      <x:c r="B1699" s="12" t="str">
        <x:v>000300.SH</x:v>
      </x:c>
      <x:c r="C1699" s="12" t="n">
        <x:v>3857.7725</x:v>
      </x:c>
      <x:c r="D1699" s="12" t="n">
        <x:v>3875.6241</x:v>
      </x:c>
      <x:c r="E1699" s="12" t="n">
        <x:v>3818.7134</x:v>
      </x:c>
      <x:c r="F1699" s="12" t="n">
        <x:v>3823.6946</x:v>
      </x:c>
      <x:c r="G1699" s="12" t="n">
        <x:v>3850.8663</x:v>
      </x:c>
      <x:c r="H1699" s="12" t="n">
        <x:v>-27.1717</x:v>
      </x:c>
      <x:c r="I1699" s="12" t="n">
        <x:v>-0.7056</x:v>
      </x:c>
      <x:c r="J1699" s="12" t="n">
        <x:v>-0.007081007991962629</x:v>
      </x:c>
      <x:c r="K1699" s="12" t="n">
        <x:v>92042076</x:v>
      </x:c>
      <x:c r="L1699" s="12" t="n">
        <x:v>174320872.14</x:v>
      </x:c>
      <x:c r="M1699" s="12" t="str">
        <x:v>TuShare index_daily</x:v>
      </x:c>
    </x:row>
    <x:row r="1700" ht="18" customHeight="1">
      <x:c r="A1700" s="13" t="n">
        <x:v>45128</x:v>
      </x:c>
      <x:c r="B1700" s="12" t="str">
        <x:v>000300.SH</x:v>
      </x:c>
      <x:c r="C1700" s="12" t="n">
        <x:v>3816.9835</x:v>
      </x:c>
      <x:c r="D1700" s="12" t="n">
        <x:v>3849.5109</x:v>
      </x:c>
      <x:c r="E1700" s="12" t="n">
        <x:v>3808.803</x:v>
      </x:c>
      <x:c r="F1700" s="12" t="n">
        <x:v>3821.91</x:v>
      </x:c>
      <x:c r="G1700" s="12" t="n">
        <x:v>3823.6946</x:v>
      </x:c>
      <x:c r="H1700" s="12" t="n">
        <x:v>-1.7846</x:v>
      </x:c>
      <x:c r="I1700" s="12" t="n">
        <x:v>-0.0467</x:v>
      </x:c>
      <x:c r="J1700" s="12" t="n">
        <x:v>-0.0004668303229831912</x:v>
      </x:c>
      <x:c r="K1700" s="12" t="n">
        <x:v>79507563</x:v>
      </x:c>
      <x:c r="L1700" s="12" t="n">
        <x:v>157144211.209</x:v>
      </x:c>
      <x:c r="M1700" s="12" t="str">
        <x:v>TuShare index_daily</x:v>
      </x:c>
    </x:row>
    <x:row r="1701" ht="18" customHeight="1">
      <x:c r="A1701" s="13" t="n">
        <x:v>45131</x:v>
      </x:c>
      <x:c r="B1701" s="12" t="str">
        <x:v>000300.SH</x:v>
      </x:c>
      <x:c r="C1701" s="12" t="n">
        <x:v>3803.3492</x:v>
      </x:c>
      <x:c r="D1701" s="12" t="n">
        <x:v>3828.7853</x:v>
      </x:c>
      <x:c r="E1701" s="12" t="n">
        <x:v>3798.8048</x:v>
      </x:c>
      <x:c r="F1701" s="12" t="n">
        <x:v>3805.221</x:v>
      </x:c>
      <x:c r="G1701" s="12" t="n">
        <x:v>3821.91</x:v>
      </x:c>
      <x:c r="H1701" s="12" t="n">
        <x:v>-16.689</x:v>
      </x:c>
      <x:c r="I1701" s="12" t="n">
        <x:v>-0.4367</x:v>
      </x:c>
      <x:c r="J1701" s="12" t="n">
        <x:v>-0.004376226561401382</x:v>
      </x:c>
      <x:c r="K1701" s="12" t="n">
        <x:v>75483545</x:v>
      </x:c>
      <x:c r="L1701" s="12" t="n">
        <x:v>151448369.566</x:v>
      </x:c>
      <x:c r="M1701" s="12" t="str">
        <x:v>TuShare index_daily</x:v>
      </x:c>
    </x:row>
    <x:row r="1702" ht="18" customHeight="1">
      <x:c r="A1702" s="13" t="n">
        <x:v>45132</x:v>
      </x:c>
      <x:c r="B1702" s="12" t="str">
        <x:v>000300.SH</x:v>
      </x:c>
      <x:c r="C1702" s="12" t="n">
        <x:v>3866.6445</x:v>
      </x:c>
      <x:c r="D1702" s="12" t="n">
        <x:v>3915.8148</x:v>
      </x:c>
      <x:c r="E1702" s="12" t="n">
        <x:v>3866.6445</x:v>
      </x:c>
      <x:c r="F1702" s="12" t="n">
        <x:v>3915.1153</x:v>
      </x:c>
      <x:c r="G1702" s="12" t="n">
        <x:v>3805.221</x:v>
      </x:c>
      <x:c r="H1702" s="12" t="n">
        <x:v>109.8943</x:v>
      </x:c>
      <x:c r="I1702" s="12" t="n">
        <x:v>2.888</x:v>
      </x:c>
      <x:c r="J1702" s="12" t="n">
        <x:v>0.028470708740506268</x:v>
      </x:c>
      <x:c r="K1702" s="12" t="n">
        <x:v>163066320</x:v>
      </x:c>
      <x:c r="L1702" s="12" t="n">
        <x:v>299853562.168</x:v>
      </x:c>
      <x:c r="M1702" s="12" t="str">
        <x:v>TuShare index_daily</x:v>
      </x:c>
    </x:row>
    <x:row r="1703" ht="18" customHeight="1">
      <x:c r="A1703" s="13" t="n">
        <x:v>45133</x:v>
      </x:c>
      <x:c r="B1703" s="12" t="str">
        <x:v>000300.SH</x:v>
      </x:c>
      <x:c r="C1703" s="12" t="n">
        <x:v>3908.174</x:v>
      </x:c>
      <x:c r="D1703" s="12" t="n">
        <x:v>3912.9834</x:v>
      </x:c>
      <x:c r="E1703" s="12" t="n">
        <x:v>3893.3987</x:v>
      </x:c>
      <x:c r="F1703" s="12" t="n">
        <x:v>3907.0128</x:v>
      </x:c>
      <x:c r="G1703" s="12" t="n">
        <x:v>3915.1153</x:v>
      </x:c>
      <x:c r="H1703" s="12" t="n">
        <x:v>-8.1025</x:v>
      </x:c>
      <x:c r="I1703" s="12" t="n">
        <x:v>-0.207</x:v>
      </x:c>
      <x:c r="J1703" s="12" t="n">
        <x:v>-0.002071687600697664</x:v>
      </x:c>
      <x:c r="K1703" s="12" t="n">
        <x:v>107881717</x:v>
      </x:c>
      <x:c r="L1703" s="12" t="n">
        <x:v>192912604.8</x:v>
      </x:c>
      <x:c r="M1703" s="12" t="str">
        <x:v>TuShare index_daily</x:v>
      </x:c>
    </x:row>
    <x:row r="1704" ht="18" customHeight="1">
      <x:c r="A1704" s="13" t="n">
        <x:v>45134</x:v>
      </x:c>
      <x:c r="B1704" s="12" t="str">
        <x:v>000300.SH</x:v>
      </x:c>
      <x:c r="C1704" s="12" t="n">
        <x:v>3914.2298</x:v>
      </x:c>
      <x:c r="D1704" s="12" t="n">
        <x:v>3935.3578</x:v>
      </x:c>
      <x:c r="E1704" s="12" t="n">
        <x:v>3894.6923</x:v>
      </x:c>
      <x:c r="F1704" s="12" t="n">
        <x:v>3902.3458</x:v>
      </x:c>
      <x:c r="G1704" s="12" t="n">
        <x:v>3907.0128</x:v>
      </x:c>
      <x:c r="H1704" s="12" t="n">
        <x:v>-4.667</x:v>
      </x:c>
      <x:c r="I1704" s="12" t="n">
        <x:v>-0.1195</x:v>
      </x:c>
      <x:c r="J1704" s="12" t="n">
        <x:v>-0.001195232744363619</x:v>
      </x:c>
      <x:c r="K1704" s="12" t="n">
        <x:v>110667109</x:v>
      </x:c>
      <x:c r="L1704" s="12" t="n">
        <x:v>196845425.513</x:v>
      </x:c>
      <x:c r="M1704" s="12" t="str">
        <x:v>TuShare index_daily</x:v>
      </x:c>
    </x:row>
    <x:row r="1705" ht="18" customHeight="1">
      <x:c r="A1705" s="13" t="n">
        <x:v>45135</x:v>
      </x:c>
      <x:c r="B1705" s="12" t="str">
        <x:v>000300.SH</x:v>
      </x:c>
      <x:c r="C1705" s="12" t="n">
        <x:v>3889.7929</x:v>
      </x:c>
      <x:c r="D1705" s="12" t="n">
        <x:v>4000.919</x:v>
      </x:c>
      <x:c r="E1705" s="12" t="n">
        <x:v>3886.5535</x:v>
      </x:c>
      <x:c r="F1705" s="12" t="n">
        <x:v>3992.7376</x:v>
      </x:c>
      <x:c r="G1705" s="12" t="n">
        <x:v>3902.3458</x:v>
      </x:c>
      <x:c r="H1705" s="12" t="n">
        <x:v>90.3918</x:v>
      </x:c>
      <x:c r="I1705" s="12" t="n">
        <x:v>2.3163</x:v>
      </x:c>
      <x:c r="J1705" s="12" t="n">
        <x:v>0.022899251426328447</x:v>
      </x:c>
      <x:c r="K1705" s="12" t="n">
        <x:v>179735481</x:v>
      </x:c>
      <x:c r="L1705" s="12" t="n">
        <x:v>310092467.4</x:v>
      </x:c>
      <x:c r="M1705" s="12" t="str">
        <x:v>TuShare index_daily</x:v>
      </x:c>
    </x:row>
    <x:row r="1706" ht="18" customHeight="1">
      <x:c r="A1706" s="13" t="n">
        <x:v>45138</x:v>
      </x:c>
      <x:c r="B1706" s="12" t="str">
        <x:v>000300.SH</x:v>
      </x:c>
      <x:c r="C1706" s="12" t="n">
        <x:v>4018.8895</x:v>
      </x:c>
      <x:c r="D1706" s="12" t="n">
        <x:v>4064.3621</x:v>
      </x:c>
      <x:c r="E1706" s="12" t="n">
        <x:v>4002.0784</x:v>
      </x:c>
      <x:c r="F1706" s="12" t="n">
        <x:v>4014.6301</x:v>
      </x:c>
      <x:c r="G1706" s="12" t="n">
        <x:v>3992.7376</x:v>
      </x:c>
      <x:c r="H1706" s="12" t="n">
        <x:v>21.8925</x:v>
      </x:c>
      <x:c r="I1706" s="12" t="n">
        <x:v>0.5483</x:v>
      </x:c>
      <x:c r="J1706" s="12" t="n">
        <x:v>0.005468102719712426</x:v>
      </x:c>
      <x:c r="K1706" s="12" t="n">
        <x:v>199606830</x:v>
      </x:c>
      <x:c r="L1706" s="12" t="n">
        <x:v>366544120</x:v>
      </x:c>
      <x:c r="M1706" s="12" t="str">
        <x:v>TuShare index_daily</x:v>
      </x:c>
    </x:row>
    <x:row r="1707" ht="18" customHeight="1">
      <x:c r="A1707" s="13" t="n">
        <x:v>45139</x:v>
      </x:c>
      <x:c r="B1707" s="12" t="str">
        <x:v>000300.SH</x:v>
      </x:c>
      <x:c r="C1707" s="12" t="n">
        <x:v>4009.1831</x:v>
      </x:c>
      <x:c r="D1707" s="12" t="n">
        <x:v>4031.7008</x:v>
      </x:c>
      <x:c r="E1707" s="12" t="n">
        <x:v>3983.0273</x:v>
      </x:c>
      <x:c r="F1707" s="12" t="n">
        <x:v>3998.001</x:v>
      </x:c>
      <x:c r="G1707" s="12" t="n">
        <x:v>4014.6301</x:v>
      </x:c>
      <x:c r="H1707" s="12" t="n">
        <x:v>-16.6291</x:v>
      </x:c>
      <x:c r="I1707" s="12" t="n">
        <x:v>-0.4142</x:v>
      </x:c>
      <x:c r="J1707" s="12" t="n">
        <x:v>-0.004150727436979688</x:v>
      </x:c>
      <x:c r="K1707" s="12" t="n">
        <x:v>142286859</x:v>
      </x:c>
      <x:c r="L1707" s="12" t="n">
        <x:v>255620773.6</x:v>
      </x:c>
      <x:c r="M1707" s="12" t="str">
        <x:v>TuShare index_daily</x:v>
      </x:c>
    </x:row>
    <x:row r="1708" ht="18" customHeight="1">
      <x:c r="A1708" s="13" t="n">
        <x:v>45140</x:v>
      </x:c>
      <x:c r="B1708" s="12" t="str">
        <x:v>000300.SH</x:v>
      </x:c>
      <x:c r="C1708" s="12" t="n">
        <x:v>3985.6951</x:v>
      </x:c>
      <x:c r="D1708" s="12" t="n">
        <x:v>4008.3343</x:v>
      </x:c>
      <x:c r="E1708" s="12" t="n">
        <x:v>3958.5127</x:v>
      </x:c>
      <x:c r="F1708" s="12" t="n">
        <x:v>3969.895</x:v>
      </x:c>
      <x:c r="G1708" s="12" t="n">
        <x:v>3998.001</x:v>
      </x:c>
      <x:c r="H1708" s="12" t="n">
        <x:v>-28.106</x:v>
      </x:c>
      <x:c r="I1708" s="12" t="n">
        <x:v>-0.703</x:v>
      </x:c>
      <x:c r="J1708" s="12" t="n">
        <x:v>-0.00705484021662513</x:v>
      </x:c>
      <x:c r="K1708" s="12" t="n">
        <x:v>125855690</x:v>
      </x:c>
      <x:c r="L1708" s="12" t="n">
        <x:v>204875690.924</x:v>
      </x:c>
      <x:c r="M1708" s="12" t="str">
        <x:v>TuShare index_daily</x:v>
      </x:c>
    </x:row>
    <x:row r="1709" ht="18" customHeight="1">
      <x:c r="A1709" s="13" t="n">
        <x:v>45141</x:v>
      </x:c>
      <x:c r="B1709" s="12" t="str">
        <x:v>000300.SH</x:v>
      </x:c>
      <x:c r="C1709" s="12" t="n">
        <x:v>3962.1296</x:v>
      </x:c>
      <x:c r="D1709" s="12" t="n">
        <x:v>4004.9996</x:v>
      </x:c>
      <x:c r="E1709" s="12" t="n">
        <x:v>3962.1296</x:v>
      </x:c>
      <x:c r="F1709" s="12" t="n">
        <x:v>4004.9839</x:v>
      </x:c>
      <x:c r="G1709" s="12" t="n">
        <x:v>3969.895</x:v>
      </x:c>
      <x:c r="H1709" s="12" t="n">
        <x:v>35.0889</x:v>
      </x:c>
      <x:c r="I1709" s="12" t="n">
        <x:v>0.8839</x:v>
      </x:c>
      <x:c r="J1709" s="12" t="n">
        <x:v>0.008799914550596713</x:v>
      </x:c>
      <x:c r="K1709" s="12" t="n">
        <x:v>129006640</x:v>
      </x:c>
      <x:c r="L1709" s="12" t="n">
        <x:v>224809824.82</x:v>
      </x:c>
      <x:c r="M1709" s="12" t="str">
        <x:v>TuShare index_daily</x:v>
      </x:c>
    </x:row>
    <x:row r="1710" ht="18" customHeight="1">
      <x:c r="A1710" s="13" t="n">
        <x:v>45142</x:v>
      </x:c>
      <x:c r="B1710" s="12" t="str">
        <x:v>000300.SH</x:v>
      </x:c>
      <x:c r="C1710" s="12" t="n">
        <x:v>4033.7239</x:v>
      </x:c>
      <x:c r="D1710" s="12" t="n">
        <x:v>4058.2431</x:v>
      </x:c>
      <x:c r="E1710" s="12" t="n">
        <x:v>4011.6202</x:v>
      </x:c>
      <x:c r="F1710" s="12" t="n">
        <x:v>4020.5792</x:v>
      </x:c>
      <x:c r="G1710" s="12" t="n">
        <x:v>4004.9839</x:v>
      </x:c>
      <x:c r="H1710" s="12" t="n">
        <x:v>15.5953</x:v>
      </x:c>
      <x:c r="I1710" s="12" t="n">
        <x:v>0.3894</x:v>
      </x:c>
      <x:c r="J1710" s="12" t="n">
        <x:v>0.0038864113172395994</x:v>
      </x:c>
      <x:c r="K1710" s="12" t="n">
        <x:v>178267189</x:v>
      </x:c>
      <x:c r="L1710" s="12" t="n">
        <x:v>316529733.838</x:v>
      </x:c>
      <x:c r="M1710" s="12" t="str">
        <x:v>TuShare index_daily</x:v>
      </x:c>
    </x:row>
    <x:row r="1711" ht="18" customHeight="1">
      <x:c r="A1711" s="13" t="n">
        <x:v>45145</x:v>
      </x:c>
      <x:c r="B1711" s="12" t="str">
        <x:v>000300.SH</x:v>
      </x:c>
      <x:c r="C1711" s="12" t="n">
        <x:v>4002.9677</x:v>
      </x:c>
      <x:c r="D1711" s="12" t="n">
        <x:v>4002.9677</x:v>
      </x:c>
      <x:c r="E1711" s="12" t="n">
        <x:v>3977.0173</x:v>
      </x:c>
      <x:c r="F1711" s="12" t="n">
        <x:v>3990.1531</x:v>
      </x:c>
      <x:c r="G1711" s="12" t="n">
        <x:v>4020.5792</x:v>
      </x:c>
      <x:c r="H1711" s="12" t="n">
        <x:v>-30.4261</x:v>
      </x:c>
      <x:c r="I1711" s="12" t="n">
        <x:v>-0.7568</x:v>
      </x:c>
      <x:c r="J1711" s="12" t="n">
        <x:v>-0.00759637076150556</x:v>
      </x:c>
      <x:c r="K1711" s="12" t="n">
        <x:v>121310662</x:v>
      </x:c>
      <x:c r="L1711" s="12" t="n">
        <x:v>227090572.751</x:v>
      </x:c>
      <x:c r="M1711" s="12" t="str">
        <x:v>TuShare index_daily</x:v>
      </x:c>
    </x:row>
    <x:row r="1712" ht="18" customHeight="1">
      <x:c r="A1712" s="13" t="n">
        <x:v>45146</x:v>
      </x:c>
      <x:c r="B1712" s="12" t="str">
        <x:v>000300.SH</x:v>
      </x:c>
      <x:c r="C1712" s="12" t="n">
        <x:v>3980.0423</x:v>
      </x:c>
      <x:c r="D1712" s="12" t="n">
        <x:v>4002.2904</x:v>
      </x:c>
      <x:c r="E1712" s="12" t="n">
        <x:v>3963.4632</x:v>
      </x:c>
      <x:c r="F1712" s="12" t="n">
        <x:v>3979.7322</x:v>
      </x:c>
      <x:c r="G1712" s="12" t="n">
        <x:v>3990.1531</x:v>
      </x:c>
      <x:c r="H1712" s="12" t="n">
        <x:v>-10.4209</x:v>
      </x:c>
      <x:c r="I1712" s="12" t="n">
        <x:v>-0.2612</x:v>
      </x:c>
      <x:c r="J1712" s="12" t="n">
        <x:v>-0.002615070492593251</x:v>
      </x:c>
      <x:c r="K1712" s="12" t="n">
        <x:v>109871699</x:v>
      </x:c>
      <x:c r="L1712" s="12" t="n">
        <x:v>202611335.314</x:v>
      </x:c>
      <x:c r="M1712" s="12" t="str">
        <x:v>TuShare index_daily</x:v>
      </x:c>
    </x:row>
    <x:row r="1713" ht="18" customHeight="1">
      <x:c r="A1713" s="13" t="n">
        <x:v>45147</x:v>
      </x:c>
      <x:c r="B1713" s="12" t="str">
        <x:v>000300.SH</x:v>
      </x:c>
      <x:c r="C1713" s="12" t="n">
        <x:v>3967.3566</x:v>
      </x:c>
      <x:c r="D1713" s="12" t="n">
        <x:v>3982.1091</x:v>
      </x:c>
      <x:c r="E1713" s="12" t="n">
        <x:v>3961.8434</x:v>
      </x:c>
      <x:c r="F1713" s="12" t="n">
        <x:v>3967.5652</x:v>
      </x:c>
      <x:c r="G1713" s="12" t="n">
        <x:v>3979.7322</x:v>
      </x:c>
      <x:c r="H1713" s="12" t="n">
        <x:v>-12.167</x:v>
      </x:c>
      <x:c r="I1713" s="12" t="n">
        <x:v>-0.3057</x:v>
      </x:c>
      <x:c r="J1713" s="12" t="n">
        <x:v>-0.0030619237945844866</x:v>
      </x:c>
      <x:c r="K1713" s="12" t="n">
        <x:v>94640269</x:v>
      </x:c>
      <x:c r="L1713" s="12" t="n">
        <x:v>174394242.765</x:v>
      </x:c>
      <x:c r="M1713" s="12" t="str">
        <x:v>TuShare index_daily</x:v>
      </x:c>
    </x:row>
    <x:row r="1714" ht="18" customHeight="1">
      <x:c r="A1714" s="13" t="n">
        <x:v>45148</x:v>
      </x:c>
      <x:c r="B1714" s="12" t="str">
        <x:v>000300.SH</x:v>
      </x:c>
      <x:c r="C1714" s="12" t="n">
        <x:v>3962.8569</x:v>
      </x:c>
      <x:c r="D1714" s="12" t="n">
        <x:v>3976.4637</x:v>
      </x:c>
      <x:c r="E1714" s="12" t="n">
        <x:v>3945.3869</x:v>
      </x:c>
      <x:c r="F1714" s="12" t="n">
        <x:v>3975.7166</x:v>
      </x:c>
      <x:c r="G1714" s="12" t="n">
        <x:v>3967.5652</x:v>
      </x:c>
      <x:c r="H1714" s="12" t="n">
        <x:v>8.1514</x:v>
      </x:c>
      <x:c r="I1714" s="12" t="n">
        <x:v>0.2055</x:v>
      </x:c>
      <x:c r="J1714" s="12" t="n">
        <x:v>0.0020524017821905416</x:v>
      </x:c>
      <x:c r="K1714" s="12" t="n">
        <x:v>97176849</x:v>
      </x:c>
      <x:c r="L1714" s="12" t="n">
        <x:v>175646730.198</x:v>
      </x:c>
      <x:c r="M1714" s="12" t="str">
        <x:v>TuShare index_daily</x:v>
      </x:c>
    </x:row>
    <x:row r="1715" ht="18" customHeight="1">
      <x:c r="A1715" s="13" t="n">
        <x:v>45149</x:v>
      </x:c>
      <x:c r="B1715" s="12" t="str">
        <x:v>000300.SH</x:v>
      </x:c>
      <x:c r="C1715" s="12" t="n">
        <x:v>3977.9834</x:v>
      </x:c>
      <x:c r="D1715" s="12" t="n">
        <x:v>3977.9834</x:v>
      </x:c>
      <x:c r="E1715" s="12" t="n">
        <x:v>3884.2538</x:v>
      </x:c>
      <x:c r="F1715" s="12" t="n">
        <x:v>3884.2538</x:v>
      </x:c>
      <x:c r="G1715" s="12" t="n">
        <x:v>3975.7166</x:v>
      </x:c>
      <x:c r="H1715" s="12" t="n">
        <x:v>-91.4628</x:v>
      </x:c>
      <x:c r="I1715" s="12" t="n">
        <x:v>-2.3005</x:v>
      </x:c>
      <x:c r="J1715" s="12" t="n">
        <x:v>-0.023274115288622166</x:v>
      </x:c>
      <x:c r="K1715" s="12" t="n">
        <x:v>126082931</x:v>
      </x:c>
      <x:c r="L1715" s="12" t="n">
        <x:v>203546314.647</x:v>
      </x:c>
      <x:c r="M1715" s="12" t="str">
        <x:v>TuShare index_daily</x:v>
      </x:c>
    </x:row>
    <x:row r="1716" ht="18" customHeight="1">
      <x:c r="A1716" s="13" t="n">
        <x:v>45152</x:v>
      </x:c>
      <x:c r="B1716" s="12" t="str">
        <x:v>000300.SH</x:v>
      </x:c>
      <x:c r="C1716" s="12" t="n">
        <x:v>3840.8872</x:v>
      </x:c>
      <x:c r="D1716" s="12" t="n">
        <x:v>3859.4718</x:v>
      </x:c>
      <x:c r="E1716" s="12" t="n">
        <x:v>3814.0711</x:v>
      </x:c>
      <x:c r="F1716" s="12" t="n">
        <x:v>3855.9061</x:v>
      </x:c>
      <x:c r="G1716" s="12" t="n">
        <x:v>3884.2538</x:v>
      </x:c>
      <x:c r="H1716" s="12" t="n">
        <x:v>-28.3477</x:v>
      </x:c>
      <x:c r="I1716" s="12" t="n">
        <x:v>-0.7298</x:v>
      </x:c>
      <x:c r="J1716" s="12" t="n">
        <x:v>-0.007324868507294283</x:v>
      </x:c>
      <x:c r="K1716" s="12" t="n">
        <x:v>115966336</x:v>
      </x:c>
      <x:c r="L1716" s="12" t="n">
        <x:v>197623765.246</x:v>
      </x:c>
      <x:c r="M1716" s="12" t="str">
        <x:v>TuShare index_daily</x:v>
      </x:c>
    </x:row>
    <x:row r="1717" ht="18" customHeight="1">
      <x:c r="A1717" s="13" t="n">
        <x:v>45153</x:v>
      </x:c>
      <x:c r="B1717" s="12" t="str">
        <x:v>000300.SH</x:v>
      </x:c>
      <x:c r="C1717" s="12" t="n">
        <x:v>3858.3662</x:v>
      </x:c>
      <x:c r="D1717" s="12" t="n">
        <x:v>3865.284</x:v>
      </x:c>
      <x:c r="E1717" s="12" t="n">
        <x:v>3811.6839</x:v>
      </x:c>
      <x:c r="F1717" s="12" t="n">
        <x:v>3846.5357</x:v>
      </x:c>
      <x:c r="G1717" s="12" t="n">
        <x:v>3855.9061</x:v>
      </x:c>
      <x:c r="H1717" s="12" t="n">
        <x:v>-9.3704</x:v>
      </x:c>
      <x:c r="I1717" s="12" t="n">
        <x:v>-0.243</x:v>
      </x:c>
      <x:c r="J1717" s="12" t="n">
        <x:v>-0.002433099753563938</x:v>
      </x:c>
      <x:c r="K1717" s="12" t="n">
        <x:v>103097111</x:v>
      </x:c>
      <x:c r="L1717" s="12" t="n">
        <x:v>177437071.693</x:v>
      </x:c>
      <x:c r="M1717" s="12" t="str">
        <x:v>TuShare index_daily</x:v>
      </x:c>
    </x:row>
    <x:row r="1718" ht="18" customHeight="1">
      <x:c r="A1718" s="13" t="n">
        <x:v>45154</x:v>
      </x:c>
      <x:c r="B1718" s="12" t="str">
        <x:v>000300.SH</x:v>
      </x:c>
      <x:c r="C1718" s="12" t="n">
        <x:v>3830.8274</x:v>
      </x:c>
      <x:c r="D1718" s="12" t="n">
        <x:v>3852.4198</x:v>
      </x:c>
      <x:c r="E1718" s="12" t="n">
        <x:v>3817.6324</x:v>
      </x:c>
      <x:c r="F1718" s="12" t="n">
        <x:v>3818.3338</x:v>
      </x:c>
      <x:c r="G1718" s="12" t="n">
        <x:v>3846.5357</x:v>
      </x:c>
      <x:c r="H1718" s="12" t="n">
        <x:v>-28.2019</x:v>
      </x:c>
      <x:c r="I1718" s="12" t="n">
        <x:v>-0.7332</x:v>
      </x:c>
      <x:c r="J1718" s="12" t="n">
        <x:v>-0.007358775583763774</x:v>
      </x:c>
      <x:c r="K1718" s="12" t="n">
        <x:v>94616946</x:v>
      </x:c>
      <x:c r="L1718" s="12" t="n">
        <x:v>169323869.028</x:v>
      </x:c>
      <x:c r="M1718" s="12" t="str">
        <x:v>TuShare index_daily</x:v>
      </x:c>
    </x:row>
    <x:row r="1719" ht="18" customHeight="1">
      <x:c r="A1719" s="13" t="n">
        <x:v>45155</x:v>
      </x:c>
      <x:c r="B1719" s="12" t="str">
        <x:v>000300.SH</x:v>
      </x:c>
      <x:c r="C1719" s="12" t="n">
        <x:v>3801.1969</x:v>
      </x:c>
      <x:c r="D1719" s="12" t="n">
        <x:v>3836.1507</x:v>
      </x:c>
      <x:c r="E1719" s="12" t="n">
        <x:v>3782.4967</x:v>
      </x:c>
      <x:c r="F1719" s="12" t="n">
        <x:v>3831.1008</x:v>
      </x:c>
      <x:c r="G1719" s="12" t="n">
        <x:v>3818.3338</x:v>
      </x:c>
      <x:c r="H1719" s="12" t="n">
        <x:v>12.767</x:v>
      </x:c>
      <x:c r="I1719" s="12" t="n">
        <x:v>0.3344</x:v>
      </x:c>
      <x:c r="J1719" s="12" t="n">
        <x:v>0.003338027585623975</x:v>
      </x:c>
      <x:c r="K1719" s="12" t="n">
        <x:v>98415493</x:v>
      </x:c>
      <x:c r="L1719" s="12" t="n">
        <x:v>174093848.243</x:v>
      </x:c>
      <x:c r="M1719" s="12" t="str">
        <x:v>TuShare index_daily</x:v>
      </x:c>
    </x:row>
    <x:row r="1720" ht="18" customHeight="1">
      <x:c r="A1720" s="13" t="n">
        <x:v>45156</x:v>
      </x:c>
      <x:c r="B1720" s="12" t="str">
        <x:v>000300.SH</x:v>
      </x:c>
      <x:c r="C1720" s="12" t="n">
        <x:v>3832.4554</x:v>
      </x:c>
      <x:c r="D1720" s="12" t="n">
        <x:v>3844.195</x:v>
      </x:c>
      <x:c r="E1720" s="12" t="n">
        <x:v>3784.0038</x:v>
      </x:c>
      <x:c r="F1720" s="12" t="n">
        <x:v>3784.0038</x:v>
      </x:c>
      <x:c r="G1720" s="12" t="n">
        <x:v>3831.1008</x:v>
      </x:c>
      <x:c r="H1720" s="12" t="n">
        <x:v>-47.097</x:v>
      </x:c>
      <x:c r="I1720" s="12" t="n">
        <x:v>-1.2293</x:v>
      </x:c>
      <x:c r="J1720" s="12" t="n">
        <x:v>-0.012369521622880495</x:v>
      </x:c>
      <x:c r="K1720" s="12" t="n">
        <x:v>95549638</x:v>
      </x:c>
      <x:c r="L1720" s="12" t="n">
        <x:v>168445686.988</x:v>
      </x:c>
      <x:c r="M1720" s="12" t="str">
        <x:v>TuShare index_daily</x:v>
      </x:c>
    </x:row>
    <x:row r="1721" ht="18" customHeight="1">
      <x:c r="A1721" s="13" t="n">
        <x:v>45159</x:v>
      </x:c>
      <x:c r="B1721" s="12" t="str">
        <x:v>000300.SH</x:v>
      </x:c>
      <x:c r="C1721" s="12" t="n">
        <x:v>3773.225</x:v>
      </x:c>
      <x:c r="D1721" s="12" t="n">
        <x:v>3782.1112</x:v>
      </x:c>
      <x:c r="E1721" s="12" t="n">
        <x:v>3729.555</x:v>
      </x:c>
      <x:c r="F1721" s="12" t="n">
        <x:v>3729.555</x:v>
      </x:c>
      <x:c r="G1721" s="12" t="n">
        <x:v>3784.0038</x:v>
      </x:c>
      <x:c r="H1721" s="12" t="n">
        <x:v>-54.4488</x:v>
      </x:c>
      <x:c r="I1721" s="12" t="n">
        <x:v>-1.4389</x:v>
      </x:c>
      <x:c r="J1721" s="12" t="n">
        <x:v>-0.014493731827957879</x:v>
      </x:c>
      <x:c r="K1721" s="12" t="n">
        <x:v>98708369</x:v>
      </x:c>
      <x:c r="L1721" s="12" t="n">
        <x:v>173379942.907</x:v>
      </x:c>
      <x:c r="M1721" s="12" t="str">
        <x:v>TuShare index_daily</x:v>
      </x:c>
    </x:row>
    <x:row r="1722" ht="18" customHeight="1">
      <x:c r="A1722" s="13" t="n">
        <x:v>45160</x:v>
      </x:c>
      <x:c r="B1722" s="12" t="str">
        <x:v>000300.SH</x:v>
      </x:c>
      <x:c r="C1722" s="12" t="n">
        <x:v>3748.0675</x:v>
      </x:c>
      <x:c r="D1722" s="12" t="n">
        <x:v>3770.0556</x:v>
      </x:c>
      <x:c r="E1722" s="12" t="n">
        <x:v>3704.6785</x:v>
      </x:c>
      <x:c r="F1722" s="12" t="n">
        <x:v>3758.2271</x:v>
      </x:c>
      <x:c r="G1722" s="12" t="n">
        <x:v>3729.555</x:v>
      </x:c>
      <x:c r="H1722" s="12" t="n">
        <x:v>28.6721</x:v>
      </x:c>
      <x:c r="I1722" s="12" t="n">
        <x:v>0.7688</x:v>
      </x:c>
      <x:c r="J1722" s="12" t="n">
        <x:v>0.007658406656251673</x:v>
      </x:c>
      <x:c r="K1722" s="12" t="n">
        <x:v>120318327</x:v>
      </x:c>
      <x:c r="L1722" s="12" t="n">
        <x:v>203463879.672</x:v>
      </x:c>
      <x:c r="M1722" s="12" t="str">
        <x:v>TuShare index_daily</x:v>
      </x:c>
    </x:row>
    <x:row r="1723" ht="18" customHeight="1">
      <x:c r="A1723" s="13" t="n">
        <x:v>45161</x:v>
      </x:c>
      <x:c r="B1723" s="12" t="str">
        <x:v>000300.SH</x:v>
      </x:c>
      <x:c r="C1723" s="12" t="n">
        <x:v>3751.7736</x:v>
      </x:c>
      <x:c r="D1723" s="12" t="n">
        <x:v>3756.1659</x:v>
      </x:c>
      <x:c r="E1723" s="12" t="n">
        <x:v>3695.0309</x:v>
      </x:c>
      <x:c r="F1723" s="12" t="n">
        <x:v>3696.6339</x:v>
      </x:c>
      <x:c r="G1723" s="12" t="n">
        <x:v>3758.2271</x:v>
      </x:c>
      <x:c r="H1723" s="12" t="n">
        <x:v>-61.5932</x:v>
      </x:c>
      <x:c r="I1723" s="12" t="n">
        <x:v>-1.6389</x:v>
      </x:c>
      <x:c r="J1723" s="12" t="n">
        <x:v>-0.016524681432167936</x:v>
      </x:c>
      <x:c r="K1723" s="12" t="n">
        <x:v>97081638</x:v>
      </x:c>
      <x:c r="L1723" s="12" t="n">
        <x:v>160476231.587</x:v>
      </x:c>
      <x:c r="M1723" s="12" t="str">
        <x:v>TuShare index_daily</x:v>
      </x:c>
    </x:row>
    <x:row r="1724" ht="18" customHeight="1">
      <x:c r="A1724" s="13" t="n">
        <x:v>45162</x:v>
      </x:c>
      <x:c r="B1724" s="12" t="str">
        <x:v>000300.SH</x:v>
      </x:c>
      <x:c r="C1724" s="12" t="n">
        <x:v>3711.5403</x:v>
      </x:c>
      <x:c r="D1724" s="12" t="n">
        <x:v>3748.8567</x:v>
      </x:c>
      <x:c r="E1724" s="12" t="n">
        <x:v>3701.5717</x:v>
      </x:c>
      <x:c r="F1724" s="12" t="n">
        <x:v>3723.4293</x:v>
      </x:c>
      <x:c r="G1724" s="12" t="n">
        <x:v>3696.6339</x:v>
      </x:c>
      <x:c r="H1724" s="12" t="n">
        <x:v>26.7954</x:v>
      </x:c>
      <x:c r="I1724" s="12" t="n">
        <x:v>0.7249</x:v>
      </x:c>
      <x:c r="J1724" s="12" t="n">
        <x:v>0.007222449662964919</x:v>
      </x:c>
      <x:c r="K1724" s="12" t="n">
        <x:v>119614521</x:v>
      </x:c>
      <x:c r="L1724" s="12" t="n">
        <x:v>196257391.084</x:v>
      </x:c>
      <x:c r="M1724" s="12" t="str">
        <x:v>TuShare index_daily</x:v>
      </x:c>
    </x:row>
    <x:row r="1725" ht="18" customHeight="1">
      <x:c r="A1725" s="13" t="n">
        <x:v>45163</x:v>
      </x:c>
      <x:c r="B1725" s="12" t="str">
        <x:v>000300.SH</x:v>
      </x:c>
      <x:c r="C1725" s="12" t="n">
        <x:v>3703.5136</x:v>
      </x:c>
      <x:c r="D1725" s="12" t="n">
        <x:v>3734.2185</x:v>
      </x:c>
      <x:c r="E1725" s="12" t="n">
        <x:v>3695.8442</x:v>
      </x:c>
      <x:c r="F1725" s="12" t="n">
        <x:v>3709.1517</x:v>
      </x:c>
      <x:c r="G1725" s="12" t="n">
        <x:v>3723.4293</x:v>
      </x:c>
      <x:c r="H1725" s="12" t="n">
        <x:v>-14.2776</x:v>
      </x:c>
      <x:c r="I1725" s="12" t="n">
        <x:v>-0.3835</x:v>
      </x:c>
      <x:c r="J1725" s="12" t="n">
        <x:v>-0.0038419002932303134</x:v>
      </x:c>
      <x:c r="K1725" s="12" t="n">
        <x:v>105182610</x:v>
      </x:c>
      <x:c r="L1725" s="12" t="n">
        <x:v>175601437.173</x:v>
      </x:c>
      <x:c r="M1725" s="12" t="str">
        <x:v>TuShare index_daily</x:v>
      </x:c>
    </x:row>
    <x:row r="1726" ht="18" customHeight="1">
      <x:c r="A1726" s="13" t="n">
        <x:v>45166</x:v>
      </x:c>
      <x:c r="B1726" s="12" t="str">
        <x:v>000300.SH</x:v>
      </x:c>
      <x:c r="C1726" s="12" t="n">
        <x:v>3911.5485</x:v>
      </x:c>
      <x:c r="D1726" s="12" t="n">
        <x:v>3911.5485</x:v>
      </x:c>
      <x:c r="E1726" s="12" t="n">
        <x:v>3740.5279</x:v>
      </x:c>
      <x:c r="F1726" s="12" t="n">
        <x:v>3752.6194</x:v>
      </x:c>
      <x:c r="G1726" s="12" t="n">
        <x:v>3709.1517</x:v>
      </x:c>
      <x:c r="H1726" s="12" t="n">
        <x:v>43.4677</x:v>
      </x:c>
      <x:c r="I1726" s="12" t="n">
        <x:v>1.1719</x:v>
      </x:c>
      <x:c r="J1726" s="12" t="n">
        <x:v>0.011650904623430016</x:v>
      </x:c>
      <x:c r="K1726" s="12" t="n">
        <x:v>197990379</x:v>
      </x:c>
      <x:c r="L1726" s="12" t="n">
        <x:v>335047670.967</x:v>
      </x:c>
      <x:c r="M1726" s="12" t="str">
        <x:v>TuShare index_daily</x:v>
      </x:c>
    </x:row>
    <x:row r="1727" ht="18" customHeight="1">
      <x:c r="A1727" s="13" t="n">
        <x:v>45167</x:v>
      </x:c>
      <x:c r="B1727" s="12" t="str">
        <x:v>000300.SH</x:v>
      </x:c>
      <x:c r="C1727" s="12" t="n">
        <x:v>3743.0534</x:v>
      </x:c>
      <x:c r="D1727" s="12" t="n">
        <x:v>3810.3772</x:v>
      </x:c>
      <x:c r="E1727" s="12" t="n">
        <x:v>3742.0758</x:v>
      </x:c>
      <x:c r="F1727" s="12" t="n">
        <x:v>3790.1067</x:v>
      </x:c>
      <x:c r="G1727" s="12" t="n">
        <x:v>3752.6194</x:v>
      </x:c>
      <x:c r="H1727" s="12" t="n">
        <x:v>37.4873</x:v>
      </x:c>
      <x:c r="I1727" s="12" t="n">
        <x:v>0.999</x:v>
      </x:c>
      <x:c r="J1727" s="12" t="n">
        <x:v>0.009940068925598318</x:v>
      </x:c>
      <x:c r="K1727" s="12" t="n">
        <x:v>152486146</x:v>
      </x:c>
      <x:c r="L1727" s="12" t="n">
        <x:v>262134936.751</x:v>
      </x:c>
      <x:c r="M1727" s="12" t="str">
        <x:v>TuShare index_daily</x:v>
      </x:c>
    </x:row>
    <x:row r="1728" ht="18" customHeight="1">
      <x:c r="A1728" s="13" t="n">
        <x:v>45168</x:v>
      </x:c>
      <x:c r="B1728" s="12" t="str">
        <x:v>000300.SH</x:v>
      </x:c>
      <x:c r="C1728" s="12" t="n">
        <x:v>3803.1191</x:v>
      </x:c>
      <x:c r="D1728" s="12" t="n">
        <x:v>3813.7032</x:v>
      </x:c>
      <x:c r="E1728" s="12" t="n">
        <x:v>3780.2411</x:v>
      </x:c>
      <x:c r="F1728" s="12" t="n">
        <x:v>3788.5097</x:v>
      </x:c>
      <x:c r="G1728" s="12" t="n">
        <x:v>3790.1067</x:v>
      </x:c>
      <x:c r="H1728" s="12" t="n">
        <x:v>-1.597</x:v>
      </x:c>
      <x:c r="I1728" s="12" t="n">
        <x:v>-0.0421</x:v>
      </x:c>
      <x:c r="J1728" s="12" t="n">
        <x:v>-0.0004214489662355312</x:v>
      </x:c>
      <x:c r="K1728" s="12" t="n">
        <x:v>129671661</x:v>
      </x:c>
      <x:c r="L1728" s="12" t="n">
        <x:v>226727480.839</x:v>
      </x:c>
      <x:c r="M1728" s="12" t="str">
        <x:v>TuShare index_daily</x:v>
      </x:c>
    </x:row>
    <x:row r="1729" ht="18" customHeight="1">
      <x:c r="A1729" s="13" t="n">
        <x:v>45169</x:v>
      </x:c>
      <x:c r="B1729" s="12" t="str">
        <x:v>000300.SH</x:v>
      </x:c>
      <x:c r="C1729" s="12" t="n">
        <x:v>3786.9261</x:v>
      </x:c>
      <x:c r="D1729" s="12" t="n">
        <x:v>3793.9972</x:v>
      </x:c>
      <x:c r="E1729" s="12" t="n">
        <x:v>3762.0046</x:v>
      </x:c>
      <x:c r="F1729" s="12" t="n">
        <x:v>3765.2678</x:v>
      </x:c>
      <x:c r="G1729" s="12" t="n">
        <x:v>3788.5097</x:v>
      </x:c>
      <x:c r="H1729" s="12" t="n">
        <x:v>-23.2419</x:v>
      </x:c>
      <x:c r="I1729" s="12" t="n">
        <x:v>-0.6135</x:v>
      </x:c>
      <x:c r="J1729" s="12" t="n">
        <x:v>-0.006153735225727366</x:v>
      </x:c>
      <x:c r="K1729" s="12" t="n">
        <x:v>118961646</x:v>
      </x:c>
      <x:c r="L1729" s="12" t="n">
        <x:v>193577001.342</x:v>
      </x:c>
      <x:c r="M1729" s="12" t="str">
        <x:v>TuShare index_daily</x:v>
      </x:c>
    </x:row>
    <x:row r="1730" ht="18" customHeight="1">
      <x:c r="A1730" s="13" t="n">
        <x:v>45170</x:v>
      </x:c>
      <x:c r="B1730" s="12" t="str">
        <x:v>000300.SH</x:v>
      </x:c>
      <x:c r="C1730" s="12" t="n">
        <x:v>3778.9129</x:v>
      </x:c>
      <x:c r="D1730" s="12" t="n">
        <x:v>3808.5306</x:v>
      </x:c>
      <x:c r="E1730" s="12" t="n">
        <x:v>3778.9129</x:v>
      </x:c>
      <x:c r="F1730" s="12" t="n">
        <x:v>3791.4912</x:v>
      </x:c>
      <x:c r="G1730" s="12" t="n">
        <x:v>3765.2678</x:v>
      </x:c>
      <x:c r="H1730" s="12" t="n">
        <x:v>26.2234</x:v>
      </x:c>
      <x:c r="I1730" s="12" t="n">
        <x:v>0.6965</x:v>
      </x:c>
      <x:c r="J1730" s="12" t="n">
        <x:v>0.006940410634633973</x:v>
      </x:c>
      <x:c r="K1730" s="12" t="n">
        <x:v>105319045</x:v>
      </x:c>
      <x:c r="L1730" s="12" t="n">
        <x:v>172219141.586</x:v>
      </x:c>
      <x:c r="M1730" s="12" t="str">
        <x:v>TuShare index_daily</x:v>
      </x:c>
    </x:row>
    <x:row r="1731" ht="18" customHeight="1">
      <x:c r="A1731" s="13" t="n">
        <x:v>45173</x:v>
      </x:c>
      <x:c r="B1731" s="12" t="str">
        <x:v>000300.SH</x:v>
      </x:c>
      <x:c r="C1731" s="12" t="n">
        <x:v>3812.9873</x:v>
      </x:c>
      <x:c r="D1731" s="12" t="n">
        <x:v>3854.2605</x:v>
      </x:c>
      <x:c r="E1731" s="12" t="n">
        <x:v>3804.5886</x:v>
      </x:c>
      <x:c r="F1731" s="12" t="n">
        <x:v>3848.9517</x:v>
      </x:c>
      <x:c r="G1731" s="12" t="n">
        <x:v>3791.4912</x:v>
      </x:c>
      <x:c r="H1731" s="12" t="n">
        <x:v>57.4605</x:v>
      </x:c>
      <x:c r="I1731" s="12" t="n">
        <x:v>1.5155</x:v>
      </x:c>
      <x:c r="J1731" s="12" t="n">
        <x:v>0.015041427333904046</x:v>
      </x:c>
      <x:c r="K1731" s="12" t="n">
        <x:v>142385201</x:v>
      </x:c>
      <x:c r="L1731" s="12" t="n">
        <x:v>237934727.924</x:v>
      </x:c>
      <x:c r="M1731" s="12" t="str">
        <x:v>TuShare index_daily</x:v>
      </x:c>
    </x:row>
    <x:row r="1732" ht="18" customHeight="1">
      <x:c r="A1732" s="13" t="n">
        <x:v>45174</x:v>
      </x:c>
      <x:c r="B1732" s="12" t="str">
        <x:v>000300.SH</x:v>
      </x:c>
      <x:c r="C1732" s="12" t="n">
        <x:v>3839.5779</x:v>
      </x:c>
      <x:c r="D1732" s="12" t="n">
        <x:v>3839.5779</x:v>
      </x:c>
      <x:c r="E1732" s="12" t="n">
        <x:v>3814.3338</x:v>
      </x:c>
      <x:c r="F1732" s="12" t="n">
        <x:v>3820.3174</x:v>
      </x:c>
      <x:c r="G1732" s="12" t="n">
        <x:v>3848.9517</x:v>
      </x:c>
      <x:c r="H1732" s="12" t="n">
        <x:v>-28.6343</x:v>
      </x:c>
      <x:c r="I1732" s="12" t="n">
        <x:v>-0.744</x:v>
      </x:c>
      <x:c r="J1732" s="12" t="n">
        <x:v>-0.0074673173369024385</x:v>
      </x:c>
      <x:c r="K1732" s="12" t="n">
        <x:v>104052333</x:v>
      </x:c>
      <x:c r="L1732" s="12" t="n">
        <x:v>181377877.955</x:v>
      </x:c>
      <x:c r="M1732" s="12" t="str">
        <x:v>TuShare index_daily</x:v>
      </x:c>
    </x:row>
    <x:row r="1733" ht="18" customHeight="1">
      <x:c r="A1733" s="13" t="n">
        <x:v>45175</x:v>
      </x:c>
      <x:c r="B1733" s="12" t="str">
        <x:v>000300.SH</x:v>
      </x:c>
      <x:c r="C1733" s="12" t="n">
        <x:v>3808.1</x:v>
      </x:c>
      <x:c r="D1733" s="12" t="n">
        <x:v>3817.5239</x:v>
      </x:c>
      <x:c r="E1733" s="12" t="n">
        <x:v>3790.8949</x:v>
      </x:c>
      <x:c r="F1733" s="12" t="n">
        <x:v>3812.0283</x:v>
      </x:c>
      <x:c r="G1733" s="12" t="n">
        <x:v>3820.3174</x:v>
      </x:c>
      <x:c r="H1733" s="12" t="n">
        <x:v>-8.2891</x:v>
      </x:c>
      <x:c r="I1733" s="12" t="n">
        <x:v>-0.217</x:v>
      </x:c>
      <x:c r="J1733" s="12" t="n">
        <x:v>-0.0021720984831716575</x:v>
      </x:c>
      <x:c r="K1733" s="12" t="n">
        <x:v>93442393</x:v>
      </x:c>
      <x:c r="L1733" s="12" t="n">
        <x:v>166081524.007</x:v>
      </x:c>
      <x:c r="M1733" s="12" t="str">
        <x:v>TuShare index_daily</x:v>
      </x:c>
    </x:row>
    <x:row r="1734" ht="18" customHeight="1">
      <x:c r="A1734" s="13" t="n">
        <x:v>45176</x:v>
      </x:c>
      <x:c r="B1734" s="12" t="str">
        <x:v>000300.SH</x:v>
      </x:c>
      <x:c r="C1734" s="12" t="n">
        <x:v>3802.2272</x:v>
      </x:c>
      <x:c r="D1734" s="12" t="n">
        <x:v>3802.2272</x:v>
      </x:c>
      <x:c r="E1734" s="12" t="n">
        <x:v>3756.853</x:v>
      </x:c>
      <x:c r="F1734" s="12" t="n">
        <x:v>3758.4748</x:v>
      </x:c>
      <x:c r="G1734" s="12" t="n">
        <x:v>3812.0283</x:v>
      </x:c>
      <x:c r="H1734" s="12" t="n">
        <x:v>-53.5535</x:v>
      </x:c>
      <x:c r="I1734" s="12" t="n">
        <x:v>-1.4049</x:v>
      </x:c>
      <x:c r="J1734" s="12" t="n">
        <x:v>-0.014148172878386153</x:v>
      </x:c>
      <x:c r="K1734" s="12" t="n">
        <x:v>95103903</x:v>
      </x:c>
      <x:c r="L1734" s="12" t="n">
        <x:v>164405748.828</x:v>
      </x:c>
      <x:c r="M1734" s="12" t="str">
        <x:v>TuShare index_daily</x:v>
      </x:c>
    </x:row>
    <x:row r="1735" ht="18" customHeight="1">
      <x:c r="A1735" s="13" t="n">
        <x:v>45177</x:v>
      </x:c>
      <x:c r="B1735" s="12" t="str">
        <x:v>000300.SH</x:v>
      </x:c>
      <x:c r="C1735" s="12" t="n">
        <x:v>3747.6509</x:v>
      </x:c>
      <x:c r="D1735" s="12" t="n">
        <x:v>3753.263</x:v>
      </x:c>
      <x:c r="E1735" s="12" t="n">
        <x:v>3724.987</x:v>
      </x:c>
      <x:c r="F1735" s="12" t="n">
        <x:v>3739.9927</x:v>
      </x:c>
      <x:c r="G1735" s="12" t="n">
        <x:v>3758.4748</x:v>
      </x:c>
      <x:c r="H1735" s="12" t="n">
        <x:v>-18.4821</x:v>
      </x:c>
      <x:c r="I1735" s="12" t="n">
        <x:v>-0.4917</x:v>
      </x:c>
      <x:c r="J1735" s="12" t="n">
        <x:v>-0.004929577257583552</x:v>
      </x:c>
      <x:c r="K1735" s="12" t="n">
        <x:v>71638166</x:v>
      </x:c>
      <x:c r="L1735" s="12" t="n">
        <x:v>129197657.303</x:v>
      </x:c>
      <x:c r="M1735" s="12" t="str">
        <x:v>TuShare index_daily</x:v>
      </x:c>
    </x:row>
    <x:row r="1736" ht="18" customHeight="1">
      <x:c r="A1736" s="13" t="n">
        <x:v>45180</x:v>
      </x:c>
      <x:c r="B1736" s="12" t="str">
        <x:v>000300.SH</x:v>
      </x:c>
      <x:c r="C1736" s="12" t="n">
        <x:v>3740.5846</x:v>
      </x:c>
      <x:c r="D1736" s="12" t="n">
        <x:v>3788.3219</x:v>
      </x:c>
      <x:c r="E1736" s="12" t="n">
        <x:v>3734.7228</x:v>
      </x:c>
      <x:c r="F1736" s="12" t="n">
        <x:v>3767.537</x:v>
      </x:c>
      <x:c r="G1736" s="12" t="n">
        <x:v>3739.9927</x:v>
      </x:c>
      <x:c r="H1736" s="12" t="n">
        <x:v>27.5443</x:v>
      </x:c>
      <x:c r="I1736" s="12" t="n">
        <x:v>0.7365</x:v>
      </x:c>
      <x:c r="J1736" s="12" t="n">
        <x:v>0.007337812753509666</x:v>
      </x:c>
      <x:c r="K1736" s="12" t="n">
        <x:v>105358016</x:v>
      </x:c>
      <x:c r="L1736" s="12" t="n">
        <x:v>186871759.441</x:v>
      </x:c>
      <x:c r="M1736" s="12" t="str">
        <x:v>TuShare index_daily</x:v>
      </x:c>
    </x:row>
    <x:row r="1737" ht="18" customHeight="1">
      <x:c r="A1737" s="13" t="n">
        <x:v>45181</x:v>
      </x:c>
      <x:c r="B1737" s="12" t="str">
        <x:v>000300.SH</x:v>
      </x:c>
      <x:c r="C1737" s="12" t="n">
        <x:v>3764.3331</x:v>
      </x:c>
      <x:c r="D1737" s="12" t="n">
        <x:v>3775.093</x:v>
      </x:c>
      <x:c r="E1737" s="12" t="n">
        <x:v>3755.4162</x:v>
      </x:c>
      <x:c r="F1737" s="12" t="n">
        <x:v>3760.6048</x:v>
      </x:c>
      <x:c r="G1737" s="12" t="n">
        <x:v>3767.537</x:v>
      </x:c>
      <x:c r="H1737" s="12" t="n">
        <x:v>-6.9322</x:v>
      </x:c>
      <x:c r="I1737" s="12" t="n">
        <x:v>-0.184</x:v>
      </x:c>
      <x:c r="J1737" s="12" t="n">
        <x:v>-0.001841676775899936</x:v>
      </x:c>
      <x:c r="K1737" s="12" t="n">
        <x:v>79385378</x:v>
      </x:c>
      <x:c r="L1737" s="12" t="n">
        <x:v>140117510.233</x:v>
      </x:c>
      <x:c r="M1737" s="12" t="str">
        <x:v>TuShare index_daily</x:v>
      </x:c>
    </x:row>
    <x:row r="1738" ht="18" customHeight="1">
      <x:c r="A1738" s="13" t="n">
        <x:v>45182</x:v>
      </x:c>
      <x:c r="B1738" s="12" t="str">
        <x:v>000300.SH</x:v>
      </x:c>
      <x:c r="C1738" s="12" t="n">
        <x:v>3759.6091</x:v>
      </x:c>
      <x:c r="D1738" s="12" t="n">
        <x:v>3768.8162</x:v>
      </x:c>
      <x:c r="E1738" s="12" t="n">
        <x:v>3719.1114</x:v>
      </x:c>
      <x:c r="F1738" s="12" t="n">
        <x:v>3736.6513</x:v>
      </x:c>
      <x:c r="G1738" s="12" t="n">
        <x:v>3760.6048</x:v>
      </x:c>
      <x:c r="H1738" s="12" t="n">
        <x:v>-23.9535</x:v>
      </x:c>
      <x:c r="I1738" s="12" t="n">
        <x:v>-0.637</x:v>
      </x:c>
      <x:c r="J1738" s="12" t="n">
        <x:v>-0.006389959522627915</x:v>
      </x:c>
      <x:c r="K1738" s="12" t="n">
        <x:v>81576901</x:v>
      </x:c>
      <x:c r="L1738" s="12" t="n">
        <x:v>138238089.913</x:v>
      </x:c>
      <x:c r="M1738" s="12" t="str">
        <x:v>TuShare index_daily</x:v>
      </x:c>
    </x:row>
    <x:row r="1739" ht="18" customHeight="1">
      <x:c r="A1739" s="13" t="n">
        <x:v>45183</x:v>
      </x:c>
      <x:c r="B1739" s="12" t="str">
        <x:v>000300.SH</x:v>
      </x:c>
      <x:c r="C1739" s="12" t="n">
        <x:v>3736.9355</x:v>
      </x:c>
      <x:c r="D1739" s="12" t="n">
        <x:v>3748.8177</x:v>
      </x:c>
      <x:c r="E1739" s="12" t="n">
        <x:v>3717.3107</x:v>
      </x:c>
      <x:c r="F1739" s="12" t="n">
        <x:v>3733.5077</x:v>
      </x:c>
      <x:c r="G1739" s="12" t="n">
        <x:v>3736.6513</x:v>
      </x:c>
      <x:c r="H1739" s="12" t="n">
        <x:v>-3.1436</x:v>
      </x:c>
      <x:c r="I1739" s="12" t="n">
        <x:v>-0.0841</x:v>
      </x:c>
      <x:c r="J1739" s="12" t="n">
        <x:v>-0.0008416421084389641</x:v>
      </x:c>
      <x:c r="K1739" s="12" t="n">
        <x:v>100386075</x:v>
      </x:c>
      <x:c r="L1739" s="12" t="n">
        <x:v>151578100.464</x:v>
      </x:c>
      <x:c r="M1739" s="12" t="str">
        <x:v>TuShare index_daily</x:v>
      </x:c>
    </x:row>
    <x:row r="1740" ht="18" customHeight="1">
      <x:c r="A1740" s="13" t="n">
        <x:v>45184</x:v>
      </x:c>
      <x:c r="B1740" s="12" t="str">
        <x:v>000300.SH</x:v>
      </x:c>
      <x:c r="C1740" s="12" t="n">
        <x:v>3740.7853</x:v>
      </x:c>
      <x:c r="D1740" s="12" t="n">
        <x:v>3749.0247</x:v>
      </x:c>
      <x:c r="E1740" s="12" t="n">
        <x:v>3699.3806</x:v>
      </x:c>
      <x:c r="F1740" s="12" t="n">
        <x:v>3708.7766</x:v>
      </x:c>
      <x:c r="G1740" s="12" t="n">
        <x:v>3733.5077</x:v>
      </x:c>
      <x:c r="H1740" s="12" t="n">
        <x:v>-24.7311</x:v>
      </x:c>
      <x:c r="I1740" s="12" t="n">
        <x:v>-0.6624</x:v>
      </x:c>
      <x:c r="J1740" s="12" t="n">
        <x:v>-0.0066461290744070055</x:v>
      </x:c>
      <x:c r="K1740" s="12" t="n">
        <x:v>109395689</x:v>
      </x:c>
      <x:c r="L1740" s="12" t="n">
        <x:v>180398970.938</x:v>
      </x:c>
      <x:c r="M1740" s="12" t="str">
        <x:v>TuShare index_daily</x:v>
      </x:c>
    </x:row>
    <x:row r="1741" ht="18" customHeight="1">
      <x:c r="A1741" s="13" t="n">
        <x:v>45187</x:v>
      </x:c>
      <x:c r="B1741" s="12" t="str">
        <x:v>000300.SH</x:v>
      </x:c>
      <x:c r="C1741" s="12" t="n">
        <x:v>3698.9344</x:v>
      </x:c>
      <x:c r="D1741" s="12" t="n">
        <x:v>3737.5306</x:v>
      </x:c>
      <x:c r="E1741" s="12" t="n">
        <x:v>3691.1107</x:v>
      </x:c>
      <x:c r="F1741" s="12" t="n">
        <x:v>3727.711</x:v>
      </x:c>
      <x:c r="G1741" s="12" t="n">
        <x:v>3708.7766</x:v>
      </x:c>
      <x:c r="H1741" s="12" t="n">
        <x:v>18.9344</x:v>
      </x:c>
      <x:c r="I1741" s="12" t="n">
        <x:v>0.5105</x:v>
      </x:c>
      <x:c r="J1741" s="12" t="n">
        <x:v>0.0050923075341599</x:v>
      </x:c>
      <x:c r="K1741" s="12" t="n">
        <x:v>86727741</x:v>
      </x:c>
      <x:c r="L1741" s="12" t="n">
        <x:v>156966973.911</x:v>
      </x:c>
      <x:c r="M1741" s="12" t="str">
        <x:v>TuShare index_daily</x:v>
      </x:c>
    </x:row>
    <x:row r="1742" ht="18" customHeight="1">
      <x:c r="A1742" s="13" t="n">
        <x:v>45188</x:v>
      </x:c>
      <x:c r="B1742" s="12" t="str">
        <x:v>000300.SH</x:v>
      </x:c>
      <x:c r="C1742" s="12" t="n">
        <x:v>3723.4244</x:v>
      </x:c>
      <x:c r="D1742" s="12" t="n">
        <x:v>3724.0717</x:v>
      </x:c>
      <x:c r="E1742" s="12" t="n">
        <x:v>3702.6934</x:v>
      </x:c>
      <x:c r="F1742" s="12" t="n">
        <x:v>3720.5021</x:v>
      </x:c>
      <x:c r="G1742" s="12" t="n">
        <x:v>3727.711</x:v>
      </x:c>
      <x:c r="H1742" s="12" t="n">
        <x:v>-7.2089</x:v>
      </x:c>
      <x:c r="I1742" s="12" t="n">
        <x:v>-0.1934</x:v>
      </x:c>
      <x:c r="J1742" s="12" t="n">
        <x:v>-0.0019357400638905927</x:v>
      </x:c>
      <x:c r="K1742" s="12" t="n">
        <x:v>83199038</x:v>
      </x:c>
      <x:c r="L1742" s="12" t="n">
        <x:v>135216895.229</x:v>
      </x:c>
      <x:c r="M1742" s="12" t="str">
        <x:v>TuShare index_daily</x:v>
      </x:c>
    </x:row>
    <x:row r="1743" ht="18" customHeight="1">
      <x:c r="A1743" s="13" t="n">
        <x:v>45189</x:v>
      </x:c>
      <x:c r="B1743" s="12" t="str">
        <x:v>000300.SH</x:v>
      </x:c>
      <x:c r="C1743" s="12" t="n">
        <x:v>3715.9578</x:v>
      </x:c>
      <x:c r="D1743" s="12" t="n">
        <x:v>3718.5207</x:v>
      </x:c>
      <x:c r="E1743" s="12" t="n">
        <x:v>3705.1274</x:v>
      </x:c>
      <x:c r="F1743" s="12" t="n">
        <x:v>3705.6898</x:v>
      </x:c>
      <x:c r="G1743" s="12" t="n">
        <x:v>3720.5021</x:v>
      </x:c>
      <x:c r="H1743" s="12" t="n">
        <x:v>-14.8123</x:v>
      </x:c>
      <x:c r="I1743" s="12" t="n">
        <x:v>-0.3981</x:v>
      </x:c>
      <x:c r="J1743" s="12" t="n">
        <x:v>-0.003989210040026667</x:v>
      </x:c>
      <x:c r="K1743" s="12" t="n">
        <x:v>75448209</x:v>
      </x:c>
      <x:c r="L1743" s="12" t="n">
        <x:v>117691805.957</x:v>
      </x:c>
      <x:c r="M1743" s="12" t="str">
        <x:v>TuShare index_daily</x:v>
      </x:c>
    </x:row>
    <x:row r="1744" ht="18" customHeight="1">
      <x:c r="A1744" s="13" t="n">
        <x:v>45190</x:v>
      </x:c>
      <x:c r="B1744" s="12" t="str">
        <x:v>000300.SH</x:v>
      </x:c>
      <x:c r="C1744" s="12" t="n">
        <x:v>3698.313</x:v>
      </x:c>
      <x:c r="D1744" s="12" t="n">
        <x:v>3708.4557</x:v>
      </x:c>
      <x:c r="E1744" s="12" t="n">
        <x:v>3672.4448</x:v>
      </x:c>
      <x:c r="F1744" s="12" t="n">
        <x:v>3672.4448</x:v>
      </x:c>
      <x:c r="G1744" s="12" t="n">
        <x:v>3705.6898</x:v>
      </x:c>
      <x:c r="H1744" s="12" t="n">
        <x:v>-33.245</x:v>
      </x:c>
      <x:c r="I1744" s="12" t="n">
        <x:v>-0.8971</x:v>
      </x:c>
      <x:c r="J1744" s="12" t="n">
        <x:v>-0.00901182393540573</x:v>
      </x:c>
      <x:c r="K1744" s="12" t="n">
        <x:v>83031005</x:v>
      </x:c>
      <x:c r="L1744" s="12" t="n">
        <x:v>135011796.555</x:v>
      </x:c>
      <x:c r="M1744" s="12" t="str">
        <x:v>TuShare index_daily</x:v>
      </x:c>
    </x:row>
    <x:row r="1745" ht="18" customHeight="1">
      <x:c r="A1745" s="13" t="n">
        <x:v>45191</x:v>
      </x:c>
      <x:c r="B1745" s="12" t="str">
        <x:v>000300.SH</x:v>
      </x:c>
      <x:c r="C1745" s="12" t="n">
        <x:v>3672.6402</x:v>
      </x:c>
      <x:c r="D1745" s="12" t="n">
        <x:v>3740.4183</x:v>
      </x:c>
      <x:c r="E1745" s="12" t="n">
        <x:v>3664.7661</x:v>
      </x:c>
      <x:c r="F1745" s="12" t="n">
        <x:v>3738.9327</x:v>
      </x:c>
      <x:c r="G1745" s="12" t="n">
        <x:v>3672.4448</x:v>
      </x:c>
      <x:c r="H1745" s="12" t="n">
        <x:v>66.4879</x:v>
      </x:c>
      <x:c r="I1745" s="12" t="n">
        <x:v>1.8105</x:v>
      </x:c>
      <x:c r="J1745" s="12" t="n">
        <x:v>0.01794259804803621</x:v>
      </x:c>
      <x:c r="K1745" s="12" t="n">
        <x:v>110231166</x:v>
      </x:c>
      <x:c r="L1745" s="12" t="n">
        <x:v>192236467.363</x:v>
      </x:c>
      <x:c r="M1745" s="12" t="str">
        <x:v>TuShare index_daily</x:v>
      </x:c>
    </x:row>
    <x:row r="1746" ht="18" customHeight="1">
      <x:c r="A1746" s="13" t="n">
        <x:v>45194</x:v>
      </x:c>
      <x:c r="B1746" s="12" t="str">
        <x:v>000300.SH</x:v>
      </x:c>
      <x:c r="C1746" s="12" t="n">
        <x:v>3738.0622</x:v>
      </x:c>
      <x:c r="D1746" s="12" t="n">
        <x:v>3738.0622</x:v>
      </x:c>
      <x:c r="E1746" s="12" t="n">
        <x:v>3711.2049</x:v>
      </x:c>
      <x:c r="F1746" s="12" t="n">
        <x:v>3714.6037</x:v>
      </x:c>
      <x:c r="G1746" s="12" t="n">
        <x:v>3738.9327</x:v>
      </x:c>
      <x:c r="H1746" s="12" t="n">
        <x:v>-24.329</x:v>
      </x:c>
      <x:c r="I1746" s="12" t="n">
        <x:v>-0.6507</x:v>
      </x:c>
      <x:c r="J1746" s="12" t="n">
        <x:v>-0.006528199527715004</x:v>
      </x:c>
      <x:c r="K1746" s="12" t="n">
        <x:v>92596479</x:v>
      </x:c>
      <x:c r="L1746" s="12" t="n">
        <x:v>155793827.362</x:v>
      </x:c>
      <x:c r="M1746" s="12" t="str">
        <x:v>TuShare index_daily</x:v>
      </x:c>
    </x:row>
    <x:row r="1747" ht="18" customHeight="1">
      <x:c r="A1747" s="13" t="n">
        <x:v>45195</x:v>
      </x:c>
      <x:c r="B1747" s="12" t="str">
        <x:v>000300.SH</x:v>
      </x:c>
      <x:c r="C1747" s="12" t="n">
        <x:v>3711.7106</x:v>
      </x:c>
      <x:c r="D1747" s="12" t="n">
        <x:v>3723.8481</x:v>
      </x:c>
      <x:c r="E1747" s="12" t="n">
        <x:v>3692.6172</x:v>
      </x:c>
      <x:c r="F1747" s="12" t="n">
        <x:v>3692.8928</x:v>
      </x:c>
      <x:c r="G1747" s="12" t="n">
        <x:v>3714.6037</x:v>
      </x:c>
      <x:c r="H1747" s="12" t="n">
        <x:v>-21.7109</x:v>
      </x:c>
      <x:c r="I1747" s="12" t="n">
        <x:v>-0.5845</x:v>
      </x:c>
      <x:c r="J1747" s="12" t="n">
        <x:v>-0.005861889281666779</x:v>
      </x:c>
      <x:c r="K1747" s="12" t="n">
        <x:v>78044525</x:v>
      </x:c>
      <x:c r="L1747" s="12" t="n">
        <x:v>137808437.775</x:v>
      </x:c>
      <x:c r="M1747" s="12" t="str">
        <x:v>TuShare index_daily</x:v>
      </x:c>
    </x:row>
    <x:row r="1748" ht="18" customHeight="1">
      <x:c r="A1748" s="13" t="n">
        <x:v>45196</x:v>
      </x:c>
      <x:c r="B1748" s="12" t="str">
        <x:v>000300.SH</x:v>
      </x:c>
      <x:c r="C1748" s="12" t="n">
        <x:v>3694.9607</x:v>
      </x:c>
      <x:c r="D1748" s="12" t="n">
        <x:v>3731.1405</x:v>
      </x:c>
      <x:c r="E1748" s="12" t="n">
        <x:v>3694.3938</x:v>
      </x:c>
      <x:c r="F1748" s="12" t="n">
        <x:v>3700.495</x:v>
      </x:c>
      <x:c r="G1748" s="12" t="n">
        <x:v>3692.8928</x:v>
      </x:c>
      <x:c r="H1748" s="12" t="n">
        <x:v>7.6022</x:v>
      </x:c>
      <x:c r="I1748" s="12" t="n">
        <x:v>0.2059</x:v>
      </x:c>
      <x:c r="J1748" s="12" t="n">
        <x:v>0.002056486927205133</x:v>
      </x:c>
      <x:c r="K1748" s="12" t="n">
        <x:v>91629210</x:v>
      </x:c>
      <x:c r="L1748" s="12" t="n">
        <x:v>164790435.266</x:v>
      </x:c>
      <x:c r="M1748" s="12" t="str">
        <x:v>TuShare index_daily</x:v>
      </x:c>
    </x:row>
    <x:row r="1749" ht="18" customHeight="1">
      <x:c r="A1749" s="13" t="n">
        <x:v>45197</x:v>
      </x:c>
      <x:c r="B1749" s="12" t="str">
        <x:v>000300.SH</x:v>
      </x:c>
      <x:c r="C1749" s="12" t="n">
        <x:v>3711.2117</x:v>
      </x:c>
      <x:c r="D1749" s="12" t="n">
        <x:v>3716.0569</x:v>
      </x:c>
      <x:c r="E1749" s="12" t="n">
        <x:v>3685.3001</x:v>
      </x:c>
      <x:c r="F1749" s="12" t="n">
        <x:v>3689.5172</x:v>
      </x:c>
      <x:c r="G1749" s="12" t="n">
        <x:v>3700.495</x:v>
      </x:c>
      <x:c r="H1749" s="12" t="n">
        <x:v>-10.9778</x:v>
      </x:c>
      <x:c r="I1749" s="12" t="n">
        <x:v>-0.2967</x:v>
      </x:c>
      <x:c r="J1749" s="12" t="n">
        <x:v>-0.0029709851019892155</x:v>
      </x:c>
      <x:c r="K1749" s="12" t="n">
        <x:v>85221719</x:v>
      </x:c>
      <x:c r="L1749" s="12" t="n">
        <x:v>153500421.344</x:v>
      </x:c>
      <x:c r="M1749" s="12" t="str">
        <x:v>TuShare index_daily</x:v>
      </x:c>
    </x:row>
    <x:row r="1750" ht="18" customHeight="1">
      <x:c r="A1750" s="13" t="n">
        <x:v>45208</x:v>
      </x:c>
      <x:c r="B1750" s="12" t="str">
        <x:v>000300.SH</x:v>
      </x:c>
      <x:c r="C1750" s="12" t="n">
        <x:v>3678.929</x:v>
      </x:c>
      <x:c r="D1750" s="12" t="n">
        <x:v>3694.1713</x:v>
      </x:c>
      <x:c r="E1750" s="12" t="n">
        <x:v>3641.9966</x:v>
      </x:c>
      <x:c r="F1750" s="12" t="n">
        <x:v>3684.7272</x:v>
      </x:c>
      <x:c r="G1750" s="12" t="n">
        <x:v>3689.5172</x:v>
      </x:c>
      <x:c r="H1750" s="12" t="n">
        <x:v>-4.79</x:v>
      </x:c>
      <x:c r="I1750" s="12" t="n">
        <x:v>-0.1298</x:v>
      </x:c>
      <x:c r="J1750" s="12" t="n">
        <x:v>-0.001299116333512036</x:v>
      </x:c>
      <x:c r="K1750" s="12" t="n">
        <x:v>102148058</x:v>
      </x:c>
      <x:c r="L1750" s="12" t="n">
        <x:v>178072374.748</x:v>
      </x:c>
      <x:c r="M1750" s="12" t="str">
        <x:v>TuShare index_daily</x:v>
      </x:c>
    </x:row>
    <x:row r="1751" ht="18" customHeight="1">
      <x:c r="A1751" s="13" t="n">
        <x:v>45209</x:v>
      </x:c>
      <x:c r="B1751" s="12" t="str">
        <x:v>000300.SH</x:v>
      </x:c>
      <x:c r="C1751" s="12" t="n">
        <x:v>3696.2542</x:v>
      </x:c>
      <x:c r="D1751" s="12" t="n">
        <x:v>3701.2562</x:v>
      </x:c>
      <x:c r="E1751" s="12" t="n">
        <x:v>3655.589</x:v>
      </x:c>
      <x:c r="F1751" s="12" t="n">
        <x:v>3657.1259</x:v>
      </x:c>
      <x:c r="G1751" s="12" t="n">
        <x:v>3684.7272</x:v>
      </x:c>
      <x:c r="H1751" s="12" t="n">
        <x:v>-27.6013</x:v>
      </x:c>
      <x:c r="I1751" s="12" t="n">
        <x:v>-0.7491</x:v>
      </x:c>
      <x:c r="J1751" s="12" t="n">
        <x:v>-0.00751892734950509</x:v>
      </x:c>
      <x:c r="K1751" s="12" t="n">
        <x:v>99163730</x:v>
      </x:c>
      <x:c r="L1751" s="12" t="n">
        <x:v>161938958.925</x:v>
      </x:c>
      <x:c r="M1751" s="12" t="str">
        <x:v>TuShare index_daily</x:v>
      </x:c>
    </x:row>
    <x:row r="1752" ht="18" customHeight="1">
      <x:c r="A1752" s="13" t="n">
        <x:v>45210</x:v>
      </x:c>
      <x:c r="B1752" s="12" t="str">
        <x:v>000300.SH</x:v>
      </x:c>
      <x:c r="C1752" s="12" t="n">
        <x:v>3674.7514</x:v>
      </x:c>
      <x:c r="D1752" s="12" t="n">
        <x:v>3689.5347</x:v>
      </x:c>
      <x:c r="E1752" s="12" t="n">
        <x:v>3658.355</x:v>
      </x:c>
      <x:c r="F1752" s="12" t="n">
        <x:v>3667.5483</x:v>
      </x:c>
      <x:c r="G1752" s="12" t="n">
        <x:v>3657.1259</x:v>
      </x:c>
      <x:c r="H1752" s="12" t="n">
        <x:v>10.4224</x:v>
      </x:c>
      <x:c r="I1752" s="12" t="n">
        <x:v>0.285</x:v>
      </x:c>
      <x:c r="J1752" s="12" t="n">
        <x:v>0.0028458349817270063</x:v>
      </x:c>
      <x:c r="K1752" s="12" t="n">
        <x:v>102091587</x:v>
      </x:c>
      <x:c r="L1752" s="12" t="n">
        <x:v>187667554.127</x:v>
      </x:c>
      <x:c r="M1752" s="12" t="str">
        <x:v>TuShare index_daily</x:v>
      </x:c>
    </x:row>
    <x:row r="1753" ht="18" customHeight="1">
      <x:c r="A1753" s="13" t="n">
        <x:v>45211</x:v>
      </x:c>
      <x:c r="B1753" s="12" t="str">
        <x:v>000300.SH</x:v>
      </x:c>
      <x:c r="C1753" s="12" t="n">
        <x:v>3697.9337</x:v>
      </x:c>
      <x:c r="D1753" s="12" t="n">
        <x:v>3711.4985</x:v>
      </x:c>
      <x:c r="E1753" s="12" t="n">
        <x:v>3682.8418</x:v>
      </x:c>
      <x:c r="F1753" s="12" t="n">
        <x:v>3702.3824</x:v>
      </x:c>
      <x:c r="G1753" s="12" t="n">
        <x:v>3667.5483</x:v>
      </x:c>
      <x:c r="H1753" s="12" t="n">
        <x:v>34.8341</x:v>
      </x:c>
      <x:c r="I1753" s="12" t="n">
        <x:v>0.9498</x:v>
      </x:c>
      <x:c r="J1753" s="12" t="n">
        <x:v>0.009453103650197869</x:v>
      </x:c>
      <x:c r="K1753" s="12" t="n">
        <x:v>114363225</x:v>
      </x:c>
      <x:c r="L1753" s="12" t="n">
        <x:v>194598219.817</x:v>
      </x:c>
      <x:c r="M1753" s="12" t="str">
        <x:v>TuShare index_daily</x:v>
      </x:c>
    </x:row>
    <x:row r="1754" ht="18" customHeight="1">
      <x:c r="A1754" s="13" t="n">
        <x:v>45212</x:v>
      </x:c>
      <x:c r="B1754" s="12" t="str">
        <x:v>000300.SH</x:v>
      </x:c>
      <x:c r="C1754" s="12" t="n">
        <x:v>3677.9585</x:v>
      </x:c>
      <x:c r="D1754" s="12" t="n">
        <x:v>3678.1913</x:v>
      </x:c>
      <x:c r="E1754" s="12" t="n">
        <x:v>3652.3094</x:v>
      </x:c>
      <x:c r="F1754" s="12" t="n">
        <x:v>3663.4104</x:v>
      </x:c>
      <x:c r="G1754" s="12" t="n">
        <x:v>3702.3824</x:v>
      </x:c>
      <x:c r="H1754" s="12" t="n">
        <x:v>-38.972</x:v>
      </x:c>
      <x:c r="I1754" s="12" t="n">
        <x:v>-1.0526</x:v>
      </x:c>
      <x:c r="J1754" s="12" t="n">
        <x:v>-0.010581987499846852</x:v>
      </x:c>
      <x:c r="K1754" s="12" t="n">
        <x:v>98287987</x:v>
      </x:c>
      <x:c r="L1754" s="12" t="n">
        <x:v>170152309.003</x:v>
      </x:c>
      <x:c r="M1754" s="12" t="str">
        <x:v>TuShare index_daily</x:v>
      </x:c>
    </x:row>
    <x:row r="1755" ht="18" customHeight="1">
      <x:c r="A1755" s="13" t="n">
        <x:v>45215</x:v>
      </x:c>
      <x:c r="B1755" s="12" t="str">
        <x:v>000300.SH</x:v>
      </x:c>
      <x:c r="C1755" s="12" t="n">
        <x:v>3664.039</x:v>
      </x:c>
      <x:c r="D1755" s="12" t="n">
        <x:v>3664.039</x:v>
      </x:c>
      <x:c r="E1755" s="12" t="n">
        <x:v>3615.7686</x:v>
      </x:c>
      <x:c r="F1755" s="12" t="n">
        <x:v>3626.5972</x:v>
      </x:c>
      <x:c r="G1755" s="12" t="n">
        <x:v>3663.4104</x:v>
      </x:c>
      <x:c r="H1755" s="12" t="n">
        <x:v>-36.8132</x:v>
      </x:c>
      <x:c r="I1755" s="12" t="n">
        <x:v>-1.0049</x:v>
      </x:c>
      <x:c r="J1755" s="12" t="n">
        <x:v>-0.01009971866830757</x:v>
      </x:c>
      <x:c r="K1755" s="12" t="n">
        <x:v>91853118</x:v>
      </x:c>
      <x:c r="L1755" s="12" t="n">
        <x:v>159537973.598</x:v>
      </x:c>
      <x:c r="M1755" s="12" t="str">
        <x:v>TuShare index_daily</x:v>
      </x:c>
    </x:row>
    <x:row r="1756" ht="18" customHeight="1">
      <x:c r="A1756" s="13" t="n">
        <x:v>45216</x:v>
      </x:c>
      <x:c r="B1756" s="12" t="str">
        <x:v>000300.SH</x:v>
      </x:c>
      <x:c r="C1756" s="12" t="n">
        <x:v>3635.2994</x:v>
      </x:c>
      <x:c r="D1756" s="12" t="n">
        <x:v>3645.5654</x:v>
      </x:c>
      <x:c r="E1756" s="12" t="n">
        <x:v>3619.1277</x:v>
      </x:c>
      <x:c r="F1756" s="12" t="n">
        <x:v>3639.4018</x:v>
      </x:c>
      <x:c r="G1756" s="12" t="n">
        <x:v>3626.5972</x:v>
      </x:c>
      <x:c r="H1756" s="12" t="n">
        <x:v>12.8046</x:v>
      </x:c>
      <x:c r="I1756" s="12" t="n">
        <x:v>0.3531</x:v>
      </x:c>
      <x:c r="J1756" s="12" t="n">
        <x:v>0.0035245293194285997</x:v>
      </x:c>
      <x:c r="K1756" s="12" t="n">
        <x:v>90745188</x:v>
      </x:c>
      <x:c r="L1756" s="12" t="n">
        <x:v>147056233.347</x:v>
      </x:c>
      <x:c r="M1756" s="12" t="str">
        <x:v>TuShare index_daily</x:v>
      </x:c>
    </x:row>
    <x:row r="1757" ht="18" customHeight="1">
      <x:c r="A1757" s="13" t="n">
        <x:v>45217</x:v>
      </x:c>
      <x:c r="B1757" s="12" t="str">
        <x:v>000300.SH</x:v>
      </x:c>
      <x:c r="C1757" s="12" t="n">
        <x:v>3631.0671</x:v>
      </x:c>
      <x:c r="D1757" s="12" t="n">
        <x:v>3632.0579</x:v>
      </x:c>
      <x:c r="E1757" s="12" t="n">
        <x:v>3608.9768</x:v>
      </x:c>
      <x:c r="F1757" s="12" t="n">
        <x:v>3610.5767</x:v>
      </x:c>
      <x:c r="G1757" s="12" t="n">
        <x:v>3639.4018</x:v>
      </x:c>
      <x:c r="H1757" s="12" t="n">
        <x:v>-28.8251</x:v>
      </x:c>
      <x:c r="I1757" s="12" t="n">
        <x:v>-0.792</x:v>
      </x:c>
      <x:c r="J1757" s="12" t="n">
        <x:v>-0.007951817205375517</x:v>
      </x:c>
      <x:c r="K1757" s="12" t="n">
        <x:v>94545879</x:v>
      </x:c>
      <x:c r="L1757" s="12" t="n">
        <x:v>158982356.667</x:v>
      </x:c>
      <x:c r="M1757" s="12" t="str">
        <x:v>TuShare index_daily</x:v>
      </x:c>
    </x:row>
    <x:row r="1758" ht="18" customHeight="1">
      <x:c r="A1758" s="13" t="n">
        <x:v>45218</x:v>
      </x:c>
      <x:c r="B1758" s="12" t="str">
        <x:v>000300.SH</x:v>
      </x:c>
      <x:c r="C1758" s="12" t="n">
        <x:v>3588.5154</x:v>
      </x:c>
      <x:c r="D1758" s="12" t="n">
        <x:v>3588.5154</x:v>
      </x:c>
      <x:c r="E1758" s="12" t="n">
        <x:v>3532.3059</x:v>
      </x:c>
      <x:c r="F1758" s="12" t="n">
        <x:v>3533.5445</x:v>
      </x:c>
      <x:c r="G1758" s="12" t="n">
        <x:v>3610.5767</x:v>
      </x:c>
      <x:c r="H1758" s="12" t="n">
        <x:v>-77.0322</x:v>
      </x:c>
      <x:c r="I1758" s="12" t="n">
        <x:v>-2.1335</x:v>
      </x:c>
      <x:c r="J1758" s="12" t="n">
        <x:v>-0.021566035463477812</x:v>
      </x:c>
      <x:c r="K1758" s="12" t="n">
        <x:v>111737520</x:v>
      </x:c>
      <x:c r="L1758" s="12" t="n">
        <x:v>189194781.844</x:v>
      </x:c>
      <x:c r="M1758" s="12" t="str">
        <x:v>TuShare index_daily</x:v>
      </x:c>
    </x:row>
    <x:row r="1759" ht="18" customHeight="1">
      <x:c r="A1759" s="13" t="n">
        <x:v>45219</x:v>
      </x:c>
      <x:c r="B1759" s="12" t="str">
        <x:v>000300.SH</x:v>
      </x:c>
      <x:c r="C1759" s="12" t="n">
        <x:v>3518.3464</x:v>
      </x:c>
      <x:c r="D1759" s="12" t="n">
        <x:v>3535.6623</x:v>
      </x:c>
      <x:c r="E1759" s="12" t="n">
        <x:v>3501.725</x:v>
      </x:c>
      <x:c r="F1759" s="12" t="n">
        <x:v>3510.5889</x:v>
      </x:c>
      <x:c r="G1759" s="12" t="n">
        <x:v>3533.5445</x:v>
      </x:c>
      <x:c r="H1759" s="12" t="n">
        <x:v>-22.9556</x:v>
      </x:c>
      <x:c r="I1759" s="12" t="n">
        <x:v>-0.6496</x:v>
      </x:c>
      <x:c r="J1759" s="12" t="n">
        <x:v>-0.006517673632614436</x:v>
      </x:c>
      <x:c r="K1759" s="12" t="n">
        <x:v>98518605</x:v>
      </x:c>
      <x:c r="L1759" s="12" t="n">
        <x:v>169591289.145</x:v>
      </x:c>
      <x:c r="M1759" s="12" t="str">
        <x:v>TuShare index_daily</x:v>
      </x:c>
    </x:row>
    <x:row r="1760" ht="18" customHeight="1">
      <x:c r="A1760" s="13" t="n">
        <x:v>45222</x:v>
      </x:c>
      <x:c r="B1760" s="12" t="str">
        <x:v>000300.SH</x:v>
      </x:c>
      <x:c r="C1760" s="12" t="n">
        <x:v>3500.199</x:v>
      </x:c>
      <x:c r="D1760" s="12" t="n">
        <x:v>3505.3468</x:v>
      </x:c>
      <x:c r="E1760" s="12" t="n">
        <x:v>3450.6456</x:v>
      </x:c>
      <x:c r="F1760" s="12" t="n">
        <x:v>3474.2438</x:v>
      </x:c>
      <x:c r="G1760" s="12" t="n">
        <x:v>3510.5889</x:v>
      </x:c>
      <x:c r="H1760" s="12" t="n">
        <x:v>-36.3451</x:v>
      </x:c>
      <x:c r="I1760" s="12" t="n">
        <x:v>-1.0353</x:v>
      </x:c>
      <x:c r="J1760" s="12" t="n">
        <x:v>-0.010406957357291196</x:v>
      </x:c>
      <x:c r="K1760" s="12" t="n">
        <x:v>96561652</x:v>
      </x:c>
      <x:c r="L1760" s="12" t="n">
        <x:v>152054894.179</x:v>
      </x:c>
      <x:c r="M1760" s="12" t="str">
        <x:v>TuShare index_daily</x:v>
      </x:c>
    </x:row>
    <x:row r="1761" ht="18" customHeight="1">
      <x:c r="A1761" s="13" t="n">
        <x:v>45223</x:v>
      </x:c>
      <x:c r="B1761" s="12" t="str">
        <x:v>000300.SH</x:v>
      </x:c>
      <x:c r="C1761" s="12" t="n">
        <x:v>3481.7644</x:v>
      </x:c>
      <x:c r="D1761" s="12" t="n">
        <x:v>3495.0039</x:v>
      </x:c>
      <x:c r="E1761" s="12" t="n">
        <x:v>3453.1016</x:v>
      </x:c>
      <x:c r="F1761" s="12" t="n">
        <x:v>3487.1302</x:v>
      </x:c>
      <x:c r="G1761" s="12" t="n">
        <x:v>3474.2438</x:v>
      </x:c>
      <x:c r="H1761" s="12" t="n">
        <x:v>12.8864</x:v>
      </x:c>
      <x:c r="I1761" s="12" t="n">
        <x:v>0.3709</x:v>
      </x:c>
      <x:c r="J1761" s="12" t="n">
        <x:v>0.003702261857848989</x:v>
      </x:c>
      <x:c r="K1761" s="12" t="n">
        <x:v>115547289</x:v>
      </x:c>
      <x:c r="L1761" s="12" t="n">
        <x:v>186529203.442</x:v>
      </x:c>
      <x:c r="M1761" s="12" t="str">
        <x:v>TuShare index_daily</x:v>
      </x:c>
    </x:row>
    <x:row r="1762" ht="18" customHeight="1">
      <x:c r="A1762" s="13" t="n">
        <x:v>45224</x:v>
      </x:c>
      <x:c r="B1762" s="12" t="str">
        <x:v>000300.SH</x:v>
      </x:c>
      <x:c r="C1762" s="12" t="n">
        <x:v>3524.2965</x:v>
      </x:c>
      <x:c r="D1762" s="12" t="n">
        <x:v>3531.8314</x:v>
      </x:c>
      <x:c r="E1762" s="12" t="n">
        <x:v>3500.9154</x:v>
      </x:c>
      <x:c r="F1762" s="12" t="n">
        <x:v>3504.4576</x:v>
      </x:c>
      <x:c r="G1762" s="12" t="n">
        <x:v>3487.1302</x:v>
      </x:c>
      <x:c r="H1762" s="12" t="n">
        <x:v>17.3274</x:v>
      </x:c>
      <x:c r="I1762" s="12" t="n">
        <x:v>0.4969</x:v>
      </x:c>
      <x:c r="J1762" s="12" t="n">
        <x:v>0.004956652471855501</x:v>
      </x:c>
      <x:c r="K1762" s="12" t="n">
        <x:v>128009617</x:v>
      </x:c>
      <x:c r="L1762" s="12" t="n">
        <x:v>203691741.119</x:v>
      </x:c>
      <x:c r="M1762" s="12" t="str">
        <x:v>TuShare index_daily</x:v>
      </x:c>
    </x:row>
    <x:row r="1763" ht="18" customHeight="1">
      <x:c r="A1763" s="13" t="n">
        <x:v>45225</x:v>
      </x:c>
      <x:c r="B1763" s="12" t="str">
        <x:v>000300.SH</x:v>
      </x:c>
      <x:c r="C1763" s="12" t="n">
        <x:v>3484.7807</x:v>
      </x:c>
      <x:c r="D1763" s="12" t="n">
        <x:v>3515.5716</x:v>
      </x:c>
      <x:c r="E1763" s="12" t="n">
        <x:v>3478.0503</x:v>
      </x:c>
      <x:c r="F1763" s="12" t="n">
        <x:v>3514.1448</x:v>
      </x:c>
      <x:c r="G1763" s="12" t="n">
        <x:v>3504.4576</x:v>
      </x:c>
      <x:c r="H1763" s="12" t="n">
        <x:v>9.6872</x:v>
      </x:c>
      <x:c r="I1763" s="12" t="n">
        <x:v>0.2764</x:v>
      </x:c>
      <x:c r="J1763" s="12" t="n">
        <x:v>0.0027604373632512803</x:v>
      </x:c>
      <x:c r="K1763" s="12" t="n">
        <x:v>105143566</x:v>
      </x:c>
      <x:c r="L1763" s="12" t="n">
        <x:v>176088467.226</x:v>
      </x:c>
      <x:c r="M1763" s="12" t="str">
        <x:v>TuShare index_daily</x:v>
      </x:c>
    </x:row>
    <x:row r="1764" ht="18" customHeight="1">
      <x:c r="A1764" s="13" t="n">
        <x:v>45226</x:v>
      </x:c>
      <x:c r="B1764" s="12" t="str">
        <x:v>000300.SH</x:v>
      </x:c>
      <x:c r="C1764" s="12" t="n">
        <x:v>3501.171</x:v>
      </x:c>
      <x:c r="D1764" s="12" t="n">
        <x:v>3576.5861</x:v>
      </x:c>
      <x:c r="E1764" s="12" t="n">
        <x:v>3494.5488</x:v>
      </x:c>
      <x:c r="F1764" s="12" t="n">
        <x:v>3562.3851</x:v>
      </x:c>
      <x:c r="G1764" s="12" t="n">
        <x:v>3514.1448</x:v>
      </x:c>
      <x:c r="H1764" s="12" t="n">
        <x:v>48.2403</x:v>
      </x:c>
      <x:c r="I1764" s="12" t="n">
        <x:v>1.3727</x:v>
      </x:c>
      <x:c r="J1764" s="12" t="n">
        <x:v>0.013634096924963092</x:v>
      </x:c>
      <x:c r="K1764" s="12" t="n">
        <x:v>120225108</x:v>
      </x:c>
      <x:c r="L1764" s="12" t="n">
        <x:v>224301960.437</x:v>
      </x:c>
      <x:c r="M1764" s="12" t="str">
        <x:v>TuShare index_daily</x:v>
      </x:c>
    </x:row>
    <x:row r="1765" ht="18" customHeight="1">
      <x:c r="A1765" s="13" t="n">
        <x:v>45229</x:v>
      </x:c>
      <x:c r="B1765" s="12" t="str">
        <x:v>000300.SH</x:v>
      </x:c>
      <x:c r="C1765" s="12" t="n">
        <x:v>3554.1055</x:v>
      </x:c>
      <x:c r="D1765" s="12" t="n">
        <x:v>3592.7188</x:v>
      </x:c>
      <x:c r="E1765" s="12" t="n">
        <x:v>3554.0238</x:v>
      </x:c>
      <x:c r="F1765" s="12" t="n">
        <x:v>3583.7718</x:v>
      </x:c>
      <x:c r="G1765" s="12" t="n">
        <x:v>3562.3851</x:v>
      </x:c>
      <x:c r="H1765" s="12" t="n">
        <x:v>21.3867</x:v>
      </x:c>
      <x:c r="I1765" s="12" t="n">
        <x:v>0.6003</x:v>
      </x:c>
      <x:c r="J1765" s="12" t="n">
        <x:v>0.005985528767481468</x:v>
      </x:c>
      <x:c r="K1765" s="12" t="n">
        <x:v>144010426</x:v>
      </x:c>
      <x:c r="L1765" s="12" t="n">
        <x:v>242973328.094</x:v>
      </x:c>
      <x:c r="M1765" s="12" t="str">
        <x:v>TuShare index_daily</x:v>
      </x:c>
    </x:row>
    <x:row r="1766" ht="18" customHeight="1">
      <x:c r="A1766" s="13" t="n">
        <x:v>45230</x:v>
      </x:c>
      <x:c r="B1766" s="12" t="str">
        <x:v>000300.SH</x:v>
      </x:c>
      <x:c r="C1766" s="12" t="n">
        <x:v>3581.6759</x:v>
      </x:c>
      <x:c r="D1766" s="12" t="n">
        <x:v>3581.6759</x:v>
      </x:c>
      <x:c r="E1766" s="12" t="n">
        <x:v>3554.5822</x:v>
      </x:c>
      <x:c r="F1766" s="12" t="n">
        <x:v>3572.5056</x:v>
      </x:c>
      <x:c r="G1766" s="12" t="n">
        <x:v>3583.7718</x:v>
      </x:c>
      <x:c r="H1766" s="12" t="n">
        <x:v>-11.2662</x:v>
      </x:c>
      <x:c r="I1766" s="12" t="n">
        <x:v>-0.3144</x:v>
      </x:c>
      <x:c r="J1766" s="12" t="n">
        <x:v>-0.003148622860146272</x:v>
      </x:c>
      <x:c r="K1766" s="12" t="n">
        <x:v>112587267</x:v>
      </x:c>
      <x:c r="L1766" s="12" t="n">
        <x:v>196317658.324</x:v>
      </x:c>
      <x:c r="M1766" s="12" t="str">
        <x:v>TuShare index_daily</x:v>
      </x:c>
    </x:row>
    <x:row r="1767" ht="18" customHeight="1">
      <x:c r="A1767" s="13" t="n">
        <x:v>45231</x:v>
      </x:c>
      <x:c r="B1767" s="12" t="str">
        <x:v>000300.SH</x:v>
      </x:c>
      <x:c r="C1767" s="12" t="n">
        <x:v>3605.7576</x:v>
      </x:c>
      <x:c r="D1767" s="12" t="n">
        <x:v>3606.4126</x:v>
      </x:c>
      <x:c r="E1767" s="12" t="n">
        <x:v>3564.6421</x:v>
      </x:c>
      <x:c r="F1767" s="12" t="n">
        <x:v>3571.0268</x:v>
      </x:c>
      <x:c r="G1767" s="12" t="n">
        <x:v>3572.5056</x:v>
      </x:c>
      <x:c r="H1767" s="12" t="n">
        <x:v>-1.4788</x:v>
      </x:c>
      <x:c r="I1767" s="12" t="n">
        <x:v>-0.0414</x:v>
      </x:c>
      <x:c r="J1767" s="12" t="n">
        <x:v>-0.0004140248656600958</x:v>
      </x:c>
      <x:c r="K1767" s="12" t="n">
        <x:v>97645538</x:v>
      </x:c>
      <x:c r="L1767" s="12" t="n">
        <x:v>182943566.435</x:v>
      </x:c>
      <x:c r="M1767" s="12" t="str">
        <x:v>TuShare index_daily</x:v>
      </x:c>
    </x:row>
    <x:row r="1768" ht="18" customHeight="1">
      <x:c r="A1768" s="13" t="n">
        <x:v>45232</x:v>
      </x:c>
      <x:c r="B1768" s="12" t="str">
        <x:v>000300.SH</x:v>
      </x:c>
      <x:c r="C1768" s="12" t="n">
        <x:v>3580.0672</x:v>
      </x:c>
      <x:c r="D1768" s="12" t="n">
        <x:v>3597.1699</x:v>
      </x:c>
      <x:c r="E1768" s="12" t="n">
        <x:v>3553.7406</x:v>
      </x:c>
      <x:c r="F1768" s="12" t="n">
        <x:v>3554.1889</x:v>
      </x:c>
      <x:c r="G1768" s="12" t="n">
        <x:v>3571.0268</x:v>
      </x:c>
      <x:c r="H1768" s="12" t="n">
        <x:v>-16.8379</x:v>
      </x:c>
      <x:c r="I1768" s="12" t="n">
        <x:v>-0.4715</x:v>
      </x:c>
      <x:c r="J1768" s="12" t="n">
        <x:v>-0.004726293786034514</x:v>
      </x:c>
      <x:c r="K1768" s="12" t="n">
        <x:v>90359643</x:v>
      </x:c>
      <x:c r="L1768" s="12" t="n">
        <x:v>149465055.434</x:v>
      </x:c>
      <x:c r="M1768" s="12" t="str">
        <x:v>TuShare index_daily</x:v>
      </x:c>
    </x:row>
    <x:row r="1769" ht="18" customHeight="1">
      <x:c r="A1769" s="13" t="n">
        <x:v>45233</x:v>
      </x:c>
      <x:c r="B1769" s="12" t="str">
        <x:v>000300.SH</x:v>
      </x:c>
      <x:c r="C1769" s="12" t="n">
        <x:v>3558.5303</x:v>
      </x:c>
      <x:c r="D1769" s="12" t="n">
        <x:v>3596.101</x:v>
      </x:c>
      <x:c r="E1769" s="12" t="n">
        <x:v>3558.5303</x:v>
      </x:c>
      <x:c r="F1769" s="12" t="n">
        <x:v>3584.1364</x:v>
      </x:c>
      <x:c r="G1769" s="12" t="n">
        <x:v>3554.1889</x:v>
      </x:c>
      <x:c r="H1769" s="12" t="n">
        <x:v>29.9475</x:v>
      </x:c>
      <x:c r="I1769" s="12" t="n">
        <x:v>0.8426</x:v>
      </x:c>
      <x:c r="J1769" s="12" t="n">
        <x:v>0.008390672725506256</x:v>
      </x:c>
      <x:c r="K1769" s="12" t="n">
        <x:v>97542101</x:v>
      </x:c>
      <x:c r="L1769" s="12" t="n">
        <x:v>165865989.2</x:v>
      </x:c>
      <x:c r="M1769" s="12" t="str">
        <x:v>TuShare index_daily</x:v>
      </x:c>
    </x:row>
    <x:row r="1770" ht="18" customHeight="1">
      <x:c r="A1770" s="13" t="n">
        <x:v>45236</x:v>
      </x:c>
      <x:c r="B1770" s="12" t="str">
        <x:v>000300.SH</x:v>
      </x:c>
      <x:c r="C1770" s="12" t="n">
        <x:v>3608.3187</x:v>
      </x:c>
      <x:c r="D1770" s="12" t="n">
        <x:v>3635.7897</x:v>
      </x:c>
      <x:c r="E1770" s="12" t="n">
        <x:v>3600.6304</x:v>
      </x:c>
      <x:c r="F1770" s="12" t="n">
        <x:v>3632.6084</x:v>
      </x:c>
      <x:c r="G1770" s="12" t="n">
        <x:v>3584.1364</x:v>
      </x:c>
      <x:c r="H1770" s="12" t="n">
        <x:v>48.472</x:v>
      </x:c>
      <x:c r="I1770" s="12" t="n">
        <x:v>1.3524</x:v>
      </x:c>
      <x:c r="J1770" s="12" t="n">
        <x:v>0.01343340529964992</x:v>
      </x:c>
      <x:c r="K1770" s="12" t="n">
        <x:v>152982463</x:v>
      </x:c>
      <x:c r="L1770" s="12" t="n">
        <x:v>254465948.11</x:v>
      </x:c>
      <x:c r="M1770" s="12" t="str">
        <x:v>TuShare index_daily</x:v>
      </x:c>
    </x:row>
    <x:row r="1771" ht="18" customHeight="1">
      <x:c r="A1771" s="13" t="n">
        <x:v>45237</x:v>
      </x:c>
      <x:c r="B1771" s="12" t="str">
        <x:v>000300.SH</x:v>
      </x:c>
      <x:c r="C1771" s="12" t="n">
        <x:v>3623.7849</x:v>
      </x:c>
      <x:c r="D1771" s="12" t="n">
        <x:v>3628.4615</x:v>
      </x:c>
      <x:c r="E1771" s="12" t="n">
        <x:v>3606.2975</x:v>
      </x:c>
      <x:c r="F1771" s="12" t="n">
        <x:v>3619.7593</x:v>
      </x:c>
      <x:c r="G1771" s="12" t="n">
        <x:v>3632.6084</x:v>
      </x:c>
      <x:c r="H1771" s="12" t="n">
        <x:v>-12.8491</x:v>
      </x:c>
      <x:c r="I1771" s="12" t="n">
        <x:v>-0.3537</x:v>
      </x:c>
      <x:c r="J1771" s="12" t="n">
        <x:v>-0.003543425809558976</x:v>
      </x:c>
      <x:c r="K1771" s="12" t="n">
        <x:v>110288591</x:v>
      </x:c>
      <x:c r="L1771" s="12" t="n">
        <x:v>190433605.311</x:v>
      </x:c>
      <x:c r="M1771" s="12" t="str">
        <x:v>TuShare index_daily</x:v>
      </x:c>
    </x:row>
    <x:row r="1772" ht="18" customHeight="1">
      <x:c r="A1772" s="13" t="n">
        <x:v>45238</x:v>
      </x:c>
      <x:c r="B1772" s="12" t="str">
        <x:v>000300.SH</x:v>
      </x:c>
      <x:c r="C1772" s="12" t="n">
        <x:v>3610.6434</x:v>
      </x:c>
      <x:c r="D1772" s="12" t="n">
        <x:v>3627.0479</x:v>
      </x:c>
      <x:c r="E1772" s="12" t="n">
        <x:v>3591.8248</x:v>
      </x:c>
      <x:c r="F1772" s="12" t="n">
        <x:v>3611.0723</x:v>
      </x:c>
      <x:c r="G1772" s="12" t="n">
        <x:v>3619.7593</x:v>
      </x:c>
      <x:c r="H1772" s="12" t="n">
        <x:v>-8.687</x:v>
      </x:c>
      <x:c r="I1772" s="12" t="n">
        <x:v>-0.24</x:v>
      </x:c>
      <x:c r="J1772" s="12" t="n">
        <x:v>-0.002402767664892778</x:v>
      </x:c>
      <x:c r="K1772" s="12" t="n">
        <x:v>110594230</x:v>
      </x:c>
      <x:c r="L1772" s="12" t="n">
        <x:v>192594372.353</x:v>
      </x:c>
      <x:c r="M1772" s="12" t="str">
        <x:v>TuShare index_daily</x:v>
      </x:c>
    </x:row>
    <x:row r="1773" ht="18" customHeight="1">
      <x:c r="A1773" s="13" t="n">
        <x:v>45239</x:v>
      </x:c>
      <x:c r="B1773" s="12" t="str">
        <x:v>000300.SH</x:v>
      </x:c>
      <x:c r="C1773" s="12" t="n">
        <x:v>3603.1082</x:v>
      </x:c>
      <x:c r="D1773" s="12" t="n">
        <x:v>3624.4141</x:v>
      </x:c>
      <x:c r="E1773" s="12" t="n">
        <x:v>3601.3744</x:v>
      </x:c>
      <x:c r="F1773" s="12" t="n">
        <x:v>3612.8263</x:v>
      </x:c>
      <x:c r="G1773" s="12" t="n">
        <x:v>3611.0723</x:v>
      </x:c>
      <x:c r="H1773" s="12" t="n">
        <x:v>1.754</x:v>
      </x:c>
      <x:c r="I1773" s="12" t="n">
        <x:v>0.0486</x:v>
      </x:c>
      <x:c r="J1773" s="12" t="n">
        <x:v>0.00048561036957762407</x:v>
      </x:c>
      <x:c r="K1773" s="12" t="n">
        <x:v>111872057</x:v>
      </x:c>
      <x:c r="L1773" s="12" t="n">
        <x:v>189355228.592</x:v>
      </x:c>
      <x:c r="M1773" s="12" t="str">
        <x:v>TuShare index_daily</x:v>
      </x:c>
    </x:row>
    <x:row r="1774" ht="18" customHeight="1">
      <x:c r="A1774" s="13" t="n">
        <x:v>45240</x:v>
      </x:c>
      <x:c r="B1774" s="12" t="str">
        <x:v>000300.SH</x:v>
      </x:c>
      <x:c r="C1774" s="12" t="n">
        <x:v>3596.0688</x:v>
      </x:c>
      <x:c r="D1774" s="12" t="n">
        <x:v>3599.4519</x:v>
      </x:c>
      <x:c r="E1774" s="12" t="n">
        <x:v>3576.1011</x:v>
      </x:c>
      <x:c r="F1774" s="12" t="n">
        <x:v>3586.4893</x:v>
      </x:c>
      <x:c r="G1774" s="12" t="n">
        <x:v>3612.8263</x:v>
      </x:c>
      <x:c r="H1774" s="12" t="n">
        <x:v>-26.337</x:v>
      </x:c>
      <x:c r="I1774" s="12" t="n">
        <x:v>-0.729</x:v>
      </x:c>
      <x:c r="J1774" s="12" t="n">
        <x:v>-0.007316561449093594</x:v>
      </x:c>
      <x:c r="K1774" s="12" t="n">
        <x:v>102107034</x:v>
      </x:c>
      <x:c r="L1774" s="12" t="n">
        <x:v>166924677.328</x:v>
      </x:c>
      <x:c r="M1774" s="12" t="str">
        <x:v>TuShare index_daily</x:v>
      </x:c>
    </x:row>
    <x:row r="1775" ht="18" customHeight="1">
      <x:c r="A1775" s="13" t="n">
        <x:v>45243</x:v>
      </x:c>
      <x:c r="B1775" s="12" t="str">
        <x:v>000300.SH</x:v>
      </x:c>
      <x:c r="C1775" s="12" t="n">
        <x:v>3593.9109</x:v>
      </x:c>
      <x:c r="D1775" s="12" t="n">
        <x:v>3599.3897</x:v>
      </x:c>
      <x:c r="E1775" s="12" t="n">
        <x:v>3562.7682</x:v>
      </x:c>
      <x:c r="F1775" s="12" t="n">
        <x:v>3579.4141</x:v>
      </x:c>
      <x:c r="G1775" s="12" t="n">
        <x:v>3586.4893</x:v>
      </x:c>
      <x:c r="H1775" s="12" t="n">
        <x:v>-7.0752</x:v>
      </x:c>
      <x:c r="I1775" s="12" t="n">
        <x:v>-0.1973</x:v>
      </x:c>
      <x:c r="J1775" s="12" t="n">
        <x:v>-0.001974685368791237</x:v>
      </x:c>
      <x:c r="K1775" s="12" t="n">
        <x:v>96707649</x:v>
      </x:c>
      <x:c r="L1775" s="12" t="n">
        <x:v>164821249.625</x:v>
      </x:c>
      <x:c r="M1775" s="12" t="str">
        <x:v>TuShare index_daily</x:v>
      </x:c>
    </x:row>
    <x:row r="1776" ht="18" customHeight="1">
      <x:c r="A1776" s="13" t="n">
        <x:v>45244</x:v>
      </x:c>
      <x:c r="B1776" s="12" t="str">
        <x:v>000300.SH</x:v>
      </x:c>
      <x:c r="C1776" s="12" t="n">
        <x:v>3581.1034</x:v>
      </x:c>
      <x:c r="D1776" s="12" t="n">
        <x:v>3600.1483</x:v>
      </x:c>
      <x:c r="E1776" s="12" t="n">
        <x:v>3568.882</x:v>
      </x:c>
      <x:c r="F1776" s="12" t="n">
        <x:v>3582.0584</x:v>
      </x:c>
      <x:c r="G1776" s="12" t="n">
        <x:v>3579.4141</x:v>
      </x:c>
      <x:c r="H1776" s="12" t="n">
        <x:v>2.6443</x:v>
      </x:c>
      <x:c r="I1776" s="12" t="n">
        <x:v>0.0739</x:v>
      </x:c>
      <x:c r="J1776" s="12" t="n">
        <x:v>0.0007384794454416723</x:v>
      </x:c>
      <x:c r="K1776" s="12" t="n">
        <x:v>100884158</x:v>
      </x:c>
      <x:c r="L1776" s="12" t="n">
        <x:v>165935163.426</x:v>
      </x:c>
      <x:c r="M1776" s="12" t="str">
        <x:v>TuShare index_daily</x:v>
      </x:c>
    </x:row>
    <x:row r="1777" ht="18" customHeight="1">
      <x:c r="A1777" s="13" t="n">
        <x:v>45245</x:v>
      </x:c>
      <x:c r="B1777" s="12" t="str">
        <x:v>000300.SH</x:v>
      </x:c>
      <x:c r="C1777" s="12" t="n">
        <x:v>3616.8765</x:v>
      </x:c>
      <x:c r="D1777" s="12" t="n">
        <x:v>3620.6007</x:v>
      </x:c>
      <x:c r="E1777" s="12" t="n">
        <x:v>3596.9158</x:v>
      </x:c>
      <x:c r="F1777" s="12" t="n">
        <x:v>3607.2454</x:v>
      </x:c>
      <x:c r="G1777" s="12" t="n">
        <x:v>3582.0584</x:v>
      </x:c>
      <x:c r="H1777" s="12" t="n">
        <x:v>25.187</x:v>
      </x:c>
      <x:c r="I1777" s="12" t="n">
        <x:v>0.7031</x:v>
      </x:c>
      <x:c r="J1777" s="12" t="n">
        <x:v>0.007006826738225458</x:v>
      </x:c>
      <x:c r="K1777" s="12" t="n">
        <x:v>104929218</x:v>
      </x:c>
      <x:c r="L1777" s="12" t="n">
        <x:v>188932150.501</x:v>
      </x:c>
      <x:c r="M1777" s="12" t="str">
        <x:v>TuShare index_daily</x:v>
      </x:c>
    </x:row>
    <x:row r="1778" ht="18" customHeight="1">
      <x:c r="A1778" s="13" t="n">
        <x:v>45246</x:v>
      </x:c>
      <x:c r="B1778" s="12" t="str">
        <x:v>000300.SH</x:v>
      </x:c>
      <x:c r="C1778" s="12" t="n">
        <x:v>3600.9813</x:v>
      </x:c>
      <x:c r="D1778" s="12" t="n">
        <x:v>3605.2898</x:v>
      </x:c>
      <x:c r="E1778" s="12" t="n">
        <x:v>3572.3636</x:v>
      </x:c>
      <x:c r="F1778" s="12" t="n">
        <x:v>3572.3641</x:v>
      </x:c>
      <x:c r="G1778" s="12" t="n">
        <x:v>3607.2454</x:v>
      </x:c>
      <x:c r="H1778" s="12" t="n">
        <x:v>-34.8813</x:v>
      </x:c>
      <x:c r="I1778" s="12" t="n">
        <x:v>-0.967</x:v>
      </x:c>
      <x:c r="J1778" s="12" t="n">
        <x:v>-0.009716844474267466</x:v>
      </x:c>
      <x:c r="K1778" s="12" t="n">
        <x:v>87464780</x:v>
      </x:c>
      <x:c r="L1778" s="12" t="n">
        <x:v>146629217.158</x:v>
      </x:c>
      <x:c r="M1778" s="12" t="str">
        <x:v>TuShare index_daily</x:v>
      </x:c>
    </x:row>
    <x:row r="1779" ht="18" customHeight="1">
      <x:c r="A1779" s="13" t="n">
        <x:v>45247</x:v>
      </x:c>
      <x:c r="B1779" s="12" t="str">
        <x:v>000300.SH</x:v>
      </x:c>
      <x:c r="C1779" s="12" t="n">
        <x:v>3561.3112</x:v>
      </x:c>
      <x:c r="D1779" s="12" t="n">
        <x:v>3573.6819</x:v>
      </x:c>
      <x:c r="E1779" s="12" t="n">
        <x:v>3547.0287</x:v>
      </x:c>
      <x:c r="F1779" s="12" t="n">
        <x:v>3568.0685</x:v>
      </x:c>
      <x:c r="G1779" s="12" t="n">
        <x:v>3572.3641</x:v>
      </x:c>
      <x:c r="H1779" s="12" t="n">
        <x:v>-4.2956</x:v>
      </x:c>
      <x:c r="I1779" s="12" t="n">
        <x:v>-0.1202</x:v>
      </x:c>
      <x:c r="J1779" s="12" t="n">
        <x:v>-0.0012031765465315332</x:v>
      </x:c>
      <x:c r="K1779" s="12" t="n">
        <x:v>87319207</x:v>
      </x:c>
      <x:c r="L1779" s="12" t="n">
        <x:v>139621898.705</x:v>
      </x:c>
      <x:c r="M1779" s="12" t="str">
        <x:v>TuShare index_daily</x:v>
      </x:c>
    </x:row>
    <x:row r="1780" ht="18" customHeight="1">
      <x:c r="A1780" s="13" t="n">
        <x:v>45250</x:v>
      </x:c>
      <x:c r="B1780" s="12" t="str">
        <x:v>000300.SH</x:v>
      </x:c>
      <x:c r="C1780" s="12" t="n">
        <x:v>3569.7314</x:v>
      </x:c>
      <x:c r="D1780" s="12" t="n">
        <x:v>3586.9731</x:v>
      </x:c>
      <x:c r="E1780" s="12" t="n">
        <x:v>3545.1038</x:v>
      </x:c>
      <x:c r="F1780" s="12" t="n">
        <x:v>3576.3233</x:v>
      </x:c>
      <x:c r="G1780" s="12" t="n">
        <x:v>3568.0685</x:v>
      </x:c>
      <x:c r="H1780" s="12" t="n">
        <x:v>8.2548</x:v>
      </x:c>
      <x:c r="I1780" s="12" t="n">
        <x:v>0.2314</x:v>
      </x:c>
      <x:c r="J1780" s="12" t="n">
        <x:v>0.0023108485381220117</x:v>
      </x:c>
      <x:c r="K1780" s="12" t="n">
        <x:v>91080445</x:v>
      </x:c>
      <x:c r="L1780" s="12" t="n">
        <x:v>157449634.694</x:v>
      </x:c>
      <x:c r="M1780" s="12" t="str">
        <x:v>TuShare index_daily</x:v>
      </x:c>
    </x:row>
    <x:row r="1781" ht="18" customHeight="1">
      <x:c r="A1781" s="13" t="n">
        <x:v>45251</x:v>
      </x:c>
      <x:c r="B1781" s="12" t="str">
        <x:v>000300.SH</x:v>
      </x:c>
      <x:c r="C1781" s="12" t="n">
        <x:v>3587.8779</x:v>
      </x:c>
      <x:c r="D1781" s="12" t="n">
        <x:v>3615.0569</x:v>
      </x:c>
      <x:c r="E1781" s="12" t="n">
        <x:v>3575.682</x:v>
      </x:c>
      <x:c r="F1781" s="12" t="n">
        <x:v>3581.0674</x:v>
      </x:c>
      <x:c r="G1781" s="12" t="n">
        <x:v>3576.3233</x:v>
      </x:c>
      <x:c r="H1781" s="12" t="n">
        <x:v>4.7441</x:v>
      </x:c>
      <x:c r="I1781" s="12" t="n">
        <x:v>0.1327</x:v>
      </x:c>
      <x:c r="J1781" s="12" t="n">
        <x:v>0.001325650895305748</x:v>
      </x:c>
      <x:c r="K1781" s="12" t="n">
        <x:v>108594314</x:v>
      </x:c>
      <x:c r="L1781" s="12" t="n">
        <x:v>175922105.93</x:v>
      </x:c>
      <x:c r="M1781" s="12" t="str">
        <x:v>TuShare index_daily</x:v>
      </x:c>
    </x:row>
    <x:row r="1782" ht="18" customHeight="1">
      <x:c r="A1782" s="13" t="n">
        <x:v>45252</x:v>
      </x:c>
      <x:c r="B1782" s="12" t="str">
        <x:v>000300.SH</x:v>
      </x:c>
      <x:c r="C1782" s="12" t="n">
        <x:v>3569.4389</x:v>
      </x:c>
      <x:c r="D1782" s="12" t="n">
        <x:v>3574.3782</x:v>
      </x:c>
      <x:c r="E1782" s="12" t="n">
        <x:v>3544.4162</x:v>
      </x:c>
      <x:c r="F1782" s="12" t="n">
        <x:v>3544.4162</x:v>
      </x:c>
      <x:c r="G1782" s="12" t="n">
        <x:v>3581.0674</x:v>
      </x:c>
      <x:c r="H1782" s="12" t="n">
        <x:v>-36.6512</x:v>
      </x:c>
      <x:c r="I1782" s="12" t="n">
        <x:v>-1.0235</x:v>
      </x:c>
      <x:c r="J1782" s="12" t="n">
        <x:v>-0.010287448626604224</x:v>
      </x:c>
      <x:c r="K1782" s="12" t="n">
        <x:v>84784381</x:v>
      </x:c>
      <x:c r="L1782" s="12" t="n">
        <x:v>136041195.539</x:v>
      </x:c>
      <x:c r="M1782" s="12" t="str">
        <x:v>TuShare index_daily</x:v>
      </x:c>
    </x:row>
    <x:row r="1783" ht="18" customHeight="1">
      <x:c r="A1783" s="13" t="n">
        <x:v>45253</x:v>
      </x:c>
      <x:c r="B1783" s="12" t="str">
        <x:v>000300.SH</x:v>
      </x:c>
      <x:c r="C1783" s="12" t="n">
        <x:v>3541.4416</x:v>
      </x:c>
      <x:c r="D1783" s="12" t="n">
        <x:v>3562.0675</x:v>
      </x:c>
      <x:c r="E1783" s="12" t="n">
        <x:v>3529.939</x:v>
      </x:c>
      <x:c r="F1783" s="12" t="n">
        <x:v>3561.5204</x:v>
      </x:c>
      <x:c r="G1783" s="12" t="n">
        <x:v>3544.4162</x:v>
      </x:c>
      <x:c r="H1783" s="12" t="n">
        <x:v>17.1042</x:v>
      </x:c>
      <x:c r="I1783" s="12" t="n">
        <x:v>0.4826</x:v>
      </x:c>
      <x:c r="J1783" s="12" t="n">
        <x:v>0.004814068572702551</x:v>
      </x:c>
      <x:c r="K1783" s="12" t="n">
        <x:v>84800167</x:v>
      </x:c>
      <x:c r="L1783" s="12" t="n">
        <x:v>141499811.491</x:v>
      </x:c>
      <x:c r="M1783" s="12" t="str">
        <x:v>TuShare index_daily</x:v>
      </x:c>
    </x:row>
    <x:row r="1784" ht="18" customHeight="1">
      <x:c r="A1784" s="13" t="n">
        <x:v>45254</x:v>
      </x:c>
      <x:c r="B1784" s="12" t="str">
        <x:v>000300.SH</x:v>
      </x:c>
      <x:c r="C1784" s="12" t="n">
        <x:v>3560.6462</x:v>
      </x:c>
      <x:c r="D1784" s="12" t="n">
        <x:v>3560.6462</x:v>
      </x:c>
      <x:c r="E1784" s="12" t="n">
        <x:v>3533.9955</x:v>
      </x:c>
      <x:c r="F1784" s="12" t="n">
        <x:v>3538.0087</x:v>
      </x:c>
      <x:c r="G1784" s="12" t="n">
        <x:v>3561.5204</x:v>
      </x:c>
      <x:c r="H1784" s="12" t="n">
        <x:v>-23.5117</x:v>
      </x:c>
      <x:c r="I1784" s="12" t="n">
        <x:v>-0.6602</x:v>
      </x:c>
      <x:c r="J1784" s="12" t="n">
        <x:v>-0.006623477592530993</x:v>
      </x:c>
      <x:c r="K1784" s="12" t="n">
        <x:v>85018403</x:v>
      </x:c>
      <x:c r="L1784" s="12" t="n">
        <x:v>140101998.555</x:v>
      </x:c>
      <x:c r="M1784" s="12" t="str">
        <x:v>TuShare index_daily</x:v>
      </x:c>
    </x:row>
    <x:row r="1785" ht="18" customHeight="1">
      <x:c r="A1785" s="13" t="n">
        <x:v>45257</x:v>
      </x:c>
      <x:c r="B1785" s="12" t="str">
        <x:v>000300.SH</x:v>
      </x:c>
      <x:c r="C1785" s="12" t="n">
        <x:v>3534.4445</x:v>
      </x:c>
      <x:c r="D1785" s="12" t="n">
        <x:v>3534.4445</x:v>
      </x:c>
      <x:c r="E1785" s="12" t="n">
        <x:v>3492.8623</x:v>
      </x:c>
      <x:c r="F1785" s="12" t="n">
        <x:v>3511.9424</x:v>
      </x:c>
      <x:c r="G1785" s="12" t="n">
        <x:v>3538.0087</x:v>
      </x:c>
      <x:c r="H1785" s="12" t="n">
        <x:v>-26.0663</x:v>
      </x:c>
      <x:c r="I1785" s="12" t="n">
        <x:v>-0.7368</x:v>
      </x:c>
      <x:c r="J1785" s="12" t="n">
        <x:v>-0.007394780023751533</x:v>
      </x:c>
      <x:c r="K1785" s="12" t="n">
        <x:v>99102314</x:v>
      </x:c>
      <x:c r="L1785" s="12" t="n">
        <x:v>155975437.036</x:v>
      </x:c>
      <x:c r="M1785" s="12" t="str">
        <x:v>TuShare index_daily</x:v>
      </x:c>
    </x:row>
    <x:row r="1786" ht="18" customHeight="1">
      <x:c r="A1786" s="13" t="n">
        <x:v>45258</x:v>
      </x:c>
      <x:c r="B1786" s="12" t="str">
        <x:v>000300.SH</x:v>
      </x:c>
      <x:c r="C1786" s="12" t="n">
        <x:v>3510.6554</x:v>
      </x:c>
      <x:c r="D1786" s="12" t="n">
        <x:v>3521.0463</x:v>
      </x:c>
      <x:c r="E1786" s="12" t="n">
        <x:v>3501.1093</x:v>
      </x:c>
      <x:c r="F1786" s="12" t="n">
        <x:v>3518.5232</x:v>
      </x:c>
      <x:c r="G1786" s="12" t="n">
        <x:v>3511.9424</x:v>
      </x:c>
      <x:c r="H1786" s="12" t="n">
        <x:v>6.5808</x:v>
      </x:c>
      <x:c r="I1786" s="12" t="n">
        <x:v>0.1874</x:v>
      </x:c>
      <x:c r="J1786" s="12" t="n">
        <x:v>0.0018720813944303417</x:v>
      </x:c>
      <x:c r="K1786" s="12" t="n">
        <x:v>89335789</x:v>
      </x:c>
      <x:c r="L1786" s="12" t="n">
        <x:v>147740535.862</x:v>
      </x:c>
      <x:c r="M1786" s="12" t="str">
        <x:v>TuShare index_daily</x:v>
      </x:c>
    </x:row>
    <x:row r="1787" ht="18" customHeight="1">
      <x:c r="A1787" s="13" t="n">
        <x:v>45259</x:v>
      </x:c>
      <x:c r="B1787" s="12" t="str">
        <x:v>000300.SH</x:v>
      </x:c>
      <x:c r="C1787" s="12" t="n">
        <x:v>3518.8836</x:v>
      </x:c>
      <x:c r="D1787" s="12" t="n">
        <x:v>3519.198</x:v>
      </x:c>
      <x:c r="E1787" s="12" t="n">
        <x:v>3482.2444</x:v>
      </x:c>
      <x:c r="F1787" s="12" t="n">
        <x:v>3488.3073</x:v>
      </x:c>
      <x:c r="G1787" s="12" t="n">
        <x:v>3518.5232</x:v>
      </x:c>
      <x:c r="H1787" s="12" t="n">
        <x:v>-30.2159</x:v>
      </x:c>
      <x:c r="I1787" s="12" t="n">
        <x:v>-0.8588</x:v>
      </x:c>
      <x:c r="J1787" s="12" t="n">
        <x:v>-0.008624751891447943</x:v>
      </x:c>
      <x:c r="K1787" s="12" t="n">
        <x:v>98841412</x:v>
      </x:c>
      <x:c r="L1787" s="12" t="n">
        <x:v>155948235.976</x:v>
      </x:c>
      <x:c r="M1787" s="12" t="str">
        <x:v>TuShare index_daily</x:v>
      </x:c>
    </x:row>
    <x:row r="1788" ht="18" customHeight="1">
      <x:c r="A1788" s="13" t="n">
        <x:v>45260</x:v>
      </x:c>
      <x:c r="B1788" s="12" t="str">
        <x:v>000300.SH</x:v>
      </x:c>
      <x:c r="C1788" s="12" t="n">
        <x:v>3485.5171</x:v>
      </x:c>
      <x:c r="D1788" s="12" t="n">
        <x:v>3505.1273</x:v>
      </x:c>
      <x:c r="E1788" s="12" t="n">
        <x:v>3481.4515</x:v>
      </x:c>
      <x:c r="F1788" s="12" t="n">
        <x:v>3496.2028</x:v>
      </x:c>
      <x:c r="G1788" s="12" t="n">
        <x:v>3488.3073</x:v>
      </x:c>
      <x:c r="H1788" s="12" t="n">
        <x:v>7.8955</x:v>
      </x:c>
      <x:c r="I1788" s="12" t="n">
        <x:v>0.2263</x:v>
      </x:c>
      <x:c r="J1788" s="12" t="n">
        <x:v>0.0022608610339468075</x:v>
      </x:c>
      <x:c r="K1788" s="12" t="n">
        <x:v>101350820</x:v>
      </x:c>
      <x:c r="L1788" s="12" t="n">
        <x:v>153790180.653</x:v>
      </x:c>
      <x:c r="M1788" s="12" t="str">
        <x:v>TuShare index_daily</x:v>
      </x:c>
    </x:row>
    <x:row r="1789" ht="18" customHeight="1">
      <x:c r="A1789" s="13" t="n">
        <x:v>45261</x:v>
      </x:c>
      <x:c r="B1789" s="12" t="str">
        <x:v>000300.SH</x:v>
      </x:c>
      <x:c r="C1789" s="12" t="n">
        <x:v>3494.2234</x:v>
      </x:c>
      <x:c r="D1789" s="12" t="n">
        <x:v>3494.2234</x:v>
      </x:c>
      <x:c r="E1789" s="12" t="n">
        <x:v>3452.1728</x:v>
      </x:c>
      <x:c r="F1789" s="12" t="n">
        <x:v>3482.8813</x:v>
      </x:c>
      <x:c r="G1789" s="12" t="n">
        <x:v>3496.2028</x:v>
      </x:c>
      <x:c r="H1789" s="12" t="n">
        <x:v>-13.3215</x:v>
      </x:c>
      <x:c r="I1789" s="12" t="n">
        <x:v>-0.381</x:v>
      </x:c>
      <x:c r="J1789" s="12" t="n">
        <x:v>-0.0038175542772575606</x:v>
      </x:c>
      <x:c r="K1789" s="12" t="n">
        <x:v>108530941</x:v>
      </x:c>
      <x:c r="L1789" s="12" t="n">
        <x:v>176078323.469</x:v>
      </x:c>
      <x:c r="M1789" s="12" t="str">
        <x:v>TuShare index_daily</x:v>
      </x:c>
    </x:row>
    <x:row r="1790" ht="18" customHeight="1">
      <x:c r="A1790" s="13" t="n">
        <x:v>45264</x:v>
      </x:c>
      <x:c r="B1790" s="12" t="str">
        <x:v>000300.SH</x:v>
      </x:c>
      <x:c r="C1790" s="12" t="n">
        <x:v>3481.0449</x:v>
      </x:c>
      <x:c r="D1790" s="12" t="n">
        <x:v>3488.133</x:v>
      </x:c>
      <x:c r="E1790" s="12" t="n">
        <x:v>3459.611</x:v>
      </x:c>
      <x:c r="F1790" s="12" t="n">
        <x:v>3460.138</x:v>
      </x:c>
      <x:c r="G1790" s="12" t="n">
        <x:v>3482.8813</x:v>
      </x:c>
      <x:c r="H1790" s="12" t="n">
        <x:v>-22.7433</x:v>
      </x:c>
      <x:c r="I1790" s="12" t="n">
        <x:v>-0.653</x:v>
      </x:c>
      <x:c r="J1790" s="12" t="n">
        <x:v>-0.006551438319548501</x:v>
      </x:c>
      <x:c r="K1790" s="12" t="n">
        <x:v>97156826</x:v>
      </x:c>
      <x:c r="L1790" s="12" t="n">
        <x:v>164664395.293</x:v>
      </x:c>
      <x:c r="M1790" s="12" t="str">
        <x:v>TuShare index_daily</x:v>
      </x:c>
    </x:row>
    <x:row r="1791" ht="18" customHeight="1">
      <x:c r="A1791" s="13" t="n">
        <x:v>45265</x:v>
      </x:c>
      <x:c r="B1791" s="12" t="str">
        <x:v>000300.SH</x:v>
      </x:c>
      <x:c r="C1791" s="12" t="n">
        <x:v>3450.0898</x:v>
      </x:c>
      <x:c r="D1791" s="12" t="n">
        <x:v>3450.0898</x:v>
      </x:c>
      <x:c r="E1791" s="12" t="n">
        <x:v>3393.8139</x:v>
      </x:c>
      <x:c r="F1791" s="12" t="n">
        <x:v>3394.2571</x:v>
      </x:c>
      <x:c r="G1791" s="12" t="n">
        <x:v>3460.138</x:v>
      </x:c>
      <x:c r="H1791" s="12" t="n">
        <x:v>-65.8809</x:v>
      </x:c>
      <x:c r="I1791" s="12" t="n">
        <x:v>-1.904</x:v>
      </x:c>
      <x:c r="J1791" s="12" t="n">
        <x:v>-0.019223557398418245</x:v>
      </x:c>
      <x:c r="K1791" s="12" t="n">
        <x:v>100472007</x:v>
      </x:c>
      <x:c r="L1791" s="12" t="n">
        <x:v>164840691.112</x:v>
      </x:c>
      <x:c r="M1791" s="12" t="str">
        <x:v>TuShare index_daily</x:v>
      </x:c>
    </x:row>
    <x:row r="1792" ht="18" customHeight="1">
      <x:c r="A1792" s="13" t="n">
        <x:v>45266</x:v>
      </x:c>
      <x:c r="B1792" s="12" t="str">
        <x:v>000300.SH</x:v>
      </x:c>
      <x:c r="C1792" s="12" t="n">
        <x:v>3387.8798</x:v>
      </x:c>
      <x:c r="D1792" s="12" t="n">
        <x:v>3420.2773</x:v>
      </x:c>
      <x:c r="E1792" s="12" t="n">
        <x:v>3382.9457</x:v>
      </x:c>
      <x:c r="F1792" s="12" t="n">
        <x:v>3399.598</x:v>
      </x:c>
      <x:c r="G1792" s="12" t="n">
        <x:v>3394.2571</x:v>
      </x:c>
      <x:c r="H1792" s="12" t="n">
        <x:v>5.3409</x:v>
      </x:c>
      <x:c r="I1792" s="12" t="n">
        <x:v>0.1574</x:v>
      </x:c>
      <x:c r="J1792" s="12" t="n">
        <x:v>0.0015722740687378373</x:v>
      </x:c>
      <x:c r="K1792" s="12" t="n">
        <x:v>105805519</x:v>
      </x:c>
      <x:c r="L1792" s="12" t="n">
        <x:v>172142987.725</x:v>
      </x:c>
      <x:c r="M1792" s="12" t="str">
        <x:v>TuShare index_daily</x:v>
      </x:c>
    </x:row>
    <x:row r="1793" ht="18" customHeight="1">
      <x:c r="A1793" s="13" t="n">
        <x:v>45267</x:v>
      </x:c>
      <x:c r="B1793" s="12" t="str">
        <x:v>000300.SH</x:v>
      </x:c>
      <x:c r="C1793" s="12" t="n">
        <x:v>3394.3064</x:v>
      </x:c>
      <x:c r="D1793" s="12" t="n">
        <x:v>3404.4074</x:v>
      </x:c>
      <x:c r="E1793" s="12" t="n">
        <x:v>3369.7675</x:v>
      </x:c>
      <x:c r="F1793" s="12" t="n">
        <x:v>3391.2823</x:v>
      </x:c>
      <x:c r="G1793" s="12" t="n">
        <x:v>3399.598</x:v>
      </x:c>
      <x:c r="H1793" s="12" t="n">
        <x:v>-8.3157</x:v>
      </x:c>
      <x:c r="I1793" s="12" t="n">
        <x:v>-0.2446</x:v>
      </x:c>
      <x:c r="J1793" s="12" t="n">
        <x:v>-0.002449079880397321</x:v>
      </x:c>
      <x:c r="K1793" s="12" t="n">
        <x:v>97713248</x:v>
      </x:c>
      <x:c r="L1793" s="12" t="n">
        <x:v>160949948.197</x:v>
      </x:c>
      <x:c r="M1793" s="12" t="str">
        <x:v>TuShare index_daily</x:v>
      </x:c>
    </x:row>
    <x:row r="1794" ht="18" customHeight="1">
      <x:c r="A1794" s="13" t="n">
        <x:v>45268</x:v>
      </x:c>
      <x:c r="B1794" s="12" t="str">
        <x:v>000300.SH</x:v>
      </x:c>
      <x:c r="C1794" s="12" t="n">
        <x:v>3391.8585</x:v>
      </x:c>
      <x:c r="D1794" s="12" t="n">
        <x:v>3409.3845</x:v>
      </x:c>
      <x:c r="E1794" s="12" t="n">
        <x:v>3383.4479</x:v>
      </x:c>
      <x:c r="F1794" s="12" t="n">
        <x:v>3399.4618</x:v>
      </x:c>
      <x:c r="G1794" s="12" t="n">
        <x:v>3391.2823</x:v>
      </x:c>
      <x:c r="H1794" s="12" t="n">
        <x:v>8.1795</x:v>
      </x:c>
      <x:c r="I1794" s="12" t="n">
        <x:v>0.2412</x:v>
      </x:c>
      <x:c r="J1794" s="12" t="n">
        <x:v>0.0024090155173751376</x:v>
      </x:c>
      <x:c r="K1794" s="12" t="n">
        <x:v>129522054</x:v>
      </x:c>
      <x:c r="L1794" s="12" t="n">
        <x:v>203034222.561</x:v>
      </x:c>
      <x:c r="M1794" s="12" t="str">
        <x:v>TuShare index_daily</x:v>
      </x:c>
    </x:row>
    <x:row r="1795" ht="18" customHeight="1">
      <x:c r="A1795" s="13" t="n">
        <x:v>45271</x:v>
      </x:c>
      <x:c r="B1795" s="12" t="str">
        <x:v>000300.SH</x:v>
      </x:c>
      <x:c r="C1795" s="12" t="n">
        <x:v>3378.0517</x:v>
      </x:c>
      <x:c r="D1795" s="12" t="n">
        <x:v>3426.6106</x:v>
      </x:c>
      <x:c r="E1795" s="12" t="n">
        <x:v>3346.8902</x:v>
      </x:c>
      <x:c r="F1795" s="12" t="n">
        <x:v>3419.4548</x:v>
      </x:c>
      <x:c r="G1795" s="12" t="n">
        <x:v>3399.4618</x:v>
      </x:c>
      <x:c r="H1795" s="12" t="n">
        <x:v>19.993</x:v>
      </x:c>
      <x:c r="I1795" s="12" t="n">
        <x:v>0.5881</x:v>
      </x:c>
      <x:c r="J1795" s="12" t="n">
        <x:v>0.005863998187248521</x:v>
      </x:c>
      <x:c r="K1795" s="12" t="n">
        <x:v>139626249</x:v>
      </x:c>
      <x:c r="L1795" s="12" t="n">
        <x:v>219761181.423</x:v>
      </x:c>
      <x:c r="M1795" s="12" t="str">
        <x:v>TuShare index_daily</x:v>
      </x:c>
    </x:row>
    <x:row r="1796" ht="18" customHeight="1">
      <x:c r="A1796" s="13" t="n">
        <x:v>45272</x:v>
      </x:c>
      <x:c r="B1796" s="12" t="str">
        <x:v>000300.SH</x:v>
      </x:c>
      <x:c r="C1796" s="12" t="n">
        <x:v>3409.9976</x:v>
      </x:c>
      <x:c r="D1796" s="12" t="n">
        <x:v>3427.5456</x:v>
      </x:c>
      <x:c r="E1796" s="12" t="n">
        <x:v>3406.1013</x:v>
      </x:c>
      <x:c r="F1796" s="12" t="n">
        <x:v>3426.803</x:v>
      </x:c>
      <x:c r="G1796" s="12" t="n">
        <x:v>3419.4548</x:v>
      </x:c>
      <x:c r="H1796" s="12" t="n">
        <x:v>7.3482</x:v>
      </x:c>
      <x:c r="I1796" s="12" t="n">
        <x:v>0.2149</x:v>
      </x:c>
      <x:c r="J1796" s="12" t="n">
        <x:v>0.0021466333978044914</x:v>
      </x:c>
      <x:c r="K1796" s="12" t="n">
        <x:v>105590013</x:v>
      </x:c>
      <x:c r="L1796" s="12" t="n">
        <x:v>166979964.78</x:v>
      </x:c>
      <x:c r="M1796" s="12" t="str">
        <x:v>TuShare index_daily</x:v>
      </x:c>
    </x:row>
    <x:row r="1797" ht="18" customHeight="1">
      <x:c r="A1797" s="13" t="n">
        <x:v>45273</x:v>
      </x:c>
      <x:c r="B1797" s="12" t="str">
        <x:v>000300.SH</x:v>
      </x:c>
      <x:c r="C1797" s="12" t="n">
        <x:v>3418.6413</x:v>
      </x:c>
      <x:c r="D1797" s="12" t="n">
        <x:v>3418.6413</x:v>
      </x:c>
      <x:c r="E1797" s="12" t="n">
        <x:v>3369.605</x:v>
      </x:c>
      <x:c r="F1797" s="12" t="n">
        <x:v>3369.605</x:v>
      </x:c>
      <x:c r="G1797" s="12" t="n">
        <x:v>3426.803</x:v>
      </x:c>
      <x:c r="H1797" s="12" t="n">
        <x:v>-57.198</x:v>
      </x:c>
      <x:c r="I1797" s="12" t="n">
        <x:v>-1.6691</x:v>
      </x:c>
      <x:c r="J1797" s="12" t="n">
        <x:v>-0.01683222974761668</x:v>
      </x:c>
      <x:c r="K1797" s="12" t="n">
        <x:v>95285367</x:v>
      </x:c>
      <x:c r="L1797" s="12" t="n">
        <x:v>165455928.376</x:v>
      </x:c>
      <x:c r="M1797" s="12" t="str">
        <x:v>TuShare index_daily</x:v>
      </x:c>
    </x:row>
    <x:row r="1798" ht="18" customHeight="1">
      <x:c r="A1798" s="13" t="n">
        <x:v>45274</x:v>
      </x:c>
      <x:c r="B1798" s="12" t="str">
        <x:v>000300.SH</x:v>
      </x:c>
      <x:c r="C1798" s="12" t="n">
        <x:v>3387.3847</x:v>
      </x:c>
      <x:c r="D1798" s="12" t="n">
        <x:v>3399.1394</x:v>
      </x:c>
      <x:c r="E1798" s="12" t="n">
        <x:v>3350.7648</x:v>
      </x:c>
      <x:c r="F1798" s="12" t="n">
        <x:v>3351.9639</x:v>
      </x:c>
      <x:c r="G1798" s="12" t="n">
        <x:v>3369.605</x:v>
      </x:c>
      <x:c r="H1798" s="12" t="n">
        <x:v>-17.6411</x:v>
      </x:c>
      <x:c r="I1798" s="12" t="n">
        <x:v>-0.5235</x:v>
      </x:c>
      <x:c r="J1798" s="12" t="n">
        <x:v>-0.005249113939963294</x:v>
      </x:c>
      <x:c r="K1798" s="12" t="n">
        <x:v>83655135</x:v>
      </x:c>
      <x:c r="L1798" s="12" t="n">
        <x:v>150245775.736</x:v>
      </x:c>
      <x:c r="M1798" s="12" t="str">
        <x:v>TuShare index_daily</x:v>
      </x:c>
    </x:row>
    <x:row r="1799" ht="18" customHeight="1">
      <x:c r="A1799" s="13" t="n">
        <x:v>45275</x:v>
      </x:c>
      <x:c r="B1799" s="12" t="str">
        <x:v>000300.SH</x:v>
      </x:c>
      <x:c r="C1799" s="12" t="n">
        <x:v>3365.9388</x:v>
      </x:c>
      <x:c r="D1799" s="12" t="n">
        <x:v>3388.5047</x:v>
      </x:c>
      <x:c r="E1799" s="12" t="n">
        <x:v>3339.519</x:v>
      </x:c>
      <x:c r="F1799" s="12" t="n">
        <x:v>3341.5517</x:v>
      </x:c>
      <x:c r="G1799" s="12" t="n">
        <x:v>3351.9639</x:v>
      </x:c>
      <x:c r="H1799" s="12" t="n">
        <x:v>-10.4122</x:v>
      </x:c>
      <x:c r="I1799" s="12" t="n">
        <x:v>-0.3106</x:v>
      </x:c>
      <x:c r="J1799" s="12" t="n">
        <x:v>-0.003111132929438227</x:v>
      </x:c>
      <x:c r="K1799" s="12" t="n">
        <x:v>97787783</x:v>
      </x:c>
      <x:c r="L1799" s="12" t="n">
        <x:v>164907019.372</x:v>
      </x:c>
      <x:c r="M1799" s="12" t="str">
        <x:v>TuShare index_daily</x:v>
      </x:c>
    </x:row>
    <x:row r="1800" ht="18" customHeight="1">
      <x:c r="A1800" s="13" t="n">
        <x:v>45278</x:v>
      </x:c>
      <x:c r="B1800" s="12" t="str">
        <x:v>000300.SH</x:v>
      </x:c>
      <x:c r="C1800" s="12" t="n">
        <x:v>3329.191</x:v>
      </x:c>
      <x:c r="D1800" s="12" t="n">
        <x:v>3352.3458</x:v>
      </x:c>
      <x:c r="E1800" s="12" t="n">
        <x:v>3314.9095</x:v>
      </x:c>
      <x:c r="F1800" s="12" t="n">
        <x:v>3329.3657</x:v>
      </x:c>
      <x:c r="G1800" s="12" t="n">
        <x:v>3341.5517</x:v>
      </x:c>
      <x:c r="H1800" s="12" t="n">
        <x:v>-12.186</x:v>
      </x:c>
      <x:c r="I1800" s="12" t="n">
        <x:v>-0.3647</x:v>
      </x:c>
      <x:c r="J1800" s="12" t="n">
        <x:v>-0.0036534745745062168</x:v>
      </x:c>
      <x:c r="K1800" s="12" t="n">
        <x:v>90526826</x:v>
      </x:c>
      <x:c r="L1800" s="12" t="n">
        <x:v>142303319.419</x:v>
      </x:c>
      <x:c r="M1800" s="12" t="str">
        <x:v>TuShare index_daily</x:v>
      </x:c>
    </x:row>
    <x:row r="1801" ht="18" customHeight="1">
      <x:c r="A1801" s="13" t="n">
        <x:v>45279</x:v>
      </x:c>
      <x:c r="B1801" s="12" t="str">
        <x:v>000300.SH</x:v>
      </x:c>
      <x:c r="C1801" s="12" t="n">
        <x:v>3325.6596</x:v>
      </x:c>
      <x:c r="D1801" s="12" t="n">
        <x:v>3345.7795</x:v>
      </x:c>
      <x:c r="E1801" s="12" t="n">
        <x:v>3313.1874</x:v>
      </x:c>
      <x:c r="F1801" s="12" t="n">
        <x:v>3334.0412</x:v>
      </x:c>
      <x:c r="G1801" s="12" t="n">
        <x:v>3329.3657</x:v>
      </x:c>
      <x:c r="H1801" s="12" t="n">
        <x:v>4.6755</x:v>
      </x:c>
      <x:c r="I1801" s="12" t="n">
        <x:v>0.1404</x:v>
      </x:c>
      <x:c r="J1801" s="12" t="n">
        <x:v>0.0014033364125818817</x:v>
      </x:c>
      <x:c r="K1801" s="12" t="n">
        <x:v>83808118</x:v>
      </x:c>
      <x:c r="L1801" s="12" t="n">
        <x:v>135293655.396</x:v>
      </x:c>
      <x:c r="M1801" s="12" t="str">
        <x:v>TuShare index_daily</x:v>
      </x:c>
    </x:row>
    <x:row r="1802" ht="18" customHeight="1">
      <x:c r="A1802" s="13" t="n">
        <x:v>45280</x:v>
      </x:c>
      <x:c r="B1802" s="12" t="str">
        <x:v>000300.SH</x:v>
      </x:c>
      <x:c r="C1802" s="12" t="n">
        <x:v>3334.332</x:v>
      </x:c>
      <x:c r="D1802" s="12" t="n">
        <x:v>3338.5434</x:v>
      </x:c>
      <x:c r="E1802" s="12" t="n">
        <x:v>3297.3652</x:v>
      </x:c>
      <x:c r="F1802" s="12" t="n">
        <x:v>3297.5022</x:v>
      </x:c>
      <x:c r="G1802" s="12" t="n">
        <x:v>3334.0412</x:v>
      </x:c>
      <x:c r="H1802" s="12" t="n">
        <x:v>-36.539</x:v>
      </x:c>
      <x:c r="I1802" s="12" t="n">
        <x:v>-1.0959</x:v>
      </x:c>
      <x:c r="J1802" s="12" t="n">
        <x:v>-0.011019868999532874</x:v>
      </x:c>
      <x:c r="K1802" s="12" t="n">
        <x:v>92412868</x:v>
      </x:c>
      <x:c r="L1802" s="12" t="n">
        <x:v>141290542.802</x:v>
      </x:c>
      <x:c r="M1802" s="12" t="str">
        <x:v>TuShare index_daily</x:v>
      </x:c>
    </x:row>
    <x:row r="1803" ht="18" customHeight="1">
      <x:c r="A1803" s="13" t="n">
        <x:v>45281</x:v>
      </x:c>
      <x:c r="B1803" s="12" t="str">
        <x:v>000300.SH</x:v>
      </x:c>
      <x:c r="C1803" s="12" t="n">
        <x:v>3285.6049</x:v>
      </x:c>
      <x:c r="D1803" s="12" t="n">
        <x:v>3339.3552</x:v>
      </x:c>
      <x:c r="E1803" s="12" t="n">
        <x:v>3283.9883</x:v>
      </x:c>
      <x:c r="F1803" s="12" t="n">
        <x:v>3330.8698</x:v>
      </x:c>
      <x:c r="G1803" s="12" t="n">
        <x:v>3297.5022</x:v>
      </x:c>
      <x:c r="H1803" s="12" t="n">
        <x:v>33.3676</x:v>
      </x:c>
      <x:c r="I1803" s="12" t="n">
        <x:v>1.0119</x:v>
      </x:c>
      <x:c r="J1803" s="12" t="n">
        <x:v>0.01006819830524892</x:v>
      </x:c>
      <x:c r="K1803" s="12" t="n">
        <x:v>102546198</x:v>
      </x:c>
      <x:c r="L1803" s="12" t="n">
        <x:v>171120780.58</x:v>
      </x:c>
      <x:c r="M1803" s="12" t="str">
        <x:v>TuShare index_daily</x:v>
      </x:c>
    </x:row>
    <x:row r="1804" ht="18" customHeight="1">
      <x:c r="A1804" s="13" t="n">
        <x:v>45282</x:v>
      </x:c>
      <x:c r="B1804" s="12" t="str">
        <x:v>000300.SH</x:v>
      </x:c>
      <x:c r="C1804" s="12" t="n">
        <x:v>3329.4668</x:v>
      </x:c>
      <x:c r="D1804" s="12" t="n">
        <x:v>3359.0601</x:v>
      </x:c>
      <x:c r="E1804" s="12" t="n">
        <x:v>3315.8976</x:v>
      </x:c>
      <x:c r="F1804" s="12" t="n">
        <x:v>3337.2281</x:v>
      </x:c>
      <x:c r="G1804" s="12" t="n">
        <x:v>3330.8698</x:v>
      </x:c>
      <x:c r="H1804" s="12" t="n">
        <x:v>6.3583</x:v>
      </x:c>
      <x:c r="I1804" s="12" t="n">
        <x:v>0.1909</x:v>
      </x:c>
      <x:c r="J1804" s="12" t="n">
        <x:v>0.0019070811564037447</x:v>
      </x:c>
      <x:c r="K1804" s="12" t="n">
        <x:v>105220133</x:v>
      </x:c>
      <x:c r="L1804" s="12" t="n">
        <x:v>167336342.309</x:v>
      </x:c>
      <x:c r="M1804" s="12" t="str">
        <x:v>TuShare index_daily</x:v>
      </x:c>
    </x:row>
    <x:row r="1805" ht="18" customHeight="1">
      <x:c r="A1805" s="13" t="n">
        <x:v>45285</x:v>
      </x:c>
      <x:c r="B1805" s="12" t="str">
        <x:v>000300.SH</x:v>
      </x:c>
      <x:c r="C1805" s="12" t="n">
        <x:v>3330.3333</x:v>
      </x:c>
      <x:c r="D1805" s="12" t="n">
        <x:v>3348.882</x:v>
      </x:c>
      <x:c r="E1805" s="12" t="n">
        <x:v>3330.3333</x:v>
      </x:c>
      <x:c r="F1805" s="12" t="n">
        <x:v>3347.4508</x:v>
      </x:c>
      <x:c r="G1805" s="12" t="n">
        <x:v>3337.2281</x:v>
      </x:c>
      <x:c r="H1805" s="12" t="n">
        <x:v>10.2227</x:v>
      </x:c>
      <x:c r="I1805" s="12" t="n">
        <x:v>0.3063</x:v>
      </x:c>
      <x:c r="J1805" s="12" t="n">
        <x:v>0.003058548696843727</x:v>
      </x:c>
      <x:c r="K1805" s="12" t="n">
        <x:v>74542693</x:v>
      </x:c>
      <x:c r="L1805" s="12" t="n">
        <x:v>121838327.071</x:v>
      </x:c>
      <x:c r="M1805" s="12" t="str">
        <x:v>TuShare index_daily</x:v>
      </x:c>
    </x:row>
    <x:row r="1806" ht="18" customHeight="1">
      <x:c r="A1806" s="13" t="n">
        <x:v>45286</x:v>
      </x:c>
      <x:c r="B1806" s="12" t="str">
        <x:v>000300.SH</x:v>
      </x:c>
      <x:c r="C1806" s="12" t="n">
        <x:v>3345.3952</x:v>
      </x:c>
      <x:c r="D1806" s="12" t="n">
        <x:v>3345.4171</x:v>
      </x:c>
      <x:c r="E1806" s="12" t="n">
        <x:v>3315.937</x:v>
      </x:c>
      <x:c r="F1806" s="12" t="n">
        <x:v>3324.7902</x:v>
      </x:c>
      <x:c r="G1806" s="12" t="n">
        <x:v>3347.4508</x:v>
      </x:c>
      <x:c r="H1806" s="12" t="n">
        <x:v>-22.6606</x:v>
      </x:c>
      <x:c r="I1806" s="12" t="n">
        <x:v>-0.677</x:v>
      </x:c>
      <x:c r="J1806" s="12" t="n">
        <x:v>-0.006792526566996367</x:v>
      </x:c>
      <x:c r="K1806" s="12" t="n">
        <x:v>74732935</x:v>
      </x:c>
      <x:c r="L1806" s="12" t="n">
        <x:v>121689997.435</x:v>
      </x:c>
      <x:c r="M1806" s="12" t="str">
        <x:v>TuShare index_daily</x:v>
      </x:c>
    </x:row>
    <x:row r="1807" ht="18" customHeight="1">
      <x:c r="A1807" s="13" t="n">
        <x:v>45287</x:v>
      </x:c>
      <x:c r="B1807" s="12" t="str">
        <x:v>000300.SH</x:v>
      </x:c>
      <x:c r="C1807" s="12" t="n">
        <x:v>3326.9267</x:v>
      </x:c>
      <x:c r="D1807" s="12" t="n">
        <x:v>3341.2659</x:v>
      </x:c>
      <x:c r="E1807" s="12" t="n">
        <x:v>3309.6731</x:v>
      </x:c>
      <x:c r="F1807" s="12" t="n">
        <x:v>3336.3572</x:v>
      </x:c>
      <x:c r="G1807" s="12" t="n">
        <x:v>3324.7902</x:v>
      </x:c>
      <x:c r="H1807" s="12" t="n">
        <x:v>11.567</x:v>
      </x:c>
      <x:c r="I1807" s="12" t="n">
        <x:v>0.3479</x:v>
      </x:c>
      <x:c r="J1807" s="12" t="n">
        <x:v>0.0034729787322696913</x:v>
      </x:c>
      <x:c r="K1807" s="12" t="n">
        <x:v>94403928</x:v>
      </x:c>
      <x:c r="L1807" s="12" t="n">
        <x:v>140924923.675</x:v>
      </x:c>
      <x:c r="M1807" s="12" t="str">
        <x:v>TuShare index_daily</x:v>
      </x:c>
    </x:row>
    <x:row r="1808" ht="18" customHeight="1">
      <x:c r="A1808" s="13" t="n">
        <x:v>45288</x:v>
      </x:c>
      <x:c r="B1808" s="12" t="str">
        <x:v>000300.SH</x:v>
      </x:c>
      <x:c r="C1808" s="12" t="n">
        <x:v>3335.5572</x:v>
      </x:c>
      <x:c r="D1808" s="12" t="n">
        <x:v>3423.4018</x:v>
      </x:c>
      <x:c r="E1808" s="12" t="n">
        <x:v>3331.2082</x:v>
      </x:c>
      <x:c r="F1808" s="12" t="n">
        <x:v>3414.5403</x:v>
      </x:c>
      <x:c r="G1808" s="12" t="n">
        <x:v>3336.3572</x:v>
      </x:c>
      <x:c r="H1808" s="12" t="n">
        <x:v>78.1831</x:v>
      </x:c>
      <x:c r="I1808" s="12" t="n">
        <x:v>2.3434</x:v>
      </x:c>
      <x:c r="J1808" s="12" t="n">
        <x:v>0.0231633188509078</x:v>
      </x:c>
      <x:c r="K1808" s="12" t="n">
        <x:v>148064851</x:v>
      </x:c>
      <x:c r="L1808" s="12" t="n">
        <x:v>245855634.464</x:v>
      </x:c>
      <x:c r="M1808" s="12" t="str">
        <x:v>TuShare index_daily</x:v>
      </x:c>
    </x:row>
    <x:row r="1809" ht="18" customHeight="1">
      <x:c r="A1809" s="13" t="n">
        <x:v>45289</x:v>
      </x:c>
      <x:c r="B1809" s="12" t="str">
        <x:v>000300.SH</x:v>
      </x:c>
      <x:c r="C1809" s="12" t="n">
        <x:v>3411.1094</x:v>
      </x:c>
      <x:c r="D1809" s="12" t="n">
        <x:v>3432.5412</x:v>
      </x:c>
      <x:c r="E1809" s="12" t="n">
        <x:v>3409.5795</x:v>
      </x:c>
      <x:c r="F1809" s="12" t="n">
        <x:v>3431.1099</x:v>
      </x:c>
      <x:c r="G1809" s="12" t="n">
        <x:v>3414.5403</x:v>
      </x:c>
      <x:c r="H1809" s="12" t="n">
        <x:v>16.5696</x:v>
      </x:c>
      <x:c r="I1809" s="12" t="n">
        <x:v>0.4853</x:v>
      </x:c>
      <x:c r="J1809" s="12" t="n">
        <x:v>0.004840922885131526</x:v>
      </x:c>
      <x:c r="K1809" s="12" t="n">
        <x:v>114928932</x:v>
      </x:c>
      <x:c r="L1809" s="12" t="n">
        <x:v>193573180.515</x:v>
      </x:c>
      <x:c r="M1809" s="12" t="str">
        <x:v>TuShare index_daily</x:v>
      </x:c>
    </x:row>
    <x:row r="1810" ht="18" customHeight="1">
      <x:c r="A1810" s="13" t="n">
        <x:v>45293</x:v>
      </x:c>
      <x:c r="B1810" s="12" t="str">
        <x:v>000300.SH</x:v>
      </x:c>
      <x:c r="C1810" s="12" t="n">
        <x:v>3426.2684</x:v>
      </x:c>
      <x:c r="D1810" s="12" t="n">
        <x:v>3426.2684</x:v>
      </x:c>
      <x:c r="E1810" s="12" t="n">
        <x:v>3386.3522</x:v>
      </x:c>
      <x:c r="F1810" s="12" t="n">
        <x:v>3386.3522</x:v>
      </x:c>
      <x:c r="G1810" s="12" t="n">
        <x:v>3431.1099</x:v>
      </x:c>
      <x:c r="H1810" s="12" t="n">
        <x:v>-44.7577</x:v>
      </x:c>
      <x:c r="I1810" s="12" t="n">
        <x:v>-1.3045</x:v>
      </x:c>
      <x:c r="J1810" s="12" t="n">
        <x:v>-0.013130500000731902</x:v>
      </x:c>
      <x:c r="K1810" s="12" t="n">
        <x:v>116180726</x:v>
      </x:c>
      <x:c r="L1810" s="12" t="n">
        <x:v>184096097.449</x:v>
      </x:c>
      <x:c r="M1810" s="12" t="str">
        <x:v>TuShare index_daily</x:v>
      </x:c>
    </x:row>
    <x:row r="1811" ht="18" customHeight="1">
      <x:c r="A1811" s="13" t="n">
        <x:v>45294</x:v>
      </x:c>
      <x:c r="B1811" s="12" t="str">
        <x:v>000300.SH</x:v>
      </x:c>
      <x:c r="C1811" s="12" t="n">
        <x:v>3379.7501</x:v>
      </x:c>
      <x:c r="D1811" s="12" t="n">
        <x:v>3392.8504</x:v>
      </x:c>
      <x:c r="E1811" s="12" t="n">
        <x:v>3362.6617</x:v>
      </x:c>
      <x:c r="F1811" s="12" t="n">
        <x:v>3378.2971</x:v>
      </x:c>
      <x:c r="G1811" s="12" t="n">
        <x:v>3386.3522</x:v>
      </x:c>
      <x:c r="H1811" s="12" t="n">
        <x:v>-8.0551</x:v>
      </x:c>
      <x:c r="I1811" s="12" t="n">
        <x:v>-0.2379</x:v>
      </x:c>
      <x:c r="J1811" s="12" t="n">
        <x:v>-0.0023815288716185186</x:v>
      </x:c>
      <x:c r="K1811" s="12" t="n">
        <x:v>105613851</x:v>
      </x:c>
      <x:c r="L1811" s="12" t="n">
        <x:v>165099018.643</x:v>
      </x:c>
      <x:c r="M1811" s="12" t="str">
        <x:v>TuShare index_daily</x:v>
      </x:c>
    </x:row>
    <x:row r="1812" ht="18" customHeight="1">
      <x:c r="A1812" s="13" t="n">
        <x:v>45295</x:v>
      </x:c>
      <x:c r="B1812" s="12" t="str">
        <x:v>000300.SH</x:v>
      </x:c>
      <x:c r="C1812" s="12" t="n">
        <x:v>3375.0207</x:v>
      </x:c>
      <x:c r="D1812" s="12" t="n">
        <x:v>3375.0207</x:v>
      </x:c>
      <x:c r="E1812" s="12" t="n">
        <x:v>3323.8647</x:v>
      </x:c>
      <x:c r="F1812" s="12" t="n">
        <x:v>3347.0519</x:v>
      </x:c>
      <x:c r="G1812" s="12" t="n">
        <x:v>3378.2971</x:v>
      </x:c>
      <x:c r="H1812" s="12" t="n">
        <x:v>-31.2452</x:v>
      </x:c>
      <x:c r="I1812" s="12" t="n">
        <x:v>-0.9249</x:v>
      </x:c>
      <x:c r="J1812" s="12" t="n">
        <x:v>-0.009291837436039434</x:v>
      </x:c>
      <x:c r="K1812" s="12" t="n">
        <x:v>106721013</x:v>
      </x:c>
      <x:c r="L1812" s="12" t="n">
        <x:v>165512262.699</x:v>
      </x:c>
      <x:c r="M1812" s="12" t="str">
        <x:v>TuShare index_daily</x:v>
      </x:c>
    </x:row>
    <x:row r="1813" ht="18" customHeight="1">
      <x:c r="A1813" s="13" t="n">
        <x:v>45296</x:v>
      </x:c>
      <x:c r="B1813" s="12" t="str">
        <x:v>000300.SH</x:v>
      </x:c>
      <x:c r="C1813" s="12" t="n">
        <x:v>3341.3061</x:v>
      </x:c>
      <x:c r="D1813" s="12" t="n">
        <x:v>3372.5444</x:v>
      </x:c>
      <x:c r="E1813" s="12" t="n">
        <x:v>3313.5542</x:v>
      </x:c>
      <x:c r="F1813" s="12" t="n">
        <x:v>3329.1114</x:v>
      </x:c>
      <x:c r="G1813" s="12" t="n">
        <x:v>3347.0519</x:v>
      </x:c>
      <x:c r="H1813" s="12" t="n">
        <x:v>-17.9405</x:v>
      </x:c>
      <x:c r="I1813" s="12" t="n">
        <x:v>-0.536</x:v>
      </x:c>
      <x:c r="J1813" s="12" t="n">
        <x:v>-0.005374506997078489</x:v>
      </x:c>
      <x:c r="K1813" s="12" t="n">
        <x:v>126400574</x:v>
      </x:c>
      <x:c r="L1813" s="12" t="n">
        <x:v>182251664.948</x:v>
      </x:c>
      <x:c r="M1813" s="12" t="str">
        <x:v>TuShare index_daily</x:v>
      </x:c>
    </x:row>
    <x:row r="1814" ht="18" customHeight="1">
      <x:c r="A1814" s="13" t="n">
        <x:v>45299</x:v>
      </x:c>
      <x:c r="B1814" s="12" t="str">
        <x:v>000300.SH</x:v>
      </x:c>
      <x:c r="C1814" s="12" t="n">
        <x:v>3322.6051</x:v>
      </x:c>
      <x:c r="D1814" s="12" t="n">
        <x:v>3333.516</x:v>
      </x:c>
      <x:c r="E1814" s="12" t="n">
        <x:v>3283.3421</x:v>
      </x:c>
      <x:c r="F1814" s="12" t="n">
        <x:v>3286.0564</x:v>
      </x:c>
      <x:c r="G1814" s="12" t="n">
        <x:v>3329.1114</x:v>
      </x:c>
      <x:c r="H1814" s="12" t="n">
        <x:v>-43.055</x:v>
      </x:c>
      <x:c r="I1814" s="12" t="n">
        <x:v>-1.2933</x:v>
      </x:c>
      <x:c r="J1814" s="12" t="n">
        <x:v>-0.013017238342875813</x:v>
      </x:c>
      <x:c r="K1814" s="12" t="n">
        <x:v>117429485</x:v>
      </x:c>
      <x:c r="L1814" s="12" t="n">
        <x:v>170761644.873</x:v>
      </x:c>
      <x:c r="M1814" s="12" t="str">
        <x:v>TuShare index_daily</x:v>
      </x:c>
    </x:row>
    <x:row r="1815" ht="18" customHeight="1">
      <x:c r="A1815" s="13" t="n">
        <x:v>45300</x:v>
      </x:c>
      <x:c r="B1815" s="12" t="str">
        <x:v>000300.SH</x:v>
      </x:c>
      <x:c r="C1815" s="12" t="n">
        <x:v>3286.7083</x:v>
      </x:c>
      <x:c r="D1815" s="12" t="n">
        <x:v>3304.6008</x:v>
      </x:c>
      <x:c r="E1815" s="12" t="n">
        <x:v>3273.8431</x:v>
      </x:c>
      <x:c r="F1815" s="12" t="n">
        <x:v>3292.4994</x:v>
      </x:c>
      <x:c r="G1815" s="12" t="n">
        <x:v>3286.0564</x:v>
      </x:c>
      <x:c r="H1815" s="12" t="n">
        <x:v>6.443</x:v>
      </x:c>
      <x:c r="I1815" s="12" t="n">
        <x:v>0.1961</x:v>
      </x:c>
      <x:c r="J1815" s="12" t="n">
        <x:v>0.0019587892102615333</x:v>
      </x:c>
      <x:c r="K1815" s="12" t="n">
        <x:v>109330465</x:v>
      </x:c>
      <x:c r="L1815" s="12" t="n">
        <x:v>172276323.045</x:v>
      </x:c>
      <x:c r="M1815" s="12" t="str">
        <x:v>TuShare index_daily</x:v>
      </x:c>
    </x:row>
    <x:row r="1816" ht="18" customHeight="1">
      <x:c r="A1816" s="13" t="n">
        <x:v>45301</x:v>
      </x:c>
      <x:c r="B1816" s="12" t="str">
        <x:v>000300.SH</x:v>
      </x:c>
      <x:c r="C1816" s="12" t="n">
        <x:v>3281.6692</x:v>
      </x:c>
      <x:c r="D1816" s="12" t="n">
        <x:v>3312.9161</x:v>
      </x:c>
      <x:c r="E1816" s="12" t="n">
        <x:v>3268.2471</x:v>
      </x:c>
      <x:c r="F1816" s="12" t="n">
        <x:v>3277.129</x:v>
      </x:c>
      <x:c r="G1816" s="12" t="n">
        <x:v>3292.4994</x:v>
      </x:c>
      <x:c r="H1816" s="12" t="n">
        <x:v>-15.3704</x:v>
      </x:c>
      <x:c r="I1816" s="12" t="n">
        <x:v>-0.4668</x:v>
      </x:c>
      <x:c r="J1816" s="12" t="n">
        <x:v>-0.00467923818793512</x:v>
      </x:c>
      <x:c r="K1816" s="12" t="n">
        <x:v>94199366</x:v>
      </x:c>
      <x:c r="L1816" s="12" t="n">
        <x:v>159777649.838</x:v>
      </x:c>
      <x:c r="M1816" s="12" t="str">
        <x:v>TuShare index_daily</x:v>
      </x:c>
    </x:row>
    <x:row r="1817" ht="18" customHeight="1">
      <x:c r="A1817" s="13" t="n">
        <x:v>45302</x:v>
      </x:c>
      <x:c r="B1817" s="12" t="str">
        <x:v>000300.SH</x:v>
      </x:c>
      <x:c r="C1817" s="12" t="n">
        <x:v>3275.3086</x:v>
      </x:c>
      <x:c r="D1817" s="12" t="n">
        <x:v>3311.1137</x:v>
      </x:c>
      <x:c r="E1817" s="12" t="n">
        <x:v>3266.7911</x:v>
      </x:c>
      <x:c r="F1817" s="12" t="n">
        <x:v>3295.6717</x:v>
      </x:c>
      <x:c r="G1817" s="12" t="n">
        <x:v>3277.129</x:v>
      </x:c>
      <x:c r="H1817" s="12" t="n">
        <x:v>18.5427</x:v>
      </x:c>
      <x:c r="I1817" s="12" t="n">
        <x:v>0.5658</x:v>
      </x:c>
      <x:c r="J1817" s="12" t="n">
        <x:v>0.005642267288734283</x:v>
      </x:c>
      <x:c r="K1817" s="12" t="n">
        <x:v>108789735</x:v>
      </x:c>
      <x:c r="L1817" s="12" t="n">
        <x:v>180978533.6</x:v>
      </x:c>
      <x:c r="M1817" s="12" t="str">
        <x:v>TuShare index_daily</x:v>
      </x:c>
    </x:row>
    <x:row r="1818" ht="18" customHeight="1">
      <x:c r="A1818" s="13" t="n">
        <x:v>45303</x:v>
      </x:c>
      <x:c r="B1818" s="12" t="str">
        <x:v>000300.SH</x:v>
      </x:c>
      <x:c r="C1818" s="12" t="n">
        <x:v>3284.358</x:v>
      </x:c>
      <x:c r="D1818" s="12" t="n">
        <x:v>3310.4704</x:v>
      </x:c>
      <x:c r="E1818" s="12" t="n">
        <x:v>3279.6987</x:v>
      </x:c>
      <x:c r="F1818" s="12" t="n">
        <x:v>3284.1667</x:v>
      </x:c>
      <x:c r="G1818" s="12" t="n">
        <x:v>3295.6717</x:v>
      </x:c>
      <x:c r="H1818" s="12" t="n">
        <x:v>-11.505</x:v>
      </x:c>
      <x:c r="I1818" s="12" t="n">
        <x:v>-0.3491</x:v>
      </x:c>
      <x:c r="J1818" s="12" t="n">
        <x:v>-0.003497049935115232</x:v>
      </x:c>
      <x:c r="K1818" s="12" t="n">
        <x:v>96853555</x:v>
      </x:c>
      <x:c r="L1818" s="12" t="n">
        <x:v>156536022.3</x:v>
      </x:c>
      <x:c r="M1818" s="12" t="str">
        <x:v>TuShare index_daily</x:v>
      </x:c>
    </x:row>
    <x:row r="1819" ht="18" customHeight="1">
      <x:c r="A1819" s="13" t="n">
        <x:v>45306</x:v>
      </x:c>
      <x:c r="B1819" s="12" t="str">
        <x:v>000300.SH</x:v>
      </x:c>
      <x:c r="C1819" s="12" t="n">
        <x:v>3270.1029</x:v>
      </x:c>
      <x:c r="D1819" s="12" t="n">
        <x:v>3306.9217</x:v>
      </x:c>
      <x:c r="E1819" s="12" t="n">
        <x:v>3261.2687</x:v>
      </x:c>
      <x:c r="F1819" s="12" t="n">
        <x:v>3280.9195</x:v>
      </x:c>
      <x:c r="G1819" s="12" t="n">
        <x:v>3284.1667</x:v>
      </x:c>
      <x:c r="H1819" s="12" t="n">
        <x:v>-3.2472</x:v>
      </x:c>
      <x:c r="I1819" s="12" t="n">
        <x:v>-0.0989</x:v>
      </x:c>
      <x:c r="J1819" s="12" t="n">
        <x:v>-0.0009892330933307953</x:v>
      </x:c>
      <x:c r="K1819" s="12" t="n">
        <x:v>88851530</x:v>
      </x:c>
      <x:c r="L1819" s="12" t="n">
        <x:v>144331722.4</x:v>
      </x:c>
      <x:c r="M1819" s="12" t="str">
        <x:v>TuShare index_daily</x:v>
      </x:c>
    </x:row>
    <x:row r="1820" ht="18" customHeight="1">
      <x:c r="A1820" s="13" t="n">
        <x:v>45307</x:v>
      </x:c>
      <x:c r="B1820" s="12" t="str">
        <x:v>000300.SH</x:v>
      </x:c>
      <x:c r="C1820" s="12" t="n">
        <x:v>3272.571</x:v>
      </x:c>
      <x:c r="D1820" s="12" t="n">
        <x:v>3300.8762</x:v>
      </x:c>
      <x:c r="E1820" s="12" t="n">
        <x:v>3260.4362</x:v>
      </x:c>
      <x:c r="F1820" s="12" t="n">
        <x:v>3300.8762</x:v>
      </x:c>
      <x:c r="G1820" s="12" t="n">
        <x:v>3280.9195</x:v>
      </x:c>
      <x:c r="H1820" s="12" t="n">
        <x:v>19.9567</x:v>
      </x:c>
      <x:c r="I1820" s="12" t="n">
        <x:v>0.6083</x:v>
      </x:c>
      <x:c r="J1820" s="12" t="n">
        <x:v>0.006064229905750575</x:v>
      </x:c>
      <x:c r="K1820" s="12" t="n">
        <x:v>113276665</x:v>
      </x:c>
      <x:c r="L1820" s="12" t="n">
        <x:v>175650587.5</x:v>
      </x:c>
      <x:c r="M1820" s="12" t="str">
        <x:v>TuShare index_daily</x:v>
      </x:c>
    </x:row>
    <x:row r="1821" ht="18" customHeight="1">
      <x:c r="A1821" s="13" t="n">
        <x:v>45308</x:v>
      </x:c>
      <x:c r="B1821" s="12" t="str">
        <x:v>000300.SH</x:v>
      </x:c>
      <x:c r="C1821" s="12" t="n">
        <x:v>3291.1392</x:v>
      </x:c>
      <x:c r="D1821" s="12" t="n">
        <x:v>3291.1392</x:v>
      </x:c>
      <x:c r="E1821" s="12" t="n">
        <x:v>3229.082</x:v>
      </x:c>
      <x:c r="F1821" s="12" t="n">
        <x:v>3229.082</x:v>
      </x:c>
      <x:c r="G1821" s="12" t="n">
        <x:v>3300.8762</x:v>
      </x:c>
      <x:c r="H1821" s="12" t="n">
        <x:v>-71.7942</x:v>
      </x:c>
      <x:c r="I1821" s="12" t="n">
        <x:v>-2.175</x:v>
      </x:c>
      <x:c r="J1821" s="12" t="n">
        <x:v>-0.021990062068256426</x:v>
      </x:c>
      <x:c r="K1821" s="12" t="n">
        <x:v>108769728</x:v>
      </x:c>
      <x:c r="L1821" s="12" t="n">
        <x:v>173516385.2</x:v>
      </x:c>
      <x:c r="M1821" s="12" t="str">
        <x:v>TuShare index_daily</x:v>
      </x:c>
    </x:row>
    <x:row r="1822" ht="18" customHeight="1">
      <x:c r="A1822" s="13" t="n">
        <x:v>45309</x:v>
      </x:c>
      <x:c r="B1822" s="12" t="str">
        <x:v>000300.SH</x:v>
      </x:c>
      <x:c r="C1822" s="12" t="n">
        <x:v>3214.2844</x:v>
      </x:c>
      <x:c r="D1822" s="12" t="n">
        <x:v>3279.2538</x:v>
      </x:c>
      <x:c r="E1822" s="12" t="n">
        <x:v>3171.6329</x:v>
      </x:c>
      <x:c r="F1822" s="12" t="n">
        <x:v>3274.7286</x:v>
      </x:c>
      <x:c r="G1822" s="12" t="n">
        <x:v>3229.082</x:v>
      </x:c>
      <x:c r="H1822" s="12" t="n">
        <x:v>45.6466</x:v>
      </x:c>
      <x:c r="I1822" s="12" t="n">
        <x:v>1.4136</x:v>
      </x:c>
      <x:c r="J1822" s="12" t="n">
        <x:v>0.014037109111496884</x:v>
      </x:c>
      <x:c r="K1822" s="12" t="n">
        <x:v>174909168</x:v>
      </x:c>
      <x:c r="L1822" s="12" t="n">
        <x:v>256784536.8</x:v>
      </x:c>
      <x:c r="M1822" s="12" t="str">
        <x:v>TuShare index_daily</x:v>
      </x:c>
    </x:row>
    <x:row r="1823" ht="18" customHeight="1">
      <x:c r="A1823" s="13" t="n">
        <x:v>45310</x:v>
      </x:c>
      <x:c r="B1823" s="12" t="str">
        <x:v>000300.SH</x:v>
      </x:c>
      <x:c r="C1823" s="12" t="n">
        <x:v>3261.2393</x:v>
      </x:c>
      <x:c r="D1823" s="12" t="n">
        <x:v>3286.9415</x:v>
      </x:c>
      <x:c r="E1823" s="12" t="n">
        <x:v>3251.8136</x:v>
      </x:c>
      <x:c r="F1823" s="12" t="n">
        <x:v>3269.7763</x:v>
      </x:c>
      <x:c r="G1823" s="12" t="n">
        <x:v>3274.7286</x:v>
      </x:c>
      <x:c r="H1823" s="12" t="n">
        <x:v>-4.9523</x:v>
      </x:c>
      <x:c r="I1823" s="12" t="n">
        <x:v>-0.1512</x:v>
      </x:c>
      <x:c r="J1823" s="12" t="n">
        <x:v>-0.0015134226411072569</x:v>
      </x:c>
      <x:c r="K1823" s="12" t="n">
        <x:v>118501408</x:v>
      </x:c>
      <x:c r="L1823" s="12" t="n">
        <x:v>191261807.1</x:v>
      </x:c>
      <x:c r="M1823" s="12" t="str">
        <x:v>TuShare index_daily</x:v>
      </x:c>
    </x:row>
    <x:row r="1824" ht="18" customHeight="1">
      <x:c r="A1824" s="13" t="n">
        <x:v>45313</x:v>
      </x:c>
      <x:c r="B1824" s="12" t="str">
        <x:v>000300.SH</x:v>
      </x:c>
      <x:c r="C1824" s="12" t="n">
        <x:v>3262.4685</x:v>
      </x:c>
      <x:c r="D1824" s="12" t="n">
        <x:v>3281.4205</x:v>
      </x:c>
      <x:c r="E1824" s="12" t="n">
        <x:v>3193.1776</x:v>
      </x:c>
      <x:c r="F1824" s="12" t="n">
        <x:v>3218.9016</x:v>
      </x:c>
      <x:c r="G1824" s="12" t="n">
        <x:v>3269.7763</x:v>
      </x:c>
      <x:c r="H1824" s="12" t="n">
        <x:v>-50.8747</x:v>
      </x:c>
      <x:c r="I1824" s="12" t="n">
        <x:v>-1.5559</x:v>
      </x:c>
      <x:c r="J1824" s="12" t="n">
        <x:v>-0.015681389433262163</x:v>
      </x:c>
      <x:c r="K1824" s="12" t="n">
        <x:v>148705628</x:v>
      </x:c>
      <x:c r="L1824" s="12" t="n">
        <x:v>225510031.8</x:v>
      </x:c>
      <x:c r="M1824" s="12" t="str">
        <x:v>TuShare index_daily</x:v>
      </x:c>
    </x:row>
    <x:row r="1825" ht="18" customHeight="1">
      <x:c r="A1825" s="13" t="n">
        <x:v>45314</x:v>
      </x:c>
      <x:c r="B1825" s="12" t="str">
        <x:v>000300.SH</x:v>
      </x:c>
      <x:c r="C1825" s="12" t="n">
        <x:v>3208.4316</x:v>
      </x:c>
      <x:c r="D1825" s="12" t="n">
        <x:v>3249.5306</x:v>
      </x:c>
      <x:c r="E1825" s="12" t="n">
        <x:v>3188.1259</x:v>
      </x:c>
      <x:c r="F1825" s="12" t="n">
        <x:v>3231.9329</x:v>
      </x:c>
      <x:c r="G1825" s="12" t="n">
        <x:v>3218.9016</x:v>
      </x:c>
      <x:c r="H1825" s="12" t="n">
        <x:v>13.0313</x:v>
      </x:c>
      <x:c r="I1825" s="12" t="n">
        <x:v>0.4048</x:v>
      </x:c>
      <x:c r="J1825" s="12" t="n">
        <x:v>0.004040195954808554</x:v>
      </x:c>
      <x:c r="K1825" s="12" t="n">
        <x:v>122012000</x:v>
      </x:c>
      <x:c r="L1825" s="12" t="n">
        <x:v>193791168.6</x:v>
      </x:c>
      <x:c r="M1825" s="12" t="str">
        <x:v>TuShare index_daily</x:v>
      </x:c>
    </x:row>
    <x:row r="1826" ht="18" customHeight="1">
      <x:c r="A1826" s="13" t="n">
        <x:v>45315</x:v>
      </x:c>
      <x:c r="B1826" s="12" t="str">
        <x:v>000300.SH</x:v>
      </x:c>
      <x:c r="C1826" s="12" t="n">
        <x:v>3245.9592</x:v>
      </x:c>
      <x:c r="D1826" s="12" t="n">
        <x:v>3281.4892</x:v>
      </x:c>
      <x:c r="E1826" s="12" t="n">
        <x:v>3190.4674</x:v>
      </x:c>
      <x:c r="F1826" s="12" t="n">
        <x:v>3277.1089</x:v>
      </x:c>
      <x:c r="G1826" s="12" t="n">
        <x:v>3231.9329</x:v>
      </x:c>
      <x:c r="H1826" s="12" t="n">
        <x:v>45.176</x:v>
      </x:c>
      <x:c r="I1826" s="12" t="n">
        <x:v>1.3978</x:v>
      </x:c>
      <x:c r="J1826" s="12" t="n">
        <x:v>0.013881221474081462</x:v>
      </x:c>
      <x:c r="K1826" s="12" t="n">
        <x:v>154371954</x:v>
      </x:c>
      <x:c r="L1826" s="12" t="n">
        <x:v>219036341.6</x:v>
      </x:c>
      <x:c r="M1826" s="12" t="str">
        <x:v>TuShare index_daily</x:v>
      </x:c>
    </x:row>
    <x:row r="1827" ht="18" customHeight="1">
      <x:c r="A1827" s="13" t="n">
        <x:v>45316</x:v>
      </x:c>
      <x:c r="B1827" s="12" t="str">
        <x:v>000300.SH</x:v>
      </x:c>
      <x:c r="C1827" s="12" t="n">
        <x:v>3274.3391</x:v>
      </x:c>
      <x:c r="D1827" s="12" t="n">
        <x:v>3344.2426</x:v>
      </x:c>
      <x:c r="E1827" s="12" t="n">
        <x:v>3269.7943</x:v>
      </x:c>
      <x:c r="F1827" s="12" t="n">
        <x:v>3342.9189</x:v>
      </x:c>
      <x:c r="G1827" s="12" t="n">
        <x:v>3277.1089</x:v>
      </x:c>
      <x:c r="H1827" s="12" t="n">
        <x:v>65.81</x:v>
      </x:c>
      <x:c r="I1827" s="12" t="n">
        <x:v>2.0082</x:v>
      </x:c>
      <x:c r="J1827" s="12" t="n">
        <x:v>0.019882746717866898</x:v>
      </x:c>
      <x:c r="K1827" s="12" t="n">
        <x:v>196833614</x:v>
      </x:c>
      <x:c r="L1827" s="12" t="n">
        <x:v>265521115</x:v>
      </x:c>
      <x:c r="M1827" s="12" t="str">
        <x:v>TuShare index_daily</x:v>
      </x:c>
    </x:row>
    <x:row r="1828" ht="18" customHeight="1">
      <x:c r="A1828" s="13" t="n">
        <x:v>45317</x:v>
      </x:c>
      <x:c r="B1828" s="12" t="str">
        <x:v>000300.SH</x:v>
      </x:c>
      <x:c r="C1828" s="12" t="n">
        <x:v>3326.6465</x:v>
      </x:c>
      <x:c r="D1828" s="12" t="n">
        <x:v>3351.9692</x:v>
      </x:c>
      <x:c r="E1828" s="12" t="n">
        <x:v>3315.1265</x:v>
      </x:c>
      <x:c r="F1828" s="12" t="n">
        <x:v>3333.8213</x:v>
      </x:c>
      <x:c r="G1828" s="12" t="n">
        <x:v>3342.9189</x:v>
      </x:c>
      <x:c r="H1828" s="12" t="n">
        <x:v>-9.0976</x:v>
      </x:c>
      <x:c r="I1828" s="12" t="n">
        <x:v>-0.2721</x:v>
      </x:c>
      <x:c r="J1828" s="12" t="n">
        <x:v>-0.002725163884702412</x:v>
      </x:c>
      <x:c r="K1828" s="12" t="n">
        <x:v>180664005</x:v>
      </x:c>
      <x:c r="L1828" s="12" t="n">
        <x:v>238144899.5</x:v>
      </x:c>
      <x:c r="M1828" s="12" t="str">
        <x:v>TuShare index_daily</x:v>
      </x:c>
    </x:row>
    <x:row r="1829" ht="18" customHeight="1">
      <x:c r="A1829" s="13" t="n">
        <x:v>45320</x:v>
      </x:c>
      <x:c r="B1829" s="12" t="str">
        <x:v>000300.SH</x:v>
      </x:c>
      <x:c r="C1829" s="12" t="n">
        <x:v>3335.3936</x:v>
      </x:c>
      <x:c r="D1829" s="12" t="n">
        <x:v>3351.3715</x:v>
      </x:c>
      <x:c r="E1829" s="12" t="n">
        <x:v>3303.9604</x:v>
      </x:c>
      <x:c r="F1829" s="12" t="n">
        <x:v>3303.9604</x:v>
      </x:c>
      <x:c r="G1829" s="12" t="n">
        <x:v>3333.8213</x:v>
      </x:c>
      <x:c r="H1829" s="12" t="n">
        <x:v>-29.8609</x:v>
      </x:c>
      <x:c r="I1829" s="12" t="n">
        <x:v>-0.8957</x:v>
      </x:c>
      <x:c r="J1829" s="12" t="n">
        <x:v>-0.00899731349721521</x:v>
      </x:c>
      <x:c r="K1829" s="12" t="n">
        <x:v>184164795</x:v>
      </x:c>
      <x:c r="L1829" s="12" t="n">
        <x:v>244698013.6</x:v>
      </x:c>
      <x:c r="M1829" s="12" t="str">
        <x:v>TuShare index_daily</x:v>
      </x:c>
    </x:row>
    <x:row r="1830" ht="18" customHeight="1">
      <x:c r="A1830" s="13" t="n">
        <x:v>45321</x:v>
      </x:c>
      <x:c r="B1830" s="12" t="str">
        <x:v>000300.SH</x:v>
      </x:c>
      <x:c r="C1830" s="12" t="n">
        <x:v>3283.8977</x:v>
      </x:c>
      <x:c r="D1830" s="12" t="n">
        <x:v>3300.204</x:v>
      </x:c>
      <x:c r="E1830" s="12" t="n">
        <x:v>3244.9719</x:v>
      </x:c>
      <x:c r="F1830" s="12" t="n">
        <x:v>3245.0387</x:v>
      </x:c>
      <x:c r="G1830" s="12" t="n">
        <x:v>3303.9604</x:v>
      </x:c>
      <x:c r="H1830" s="12" t="n">
        <x:v>-58.9217</x:v>
      </x:c>
      <x:c r="I1830" s="12" t="n">
        <x:v>-1.7834</x:v>
      </x:c>
      <x:c r="J1830" s="12" t="n">
        <x:v>-0.01799459398974998</x:v>
      </x:c>
      <x:c r="K1830" s="12" t="n">
        <x:v>143649350</x:v>
      </x:c>
      <x:c r="L1830" s="12" t="n">
        <x:v>199592929.912</x:v>
      </x:c>
      <x:c r="M1830" s="12" t="str">
        <x:v>TuShare index_daily</x:v>
      </x:c>
    </x:row>
    <x:row r="1831" ht="18" customHeight="1">
      <x:c r="A1831" s="13" t="n">
        <x:v>45322</x:v>
      </x:c>
      <x:c r="B1831" s="12" t="str">
        <x:v>000300.SH</x:v>
      </x:c>
      <x:c r="C1831" s="12" t="n">
        <x:v>3231.5425</x:v>
      </x:c>
      <x:c r="D1831" s="12" t="n">
        <x:v>3252.1475</x:v>
      </x:c>
      <x:c r="E1831" s="12" t="n">
        <x:v>3201.9264</x:v>
      </x:c>
      <x:c r="F1831" s="12" t="n">
        <x:v>3215.3518</x:v>
      </x:c>
      <x:c r="G1831" s="12" t="n">
        <x:v>3245.0387</x:v>
      </x:c>
      <x:c r="H1831" s="12" t="n">
        <x:v>-29.6869</x:v>
      </x:c>
      <x:c r="I1831" s="12" t="n">
        <x:v>-0.9148</x:v>
      </x:c>
      <x:c r="J1831" s="12" t="n">
        <x:v>-0.009190499849532225</x:v>
      </x:c>
      <x:c r="K1831" s="12" t="n">
        <x:v>153143469</x:v>
      </x:c>
      <x:c r="L1831" s="12" t="n">
        <x:v>215333349.921</x:v>
      </x:c>
      <x:c r="M1831" s="12" t="str">
        <x:v>TuShare index_daily</x:v>
      </x:c>
    </x:row>
    <x:row r="1832" ht="18" customHeight="1">
      <x:c r="A1832" s="13" t="n">
        <x:v>45323</x:v>
      </x:c>
      <x:c r="B1832" s="12" t="str">
        <x:v>000300.SH</x:v>
      </x:c>
      <x:c r="C1832" s="12" t="n">
        <x:v>3202.2564</x:v>
      </x:c>
      <x:c r="D1832" s="12" t="n">
        <x:v>3251.7582</x:v>
      </x:c>
      <x:c r="E1832" s="12" t="n">
        <x:v>3191.8968</x:v>
      </x:c>
      <x:c r="F1832" s="12" t="n">
        <x:v>3217.7109</x:v>
      </x:c>
      <x:c r="G1832" s="12" t="n">
        <x:v>3215.3518</x:v>
      </x:c>
      <x:c r="H1832" s="12" t="n">
        <x:v>2.3591</x:v>
      </x:c>
      <x:c r="I1832" s="12" t="n">
        <x:v>0.0734</x:v>
      </x:c>
      <x:c r="J1832" s="12" t="n">
        <x:v>0.0007334298500620088</x:v>
      </x:c>
      <x:c r="K1832" s="12" t="n">
        <x:v>145516792</x:v>
      </x:c>
      <x:c r="L1832" s="12" t="n">
        <x:v>203815063.233</x:v>
      </x:c>
      <x:c r="M1832" s="12" t="str">
        <x:v>TuShare index_daily</x:v>
      </x:c>
    </x:row>
    <x:row r="1833" ht="18" customHeight="1">
      <x:c r="A1833" s="13" t="n">
        <x:v>45324</x:v>
      </x:c>
      <x:c r="B1833" s="12" t="str">
        <x:v>000300.SH</x:v>
      </x:c>
      <x:c r="C1833" s="12" t="n">
        <x:v>3219.8734</x:v>
      </x:c>
      <x:c r="D1833" s="12" t="n">
        <x:v>3235.4079</x:v>
      </x:c>
      <x:c r="E1833" s="12" t="n">
        <x:v>3108.3515</x:v>
      </x:c>
      <x:c r="F1833" s="12" t="n">
        <x:v>3179.6276</x:v>
      </x:c>
      <x:c r="G1833" s="12" t="n">
        <x:v>3217.7109</x:v>
      </x:c>
      <x:c r="H1833" s="12" t="n">
        <x:v>-38.0833</x:v>
      </x:c>
      <x:c r="I1833" s="12" t="n">
        <x:v>-1.1836</x:v>
      </x:c>
      <x:c r="J1833" s="12" t="n">
        <x:v>-0.011906123109234383</x:v>
      </x:c>
      <x:c r="K1833" s="12" t="n">
        <x:v>173758089</x:v>
      </x:c>
      <x:c r="L1833" s="12" t="n">
        <x:v>234495151.557</x:v>
      </x:c>
      <x:c r="M1833" s="12" t="str">
        <x:v>TuShare index_daily</x:v>
      </x:c>
    </x:row>
    <x:row r="1834" ht="18" customHeight="1">
      <x:c r="A1834" s="13" t="n">
        <x:v>45327</x:v>
      </x:c>
      <x:c r="B1834" s="12" t="str">
        <x:v>000300.SH</x:v>
      </x:c>
      <x:c r="C1834" s="12" t="n">
        <x:v>3164.25</x:v>
      </x:c>
      <x:c r="D1834" s="12" t="n">
        <x:v>3233.8485</x:v>
      </x:c>
      <x:c r="E1834" s="12" t="n">
        <x:v>3111.5184</x:v>
      </x:c>
      <x:c r="F1834" s="12" t="n">
        <x:v>3200.4218</x:v>
      </x:c>
      <x:c r="G1834" s="12" t="n">
        <x:v>3179.6276</x:v>
      </x:c>
      <x:c r="H1834" s="12" t="n">
        <x:v>20.7942</x:v>
      </x:c>
      <x:c r="I1834" s="12" t="n">
        <x:v>0.654</x:v>
      </x:c>
      <x:c r="J1834" s="12" t="n">
        <x:v>0.006518530602880647</x:v>
      </x:c>
      <x:c r="K1834" s="12" t="n">
        <x:v>203042970</x:v>
      </x:c>
      <x:c r="L1834" s="12" t="n">
        <x:v>279713141.507</x:v>
      </x:c>
      <x:c r="M1834" s="12" t="str">
        <x:v>TuShare index_daily</x:v>
      </x:c>
    </x:row>
    <x:row r="1835" ht="18" customHeight="1">
      <x:c r="A1835" s="13" t="n">
        <x:v>45328</x:v>
      </x:c>
      <x:c r="B1835" s="12" t="str">
        <x:v>000300.SH</x:v>
      </x:c>
      <x:c r="C1835" s="12" t="n">
        <x:v>3185.2498</x:v>
      </x:c>
      <x:c r="D1835" s="12" t="n">
        <x:v>3314.512</x:v>
      </x:c>
      <x:c r="E1835" s="12" t="n">
        <x:v>3182.8216</x:v>
      </x:c>
      <x:c r="F1835" s="12" t="n">
        <x:v>3311.6922</x:v>
      </x:c>
      <x:c r="G1835" s="12" t="n">
        <x:v>3200.4218</x:v>
      </x:c>
      <x:c r="H1835" s="12" t="n">
        <x:v>111.2704</x:v>
      </x:c>
      <x:c r="I1835" s="12" t="n">
        <x:v>3.4767</x:v>
      </x:c>
      <x:c r="J1835" s="12" t="n">
        <x:v>0.034176683802523346</x:v>
      </x:c>
      <x:c r="K1835" s="12" t="n">
        <x:v>202713099</x:v>
      </x:c>
      <x:c r="L1835" s="12" t="n">
        <x:v>285042020.946</x:v>
      </x:c>
      <x:c r="M1835" s="12" t="str">
        <x:v>TuShare index_daily</x:v>
      </x:c>
    </x:row>
    <x:row r="1836" ht="18" customHeight="1">
      <x:c r="A1836" s="13" t="n">
        <x:v>45329</x:v>
      </x:c>
      <x:c r="B1836" s="12" t="str">
        <x:v>000300.SH</x:v>
      </x:c>
      <x:c r="C1836" s="12" t="n">
        <x:v>3314.0306</x:v>
      </x:c>
      <x:c r="D1836" s="12" t="n">
        <x:v>3343.6303</x:v>
      </x:c>
      <x:c r="E1836" s="12" t="n">
        <x:v>3289.6704</x:v>
      </x:c>
      <x:c r="F1836" s="12" t="n">
        <x:v>3343.6303</x:v>
      </x:c>
      <x:c r="G1836" s="12" t="n">
        <x:v>3311.6922</x:v>
      </x:c>
      <x:c r="H1836" s="12" t="n">
        <x:v>31.9381</x:v>
      </x:c>
      <x:c r="I1836" s="12" t="n">
        <x:v>0.9644</x:v>
      </x:c>
      <x:c r="J1836" s="12" t="n">
        <x:v>0.009597835468869923</x:v>
      </x:c>
      <x:c r="K1836" s="12" t="n">
        <x:v>216647933</x:v>
      </x:c>
      <x:c r="L1836" s="12" t="n">
        <x:v>297997664.575</x:v>
      </x:c>
      <x:c r="M1836" s="12" t="str">
        <x:v>TuShare index_daily</x:v>
      </x:c>
    </x:row>
    <x:row r="1837" ht="18" customHeight="1">
      <x:c r="A1837" s="13" t="n">
        <x:v>45330</x:v>
      </x:c>
      <x:c r="B1837" s="12" t="str">
        <x:v>000300.SH</x:v>
      </x:c>
      <x:c r="C1837" s="12" t="n">
        <x:v>3351.4052</x:v>
      </x:c>
      <x:c r="D1837" s="12" t="n">
        <x:v>3367.2101</x:v>
      </x:c>
      <x:c r="E1837" s="12" t="n">
        <x:v>3336.9779</x:v>
      </x:c>
      <x:c r="F1837" s="12" t="n">
        <x:v>3364.9297</x:v>
      </x:c>
      <x:c r="G1837" s="12" t="n">
        <x:v>3343.6303</x:v>
      </x:c>
      <x:c r="H1837" s="12" t="n">
        <x:v>21.2994</x:v>
      </x:c>
      <x:c r="I1837" s="12" t="n">
        <x:v>0.637</x:v>
      </x:c>
      <x:c r="J1837" s="12" t="n">
        <x:v>0.006349938457429425</x:v>
      </x:c>
      <x:c r="K1837" s="12" t="n">
        <x:v>189977578</x:v>
      </x:c>
      <x:c r="L1837" s="12" t="n">
        <x:v>270239765.211</x:v>
      </x:c>
      <x:c r="M1837" s="12" t="str">
        <x:v>TuShare index_daily</x:v>
      </x:c>
    </x:row>
    <x:row r="1838" ht="18" customHeight="1">
      <x:c r="A1838" s="13" t="n">
        <x:v>45341</x:v>
      </x:c>
      <x:c r="B1838" s="12" t="str">
        <x:v>000300.SH</x:v>
      </x:c>
      <x:c r="C1838" s="12" t="n">
        <x:v>3393.1916</x:v>
      </x:c>
      <x:c r="D1838" s="12" t="n">
        <x:v>3403.8078</x:v>
      </x:c>
      <x:c r="E1838" s="12" t="n">
        <x:v>3364.1418</x:v>
      </x:c>
      <x:c r="F1838" s="12" t="n">
        <x:v>3403.8078</x:v>
      </x:c>
      <x:c r="G1838" s="12" t="n">
        <x:v>3364.9297</x:v>
      </x:c>
      <x:c r="H1838" s="12" t="n">
        <x:v>38.8781</x:v>
      </x:c>
      <x:c r="I1838" s="12" t="n">
        <x:v>1.1554</x:v>
      </x:c>
      <x:c r="J1838" s="12" t="n">
        <x:v>0.011487674784309955</x:v>
      </x:c>
      <x:c r="K1838" s="12" t="n">
        <x:v>183319800</x:v>
      </x:c>
      <x:c r="L1838" s="12" t="n">
        <x:v>267674145.147</x:v>
      </x:c>
      <x:c r="M1838" s="12" t="str">
        <x:v>TuShare index_daily</x:v>
      </x:c>
    </x:row>
    <x:row r="1839" ht="18" customHeight="1">
      <x:c r="A1839" s="13" t="n">
        <x:v>45342</x:v>
      </x:c>
      <x:c r="B1839" s="12" t="str">
        <x:v>000300.SH</x:v>
      </x:c>
      <x:c r="C1839" s="12" t="n">
        <x:v>3395.1916</x:v>
      </x:c>
      <x:c r="D1839" s="12" t="n">
        <x:v>3415.8943</x:v>
      </x:c>
      <x:c r="E1839" s="12" t="n">
        <x:v>3380.103</x:v>
      </x:c>
      <x:c r="F1839" s="12" t="n">
        <x:v>3410.8542</x:v>
      </x:c>
      <x:c r="G1839" s="12" t="n">
        <x:v>3403.8078</x:v>
      </x:c>
      <x:c r="H1839" s="12" t="n">
        <x:v>7.0464</x:v>
      </x:c>
      <x:c r="I1839" s="12" t="n">
        <x:v>0.207</x:v>
      </x:c>
      <x:c r="J1839" s="12" t="n">
        <x:v>0.0020680123273212306</x:v>
      </x:c>
      <x:c r="K1839" s="12" t="n">
        <x:v>140734581</x:v>
      </x:c>
      <x:c r="L1839" s="12" t="n">
        <x:v>218459281.946</x:v>
      </x:c>
      <x:c r="M1839" s="12" t="str">
        <x:v>TuShare index_daily</x:v>
      </x:c>
    </x:row>
    <x:row r="1840" ht="18" customHeight="1">
      <x:c r="A1840" s="13" t="n">
        <x:v>45343</x:v>
      </x:c>
      <x:c r="B1840" s="12" t="str">
        <x:v>000300.SH</x:v>
      </x:c>
      <x:c r="C1840" s="12" t="n">
        <x:v>3390.3619</x:v>
      </x:c>
      <x:c r="D1840" s="12" t="n">
        <x:v>3500.1338</x:v>
      </x:c>
      <x:c r="E1840" s="12" t="n">
        <x:v>3383.6911</x:v>
      </x:c>
      <x:c r="F1840" s="12" t="n">
        <x:v>3456.8713</x:v>
      </x:c>
      <x:c r="G1840" s="12" t="n">
        <x:v>3410.8542</x:v>
      </x:c>
      <x:c r="H1840" s="12" t="n">
        <x:v>46.0171</x:v>
      </x:c>
      <x:c r="I1840" s="12" t="n">
        <x:v>1.3491</x:v>
      </x:c>
      <x:c r="J1840" s="12" t="n">
        <x:v>0.013401172975739459</x:v>
      </x:c>
      <x:c r="K1840" s="12" t="n">
        <x:v>188879362</x:v>
      </x:c>
      <x:c r="L1840" s="12" t="n">
        <x:v>291823544.608</x:v>
      </x:c>
      <x:c r="M1840" s="12" t="str">
        <x:v>TuShare index_daily</x:v>
      </x:c>
    </x:row>
    <x:row r="1841" ht="18" customHeight="1">
      <x:c r="A1841" s="13" t="n">
        <x:v>45344</x:v>
      </x:c>
      <x:c r="B1841" s="12" t="str">
        <x:v>000300.SH</x:v>
      </x:c>
      <x:c r="C1841" s="12" t="n">
        <x:v>3450.3518</x:v>
      </x:c>
      <x:c r="D1841" s="12" t="n">
        <x:v>3486.6826</x:v>
      </x:c>
      <x:c r="E1841" s="12" t="n">
        <x:v>3448.4135</x:v>
      </x:c>
      <x:c r="F1841" s="12" t="n">
        <x:v>3486.6747</x:v>
      </x:c>
      <x:c r="G1841" s="12" t="n">
        <x:v>3456.8713</x:v>
      </x:c>
      <x:c r="H1841" s="12" t="n">
        <x:v>29.8034</x:v>
      </x:c>
      <x:c r="I1841" s="12" t="n">
        <x:v>0.8621</x:v>
      </x:c>
      <x:c r="J1841" s="12" t="n">
        <x:v>0.00858454254593906</x:v>
      </x:c>
      <x:c r="K1841" s="12" t="n">
        <x:v>141020784</x:v>
      </x:c>
      <x:c r="L1841" s="12" t="n">
        <x:v>225098128.873</x:v>
      </x:c>
      <x:c r="M1841" s="12" t="str">
        <x:v>TuShare index_daily</x:v>
      </x:c>
    </x:row>
    <x:row r="1842" ht="18" customHeight="1">
      <x:c r="A1842" s="13" t="n">
        <x:v>45345</x:v>
      </x:c>
      <x:c r="B1842" s="12" t="str">
        <x:v>000300.SH</x:v>
      </x:c>
      <x:c r="C1842" s="12" t="n">
        <x:v>3491.3367</x:v>
      </x:c>
      <x:c r="D1842" s="12" t="n">
        <x:v>3507.5592</x:v>
      </x:c>
      <x:c r="E1842" s="12" t="n">
        <x:v>3472.968</x:v>
      </x:c>
      <x:c r="F1842" s="12" t="n">
        <x:v>3489.7416</x:v>
      </x:c>
      <x:c r="G1842" s="12" t="n">
        <x:v>3486.6747</x:v>
      </x:c>
      <x:c r="H1842" s="12" t="n">
        <x:v>3.0669</x:v>
      </x:c>
      <x:c r="I1842" s="12" t="n">
        <x:v>0.088</x:v>
      </x:c>
      <x:c r="J1842" s="12" t="n">
        <x:v>0.0008792193773087833</x:v>
      </x:c>
      <x:c r="K1842" s="12" t="n">
        <x:v>144821273</x:v>
      </x:c>
      <x:c r="L1842" s="12" t="n">
        <x:v>232926057.114</x:v>
      </x:c>
      <x:c r="M1842" s="12" t="str">
        <x:v>TuShare index_daily</x:v>
      </x:c>
    </x:row>
    <x:row r="1843" ht="18" customHeight="1">
      <x:c r="A1843" s="13" t="n">
        <x:v>45348</x:v>
      </x:c>
      <x:c r="B1843" s="12" t="str">
        <x:v>000300.SH</x:v>
      </x:c>
      <x:c r="C1843" s="12" t="n">
        <x:v>3485.5427</x:v>
      </x:c>
      <x:c r="D1843" s="12" t="n">
        <x:v>3492.6061</x:v>
      </x:c>
      <x:c r="E1843" s="12" t="n">
        <x:v>3445.3889</x:v>
      </x:c>
      <x:c r="F1843" s="12" t="n">
        <x:v>3453.3585</x:v>
      </x:c>
      <x:c r="G1843" s="12" t="n">
        <x:v>3489.7416</x:v>
      </x:c>
      <x:c r="H1843" s="12" t="n">
        <x:v>-36.3831</x:v>
      </x:c>
      <x:c r="I1843" s="12" t="n">
        <x:v>-1.0426</x:v>
      </x:c>
      <x:c r="J1843" s="12" t="n">
        <x:v>-0.010480457577157869</x:v>
      </x:c>
      <x:c r="K1843" s="12" t="n">
        <x:v>151248331</x:v>
      </x:c>
      <x:c r="L1843" s="12" t="n">
        <x:v>238951637.715</x:v>
      </x:c>
      <x:c r="M1843" s="12" t="str">
        <x:v>TuShare index_daily</x:v>
      </x:c>
    </x:row>
    <x:row r="1844" ht="18" customHeight="1">
      <x:c r="A1844" s="13" t="n">
        <x:v>45349</x:v>
      </x:c>
      <x:c r="B1844" s="12" t="str">
        <x:v>000300.SH</x:v>
      </x:c>
      <x:c r="C1844" s="12" t="n">
        <x:v>3440.0516</x:v>
      </x:c>
      <x:c r="D1844" s="12" t="n">
        <x:v>3494.7874</x:v>
      </x:c>
      <x:c r="E1844" s="12" t="n">
        <x:v>3437.4422</x:v>
      </x:c>
      <x:c r="F1844" s="12" t="n">
        <x:v>3494.7874</x:v>
      </x:c>
      <x:c r="G1844" s="12" t="n">
        <x:v>3453.3585</x:v>
      </x:c>
      <x:c r="H1844" s="12" t="n">
        <x:v>41.4289</x:v>
      </x:c>
      <x:c r="I1844" s="12" t="n">
        <x:v>1.1997</x:v>
      </x:c>
      <x:c r="J1844" s="12" t="n">
        <x:v>0.011925308297313279</x:v>
      </x:c>
      <x:c r="K1844" s="12" t="n">
        <x:v>139528246</x:v>
      </x:c>
      <x:c r="L1844" s="12" t="n">
        <x:v>244488721.251</x:v>
      </x:c>
      <x:c r="M1844" s="12" t="str">
        <x:v>TuShare index_daily</x:v>
      </x:c>
    </x:row>
    <x:row r="1845" ht="18" customHeight="1">
      <x:c r="A1845" s="13" t="n">
        <x:v>45350</x:v>
      </x:c>
      <x:c r="B1845" s="12" t="str">
        <x:v>000300.SH</x:v>
      </x:c>
      <x:c r="C1845" s="12" t="n">
        <x:v>3499.8257</x:v>
      </x:c>
      <x:c r="D1845" s="12" t="n">
        <x:v>3521.6574</x:v>
      </x:c>
      <x:c r="E1845" s="12" t="n">
        <x:v>3450.2598</x:v>
      </x:c>
      <x:c r="F1845" s="12" t="n">
        <x:v>3450.2598</x:v>
      </x:c>
      <x:c r="G1845" s="12" t="n">
        <x:v>3494.7874</x:v>
      </x:c>
      <x:c r="H1845" s="12" t="n">
        <x:v>-44.5276</x:v>
      </x:c>
      <x:c r="I1845" s="12" t="n">
        <x:v>-1.2741</x:v>
      </x:c>
      <x:c r="J1845" s="12" t="n">
        <x:v>-0.012823011522909118</x:v>
      </x:c>
      <x:c r="K1845" s="12" t="n">
        <x:v>189837548</x:v>
      </x:c>
      <x:c r="L1845" s="12" t="n">
        <x:v>328300591.256</x:v>
      </x:c>
      <x:c r="M1845" s="12" t="str">
        <x:v>TuShare index_daily</x:v>
      </x:c>
    </x:row>
    <x:row r="1846" ht="18" customHeight="1">
      <x:c r="A1846" s="13" t="n">
        <x:v>45351</x:v>
      </x:c>
      <x:c r="B1846" s="12" t="str">
        <x:v>000300.SH</x:v>
      </x:c>
      <x:c r="C1846" s="12" t="n">
        <x:v>3437.8984</x:v>
      </x:c>
      <x:c r="D1846" s="12" t="n">
        <x:v>3516.0826</x:v>
      </x:c>
      <x:c r="E1846" s="12" t="n">
        <x:v>3437.8984</x:v>
      </x:c>
      <x:c r="F1846" s="12" t="n">
        <x:v>3516.0826</x:v>
      </x:c>
      <x:c r="G1846" s="12" t="n">
        <x:v>3450.2598</x:v>
      </x:c>
      <x:c r="H1846" s="12" t="n">
        <x:v>65.8228</x:v>
      </x:c>
      <x:c r="I1846" s="12" t="n">
        <x:v>1.9078</x:v>
      </x:c>
      <x:c r="J1846" s="12" t="n">
        <x:v>0.01889793959635261</x:v>
      </x:c>
      <x:c r="K1846" s="12" t="n">
        <x:v>155944532</x:v>
      </x:c>
      <x:c r="L1846" s="12" t="n">
        <x:v>281971899.288</x:v>
      </x:c>
      <x:c r="M1846" s="12" t="str">
        <x:v>TuShare index_daily</x:v>
      </x:c>
    </x:row>
    <x:row r="1847" ht="18" customHeight="1">
      <x:c r="A1847" s="13" t="n">
        <x:v>45352</x:v>
      </x:c>
      <x:c r="B1847" s="12" t="str">
        <x:v>000300.SH</x:v>
      </x:c>
      <x:c r="C1847" s="12" t="n">
        <x:v>3515.0587</x:v>
      </x:c>
      <x:c r="D1847" s="12" t="n">
        <x:v>3544.3595</x:v>
      </x:c>
      <x:c r="E1847" s="12" t="n">
        <x:v>3503.459</x:v>
      </x:c>
      <x:c r="F1847" s="12" t="n">
        <x:v>3537.8038</x:v>
      </x:c>
      <x:c r="G1847" s="12" t="n">
        <x:v>3516.0826</x:v>
      </x:c>
      <x:c r="H1847" s="12" t="n">
        <x:v>21.7212</x:v>
      </x:c>
      <x:c r="I1847" s="12" t="n">
        <x:v>0.6178</x:v>
      </x:c>
      <x:c r="J1847" s="12" t="n">
        <x:v>0.00615866698833239</x:v>
      </x:c>
      <x:c r="K1847" s="12" t="n">
        <x:v>162709570</x:v>
      </x:c>
      <x:c r="L1847" s="12" t="n">
        <x:v>288575619.225</x:v>
      </x:c>
      <x:c r="M1847" s="12" t="str">
        <x:v>TuShare index_daily</x:v>
      </x:c>
    </x:row>
    <x:row r="1848" ht="18" customHeight="1">
      <x:c r="A1848" s="13" t="n">
        <x:v>45355</x:v>
      </x:c>
      <x:c r="B1848" s="12" t="str">
        <x:v>000300.SH</x:v>
      </x:c>
      <x:c r="C1848" s="12" t="n">
        <x:v>3538.366</x:v>
      </x:c>
      <x:c r="D1848" s="12" t="n">
        <x:v>3548.6901</x:v>
      </x:c>
      <x:c r="E1848" s="12" t="n">
        <x:v>3519.7599</x:v>
      </x:c>
      <x:c r="F1848" s="12" t="n">
        <x:v>3540.8686</x:v>
      </x:c>
      <x:c r="G1848" s="12" t="n">
        <x:v>3537.8038</x:v>
      </x:c>
      <x:c r="H1848" s="12" t="n">
        <x:v>3.0648</x:v>
      </x:c>
      <x:c r="I1848" s="12" t="n">
        <x:v>0.0866</x:v>
      </x:c>
      <x:c r="J1848" s="12" t="n">
        <x:v>0.0008659251391561114</x:v>
      </x:c>
      <x:c r="K1848" s="12" t="n">
        <x:v>163244613</x:v>
      </x:c>
      <x:c r="L1848" s="12" t="n">
        <x:v>297719931.809</x:v>
      </x:c>
      <x:c r="M1848" s="12" t="str">
        <x:v>TuShare index_daily</x:v>
      </x:c>
    </x:row>
    <x:row r="1849" ht="18" customHeight="1">
      <x:c r="A1849" s="13" t="n">
        <x:v>45356</x:v>
      </x:c>
      <x:c r="B1849" s="12" t="str">
        <x:v>000300.SH</x:v>
      </x:c>
      <x:c r="C1849" s="12" t="n">
        <x:v>3524.9644</x:v>
      </x:c>
      <x:c r="D1849" s="12" t="n">
        <x:v>3570.6935</x:v>
      </x:c>
      <x:c r="E1849" s="12" t="n">
        <x:v>3519.0816</x:v>
      </x:c>
      <x:c r="F1849" s="12" t="n">
        <x:v>3565.5143</x:v>
      </x:c>
      <x:c r="G1849" s="12" t="n">
        <x:v>3540.8686</x:v>
      </x:c>
      <x:c r="H1849" s="12" t="n">
        <x:v>24.6457</x:v>
      </x:c>
      <x:c r="I1849" s="12" t="n">
        <x:v>0.696</x:v>
      </x:c>
      <x:c r="J1849" s="12" t="n">
        <x:v>0.0069362428561649415</x:v>
      </x:c>
      <x:c r="K1849" s="12" t="n">
        <x:v>166422389</x:v>
      </x:c>
      <x:c r="L1849" s="12" t="n">
        <x:v>299895929.709</x:v>
      </x:c>
      <x:c r="M1849" s="12" t="str">
        <x:v>TuShare index_daily</x:v>
      </x:c>
    </x:row>
    <x:row r="1850" ht="18" customHeight="1">
      <x:c r="A1850" s="13" t="n">
        <x:v>45357</x:v>
      </x:c>
      <x:c r="B1850" s="12" t="str">
        <x:v>000300.SH</x:v>
      </x:c>
      <x:c r="C1850" s="12" t="n">
        <x:v>3556.5323</x:v>
      </x:c>
      <x:c r="D1850" s="12" t="n">
        <x:v>3577.3883</x:v>
      </x:c>
      <x:c r="E1850" s="12" t="n">
        <x:v>3545.1013</x:v>
      </x:c>
      <x:c r="F1850" s="12" t="n">
        <x:v>3551.0481</x:v>
      </x:c>
      <x:c r="G1850" s="12" t="n">
        <x:v>3565.5143</x:v>
      </x:c>
      <x:c r="H1850" s="12" t="n">
        <x:v>-14.4662</x:v>
      </x:c>
      <x:c r="I1850" s="12" t="n">
        <x:v>-0.4057</x:v>
      </x:c>
      <x:c r="J1850" s="12" t="n">
        <x:v>-0.004065507786512169</x:v>
      </x:c>
      <x:c r="K1850" s="12" t="n">
        <x:v>143076613</x:v>
      </x:c>
      <x:c r="L1850" s="12" t="n">
        <x:v>248294165.707</x:v>
      </x:c>
      <x:c r="M1850" s="12" t="str">
        <x:v>TuShare index_daily</x:v>
      </x:c>
    </x:row>
    <x:row r="1851" ht="18" customHeight="1">
      <x:c r="A1851" s="13" t="n">
        <x:v>45358</x:v>
      </x:c>
      <x:c r="B1851" s="12" t="str">
        <x:v>000300.SH</x:v>
      </x:c>
      <x:c r="C1851" s="12" t="n">
        <x:v>3548.1007</x:v>
      </x:c>
      <x:c r="D1851" s="12" t="n">
        <x:v>3569.9185</x:v>
      </x:c>
      <x:c r="E1851" s="12" t="n">
        <x:v>3522.8964</x:v>
      </x:c>
      <x:c r="F1851" s="12" t="n">
        <x:v>3529.7195</x:v>
      </x:c>
      <x:c r="G1851" s="12" t="n">
        <x:v>3551.0481</x:v>
      </x:c>
      <x:c r="H1851" s="12" t="n">
        <x:v>-21.3286</x:v>
      </x:c>
      <x:c r="I1851" s="12" t="n">
        <x:v>-0.6006</x:v>
      </x:c>
      <x:c r="J1851" s="12" t="n">
        <x:v>-0.006024393317779147</x:v>
      </x:c>
      <x:c r="K1851" s="12" t="n">
        <x:v>148110510</x:v>
      </x:c>
      <x:c r="L1851" s="12" t="n">
        <x:v>251839533.036</x:v>
      </x:c>
      <x:c r="M1851" s="12" t="str">
        <x:v>TuShare index_daily</x:v>
      </x:c>
    </x:row>
    <x:row r="1852" ht="18" customHeight="1">
      <x:c r="A1852" s="13" t="n">
        <x:v>45359</x:v>
      </x:c>
      <x:c r="B1852" s="12" t="str">
        <x:v>000300.SH</x:v>
      </x:c>
      <x:c r="C1852" s="12" t="n">
        <x:v>3529.5509</x:v>
      </x:c>
      <x:c r="D1852" s="12" t="n">
        <x:v>3548.5055</x:v>
      </x:c>
      <x:c r="E1852" s="12" t="n">
        <x:v>3511.577</x:v>
      </x:c>
      <x:c r="F1852" s="12" t="n">
        <x:v>3544.9099</x:v>
      </x:c>
      <x:c r="G1852" s="12" t="n">
        <x:v>3529.7195</x:v>
      </x:c>
      <x:c r="H1852" s="12" t="n">
        <x:v>15.1904</x:v>
      </x:c>
      <x:c r="I1852" s="12" t="n">
        <x:v>0.4304</x:v>
      </x:c>
      <x:c r="J1852" s="12" t="n">
        <x:v>0.004294337550533564</x:v>
      </x:c>
      <x:c r="K1852" s="12" t="n">
        <x:v>125792664</x:v>
      </x:c>
      <x:c r="L1852" s="12" t="n">
        <x:v>225379101.014</x:v>
      </x:c>
      <x:c r="M1852" s="12" t="str">
        <x:v>TuShare index_daily</x:v>
      </x:c>
    </x:row>
    <x:row r="1853" ht="18" customHeight="1">
      <x:c r="A1853" s="13" t="n">
        <x:v>45362</x:v>
      </x:c>
      <x:c r="B1853" s="12" t="str">
        <x:v>000300.SH</x:v>
      </x:c>
      <x:c r="C1853" s="12" t="n">
        <x:v>3545.9427</x:v>
      </x:c>
      <x:c r="D1853" s="12" t="n">
        <x:v>3589.2635</x:v>
      </x:c>
      <x:c r="E1853" s="12" t="n">
        <x:v>3542.2789</x:v>
      </x:c>
      <x:c r="F1853" s="12" t="n">
        <x:v>3589.2635</x:v>
      </x:c>
      <x:c r="G1853" s="12" t="n">
        <x:v>3544.9099</x:v>
      </x:c>
      <x:c r="H1853" s="12" t="n">
        <x:v>44.3536</x:v>
      </x:c>
      <x:c r="I1853" s="12" t="n">
        <x:v>1.2512</x:v>
      </x:c>
      <x:c r="J1853" s="12" t="n">
        <x:v>0.012434284667935624</x:v>
      </x:c>
      <x:c r="K1853" s="12" t="n">
        <x:v>148202825</x:v>
      </x:c>
      <x:c r="L1853" s="12" t="n">
        <x:v>286418582.155</x:v>
      </x:c>
      <x:c r="M1853" s="12" t="str">
        <x:v>TuShare index_daily</x:v>
      </x:c>
    </x:row>
    <x:row r="1854" ht="18" customHeight="1">
      <x:c r="A1854" s="13" t="n">
        <x:v>45363</x:v>
      </x:c>
      <x:c r="B1854" s="12" t="str">
        <x:v>000300.SH</x:v>
      </x:c>
      <x:c r="C1854" s="12" t="n">
        <x:v>3592.5826</x:v>
      </x:c>
      <x:c r="D1854" s="12" t="n">
        <x:v>3605.6976</x:v>
      </x:c>
      <x:c r="E1854" s="12" t="n">
        <x:v>3574.2117</x:v>
      </x:c>
      <x:c r="F1854" s="12" t="n">
        <x:v>3597.4939</x:v>
      </x:c>
      <x:c r="G1854" s="12" t="n">
        <x:v>3589.2635</x:v>
      </x:c>
      <x:c r="H1854" s="12" t="n">
        <x:v>8.2304</x:v>
      </x:c>
      <x:c r="I1854" s="12" t="n">
        <x:v>0.2293</x:v>
      </x:c>
      <x:c r="J1854" s="12" t="n">
        <x:v>0.002290435905940713</x:v>
      </x:c>
      <x:c r="K1854" s="12" t="n">
        <x:v>180685560</x:v>
      </x:c>
      <x:c r="L1854" s="12" t="n">
        <x:v>339997042.337</x:v>
      </x:c>
      <x:c r="M1854" s="12" t="str">
        <x:v>TuShare index_daily</x:v>
      </x:c>
    </x:row>
    <x:row r="1855" ht="18" customHeight="1">
      <x:c r="A1855" s="13" t="n">
        <x:v>45364</x:v>
      </x:c>
      <x:c r="B1855" s="12" t="str">
        <x:v>000300.SH</x:v>
      </x:c>
      <x:c r="C1855" s="12" t="n">
        <x:v>3594.4211</x:v>
      </x:c>
      <x:c r="D1855" s="12" t="n">
        <x:v>3594.4211</x:v>
      </x:c>
      <x:c r="E1855" s="12" t="n">
        <x:v>3563.3685</x:v>
      </x:c>
      <x:c r="F1855" s="12" t="n">
        <x:v>3572.361</x:v>
      </x:c>
      <x:c r="G1855" s="12" t="n">
        <x:v>3597.4939</x:v>
      </x:c>
      <x:c r="H1855" s="12" t="n">
        <x:v>-25.1329</x:v>
      </x:c>
      <x:c r="I1855" s="12" t="n">
        <x:v>-0.6986</x:v>
      </x:c>
      <x:c r="J1855" s="12" t="n">
        <x:v>-0.007010742418553548</x:v>
      </x:c>
      <x:c r="K1855" s="12" t="n">
        <x:v>144590590</x:v>
      </x:c>
      <x:c r="L1855" s="12" t="n">
        <x:v>266898756.38</x:v>
      </x:c>
      <x:c r="M1855" s="12" t="str">
        <x:v>TuShare index_daily</x:v>
      </x:c>
    </x:row>
    <x:row r="1856" ht="18" customHeight="1">
      <x:c r="A1856" s="13" t="n">
        <x:v>45365</x:v>
      </x:c>
      <x:c r="B1856" s="12" t="str">
        <x:v>000300.SH</x:v>
      </x:c>
      <x:c r="C1856" s="12" t="n">
        <x:v>3571.7885</x:v>
      </x:c>
      <x:c r="D1856" s="12" t="n">
        <x:v>3597.46</x:v>
      </x:c>
      <x:c r="E1856" s="12" t="n">
        <x:v>3545.612</x:v>
      </x:c>
      <x:c r="F1856" s="12" t="n">
        <x:v>3562.2229</x:v>
      </x:c>
      <x:c r="G1856" s="12" t="n">
        <x:v>3572.361</x:v>
      </x:c>
      <x:c r="H1856" s="12" t="n">
        <x:v>-10.1381</x:v>
      </x:c>
      <x:c r="I1856" s="12" t="n">
        <x:v>-0.2838</x:v>
      </x:c>
      <x:c r="J1856" s="12" t="n">
        <x:v>-0.0028419616240185283</x:v>
      </x:c>
      <x:c r="K1856" s="12" t="n">
        <x:v>140962722</x:v>
      </x:c>
      <x:c r="L1856" s="12" t="n">
        <x:v>263803609.335</x:v>
      </x:c>
      <x:c r="M1856" s="12" t="str">
        <x:v>TuShare index_daily</x:v>
      </x:c>
    </x:row>
    <x:row r="1857" ht="18" customHeight="1">
      <x:c r="A1857" s="13" t="n">
        <x:v>45366</x:v>
      </x:c>
      <x:c r="B1857" s="12" t="str">
        <x:v>000300.SH</x:v>
      </x:c>
      <x:c r="C1857" s="12" t="n">
        <x:v>3554.9068</x:v>
      </x:c>
      <x:c r="D1857" s="12" t="n">
        <x:v>3572.8091</x:v>
      </x:c>
      <x:c r="E1857" s="12" t="n">
        <x:v>3533.6798</x:v>
      </x:c>
      <x:c r="F1857" s="12" t="n">
        <x:v>3569.993</x:v>
      </x:c>
      <x:c r="G1857" s="12" t="n">
        <x:v>3562.2229</x:v>
      </x:c>
      <x:c r="H1857" s="12" t="n">
        <x:v>7.7701</x:v>
      </x:c>
      <x:c r="I1857" s="12" t="n">
        <x:v>0.2181</x:v>
      </x:c>
      <x:c r="J1857" s="12" t="n">
        <x:v>0.0021788748918951115</x:v>
      </x:c>
      <x:c r="K1857" s="12" t="n">
        <x:v>138316044</x:v>
      </x:c>
      <x:c r="L1857" s="12" t="n">
        <x:v>243991558.366</x:v>
      </x:c>
      <x:c r="M1857" s="12" t="str">
        <x:v>TuShare index_daily</x:v>
      </x:c>
    </x:row>
    <x:row r="1858" ht="18" customHeight="1">
      <x:c r="A1858" s="13" t="n">
        <x:v>45369</x:v>
      </x:c>
      <x:c r="B1858" s="12" t="str">
        <x:v>000300.SH</x:v>
      </x:c>
      <x:c r="C1858" s="12" t="n">
        <x:v>3577.0564</x:v>
      </x:c>
      <x:c r="D1858" s="12" t="n">
        <x:v>3604.0519</x:v>
      </x:c>
      <x:c r="E1858" s="12" t="n">
        <x:v>3573.404</x:v>
      </x:c>
      <x:c r="F1858" s="12" t="n">
        <x:v>3603.528</x:v>
      </x:c>
      <x:c r="G1858" s="12" t="n">
        <x:v>3569.993</x:v>
      </x:c>
      <x:c r="H1858" s="12" t="n">
        <x:v>33.535</x:v>
      </x:c>
      <x:c r="I1858" s="12" t="n">
        <x:v>0.9394</x:v>
      </x:c>
      <x:c r="J1858" s="12" t="n">
        <x:v>0.009349730570252965</x:v>
      </x:c>
      <x:c r="K1858" s="12" t="n">
        <x:v>160379438</x:v>
      </x:c>
      <x:c r="L1858" s="12" t="n">
        <x:v>295314840.611</x:v>
      </x:c>
      <x:c r="M1858" s="12" t="str">
        <x:v>TuShare index_daily</x:v>
      </x:c>
    </x:row>
    <x:row r="1859" ht="18" customHeight="1">
      <x:c r="A1859" s="13" t="n">
        <x:v>45370</x:v>
      </x:c>
      <x:c r="B1859" s="12" t="str">
        <x:v>000300.SH</x:v>
      </x:c>
      <x:c r="C1859" s="12" t="n">
        <x:v>3593.3396</x:v>
      </x:c>
      <x:c r="D1859" s="12" t="n">
        <x:v>3610.7389</x:v>
      </x:c>
      <x:c r="E1859" s="12" t="n">
        <x:v>3577.188</x:v>
      </x:c>
      <x:c r="F1859" s="12" t="n">
        <x:v>3577.6303</x:v>
      </x:c>
      <x:c r="G1859" s="12" t="n">
        <x:v>3603.528</x:v>
      </x:c>
      <x:c r="H1859" s="12" t="n">
        <x:v>-25.8977</x:v>
      </x:c>
      <x:c r="I1859" s="12" t="n">
        <x:v>-0.7187</x:v>
      </x:c>
      <x:c r="J1859" s="12" t="n">
        <x:v>-0.0072127117079038095</x:v>
      </x:c>
      <x:c r="K1859" s="12" t="n">
        <x:v>145571786</x:v>
      </x:c>
      <x:c r="L1859" s="12" t="n">
        <x:v>259553448.413</x:v>
      </x:c>
      <x:c r="M1859" s="12" t="str">
        <x:v>TuShare index_daily</x:v>
      </x:c>
    </x:row>
    <x:row r="1860" ht="18" customHeight="1">
      <x:c r="A1860" s="13" t="n">
        <x:v>45371</x:v>
      </x:c>
      <x:c r="B1860" s="12" t="str">
        <x:v>000300.SH</x:v>
      </x:c>
      <x:c r="C1860" s="12" t="n">
        <x:v>3568.7158</x:v>
      </x:c>
      <x:c r="D1860" s="12" t="n">
        <x:v>3589.5456</x:v>
      </x:c>
      <x:c r="E1860" s="12" t="n">
        <x:v>3568.4341</x:v>
      </x:c>
      <x:c r="F1860" s="12" t="n">
        <x:v>3585.3838</x:v>
      </x:c>
      <x:c r="G1860" s="12" t="n">
        <x:v>3577.6303</x:v>
      </x:c>
      <x:c r="H1860" s="12" t="n">
        <x:v>7.7535</x:v>
      </x:c>
      <x:c r="I1860" s="12" t="n">
        <x:v>0.2167</x:v>
      </x:c>
      <x:c r="J1860" s="12" t="n">
        <x:v>0.0021648716364173998</x:v>
      </x:c>
      <x:c r="K1860" s="12" t="n">
        <x:v>129528966</x:v>
      </x:c>
      <x:c r="L1860" s="12" t="n">
        <x:v>223752103.886</x:v>
      </x:c>
      <x:c r="M1860" s="12" t="str">
        <x:v>TuShare index_daily</x:v>
      </x:c>
    </x:row>
    <x:row r="1861" ht="18" customHeight="1">
      <x:c r="A1861" s="13" t="n">
        <x:v>45372</x:v>
      </x:c>
      <x:c r="B1861" s="12" t="str">
        <x:v>000300.SH</x:v>
      </x:c>
      <x:c r="C1861" s="12" t="n">
        <x:v>3593.07</x:v>
      </x:c>
      <x:c r="D1861" s="12" t="n">
        <x:v>3601.1145</x:v>
      </x:c>
      <x:c r="E1861" s="12" t="n">
        <x:v>3575.0331</x:v>
      </x:c>
      <x:c r="F1861" s="12" t="n">
        <x:v>3581.0902</x:v>
      </x:c>
      <x:c r="G1861" s="12" t="n">
        <x:v>3585.3838</x:v>
      </x:c>
      <x:c r="H1861" s="12" t="n">
        <x:v>-4.2936</x:v>
      </x:c>
      <x:c r="I1861" s="12" t="n">
        <x:v>-0.1198</x:v>
      </x:c>
      <x:c r="J1861" s="12" t="n">
        <x:v>-0.0011982463101735089</x:v>
      </x:c>
      <x:c r="K1861" s="12" t="n">
        <x:v>130743377</x:v>
      </x:c>
      <x:c r="L1861" s="12" t="n">
        <x:v>233162492.63</x:v>
      </x:c>
      <x:c r="M1861" s="12" t="str">
        <x:v>TuShare index_daily</x:v>
      </x:c>
    </x:row>
    <x:row r="1862" ht="18" customHeight="1">
      <x:c r="A1862" s="13" t="n">
        <x:v>45373</x:v>
      </x:c>
      <x:c r="B1862" s="12" t="str">
        <x:v>000300.SH</x:v>
      </x:c>
      <x:c r="C1862" s="12" t="n">
        <x:v>3571.2736</x:v>
      </x:c>
      <x:c r="D1862" s="12" t="n">
        <x:v>3575.7171</x:v>
      </x:c>
      <x:c r="E1862" s="12" t="n">
        <x:v>3522.8404</x:v>
      </x:c>
      <x:c r="F1862" s="12" t="n">
        <x:v>3545.0023</x:v>
      </x:c>
      <x:c r="G1862" s="12" t="n">
        <x:v>3581.0902</x:v>
      </x:c>
      <x:c r="H1862" s="12" t="n">
        <x:v>-36.0879</x:v>
      </x:c>
      <x:c r="I1862" s="12" t="n">
        <x:v>-1.0077</x:v>
      </x:c>
      <x:c r="J1862" s="12" t="n">
        <x:v>-0.010128470408895992</x:v>
      </x:c>
      <x:c r="K1862" s="12" t="n">
        <x:v>139227358</x:v>
      </x:c>
      <x:c r="L1862" s="12" t="n">
        <x:v>248850931.022</x:v>
      </x:c>
      <x:c r="M1862" s="12" t="str">
        <x:v>TuShare index_daily</x:v>
      </x:c>
    </x:row>
    <x:row r="1863" ht="18" customHeight="1">
      <x:c r="A1863" s="13" t="n">
        <x:v>45376</x:v>
      </x:c>
      <x:c r="B1863" s="12" t="str">
        <x:v>000300.SH</x:v>
      </x:c>
      <x:c r="C1863" s="12" t="n">
        <x:v>3536.7136</x:v>
      </x:c>
      <x:c r="D1863" s="12" t="n">
        <x:v>3564.9604</x:v>
      </x:c>
      <x:c r="E1863" s="12" t="n">
        <x:v>3525.7634</x:v>
      </x:c>
      <x:c r="F1863" s="12" t="n">
        <x:v>3525.7634</x:v>
      </x:c>
      <x:c r="G1863" s="12" t="n">
        <x:v>3545.0023</x:v>
      </x:c>
      <x:c r="H1863" s="12" t="n">
        <x:v>-19.2389</x:v>
      </x:c>
      <x:c r="I1863" s="12" t="n">
        <x:v>-0.5427</x:v>
      </x:c>
      <x:c r="J1863" s="12" t="n">
        <x:v>-0.005441828592219171</x:v>
      </x:c>
      <x:c r="K1863" s="12" t="n">
        <x:v>137015724</x:v>
      </x:c>
      <x:c r="L1863" s="12" t="n">
        <x:v>233747256.235</x:v>
      </x:c>
      <x:c r="M1863" s="12" t="str">
        <x:v>TuShare index_daily</x:v>
      </x:c>
    </x:row>
    <x:row r="1864" ht="18" customHeight="1">
      <x:c r="A1864" s="13" t="n">
        <x:v>45377</x:v>
      </x:c>
      <x:c r="B1864" s="12" t="str">
        <x:v>000300.SH</x:v>
      </x:c>
      <x:c r="C1864" s="12" t="n">
        <x:v>3526.6818</x:v>
      </x:c>
      <x:c r="D1864" s="12" t="n">
        <x:v>3547.6461</x:v>
      </x:c>
      <x:c r="E1864" s="12" t="n">
        <x:v>3518.6018</x:v>
      </x:c>
      <x:c r="F1864" s="12" t="n">
        <x:v>3543.7467</x:v>
      </x:c>
      <x:c r="G1864" s="12" t="n">
        <x:v>3525.7634</x:v>
      </x:c>
      <x:c r="H1864" s="12" t="n">
        <x:v>17.9833</x:v>
      </x:c>
      <x:c r="I1864" s="12" t="n">
        <x:v>0.5101</x:v>
      </x:c>
      <x:c r="J1864" s="12" t="n">
        <x:v>0.005087577083770784</x:v>
      </x:c>
      <x:c r="K1864" s="12" t="n">
        <x:v>126209535</x:v>
      </x:c>
      <x:c r="L1864" s="12" t="n">
        <x:v>226730734.844</x:v>
      </x:c>
      <x:c r="M1864" s="12" t="str">
        <x:v>TuShare index_daily</x:v>
      </x:c>
    </x:row>
    <x:row r="1865" ht="18" customHeight="1">
      <x:c r="A1865" s="13" t="n">
        <x:v>45378</x:v>
      </x:c>
      <x:c r="B1865" s="12" t="str">
        <x:v>000300.SH</x:v>
      </x:c>
      <x:c r="C1865" s="12" t="n">
        <x:v>3538.7244</x:v>
      </x:c>
      <x:c r="D1865" s="12" t="n">
        <x:v>3542.9624</x:v>
      </x:c>
      <x:c r="E1865" s="12" t="n">
        <x:v>3502.7866</x:v>
      </x:c>
      <x:c r="F1865" s="12" t="n">
        <x:v>3502.7866</x:v>
      </x:c>
      <x:c r="G1865" s="12" t="n">
        <x:v>3543.7467</x:v>
      </x:c>
      <x:c r="H1865" s="12" t="n">
        <x:v>-40.9601</x:v>
      </x:c>
      <x:c r="I1865" s="12" t="n">
        <x:v>-1.1558</x:v>
      </x:c>
      <x:c r="J1865" s="12" t="n">
        <x:v>-0.011625734128965096</x:v>
      </x:c>
      <x:c r="K1865" s="12" t="n">
        <x:v>128626763</x:v>
      </x:c>
      <x:c r="L1865" s="12" t="n">
        <x:v>216404726.566</x:v>
      </x:c>
      <x:c r="M1865" s="12" t="str">
        <x:v>TuShare index_daily</x:v>
      </x:c>
    </x:row>
    <x:row r="1866" ht="18" customHeight="1">
      <x:c r="A1866" s="13" t="n">
        <x:v>45379</x:v>
      </x:c>
      <x:c r="B1866" s="12" t="str">
        <x:v>000300.SH</x:v>
      </x:c>
      <x:c r="C1866" s="12" t="n">
        <x:v>3498.482</x:v>
      </x:c>
      <x:c r="D1866" s="12" t="n">
        <x:v>3551.2143</x:v>
      </x:c>
      <x:c r="E1866" s="12" t="n">
        <x:v>3489.3861</x:v>
      </x:c>
      <x:c r="F1866" s="12" t="n">
        <x:v>3520.9648</x:v>
      </x:c>
      <x:c r="G1866" s="12" t="n">
        <x:v>3502.7866</x:v>
      </x:c>
      <x:c r="H1866" s="12" t="n">
        <x:v>18.1782</x:v>
      </x:c>
      <x:c r="I1866" s="12" t="n">
        <x:v>0.519</x:v>
      </x:c>
      <x:c r="J1866" s="12" t="n">
        <x:v>0.005176219815450503</x:v>
      </x:c>
      <x:c r="K1866" s="12" t="n">
        <x:v>143334717</x:v>
      </x:c>
      <x:c r="L1866" s="12" t="n">
        <x:v>232530806.335</x:v>
      </x:c>
      <x:c r="M1866" s="12" t="str">
        <x:v>TuShare index_daily</x:v>
      </x:c>
    </x:row>
    <x:row r="1867" ht="18" customHeight="1">
      <x:c r="A1867" s="13" t="n">
        <x:v>45380</x:v>
      </x:c>
      <x:c r="B1867" s="12" t="str">
        <x:v>000300.SH</x:v>
      </x:c>
      <x:c r="C1867" s="12" t="n">
        <x:v>3516.883</x:v>
      </x:c>
      <x:c r="D1867" s="12" t="n">
        <x:v>3538.2378</x:v>
      </x:c>
      <x:c r="E1867" s="12" t="n">
        <x:v>3516.883</x:v>
      </x:c>
      <x:c r="F1867" s="12" t="n">
        <x:v>3537.4843</x:v>
      </x:c>
      <x:c r="G1867" s="12" t="n">
        <x:v>3520.9648</x:v>
      </x:c>
      <x:c r="H1867" s="12" t="n">
        <x:v>16.5195</x:v>
      </x:c>
      <x:c r="I1867" s="12" t="n">
        <x:v>0.4692</x:v>
      </x:c>
      <x:c r="J1867" s="12" t="n">
        <x:v>0.004680781833917402</x:v>
      </x:c>
      <x:c r="K1867" s="12" t="n">
        <x:v>128643290</x:v>
      </x:c>
      <x:c r="L1867" s="12" t="n">
        <x:v>201749384.357</x:v>
      </x:c>
      <x:c r="M1867" s="12" t="str">
        <x:v>TuShare index_daily</x:v>
      </x:c>
    </x:row>
    <x:row r="1868" ht="18" customHeight="1">
      <x:c r="A1868" s="13" t="n">
        <x:v>45383</x:v>
      </x:c>
      <x:c r="B1868" s="12" t="str">
        <x:v>000300.SH</x:v>
      </x:c>
      <x:c r="C1868" s="12" t="n">
        <x:v>3551.5815</x:v>
      </x:c>
      <x:c r="D1868" s="12" t="n">
        <x:v>3600.9193</x:v>
      </x:c>
      <x:c r="E1868" s="12" t="n">
        <x:v>3551.5815</x:v>
      </x:c>
      <x:c r="F1868" s="12" t="n">
        <x:v>3595.6466</x:v>
      </x:c>
      <x:c r="G1868" s="12" t="n">
        <x:v>3537.4843</x:v>
      </x:c>
      <x:c r="H1868" s="12" t="n">
        <x:v>58.1623</x:v>
      </x:c>
      <x:c r="I1868" s="12" t="n">
        <x:v>1.6442</x:v>
      </x:c>
      <x:c r="J1868" s="12" t="n">
        <x:v>0.016308011120952714</x:v>
      </x:c>
      <x:c r="K1868" s="12" t="n">
        <x:v>162776561</x:v>
      </x:c>
      <x:c r="L1868" s="12" t="n">
        <x:v>251637272.845</x:v>
      </x:c>
      <x:c r="M1868" s="12" t="str">
        <x:v>TuShare index_daily</x:v>
      </x:c>
    </x:row>
    <x:row r="1869" ht="18" customHeight="1">
      <x:c r="A1869" s="13" t="n">
        <x:v>45384</x:v>
      </x:c>
      <x:c r="B1869" s="12" t="str">
        <x:v>000300.SH</x:v>
      </x:c>
      <x:c r="C1869" s="12" t="n">
        <x:v>3593.2206</x:v>
      </x:c>
      <x:c r="D1869" s="12" t="n">
        <x:v>3596.1903</x:v>
      </x:c>
      <x:c r="E1869" s="12" t="n">
        <x:v>3568.7539</x:v>
      </x:c>
      <x:c r="F1869" s="12" t="n">
        <x:v>3580.6759</x:v>
      </x:c>
      <x:c r="G1869" s="12" t="n">
        <x:v>3595.6466</x:v>
      </x:c>
      <x:c r="H1869" s="12" t="n">
        <x:v>-14.9707</x:v>
      </x:c>
      <x:c r="I1869" s="12" t="n">
        <x:v>-0.4164</x:v>
      </x:c>
      <x:c r="J1869" s="12" t="n">
        <x:v>-0.0041722544428915275</x:v>
      </x:c>
      <x:c r="K1869" s="12" t="n">
        <x:v>141272972</x:v>
      </x:c>
      <x:c r="L1869" s="12" t="n">
        <x:v>220207515.543</x:v>
      </x:c>
      <x:c r="M1869" s="12" t="str">
        <x:v>TuShare index_daily</x:v>
      </x:c>
    </x:row>
    <x:row r="1870" ht="18" customHeight="1">
      <x:c r="A1870" s="13" t="n">
        <x:v>45385</x:v>
      </x:c>
      <x:c r="B1870" s="12" t="str">
        <x:v>000300.SH</x:v>
      </x:c>
      <x:c r="C1870" s="12" t="n">
        <x:v>3578.6835</x:v>
      </x:c>
      <x:c r="D1870" s="12" t="n">
        <x:v>3582.4324</x:v>
      </x:c>
      <x:c r="E1870" s="12" t="n">
        <x:v>3558.874</x:v>
      </x:c>
      <x:c r="F1870" s="12" t="n">
        <x:v>3567.8031</x:v>
      </x:c>
      <x:c r="G1870" s="12" t="n">
        <x:v>3580.6759</x:v>
      </x:c>
      <x:c r="H1870" s="12" t="n">
        <x:v>-12.8728</x:v>
      </x:c>
      <x:c r="I1870" s="12" t="n">
        <x:v>-0.3595</x:v>
      </x:c>
      <x:c r="J1870" s="12" t="n">
        <x:v>-0.003601553257586781</x:v>
      </x:c>
      <x:c r="K1870" s="12" t="n">
        <x:v>135592331</x:v>
      </x:c>
      <x:c r="L1870" s="12" t="n">
        <x:v>214222897.58</x:v>
      </x:c>
      <x:c r="M1870" s="12" t="str">
        <x:v>TuShare index_daily</x:v>
      </x:c>
    </x:row>
    <x:row r="1871" ht="18" customHeight="1">
      <x:c r="A1871" s="13" t="n">
        <x:v>45390</x:v>
      </x:c>
      <x:c r="B1871" s="12" t="str">
        <x:v>000300.SH</x:v>
      </x:c>
      <x:c r="C1871" s="12" t="n">
        <x:v>3553.5554</x:v>
      </x:c>
      <x:c r="D1871" s="12" t="n">
        <x:v>3567.82</x:v>
      </x:c>
      <x:c r="E1871" s="12" t="n">
        <x:v>3535.7688</x:v>
      </x:c>
      <x:c r="F1871" s="12" t="n">
        <x:v>3536.4077</x:v>
      </x:c>
      <x:c r="G1871" s="12" t="n">
        <x:v>3567.8031</x:v>
      </x:c>
      <x:c r="H1871" s="12" t="n">
        <x:v>-31.3954</x:v>
      </x:c>
      <x:c r="I1871" s="12" t="n">
        <x:v>-0.88</x:v>
      </x:c>
      <x:c r="J1871" s="12" t="n">
        <x:v>-0.008838590314792913</x:v>
      </x:c>
      <x:c r="K1871" s="12" t="n">
        <x:v>155304283</x:v>
      </x:c>
      <x:c r="L1871" s="12" t="n">
        <x:v>243249251.687</x:v>
      </x:c>
      <x:c r="M1871" s="12" t="str">
        <x:v>TuShare index_daily</x:v>
      </x:c>
    </x:row>
    <x:row r="1872" ht="18" customHeight="1">
      <x:c r="A1872" s="13" t="n">
        <x:v>45391</x:v>
      </x:c>
      <x:c r="B1872" s="12" t="str">
        <x:v>000300.SH</x:v>
      </x:c>
      <x:c r="C1872" s="12" t="n">
        <x:v>3533.3849</x:v>
      </x:c>
      <x:c r="D1872" s="12" t="n">
        <x:v>3543.7141</x:v>
      </x:c>
      <x:c r="E1872" s="12" t="n">
        <x:v>3518.8601</x:v>
      </x:c>
      <x:c r="F1872" s="12" t="n">
        <x:v>3533.4871</x:v>
      </x:c>
      <x:c r="G1872" s="12" t="n">
        <x:v>3536.4077</x:v>
      </x:c>
      <x:c r="H1872" s="12" t="n">
        <x:v>-2.9206</x:v>
      </x:c>
      <x:c r="I1872" s="12" t="n">
        <x:v>-0.0826</x:v>
      </x:c>
      <x:c r="J1872" s="12" t="n">
        <x:v>-0.0008262075317269229</x:v>
      </x:c>
      <x:c r="K1872" s="12" t="n">
        <x:v>129670942</x:v>
      </x:c>
      <x:c r="L1872" s="12" t="n">
        <x:v>195893525.575</x:v>
      </x:c>
      <x:c r="M1872" s="12" t="str">
        <x:v>TuShare index_daily</x:v>
      </x:c>
    </x:row>
    <x:row r="1873" ht="18" customHeight="1">
      <x:c r="A1873" s="13" t="n">
        <x:v>45392</x:v>
      </x:c>
      <x:c r="B1873" s="12" t="str">
        <x:v>000300.SH</x:v>
      </x:c>
      <x:c r="C1873" s="12" t="n">
        <x:v>3528.9679</x:v>
      </x:c>
      <x:c r="D1873" s="12" t="n">
        <x:v>3531.2295</x:v>
      </x:c>
      <x:c r="E1873" s="12" t="n">
        <x:v>3490.0525</x:v>
      </x:c>
      <x:c r="F1873" s="12" t="n">
        <x:v>3504.7086</x:v>
      </x:c>
      <x:c r="G1873" s="12" t="n">
        <x:v>3533.4871</x:v>
      </x:c>
      <x:c r="H1873" s="12" t="n">
        <x:v>-28.7785</x:v>
      </x:c>
      <x:c r="I1873" s="12" t="n">
        <x:v>-0.8145</x:v>
      </x:c>
      <x:c r="J1873" s="12" t="n">
        <x:v>-0.008177851714302322</x:v>
      </x:c>
      <x:c r="K1873" s="12" t="n">
        <x:v>128790274</x:v>
      </x:c>
      <x:c r="L1873" s="12" t="n">
        <x:v>199754768.626</x:v>
      </x:c>
      <x:c r="M1873" s="12" t="str">
        <x:v>TuShare index_daily</x:v>
      </x:c>
    </x:row>
    <x:row r="1874" ht="18" customHeight="1">
      <x:c r="A1874" s="13" t="n">
        <x:v>45393</x:v>
      </x:c>
      <x:c r="B1874" s="12" t="str">
        <x:v>000300.SH</x:v>
      </x:c>
      <x:c r="C1874" s="12" t="n">
        <x:v>3485.0294</x:v>
      </x:c>
      <x:c r="D1874" s="12" t="n">
        <x:v>3520.5893</x:v>
      </x:c>
      <x:c r="E1874" s="12" t="n">
        <x:v>3484.9252</x:v>
      </x:c>
      <x:c r="F1874" s="12" t="n">
        <x:v>3504.2447</x:v>
      </x:c>
      <x:c r="G1874" s="12" t="n">
        <x:v>3504.7086</x:v>
      </x:c>
      <x:c r="H1874" s="12" t="n">
        <x:v>-0.4639</x:v>
      </x:c>
      <x:c r="I1874" s="12" t="n">
        <x:v>-0.0132</x:v>
      </x:c>
      <x:c r="J1874" s="12" t="n">
        <x:v>-0.00013237354589799467</x:v>
      </x:c>
      <x:c r="K1874" s="12" t="n">
        <x:v>126534395</x:v>
      </x:c>
      <x:c r="L1874" s="12" t="n">
        <x:v>200293481.886</x:v>
      </x:c>
      <x:c r="M1874" s="12" t="str">
        <x:v>TuShare index_daily</x:v>
      </x:c>
    </x:row>
    <x:row r="1875" ht="18" customHeight="1">
      <x:c r="A1875" s="13" t="n">
        <x:v>45394</x:v>
      </x:c>
      <x:c r="B1875" s="12" t="str">
        <x:v>000300.SH</x:v>
      </x:c>
      <x:c r="C1875" s="12" t="n">
        <x:v>3505.7499</x:v>
      </x:c>
      <x:c r="D1875" s="12" t="n">
        <x:v>3516.6988</x:v>
      </x:c>
      <x:c r="E1875" s="12" t="n">
        <x:v>3470.0611</x:v>
      </x:c>
      <x:c r="F1875" s="12" t="n">
        <x:v>3475.8389</x:v>
      </x:c>
      <x:c r="G1875" s="12" t="n">
        <x:v>3504.2447</x:v>
      </x:c>
      <x:c r="H1875" s="12" t="n">
        <x:v>-28.4058</x:v>
      </x:c>
      <x:c r="I1875" s="12" t="n">
        <x:v>-0.8106</x:v>
      </x:c>
      <x:c r="J1875" s="12" t="n">
        <x:v>-0.008139145156742146</x:v>
      </x:c>
      <x:c r="K1875" s="12" t="n">
        <x:v>128921116</x:v>
      </x:c>
      <x:c r="L1875" s="12" t="n">
        <x:v>208566204.703</x:v>
      </x:c>
      <x:c r="M1875" s="12" t="str">
        <x:v>TuShare index_daily</x:v>
      </x:c>
    </x:row>
    <x:row r="1876" ht="18" customHeight="1">
      <x:c r="A1876" s="13" t="n">
        <x:v>45397</x:v>
      </x:c>
      <x:c r="B1876" s="12" t="str">
        <x:v>000300.SH</x:v>
      </x:c>
      <x:c r="C1876" s="12" t="n">
        <x:v>3473.5047</x:v>
      </x:c>
      <x:c r="D1876" s="12" t="n">
        <x:v>3552.4125</x:v>
      </x:c>
      <x:c r="E1876" s="12" t="n">
        <x:v>3473.5047</x:v>
      </x:c>
      <x:c r="F1876" s="12" t="n">
        <x:v>3549.0759</x:v>
      </x:c>
      <x:c r="G1876" s="12" t="n">
        <x:v>3475.8389</x:v>
      </x:c>
      <x:c r="H1876" s="12" t="n">
        <x:v>73.237</x:v>
      </x:c>
      <x:c r="I1876" s="12" t="n">
        <x:v>2.107</x:v>
      </x:c>
      <x:c r="J1876" s="12" t="n">
        <x:v>0.02085139978770184</x:v>
      </x:c>
      <x:c r="K1876" s="12" t="n">
        <x:v>183941250</x:v>
      </x:c>
      <x:c r="L1876" s="12" t="n">
        <x:v>267472484.531</x:v>
      </x:c>
      <x:c r="M1876" s="12" t="str">
        <x:v>TuShare index_daily</x:v>
      </x:c>
    </x:row>
    <x:row r="1877" ht="18" customHeight="1">
      <x:c r="A1877" s="13" t="n">
        <x:v>45398</x:v>
      </x:c>
      <x:c r="B1877" s="12" t="str">
        <x:v>000300.SH</x:v>
      </x:c>
      <x:c r="C1877" s="12" t="n">
        <x:v>3533.3636</x:v>
      </x:c>
      <x:c r="D1877" s="12" t="n">
        <x:v>3545.5034</x:v>
      </x:c>
      <x:c r="E1877" s="12" t="n">
        <x:v>3503.6158</x:v>
      </x:c>
      <x:c r="F1877" s="12" t="n">
        <x:v>3511.1146</x:v>
      </x:c>
      <x:c r="G1877" s="12" t="n">
        <x:v>3549.0759</x:v>
      </x:c>
      <x:c r="H1877" s="12" t="n">
        <x:v>-37.9613</x:v>
      </x:c>
      <x:c r="I1877" s="12" t="n">
        <x:v>-1.0696</x:v>
      </x:c>
      <x:c r="J1877" s="12" t="n">
        <x:v>-0.010753722814637892</x:v>
      </x:c>
      <x:c r="K1877" s="12" t="n">
        <x:v>176153065</x:v>
      </x:c>
      <x:c r="L1877" s="12" t="n">
        <x:v>253315972.272</x:v>
      </x:c>
      <x:c r="M1877" s="12" t="str">
        <x:v>TuShare index_daily</x:v>
      </x:c>
    </x:row>
    <x:row r="1878" ht="18" customHeight="1">
      <x:c r="A1878" s="13" t="n">
        <x:v>45399</x:v>
      </x:c>
      <x:c r="B1878" s="12" t="str">
        <x:v>000300.SH</x:v>
      </x:c>
      <x:c r="C1878" s="12" t="n">
        <x:v>3509.1318</x:v>
      </x:c>
      <x:c r="D1878" s="12" t="n">
        <x:v>3565.9389</x:v>
      </x:c>
      <x:c r="E1878" s="12" t="n">
        <x:v>3498.0324</x:v>
      </x:c>
      <x:c r="F1878" s="12" t="n">
        <x:v>3565.403</x:v>
      </x:c>
      <x:c r="G1878" s="12" t="n">
        <x:v>3511.1146</x:v>
      </x:c>
      <x:c r="H1878" s="12" t="n">
        <x:v>54.2884</x:v>
      </x:c>
      <x:c r="I1878" s="12" t="n">
        <x:v>1.5462</x:v>
      </x:c>
      <x:c r="J1878" s="12" t="n">
        <x:v>0.015343554028548092</x:v>
      </x:c>
      <x:c r="K1878" s="12" t="n">
        <x:v>168466398</x:v>
      </x:c>
      <x:c r="L1878" s="12" t="n">
        <x:v>244987812.753</x:v>
      </x:c>
      <x:c r="M1878" s="12" t="str">
        <x:v>TuShare index_daily</x:v>
      </x:c>
    </x:row>
    <x:row r="1879" ht="18" customHeight="1">
      <x:c r="A1879" s="13" t="n">
        <x:v>45400</x:v>
      </x:c>
      <x:c r="B1879" s="12" t="str">
        <x:v>000300.SH</x:v>
      </x:c>
      <x:c r="C1879" s="12" t="n">
        <x:v>3550.5562</x:v>
      </x:c>
      <x:c r="D1879" s="12" t="n">
        <x:v>3602.7902</x:v>
      </x:c>
      <x:c r="E1879" s="12" t="n">
        <x:v>3547.5996</x:v>
      </x:c>
      <x:c r="F1879" s="12" t="n">
        <x:v>3569.8018</x:v>
      </x:c>
      <x:c r="G1879" s="12" t="n">
        <x:v>3565.403</x:v>
      </x:c>
      <x:c r="H1879" s="12" t="n">
        <x:v>4.3988</x:v>
      </x:c>
      <x:c r="I1879" s="12" t="n">
        <x:v>0.1234</x:v>
      </x:c>
      <x:c r="J1879" s="12" t="n">
        <x:v>0.0012329850874846476</x:v>
      </x:c>
      <x:c r="K1879" s="12" t="n">
        <x:v>178574105</x:v>
      </x:c>
      <x:c r="L1879" s="12" t="n">
        <x:v>261329927.268</x:v>
      </x:c>
      <x:c r="M1879" s="12" t="str">
        <x:v>TuShare index_daily</x:v>
      </x:c>
    </x:row>
    <x:row r="1880" ht="18" customHeight="1">
      <x:c r="A1880" s="13" t="n">
        <x:v>45401</x:v>
      </x:c>
      <x:c r="B1880" s="12" t="str">
        <x:v>000300.SH</x:v>
      </x:c>
      <x:c r="C1880" s="12" t="n">
        <x:v>3550.6087</x:v>
      </x:c>
      <x:c r="D1880" s="12" t="n">
        <x:v>3560.9492</x:v>
      </x:c>
      <x:c r="E1880" s="12" t="n">
        <x:v>3529.3237</x:v>
      </x:c>
      <x:c r="F1880" s="12" t="n">
        <x:v>3541.6619</x:v>
      </x:c>
      <x:c r="G1880" s="12" t="n">
        <x:v>3569.8018</x:v>
      </x:c>
      <x:c r="H1880" s="12" t="n">
        <x:v>-28.1399</x:v>
      </x:c>
      <x:c r="I1880" s="12" t="n">
        <x:v>-0.7883</x:v>
      </x:c>
      <x:c r="J1880" s="12" t="n">
        <x:v>-0.007913995783959946</x:v>
      </x:c>
      <x:c r="K1880" s="12" t="n">
        <x:v>147281505</x:v>
      </x:c>
      <x:c r="L1880" s="12" t="n">
        <x:v>226229520.121</x:v>
      </x:c>
      <x:c r="M1880" s="12" t="str">
        <x:v>TuShare index_daily</x:v>
      </x:c>
    </x:row>
    <x:row r="1881" ht="18" customHeight="1">
      <x:c r="A1881" s="13" t="n">
        <x:v>45404</x:v>
      </x:c>
      <x:c r="B1881" s="12" t="str">
        <x:v>000300.SH</x:v>
      </x:c>
      <x:c r="C1881" s="12" t="n">
        <x:v>3536.1844</x:v>
      </x:c>
      <x:c r="D1881" s="12" t="n">
        <x:v>3558.1642</x:v>
      </x:c>
      <x:c r="E1881" s="12" t="n">
        <x:v>3528.0186</x:v>
      </x:c>
      <x:c r="F1881" s="12" t="n">
        <x:v>3530.9045</x:v>
      </x:c>
      <x:c r="G1881" s="12" t="n">
        <x:v>3541.6619</x:v>
      </x:c>
      <x:c r="H1881" s="12" t="n">
        <x:v>-10.7574</x:v>
      </x:c>
      <x:c r="I1881" s="12" t="n">
        <x:v>-0.3037</x:v>
      </x:c>
      <x:c r="J1881" s="12" t="n">
        <x:v>-0.0030420098411770608</x:v>
      </x:c>
      <x:c r="K1881" s="12" t="n">
        <x:v>150579042</x:v>
      </x:c>
      <x:c r="L1881" s="12" t="n">
        <x:v>229511183.118</x:v>
      </x:c>
      <x:c r="M1881" s="12" t="str">
        <x:v>TuShare index_daily</x:v>
      </x:c>
    </x:row>
    <x:row r="1882" ht="18" customHeight="1">
      <x:c r="A1882" s="13" t="n">
        <x:v>45405</x:v>
      </x:c>
      <x:c r="B1882" s="12" t="str">
        <x:v>000300.SH</x:v>
      </x:c>
      <x:c r="C1882" s="12" t="n">
        <x:v>3525.6681</x:v>
      </x:c>
      <x:c r="D1882" s="12" t="n">
        <x:v>3533.7584</x:v>
      </x:c>
      <x:c r="E1882" s="12" t="n">
        <x:v>3499.9838</x:v>
      </x:c>
      <x:c r="F1882" s="12" t="n">
        <x:v>3506.2249</x:v>
      </x:c>
      <x:c r="G1882" s="12" t="n">
        <x:v>3530.9045</x:v>
      </x:c>
      <x:c r="H1882" s="12" t="n">
        <x:v>-24.6796</x:v>
      </x:c>
      <x:c r="I1882" s="12" t="n">
        <x:v>-0.699</x:v>
      </x:c>
      <x:c r="J1882" s="12" t="n">
        <x:v>-0.007014138799965217</x:v>
      </x:c>
      <x:c r="K1882" s="12" t="n">
        <x:v>143113504</x:v>
      </x:c>
      <x:c r="L1882" s="12" t="n">
        <x:v>213257232.211</x:v>
      </x:c>
      <x:c r="M1882" s="12" t="str">
        <x:v>TuShare index_daily</x:v>
      </x:c>
    </x:row>
    <x:row r="1883" ht="18" customHeight="1">
      <x:c r="A1883" s="13" t="n">
        <x:v>45406</x:v>
      </x:c>
      <x:c r="B1883" s="12" t="str">
        <x:v>000300.SH</x:v>
      </x:c>
      <x:c r="C1883" s="12" t="n">
        <x:v>3514.0108</x:v>
      </x:c>
      <x:c r="D1883" s="12" t="n">
        <x:v>3524.537</x:v>
      </x:c>
      <x:c r="E1883" s="12" t="n">
        <x:v>3495.6494</x:v>
      </x:c>
      <x:c r="F1883" s="12" t="n">
        <x:v>3521.6219</x:v>
      </x:c>
      <x:c r="G1883" s="12" t="n">
        <x:v>3506.2249</x:v>
      </x:c>
      <x:c r="H1883" s="12" t="n">
        <x:v>15.397</x:v>
      </x:c>
      <x:c r="I1883" s="12" t="n">
        <x:v>0.4391</x:v>
      </x:c>
      <x:c r="J1883" s="12" t="n">
        <x:v>0.004381718916951932</x:v>
      </x:c>
      <x:c r="K1883" s="12" t="n">
        <x:v>121739851</x:v>
      </x:c>
      <x:c r="L1883" s="12" t="n">
        <x:v>195299919.746</x:v>
      </x:c>
      <x:c r="M1883" s="12" t="str">
        <x:v>TuShare index_daily</x:v>
      </x:c>
    </x:row>
    <x:row r="1884" ht="18" customHeight="1">
      <x:c r="A1884" s="13" t="n">
        <x:v>45407</x:v>
      </x:c>
      <x:c r="B1884" s="12" t="str">
        <x:v>000300.SH</x:v>
      </x:c>
      <x:c r="C1884" s="12" t="n">
        <x:v>3510.6396</x:v>
      </x:c>
      <x:c r="D1884" s="12" t="n">
        <x:v>3543.9699</x:v>
      </x:c>
      <x:c r="E1884" s="12" t="n">
        <x:v>3505.1999</x:v>
      </x:c>
      <x:c r="F1884" s="12" t="n">
        <x:v>3530.2813</x:v>
      </x:c>
      <x:c r="G1884" s="12" t="n">
        <x:v>3521.6219</x:v>
      </x:c>
      <x:c r="H1884" s="12" t="n">
        <x:v>8.6594</x:v>
      </x:c>
      <x:c r="I1884" s="12" t="n">
        <x:v>0.2459</x:v>
      </x:c>
      <x:c r="J1884" s="12" t="n">
        <x:v>0.0024559056206020905</x:v>
      </x:c>
      <x:c r="K1884" s="12" t="n">
        <x:v>115187722</x:v>
      </x:c>
      <x:c r="L1884" s="12" t="n">
        <x:v>184524622.001</x:v>
      </x:c>
      <x:c r="M1884" s="12" t="str">
        <x:v>TuShare index_daily</x:v>
      </x:c>
    </x:row>
    <x:row r="1885" ht="18" customHeight="1">
      <x:c r="A1885" s="13" t="n">
        <x:v>45408</x:v>
      </x:c>
      <x:c r="B1885" s="12" t="str">
        <x:v>000300.SH</x:v>
      </x:c>
      <x:c r="C1885" s="12" t="n">
        <x:v>3531.9647</x:v>
      </x:c>
      <x:c r="D1885" s="12" t="n">
        <x:v>3588.4003</x:v>
      </x:c>
      <x:c r="E1885" s="12" t="n">
        <x:v>3531.9647</x:v>
      </x:c>
      <x:c r="F1885" s="12" t="n">
        <x:v>3584.2686</x:v>
      </x:c>
      <x:c r="G1885" s="12" t="n">
        <x:v>3530.2813</x:v>
      </x:c>
      <x:c r="H1885" s="12" t="n">
        <x:v>53.9873</x:v>
      </x:c>
      <x:c r="I1885" s="12" t="n">
        <x:v>1.5293</x:v>
      </x:c>
      <x:c r="J1885" s="12" t="n">
        <x:v>0.015176880345412834</x:v>
      </x:c>
      <x:c r="K1885" s="12" t="n">
        <x:v>197216133</x:v>
      </x:c>
      <x:c r="L1885" s="12" t="n">
        <x:v>308045062.251</x:v>
      </x:c>
      <x:c r="M1885" s="12" t="str">
        <x:v>TuShare index_daily</x:v>
      </x:c>
    </x:row>
    <x:row r="1886" ht="18" customHeight="1">
      <x:c r="A1886" s="13" t="n">
        <x:v>45411</x:v>
      </x:c>
      <x:c r="B1886" s="12" t="str">
        <x:v>000300.SH</x:v>
      </x:c>
      <x:c r="C1886" s="12" t="n">
        <x:v>3584.5427</x:v>
      </x:c>
      <x:c r="D1886" s="12" t="n">
        <x:v>3645.8229</x:v>
      </x:c>
      <x:c r="E1886" s="12" t="n">
        <x:v>3578.7597</x:v>
      </x:c>
      <x:c r="F1886" s="12" t="n">
        <x:v>3623.9124</x:v>
      </x:c>
      <x:c r="G1886" s="12" t="n">
        <x:v>3584.2686</x:v>
      </x:c>
      <x:c r="H1886" s="12" t="n">
        <x:v>39.6438</x:v>
      </x:c>
      <x:c r="I1886" s="12" t="n">
        <x:v>1.106</x:v>
      </x:c>
      <x:c r="J1886" s="12" t="n">
        <x:v>0.010999779202213969</x:v>
      </x:c>
      <x:c r="K1886" s="12" t="n">
        <x:v>222721381</x:v>
      </x:c>
      <x:c r="L1886" s="12" t="n">
        <x:v>358709708.838</x:v>
      </x:c>
      <x:c r="M1886" s="12" t="str">
        <x:v>TuShare index_daily</x:v>
      </x:c>
    </x:row>
    <x:row r="1887" ht="18" customHeight="1">
      <x:c r="A1887" s="13" t="n">
        <x:v>45412</x:v>
      </x:c>
      <x:c r="B1887" s="12" t="str">
        <x:v>000300.SH</x:v>
      </x:c>
      <x:c r="C1887" s="12" t="n">
        <x:v>3619.2586</x:v>
      </x:c>
      <x:c r="D1887" s="12" t="n">
        <x:v>3630.7092</x:v>
      </x:c>
      <x:c r="E1887" s="12" t="n">
        <x:v>3604.3943</x:v>
      </x:c>
      <x:c r="F1887" s="12" t="n">
        <x:v>3604.3943</x:v>
      </x:c>
      <x:c r="G1887" s="12" t="n">
        <x:v>3623.9124</x:v>
      </x:c>
      <x:c r="H1887" s="12" t="n">
        <x:v>-19.5181</x:v>
      </x:c>
      <x:c r="I1887" s="12" t="n">
        <x:v>-0.5386</x:v>
      </x:c>
      <x:c r="J1887" s="12" t="n">
        <x:v>-0.005400475726166257</x:v>
      </x:c>
      <x:c r="K1887" s="12" t="n">
        <x:v>191296899</x:v>
      </x:c>
      <x:c r="L1887" s="12" t="n">
        <x:v>286674161.758</x:v>
      </x:c>
      <x:c r="M1887" s="12" t="str">
        <x:v>TuShare index_daily</x:v>
      </x:c>
    </x:row>
    <x:row r="1888" ht="18" customHeight="1">
      <x:c r="A1888" s="13" t="n">
        <x:v>45418</x:v>
      </x:c>
      <x:c r="B1888" s="12" t="str">
        <x:v>000300.SH</x:v>
      </x:c>
      <x:c r="C1888" s="12" t="n">
        <x:v>3654.0485</x:v>
      </x:c>
      <x:c r="D1888" s="12" t="n">
        <x:v>3668.2565</x:v>
      </x:c>
      <x:c r="E1888" s="12" t="n">
        <x:v>3645.738</x:v>
      </x:c>
      <x:c r="F1888" s="12" t="n">
        <x:v>3657.8767</x:v>
      </x:c>
      <x:c r="G1888" s="12" t="n">
        <x:v>3604.3943</x:v>
      </x:c>
      <x:c r="H1888" s="12" t="n">
        <x:v>53.4824</x:v>
      </x:c>
      <x:c r="I1888" s="12" t="n">
        <x:v>1.4838</x:v>
      </x:c>
      <x:c r="J1888" s="12" t="n">
        <x:v>0.01472910247991278</x:v>
      </x:c>
      <x:c r="K1888" s="12" t="n">
        <x:v>208018007</x:v>
      </x:c>
      <x:c r="L1888" s="12" t="n">
        <x:v>333270472.13</x:v>
      </x:c>
      <x:c r="M1888" s="12" t="str">
        <x:v>TuShare index_daily</x:v>
      </x:c>
    </x:row>
    <x:row r="1889" ht="18" customHeight="1">
      <x:c r="A1889" s="13" t="n">
        <x:v>45419</x:v>
      </x:c>
      <x:c r="B1889" s="12" t="str">
        <x:v>000300.SH</x:v>
      </x:c>
      <x:c r="C1889" s="12" t="n">
        <x:v>3657.0007</x:v>
      </x:c>
      <x:c r="D1889" s="12" t="n">
        <x:v>3665.684</x:v>
      </x:c>
      <x:c r="E1889" s="12" t="n">
        <x:v>3648.376</x:v>
      </x:c>
      <x:c r="F1889" s="12" t="n">
        <x:v>3659.0076</x:v>
      </x:c>
      <x:c r="G1889" s="12" t="n">
        <x:v>3657.8767</x:v>
      </x:c>
      <x:c r="H1889" s="12" t="n">
        <x:v>1.1309</x:v>
      </x:c>
      <x:c r="I1889" s="12" t="n">
        <x:v>0.0309</x:v>
      </x:c>
      <x:c r="J1889" s="12" t="n">
        <x:v>0.0003091206482533993</x:v>
      </x:c>
      <x:c r="K1889" s="12" t="n">
        <x:v>164834286</x:v>
      </x:c>
      <x:c r="L1889" s="12" t="n">
        <x:v>247368347.983</x:v>
      </x:c>
      <x:c r="M1889" s="12" t="str">
        <x:v>TuShare index_daily</x:v>
      </x:c>
    </x:row>
    <x:row r="1890" ht="18" customHeight="1">
      <x:c r="A1890" s="13" t="n">
        <x:v>45420</x:v>
      </x:c>
      <x:c r="B1890" s="12" t="str">
        <x:v>000300.SH</x:v>
      </x:c>
      <x:c r="C1890" s="12" t="n">
        <x:v>3650.7484</x:v>
      </x:c>
      <x:c r="D1890" s="12" t="n">
        <x:v>3650.9355</x:v>
      </x:c>
      <x:c r="E1890" s="12" t="n">
        <x:v>3628.6984</x:v>
      </x:c>
      <x:c r="F1890" s="12" t="n">
        <x:v>3630.2233</x:v>
      </x:c>
      <x:c r="G1890" s="12" t="n">
        <x:v>3659.0076</x:v>
      </x:c>
      <x:c r="H1890" s="12" t="n">
        <x:v>-28.7843</x:v>
      </x:c>
      <x:c r="I1890" s="12" t="n">
        <x:v>-0.7867</x:v>
      </x:c>
      <x:c r="J1890" s="12" t="n">
        <x:v>-0.007897801568855183</x:v>
      </x:c>
      <x:c r="K1890" s="12" t="n">
        <x:v>130035336</x:v>
      </x:c>
      <x:c r="L1890" s="12" t="n">
        <x:v>199923460.35</x:v>
      </x:c>
      <x:c r="M1890" s="12" t="str">
        <x:v>TuShare index_daily</x:v>
      </x:c>
    </x:row>
    <x:row r="1891" ht="18" customHeight="1">
      <x:c r="A1891" s="13" t="n">
        <x:v>45421</x:v>
      </x:c>
      <x:c r="B1891" s="12" t="str">
        <x:v>000300.SH</x:v>
      </x:c>
      <x:c r="C1891" s="12" t="n">
        <x:v>3630.4142</x:v>
      </x:c>
      <x:c r="D1891" s="12" t="n">
        <x:v>3669.7593</x:v>
      </x:c>
      <x:c r="E1891" s="12" t="n">
        <x:v>3630.4142</x:v>
      </x:c>
      <x:c r="F1891" s="12" t="n">
        <x:v>3664.561</x:v>
      </x:c>
      <x:c r="G1891" s="12" t="n">
        <x:v>3630.2233</x:v>
      </x:c>
      <x:c r="H1891" s="12" t="n">
        <x:v>34.3377</x:v>
      </x:c>
      <x:c r="I1891" s="12" t="n">
        <x:v>0.9459</x:v>
      </x:c>
      <x:c r="J1891" s="12" t="n">
        <x:v>0.009414384908953369</x:v>
      </x:c>
      <x:c r="K1891" s="12" t="n">
        <x:v>146559017</x:v>
      </x:c>
      <x:c r="L1891" s="12" t="n">
        <x:v>232694927.941</x:v>
      </x:c>
      <x:c r="M1891" s="12" t="str">
        <x:v>TuShare index_daily</x:v>
      </x:c>
    </x:row>
    <x:row r="1892" ht="18" customHeight="1">
      <x:c r="A1892" s="13" t="n">
        <x:v>45422</x:v>
      </x:c>
      <x:c r="B1892" s="12" t="str">
        <x:v>000300.SH</x:v>
      </x:c>
      <x:c r="C1892" s="12" t="n">
        <x:v>3669.0869</x:v>
      </x:c>
      <x:c r="D1892" s="12" t="n">
        <x:v>3674.6088</x:v>
      </x:c>
      <x:c r="E1892" s="12" t="n">
        <x:v>3641.7639</x:v>
      </x:c>
      <x:c r="F1892" s="12" t="n">
        <x:v>3666.2771</x:v>
      </x:c>
      <x:c r="G1892" s="12" t="n">
        <x:v>3664.561</x:v>
      </x:c>
      <x:c r="H1892" s="12" t="n">
        <x:v>1.7161</x:v>
      </x:c>
      <x:c r="I1892" s="12" t="n">
        <x:v>0.0468</x:v>
      </x:c>
      <x:c r="J1892" s="12" t="n">
        <x:v>0.0004681865860184892</x:v>
      </x:c>
      <x:c r="K1892" s="12" t="n">
        <x:v>150720536</x:v>
      </x:c>
      <x:c r="L1892" s="12" t="n">
        <x:v>233730562.075</x:v>
      </x:c>
      <x:c r="M1892" s="12" t="str">
        <x:v>TuShare index_daily</x:v>
      </x:c>
    </x:row>
    <x:row r="1893" ht="18" customHeight="1">
      <x:c r="A1893" s="13" t="n">
        <x:v>45425</x:v>
      </x:c>
      <x:c r="B1893" s="12" t="str">
        <x:v>000300.SH</x:v>
      </x:c>
      <x:c r="C1893" s="12" t="n">
        <x:v>3646.3491</x:v>
      </x:c>
      <x:c r="D1893" s="12" t="n">
        <x:v>3673.6211</x:v>
      </x:c>
      <x:c r="E1893" s="12" t="n">
        <x:v>3634.6049</x:v>
      </x:c>
      <x:c r="F1893" s="12" t="n">
        <x:v>3664.6907</x:v>
      </x:c>
      <x:c r="G1893" s="12" t="n">
        <x:v>3666.2771</x:v>
      </x:c>
      <x:c r="H1893" s="12" t="n">
        <x:v>-1.5864</x:v>
      </x:c>
      <x:c r="I1893" s="12" t="n">
        <x:v>-0.0433</x:v>
      </x:c>
      <x:c r="J1893" s="12" t="n">
        <x:v>-0.00043279415980033276</x:v>
      </x:c>
      <x:c r="K1893" s="12" t="n">
        <x:v>157267455</x:v>
      </x:c>
      <x:c r="L1893" s="12" t="n">
        <x:v>249688465.073</x:v>
      </x:c>
      <x:c r="M1893" s="12" t="str">
        <x:v>TuShare index_daily</x:v>
      </x:c>
    </x:row>
    <x:row r="1894" ht="18" customHeight="1">
      <x:c r="A1894" s="13" t="n">
        <x:v>45426</x:v>
      </x:c>
      <x:c r="B1894" s="12" t="str">
        <x:v>000300.SH</x:v>
      </x:c>
      <x:c r="C1894" s="12" t="n">
        <x:v>3668.2254</x:v>
      </x:c>
      <x:c r="D1894" s="12" t="n">
        <x:v>3675.776</x:v>
      </x:c>
      <x:c r="E1894" s="12" t="n">
        <x:v>3646.7092</x:v>
      </x:c>
      <x:c r="F1894" s="12" t="n">
        <x:v>3657.0454</x:v>
      </x:c>
      <x:c r="G1894" s="12" t="n">
        <x:v>3664.6907</x:v>
      </x:c>
      <x:c r="H1894" s="12" t="n">
        <x:v>-7.6453</x:v>
      </x:c>
      <x:c r="I1894" s="12" t="n">
        <x:v>-0.2086</x:v>
      </x:c>
      <x:c r="J1894" s="12" t="n">
        <x:v>-0.0020883852338393584</x:v>
      </x:c>
      <x:c r="K1894" s="12" t="n">
        <x:v>133406490</x:v>
      </x:c>
      <x:c r="L1894" s="12" t="n">
        <x:v>214643548.214</x:v>
      </x:c>
      <x:c r="M1894" s="12" t="str">
        <x:v>TuShare index_daily</x:v>
      </x:c>
    </x:row>
    <x:row r="1895" ht="18" customHeight="1">
      <x:c r="A1895" s="13" t="n">
        <x:v>45427</x:v>
      </x:c>
      <x:c r="B1895" s="12" t="str">
        <x:v>000300.SH</x:v>
      </x:c>
      <x:c r="C1895" s="12" t="n">
        <x:v>3651.0536</x:v>
      </x:c>
      <x:c r="D1895" s="12" t="n">
        <x:v>3656.5277</x:v>
      </x:c>
      <x:c r="E1895" s="12" t="n">
        <x:v>3624.002</x:v>
      </x:c>
      <x:c r="F1895" s="12" t="n">
        <x:v>3626.0559</x:v>
      </x:c>
      <x:c r="G1895" s="12" t="n">
        <x:v>3657.0454</x:v>
      </x:c>
      <x:c r="H1895" s="12" t="n">
        <x:v>-30.9895</x:v>
      </x:c>
      <x:c r="I1895" s="12" t="n">
        <x:v>-0.8474</x:v>
      </x:c>
      <x:c r="J1895" s="12" t="n">
        <x:v>-0.008510024986955377</x:v>
      </x:c>
      <x:c r="K1895" s="12" t="n">
        <x:v>123522764</x:v>
      </x:c>
      <x:c r="L1895" s="12" t="n">
        <x:v>191480969.435</x:v>
      </x:c>
      <x:c r="M1895" s="12" t="str">
        <x:v>TuShare index_daily</x:v>
      </x:c>
    </x:row>
    <x:row r="1896" ht="18" customHeight="1">
      <x:c r="A1896" s="13" t="n">
        <x:v>45428</x:v>
      </x:c>
      <x:c r="B1896" s="12" t="str">
        <x:v>000300.SH</x:v>
      </x:c>
      <x:c r="C1896" s="12" t="n">
        <x:v>3636.6007</x:v>
      </x:c>
      <x:c r="D1896" s="12" t="n">
        <x:v>3657.4831</x:v>
      </x:c>
      <x:c r="E1896" s="12" t="n">
        <x:v>3626.334</x:v>
      </x:c>
      <x:c r="F1896" s="12" t="n">
        <x:v>3640.3592</x:v>
      </x:c>
      <x:c r="G1896" s="12" t="n">
        <x:v>3626.0559</x:v>
      </x:c>
      <x:c r="H1896" s="12" t="n">
        <x:v>14.3033</x:v>
      </x:c>
      <x:c r="I1896" s="12" t="n">
        <x:v>0.3945</x:v>
      </x:c>
      <x:c r="J1896" s="12" t="n">
        <x:v>0.003936829447977233</x:v>
      </x:c>
      <x:c r="K1896" s="12" t="n">
        <x:v>154630503</x:v>
      </x:c>
      <x:c r="L1896" s="12" t="n">
        <x:v>240288953.464</x:v>
      </x:c>
      <x:c r="M1896" s="12" t="str">
        <x:v>TuShare index_daily</x:v>
      </x:c>
    </x:row>
    <x:row r="1897" ht="18" customHeight="1">
      <x:c r="A1897" s="13" t="n">
        <x:v>45429</x:v>
      </x:c>
      <x:c r="B1897" s="12" t="str">
        <x:v>000300.SH</x:v>
      </x:c>
      <x:c r="C1897" s="12" t="n">
        <x:v>3638.5613</x:v>
      </x:c>
      <x:c r="D1897" s="12" t="n">
        <x:v>3677.9696</x:v>
      </x:c>
      <x:c r="E1897" s="12" t="n">
        <x:v>3627.447</x:v>
      </x:c>
      <x:c r="F1897" s="12" t="n">
        <x:v>3677.9696</x:v>
      </x:c>
      <x:c r="G1897" s="12" t="n">
        <x:v>3640.3592</x:v>
      </x:c>
      <x:c r="H1897" s="12" t="n">
        <x:v>37.6104</x:v>
      </x:c>
      <x:c r="I1897" s="12" t="n">
        <x:v>1.0332</x:v>
      </x:c>
      <x:c r="J1897" s="12" t="n">
        <x:v>0.010278502687711856</x:v>
      </x:c>
      <x:c r="K1897" s="12" t="n">
        <x:v>164570417</x:v>
      </x:c>
      <x:c r="L1897" s="12" t="n">
        <x:v>247729525.192</x:v>
      </x:c>
      <x:c r="M1897" s="12" t="str">
        <x:v>TuShare index_daily</x:v>
      </x:c>
    </x:row>
    <x:row r="1898" ht="18" customHeight="1">
      <x:c r="A1898" s="13" t="n">
        <x:v>45432</x:v>
      </x:c>
      <x:c r="B1898" s="12" t="str">
        <x:v>000300.SH</x:v>
      </x:c>
      <x:c r="C1898" s="12" t="n">
        <x:v>3682.0615</x:v>
      </x:c>
      <x:c r="D1898" s="12" t="n">
        <x:v>3703.0287</x:v>
      </x:c>
      <x:c r="E1898" s="12" t="n">
        <x:v>3677.4426</x:v>
      </x:c>
      <x:c r="F1898" s="12" t="n">
        <x:v>3690.9623</x:v>
      </x:c>
      <x:c r="G1898" s="12" t="n">
        <x:v>3677.9696</x:v>
      </x:c>
      <x:c r="H1898" s="12" t="n">
        <x:v>12.9927</x:v>
      </x:c>
      <x:c r="I1898" s="12" t="n">
        <x:v>0.3533</x:v>
      </x:c>
      <x:c r="J1898" s="12" t="n">
        <x:v>0.0035263491751993527</x:v>
      </x:c>
      <x:c r="K1898" s="12" t="n">
        <x:v>184609423</x:v>
      </x:c>
      <x:c r="L1898" s="12" t="n">
        <x:v>279971341.52</x:v>
      </x:c>
      <x:c r="M1898" s="12" t="str">
        <x:v>TuShare index_daily</x:v>
      </x:c>
    </x:row>
    <x:row r="1899" ht="18" customHeight="1">
      <x:c r="A1899" s="13" t="n">
        <x:v>45433</x:v>
      </x:c>
      <x:c r="B1899" s="12" t="str">
        <x:v>000300.SH</x:v>
      </x:c>
      <x:c r="C1899" s="12" t="n">
        <x:v>3682.2868</x:v>
      </x:c>
      <x:c r="D1899" s="12" t="n">
        <x:v>3684.6106</x:v>
      </x:c>
      <x:c r="E1899" s="12" t="n">
        <x:v>3665.1524</x:v>
      </x:c>
      <x:c r="F1899" s="12" t="n">
        <x:v>3676.1611</x:v>
      </x:c>
      <x:c r="G1899" s="12" t="n">
        <x:v>3690.9623</x:v>
      </x:c>
      <x:c r="H1899" s="12" t="n">
        <x:v>-14.8012</x:v>
      </x:c>
      <x:c r="I1899" s="12" t="n">
        <x:v>-0.401</x:v>
      </x:c>
      <x:c r="J1899" s="12" t="n">
        <x:v>-0.00401818161882359</x:v>
      </x:c>
      <x:c r="K1899" s="12" t="n">
        <x:v>130678283</x:v>
      </x:c>
      <x:c r="L1899" s="12" t="n">
        <x:v>196575354.878</x:v>
      </x:c>
      <x:c r="M1899" s="12" t="str">
        <x:v>TuShare index_daily</x:v>
      </x:c>
    </x:row>
    <x:row r="1900" ht="18" customHeight="1">
      <x:c r="A1900" s="13" t="n">
        <x:v>45434</x:v>
      </x:c>
      <x:c r="B1900" s="12" t="str">
        <x:v>000300.SH</x:v>
      </x:c>
      <x:c r="C1900" s="12" t="n">
        <x:v>3675.6471</x:v>
      </x:c>
      <x:c r="D1900" s="12" t="n">
        <x:v>3691.8804</x:v>
      </x:c>
      <x:c r="E1900" s="12" t="n">
        <x:v>3667.0885</x:v>
      </x:c>
      <x:c r="F1900" s="12" t="n">
        <x:v>3684.451</x:v>
      </x:c>
      <x:c r="G1900" s="12" t="n">
        <x:v>3676.1611</x:v>
      </x:c>
      <x:c r="H1900" s="12" t="n">
        <x:v>8.2899</x:v>
      </x:c>
      <x:c r="I1900" s="12" t="n">
        <x:v>0.2255</x:v>
      </x:c>
      <x:c r="J1900" s="12" t="n">
        <x:v>0.0022525038386657214</x:v>
      </x:c>
      <x:c r="K1900" s="12" t="n">
        <x:v>151914605</x:v>
      </x:c>
      <x:c r="L1900" s="12" t="n">
        <x:v>230839373.505</x:v>
      </x:c>
      <x:c r="M1900" s="12" t="str">
        <x:v>TuShare index_daily</x:v>
      </x:c>
    </x:row>
    <x:row r="1901" ht="18" customHeight="1">
      <x:c r="A1901" s="13" t="n">
        <x:v>45435</x:v>
      </x:c>
      <x:c r="B1901" s="12" t="str">
        <x:v>000300.SH</x:v>
      </x:c>
      <x:c r="C1901" s="12" t="n">
        <x:v>3672.8403</x:v>
      </x:c>
      <x:c r="D1901" s="12" t="n">
        <x:v>3674.3654</x:v>
      </x:c>
      <x:c r="E1901" s="12" t="n">
        <x:v>3633.5051</x:v>
      </x:c>
      <x:c r="F1901" s="12" t="n">
        <x:v>3641.7917</x:v>
      </x:c>
      <x:c r="G1901" s="12" t="n">
        <x:v>3684.451</x:v>
      </x:c>
      <x:c r="H1901" s="12" t="n">
        <x:v>-42.6593</x:v>
      </x:c>
      <x:c r="I1901" s="12" t="n">
        <x:v>-1.1578</x:v>
      </x:c>
      <x:c r="J1901" s="12" t="n">
        <x:v>-0.01164574636115049</x:v>
      </x:c>
      <x:c r="K1901" s="12" t="n">
        <x:v>142572990</x:v>
      </x:c>
      <x:c r="L1901" s="12" t="n">
        <x:v>214205039.031</x:v>
      </x:c>
      <x:c r="M1901" s="12" t="str">
        <x:v>TuShare index_daily</x:v>
      </x:c>
    </x:row>
    <x:row r="1902" ht="18" customHeight="1">
      <x:c r="A1902" s="13" t="n">
        <x:v>45436</x:v>
      </x:c>
      <x:c r="B1902" s="12" t="str">
        <x:v>000300.SH</x:v>
      </x:c>
      <x:c r="C1902" s="12" t="n">
        <x:v>3630.827</x:v>
      </x:c>
      <x:c r="D1902" s="12" t="n">
        <x:v>3650.8734</x:v>
      </x:c>
      <x:c r="E1902" s="12" t="n">
        <x:v>3599.6678</x:v>
      </x:c>
      <x:c r="F1902" s="12" t="n">
        <x:v>3601.4754</x:v>
      </x:c>
      <x:c r="G1902" s="12" t="n">
        <x:v>3641.7917</x:v>
      </x:c>
      <x:c r="H1902" s="12" t="n">
        <x:v>-40.3163</x:v>
      </x:c>
      <x:c r="I1902" s="12" t="n">
        <x:v>-1.107</x:v>
      </x:c>
      <x:c r="J1902" s="12" t="n">
        <x:v>-0.011132190983596793</x:v>
      </x:c>
      <x:c r="K1902" s="12" t="n">
        <x:v>124791177</x:v>
      </x:c>
      <x:c r="L1902" s="12" t="n">
        <x:v>195344742.156</x:v>
      </x:c>
      <x:c r="M1902" s="12" t="str">
        <x:v>TuShare index_daily</x:v>
      </x:c>
    </x:row>
    <x:row r="1903" ht="18" customHeight="1">
      <x:c r="A1903" s="13" t="n">
        <x:v>45439</x:v>
      </x:c>
      <x:c r="B1903" s="12" t="str">
        <x:v>000300.SH</x:v>
      </x:c>
      <x:c r="C1903" s="12" t="n">
        <x:v>3606.645</x:v>
      </x:c>
      <x:c r="D1903" s="12" t="n">
        <x:v>3638.1514</x:v>
      </x:c>
      <x:c r="E1903" s="12" t="n">
        <x:v>3603.7131</x:v>
      </x:c>
      <x:c r="F1903" s="12" t="n">
        <x:v>3635.7079</x:v>
      </x:c>
      <x:c r="G1903" s="12" t="n">
        <x:v>3601.4754</x:v>
      </x:c>
      <x:c r="H1903" s="12" t="n">
        <x:v>34.2325</x:v>
      </x:c>
      <x:c r="I1903" s="12" t="n">
        <x:v>0.9505</x:v>
      </x:c>
      <x:c r="J1903" s="12" t="n">
        <x:v>0.009460242717951572</x:v>
      </x:c>
      <x:c r="K1903" s="12" t="n">
        <x:v>131272644</x:v>
      </x:c>
      <x:c r="L1903" s="12" t="n">
        <x:v>206143742.536</x:v>
      </x:c>
      <x:c r="M1903" s="12" t="str">
        <x:v>TuShare index_daily</x:v>
      </x:c>
    </x:row>
    <x:row r="1904" ht="18" customHeight="1">
      <x:c r="A1904" s="13" t="n">
        <x:v>45440</x:v>
      </x:c>
      <x:c r="B1904" s="12" t="str">
        <x:v>000300.SH</x:v>
      </x:c>
      <x:c r="C1904" s="12" t="n">
        <x:v>3633.2535</x:v>
      </x:c>
      <x:c r="D1904" s="12" t="n">
        <x:v>3638.9703</x:v>
      </x:c>
      <x:c r="E1904" s="12" t="n">
        <x:v>3605.9213</x:v>
      </x:c>
      <x:c r="F1904" s="12" t="n">
        <x:v>3609.1724</x:v>
      </x:c>
      <x:c r="G1904" s="12" t="n">
        <x:v>3635.7079</x:v>
      </x:c>
      <x:c r="H1904" s="12" t="n">
        <x:v>-26.5355</x:v>
      </x:c>
      <x:c r="I1904" s="12" t="n">
        <x:v>-0.7299</x:v>
      </x:c>
      <x:c r="J1904" s="12" t="n">
        <x:v>-0.007325343569654487</x:v>
      </x:c>
      <x:c r="K1904" s="12" t="n">
        <x:v>123532238</x:v>
      </x:c>
      <x:c r="L1904" s="12" t="n">
        <x:v>184381267.979</x:v>
      </x:c>
      <x:c r="M1904" s="12" t="str">
        <x:v>TuShare index_daily</x:v>
      </x:c>
    </x:row>
    <x:row r="1905" ht="18" customHeight="1">
      <x:c r="A1905" s="13" t="n">
        <x:v>45441</x:v>
      </x:c>
      <x:c r="B1905" s="12" t="str">
        <x:v>000300.SH</x:v>
      </x:c>
      <x:c r="C1905" s="12" t="n">
        <x:v>3609.0708</x:v>
      </x:c>
      <x:c r="D1905" s="12" t="n">
        <x:v>3633.1971</x:v>
      </x:c>
      <x:c r="E1905" s="12" t="n">
        <x:v>3602.8198</x:v>
      </x:c>
      <x:c r="F1905" s="12" t="n">
        <x:v>3613.5223</x:v>
      </x:c>
      <x:c r="G1905" s="12" t="n">
        <x:v>3609.1724</x:v>
      </x:c>
      <x:c r="H1905" s="12" t="n">
        <x:v>4.3499</x:v>
      </x:c>
      <x:c r="I1905" s="12" t="n">
        <x:v>0.1205</x:v>
      </x:c>
      <x:c r="J1905" s="12" t="n">
        <x:v>0.0012045090389653562</x:v>
      </x:c>
      <x:c r="K1905" s="12" t="n">
        <x:v>115906321</x:v>
      </x:c>
      <x:c r="L1905" s="12" t="n">
        <x:v>179072813.278</x:v>
      </x:c>
      <x:c r="M1905" s="12" t="str">
        <x:v>TuShare index_daily</x:v>
      </x:c>
    </x:row>
    <x:row r="1906" ht="18" customHeight="1">
      <x:c r="A1906" s="13" t="n">
        <x:v>45442</x:v>
      </x:c>
      <x:c r="B1906" s="12" t="str">
        <x:v>000300.SH</x:v>
      </x:c>
      <x:c r="C1906" s="12" t="n">
        <x:v>3607.0522</x:v>
      </x:c>
      <x:c r="D1906" s="12" t="n">
        <x:v>3624.0352</x:v>
      </x:c>
      <x:c r="E1906" s="12" t="n">
        <x:v>3586.7543</x:v>
      </x:c>
      <x:c r="F1906" s="12" t="n">
        <x:v>3594.3121</x:v>
      </x:c>
      <x:c r="G1906" s="12" t="n">
        <x:v>3613.5223</x:v>
      </x:c>
      <x:c r="H1906" s="12" t="n">
        <x:v>-19.2102</x:v>
      </x:c>
      <x:c r="I1906" s="12" t="n">
        <x:v>-0.5316</x:v>
      </x:c>
      <x:c r="J1906" s="12" t="n">
        <x:v>-0.005330379256448552</x:v>
      </x:c>
      <x:c r="K1906" s="12" t="n">
        <x:v>122602995</x:v>
      </x:c>
      <x:c r="L1906" s="12" t="n">
        <x:v>193069647.051</x:v>
      </x:c>
      <x:c r="M1906" s="12" t="str">
        <x:v>TuShare index_daily</x:v>
      </x:c>
    </x:row>
    <x:row r="1907" ht="18" customHeight="1">
      <x:c r="A1907" s="13" t="n">
        <x:v>45443</x:v>
      </x:c>
      <x:c r="B1907" s="12" t="str">
        <x:v>000300.SH</x:v>
      </x:c>
      <x:c r="C1907" s="12" t="n">
        <x:v>3599.8196</x:v>
      </x:c>
      <x:c r="D1907" s="12" t="n">
        <x:v>3614.6439</x:v>
      </x:c>
      <x:c r="E1907" s="12" t="n">
        <x:v>3579.9247</x:v>
      </x:c>
      <x:c r="F1907" s="12" t="n">
        <x:v>3579.9247</x:v>
      </x:c>
      <x:c r="G1907" s="12" t="n">
        <x:v>3594.3121</x:v>
      </x:c>
      <x:c r="H1907" s="12" t="n">
        <x:v>-14.3874</x:v>
      </x:c>
      <x:c r="I1907" s="12" t="n">
        <x:v>-0.4003</x:v>
      </x:c>
      <x:c r="J1907" s="12" t="n">
        <x:v>-0.00401085709562117</x:v>
      </x:c>
      <x:c r="K1907" s="12" t="n">
        <x:v>112462019</x:v>
      </x:c>
      <x:c r="L1907" s="12" t="n">
        <x:v>180707602.932</x:v>
      </x:c>
      <x:c r="M1907" s="12" t="str">
        <x:v>TuShare index_daily</x:v>
      </x:c>
    </x:row>
    <x:row r="1908" ht="18" customHeight="1">
      <x:c r="A1908" s="13" t="n">
        <x:v>45446</x:v>
      </x:c>
      <x:c r="B1908" s="12" t="str">
        <x:v>000300.SH</x:v>
      </x:c>
      <x:c r="C1908" s="12" t="n">
        <x:v>3577.3798</x:v>
      </x:c>
      <x:c r="D1908" s="12" t="n">
        <x:v>3600.6044</x:v>
      </x:c>
      <x:c r="E1908" s="12" t="n">
        <x:v>3567.8713</x:v>
      </x:c>
      <x:c r="F1908" s="12" t="n">
        <x:v>3588.7483</x:v>
      </x:c>
      <x:c r="G1908" s="12" t="n">
        <x:v>3579.9247</x:v>
      </x:c>
      <x:c r="H1908" s="12" t="n">
        <x:v>8.8236</x:v>
      </x:c>
      <x:c r="I1908" s="12" t="n">
        <x:v>0.2465</x:v>
      </x:c>
      <x:c r="J1908" s="12" t="n">
        <x:v>0.0024617120786335107</x:v>
      </x:c>
      <x:c r="K1908" s="12" t="n">
        <x:v>141054591</x:v>
      </x:c>
      <x:c r="L1908" s="12" t="n">
        <x:v>222756928.174</x:v>
      </x:c>
      <x:c r="M1908" s="12" t="str">
        <x:v>TuShare index_daily</x:v>
      </x:c>
    </x:row>
    <x:row r="1909" ht="18" customHeight="1">
      <x:c r="A1909" s="13" t="n">
        <x:v>45447</x:v>
      </x:c>
      <x:c r="B1909" s="12" t="str">
        <x:v>000300.SH</x:v>
      </x:c>
      <x:c r="C1909" s="12" t="n">
        <x:v>3583.8104</x:v>
      </x:c>
      <x:c r="D1909" s="12" t="n">
        <x:v>3622.5012</x:v>
      </x:c>
      <x:c r="E1909" s="12" t="n">
        <x:v>3580.2771</x:v>
      </x:c>
      <x:c r="F1909" s="12" t="n">
        <x:v>3615.6714</x:v>
      </x:c>
      <x:c r="G1909" s="12" t="n">
        <x:v>3588.7483</x:v>
      </x:c>
      <x:c r="H1909" s="12" t="n">
        <x:v>26.9231</x:v>
      </x:c>
      <x:c r="I1909" s="12" t="n">
        <x:v>0.7502</x:v>
      </x:c>
      <x:c r="J1909" s="12" t="n">
        <x:v>0.007474085756360476</x:v>
      </x:c>
      <x:c r="K1909" s="12" t="n">
        <x:v>124545096</x:v>
      </x:c>
      <x:c r="L1909" s="12" t="n">
        <x:v>195790966.234</x:v>
      </x:c>
      <x:c r="M1909" s="12" t="str">
        <x:v>TuShare index_daily</x:v>
      </x:c>
    </x:row>
    <x:row r="1910" ht="18" customHeight="1">
      <x:c r="A1910" s="13" t="n">
        <x:v>45448</x:v>
      </x:c>
      <x:c r="B1910" s="12" t="str">
        <x:v>000300.SH</x:v>
      </x:c>
      <x:c r="C1910" s="12" t="n">
        <x:v>3610.3601</x:v>
      </x:c>
      <x:c r="D1910" s="12" t="n">
        <x:v>3623.3232</x:v>
      </x:c>
      <x:c r="E1910" s="12" t="n">
        <x:v>3594.1056</x:v>
      </x:c>
      <x:c r="F1910" s="12" t="n">
        <x:v>3594.7936</x:v>
      </x:c>
      <x:c r="G1910" s="12" t="n">
        <x:v>3615.6714</x:v>
      </x:c>
      <x:c r="H1910" s="12" t="n">
        <x:v>-20.8778</x:v>
      </x:c>
      <x:c r="I1910" s="12" t="n">
        <x:v>-0.5774</x:v>
      </x:c>
      <x:c r="J1910" s="12" t="n">
        <x:v>-0.005790988055739421</x:v>
      </x:c>
      <x:c r="K1910" s="12" t="n">
        <x:v>110906766</x:v>
      </x:c>
      <x:c r="L1910" s="12" t="n">
        <x:v>182639598.875</x:v>
      </x:c>
      <x:c r="M1910" s="12" t="str">
        <x:v>TuShare index_daily</x:v>
      </x:c>
    </x:row>
    <x:row r="1911" ht="18" customHeight="1">
      <x:c r="A1911" s="13" t="n">
        <x:v>45449</x:v>
      </x:c>
      <x:c r="B1911" s="12" t="str">
        <x:v>000300.SH</x:v>
      </x:c>
      <x:c r="C1911" s="12" t="n">
        <x:v>3602.1554</x:v>
      </x:c>
      <x:c r="D1911" s="12" t="n">
        <x:v>3625.0109</x:v>
      </x:c>
      <x:c r="E1911" s="12" t="n">
        <x:v>3584.171</x:v>
      </x:c>
      <x:c r="F1911" s="12" t="n">
        <x:v>3592.2454</x:v>
      </x:c>
      <x:c r="G1911" s="12" t="n">
        <x:v>3594.7936</x:v>
      </x:c>
      <x:c r="H1911" s="12" t="n">
        <x:v>-2.5482</x:v>
      </x:c>
      <x:c r="I1911" s="12" t="n">
        <x:v>-0.0709</x:v>
      </x:c>
      <x:c r="J1911" s="12" t="n">
        <x:v>-0.0007091098592278275</x:v>
      </x:c>
      <x:c r="K1911" s="12" t="n">
        <x:v>137893517</x:v>
      </x:c>
      <x:c r="L1911" s="12" t="n">
        <x:v>226764072.639</x:v>
      </x:c>
      <x:c r="M1911" s="12" t="str">
        <x:v>TuShare index_daily</x:v>
      </x:c>
    </x:row>
    <x:row r="1912" ht="18" customHeight="1">
      <x:c r="A1912" s="13" t="n">
        <x:v>45450</x:v>
      </x:c>
      <x:c r="B1912" s="12" t="str">
        <x:v>000300.SH</x:v>
      </x:c>
      <x:c r="C1912" s="12" t="n">
        <x:v>3594.6335</x:v>
      </x:c>
      <x:c r="D1912" s="12" t="n">
        <x:v>3603.0698</x:v>
      </x:c>
      <x:c r="E1912" s="12" t="n">
        <x:v>3552.0853</x:v>
      </x:c>
      <x:c r="F1912" s="12" t="n">
        <x:v>3574.1143</x:v>
      </x:c>
      <x:c r="G1912" s="12" t="n">
        <x:v>3592.2454</x:v>
      </x:c>
      <x:c r="H1912" s="12" t="n">
        <x:v>-18.1311</x:v>
      </x:c>
      <x:c r="I1912" s="12" t="n">
        <x:v>-0.5047</x:v>
      </x:c>
      <x:c r="J1912" s="12" t="n">
        <x:v>-0.0050600693923201785</x:v>
      </x:c>
      <x:c r="K1912" s="12" t="n">
        <x:v>131103026</x:v>
      </x:c>
      <x:c r="L1912" s="12" t="n">
        <x:v>213001530.098</x:v>
      </x:c>
      <x:c r="M1912" s="12" t="str">
        <x:v>TuShare index_daily</x:v>
      </x:c>
    </x:row>
    <x:row r="1913" ht="18" customHeight="1">
      <x:c r="A1913" s="13" t="n">
        <x:v>45454</x:v>
      </x:c>
      <x:c r="B1913" s="12" t="str">
        <x:v>000300.SH</x:v>
      </x:c>
      <x:c r="C1913" s="12" t="n">
        <x:v>3555.8186</x:v>
      </x:c>
      <x:c r="D1913" s="12" t="n">
        <x:v>3565.3113</x:v>
      </x:c>
      <x:c r="E1913" s="12" t="n">
        <x:v>3525.8945</x:v>
      </x:c>
      <x:c r="F1913" s="12" t="n">
        <x:v>3542.8771</x:v>
      </x:c>
      <x:c r="G1913" s="12" t="n">
        <x:v>3574.1143</x:v>
      </x:c>
      <x:c r="H1913" s="12" t="n">
        <x:v>-31.2372</x:v>
      </x:c>
      <x:c r="I1913" s="12" t="n">
        <x:v>-0.874</x:v>
      </x:c>
      <x:c r="J1913" s="12" t="n">
        <x:v>-0.008778260035281154</x:v>
      </x:c>
      <x:c r="K1913" s="12" t="n">
        <x:v>134522306</x:v>
      </x:c>
      <x:c r="L1913" s="12" t="n">
        <x:v>219282337.214</x:v>
      </x:c>
      <x:c r="M1913" s="12" t="str">
        <x:v>TuShare index_daily</x:v>
      </x:c>
    </x:row>
    <x:row r="1914" ht="18" customHeight="1">
      <x:c r="A1914" s="13" t="n">
        <x:v>45455</x:v>
      </x:c>
      <x:c r="B1914" s="12" t="str">
        <x:v>000300.SH</x:v>
      </x:c>
      <x:c r="C1914" s="12" t="n">
        <x:v>3539.0947</x:v>
      </x:c>
      <x:c r="D1914" s="12" t="n">
        <x:v>3551.1706</x:v>
      </x:c>
      <x:c r="E1914" s="12" t="n">
        <x:v>3531.5657</x:v>
      </x:c>
      <x:c r="F1914" s="12" t="n">
        <x:v>3544.1225</x:v>
      </x:c>
      <x:c r="G1914" s="12" t="n">
        <x:v>3542.8771</x:v>
      </x:c>
      <x:c r="H1914" s="12" t="n">
        <x:v>1.2454</x:v>
      </x:c>
      <x:c r="I1914" s="12" t="n">
        <x:v>0.0352</x:v>
      </x:c>
      <x:c r="J1914" s="12" t="n">
        <x:v>0.00035146044394283323</x:v>
      </x:c>
      <x:c r="K1914" s="12" t="n">
        <x:v>122813729</x:v>
      </x:c>
      <x:c r="L1914" s="12" t="n">
        <x:v>200722600.631</x:v>
      </x:c>
      <x:c r="M1914" s="12" t="str">
        <x:v>TuShare index_daily</x:v>
      </x:c>
    </x:row>
    <x:row r="1915" ht="18" customHeight="1">
      <x:c r="A1915" s="13" t="n">
        <x:v>45456</x:v>
      </x:c>
      <x:c r="B1915" s="12" t="str">
        <x:v>000300.SH</x:v>
      </x:c>
      <x:c r="C1915" s="12" t="n">
        <x:v>3548.2162</x:v>
      </x:c>
      <x:c r="D1915" s="12" t="n">
        <x:v>3551.0771</x:v>
      </x:c>
      <x:c r="E1915" s="12" t="n">
        <x:v>3520.1802</x:v>
      </x:c>
      <x:c r="F1915" s="12" t="n">
        <x:v>3526.1306</x:v>
      </x:c>
      <x:c r="G1915" s="12" t="n">
        <x:v>3544.1225</x:v>
      </x:c>
      <x:c r="H1915" s="12" t="n">
        <x:v>-17.9919</x:v>
      </x:c>
      <x:c r="I1915" s="12" t="n">
        <x:v>-0.5077</x:v>
      </x:c>
      <x:c r="J1915" s="12" t="n">
        <x:v>-0.005089475180636833</x:v>
      </x:c>
      <x:c r="K1915" s="12" t="n">
        <x:v>123245462</x:v>
      </x:c>
      <x:c r="L1915" s="12" t="n">
        <x:v>214792338.449</x:v>
      </x:c>
      <x:c r="M1915" s="12" t="str">
        <x:v>TuShare index_daily</x:v>
      </x:c>
    </x:row>
    <x:row r="1916" ht="18" customHeight="1">
      <x:c r="A1916" s="13" t="n">
        <x:v>45457</x:v>
      </x:c>
      <x:c r="B1916" s="12" t="str">
        <x:v>000300.SH</x:v>
      </x:c>
      <x:c r="C1916" s="12" t="n">
        <x:v>3514.7998</x:v>
      </x:c>
      <x:c r="D1916" s="12" t="n">
        <x:v>3547.1473</x:v>
      </x:c>
      <x:c r="E1916" s="12" t="n">
        <x:v>3503.5233</x:v>
      </x:c>
      <x:c r="F1916" s="12" t="n">
        <x:v>3541.5331</x:v>
      </x:c>
      <x:c r="G1916" s="12" t="n">
        <x:v>3526.1306</x:v>
      </x:c>
      <x:c r="H1916" s="12" t="n">
        <x:v>15.4025</x:v>
      </x:c>
      <x:c r="I1916" s="12" t="n">
        <x:v>0.4368</x:v>
      </x:c>
      <x:c r="J1916" s="12" t="n">
        <x:v>0.004358590062463737</x:v>
      </x:c>
      <x:c r="K1916" s="12" t="n">
        <x:v>171516942</x:v>
      </x:c>
      <x:c r="L1916" s="12" t="n">
        <x:v>283768816.845</x:v>
      </x:c>
      <x:c r="M1916" s="12" t="str">
        <x:v>TuShare index_daily</x:v>
      </x:c>
    </x:row>
    <x:row r="1917" ht="18" customHeight="1">
      <x:c r="A1917" s="13" t="n">
        <x:v>45460</x:v>
      </x:c>
      <x:c r="B1917" s="12" t="str">
        <x:v>000300.SH</x:v>
      </x:c>
      <x:c r="C1917" s="12" t="n">
        <x:v>3521.4365</x:v>
      </x:c>
      <x:c r="D1917" s="12" t="n">
        <x:v>3540.7932</x:v>
      </x:c>
      <x:c r="E1917" s="12" t="n">
        <x:v>3520.7381</x:v>
      </x:c>
      <x:c r="F1917" s="12" t="n">
        <x:v>3536.1986</x:v>
      </x:c>
      <x:c r="G1917" s="12" t="n">
        <x:v>3541.5331</x:v>
      </x:c>
      <x:c r="H1917" s="12" t="n">
        <x:v>-5.3345</x:v>
      </x:c>
      <x:c r="I1917" s="12" t="n">
        <x:v>-0.1506</x:v>
      </x:c>
      <x:c r="J1917" s="12" t="n">
        <x:v>-0.001507404133478877</x:v>
      </x:c>
      <x:c r="K1917" s="12" t="n">
        <x:v>137433438</x:v>
      </x:c>
      <x:c r="L1917" s="12" t="n">
        <x:v>232293851.894</x:v>
      </x:c>
      <x:c r="M1917" s="12" t="str">
        <x:v>TuShare index_daily</x:v>
      </x:c>
    </x:row>
    <x:row r="1918" ht="18" customHeight="1">
      <x:c r="A1918" s="13" t="n">
        <x:v>45461</x:v>
      </x:c>
      <x:c r="B1918" s="12" t="str">
        <x:v>000300.SH</x:v>
      </x:c>
      <x:c r="C1918" s="12" t="n">
        <x:v>3533.4875</x:v>
      </x:c>
      <x:c r="D1918" s="12" t="n">
        <x:v>3551.7085</x:v>
      </x:c>
      <x:c r="E1918" s="12" t="n">
        <x:v>3532.7845</x:v>
      </x:c>
      <x:c r="F1918" s="12" t="n">
        <x:v>3545.5902</x:v>
      </x:c>
      <x:c r="G1918" s="12" t="n">
        <x:v>3536.1986</x:v>
      </x:c>
      <x:c r="H1918" s="12" t="n">
        <x:v>9.3916</x:v>
      </x:c>
      <x:c r="I1918" s="12" t="n">
        <x:v>0.2656</x:v>
      </x:c>
      <x:c r="J1918" s="12" t="n">
        <x:v>0.002652325781218718</x:v>
      </x:c>
      <x:c r="K1918" s="12" t="n">
        <x:v>123671838</x:v>
      </x:c>
      <x:c r="L1918" s="12" t="n">
        <x:v>208824124.156</x:v>
      </x:c>
      <x:c r="M1918" s="12" t="str">
        <x:v>TuShare index_daily</x:v>
      </x:c>
    </x:row>
    <x:row r="1919" ht="18" customHeight="1">
      <x:c r="A1919" s="13" t="n">
        <x:v>45462</x:v>
      </x:c>
      <x:c r="B1919" s="12" t="str">
        <x:v>000300.SH</x:v>
      </x:c>
      <x:c r="C1919" s="12" t="n">
        <x:v>3543.3599</x:v>
      </x:c>
      <x:c r="D1919" s="12" t="n">
        <x:v>3543.3599</x:v>
      </x:c>
      <x:c r="E1919" s="12" t="n">
        <x:v>3524.8449</x:v>
      </x:c>
      <x:c r="F1919" s="12" t="n">
        <x:v>3528.749</x:v>
      </x:c>
      <x:c r="G1919" s="12" t="n">
        <x:v>3545.5902</x:v>
      </x:c>
      <x:c r="H1919" s="12" t="n">
        <x:v>-16.8412</x:v>
      </x:c>
      <x:c r="I1919" s="12" t="n">
        <x:v>-0.475</x:v>
      </x:c>
      <x:c r="J1919" s="12" t="n">
        <x:v>-0.004761216938729962</x:v>
      </x:c>
      <x:c r="K1919" s="12" t="n">
        <x:v>106642797</x:v>
      </x:c>
      <x:c r="L1919" s="12" t="n">
        <x:v>184790298.729</x:v>
      </x:c>
      <x:c r="M1919" s="12" t="str">
        <x:v>TuShare index_daily</x:v>
      </x:c>
    </x:row>
    <x:row r="1920" ht="18" customHeight="1">
      <x:c r="A1920" s="13" t="n">
        <x:v>45463</x:v>
      </x:c>
      <x:c r="B1920" s="12" t="str">
        <x:v>000300.SH</x:v>
      </x:c>
      <x:c r="C1920" s="12" t="n">
        <x:v>3525.1687</x:v>
      </x:c>
      <x:c r="D1920" s="12" t="n">
        <x:v>3533.9865</x:v>
      </x:c>
      <x:c r="E1920" s="12" t="n">
        <x:v>3500.131</x:v>
      </x:c>
      <x:c r="F1920" s="12" t="n">
        <x:v>3503.2817</x:v>
      </x:c>
      <x:c r="G1920" s="12" t="n">
        <x:v>3528.749</x:v>
      </x:c>
      <x:c r="H1920" s="12" t="n">
        <x:v>-25.4673</x:v>
      </x:c>
      <x:c r="I1920" s="12" t="n">
        <x:v>-0.7217</x:v>
      </x:c>
      <x:c r="J1920" s="12" t="n">
        <x:v>-0.007243259431347746</x:v>
      </x:c>
      <x:c r="K1920" s="12" t="n">
        <x:v>111617396</x:v>
      </x:c>
      <x:c r="L1920" s="12" t="n">
        <x:v>186515776.575</x:v>
      </x:c>
      <x:c r="M1920" s="12" t="str">
        <x:v>TuShare index_daily</x:v>
      </x:c>
    </x:row>
    <x:row r="1921" ht="18" customHeight="1">
      <x:c r="A1921" s="13" t="n">
        <x:v>45464</x:v>
      </x:c>
      <x:c r="B1921" s="12" t="str">
        <x:v>000300.SH</x:v>
      </x:c>
      <x:c r="C1921" s="12" t="n">
        <x:v>3496.3428</x:v>
      </x:c>
      <x:c r="D1921" s="12" t="n">
        <x:v>3505.5123</x:v>
      </x:c>
      <x:c r="E1921" s="12" t="n">
        <x:v>3473.8283</x:v>
      </x:c>
      <x:c r="F1921" s="12" t="n">
        <x:v>3495.6198</x:v>
      </x:c>
      <x:c r="G1921" s="12" t="n">
        <x:v>3503.2817</x:v>
      </x:c>
      <x:c r="H1921" s="12" t="n">
        <x:v>-7.6619</x:v>
      </x:c>
      <x:c r="I1921" s="12" t="n">
        <x:v>-0.2187</x:v>
      </x:c>
      <x:c r="J1921" s="12" t="n">
        <x:v>-0.002189458748849752</x:v>
      </x:c>
      <x:c r="K1921" s="12" t="n">
        <x:v>109186615</x:v>
      </x:c>
      <x:c r="L1921" s="12" t="n">
        <x:v>182736735.067</x:v>
      </x:c>
      <x:c r="M1921" s="12" t="str">
        <x:v>TuShare index_daily</x:v>
      </x:c>
    </x:row>
    <x:row r="1922" ht="18" customHeight="1">
      <x:c r="A1922" s="13" t="n">
        <x:v>45467</x:v>
      </x:c>
      <x:c r="B1922" s="12" t="str">
        <x:v>000300.SH</x:v>
      </x:c>
      <x:c r="C1922" s="12" t="n">
        <x:v>3473.6392</x:v>
      </x:c>
      <x:c r="D1922" s="12" t="n">
        <x:v>3505.7752</x:v>
      </x:c>
      <x:c r="E1922" s="12" t="n">
        <x:v>3471.2164</x:v>
      </x:c>
      <x:c r="F1922" s="12" t="n">
        <x:v>3476.8102</x:v>
      </x:c>
      <x:c r="G1922" s="12" t="n">
        <x:v>3495.6198</x:v>
      </x:c>
      <x:c r="H1922" s="12" t="n">
        <x:v>-18.8096</x:v>
      </x:c>
      <x:c r="I1922" s="12" t="n">
        <x:v>-0.5381</x:v>
      </x:c>
      <x:c r="J1922" s="12" t="n">
        <x:v>-0.005395434770963799</x:v>
      </x:c>
      <x:c r="K1922" s="12" t="n">
        <x:v>117990184</x:v>
      </x:c>
      <x:c r="L1922" s="12" t="n">
        <x:v>195787549.314</x:v>
      </x:c>
      <x:c r="M1922" s="12" t="str">
        <x:v>TuShare index_daily</x:v>
      </x:c>
    </x:row>
    <x:row r="1923" ht="18" customHeight="1">
      <x:c r="A1923" s="13" t="n">
        <x:v>45468</x:v>
      </x:c>
      <x:c r="B1923" s="12" t="str">
        <x:v>000300.SH</x:v>
      </x:c>
      <x:c r="C1923" s="12" t="n">
        <x:v>3475.1648</x:v>
      </x:c>
      <x:c r="D1923" s="12" t="n">
        <x:v>3483.2189</x:v>
      </x:c>
      <x:c r="E1923" s="12" t="n">
        <x:v>3440.6464</x:v>
      </x:c>
      <x:c r="F1923" s="12" t="n">
        <x:v>3457.9023</x:v>
      </x:c>
      <x:c r="G1923" s="12" t="n">
        <x:v>3476.8102</x:v>
      </x:c>
      <x:c r="H1923" s="12" t="n">
        <x:v>-18.9079</x:v>
      </x:c>
      <x:c r="I1923" s="12" t="n">
        <x:v>-0.5438</x:v>
      </x:c>
      <x:c r="J1923" s="12" t="n">
        <x:v>-0.005453130711547871</x:v>
      </x:c>
      <x:c r="K1923" s="12" t="n">
        <x:v>118448118</x:v>
      </x:c>
      <x:c r="L1923" s="12" t="n">
        <x:v>190886336.762</x:v>
      </x:c>
      <x:c r="M1923" s="12" t="str">
        <x:v>TuShare index_daily</x:v>
      </x:c>
    </x:row>
    <x:row r="1924" ht="18" customHeight="1">
      <x:c r="A1924" s="13" t="n">
        <x:v>45469</x:v>
      </x:c>
      <x:c r="B1924" s="12" t="str">
        <x:v>000300.SH</x:v>
      </x:c>
      <x:c r="C1924" s="12" t="n">
        <x:v>3451.5389</x:v>
      </x:c>
      <x:c r="D1924" s="12" t="n">
        <x:v>3487.3964</x:v>
      </x:c>
      <x:c r="E1924" s="12" t="n">
        <x:v>3442.2982</x:v>
      </x:c>
      <x:c r="F1924" s="12" t="n">
        <x:v>3480.2648</x:v>
      </x:c>
      <x:c r="G1924" s="12" t="n">
        <x:v>3457.9023</x:v>
      </x:c>
      <x:c r="H1924" s="12" t="n">
        <x:v>22.3625</x:v>
      </x:c>
      <x:c r="I1924" s="12" t="n">
        <x:v>0.6467</x:v>
      </x:c>
      <x:c r="J1924" s="12" t="n">
        <x:v>0.0064462493092157</x:v>
      </x:c>
      <x:c r="K1924" s="12" t="n">
        <x:v>105898861</x:v>
      </x:c>
      <x:c r="L1924" s="12" t="n">
        <x:v>171538111.702</x:v>
      </x:c>
      <x:c r="M1924" s="12" t="str">
        <x:v>TuShare index_daily</x:v>
      </x:c>
    </x:row>
    <x:row r="1925" ht="18" customHeight="1">
      <x:c r="A1925" s="13" t="n">
        <x:v>45470</x:v>
      </x:c>
      <x:c r="B1925" s="12" t="str">
        <x:v>000300.SH</x:v>
      </x:c>
      <x:c r="C1925" s="12" t="n">
        <x:v>3467.2888</x:v>
      </x:c>
      <x:c r="D1925" s="12" t="n">
        <x:v>3471.1423</x:v>
      </x:c>
      <x:c r="E1925" s="12" t="n">
        <x:v>3452.5775</x:v>
      </x:c>
      <x:c r="F1925" s="12" t="n">
        <x:v>3454.1175</x:v>
      </x:c>
      <x:c r="G1925" s="12" t="n">
        <x:v>3480.2648</x:v>
      </x:c>
      <x:c r="H1925" s="12" t="n">
        <x:v>-26.1473</x:v>
      </x:c>
      <x:c r="I1925" s="12" t="n">
        <x:v>-0.7513</x:v>
      </x:c>
      <x:c r="J1925" s="12" t="n">
        <x:v>-0.007541385170448812</x:v>
      </x:c>
      <x:c r="K1925" s="12" t="n">
        <x:v>114918101</x:v>
      </x:c>
      <x:c r="L1925" s="12" t="n">
        <x:v>174112508.796</x:v>
      </x:c>
      <x:c r="M1925" s="12" t="str">
        <x:v>TuShare index_daily</x:v>
      </x:c>
    </x:row>
    <x:row r="1926" ht="18" customHeight="1">
      <x:c r="A1926" s="13" t="n">
        <x:v>45471</x:v>
      </x:c>
      <x:c r="B1926" s="12" t="str">
        <x:v>000300.SH</x:v>
      </x:c>
      <x:c r="C1926" s="12" t="n">
        <x:v>3443.6744</x:v>
      </x:c>
      <x:c r="D1926" s="12" t="n">
        <x:v>3484.678</x:v>
      </x:c>
      <x:c r="E1926" s="12" t="n">
        <x:v>3443.6744</x:v>
      </x:c>
      <x:c r="F1926" s="12" t="n">
        <x:v>3461.657</x:v>
      </x:c>
      <x:c r="G1926" s="12" t="n">
        <x:v>3454.1175</x:v>
      </x:c>
      <x:c r="H1926" s="12" t="n">
        <x:v>7.5395</x:v>
      </x:c>
      <x:c r="I1926" s="12" t="n">
        <x:v>0.2183</x:v>
      </x:c>
      <x:c r="J1926" s="12" t="n">
        <x:v>0.0021803784917885987</x:v>
      </x:c>
      <x:c r="K1926" s="12" t="n">
        <x:v>135409153</x:v>
      </x:c>
      <x:c r="L1926" s="12" t="n">
        <x:v>205118806.812</x:v>
      </x:c>
      <x:c r="M1926" s="12" t="str">
        <x:v>TuShare index_daily</x:v>
      </x:c>
    </x:row>
    <x:row r="1927" ht="18" customHeight="1">
      <x:c r="A1927" s="13" t="n">
        <x:v>45474</x:v>
      </x:c>
      <x:c r="B1927" s="12" t="str">
        <x:v>000300.SH</x:v>
      </x:c>
      <x:c r="C1927" s="12" t="n">
        <x:v>3458.2636</x:v>
      </x:c>
      <x:c r="D1927" s="12" t="n">
        <x:v>3479.9548</x:v>
      </x:c>
      <x:c r="E1927" s="12" t="n">
        <x:v>3443.8086</x:v>
      </x:c>
      <x:c r="F1927" s="12" t="n">
        <x:v>3478.1827</x:v>
      </x:c>
      <x:c r="G1927" s="12" t="n">
        <x:v>3461.657</x:v>
      </x:c>
      <x:c r="H1927" s="12" t="n">
        <x:v>16.5257</x:v>
      </x:c>
      <x:c r="I1927" s="12" t="n">
        <x:v>0.4774</x:v>
      </x:c>
      <x:c r="J1927" s="12" t="n">
        <x:v>0.0047625685752935455</x:v>
      </x:c>
      <x:c r="K1927" s="12" t="n">
        <x:v>121829770</x:v>
      </x:c>
      <x:c r="L1927" s="12" t="n">
        <x:v>188018227.775</x:v>
      </x:c>
      <x:c r="M1927" s="12" t="str">
        <x:v>TuShare index_daily</x:v>
      </x:c>
    </x:row>
    <x:row r="1928" ht="18" customHeight="1">
      <x:c r="A1928" s="13" t="n">
        <x:v>45475</x:v>
      </x:c>
      <x:c r="B1928" s="12" t="str">
        <x:v>000300.SH</x:v>
      </x:c>
      <x:c r="C1928" s="12" t="n">
        <x:v>3472.4527</x:v>
      </x:c>
      <x:c r="D1928" s="12" t="n">
        <x:v>3488.3189</x:v>
      </x:c>
      <x:c r="E1928" s="12" t="n">
        <x:v>3464.5237</x:v>
      </x:c>
      <x:c r="F1928" s="12" t="n">
        <x:v>3471.7857</x:v>
      </x:c>
      <x:c r="G1928" s="12" t="n">
        <x:v>3478.1827</x:v>
      </x:c>
      <x:c r="H1928" s="12" t="n">
        <x:v>-6.397</x:v>
      </x:c>
      <x:c r="I1928" s="12" t="n">
        <x:v>-0.1839</x:v>
      </x:c>
      <x:c r="J1928" s="12" t="n">
        <x:v>-0.0018408721992226827</x:v>
      </x:c>
      <x:c r="K1928" s="12" t="n">
        <x:v>121650121</x:v>
      </x:c>
      <x:c r="L1928" s="12" t="n">
        <x:v>186104752.422</x:v>
      </x:c>
      <x:c r="M1928" s="12" t="str">
        <x:v>TuShare index_daily</x:v>
      </x:c>
    </x:row>
    <x:row r="1929" ht="18" customHeight="1">
      <x:c r="A1929" s="13" t="n">
        <x:v>45476</x:v>
      </x:c>
      <x:c r="B1929" s="12" t="str">
        <x:v>000300.SH</x:v>
      </x:c>
      <x:c r="C1929" s="12" t="n">
        <x:v>3471.5556</x:v>
      </x:c>
      <x:c r="D1929" s="12" t="n">
        <x:v>3478.7047</x:v>
      </x:c>
      <x:c r="E1929" s="12" t="n">
        <x:v>3454.9942</x:v>
      </x:c>
      <x:c r="F1929" s="12" t="n">
        <x:v>3463.4141</x:v>
      </x:c>
      <x:c r="G1929" s="12" t="n">
        <x:v>3471.7857</x:v>
      </x:c>
      <x:c r="H1929" s="12" t="n">
        <x:v>-8.3716</x:v>
      </x:c>
      <x:c r="I1929" s="12" t="n">
        <x:v>-0.2411</x:v>
      </x:c>
      <x:c r="J1929" s="12" t="n">
        <x:v>-0.002414235871381695</x:v>
      </x:c>
      <x:c r="K1929" s="12" t="n">
        <x:v>103857108</x:v>
      </x:c>
      <x:c r="L1929" s="12" t="n">
        <x:v>163035359.363</x:v>
      </x:c>
      <x:c r="M1929" s="12" t="str">
        <x:v>TuShare index_daily</x:v>
      </x:c>
    </x:row>
    <x:row r="1930" ht="18" customHeight="1">
      <x:c r="A1930" s="13" t="n">
        <x:v>45477</x:v>
      </x:c>
      <x:c r="B1930" s="12" t="str">
        <x:v>000300.SH</x:v>
      </x:c>
      <x:c r="C1930" s="12" t="n">
        <x:v>3468.2958</x:v>
      </x:c>
      <x:c r="D1930" s="12" t="n">
        <x:v>3483.3098</x:v>
      </x:c>
      <x:c r="E1930" s="12" t="n">
        <x:v>3444.928</x:v>
      </x:c>
      <x:c r="F1930" s="12" t="n">
        <x:v>3445.8128</x:v>
      </x:c>
      <x:c r="G1930" s="12" t="n">
        <x:v>3463.4141</x:v>
      </x:c>
      <x:c r="H1930" s="12" t="n">
        <x:v>-17.6013</x:v>
      </x:c>
      <x:c r="I1930" s="12" t="n">
        <x:v>-0.5082</x:v>
      </x:c>
      <x:c r="J1930" s="12" t="n">
        <x:v>-0.0050950238951884145</x:v>
      </x:c>
      <x:c r="K1930" s="12" t="n">
        <x:v>104429909</x:v>
      </x:c>
      <x:c r="L1930" s="12" t="n">
        <x:v>159477153.57</x:v>
      </x:c>
      <x:c r="M1930" s="12" t="str">
        <x:v>TuShare index_daily</x:v>
      </x:c>
    </x:row>
    <x:row r="1931" ht="18" customHeight="1">
      <x:c r="A1931" s="13" t="n">
        <x:v>45478</x:v>
      </x:c>
      <x:c r="B1931" s="12" t="str">
        <x:v>000300.SH</x:v>
      </x:c>
      <x:c r="C1931" s="12" t="n">
        <x:v>3443.3588</x:v>
      </x:c>
      <x:c r="D1931" s="12" t="n">
        <x:v>3451.0386</x:v>
      </x:c>
      <x:c r="E1931" s="12" t="n">
        <x:v>3399.6693</x:v>
      </x:c>
      <x:c r="F1931" s="12" t="n">
        <x:v>3431.0605</x:v>
      </x:c>
      <x:c r="G1931" s="12" t="n">
        <x:v>3445.8128</x:v>
      </x:c>
      <x:c r="H1931" s="12" t="n">
        <x:v>-14.7523</x:v>
      </x:c>
      <x:c r="I1931" s="12" t="n">
        <x:v>-0.4281</x:v>
      </x:c>
      <x:c r="J1931" s="12" t="n">
        <x:v>-0.004290415712504689</x:v>
      </x:c>
      <x:c r="K1931" s="12" t="n">
        <x:v>116609659</x:v>
      </x:c>
      <x:c r="L1931" s="12" t="n">
        <x:v>181416567.403</x:v>
      </x:c>
      <x:c r="M1931" s="12" t="str">
        <x:v>TuShare index_daily</x:v>
      </x:c>
    </x:row>
    <x:row r="1932" ht="18" customHeight="1">
      <x:c r="A1932" s="13" t="n">
        <x:v>45481</x:v>
      </x:c>
      <x:c r="B1932" s="12" t="str">
        <x:v>000300.SH</x:v>
      </x:c>
      <x:c r="C1932" s="12" t="n">
        <x:v>3420.8033</x:v>
      </x:c>
      <x:c r="D1932" s="12" t="n">
        <x:v>3428.0418</x:v>
      </x:c>
      <x:c r="E1932" s="12" t="n">
        <x:v>3395.9123</x:v>
      </x:c>
      <x:c r="F1932" s="12" t="n">
        <x:v>3401.7604</x:v>
      </x:c>
      <x:c r="G1932" s="12" t="n">
        <x:v>3431.0605</x:v>
      </x:c>
      <x:c r="H1932" s="12" t="n">
        <x:v>-29.3001</x:v>
      </x:c>
      <x:c r="I1932" s="12" t="n">
        <x:v>-0.854</x:v>
      </x:c>
      <x:c r="J1932" s="12" t="n">
        <x:v>-0.008576334729793503</x:v>
      </x:c>
      <x:c r="K1932" s="12" t="n">
        <x:v>115528218</x:v>
      </x:c>
      <x:c r="L1932" s="12" t="n">
        <x:v>177559765.828</x:v>
      </x:c>
      <x:c r="M1932" s="12" t="str">
        <x:v>TuShare index_daily</x:v>
      </x:c>
    </x:row>
    <x:row r="1933" ht="18" customHeight="1">
      <x:c r="A1933" s="13" t="n">
        <x:v>45482</x:v>
      </x:c>
      <x:c r="B1933" s="12" t="str">
        <x:v>000300.SH</x:v>
      </x:c>
      <x:c r="C1933" s="12" t="n">
        <x:v>3396.8044</x:v>
      </x:c>
      <x:c r="D1933" s="12" t="n">
        <x:v>3448.9279</x:v>
      </x:c>
      <x:c r="E1933" s="12" t="n">
        <x:v>3384.8086</x:v>
      </x:c>
      <x:c r="F1933" s="12" t="n">
        <x:v>3439.8111</x:v>
      </x:c>
      <x:c r="G1933" s="12" t="n">
        <x:v>3401.7604</x:v>
      </x:c>
      <x:c r="H1933" s="12" t="n">
        <x:v>38.0507</x:v>
      </x:c>
      <x:c r="I1933" s="12" t="n">
        <x:v>1.1186</x:v>
      </x:c>
      <x:c r="J1933" s="12" t="n">
        <x:v>0.011123494752744543</x:v>
      </x:c>
      <x:c r="K1933" s="12" t="n">
        <x:v>131629443</x:v>
      </x:c>
      <x:c r="L1933" s="12" t="n">
        <x:v>215048837.82</x:v>
      </x:c>
      <x:c r="M1933" s="12" t="str">
        <x:v>TuShare index_daily</x:v>
      </x:c>
    </x:row>
    <x:row r="1934" ht="18" customHeight="1">
      <x:c r="A1934" s="13" t="n">
        <x:v>45483</x:v>
      </x:c>
      <x:c r="B1934" s="12" t="str">
        <x:v>000300.SH</x:v>
      </x:c>
      <x:c r="C1934" s="12" t="n">
        <x:v>3425.8818</x:v>
      </x:c>
      <x:c r="D1934" s="12" t="n">
        <x:v>3447.505</x:v>
      </x:c>
      <x:c r="E1934" s="12" t="n">
        <x:v>3423.6483</x:v>
      </x:c>
      <x:c r="F1934" s="12" t="n">
        <x:v>3428.9657</x:v>
      </x:c>
      <x:c r="G1934" s="12" t="n">
        <x:v>3439.8111</x:v>
      </x:c>
      <x:c r="H1934" s="12" t="n">
        <x:v>-10.8454</x:v>
      </x:c>
      <x:c r="I1934" s="12" t="n">
        <x:v>-0.3153</x:v>
      </x:c>
      <x:c r="J1934" s="12" t="n">
        <x:v>-0.003157886572395083</x:v>
      </x:c>
      <x:c r="K1934" s="12" t="n">
        <x:v>127203456</x:v>
      </x:c>
      <x:c r="L1934" s="12" t="n">
        <x:v>198149476.849</x:v>
      </x:c>
      <x:c r="M1934" s="12" t="str">
        <x:v>TuShare index_daily</x:v>
      </x:c>
    </x:row>
    <x:row r="1935" ht="18" customHeight="1">
      <x:c r="A1935" s="13" t="n">
        <x:v>45484</x:v>
      </x:c>
      <x:c r="B1935" s="12" t="str">
        <x:v>000300.SH</x:v>
      </x:c>
      <x:c r="C1935" s="12" t="n">
        <x:v>3451.0442</x:v>
      </x:c>
      <x:c r="D1935" s="12" t="n">
        <x:v>3473.9837</x:v>
      </x:c>
      <x:c r="E1935" s="12" t="n">
        <x:v>3438.118</x:v>
      </x:c>
      <x:c r="F1935" s="12" t="n">
        <x:v>3468.169</x:v>
      </x:c>
      <x:c r="G1935" s="12" t="n">
        <x:v>3428.9657</x:v>
      </x:c>
      <x:c r="H1935" s="12" t="n">
        <x:v>39.2033</x:v>
      </x:c>
      <x:c r="I1935" s="12" t="n">
        <x:v>1.1433</x:v>
      </x:c>
      <x:c r="J1935" s="12" t="n">
        <x:v>0.01136811847372326</x:v>
      </x:c>
      <x:c r="K1935" s="12" t="n">
        <x:v>145892466</x:v>
      </x:c>
      <x:c r="L1935" s="12" t="n">
        <x:v>237551298.482</x:v>
      </x:c>
      <x:c r="M1935" s="12" t="str">
        <x:v>TuShare index_daily</x:v>
      </x:c>
    </x:row>
    <x:row r="1936" ht="18" customHeight="1">
      <x:c r="A1936" s="13" t="n">
        <x:v>45485</x:v>
      </x:c>
      <x:c r="B1936" s="12" t="str">
        <x:v>000300.SH</x:v>
      </x:c>
      <x:c r="C1936" s="12" t="n">
        <x:v>3459.9564</x:v>
      </x:c>
      <x:c r="D1936" s="12" t="n">
        <x:v>3479.0958</x:v>
      </x:c>
      <x:c r="E1936" s="12" t="n">
        <x:v>3457.3633</x:v>
      </x:c>
      <x:c r="F1936" s="12" t="n">
        <x:v>3472.4014</x:v>
      </x:c>
      <x:c r="G1936" s="12" t="n">
        <x:v>3468.169</x:v>
      </x:c>
      <x:c r="H1936" s="12" t="n">
        <x:v>4.2324</x:v>
      </x:c>
      <x:c r="I1936" s="12" t="n">
        <x:v>0.122</x:v>
      </x:c>
      <x:c r="J1936" s="12" t="n">
        <x:v>0.001219611726616792</x:v>
      </x:c>
      <x:c r="K1936" s="12" t="n">
        <x:v>130874589</x:v>
      </x:c>
      <x:c r="L1936" s="12" t="n">
        <x:v>205055553.856</x:v>
      </x:c>
      <x:c r="M1936" s="12" t="str">
        <x:v>TuShare index_daily</x:v>
      </x:c>
    </x:row>
    <x:row r="1937" ht="18" customHeight="1">
      <x:c r="A1937" s="13" t="n">
        <x:v>45488</x:v>
      </x:c>
      <x:c r="B1937" s="12" t="str">
        <x:v>000300.SH</x:v>
      </x:c>
      <x:c r="C1937" s="12" t="n">
        <x:v>3462.6113</x:v>
      </x:c>
      <x:c r="D1937" s="12" t="n">
        <x:v>3481.4613</x:v>
      </x:c>
      <x:c r="E1937" s="12" t="n">
        <x:v>3460.7915</x:v>
      </x:c>
      <x:c r="F1937" s="12" t="n">
        <x:v>3476.2467</x:v>
      </x:c>
      <x:c r="G1937" s="12" t="n">
        <x:v>3472.4014</x:v>
      </x:c>
      <x:c r="H1937" s="12" t="n">
        <x:v>3.8453</x:v>
      </x:c>
      <x:c r="I1937" s="12" t="n">
        <x:v>0.1107</x:v>
      </x:c>
      <x:c r="J1937" s="12" t="n">
        <x:v>0.0011067765519817325</x:v>
      </x:c>
      <x:c r="K1937" s="12" t="n">
        <x:v>118517083</x:v>
      </x:c>
      <x:c r="L1937" s="12" t="n">
        <x:v>171584915.38</x:v>
      </x:c>
      <x:c r="M1937" s="12" t="str">
        <x:v>TuShare index_daily</x:v>
      </x:c>
    </x:row>
    <x:row r="1938" ht="18" customHeight="1">
      <x:c r="A1938" s="13" t="n">
        <x:v>45489</x:v>
      </x:c>
      <x:c r="B1938" s="12" t="str">
        <x:v>000300.SH</x:v>
      </x:c>
      <x:c r="C1938" s="12" t="n">
        <x:v>3466.8523</x:v>
      </x:c>
      <x:c r="D1938" s="12" t="n">
        <x:v>3500.2943</x:v>
      </x:c>
      <x:c r="E1938" s="12" t="n">
        <x:v>3464.3655</x:v>
      </x:c>
      <x:c r="F1938" s="12" t="n">
        <x:v>3498.2827</x:v>
      </x:c>
      <x:c r="G1938" s="12" t="n">
        <x:v>3476.2467</x:v>
      </x:c>
      <x:c r="H1938" s="12" t="n">
        <x:v>22.036</x:v>
      </x:c>
      <x:c r="I1938" s="12" t="n">
        <x:v>0.6339</x:v>
      </x:c>
      <x:c r="J1938" s="12" t="n">
        <x:v>0.006319013674132575</x:v>
      </x:c>
      <x:c r="K1938" s="12" t="n">
        <x:v>120659017</x:v>
      </x:c>
      <x:c r="L1938" s="12" t="n">
        <x:v>200456285.078</x:v>
      </x:c>
      <x:c r="M1938" s="12" t="str">
        <x:v>TuShare index_daily</x:v>
      </x:c>
    </x:row>
    <x:row r="1939" ht="18" customHeight="1">
      <x:c r="A1939" s="13" t="n">
        <x:v>45490</x:v>
      </x:c>
      <x:c r="B1939" s="12" t="str">
        <x:v>000300.SH</x:v>
      </x:c>
      <x:c r="C1939" s="12" t="n">
        <x:v>3494.209</x:v>
      </x:c>
      <x:c r="D1939" s="12" t="n">
        <x:v>3514.4753</x:v>
      </x:c>
      <x:c r="E1939" s="12" t="n">
        <x:v>3486.2229</x:v>
      </x:c>
      <x:c r="F1939" s="12" t="n">
        <x:v>3501.5836</x:v>
      </x:c>
      <x:c r="G1939" s="12" t="n">
        <x:v>3498.2827</x:v>
      </x:c>
      <x:c r="H1939" s="12" t="n">
        <x:v>3.3009</x:v>
      </x:c>
      <x:c r="I1939" s="12" t="n">
        <x:v>0.0944</x:v>
      </x:c>
      <x:c r="J1939" s="12" t="n">
        <x:v>0.0009431323694506291</x:v>
      </x:c>
      <x:c r="K1939" s="12" t="n">
        <x:v>131802062</x:v>
      </x:c>
      <x:c r="L1939" s="12" t="n">
        <x:v>222830802.528</x:v>
      </x:c>
      <x:c r="M1939" s="12" t="str">
        <x:v>TuShare index_daily</x:v>
      </x:c>
    </x:row>
    <x:row r="1940" ht="18" customHeight="1">
      <x:c r="A1940" s="13" t="n">
        <x:v>45491</x:v>
      </x:c>
      <x:c r="B1940" s="12" t="str">
        <x:v>000300.SH</x:v>
      </x:c>
      <x:c r="C1940" s="12" t="n">
        <x:v>3483.2975</x:v>
      </x:c>
      <x:c r="D1940" s="12" t="n">
        <x:v>3522.7995</x:v>
      </x:c>
      <x:c r="E1940" s="12" t="n">
        <x:v>3475.7236</x:v>
      </x:c>
      <x:c r="F1940" s="12" t="n">
        <x:v>3520.931</x:v>
      </x:c>
      <x:c r="G1940" s="12" t="n">
        <x:v>3501.5836</x:v>
      </x:c>
      <x:c r="H1940" s="12" t="n">
        <x:v>19.3474</x:v>
      </x:c>
      <x:c r="I1940" s="12" t="n">
        <x:v>0.5525</x:v>
      </x:c>
      <x:c r="J1940" s="12" t="n">
        <x:v>0.0055101199650592625</x:v>
      </x:c>
      <x:c r="K1940" s="12" t="n">
        <x:v>123768199</x:v>
      </x:c>
      <x:c r="L1940" s="12" t="n">
        <x:v>215783795.703</x:v>
      </x:c>
      <x:c r="M1940" s="12" t="str">
        <x:v>TuShare index_daily</x:v>
      </x:c>
    </x:row>
    <x:row r="1941" ht="18" customHeight="1">
      <x:c r="A1941" s="13" t="n">
        <x:v>45492</x:v>
      </x:c>
      <x:c r="B1941" s="12" t="str">
        <x:v>000300.SH</x:v>
      </x:c>
      <x:c r="C1941" s="12" t="n">
        <x:v>3500.8052</x:v>
      </x:c>
      <x:c r="D1941" s="12" t="n">
        <x:v>3545.3383</x:v>
      </x:c>
      <x:c r="E1941" s="12" t="n">
        <x:v>3493.0734</x:v>
      </x:c>
      <x:c r="F1941" s="12" t="n">
        <x:v>3539.0156</x:v>
      </x:c>
      <x:c r="G1941" s="12" t="n">
        <x:v>3520.931</x:v>
      </x:c>
      <x:c r="H1941" s="12" t="n">
        <x:v>18.0846</x:v>
      </x:c>
      <x:c r="I1941" s="12" t="n">
        <x:v>0.5136</x:v>
      </x:c>
      <x:c r="J1941" s="12" t="n">
        <x:v>0.005123166103060624</x:v>
      </x:c>
      <x:c r="K1941" s="12" t="n">
        <x:v>132447975</x:v>
      </x:c>
      <x:c r="L1941" s="12" t="n">
        <x:v>228065104.129</x:v>
      </x:c>
      <x:c r="M1941" s="12" t="str">
        <x:v>TuShare index_daily</x:v>
      </x:c>
    </x:row>
    <x:row r="1942" ht="18" customHeight="1">
      <x:c r="A1942" s="13" t="n">
        <x:v>45495</x:v>
      </x:c>
      <x:c r="B1942" s="12" t="str">
        <x:v>000300.SH</x:v>
      </x:c>
      <x:c r="C1942" s="12" t="n">
        <x:v>3538.4012</x:v>
      </x:c>
      <x:c r="D1942" s="12" t="n">
        <x:v>3540.1874</x:v>
      </x:c>
      <x:c r="E1942" s="12" t="n">
        <x:v>3494.0143</x:v>
      </x:c>
      <x:c r="F1942" s="12" t="n">
        <x:v>3514.9249</x:v>
      </x:c>
      <x:c r="G1942" s="12" t="n">
        <x:v>3539.0156</x:v>
      </x:c>
      <x:c r="H1942" s="12" t="n">
        <x:v>-24.0907</x:v>
      </x:c>
      <x:c r="I1942" s="12" t="n">
        <x:v>-0.6807</x:v>
      </x:c>
      <x:c r="J1942" s="12" t="n">
        <x:v>-0.00683044992019825</x:v>
      </x:c>
      <x:c r="K1942" s="12" t="n">
        <x:v>132126337</x:v>
      </x:c>
      <x:c r="L1942" s="12" t="n">
        <x:v>217457320.404</x:v>
      </x:c>
      <x:c r="M1942" s="12" t="str">
        <x:v>TuShare index_daily</x:v>
      </x:c>
    </x:row>
    <x:row r="1943" ht="18" customHeight="1">
      <x:c r="A1943" s="13" t="n">
        <x:v>45496</x:v>
      </x:c>
      <x:c r="B1943" s="12" t="str">
        <x:v>000300.SH</x:v>
      </x:c>
      <x:c r="C1943" s="12" t="n">
        <x:v>3509.7887</x:v>
      </x:c>
      <x:c r="D1943" s="12" t="n">
        <x:v>3509.7887</x:v>
      </x:c>
      <x:c r="E1943" s="12" t="n">
        <x:v>3439.8779</x:v>
      </x:c>
      <x:c r="F1943" s="12" t="n">
        <x:v>3439.8779</x:v>
      </x:c>
      <x:c r="G1943" s="12" t="n">
        <x:v>3514.9249</x:v>
      </x:c>
      <x:c r="H1943" s="12" t="n">
        <x:v>-75.047</x:v>
      </x:c>
      <x:c r="I1943" s="12" t="n">
        <x:v>-2.1351</x:v>
      </x:c>
      <x:c r="J1943" s="12" t="n">
        <x:v>-0.02158218288895174</x:v>
      </x:c>
      <x:c r="K1943" s="12" t="n">
        <x:v>128897660</x:v>
      </x:c>
      <x:c r="L1943" s="12" t="n">
        <x:v>202857560.169</x:v>
      </x:c>
      <x:c r="M1943" s="12" t="str">
        <x:v>TuShare index_daily</x:v>
      </x:c>
    </x:row>
    <x:row r="1944" ht="18" customHeight="1">
      <x:c r="A1944" s="13" t="n">
        <x:v>45497</x:v>
      </x:c>
      <x:c r="B1944" s="12" t="str">
        <x:v>000300.SH</x:v>
      </x:c>
      <x:c r="C1944" s="12" t="n">
        <x:v>3432.3459</x:v>
      </x:c>
      <x:c r="D1944" s="12" t="n">
        <x:v>3451.4196</x:v>
      </x:c>
      <x:c r="E1944" s="12" t="n">
        <x:v>3408.4129</x:v>
      </x:c>
      <x:c r="F1944" s="12" t="n">
        <x:v>3418.1663</x:v>
      </x:c>
      <x:c r="G1944" s="12" t="n">
        <x:v>3439.8779</x:v>
      </x:c>
      <x:c r="H1944" s="12" t="n">
        <x:v>-21.7116</x:v>
      </x:c>
      <x:c r="I1944" s="12" t="n">
        <x:v>-0.6312</x:v>
      </x:c>
      <x:c r="J1944" s="12" t="n">
        <x:v>-0.006331738875771058</x:v>
      </x:c>
      <x:c r="K1944" s="12" t="n">
        <x:v>127036263</x:v>
      </x:c>
      <x:c r="L1944" s="12" t="n">
        <x:v>184884499.787</x:v>
      </x:c>
      <x:c r="M1944" s="12" t="str">
        <x:v>TuShare index_daily</x:v>
      </x:c>
    </x:row>
    <x:row r="1945" ht="18" customHeight="1">
      <x:c r="A1945" s="13" t="n">
        <x:v>45498</x:v>
      </x:c>
      <x:c r="B1945" s="12" t="str">
        <x:v>000300.SH</x:v>
      </x:c>
      <x:c r="C1945" s="12" t="n">
        <x:v>3404.611</x:v>
      </x:c>
      <x:c r="D1945" s="12" t="n">
        <x:v>3415.8557</x:v>
      </x:c>
      <x:c r="E1945" s="12" t="n">
        <x:v>3383.7991</x:v>
      </x:c>
      <x:c r="F1945" s="12" t="n">
        <x:v>3399.2716</x:v>
      </x:c>
      <x:c r="G1945" s="12" t="n">
        <x:v>3418.1663</x:v>
      </x:c>
      <x:c r="H1945" s="12" t="n">
        <x:v>-18.8947</x:v>
      </x:c>
      <x:c r="I1945" s="12" t="n">
        <x:v>-0.5528</x:v>
      </x:c>
      <x:c r="J1945" s="12" t="n">
        <x:v>-0.005543064317216502</x:v>
      </x:c>
      <x:c r="K1945" s="12" t="n">
        <x:v>131022242</x:v>
      </x:c>
      <x:c r="L1945" s="12" t="n">
        <x:v>190131464.835</x:v>
      </x:c>
      <x:c r="M1945" s="12" t="str">
        <x:v>TuShare index_daily</x:v>
      </x:c>
    </x:row>
    <x:row r="1946" ht="18" customHeight="1">
      <x:c r="A1946" s="13" t="n">
        <x:v>45499</x:v>
      </x:c>
      <x:c r="B1946" s="12" t="str">
        <x:v>000300.SH</x:v>
      </x:c>
      <x:c r="C1946" s="12" t="n">
        <x:v>3403.7084</x:v>
      </x:c>
      <x:c r="D1946" s="12" t="n">
        <x:v>3420.8201</x:v>
      </x:c>
      <x:c r="E1946" s="12" t="n">
        <x:v>3388.6601</x:v>
      </x:c>
      <x:c r="F1946" s="12" t="n">
        <x:v>3409.2931</x:v>
      </x:c>
      <x:c r="G1946" s="12" t="n">
        <x:v>3399.2716</x:v>
      </x:c>
      <x:c r="H1946" s="12" t="n">
        <x:v>10.0215</x:v>
      </x:c>
      <x:c r="I1946" s="12" t="n">
        <x:v>0.2948</x:v>
      </x:c>
      <x:c r="J1946" s="12" t="n">
        <x:v>0.0029437943762596146</x:v>
      </x:c>
      <x:c r="K1946" s="12" t="n">
        <x:v>124195558</x:v>
      </x:c>
      <x:c r="L1946" s="12" t="n">
        <x:v>187853329.5</x:v>
      </x:c>
      <x:c r="M1946" s="12" t="str">
        <x:v>TuShare index_daily</x:v>
      </x:c>
    </x:row>
    <x:row r="1947" ht="18" customHeight="1">
      <x:c r="A1947" s="13" t="n">
        <x:v>45502</x:v>
      </x:c>
      <x:c r="B1947" s="12" t="str">
        <x:v>000300.SH</x:v>
      </x:c>
      <x:c r="C1947" s="12" t="n">
        <x:v>3404.3663</x:v>
      </x:c>
      <x:c r="D1947" s="12" t="n">
        <x:v>3408.5024</x:v>
      </x:c>
      <x:c r="E1947" s="12" t="n">
        <x:v>3388.8444</x:v>
      </x:c>
      <x:c r="F1947" s="12" t="n">
        <x:v>3390.742</x:v>
      </x:c>
      <x:c r="G1947" s="12" t="n">
        <x:v>3409.2931</x:v>
      </x:c>
      <x:c r="H1947" s="12" t="n">
        <x:v>-18.5511</x:v>
      </x:c>
      <x:c r="I1947" s="12" t="n">
        <x:v>-0.5441</x:v>
      </x:c>
      <x:c r="J1947" s="12" t="n">
        <x:v>-0.00545619125471861</x:v>
      </x:c>
      <x:c r="K1947" s="12" t="n">
        <x:v>109787786</x:v>
      </x:c>
      <x:c r="L1947" s="12" t="n">
        <x:v>166697103.823</x:v>
      </x:c>
      <x:c r="M1947" s="12" t="str">
        <x:v>TuShare index_daily</x:v>
      </x:c>
    </x:row>
    <x:row r="1948" ht="18" customHeight="1">
      <x:c r="A1948" s="13" t="n">
        <x:v>45503</x:v>
      </x:c>
      <x:c r="B1948" s="12" t="str">
        <x:v>000300.SH</x:v>
      </x:c>
      <x:c r="C1948" s="12" t="n">
        <x:v>3380.6893</x:v>
      </x:c>
      <x:c r="D1948" s="12" t="n">
        <x:v>3380.6893</x:v>
      </x:c>
      <x:c r="E1948" s="12" t="n">
        <x:v>3352.8043</x:v>
      </x:c>
      <x:c r="F1948" s="12" t="n">
        <x:v>3369.3821</x:v>
      </x:c>
      <x:c r="G1948" s="12" t="n">
        <x:v>3390.742</x:v>
      </x:c>
      <x:c r="H1948" s="12" t="n">
        <x:v>-21.3599</x:v>
      </x:c>
      <x:c r="I1948" s="12" t="n">
        <x:v>-0.6299</x:v>
      </x:c>
      <x:c r="J1948" s="12" t="n">
        <x:v>-0.006319402060574553</x:v>
      </x:c>
      <x:c r="K1948" s="12" t="n">
        <x:v>104952164</x:v>
      </x:c>
      <x:c r="L1948" s="12" t="n">
        <x:v>165442824.49</x:v>
      </x:c>
      <x:c r="M1948" s="12" t="str">
        <x:v>TuShare index_daily</x:v>
      </x:c>
    </x:row>
    <x:row r="1949" ht="18" customHeight="1">
      <x:c r="A1949" s="13" t="n">
        <x:v>45504</x:v>
      </x:c>
      <x:c r="B1949" s="12" t="str">
        <x:v>000300.SH</x:v>
      </x:c>
      <x:c r="C1949" s="12" t="n">
        <x:v>3364.0268</x:v>
      </x:c>
      <x:c r="D1949" s="12" t="n">
        <x:v>3445.0042</x:v>
      </x:c>
      <x:c r="E1949" s="12" t="n">
        <x:v>3364.0268</x:v>
      </x:c>
      <x:c r="F1949" s="12" t="n">
        <x:v>3442.0844</x:v>
      </x:c>
      <x:c r="G1949" s="12" t="n">
        <x:v>3369.3821</x:v>
      </x:c>
      <x:c r="H1949" s="12" t="n">
        <x:v>72.7023</x:v>
      </x:c>
      <x:c r="I1949" s="12" t="n">
        <x:v>2.1577</x:v>
      </x:c>
      <x:c r="J1949" s="12" t="n">
        <x:v>0.02134784367895829</x:v>
      </x:c>
      <x:c r="K1949" s="12" t="n">
        <x:v>171959177</x:v>
      </x:c>
      <x:c r="L1949" s="12" t="n">
        <x:v>258249147.336</x:v>
      </x:c>
      <x:c r="M1949" s="12" t="str">
        <x:v>TuShare index_daily</x:v>
      </x:c>
    </x:row>
    <x:row r="1950" ht="18" customHeight="1">
      <x:c r="A1950" s="13" t="n">
        <x:v>45505</x:v>
      </x:c>
      <x:c r="B1950" s="12" t="str">
        <x:v>000300.SH</x:v>
      </x:c>
      <x:c r="C1950" s="12" t="n">
        <x:v>3443.1397</x:v>
      </x:c>
      <x:c r="D1950" s="12" t="n">
        <x:v>3448.3361</x:v>
      </x:c>
      <x:c r="E1950" s="12" t="n">
        <x:v>3419.1872</x:v>
      </x:c>
      <x:c r="F1950" s="12" t="n">
        <x:v>3419.2666</x:v>
      </x:c>
      <x:c r="G1950" s="12" t="n">
        <x:v>3442.0844</x:v>
      </x:c>
      <x:c r="H1950" s="12" t="n">
        <x:v>-22.8178</x:v>
      </x:c>
      <x:c r="I1950" s="12" t="n">
        <x:v>-0.6629</x:v>
      </x:c>
      <x:c r="J1950" s="12" t="n">
        <x:v>-0.006651134482692493</x:v>
      </x:c>
      <x:c r="K1950" s="12" t="n">
        <x:v>136323464</x:v>
      </x:c>
      <x:c r="L1950" s="12" t="n">
        <x:v>206038002.518</x:v>
      </x:c>
      <x:c r="M1950" s="12" t="str">
        <x:v>TuShare index_daily</x:v>
      </x:c>
    </x:row>
    <x:row r="1951" ht="18" customHeight="1">
      <x:c r="A1951" s="13" t="n">
        <x:v>45506</x:v>
      </x:c>
      <x:c r="B1951" s="12" t="str">
        <x:v>000300.SH</x:v>
      </x:c>
      <x:c r="C1951" s="12" t="n">
        <x:v>3393.9167</x:v>
      </x:c>
      <x:c r="D1951" s="12" t="n">
        <x:v>3419.1023</x:v>
      </x:c>
      <x:c r="E1951" s="12" t="n">
        <x:v>3380.9645</x:v>
      </x:c>
      <x:c r="F1951" s="12" t="n">
        <x:v>3384.3919</x:v>
      </x:c>
      <x:c r="G1951" s="12" t="n">
        <x:v>3419.2666</x:v>
      </x:c>
      <x:c r="H1951" s="12" t="n">
        <x:v>-34.8747</x:v>
      </x:c>
      <x:c r="I1951" s="12" t="n">
        <x:v>-1.0199</x:v>
      </x:c>
      <x:c r="J1951" s="12" t="n">
        <x:v>-0.010251838902348195</x:v>
      </x:c>
      <x:c r="K1951" s="12" t="n">
        <x:v>116615255</x:v>
      </x:c>
      <x:c r="L1951" s="12" t="n">
        <x:v>179671192.428</x:v>
      </x:c>
      <x:c r="M1951" s="12" t="str">
        <x:v>TuShare index_daily</x:v>
      </x:c>
    </x:row>
    <x:row r="1952" ht="18" customHeight="1">
      <x:c r="A1952" s="13" t="n">
        <x:v>45509</x:v>
      </x:c>
      <x:c r="B1952" s="12" t="str">
        <x:v>000300.SH</x:v>
      </x:c>
      <x:c r="C1952" s="12" t="n">
        <x:v>3362.1117</x:v>
      </x:c>
      <x:c r="D1952" s="12" t="n">
        <x:v>3409.0314</x:v>
      </x:c>
      <x:c r="E1952" s="12" t="n">
        <x:v>3343.3205</x:v>
      </x:c>
      <x:c r="F1952" s="12" t="n">
        <x:v>3343.3205</x:v>
      </x:c>
      <x:c r="G1952" s="12" t="n">
        <x:v>3384.3919</x:v>
      </x:c>
      <x:c r="H1952" s="12" t="n">
        <x:v>-41.0714</x:v>
      </x:c>
      <x:c r="I1952" s="12" t="n">
        <x:v>-1.2136</x:v>
      </x:c>
      <x:c r="J1952" s="12" t="n">
        <x:v>-0.012209769917402505</x:v>
      </x:c>
      <x:c r="K1952" s="12" t="n">
        <x:v>142812516</x:v>
      </x:c>
      <x:c r="L1952" s="12" t="n">
        <x:v>223631266.563</x:v>
      </x:c>
      <x:c r="M1952" s="12" t="str">
        <x:v>TuShare index_daily</x:v>
      </x:c>
    </x:row>
    <x:row r="1953" ht="18" customHeight="1">
      <x:c r="A1953" s="13" t="n">
        <x:v>45510</x:v>
      </x:c>
      <x:c r="B1953" s="12" t="str">
        <x:v>000300.SH</x:v>
      </x:c>
      <x:c r="C1953" s="12" t="n">
        <x:v>3367.3517</x:v>
      </x:c>
      <x:c r="D1953" s="12" t="n">
        <x:v>3376.7956</x:v>
      </x:c>
      <x:c r="E1953" s="12" t="n">
        <x:v>3318.6251</x:v>
      </x:c>
      <x:c r="F1953" s="12" t="n">
        <x:v>3342.9789</x:v>
      </x:c>
      <x:c r="G1953" s="12" t="n">
        <x:v>3343.3205</x:v>
      </x:c>
      <x:c r="H1953" s="12" t="n">
        <x:v>-0.3416</x:v>
      </x:c>
      <x:c r="I1953" s="12" t="n">
        <x:v>-0.0102</x:v>
      </x:c>
      <x:c r="J1953" s="12" t="n">
        <x:v>-0.00010217909185965092</x:v>
      </x:c>
      <x:c r="K1953" s="12" t="n">
        <x:v>119340279</x:v>
      </x:c>
      <x:c r="L1953" s="12" t="n">
        <x:v>181724693.848</x:v>
      </x:c>
      <x:c r="M1953" s="12" t="str">
        <x:v>TuShare index_daily</x:v>
      </x:c>
    </x:row>
    <x:row r="1954" ht="18" customHeight="1">
      <x:c r="A1954" s="13" t="n">
        <x:v>45511</x:v>
      </x:c>
      <x:c r="B1954" s="12" t="str">
        <x:v>000300.SH</x:v>
      </x:c>
      <x:c r="C1954" s="12" t="n">
        <x:v>3338.5909</x:v>
      </x:c>
      <x:c r="D1954" s="12" t="n">
        <x:v>3362.3839</x:v>
      </x:c>
      <x:c r="E1954" s="12" t="n">
        <x:v>3329.9658</x:v>
      </x:c>
      <x:c r="F1954" s="12" t="n">
        <x:v>3341.489</x:v>
      </x:c>
      <x:c r="G1954" s="12" t="n">
        <x:v>3342.9789</x:v>
      </x:c>
      <x:c r="H1954" s="12" t="n">
        <x:v>-1.4899</x:v>
      </x:c>
      <x:c r="I1954" s="12" t="n">
        <x:v>-0.0446</x:v>
      </x:c>
      <x:c r="J1954" s="12" t="n">
        <x:v>-0.0004457796931518292</x:v>
      </x:c>
      <x:c r="K1954" s="12" t="n">
        <x:v>95084377</x:v>
      </x:c>
      <x:c r="L1954" s="12" t="n">
        <x:v>145078975.326</x:v>
      </x:c>
      <x:c r="M1954" s="12" t="str">
        <x:v>TuShare index_daily</x:v>
      </x:c>
    </x:row>
    <x:row r="1955" ht="18" customHeight="1">
      <x:c r="A1955" s="13" t="n">
        <x:v>45512</x:v>
      </x:c>
      <x:c r="B1955" s="12" t="str">
        <x:v>000300.SH</x:v>
      </x:c>
      <x:c r="C1955" s="12" t="n">
        <x:v>3332.4281</x:v>
      </x:c>
      <x:c r="D1955" s="12" t="n">
        <x:v>3364.7855</x:v>
      </x:c>
      <x:c r="E1955" s="12" t="n">
        <x:v>3320.8432</x:v>
      </x:c>
      <x:c r="F1955" s="12" t="n">
        <x:v>3342.9369</x:v>
      </x:c>
      <x:c r="G1955" s="12" t="n">
        <x:v>3341.489</x:v>
      </x:c>
      <x:c r="H1955" s="12" t="n">
        <x:v>1.4479</x:v>
      </x:c>
      <x:c r="I1955" s="12" t="n">
        <x:v>0.0433</x:v>
      </x:c>
      <x:c r="J1955" s="12" t="n">
        <x:v>0.00043321596927112054</x:v>
      </x:c>
      <x:c r="K1955" s="12" t="n">
        <x:v>92495695</x:v>
      </x:c>
      <x:c r="L1955" s="12" t="n">
        <x:v>149482926.227</x:v>
      </x:c>
      <x:c r="M1955" s="12" t="str">
        <x:v>TuShare index_daily</x:v>
      </x:c>
    </x:row>
    <x:row r="1956" ht="18" customHeight="1">
      <x:c r="A1956" s="13" t="n">
        <x:v>45513</x:v>
      </x:c>
      <x:c r="B1956" s="12" t="str">
        <x:v>000300.SH</x:v>
      </x:c>
      <x:c r="C1956" s="12" t="n">
        <x:v>3358.128</x:v>
      </x:c>
      <x:c r="D1956" s="12" t="n">
        <x:v>3366.6688</x:v>
      </x:c>
      <x:c r="E1956" s="12" t="n">
        <x:v>3331.6274</x:v>
      </x:c>
      <x:c r="F1956" s="12" t="n">
        <x:v>3331.6274</x:v>
      </x:c>
      <x:c r="G1956" s="12" t="n">
        <x:v>3342.9369</x:v>
      </x:c>
      <x:c r="H1956" s="12" t="n">
        <x:v>-11.3095</x:v>
      </x:c>
      <x:c r="I1956" s="12" t="n">
        <x:v>-0.3383</x:v>
      </x:c>
      <x:c r="J1956" s="12" t="n">
        <x:v>-0.003388838676227704</x:v>
      </x:c>
      <x:c r="K1956" s="12" t="n">
        <x:v>91511626</x:v>
      </x:c>
      <x:c r="L1956" s="12" t="n">
        <x:v>142852166.559</x:v>
      </x:c>
      <x:c r="M1956" s="12" t="str">
        <x:v>TuShare index_daily</x:v>
      </x:c>
    </x:row>
    <x:row r="1957" ht="18" customHeight="1">
      <x:c r="A1957" s="13" t="n">
        <x:v>45516</x:v>
      </x:c>
      <x:c r="B1957" s="12" t="str">
        <x:v>000300.SH</x:v>
      </x:c>
      <x:c r="C1957" s="12" t="n">
        <x:v>3327.5561</x:v>
      </x:c>
      <x:c r="D1957" s="12" t="n">
        <x:v>3338.0771</x:v>
      </x:c>
      <x:c r="E1957" s="12" t="n">
        <x:v>3319.8908</x:v>
      </x:c>
      <x:c r="F1957" s="12" t="n">
        <x:v>3325.8645</x:v>
      </x:c>
      <x:c r="G1957" s="12" t="n">
        <x:v>3331.6274</x:v>
      </x:c>
      <x:c r="H1957" s="12" t="n">
        <x:v>-5.7629</x:v>
      </x:c>
      <x:c r="I1957" s="12" t="n">
        <x:v>-0.173</x:v>
      </x:c>
      <x:c r="J1957" s="12" t="n">
        <x:v>-0.0017312530081779588</x:v>
      </x:c>
      <x:c r="K1957" s="12" t="n">
        <x:v>79938754</x:v>
      </x:c>
      <x:c r="L1957" s="12" t="n">
        <x:v>117544892.727</x:v>
      </x:c>
      <x:c r="M1957" s="12" t="str">
        <x:v>TuShare index_daily</x:v>
      </x:c>
    </x:row>
    <x:row r="1958" ht="18" customHeight="1">
      <x:c r="A1958" s="13" t="n">
        <x:v>45517</x:v>
      </x:c>
      <x:c r="B1958" s="12" t="str">
        <x:v>000300.SH</x:v>
      </x:c>
      <x:c r="C1958" s="12" t="n">
        <x:v>3328.0138</x:v>
      </x:c>
      <x:c r="D1958" s="12" t="n">
        <x:v>3335.014</x:v>
      </x:c>
      <x:c r="E1958" s="12" t="n">
        <x:v>3310.1909</x:v>
      </x:c>
      <x:c r="F1958" s="12" t="n">
        <x:v>3334.3903</x:v>
      </x:c>
      <x:c r="G1958" s="12" t="n">
        <x:v>3325.8645</x:v>
      </x:c>
      <x:c r="H1958" s="12" t="n">
        <x:v>8.5258</x:v>
      </x:c>
      <x:c r="I1958" s="12" t="n">
        <x:v>0.2563</x:v>
      </x:c>
      <x:c r="J1958" s="12" t="n">
        <x:v>0.002560203749851808</x:v>
      </x:c>
      <x:c r="K1958" s="12" t="n">
        <x:v>84489679</x:v>
      </x:c>
      <x:c r="L1958" s="12" t="n">
        <x:v>125259155.343</x:v>
      </x:c>
      <x:c r="M1958" s="12" t="str">
        <x:v>TuShare index_daily</x:v>
      </x:c>
    </x:row>
    <x:row r="1959" ht="18" customHeight="1">
      <x:c r="A1959" s="13" t="n">
        <x:v>45518</x:v>
      </x:c>
      <x:c r="B1959" s="12" t="str">
        <x:v>000300.SH</x:v>
      </x:c>
      <x:c r="C1959" s="12" t="n">
        <x:v>3332.7866</x:v>
      </x:c>
      <x:c r="D1959" s="12" t="n">
        <x:v>3332.7866</x:v>
      </x:c>
      <x:c r="E1959" s="12" t="n">
        <x:v>3309.1</x:v>
      </x:c>
      <x:c r="F1959" s="12" t="n">
        <x:v>3309.2389</x:v>
      </x:c>
      <x:c r="G1959" s="12" t="n">
        <x:v>3334.3903</x:v>
      </x:c>
      <x:c r="H1959" s="12" t="n">
        <x:v>-25.1514</x:v>
      </x:c>
      <x:c r="I1959" s="12" t="n">
        <x:v>-0.7543</x:v>
      </x:c>
      <x:c r="J1959" s="12" t="n">
        <x:v>-0.007571620691752355</x:v>
      </x:c>
      <x:c r="K1959" s="12" t="n">
        <x:v>78742407</x:v>
      </x:c>
      <x:c r="L1959" s="12" t="n">
        <x:v>118181952.004</x:v>
      </x:c>
      <x:c r="M1959" s="12" t="str">
        <x:v>TuShare index_daily</x:v>
      </x:c>
    </x:row>
    <x:row r="1960" ht="18" customHeight="1">
      <x:c r="A1960" s="13" t="n">
        <x:v>45519</x:v>
      </x:c>
      <x:c r="B1960" s="12" t="str">
        <x:v>000300.SH</x:v>
      </x:c>
      <x:c r="C1960" s="12" t="n">
        <x:v>3301.4455</x:v>
      </x:c>
      <x:c r="D1960" s="12" t="n">
        <x:v>3356.7644</x:v>
      </x:c>
      <x:c r="E1960" s="12" t="n">
        <x:v>3297.9711</x:v>
      </x:c>
      <x:c r="F1960" s="12" t="n">
        <x:v>3341.953</x:v>
      </x:c>
      <x:c r="G1960" s="12" t="n">
        <x:v>3309.2389</x:v>
      </x:c>
      <x:c r="H1960" s="12" t="n">
        <x:v>32.7141</x:v>
      </x:c>
      <x:c r="I1960" s="12" t="n">
        <x:v>0.9886</x:v>
      </x:c>
      <x:c r="J1960" s="12" t="n">
        <x:v>0.009837143267467686</x:v>
      </x:c>
      <x:c r="K1960" s="12" t="n">
        <x:v>104766399</x:v>
      </x:c>
      <x:c r="L1960" s="12" t="n">
        <x:v>149249335.426</x:v>
      </x:c>
      <x:c r="M1960" s="12" t="str">
        <x:v>TuShare index_daily</x:v>
      </x:c>
    </x:row>
    <x:row r="1961" ht="18" customHeight="1">
      <x:c r="A1961" s="13" t="n">
        <x:v>45520</x:v>
      </x:c>
      <x:c r="B1961" s="12" t="str">
        <x:v>000300.SH</x:v>
      </x:c>
      <x:c r="C1961" s="12" t="n">
        <x:v>3342.0346</x:v>
      </x:c>
      <x:c r="D1961" s="12" t="n">
        <x:v>3356.9071</x:v>
      </x:c>
      <x:c r="E1961" s="12" t="n">
        <x:v>3335.6239</x:v>
      </x:c>
      <x:c r="F1961" s="12" t="n">
        <x:v>3345.634</x:v>
      </x:c>
      <x:c r="G1961" s="12" t="n">
        <x:v>3341.953</x:v>
      </x:c>
      <x:c r="H1961" s="12" t="n">
        <x:v>3.681</x:v>
      </x:c>
      <x:c r="I1961" s="12" t="n">
        <x:v>0.1101</x:v>
      </x:c>
      <x:c r="J1961" s="12" t="n">
        <x:v>0.0011008456029771622</x:v>
      </x:c>
      <x:c r="K1961" s="12" t="n">
        <x:v>96519083</x:v>
      </x:c>
      <x:c r="L1961" s="12" t="n">
        <x:v>135885323.083</x:v>
      </x:c>
      <x:c r="M1961" s="12" t="str">
        <x:v>TuShare index_daily</x:v>
      </x:c>
    </x:row>
    <x:row r="1962" ht="18" customHeight="1">
      <x:c r="A1962" s="13" t="n">
        <x:v>45523</x:v>
      </x:c>
      <x:c r="B1962" s="12" t="str">
        <x:v>000300.SH</x:v>
      </x:c>
      <x:c r="C1962" s="12" t="n">
        <x:v>3344.2614</x:v>
      </x:c>
      <x:c r="D1962" s="12" t="n">
        <x:v>3375.9621</x:v>
      </x:c>
      <x:c r="E1962" s="12" t="n">
        <x:v>3343.7116</x:v>
      </x:c>
      <x:c r="F1962" s="12" t="n">
        <x:v>3356.9677</x:v>
      </x:c>
      <x:c r="G1962" s="12" t="n">
        <x:v>3345.634</x:v>
      </x:c>
      <x:c r="H1962" s="12" t="n">
        <x:v>11.3337</x:v>
      </x:c>
      <x:c r="I1962" s="12" t="n">
        <x:v>0.3388</x:v>
      </x:c>
      <x:c r="J1962" s="12" t="n">
        <x:v>0.0033818840233607026</x:v>
      </x:c>
      <x:c r="K1962" s="12" t="n">
        <x:v>105571110</x:v>
      </x:c>
      <x:c r="L1962" s="12" t="n">
        <x:v>143421671.337</x:v>
      </x:c>
      <x:c r="M1962" s="12" t="str">
        <x:v>TuShare index_daily</x:v>
      </x:c>
    </x:row>
    <x:row r="1963" ht="18" customHeight="1">
      <x:c r="A1963" s="13" t="n">
        <x:v>45524</x:v>
      </x:c>
      <x:c r="B1963" s="12" t="str">
        <x:v>000300.SH</x:v>
      </x:c>
      <x:c r="C1963" s="12" t="n">
        <x:v>3361.6394</x:v>
      </x:c>
      <x:c r="D1963" s="12" t="n">
        <x:v>3362.3338</x:v>
      </x:c>
      <x:c r="E1963" s="12" t="n">
        <x:v>3321.6397</x:v>
      </x:c>
      <x:c r="F1963" s="12" t="n">
        <x:v>3332.7034</x:v>
      </x:c>
      <x:c r="G1963" s="12" t="n">
        <x:v>3356.9677</x:v>
      </x:c>
      <x:c r="H1963" s="12" t="n">
        <x:v>-24.2643</x:v>
      </x:c>
      <x:c r="I1963" s="12" t="n">
        <x:v>-0.7228</x:v>
      </x:c>
      <x:c r="J1963" s="12" t="n">
        <x:v>-0.007254289798614261</x:v>
      </x:c>
      <x:c r="K1963" s="12" t="n">
        <x:v>101668331</x:v>
      </x:c>
      <x:c r="L1963" s="12" t="n">
        <x:v>137910585.092</x:v>
      </x:c>
      <x:c r="M1963" s="12" t="str">
        <x:v>TuShare index_daily</x:v>
      </x:c>
    </x:row>
    <x:row r="1964" ht="18" customHeight="1">
      <x:c r="A1964" s="13" t="n">
        <x:v>45525</x:v>
      </x:c>
      <x:c r="B1964" s="12" t="str">
        <x:v>000300.SH</x:v>
      </x:c>
      <x:c r="C1964" s="12" t="n">
        <x:v>3322.9134</x:v>
      </x:c>
      <x:c r="D1964" s="12" t="n">
        <x:v>3339.443</x:v>
      </x:c>
      <x:c r="E1964" s="12" t="n">
        <x:v>3307.9917</x:v>
      </x:c>
      <x:c r="F1964" s="12" t="n">
        <x:v>3321.635</x:v>
      </x:c>
      <x:c r="G1964" s="12" t="n">
        <x:v>3332.7034</x:v>
      </x:c>
      <x:c r="H1964" s="12" t="n">
        <x:v>-11.0684</x:v>
      </x:c>
      <x:c r="I1964" s="12" t="n">
        <x:v>-0.3321</x:v>
      </x:c>
      <x:c r="J1964" s="12" t="n">
        <x:v>-0.0033266748825438617</x:v>
      </x:c>
      <x:c r="K1964" s="12" t="n">
        <x:v>89954751</x:v>
      </x:c>
      <x:c r="L1964" s="12" t="n">
        <x:v>130005992.563</x:v>
      </x:c>
      <x:c r="M1964" s="12" t="str">
        <x:v>TuShare index_daily</x:v>
      </x:c>
    </x:row>
    <x:row r="1965" ht="18" customHeight="1">
      <x:c r="A1965" s="13" t="n">
        <x:v>45526</x:v>
      </x:c>
      <x:c r="B1965" s="12" t="str">
        <x:v>000300.SH</x:v>
      </x:c>
      <x:c r="C1965" s="12" t="n">
        <x:v>3322.8723</x:v>
      </x:c>
      <x:c r="D1965" s="12" t="n">
        <x:v>3327.6962</x:v>
      </x:c>
      <x:c r="E1965" s="12" t="n">
        <x:v>3305.2453</x:v>
      </x:c>
      <x:c r="F1965" s="12" t="n">
        <x:v>3313.1357</x:v>
      </x:c>
      <x:c r="G1965" s="12" t="n">
        <x:v>3321.635</x:v>
      </x:c>
      <x:c r="H1965" s="12" t="n">
        <x:v>-8.4993</x:v>
      </x:c>
      <x:c r="I1965" s="12" t="n">
        <x:v>-0.2559</x:v>
      </x:c>
      <x:c r="J1965" s="12" t="n">
        <x:v>-0.0025620492503788703</x:v>
      </x:c>
      <x:c r="K1965" s="12" t="n">
        <x:v>100366504</x:v>
      </x:c>
      <x:c r="L1965" s="12" t="n">
        <x:v>147702791.561</x:v>
      </x:c>
      <x:c r="M1965" s="12" t="str">
        <x:v>TuShare index_daily</x:v>
      </x:c>
    </x:row>
    <x:row r="1966" ht="18" customHeight="1">
      <x:c r="A1966" s="13" t="n">
        <x:v>45527</x:v>
      </x:c>
      <x:c r="B1966" s="12" t="str">
        <x:v>000300.SH</x:v>
      </x:c>
      <x:c r="C1966" s="12" t="n">
        <x:v>3305.9307</x:v>
      </x:c>
      <x:c r="D1966" s="12" t="n">
        <x:v>3336.2414</x:v>
      </x:c>
      <x:c r="E1966" s="12" t="n">
        <x:v>3305.6403</x:v>
      </x:c>
      <x:c r="F1966" s="12" t="n">
        <x:v>3327.1905</x:v>
      </x:c>
      <x:c r="G1966" s="12" t="n">
        <x:v>3313.1357</x:v>
      </x:c>
      <x:c r="H1966" s="12" t="n">
        <x:v>14.0548</x:v>
      </x:c>
      <x:c r="I1966" s="12" t="n">
        <x:v>0.4242</x:v>
      </x:c>
      <x:c r="J1966" s="12" t="n">
        <x:v>0.004233171854778825</x:v>
      </x:c>
      <x:c r="K1966" s="12" t="n">
        <x:v>89525774</x:v>
      </x:c>
      <x:c r="L1966" s="12" t="n">
        <x:v>132680886.5</x:v>
      </x:c>
      <x:c r="M1966" s="12" t="str">
        <x:v>TuShare index_daily</x:v>
      </x:c>
    </x:row>
    <x:row r="1967" ht="18" customHeight="1">
      <x:c r="A1967" s="13" t="n">
        <x:v>45530</x:v>
      </x:c>
      <x:c r="B1967" s="12" t="str">
        <x:v>000300.SH</x:v>
      </x:c>
      <x:c r="C1967" s="12" t="n">
        <x:v>3330.7184</x:v>
      </x:c>
      <x:c r="D1967" s="12" t="n">
        <x:v>3336.5271</x:v>
      </x:c>
      <x:c r="E1967" s="12" t="n">
        <x:v>3311.5701</x:v>
      </x:c>
      <x:c r="F1967" s="12" t="n">
        <x:v>3324.2231</x:v>
      </x:c>
      <x:c r="G1967" s="12" t="n">
        <x:v>3327.1905</x:v>
      </x:c>
      <x:c r="H1967" s="12" t="n">
        <x:v>-2.9674</x:v>
      </x:c>
      <x:c r="I1967" s="12" t="n">
        <x:v>-0.0892</x:v>
      </x:c>
      <x:c r="J1967" s="12" t="n">
        <x:v>-0.0008922615177230389</x:v>
      </x:c>
      <x:c r="K1967" s="12" t="n">
        <x:v>93990772</x:v>
      </x:c>
      <x:c r="L1967" s="12" t="n">
        <x:v>139070603.958</x:v>
      </x:c>
      <x:c r="M1967" s="12" t="str">
        <x:v>TuShare index_daily</x:v>
      </x:c>
    </x:row>
    <x:row r="1968" ht="18" customHeight="1">
      <x:c r="A1968" s="13" t="n">
        <x:v>45531</x:v>
      </x:c>
      <x:c r="B1968" s="12" t="str">
        <x:v>000300.SH</x:v>
      </x:c>
      <x:c r="C1968" s="12" t="n">
        <x:v>3315.686</x:v>
      </x:c>
      <x:c r="D1968" s="12" t="n">
        <x:v>3320.5667</x:v>
      </x:c>
      <x:c r="E1968" s="12" t="n">
        <x:v>3299.5635</x:v>
      </x:c>
      <x:c r="F1968" s="12" t="n">
        <x:v>3305.3338</x:v>
      </x:c>
      <x:c r="G1968" s="12" t="n">
        <x:v>3324.2231</x:v>
      </x:c>
      <x:c r="H1968" s="12" t="n">
        <x:v>-18.8893</x:v>
      </x:c>
      <x:c r="I1968" s="12" t="n">
        <x:v>-0.5682</x:v>
      </x:c>
      <x:c r="J1968" s="12" t="n">
        <x:v>-0.005698525980312443</x:v>
      </x:c>
      <x:c r="K1968" s="12" t="n">
        <x:v>95808157</x:v>
      </x:c>
      <x:c r="L1968" s="12" t="n">
        <x:v>129755962.864</x:v>
      </x:c>
      <x:c r="M1968" s="12" t="str">
        <x:v>TuShare index_daily</x:v>
      </x:c>
    </x:row>
    <x:row r="1969" ht="18" customHeight="1">
      <x:c r="A1969" s="13" t="n">
        <x:v>45532</x:v>
      </x:c>
      <x:c r="B1969" s="12" t="str">
        <x:v>000300.SH</x:v>
      </x:c>
      <x:c r="C1969" s="12" t="n">
        <x:v>3298.9089</x:v>
      </x:c>
      <x:c r="D1969" s="12" t="n">
        <x:v>3305.3496</x:v>
      </x:c>
      <x:c r="E1969" s="12" t="n">
        <x:v>3274.5881</x:v>
      </x:c>
      <x:c r="F1969" s="12" t="n">
        <x:v>3286.4956</x:v>
      </x:c>
      <x:c r="G1969" s="12" t="n">
        <x:v>3305.3338</x:v>
      </x:c>
      <x:c r="H1969" s="12" t="n">
        <x:v>-18.8382</x:v>
      </x:c>
      <x:c r="I1969" s="12" t="n">
        <x:v>-0.5699</x:v>
      </x:c>
      <x:c r="J1969" s="12" t="n">
        <x:v>-0.0057156367804732594</x:v>
      </x:c>
      <x:c r="K1969" s="12" t="n">
        <x:v>92696650</x:v>
      </x:c>
      <x:c r="L1969" s="12" t="n">
        <x:v>135982310.965</x:v>
      </x:c>
      <x:c r="M1969" s="12" t="str">
        <x:v>TuShare index_daily</x:v>
      </x:c>
    </x:row>
    <x:row r="1970" ht="18" customHeight="1">
      <x:c r="A1970" s="13" t="n">
        <x:v>45533</x:v>
      </x:c>
      <x:c r="B1970" s="12" t="str">
        <x:v>000300.SH</x:v>
      </x:c>
      <x:c r="C1970" s="12" t="n">
        <x:v>3273.541</x:v>
      </x:c>
      <x:c r="D1970" s="12" t="n">
        <x:v>3290.7857</x:v>
      </x:c>
      <x:c r="E1970" s="12" t="n">
        <x:v>3269.5288</x:v>
      </x:c>
      <x:c r="F1970" s="12" t="n">
        <x:v>3277.6812</x:v>
      </x:c>
      <x:c r="G1970" s="12" t="n">
        <x:v>3286.4956</x:v>
      </x:c>
      <x:c r="H1970" s="12" t="n">
        <x:v>-8.8144</x:v>
      </x:c>
      <x:c r="I1970" s="12" t="n">
        <x:v>-0.2682</x:v>
      </x:c>
      <x:c r="J1970" s="12" t="n">
        <x:v>-0.002685608741622298</x:v>
      </x:c>
      <x:c r="K1970" s="12" t="n">
        <x:v>130702333</x:v>
      </x:c>
      <x:c r="L1970" s="12" t="n">
        <x:v>174340106.393</x:v>
      </x:c>
      <x:c r="M1970" s="12" t="str">
        <x:v>TuShare index_daily</x:v>
      </x:c>
    </x:row>
    <x:row r="1971" ht="18" customHeight="1">
      <x:c r="A1971" s="13" t="n">
        <x:v>45534</x:v>
      </x:c>
      <x:c r="B1971" s="12" t="str">
        <x:v>000300.SH</x:v>
      </x:c>
      <x:c r="C1971" s="12" t="n">
        <x:v>3273.7532</x:v>
      </x:c>
      <x:c r="D1971" s="12" t="n">
        <x:v>3351.6254</x:v>
      </x:c>
      <x:c r="E1971" s="12" t="n">
        <x:v>3273.6496</x:v>
      </x:c>
      <x:c r="F1971" s="12" t="n">
        <x:v>3321.4323</x:v>
      </x:c>
      <x:c r="G1971" s="12" t="n">
        <x:v>3277.6812</x:v>
      </x:c>
      <x:c r="H1971" s="12" t="n">
        <x:v>43.7511</x:v>
      </x:c>
      <x:c r="I1971" s="12" t="n">
        <x:v>1.3348</x:v>
      </x:c>
      <x:c r="J1971" s="12" t="n">
        <x:v>0.013259884389376055</x:v>
      </x:c>
      <x:c r="K1971" s="12" t="n">
        <x:v>188695443</x:v>
      </x:c>
      <x:c r="L1971" s="12" t="n">
        <x:v>268376041.211</x:v>
      </x:c>
      <x:c r="M1971" s="12" t="str">
        <x:v>TuShare index_daily</x:v>
      </x:c>
    </x:row>
    <x:row r="1972" ht="18" customHeight="1">
      <x:c r="A1972" s="13" t="n">
        <x:v>45537</x:v>
      </x:c>
      <x:c r="B1972" s="12" t="str">
        <x:v>000300.SH</x:v>
      </x:c>
      <x:c r="C1972" s="12" t="n">
        <x:v>3307.5432</x:v>
      </x:c>
      <x:c r="D1972" s="12" t="n">
        <x:v>3307.7627</x:v>
      </x:c>
      <x:c r="E1972" s="12" t="n">
        <x:v>3264.7565</x:v>
      </x:c>
      <x:c r="F1972" s="12" t="n">
        <x:v>3265.011</x:v>
      </x:c>
      <x:c r="G1972" s="12" t="n">
        <x:v>3321.4323</x:v>
      </x:c>
      <x:c r="H1972" s="12" t="n">
        <x:v>-56.4213</x:v>
      </x:c>
      <x:c r="I1972" s="12" t="n">
        <x:v>-1.6987</x:v>
      </x:c>
      <x:c r="J1972" s="12" t="n">
        <x:v>-0.017132973769498065</x:v>
      </x:c>
      <x:c r="K1972" s="12" t="n">
        <x:v>147612353</x:v>
      </x:c>
      <x:c r="L1972" s="12" t="n">
        <x:v>194409996.348</x:v>
      </x:c>
      <x:c r="M1972" s="12" t="str">
        <x:v>TuShare index_daily</x:v>
      </x:c>
    </x:row>
    <x:row r="1973" ht="18" customHeight="1">
      <x:c r="A1973" s="13" t="n">
        <x:v>45538</x:v>
      </x:c>
      <x:c r="B1973" s="12" t="str">
        <x:v>000300.SH</x:v>
      </x:c>
      <x:c r="C1973" s="12" t="n">
        <x:v>3261.741</x:v>
      </x:c>
      <x:c r="D1973" s="12" t="n">
        <x:v>3281.5935</x:v>
      </x:c>
      <x:c r="E1973" s="12" t="n">
        <x:v>3261.1877</x:v>
      </x:c>
      <x:c r="F1973" s="12" t="n">
        <x:v>3273.4282</x:v>
      </x:c>
      <x:c r="G1973" s="12" t="n">
        <x:v>3265.011</x:v>
      </x:c>
      <x:c r="H1973" s="12" t="n">
        <x:v>8.4172</x:v>
      </x:c>
      <x:c r="I1973" s="12" t="n">
        <x:v>0.2578</x:v>
      </x:c>
      <x:c r="J1973" s="12" t="n">
        <x:v>0.0025746831597963783</x:v>
      </x:c>
      <x:c r="K1973" s="12" t="n">
        <x:v>122897306</x:v>
      </x:c>
      <x:c r="L1973" s="12" t="n">
        <x:v>155089488.535</x:v>
      </x:c>
      <x:c r="M1973" s="12" t="str">
        <x:v>TuShare index_daily</x:v>
      </x:c>
    </x:row>
    <x:row r="1974" ht="18" customHeight="1">
      <x:c r="A1974" s="13" t="n">
        <x:v>45539</x:v>
      </x:c>
      <x:c r="B1974" s="12" t="str">
        <x:v>000300.SH</x:v>
      </x:c>
      <x:c r="C1974" s="12" t="n">
        <x:v>3253.898</x:v>
      </x:c>
      <x:c r="D1974" s="12" t="n">
        <x:v>3272.9861</x:v>
      </x:c>
      <x:c r="E1974" s="12" t="n">
        <x:v>3249.9809</x:v>
      </x:c>
      <x:c r="F1974" s="12" t="n">
        <x:v>3252.1649</x:v>
      </x:c>
      <x:c r="G1974" s="12" t="n">
        <x:v>3273.4282</x:v>
      </x:c>
      <x:c r="H1974" s="12" t="n">
        <x:v>-21.2633</x:v>
      </x:c>
      <x:c r="I1974" s="12" t="n">
        <x:v>-0.6496</x:v>
      </x:c>
      <x:c r="J1974" s="12" t="n">
        <x:v>-0.006516917291298055</x:v>
      </x:c>
      <x:c r="K1974" s="12" t="n">
        <x:v>104832482</x:v>
      </x:c>
      <x:c r="L1974" s="12" t="n">
        <x:v>140070063.077</x:v>
      </x:c>
      <x:c r="M1974" s="12" t="str">
        <x:v>TuShare index_daily</x:v>
      </x:c>
    </x:row>
    <x:row r="1975" ht="18" customHeight="1">
      <x:c r="A1975" s="13" t="n">
        <x:v>45540</x:v>
      </x:c>
      <x:c r="B1975" s="12" t="str">
        <x:v>000300.SH</x:v>
      </x:c>
      <x:c r="C1975" s="12" t="n">
        <x:v>3252.96</x:v>
      </x:c>
      <x:c r="D1975" s="12" t="n">
        <x:v>3266.882</x:v>
      </x:c>
      <x:c r="E1975" s="12" t="n">
        <x:v>3247.1725</x:v>
      </x:c>
      <x:c r="F1975" s="12" t="n">
        <x:v>3257.7578</x:v>
      </x:c>
      <x:c r="G1975" s="12" t="n">
        <x:v>3252.1649</x:v>
      </x:c>
      <x:c r="H1975" s="12" t="n">
        <x:v>5.5929</x:v>
      </x:c>
      <x:c r="I1975" s="12" t="n">
        <x:v>0.172</x:v>
      </x:c>
      <x:c r="J1975" s="12" t="n">
        <x:v>0.001718269673482513</x:v>
      </x:c>
      <x:c r="K1975" s="12" t="n">
        <x:v>97109450</x:v>
      </x:c>
      <x:c r="L1975" s="12" t="n">
        <x:v>134618198.894</x:v>
      </x:c>
      <x:c r="M1975" s="12" t="str">
        <x:v>TuShare index_daily</x:v>
      </x:c>
    </x:row>
    <x:row r="1976" ht="18" customHeight="1">
      <x:c r="A1976" s="13" t="n">
        <x:v>45541</x:v>
      </x:c>
      <x:c r="B1976" s="12" t="str">
        <x:v>000300.SH</x:v>
      </x:c>
      <x:c r="C1976" s="12" t="n">
        <x:v>3261.1542</x:v>
      </x:c>
      <x:c r="D1976" s="12" t="n">
        <x:v>3274.8144</x:v>
      </x:c>
      <x:c r="E1976" s="12" t="n">
        <x:v>3231.0685</x:v>
      </x:c>
      <x:c r="F1976" s="12" t="n">
        <x:v>3231.3457</x:v>
      </x:c>
      <x:c r="G1976" s="12" t="n">
        <x:v>3257.7578</x:v>
      </x:c>
      <x:c r="H1976" s="12" t="n">
        <x:v>-26.4121</x:v>
      </x:c>
      <x:c r="I1976" s="12" t="n">
        <x:v>-0.8107</x:v>
      </x:c>
      <x:c r="J1976" s="12" t="n">
        <x:v>-0.008140491473246482</x:v>
      </x:c>
      <x:c r="K1976" s="12" t="n">
        <x:v>88400417</x:v>
      </x:c>
      <x:c r="L1976" s="12" t="n">
        <x:v>121541545.906</x:v>
      </x:c>
      <x:c r="M1976" s="12" t="str">
        <x:v>TuShare index_daily</x:v>
      </x:c>
    </x:row>
    <x:row r="1977" ht="18" customHeight="1">
      <x:c r="A1977" s="13" t="n">
        <x:v>45544</x:v>
      </x:c>
      <x:c r="B1977" s="12" t="str">
        <x:v>000300.SH</x:v>
      </x:c>
      <x:c r="C1977" s="12" t="n">
        <x:v>3214.7996</x:v>
      </x:c>
      <x:c r="D1977" s="12" t="n">
        <x:v>3222.9278</x:v>
      </x:c>
      <x:c r="E1977" s="12" t="n">
        <x:v>3180.9277</x:v>
      </x:c>
      <x:c r="F1977" s="12" t="n">
        <x:v>3192.9516</x:v>
      </x:c>
      <x:c r="G1977" s="12" t="n">
        <x:v>3231.3457</x:v>
      </x:c>
      <x:c r="H1977" s="12" t="n">
        <x:v>-38.3941</x:v>
      </x:c>
      <x:c r="I1977" s="12" t="n">
        <x:v>-1.1882</x:v>
      </x:c>
      <x:c r="J1977" s="12" t="n">
        <x:v>-0.01195292039801617</x:v>
      </x:c>
      <x:c r="K1977" s="12" t="n">
        <x:v>108673069</x:v>
      </x:c>
      <x:c r="L1977" s="12" t="n">
        <x:v>146516054.461</x:v>
      </x:c>
      <x:c r="M1977" s="12" t="str">
        <x:v>TuShare index_daily</x:v>
      </x:c>
    </x:row>
    <x:row r="1978" ht="18" customHeight="1">
      <x:c r="A1978" s="13" t="n">
        <x:v>45545</x:v>
      </x:c>
      <x:c r="B1978" s="12" t="str">
        <x:v>000300.SH</x:v>
      </x:c>
      <x:c r="C1978" s="12" t="n">
        <x:v>3193.4557</x:v>
      </x:c>
      <x:c r="D1978" s="12" t="n">
        <x:v>3205.0972</x:v>
      </x:c>
      <x:c r="E1978" s="12" t="n">
        <x:v>3171.7932</x:v>
      </x:c>
      <x:c r="F1978" s="12" t="n">
        <x:v>3195.7552</x:v>
      </x:c>
      <x:c r="G1978" s="12" t="n">
        <x:v>3192.9516</x:v>
      </x:c>
      <x:c r="H1978" s="12" t="n">
        <x:v>2.8036</x:v>
      </x:c>
      <x:c r="I1978" s="12" t="n">
        <x:v>0.0878</x:v>
      </x:c>
      <x:c r="J1978" s="12" t="n">
        <x:v>0.000877673766456223</x:v>
      </x:c>
      <x:c r="K1978" s="12" t="n">
        <x:v>97290078</x:v>
      </x:c>
      <x:c r="L1978" s="12" t="n">
        <x:v>133610476.132</x:v>
      </x:c>
      <x:c r="M1978" s="12" t="str">
        <x:v>TuShare index_daily</x:v>
      </x:c>
    </x:row>
    <x:row r="1979" ht="18" customHeight="1">
      <x:c r="A1979" s="13" t="n">
        <x:v>45546</x:v>
      </x:c>
      <x:c r="B1979" s="12" t="str">
        <x:v>000300.SH</x:v>
      </x:c>
      <x:c r="C1979" s="12" t="n">
        <x:v>3187.0508</x:v>
      </x:c>
      <x:c r="D1979" s="12" t="n">
        <x:v>3197.3363</x:v>
      </x:c>
      <x:c r="E1979" s="12" t="n">
        <x:v>3174.0343</x:v>
      </x:c>
      <x:c r="F1979" s="12" t="n">
        <x:v>3186.1299</x:v>
      </x:c>
      <x:c r="G1979" s="12" t="n">
        <x:v>3195.7552</x:v>
      </x:c>
      <x:c r="H1979" s="12" t="n">
        <x:v>-9.6253</x:v>
      </x:c>
      <x:c r="I1979" s="12" t="n">
        <x:v>-0.3012</x:v>
      </x:c>
      <x:c r="J1979" s="12" t="n">
        <x:v>-0.003016446440987152</x:v>
      </x:c>
      <x:c r="K1979" s="12" t="n">
        <x:v>102482110</x:v>
      </x:c>
      <x:c r="L1979" s="12" t="n">
        <x:v>141513837.135</x:v>
      </x:c>
      <x:c r="M1979" s="12" t="str">
        <x:v>TuShare index_daily</x:v>
      </x:c>
    </x:row>
    <x:row r="1980" ht="18" customHeight="1">
      <x:c r="A1980" s="13" t="n">
        <x:v>45547</x:v>
      </x:c>
      <x:c r="B1980" s="12" t="str">
        <x:v>000300.SH</x:v>
      </x:c>
      <x:c r="C1980" s="12" t="n">
        <x:v>3189.4271</x:v>
      </x:c>
      <x:c r="D1980" s="12" t="n">
        <x:v>3201.5544</x:v>
      </x:c>
      <x:c r="E1980" s="12" t="n">
        <x:v>3171.8775</x:v>
      </x:c>
      <x:c r="F1980" s="12" t="n">
        <x:v>3172.4747</x:v>
      </x:c>
      <x:c r="G1980" s="12" t="n">
        <x:v>3186.1299</x:v>
      </x:c>
      <x:c r="H1980" s="12" t="n">
        <x:v>-13.6552</x:v>
      </x:c>
      <x:c r="I1980" s="12" t="n">
        <x:v>-0.4286</x:v>
      </x:c>
      <x:c r="J1980" s="12" t="n">
        <x:v>-0.004295036993443384</x:v>
      </x:c>
      <x:c r="K1980" s="12" t="n">
        <x:v>92868657</x:v>
      </x:c>
      <x:c r="L1980" s="12" t="n">
        <x:v>136387244.637</x:v>
      </x:c>
      <x:c r="M1980" s="12" t="str">
        <x:v>TuShare index_daily</x:v>
      </x:c>
    </x:row>
    <x:row r="1981" ht="18" customHeight="1">
      <x:c r="A1981" s="13" t="n">
        <x:v>45548</x:v>
      </x:c>
      <x:c r="B1981" s="12" t="str">
        <x:v>000300.SH</x:v>
      </x:c>
      <x:c r="C1981" s="12" t="n">
        <x:v>3174.0344</x:v>
      </x:c>
      <x:c r="D1981" s="12" t="n">
        <x:v>3188.9145</x:v>
      </x:c>
      <x:c r="E1981" s="12" t="n">
        <x:v>3159.247</x:v>
      </x:c>
      <x:c r="F1981" s="12" t="n">
        <x:v>3159.247</x:v>
      </x:c>
      <x:c r="G1981" s="12" t="n">
        <x:v>3172.4747</x:v>
      </x:c>
      <x:c r="H1981" s="12" t="n">
        <x:v>-13.2277</x:v>
      </x:c>
      <x:c r="I1981" s="12" t="n">
        <x:v>-0.417</x:v>
      </x:c>
      <x:c r="J1981" s="12" t="n">
        <x:v>-0.004178237727577415</x:v>
      </x:c>
      <x:c r="K1981" s="12" t="n">
        <x:v>88336677</x:v>
      </x:c>
      <x:c r="L1981" s="12" t="n">
        <x:v>137448911.397</x:v>
      </x:c>
      <x:c r="M1981" s="12" t="str">
        <x:v>TuShare index_daily</x:v>
      </x:c>
    </x:row>
    <x:row r="1982" ht="18" customHeight="1">
      <x:c r="A1982" s="13" t="n">
        <x:v>45553</x:v>
      </x:c>
      <x:c r="B1982" s="12" t="str">
        <x:v>000300.SH</x:v>
      </x:c>
      <x:c r="C1982" s="12" t="n">
        <x:v>3158.8179</x:v>
      </x:c>
      <x:c r="D1982" s="12" t="n">
        <x:v>3179.9012</x:v>
      </x:c>
      <x:c r="E1982" s="12" t="n">
        <x:v>3145.7908</x:v>
      </x:c>
      <x:c r="F1982" s="12" t="n">
        <x:v>3171.0102</x:v>
      </x:c>
      <x:c r="G1982" s="12" t="n">
        <x:v>3159.247</x:v>
      </x:c>
      <x:c r="H1982" s="12" t="n">
        <x:v>11.7632</x:v>
      </x:c>
      <x:c r="I1982" s="12" t="n">
        <x:v>0.3723</x:v>
      </x:c>
      <x:c r="J1982" s="12" t="n">
        <x:v>0.003716504138199999</x:v>
      </x:c>
      <x:c r="K1982" s="12" t="n">
        <x:v>84722814</x:v>
      </x:c>
      <x:c r="L1982" s="12" t="n">
        <x:v>123452147.969</x:v>
      </x:c>
      <x:c r="M1982" s="12" t="str">
        <x:v>TuShare index_daily</x:v>
      </x:c>
    </x:row>
    <x:row r="1983" ht="18" customHeight="1">
      <x:c r="A1983" s="13" t="n">
        <x:v>45554</x:v>
      </x:c>
      <x:c r="B1983" s="12" t="str">
        <x:v>000300.SH</x:v>
      </x:c>
      <x:c r="C1983" s="12" t="n">
        <x:v>3178.3959</x:v>
      </x:c>
      <x:c r="D1983" s="12" t="n">
        <x:v>3213.8378</x:v>
      </x:c>
      <x:c r="E1983" s="12" t="n">
        <x:v>3149.7925</x:v>
      </x:c>
      <x:c r="F1983" s="12" t="n">
        <x:v>3196.0357</x:v>
      </x:c>
      <x:c r="G1983" s="12" t="n">
        <x:v>3171.0102</x:v>
      </x:c>
      <x:c r="H1983" s="12" t="n">
        <x:v>25.0255</x:v>
      </x:c>
      <x:c r="I1983" s="12" t="n">
        <x:v>0.7892</x:v>
      </x:c>
      <x:c r="J1983" s="12" t="n">
        <x:v>0.007860985852472009</x:v>
      </x:c>
      <x:c r="K1983" s="12" t="n">
        <x:v>125439272</x:v>
      </x:c>
      <x:c r="L1983" s="12" t="n">
        <x:v>181785109.713</x:v>
      </x:c>
      <x:c r="M1983" s="12" t="str">
        <x:v>TuShare index_daily</x:v>
      </x:c>
    </x:row>
    <x:row r="1984" ht="18" customHeight="1">
      <x:c r="A1984" s="13" t="n">
        <x:v>45555</x:v>
      </x:c>
      <x:c r="B1984" s="12" t="str">
        <x:v>000300.SH</x:v>
      </x:c>
      <x:c r="C1984" s="12" t="n">
        <x:v>3192.4322</x:v>
      </x:c>
      <x:c r="D1984" s="12" t="n">
        <x:v>3207.9875</x:v>
      </x:c>
      <x:c r="E1984" s="12" t="n">
        <x:v>3173.2238</x:v>
      </x:c>
      <x:c r="F1984" s="12" t="n">
        <x:v>3201.0497</x:v>
      </x:c>
      <x:c r="G1984" s="12" t="n">
        <x:v>3196.0357</x:v>
      </x:c>
      <x:c r="H1984" s="12" t="n">
        <x:v>5.014</x:v>
      </x:c>
      <x:c r="I1984" s="12" t="n">
        <x:v>0.1569</x:v>
      </x:c>
      <x:c r="J1984" s="12" t="n">
        <x:v>0.0015675892107855256</x:v>
      </x:c>
      <x:c r="K1984" s="12" t="n">
        <x:v>118064098</x:v>
      </x:c>
      <x:c r="L1984" s="12" t="n">
        <x:v>163985054.957</x:v>
      </x:c>
      <x:c r="M1984" s="12" t="str">
        <x:v>TuShare index_daily</x:v>
      </x:c>
    </x:row>
    <x:row r="1985" ht="18" customHeight="1">
      <x:c r="A1985" s="13" t="n">
        <x:v>45558</x:v>
      </x:c>
      <x:c r="B1985" s="12" t="str">
        <x:v>000300.SH</x:v>
      </x:c>
      <x:c r="C1985" s="12" t="n">
        <x:v>3200.8678</x:v>
      </x:c>
      <x:c r="D1985" s="12" t="n">
        <x:v>3230.1613</x:v>
      </x:c>
      <x:c r="E1985" s="12" t="n">
        <x:v>3198.0248</x:v>
      </x:c>
      <x:c r="F1985" s="12" t="n">
        <x:v>3212.7639</x:v>
      </x:c>
      <x:c r="G1985" s="12" t="n">
        <x:v>3201.0497</x:v>
      </x:c>
      <x:c r="H1985" s="12" t="n">
        <x:v>11.7142</x:v>
      </x:c>
      <x:c r="I1985" s="12" t="n">
        <x:v>0.3659</x:v>
      </x:c>
      <x:c r="J1985" s="12" t="n">
        <x:v>0.0036528074421164</x:v>
      </x:c>
      <x:c r="K1985" s="12" t="n">
        <x:v>95344855</x:v>
      </x:c>
      <x:c r="L1985" s="12" t="n">
        <x:v>143876166.861</x:v>
      </x:c>
      <x:c r="M1985" s="12" t="str">
        <x:v>TuShare index_daily</x:v>
      </x:c>
    </x:row>
    <x:row r="1986" ht="18" customHeight="1">
      <x:c r="A1986" s="13" t="n">
        <x:v>45559</x:v>
      </x:c>
      <x:c r="B1986" s="12" t="str">
        <x:v>000300.SH</x:v>
      </x:c>
      <x:c r="C1986" s="12" t="n">
        <x:v>3244.6468</x:v>
      </x:c>
      <x:c r="D1986" s="12" t="n">
        <x:v>3351.9684</x:v>
      </x:c>
      <x:c r="E1986" s="12" t="n">
        <x:v>3222.4885</x:v>
      </x:c>
      <x:c r="F1986" s="12" t="n">
        <x:v>3351.909</x:v>
      </x:c>
      <x:c r="G1986" s="12" t="n">
        <x:v>3212.7639</x:v>
      </x:c>
      <x:c r="H1986" s="12" t="n">
        <x:v>139.1451</x:v>
      </x:c>
      <x:c r="I1986" s="12" t="n">
        <x:v>4.331</x:v>
      </x:c>
      <x:c r="J1986" s="12" t="n">
        <x:v>0.04239843957265368</x:v>
      </x:c>
      <x:c r="K1986" s="12" t="n">
        <x:v>204072217</x:v>
      </x:c>
      <x:c r="L1986" s="12" t="n">
        <x:v>307879526.848</x:v>
      </x:c>
      <x:c r="M1986" s="12" t="str">
        <x:v>TuShare index_daily</x:v>
      </x:c>
    </x:row>
    <x:row r="1987" ht="18" customHeight="1">
      <x:c r="A1987" s="13" t="n">
        <x:v>45560</x:v>
      </x:c>
      <x:c r="B1987" s="12" t="str">
        <x:v>000300.SH</x:v>
      </x:c>
      <x:c r="C1987" s="12" t="n">
        <x:v>3403.7021</x:v>
      </x:c>
      <x:c r="D1987" s="12" t="n">
        <x:v>3465.4882</x:v>
      </x:c>
      <x:c r="E1987" s="12" t="n">
        <x:v>3393.438</x:v>
      </x:c>
      <x:c r="F1987" s="12" t="n">
        <x:v>3401.533</x:v>
      </x:c>
      <x:c r="G1987" s="12" t="n">
        <x:v>3351.909</x:v>
      </x:c>
      <x:c r="H1987" s="12" t="n">
        <x:v>49.624</x:v>
      </x:c>
      <x:c r="I1987" s="12" t="n">
        <x:v>1.4805</x:v>
      </x:c>
      <x:c r="J1987" s="12" t="n">
        <x:v>0.014696178078189136</x:v>
      </x:c>
      <x:c r="K1987" s="12" t="n">
        <x:v>241564255</x:v>
      </x:c>
      <x:c r="L1987" s="12" t="n">
        <x:v>356862584.94</x:v>
      </x:c>
      <x:c r="M1987" s="12" t="str">
        <x:v>TuShare index_daily</x:v>
      </x:c>
    </x:row>
    <x:row r="1988" ht="18" customHeight="1">
      <x:c r="A1988" s="13" t="n">
        <x:v>45561</x:v>
      </x:c>
      <x:c r="B1988" s="12" t="str">
        <x:v>000300.SH</x:v>
      </x:c>
      <x:c r="C1988" s="12" t="n">
        <x:v>3399.3188</x:v>
      </x:c>
      <x:c r="D1988" s="12" t="n">
        <x:v>3545.3249</x:v>
      </x:c>
      <x:c r="E1988" s="12" t="n">
        <x:v>3391.6772</x:v>
      </x:c>
      <x:c r="F1988" s="12" t="n">
        <x:v>3545.3204</x:v>
      </x:c>
      <x:c r="G1988" s="12" t="n">
        <x:v>3401.533</x:v>
      </x:c>
      <x:c r="H1988" s="12" t="n">
        <x:v>143.7874</x:v>
      </x:c>
      <x:c r="I1988" s="12" t="n">
        <x:v>4.2271</x:v>
      </x:c>
      <x:c r="J1988" s="12" t="n">
        <x:v>0.04140232435989194</x:v>
      </x:c>
      <x:c r="K1988" s="12" t="n">
        <x:v>243134010</x:v>
      </x:c>
      <x:c r="L1988" s="12" t="n">
        <x:v>373983643.045</x:v>
      </x:c>
      <x:c r="M1988" s="12" t="str">
        <x:v>TuShare index_daily</x:v>
      </x:c>
    </x:row>
    <x:row r="1989" ht="18" customHeight="1">
      <x:c r="A1989" s="13" t="n">
        <x:v>45562</x:v>
      </x:c>
      <x:c r="B1989" s="12" t="str">
        <x:v>000300.SH</x:v>
      </x:c>
      <x:c r="C1989" s="12" t="n">
        <x:v>3617.9203</x:v>
      </x:c>
      <x:c r="D1989" s="12" t="n">
        <x:v>3708.4951</x:v>
      </x:c>
      <x:c r="E1989" s="12" t="n">
        <x:v>3596.5833</x:v>
      </x:c>
      <x:c r="F1989" s="12" t="n">
        <x:v>3703.6849</x:v>
      </x:c>
      <x:c r="G1989" s="12" t="n">
        <x:v>3545.3204</x:v>
      </x:c>
      <x:c r="H1989" s="12" t="n">
        <x:v>158.3645</x:v>
      </x:c>
      <x:c r="I1989" s="12" t="n">
        <x:v>4.4669</x:v>
      </x:c>
      <x:c r="J1989" s="12" t="n">
        <x:v>0.04369970625282989</x:v>
      </x:c>
      <x:c r="K1989" s="12" t="n">
        <x:v>265487774</x:v>
      </x:c>
      <x:c r="L1989" s="12" t="n">
        <x:v>466692757.482</x:v>
      </x:c>
      <x:c r="M1989" s="12" t="str">
        <x:v>TuShare index_daily</x:v>
      </x:c>
    </x:row>
    <x:row r="1990" ht="18" customHeight="1">
      <x:c r="A1990" s="13" t="n">
        <x:v>45565</x:v>
      </x:c>
      <x:c r="B1990" s="12" t="str">
        <x:v>000300.SH</x:v>
      </x:c>
      <x:c r="C1990" s="12" t="n">
        <x:v>3846.6515</x:v>
      </x:c>
      <x:c r="D1990" s="12" t="n">
        <x:v>4038.6968</x:v>
      </x:c>
      <x:c r="E1990" s="12" t="n">
        <x:v>3796.5045</x:v>
      </x:c>
      <x:c r="F1990" s="12" t="n">
        <x:v>4017.8545</x:v>
      </x:c>
      <x:c r="G1990" s="12" t="n">
        <x:v>3703.6849</x:v>
      </x:c>
      <x:c r="H1990" s="12" t="n">
        <x:v>314.1696</x:v>
      </x:c>
      <x:c r="I1990" s="12" t="n">
        <x:v>8.4826</x:v>
      </x:c>
      <x:c r="J1990" s="12" t="n">
        <x:v>0.08141981072040237</x:v>
      </x:c>
      <x:c r="K1990" s="12" t="n">
        <x:v>510217707</x:v>
      </x:c>
      <x:c r="L1990" s="12" t="n">
        <x:v>862528807.419</x:v>
      </x:c>
      <x:c r="M1990" s="12" t="str">
        <x:v>TuShare index_daily</x:v>
      </x:c>
    </x:row>
    <x:row r="1991" ht="18" customHeight="1">
      <x:c r="A1991" s="13" t="n">
        <x:v>45573</x:v>
      </x:c>
      <x:c r="B1991" s="12" t="str">
        <x:v>000300.SH</x:v>
      </x:c>
      <x:c r="C1991" s="12" t="n">
        <x:v>4450.3675</x:v>
      </x:c>
      <x:c r="D1991" s="12" t="n">
        <x:v>4450.3675</x:v>
      </x:c>
      <x:c r="E1991" s="12" t="n">
        <x:v>4094.3519</x:v>
      </x:c>
      <x:c r="F1991" s="12" t="n">
        <x:v>4256.0962</x:v>
      </x:c>
      <x:c r="G1991" s="12" t="n">
        <x:v>4017.8545</x:v>
      </x:c>
      <x:c r="H1991" s="12" t="n">
        <x:v>238.2417</x:v>
      </x:c>
      <x:c r="I1991" s="12" t="n">
        <x:v>5.9296</x:v>
      </x:c>
      <x:c r="J1991" s="12" t="n">
        <x:v>0.0576043014760725</x:v>
      </x:c>
      <x:c r="K1991" s="12" t="n">
        <x:v>589867894</x:v>
      </x:c>
      <x:c r="L1991" s="12" t="n">
        <x:v>1130387437.13</x:v>
      </x:c>
      <x:c r="M1991" s="12" t="str">
        <x:v>TuShare index_daily</x:v>
      </x:c>
    </x:row>
    <x:row r="1992" ht="18" customHeight="1">
      <x:c r="A1992" s="13" t="n">
        <x:v>45574</x:v>
      </x:c>
      <x:c r="B1992" s="12" t="str">
        <x:v>000300.SH</x:v>
      </x:c>
      <x:c r="C1992" s="12" t="n">
        <x:v>4168.8436</x:v>
      </x:c>
      <x:c r="D1992" s="12" t="n">
        <x:v>4197.6</x:v>
      </x:c>
      <x:c r="E1992" s="12" t="n">
        <x:v>3942.5118</x:v>
      </x:c>
      <x:c r="F1992" s="12" t="n">
        <x:v>3955.9839</x:v>
      </x:c>
      <x:c r="G1992" s="12" t="n">
        <x:v>4256.0962</x:v>
      </x:c>
      <x:c r="H1992" s="12" t="n">
        <x:v>-300.1123</x:v>
      </x:c>
      <x:c r="I1992" s="12" t="n">
        <x:v>-7.0514</x:v>
      </x:c>
      <x:c r="J1992" s="12" t="n">
        <x:v>-0.0731230111826069</x:v>
      </x:c>
      <x:c r="K1992" s="12" t="n">
        <x:v>482269295</x:v>
      </x:c>
      <x:c r="L1992" s="12" t="n">
        <x:v>1029032062.193</x:v>
      </x:c>
      <x:c r="M1992" s="12" t="str">
        <x:v>TuShare index_daily</x:v>
      </x:c>
    </x:row>
    <x:row r="1993" ht="18" customHeight="1">
      <x:c r="A1993" s="13" t="n">
        <x:v>45575</x:v>
      </x:c>
      <x:c r="B1993" s="12" t="str">
        <x:v>000300.SH</x:v>
      </x:c>
      <x:c r="C1993" s="12" t="n">
        <x:v>3979.6116</x:v>
      </x:c>
      <x:c r="D1993" s="12" t="n">
        <x:v>4098.4967</x:v>
      </x:c>
      <x:c r="E1993" s="12" t="n">
        <x:v>3912.7708</x:v>
      </x:c>
      <x:c r="F1993" s="12" t="n">
        <x:v>3997.7879</x:v>
      </x:c>
      <x:c r="G1993" s="12" t="n">
        <x:v>3955.9839</x:v>
      </x:c>
      <x:c r="H1993" s="12" t="n">
        <x:v>41.804</x:v>
      </x:c>
      <x:c r="I1993" s="12" t="n">
        <x:v>1.0567</x:v>
      </x:c>
      <x:c r="J1993" s="12" t="n">
        <x:v>0.010511839160420986</x:v>
      </x:c>
      <x:c r="K1993" s="12" t="n">
        <x:v>395053099</x:v>
      </x:c>
      <x:c r="L1993" s="12" t="n">
        <x:v>717952217.513</x:v>
      </x:c>
      <x:c r="M1993" s="12" t="str">
        <x:v>TuShare index_daily</x:v>
      </x:c>
    </x:row>
    <x:row r="1994" ht="18" customHeight="1">
      <x:c r="A1994" s="13" t="n">
        <x:v>45576</x:v>
      </x:c>
      <x:c r="B1994" s="12" t="str">
        <x:v>000300.SH</x:v>
      </x:c>
      <x:c r="C1994" s="12" t="n">
        <x:v>3969.7576</x:v>
      </x:c>
      <x:c r="D1994" s="12" t="n">
        <x:v>3978.2389</x:v>
      </x:c>
      <x:c r="E1994" s="12" t="n">
        <x:v>3847.1228</x:v>
      </x:c>
      <x:c r="F1994" s="12" t="n">
        <x:v>3887.167</x:v>
      </x:c>
      <x:c r="G1994" s="12" t="n">
        <x:v>3997.7879</x:v>
      </x:c>
      <x:c r="H1994" s="12" t="n">
        <x:v>-110.6209</x:v>
      </x:c>
      <x:c r="I1994" s="12" t="n">
        <x:v>-2.7671</x:v>
      </x:c>
      <x:c r="J1994" s="12" t="n">
        <x:v>-0.028060568472753827</x:v>
      </x:c>
      <x:c r="K1994" s="12" t="n">
        <x:v>274096505</x:v>
      </x:c>
      <x:c r="L1994" s="12" t="n">
        <x:v>484998267.296</x:v>
      </x:c>
      <x:c r="M1994" s="12" t="str">
        <x:v>TuShare index_daily</x:v>
      </x:c>
    </x:row>
    <x:row r="1995" ht="18" customHeight="1">
      <x:c r="A1995" s="13" t="n">
        <x:v>45579</x:v>
      </x:c>
      <x:c r="B1995" s="12" t="str">
        <x:v>000300.SH</x:v>
      </x:c>
      <x:c r="C1995" s="12" t="n">
        <x:v>3915.2186</x:v>
      </x:c>
      <x:c r="D1995" s="12" t="n">
        <x:v>3979.5431</x:v>
      </x:c>
      <x:c r="E1995" s="12" t="n">
        <x:v>3868.779</x:v>
      </x:c>
      <x:c r="F1995" s="12" t="n">
        <x:v>3961.3424</x:v>
      </x:c>
      <x:c r="G1995" s="12" t="n">
        <x:v>3887.167</x:v>
      </x:c>
      <x:c r="H1995" s="12" t="n">
        <x:v>74.1754</x:v>
      </x:c>
      <x:c r="I1995" s="12" t="n">
        <x:v>1.9082</x:v>
      </x:c>
      <x:c r="J1995" s="12" t="n">
        <x:v>0.01890234304887516</x:v>
      </x:c>
      <x:c r="K1995" s="12" t="n">
        <x:v>307578993</x:v>
      </x:c>
      <x:c r="L1995" s="12" t="n">
        <x:v>534076602.216</x:v>
      </x:c>
      <x:c r="M1995" s="12" t="str">
        <x:v>TuShare index_daily</x:v>
      </x:c>
    </x:row>
    <x:row r="1996" ht="18" customHeight="1">
      <x:c r="A1996" s="13" t="n">
        <x:v>45580</x:v>
      </x:c>
      <x:c r="B1996" s="12" t="str">
        <x:v>000300.SH</x:v>
      </x:c>
      <x:c r="C1996" s="12" t="n">
        <x:v>3942.5342</x:v>
      </x:c>
      <x:c r="D1996" s="12" t="n">
        <x:v>3967.8712</x:v>
      </x:c>
      <x:c r="E1996" s="12" t="n">
        <x:v>3855.9949</x:v>
      </x:c>
      <x:c r="F1996" s="12" t="n">
        <x:v>3855.9949</x:v>
      </x:c>
      <x:c r="G1996" s="12" t="n">
        <x:v>3961.3424</x:v>
      </x:c>
      <x:c r="H1996" s="12" t="n">
        <x:v>-105.3475</x:v>
      </x:c>
      <x:c r="I1996" s="12" t="n">
        <x:v>-2.6594</x:v>
      </x:c>
      <x:c r="J1996" s="12" t="n">
        <x:v>-0.026953903587968227</x:v>
      </x:c>
      <x:c r="K1996" s="12" t="n">
        <x:v>242486448</x:v>
      </x:c>
      <x:c r="L1996" s="12" t="n">
        <x:v>434410916.724</x:v>
      </x:c>
      <x:c r="M1996" s="12" t="str">
        <x:v>TuShare index_daily</x:v>
      </x:c>
    </x:row>
    <x:row r="1997" ht="18" customHeight="1">
      <x:c r="A1997" s="13" t="n">
        <x:v>45581</x:v>
      </x:c>
      <x:c r="B1997" s="12" t="str">
        <x:v>000300.SH</x:v>
      </x:c>
      <x:c r="C1997" s="12" t="n">
        <x:v>3806.1373</x:v>
      </x:c>
      <x:c r="D1997" s="12" t="n">
        <x:v>3877.7483</x:v>
      </x:c>
      <x:c r="E1997" s="12" t="n">
        <x:v>3805.0868</x:v>
      </x:c>
      <x:c r="F1997" s="12" t="n">
        <x:v>3831.589</x:v>
      </x:c>
      <x:c r="G1997" s="12" t="n">
        <x:v>3855.9949</x:v>
      </x:c>
      <x:c r="H1997" s="12" t="n">
        <x:v>-24.4059</x:v>
      </x:c>
      <x:c r="I1997" s="12" t="n">
        <x:v>-0.6329</x:v>
      </x:c>
      <x:c r="J1997" s="12" t="n">
        <x:v>-0.006349454474184984</x:v>
      </x:c>
      <x:c r="K1997" s="12" t="n">
        <x:v>218866407</x:v>
      </x:c>
      <x:c r="L1997" s="12" t="n">
        <x:v>377301324.426</x:v>
      </x:c>
      <x:c r="M1997" s="12" t="str">
        <x:v>TuShare index_daily</x:v>
      </x:c>
    </x:row>
    <x:row r="1998" ht="18" customHeight="1">
      <x:c r="A1998" s="13" t="n">
        <x:v>45582</x:v>
      </x:c>
      <x:c r="B1998" s="12" t="str">
        <x:v>000300.SH</x:v>
      </x:c>
      <x:c r="C1998" s="12" t="n">
        <x:v>3853.841</x:v>
      </x:c>
      <x:c r="D1998" s="12" t="n">
        <x:v>3882.0733</x:v>
      </x:c>
      <x:c r="E1998" s="12" t="n">
        <x:v>3787.7498</x:v>
      </x:c>
      <x:c r="F1998" s="12" t="n">
        <x:v>3788.2217</x:v>
      </x:c>
      <x:c r="G1998" s="12" t="n">
        <x:v>3831.589</x:v>
      </x:c>
      <x:c r="H1998" s="12" t="n">
        <x:v>-43.3673</x:v>
      </x:c>
      <x:c r="I1998" s="12" t="n">
        <x:v>-1.1318</x:v>
      </x:c>
      <x:c r="J1998" s="12" t="n">
        <x:v>-0.011382899120795377</x:v>
      </x:c>
      <x:c r="K1998" s="12" t="n">
        <x:v>212313820</x:v>
      </x:c>
      <x:c r="L1998" s="12" t="n">
        <x:v>369170521.635</x:v>
      </x:c>
      <x:c r="M1998" s="12" t="str">
        <x:v>TuShare index_daily</x:v>
      </x:c>
    </x:row>
    <x:row r="1999" ht="18" customHeight="1">
      <x:c r="A1999" s="13" t="n">
        <x:v>45583</x:v>
      </x:c>
      <x:c r="B1999" s="12" t="str">
        <x:v>000300.SH</x:v>
      </x:c>
      <x:c r="C1999" s="12" t="n">
        <x:v>3780.3143</x:v>
      </x:c>
      <x:c r="D1999" s="12" t="n">
        <x:v>3998.214</x:v>
      </x:c>
      <x:c r="E1999" s="12" t="n">
        <x:v>3765.1615</x:v>
      </x:c>
      <x:c r="F1999" s="12" t="n">
        <x:v>3925.234</x:v>
      </x:c>
      <x:c r="G1999" s="12" t="n">
        <x:v>3788.2217</x:v>
      </x:c>
      <x:c r="H1999" s="12" t="n">
        <x:v>137.0123</x:v>
      </x:c>
      <x:c r="I1999" s="12" t="n">
        <x:v>3.6168</x:v>
      </x:c>
      <x:c r="J1999" s="12" t="n">
        <x:v>0.035529266753357894</x:v>
      </x:c>
      <x:c r="K1999" s="12" t="n">
        <x:v>312958834</x:v>
      </x:c>
      <x:c r="L1999" s="12" t="n">
        <x:v>620673701.894</x:v>
      </x:c>
      <x:c r="M1999" s="12" t="str">
        <x:v>TuShare index_daily</x:v>
      </x:c>
    </x:row>
    <x:row r="2000" ht="18" customHeight="1">
      <x:c r="A2000" s="13" t="n">
        <x:v>45586</x:v>
      </x:c>
      <x:c r="B2000" s="12" t="str">
        <x:v>000300.SH</x:v>
      </x:c>
      <x:c r="C2000" s="12" t="n">
        <x:v>3946.9016</x:v>
      </x:c>
      <x:c r="D2000" s="12" t="n">
        <x:v>3979.2638</x:v>
      </x:c>
      <x:c r="E2000" s="12" t="n">
        <x:v>3896.165</x:v>
      </x:c>
      <x:c r="F2000" s="12" t="n">
        <x:v>3935.1974</x:v>
      </x:c>
      <x:c r="G2000" s="12" t="n">
        <x:v>3925.234</x:v>
      </x:c>
      <x:c r="H2000" s="12" t="n">
        <x:v>9.9634</x:v>
      </x:c>
      <x:c r="I2000" s="12" t="n">
        <x:v>0.2538</x:v>
      </x:c>
      <x:c r="J2000" s="12" t="n">
        <x:v>0.002535078503685626</x:v>
      </x:c>
      <x:c r="K2000" s="12" t="n">
        <x:v>291185634</x:v>
      </x:c>
      <x:c r="L2000" s="12" t="n">
        <x:v>600109598.949</x:v>
      </x:c>
      <x:c r="M2000" s="12" t="str">
        <x:v>TuShare index_daily</x:v>
      </x:c>
    </x:row>
    <x:row r="2001" ht="18" customHeight="1">
      <x:c r="A2001" s="13" t="n">
        <x:v>45587</x:v>
      </x:c>
      <x:c r="B2001" s="12" t="str">
        <x:v>000300.SH</x:v>
      </x:c>
      <x:c r="C2001" s="12" t="n">
        <x:v>3923.7443</x:v>
      </x:c>
      <x:c r="D2001" s="12" t="n">
        <x:v>3965.9084</x:v>
      </x:c>
      <x:c r="E2001" s="12" t="n">
        <x:v>3917.5218</x:v>
      </x:c>
      <x:c r="F2001" s="12" t="n">
        <x:v>3957.7755</x:v>
      </x:c>
      <x:c r="G2001" s="12" t="n">
        <x:v>3935.1974</x:v>
      </x:c>
      <x:c r="H2001" s="12" t="n">
        <x:v>22.5781</x:v>
      </x:c>
      <x:c r="I2001" s="12" t="n">
        <x:v>0.5737</x:v>
      </x:c>
      <x:c r="J2001" s="12" t="n">
        <x:v>0.005721079210379723</x:v>
      </x:c>
      <x:c r="K2001" s="12" t="n">
        <x:v>223433396</x:v>
      </x:c>
      <x:c r="L2001" s="12" t="n">
        <x:v>442881846.814</x:v>
      </x:c>
      <x:c r="M2001" s="12" t="str">
        <x:v>TuShare index_daily</x:v>
      </x:c>
    </x:row>
    <x:row r="2002" ht="18" customHeight="1">
      <x:c r="A2002" s="13" t="n">
        <x:v>45588</x:v>
      </x:c>
      <x:c r="B2002" s="12" t="str">
        <x:v>000300.SH</x:v>
      </x:c>
      <x:c r="C2002" s="12" t="n">
        <x:v>3955.3191</x:v>
      </x:c>
      <x:c r="D2002" s="12" t="n">
        <x:v>4012.1795</x:v>
      </x:c>
      <x:c r="E2002" s="12" t="n">
        <x:v>3939.0986</x:v>
      </x:c>
      <x:c r="F2002" s="12" t="n">
        <x:v>3973.2089</x:v>
      </x:c>
      <x:c r="G2002" s="12" t="n">
        <x:v>3957.7755</x:v>
      </x:c>
      <x:c r="H2002" s="12" t="n">
        <x:v>15.4334</x:v>
      </x:c>
      <x:c r="I2002" s="12" t="n">
        <x:v>0.39</x:v>
      </x:c>
      <x:c r="J2002" s="12" t="n">
        <x:v>0.0038919303588495634</x:v>
      </x:c>
      <x:c r="K2002" s="12" t="n">
        <x:v>245873949</x:v>
      </x:c>
      <x:c r="L2002" s="12" t="n">
        <x:v>469120806.272</x:v>
      </x:c>
      <x:c r="M2002" s="12" t="str">
        <x:v>TuShare index_daily</x:v>
      </x:c>
    </x:row>
    <x:row r="2003" ht="18" customHeight="1">
      <x:c r="A2003" s="13" t="n">
        <x:v>45589</x:v>
      </x:c>
      <x:c r="B2003" s="12" t="str">
        <x:v>000300.SH</x:v>
      </x:c>
      <x:c r="C2003" s="12" t="n">
        <x:v>3950.8987</x:v>
      </x:c>
      <x:c r="D2003" s="12" t="n">
        <x:v>3957.9832</x:v>
      </x:c>
      <x:c r="E2003" s="12" t="n">
        <x:v>3914.0887</x:v>
      </x:c>
      <x:c r="F2003" s="12" t="n">
        <x:v>3928.8334</x:v>
      </x:c>
      <x:c r="G2003" s="12" t="n">
        <x:v>3973.2089</x:v>
      </x:c>
      <x:c r="H2003" s="12" t="n">
        <x:v>-44.3755</x:v>
      </x:c>
      <x:c r="I2003" s="12" t="n">
        <x:v>-1.1169</x:v>
      </x:c>
      <x:c r="J2003" s="12" t="n">
        <x:v>-0.011231518334287871</x:v>
      </x:c>
      <x:c r="K2003" s="12" t="n">
        <x:v>174724062</x:v>
      </x:c>
      <x:c r="L2003" s="12" t="n">
        <x:v>340486884.485</x:v>
      </x:c>
      <x:c r="M2003" s="12" t="str">
        <x:v>TuShare index_daily</x:v>
      </x:c>
    </x:row>
    <x:row r="2004" ht="18" customHeight="1">
      <x:c r="A2004" s="13" t="n">
        <x:v>45590</x:v>
      </x:c>
      <x:c r="B2004" s="12" t="str">
        <x:v>000300.SH</x:v>
      </x:c>
      <x:c r="C2004" s="12" t="n">
        <x:v>3931.3205</x:v>
      </x:c>
      <x:c r="D2004" s="12" t="n">
        <x:v>3992.8918</x:v>
      </x:c>
      <x:c r="E2004" s="12" t="n">
        <x:v>3921.9396</x:v>
      </x:c>
      <x:c r="F2004" s="12" t="n">
        <x:v>3956.421</x:v>
      </x:c>
      <x:c r="G2004" s="12" t="n">
        <x:v>3928.8334</x:v>
      </x:c>
      <x:c r="H2004" s="12" t="n">
        <x:v>27.5876</x:v>
      </x:c>
      <x:c r="I2004" s="12" t="n">
        <x:v>0.7022</x:v>
      </x:c>
      <x:c r="J2004" s="12" t="n">
        <x:v>0.006997291694767125</x:v>
      </x:c>
      <x:c r="K2004" s="12" t="n">
        <x:v>210694885</x:v>
      </x:c>
      <x:c r="L2004" s="12" t="n">
        <x:v>412231378.43</x:v>
      </x:c>
      <x:c r="M2004" s="12" t="str">
        <x:v>TuShare index_daily</x:v>
      </x:c>
    </x:row>
    <x:row r="2005" ht="18" customHeight="1">
      <x:c r="A2005" s="13" t="n">
        <x:v>45593</x:v>
      </x:c>
      <x:c r="B2005" s="12" t="str">
        <x:v>000300.SH</x:v>
      </x:c>
      <x:c r="C2005" s="12" t="n">
        <x:v>3953.1063</x:v>
      </x:c>
      <x:c r="D2005" s="12" t="n">
        <x:v>3964.1569</x:v>
      </x:c>
      <x:c r="E2005" s="12" t="n">
        <x:v>3917.2042</x:v>
      </x:c>
      <x:c r="F2005" s="12" t="n">
        <x:v>3964.1569</x:v>
      </x:c>
      <x:c r="G2005" s="12" t="n">
        <x:v>3956.421</x:v>
      </x:c>
      <x:c r="H2005" s="12" t="n">
        <x:v>7.7359</x:v>
      </x:c>
      <x:c r="I2005" s="12" t="n">
        <x:v>0.1955</x:v>
      </x:c>
      <x:c r="J2005" s="12" t="n">
        <x:v>0.001953368190416609</x:v>
      </x:c>
      <x:c r="K2005" s="12" t="n">
        <x:v>216160415</x:v>
      </x:c>
      <x:c r="L2005" s="12" t="n">
        <x:v>390450182.338</x:v>
      </x:c>
      <x:c r="M2005" s="12" t="str">
        <x:v>TuShare index_daily</x:v>
      </x:c>
    </x:row>
    <x:row r="2006" ht="18" customHeight="1">
      <x:c r="A2006" s="13" t="n">
        <x:v>45594</x:v>
      </x:c>
      <x:c r="B2006" s="12" t="str">
        <x:v>000300.SH</x:v>
      </x:c>
      <x:c r="C2006" s="12" t="n">
        <x:v>3970.008</x:v>
      </x:c>
      <x:c r="D2006" s="12" t="n">
        <x:v>3991.3091</x:v>
      </x:c>
      <x:c r="E2006" s="12" t="n">
        <x:v>3921.5795</x:v>
      </x:c>
      <x:c r="F2006" s="12" t="n">
        <x:v>3924.649</x:v>
      </x:c>
      <x:c r="G2006" s="12" t="n">
        <x:v>3964.1569</x:v>
      </x:c>
      <x:c r="H2006" s="12" t="n">
        <x:v>-39.5079</x:v>
      </x:c>
      <x:c r="I2006" s="12" t="n">
        <x:v>-0.9966</x:v>
      </x:c>
      <x:c r="J2006" s="12" t="n">
        <x:v>-0.010016276431536042</x:v>
      </x:c>
      <x:c r="K2006" s="12" t="n">
        <x:v>217293984</x:v>
      </x:c>
      <x:c r="L2006" s="12" t="n">
        <x:v>429625020.405</x:v>
      </x:c>
      <x:c r="M2006" s="12" t="str">
        <x:v>TuShare index_daily</x:v>
      </x:c>
    </x:row>
    <x:row r="2007" ht="18" customHeight="1">
      <x:c r="A2007" s="13" t="n">
        <x:v>45595</x:v>
      </x:c>
      <x:c r="B2007" s="12" t="str">
        <x:v>000300.SH</x:v>
      </x:c>
      <x:c r="C2007" s="12" t="n">
        <x:v>3904.1595</x:v>
      </x:c>
      <x:c r="D2007" s="12" t="n">
        <x:v>3926.0581</x:v>
      </x:c>
      <x:c r="E2007" s="12" t="n">
        <x:v>3864.3051</x:v>
      </x:c>
      <x:c r="F2007" s="12" t="n">
        <x:v>3889.4487</x:v>
      </x:c>
      <x:c r="G2007" s="12" t="n">
        <x:v>3924.649</x:v>
      </x:c>
      <x:c r="H2007" s="12" t="n">
        <x:v>-35.2003</x:v>
      </x:c>
      <x:c r="I2007" s="12" t="n">
        <x:v>-0.8969</x:v>
      </x:c>
      <x:c r="J2007" s="12" t="n">
        <x:v>-0.009009495262216016</x:v>
      </x:c>
      <x:c r="K2007" s="12" t="n">
        <x:v>219436626</x:v>
      </x:c>
      <x:c r="L2007" s="12" t="n">
        <x:v>385010582.233</x:v>
      </x:c>
      <x:c r="M2007" s="12" t="str">
        <x:v>TuShare index_daily</x:v>
      </x:c>
    </x:row>
    <x:row r="2008" ht="18" customHeight="1">
      <x:c r="A2008" s="13" t="n">
        <x:v>45596</x:v>
      </x:c>
      <x:c r="B2008" s="12" t="str">
        <x:v>000300.SH</x:v>
      </x:c>
      <x:c r="C2008" s="12" t="n">
        <x:v>3888.4229</x:v>
      </x:c>
      <x:c r="D2008" s="12" t="n">
        <x:v>3923.8997</x:v>
      </x:c>
      <x:c r="E2008" s="12" t="n">
        <x:v>3859.1079</x:v>
      </x:c>
      <x:c r="F2008" s="12" t="n">
        <x:v>3891.0396</x:v>
      </x:c>
      <x:c r="G2008" s="12" t="n">
        <x:v>3889.4487</x:v>
      </x:c>
      <x:c r="H2008" s="12" t="n">
        <x:v>1.5909</x:v>
      </x:c>
      <x:c r="I2008" s="12" t="n">
        <x:v>0.0409</x:v>
      </x:c>
      <x:c r="J2008" s="12" t="n">
        <x:v>0.00040894606118007065</x:v>
      </x:c>
      <x:c r="K2008" s="12" t="n">
        <x:v>300636718</x:v>
      </x:c>
      <x:c r="L2008" s="12" t="n">
        <x:v>515533818.945</x:v>
      </x:c>
      <x:c r="M2008" s="12" t="str">
        <x:v>TuShare index_daily</x:v>
      </x:c>
    </x:row>
    <x:row r="2009" ht="18" customHeight="1">
      <x:c r="A2009" s="13" t="n">
        <x:v>45597</x:v>
      </x:c>
      <x:c r="B2009" s="12" t="str">
        <x:v>000300.SH</x:v>
      </x:c>
      <x:c r="C2009" s="12" t="n">
        <x:v>3882.4579</x:v>
      </x:c>
      <x:c r="D2009" s="12" t="n">
        <x:v>3933.2204</x:v>
      </x:c>
      <x:c r="E2009" s="12" t="n">
        <x:v>3879.9588</x:v>
      </x:c>
      <x:c r="F2009" s="12" t="n">
        <x:v>3890.0203</x:v>
      </x:c>
      <x:c r="G2009" s="12" t="n">
        <x:v>3891.0396</x:v>
      </x:c>
      <x:c r="H2009" s="12" t="n">
        <x:v>-1.0193</x:v>
      </x:c>
      <x:c r="I2009" s="12" t="n">
        <x:v>-0.0262</x:v>
      </x:c>
      <x:c r="J2009" s="12" t="n">
        <x:v>-0.0002619951571971654</x:v>
      </x:c>
      <x:c r="K2009" s="12" t="n">
        <x:v>307986481</x:v>
      </x:c>
      <x:c r="L2009" s="12" t="n">
        <x:v>476472952.028</x:v>
      </x:c>
      <x:c r="M2009" s="12" t="str">
        <x:v>TuShare index_daily</x:v>
      </x:c>
    </x:row>
    <x:row r="2010" ht="18" customHeight="1">
      <x:c r="A2010" s="13" t="n">
        <x:v>45600</x:v>
      </x:c>
      <x:c r="B2010" s="12" t="str">
        <x:v>000300.SH</x:v>
      </x:c>
      <x:c r="C2010" s="12" t="n">
        <x:v>3897.7144</x:v>
      </x:c>
      <x:c r="D2010" s="12" t="n">
        <x:v>3944.7619</x:v>
      </x:c>
      <x:c r="E2010" s="12" t="n">
        <x:v>3891.2109</x:v>
      </x:c>
      <x:c r="F2010" s="12" t="n">
        <x:v>3944.7619</x:v>
      </x:c>
      <x:c r="G2010" s="12" t="n">
        <x:v>3890.0203</x:v>
      </x:c>
      <x:c r="H2010" s="12" t="n">
        <x:v>54.7416</x:v>
      </x:c>
      <x:c r="I2010" s="12" t="n">
        <x:v>1.4072</x:v>
      </x:c>
      <x:c r="J2010" s="12" t="n">
        <x:v>0.013974221471078057</x:v>
      </x:c>
      <x:c r="K2010" s="12" t="n">
        <x:v>229239060</x:v>
      </x:c>
      <x:c r="L2010" s="12" t="n">
        <x:v>381048606.068</x:v>
      </x:c>
      <x:c r="M2010" s="12" t="str">
        <x:v>TuShare index_daily</x:v>
      </x:c>
    </x:row>
    <x:row r="2011" ht="18" customHeight="1">
      <x:c r="A2011" s="13" t="n">
        <x:v>45601</x:v>
      </x:c>
      <x:c r="B2011" s="12" t="str">
        <x:v>000300.SH</x:v>
      </x:c>
      <x:c r="C2011" s="12" t="n">
        <x:v>3937.6228</x:v>
      </x:c>
      <x:c r="D2011" s="12" t="n">
        <x:v>4046.6977</x:v>
      </x:c>
      <x:c r="E2011" s="12" t="n">
        <x:v>3925.4138</x:v>
      </x:c>
      <x:c r="F2011" s="12" t="n">
        <x:v>4044.5725</x:v>
      </x:c>
      <x:c r="G2011" s="12" t="n">
        <x:v>3944.7619</x:v>
      </x:c>
      <x:c r="H2011" s="12" t="n">
        <x:v>99.8106</x:v>
      </x:c>
      <x:c r="I2011" s="12" t="n">
        <x:v>2.5302</x:v>
      </x:c>
      <x:c r="J2011" s="12" t="n">
        <x:v>0.024987261296340286</x:v>
      </x:c>
      <x:c r="K2011" s="12" t="n">
        <x:v>316862794</x:v>
      </x:c>
      <x:c r="L2011" s="12" t="n">
        <x:v>580971852.724</x:v>
      </x:c>
      <x:c r="M2011" s="12" t="str">
        <x:v>TuShare index_daily</x:v>
      </x:c>
    </x:row>
    <x:row r="2012" ht="18" customHeight="1">
      <x:c r="A2012" s="13" t="n">
        <x:v>45602</x:v>
      </x:c>
      <x:c r="B2012" s="12" t="str">
        <x:v>000300.SH</x:v>
      </x:c>
      <x:c r="C2012" s="12" t="n">
        <x:v>4051.2891</x:v>
      </x:c>
      <x:c r="D2012" s="12" t="n">
        <x:v>4091.7031</x:v>
      </x:c>
      <x:c r="E2012" s="12" t="n">
        <x:v>4002.5027</x:v>
      </x:c>
      <x:c r="F2012" s="12" t="n">
        <x:v>4024.2831</x:v>
      </x:c>
      <x:c r="G2012" s="12" t="n">
        <x:v>4044.5725</x:v>
      </x:c>
      <x:c r="H2012" s="12" t="n">
        <x:v>-20.2894</x:v>
      </x:c>
      <x:c r="I2012" s="12" t="n">
        <x:v>-0.5016</x:v>
      </x:c>
      <x:c r="J2012" s="12" t="n">
        <x:v>-0.0050290756876604685</x:v>
      </x:c>
      <x:c r="K2012" s="12" t="n">
        <x:v>335807938</x:v>
      </x:c>
      <x:c r="L2012" s="12" t="n">
        <x:v>639124093.912</x:v>
      </x:c>
      <x:c r="M2012" s="12" t="str">
        <x:v>TuShare index_daily</x:v>
      </x:c>
    </x:row>
    <x:row r="2013" ht="18" customHeight="1">
      <x:c r="A2013" s="13" t="n">
        <x:v>45603</x:v>
      </x:c>
      <x:c r="B2013" s="12" t="str">
        <x:v>000300.SH</x:v>
      </x:c>
      <x:c r="C2013" s="12" t="n">
        <x:v>3987.2665</x:v>
      </x:c>
      <x:c r="D2013" s="12" t="n">
        <x:v>4146.151</x:v>
      </x:c>
      <x:c r="E2013" s="12" t="n">
        <x:v>3984.6652</x:v>
      </x:c>
      <x:c r="F2013" s="12" t="n">
        <x:v>4145.6952</x:v>
      </x:c>
      <x:c r="G2013" s="12" t="n">
        <x:v>4024.2831</x:v>
      </x:c>
      <x:c r="H2013" s="12" t="n">
        <x:v>121.4121</x:v>
      </x:c>
      <x:c r="I2013" s="12" t="n">
        <x:v>3.017</x:v>
      </x:c>
      <x:c r="J2013" s="12" t="n">
        <x:v>0.02972371146306609</x:v>
      </x:c>
      <x:c r="K2013" s="12" t="n">
        <x:v>341436414</x:v>
      </x:c>
      <x:c r="L2013" s="12" t="n">
        <x:v>658145920.948</x:v>
      </x:c>
      <x:c r="M2013" s="12" t="str">
        <x:v>TuShare index_daily</x:v>
      </x:c>
    </x:row>
    <x:row r="2014" ht="18" customHeight="1">
      <x:c r="A2014" s="13" t="n">
        <x:v>45604</x:v>
      </x:c>
      <x:c r="B2014" s="12" t="str">
        <x:v>000300.SH</x:v>
      </x:c>
      <x:c r="C2014" s="12" t="n">
        <x:v>4192.0794</x:v>
      </x:c>
      <x:c r="D2014" s="12" t="n">
        <x:v>4200.908</x:v>
      </x:c>
      <x:c r="E2014" s="12" t="n">
        <x:v>4094.1631</x:v>
      </x:c>
      <x:c r="F2014" s="12" t="n">
        <x:v>4104.047</x:v>
      </x:c>
      <x:c r="G2014" s="12" t="n">
        <x:v>4145.6952</x:v>
      </x:c>
      <x:c r="H2014" s="12" t="n">
        <x:v>-41.6482</x:v>
      </x:c>
      <x:c r="I2014" s="12" t="n">
        <x:v>-1.0046</x:v>
      </x:c>
      <x:c r="J2014" s="12" t="n">
        <x:v>-0.010096934623952768</x:v>
      </x:c>
      <x:c r="K2014" s="12" t="n">
        <x:v>332350385</x:v>
      </x:c>
      <x:c r="L2014" s="12" t="n">
        <x:v>688446559.772</x:v>
      </x:c>
      <x:c r="M2014" s="12" t="str">
        <x:v>TuShare index_daily</x:v>
      </x:c>
    </x:row>
    <x:row r="2015" ht="18" customHeight="1">
      <x:c r="A2015" s="13" t="n">
        <x:v>45607</x:v>
      </x:c>
      <x:c r="B2015" s="12" t="str">
        <x:v>000300.SH</x:v>
      </x:c>
      <x:c r="C2015" s="12" t="n">
        <x:v>4066.9336</x:v>
      </x:c>
      <x:c r="D2015" s="12" t="n">
        <x:v>4132.5111</x:v>
      </x:c>
      <x:c r="E2015" s="12" t="n">
        <x:v>4048.039</x:v>
      </x:c>
      <x:c r="F2015" s="12" t="n">
        <x:v>4131.1312</x:v>
      </x:c>
      <x:c r="G2015" s="12" t="n">
        <x:v>4104.047</x:v>
      </x:c>
      <x:c r="H2015" s="12" t="n">
        <x:v>27.0842</x:v>
      </x:c>
      <x:c r="I2015" s="12" t="n">
        <x:v>0.6599</x:v>
      </x:c>
      <x:c r="J2015" s="12" t="n">
        <x:v>0.006577707730125924</x:v>
      </x:c>
      <x:c r="K2015" s="12" t="n">
        <x:v>289594227</x:v>
      </x:c>
      <x:c r="L2015" s="12" t="n">
        <x:v>625605935.91</x:v>
      </x:c>
      <x:c r="M2015" s="12" t="str">
        <x:v>TuShare index_daily</x:v>
      </x:c>
    </x:row>
    <x:row r="2016" ht="18" customHeight="1">
      <x:c r="A2016" s="13" t="n">
        <x:v>45608</x:v>
      </x:c>
      <x:c r="B2016" s="12" t="str">
        <x:v>000300.SH</x:v>
      </x:c>
      <x:c r="C2016" s="12" t="n">
        <x:v>4133.3528</x:v>
      </x:c>
      <x:c r="D2016" s="12" t="n">
        <x:v>4181.7096</x:v>
      </x:c>
      <x:c r="E2016" s="12" t="n">
        <x:v>4060.7936</x:v>
      </x:c>
      <x:c r="F2016" s="12" t="n">
        <x:v>4085.743</x:v>
      </x:c>
      <x:c r="G2016" s="12" t="n">
        <x:v>4131.1312</x:v>
      </x:c>
      <x:c r="H2016" s="12" t="n">
        <x:v>-45.3882</x:v>
      </x:c>
      <x:c r="I2016" s="12" t="n">
        <x:v>-1.0987</x:v>
      </x:c>
      <x:c r="J2016" s="12" t="n">
        <x:v>-0.011047671056907763</x:v>
      </x:c>
      <x:c r="K2016" s="12" t="n">
        <x:v>297778086</x:v>
      </x:c>
      <x:c r="L2016" s="12" t="n">
        <x:v>660380524.821</x:v>
      </x:c>
      <x:c r="M2016" s="12" t="str">
        <x:v>TuShare index_daily</x:v>
      </x:c>
    </x:row>
    <x:row r="2017" ht="18" customHeight="1">
      <x:c r="A2017" s="13" t="n">
        <x:v>45609</x:v>
      </x:c>
      <x:c r="B2017" s="12" t="str">
        <x:v>000300.SH</x:v>
      </x:c>
      <x:c r="C2017" s="12" t="n">
        <x:v>4059.5898</x:v>
      </x:c>
      <x:c r="D2017" s="12" t="n">
        <x:v>4121.0735</x:v>
      </x:c>
      <x:c r="E2017" s="12" t="n">
        <x:v>4059.5898</x:v>
      </x:c>
      <x:c r="F2017" s="12" t="n">
        <x:v>4110.8901</x:v>
      </x:c>
      <x:c r="G2017" s="12" t="n">
        <x:v>4085.743</x:v>
      </x:c>
      <x:c r="H2017" s="12" t="n">
        <x:v>25.1471</x:v>
      </x:c>
      <x:c r="I2017" s="12" t="n">
        <x:v>0.6155</x:v>
      </x:c>
      <x:c r="J2017" s="12" t="n">
        <x:v>0.006135977685628404</x:v>
      </x:c>
      <x:c r="K2017" s="12" t="n">
        <x:v>240484099</x:v>
      </x:c>
      <x:c r="L2017" s="12" t="n">
        <x:v>512734303.119</x:v>
      </x:c>
      <x:c r="M2017" s="12" t="str">
        <x:v>TuShare index_daily</x:v>
      </x:c>
    </x:row>
    <x:row r="2018" ht="18" customHeight="1">
      <x:c r="A2018" s="13" t="n">
        <x:v>45610</x:v>
      </x:c>
      <x:c r="B2018" s="12" t="str">
        <x:v>000300.SH</x:v>
      </x:c>
      <x:c r="C2018" s="12" t="n">
        <x:v>4101.2228</x:v>
      </x:c>
      <x:c r="D2018" s="12" t="n">
        <x:v>4118.1686</x:v>
      </x:c>
      <x:c r="E2018" s="12" t="n">
        <x:v>4034.9441</x:v>
      </x:c>
      <x:c r="F2018" s="12" t="n">
        <x:v>4039.6191</x:v>
      </x:c>
      <x:c r="G2018" s="12" t="n">
        <x:v>4110.8901</x:v>
      </x:c>
      <x:c r="H2018" s="12" t="n">
        <x:v>-71.271</x:v>
      </x:c>
      <x:c r="I2018" s="12" t="n">
        <x:v>-1.7337</x:v>
      </x:c>
      <x:c r="J2018" s="12" t="n">
        <x:v>-0.017489169053457043</x:v>
      </x:c>
      <x:c r="K2018" s="12" t="n">
        <x:v>230152784</x:v>
      </x:c>
      <x:c r="L2018" s="12" t="n">
        <x:v>464157560.755</x:v>
      </x:c>
      <x:c r="M2018" s="12" t="str">
        <x:v>TuShare index_daily</x:v>
      </x:c>
    </x:row>
    <x:row r="2019" ht="18" customHeight="1">
      <x:c r="A2019" s="13" t="n">
        <x:v>45611</x:v>
      </x:c>
      <x:c r="B2019" s="12" t="str">
        <x:v>000300.SH</x:v>
      </x:c>
      <x:c r="C2019" s="12" t="n">
        <x:v>4025.6482</x:v>
      </x:c>
      <x:c r="D2019" s="12" t="n">
        <x:v>4049.071</x:v>
      </x:c>
      <x:c r="E2019" s="12" t="n">
        <x:v>3968.8308</x:v>
      </x:c>
      <x:c r="F2019" s="12" t="n">
        <x:v>3968.8308</x:v>
      </x:c>
      <x:c r="G2019" s="12" t="n">
        <x:v>4039.6191</x:v>
      </x:c>
      <x:c r="H2019" s="12" t="n">
        <x:v>-70.7883</x:v>
      </x:c>
      <x:c r="I2019" s="12" t="n">
        <x:v>-1.7524</x:v>
      </x:c>
      <x:c r="J2019" s="12" t="n">
        <x:v>-0.01767886284325673</x:v>
      </x:c>
      <x:c r="K2019" s="12" t="n">
        <x:v>247399463</x:v>
      </x:c>
      <x:c r="L2019" s="12" t="n">
        <x:v>474079686.588</x:v>
      </x:c>
      <x:c r="M2019" s="12" t="str">
        <x:v>TuShare index_daily</x:v>
      </x:c>
    </x:row>
    <x:row r="2020" ht="18" customHeight="1">
      <x:c r="A2020" s="13" t="n">
        <x:v>45614</x:v>
      </x:c>
      <x:c r="B2020" s="12" t="str">
        <x:v>000300.SH</x:v>
      </x:c>
      <x:c r="C2020" s="12" t="n">
        <x:v>3982.1036</x:v>
      </x:c>
      <x:c r="D2020" s="12" t="n">
        <x:v>4034.0596</x:v>
      </x:c>
      <x:c r="E2020" s="12" t="n">
        <x:v>3931.1872</x:v>
      </x:c>
      <x:c r="F2020" s="12" t="n">
        <x:v>3950.3806</x:v>
      </x:c>
      <x:c r="G2020" s="12" t="n">
        <x:v>3968.8308</x:v>
      </x:c>
      <x:c r="H2020" s="12" t="n">
        <x:v>-18.4502</x:v>
      </x:c>
      <x:c r="I2020" s="12" t="n">
        <x:v>-0.4649</x:v>
      </x:c>
      <x:c r="J2020" s="12" t="n">
        <x:v>-0.004659613805119821</x:v>
      </x:c>
      <x:c r="K2020" s="12" t="n">
        <x:v>306777946</x:v>
      </x:c>
      <x:c r="L2020" s="12" t="n">
        <x:v>472408054.831</x:v>
      </x:c>
      <x:c r="M2020" s="12" t="str">
        <x:v>TuShare index_daily</x:v>
      </x:c>
    </x:row>
    <x:row r="2021" ht="18" customHeight="1">
      <x:c r="A2021" s="13" t="n">
        <x:v>45615</x:v>
      </x:c>
      <x:c r="B2021" s="12" t="str">
        <x:v>000300.SH</x:v>
      </x:c>
      <x:c r="C2021" s="12" t="n">
        <x:v>3954.6038</x:v>
      </x:c>
      <x:c r="D2021" s="12" t="n">
        <x:v>3979.1505</x:v>
      </x:c>
      <x:c r="E2021" s="12" t="n">
        <x:v>3896.7493</x:v>
      </x:c>
      <x:c r="F2021" s="12" t="n">
        <x:v>3976.8912</x:v>
      </x:c>
      <x:c r="G2021" s="12" t="n">
        <x:v>3950.3806</x:v>
      </x:c>
      <x:c r="H2021" s="12" t="n">
        <x:v>26.5106</x:v>
      </x:c>
      <x:c r="I2021" s="12" t="n">
        <x:v>0.6711</x:v>
      </x:c>
      <x:c r="J2021" s="12" t="n">
        <x:v>0.00668847984521444</x:v>
      </x:c>
      <x:c r="K2021" s="12" t="n">
        <x:v>242946465</x:v>
      </x:c>
      <x:c r="L2021" s="12" t="n">
        <x:v>402610970.34</x:v>
      </x:c>
      <x:c r="M2021" s="12" t="str">
        <x:v>TuShare index_daily</x:v>
      </x:c>
    </x:row>
    <x:row r="2022" ht="18" customHeight="1">
      <x:c r="A2022" s="13" t="n">
        <x:v>45616</x:v>
      </x:c>
      <x:c r="B2022" s="12" t="str">
        <x:v>000300.SH</x:v>
      </x:c>
      <x:c r="C2022" s="12" t="n">
        <x:v>3966.1238</x:v>
      </x:c>
      <x:c r="D2022" s="12" t="n">
        <x:v>4001.0847</x:v>
      </x:c>
      <x:c r="E2022" s="12" t="n">
        <x:v>3958.3383</x:v>
      </x:c>
      <x:c r="F2022" s="12" t="n">
        <x:v>3985.7727</x:v>
      </x:c>
      <x:c r="G2022" s="12" t="n">
        <x:v>3976.8912</x:v>
      </x:c>
      <x:c r="H2022" s="12" t="n">
        <x:v>8.8815</x:v>
      </x:c>
      <x:c r="I2022" s="12" t="n">
        <x:v>0.2233</x:v>
      </x:c>
      <x:c r="J2022" s="12" t="n">
        <x:v>0.0022307870317534334</x:v>
      </x:c>
      <x:c r="K2022" s="12" t="n">
        <x:v>184599372</x:v>
      </x:c>
      <x:c r="L2022" s="12" t="n">
        <x:v>347577693.1</x:v>
      </x:c>
      <x:c r="M2022" s="12" t="str">
        <x:v>TuShare index_daily</x:v>
      </x:c>
    </x:row>
    <x:row r="2023" ht="18" customHeight="1">
      <x:c r="A2023" s="13" t="n">
        <x:v>45617</x:v>
      </x:c>
      <x:c r="B2023" s="12" t="str">
        <x:v>000300.SH</x:v>
      </x:c>
      <x:c r="C2023" s="12" t="n">
        <x:v>3979.4554</x:v>
      </x:c>
      <x:c r="D2023" s="12" t="n">
        <x:v>3999.5693</x:v>
      </x:c>
      <x:c r="E2023" s="12" t="n">
        <x:v>3966.0658</x:v>
      </x:c>
      <x:c r="F2023" s="12" t="n">
        <x:v>3989.2979</x:v>
      </x:c>
      <x:c r="G2023" s="12" t="n">
        <x:v>3985.7727</x:v>
      </x:c>
      <x:c r="H2023" s="12" t="n">
        <x:v>3.5252</x:v>
      </x:c>
      <x:c r="I2023" s="12" t="n">
        <x:v>0.0884</x:v>
      </x:c>
      <x:c r="J2023" s="12" t="n">
        <x:v>0.0008840549272616244</x:v>
      </x:c>
      <x:c r="K2023" s="12" t="n">
        <x:v>166125927</x:v>
      </x:c>
      <x:c r="L2023" s="12" t="n">
        <x:v>324235010.779</x:v>
      </x:c>
      <x:c r="M2023" s="12" t="str">
        <x:v>TuShare index_daily</x:v>
      </x:c>
    </x:row>
    <x:row r="2024" ht="18" customHeight="1">
      <x:c r="A2024" s="13" t="n">
        <x:v>45618</x:v>
      </x:c>
      <x:c r="B2024" s="12" t="str">
        <x:v>000300.SH</x:v>
      </x:c>
      <x:c r="C2024" s="12" t="n">
        <x:v>3984.2435</x:v>
      </x:c>
      <x:c r="D2024" s="12" t="n">
        <x:v>3990.2647</x:v>
      </x:c>
      <x:c r="E2024" s="12" t="n">
        <x:v>3865.6989</x:v>
      </x:c>
      <x:c r="F2024" s="12" t="n">
        <x:v>3865.6989</x:v>
      </x:c>
      <x:c r="G2024" s="12" t="n">
        <x:v>3989.2979</x:v>
      </x:c>
      <x:c r="H2024" s="12" t="n">
        <x:v>-123.599</x:v>
      </x:c>
      <x:c r="I2024" s="12" t="n">
        <x:v>-3.0983</x:v>
      </x:c>
      <x:c r="J2024" s="12" t="n">
        <x:v>-0.031472756870787426</x:v>
      </x:c>
      <x:c r="K2024" s="12" t="n">
        <x:v>216285809</x:v>
      </x:c>
      <x:c r="L2024" s="12" t="n">
        <x:v>397566831.848</x:v>
      </x:c>
      <x:c r="M2024" s="12" t="str">
        <x:v>TuShare index_daily</x:v>
      </x:c>
    </x:row>
    <x:row r="2025" ht="18" customHeight="1">
      <x:c r="A2025" s="13" t="n">
        <x:v>45621</x:v>
      </x:c>
      <x:c r="B2025" s="12" t="str">
        <x:v>000300.SH</x:v>
      </x:c>
      <x:c r="C2025" s="12" t="n">
        <x:v>3875.6126</x:v>
      </x:c>
      <x:c r="D2025" s="12" t="n">
        <x:v>3889.7069</x:v>
      </x:c>
      <x:c r="E2025" s="12" t="n">
        <x:v>3812.3179</x:v>
      </x:c>
      <x:c r="F2025" s="12" t="n">
        <x:v>3848.0909</x:v>
      </x:c>
      <x:c r="G2025" s="12" t="n">
        <x:v>3865.6989</x:v>
      </x:c>
      <x:c r="H2025" s="12" t="n">
        <x:v>-17.608</x:v>
      </x:c>
      <x:c r="I2025" s="12" t="n">
        <x:v>-0.4555</x:v>
      </x:c>
      <x:c r="J2025" s="12" t="n">
        <x:v>-0.004565338449490279</x:v>
      </x:c>
      <x:c r="K2025" s="12" t="n">
        <x:v>190702953</x:v>
      </x:c>
      <x:c r="L2025" s="12" t="n">
        <x:v>349006773.18</x:v>
      </x:c>
      <x:c r="M2025" s="12" t="str">
        <x:v>TuShare index_daily</x:v>
      </x:c>
    </x:row>
    <x:row r="2026" ht="18" customHeight="1">
      <x:c r="A2026" s="13" t="n">
        <x:v>45622</x:v>
      </x:c>
      <x:c r="B2026" s="12" t="str">
        <x:v>000300.SH</x:v>
      </x:c>
      <x:c r="C2026" s="12" t="n">
        <x:v>3836.259</x:v>
      </x:c>
      <x:c r="D2026" s="12" t="n">
        <x:v>3875.229</x:v>
      </x:c>
      <x:c r="E2026" s="12" t="n">
        <x:v>3833.2842</x:v>
      </x:c>
      <x:c r="F2026" s="12" t="n">
        <x:v>3840.1847</x:v>
      </x:c>
      <x:c r="G2026" s="12" t="n">
        <x:v>3848.0909</x:v>
      </x:c>
      <x:c r="H2026" s="12" t="n">
        <x:v>-7.9062</x:v>
      </x:c>
      <x:c r="I2026" s="12" t="n">
        <x:v>-0.2055</x:v>
      </x:c>
      <x:c r="J2026" s="12" t="n">
        <x:v>-0.002056690784321142</x:v>
      </x:c>
      <x:c r="K2026" s="12" t="n">
        <x:v>149892441</x:v>
      </x:c>
      <x:c r="L2026" s="12" t="n">
        <x:v>264403254.8</x:v>
      </x:c>
      <x:c r="M2026" s="12" t="str">
        <x:v>TuShare index_daily</x:v>
      </x:c>
    </x:row>
    <x:row r="2027" ht="18" customHeight="1">
      <x:c r="A2027" s="13" t="n">
        <x:v>45623</x:v>
      </x:c>
      <x:c r="B2027" s="12" t="str">
        <x:v>000300.SH</x:v>
      </x:c>
      <x:c r="C2027" s="12" t="n">
        <x:v>3829.3442</x:v>
      </x:c>
      <x:c r="D2027" s="12" t="n">
        <x:v>3907.164</x:v>
      </x:c>
      <x:c r="E2027" s="12" t="n">
        <x:v>3817.9125</x:v>
      </x:c>
      <x:c r="F2027" s="12" t="n">
        <x:v>3907.0447</x:v>
      </x:c>
      <x:c r="G2027" s="12" t="n">
        <x:v>3840.1847</x:v>
      </x:c>
      <x:c r="H2027" s="12" t="n">
        <x:v>66.86</x:v>
      </x:c>
      <x:c r="I2027" s="12" t="n">
        <x:v>1.7411</x:v>
      </x:c>
      <x:c r="J2027" s="12" t="n">
        <x:v>0.017260792609562207</x:v>
      </x:c>
      <x:c r="K2027" s="12" t="n">
        <x:v>174136096</x:v>
      </x:c>
      <x:c r="L2027" s="12" t="n">
        <x:v>320632355.477</x:v>
      </x:c>
      <x:c r="M2027" s="12" t="str">
        <x:v>TuShare index_daily</x:v>
      </x:c>
    </x:row>
    <x:row r="2028" ht="18" customHeight="1">
      <x:c r="A2028" s="13" t="n">
        <x:v>45624</x:v>
      </x:c>
      <x:c r="B2028" s="12" t="str">
        <x:v>000300.SH</x:v>
      </x:c>
      <x:c r="C2028" s="12" t="n">
        <x:v>3904.2525</x:v>
      </x:c>
      <x:c r="D2028" s="12" t="n">
        <x:v>3908.3918</x:v>
      </x:c>
      <x:c r="E2028" s="12" t="n">
        <x:v>3866.0136</x:v>
      </x:c>
      <x:c r="F2028" s="12" t="n">
        <x:v>3872.5505</x:v>
      </x:c>
      <x:c r="G2028" s="12" t="n">
        <x:v>3907.0447</x:v>
      </x:c>
      <x:c r="H2028" s="12" t="n">
        <x:v>-34.4942</x:v>
      </x:c>
      <x:c r="I2028" s="12" t="n">
        <x:v>-0.8829</x:v>
      </x:c>
      <x:c r="J2028" s="12" t="n">
        <x:v>-0.008867923115554377</x:v>
      </x:c>
      <x:c r="K2028" s="12" t="n">
        <x:v>150117291</x:v>
      </x:c>
      <x:c r="L2028" s="12" t="n">
        <x:v>286432871.224</x:v>
      </x:c>
      <x:c r="M2028" s="12" t="str">
        <x:v>TuShare index_daily</x:v>
      </x:c>
    </x:row>
    <x:row r="2029" ht="18" customHeight="1">
      <x:c r="A2029" s="13" t="n">
        <x:v>45625</x:v>
      </x:c>
      <x:c r="B2029" s="12" t="str">
        <x:v>000300.SH</x:v>
      </x:c>
      <x:c r="C2029" s="12" t="n">
        <x:v>3869.8903</x:v>
      </x:c>
      <x:c r="D2029" s="12" t="n">
        <x:v>3962.7002</x:v>
      </x:c>
      <x:c r="E2029" s="12" t="n">
        <x:v>3869.8903</x:v>
      </x:c>
      <x:c r="F2029" s="12" t="n">
        <x:v>3916.5832</x:v>
      </x:c>
      <x:c r="G2029" s="12" t="n">
        <x:v>3872.5505</x:v>
      </x:c>
      <x:c r="H2029" s="12" t="n">
        <x:v>44.0327</x:v>
      </x:c>
      <x:c r="I2029" s="12" t="n">
        <x:v>1.137</x:v>
      </x:c>
      <x:c r="J2029" s="12" t="n">
        <x:v>0.01130630716142679</x:v>
      </x:c>
      <x:c r="K2029" s="12" t="n">
        <x:v>187656713</x:v>
      </x:c>
      <x:c r="L2029" s="12" t="n">
        <x:v>375262017.919</x:v>
      </x:c>
      <x:c r="M2029" s="12" t="str">
        <x:v>TuShare index_daily</x:v>
      </x:c>
    </x:row>
    <x:row r="2030" ht="18" customHeight="1">
      <x:c r="A2030" s="13" t="n">
        <x:v>45628</x:v>
      </x:c>
      <x:c r="B2030" s="12" t="str">
        <x:v>000300.SH</x:v>
      </x:c>
      <x:c r="C2030" s="12" t="n">
        <x:v>3909.7029</x:v>
      </x:c>
      <x:c r="D2030" s="12" t="n">
        <x:v>3955.1252</x:v>
      </x:c>
      <x:c r="E2030" s="12" t="n">
        <x:v>3902.1697</x:v>
      </x:c>
      <x:c r="F2030" s="12" t="n">
        <x:v>3947.632</x:v>
      </x:c>
      <x:c r="G2030" s="12" t="n">
        <x:v>3916.5832</x:v>
      </x:c>
      <x:c r="H2030" s="12" t="n">
        <x:v>31.0488</x:v>
      </x:c>
      <x:c r="I2030" s="12" t="n">
        <x:v>0.7928</x:v>
      </x:c>
      <x:c r="J2030" s="12" t="n">
        <x:v>0.007896264417277947</x:v>
      </x:c>
      <x:c r="K2030" s="12" t="n">
        <x:v>197289784</x:v>
      </x:c>
      <x:c r="L2030" s="12" t="n">
        <x:v>368591235.991</x:v>
      </x:c>
      <x:c r="M2030" s="12" t="str">
        <x:v>TuShare index_daily</x:v>
      </x:c>
    </x:row>
    <x:row r="2031" ht="18" customHeight="1">
      <x:c r="A2031" s="13" t="n">
        <x:v>45629</x:v>
      </x:c>
      <x:c r="B2031" s="12" t="str">
        <x:v>000300.SH</x:v>
      </x:c>
      <x:c r="C2031" s="12" t="n">
        <x:v>3946.7034</x:v>
      </x:c>
      <x:c r="D2031" s="12" t="n">
        <x:v>3963.9474</x:v>
      </x:c>
      <x:c r="E2031" s="12" t="n">
        <x:v>3922.8425</x:v>
      </x:c>
      <x:c r="F2031" s="12" t="n">
        <x:v>3951.8912</x:v>
      </x:c>
      <x:c r="G2031" s="12" t="n">
        <x:v>3947.632</x:v>
      </x:c>
      <x:c r="H2031" s="12" t="n">
        <x:v>4.2592</x:v>
      </x:c>
      <x:c r="I2031" s="12" t="n">
        <x:v>0.1079</x:v>
      </x:c>
      <x:c r="J2031" s="12" t="n">
        <x:v>0.0010783436683179219</x:v>
      </x:c>
      <x:c r="K2031" s="12" t="n">
        <x:v>182496867</x:v>
      </x:c>
      <x:c r="L2031" s="12" t="n">
        <x:v>327295048.701</x:v>
      </x:c>
      <x:c r="M2031" s="12" t="str">
        <x:v>TuShare index_daily</x:v>
      </x:c>
    </x:row>
    <x:row r="2032" ht="18" customHeight="1">
      <x:c r="A2032" s="13" t="n">
        <x:v>45630</x:v>
      </x:c>
      <x:c r="B2032" s="12" t="str">
        <x:v>000300.SH</x:v>
      </x:c>
      <x:c r="C2032" s="12" t="n">
        <x:v>3948.13</x:v>
      </x:c>
      <x:c r="D2032" s="12" t="n">
        <x:v>3957.365</x:v>
      </x:c>
      <x:c r="E2032" s="12" t="n">
        <x:v>3917.7467</x:v>
      </x:c>
      <x:c r="F2032" s="12" t="n">
        <x:v>3930.5568</x:v>
      </x:c>
      <x:c r="G2032" s="12" t="n">
        <x:v>3951.8912</x:v>
      </x:c>
      <x:c r="H2032" s="12" t="n">
        <x:v>-21.3344</x:v>
      </x:c>
      <x:c r="I2032" s="12" t="n">
        <x:v>-0.5399</x:v>
      </x:c>
      <x:c r="J2032" s="12" t="n">
        <x:v>-0.005413153907375518</x:v>
      </x:c>
      <x:c r="K2032" s="12" t="n">
        <x:v>174626318</x:v>
      </x:c>
      <x:c r="L2032" s="12" t="n">
        <x:v>312040419.082</x:v>
      </x:c>
      <x:c r="M2032" s="12" t="str">
        <x:v>TuShare index_daily</x:v>
      </x:c>
    </x:row>
    <x:row r="2033" ht="18" customHeight="1">
      <x:c r="A2033" s="13" t="n">
        <x:v>45631</x:v>
      </x:c>
      <x:c r="B2033" s="12" t="str">
        <x:v>000300.SH</x:v>
      </x:c>
      <x:c r="C2033" s="12" t="n">
        <x:v>3916.5638</x:v>
      </x:c>
      <x:c r="D2033" s="12" t="n">
        <x:v>3936.3358</x:v>
      </x:c>
      <x:c r="E2033" s="12" t="n">
        <x:v>3910.0834</x:v>
      </x:c>
      <x:c r="F2033" s="12" t="n">
        <x:v>3921.5881</x:v>
      </x:c>
      <x:c r="G2033" s="12" t="n">
        <x:v>3930.5568</x:v>
      </x:c>
      <x:c r="H2033" s="12" t="n">
        <x:v>-8.9687</x:v>
      </x:c>
      <x:c r="I2033" s="12" t="n">
        <x:v>-0.2282</x:v>
      </x:c>
      <x:c r="J2033" s="12" t="n">
        <x:v>-0.002284395923523181</x:v>
      </x:c>
      <x:c r="K2033" s="12" t="n">
        <x:v>138534038</x:v>
      </x:c>
      <x:c r="L2033" s="12" t="n">
        <x:v>257716297.997</x:v>
      </x:c>
      <x:c r="M2033" s="12" t="str">
        <x:v>TuShare index_daily</x:v>
      </x:c>
    </x:row>
    <x:row r="2034" ht="18" customHeight="1">
      <x:c r="A2034" s="13" t="n">
        <x:v>45632</x:v>
      </x:c>
      <x:c r="B2034" s="12" t="str">
        <x:v>000300.SH</x:v>
      </x:c>
      <x:c r="C2034" s="12" t="n">
        <x:v>3923.8954</x:v>
      </x:c>
      <x:c r="D2034" s="12" t="n">
        <x:v>3995.1168</x:v>
      </x:c>
      <x:c r="E2034" s="12" t="n">
        <x:v>3923.8954</x:v>
      </x:c>
      <x:c r="F2034" s="12" t="n">
        <x:v>3973.1405</x:v>
      </x:c>
      <x:c r="G2034" s="12" t="n">
        <x:v>3921.5881</x:v>
      </x:c>
      <x:c r="H2034" s="12" t="n">
        <x:v>51.5524</x:v>
      </x:c>
      <x:c r="I2034" s="12" t="n">
        <x:v>1.3146</x:v>
      </x:c>
      <x:c r="J2034" s="12" t="n">
        <x:v>0.01306014060080671</x:v>
      </x:c>
      <x:c r="K2034" s="12" t="n">
        <x:v>192057907</x:v>
      </x:c>
      <x:c r="L2034" s="12" t="n">
        <x:v>351751735.425</x:v>
      </x:c>
      <x:c r="M2034" s="12" t="str">
        <x:v>TuShare index_daily</x:v>
      </x:c>
    </x:row>
    <x:row r="2035" ht="18" customHeight="1">
      <x:c r="A2035" s="13" t="n">
        <x:v>45635</x:v>
      </x:c>
      <x:c r="B2035" s="12" t="str">
        <x:v>000300.SH</x:v>
      </x:c>
      <x:c r="C2035" s="12" t="n">
        <x:v>3970.6628</x:v>
      </x:c>
      <x:c r="D2035" s="12" t="n">
        <x:v>3995.5116</x:v>
      </x:c>
      <x:c r="E2035" s="12" t="n">
        <x:v>3948.4206</x:v>
      </x:c>
      <x:c r="F2035" s="12" t="n">
        <x:v>3966.5708</x:v>
      </x:c>
      <x:c r="G2035" s="12" t="n">
        <x:v>3973.1405</x:v>
      </x:c>
      <x:c r="H2035" s="12" t="n">
        <x:v>-6.5697</x:v>
      </x:c>
      <x:c r="I2035" s="12" t="n">
        <x:v>-0.1654</x:v>
      </x:c>
      <x:c r="J2035" s="12" t="n">
        <x:v>-0.001654896822094964</x:v>
      </x:c>
      <x:c r="K2035" s="12" t="n">
        <x:v>175959958</x:v>
      </x:c>
      <x:c r="L2035" s="12" t="n">
        <x:v>308227216.703</x:v>
      </x:c>
      <x:c r="M2035" s="12" t="str">
        <x:v>TuShare index_daily</x:v>
      </x:c>
    </x:row>
    <x:row r="2036" ht="18" customHeight="1">
      <x:c r="A2036" s="13" t="n">
        <x:v>45636</x:v>
      </x:c>
      <x:c r="B2036" s="12" t="str">
        <x:v>000300.SH</x:v>
      </x:c>
      <x:c r="C2036" s="12" t="n">
        <x:v>4094.05</x:v>
      </x:c>
      <x:c r="D2036" s="12" t="n">
        <x:v>4098.3804</x:v>
      </x:c>
      <x:c r="E2036" s="12" t="n">
        <x:v>3988.9676</x:v>
      </x:c>
      <x:c r="F2036" s="12" t="n">
        <x:v>3995.6369</x:v>
      </x:c>
      <x:c r="G2036" s="12" t="n">
        <x:v>3966.5708</x:v>
      </x:c>
      <x:c r="H2036" s="12" t="n">
        <x:v>29.0661</x:v>
      </x:c>
      <x:c r="I2036" s="12" t="n">
        <x:v>0.7328</x:v>
      </x:c>
      <x:c r="J2036" s="12" t="n">
        <x:v>0.007301047701793668</x:v>
      </x:c>
      <x:c r="K2036" s="12" t="n">
        <x:v>253463795</x:v>
      </x:c>
      <x:c r="L2036" s="12" t="n">
        <x:v>487278042.807</x:v>
      </x:c>
      <x:c r="M2036" s="12" t="str">
        <x:v>TuShare index_daily</x:v>
      </x:c>
    </x:row>
    <x:row r="2037" ht="18" customHeight="1">
      <x:c r="A2037" s="13" t="n">
        <x:v>45637</x:v>
      </x:c>
      <x:c r="B2037" s="12" t="str">
        <x:v>000300.SH</x:v>
      </x:c>
      <x:c r="C2037" s="12" t="n">
        <x:v>3988.0179</x:v>
      </x:c>
      <x:c r="D2037" s="12" t="n">
        <x:v>4005.3253</x:v>
      </x:c>
      <x:c r="E2037" s="12" t="n">
        <x:v>3977.3522</x:v>
      </x:c>
      <x:c r="F2037" s="12" t="n">
        <x:v>3988.8308</x:v>
      </x:c>
      <x:c r="G2037" s="12" t="n">
        <x:v>3995.6369</x:v>
      </x:c>
      <x:c r="H2037" s="12" t="n">
        <x:v>-6.8061</x:v>
      </x:c>
      <x:c r="I2037" s="12" t="n">
        <x:v>-0.1703</x:v>
      </x:c>
      <x:c r="J2037" s="12" t="n">
        <x:v>-0.0017048354140059756</x:v>
      </x:c>
      <x:c r="K2037" s="12" t="n">
        <x:v>177252846</x:v>
      </x:c>
      <x:c r="L2037" s="12" t="n">
        <x:v>310713317.895</x:v>
      </x:c>
      <x:c r="M2037" s="12" t="str">
        <x:v>TuShare index_daily</x:v>
      </x:c>
    </x:row>
    <x:row r="2038" ht="18" customHeight="1">
      <x:c r="A2038" s="13" t="n">
        <x:v>45638</x:v>
      </x:c>
      <x:c r="B2038" s="12" t="str">
        <x:v>000300.SH</x:v>
      </x:c>
      <x:c r="C2038" s="12" t="n">
        <x:v>3987.1525</x:v>
      </x:c>
      <x:c r="D2038" s="12" t="n">
        <x:v>4031.7441</x:v>
      </x:c>
      <x:c r="E2038" s="12" t="n">
        <x:v>3981.3485</x:v>
      </x:c>
      <x:c r="F2038" s="12" t="n">
        <x:v>4028.5048</x:v>
      </x:c>
      <x:c r="G2038" s="12" t="n">
        <x:v>3988.8308</x:v>
      </x:c>
      <x:c r="H2038" s="12" t="n">
        <x:v>39.674</x:v>
      </x:c>
      <x:c r="I2038" s="12" t="n">
        <x:v>0.9946</x:v>
      </x:c>
      <x:c r="J2038" s="12" t="n">
        <x:v>0.00989713436700924</x:v>
      </x:c>
      <x:c r="K2038" s="12" t="n">
        <x:v>181621777</x:v>
      </x:c>
      <x:c r="L2038" s="12" t="n">
        <x:v>333667518.401</x:v>
      </x:c>
      <x:c r="M2038" s="12" t="str">
        <x:v>TuShare index_daily</x:v>
      </x:c>
    </x:row>
    <x:row r="2039" ht="18" customHeight="1">
      <x:c r="A2039" s="13" t="n">
        <x:v>45639</x:v>
      </x:c>
      <x:c r="B2039" s="12" t="str">
        <x:v>000300.SH</x:v>
      </x:c>
      <x:c r="C2039" s="12" t="n">
        <x:v>4000.9854</x:v>
      </x:c>
      <x:c r="D2039" s="12" t="n">
        <x:v>4000.9854</x:v>
      </x:c>
      <x:c r="E2039" s="12" t="n">
        <x:v>3931.7392</x:v>
      </x:c>
      <x:c r="F2039" s="12" t="n">
        <x:v>3933.1808</x:v>
      </x:c>
      <x:c r="G2039" s="12" t="n">
        <x:v>4028.5048</x:v>
      </x:c>
      <x:c r="H2039" s="12" t="n">
        <x:v>-95.324</x:v>
      </x:c>
      <x:c r="I2039" s="12" t="n">
        <x:v>-2.3662</x:v>
      </x:c>
      <x:c r="J2039" s="12" t="n">
        <x:v>-0.023946827354349536</x:v>
      </x:c>
      <x:c r="K2039" s="12" t="n">
        <x:v>230353079</x:v>
      </x:c>
      <x:c r="L2039" s="12" t="n">
        <x:v>421478609.274</x:v>
      </x:c>
      <x:c r="M2039" s="12" t="str">
        <x:v>TuShare index_daily</x:v>
      </x:c>
    </x:row>
    <x:row r="2040" ht="18" customHeight="1">
      <x:c r="A2040" s="13" t="n">
        <x:v>45642</x:v>
      </x:c>
      <x:c r="B2040" s="12" t="str">
        <x:v>000300.SH</x:v>
      </x:c>
      <x:c r="C2040" s="12" t="n">
        <x:v>3930.7807</x:v>
      </x:c>
      <x:c r="D2040" s="12" t="n">
        <x:v>3938.7595</x:v>
      </x:c>
      <x:c r="E2040" s="12" t="n">
        <x:v>3901.6465</x:v>
      </x:c>
      <x:c r="F2040" s="12" t="n">
        <x:v>3911.8416</x:v>
      </x:c>
      <x:c r="G2040" s="12" t="n">
        <x:v>3933.1808</x:v>
      </x:c>
      <x:c r="H2040" s="12" t="n">
        <x:v>-21.3392</x:v>
      </x:c>
      <x:c r="I2040" s="12" t="n">
        <x:v>-0.5425</x:v>
      </x:c>
      <x:c r="J2040" s="12" t="n">
        <x:v>-0.005440201835291532</x:v>
      </x:c>
      <x:c r="K2040" s="12" t="n">
        <x:v>178511251</x:v>
      </x:c>
      <x:c r="L2040" s="12" t="n">
        <x:v>327619081.581</x:v>
      </x:c>
      <x:c r="M2040" s="12" t="str">
        <x:v>TuShare index_daily</x:v>
      </x:c>
    </x:row>
    <x:row r="2041" ht="18" customHeight="1">
      <x:c r="A2041" s="13" t="n">
        <x:v>45643</x:v>
      </x:c>
      <x:c r="B2041" s="12" t="str">
        <x:v>000300.SH</x:v>
      </x:c>
      <x:c r="C2041" s="12" t="n">
        <x:v>3908.1263</x:v>
      </x:c>
      <x:c r="D2041" s="12" t="n">
        <x:v>3955.945</x:v>
      </x:c>
      <x:c r="E2041" s="12" t="n">
        <x:v>3908.1263</x:v>
      </x:c>
      <x:c r="F2041" s="12" t="n">
        <x:v>3922.0334</x:v>
      </x:c>
      <x:c r="G2041" s="12" t="n">
        <x:v>3911.8416</x:v>
      </x:c>
      <x:c r="H2041" s="12" t="n">
        <x:v>10.1918</x:v>
      </x:c>
      <x:c r="I2041" s="12" t="n">
        <x:v>0.2605</x:v>
      </x:c>
      <x:c r="J2041" s="12" t="n">
        <x:v>0.002601983245875659</x:v>
      </x:c>
      <x:c r="K2041" s="12" t="n">
        <x:v>160939090</x:v>
      </x:c>
      <x:c r="L2041" s="12" t="n">
        <x:v>306037370.847</x:v>
      </x:c>
      <x:c r="M2041" s="12" t="str">
        <x:v>TuShare index_daily</x:v>
      </x:c>
    </x:row>
    <x:row r="2042" ht="18" customHeight="1">
      <x:c r="A2042" s="13" t="n">
        <x:v>45644</x:v>
      </x:c>
      <x:c r="B2042" s="12" t="str">
        <x:v>000300.SH</x:v>
      </x:c>
      <x:c r="C2042" s="12" t="n">
        <x:v>3934.5425</x:v>
      </x:c>
      <x:c r="D2042" s="12" t="n">
        <x:v>3956.1441</x:v>
      </x:c>
      <x:c r="E2042" s="12" t="n">
        <x:v>3933.9693</x:v>
      </x:c>
      <x:c r="F2042" s="12" t="n">
        <x:v>3941.89</x:v>
      </x:c>
      <x:c r="G2042" s="12" t="n">
        <x:v>3922.0334</x:v>
      </x:c>
      <x:c r="H2042" s="12" t="n">
        <x:v>19.8566</x:v>
      </x:c>
      <x:c r="I2042" s="12" t="n">
        <x:v>0.5063</x:v>
      </x:c>
      <x:c r="J2042" s="12" t="n">
        <x:v>0.00505005992311564</x:v>
      </x:c>
      <x:c r="K2042" s="12" t="n">
        <x:v>157738321</x:v>
      </x:c>
      <x:c r="L2042" s="12" t="n">
        <x:v>276825381.224</x:v>
      </x:c>
      <x:c r="M2042" s="12" t="str">
        <x:v>TuShare index_daily</x:v>
      </x:c>
    </x:row>
    <x:row r="2043" ht="18" customHeight="1">
      <x:c r="A2043" s="13" t="n">
        <x:v>45645</x:v>
      </x:c>
      <x:c r="B2043" s="12" t="str">
        <x:v>000300.SH</x:v>
      </x:c>
      <x:c r="C2043" s="12" t="n">
        <x:v>3911.8901</x:v>
      </x:c>
      <x:c r="D2043" s="12" t="n">
        <x:v>3954.3491</x:v>
      </x:c>
      <x:c r="E2043" s="12" t="n">
        <x:v>3899.7479</x:v>
      </x:c>
      <x:c r="F2043" s="12" t="n">
        <x:v>3945.4635</x:v>
      </x:c>
      <x:c r="G2043" s="12" t="n">
        <x:v>3941.89</x:v>
      </x:c>
      <x:c r="H2043" s="12" t="n">
        <x:v>3.5735</x:v>
      </x:c>
      <x:c r="I2043" s="12" t="n">
        <x:v>0.0907</x:v>
      </x:c>
      <x:c r="J2043" s="12" t="n">
        <x:v>0.0009061341664248782</x:v>
      </x:c>
      <x:c r="K2043" s="12" t="n">
        <x:v>161081040</x:v>
      </x:c>
      <x:c r="L2043" s="12" t="n">
        <x:v>321771606.933</x:v>
      </x:c>
      <x:c r="M2043" s="12" t="str">
        <x:v>TuShare index_daily</x:v>
      </x:c>
    </x:row>
    <x:row r="2044" ht="18" customHeight="1">
      <x:c r="A2044" s="13" t="n">
        <x:v>45646</x:v>
      </x:c>
      <x:c r="B2044" s="12" t="str">
        <x:v>000300.SH</x:v>
      </x:c>
      <x:c r="C2044" s="12" t="n">
        <x:v>3937.4722</x:v>
      </x:c>
      <x:c r="D2044" s="12" t="n">
        <x:v>3958.6336</x:v>
      </x:c>
      <x:c r="E2044" s="12" t="n">
        <x:v>3923.2562</x:v>
      </x:c>
      <x:c r="F2044" s="12" t="n">
        <x:v>3927.7441</x:v>
      </x:c>
      <x:c r="G2044" s="12" t="n">
        <x:v>3945.4635</x:v>
      </x:c>
      <x:c r="H2044" s="12" t="n">
        <x:v>-17.7194</x:v>
      </x:c>
      <x:c r="I2044" s="12" t="n">
        <x:v>-0.4491</x:v>
      </x:c>
      <x:c r="J2044" s="12" t="n">
        <x:v>-0.0045011971784890865</x:v>
      </x:c>
      <x:c r="K2044" s="12" t="n">
        <x:v>154986496</x:v>
      </x:c>
      <x:c r="L2044" s="12" t="n">
        <x:v>332143276.398</x:v>
      </x:c>
      <x:c r="M2044" s="12" t="str">
        <x:v>TuShare index_daily</x:v>
      </x:c>
    </x:row>
    <x:row r="2045" ht="18" customHeight="1">
      <x:c r="A2045" s="13" t="n">
        <x:v>45649</x:v>
      </x:c>
      <x:c r="B2045" s="12" t="str">
        <x:v>000300.SH</x:v>
      </x:c>
      <x:c r="C2045" s="12" t="n">
        <x:v>3928.1493</x:v>
      </x:c>
      <x:c r="D2045" s="12" t="n">
        <x:v>3965.8502</x:v>
      </x:c>
      <x:c r="E2045" s="12" t="n">
        <x:v>3928.1493</x:v>
      </x:c>
      <x:c r="F2045" s="12" t="n">
        <x:v>3933.5718</x:v>
      </x:c>
      <x:c r="G2045" s="12" t="n">
        <x:v>3927.7441</x:v>
      </x:c>
      <x:c r="H2045" s="12" t="n">
        <x:v>5.8277</x:v>
      </x:c>
      <x:c r="I2045" s="12" t="n">
        <x:v>0.1484</x:v>
      </x:c>
      <x:c r="J2045" s="12" t="n">
        <x:v>0.001482627372226493</x:v>
      </x:c>
      <x:c r="K2045" s="12" t="n">
        <x:v>190067362</x:v>
      </x:c>
      <x:c r="L2045" s="12" t="n">
        <x:v>354063425.209</x:v>
      </x:c>
      <x:c r="M2045" s="12" t="str">
        <x:v>TuShare index_daily</x:v>
      </x:c>
    </x:row>
    <x:row r="2046" ht="18" customHeight="1">
      <x:c r="A2046" s="13" t="n">
        <x:v>45650</x:v>
      </x:c>
      <x:c r="B2046" s="12" t="str">
        <x:v>000300.SH</x:v>
      </x:c>
      <x:c r="C2046" s="12" t="n">
        <x:v>3934.9422</x:v>
      </x:c>
      <x:c r="D2046" s="12" t="n">
        <x:v>3985.8588</x:v>
      </x:c>
      <x:c r="E2046" s="12" t="n">
        <x:v>3934.7338</x:v>
      </x:c>
      <x:c r="F2046" s="12" t="n">
        <x:v>3983.6882</x:v>
      </x:c>
      <x:c r="G2046" s="12" t="n">
        <x:v>3933.5718</x:v>
      </x:c>
      <x:c r="H2046" s="12" t="n">
        <x:v>50.1164</x:v>
      </x:c>
      <x:c r="I2046" s="12" t="n">
        <x:v>1.2741</x:v>
      </x:c>
      <x:c r="J2046" s="12" t="n">
        <x:v>0.012660205523026491</x:v>
      </x:c>
      <x:c r="K2046" s="12" t="n">
        <x:v>161494589</x:v>
      </x:c>
      <x:c r="L2046" s="12" t="n">
        <x:v>310384873.294</x:v>
      </x:c>
      <x:c r="M2046" s="12" t="str">
        <x:v>TuShare index_daily</x:v>
      </x:c>
    </x:row>
    <x:row r="2047" ht="18" customHeight="1">
      <x:c r="A2047" s="13" t="n">
        <x:v>45651</x:v>
      </x:c>
      <x:c r="B2047" s="12" t="str">
        <x:v>000300.SH</x:v>
      </x:c>
      <x:c r="C2047" s="12" t="n">
        <x:v>3987.9557</x:v>
      </x:c>
      <x:c r="D2047" s="12" t="n">
        <x:v>4007.7626</x:v>
      </x:c>
      <x:c r="E2047" s="12" t="n">
        <x:v>3969.4766</x:v>
      </x:c>
      <x:c r="F2047" s="12" t="n">
        <x:v>3985.6291</x:v>
      </x:c>
      <x:c r="G2047" s="12" t="n">
        <x:v>3983.6882</x:v>
      </x:c>
      <x:c r="H2047" s="12" t="n">
        <x:v>1.9409</x:v>
      </x:c>
      <x:c r="I2047" s="12" t="n">
        <x:v>0.0487</x:v>
      </x:c>
      <x:c r="J2047" s="12" t="n">
        <x:v>0.0004870931763189178</x:v>
      </x:c>
      <x:c r="K2047" s="12" t="n">
        <x:v>159390747</x:v>
      </x:c>
      <x:c r="L2047" s="12" t="n">
        <x:v>299295145.793</x:v>
      </x:c>
      <x:c r="M2047" s="12" t="str">
        <x:v>TuShare index_daily</x:v>
      </x:c>
    </x:row>
    <x:row r="2048" ht="18" customHeight="1">
      <x:c r="A2048" s="13" t="n">
        <x:v>45652</x:v>
      </x:c>
      <x:c r="B2048" s="12" t="str">
        <x:v>000300.SH</x:v>
      </x:c>
      <x:c r="C2048" s="12" t="n">
        <x:v>3981.7317</x:v>
      </x:c>
      <x:c r="D2048" s="12" t="n">
        <x:v>3991.5331</x:v>
      </x:c>
      <x:c r="E2048" s="12" t="n">
        <x:v>3965.5461</x:v>
      </x:c>
      <x:c r="F2048" s="12" t="n">
        <x:v>3987.4801</x:v>
      </x:c>
      <x:c r="G2048" s="12" t="n">
        <x:v>3985.6291</x:v>
      </x:c>
      <x:c r="H2048" s="12" t="n">
        <x:v>1.851</x:v>
      </x:c>
      <x:c r="I2048" s="12" t="n">
        <x:v>0.0464</x:v>
      </x:c>
      <x:c r="J2048" s="12" t="n">
        <x:v>0.00046431071914930863</x:v>
      </x:c>
      <x:c r="K2048" s="12" t="n">
        <x:v>143425286</x:v>
      </x:c>
      <x:c r="L2048" s="12" t="n">
        <x:v>305769929.403</x:v>
      </x:c>
      <x:c r="M2048" s="12" t="str">
        <x:v>TuShare index_daily</x:v>
      </x:c>
    </x:row>
    <x:row r="2049" ht="18" customHeight="1">
      <x:c r="A2049" s="13" t="n">
        <x:v>45653</x:v>
      </x:c>
      <x:c r="B2049" s="12" t="str">
        <x:v>000300.SH</x:v>
      </x:c>
      <x:c r="C2049" s="12" t="n">
        <x:v>3987.0189</x:v>
      </x:c>
      <x:c r="D2049" s="12" t="n">
        <x:v>4007.1314</x:v>
      </x:c>
      <x:c r="E2049" s="12" t="n">
        <x:v>3970.9365</x:v>
      </x:c>
      <x:c r="F2049" s="12" t="n">
        <x:v>3981.0307</x:v>
      </x:c>
      <x:c r="G2049" s="12" t="n">
        <x:v>3987.4801</x:v>
      </x:c>
      <x:c r="H2049" s="12" t="n">
        <x:v>-6.4494</x:v>
      </x:c>
      <x:c r="I2049" s="12" t="n">
        <x:v>-0.1617</x:v>
      </x:c>
      <x:c r="J2049" s="12" t="n">
        <x:v>-0.0016187218842093583</x:v>
      </x:c>
      <x:c r="K2049" s="12" t="n">
        <x:v>169268666</x:v>
      </x:c>
      <x:c r="L2049" s="12" t="n">
        <x:v>345011075.199</x:v>
      </x:c>
      <x:c r="M2049" s="12" t="str">
        <x:v>TuShare index_daily</x:v>
      </x:c>
    </x:row>
    <x:row r="2050" ht="18" customHeight="1">
      <x:c r="A2050" s="13" t="n">
        <x:v>45656</x:v>
      </x:c>
      <x:c r="B2050" s="12" t="str">
        <x:v>000300.SH</x:v>
      </x:c>
      <x:c r="C2050" s="12" t="n">
        <x:v>3976.7004</x:v>
      </x:c>
      <x:c r="D2050" s="12" t="n">
        <x:v>4005.778</x:v>
      </x:c>
      <x:c r="E2050" s="12" t="n">
        <x:v>3976.7004</x:v>
      </x:c>
      <x:c r="F2050" s="12" t="n">
        <x:v>3999.0549</x:v>
      </x:c>
      <x:c r="G2050" s="12" t="n">
        <x:v>3981.0307</x:v>
      </x:c>
      <x:c r="H2050" s="12" t="n">
        <x:v>18.0242</x:v>
      </x:c>
      <x:c r="I2050" s="12" t="n">
        <x:v>0.4528</x:v>
      </x:c>
      <x:c r="J2050" s="12" t="n">
        <x:v>0.004517302583865979</x:v>
      </x:c>
      <x:c r="K2050" s="12" t="n">
        <x:v>164612485</x:v>
      </x:c>
      <x:c r="L2050" s="12" t="n">
        <x:v>322699390.192</x:v>
      </x:c>
      <x:c r="M2050" s="12" t="str">
        <x:v>TuShare index_daily</x:v>
      </x:c>
    </x:row>
    <x:row r="2051" ht="18" customHeight="1">
      <x:c r="A2051" s="13" t="n">
        <x:v>45657</x:v>
      </x:c>
      <x:c r="B2051" s="12" t="str">
        <x:v>000300.SH</x:v>
      </x:c>
      <x:c r="C2051" s="12" t="n">
        <x:v>3995.8705</x:v>
      </x:c>
      <x:c r="D2051" s="12" t="n">
        <x:v>4004.3462</x:v>
      </x:c>
      <x:c r="E2051" s="12" t="n">
        <x:v>3934.9109</x:v>
      </x:c>
      <x:c r="F2051" s="12" t="n">
        <x:v>3934.9109</x:v>
      </x:c>
      <x:c r="G2051" s="12" t="n">
        <x:v>3999.0549</x:v>
      </x:c>
      <x:c r="H2051" s="12" t="n">
        <x:v>-64.144</x:v>
      </x:c>
      <x:c r="I2051" s="12" t="n">
        <x:v>-1.604</x:v>
      </x:c>
      <x:c r="J2051" s="12" t="n">
        <x:v>-0.01616981953744762</x:v>
      </x:c>
      <x:c r="K2051" s="12" t="n">
        <x:v>183928397</x:v>
      </x:c>
      <x:c r="L2051" s="12" t="n">
        <x:v>347880439.53</x:v>
      </x:c>
      <x:c r="M2051" s="12" t="str">
        <x:v>TuShare index_daily</x:v>
      </x:c>
    </x:row>
    <x:row r="2052" ht="18" customHeight="1">
      <x:c r="A2052" s="13" t="n">
        <x:v>45659</x:v>
      </x:c>
      <x:c r="B2052" s="12" t="str">
        <x:v>000300.SH</x:v>
      </x:c>
      <x:c r="C2052" s="12" t="n">
        <x:v>3931.8155</x:v>
      </x:c>
      <x:c r="D2052" s="12" t="n">
        <x:v>3934.2034</x:v>
      </x:c>
      <x:c r="E2052" s="12" t="n">
        <x:v>3796.3389</x:v>
      </x:c>
      <x:c r="F2052" s="12" t="n">
        <x:v>3820.3952</x:v>
      </x:c>
      <x:c r="G2052" s="12" t="n">
        <x:v>3934.9109</x:v>
      </x:c>
      <x:c r="H2052" s="12" t="n">
        <x:v>-114.5157</x:v>
      </x:c>
      <x:c r="I2052" s="12" t="n">
        <x:v>-2.9102</x:v>
      </x:c>
      <x:c r="J2052" s="12" t="n">
        <x:v>-0.02953436590039252</x:v>
      </x:c>
      <x:c r="K2052" s="12" t="n">
        <x:v>217898724</x:v>
      </x:c>
      <x:c r="L2052" s="12" t="n">
        <x:v>388636586.639</x:v>
      </x:c>
      <x:c r="M2052" s="12" t="str">
        <x:v>TuShare index_daily</x:v>
      </x:c>
    </x:row>
    <x:row r="2053" ht="18" customHeight="1">
      <x:c r="A2053" s="13" t="n">
        <x:v>45660</x:v>
      </x:c>
      <x:c r="B2053" s="12" t="str">
        <x:v>000300.SH</x:v>
      </x:c>
      <x:c r="C2053" s="12" t="n">
        <x:v>3825.2426</x:v>
      </x:c>
      <x:c r="D2053" s="12" t="n">
        <x:v>3835.9353</x:v>
      </x:c>
      <x:c r="E2053" s="12" t="n">
        <x:v>3767.6653</x:v>
      </x:c>
      <x:c r="F2053" s="12" t="n">
        <x:v>3775.1648</x:v>
      </x:c>
      <x:c r="G2053" s="12" t="n">
        <x:v>3820.3952</x:v>
      </x:c>
      <x:c r="H2053" s="12" t="n">
        <x:v>-45.2304</x:v>
      </x:c>
      <x:c r="I2053" s="12" t="n">
        <x:v>-1.1839</x:v>
      </x:c>
      <x:c r="J2053" s="12" t="n">
        <x:v>-0.011909835387467288</x:v>
      </x:c>
      <x:c r="K2053" s="12" t="n">
        <x:v>175342676</x:v>
      </x:c>
      <x:c r="L2053" s="12" t="n">
        <x:v>304322755.436</x:v>
      </x:c>
      <x:c r="M2053" s="12" t="str">
        <x:v>TuShare index_daily</x:v>
      </x:c>
    </x:row>
    <x:row r="2054" ht="18" customHeight="1">
      <x:c r="A2054" s="13" t="n">
        <x:v>45663</x:v>
      </x:c>
      <x:c r="B2054" s="12" t="str">
        <x:v>000300.SH</x:v>
      </x:c>
      <x:c r="C2054" s="12" t="n">
        <x:v>3775.9902</x:v>
      </x:c>
      <x:c r="D2054" s="12" t="n">
        <x:v>3788.8489</x:v>
      </x:c>
      <x:c r="E2054" s="12" t="n">
        <x:v>3743.0727</x:v>
      </x:c>
      <x:c r="F2054" s="12" t="n">
        <x:v>3768.9697</x:v>
      </x:c>
      <x:c r="G2054" s="12" t="n">
        <x:v>3775.1648</x:v>
      </x:c>
      <x:c r="H2054" s="12" t="n">
        <x:v>-6.1951</x:v>
      </x:c>
      <x:c r="I2054" s="12" t="n">
        <x:v>-0.1641</x:v>
      </x:c>
      <x:c r="J2054" s="12" t="n">
        <x:v>-0.001642362392274843</x:v>
      </x:c>
      <x:c r="K2054" s="12" t="n">
        <x:v>150946670</x:v>
      </x:c>
      <x:c r="L2054" s="12" t="n">
        <x:v>262803541.116</x:v>
      </x:c>
      <x:c r="M2054" s="12" t="str">
        <x:v>TuShare index_daily</x:v>
      </x:c>
    </x:row>
    <x:row r="2055" ht="18" customHeight="1">
      <x:c r="A2055" s="13" t="n">
        <x:v>45664</x:v>
      </x:c>
      <x:c r="B2055" s="12" t="str">
        <x:v>000300.SH</x:v>
      </x:c>
      <x:c r="C2055" s="12" t="n">
        <x:v>3760.866</x:v>
      </x:c>
      <x:c r="D2055" s="12" t="n">
        <x:v>3797.602</x:v>
      </x:c>
      <x:c r="E2055" s="12" t="n">
        <x:v>3749.0581</x:v>
      </x:c>
      <x:c r="F2055" s="12" t="n">
        <x:v>3796.1055</x:v>
      </x:c>
      <x:c r="G2055" s="12" t="n">
        <x:v>3768.9697</x:v>
      </x:c>
      <x:c r="H2055" s="12" t="n">
        <x:v>27.1358</x:v>
      </x:c>
      <x:c r="I2055" s="12" t="n">
        <x:v>0.72</x:v>
      </x:c>
      <x:c r="J2055" s="12" t="n">
        <x:v>0.00717399778957275</x:v>
      </x:c>
      <x:c r="K2055" s="12" t="n">
        <x:v>146455779</x:v>
      </x:c>
      <x:c r="L2055" s="12" t="n">
        <x:v>266855795.347</x:v>
      </x:c>
      <x:c r="M2055" s="12" t="str">
        <x:v>TuShare index_daily</x:v>
      </x:c>
    </x:row>
    <x:row r="2056" ht="18" customHeight="1">
      <x:c r="A2056" s="13" t="n">
        <x:v>45665</x:v>
      </x:c>
      <x:c r="B2056" s="12" t="str">
        <x:v>000300.SH</x:v>
      </x:c>
      <x:c r="C2056" s="12" t="n">
        <x:v>3781.261</x:v>
      </x:c>
      <x:c r="D2056" s="12" t="n">
        <x:v>3810.7355</x:v>
      </x:c>
      <x:c r="E2056" s="12" t="n">
        <x:v>3731.1887</x:v>
      </x:c>
      <x:c r="F2056" s="12" t="n">
        <x:v>3789.2153</x:v>
      </x:c>
      <x:c r="G2056" s="12" t="n">
        <x:v>3796.1055</x:v>
      </x:c>
      <x:c r="H2056" s="12" t="n">
        <x:v>-6.8902</x:v>
      </x:c>
      <x:c r="I2056" s="12" t="n">
        <x:v>-0.1815</x:v>
      </x:c>
      <x:c r="J2056" s="12" t="n">
        <x:v>-0.0018167199718371108</x:v>
      </x:c>
      <x:c r="K2056" s="12" t="n">
        <x:v>169166968</x:v>
      </x:c>
      <x:c r="L2056" s="12" t="n">
        <x:v>300965725.433</x:v>
      </x:c>
      <x:c r="M2056" s="12" t="str">
        <x:v>TuShare index_daily</x:v>
      </x:c>
    </x:row>
    <x:row r="2057" ht="18" customHeight="1">
      <x:c r="A2057" s="13" t="n">
        <x:v>45666</x:v>
      </x:c>
      <x:c r="B2057" s="12" t="str">
        <x:v>000300.SH</x:v>
      </x:c>
      <x:c r="C2057" s="12" t="n">
        <x:v>3780.7341</x:v>
      </x:c>
      <x:c r="D2057" s="12" t="n">
        <x:v>3795.2608</x:v>
      </x:c>
      <x:c r="E2057" s="12" t="n">
        <x:v>3768.681</x:v>
      </x:c>
      <x:c r="F2057" s="12" t="n">
        <x:v>3779.8773</x:v>
      </x:c>
      <x:c r="G2057" s="12" t="n">
        <x:v>3789.2153</x:v>
      </x:c>
      <x:c r="H2057" s="12" t="n">
        <x:v>-9.338</x:v>
      </x:c>
      <x:c r="I2057" s="12" t="n">
        <x:v>-0.2464</x:v>
      </x:c>
      <x:c r="J2057" s="12" t="n">
        <x:v>-0.002467404015520258</x:v>
      </x:c>
      <x:c r="K2057" s="12" t="n">
        <x:v>129794002</x:v>
      </x:c>
      <x:c r="L2057" s="12" t="n">
        <x:v>251486002.82</x:v>
      </x:c>
      <x:c r="M2057" s="12" t="str">
        <x:v>TuShare index_daily</x:v>
      </x:c>
    </x:row>
    <x:row r="2058" ht="18" customHeight="1">
      <x:c r="A2058" s="13" t="n">
        <x:v>45667</x:v>
      </x:c>
      <x:c r="B2058" s="12" t="str">
        <x:v>000300.SH</x:v>
      </x:c>
      <x:c r="C2058" s="12" t="n">
        <x:v>3778.8928</x:v>
      </x:c>
      <x:c r="D2058" s="12" t="n">
        <x:v>3786.8069</x:v>
      </x:c>
      <x:c r="E2058" s="12" t="n">
        <x:v>3732.4806</x:v>
      </x:c>
      <x:c r="F2058" s="12" t="n">
        <x:v>3732.4806</x:v>
      </x:c>
      <x:c r="G2058" s="12" t="n">
        <x:v>3779.8773</x:v>
      </x:c>
      <x:c r="H2058" s="12" t="n">
        <x:v>-47.3967</x:v>
      </x:c>
      <x:c r="I2058" s="12" t="n">
        <x:v>-1.2539</x:v>
      </x:c>
      <x:c r="J2058" s="12" t="n">
        <x:v>-0.012618495958235146</x:v>
      </x:c>
      <x:c r="K2058" s="12" t="n">
        <x:v>137523171</x:v>
      </x:c>
      <x:c r="L2058" s="12" t="n">
        <x:v>275354209.064</x:v>
      </x:c>
      <x:c r="M2058" s="12" t="str">
        <x:v>TuShare index_daily</x:v>
      </x:c>
    </x:row>
    <x:row r="2059" ht="18" customHeight="1">
      <x:c r="A2059" s="13" t="n">
        <x:v>45670</x:v>
      </x:c>
      <x:c r="B2059" s="12" t="str">
        <x:v>000300.SH</x:v>
      </x:c>
      <x:c r="C2059" s="12" t="n">
        <x:v>3704.4442</x:v>
      </x:c>
      <x:c r="D2059" s="12" t="n">
        <x:v>3737.8852</x:v>
      </x:c>
      <x:c r="E2059" s="12" t="n">
        <x:v>3704.1073</x:v>
      </x:c>
      <x:c r="F2059" s="12" t="n">
        <x:v>3722.513</x:v>
      </x:c>
      <x:c r="G2059" s="12" t="n">
        <x:v>3732.4806</x:v>
      </x:c>
      <x:c r="H2059" s="12" t="n">
        <x:v>-9.9676</x:v>
      </x:c>
      <x:c r="I2059" s="12" t="n">
        <x:v>-0.2671</x:v>
      </x:c>
      <x:c r="J2059" s="12" t="n">
        <x:v>-0.002674074982328549</x:v>
      </x:c>
      <x:c r="K2059" s="12" t="n">
        <x:v>136446199</x:v>
      </x:c>
      <x:c r="L2059" s="12" t="n">
        <x:v>247861953.197</x:v>
      </x:c>
      <x:c r="M2059" s="12" t="str">
        <x:v>TuShare index_daily</x:v>
      </x:c>
    </x:row>
    <x:row r="2060" ht="18" customHeight="1">
      <x:c r="A2060" s="13" t="n">
        <x:v>45671</x:v>
      </x:c>
      <x:c r="B2060" s="12" t="str">
        <x:v>000300.SH</x:v>
      </x:c>
      <x:c r="C2060" s="12" t="n">
        <x:v>3728.5561</x:v>
      </x:c>
      <x:c r="D2060" s="12" t="n">
        <x:v>3826.6399</x:v>
      </x:c>
      <x:c r="E2060" s="12" t="n">
        <x:v>3718.8768</x:v>
      </x:c>
      <x:c r="F2060" s="12" t="n">
        <x:v>3820.5395</x:v>
      </x:c>
      <x:c r="G2060" s="12" t="n">
        <x:v>3722.513</x:v>
      </x:c>
      <x:c r="H2060" s="12" t="n">
        <x:v>98.0265</x:v>
      </x:c>
      <x:c r="I2060" s="12" t="n">
        <x:v>2.6333</x:v>
      </x:c>
      <x:c r="J2060" s="12" t="n">
        <x:v>0.025992665166281924</x:v>
      </x:c>
      <x:c r="K2060" s="12" t="n">
        <x:v>170664657</x:v>
      </x:c>
      <x:c r="L2060" s="12" t="n">
        <x:v>345461480.064</x:v>
      </x:c>
      <x:c r="M2060" s="12" t="str">
        <x:v>TuShare index_daily</x:v>
      </x:c>
    </x:row>
    <x:row r="2061" ht="18" customHeight="1">
      <x:c r="A2061" s="13" t="n">
        <x:v>45672</x:v>
      </x:c>
      <x:c r="B2061" s="12" t="str">
        <x:v>000300.SH</x:v>
      </x:c>
      <x:c r="C2061" s="12" t="n">
        <x:v>3810.0353</x:v>
      </x:c>
      <x:c r="D2061" s="12" t="n">
        <x:v>3816.8284</x:v>
      </x:c>
      <x:c r="E2061" s="12" t="n">
        <x:v>3790.1655</x:v>
      </x:c>
      <x:c r="F2061" s="12" t="n">
        <x:v>3796.026</x:v>
      </x:c>
      <x:c r="G2061" s="12" t="n">
        <x:v>3820.5395</x:v>
      </x:c>
      <x:c r="H2061" s="12" t="n">
        <x:v>-24.5135</x:v>
      </x:c>
      <x:c r="I2061" s="12" t="n">
        <x:v>-0.6416</x:v>
      </x:c>
      <x:c r="J2061" s="12" t="n">
        <x:v>-0.00643691297361315</x:v>
      </x:c>
      <x:c r="K2061" s="12" t="n">
        <x:v>141475520</x:v>
      </x:c>
      <x:c r="L2061" s="12" t="n">
        <x:v>278850595.532</x:v>
      </x:c>
      <x:c r="M2061" s="12" t="str">
        <x:v>TuShare index_daily</x:v>
      </x:c>
    </x:row>
    <x:row r="2062" ht="18" customHeight="1">
      <x:c r="A2062" s="13" t="n">
        <x:v>45673</x:v>
      </x:c>
      <x:c r="B2062" s="12" t="str">
        <x:v>000300.SH</x:v>
      </x:c>
      <x:c r="C2062" s="12" t="n">
        <x:v>3812.1935</x:v>
      </x:c>
      <x:c r="D2062" s="12" t="n">
        <x:v>3842.947</x:v>
      </x:c>
      <x:c r="E2062" s="12" t="n">
        <x:v>3776.2861</x:v>
      </x:c>
      <x:c r="F2062" s="12" t="n">
        <x:v>3800.3836</x:v>
      </x:c>
      <x:c r="G2062" s="12" t="n">
        <x:v>3796.026</x:v>
      </x:c>
      <x:c r="H2062" s="12" t="n">
        <x:v>4.3576</x:v>
      </x:c>
      <x:c r="I2062" s="12" t="n">
        <x:v>0.1148</x:v>
      </x:c>
      <x:c r="J2062" s="12" t="n">
        <x:v>0.001147278966625117</x:v>
      </x:c>
      <x:c r="K2062" s="12" t="n">
        <x:v>144505871</x:v>
      </x:c>
      <x:c r="L2062" s="12" t="n">
        <x:v>305734630.771</x:v>
      </x:c>
      <x:c r="M2062" s="12" t="str">
        <x:v>TuShare index_daily</x:v>
      </x:c>
    </x:row>
    <x:row r="2063" ht="18" customHeight="1">
      <x:c r="A2063" s="13" t="n">
        <x:v>45674</x:v>
      </x:c>
      <x:c r="B2063" s="12" t="str">
        <x:v>000300.SH</x:v>
      </x:c>
      <x:c r="C2063" s="12" t="n">
        <x:v>3788.3729</x:v>
      </x:c>
      <x:c r="D2063" s="12" t="n">
        <x:v>3831.6404</x:v>
      </x:c>
      <x:c r="E2063" s="12" t="n">
        <x:v>3780.2133</x:v>
      </x:c>
      <x:c r="F2063" s="12" t="n">
        <x:v>3812.3429</x:v>
      </x:c>
      <x:c r="G2063" s="12" t="n">
        <x:v>3800.3836</x:v>
      </x:c>
      <x:c r="H2063" s="12" t="n">
        <x:v>11.9593</x:v>
      </x:c>
      <x:c r="I2063" s="12" t="n">
        <x:v>0.3147</x:v>
      </x:c>
      <x:c r="J2063" s="12" t="n">
        <x:v>0.0031419255212209417</x:v>
      </x:c>
      <x:c r="K2063" s="12" t="n">
        <x:v>126621961</x:v>
      </x:c>
      <x:c r="L2063" s="12" t="n">
        <x:v>265437489.594</x:v>
      </x:c>
      <x:c r="M2063" s="12" t="str">
        <x:v>TuShare index_daily</x:v>
      </x:c>
    </x:row>
    <x:row r="2064" ht="18" customHeight="1">
      <x:c r="A2064" s="13" t="n">
        <x:v>45677</x:v>
      </x:c>
      <x:c r="B2064" s="12" t="str">
        <x:v>000300.SH</x:v>
      </x:c>
      <x:c r="C2064" s="12" t="n">
        <x:v>3835.3042</x:v>
      </x:c>
      <x:c r="D2064" s="12" t="n">
        <x:v>3858.6677</x:v>
      </x:c>
      <x:c r="E2064" s="12" t="n">
        <x:v>3821.9815</x:v>
      </x:c>
      <x:c r="F2064" s="12" t="n">
        <x:v>3829.6764</x:v>
      </x:c>
      <x:c r="G2064" s="12" t="n">
        <x:v>3812.3429</x:v>
      </x:c>
      <x:c r="H2064" s="12" t="n">
        <x:v>17.3335</x:v>
      </x:c>
      <x:c r="I2064" s="12" t="n">
        <x:v>0.4547</x:v>
      </x:c>
      <x:c r="J2064" s="12" t="n">
        <x:v>0.004536374234242288</x:v>
      </x:c>
      <x:c r="K2064" s="12" t="n">
        <x:v>139581277</x:v>
      </x:c>
      <x:c r="L2064" s="12" t="n">
        <x:v>292175449.109</x:v>
      </x:c>
      <x:c r="M2064" s="12" t="str">
        <x:v>TuShare index_daily</x:v>
      </x:c>
    </x:row>
    <x:row r="2065" ht="18" customHeight="1">
      <x:c r="A2065" s="13" t="n">
        <x:v>45678</x:v>
      </x:c>
      <x:c r="B2065" s="12" t="str">
        <x:v>000300.SH</x:v>
      </x:c>
      <x:c r="C2065" s="12" t="n">
        <x:v>3850.3563</x:v>
      </x:c>
      <x:c r="D2065" s="12" t="n">
        <x:v>3850.9106</x:v>
      </x:c>
      <x:c r="E2065" s="12" t="n">
        <x:v>3817.1214</x:v>
      </x:c>
      <x:c r="F2065" s="12" t="n">
        <x:v>3832.6145</x:v>
      </x:c>
      <x:c r="G2065" s="12" t="n">
        <x:v>3829.6764</x:v>
      </x:c>
      <x:c r="H2065" s="12" t="n">
        <x:v>2.9381</x:v>
      </x:c>
      <x:c r="I2065" s="12" t="n">
        <x:v>0.0767</x:v>
      </x:c>
      <x:c r="J2065" s="12" t="n">
        <x:v>0.0007668986161828065</x:v>
      </x:c>
      <x:c r="K2065" s="12" t="n">
        <x:v>141218406</x:v>
      </x:c>
      <x:c r="L2065" s="12" t="n">
        <x:v>285073351.693</x:v>
      </x:c>
      <x:c r="M2065" s="12" t="str">
        <x:v>TuShare index_daily</x:v>
      </x:c>
    </x:row>
    <x:row r="2066" ht="18" customHeight="1">
      <x:c r="A2066" s="13" t="n">
        <x:v>45679</x:v>
      </x:c>
      <x:c r="B2066" s="12" t="str">
        <x:v>000300.SH</x:v>
      </x:c>
      <x:c r="C2066" s="12" t="n">
        <x:v>3823.9447</x:v>
      </x:c>
      <x:c r="D2066" s="12" t="n">
        <x:v>3823.9447</x:v>
      </x:c>
      <x:c r="E2066" s="12" t="n">
        <x:v>3783.1438</x:v>
      </x:c>
      <x:c r="F2066" s="12" t="n">
        <x:v>3797.0166</x:v>
      </x:c>
      <x:c r="G2066" s="12" t="n">
        <x:v>3832.6145</x:v>
      </x:c>
      <x:c r="H2066" s="12" t="n">
        <x:v>-35.5979</x:v>
      </x:c>
      <x:c r="I2066" s="12" t="n">
        <x:v>-0.9288</x:v>
      </x:c>
      <x:c r="J2066" s="12" t="n">
        <x:v>-0.009331554264925018</x:v>
      </x:c>
      <x:c r="K2066" s="12" t="n">
        <x:v>137255062</x:v>
      </x:c>
      <x:c r="L2066" s="12" t="n">
        <x:v>298745637.551</x:v>
      </x:c>
      <x:c r="M2066" s="12" t="str">
        <x:v>TuShare index_daily</x:v>
      </x:c>
    </x:row>
    <x:row r="2067" ht="18" customHeight="1">
      <x:c r="A2067" s="13" t="n">
        <x:v>45680</x:v>
      </x:c>
      <x:c r="B2067" s="12" t="str">
        <x:v>000300.SH</x:v>
      </x:c>
      <x:c r="C2067" s="12" t="n">
        <x:v>3829.0462</x:v>
      </x:c>
      <x:c r="D2067" s="12" t="n">
        <x:v>3864.2585</x:v>
      </x:c>
      <x:c r="E2067" s="12" t="n">
        <x:v>3801.8531</x:v>
      </x:c>
      <x:c r="F2067" s="12" t="n">
        <x:v>3803.7439</x:v>
      </x:c>
      <x:c r="G2067" s="12" t="n">
        <x:v>3797.0166</x:v>
      </x:c>
      <x:c r="H2067" s="12" t="n">
        <x:v>6.7273</x:v>
      </x:c>
      <x:c r="I2067" s="12" t="n">
        <x:v>0.1772</x:v>
      </x:c>
      <x:c r="J2067" s="12" t="n">
        <x:v>0.0017701654345399053</x:v>
      </x:c>
      <x:c r="K2067" s="12" t="n">
        <x:v>180569551</x:v>
      </x:c>
      <x:c r="L2067" s="12" t="n">
        <x:v>345198071.114</x:v>
      </x:c>
      <x:c r="M2067" s="12" t="str">
        <x:v>TuShare index_daily</x:v>
      </x:c>
    </x:row>
    <x:row r="2068" ht="18" customHeight="1">
      <x:c r="A2068" s="13" t="n">
        <x:v>45681</x:v>
      </x:c>
      <x:c r="B2068" s="12" t="str">
        <x:v>000300.SH</x:v>
      </x:c>
      <x:c r="C2068" s="12" t="n">
        <x:v>3793.8498</x:v>
      </x:c>
      <x:c r="D2068" s="12" t="n">
        <x:v>3847.6003</x:v>
      </x:c>
      <x:c r="E2068" s="12" t="n">
        <x:v>3793.4836</x:v>
      </x:c>
      <x:c r="F2068" s="12" t="n">
        <x:v>3832.8637</x:v>
      </x:c>
      <x:c r="G2068" s="12" t="n">
        <x:v>3803.7439</x:v>
      </x:c>
      <x:c r="H2068" s="12" t="n">
        <x:v>29.1198</x:v>
      </x:c>
      <x:c r="I2068" s="12" t="n">
        <x:v>0.7656</x:v>
      </x:c>
      <x:c r="J2068" s="12" t="n">
        <x:v>0.007626407605101042</x:v>
      </x:c>
      <x:c r="K2068" s="12" t="n">
        <x:v>148971722</x:v>
      </x:c>
      <x:c r="L2068" s="12" t="n">
        <x:v>296474375.469</x:v>
      </x:c>
      <x:c r="M2068" s="12" t="str">
        <x:v>TuShare index_daily</x:v>
      </x:c>
    </x:row>
    <x:row r="2069" ht="18" customHeight="1">
      <x:c r="A2069" s="13" t="n">
        <x:v>45684</x:v>
      </x:c>
      <x:c r="B2069" s="12" t="str">
        <x:v>000300.SH</x:v>
      </x:c>
      <x:c r="C2069" s="12" t="n">
        <x:v>3836.9578</x:v>
      </x:c>
      <x:c r="D2069" s="12" t="n">
        <x:v>3851.9969</x:v>
      </x:c>
      <x:c r="E2069" s="12" t="n">
        <x:v>3817.0802</x:v>
      </x:c>
      <x:c r="F2069" s="12" t="n">
        <x:v>3817.0802</x:v>
      </x:c>
      <x:c r="G2069" s="12" t="n">
        <x:v>3832.8637</x:v>
      </x:c>
      <x:c r="H2069" s="12" t="n">
        <x:v>-15.7835</x:v>
      </x:c>
      <x:c r="I2069" s="12" t="n">
        <x:v>-0.4118</x:v>
      </x:c>
      <x:c r="J2069" s="12" t="n">
        <x:v>-0.004126441344529745</x:v>
      </x:c>
      <x:c r="K2069" s="12" t="n">
        <x:v>146670772</x:v>
      </x:c>
      <x:c r="L2069" s="12" t="n">
        <x:v>282940127.541</x:v>
      </x:c>
      <x:c r="M2069" s="12" t="str">
        <x:v>TuShare index_daily</x:v>
      </x:c>
    </x:row>
    <x:row r="2070" ht="18" customHeight="1">
      <x:c r="A2070" s="13" t="n">
        <x:v>45693</x:v>
      </x:c>
      <x:c r="B2070" s="12" t="str">
        <x:v>000300.SH</x:v>
      </x:c>
      <x:c r="C2070" s="12" t="n">
        <x:v>3844.6998</x:v>
      </x:c>
      <x:c r="D2070" s="12" t="n">
        <x:v>3844.6998</x:v>
      </x:c>
      <x:c r="E2070" s="12" t="n">
        <x:v>3785.162</x:v>
      </x:c>
      <x:c r="F2070" s="12" t="n">
        <x:v>3795.0848</x:v>
      </x:c>
      <x:c r="G2070" s="12" t="n">
        <x:v>3817.0802</x:v>
      </x:c>
      <x:c r="H2070" s="12" t="n">
        <x:v>-21.9954</x:v>
      </x:c>
      <x:c r="I2070" s="12" t="n">
        <x:v>-0.5762</x:v>
      </x:c>
      <x:c r="J2070" s="12" t="n">
        <x:v>-0.005779029018766741</x:v>
      </x:c>
      <x:c r="K2070" s="12" t="n">
        <x:v>157168308</x:v>
      </x:c>
      <x:c r="L2070" s="12" t="n">
        <x:v>346016202.025</x:v>
      </x:c>
      <x:c r="M2070" s="12" t="str">
        <x:v>TuShare index_daily</x:v>
      </x:c>
    </x:row>
    <x:row r="2071" ht="18" customHeight="1">
      <x:c r="A2071" s="13" t="n">
        <x:v>45694</x:v>
      </x:c>
      <x:c r="B2071" s="12" t="str">
        <x:v>000300.SH</x:v>
      </x:c>
      <x:c r="C2071" s="12" t="n">
        <x:v>3789.6086</x:v>
      </x:c>
      <x:c r="D2071" s="12" t="n">
        <x:v>3843.4942</x:v>
      </x:c>
      <x:c r="E2071" s="12" t="n">
        <x:v>3788.3196</x:v>
      </x:c>
      <x:c r="F2071" s="12" t="n">
        <x:v>3842.8314</x:v>
      </x:c>
      <x:c r="G2071" s="12" t="n">
        <x:v>3795.0848</x:v>
      </x:c>
      <x:c r="H2071" s="12" t="n">
        <x:v>47.7466</x:v>
      </x:c>
      <x:c r="I2071" s="12" t="n">
        <x:v>1.2581</x:v>
      </x:c>
      <x:c r="J2071" s="12" t="n">
        <x:v>0.012502682856300004</x:v>
      </x:c>
      <x:c r="K2071" s="12" t="n">
        <x:v>167288176</x:v>
      </x:c>
      <x:c r="L2071" s="12" t="n">
        <x:v>371891971.101</x:v>
      </x:c>
      <x:c r="M2071" s="12" t="str">
        <x:v>TuShare index_daily</x:v>
      </x:c>
    </x:row>
    <x:row r="2072" ht="18" customHeight="1">
      <x:c r="A2072" s="13" t="n">
        <x:v>45695</x:v>
      </x:c>
      <x:c r="B2072" s="12" t="str">
        <x:v>000300.SH</x:v>
      </x:c>
      <x:c r="C2072" s="12" t="n">
        <x:v>3844.0574</x:v>
      </x:c>
      <x:c r="D2072" s="12" t="n">
        <x:v>3919.3499</x:v>
      </x:c>
      <x:c r="E2072" s="12" t="n">
        <x:v>3833.8685</x:v>
      </x:c>
      <x:c r="F2072" s="12" t="n">
        <x:v>3892.7028</x:v>
      </x:c>
      <x:c r="G2072" s="12" t="n">
        <x:v>3842.8314</x:v>
      </x:c>
      <x:c r="H2072" s="12" t="n">
        <x:v>49.8714</x:v>
      </x:c>
      <x:c r="I2072" s="12" t="n">
        <x:v>1.2978</x:v>
      </x:c>
      <x:c r="J2072" s="12" t="n">
        <x:v>0.012894284916242608</x:v>
      </x:c>
      <x:c r="K2072" s="12" t="n">
        <x:v>221857707</x:v>
      </x:c>
      <x:c r="L2072" s="12" t="n">
        <x:v>487381557.078</x:v>
      </x:c>
      <x:c r="M2072" s="12" t="str">
        <x:v>TuShare index_daily</x:v>
      </x:c>
    </x:row>
    <x:row r="2073" ht="18" customHeight="1">
      <x:c r="A2073" s="13" t="n">
        <x:v>45698</x:v>
      </x:c>
      <x:c r="B2073" s="12" t="str">
        <x:v>000300.SH</x:v>
      </x:c>
      <x:c r="C2073" s="12" t="n">
        <x:v>3898.1023</x:v>
      </x:c>
      <x:c r="D2073" s="12" t="n">
        <x:v>3906.3678</x:v>
      </x:c>
      <x:c r="E2073" s="12" t="n">
        <x:v>3878.8314</x:v>
      </x:c>
      <x:c r="F2073" s="12" t="n">
        <x:v>3901.0618</x:v>
      </x:c>
      <x:c r="G2073" s="12" t="n">
        <x:v>3892.7028</x:v>
      </x:c>
      <x:c r="H2073" s="12" t="n">
        <x:v>8.359</x:v>
      </x:c>
      <x:c r="I2073" s="12" t="n">
        <x:v>0.2147</x:v>
      </x:c>
      <x:c r="J2073" s="12" t="n">
        <x:v>0.0021450489292795475</x:v>
      </x:c>
      <x:c r="K2073" s="12" t="n">
        <x:v>188903040</x:v>
      </x:c>
      <x:c r="L2073" s="12" t="n">
        <x:v>384968342.874</x:v>
      </x:c>
      <x:c r="M2073" s="12" t="str">
        <x:v>TuShare index_daily</x:v>
      </x:c>
    </x:row>
    <x:row r="2074" ht="18" customHeight="1">
      <x:c r="A2074" s="13" t="n">
        <x:v>45699</x:v>
      </x:c>
      <x:c r="B2074" s="12" t="str">
        <x:v>000300.SH</x:v>
      </x:c>
      <x:c r="C2074" s="12" t="n">
        <x:v>3905.1594</x:v>
      </x:c>
      <x:c r="D2074" s="12" t="n">
        <x:v>3905.1594</x:v>
      </x:c>
      <x:c r="E2074" s="12" t="n">
        <x:v>3872.9087</x:v>
      </x:c>
      <x:c r="F2074" s="12" t="n">
        <x:v>3883.1352</x:v>
      </x:c>
      <x:c r="G2074" s="12" t="n">
        <x:v>3901.0618</x:v>
      </x:c>
      <x:c r="H2074" s="12" t="n">
        <x:v>-17.9266</x:v>
      </x:c>
      <x:c r="I2074" s="12" t="n">
        <x:v>-0.4595</x:v>
      </x:c>
      <x:c r="J2074" s="12" t="n">
        <x:v>-0.004605903908072592</x:v>
      </x:c>
      <x:c r="K2074" s="12" t="n">
        <x:v>166574909</x:v>
      </x:c>
      <x:c r="L2074" s="12" t="n">
        <x:v>337866056.116</x:v>
      </x:c>
      <x:c r="M2074" s="12" t="str">
        <x:v>TuShare index_daily</x:v>
      </x:c>
    </x:row>
    <x:row r="2075" ht="18" customHeight="1">
      <x:c r="A2075" s="13" t="n">
        <x:v>45700</x:v>
      </x:c>
      <x:c r="B2075" s="12" t="str">
        <x:v>000300.SH</x:v>
      </x:c>
      <x:c r="C2075" s="12" t="n">
        <x:v>3875.9596</x:v>
      </x:c>
      <x:c r="D2075" s="12" t="n">
        <x:v>3920.7229</x:v>
      </x:c>
      <x:c r="E2075" s="12" t="n">
        <x:v>3867.3538</x:v>
      </x:c>
      <x:c r="F2075" s="12" t="n">
        <x:v>3919.8617</x:v>
      </x:c>
      <x:c r="G2075" s="12" t="n">
        <x:v>3883.1352</x:v>
      </x:c>
      <x:c r="H2075" s="12" t="n">
        <x:v>36.7265</x:v>
      </x:c>
      <x:c r="I2075" s="12" t="n">
        <x:v>0.9458</x:v>
      </x:c>
      <x:c r="J2075" s="12" t="n">
        <x:v>0.009413503985017354</x:v>
      </x:c>
      <x:c r="K2075" s="12" t="n">
        <x:v>164228540</x:v>
      </x:c>
      <x:c r="L2075" s="12" t="n">
        <x:v>354830596.298</x:v>
      </x:c>
      <x:c r="M2075" s="12" t="str">
        <x:v>TuShare index_daily</x:v>
      </x:c>
    </x:row>
    <x:row r="2076" ht="18" customHeight="1">
      <x:c r="A2076" s="13" t="n">
        <x:v>45701</x:v>
      </x:c>
      <x:c r="B2076" s="12" t="str">
        <x:v>000300.SH</x:v>
      </x:c>
      <x:c r="C2076" s="12" t="n">
        <x:v>3913.9044</x:v>
      </x:c>
      <x:c r="D2076" s="12" t="n">
        <x:v>3939.1978</x:v>
      </x:c>
      <x:c r="E2076" s="12" t="n">
        <x:v>3904.9845</x:v>
      </x:c>
      <x:c r="F2076" s="12" t="n">
        <x:v>3905.1398</x:v>
      </x:c>
      <x:c r="G2076" s="12" t="n">
        <x:v>3919.8617</x:v>
      </x:c>
      <x:c r="H2076" s="12" t="n">
        <x:v>-14.7219</x:v>
      </x:c>
      <x:c r="I2076" s="12" t="n">
        <x:v>-0.3756</x:v>
      </x:c>
      <x:c r="J2076" s="12" t="n">
        <x:v>-0.0037627896608334837</x:v>
      </x:c>
      <x:c r="K2076" s="12" t="n">
        <x:v>172485874</x:v>
      </x:c>
      <x:c r="L2076" s="12" t="n">
        <x:v>376473453.307</x:v>
      </x:c>
      <x:c r="M2076" s="12" t="str">
        <x:v>TuShare index_daily</x:v>
      </x:c>
    </x:row>
    <x:row r="2077" ht="18" customHeight="1">
      <x:c r="A2077" s="13" t="n">
        <x:v>45702</x:v>
      </x:c>
      <x:c r="B2077" s="12" t="str">
        <x:v>000300.SH</x:v>
      </x:c>
      <x:c r="C2077" s="12" t="n">
        <x:v>3900.8274</x:v>
      </x:c>
      <x:c r="D2077" s="12" t="n">
        <x:v>3942.0356</x:v>
      </x:c>
      <x:c r="E2077" s="12" t="n">
        <x:v>3900.8274</x:v>
      </x:c>
      <x:c r="F2077" s="12" t="n">
        <x:v>3939.0085</x:v>
      </x:c>
      <x:c r="G2077" s="12" t="n">
        <x:v>3905.1398</x:v>
      </x:c>
      <x:c r="H2077" s="12" t="n">
        <x:v>33.8687</x:v>
      </x:c>
      <x:c r="I2077" s="12" t="n">
        <x:v>0.8673</x:v>
      </x:c>
      <x:c r="J2077" s="12" t="n">
        <x:v>0.008635458987621738</x:v>
      </x:c>
      <x:c r="K2077" s="12" t="n">
        <x:v>172976452</x:v>
      </x:c>
      <x:c r="L2077" s="12" t="n">
        <x:v>360974236.854</x:v>
      </x:c>
      <x:c r="M2077" s="12" t="str">
        <x:v>TuShare index_daily</x:v>
      </x:c>
    </x:row>
    <x:row r="2078" ht="18" customHeight="1">
      <x:c r="A2078" s="13" t="n">
        <x:v>45705</x:v>
      </x:c>
      <x:c r="B2078" s="12" t="str">
        <x:v>000300.SH</x:v>
      </x:c>
      <x:c r="C2078" s="12" t="n">
        <x:v>3954.4147</x:v>
      </x:c>
      <x:c r="D2078" s="12" t="n">
        <x:v>3955.8959</x:v>
      </x:c>
      <x:c r="E2078" s="12" t="n">
        <x:v>3921.7017</x:v>
      </x:c>
      <x:c r="F2078" s="12" t="n">
        <x:v>3947.3983</x:v>
      </x:c>
      <x:c r="G2078" s="12" t="n">
        <x:v>3939.0085</x:v>
      </x:c>
      <x:c r="H2078" s="12" t="n">
        <x:v>8.3898</x:v>
      </x:c>
      <x:c r="I2078" s="12" t="n">
        <x:v>0.213</x:v>
      </x:c>
      <x:c r="J2078" s="12" t="n">
        <x:v>0.002127661780017049</x:v>
      </x:c>
      <x:c r="K2078" s="12" t="n">
        <x:v>213588246</x:v>
      </x:c>
      <x:c r="L2078" s="12" t="n">
        <x:v>430929575.563</x:v>
      </x:c>
      <x:c r="M2078" s="12" t="str">
        <x:v>TuShare index_daily</x:v>
      </x:c>
    </x:row>
    <x:row r="2079" ht="18" customHeight="1">
      <x:c r="A2079" s="13" t="n">
        <x:v>45706</x:v>
      </x:c>
      <x:c r="B2079" s="12" t="str">
        <x:v>000300.SH</x:v>
      </x:c>
      <x:c r="C2079" s="12" t="n">
        <x:v>3942.5761</x:v>
      </x:c>
      <x:c r="D2079" s="12" t="n">
        <x:v>3965.4232</x:v>
      </x:c>
      <x:c r="E2079" s="12" t="n">
        <x:v>3901.8675</x:v>
      </x:c>
      <x:c r="F2079" s="12" t="n">
        <x:v>3912.7829</x:v>
      </x:c>
      <x:c r="G2079" s="12" t="n">
        <x:v>3947.3983</x:v>
      </x:c>
      <x:c r="H2079" s="12" t="n">
        <x:v>-34.6154</x:v>
      </x:c>
      <x:c r="I2079" s="12" t="n">
        <x:v>-0.8769</x:v>
      </x:c>
      <x:c r="J2079" s="12" t="n">
        <x:v>-0.008807843713023247</x:v>
      </x:c>
      <x:c r="K2079" s="12" t="n">
        <x:v>209425101</x:v>
      </x:c>
      <x:c r="L2079" s="12" t="n">
        <x:v>400186229.941</x:v>
      </x:c>
      <x:c r="M2079" s="12" t="str">
        <x:v>TuShare index_daily</x:v>
      </x:c>
    </x:row>
    <x:row r="2080" ht="18" customHeight="1">
      <x:c r="A2080" s="13" t="n">
        <x:v>45707</x:v>
      </x:c>
      <x:c r="B2080" s="12" t="str">
        <x:v>000300.SH</x:v>
      </x:c>
      <x:c r="C2080" s="12" t="n">
        <x:v>3906.2201</x:v>
      </x:c>
      <x:c r="D2080" s="12" t="n">
        <x:v>3943.6742</x:v>
      </x:c>
      <x:c r="E2080" s="12" t="n">
        <x:v>3904.1455</x:v>
      </x:c>
      <x:c r="F2080" s="12" t="n">
        <x:v>3940.1602</x:v>
      </x:c>
      <x:c r="G2080" s="12" t="n">
        <x:v>3912.7829</x:v>
      </x:c>
      <x:c r="H2080" s="12" t="n">
        <x:v>27.3773</x:v>
      </x:c>
      <x:c r="I2080" s="12" t="n">
        <x:v>0.6997</x:v>
      </x:c>
      <x:c r="J2080" s="12" t="n">
        <x:v>0.006972522420195474</x:v>
      </x:c>
      <x:c r="K2080" s="12" t="n">
        <x:v>182829517</x:v>
      </x:c>
      <x:c r="L2080" s="12" t="n">
        <x:v>363680372.563</x:v>
      </x:c>
      <x:c r="M2080" s="12" t="str">
        <x:v>TuShare index_daily</x:v>
      </x:c>
    </x:row>
    <x:row r="2081" ht="18" customHeight="1">
      <x:c r="A2081" s="13" t="n">
        <x:v>45708</x:v>
      </x:c>
      <x:c r="B2081" s="12" t="str">
        <x:v>000300.SH</x:v>
      </x:c>
      <x:c r="C2081" s="12" t="n">
        <x:v>3934.6503</x:v>
      </x:c>
      <x:c r="D2081" s="12" t="n">
        <x:v>3940.678</x:v>
      </x:c>
      <x:c r="E2081" s="12" t="n">
        <x:v>3916.1772</x:v>
      </x:c>
      <x:c r="F2081" s="12" t="n">
        <x:v>3928.8959</x:v>
      </x:c>
      <x:c r="G2081" s="12" t="n">
        <x:v>3940.1602</x:v>
      </x:c>
      <x:c r="H2081" s="12" t="n">
        <x:v>-11.2643</x:v>
      </x:c>
      <x:c r="I2081" s="12" t="n">
        <x:v>-0.2859</x:v>
      </x:c>
      <x:c r="J2081" s="12" t="n">
        <x:v>-0.0028629374478347314</x:v>
      </x:c>
      <x:c r="K2081" s="12" t="n">
        <x:v>163895236</x:v>
      </x:c>
      <x:c r="L2081" s="12" t="n">
        <x:v>325972429.363</x:v>
      </x:c>
      <x:c r="M2081" s="12" t="str">
        <x:v>TuShare index_daily</x:v>
      </x:c>
    </x:row>
    <x:row r="2082" ht="18" customHeight="1">
      <x:c r="A2082" s="13" t="n">
        <x:v>45709</x:v>
      </x:c>
      <x:c r="B2082" s="12" t="str">
        <x:v>000300.SH</x:v>
      </x:c>
      <x:c r="C2082" s="12" t="n">
        <x:v>3938.0518</x:v>
      </x:c>
      <x:c r="D2082" s="12" t="n">
        <x:v>3981.048</x:v>
      </x:c>
      <x:c r="E2082" s="12" t="n">
        <x:v>3927.7874</x:v>
      </x:c>
      <x:c r="F2082" s="12" t="n">
        <x:v>3978.444</x:v>
      </x:c>
      <x:c r="G2082" s="12" t="n">
        <x:v>3928.8959</x:v>
      </x:c>
      <x:c r="H2082" s="12" t="n">
        <x:v>49.5481</x:v>
      </x:c>
      <x:c r="I2082" s="12" t="n">
        <x:v>1.2611</x:v>
      </x:c>
      <x:c r="J2082" s="12" t="n">
        <x:v>0.012532343145841354</x:v>
      </x:c>
      <x:c r="K2082" s="12" t="n">
        <x:v>227400330</x:v>
      </x:c>
      <x:c r="L2082" s="12" t="n">
        <x:v>504645493.577</x:v>
      </x:c>
      <x:c r="M2082" s="12" t="str">
        <x:v>TuShare index_daily</x:v>
      </x:c>
    </x:row>
    <x:row r="2083" ht="18" customHeight="1">
      <x:c r="A2083" s="13" t="n">
        <x:v>45712</x:v>
      </x:c>
      <x:c r="B2083" s="12" t="str">
        <x:v>000300.SH</x:v>
      </x:c>
      <x:c r="C2083" s="12" t="n">
        <x:v>3972.4831</x:v>
      </x:c>
      <x:c r="D2083" s="12" t="n">
        <x:v>3995.9456</x:v>
      </x:c>
      <x:c r="E2083" s="12" t="n">
        <x:v>3949.2309</x:v>
      </x:c>
      <x:c r="F2083" s="12" t="n">
        <x:v>3969.7169</x:v>
      </x:c>
      <x:c r="G2083" s="12" t="n">
        <x:v>3978.444</x:v>
      </x:c>
      <x:c r="H2083" s="12" t="n">
        <x:v>-8.7271</x:v>
      </x:c>
      <x:c r="I2083" s="12" t="n">
        <x:v>-0.2194</x:v>
      </x:c>
      <x:c r="J2083" s="12" t="n">
        <x:v>-0.0021960057469798933</x:v>
      </x:c>
      <x:c r="K2083" s="12" t="n">
        <x:v>220810618</x:v>
      </x:c>
      <x:c r="L2083" s="12" t="n">
        <x:v>455088749.685</x:v>
      </x:c>
      <x:c r="M2083" s="12" t="str">
        <x:v>TuShare index_daily</x:v>
      </x:c>
    </x:row>
    <x:row r="2084" ht="18" customHeight="1">
      <x:c r="A2084" s="13" t="n">
        <x:v>45713</x:v>
      </x:c>
      <x:c r="B2084" s="12" t="str">
        <x:v>000300.SH</x:v>
      </x:c>
      <x:c r="C2084" s="12" t="n">
        <x:v>3933.636</x:v>
      </x:c>
      <x:c r="D2084" s="12" t="n">
        <x:v>3955.4336</x:v>
      </x:c>
      <x:c r="E2084" s="12" t="n">
        <x:v>3915.6527</x:v>
      </x:c>
      <x:c r="F2084" s="12" t="n">
        <x:v>3925.6505</x:v>
      </x:c>
      <x:c r="G2084" s="12" t="n">
        <x:v>3969.7169</x:v>
      </x:c>
      <x:c r="H2084" s="12" t="n">
        <x:v>-44.0664</x:v>
      </x:c>
      <x:c r="I2084" s="12" t="n">
        <x:v>-1.1101</x:v>
      </x:c>
      <x:c r="J2084" s="12" t="n">
        <x:v>-0.011162712346417768</x:v>
      </x:c>
      <x:c r="K2084" s="12" t="n">
        <x:v>178108580</x:v>
      </x:c>
      <x:c r="L2084" s="12" t="n">
        <x:v>377981451.25</x:v>
      </x:c>
      <x:c r="M2084" s="12" t="str">
        <x:v>TuShare index_daily</x:v>
      </x:c>
    </x:row>
    <x:row r="2085" ht="18" customHeight="1">
      <x:c r="A2085" s="13" t="n">
        <x:v>45714</x:v>
      </x:c>
      <x:c r="B2085" s="12" t="str">
        <x:v>000300.SH</x:v>
      </x:c>
      <x:c r="C2085" s="12" t="n">
        <x:v>3931.842</x:v>
      </x:c>
      <x:c r="D2085" s="12" t="n">
        <x:v>3960.3298</x:v>
      </x:c>
      <x:c r="E2085" s="12" t="n">
        <x:v>3925.3664</x:v>
      </x:c>
      <x:c r="F2085" s="12" t="n">
        <x:v>3959.9413</x:v>
      </x:c>
      <x:c r="G2085" s="12" t="n">
        <x:v>3925.6505</x:v>
      </x:c>
      <x:c r="H2085" s="12" t="n">
        <x:v>34.2908</x:v>
      </x:c>
      <x:c r="I2085" s="12" t="n">
        <x:v>0.8735</x:v>
      </x:c>
      <x:c r="J2085" s="12" t="n">
        <x:v>0.008697131937863404</x:v>
      </x:c>
      <x:c r="K2085" s="12" t="n">
        <x:v>191062501</x:v>
      </x:c>
      <x:c r="L2085" s="12" t="n">
        <x:v>386458193.763</x:v>
      </x:c>
      <x:c r="M2085" s="12" t="str">
        <x:v>TuShare index_daily</x:v>
      </x:c>
    </x:row>
    <x:row r="2086" ht="18" customHeight="1">
      <x:c r="A2086" s="13" t="n">
        <x:v>45715</x:v>
      </x:c>
      <x:c r="B2086" s="12" t="str">
        <x:v>000300.SH</x:v>
      </x:c>
      <x:c r="C2086" s="12" t="n">
        <x:v>3961.0635</x:v>
      </x:c>
      <x:c r="D2086" s="12" t="n">
        <x:v>3973.9323</x:v>
      </x:c>
      <x:c r="E2086" s="12" t="n">
        <x:v>3933.4611</x:v>
      </x:c>
      <x:c r="F2086" s="12" t="n">
        <x:v>3968.1159</x:v>
      </x:c>
      <x:c r="G2086" s="12" t="n">
        <x:v>3959.9413</x:v>
      </x:c>
      <x:c r="H2086" s="12" t="n">
        <x:v>8.1746</x:v>
      </x:c>
      <x:c r="I2086" s="12" t="n">
        <x:v>0.2064</x:v>
      </x:c>
      <x:c r="J2086" s="12" t="n">
        <x:v>0.002062195741215508</x:v>
      </x:c>
      <x:c r="K2086" s="12" t="n">
        <x:v>202887963</x:v>
      </x:c>
      <x:c r="L2086" s="12" t="n">
        <x:v>428272792.668</x:v>
      </x:c>
      <x:c r="M2086" s="12" t="str">
        <x:v>TuShare index_daily</x:v>
      </x:c>
    </x:row>
    <x:row r="2087" ht="18" customHeight="1">
      <x:c r="A2087" s="13" t="n">
        <x:v>45716</x:v>
      </x:c>
      <x:c r="B2087" s="12" t="str">
        <x:v>000300.SH</x:v>
      </x:c>
      <x:c r="C2087" s="12" t="n">
        <x:v>3950.1866</x:v>
      </x:c>
      <x:c r="D2087" s="12" t="n">
        <x:v>3972.4813</x:v>
      </x:c>
      <x:c r="E2087" s="12" t="n">
        <x:v>3886.3994</x:v>
      </x:c>
      <x:c r="F2087" s="12" t="n">
        <x:v>3890.0487</x:v>
      </x:c>
      <x:c r="G2087" s="12" t="n">
        <x:v>3968.1159</x:v>
      </x:c>
      <x:c r="H2087" s="12" t="n">
        <x:v>-78.0672</x:v>
      </x:c>
      <x:c r="I2087" s="12" t="n">
        <x:v>-1.9674</x:v>
      </x:c>
      <x:c r="J2087" s="12" t="n">
        <x:v>-0.01986972083322121</x:v>
      </x:c>
      <x:c r="K2087" s="12" t="n">
        <x:v>198104147</x:v>
      </x:c>
      <x:c r="L2087" s="12" t="n">
        <x:v>420308043.45</x:v>
      </x:c>
      <x:c r="M2087" s="12" t="str">
        <x:v>TuShare index_daily</x:v>
      </x:c>
    </x:row>
    <x:row r="2088" ht="18" customHeight="1">
      <x:c r="A2088" s="13" t="n">
        <x:v>45719</x:v>
      </x:c>
      <x:c r="B2088" s="12" t="str">
        <x:v>000300.SH</x:v>
      </x:c>
      <x:c r="C2088" s="12" t="n">
        <x:v>3899.6962</x:v>
      </x:c>
      <x:c r="D2088" s="12" t="n">
        <x:v>3930.0048</x:v>
      </x:c>
      <x:c r="E2088" s="12" t="n">
        <x:v>3872.5872</x:v>
      </x:c>
      <x:c r="F2088" s="12" t="n">
        <x:v>3888.4738</x:v>
      </x:c>
      <x:c r="G2088" s="12" t="n">
        <x:v>3890.0487</x:v>
      </x:c>
      <x:c r="H2088" s="12" t="n">
        <x:v>-1.5749</x:v>
      </x:c>
      <x:c r="I2088" s="12" t="n">
        <x:v>-0.0405</x:v>
      </x:c>
      <x:c r="J2088" s="12" t="n">
        <x:v>-0.0004049355186720422</x:v>
      </x:c>
      <x:c r="K2088" s="12" t="n">
        <x:v>177623166</x:v>
      </x:c>
      <x:c r="L2088" s="12" t="n">
        <x:v>356057735.014</x:v>
      </x:c>
      <x:c r="M2088" s="12" t="str">
        <x:v>TuShare index_daily</x:v>
      </x:c>
    </x:row>
    <x:row r="2089" ht="18" customHeight="1">
      <x:c r="A2089" s="13" t="n">
        <x:v>45720</x:v>
      </x:c>
      <x:c r="B2089" s="12" t="str">
        <x:v>000300.SH</x:v>
      </x:c>
      <x:c r="C2089" s="12" t="n">
        <x:v>3865.9939</x:v>
      </x:c>
      <x:c r="D2089" s="12" t="n">
        <x:v>3890.4235</x:v>
      </x:c>
      <x:c r="E2089" s="12" t="n">
        <x:v>3855.7254</x:v>
      </x:c>
      <x:c r="F2089" s="12" t="n">
        <x:v>3885.2208</x:v>
      </x:c>
      <x:c r="G2089" s="12" t="n">
        <x:v>3888.4738</x:v>
      </x:c>
      <x:c r="H2089" s="12" t="n">
        <x:v>-3.253</x:v>
      </x:c>
      <x:c r="I2089" s="12" t="n">
        <x:v>-0.0837</x:v>
      </x:c>
      <x:c r="J2089" s="12" t="n">
        <x:v>-0.0008369251320675289</x:v>
      </x:c>
      <x:c r="K2089" s="12" t="n">
        <x:v>149850967</x:v>
      </x:c>
      <x:c r="L2089" s="12" t="n">
        <x:v>297739246.802</x:v>
      </x:c>
      <x:c r="M2089" s="12" t="str">
        <x:v>TuShare index_daily</x:v>
      </x:c>
    </x:row>
    <x:row r="2090" ht="18" customHeight="1">
      <x:c r="A2090" s="13" t="n">
        <x:v>45721</x:v>
      </x:c>
      <x:c r="B2090" s="12" t="str">
        <x:v>000300.SH</x:v>
      </x:c>
      <x:c r="C2090" s="12" t="n">
        <x:v>3887.7992</x:v>
      </x:c>
      <x:c r="D2090" s="12" t="n">
        <x:v>3906.4214</x:v>
      </x:c>
      <x:c r="E2090" s="12" t="n">
        <x:v>3877.0188</x:v>
      </x:c>
      <x:c r="F2090" s="12" t="n">
        <x:v>3902.5706</x:v>
      </x:c>
      <x:c r="G2090" s="12" t="n">
        <x:v>3885.2208</x:v>
      </x:c>
      <x:c r="H2090" s="12" t="n">
        <x:v>17.3498</x:v>
      </x:c>
      <x:c r="I2090" s="12" t="n">
        <x:v>0.4466</x:v>
      </x:c>
      <x:c r="J2090" s="12" t="n">
        <x:v>0.004455648029683655</x:v>
      </x:c>
      <x:c r="K2090" s="12" t="n">
        <x:v>158652751</x:v>
      </x:c>
      <x:c r="L2090" s="12" t="n">
        <x:v>290860484.505</x:v>
      </x:c>
      <x:c r="M2090" s="12" t="str">
        <x:v>TuShare index_daily</x:v>
      </x:c>
    </x:row>
    <x:row r="2091" ht="18" customHeight="1">
      <x:c r="A2091" s="13" t="n">
        <x:v>45722</x:v>
      </x:c>
      <x:c r="B2091" s="12" t="str">
        <x:v>000300.SH</x:v>
      </x:c>
      <x:c r="C2091" s="12" t="n">
        <x:v>3923.3827</x:v>
      </x:c>
      <x:c r="D2091" s="12" t="n">
        <x:v>3964.4942</x:v>
      </x:c>
      <x:c r="E2091" s="12" t="n">
        <x:v>3917.0833</x:v>
      </x:c>
      <x:c r="F2091" s="12" t="n">
        <x:v>3956.2369</x:v>
      </x:c>
      <x:c r="G2091" s="12" t="n">
        <x:v>3902.5706</x:v>
      </x:c>
      <x:c r="H2091" s="12" t="n">
        <x:v>53.6663</x:v>
      </x:c>
      <x:c r="I2091" s="12" t="n">
        <x:v>1.3752</x:v>
      </x:c>
      <x:c r="J2091" s="12" t="n">
        <x:v>0.013657831477298408</x:v>
      </x:c>
      <x:c r="K2091" s="12" t="n">
        <x:v>193960915</x:v>
      </x:c>
      <x:c r="L2091" s="12" t="n">
        <x:v>397419427.643</x:v>
      </x:c>
      <x:c r="M2091" s="12" t="str">
        <x:v>TuShare index_daily</x:v>
      </x:c>
    </x:row>
    <x:row r="2092" ht="18" customHeight="1">
      <x:c r="A2092" s="13" t="n">
        <x:v>45723</x:v>
      </x:c>
      <x:c r="B2092" s="12" t="str">
        <x:v>000300.SH</x:v>
      </x:c>
      <x:c r="C2092" s="12" t="n">
        <x:v>3944.9145</x:v>
      </x:c>
      <x:c r="D2092" s="12" t="n">
        <x:v>3967.0743</x:v>
      </x:c>
      <x:c r="E2092" s="12" t="n">
        <x:v>3935.0464</x:v>
      </x:c>
      <x:c r="F2092" s="12" t="n">
        <x:v>3944.0143</x:v>
      </x:c>
      <x:c r="G2092" s="12" t="n">
        <x:v>3956.2369</x:v>
      </x:c>
      <x:c r="H2092" s="12" t="n">
        <x:v>-12.2226</x:v>
      </x:c>
      <x:c r="I2092" s="12" t="n">
        <x:v>-0.3089</x:v>
      </x:c>
      <x:c r="J2092" s="12" t="n">
        <x:v>-0.003094233193972485</x:v>
      </x:c>
      <x:c r="K2092" s="12" t="n">
        <x:v>166732375</x:v>
      </x:c>
      <x:c r="L2092" s="12" t="n">
        <x:v>340626700.286</x:v>
      </x:c>
      <x:c r="M2092" s="12" t="str">
        <x:v>TuShare index_daily</x:v>
      </x:c>
    </x:row>
    <x:row r="2093" ht="18" customHeight="1">
      <x:c r="A2093" s="13" t="n">
        <x:v>45726</x:v>
      </x:c>
      <x:c r="B2093" s="12" t="str">
        <x:v>000300.SH</x:v>
      </x:c>
      <x:c r="C2093" s="12" t="n">
        <x:v>3945.5795</x:v>
      </x:c>
      <x:c r="D2093" s="12" t="n">
        <x:v>3949.1448</x:v>
      </x:c>
      <x:c r="E2093" s="12" t="n">
        <x:v>3905.127</x:v>
      </x:c>
      <x:c r="F2093" s="12" t="n">
        <x:v>3928.8018</x:v>
      </x:c>
      <x:c r="G2093" s="12" t="n">
        <x:v>3944.0143</x:v>
      </x:c>
      <x:c r="H2093" s="12" t="n">
        <x:v>-15.2125</x:v>
      </x:c>
      <x:c r="I2093" s="12" t="n">
        <x:v>-0.3857</x:v>
      </x:c>
      <x:c r="J2093" s="12" t="n">
        <x:v>-0.0038645685965101716</x:v>
      </x:c>
      <x:c r="K2093" s="12" t="n">
        <x:v>152765232</x:v>
      </x:c>
      <x:c r="L2093" s="12" t="n">
        <x:v>292574987.481</x:v>
      </x:c>
      <x:c r="M2093" s="12" t="str">
        <x:v>TuShare index_daily</x:v>
      </x:c>
    </x:row>
    <x:row r="2094" ht="18" customHeight="1">
      <x:c r="A2094" s="13" t="n">
        <x:v>45727</x:v>
      </x:c>
      <x:c r="B2094" s="12" t="str">
        <x:v>000300.SH</x:v>
      </x:c>
      <x:c r="C2094" s="12" t="n">
        <x:v>3890.4305</x:v>
      </x:c>
      <x:c r="D2094" s="12" t="n">
        <x:v>3941.4157</x:v>
      </x:c>
      <x:c r="E2094" s="12" t="n">
        <x:v>3889.4298</x:v>
      </x:c>
      <x:c r="F2094" s="12" t="n">
        <x:v>3941.4157</x:v>
      </x:c>
      <x:c r="G2094" s="12" t="n">
        <x:v>3928.8018</x:v>
      </x:c>
      <x:c r="H2094" s="12" t="n">
        <x:v>12.6139</x:v>
      </x:c>
      <x:c r="I2094" s="12" t="n">
        <x:v>0.3211</x:v>
      </x:c>
      <x:c r="J2094" s="12" t="n">
        <x:v>0.0032054795946247984</x:v>
      </x:c>
      <x:c r="K2094" s="12" t="n">
        <x:v>144754402</x:v>
      </x:c>
      <x:c r="L2094" s="12" t="n">
        <x:v>287480453.12</x:v>
      </x:c>
      <x:c r="M2094" s="12" t="str">
        <x:v>TuShare index_daily</x:v>
      </x:c>
    </x:row>
    <x:row r="2095" ht="18" customHeight="1">
      <x:c r="A2095" s="13" t="n">
        <x:v>45728</x:v>
      </x:c>
      <x:c r="B2095" s="12" t="str">
        <x:v>000300.SH</x:v>
      </x:c>
      <x:c r="C2095" s="12" t="n">
        <x:v>3946.8623</x:v>
      </x:c>
      <x:c r="D2095" s="12" t="n">
        <x:v>3953.6125</x:v>
      </x:c>
      <x:c r="E2095" s="12" t="n">
        <x:v>3921.4736</x:v>
      </x:c>
      <x:c r="F2095" s="12" t="n">
        <x:v>3927.2315</x:v>
      </x:c>
      <x:c r="G2095" s="12" t="n">
        <x:v>3941.4157</x:v>
      </x:c>
      <x:c r="H2095" s="12" t="n">
        <x:v>-14.1842</x:v>
      </x:c>
      <x:c r="I2095" s="12" t="n">
        <x:v>-0.3599</x:v>
      </x:c>
      <x:c r="J2095" s="12" t="n">
        <x:v>-0.0036052487811718</x:v>
      </x:c>
      <x:c r="K2095" s="12" t="n">
        <x:v>156732190</x:v>
      </x:c>
      <x:c r="L2095" s="12" t="n">
        <x:v>309627267.365</x:v>
      </x:c>
      <x:c r="M2095" s="12" t="str">
        <x:v>TuShare index_daily</x:v>
      </x:c>
    </x:row>
    <x:row r="2096" ht="18" customHeight="1">
      <x:c r="A2096" s="13" t="n">
        <x:v>45729</x:v>
      </x:c>
      <x:c r="B2096" s="12" t="str">
        <x:v>000300.SH</x:v>
      </x:c>
      <x:c r="C2096" s="12" t="n">
        <x:v>3925.7439</x:v>
      </x:c>
      <x:c r="D2096" s="12" t="n">
        <x:v>3939.2854</x:v>
      </x:c>
      <x:c r="E2096" s="12" t="n">
        <x:v>3897.3758</x:v>
      </x:c>
      <x:c r="F2096" s="12" t="n">
        <x:v>3911.5793</x:v>
      </x:c>
      <x:c r="G2096" s="12" t="n">
        <x:v>3927.2315</x:v>
      </x:c>
      <x:c r="H2096" s="12" t="n">
        <x:v>-15.6522</x:v>
      </x:c>
      <x:c r="I2096" s="12" t="n">
        <x:v>-0.3986</x:v>
      </x:c>
      <x:c r="J2096" s="12" t="n">
        <x:v>-0.003993519221569567</x:v>
      </x:c>
      <x:c r="K2096" s="12" t="n">
        <x:v>156536443</x:v>
      </x:c>
      <x:c r="L2096" s="12" t="n">
        <x:v>295173112.58</x:v>
      </x:c>
      <x:c r="M2096" s="12" t="str">
        <x:v>TuShare index_daily</x:v>
      </x:c>
    </x:row>
    <x:row r="2097" ht="18" customHeight="1">
      <x:c r="A2097" s="13" t="n">
        <x:v>45730</x:v>
      </x:c>
      <x:c r="B2097" s="12" t="str">
        <x:v>000300.SH</x:v>
      </x:c>
      <x:c r="C2097" s="12" t="n">
        <x:v>3919.6159</x:v>
      </x:c>
      <x:c r="D2097" s="12" t="n">
        <x:v>4014.1586</x:v>
      </x:c>
      <x:c r="E2097" s="12" t="n">
        <x:v>3919.6159</x:v>
      </x:c>
      <x:c r="F2097" s="12" t="n">
        <x:v>4006.5567</x:v>
      </x:c>
      <x:c r="G2097" s="12" t="n">
        <x:v>3911.5793</x:v>
      </x:c>
      <x:c r="H2097" s="12" t="n">
        <x:v>94.9774</x:v>
      </x:c>
      <x:c r="I2097" s="12" t="n">
        <x:v>2.4281</x:v>
      </x:c>
      <x:c r="J2097" s="12" t="n">
        <x:v>0.023990988649006423</x:v>
      </x:c>
      <x:c r="K2097" s="12" t="n">
        <x:v>216139003</x:v>
      </x:c>
      <x:c r="L2097" s="12" t="n">
        <x:v>450895278.803</x:v>
      </x:c>
      <x:c r="M2097" s="12" t="str">
        <x:v>TuShare index_daily</x:v>
      </x:c>
    </x:row>
    <x:row r="2098" ht="18" customHeight="1">
      <x:c r="A2098" s="13" t="n">
        <x:v>45733</x:v>
      </x:c>
      <x:c r="B2098" s="12" t="str">
        <x:v>000300.SH</x:v>
      </x:c>
      <x:c r="C2098" s="12" t="n">
        <x:v>4020.6402</x:v>
      </x:c>
      <x:c r="D2098" s="12" t="n">
        <x:v>4021.7278</x:v>
      </x:c>
      <x:c r="E2098" s="12" t="n">
        <x:v>3992.2563</x:v>
      </x:c>
      <x:c r="F2098" s="12" t="n">
        <x:v>3996.7876</x:v>
      </x:c>
      <x:c r="G2098" s="12" t="n">
        <x:v>4006.5567</x:v>
      </x:c>
      <x:c r="H2098" s="12" t="n">
        <x:v>-9.7691</x:v>
      </x:c>
      <x:c r="I2098" s="12" t="n">
        <x:v>-0.2438</x:v>
      </x:c>
      <x:c r="J2098" s="12" t="n">
        <x:v>-0.0024412556765214454</x:v>
      </x:c>
      <x:c r="K2098" s="12" t="n">
        <x:v>162202911</x:v>
      </x:c>
      <x:c r="L2098" s="12" t="n">
        <x:v>318904417.418</x:v>
      </x:c>
      <x:c r="M2098" s="12" t="str">
        <x:v>TuShare index_daily</x:v>
      </x:c>
    </x:row>
    <x:row r="2099" ht="18" customHeight="1">
      <x:c r="A2099" s="13" t="n">
        <x:v>45734</x:v>
      </x:c>
      <x:c r="B2099" s="12" t="str">
        <x:v>000300.SH</x:v>
      </x:c>
      <x:c r="C2099" s="12" t="n">
        <x:v>4011.7794</x:v>
      </x:c>
      <x:c r="D2099" s="12" t="n">
        <x:v>4016.873</x:v>
      </x:c>
      <x:c r="E2099" s="12" t="n">
        <x:v>3995.9602</x:v>
      </x:c>
      <x:c r="F2099" s="12" t="n">
        <x:v>4007.7229</x:v>
      </x:c>
      <x:c r="G2099" s="12" t="n">
        <x:v>3996.7876</x:v>
      </x:c>
      <x:c r="H2099" s="12" t="n">
        <x:v>10.9353</x:v>
      </x:c>
      <x:c r="I2099" s="12" t="n">
        <x:v>0.2736</x:v>
      </x:c>
      <x:c r="J2099" s="12" t="n">
        <x:v>0.002732286203639958</x:v>
      </x:c>
      <x:c r="K2099" s="12" t="n">
        <x:v>140208496</x:v>
      </x:c>
      <x:c r="L2099" s="12" t="n">
        <x:v>292739319.545</x:v>
      </x:c>
      <x:c r="M2099" s="12" t="str">
        <x:v>TuShare index_daily</x:v>
      </x:c>
    </x:row>
    <x:row r="2100" ht="18" customHeight="1">
      <x:c r="A2100" s="13" t="n">
        <x:v>45735</x:v>
      </x:c>
      <x:c r="B2100" s="12" t="str">
        <x:v>000300.SH</x:v>
      </x:c>
      <x:c r="C2100" s="12" t="n">
        <x:v>4004.8251</x:v>
      </x:c>
      <x:c r="D2100" s="12" t="n">
        <x:v>4025.299</x:v>
      </x:c>
      <x:c r="E2100" s="12" t="n">
        <x:v>3989.512</x:v>
      </x:c>
      <x:c r="F2100" s="12" t="n">
        <x:v>4010.168</x:v>
      </x:c>
      <x:c r="G2100" s="12" t="n">
        <x:v>4007.7229</x:v>
      </x:c>
      <x:c r="H2100" s="12" t="n">
        <x:v>2.4451</x:v>
      </x:c>
      <x:c r="I2100" s="12" t="n">
        <x:v>0.061</x:v>
      </x:c>
      <x:c r="J2100" s="12" t="n">
        <x:v>0.0006099110367779948</x:v>
      </x:c>
      <x:c r="K2100" s="12" t="n">
        <x:v>144419428</x:v>
      </x:c>
      <x:c r="L2100" s="12" t="n">
        <x:v>286075300.795</x:v>
      </x:c>
      <x:c r="M2100" s="12" t="str">
        <x:v>TuShare index_daily</x:v>
      </x:c>
    </x:row>
    <x:row r="2101" ht="18" customHeight="1">
      <x:c r="A2101" s="13" t="n">
        <x:v>45736</x:v>
      </x:c>
      <x:c r="B2101" s="12" t="str">
        <x:v>000300.SH</x:v>
      </x:c>
      <x:c r="C2101" s="12" t="n">
        <x:v>4011.0588</x:v>
      </x:c>
      <x:c r="D2101" s="12" t="n">
        <x:v>4012.0416</x:v>
      </x:c>
      <x:c r="E2101" s="12" t="n">
        <x:v>3969.9259</x:v>
      </x:c>
      <x:c r="F2101" s="12" t="n">
        <x:v>3974.9918</x:v>
      </x:c>
      <x:c r="G2101" s="12" t="n">
        <x:v>4010.168</x:v>
      </x:c>
      <x:c r="H2101" s="12" t="n">
        <x:v>-35.1762</x:v>
      </x:c>
      <x:c r="I2101" s="12" t="n">
        <x:v>-0.8772</x:v>
      </x:c>
      <x:c r="J2101" s="12" t="n">
        <x:v>-0.008810450491655575</x:v>
      </x:c>
      <x:c r="K2101" s="12" t="n">
        <x:v>133754670</x:v>
      </x:c>
      <x:c r="L2101" s="12" t="n">
        <x:v>260020676.826</x:v>
      </x:c>
      <x:c r="M2101" s="12" t="str">
        <x:v>TuShare index_daily</x:v>
      </x:c>
    </x:row>
    <x:row r="2102" ht="18" customHeight="1">
      <x:c r="A2102" s="13" t="n">
        <x:v>45737</x:v>
      </x:c>
      <x:c r="B2102" s="12" t="str">
        <x:v>000300.SH</x:v>
      </x:c>
      <x:c r="C2102" s="12" t="n">
        <x:v>3966.5146</x:v>
      </x:c>
      <x:c r="D2102" s="12" t="n">
        <x:v>3983.1476</x:v>
      </x:c>
      <x:c r="E2102" s="12" t="n">
        <x:v>3904.7674</x:v>
      </x:c>
      <x:c r="F2102" s="12" t="n">
        <x:v>3914.6956</x:v>
      </x:c>
      <x:c r="G2102" s="12" t="n">
        <x:v>3974.9918</x:v>
      </x:c>
      <x:c r="H2102" s="12" t="n">
        <x:v>-60.2962</x:v>
      </x:c>
      <x:c r="I2102" s="12" t="n">
        <x:v>-1.5169</x:v>
      </x:c>
      <x:c r="J2102" s="12" t="n">
        <x:v>-0.015285111026174561</x:v>
      </x:c>
      <x:c r="K2102" s="12" t="n">
        <x:v>165905294</x:v>
      </x:c>
      <x:c r="L2102" s="12" t="n">
        <x:v>309348613.935</x:v>
      </x:c>
      <x:c r="M2102" s="12" t="str">
        <x:v>TuShare index_daily</x:v>
      </x:c>
    </x:row>
    <x:row r="2103" ht="18" customHeight="1">
      <x:c r="A2103" s="13" t="n">
        <x:v>45740</x:v>
      </x:c>
      <x:c r="B2103" s="12" t="str">
        <x:v>000300.SH</x:v>
      </x:c>
      <x:c r="C2103" s="12" t="n">
        <x:v>3916.1136</x:v>
      </x:c>
      <x:c r="D2103" s="12" t="n">
        <x:v>3938.1826</x:v>
      </x:c>
      <x:c r="E2103" s="12" t="n">
        <x:v>3907.1999</x:v>
      </x:c>
      <x:c r="F2103" s="12" t="n">
        <x:v>3934.8486</x:v>
      </x:c>
      <x:c r="G2103" s="12" t="n">
        <x:v>3914.6956</x:v>
      </x:c>
      <x:c r="H2103" s="12" t="n">
        <x:v>20.153</x:v>
      </x:c>
      <x:c r="I2103" s="12" t="n">
        <x:v>0.5148</x:v>
      </x:c>
      <x:c r="J2103" s="12" t="n">
        <x:v>0.005134831721901653</x:v>
      </x:c>
      <x:c r="K2103" s="12" t="n">
        <x:v>152234674</x:v>
      </x:c>
      <x:c r="L2103" s="12" t="n">
        <x:v>266051442.613</x:v>
      </x:c>
      <x:c r="M2103" s="12" t="str">
        <x:v>TuShare index_daily</x:v>
      </x:c>
    </x:row>
    <x:row r="2104" ht="18" customHeight="1">
      <x:c r="A2104" s="13" t="n">
        <x:v>45741</x:v>
      </x:c>
      <x:c r="B2104" s="12" t="str">
        <x:v>000300.SH</x:v>
      </x:c>
      <x:c r="C2104" s="12" t="n">
        <x:v>3937.8975</x:v>
      </x:c>
      <x:c r="D2104" s="12" t="n">
        <x:v>3946.3574</x:v>
      </x:c>
      <x:c r="E2104" s="12" t="n">
        <x:v>3921.5287</x:v>
      </x:c>
      <x:c r="F2104" s="12" t="n">
        <x:v>3932.2951</x:v>
      </x:c>
      <x:c r="G2104" s="12" t="n">
        <x:v>3934.8486</x:v>
      </x:c>
      <x:c r="H2104" s="12" t="n">
        <x:v>-2.5535</x:v>
      </x:c>
      <x:c r="I2104" s="12" t="n">
        <x:v>-0.0649</x:v>
      </x:c>
      <x:c r="J2104" s="12" t="n">
        <x:v>-0.0006491555733679615</x:v>
      </x:c>
      <x:c r="K2104" s="12" t="n">
        <x:v>140475399</x:v>
      </x:c>
      <x:c r="L2104" s="12" t="n">
        <x:v>239246310.986</x:v>
      </x:c>
      <x:c r="M2104" s="12" t="str">
        <x:v>TuShare index_daily</x:v>
      </x:c>
    </x:row>
    <x:row r="2105" ht="18" customHeight="1">
      <x:c r="A2105" s="13" t="n">
        <x:v>45742</x:v>
      </x:c>
      <x:c r="B2105" s="12" t="str">
        <x:v>000300.SH</x:v>
      </x:c>
      <x:c r="C2105" s="12" t="n">
        <x:v>3930.2073</x:v>
      </x:c>
      <x:c r="D2105" s="12" t="n">
        <x:v>3942.026</x:v>
      </x:c>
      <x:c r="E2105" s="12" t="n">
        <x:v>3916.8607</x:v>
      </x:c>
      <x:c r="F2105" s="12" t="n">
        <x:v>3919.3566</x:v>
      </x:c>
      <x:c r="G2105" s="12" t="n">
        <x:v>3932.2951</x:v>
      </x:c>
      <x:c r="H2105" s="12" t="n">
        <x:v>-12.9385</x:v>
      </x:c>
      <x:c r="I2105" s="12" t="n">
        <x:v>-0.329</x:v>
      </x:c>
      <x:c r="J2105" s="12" t="n">
        <x:v>-0.0032957426553727287</x:v>
      </x:c>
      <x:c r="K2105" s="12" t="n">
        <x:v>131164187</x:v>
      </x:c>
      <x:c r="L2105" s="12" t="n">
        <x:v>220943164.486</x:v>
      </x:c>
      <x:c r="M2105" s="12" t="str">
        <x:v>TuShare index_daily</x:v>
      </x:c>
    </x:row>
    <x:row r="2106" ht="18" customHeight="1">
      <x:c r="A2106" s="13" t="n">
        <x:v>45743</x:v>
      </x:c>
      <x:c r="B2106" s="12" t="str">
        <x:v>000300.SH</x:v>
      </x:c>
      <x:c r="C2106" s="12" t="n">
        <x:v>3911.3841</x:v>
      </x:c>
      <x:c r="D2106" s="12" t="n">
        <x:v>3952.9852</x:v>
      </x:c>
      <x:c r="E2106" s="12" t="n">
        <x:v>3903.652</x:v>
      </x:c>
      <x:c r="F2106" s="12" t="n">
        <x:v>3932.4117</x:v>
      </x:c>
      <x:c r="G2106" s="12" t="n">
        <x:v>3919.3566</x:v>
      </x:c>
      <x:c r="H2106" s="12" t="n">
        <x:v>13.0551</x:v>
      </x:c>
      <x:c r="I2106" s="12" t="n">
        <x:v>0.3331</x:v>
      </x:c>
      <x:c r="J2106" s="12" t="n">
        <x:v>0.0033253941104043395</x:v>
      </x:c>
      <x:c r="K2106" s="12" t="n">
        <x:v>126793738</x:v>
      </x:c>
      <x:c r="L2106" s="12" t="n">
        <x:v>232173613.774</x:v>
      </x:c>
      <x:c r="M2106" s="12" t="str">
        <x:v>TuShare index_daily</x:v>
      </x:c>
    </x:row>
    <x:row r="2107" ht="18" customHeight="1">
      <x:c r="A2107" s="13" t="n">
        <x:v>45744</x:v>
      </x:c>
      <x:c r="B2107" s="12" t="str">
        <x:v>000300.SH</x:v>
      </x:c>
      <x:c r="C2107" s="12" t="n">
        <x:v>3930.7763</x:v>
      </x:c>
      <x:c r="D2107" s="12" t="n">
        <x:v>3934.2336</x:v>
      </x:c>
      <x:c r="E2107" s="12" t="n">
        <x:v>3907.384</x:v>
      </x:c>
      <x:c r="F2107" s="12" t="n">
        <x:v>3915.1662</x:v>
      </x:c>
      <x:c r="G2107" s="12" t="n">
        <x:v>3932.4117</x:v>
      </x:c>
      <x:c r="H2107" s="12" t="n">
        <x:v>-17.2455</x:v>
      </x:c>
      <x:c r="I2107" s="12" t="n">
        <x:v>-0.4385</x:v>
      </x:c>
      <x:c r="J2107" s="12" t="n">
        <x:v>-0.004395121139495452</x:v>
      </x:c>
      <x:c r="K2107" s="12" t="n">
        <x:v>126356214</x:v>
      </x:c>
      <x:c r="L2107" s="12" t="n">
        <x:v>213379194.289</x:v>
      </x:c>
      <x:c r="M2107" s="12" t="str">
        <x:v>TuShare index_daily</x:v>
      </x:c>
    </x:row>
    <x:row r="2108" ht="18" customHeight="1">
      <x:c r="A2108" s="13" t="n">
        <x:v>45747</x:v>
      </x:c>
      <x:c r="B2108" s="12" t="str">
        <x:v>000300.SH</x:v>
      </x:c>
      <x:c r="C2108" s="12" t="n">
        <x:v>3905.9815</x:v>
      </x:c>
      <x:c r="D2108" s="12" t="n">
        <x:v>3928.4482</x:v>
      </x:c>
      <x:c r="E2108" s="12" t="n">
        <x:v>3872.403</x:v>
      </x:c>
      <x:c r="F2108" s="12" t="n">
        <x:v>3887.3056</x:v>
      </x:c>
      <x:c r="G2108" s="12" t="n">
        <x:v>3915.1662</x:v>
      </x:c>
      <x:c r="H2108" s="12" t="n">
        <x:v>-27.8606</x:v>
      </x:c>
      <x:c r="I2108" s="12" t="n">
        <x:v>-0.7116</x:v>
      </x:c>
      <x:c r="J2108" s="12" t="n">
        <x:v>-0.007141510824859772</x:v>
      </x:c>
      <x:c r="K2108" s="12" t="n">
        <x:v>166798523</x:v>
      </x:c>
      <x:c r="L2108" s="12" t="n">
        <x:v>268480316.572</x:v>
      </x:c>
      <x:c r="M2108" s="12" t="str">
        <x:v>TuShare index_daily</x:v>
      </x:c>
    </x:row>
    <x:row r="2109" ht="18" customHeight="1">
      <x:c r="A2109" s="13" t="n">
        <x:v>45748</x:v>
      </x:c>
      <x:c r="B2109" s="12" t="str">
        <x:v>000300.SH</x:v>
      </x:c>
      <x:c r="C2109" s="12" t="n">
        <x:v>3892.7794</x:v>
      </x:c>
      <x:c r="D2109" s="12" t="n">
        <x:v>3905.2622</x:v>
      </x:c>
      <x:c r="E2109" s="12" t="n">
        <x:v>3882.4045</x:v>
      </x:c>
      <x:c r="F2109" s="12" t="n">
        <x:v>3887.6841</x:v>
      </x:c>
      <x:c r="G2109" s="12" t="n">
        <x:v>3887.3056</x:v>
      </x:c>
      <x:c r="H2109" s="12" t="n">
        <x:v>0.3785</x:v>
      </x:c>
      <x:c r="I2109" s="12" t="n">
        <x:v>0.0097</x:v>
      </x:c>
      <x:c r="J2109" s="12" t="n">
        <x:v>0.00009736347311147538</x:v>
      </x:c>
      <x:c r="K2109" s="12" t="n">
        <x:v>140380274</x:v>
      </x:c>
      <x:c r="L2109" s="12" t="n">
        <x:v>246041674.67</x:v>
      </x:c>
      <x:c r="M2109" s="12" t="str">
        <x:v>TuShare index_daily</x:v>
      </x:c>
    </x:row>
    <x:row r="2110" ht="18" customHeight="1">
      <x:c r="A2110" s="13" t="n">
        <x:v>45749</x:v>
      </x:c>
      <x:c r="B2110" s="12" t="str">
        <x:v>000300.SH</x:v>
      </x:c>
      <x:c r="C2110" s="12" t="n">
        <x:v>3884.4181</x:v>
      </x:c>
      <x:c r="D2110" s="12" t="n">
        <x:v>3900.4949</x:v>
      </x:c>
      <x:c r="E2110" s="12" t="n">
        <x:v>3877.1599</x:v>
      </x:c>
      <x:c r="F2110" s="12" t="n">
        <x:v>3884.3858</x:v>
      </x:c>
      <x:c r="G2110" s="12" t="n">
        <x:v>3887.6841</x:v>
      </x:c>
      <x:c r="H2110" s="12" t="n">
        <x:v>-3.2983</x:v>
      </x:c>
      <x:c r="I2110" s="12" t="n">
        <x:v>-0.0848</x:v>
      </x:c>
      <x:c r="J2110" s="12" t="n">
        <x:v>-0.000848757214086465</x:v>
      </x:c>
      <x:c r="K2110" s="12" t="n">
        <x:v>113043175</x:v>
      </x:c>
      <x:c r="L2110" s="12" t="n">
        <x:v>198267515.342</x:v>
      </x:c>
      <x:c r="M2110" s="12" t="str">
        <x:v>TuShare index_daily</x:v>
      </x:c>
    </x:row>
    <x:row r="2111" ht="18" customHeight="1">
      <x:c r="A2111" s="13" t="n">
        <x:v>45750</x:v>
      </x:c>
      <x:c r="B2111" s="12" t="str">
        <x:v>000300.SH</x:v>
      </x:c>
      <x:c r="C2111" s="12" t="n">
        <x:v>3843.4177</x:v>
      </x:c>
      <x:c r="D2111" s="12" t="n">
        <x:v>3883.7025</x:v>
      </x:c>
      <x:c r="E2111" s="12" t="n">
        <x:v>3843.4177</x:v>
      </x:c>
      <x:c r="F2111" s="12" t="n">
        <x:v>3861.5034</x:v>
      </x:c>
      <x:c r="G2111" s="12" t="n">
        <x:v>3884.3858</x:v>
      </x:c>
      <x:c r="H2111" s="12" t="n">
        <x:v>-22.8824</x:v>
      </x:c>
      <x:c r="I2111" s="12" t="n">
        <x:v>-0.5891</x:v>
      </x:c>
      <x:c r="J2111" s="12" t="n">
        <x:v>-0.005908286569494701</x:v>
      </x:c>
      <x:c r="K2111" s="12" t="n">
        <x:v>142599789</x:v>
      </x:c>
      <x:c r="L2111" s="12" t="n">
        <x:v>263684681.545</x:v>
      </x:c>
      <x:c r="M2111" s="12" t="str">
        <x:v>TuShare index_daily</x:v>
      </x:c>
    </x:row>
    <x:row r="2112" ht="18" customHeight="1">
      <x:c r="A2112" s="13" t="n">
        <x:v>45754</x:v>
      </x:c>
      <x:c r="B2112" s="12" t="str">
        <x:v>000300.SH</x:v>
      </x:c>
      <x:c r="C2112" s="12" t="n">
        <x:v>3675.2017</x:v>
      </x:c>
      <x:c r="D2112" s="12" t="n">
        <x:v>3707.7771</x:v>
      </x:c>
      <x:c r="E2112" s="12" t="n">
        <x:v>3514.1165</x:v>
      </x:c>
      <x:c r="F2112" s="12" t="n">
        <x:v>3589.4406</x:v>
      </x:c>
      <x:c r="G2112" s="12" t="n">
        <x:v>3861.5034</x:v>
      </x:c>
      <x:c r="H2112" s="12" t="n">
        <x:v>-272.0628</x:v>
      </x:c>
      <x:c r="I2112" s="12" t="n">
        <x:v>-7.0455</x:v>
      </x:c>
      <x:c r="J2112" s="12" t="n">
        <x:v>-0.07306022088195</x:v>
      </x:c>
      <x:c r="K2112" s="12" t="n">
        <x:v>312578586</x:v>
      </x:c>
      <x:c r="L2112" s="12" t="n">
        <x:v>512971787.745</x:v>
      </x:c>
      <x:c r="M2112" s="12" t="str">
        <x:v>TuShare index_daily</x:v>
      </x:c>
    </x:row>
    <x:row r="2113" ht="18" customHeight="1">
      <x:c r="A2113" s="13" t="n">
        <x:v>45755</x:v>
      </x:c>
      <x:c r="B2113" s="12" t="str">
        <x:v>000300.SH</x:v>
      </x:c>
      <x:c r="C2113" s="12" t="n">
        <x:v>3597.9859</x:v>
      </x:c>
      <x:c r="D2113" s="12" t="n">
        <x:v>3650.759</x:v>
      </x:c>
      <x:c r="E2113" s="12" t="n">
        <x:v>3583.8746</x:v>
      </x:c>
      <x:c r="F2113" s="12" t="n">
        <x:v>3650.759</x:v>
      </x:c>
      <x:c r="G2113" s="12" t="n">
        <x:v>3589.4406</x:v>
      </x:c>
      <x:c r="H2113" s="12" t="n">
        <x:v>61.3184</x:v>
      </x:c>
      <x:c r="I2113" s="12" t="n">
        <x:v>1.7083</x:v>
      </x:c>
      <x:c r="J2113" s="12" t="n">
        <x:v>0.016938722550570866</x:v>
      </x:c>
      <x:c r="K2113" s="12" t="n">
        <x:v>280197312</x:v>
      </x:c>
      <x:c r="L2113" s="12" t="n">
        <x:v>464021087.838</x:v>
      </x:c>
      <x:c r="M2113" s="12" t="str">
        <x:v>TuShare index_daily</x:v>
      </x:c>
    </x:row>
    <x:row r="2114" ht="18" customHeight="1">
      <x:c r="A2114" s="13" t="n">
        <x:v>45756</x:v>
      </x:c>
      <x:c r="B2114" s="12" t="str">
        <x:v>000300.SH</x:v>
      </x:c>
      <x:c r="C2114" s="12" t="n">
        <x:v>3606.1036</x:v>
      </x:c>
      <x:c r="D2114" s="12" t="n">
        <x:v>3686.7943</x:v>
      </x:c>
      <x:c r="E2114" s="12" t="n">
        <x:v>3587.3368</x:v>
      </x:c>
      <x:c r="F2114" s="12" t="n">
        <x:v>3686.7943</x:v>
      </x:c>
      <x:c r="G2114" s="12" t="n">
        <x:v>3650.759</x:v>
      </x:c>
      <x:c r="H2114" s="12" t="n">
        <x:v>36.0353</x:v>
      </x:c>
      <x:c r="I2114" s="12" t="n">
        <x:v>0.9871</x:v>
      </x:c>
      <x:c r="J2114" s="12" t="n">
        <x:v>0.009822235897704312</x:v>
      </x:c>
      <x:c r="K2114" s="12" t="n">
        <x:v>262305708</x:v>
      </x:c>
      <x:c r="L2114" s="12" t="n">
        <x:v>455031069.29</x:v>
      </x:c>
      <x:c r="M2114" s="12" t="str">
        <x:v>TuShare index_daily</x:v>
      </x:c>
    </x:row>
    <x:row r="2115" ht="18" customHeight="1">
      <x:c r="A2115" s="13" t="n">
        <x:v>45757</x:v>
      </x:c>
      <x:c r="B2115" s="12" t="str">
        <x:v>000300.SH</x:v>
      </x:c>
      <x:c r="C2115" s="12" t="n">
        <x:v>3749.1262</x:v>
      </x:c>
      <x:c r="D2115" s="12" t="n">
        <x:v>3756.1386</x:v>
      </x:c>
      <x:c r="E2115" s="12" t="n">
        <x:v>3708.8194</x:v>
      </x:c>
      <x:c r="F2115" s="12" t="n">
        <x:v>3735.1151</x:v>
      </x:c>
      <x:c r="G2115" s="12" t="n">
        <x:v>3686.7943</x:v>
      </x:c>
      <x:c r="H2115" s="12" t="n">
        <x:v>48.3208</x:v>
      </x:c>
      <x:c r="I2115" s="12" t="n">
        <x:v>1.3106</x:v>
      </x:c>
      <x:c r="J2115" s="12" t="n">
        <x:v>0.013021307629714781</x:v>
      </x:c>
      <x:c r="K2115" s="12" t="n">
        <x:v>227252227</x:v>
      </x:c>
      <x:c r="L2115" s="12" t="n">
        <x:v>403842564.856</x:v>
      </x:c>
      <x:c r="M2115" s="12" t="str">
        <x:v>TuShare index_daily</x:v>
      </x:c>
    </x:row>
    <x:row r="2116" ht="18" customHeight="1">
      <x:c r="A2116" s="13" t="n">
        <x:v>45758</x:v>
      </x:c>
      <x:c r="B2116" s="12" t="str">
        <x:v>000300.SH</x:v>
      </x:c>
      <x:c r="C2116" s="12" t="n">
        <x:v>3730.3148</x:v>
      </x:c>
      <x:c r="D2116" s="12" t="n">
        <x:v>3762.3653</x:v>
      </x:c>
      <x:c r="E2116" s="12" t="n">
        <x:v>3708.4617</x:v>
      </x:c>
      <x:c r="F2116" s="12" t="n">
        <x:v>3750.5167</x:v>
      </x:c>
      <x:c r="G2116" s="12" t="n">
        <x:v>3735.1151</x:v>
      </x:c>
      <x:c r="H2116" s="12" t="n">
        <x:v>15.4016</x:v>
      </x:c>
      <x:c r="I2116" s="12" t="n">
        <x:v>0.4123</x:v>
      </x:c>
      <x:c r="J2116" s="12" t="n">
        <x:v>0.00411498244758409</x:v>
      </x:c>
      <x:c r="K2116" s="12" t="n">
        <x:v>168759691</x:v>
      </x:c>
      <x:c r="L2116" s="12" t="n">
        <x:v>318535141.904</x:v>
      </x:c>
      <x:c r="M2116" s="12" t="str">
        <x:v>TuShare index_daily</x:v>
      </x:c>
    </x:row>
    <x:row r="2117" ht="18" customHeight="1">
      <x:c r="A2117" s="13" t="n">
        <x:v>45761</x:v>
      </x:c>
      <x:c r="B2117" s="12" t="str">
        <x:v>000300.SH</x:v>
      </x:c>
      <x:c r="C2117" s="12" t="n">
        <x:v>3772.0407</x:v>
      </x:c>
      <x:c r="D2117" s="12" t="n">
        <x:v>3776.6344</x:v>
      </x:c>
      <x:c r="E2117" s="12" t="n">
        <x:v>3754.033</x:v>
      </x:c>
      <x:c r="F2117" s="12" t="n">
        <x:v>3759.1422</x:v>
      </x:c>
      <x:c r="G2117" s="12" t="n">
        <x:v>3750.5167</x:v>
      </x:c>
      <x:c r="H2117" s="12" t="n">
        <x:v>8.6255</x:v>
      </x:c>
      <x:c r="I2117" s="12" t="n">
        <x:v>0.23</x:v>
      </x:c>
      <x:c r="J2117" s="12" t="n">
        <x:v>0.002297175919155268</x:v>
      </x:c>
      <x:c r="K2117" s="12" t="n">
        <x:v>164462403</x:v>
      </x:c>
      <x:c r="L2117" s="12" t="n">
        <x:v>292571297.039</x:v>
      </x:c>
      <x:c r="M2117" s="12" t="str">
        <x:v>TuShare index_daily</x:v>
      </x:c>
    </x:row>
    <x:row r="2118" ht="18" customHeight="1">
      <x:c r="A2118" s="13" t="n">
        <x:v>45762</x:v>
      </x:c>
      <x:c r="B2118" s="12" t="str">
        <x:v>000300.SH</x:v>
      </x:c>
      <x:c r="C2118" s="12" t="n">
        <x:v>3756.4788</x:v>
      </x:c>
      <x:c r="D2118" s="12" t="n">
        <x:v>3764.486</x:v>
      </x:c>
      <x:c r="E2118" s="12" t="n">
        <x:v>3737.8495</x:v>
      </x:c>
      <x:c r="F2118" s="12" t="n">
        <x:v>3761.2348</x:v>
      </x:c>
      <x:c r="G2118" s="12" t="n">
        <x:v>3759.1422</x:v>
      </x:c>
      <x:c r="H2118" s="12" t="n">
        <x:v>2.0926</x:v>
      </x:c>
      <x:c r="I2118" s="12" t="n">
        <x:v>0.0557</x:v>
      </x:c>
      <x:c r="J2118" s="12" t="n">
        <x:v>0.0005565146678174699</x:v>
      </x:c>
      <x:c r="K2118" s="12" t="n">
        <x:v>134006040</x:v>
      </x:c>
      <x:c r="L2118" s="12" t="n">
        <x:v>228604621.376</x:v>
      </x:c>
      <x:c r="M2118" s="12" t="str">
        <x:v>TuShare index_daily</x:v>
      </x:c>
    </x:row>
    <x:row r="2119" ht="18" customHeight="1">
      <x:c r="A2119" s="13" t="n">
        <x:v>45763</x:v>
      </x:c>
      <x:c r="B2119" s="12" t="str">
        <x:v>000300.SH</x:v>
      </x:c>
      <x:c r="C2119" s="12" t="n">
        <x:v>3757.8757</x:v>
      </x:c>
      <x:c r="D2119" s="12" t="n">
        <x:v>3775.1661</x:v>
      </x:c>
      <x:c r="E2119" s="12" t="n">
        <x:v>3721.6025</x:v>
      </x:c>
      <x:c r="F2119" s="12" t="n">
        <x:v>3772.8204</x:v>
      </x:c>
      <x:c r="G2119" s="12" t="n">
        <x:v>3761.2348</x:v>
      </x:c>
      <x:c r="H2119" s="12" t="n">
        <x:v>11.5856</x:v>
      </x:c>
      <x:c r="I2119" s="12" t="n">
        <x:v>0.308</x:v>
      </x:c>
      <x:c r="J2119" s="12" t="n">
        <x:v>0.0030755307267302905</x:v>
      </x:c>
      <x:c r="K2119" s="12" t="n">
        <x:v>156359006</x:v>
      </x:c>
      <x:c r="L2119" s="12" t="n">
        <x:v>261711094.769</x:v>
      </x:c>
      <x:c r="M2119" s="12" t="str">
        <x:v>TuShare index_daily</x:v>
      </x:c>
    </x:row>
    <x:row r="2120" ht="18" customHeight="1">
      <x:c r="A2120" s="13" t="n">
        <x:v>45764</x:v>
      </x:c>
      <x:c r="B2120" s="12" t="str">
        <x:v>000300.SH</x:v>
      </x:c>
      <x:c r="C2120" s="12" t="n">
        <x:v>3755.0862</x:v>
      </x:c>
      <x:c r="D2120" s="12" t="n">
        <x:v>3779.1253</x:v>
      </x:c>
      <x:c r="E2120" s="12" t="n">
        <x:v>3749.504</x:v>
      </x:c>
      <x:c r="F2120" s="12" t="n">
        <x:v>3772.2221</x:v>
      </x:c>
      <x:c r="G2120" s="12" t="n">
        <x:v>3772.8204</x:v>
      </x:c>
      <x:c r="H2120" s="12" t="n">
        <x:v>-0.5983</x:v>
      </x:c>
      <x:c r="I2120" s="12" t="n">
        <x:v>-0.0159</x:v>
      </x:c>
      <x:c r="J2120" s="12" t="n">
        <x:v>-0.0001585942030821602</x:v>
      </x:c>
      <x:c r="K2120" s="12" t="n">
        <x:v>122371002</x:v>
      </x:c>
      <x:c r="L2120" s="12" t="n">
        <x:v>209012323.066</x:v>
      </x:c>
      <x:c r="M2120" s="12" t="str">
        <x:v>TuShare index_daily</x:v>
      </x:c>
    </x:row>
    <x:row r="2121" ht="18" customHeight="1">
      <x:c r="A2121" s="13" t="n">
        <x:v>45765</x:v>
      </x:c>
      <x:c r="B2121" s="12" t="str">
        <x:v>000300.SH</x:v>
      </x:c>
      <x:c r="C2121" s="12" t="n">
        <x:v>3760.0425</x:v>
      </x:c>
      <x:c r="D2121" s="12" t="n">
        <x:v>3782.0443</x:v>
      </x:c>
      <x:c r="E2121" s="12" t="n">
        <x:v>3754.4072</x:v>
      </x:c>
      <x:c r="F2121" s="12" t="n">
        <x:v>3772.523</x:v>
      </x:c>
      <x:c r="G2121" s="12" t="n">
        <x:v>3772.2221</x:v>
      </x:c>
      <x:c r="H2121" s="12" t="n">
        <x:v>0.3009</x:v>
      </x:c>
      <x:c r="I2121" s="12" t="n">
        <x:v>0.008</x:v>
      </x:c>
      <x:c r="J2121" s="12" t="n">
        <x:v>0.00007976412620213683</x:v>
      </x:c>
      <x:c r="K2121" s="12" t="n">
        <x:v>102948509</x:v>
      </x:c>
      <x:c r="L2121" s="12" t="n">
        <x:v>173109384.097</x:v>
      </x:c>
      <x:c r="M2121" s="12" t="str">
        <x:v>TuShare index_daily</x:v>
      </x:c>
    </x:row>
    <x:row r="2122" ht="18" customHeight="1">
      <x:c r="A2122" s="13" t="n">
        <x:v>45768</x:v>
      </x:c>
      <x:c r="B2122" s="12" t="str">
        <x:v>000300.SH</x:v>
      </x:c>
      <x:c r="C2122" s="12" t="n">
        <x:v>3768.1421</x:v>
      </x:c>
      <x:c r="D2122" s="12" t="n">
        <x:v>3790.1782</x:v>
      </x:c>
      <x:c r="E2122" s="12" t="n">
        <x:v>3763.1383</x:v>
      </x:c>
      <x:c r="F2122" s="12" t="n">
        <x:v>3784.8806</x:v>
      </x:c>
      <x:c r="G2122" s="12" t="n">
        <x:v>3772.523</x:v>
      </x:c>
      <x:c r="H2122" s="12" t="n">
        <x:v>12.3576</x:v>
      </x:c>
      <x:c r="I2122" s="12" t="n">
        <x:v>0.3276</x:v>
      </x:c>
      <x:c r="J2122" s="12" t="n">
        <x:v>0.003270332423105079</x:v>
      </x:c>
      <x:c r="K2122" s="12" t="n">
        <x:v>121355730</x:v>
      </x:c>
      <x:c r="L2122" s="12" t="n">
        <x:v>208085677.382</x:v>
      </x:c>
      <x:c r="M2122" s="12" t="str">
        <x:v>TuShare index_daily</x:v>
      </x:c>
    </x:row>
    <x:row r="2123" ht="18" customHeight="1">
      <x:c r="A2123" s="13" t="n">
        <x:v>45769</x:v>
      </x:c>
      <x:c r="B2123" s="12" t="str">
        <x:v>000300.SH</x:v>
      </x:c>
      <x:c r="C2123" s="12" t="n">
        <x:v>3780.1122</x:v>
      </x:c>
      <x:c r="D2123" s="12" t="n">
        <x:v>3799.2295</x:v>
      </x:c>
      <x:c r="E2123" s="12" t="n">
        <x:v>3778.0791</x:v>
      </x:c>
      <x:c r="F2123" s="12" t="n">
        <x:v>3783.9522</x:v>
      </x:c>
      <x:c r="G2123" s="12" t="n">
        <x:v>3784.8806</x:v>
      </x:c>
      <x:c r="H2123" s="12" t="n">
        <x:v>-0.9284</x:v>
      </x:c>
      <x:c r="I2123" s="12" t="n">
        <x:v>-0.0245</x:v>
      </x:c>
      <x:c r="J2123" s="12" t="n">
        <x:v>-0.000245321842664046</x:v>
      </x:c>
      <x:c r="K2123" s="12" t="n">
        <x:v>125688257</x:v>
      </x:c>
      <x:c r="L2123" s="12" t="n">
        <x:v>210200698.794</x:v>
      </x:c>
      <x:c r="M2123" s="12" t="str">
        <x:v>TuShare index_daily</x:v>
      </x:c>
    </x:row>
    <x:row r="2124" ht="18" customHeight="1">
      <x:c r="A2124" s="13" t="n">
        <x:v>45770</x:v>
      </x:c>
      <x:c r="B2124" s="12" t="str">
        <x:v>000300.SH</x:v>
      </x:c>
      <x:c r="C2124" s="12" t="n">
        <x:v>3803.4295</x:v>
      </x:c>
      <x:c r="D2124" s="12" t="n">
        <x:v>3807.9536</x:v>
      </x:c>
      <x:c r="E2124" s="12" t="n">
        <x:v>3780.5183</x:v>
      </x:c>
      <x:c r="F2124" s="12" t="n">
        <x:v>3786.8824</x:v>
      </x:c>
      <x:c r="G2124" s="12" t="n">
        <x:v>3783.9522</x:v>
      </x:c>
      <x:c r="H2124" s="12" t="n">
        <x:v>2.9302</x:v>
      </x:c>
      <x:c r="I2124" s="12" t="n">
        <x:v>0.0774</x:v>
      </x:c>
      <x:c r="J2124" s="12" t="n">
        <x:v>0.0007740758585090369</x:v>
      </x:c>
      <x:c r="K2124" s="12" t="n">
        <x:v>131986870</x:v>
      </x:c>
      <x:c r="L2124" s="12" t="n">
        <x:v>247117386.122</x:v>
      </x:c>
      <x:c r="M2124" s="12" t="str">
        <x:v>TuShare index_daily</x:v>
      </x:c>
    </x:row>
    <x:row r="2125" ht="18" customHeight="1">
      <x:c r="A2125" s="13" t="n">
        <x:v>45771</x:v>
      </x:c>
      <x:c r="B2125" s="12" t="str">
        <x:v>000300.SH</x:v>
      </x:c>
      <x:c r="C2125" s="12" t="n">
        <x:v>3787.459</x:v>
      </x:c>
      <x:c r="D2125" s="12" t="n">
        <x:v>3807.2599</x:v>
      </x:c>
      <x:c r="E2125" s="12" t="n">
        <x:v>3775.207</x:v>
      </x:c>
      <x:c r="F2125" s="12" t="n">
        <x:v>3784.3574</x:v>
      </x:c>
      <x:c r="G2125" s="12" t="n">
        <x:v>3786.8824</x:v>
      </x:c>
      <x:c r="H2125" s="12" t="n">
        <x:v>-2.525</x:v>
      </x:c>
      <x:c r="I2125" s="12" t="n">
        <x:v>-0.0667</x:v>
      </x:c>
      <x:c r="J2125" s="12" t="n">
        <x:v>-0.0006669977864422178</x:v>
      </x:c>
      <x:c r="K2125" s="12" t="n">
        <x:v>117164560</x:v>
      </x:c>
      <x:c r="L2125" s="12" t="n">
        <x:v>205483051.375</x:v>
      </x:c>
      <x:c r="M2125" s="12" t="str">
        <x:v>TuShare index_daily</x:v>
      </x:c>
    </x:row>
    <x:row r="2126" ht="18" customHeight="1">
      <x:c r="A2126" s="13" t="n">
        <x:v>45772</x:v>
      </x:c>
      <x:c r="B2126" s="12" t="str">
        <x:v>000300.SH</x:v>
      </x:c>
      <x:c r="C2126" s="12" t="n">
        <x:v>3792.0838</x:v>
      </x:c>
      <x:c r="D2126" s="12" t="n">
        <x:v>3801.5765</x:v>
      </x:c>
      <x:c r="E2126" s="12" t="n">
        <x:v>3780.7772</x:v>
      </x:c>
      <x:c r="F2126" s="12" t="n">
        <x:v>3786.9937</x:v>
      </x:c>
      <x:c r="G2126" s="12" t="n">
        <x:v>3784.3574</x:v>
      </x:c>
      <x:c r="H2126" s="12" t="n">
        <x:v>2.6363</x:v>
      </x:c>
      <x:c r="I2126" s="12" t="n">
        <x:v>0.0697</x:v>
      </x:c>
      <x:c r="J2126" s="12" t="n">
        <x:v>0.0006963882857158247</x:v>
      </x:c>
      <x:c r="K2126" s="12" t="n">
        <x:v>124591133</x:v>
      </x:c>
      <x:c r="L2126" s="12" t="n">
        <x:v>220535052.619</x:v>
      </x:c>
      <x:c r="M2126" s="12" t="str">
        <x:v>TuShare index_daily</x:v>
      </x:c>
    </x:row>
    <x:row r="2127" ht="18" customHeight="1">
      <x:c r="A2127" s="13" t="n">
        <x:v>45775</x:v>
      </x:c>
      <x:c r="B2127" s="12" t="str">
        <x:v>000300.SH</x:v>
      </x:c>
      <x:c r="C2127" s="12" t="n">
        <x:v>3786.3867</x:v>
      </x:c>
      <x:c r="D2127" s="12" t="n">
        <x:v>3792.0082</x:v>
      </x:c>
      <x:c r="E2127" s="12" t="n">
        <x:v>3772.8029</x:v>
      </x:c>
      <x:c r="F2127" s="12" t="n">
        <x:v>3781.6188</x:v>
      </x:c>
      <x:c r="G2127" s="12" t="n">
        <x:v>3786.9937</x:v>
      </x:c>
      <x:c r="H2127" s="12" t="n">
        <x:v>-5.3749</x:v>
      </x:c>
      <x:c r="I2127" s="12" t="n">
        <x:v>-0.1419</x:v>
      </x:c>
      <x:c r="J2127" s="12" t="n">
        <x:v>-0.0014203134071299587</x:v>
      </x:c>
      <x:c r="K2127" s="12" t="n">
        <x:v>125145091</x:v>
      </x:c>
      <x:c r="L2127" s="12" t="n">
        <x:v>210635318.523</x:v>
      </x:c>
      <x:c r="M2127" s="12" t="str">
        <x:v>TuShare index_daily</x:v>
      </x:c>
    </x:row>
    <x:row r="2128" ht="18" customHeight="1">
      <x:c r="A2128" s="13" t="n">
        <x:v>45776</x:v>
      </x:c>
      <x:c r="B2128" s="12" t="str">
        <x:v>000300.SH</x:v>
      </x:c>
      <x:c r="C2128" s="12" t="n">
        <x:v>3776.0025</x:v>
      </x:c>
      <x:c r="D2128" s="12" t="n">
        <x:v>3785.3157</x:v>
      </x:c>
      <x:c r="E2128" s="12" t="n">
        <x:v>3768.0311</x:v>
      </x:c>
      <x:c r="F2128" s="12" t="n">
        <x:v>3775.0767</x:v>
      </x:c>
      <x:c r="G2128" s="12" t="n">
        <x:v>3781.6188</x:v>
      </x:c>
      <x:c r="H2128" s="12" t="n">
        <x:v>-6.5421</x:v>
      </x:c>
      <x:c r="I2128" s="12" t="n">
        <x:v>-0.173</x:v>
      </x:c>
      <x:c r="J2128" s="12" t="n">
        <x:v>-0.0017314715498146472</x:v>
      </x:c>
      <x:c r="K2128" s="12" t="n">
        <x:v>111514694</x:v>
      </x:c>
      <x:c r="L2128" s="12" t="n">
        <x:v>197462744.363</x:v>
      </x:c>
      <x:c r="M2128" s="12" t="str">
        <x:v>TuShare index_daily</x:v>
      </x:c>
    </x:row>
    <x:row r="2129" ht="18" customHeight="1">
      <x:c r="A2129" s="13" t="n">
        <x:v>45777</x:v>
      </x:c>
      <x:c r="B2129" s="12" t="str">
        <x:v>000300.SH</x:v>
      </x:c>
      <x:c r="C2129" s="12" t="n">
        <x:v>3775.8306</x:v>
      </x:c>
      <x:c r="D2129" s="12" t="n">
        <x:v>3787.5639</x:v>
      </x:c>
      <x:c r="E2129" s="12" t="n">
        <x:v>3768.7573</x:v>
      </x:c>
      <x:c r="F2129" s="12" t="n">
        <x:v>3770.5705</x:v>
      </x:c>
      <x:c r="G2129" s="12" t="n">
        <x:v>3775.0767</x:v>
      </x:c>
      <x:c r="H2129" s="12" t="n">
        <x:v>-4.5062</x:v>
      </x:c>
      <x:c r="I2129" s="12" t="n">
        <x:v>-0.1194</x:v>
      </x:c>
      <x:c r="J2129" s="12" t="n">
        <x:v>-0.0011943841041746196</x:v>
      </x:c>
      <x:c r="K2129" s="12" t="n">
        <x:v>143681658</x:v>
      </x:c>
      <x:c r="L2129" s="12" t="n">
        <x:v>244820462.218</x:v>
      </x:c>
      <x:c r="M2129" s="12" t="str">
        <x:v>TuShare index_daily</x:v>
      </x:c>
    </x:row>
    <x:row r="2130" ht="18" customHeight="1">
      <x:c r="A2130" s="13" t="n">
        <x:v>45783</x:v>
      </x:c>
      <x:c r="B2130" s="12" t="str">
        <x:v>000300.SH</x:v>
      </x:c>
      <x:c r="C2130" s="12" t="n">
        <x:v>3794.3757</x:v>
      </x:c>
      <x:c r="D2130" s="12" t="n">
        <x:v>3809.0939</x:v>
      </x:c>
      <x:c r="E2130" s="12" t="n">
        <x:v>3782.777</x:v>
      </x:c>
      <x:c r="F2130" s="12" t="n">
        <x:v>3808.5424</x:v>
      </x:c>
      <x:c r="G2130" s="12" t="n">
        <x:v>3770.5705</x:v>
      </x:c>
      <x:c r="H2130" s="12" t="n">
        <x:v>37.9719</x:v>
      </x:c>
      <x:c r="I2130" s="12" t="n">
        <x:v>1.0071</x:v>
      </x:c>
      <x:c r="J2130" s="12" t="n">
        <x:v>0.010020227489523251</x:v>
      </x:c>
      <x:c r="K2130" s="12" t="n">
        <x:v>158520459</x:v>
      </x:c>
      <x:c r="L2130" s="12" t="n">
        <x:v>267937090.757</x:v>
      </x:c>
      <x:c r="M2130" s="12" t="str">
        <x:v>TuShare index_daily</x:v>
      </x:c>
    </x:row>
    <x:row r="2131" ht="18" customHeight="1">
      <x:c r="A2131" s="13" t="n">
        <x:v>45784</x:v>
      </x:c>
      <x:c r="B2131" s="12" t="str">
        <x:v>000300.SH</x:v>
      </x:c>
      <x:c r="C2131" s="12" t="n">
        <x:v>3861.5767</x:v>
      </x:c>
      <x:c r="D2131" s="12" t="n">
        <x:v>3863.6776</x:v>
      </x:c>
      <x:c r="E2131" s="12" t="n">
        <x:v>3814.9868</x:v>
      </x:c>
      <x:c r="F2131" s="12" t="n">
        <x:v>3831.627</x:v>
      </x:c>
      <x:c r="G2131" s="12" t="n">
        <x:v>3808.5424</x:v>
      </x:c>
      <x:c r="H2131" s="12" t="n">
        <x:v>23.0846</x:v>
      </x:c>
      <x:c r="I2131" s="12" t="n">
        <x:v>0.6061</x:v>
      </x:c>
      <x:c r="J2131" s="12" t="n">
        <x:v>0.006042973405624675</x:v>
      </x:c>
      <x:c r="K2131" s="12" t="n">
        <x:v>161172299</x:v>
      </x:c>
      <x:c r="L2131" s="12" t="n">
        <x:v>286010735.453</x:v>
      </x:c>
      <x:c r="M2131" s="12" t="str">
        <x:v>TuShare index_daily</x:v>
      </x:c>
    </x:row>
    <x:row r="2132" ht="18" customHeight="1">
      <x:c r="A2132" s="13" t="n">
        <x:v>45785</x:v>
      </x:c>
      <x:c r="B2132" s="12" t="str">
        <x:v>000300.SH</x:v>
      </x:c>
      <x:c r="C2132" s="12" t="n">
        <x:v>3820.5481</x:v>
      </x:c>
      <x:c r="D2132" s="12" t="n">
        <x:v>3867.3313</x:v>
      </x:c>
      <x:c r="E2132" s="12" t="n">
        <x:v>3816.2642</x:v>
      </x:c>
      <x:c r="F2132" s="12" t="n">
        <x:v>3852.8963</x:v>
      </x:c>
      <x:c r="G2132" s="12" t="n">
        <x:v>3831.627</x:v>
      </x:c>
      <x:c r="H2132" s="12" t="n">
        <x:v>21.2693</x:v>
      </x:c>
      <x:c r="I2132" s="12" t="n">
        <x:v>0.5551</x:v>
      </x:c>
      <x:c r="J2132" s="12" t="n">
        <x:v>0.005535634022564487</x:v>
      </x:c>
      <x:c r="K2132" s="12" t="n">
        <x:v>124959833</x:v>
      </x:c>
      <x:c r="L2132" s="12" t="n">
        <x:v>246987280.588</x:v>
      </x:c>
      <x:c r="M2132" s="12" t="str">
        <x:v>TuShare index_daily</x:v>
      </x:c>
    </x:row>
    <x:row r="2133" ht="18" customHeight="1">
      <x:c r="A2133" s="13" t="n">
        <x:v>45786</x:v>
      </x:c>
      <x:c r="B2133" s="12" t="str">
        <x:v>000300.SH</x:v>
      </x:c>
      <x:c r="C2133" s="12" t="n">
        <x:v>3848.6187</x:v>
      </x:c>
      <x:c r="D2133" s="12" t="n">
        <x:v>3853.6632</x:v>
      </x:c>
      <x:c r="E2133" s="12" t="n">
        <x:v>3836.5349</x:v>
      </x:c>
      <x:c r="F2133" s="12" t="n">
        <x:v>3846.1566</x:v>
      </x:c>
      <x:c r="G2133" s="12" t="n">
        <x:v>3852.8963</x:v>
      </x:c>
      <x:c r="H2133" s="12" t="n">
        <x:v>-6.7397</x:v>
      </x:c>
      <x:c r="I2133" s="12" t="n">
        <x:v>-0.1749</x:v>
      </x:c>
      <x:c r="J2133" s="12" t="n">
        <x:v>-0.00175078722256223</x:v>
      </x:c>
      <x:c r="K2133" s="12" t="n">
        <x:v>119389526</x:v>
      </x:c>
      <x:c r="L2133" s="12" t="n">
        <x:v>216697939.672</x:v>
      </x:c>
      <x:c r="M2133" s="12" t="str">
        <x:v>TuShare index_daily</x:v>
      </x:c>
    </x:row>
    <x:row r="2134" ht="18" customHeight="1">
      <x:c r="A2134" s="13" t="n">
        <x:v>45789</x:v>
      </x:c>
      <x:c r="B2134" s="12" t="str">
        <x:v>000300.SH</x:v>
      </x:c>
      <x:c r="C2134" s="12" t="n">
        <x:v>3866.5305</x:v>
      </x:c>
      <x:c r="D2134" s="12" t="n">
        <x:v>3890.7342</x:v>
      </x:c>
      <x:c r="E2134" s="12" t="n">
        <x:v>3859.0346</x:v>
      </x:c>
      <x:c r="F2134" s="12" t="n">
        <x:v>3890.6096</x:v>
      </x:c>
      <x:c r="G2134" s="12" t="n">
        <x:v>3846.1566</x:v>
      </x:c>
      <x:c r="H2134" s="12" t="n">
        <x:v>44.453</x:v>
      </x:c>
      <x:c r="I2134" s="12" t="n">
        <x:v>1.1558</x:v>
      </x:c>
      <x:c r="J2134" s="12" t="n">
        <x:v>0.011491490897917114</x:v>
      </x:c>
      <x:c r="K2134" s="12" t="n">
        <x:v>153332460</x:v>
      </x:c>
      <x:c r="L2134" s="12" t="n">
        <x:v>296122947.808</x:v>
      </x:c>
      <x:c r="M2134" s="12" t="str">
        <x:v>TuShare index_daily</x:v>
      </x:c>
    </x:row>
    <x:row r="2135" ht="18" customHeight="1">
      <x:c r="A2135" s="13" t="n">
        <x:v>45790</x:v>
      </x:c>
      <x:c r="B2135" s="12" t="str">
        <x:v>000300.SH</x:v>
      </x:c>
      <x:c r="C2135" s="12" t="n">
        <x:v>3915.5924</x:v>
      </x:c>
      <x:c r="D2135" s="12" t="n">
        <x:v>3915.5924</x:v>
      </x:c>
      <x:c r="E2135" s="12" t="n">
        <x:v>3890.6855</x:v>
      </x:c>
      <x:c r="F2135" s="12" t="n">
        <x:v>3896.2583</x:v>
      </x:c>
      <x:c r="G2135" s="12" t="n">
        <x:v>3890.6096</x:v>
      </x:c>
      <x:c r="H2135" s="12" t="n">
        <x:v>5.6487</x:v>
      </x:c>
      <x:c r="I2135" s="12" t="n">
        <x:v>0.1452</x:v>
      </x:c>
      <x:c r="J2135" s="12" t="n">
        <x:v>0.0014508274863194843</x:v>
      </x:c>
      <x:c r="K2135" s="12" t="n">
        <x:v>147320299</x:v>
      </x:c>
      <x:c r="L2135" s="12" t="n">
        <x:v>267586397.72</x:v>
      </x:c>
      <x:c r="M2135" s="12" t="str">
        <x:v>TuShare index_daily</x:v>
      </x:c>
    </x:row>
    <x:row r="2136" ht="18" customHeight="1">
      <x:c r="A2136" s="13" t="n">
        <x:v>45791</x:v>
      </x:c>
      <x:c r="B2136" s="12" t="str">
        <x:v>000300.SH</x:v>
      </x:c>
      <x:c r="C2136" s="12" t="n">
        <x:v>3894.8386</x:v>
      </x:c>
      <x:c r="D2136" s="12" t="n">
        <x:v>3960.5228</x:v>
      </x:c>
      <x:c r="E2136" s="12" t="n">
        <x:v>3890.6504</x:v>
      </x:c>
      <x:c r="F2136" s="12" t="n">
        <x:v>3943.2108</x:v>
      </x:c>
      <x:c r="G2136" s="12" t="n">
        <x:v>3896.2583</x:v>
      </x:c>
      <x:c r="H2136" s="12" t="n">
        <x:v>46.9525</x:v>
      </x:c>
      <x:c r="I2136" s="12" t="n">
        <x:v>1.2051</x:v>
      </x:c>
      <x:c r="J2136" s="12" t="n">
        <x:v>0.0119786329469608</x:v>
      </x:c>
      <x:c r="K2136" s="12" t="n">
        <x:v>172033779</x:v>
      </x:c>
      <x:c r="L2136" s="12" t="n">
        <x:v>319465226.851</x:v>
      </x:c>
      <x:c r="M2136" s="12" t="str">
        <x:v>TuShare index_daily</x:v>
      </x:c>
    </x:row>
    <x:row r="2137" ht="18" customHeight="1">
      <x:c r="A2137" s="13" t="n">
        <x:v>45792</x:v>
      </x:c>
      <x:c r="B2137" s="12" t="str">
        <x:v>000300.SH</x:v>
      </x:c>
      <x:c r="C2137" s="12" t="n">
        <x:v>3934.0273</x:v>
      </x:c>
      <x:c r="D2137" s="12" t="n">
        <x:v>3936.4653</x:v>
      </x:c>
      <x:c r="E2137" s="12" t="n">
        <x:v>3904.9068</x:v>
      </x:c>
      <x:c r="F2137" s="12" t="n">
        <x:v>3907.1992</x:v>
      </x:c>
      <x:c r="G2137" s="12" t="n">
        <x:v>3943.2108</x:v>
      </x:c>
      <x:c r="H2137" s="12" t="n">
        <x:v>-36.0116</x:v>
      </x:c>
      <x:c r="I2137" s="12" t="n">
        <x:v>-0.9133</x:v>
      </x:c>
      <x:c r="J2137" s="12" t="n">
        <x:v>-0.009174515113527595</x:v>
      </x:c>
      <x:c r="K2137" s="12" t="n">
        <x:v>138081749</x:v>
      </x:c>
      <x:c r="L2137" s="12" t="n">
        <x:v>241464943.554</x:v>
      </x:c>
      <x:c r="M2137" s="12" t="str">
        <x:v>TuShare index_daily</x:v>
      </x:c>
    </x:row>
    <x:row r="2138" ht="18" customHeight="1">
      <x:c r="A2138" s="13" t="n">
        <x:v>45793</x:v>
      </x:c>
      <x:c r="B2138" s="12" t="str">
        <x:v>000300.SH</x:v>
      </x:c>
      <x:c r="C2138" s="12" t="n">
        <x:v>3898.6662</x:v>
      </x:c>
      <x:c r="D2138" s="12" t="n">
        <x:v>3903.8528</x:v>
      </x:c>
      <x:c r="E2138" s="12" t="n">
        <x:v>3874.8619</x:v>
      </x:c>
      <x:c r="F2138" s="12" t="n">
        <x:v>3889.0854</x:v>
      </x:c>
      <x:c r="G2138" s="12" t="n">
        <x:v>3907.1992</x:v>
      </x:c>
      <x:c r="H2138" s="12" t="n">
        <x:v>-18.1138</x:v>
      </x:c>
      <x:c r="I2138" s="12" t="n">
        <x:v>-0.4636</x:v>
      </x:c>
      <x:c r="J2138" s="12" t="n">
        <x:v>-0.004646785878926658</x:v>
      </x:c>
      <x:c r="K2138" s="12" t="n">
        <x:v>118405345</x:v>
      </x:c>
      <x:c r="L2138" s="12" t="n">
        <x:v>208835664.039</x:v>
      </x:c>
      <x:c r="M2138" s="12" t="str">
        <x:v>TuShare index_daily</x:v>
      </x:c>
    </x:row>
    <x:row r="2139" ht="18" customHeight="1">
      <x:c r="A2139" s="13" t="n">
        <x:v>45796</x:v>
      </x:c>
      <x:c r="B2139" s="12" t="str">
        <x:v>000300.SH</x:v>
      </x:c>
      <x:c r="C2139" s="12" t="n">
        <x:v>3882.5677</x:v>
      </x:c>
      <x:c r="D2139" s="12" t="n">
        <x:v>3885.5889</x:v>
      </x:c>
      <x:c r="E2139" s="12" t="n">
        <x:v>3866.5695</x:v>
      </x:c>
      <x:c r="F2139" s="12" t="n">
        <x:v>3877.1453</x:v>
      </x:c>
      <x:c r="G2139" s="12" t="n">
        <x:v>3889.0854</x:v>
      </x:c>
      <x:c r="H2139" s="12" t="n">
        <x:v>-11.9401</x:v>
      </x:c>
      <x:c r="I2139" s="12" t="n">
        <x:v>-0.307</x:v>
      </x:c>
      <x:c r="J2139" s="12" t="n">
        <x:v>-0.0030748788875620053</x:v>
      </x:c>
      <x:c r="K2139" s="12" t="n">
        <x:v>98643414</x:v>
      </x:c>
      <x:c r="L2139" s="12" t="n">
        <x:v>184888170.554</x:v>
      </x:c>
      <x:c r="M2139" s="12" t="str">
        <x:v>TuShare index_daily</x:v>
      </x:c>
    </x:row>
    <x:row r="2140" ht="18" customHeight="1">
      <x:c r="A2140" s="13" t="n">
        <x:v>45797</x:v>
      </x:c>
      <x:c r="B2140" s="12" t="str">
        <x:v>000300.SH</x:v>
      </x:c>
      <x:c r="C2140" s="12" t="n">
        <x:v>3883.1024</x:v>
      </x:c>
      <x:c r="D2140" s="12" t="n">
        <x:v>3911.4737</x:v>
      </x:c>
      <x:c r="E2140" s="12" t="n">
        <x:v>3881.7436</x:v>
      </x:c>
      <x:c r="F2140" s="12" t="n">
        <x:v>3898.1705</x:v>
      </x:c>
      <x:c r="G2140" s="12" t="n">
        <x:v>3877.1453</x:v>
      </x:c>
      <x:c r="H2140" s="12" t="n">
        <x:v>21.0252</x:v>
      </x:c>
      <x:c r="I2140" s="12" t="n">
        <x:v>0.5423</x:v>
      </x:c>
      <x:c r="J2140" s="12" t="n">
        <x:v>0.005408205090934483</x:v>
      </x:c>
      <x:c r="K2140" s="12" t="n">
        <x:v>104885234</x:v>
      </x:c>
      <x:c r="L2140" s="12" t="n">
        <x:v>201636702.522</x:v>
      </x:c>
      <x:c r="M2140" s="12" t="str">
        <x:v>TuShare index_daily</x:v>
      </x:c>
    </x:row>
    <x:row r="2141" ht="18" customHeight="1">
      <x:c r="A2141" s="13" t="n">
        <x:v>45798</x:v>
      </x:c>
      <x:c r="B2141" s="12" t="str">
        <x:v>000300.SH</x:v>
      </x:c>
      <x:c r="C2141" s="12" t="n">
        <x:v>3899.4365</x:v>
      </x:c>
      <x:c r="D2141" s="12" t="n">
        <x:v>3928.6339</x:v>
      </x:c>
      <x:c r="E2141" s="12" t="n">
        <x:v>3899.4365</x:v>
      </x:c>
      <x:c r="F2141" s="12" t="n">
        <x:v>3916.3807</x:v>
      </x:c>
      <x:c r="G2141" s="12" t="n">
        <x:v>3898.1705</x:v>
      </x:c>
      <x:c r="H2141" s="12" t="n">
        <x:v>18.2102</x:v>
      </x:c>
      <x:c r="I2141" s="12" t="n">
        <x:v>0.4671</x:v>
      </x:c>
      <x:c r="J2141" s="12" t="n">
        <x:v>0.0046605959820707294</x:v>
      </x:c>
      <x:c r="K2141" s="12" t="n">
        <x:v>109791343</x:v>
      </x:c>
      <x:c r="L2141" s="12" t="n">
        <x:v>217037739.435</x:v>
      </x:c>
      <x:c r="M2141" s="12" t="str">
        <x:v>TuShare index_daily</x:v>
      </x:c>
    </x:row>
    <x:row r="2142" ht="18" customHeight="1">
      <x:c r="A2142" s="13" t="n">
        <x:v>45799</x:v>
      </x:c>
      <x:c r="B2142" s="12" t="str">
        <x:v>000300.SH</x:v>
      </x:c>
      <x:c r="C2142" s="12" t="n">
        <x:v>3912.6007</x:v>
      </x:c>
      <x:c r="D2142" s="12" t="n">
        <x:v>3923.0195</x:v>
      </x:c>
      <x:c r="E2142" s="12" t="n">
        <x:v>3903.0898</x:v>
      </x:c>
      <x:c r="F2142" s="12" t="n">
        <x:v>3913.8651</x:v>
      </x:c>
      <x:c r="G2142" s="12" t="n">
        <x:v>3916.3807</x:v>
      </x:c>
      <x:c r="H2142" s="12" t="n">
        <x:v>-2.5156</x:v>
      </x:c>
      <x:c r="I2142" s="12" t="n">
        <x:v>-0.0642</x:v>
      </x:c>
      <x:c r="J2142" s="12" t="n">
        <x:v>-0.0006425341300390055</x:v>
      </x:c>
      <x:c r="K2142" s="12" t="n">
        <x:v>107597052</x:v>
      </x:c>
      <x:c r="L2142" s="12" t="n">
        <x:v>197511410.271</x:v>
      </x:c>
      <x:c r="M2142" s="12" t="str">
        <x:v>TuShare index_daily</x:v>
      </x:c>
    </x:row>
    <x:row r="2143" ht="18" customHeight="1">
      <x:c r="A2143" s="13" t="n">
        <x:v>45800</x:v>
      </x:c>
      <x:c r="B2143" s="12" t="str">
        <x:v>000300.SH</x:v>
      </x:c>
      <x:c r="C2143" s="12" t="n">
        <x:v>3910.3739</x:v>
      </x:c>
      <x:c r="D2143" s="12" t="n">
        <x:v>3931.5514</x:v>
      </x:c>
      <x:c r="E2143" s="12" t="n">
        <x:v>3882.2741</x:v>
      </x:c>
      <x:c r="F2143" s="12" t="n">
        <x:v>3882.2741</x:v>
      </x:c>
      <x:c r="G2143" s="12" t="n">
        <x:v>3913.8651</x:v>
      </x:c>
      <x:c r="H2143" s="12" t="n">
        <x:v>-31.591</x:v>
      </x:c>
      <x:c r="I2143" s="12" t="n">
        <x:v>-0.8072</x:v>
      </x:c>
      <x:c r="J2143" s="12" t="n">
        <x:v>-0.00810431217224979</x:v>
      </x:c>
      <x:c r="K2143" s="12" t="n">
        <x:v>120277419</x:v>
      </x:c>
      <x:c r="L2143" s="12" t="n">
        <x:v>232945378.295</x:v>
      </x:c>
      <x:c r="M2143" s="12" t="str">
        <x:v>TuShare index_daily</x:v>
      </x:c>
    </x:row>
    <x:row r="2144" ht="18" customHeight="1">
      <x:c r="A2144" s="13" t="n">
        <x:v>45803</x:v>
      </x:c>
      <x:c r="B2144" s="12" t="str">
        <x:v>000300.SH</x:v>
      </x:c>
      <x:c r="C2144" s="12" t="n">
        <x:v>3875.7891</x:v>
      </x:c>
      <x:c r="D2144" s="12" t="n">
        <x:v>3884.537</x:v>
      </x:c>
      <x:c r="E2144" s="12" t="n">
        <x:v>3849.0384</x:v>
      </x:c>
      <x:c r="F2144" s="12" t="n">
        <x:v>3860.1067</x:v>
      </x:c>
      <x:c r="G2144" s="12" t="n">
        <x:v>3882.2741</x:v>
      </x:c>
      <x:c r="H2144" s="12" t="n">
        <x:v>-22.1674</x:v>
      </x:c>
      <x:c r="I2144" s="12" t="n">
        <x:v>-0.571</x:v>
      </x:c>
      <x:c r="J2144" s="12" t="n">
        <x:v>-0.005726264606510733</x:v>
      </x:c>
      <x:c r="K2144" s="12" t="n">
        <x:v>109601207</x:v>
      </x:c>
      <x:c r="L2144" s="12" t="n">
        <x:v>208876792.149</x:v>
      </x:c>
      <x:c r="M2144" s="12" t="str">
        <x:v>TuShare index_daily</x:v>
      </x:c>
    </x:row>
    <x:row r="2145" ht="18" customHeight="1">
      <x:c r="A2145" s="13" t="n">
        <x:v>45804</x:v>
      </x:c>
      <x:c r="B2145" s="12" t="str">
        <x:v>000300.SH</x:v>
      </x:c>
      <x:c r="C2145" s="12" t="n">
        <x:v>3857.6271</x:v>
      </x:c>
      <x:c r="D2145" s="12" t="n">
        <x:v>3865.4291</x:v>
      </x:c>
      <x:c r="E2145" s="12" t="n">
        <x:v>3834.8455</x:v>
      </x:c>
      <x:c r="F2145" s="12" t="n">
        <x:v>3839.3969</x:v>
      </x:c>
      <x:c r="G2145" s="12" t="n">
        <x:v>3860.1067</x:v>
      </x:c>
      <x:c r="H2145" s="12" t="n">
        <x:v>-20.7098</x:v>
      </x:c>
      <x:c r="I2145" s="12" t="n">
        <x:v>-0.5365</x:v>
      </x:c>
      <x:c r="J2145" s="12" t="n">
        <x:v>-0.005379528608558668</x:v>
      </x:c>
      <x:c r="K2145" s="12" t="n">
        <x:v>98572425</x:v>
      </x:c>
      <x:c r="L2145" s="12" t="n">
        <x:v>178466763.541</x:v>
      </x:c>
      <x:c r="M2145" s="12" t="str">
        <x:v>TuShare index_daily</x:v>
      </x:c>
    </x:row>
    <x:row r="2146" ht="18" customHeight="1">
      <x:c r="A2146" s="13" t="n">
        <x:v>45805</x:v>
      </x:c>
      <x:c r="B2146" s="12" t="str">
        <x:v>000300.SH</x:v>
      </x:c>
      <x:c r="C2146" s="12" t="n">
        <x:v>3843.0747</x:v>
      </x:c>
      <x:c r="D2146" s="12" t="n">
        <x:v>3849.736</x:v>
      </x:c>
      <x:c r="E2146" s="12" t="n">
        <x:v>3833.9582</x:v>
      </x:c>
      <x:c r="F2146" s="12" t="n">
        <x:v>3836.2366</x:v>
      </x:c>
      <x:c r="G2146" s="12" t="n">
        <x:v>3839.3969</x:v>
      </x:c>
      <x:c r="H2146" s="12" t="n">
        <x:v>-3.1603</x:v>
      </x:c>
      <x:c r="I2146" s="12" t="n">
        <x:v>-0.0823</x:v>
      </x:c>
      <x:c r="J2146" s="12" t="n">
        <x:v>-0.0008234630219332806</x:v>
      </x:c>
      <x:c r="K2146" s="12" t="n">
        <x:v>89031026</x:v>
      </x:c>
      <x:c r="L2146" s="12" t="n">
        <x:v>162496372.728</x:v>
      </x:c>
      <x:c r="M2146" s="12" t="str">
        <x:v>TuShare index_daily</x:v>
      </x:c>
    </x:row>
    <x:row r="2147" ht="18" customHeight="1">
      <x:c r="A2147" s="13" t="n">
        <x:v>45806</x:v>
      </x:c>
      <x:c r="B2147" s="12" t="str">
        <x:v>000300.SH</x:v>
      </x:c>
      <x:c r="C2147" s="12" t="n">
        <x:v>3838.0092</x:v>
      </x:c>
      <x:c r="D2147" s="12" t="n">
        <x:v>3869.7909</x:v>
      </x:c>
      <x:c r="E2147" s="12" t="n">
        <x:v>3831.4577</x:v>
      </x:c>
      <x:c r="F2147" s="12" t="n">
        <x:v>3858.6998</x:v>
      </x:c>
      <x:c r="G2147" s="12" t="n">
        <x:v>3836.2366</x:v>
      </x:c>
      <x:c r="H2147" s="12" t="n">
        <x:v>22.4632</x:v>
      </x:c>
      <x:c r="I2147" s="12" t="n">
        <x:v>0.5856</x:v>
      </x:c>
      <x:c r="J2147" s="12" t="n">
        <x:v>0.005838453404127622</x:v>
      </x:c>
      <x:c r="K2147" s="12" t="n">
        <x:v>108471886</x:v>
      </x:c>
      <x:c r="L2147" s="12" t="n">
        <x:v>209459602.501</x:v>
      </x:c>
      <x:c r="M2147" s="12" t="str">
        <x:v>TuShare index_daily</x:v>
      </x:c>
    </x:row>
    <x:row r="2148" ht="18" customHeight="1">
      <x:c r="A2148" s="13" t="n">
        <x:v>45807</x:v>
      </x:c>
      <x:c r="B2148" s="12" t="str">
        <x:v>000300.SH</x:v>
      </x:c>
      <x:c r="C2148" s="12" t="n">
        <x:v>3850.493</x:v>
      </x:c>
      <x:c r="D2148" s="12" t="n">
        <x:v>3858.6128</x:v>
      </x:c>
      <x:c r="E2148" s="12" t="n">
        <x:v>3829.2542</x:v>
      </x:c>
      <x:c r="F2148" s="12" t="n">
        <x:v>3840.2323</x:v>
      </x:c>
      <x:c r="G2148" s="12" t="n">
        <x:v>3858.6998</x:v>
      </x:c>
      <x:c r="H2148" s="12" t="n">
        <x:v>-18.4675</x:v>
      </x:c>
      <x:c r="I2148" s="12" t="n">
        <x:v>-0.4786</x:v>
      </x:c>
      <x:c r="J2148" s="12" t="n">
        <x:v>-0.004797427793809138</x:v>
      </x:c>
      <x:c r="K2148" s="12" t="n">
        <x:v>111672228</x:v>
      </x:c>
      <x:c r="L2148" s="12" t="n">
        <x:v>199389751.071</x:v>
      </x:c>
      <x:c r="M2148" s="12" t="str">
        <x:v>TuShare index_daily</x:v>
      </x:c>
    </x:row>
    <x:row r="2149" ht="18" customHeight="1">
      <x:c r="A2149" s="13" t="n">
        <x:v>45811</x:v>
      </x:c>
      <x:c r="B2149" s="12" t="str">
        <x:v>000300.SH</x:v>
      </x:c>
      <x:c r="C2149" s="12" t="n">
        <x:v>3833.4584</x:v>
      </x:c>
      <x:c r="D2149" s="12" t="n">
        <x:v>3863.2952</x:v>
      </x:c>
      <x:c r="E2149" s="12" t="n">
        <x:v>3832.7202</x:v>
      </x:c>
      <x:c r="F2149" s="12" t="n">
        <x:v>3852.0127</x:v>
      </x:c>
      <x:c r="G2149" s="12" t="n">
        <x:v>3840.2323</x:v>
      </x:c>
      <x:c r="H2149" s="12" t="n">
        <x:v>11.7804</x:v>
      </x:c>
      <x:c r="I2149" s="12" t="n">
        <x:v>0.3068</x:v>
      </x:c>
      <x:c r="J2149" s="12" t="n">
        <x:v>0.003062931357455309</x:v>
      </x:c>
      <x:c r="K2149" s="12" t="n">
        <x:v>131403090</x:v>
      </x:c>
      <x:c r="L2149" s="12" t="n">
        <x:v>226782772.063</x:v>
      </x:c>
      <x:c r="M2149" s="12" t="str">
        <x:v>TuShare index_daily</x:v>
      </x:c>
    </x:row>
    <x:row r="2150" ht="18" customHeight="1">
      <x:c r="A2150" s="13" t="n">
        <x:v>45812</x:v>
      </x:c>
      <x:c r="B2150" s="12" t="str">
        <x:v>000300.SH</x:v>
      </x:c>
      <x:c r="C2150" s="12" t="n">
        <x:v>3855.4878</x:v>
      </x:c>
      <x:c r="D2150" s="12" t="n">
        <x:v>3875.8569</x:v>
      </x:c>
      <x:c r="E2150" s="12" t="n">
        <x:v>3855.4878</x:v>
      </x:c>
      <x:c r="F2150" s="12" t="n">
        <x:v>3868.7429</x:v>
      </x:c>
      <x:c r="G2150" s="12" t="n">
        <x:v>3852.0127</x:v>
      </x:c>
      <x:c r="H2150" s="12" t="n">
        <x:v>16.7302</x:v>
      </x:c>
      <x:c r="I2150" s="12" t="n">
        <x:v>0.4343</x:v>
      </x:c>
      <x:c r="J2150" s="12" t="n">
        <x:v>0.004333831311970103</x:v>
      </x:c>
      <x:c r="K2150" s="12" t="n">
        <x:v>116803873</x:v>
      </x:c>
      <x:c r="L2150" s="12" t="n">
        <x:v>211736178.154</x:v>
      </x:c>
      <x:c r="M2150" s="12" t="str">
        <x:v>TuShare index_daily</x:v>
      </x:c>
    </x:row>
    <x:row r="2151" ht="18" customHeight="1">
      <x:c r="A2151" s="13" t="n">
        <x:v>45813</x:v>
      </x:c>
      <x:c r="B2151" s="12" t="str">
        <x:v>000300.SH</x:v>
      </x:c>
      <x:c r="C2151" s="12" t="n">
        <x:v>3872.6373</x:v>
      </x:c>
      <x:c r="D2151" s="12" t="n">
        <x:v>3883.1345</x:v>
      </x:c>
      <x:c r="E2151" s="12" t="n">
        <x:v>3861.272</x:v>
      </x:c>
      <x:c r="F2151" s="12" t="n">
        <x:v>3877.5557</x:v>
      </x:c>
      <x:c r="G2151" s="12" t="n">
        <x:v>3868.7429</x:v>
      </x:c>
      <x:c r="H2151" s="12" t="n">
        <x:v>8.8128</x:v>
      </x:c>
      <x:c r="I2151" s="12" t="n">
        <x:v>0.2278</x:v>
      </x:c>
      <x:c r="J2151" s="12" t="n">
        <x:v>0.002275358660244949</x:v>
      </x:c>
      <x:c r="K2151" s="12" t="n">
        <x:v>122878184</x:v>
      </x:c>
      <x:c r="L2151" s="12" t="n">
        <x:v>231749275.335</x:v>
      </x:c>
      <x:c r="M2151" s="12" t="str">
        <x:v>TuShare index_daily</x:v>
      </x:c>
    </x:row>
    <x:row r="2152" ht="18" customHeight="1">
      <x:c r="A2152" s="13" t="n">
        <x:v>45814</x:v>
      </x:c>
      <x:c r="B2152" s="12" t="str">
        <x:v>000300.SH</x:v>
      </x:c>
      <x:c r="C2152" s="12" t="n">
        <x:v>3878.1027</x:v>
      </x:c>
      <x:c r="D2152" s="12" t="n">
        <x:v>3889.4557</x:v>
      </x:c>
      <x:c r="E2152" s="12" t="n">
        <x:v>3869.3871</x:v>
      </x:c>
      <x:c r="F2152" s="12" t="n">
        <x:v>3873.9841</x:v>
      </x:c>
      <x:c r="G2152" s="12" t="n">
        <x:v>3877.5557</x:v>
      </x:c>
      <x:c r="H2152" s="12" t="n">
        <x:v>-3.5716</x:v>
      </x:c>
      <x:c r="I2152" s="12" t="n">
        <x:v>-0.0921</x:v>
      </x:c>
      <x:c r="J2152" s="12" t="n">
        <x:v>-0.0009215201998316871</x:v>
      </x:c>
      <x:c r="K2152" s="12" t="n">
        <x:v>110987971</x:v>
      </x:c>
      <x:c r="L2152" s="12" t="n">
        <x:v>202034736.311</x:v>
      </x:c>
      <x:c r="M2152" s="12" t="str">
        <x:v>TuShare index_daily</x:v>
      </x:c>
    </x:row>
    <x:row r="2153" ht="18" customHeight="1">
      <x:c r="A2153" s="13" t="n">
        <x:v>45817</x:v>
      </x:c>
      <x:c r="B2153" s="12" t="str">
        <x:v>000300.SH</x:v>
      </x:c>
      <x:c r="C2153" s="12" t="n">
        <x:v>3877.7977</x:v>
      </x:c>
      <x:c r="D2153" s="12" t="n">
        <x:v>3894.6517</x:v>
      </x:c>
      <x:c r="E2153" s="12" t="n">
        <x:v>3871.9917</x:v>
      </x:c>
      <x:c r="F2153" s="12" t="n">
        <x:v>3885.2459</x:v>
      </x:c>
      <x:c r="G2153" s="12" t="n">
        <x:v>3873.9841</x:v>
      </x:c>
      <x:c r="H2153" s="12" t="n">
        <x:v>11.2618</x:v>
      </x:c>
      <x:c r="I2153" s="12" t="n">
        <x:v>0.2907</x:v>
      </x:c>
      <x:c r="J2153" s="12" t="n">
        <x:v>0.0029028158484742258</x:v>
      </x:c>
      <x:c r="K2153" s="12" t="n">
        <x:v>136306293</x:v>
      </x:c>
      <x:c r="L2153" s="12" t="n">
        <x:v>262023668.466</x:v>
      </x:c>
      <x:c r="M2153" s="12" t="str">
        <x:v>TuShare index_daily</x:v>
      </x:c>
    </x:row>
    <x:row r="2154" ht="18" customHeight="1">
      <x:c r="A2154" s="13" t="n">
        <x:v>45818</x:v>
      </x:c>
      <x:c r="B2154" s="12" t="str">
        <x:v>000300.SH</x:v>
      </x:c>
      <x:c r="C2154" s="12" t="n">
        <x:v>3887.5512</x:v>
      </x:c>
      <x:c r="D2154" s="12" t="n">
        <x:v>3897.4573</x:v>
      </x:c>
      <x:c r="E2154" s="12" t="n">
        <x:v>3850.4663</x:v>
      </x:c>
      <x:c r="F2154" s="12" t="n">
        <x:v>3865.4652</x:v>
      </x:c>
      <x:c r="G2154" s="12" t="n">
        <x:v>3885.2459</x:v>
      </x:c>
      <x:c r="H2154" s="12" t="n">
        <x:v>-19.7807</x:v>
      </x:c>
      <x:c r="I2154" s="12" t="n">
        <x:v>-0.5091</x:v>
      </x:c>
      <x:c r="J2154" s="12" t="n">
        <x:v>-0.005104239518348043</x:v>
      </x:c>
      <x:c r="K2154" s="12" t="n">
        <x:v>145563859</x:v>
      </x:c>
      <x:c r="L2154" s="12" t="n">
        <x:v>263647551.795</x:v>
      </x:c>
      <x:c r="M2154" s="12" t="str">
        <x:v>TuShare index_daily</x:v>
      </x:c>
    </x:row>
    <x:row r="2155" ht="18" customHeight="1">
      <x:c r="A2155" s="13" t="n">
        <x:v>45819</x:v>
      </x:c>
      <x:c r="B2155" s="12" t="str">
        <x:v>000300.SH</x:v>
      </x:c>
      <x:c r="C2155" s="12" t="n">
        <x:v>3870.6719</x:v>
      </x:c>
      <x:c r="D2155" s="12" t="n">
        <x:v>3911.6107</x:v>
      </x:c>
      <x:c r="E2155" s="12" t="n">
        <x:v>3870.6719</x:v>
      </x:c>
      <x:c r="F2155" s="12" t="n">
        <x:v>3894.6252</x:v>
      </x:c>
      <x:c r="G2155" s="12" t="n">
        <x:v>3865.4652</x:v>
      </x:c>
      <x:c r="H2155" s="12" t="n">
        <x:v>29.16</x:v>
      </x:c>
      <x:c r="I2155" s="12" t="n">
        <x:v>0.7544</x:v>
      </x:c>
      <x:c r="J2155" s="12" t="n">
        <x:v>0.00751541174048836</x:v>
      </x:c>
      <x:c r="K2155" s="12" t="n">
        <x:v>142414772</x:v>
      </x:c>
      <x:c r="L2155" s="12" t="n">
        <x:v>257217704.405</x:v>
      </x:c>
      <x:c r="M2155" s="12" t="str">
        <x:v>TuShare index_daily</x:v>
      </x:c>
    </x:row>
    <x:row r="2156" ht="18" customHeight="1">
      <x:c r="A2156" s="13" t="n">
        <x:v>45820</x:v>
      </x:c>
      <x:c r="B2156" s="12" t="str">
        <x:v>000300.SH</x:v>
      </x:c>
      <x:c r="C2156" s="12" t="n">
        <x:v>3885.5196</x:v>
      </x:c>
      <x:c r="D2156" s="12" t="n">
        <x:v>3900.0408</x:v>
      </x:c>
      <x:c r="E2156" s="12" t="n">
        <x:v>3870.3838</x:v>
      </x:c>
      <x:c r="F2156" s="12" t="n">
        <x:v>3892.1992</x:v>
      </x:c>
      <x:c r="G2156" s="12" t="n">
        <x:v>3894.6252</x:v>
      </x:c>
      <x:c r="H2156" s="12" t="n">
        <x:v>-2.426</x:v>
      </x:c>
      <x:c r="I2156" s="12" t="n">
        <x:v>-0.0623</x:v>
      </x:c>
      <x:c r="J2156" s="12" t="n">
        <x:v>-0.0006231038363964183</x:v>
      </x:c>
      <x:c r="K2156" s="12" t="n">
        <x:v>133998697</x:v>
      </x:c>
      <x:c r="L2156" s="12" t="n">
        <x:v>260239581.458</x:v>
      </x:c>
      <x:c r="M2156" s="12" t="str">
        <x:v>TuShare index_daily</x:v>
      </x:c>
    </x:row>
    <x:row r="2157" ht="18" customHeight="1">
      <x:c r="A2157" s="13" t="n">
        <x:v>45821</x:v>
      </x:c>
      <x:c r="B2157" s="12" t="str">
        <x:v>000300.SH</x:v>
      </x:c>
      <x:c r="C2157" s="12" t="n">
        <x:v>3881.4923</x:v>
      </x:c>
      <x:c r="D2157" s="12" t="n">
        <x:v>3889.1602</x:v>
      </x:c>
      <x:c r="E2157" s="12" t="n">
        <x:v>3853.8186</x:v>
      </x:c>
      <x:c r="F2157" s="12" t="n">
        <x:v>3864.1822</x:v>
      </x:c>
      <x:c r="G2157" s="12" t="n">
        <x:v>3892.1992</x:v>
      </x:c>
      <x:c r="H2157" s="12" t="n">
        <x:v>-28.017</x:v>
      </x:c>
      <x:c r="I2157" s="12" t="n">
        <x:v>-0.7198</x:v>
      </x:c>
      <x:c r="J2157" s="12" t="n">
        <x:v>-0.007224276477919164</x:v>
      </x:c>
      <x:c r="K2157" s="12" t="n">
        <x:v>172539536</x:v>
      </x:c>
      <x:c r="L2157" s="12" t="n">
        <x:v>309172346.18</x:v>
      </x:c>
      <x:c r="M2157" s="12" t="str">
        <x:v>TuShare index_daily</x:v>
      </x:c>
    </x:row>
    <x:row r="2158" ht="18" customHeight="1">
      <x:c r="A2158" s="13" t="n">
        <x:v>45824</x:v>
      </x:c>
      <x:c r="B2158" s="12" t="str">
        <x:v>000300.SH</x:v>
      </x:c>
      <x:c r="C2158" s="12" t="n">
        <x:v>3853.6193</x:v>
      </x:c>
      <x:c r="D2158" s="12" t="n">
        <x:v>3876.1704</x:v>
      </x:c>
      <x:c r="E2158" s="12" t="n">
        <x:v>3853.6193</x:v>
      </x:c>
      <x:c r="F2158" s="12" t="n">
        <x:v>3873.7951</x:v>
      </x:c>
      <x:c r="G2158" s="12" t="n">
        <x:v>3864.1822</x:v>
      </x:c>
      <x:c r="H2158" s="12" t="n">
        <x:v>9.6129</x:v>
      </x:c>
      <x:c r="I2158" s="12" t="n">
        <x:v>0.2488</x:v>
      </x:c>
      <x:c r="J2158" s="12" t="n">
        <x:v>0.002484604069655626</x:v>
      </x:c>
      <x:c r="K2158" s="12" t="n">
        <x:v>137341835</x:v>
      </x:c>
      <x:c r="L2158" s="12" t="n">
        <x:v>246860982.863</x:v>
      </x:c>
      <x:c r="M2158" s="12" t="str">
        <x:v>TuShare index_daily</x:v>
      </x:c>
    </x:row>
    <x:row r="2159" ht="18" customHeight="1">
      <x:c r="A2159" s="13" t="n">
        <x:v>45825</x:v>
      </x:c>
      <x:c r="B2159" s="12" t="str">
        <x:v>000300.SH</x:v>
      </x:c>
      <x:c r="C2159" s="12" t="n">
        <x:v>3875.1768</x:v>
      </x:c>
      <x:c r="D2159" s="12" t="n">
        <x:v>3880.4156</x:v>
      </x:c>
      <x:c r="E2159" s="12" t="n">
        <x:v>3860.409</x:v>
      </x:c>
      <x:c r="F2159" s="12" t="n">
        <x:v>3870.3786</x:v>
      </x:c>
      <x:c r="G2159" s="12" t="n">
        <x:v>3873.7951</x:v>
      </x:c>
      <x:c r="H2159" s="12" t="n">
        <x:v>-3.4165</x:v>
      </x:c>
      <x:c r="I2159" s="12" t="n">
        <x:v>-0.0882</x:v>
      </x:c>
      <x:c r="J2159" s="12" t="n">
        <x:v>-0.0008823408032937927</x:v>
      </x:c>
      <x:c r="K2159" s="12" t="n">
        <x:v>122342526</x:v>
      </x:c>
      <x:c r="L2159" s="12" t="n">
        <x:v>220399818.949</x:v>
      </x:c>
      <x:c r="M2159" s="12" t="str">
        <x:v>TuShare index_daily</x:v>
      </x:c>
    </x:row>
    <x:row r="2160" ht="18" customHeight="1">
      <x:c r="A2160" s="13" t="n">
        <x:v>45826</x:v>
      </x:c>
      <x:c r="B2160" s="12" t="str">
        <x:v>000300.SH</x:v>
      </x:c>
      <x:c r="C2160" s="12" t="n">
        <x:v>3871.6502</x:v>
      </x:c>
      <x:c r="D2160" s="12" t="n">
        <x:v>3881.346</x:v>
      </x:c>
      <x:c r="E2160" s="12" t="n">
        <x:v>3854.6575</x:v>
      </x:c>
      <x:c r="F2160" s="12" t="n">
        <x:v>3874.9708</x:v>
      </x:c>
      <x:c r="G2160" s="12" t="n">
        <x:v>3870.3786</x:v>
      </x:c>
      <x:c r="H2160" s="12" t="n">
        <x:v>4.5922</x:v>
      </x:c>
      <x:c r="I2160" s="12" t="n">
        <x:v>0.1186</x:v>
      </x:c>
      <x:c r="J2160" s="12" t="n">
        <x:v>0.0011857955789820504</x:v>
      </x:c>
      <x:c r="K2160" s="12" t="n">
        <x:v>127528621</x:v>
      </x:c>
      <x:c r="L2160" s="12" t="n">
        <x:v>230553858.264</x:v>
      </x:c>
      <x:c r="M2160" s="12" t="str">
        <x:v>TuShare index_daily</x:v>
      </x:c>
    </x:row>
    <x:row r="2161" ht="18" customHeight="1">
      <x:c r="A2161" s="13" t="n">
        <x:v>45827</x:v>
      </x:c>
      <x:c r="B2161" s="12" t="str">
        <x:v>000300.SH</x:v>
      </x:c>
      <x:c r="C2161" s="12" t="n">
        <x:v>3870.049</x:v>
      </x:c>
      <x:c r="D2161" s="12" t="n">
        <x:v>3872.9425</x:v>
      </x:c>
      <x:c r="E2161" s="12" t="n">
        <x:v>3834.9512</x:v>
      </x:c>
      <x:c r="F2161" s="12" t="n">
        <x:v>3843.0912</x:v>
      </x:c>
      <x:c r="G2161" s="12" t="n">
        <x:v>3874.9708</x:v>
      </x:c>
      <x:c r="H2161" s="12" t="n">
        <x:v>-31.8796</x:v>
      </x:c>
      <x:c r="I2161" s="12" t="n">
        <x:v>-0.8227</x:v>
      </x:c>
      <x:c r="J2161" s="12" t="n">
        <x:v>-0.008261084532130274</x:v>
      </x:c>
      <x:c r="K2161" s="12" t="n">
        <x:v>130280658</x:v>
      </x:c>
      <x:c r="L2161" s="12" t="n">
        <x:v>234840180.806</x:v>
      </x:c>
      <x:c r="M2161" s="12" t="str">
        <x:v>TuShare index_daily</x:v>
      </x:c>
    </x:row>
    <x:row r="2162" ht="18" customHeight="1">
      <x:c r="A2162" s="13" t="n">
        <x:v>45828</x:v>
      </x:c>
      <x:c r="B2162" s="12" t="str">
        <x:v>000300.SH</x:v>
      </x:c>
      <x:c r="C2162" s="12" t="n">
        <x:v>3839.7833</x:v>
      </x:c>
      <x:c r="D2162" s="12" t="n">
        <x:v>3856.4799</x:v>
      </x:c>
      <x:c r="E2162" s="12" t="n">
        <x:v>3839.7833</x:v>
      </x:c>
      <x:c r="F2162" s="12" t="n">
        <x:v>3846.6443</x:v>
      </x:c>
      <x:c r="G2162" s="12" t="n">
        <x:v>3843.0912</x:v>
      </x:c>
      <x:c r="H2162" s="12" t="n">
        <x:v>3.5531</x:v>
      </x:c>
      <x:c r="I2162" s="12" t="n">
        <x:v>0.0925</x:v>
      </x:c>
      <x:c r="J2162" s="12" t="n">
        <x:v>0.0009241150759630508</x:v>
      </x:c>
      <x:c r="K2162" s="12" t="n">
        <x:v>118151020</x:v>
      </x:c>
      <x:c r="L2162" s="12" t="n">
        <x:v>213522822.875</x:v>
      </x:c>
      <x:c r="M2162" s="12" t="str">
        <x:v>TuShare index_daily</x:v>
      </x:c>
    </x:row>
    <x:row r="2163" ht="18" customHeight="1">
      <x:c r="A2163" s="13" t="n">
        <x:v>45831</x:v>
      </x:c>
      <x:c r="B2163" s="12" t="str">
        <x:v>000300.SH</x:v>
      </x:c>
      <x:c r="C2163" s="12" t="n">
        <x:v>3831.1703</x:v>
      </x:c>
      <x:c r="D2163" s="12" t="n">
        <x:v>3867.5896</x:v>
      </x:c>
      <x:c r="E2163" s="12" t="n">
        <x:v>3827.0829</x:v>
      </x:c>
      <x:c r="F2163" s="12" t="n">
        <x:v>3857.9016</x:v>
      </x:c>
      <x:c r="G2163" s="12" t="n">
        <x:v>3846.6443</x:v>
      </x:c>
      <x:c r="H2163" s="12" t="n">
        <x:v>11.2573</x:v>
      </x:c>
      <x:c r="I2163" s="12" t="n">
        <x:v>0.2927</x:v>
      </x:c>
      <x:c r="J2163" s="12" t="n">
        <x:v>0.0029222508781529557</x:v>
      </x:c>
      <x:c r="K2163" s="12" t="n">
        <x:v>133800892</x:v>
      </x:c>
      <x:c r="L2163" s="12" t="n">
        <x:v>232482215.85</x:v>
      </x:c>
      <x:c r="M2163" s="12" t="str">
        <x:v>TuShare index_daily</x:v>
      </x:c>
    </x:row>
    <x:row r="2164" ht="18" customHeight="1">
      <x:c r="A2164" s="13" t="n">
        <x:v>45832</x:v>
      </x:c>
      <x:c r="B2164" s="12" t="str">
        <x:v>000300.SH</x:v>
      </x:c>
      <x:c r="C2164" s="12" t="n">
        <x:v>3862.3876</x:v>
      </x:c>
      <x:c r="D2164" s="12" t="n">
        <x:v>3914.1579</x:v>
      </x:c>
      <x:c r="E2164" s="12" t="n">
        <x:v>3862.3876</x:v>
      </x:c>
      <x:c r="F2164" s="12" t="n">
        <x:v>3904.0342</x:v>
      </x:c>
      <x:c r="G2164" s="12" t="n">
        <x:v>3857.9016</x:v>
      </x:c>
      <x:c r="H2164" s="12" t="n">
        <x:v>46.1326</x:v>
      </x:c>
      <x:c r="I2164" s="12" t="n">
        <x:v>1.1958</x:v>
      </x:c>
      <x:c r="J2164" s="12" t="n">
        <x:v>0.011887020043343742</x:v>
      </x:c>
      <x:c r="K2164" s="12" t="n">
        <x:v>163656188</x:v>
      </x:c>
      <x:c r="L2164" s="12" t="n">
        <x:v>294228720.613</x:v>
      </x:c>
      <x:c r="M2164" s="12" t="str">
        <x:v>TuShare index_daily</x:v>
      </x:c>
    </x:row>
    <x:row r="2165" ht="18" customHeight="1">
      <x:c r="A2165" s="13" t="n">
        <x:v>45833</x:v>
      </x:c>
      <x:c r="B2165" s="12" t="str">
        <x:v>000300.SH</x:v>
      </x:c>
      <x:c r="C2165" s="12" t="n">
        <x:v>3907.0682</x:v>
      </x:c>
      <x:c r="D2165" s="12" t="n">
        <x:v>3963.0371</x:v>
      </x:c>
      <x:c r="E2165" s="12" t="n">
        <x:v>3902.1771</x:v>
      </x:c>
      <x:c r="F2165" s="12" t="n">
        <x:v>3960.0662</x:v>
      </x:c>
      <x:c r="G2165" s="12" t="n">
        <x:v>3904.0342</x:v>
      </x:c>
      <x:c r="H2165" s="12" t="n">
        <x:v>56.032</x:v>
      </x:c>
      <x:c r="I2165" s="12" t="n">
        <x:v>1.4352</x:v>
      </x:c>
      <x:c r="J2165" s="12" t="n">
        <x:v>0.014250313539999039</x:v>
      </x:c>
      <x:c r="K2165" s="12" t="n">
        <x:v>187213671</x:v>
      </x:c>
      <x:c r="L2165" s="12" t="n">
        <x:v>361727254.624</x:v>
      </x:c>
      <x:c r="M2165" s="12" t="str">
        <x:v>TuShare index_daily</x:v>
      </x:c>
    </x:row>
    <x:row r="2166" ht="18" customHeight="1">
      <x:c r="A2166" s="13" t="n">
        <x:v>45834</x:v>
      </x:c>
      <x:c r="B2166" s="12" t="str">
        <x:v>000300.SH</x:v>
      </x:c>
      <x:c r="C2166" s="12" t="n">
        <x:v>3953.1603</x:v>
      </x:c>
      <x:c r="D2166" s="12" t="n">
        <x:v>3964.482</x:v>
      </x:c>
      <x:c r="E2166" s="12" t="n">
        <x:v>3945.2589</x:v>
      </x:c>
      <x:c r="F2166" s="12" t="n">
        <x:v>3946.0195</x:v>
      </x:c>
      <x:c r="G2166" s="12" t="n">
        <x:v>3960.0662</x:v>
      </x:c>
      <x:c r="H2166" s="12" t="n">
        <x:v>-14.0467</x:v>
      </x:c>
      <x:c r="I2166" s="12" t="n">
        <x:v>-0.3547</x:v>
      </x:c>
      <x:c r="J2166" s="12" t="n">
        <x:v>-0.003553392997035483</x:v>
      </x:c>
      <x:c r="K2166" s="12" t="n">
        <x:v>165316263</x:v>
      </x:c>
      <x:c r="L2166" s="12" t="n">
        <x:v>328102847.496</x:v>
      </x:c>
      <x:c r="M2166" s="12" t="str">
        <x:v>TuShare index_daily</x:v>
      </x:c>
    </x:row>
    <x:row r="2167" ht="18" customHeight="1">
      <x:c r="A2167" s="13" t="n">
        <x:v>45835</x:v>
      </x:c>
      <x:c r="B2167" s="12" t="str">
        <x:v>000300.SH</x:v>
      </x:c>
      <x:c r="C2167" s="12" t="n">
        <x:v>3949.7879</x:v>
      </x:c>
      <x:c r="D2167" s="12" t="n">
        <x:v>3969.2626</x:v>
      </x:c>
      <x:c r="E2167" s="12" t="n">
        <x:v>3918.2041</x:v>
      </x:c>
      <x:c r="F2167" s="12" t="n">
        <x:v>3921.7578</x:v>
      </x:c>
      <x:c r="G2167" s="12" t="n">
        <x:v>3946.0195</x:v>
      </x:c>
      <x:c r="H2167" s="12" t="n">
        <x:v>-24.2617</x:v>
      </x:c>
      <x:c r="I2167" s="12" t="n">
        <x:v>-0.6148</x:v>
      </x:c>
      <x:c r="J2167" s="12" t="n">
        <x:v>-0.006167377641092893</x:v>
      </x:c>
      <x:c r="K2167" s="12" t="n">
        <x:v>194557913</x:v>
      </x:c>
      <x:c r="L2167" s="12" t="n">
        <x:v>343468229.814</x:v>
      </x:c>
      <x:c r="M2167" s="12" t="str">
        <x:v>TuShare index_daily</x:v>
      </x:c>
    </x:row>
    <x:row r="2168" ht="18" customHeight="1">
      <x:c r="A2168" s="13" t="n">
        <x:v>45838</x:v>
      </x:c>
      <x:c r="B2168" s="12" t="str">
        <x:v>000300.SH</x:v>
      </x:c>
      <x:c r="C2168" s="12" t="n">
        <x:v>3920.3149</x:v>
      </x:c>
      <x:c r="D2168" s="12" t="n">
        <x:v>3940.3611</x:v>
      </x:c>
      <x:c r="E2168" s="12" t="n">
        <x:v>3911.6044</x:v>
      </x:c>
      <x:c r="F2168" s="12" t="n">
        <x:v>3936.0791</x:v>
      </x:c>
      <x:c r="G2168" s="12" t="n">
        <x:v>3921.7578</x:v>
      </x:c>
      <x:c r="H2168" s="12" t="n">
        <x:v>14.3213</x:v>
      </x:c>
      <x:c r="I2168" s="12" t="n">
        <x:v>0.3652</x:v>
      </x:c>
      <x:c r="J2168" s="12" t="n">
        <x:v>0.0036451038725418333</x:v>
      </x:c>
      <x:c r="K2168" s="12" t="n">
        <x:v>145170236</x:v>
      </x:c>
      <x:c r="L2168" s="12" t="n">
        <x:v>288821434.921</x:v>
      </x:c>
      <x:c r="M2168" s="12" t="str">
        <x:v>TuShare index_daily</x:v>
      </x:c>
    </x:row>
    <x:row r="2169" ht="18" customHeight="1">
      <x:c r="A2169" s="13" t="n">
        <x:v>45839</x:v>
      </x:c>
      <x:c r="B2169" s="12" t="str">
        <x:v>000300.SH</x:v>
      </x:c>
      <x:c r="C2169" s="12" t="n">
        <x:v>3935.9078</x:v>
      </x:c>
      <x:c r="D2169" s="12" t="n">
        <x:v>3946.2451</x:v>
      </x:c>
      <x:c r="E2169" s="12" t="n">
        <x:v>3924.7219</x:v>
      </x:c>
      <x:c r="F2169" s="12" t="n">
        <x:v>3942.762</x:v>
      </x:c>
      <x:c r="G2169" s="12" t="n">
        <x:v>3936.0791</x:v>
      </x:c>
      <x:c r="H2169" s="12" t="n">
        <x:v>6.6829</x:v>
      </x:c>
      <x:c r="I2169" s="12" t="n">
        <x:v>0.1698</x:v>
      </x:c>
      <x:c r="J2169" s="12" t="n">
        <x:v>0.0016964174090751496</x:v>
      </x:c>
      <x:c r="K2169" s="12" t="n">
        <x:v>128959362</x:v>
      </x:c>
      <x:c r="L2169" s="12" t="n">
        <x:v>236070338.399</x:v>
      </x:c>
      <x:c r="M2169" s="12" t="str">
        <x:v>TuShare index_daily</x:v>
      </x:c>
    </x:row>
    <x:row r="2170" ht="18" customHeight="1">
      <x:c r="A2170" s="13" t="n">
        <x:v>45840</x:v>
      </x:c>
      <x:c r="B2170" s="12" t="str">
        <x:v>000300.SH</x:v>
      </x:c>
      <x:c r="C2170" s="12" t="n">
        <x:v>3943.3232</x:v>
      </x:c>
      <x:c r="D2170" s="12" t="n">
        <x:v>3952.1378</x:v>
      </x:c>
      <x:c r="E2170" s="12" t="n">
        <x:v>3929.6956</x:v>
      </x:c>
      <x:c r="F2170" s="12" t="n">
        <x:v>3943.6849</x:v>
      </x:c>
      <x:c r="G2170" s="12" t="n">
        <x:v>3942.762</x:v>
      </x:c>
      <x:c r="H2170" s="12" t="n">
        <x:v>0.9229</x:v>
      </x:c>
      <x:c r="I2170" s="12" t="n">
        <x:v>0.0234</x:v>
      </x:c>
      <x:c r="J2170" s="12" t="n">
        <x:v>0.00023404709774001539</x:v>
      </x:c>
      <x:c r="K2170" s="12" t="n">
        <x:v>147063062</x:v>
      </x:c>
      <x:c r="L2170" s="12" t="n">
        <x:v>246637847.454</x:v>
      </x:c>
      <x:c r="M2170" s="12" t="str">
        <x:v>TuShare index_daily</x:v>
      </x:c>
    </x:row>
    <x:row r="2171" ht="18" customHeight="1">
      <x:c r="A2171" s="13" t="n">
        <x:v>45841</x:v>
      </x:c>
      <x:c r="B2171" s="12" t="str">
        <x:v>000300.SH</x:v>
      </x:c>
      <x:c r="C2171" s="12" t="n">
        <x:v>3949.3998</x:v>
      </x:c>
      <x:c r="D2171" s="12" t="n">
        <x:v>3971.616</x:v>
      </x:c>
      <x:c r="E2171" s="12" t="n">
        <x:v>3945.138</x:v>
      </x:c>
      <x:c r="F2171" s="12" t="n">
        <x:v>3968.0676</x:v>
      </x:c>
      <x:c r="G2171" s="12" t="n">
        <x:v>3943.6849</x:v>
      </x:c>
      <x:c r="H2171" s="12" t="n">
        <x:v>24.3827</x:v>
      </x:c>
      <x:c r="I2171" s="12" t="n">
        <x:v>0.6183</x:v>
      </x:c>
      <x:c r="J2171" s="12" t="n">
        <x:v>0.006163685528228147</x:v>
      </x:c>
      <x:c r="K2171" s="12" t="n">
        <x:v>141004006</x:v>
      </x:c>
      <x:c r="L2171" s="12" t="n">
        <x:v>269609569.539</x:v>
      </x:c>
      <x:c r="M2171" s="12" t="str">
        <x:v>TuShare index_daily</x:v>
      </x:c>
    </x:row>
    <x:row r="2172" ht="18" customHeight="1">
      <x:c r="A2172" s="13" t="n">
        <x:v>45842</x:v>
      </x:c>
      <x:c r="B2172" s="12" t="str">
        <x:v>000300.SH</x:v>
      </x:c>
      <x:c r="C2172" s="12" t="n">
        <x:v>3967.4637</x:v>
      </x:c>
      <x:c r="D2172" s="12" t="n">
        <x:v>4013.8478</x:v>
      </x:c>
      <x:c r="E2172" s="12" t="n">
        <x:v>3958.3762</x:v>
      </x:c>
      <x:c r="F2172" s="12" t="n">
        <x:v>3982.2034</x:v>
      </x:c>
      <x:c r="G2172" s="12" t="n">
        <x:v>3968.0676</x:v>
      </x:c>
      <x:c r="H2172" s="12" t="n">
        <x:v>14.1358</x:v>
      </x:c>
      <x:c r="I2172" s="12" t="n">
        <x:v>0.3562</x:v>
      </x:c>
      <x:c r="J2172" s="12" t="n">
        <x:v>0.00355605862900712</x:v>
      </x:c>
      <x:c r="K2172" s="12" t="n">
        <x:v>157197133</x:v>
      </x:c>
      <x:c r="L2172" s="12" t="n">
        <x:v>290512992.198</x:v>
      </x:c>
      <x:c r="M2172" s="12" t="str">
        <x:v>TuShare index_daily</x:v>
      </x:c>
    </x:row>
    <x:row r="2173" ht="18" customHeight="1">
      <x:c r="A2173" s="13" t="n">
        <x:v>45845</x:v>
      </x:c>
      <x:c r="B2173" s="12" t="str">
        <x:v>000300.SH</x:v>
      </x:c>
      <x:c r="C2173" s="12" t="n">
        <x:v>3977.2881</x:v>
      </x:c>
      <x:c r="D2173" s="12" t="n">
        <x:v>3979.7481</x:v>
      </x:c>
      <x:c r="E2173" s="12" t="n">
        <x:v>3956.5663</x:v>
      </x:c>
      <x:c r="F2173" s="12" t="n">
        <x:v>3965.1746</x:v>
      </x:c>
      <x:c r="G2173" s="12" t="n">
        <x:v>3982.2034</x:v>
      </x:c>
      <x:c r="H2173" s="12" t="n">
        <x:v>-17.0288</x:v>
      </x:c>
      <x:c r="I2173" s="12" t="n">
        <x:v>-0.4276</x:v>
      </x:c>
      <x:c r="J2173" s="12" t="n">
        <x:v>-0.004285394770601262</x:v>
      </x:c>
      <x:c r="K2173" s="12" t="n">
        <x:v>131135273</x:v>
      </x:c>
      <x:c r="L2173" s="12" t="n">
        <x:v>225106992.876</x:v>
      </x:c>
      <x:c r="M2173" s="12" t="str">
        <x:v>TuShare index_daily</x:v>
      </x:c>
    </x:row>
    <x:row r="2174" ht="18" customHeight="1">
      <x:c r="A2174" s="13" t="n">
        <x:v>45846</x:v>
      </x:c>
      <x:c r="B2174" s="12" t="str">
        <x:v>000300.SH</x:v>
      </x:c>
      <x:c r="C2174" s="12" t="n">
        <x:v>3965.426</x:v>
      </x:c>
      <x:c r="D2174" s="12" t="n">
        <x:v>4002.269</x:v>
      </x:c>
      <x:c r="E2174" s="12" t="n">
        <x:v>3965.426</x:v>
      </x:c>
      <x:c r="F2174" s="12" t="n">
        <x:v>3998.4527</x:v>
      </x:c>
      <x:c r="G2174" s="12" t="n">
        <x:v>3965.1746</x:v>
      </x:c>
      <x:c r="H2174" s="12" t="n">
        <x:v>33.2781</x:v>
      </x:c>
      <x:c r="I2174" s="12" t="n">
        <x:v>0.8393</x:v>
      </x:c>
      <x:c r="J2174" s="12" t="n">
        <x:v>0.008357571857561771</x:v>
      </x:c>
      <x:c r="K2174" s="12" t="n">
        <x:v>156402895</x:v>
      </x:c>
      <x:c r="L2174" s="12" t="n">
        <x:v>292089834.224</x:v>
      </x:c>
      <x:c r="M2174" s="12" t="str">
        <x:v>TuShare index_daily</x:v>
      </x:c>
    </x:row>
    <x:row r="2175" ht="18" customHeight="1">
      <x:c r="A2175" s="13" t="n">
        <x:v>45847</x:v>
      </x:c>
      <x:c r="B2175" s="12" t="str">
        <x:v>000300.SH</x:v>
      </x:c>
      <x:c r="C2175" s="12" t="n">
        <x:v>3997.5044</x:v>
      </x:c>
      <x:c r="D2175" s="12" t="n">
        <x:v>4016.7434</x:v>
      </x:c>
      <x:c r="E2175" s="12" t="n">
        <x:v>3987.4267</x:v>
      </x:c>
      <x:c r="F2175" s="12" t="n">
        <x:v>3991.4006</x:v>
      </x:c>
      <x:c r="G2175" s="12" t="n">
        <x:v>3998.4527</x:v>
      </x:c>
      <x:c r="H2175" s="12" t="n">
        <x:v>-7.0521</x:v>
      </x:c>
      <x:c r="I2175" s="12" t="n">
        <x:v>-0.1764</x:v>
      </x:c>
      <x:c r="J2175" s="12" t="n">
        <x:v>-0.0017652644088692639</x:v>
      </x:c>
      <x:c r="K2175" s="12" t="n">
        <x:v>173293796</x:v>
      </x:c>
      <x:c r="L2175" s="12" t="n">
        <x:v>305398796.563</x:v>
      </x:c>
      <x:c r="M2175" s="12" t="str">
        <x:v>TuShare index_daily</x:v>
      </x:c>
    </x:row>
    <x:row r="2176" ht="18" customHeight="1">
      <x:c r="A2176" s="13" t="n">
        <x:v>45848</x:v>
      </x:c>
      <x:c r="B2176" s="12" t="str">
        <x:v>000300.SH</x:v>
      </x:c>
      <x:c r="C2176" s="12" t="n">
        <x:v>3993.4196</x:v>
      </x:c>
      <x:c r="D2176" s="12" t="n">
        <x:v>4032.9829</x:v>
      </x:c>
      <x:c r="E2176" s="12" t="n">
        <x:v>3992.5242</x:v>
      </x:c>
      <x:c r="F2176" s="12" t="n">
        <x:v>4010.0243</x:v>
      </x:c>
      <x:c r="G2176" s="12" t="n">
        <x:v>3991.4006</x:v>
      </x:c>
      <x:c r="H2176" s="12" t="n">
        <x:v>18.6237</x:v>
      </x:c>
      <x:c r="I2176" s="12" t="n">
        <x:v>0.4666</x:v>
      </x:c>
      <x:c r="J2176" s="12" t="n">
        <x:v>0.004655104275559548</x:v>
      </x:c>
      <x:c r="K2176" s="12" t="n">
        <x:v>209778904</x:v>
      </x:c>
      <x:c r="L2176" s="12" t="n">
        <x:v>347836703.626</x:v>
      </x:c>
      <x:c r="M2176" s="12" t="str">
        <x:v>TuShare index_daily</x:v>
      </x:c>
    </x:row>
    <x:row r="2177" ht="18" customHeight="1">
      <x:c r="A2177" s="13" t="n">
        <x:v>45849</x:v>
      </x:c>
      <x:c r="B2177" s="12" t="str">
        <x:v>000300.SH</x:v>
      </x:c>
      <x:c r="C2177" s="12" t="n">
        <x:v>4011.4652</x:v>
      </x:c>
      <x:c r="D2177" s="12" t="n">
        <x:v>4065.9419</x:v>
      </x:c>
      <x:c r="E2177" s="12" t="n">
        <x:v>4010.1052</x:v>
      </x:c>
      <x:c r="F2177" s="12" t="n">
        <x:v>4014.807</x:v>
      </x:c>
      <x:c r="G2177" s="12" t="n">
        <x:v>4010.0243</x:v>
      </x:c>
      <x:c r="H2177" s="12" t="n">
        <x:v>4.7827</x:v>
      </x:c>
      <x:c r="I2177" s="12" t="n">
        <x:v>0.1193</x:v>
      </x:c>
      <x:c r="J2177" s="12" t="n">
        <x:v>0.0011919753543662215</x:v>
      </x:c>
      <x:c r="K2177" s="12" t="n">
        <x:v>262052773</x:v>
      </x:c>
      <x:c r="L2177" s="12" t="n">
        <x:v>443780794.88</x:v>
      </x:c>
      <x:c r="M2177" s="12" t="str">
        <x:v>TuShare index_daily</x:v>
      </x:c>
    </x:row>
    <x:row r="2178" ht="18" customHeight="1">
      <x:c r="A2178" s="13" t="n">
        <x:v>45852</x:v>
      </x:c>
      <x:c r="B2178" s="12" t="str">
        <x:v>000300.SH</x:v>
      </x:c>
      <x:c r="C2178" s="12" t="n">
        <x:v>4021.2135</x:v>
      </x:c>
      <x:c r="D2178" s="12" t="n">
        <x:v>4034.9198</x:v>
      </x:c>
      <x:c r="E2178" s="12" t="n">
        <x:v>4017.6678</x:v>
      </x:c>
      <x:c r="F2178" s="12" t="n">
        <x:v>4017.6678</x:v>
      </x:c>
      <x:c r="G2178" s="12" t="n">
        <x:v>4014.807</x:v>
      </x:c>
      <x:c r="H2178" s="12" t="n">
        <x:v>2.8608</x:v>
      </x:c>
      <x:c r="I2178" s="12" t="n">
        <x:v>0.0713</x:v>
      </x:c>
      <x:c r="J2178" s="12" t="n">
        <x:v>0.0007123085206467977</x:v>
      </x:c>
      <x:c r="K2178" s="12" t="n">
        <x:v>207917175</x:v>
      </x:c>
      <x:c r="L2178" s="12" t="n">
        <x:v>321415945.157</x:v>
      </x:c>
      <x:c r="M2178" s="12" t="str">
        <x:v>TuShare index_daily</x:v>
      </x:c>
    </x:row>
    <x:row r="2179" ht="18" customHeight="1">
      <x:c r="A2179" s="13" t="n">
        <x:v>45853</x:v>
      </x:c>
      <x:c r="B2179" s="12" t="str">
        <x:v>000300.SH</x:v>
      </x:c>
      <x:c r="C2179" s="12" t="n">
        <x:v>4023.9896</x:v>
      </x:c>
      <x:c r="D2179" s="12" t="n">
        <x:v>4042.6574</x:v>
      </x:c>
      <x:c r="E2179" s="12" t="n">
        <x:v>3994.2628</x:v>
      </x:c>
      <x:c r="F2179" s="12" t="n">
        <x:v>4019.0644</x:v>
      </x:c>
      <x:c r="G2179" s="12" t="n">
        <x:v>4017.6678</x:v>
      </x:c>
      <x:c r="H2179" s="12" t="n">
        <x:v>1.3966</x:v>
      </x:c>
      <x:c r="I2179" s="12" t="n">
        <x:v>0.0348</x:v>
      </x:c>
      <x:c r="J2179" s="12" t="n">
        <x:v>0.0003475541997177205</x:v>
      </x:c>
      <x:c r="K2179" s="12" t="n">
        <x:v>191042931</x:v>
      </x:c>
      <x:c r="L2179" s="12" t="n">
        <x:v>353524574.441</x:v>
      </x:c>
      <x:c r="M2179" s="12" t="str">
        <x:v>TuShare index_daily</x:v>
      </x:c>
    </x:row>
    <x:row r="2180" ht="18" customHeight="1">
      <x:c r="A2180" s="13" t="n">
        <x:v>45854</x:v>
      </x:c>
      <x:c r="B2180" s="12" t="str">
        <x:v>000300.SH</x:v>
      </x:c>
      <x:c r="C2180" s="12" t="n">
        <x:v>4019.3925</x:v>
      </x:c>
      <x:c r="D2180" s="12" t="n">
        <x:v>4027.8567</x:v>
      </x:c>
      <x:c r="E2180" s="12" t="n">
        <x:v>3993.9209</x:v>
      </x:c>
      <x:c r="F2180" s="12" t="n">
        <x:v>4007.2019</x:v>
      </x:c>
      <x:c r="G2180" s="12" t="n">
        <x:v>4019.0644</x:v>
      </x:c>
      <x:c r="H2180" s="12" t="n">
        <x:v>-11.8625</x:v>
      </x:c>
      <x:c r="I2180" s="12" t="n">
        <x:v>-0.2952</x:v>
      </x:c>
      <x:c r="J2180" s="12" t="n">
        <x:v>-0.002955922017528145</x:v>
      </x:c>
      <x:c r="K2180" s="12" t="n">
        <x:v>151027308</x:v>
      </x:c>
      <x:c r="L2180" s="12" t="n">
        <x:v>300656795.665</x:v>
      </x:c>
      <x:c r="M2180" s="12" t="str">
        <x:v>TuShare index_daily</x:v>
      </x:c>
    </x:row>
    <x:row r="2181" ht="18" customHeight="1">
      <x:c r="A2181" s="13" t="n">
        <x:v>45855</x:v>
      </x:c>
      <x:c r="B2181" s="12" t="str">
        <x:v>000300.SH</x:v>
      </x:c>
      <x:c r="C2181" s="12" t="n">
        <x:v>4005.067</x:v>
      </x:c>
      <x:c r="D2181" s="12" t="n">
        <x:v>4034.5935</x:v>
      </x:c>
      <x:c r="E2181" s="12" t="n">
        <x:v>4005.067</x:v>
      </x:c>
      <x:c r="F2181" s="12" t="n">
        <x:v>4034.491</x:v>
      </x:c>
      <x:c r="G2181" s="12" t="n">
        <x:v>4007.2019</x:v>
      </x:c>
      <x:c r="H2181" s="12" t="n">
        <x:v>27.2891</x:v>
      </x:c>
      <x:c r="I2181" s="12" t="n">
        <x:v>0.681</x:v>
      </x:c>
      <x:c r="J2181" s="12" t="n">
        <x:v>0.006786930336544563</x:v>
      </x:c>
      <x:c r="K2181" s="12" t="n">
        <x:v>161249041</x:v>
      </x:c>
      <x:c r="L2181" s="12" t="n">
        <x:v>325516865.723</x:v>
      </x:c>
      <x:c r="M2181" s="12" t="str">
        <x:v>TuShare index_daily</x:v>
      </x:c>
    </x:row>
    <x:row r="2182" ht="18" customHeight="1">
      <x:c r="A2182" s="13" t="n">
        <x:v>45856</x:v>
      </x:c>
      <x:c r="B2182" s="12" t="str">
        <x:v>000300.SH</x:v>
      </x:c>
      <x:c r="C2182" s="12" t="n">
        <x:v>4039.8712</x:v>
      </x:c>
      <x:c r="D2182" s="12" t="n">
        <x:v>4064.6378</x:v>
      </x:c>
      <x:c r="E2182" s="12" t="n">
        <x:v>4039.3181</x:v>
      </x:c>
      <x:c r="F2182" s="12" t="n">
        <x:v>4058.5486</x:v>
      </x:c>
      <x:c r="G2182" s="12" t="n">
        <x:v>4034.491</x:v>
      </x:c>
      <x:c r="H2182" s="12" t="n">
        <x:v>24.0576</x:v>
      </x:c>
      <x:c r="I2182" s="12" t="n">
        <x:v>0.5963</x:v>
      </x:c>
      <x:c r="J2182" s="12" t="n">
        <x:v>0.0059452744707187335</x:v>
      </x:c>
      <x:c r="K2182" s="12" t="n">
        <x:v>186211063</x:v>
      </x:c>
      <x:c r="L2182" s="12" t="n">
        <x:v>354244444.63</x:v>
      </x:c>
      <x:c r="M2182" s="12" t="str">
        <x:v>TuShare index_daily</x:v>
      </x:c>
    </x:row>
    <x:row r="2183" ht="18" customHeight="1">
      <x:c r="A2183" s="13" t="n">
        <x:v>45859</x:v>
      </x:c>
      <x:c r="B2183" s="12" t="str">
        <x:v>000300.SH</x:v>
      </x:c>
      <x:c r="C2183" s="12" t="n">
        <x:v>4069.7685</x:v>
      </x:c>
      <x:c r="D2183" s="12" t="n">
        <x:v>4086.1171</x:v>
      </x:c>
      <x:c r="E2183" s="12" t="n">
        <x:v>4063.4427</x:v>
      </x:c>
      <x:c r="F2183" s="12" t="n">
        <x:v>4085.6072</x:v>
      </x:c>
      <x:c r="G2183" s="12" t="n">
        <x:v>4058.5486</x:v>
      </x:c>
      <x:c r="H2183" s="12" t="n">
        <x:v>27.0586</x:v>
      </x:c>
      <x:c r="I2183" s="12" t="n">
        <x:v>0.6667</x:v>
      </x:c>
      <x:c r="J2183" s="12" t="n">
        <x:v>0.006644936621844214</x:v>
      </x:c>
      <x:c r="K2183" s="12" t="n">
        <x:v>223268476</x:v>
      </x:c>
      <x:c r="L2183" s="12" t="n">
        <x:v>377938564.878</x:v>
      </x:c>
      <x:c r="M2183" s="12" t="str">
        <x:v>TuShare index_daily</x:v>
      </x:c>
    </x:row>
    <x:row r="2184" ht="18" customHeight="1">
      <x:c r="A2184" s="13" t="n">
        <x:v>45860</x:v>
      </x:c>
      <x:c r="B2184" s="12" t="str">
        <x:v>000300.SH</x:v>
      </x:c>
      <x:c r="C2184" s="12" t="n">
        <x:v>4087.3354</x:v>
      </x:c>
      <x:c r="D2184" s="12" t="n">
        <x:v>4119.2021</x:v>
      </x:c>
      <x:c r="E2184" s="12" t="n">
        <x:v>4068.3383</x:v>
      </x:c>
      <x:c r="F2184" s="12" t="n">
        <x:v>4118.9582</x:v>
      </x:c>
      <x:c r="G2184" s="12" t="n">
        <x:v>4085.6072</x:v>
      </x:c>
      <x:c r="H2184" s="12" t="n">
        <x:v>33.351</x:v>
      </x:c>
      <x:c r="I2184" s="12" t="n">
        <x:v>0.8163</x:v>
      </x:c>
      <x:c r="J2184" s="12" t="n">
        <x:v>0.008129908671452656</x:v>
      </x:c>
      <x:c r="K2184" s="12" t="n">
        <x:v>257596985</x:v>
      </x:c>
      <x:c r="L2184" s="12" t="n">
        <x:v>450874014.479</x:v>
      </x:c>
      <x:c r="M2184" s="12" t="str">
        <x:v>TuShare index_daily</x:v>
      </x:c>
    </x:row>
    <x:row r="2185" ht="18" customHeight="1">
      <x:c r="A2185" s="13" t="n">
        <x:v>45861</x:v>
      </x:c>
      <x:c r="B2185" s="12" t="str">
        <x:v>000300.SH</x:v>
      </x:c>
      <x:c r="C2185" s="12" t="n">
        <x:v>4129.1476</x:v>
      </x:c>
      <x:c r="D2185" s="12" t="n">
        <x:v>4155.6783</x:v>
      </x:c>
      <x:c r="E2185" s="12" t="n">
        <x:v>4113.9085</x:v>
      </x:c>
      <x:c r="F2185" s="12" t="n">
        <x:v>4119.7685</x:v>
      </x:c>
      <x:c r="G2185" s="12" t="n">
        <x:v>4118.9582</x:v>
      </x:c>
      <x:c r="H2185" s="12" t="n">
        <x:v>0.8103</x:v>
      </x:c>
      <x:c r="I2185" s="12" t="n">
        <x:v>0.0197</x:v>
      </x:c>
      <x:c r="J2185" s="12" t="n">
        <x:v>0.0001967051541138663</x:v>
      </x:c>
      <x:c r="K2185" s="12" t="n">
        <x:v>300506154</x:v>
      </x:c>
      <x:c r="L2185" s="12" t="n">
        <x:v>470330899.421</x:v>
      </x:c>
      <x:c r="M2185" s="12" t="str">
        <x:v>TuShare index_daily</x:v>
      </x:c>
    </x:row>
    <x:row r="2186" ht="18" customHeight="1">
      <x:c r="A2186" s="13" t="n">
        <x:v>45862</x:v>
      </x:c>
      <x:c r="B2186" s="12" t="str">
        <x:v>000300.SH</x:v>
      </x:c>
      <x:c r="C2186" s="12" t="n">
        <x:v>4116.8312</x:v>
      </x:c>
      <x:c r="D2186" s="12" t="n">
        <x:v>4152.4265</x:v>
      </x:c>
      <x:c r="E2186" s="12" t="n">
        <x:v>4111.8849</x:v>
      </x:c>
      <x:c r="F2186" s="12" t="n">
        <x:v>4149.0368</x:v>
      </x:c>
      <x:c r="G2186" s="12" t="n">
        <x:v>4119.7685</x:v>
      </x:c>
      <x:c r="H2186" s="12" t="n">
        <x:v>29.2683</x:v>
      </x:c>
      <x:c r="I2186" s="12" t="n">
        <x:v>0.7104</x:v>
      </x:c>
      <x:c r="J2186" s="12" t="n">
        <x:v>0.007079238456162641</x:v>
      </x:c>
      <x:c r="K2186" s="12" t="n">
        <x:v>319632392</x:v>
      </x:c>
      <x:c r="L2186" s="12" t="n">
        <x:v>487000043.884</x:v>
      </x:c>
      <x:c r="M2186" s="12" t="str">
        <x:v>TuShare index_daily</x:v>
      </x:c>
    </x:row>
    <x:row r="2187" ht="18" customHeight="1">
      <x:c r="A2187" s="13" t="n">
        <x:v>45863</x:v>
      </x:c>
      <x:c r="B2187" s="12" t="str">
        <x:v>000300.SH</x:v>
      </x:c>
      <x:c r="C2187" s="12" t="n">
        <x:v>4145.3195</x:v>
      </x:c>
      <x:c r="D2187" s="12" t="n">
        <x:v>4150.4994</x:v>
      </x:c>
      <x:c r="E2187" s="12" t="n">
        <x:v>4117.8005</x:v>
      </x:c>
      <x:c r="F2187" s="12" t="n">
        <x:v>4127.1634</x:v>
      </x:c>
      <x:c r="G2187" s="12" t="n">
        <x:v>4149.0368</x:v>
      </x:c>
      <x:c r="H2187" s="12" t="n">
        <x:v>-21.8734</x:v>
      </x:c>
      <x:c r="I2187" s="12" t="n">
        <x:v>-0.5272</x:v>
      </x:c>
      <x:c r="J2187" s="12" t="n">
        <x:v>-0.005285868007222081</x:v>
      </x:c>
      <x:c r="K2187" s="12" t="n">
        <x:v>273594963</x:v>
      </x:c>
      <x:c r="L2187" s="12" t="n">
        <x:v>430445513.471</x:v>
      </x:c>
      <x:c r="M2187" s="12" t="str">
        <x:v>TuShare index_daily</x:v>
      </x:c>
    </x:row>
    <x:row r="2188" ht="18" customHeight="1">
      <x:c r="A2188" s="13" t="n">
        <x:v>45866</x:v>
      </x:c>
      <x:c r="B2188" s="12" t="str">
        <x:v>000300.SH</x:v>
      </x:c>
      <x:c r="C2188" s="12" t="n">
        <x:v>4128.1993</x:v>
      </x:c>
      <x:c r="D2188" s="12" t="n">
        <x:v>4146.12</x:v>
      </x:c>
      <x:c r="E2188" s="12" t="n">
        <x:v>4112.9677</x:v>
      </x:c>
      <x:c r="F2188" s="12" t="n">
        <x:v>4135.8242</x:v>
      </x:c>
      <x:c r="G2188" s="12" t="n">
        <x:v>4127.1634</x:v>
      </x:c>
      <x:c r="H2188" s="12" t="n">
        <x:v>8.6608</x:v>
      </x:c>
      <x:c r="I2188" s="12" t="n">
        <x:v>0.2098</x:v>
      </x:c>
      <x:c r="J2188" s="12" t="n">
        <x:v>0.002096288555873746</x:v>
      </x:c>
      <x:c r="K2188" s="12" t="n">
        <x:v>222759815</x:v>
      </x:c>
      <x:c r="L2188" s="12" t="n">
        <x:v>406792873.973</x:v>
      </x:c>
      <x:c r="M2188" s="12" t="str">
        <x:v>TuShare index_daily</x:v>
      </x:c>
    </x:row>
    <x:row r="2189" ht="18" customHeight="1">
      <x:c r="A2189" s="13" t="n">
        <x:v>45867</x:v>
      </x:c>
      <x:c r="B2189" s="12" t="str">
        <x:v>000300.SH</x:v>
      </x:c>
      <x:c r="C2189" s="12" t="n">
        <x:v>4132.6833</x:v>
      </x:c>
      <x:c r="D2189" s="12" t="n">
        <x:v>4153.3307</x:v>
      </x:c>
      <x:c r="E2189" s="12" t="n">
        <x:v>4117.5772</x:v>
      </x:c>
      <x:c r="F2189" s="12" t="n">
        <x:v>4152.0247</x:v>
      </x:c>
      <x:c r="G2189" s="12" t="n">
        <x:v>4135.8242</x:v>
      </x:c>
      <x:c r="H2189" s="12" t="n">
        <x:v>16.2005</x:v>
      </x:c>
      <x:c r="I2189" s="12" t="n">
        <x:v>0.3917</x:v>
      </x:c>
      <x:c r="J2189" s="12" t="n">
        <x:v>0.003909463318980385</x:v>
      </x:c>
      <x:c r="K2189" s="12" t="n">
        <x:v>230807880</x:v>
      </x:c>
      <x:c r="L2189" s="12" t="n">
        <x:v>428764310.974</x:v>
      </x:c>
      <x:c r="M2189" s="12" t="str">
        <x:v>TuShare index_daily</x:v>
      </x:c>
    </x:row>
    <x:row r="2190" ht="18" customHeight="1">
      <x:c r="A2190" s="13" t="n">
        <x:v>45868</x:v>
      </x:c>
      <x:c r="B2190" s="12" t="str">
        <x:v>000300.SH</x:v>
      </x:c>
      <x:c r="C2190" s="12" t="n">
        <x:v>4148.9405</x:v>
      </x:c>
      <x:c r="D2190" s="12" t="n">
        <x:v>4185.2064</x:v>
      </x:c>
      <x:c r="E2190" s="12" t="n">
        <x:v>4127.4301</x:v>
      </x:c>
      <x:c r="F2190" s="12" t="n">
        <x:v>4151.2379</x:v>
      </x:c>
      <x:c r="G2190" s="12" t="n">
        <x:v>4152.0247</x:v>
      </x:c>
      <x:c r="H2190" s="12" t="n">
        <x:v>-0.7868</x:v>
      </x:c>
      <x:c r="I2190" s="12" t="n">
        <x:v>-0.0189</x:v>
      </x:c>
      <x:c r="J2190" s="12" t="n">
        <x:v>-0.00018951586629451265</x:v>
      </x:c>
      <x:c r="K2190" s="12" t="n">
        <x:v>249853048</x:v>
      </x:c>
      <x:c r="L2190" s="12" t="n">
        <x:v>445168467.668</x:v>
      </x:c>
      <x:c r="M2190" s="12" t="str">
        <x:v>TuShare index_daily</x:v>
      </x:c>
    </x:row>
    <x:row r="2191" ht="18" customHeight="1">
      <x:c r="A2191" s="13" t="n">
        <x:v>45869</x:v>
      </x:c>
      <x:c r="B2191" s="12" t="str">
        <x:v>000300.SH</x:v>
      </x:c>
      <x:c r="C2191" s="12" t="n">
        <x:v>4141.5612</x:v>
      </x:c>
      <x:c r="D2191" s="12" t="n">
        <x:v>4141.8243</x:v>
      </x:c>
      <x:c r="E2191" s="12" t="n">
        <x:v>4063.6662</x:v>
      </x:c>
      <x:c r="F2191" s="12" t="n">
        <x:v>4075.5912</x:v>
      </x:c>
      <x:c r="G2191" s="12" t="n">
        <x:v>4151.2379</x:v>
      </x:c>
      <x:c r="H2191" s="12" t="n">
        <x:v>-75.6467</x:v>
      </x:c>
      <x:c r="I2191" s="12" t="n">
        <x:v>-1.8223</x:v>
      </x:c>
      <x:c r="J2191" s="12" t="n">
        <x:v>-0.01839076299549046</x:v>
      </x:c>
      <x:c r="K2191" s="12" t="n">
        <x:v>267087406</x:v>
      </x:c>
      <x:c r="L2191" s="12" t="n">
        <x:v>492142571.739</x:v>
      </x:c>
      <x:c r="M2191" s="12" t="str">
        <x:v>TuShare index_daily</x:v>
      </x:c>
    </x:row>
    <x:row r="2192" ht="18" customHeight="1">
      <x:c r="A2192" s="13" t="n">
        <x:v>45870</x:v>
      </x:c>
      <x:c r="B2192" s="12" t="str">
        <x:v>000300.SH</x:v>
      </x:c>
      <x:c r="C2192" s="12" t="n">
        <x:v>4069.9254</x:v>
      </x:c>
      <x:c r="D2192" s="12" t="n">
        <x:v>4085.3543</x:v>
      </x:c>
      <x:c r="E2192" s="12" t="n">
        <x:v>4040.462</x:v>
      </x:c>
      <x:c r="F2192" s="12" t="n">
        <x:v>4054.9286</x:v>
      </x:c>
      <x:c r="G2192" s="12" t="n">
        <x:v>4075.5912</x:v>
      </x:c>
      <x:c r="H2192" s="12" t="n">
        <x:v>-20.6626</x:v>
      </x:c>
      <x:c r="I2192" s="12" t="n">
        <x:v>-0.507</x:v>
      </x:c>
      <x:c r="J2192" s="12" t="n">
        <x:v>-0.005082736403513882</x:v>
      </x:c>
      <x:c r="K2192" s="12" t="n">
        <x:v>196221826</x:v>
      </x:c>
      <x:c r="L2192" s="12" t="n">
        <x:v>359685164.163</x:v>
      </x:c>
      <x:c r="M2192" s="12" t="str">
        <x:v>TuShare index_daily</x:v>
      </x:c>
    </x:row>
    <x:row r="2193" ht="18" customHeight="1">
      <x:c r="A2193" s="13" t="n">
        <x:v>45873</x:v>
      </x:c>
      <x:c r="B2193" s="12" t="str">
        <x:v>000300.SH</x:v>
      </x:c>
      <x:c r="C2193" s="12" t="n">
        <x:v>4037.9378</x:v>
      </x:c>
      <x:c r="D2193" s="12" t="n">
        <x:v>4070.7023</x:v>
      </x:c>
      <x:c r="E2193" s="12" t="n">
        <x:v>4037.9378</x:v>
      </x:c>
      <x:c r="F2193" s="12" t="n">
        <x:v>4070.7023</x:v>
      </x:c>
      <x:c r="G2193" s="12" t="n">
        <x:v>4054.9286</x:v>
      </x:c>
      <x:c r="H2193" s="12" t="n">
        <x:v>15.7737</x:v>
      </x:c>
      <x:c r="I2193" s="12" t="n">
        <x:v>0.389</x:v>
      </x:c>
      <x:c r="J2193" s="12" t="n">
        <x:v>0.003882460330244926</x:v>
      </x:c>
      <x:c r="K2193" s="12" t="n">
        <x:v>162275902</x:v>
      </x:c>
      <x:c r="L2193" s="12" t="n">
        <x:v>295976826.632</x:v>
      </x:c>
      <x:c r="M2193" s="12" t="str">
        <x:v>TuShare index_daily</x:v>
      </x:c>
    </x:row>
    <x:row r="2194" ht="18" customHeight="1">
      <x:c r="A2194" s="13" t="n">
        <x:v>45874</x:v>
      </x:c>
      <x:c r="B2194" s="12" t="str">
        <x:v>000300.SH</x:v>
      </x:c>
      <x:c r="C2194" s="12" t="n">
        <x:v>4080.3877</x:v>
      </x:c>
      <x:c r="D2194" s="12" t="n">
        <x:v>4106.2969</x:v>
      </x:c>
      <x:c r="E2194" s="12" t="n">
        <x:v>4075.5836</x:v>
      </x:c>
      <x:c r="F2194" s="12" t="n">
        <x:v>4103.45</x:v>
      </x:c>
      <x:c r="G2194" s="12" t="n">
        <x:v>4070.7023</x:v>
      </x:c>
      <x:c r="H2194" s="12" t="n">
        <x:v>32.7477</x:v>
      </x:c>
      <x:c r="I2194" s="12" t="n">
        <x:v>0.8045</x:v>
      </x:c>
      <x:c r="J2194" s="12" t="n">
        <x:v>0.008012543441925745</x:v>
      </x:c>
      <x:c r="K2194" s="12" t="n">
        <x:v>178851999</x:v>
      </x:c>
      <x:c r="L2194" s="12" t="n">
        <x:v>306934255.766</x:v>
      </x:c>
      <x:c r="M2194" s="12" t="str">
        <x:v>TuShare index_daily</x:v>
      </x:c>
    </x:row>
    <x:row r="2195" ht="18" customHeight="1">
      <x:c r="A2195" s="13" t="n">
        <x:v>45875</x:v>
      </x:c>
      <x:c r="B2195" s="12" t="str">
        <x:v>000300.SH</x:v>
      </x:c>
      <x:c r="C2195" s="12" t="n">
        <x:v>4100.4283</x:v>
      </x:c>
      <x:c r="D2195" s="12" t="n">
        <x:v>4116.7085</x:v>
      </x:c>
      <x:c r="E2195" s="12" t="n">
        <x:v>4098.3544</x:v>
      </x:c>
      <x:c r="F2195" s="12" t="n">
        <x:v>4113.4852</x:v>
      </x:c>
      <x:c r="G2195" s="12" t="n">
        <x:v>4103.45</x:v>
      </x:c>
      <x:c r="H2195" s="12" t="n">
        <x:v>10.0352</x:v>
      </x:c>
      <x:c r="I2195" s="12" t="n">
        <x:v>0.2446</x:v>
      </x:c>
      <x:c r="J2195" s="12" t="n">
        <x:v>0.002442566418018243</x:v>
      </x:c>
      <x:c r="K2195" s="12" t="n">
        <x:v>176676155</x:v>
      </x:c>
      <x:c r="L2195" s="12" t="n">
        <x:v>307674626.125</x:v>
      </x:c>
      <x:c r="M2195" s="12" t="str">
        <x:v>TuShare index_daily</x:v>
      </x:c>
    </x:row>
    <x:row r="2196" ht="18" customHeight="1">
      <x:c r="A2196" s="13" t="n">
        <x:v>45876</x:v>
      </x:c>
      <x:c r="B2196" s="12" t="str">
        <x:v>000300.SH</x:v>
      </x:c>
      <x:c r="C2196" s="12" t="n">
        <x:v>4120.2822</x:v>
      </x:c>
      <x:c r="D2196" s="12" t="n">
        <x:v>4129.7382</x:v>
      </x:c>
      <x:c r="E2196" s="12" t="n">
        <x:v>4094.8214</x:v>
      </x:c>
      <x:c r="F2196" s="12" t="n">
        <x:v>4114.666</x:v>
      </x:c>
      <x:c r="G2196" s="12" t="n">
        <x:v>4113.4852</x:v>
      </x:c>
      <x:c r="H2196" s="12" t="n">
        <x:v>1.1808</x:v>
      </x:c>
      <x:c r="I2196" s="12" t="n">
        <x:v>0.0287</x:v>
      </x:c>
      <x:c r="J2196" s="12" t="n">
        <x:v>0.00028701465964952667</x:v>
      </x:c>
      <x:c r="K2196" s="12" t="n">
        <x:v>198641902</x:v>
      </x:c>
      <x:c r="L2196" s="12" t="n">
        <x:v>358108366.984</x:v>
      </x:c>
      <x:c r="M2196" s="12" t="str">
        <x:v>TuShare index_daily</x:v>
      </x:c>
    </x:row>
    <x:row r="2197" ht="18" customHeight="1">
      <x:c r="A2197" s="13" t="n">
        <x:v>45877</x:v>
      </x:c>
      <x:c r="B2197" s="12" t="str">
        <x:v>000300.SH</x:v>
      </x:c>
      <x:c r="C2197" s="12" t="n">
        <x:v>4109.2734</x:v>
      </x:c>
      <x:c r="D2197" s="12" t="n">
        <x:v>4122.2104</x:v>
      </x:c>
      <x:c r="E2197" s="12" t="n">
        <x:v>4097.4157</x:v>
      </x:c>
      <x:c r="F2197" s="12" t="n">
        <x:v>4104.9669</x:v>
      </x:c>
      <x:c r="G2197" s="12" t="n">
        <x:v>4114.666</x:v>
      </x:c>
      <x:c r="H2197" s="12" t="n">
        <x:v>-9.6991</x:v>
      </x:c>
      <x:c r="I2197" s="12" t="n">
        <x:v>-0.2357</x:v>
      </x:c>
      <x:c r="J2197" s="12" t="n">
        <x:v>-0.002359984836212605</x:v>
      </x:c>
      <x:c r="K2197" s="12" t="n">
        <x:v>173171201</x:v>
      </x:c>
      <x:c r="L2197" s="12" t="n">
        <x:v>308507687.635</x:v>
      </x:c>
      <x:c r="M2197" s="12" t="str">
        <x:v>TuShare index_daily</x:v>
      </x:c>
    </x:row>
    <x:row r="2198" ht="18" customHeight="1">
      <x:c r="A2198" s="13" t="n">
        <x:v>45880</x:v>
      </x:c>
      <x:c r="B2198" s="12" t="str">
        <x:v>000300.SH</x:v>
      </x:c>
      <x:c r="C2198" s="12" t="n">
        <x:v>4110.2939</x:v>
      </x:c>
      <x:c r="D2198" s="12" t="n">
        <x:v>4134.2462</x:v>
      </x:c>
      <x:c r="E2198" s="12" t="n">
        <x:v>4103.605</x:v>
      </x:c>
      <x:c r="F2198" s="12" t="n">
        <x:v>4122.5106</x:v>
      </x:c>
      <x:c r="G2198" s="12" t="n">
        <x:v>4104.9669</x:v>
      </x:c>
      <x:c r="H2198" s="12" t="n">
        <x:v>17.5437</x:v>
      </x:c>
      <x:c r="I2198" s="12" t="n">
        <x:v>0.4274</x:v>
      </x:c>
      <x:c r="J2198" s="12" t="n">
        <x:v>0.004264667169128132</x:v>
      </x:c>
      <x:c r="K2198" s="12" t="n">
        <x:v>190443716</x:v>
      </x:c>
      <x:c r="L2198" s="12" t="n">
        <x:v>360685826.235</x:v>
      </x:c>
      <x:c r="M2198" s="12" t="str">
        <x:v>TuShare index_daily</x:v>
      </x:c>
    </x:row>
    <x:row r="2199" ht="18" customHeight="1">
      <x:c r="A2199" s="13" t="n">
        <x:v>45881</x:v>
      </x:c>
      <x:c r="B2199" s="12" t="str">
        <x:v>000300.SH</x:v>
      </x:c>
      <x:c r="C2199" s="12" t="n">
        <x:v>4123.5762</x:v>
      </x:c>
      <x:c r="D2199" s="12" t="n">
        <x:v>4153.2948</x:v>
      </x:c>
      <x:c r="E2199" s="12" t="n">
        <x:v>4121.2243</x:v>
      </x:c>
      <x:c r="F2199" s="12" t="n">
        <x:v>4143.8252</x:v>
      </x:c>
      <x:c r="G2199" s="12" t="n">
        <x:v>4122.5106</x:v>
      </x:c>
      <x:c r="H2199" s="12" t="n">
        <x:v>21.3146</x:v>
      </x:c>
      <x:c r="I2199" s="12" t="n">
        <x:v>0.517</x:v>
      </x:c>
      <x:c r="J2199" s="12" t="n">
        <x:v>0.0051569758967200535</x:v>
      </x:c>
      <x:c r="K2199" s="12" t="n">
        <x:v>177287823</x:v>
      </x:c>
      <x:c r="L2199" s="12" t="n">
        <x:v>383088423.33</x:v>
      </x:c>
      <x:c r="M2199" s="12" t="str">
        <x:v>TuShare index_daily</x:v>
      </x:c>
    </x:row>
    <x:row r="2200" ht="18" customHeight="1">
      <x:c r="A2200" s="13" t="n">
        <x:v>45882</x:v>
      </x:c>
      <x:c r="B2200" s="12" t="str">
        <x:v>000300.SH</x:v>
      </x:c>
      <x:c r="C2200" s="12" t="n">
        <x:v>4150.5037</x:v>
      </x:c>
      <x:c r="D2200" s="12" t="n">
        <x:v>4186.748</x:v>
      </x:c>
      <x:c r="E2200" s="12" t="n">
        <x:v>4147.1991</x:v>
      </x:c>
      <x:c r="F2200" s="12" t="n">
        <x:v>4176.5776</x:v>
      </x:c>
      <x:c r="G2200" s="12" t="n">
        <x:v>4143.8252</x:v>
      </x:c>
      <x:c r="H2200" s="12" t="n">
        <x:v>32.7524</x:v>
      </x:c>
      <x:c r="I2200" s="12" t="n">
        <x:v>0.7904</x:v>
      </x:c>
      <x:c r="J2200" s="12" t="n">
        <x:v>0.00787283259172163</x:v>
      </x:c>
      <x:c r="K2200" s="12" t="n">
        <x:v>213934999</x:v>
      </x:c>
      <x:c r="L2200" s="12" t="n">
        <x:v>462776745.465</x:v>
      </x:c>
      <x:c r="M2200" s="12" t="str">
        <x:v>TuShare index_daily</x:v>
      </x:c>
    </x:row>
    <x:row r="2201" ht="18" customHeight="1">
      <x:c r="A2201" s="13" t="n">
        <x:v>45883</x:v>
      </x:c>
      <x:c r="B2201" s="12" t="str">
        <x:v>000300.SH</x:v>
      </x:c>
      <x:c r="C2201" s="12" t="n">
        <x:v>4179.965</x:v>
      </x:c>
      <x:c r="D2201" s="12" t="n">
        <x:v>4220.3109</x:v>
      </x:c>
      <x:c r="E2201" s="12" t="n">
        <x:v>4165.9376</x:v>
      </x:c>
      <x:c r="F2201" s="12" t="n">
        <x:v>4173.3131</x:v>
      </x:c>
      <x:c r="G2201" s="12" t="n">
        <x:v>4176.5776</x:v>
      </x:c>
      <x:c r="H2201" s="12" t="n">
        <x:v>-3.2645</x:v>
      </x:c>
      <x:c r="I2201" s="12" t="n">
        <x:v>-0.0782</x:v>
      </x:c>
      <x:c r="J2201" s="12" t="n">
        <x:v>-0.0007819264427803516</x:v>
      </x:c>
      <x:c r="K2201" s="12" t="n">
        <x:v>221103595</x:v>
      </x:c>
      <x:c r="L2201" s="12" t="n">
        <x:v>485075642.622</x:v>
      </x:c>
      <x:c r="M2201" s="12" t="str">
        <x:v>TuShare index_daily</x:v>
      </x:c>
    </x:row>
    <x:row r="2202" ht="18" customHeight="1">
      <x:c r="A2202" s="13" t="n">
        <x:v>45884</x:v>
      </x:c>
      <x:c r="B2202" s="12" t="str">
        <x:v>000300.SH</x:v>
      </x:c>
      <x:c r="C2202" s="12" t="n">
        <x:v>4162.4205</x:v>
      </x:c>
      <x:c r="D2202" s="12" t="n">
        <x:v>4214.7291</x:v>
      </x:c>
      <x:c r="E2202" s="12" t="n">
        <x:v>4157.495</x:v>
      </x:c>
      <x:c r="F2202" s="12" t="n">
        <x:v>4202.3533</x:v>
      </x:c>
      <x:c r="G2202" s="12" t="n">
        <x:v>4173.3131</x:v>
      </x:c>
      <x:c r="H2202" s="12" t="n">
        <x:v>29.0402</x:v>
      </x:c>
      <x:c r="I2202" s="12" t="n">
        <x:v>0.6959</x:v>
      </x:c>
      <x:c r="J2202" s="12" t="n">
        <x:v>0.0069344491490834215</x:v>
      </x:c>
      <x:c r="K2202" s="12" t="n">
        <x:v>261327566</x:v>
      </x:c>
      <x:c r="L2202" s="12" t="n">
        <x:v>518686873.501</x:v>
      </x:c>
      <x:c r="M2202" s="12" t="str">
        <x:v>TuShare index_daily</x:v>
      </x:c>
    </x:row>
    <x:row r="2203" ht="18" customHeight="1">
      <x:c r="A2203" s="13" t="n">
        <x:v>45887</x:v>
      </x:c>
      <x:c r="B2203" s="12" t="str">
        <x:v>000300.SH</x:v>
      </x:c>
      <x:c r="C2203" s="12" t="n">
        <x:v>4218.2471</x:v>
      </x:c>
      <x:c r="D2203" s="12" t="n">
        <x:v>4272.9602</x:v>
      </x:c>
      <x:c r="E2203" s="12" t="n">
        <x:v>4203.4191</x:v>
      </x:c>
      <x:c r="F2203" s="12" t="n">
        <x:v>4239.4125</x:v>
      </x:c>
      <x:c r="G2203" s="12" t="n">
        <x:v>4202.3533</x:v>
      </x:c>
      <x:c r="H2203" s="12" t="n">
        <x:v>37.0592</x:v>
      </x:c>
      <x:c r="I2203" s="12" t="n">
        <x:v>0.8819</x:v>
      </x:c>
      <x:c r="J2203" s="12" t="n">
        <x:v>0.008780020424242996</x:v>
      </x:c>
      <x:c r="K2203" s="12" t="n">
        <x:v>301479102</x:v>
      </x:c>
      <x:c r="L2203" s="12" t="n">
        <x:v>635365867.185</x:v>
      </x:c>
      <x:c r="M2203" s="12" t="str">
        <x:v>TuShare index_daily</x:v>
      </x:c>
    </x:row>
    <x:row r="2204" ht="18" customHeight="1">
      <x:c r="A2204" s="13" t="n">
        <x:v>45888</x:v>
      </x:c>
      <x:c r="B2204" s="12" t="str">
        <x:v>000300.SH</x:v>
      </x:c>
      <x:c r="C2204" s="12" t="n">
        <x:v>4241.7651</x:v>
      </x:c>
      <x:c r="D2204" s="12" t="n">
        <x:v>4264.2303</x:v>
      </x:c>
      <x:c r="E2204" s="12" t="n">
        <x:v>4215.2075</x:v>
      </x:c>
      <x:c r="F2204" s="12" t="n">
        <x:v>4223.3741</x:v>
      </x:c>
      <x:c r="G2204" s="12" t="n">
        <x:v>4239.4125</x:v>
      </x:c>
      <x:c r="H2204" s="12" t="n">
        <x:v>-16.0384</x:v>
      </x:c>
      <x:c r="I2204" s="12" t="n">
        <x:v>-0.3783</x:v>
      </x:c>
      <x:c r="J2204" s="12" t="n">
        <x:v>-0.003790339981286738</x:v>
      </x:c>
      <x:c r="K2204" s="12" t="n">
        <x:v>250818771</x:v>
      </x:c>
      <x:c r="L2204" s="12" t="n">
        <x:v>553536203.26</x:v>
      </x:c>
      <x:c r="M2204" s="12" t="str">
        <x:v>TuShare index_daily</x:v>
      </x:c>
    </x:row>
    <x:row r="2205" ht="18" customHeight="1">
      <x:c r="A2205" s="13" t="n">
        <x:v>45889</x:v>
      </x:c>
      <x:c r="B2205" s="12" t="str">
        <x:v>000300.SH</x:v>
      </x:c>
      <x:c r="C2205" s="12" t="n">
        <x:v>4208.4005</x:v>
      </x:c>
      <x:c r="D2205" s="12" t="n">
        <x:v>4272.1463</x:v>
      </x:c>
      <x:c r="E2205" s="12" t="n">
        <x:v>4190.5559</x:v>
      </x:c>
      <x:c r="F2205" s="12" t="n">
        <x:v>4271.3958</x:v>
      </x:c>
      <x:c r="G2205" s="12" t="n">
        <x:v>4223.3741</x:v>
      </x:c>
      <x:c r="H2205" s="12" t="n">
        <x:v>48.0217</x:v>
      </x:c>
      <x:c r="I2205" s="12" t="n">
        <x:v>1.137</x:v>
      </x:c>
      <x:c r="J2205" s="12" t="n">
        <x:v>0.01130630072977471</x:v>
      </x:c>
      <x:c r="K2205" s="12" t="n">
        <x:v>246481773</x:v>
      </x:c>
      <x:c r="L2205" s="12" t="n">
        <x:v>538815306.147</x:v>
      </x:c>
      <x:c r="M2205" s="12" t="str">
        <x:v>TuShare index_daily</x:v>
      </x:c>
    </x:row>
    <x:row r="2206" ht="18" customHeight="1">
      <x:c r="A2206" s="13" t="n">
        <x:v>45890</x:v>
      </x:c>
      <x:c r="B2206" s="12" t="str">
        <x:v>000300.SH</x:v>
      </x:c>
      <x:c r="C2206" s="12" t="n">
        <x:v>4284.3712</x:v>
      </x:c>
      <x:c r="D2206" s="12" t="n">
        <x:v>4308.4472</x:v>
      </x:c>
      <x:c r="E2206" s="12" t="n">
        <x:v>4273.6523</x:v>
      </x:c>
      <x:c r="F2206" s="12" t="n">
        <x:v>4288.0707</x:v>
      </x:c>
      <x:c r="G2206" s="12" t="n">
        <x:v>4271.3958</x:v>
      </x:c>
      <x:c r="H2206" s="12" t="n">
        <x:v>16.6749</x:v>
      </x:c>
      <x:c r="I2206" s="12" t="n">
        <x:v>0.3904</x:v>
      </x:c>
      <x:c r="J2206" s="12" t="n">
        <x:v>0.003896252434618806</x:v>
      </x:c>
      <x:c r="K2206" s="12" t="n">
        <x:v>259030014</x:v>
      </x:c>
      <x:c r="L2206" s="12" t="n">
        <x:v>558521268.967</x:v>
      </x:c>
      <x:c r="M2206" s="12" t="str">
        <x:v>TuShare index_daily</x:v>
      </x:c>
    </x:row>
    <x:row r="2207" ht="18" customHeight="1">
      <x:c r="A2207" s="13" t="n">
        <x:v>45891</x:v>
      </x:c>
      <x:c r="B2207" s="12" t="str">
        <x:v>000300.SH</x:v>
      </x:c>
      <x:c r="C2207" s="12" t="n">
        <x:v>4287.3633</x:v>
      </x:c>
      <x:c r="D2207" s="12" t="n">
        <x:v>4378.3881</x:v>
      </x:c>
      <x:c r="E2207" s="12" t="n">
        <x:v>4287.3633</x:v>
      </x:c>
      <x:c r="F2207" s="12" t="n">
        <x:v>4377.9977</x:v>
      </x:c>
      <x:c r="G2207" s="12" t="n">
        <x:v>4288.0707</x:v>
      </x:c>
      <x:c r="H2207" s="12" t="n">
        <x:v>89.927</x:v>
      </x:c>
      <x:c r="I2207" s="12" t="n">
        <x:v>2.0971</x:v>
      </x:c>
      <x:c r="J2207" s="12" t="n">
        <x:v>0.020754562240778436</x:v>
      </x:c>
      <x:c r="K2207" s="12" t="n">
        <x:v>290434897</x:v>
      </x:c>
      <x:c r="L2207" s="12" t="n">
        <x:v>675935075.409</x:v>
      </x:c>
      <x:c r="M2207" s="12" t="str">
        <x:v>TuShare index_daily</x:v>
      </x:c>
    </x:row>
    <x:row r="2208" ht="18" customHeight="1">
      <x:c r="A2208" s="13" t="n">
        <x:v>45894</x:v>
      </x:c>
      <x:c r="B2208" s="12" t="str">
        <x:v>000300.SH</x:v>
      </x:c>
      <x:c r="C2208" s="12" t="n">
        <x:v>4416.2924</x:v>
      </x:c>
      <x:c r="D2208" s="12" t="n">
        <x:v>4472.6525</x:v>
      </x:c>
      <x:c r="E2208" s="12" t="n">
        <x:v>4404.7761</x:v>
      </x:c>
      <x:c r="F2208" s="12" t="n">
        <x:v>4469.2217</x:v>
      </x:c>
      <x:c r="G2208" s="12" t="n">
        <x:v>4377.9977</x:v>
      </x:c>
      <x:c r="H2208" s="12" t="n">
        <x:v>91.224</x:v>
      </x:c>
      <x:c r="I2208" s="12" t="n">
        <x:v>2.0837</x:v>
      </x:c>
      <x:c r="J2208" s="12" t="n">
        <x:v>0.020622803387883</x:v>
      </x:c>
      <x:c r="K2208" s="12" t="n">
        <x:v>358090006</x:v>
      </x:c>
      <x:c r="L2208" s="12" t="n">
        <x:v>823681964.473</x:v>
      </x:c>
      <x:c r="M2208" s="12" t="str">
        <x:v>TuShare index_daily</x:v>
      </x:c>
    </x:row>
    <x:row r="2209" ht="18" customHeight="1">
      <x:c r="A2209" s="13" t="n">
        <x:v>45895</x:v>
      </x:c>
      <x:c r="B2209" s="12" t="str">
        <x:v>000300.SH</x:v>
      </x:c>
      <x:c r="C2209" s="12" t="n">
        <x:v>4453.3526</x:v>
      </x:c>
      <x:c r="D2209" s="12" t="n">
        <x:v>4476.803</x:v>
      </x:c>
      <x:c r="E2209" s="12" t="n">
        <x:v>4435.5275</x:v>
      </x:c>
      <x:c r="F2209" s="12" t="n">
        <x:v>4452.5905</x:v>
      </x:c>
      <x:c r="G2209" s="12" t="n">
        <x:v>4469.2217</x:v>
      </x:c>
      <x:c r="H2209" s="12" t="n">
        <x:v>-16.6312</x:v>
      </x:c>
      <x:c r="I2209" s="12" t="n">
        <x:v>-0.3721</x:v>
      </x:c>
      <x:c r="J2209" s="12" t="n">
        <x:v>-0.0037282154995151224</x:v>
      </x:c>
      <x:c r="K2209" s="12" t="n">
        <x:v>270621395</x:v>
      </x:c>
      <x:c r="L2209" s="12" t="n">
        <x:v>627950450.229</x:v>
      </x:c>
      <x:c r="M2209" s="12" t="str">
        <x:v>TuShare index_daily</x:v>
      </x:c>
    </x:row>
    <x:row r="2210" ht="18" customHeight="1">
      <x:c r="A2210" s="13" t="n">
        <x:v>45896</x:v>
      </x:c>
      <x:c r="B2210" s="12" t="str">
        <x:v>000300.SH</x:v>
      </x:c>
      <x:c r="C2210" s="12" t="n">
        <x:v>4458.8399</x:v>
      </x:c>
      <x:c r="D2210" s="12" t="n">
        <x:v>4494.9126</x:v>
      </x:c>
      <x:c r="E2210" s="12" t="n">
        <x:v>4386.1266</x:v>
      </x:c>
      <x:c r="F2210" s="12" t="n">
        <x:v>4386.1266</x:v>
      </x:c>
      <x:c r="G2210" s="12" t="n">
        <x:v>4452.5905</x:v>
      </x:c>
      <x:c r="H2210" s="12" t="n">
        <x:v>-66.4639</x:v>
      </x:c>
      <x:c r="I2210" s="12" t="n">
        <x:v>-1.4927</x:v>
      </x:c>
      <x:c r="J2210" s="12" t="n">
        <x:v>-0.01503954748665182</x:v>
      </x:c>
      <x:c r="K2210" s="12" t="n">
        <x:v>333133898</x:v>
      </x:c>
      <x:c r="L2210" s="12" t="n">
        <x:v>785098482.974</x:v>
      </x:c>
      <x:c r="M2210" s="12" t="str">
        <x:v>TuShare index_daily</x:v>
      </x:c>
    </x:row>
    <x:row r="2211" ht="18" customHeight="1">
      <x:c r="A2211" s="13" t="n">
        <x:v>45897</x:v>
      </x:c>
      <x:c r="B2211" s="12" t="str">
        <x:v>000300.SH</x:v>
      </x:c>
      <x:c r="C2211" s="12" t="n">
        <x:v>4378.0351</x:v>
      </x:c>
      <x:c r="D2211" s="12" t="n">
        <x:v>4464.8028</x:v>
      </x:c>
      <x:c r="E2211" s="12" t="n">
        <x:v>4364.171</x:v>
      </x:c>
      <x:c r="F2211" s="12" t="n">
        <x:v>4463.782</x:v>
      </x:c>
      <x:c r="G2211" s="12" t="n">
        <x:v>4386.1266</x:v>
      </x:c>
      <x:c r="H2211" s="12" t="n">
        <x:v>77.6554</x:v>
      </x:c>
      <x:c r="I2211" s="12" t="n">
        <x:v>1.7705</x:v>
      </x:c>
      <x:c r="J2211" s="12" t="n">
        <x:v>0.017549874612882172</x:v>
      </x:c>
      <x:c r="K2211" s="12" t="n">
        <x:v>296834536</x:v>
      </x:c>
      <x:c r="L2211" s="12" t="n">
        <x:v>739423602.221</x:v>
      </x:c>
      <x:c r="M2211" s="12" t="str">
        <x:v>TuShare index_daily</x:v>
      </x:c>
    </x:row>
    <x:row r="2212" ht="18" customHeight="1">
      <x:c r="A2212" s="13" t="n">
        <x:v>45898</x:v>
      </x:c>
      <x:c r="B2212" s="12" t="str">
        <x:v>000300.SH</x:v>
      </x:c>
      <x:c r="C2212" s="12" t="n">
        <x:v>4455.8034</x:v>
      </x:c>
      <x:c r="D2212" s="12" t="n">
        <x:v>4516.8395</x:v>
      </x:c>
      <x:c r="E2212" s="12" t="n">
        <x:v>4452.3632</x:v>
      </x:c>
      <x:c r="F2212" s="12" t="n">
        <x:v>4496.7591</x:v>
      </x:c>
      <x:c r="G2212" s="12" t="n">
        <x:v>4463.782</x:v>
      </x:c>
      <x:c r="H2212" s="12" t="n">
        <x:v>32.9771</x:v>
      </x:c>
      <x:c r="I2212" s="12" t="n">
        <x:v>0.7388</x:v>
      </x:c>
      <x:c r="J2212" s="12" t="n">
        <x:v>0.0073605485465789156</x:v>
      </x:c>
      <x:c r="K2212" s="12" t="n">
        <x:v>351938947</x:v>
      </x:c>
      <x:c r="L2212" s="12" t="n">
        <x:v>831194066.158</x:v>
      </x:c>
      <x:c r="M2212" s="12" t="str">
        <x:v>TuShare index_daily</x:v>
      </x:c>
    </x:row>
    <x:row r="2213" ht="18" customHeight="1">
      <x:c r="A2213" s="13" t="n">
        <x:v>45901</x:v>
      </x:c>
      <x:c r="B2213" s="12" t="str">
        <x:v>000300.SH</x:v>
      </x:c>
      <x:c r="C2213" s="12" t="n">
        <x:v>4516.8787</x:v>
      </x:c>
      <x:c r="D2213" s="12" t="n">
        <x:v>4528.1342</x:v>
      </x:c>
      <x:c r="E2213" s="12" t="n">
        <x:v>4487.5304</x:v>
      </x:c>
      <x:c r="F2213" s="12" t="n">
        <x:v>4523.7111</x:v>
      </x:c>
      <x:c r="G2213" s="12" t="n">
        <x:v>4496.7591</x:v>
      </x:c>
      <x:c r="H2213" s="12" t="n">
        <x:v>26.952</x:v>
      </x:c>
      <x:c r="I2213" s="12" t="n">
        <x:v>0.5994</x:v>
      </x:c>
      <x:c r="J2213" s="12" t="n">
        <x:v>0.005975759490662033</x:v>
      </x:c>
      <x:c r="K2213" s="12" t="n">
        <x:v>320366708</x:v>
      </x:c>
      <x:c r="L2213" s="12" t="n">
        <x:v>770378288.127</x:v>
      </x:c>
      <x:c r="M2213" s="12" t="str">
        <x:v>TuShare index_daily</x:v>
      </x:c>
    </x:row>
    <x:row r="2214" ht="18" customHeight="1">
      <x:c r="A2214" s="13" t="n">
        <x:v>45902</x:v>
      </x:c>
      <x:c r="B2214" s="12" t="str">
        <x:v>000300.SH</x:v>
      </x:c>
      <x:c r="C2214" s="12" t="n">
        <x:v>4521.9828</x:v>
      </x:c>
      <x:c r="D2214" s="12" t="n">
        <x:v>4548.8937</x:v>
      </x:c>
      <x:c r="E2214" s="12" t="n">
        <x:v>4454.4169</x:v>
      </x:c>
      <x:c r="F2214" s="12" t="n">
        <x:v>4490.4528</x:v>
      </x:c>
      <x:c r="G2214" s="12" t="n">
        <x:v>4523.7111</x:v>
      </x:c>
      <x:c r="H2214" s="12" t="n">
        <x:v>-33.2583</x:v>
      </x:c>
      <x:c r="I2214" s="12" t="n">
        <x:v>-0.7352</x:v>
      </x:c>
      <x:c r="J2214" s="12" t="n">
        <x:v>-0.007379153803648037</x:v>
      </x:c>
      <x:c r="K2214" s="12" t="n">
        <x:v>303932566</x:v>
      </x:c>
      <x:c r="L2214" s="12" t="n">
        <x:v>777999297.964</x:v>
      </x:c>
      <x:c r="M2214" s="12" t="str">
        <x:v>TuShare index_daily</x:v>
      </x:c>
    </x:row>
    <x:row r="2215" ht="18" customHeight="1">
      <x:c r="A2215" s="13" t="n">
        <x:v>45903</x:v>
      </x:c>
      <x:c r="B2215" s="12" t="str">
        <x:v>000300.SH</x:v>
      </x:c>
      <x:c r="C2215" s="12" t="n">
        <x:v>4501.3388</x:v>
      </x:c>
      <x:c r="D2215" s="12" t="n">
        <x:v>4510.7303</x:v>
      </x:c>
      <x:c r="E2215" s="12" t="n">
        <x:v>4427.5176</x:v>
      </x:c>
      <x:c r="F2215" s="12" t="n">
        <x:v>4459.8296</x:v>
      </x:c>
      <x:c r="G2215" s="12" t="n">
        <x:v>4490.4528</x:v>
      </x:c>
      <x:c r="H2215" s="12" t="n">
        <x:v>-30.6232</x:v>
      </x:c>
      <x:c r="I2215" s="12" t="n">
        <x:v>-0.682</x:v>
      </x:c>
      <x:c r="J2215" s="12" t="n">
        <x:v>-0.006842983970613739</x:v>
      </x:c>
      <x:c r="K2215" s="12" t="n">
        <x:v>254320217</x:v>
      </x:c>
      <x:c r="L2215" s="12" t="n">
        <x:v>655697116.709</x:v>
      </x:c>
      <x:c r="M2215" s="12" t="str">
        <x:v>TuShare index_daily</x:v>
      </x:c>
    </x:row>
    <x:row r="2216" ht="18" customHeight="1">
      <x:c r="A2216" s="13" t="n">
        <x:v>45904</x:v>
      </x:c>
      <x:c r="B2216" s="12" t="str">
        <x:v>000300.SH</x:v>
      </x:c>
      <x:c r="C2216" s="12" t="n">
        <x:v>4461.2503</x:v>
      </x:c>
      <x:c r="D2216" s="12" t="n">
        <x:v>4465.4967</x:v>
      </x:c>
      <x:c r="E2216" s="12" t="n">
        <x:v>4327.5068</x:v>
      </x:c>
      <x:c r="F2216" s="12" t="n">
        <x:v>4365.2085</x:v>
      </x:c>
      <x:c r="G2216" s="12" t="n">
        <x:v>4459.8296</x:v>
      </x:c>
      <x:c r="H2216" s="12" t="n">
        <x:v>-94.6211</x:v>
      </x:c>
      <x:c r="I2216" s="12" t="n">
        <x:v>-2.1216</x:v>
      </x:c>
      <x:c r="J2216" s="12" t="n">
        <x:v>-0.0214446045502523</x:v>
      </x:c>
      <x:c r="K2216" s="12" t="n">
        <x:v>307934609</x:v>
      </x:c>
      <x:c r="L2216" s="12" t="n">
        <x:v>773124596.998</x:v>
      </x:c>
      <x:c r="M2216" s="12" t="str">
        <x:v>TuShare index_daily</x:v>
      </x:c>
    </x:row>
    <x:row r="2217" ht="18" customHeight="1">
      <x:c r="A2217" s="13" t="n">
        <x:v>45905</x:v>
      </x:c>
      <x:c r="B2217" s="12" t="str">
        <x:v>000300.SH</x:v>
      </x:c>
      <x:c r="C2217" s="12" t="n">
        <x:v>4365.6083</x:v>
      </x:c>
      <x:c r="D2217" s="12" t="n">
        <x:v>4466.5603</x:v>
      </x:c>
      <x:c r="E2217" s="12" t="n">
        <x:v>4350.2974</x:v>
      </x:c>
      <x:c r="F2217" s="12" t="n">
        <x:v>4460.3249</x:v>
      </x:c>
      <x:c r="G2217" s="12" t="n">
        <x:v>4365.2085</x:v>
      </x:c>
      <x:c r="H2217" s="12" t="n">
        <x:v>95.1164</x:v>
      </x:c>
      <x:c r="I2217" s="12" t="n">
        <x:v>2.179</x:v>
      </x:c>
      <x:c r="J2217" s="12" t="n">
        <x:v>0.02155565643853706</x:v>
      </x:c>
      <x:c r="K2217" s="12" t="n">
        <x:v>249625657</x:v>
      </x:c>
      <x:c r="L2217" s="12" t="n">
        <x:v>664166970.947</x:v>
      </x:c>
      <x:c r="M2217" s="12" t="str">
        <x:v>TuShare index_daily</x:v>
      </x:c>
    </x:row>
    <x:row r="2218" ht="18" customHeight="1">
      <x:c r="A2218" s="13" t="n">
        <x:v>45908</x:v>
      </x:c>
      <x:c r="B2218" s="12" t="str">
        <x:v>000300.SH</x:v>
      </x:c>
      <x:c r="C2218" s="12" t="n">
        <x:v>4467.1693</x:v>
      </x:c>
      <x:c r="D2218" s="12" t="n">
        <x:v>4482.763</x:v>
      </x:c>
      <x:c r="E2218" s="12" t="n">
        <x:v>4438.0698</x:v>
      </x:c>
      <x:c r="F2218" s="12" t="n">
        <x:v>4467.5733</x:v>
      </x:c>
      <x:c r="G2218" s="12" t="n">
        <x:v>4460.3249</x:v>
      </x:c>
      <x:c r="H2218" s="12" t="n">
        <x:v>7.2484</x:v>
      </x:c>
      <x:c r="I2218" s="12" t="n">
        <x:v>0.1625</x:v>
      </x:c>
      <x:c r="J2218" s="12" t="n">
        <x:v>0.0016237643911757873</x:v>
      </x:c>
      <x:c r="K2218" s="12" t="n">
        <x:v>267638382</x:v>
      </x:c>
      <x:c r="L2218" s="12" t="n">
        <x:v>683630879.769</x:v>
      </x:c>
      <x:c r="M2218" s="12" t="str">
        <x:v>TuShare index_daily</x:v>
      </x:c>
    </x:row>
    <x:row r="2219" ht="18" customHeight="1">
      <x:c r="A2219" s="13" t="n">
        <x:v>45909</x:v>
      </x:c>
      <x:c r="B2219" s="12" t="str">
        <x:v>000300.SH</x:v>
      </x:c>
      <x:c r="C2219" s="12" t="n">
        <x:v>4448.739</x:v>
      </x:c>
      <x:c r="D2219" s="12" t="n">
        <x:v>4472.093</x:v>
      </x:c>
      <x:c r="E2219" s="12" t="n">
        <x:v>4412.6914</x:v>
      </x:c>
      <x:c r="F2219" s="12" t="n">
        <x:v>4436.2584</x:v>
      </x:c>
      <x:c r="G2219" s="12" t="n">
        <x:v>4467.5733</x:v>
      </x:c>
      <x:c r="H2219" s="12" t="n">
        <x:v>-31.3149</x:v>
      </x:c>
      <x:c r="I2219" s="12" t="n">
        <x:v>-0.7009</x:v>
      </x:c>
      <x:c r="J2219" s="12" t="n">
        <x:v>-0.0070340568356272665</x:v>
      </x:c>
      <x:c r="K2219" s="12" t="n">
        <x:v>221375460</x:v>
      </x:c>
      <x:c r="L2219" s="12" t="n">
        <x:v>562861103.958</x:v>
      </x:c>
      <x:c r="M2219" s="12" t="str">
        <x:v>TuShare index_daily</x:v>
      </x:c>
    </x:row>
    <x:row r="2220" ht="18" customHeight="1">
      <x:c r="A2220" s="13" t="n">
        <x:v>45910</x:v>
      </x:c>
      <x:c r="B2220" s="12" t="str">
        <x:v>000300.SH</x:v>
      </x:c>
      <x:c r="C2220" s="12" t="n">
        <x:v>4438.2998</x:v>
      </x:c>
      <x:c r="D2220" s="12" t="n">
        <x:v>4466.6325</x:v>
      </x:c>
      <x:c r="E2220" s="12" t="n">
        <x:v>4414.5937</x:v>
      </x:c>
      <x:c r="F2220" s="12" t="n">
        <x:v>4445.3649</x:v>
      </x:c>
      <x:c r="G2220" s="12" t="n">
        <x:v>4436.2584</x:v>
      </x:c>
      <x:c r="H2220" s="12" t="n">
        <x:v>9.1065</x:v>
      </x:c>
      <x:c r="I2220" s="12" t="n">
        <x:v>0.2053</x:v>
      </x:c>
      <x:c r="J2220" s="12" t="n">
        <x:v>0.0020506393670538855</x:v>
      </x:c>
      <x:c r="K2220" s="12" t="n">
        <x:v>203597646</x:v>
      </x:c>
      <x:c r="L2220" s="12" t="n">
        <x:v>535539349.489</x:v>
      </x:c>
      <x:c r="M2220" s="12" t="str">
        <x:v>TuShare index_daily</x:v>
      </x:c>
    </x:row>
    <x:row r="2221" ht="18" customHeight="1">
      <x:c r="A2221" s="13" t="n">
        <x:v>45911</x:v>
      </x:c>
      <x:c r="B2221" s="12" t="str">
        <x:v>000300.SH</x:v>
      </x:c>
      <x:c r="C2221" s="12" t="n">
        <x:v>4438.839</x:v>
      </x:c>
      <x:c r="D2221" s="12" t="n">
        <x:v>4548.0345</x:v>
      </x:c>
      <x:c r="E2221" s="12" t="n">
        <x:v>4427.9242</x:v>
      </x:c>
      <x:c r="F2221" s="12" t="n">
        <x:v>4548.0345</x:v>
      </x:c>
      <x:c r="G2221" s="12" t="n">
        <x:v>4445.3649</x:v>
      </x:c>
      <x:c r="H2221" s="12" t="n">
        <x:v>102.6696</x:v>
      </x:c>
      <x:c r="I2221" s="12" t="n">
        <x:v>2.3096</x:v>
      </x:c>
      <x:c r="J2221" s="12" t="n">
        <x:v>0.022833203776542223</x:v>
      </x:c>
      <x:c r="K2221" s="12" t="n">
        <x:v>253264051</x:v>
      </x:c>
      <x:c r="L2221" s="12" t="n">
        <x:v>693156671.398</x:v>
      </x:c>
      <x:c r="M2221" s="12" t="str">
        <x:v>TuShare index_daily</x:v>
      </x:c>
    </x:row>
    <x:row r="2222" ht="18" customHeight="1">
      <x:c r="A2222" s="13" t="n">
        <x:v>45912</x:v>
      </x:c>
      <x:c r="B2222" s="12" t="str">
        <x:v>000300.SH</x:v>
      </x:c>
      <x:c r="C2222" s="12" t="n">
        <x:v>4544.5905</x:v>
      </x:c>
      <x:c r="D2222" s="12" t="n">
        <x:v>4564.6665</x:v>
      </x:c>
      <x:c r="E2222" s="12" t="n">
        <x:v>4517.7897</x:v>
      </x:c>
      <x:c r="F2222" s="12" t="n">
        <x:v>4521.998</x:v>
      </x:c>
      <x:c r="G2222" s="12" t="n">
        <x:v>4548.0345</x:v>
      </x:c>
      <x:c r="H2222" s="12" t="n">
        <x:v>-26.0365</x:v>
      </x:c>
      <x:c r="I2222" s="12" t="n">
        <x:v>-0.5725</x:v>
      </x:c>
      <x:c r="J2222" s="12" t="n">
        <x:v>-0.00574123003799257</x:v>
      </x:c>
      <x:c r="K2222" s="12" t="n">
        <x:v>266442003</x:v>
      </x:c>
      <x:c r="L2222" s="12" t="n">
        <x:v>689576075.7</x:v>
      </x:c>
      <x:c r="M2222" s="12" t="str">
        <x:v>TuShare index_daily</x:v>
      </x:c>
    </x:row>
    <x:row r="2223" ht="18" customHeight="1">
      <x:c r="A2223" s="13" t="n">
        <x:v>45915</x:v>
      </x:c>
      <x:c r="B2223" s="12" t="str">
        <x:v>000300.SH</x:v>
      </x:c>
      <x:c r="C2223" s="12" t="n">
        <x:v>4534.8866</x:v>
      </x:c>
      <x:c r="D2223" s="12" t="n">
        <x:v>4566.9053</x:v>
      </x:c>
      <x:c r="E2223" s="12" t="n">
        <x:v>4522.4958</x:v>
      </x:c>
      <x:c r="F2223" s="12" t="n">
        <x:v>4533.0557</x:v>
      </x:c>
      <x:c r="G2223" s="12" t="n">
        <x:v>4521.998</x:v>
      </x:c>
      <x:c r="H2223" s="12" t="n">
        <x:v>11.0577</x:v>
      </x:c>
      <x:c r="I2223" s="12" t="n">
        <x:v>0.2445</x:v>
      </x:c>
      <x:c r="J2223" s="12" t="n">
        <x:v>0.0024423279779261227</x:v>
      </x:c>
      <x:c r="K2223" s="12" t="n">
        <x:v>231885678</x:v>
      </x:c>
      <x:c r="L2223" s="12" t="n">
        <x:v>613314652.4</x:v>
      </x:c>
      <x:c r="M2223" s="12" t="str">
        <x:v>TuShare index_daily</x:v>
      </x:c>
    </x:row>
    <x:row r="2224" ht="18" customHeight="1">
      <x:c r="A2224" s="13" t="n">
        <x:v>45916</x:v>
      </x:c>
      <x:c r="B2224" s="12" t="str">
        <x:v>000300.SH</x:v>
      </x:c>
      <x:c r="C2224" s="12" t="n">
        <x:v>4539.9217</x:v>
      </x:c>
      <x:c r="D2224" s="12" t="n">
        <x:v>4552.419</x:v>
      </x:c>
      <x:c r="E2224" s="12" t="n">
        <x:v>4494.7875</x:v>
      </x:c>
      <x:c r="F2224" s="12" t="n">
        <x:v>4523.3367</x:v>
      </x:c>
      <x:c r="G2224" s="12" t="n">
        <x:v>4533.0557</x:v>
      </x:c>
      <x:c r="H2224" s="12" t="n">
        <x:v>-9.719</x:v>
      </x:c>
      <x:c r="I2224" s="12" t="n">
        <x:v>-0.2144</x:v>
      </x:c>
      <x:c r="J2224" s="12" t="n">
        <x:v>-0.0021463300841667505</x:v>
      </x:c>
      <x:c r="K2224" s="12" t="n">
        <x:v>249269206</x:v>
      </x:c>
      <x:c r="L2224" s="12" t="n">
        <x:v>613728334.806</x:v>
      </x:c>
      <x:c r="M2224" s="12" t="str">
        <x:v>TuShare index_daily</x:v>
      </x:c>
    </x:row>
    <x:row r="2225" ht="18" customHeight="1">
      <x:c r="A2225" s="13" t="n">
        <x:v>45917</x:v>
      </x:c>
      <x:c r="B2225" s="12" t="str">
        <x:v>000300.SH</x:v>
      </x:c>
      <x:c r="C2225" s="12" t="n">
        <x:v>4517.2855</x:v>
      </x:c>
      <x:c r="D2225" s="12" t="n">
        <x:v>4556.0296</x:v>
      </x:c>
      <x:c r="E2225" s="12" t="n">
        <x:v>4503.7959</x:v>
      </x:c>
      <x:c r="F2225" s="12" t="n">
        <x:v>4551.023</x:v>
      </x:c>
      <x:c r="G2225" s="12" t="n">
        <x:v>4523.3367</x:v>
      </x:c>
      <x:c r="H2225" s="12" t="n">
        <x:v>27.6863</x:v>
      </x:c>
      <x:c r="I2225" s="12" t="n">
        <x:v>0.6121</x:v>
      </x:c>
      <x:c r="J2225" s="12" t="n">
        <x:v>0.006102113388792819</x:v>
      </x:c>
      <x:c r="K2225" s="12" t="n">
        <x:v>235716472</x:v>
      </x:c>
      <x:c r="L2225" s="12" t="n">
        <x:v>608454200.521</x:v>
      </x:c>
      <x:c r="M2225" s="12" t="str">
        <x:v>TuShare index_daily</x:v>
      </x:c>
    </x:row>
    <x:row r="2226" ht="18" customHeight="1">
      <x:c r="A2226" s="13" t="n">
        <x:v>45918</x:v>
      </x:c>
      <x:c r="B2226" s="12" t="str">
        <x:v>000300.SH</x:v>
      </x:c>
      <x:c r="C2226" s="12" t="n">
        <x:v>4546.0319</x:v>
      </x:c>
      <x:c r="D2226" s="12" t="n">
        <x:v>4573.8331</x:v>
      </x:c>
      <x:c r="E2226" s="12" t="n">
        <x:v>4454.9886</x:v>
      </x:c>
      <x:c r="F2226" s="12" t="n">
        <x:v>4498.109</x:v>
      </x:c>
      <x:c r="G2226" s="12" t="n">
        <x:v>4551.023</x:v>
      </x:c>
      <x:c r="H2226" s="12" t="n">
        <x:v>-52.914</x:v>
      </x:c>
      <x:c r="I2226" s="12" t="n">
        <x:v>-1.1627</x:v>
      </x:c>
      <x:c r="J2226" s="12" t="n">
        <x:v>-0.011694956620105569</x:v>
      </x:c>
      <x:c r="K2226" s="12" t="n">
        <x:v>309859826</x:v>
      </x:c>
      <x:c r="L2226" s="12" t="n">
        <x:v>839987127.411</x:v>
      </x:c>
      <x:c r="M2226" s="12" t="str">
        <x:v>TuShare index_daily</x:v>
      </x:c>
    </x:row>
    <x:row r="2227" ht="18" customHeight="1">
      <x:c r="A2227" s="13" t="n">
        <x:v>45919</x:v>
      </x:c>
      <x:c r="B2227" s="12" t="str">
        <x:v>000300.SH</x:v>
      </x:c>
      <x:c r="C2227" s="12" t="n">
        <x:v>4499.0906</x:v>
      </x:c>
      <x:c r="D2227" s="12" t="n">
        <x:v>4533.0919</x:v>
      </x:c>
      <x:c r="E2227" s="12" t="n">
        <x:v>4491.8437</x:v>
      </x:c>
      <x:c r="F2227" s="12" t="n">
        <x:v>4501.9195</x:v>
      </x:c>
      <x:c r="G2227" s="12" t="n">
        <x:v>4498.109</x:v>
      </x:c>
      <x:c r="H2227" s="12" t="n">
        <x:v>3.8105</x:v>
      </x:c>
      <x:c r="I2227" s="12" t="n">
        <x:v>0.0847</x:v>
      </x:c>
      <x:c r="J2227" s="12" t="n">
        <x:v>0.000846775146920046</x:v>
      </x:c>
      <x:c r="K2227" s="12" t="n">
        <x:v>225044000</x:v>
      </x:c>
      <x:c r="L2227" s="12" t="n">
        <x:v>603887059.817</x:v>
      </x:c>
      <x:c r="M2227" s="12" t="str">
        <x:v>TuShare index_daily</x:v>
      </x:c>
    </x:row>
    <x:row r="2228" ht="18" customHeight="1">
      <x:c r="A2228" s="13" t="n">
        <x:v>45922</x:v>
      </x:c>
      <x:c r="B2228" s="12" t="str">
        <x:v>000300.SH</x:v>
      </x:c>
      <x:c r="C2228" s="12" t="n">
        <x:v>4512.0251</x:v>
      </x:c>
      <x:c r="D2228" s="12" t="n">
        <x:v>4523.8695</x:v>
      </x:c>
      <x:c r="E2228" s="12" t="n">
        <x:v>4487.1299</x:v>
      </x:c>
      <x:c r="F2228" s="12" t="n">
        <x:v>4522.608</x:v>
      </x:c>
      <x:c r="G2228" s="12" t="n">
        <x:v>4501.9195</x:v>
      </x:c>
      <x:c r="H2228" s="12" t="n">
        <x:v>20.6885</x:v>
      </x:c>
      <x:c r="I2228" s="12" t="n">
        <x:v>0.4595</x:v>
      </x:c>
      <x:c r="J2228" s="12" t="n">
        <x:v>0.004584957216320352</x:v>
      </x:c>
      <x:c r="K2228" s="12" t="n">
        <x:v>196459956</x:v>
      </x:c>
      <x:c r="L2228" s="12" t="n">
        <x:v>563149164.266</x:v>
      </x:c>
      <x:c r="M2228" s="12" t="str">
        <x:v>TuShare index_daily</x:v>
      </x:c>
    </x:row>
    <x:row r="2229" ht="18" customHeight="1">
      <x:c r="A2229" s="13" t="n">
        <x:v>45923</x:v>
      </x:c>
      <x:c r="B2229" s="12" t="str">
        <x:v>000300.SH</x:v>
      </x:c>
      <x:c r="C2229" s="12" t="n">
        <x:v>4536.7569</x:v>
      </x:c>
      <x:c r="D2229" s="12" t="n">
        <x:v>4560.7319</x:v>
      </x:c>
      <x:c r="E2229" s="12" t="n">
        <x:v>4459.7281</x:v>
      </x:c>
      <x:c r="F2229" s="12" t="n">
        <x:v>4519.7781</x:v>
      </x:c>
      <x:c r="G2229" s="12" t="n">
        <x:v>4522.608</x:v>
      </x:c>
      <x:c r="H2229" s="12" t="n">
        <x:v>-2.8299</x:v>
      </x:c>
      <x:c r="I2229" s="12" t="n">
        <x:v>-0.0626</x:v>
      </x:c>
      <x:c r="J2229" s="12" t="n">
        <x:v>-0.0006259188805021417</x:v>
      </x:c>
      <x:c r="K2229" s="12" t="n">
        <x:v>252827062</x:v>
      </x:c>
      <x:c r="L2229" s="12" t="n">
        <x:v>680513630.7</x:v>
      </x:c>
      <x:c r="M2229" s="12" t="str">
        <x:v>TuShare index_daily</x:v>
      </x:c>
    </x:row>
    <x:row r="2230" ht="18" customHeight="1">
      <x:c r="A2230" s="13" t="n">
        <x:v>45924</x:v>
      </x:c>
      <x:c r="B2230" s="12" t="str">
        <x:v>000300.SH</x:v>
      </x:c>
      <x:c r="C2230" s="12" t="n">
        <x:v>4495.2659</x:v>
      </x:c>
      <x:c r="D2230" s="12" t="n">
        <x:v>4567.4948</x:v>
      </x:c>
      <x:c r="E2230" s="12" t="n">
        <x:v>4494.1133</x:v>
      </x:c>
      <x:c r="F2230" s="12" t="n">
        <x:v>4566.0708</x:v>
      </x:c>
      <x:c r="G2230" s="12" t="n">
        <x:v>4519.7781</x:v>
      </x:c>
      <x:c r="H2230" s="12" t="n">
        <x:v>46.2927</x:v>
      </x:c>
      <x:c r="I2230" s="12" t="n">
        <x:v>1.0242</x:v>
      </x:c>
      <x:c r="J2230" s="12" t="n">
        <x:v>0.010190154181971384</x:v>
      </x:c>
      <x:c r="K2230" s="12" t="n">
        <x:v>220482608</x:v>
      </x:c>
      <x:c r="L2230" s="12" t="n">
        <x:v>629161495.484</x:v>
      </x:c>
      <x:c r="M2230" s="12" t="str">
        <x:v>TuShare index_daily</x:v>
      </x:c>
    </x:row>
    <x:row r="2231" ht="18" customHeight="1">
      <x:c r="A2231" s="13" t="n">
        <x:v>45925</x:v>
      </x:c>
      <x:c r="B2231" s="12" t="str">
        <x:v>000300.SH</x:v>
      </x:c>
      <x:c r="C2231" s="12" t="n">
        <x:v>4563.9827</x:v>
      </x:c>
      <x:c r="D2231" s="12" t="n">
        <x:v>4613.9486</x:v>
      </x:c>
      <x:c r="E2231" s="12" t="n">
        <x:v>4558.8424</x:v>
      </x:c>
      <x:c r="F2231" s="12" t="n">
        <x:v>4593.4875</x:v>
      </x:c>
      <x:c r="G2231" s="12" t="n">
        <x:v>4566.0708</x:v>
      </x:c>
      <x:c r="H2231" s="12" t="n">
        <x:v>27.4167</x:v>
      </x:c>
      <x:c r="I2231" s="12" t="n">
        <x:v>0.6004</x:v>
      </x:c>
      <x:c r="J2231" s="12" t="n">
        <x:v>0.0059864855884912554</x:v>
      </x:c>
      <x:c r="K2231" s="12" t="n">
        <x:v>229823333</x:v>
      </x:c>
      <x:c r="L2231" s="12" t="n">
        <x:v>669866986.619</x:v>
      </x:c>
      <x:c r="M2231" s="12" t="str">
        <x:v>TuShare index_daily</x:v>
      </x:c>
    </x:row>
    <x:row r="2232" ht="18" customHeight="1">
      <x:c r="A2232" s="13" t="n">
        <x:v>45926</x:v>
      </x:c>
      <x:c r="B2232" s="12" t="str">
        <x:v>000300.SH</x:v>
      </x:c>
      <x:c r="C2232" s="12" t="n">
        <x:v>4576.9142</x:v>
      </x:c>
      <x:c r="D2232" s="12" t="n">
        <x:v>4597.8472</x:v>
      </x:c>
      <x:c r="E2232" s="12" t="n">
        <x:v>4550.0487</x:v>
      </x:c>
      <x:c r="F2232" s="12" t="n">
        <x:v>4550.0487</x:v>
      </x:c>
      <x:c r="G2232" s="12" t="n">
        <x:v>4593.4875</x:v>
      </x:c>
      <x:c r="H2232" s="12" t="n">
        <x:v>-43.4388</x:v>
      </x:c>
      <x:c r="I2232" s="12" t="n">
        <x:v>-0.9457</x:v>
      </x:c>
      <x:c r="J2232" s="12" t="n">
        <x:v>-0.009501603286869161</x:v>
      </x:c>
      <x:c r="K2232" s="12" t="n">
        <x:v>208482114</x:v>
      </x:c>
      <x:c r="L2232" s="12" t="n">
        <x:v>598723903.174</x:v>
      </x:c>
      <x:c r="M2232" s="12" t="str">
        <x:v>TuShare index_daily</x:v>
      </x:c>
    </x:row>
    <x:row r="2233" ht="18" customHeight="1">
      <x:c r="A2233" s="13" t="n">
        <x:v>45929</x:v>
      </x:c>
      <x:c r="B2233" s="12" t="str">
        <x:v>000300.SH</x:v>
      </x:c>
      <x:c r="C2233" s="12" t="n">
        <x:v>4555.0342</x:v>
      </x:c>
      <x:c r="D2233" s="12" t="n">
        <x:v>4647.5691</x:v>
      </x:c>
      <x:c r="E2233" s="12" t="n">
        <x:v>4541.4252</x:v>
      </x:c>
      <x:c r="F2233" s="12" t="n">
        <x:v>4620.0528</x:v>
      </x:c>
      <x:c r="G2233" s="12" t="n">
        <x:v>4550.0487</x:v>
      </x:c>
      <x:c r="H2233" s="12" t="n">
        <x:v>70.0041</x:v>
      </x:c>
      <x:c r="I2233" s="12" t="n">
        <x:v>1.5385</x:v>
      </x:c>
      <x:c r="J2233" s="12" t="n">
        <x:v>0.01526819739748804</x:v>
      </x:c>
      <x:c r="K2233" s="12" t="n">
        <x:v>274358877</x:v>
      </x:c>
      <x:c r="L2233" s="12" t="n">
        <x:v>693395231.241</x:v>
      </x:c>
      <x:c r="M2233" s="12" t="str">
        <x:v>TuShare index_daily</x:v>
      </x:c>
    </x:row>
    <x:row r="2234" ht="18" customHeight="1">
      <x:c r="A2234" s="13" t="n">
        <x:v>45930</x:v>
      </x:c>
      <x:c r="B2234" s="12" t="str">
        <x:v>000300.SH</x:v>
      </x:c>
      <x:c r="C2234" s="12" t="n">
        <x:v>4629.8987</x:v>
      </x:c>
      <x:c r="D2234" s="12" t="n">
        <x:v>4647.5031</x:v>
      </x:c>
      <x:c r="E2234" s="12" t="n">
        <x:v>4616.2243</x:v>
      </x:c>
      <x:c r="F2234" s="12" t="n">
        <x:v>4640.6935</x:v>
      </x:c>
      <x:c r="G2234" s="12" t="n">
        <x:v>4620.0528</x:v>
      </x:c>
      <x:c r="H2234" s="12" t="n">
        <x:v>20.6407</x:v>
      </x:c>
      <x:c r="I2234" s="12" t="n">
        <x:v>0.4468</x:v>
      </x:c>
      <x:c r="J2234" s="12" t="n">
        <x:v>0.004457682677076719</x:v>
      </x:c>
      <x:c r="K2234" s="12" t="n">
        <x:v>247980359</x:v>
      </x:c>
      <x:c r="L2234" s="12" t="n">
        <x:v>664624101.862</x:v>
      </x:c>
      <x:c r="M2234" s="12" t="str">
        <x:v>TuShare index_daily</x:v>
      </x:c>
    </x:row>
    <x:row r="2235" ht="18" customHeight="1">
      <x:c r="A2235" s="13" t="n">
        <x:v>45939</x:v>
      </x:c>
      <x:c r="B2235" s="12" t="str">
        <x:v>000300.SH</x:v>
      </x:c>
      <x:c r="C2235" s="12" t="n">
        <x:v>4662.1133</x:v>
      </x:c>
      <x:c r="D2235" s="12" t="n">
        <x:v>4726.3449</x:v>
      </x:c>
      <x:c r="E2235" s="12" t="n">
        <x:v>4651.9895</x:v>
      </x:c>
      <x:c r="F2235" s="12" t="n">
        <x:v>4709.482</x:v>
      </x:c>
      <x:c r="G2235" s="12" t="n">
        <x:v>4640.6935</x:v>
      </x:c>
      <x:c r="H2235" s="12" t="n">
        <x:v>68.7885</x:v>
      </x:c>
      <x:c r="I2235" s="12" t="n">
        <x:v>1.4823</x:v>
      </x:c>
      <x:c r="J2235" s="12" t="n">
        <x:v>0.014714106934793574</x:v>
      </x:c>
      <x:c r="K2235" s="12" t="n">
        <x:v>347678696</x:v>
      </x:c>
      <x:c r="L2235" s="12" t="n">
        <x:v>862208005.908</x:v>
      </x:c>
      <x:c r="M2235" s="12" t="str">
        <x:v>TuShare index_daily</x:v>
      </x:c>
    </x:row>
    <x:row r="2236" ht="18" customHeight="1">
      <x:c r="A2236" s="13" t="n">
        <x:v>45940</x:v>
      </x:c>
      <x:c r="B2236" s="12" t="str">
        <x:v>000300.SH</x:v>
      </x:c>
      <x:c r="C2236" s="12" t="n">
        <x:v>4679.4983</x:v>
      </x:c>
      <x:c r="D2236" s="12" t="n">
        <x:v>4692.5858</x:v>
      </x:c>
      <x:c r="E2236" s="12" t="n">
        <x:v>4600.9646</x:v>
      </x:c>
      <x:c r="F2236" s="12" t="n">
        <x:v>4616.8341</x:v>
      </x:c>
      <x:c r="G2236" s="12" t="n">
        <x:v>4709.482</x:v>
      </x:c>
      <x:c r="H2236" s="12" t="n">
        <x:v>-92.6479</x:v>
      </x:c>
      <x:c r="I2236" s="12" t="n">
        <x:v>-1.9673</x:v>
      </x:c>
      <x:c r="J2236" s="12" t="n">
        <x:v>-0.01986871275602549</x:v>
      </x:c>
      <x:c r="K2236" s="12" t="n">
        <x:v>319020899</x:v>
      </x:c>
      <x:c r="L2236" s="12" t="n">
        <x:v>792743047.251</x:v>
      </x:c>
      <x:c r="M2236" s="12" t="str">
        <x:v>TuShare index_daily</x:v>
      </x:c>
    </x:row>
    <x:row r="2237" ht="18" customHeight="1">
      <x:c r="A2237" s="13" t="n">
        <x:v>45943</x:v>
      </x:c>
      <x:c r="B2237" s="12" t="str">
        <x:v>000300.SH</x:v>
      </x:c>
      <x:c r="C2237" s="12" t="n">
        <x:v>4490.8661</x:v>
      </x:c>
      <x:c r="D2237" s="12" t="n">
        <x:v>4601.8072</x:v>
      </x:c>
      <x:c r="E2237" s="12" t="n">
        <x:v>4490.8661</x:v>
      </x:c>
      <x:c r="F2237" s="12" t="n">
        <x:v>4593.9785</x:v>
      </x:c>
      <x:c r="G2237" s="12" t="n">
        <x:v>4616.8341</x:v>
      </x:c>
      <x:c r="H2237" s="12" t="n">
        <x:v>-22.8556</x:v>
      </x:c>
      <x:c r="I2237" s="12" t="n">
        <x:v>-0.495</x:v>
      </x:c>
      <x:c r="J2237" s="12" t="n">
        <x:v>-0.00496278621707397</x:v>
      </x:c>
      <x:c r="K2237" s="12" t="n">
        <x:v>315010354</x:v>
      </x:c>
      <x:c r="L2237" s="12" t="n">
        <x:v>714001634.395</x:v>
      </x:c>
      <x:c r="M2237" s="12" t="str">
        <x:v>TuShare index_daily</x:v>
      </x:c>
    </x:row>
    <x:row r="2238" ht="18" customHeight="1">
      <x:c r="A2238" s="13" t="n">
        <x:v>45944</x:v>
      </x:c>
      <x:c r="B2238" s="12" t="str">
        <x:v>000300.SH</x:v>
      </x:c>
      <x:c r="C2238" s="12" t="n">
        <x:v>4634.0543</x:v>
      </x:c>
      <x:c r="D2238" s="12" t="n">
        <x:v>4641.4492</x:v>
      </x:c>
      <x:c r="E2238" s="12" t="n">
        <x:v>4520.9258</x:v>
      </x:c>
      <x:c r="F2238" s="12" t="n">
        <x:v>4539.0644</x:v>
      </x:c>
      <x:c r="G2238" s="12" t="n">
        <x:v>4593.9785</x:v>
      </x:c>
      <x:c r="H2238" s="12" t="n">
        <x:v>-54.9141</x:v>
      </x:c>
      <x:c r="I2238" s="12" t="n">
        <x:v>-1.1953</x:v>
      </x:c>
      <x:c r="J2238" s="12" t="n">
        <x:v>-0.012025512717694411</x:v>
      </x:c>
      <x:c r="K2238" s="12" t="n">
        <x:v>372954030</x:v>
      </x:c>
      <x:c r="L2238" s="12" t="n">
        <x:v>808959003.201</x:v>
      </x:c>
      <x:c r="M2238" s="12" t="str">
        <x:v>TuShare index_daily</x:v>
      </x:c>
    </x:row>
    <x:row r="2239" ht="18" customHeight="1">
      <x:c r="A2239" s="13" t="n">
        <x:v>45945</x:v>
      </x:c>
      <x:c r="B2239" s="12" t="str">
        <x:v>000300.SH</x:v>
      </x:c>
      <x:c r="C2239" s="12" t="n">
        <x:v>4544.2431</x:v>
      </x:c>
      <x:c r="D2239" s="12" t="n">
        <x:v>4608.8239</x:v>
      </x:c>
      <x:c r="E2239" s="12" t="n">
        <x:v>4526.834</x:v>
      </x:c>
      <x:c r="F2239" s="12" t="n">
        <x:v>4606.2879</x:v>
      </x:c>
      <x:c r="G2239" s="12" t="n">
        <x:v>4539.0644</x:v>
      </x:c>
      <x:c r="H2239" s="12" t="n">
        <x:v>67.2235</x:v>
      </x:c>
      <x:c r="I2239" s="12" t="n">
        <x:v>1.481</x:v>
      </x:c>
      <x:c r="J2239" s="12" t="n">
        <x:v>0.01470139335196678</x:v>
      </x:c>
      <x:c r="K2239" s="12" t="n">
        <x:v>284771855</x:v>
      </x:c>
      <x:c r="L2239" s="12" t="n">
        <x:v>607326345.326</x:v>
      </x:c>
      <x:c r="M2239" s="12" t="str">
        <x:v>TuShare index_daily</x:v>
      </x:c>
    </x:row>
    <x:row r="2240" ht="18" customHeight="1">
      <x:c r="A2240" s="13" t="n">
        <x:v>45946</x:v>
      </x:c>
      <x:c r="B2240" s="12" t="str">
        <x:v>000300.SH</x:v>
      </x:c>
      <x:c r="C2240" s="12" t="n">
        <x:v>4588.9206</x:v>
      </x:c>
      <x:c r="D2240" s="12" t="n">
        <x:v>4645.0959</x:v>
      </x:c>
      <x:c r="E2240" s="12" t="n">
        <x:v>4586.2801</x:v>
      </x:c>
      <x:c r="F2240" s="12" t="n">
        <x:v>4618.4218</x:v>
      </x:c>
      <x:c r="G2240" s="12" t="n">
        <x:v>4606.2879</x:v>
      </x:c>
      <x:c r="H2240" s="12" t="n">
        <x:v>12.1339</x:v>
      </x:c>
      <x:c r="I2240" s="12" t="n">
        <x:v>0.2634</x:v>
      </x:c>
      <x:c r="J2240" s="12" t="n">
        <x:v>0.0026307401300698563</x:v>
      </x:c>
      <x:c r="K2240" s="12" t="n">
        <x:v>248235518</x:v>
      </x:c>
      <x:c r="L2240" s="12" t="n">
        <x:v>560567191.741</x:v>
      </x:c>
      <x:c r="M2240" s="12" t="str">
        <x:v>TuShare index_daily</x:v>
      </x:c>
    </x:row>
    <x:row r="2241" ht="18" customHeight="1">
      <x:c r="A2241" s="13" t="n">
        <x:v>45947</x:v>
      </x:c>
      <x:c r="B2241" s="12" t="str">
        <x:v>000300.SH</x:v>
      </x:c>
      <x:c r="C2241" s="12" t="n">
        <x:v>4610.6967</x:v>
      </x:c>
      <x:c r="D2241" s="12" t="n">
        <x:v>4618.5621</x:v>
      </x:c>
      <x:c r="E2241" s="12" t="n">
        <x:v>4509.3289</x:v>
      </x:c>
      <x:c r="F2241" s="12" t="n">
        <x:v>4514.2345</x:v>
      </x:c>
      <x:c r="G2241" s="12" t="n">
        <x:v>4618.4218</x:v>
      </x:c>
      <x:c r="H2241" s="12" t="n">
        <x:v>-104.1873</x:v>
      </x:c>
      <x:c r="I2241" s="12" t="n">
        <x:v>-2.2559</x:v>
      </x:c>
      <x:c r="J2241" s="12" t="n">
        <x:v>-0.02281741846639355</x:v>
      </x:c>
      <x:c r="K2241" s="12" t="n">
        <x:v>256905617</x:v>
      </x:c>
      <x:c r="L2241" s="12" t="n">
        <x:v>559085965.219</x:v>
      </x:c>
      <x:c r="M2241" s="12" t="str">
        <x:v>TuShare index_daily</x:v>
      </x:c>
    </x:row>
    <x:row r="2242" ht="18" customHeight="1">
      <x:c r="A2242" s="13" t="n">
        <x:v>45950</x:v>
      </x:c>
      <x:c r="B2242" s="12" t="str">
        <x:v>000300.SH</x:v>
      </x:c>
      <x:c r="C2242" s="12" t="n">
        <x:v>4558.2421</x:v>
      </x:c>
      <x:c r="D2242" s="12" t="n">
        <x:v>4570.4376</x:v>
      </x:c>
      <x:c r="E2242" s="12" t="n">
        <x:v>4520.5024</x:v>
      </x:c>
      <x:c r="F2242" s="12" t="n">
        <x:v>4538.2201</x:v>
      </x:c>
      <x:c r="G2242" s="12" t="n">
        <x:v>4514.2345</x:v>
      </x:c>
      <x:c r="H2242" s="12" t="n">
        <x:v>23.9856</x:v>
      </x:c>
      <x:c r="I2242" s="12" t="n">
        <x:v>0.5313</x:v>
      </x:c>
      <x:c r="J2242" s="12" t="n">
        <x:v>0.005299260187528013</x:v>
      </x:c>
      <x:c r="K2242" s="12" t="n">
        <x:v>218420405</x:v>
      </x:c>
      <x:c r="L2242" s="12" t="n">
        <x:v>505798833.703</x:v>
      </x:c>
      <x:c r="M2242" s="12" t="str">
        <x:v>TuShare index_daily</x:v>
      </x:c>
    </x:row>
    <x:row r="2243" ht="18" customHeight="1">
      <x:c r="A2243" s="13" t="n">
        <x:v>45951</x:v>
      </x:c>
      <x:c r="B2243" s="12" t="str">
        <x:v>000300.SH</x:v>
      </x:c>
      <x:c r="C2243" s="12" t="n">
        <x:v>4556.1224</x:v>
      </x:c>
      <x:c r="D2243" s="12" t="n">
        <x:v>4615.463</x:v>
      </x:c>
      <x:c r="E2243" s="12" t="n">
        <x:v>4547.9283</x:v>
      </x:c>
      <x:c r="F2243" s="12" t="n">
        <x:v>4607.8715</x:v>
      </x:c>
      <x:c r="G2243" s="12" t="n">
        <x:v>4538.2201</x:v>
      </x:c>
      <x:c r="H2243" s="12" t="n">
        <x:v>69.6514</x:v>
      </x:c>
      <x:c r="I2243" s="12" t="n">
        <x:v>1.5348</x:v>
      </x:c>
      <x:c r="J2243" s="12" t="n">
        <x:v>0.015231149996020378</x:v>
      </x:c>
      <x:c r="K2243" s="12" t="n">
        <x:v>215711175</x:v>
      </x:c>
      <x:c r="L2243" s="12" t="n">
        <x:v>551390253.216</x:v>
      </x:c>
      <x:c r="M2243" s="12" t="str">
        <x:v>TuShare index_daily</x:v>
      </x:c>
    </x:row>
    <x:row r="2244" ht="18" customHeight="1">
      <x:c r="A2244" s="13" t="n">
        <x:v>45952</x:v>
      </x:c>
      <x:c r="B2244" s="12" t="str">
        <x:v>000300.SH</x:v>
      </x:c>
      <x:c r="C2244" s="12" t="n">
        <x:v>4576.0277</x:v>
      </x:c>
      <x:c r="D2244" s="12" t="n">
        <x:v>4603.4884</x:v>
      </x:c>
      <x:c r="E2244" s="12" t="n">
        <x:v>4567.2361</x:v>
      </x:c>
      <x:c r="F2244" s="12" t="n">
        <x:v>4592.57</x:v>
      </x:c>
      <x:c r="G2244" s="12" t="n">
        <x:v>4607.8715</x:v>
      </x:c>
      <x:c r="H2244" s="12" t="n">
        <x:v>-15.3015</x:v>
      </x:c>
      <x:c r="I2244" s="12" t="n">
        <x:v>-0.3321</x:v>
      </x:c>
      <x:c r="J2244" s="12" t="n">
        <x:v>-0.0033262564862693283</x:v>
      </x:c>
      <x:c r="K2244" s="12" t="n">
        <x:v>185333960</x:v>
      </x:c>
      <x:c r="L2244" s="12" t="n">
        <x:v>440935302.747</x:v>
      </x:c>
      <x:c r="M2244" s="12" t="str">
        <x:v>TuShare index_daily</x:v>
      </x:c>
    </x:row>
    <x:row r="2245" ht="18" customHeight="1">
      <x:c r="A2245" s="13" t="n">
        <x:v>45953</x:v>
      </x:c>
      <x:c r="B2245" s="12" t="str">
        <x:v>000300.SH</x:v>
      </x:c>
      <x:c r="C2245" s="12" t="n">
        <x:v>4578.7018</x:v>
      </x:c>
      <x:c r="D2245" s="12" t="n">
        <x:v>4611.3409</x:v>
      </x:c>
      <x:c r="E2245" s="12" t="n">
        <x:v>4541.6944</x:v>
      </x:c>
      <x:c r="F2245" s="12" t="n">
        <x:v>4606.3447</x:v>
      </x:c>
      <x:c r="G2245" s="12" t="n">
        <x:v>4592.57</x:v>
      </x:c>
      <x:c r="H2245" s="12" t="n">
        <x:v>13.7747</x:v>
      </x:c>
      <x:c r="I2245" s="12" t="n">
        <x:v>0.2999</x:v>
      </x:c>
      <x:c r="J2245" s="12" t="n">
        <x:v>0.00299485553347343</x:v>
      </x:c>
      <x:c r="K2245" s="12" t="n">
        <x:v>200463917</x:v>
      </x:c>
      <x:c r="L2245" s="12" t="n">
        <x:v>420800208.776</x:v>
      </x:c>
      <x:c r="M2245" s="12" t="str">
        <x:v>TuShare index_daily</x:v>
      </x:c>
    </x:row>
    <x:row r="2246" ht="18" customHeight="1">
      <x:c r="A2246" s="13" t="n">
        <x:v>45954</x:v>
      </x:c>
      <x:c r="B2246" s="12" t="str">
        <x:v>000300.SH</x:v>
      </x:c>
      <x:c r="C2246" s="12" t="n">
        <x:v>4622.7873</x:v>
      </x:c>
      <x:c r="D2246" s="12" t="n">
        <x:v>4660.6835</x:v>
      </x:c>
      <x:c r="E2246" s="12" t="n">
        <x:v>4622.7873</x:v>
      </x:c>
      <x:c r="F2246" s="12" t="n">
        <x:v>4660.6835</x:v>
      </x:c>
      <x:c r="G2246" s="12" t="n">
        <x:v>4606.3447</x:v>
      </x:c>
      <x:c r="H2246" s="12" t="n">
        <x:v>54.3388</x:v>
      </x:c>
      <x:c r="I2246" s="12" t="n">
        <x:v>1.1797</x:v>
      </x:c>
      <x:c r="J2246" s="12" t="n">
        <x:v>0.011727475434501661</x:v>
      </x:c>
      <x:c r="K2246" s="12" t="n">
        <x:v>208814483</x:v>
      </x:c>
      <x:c r="L2246" s="12" t="n">
        <x:v>551986648.561</x:v>
      </x:c>
      <x:c r="M2246" s="12" t="str">
        <x:v>TuShare index_daily</x:v>
      </x:c>
    </x:row>
    <x:row r="2247" ht="18" customHeight="1">
      <x:c r="A2247" s="13" t="n">
        <x:v>45957</x:v>
      </x:c>
      <x:c r="B2247" s="12" t="str">
        <x:v>000300.SH</x:v>
      </x:c>
      <x:c r="C2247" s="12" t="n">
        <x:v>4699.3819</x:v>
      </x:c>
      <x:c r="D2247" s="12" t="n">
        <x:v>4720.4288</x:v>
      </x:c>
      <x:c r="E2247" s="12" t="n">
        <x:v>4687.6876</x:v>
      </x:c>
      <x:c r="F2247" s="12" t="n">
        <x:v>4716.0186</x:v>
      </x:c>
      <x:c r="G2247" s="12" t="n">
        <x:v>4660.6835</x:v>
      </x:c>
      <x:c r="H2247" s="12" t="n">
        <x:v>55.3351</x:v>
      </x:c>
      <x:c r="I2247" s="12" t="n">
        <x:v>1.1873</x:v>
      </x:c>
      <x:c r="J2247" s="12" t="n">
        <x:v>0.011802815485959269</x:v>
      </x:c>
      <x:c r="K2247" s="12" t="n">
        <x:v>262200674</x:v>
      </x:c>
      <x:c r="L2247" s="12" t="n">
        <x:v>672670372.523</x:v>
      </x:c>
      <x:c r="M2247" s="12" t="str">
        <x:v>TuShare index_daily</x:v>
      </x:c>
    </x:row>
    <x:row r="2248" ht="18" customHeight="1">
      <x:c r="A2248" s="13" t="n">
        <x:v>45958</x:v>
      </x:c>
      <x:c r="B2248" s="12" t="str">
        <x:v>000300.SH</x:v>
      </x:c>
      <x:c r="C2248" s="12" t="n">
        <x:v>4697.7277</x:v>
      </x:c>
      <x:c r="D2248" s="12" t="n">
        <x:v>4734.3218</x:v>
      </x:c>
      <x:c r="E2248" s="12" t="n">
        <x:v>4679.2288</x:v>
      </x:c>
      <x:c r="F2248" s="12" t="n">
        <x:v>4691.973</x:v>
      </x:c>
      <x:c r="G2248" s="12" t="n">
        <x:v>4716.0186</x:v>
      </x:c>
      <x:c r="H2248" s="12" t="n">
        <x:v>-24.0456</x:v>
      </x:c>
      <x:c r="I2248" s="12" t="n">
        <x:v>-0.5099</x:v>
      </x:c>
      <x:c r="J2248" s="12" t="n">
        <x:v>-0.005111750388734483</x:v>
      </x:c>
      <x:c r="K2248" s="12" t="n">
        <x:v>220906645</x:v>
      </x:c>
      <x:c r="L2248" s="12" t="n">
        <x:v>571563257.096</x:v>
      </x:c>
      <x:c r="M2248" s="12" t="str">
        <x:v>TuShare index_daily</x:v>
      </x:c>
    </x:row>
    <x:row r="2249" ht="18" customHeight="1">
      <x:c r="A2249" s="13" t="n">
        <x:v>45959</x:v>
      </x:c>
      <x:c r="B2249" s="12" t="str">
        <x:v>000300.SH</x:v>
      </x:c>
      <x:c r="C2249" s="12" t="n">
        <x:v>4701.0362</x:v>
      </x:c>
      <x:c r="D2249" s="12" t="n">
        <x:v>4747.8378</x:v>
      </x:c>
      <x:c r="E2249" s="12" t="n">
        <x:v>4697.268</x:v>
      </x:c>
      <x:c r="F2249" s="12" t="n">
        <x:v>4747.8378</x:v>
      </x:c>
      <x:c r="G2249" s="12" t="n">
        <x:v>4691.973</x:v>
      </x:c>
      <x:c r="H2249" s="12" t="n">
        <x:v>55.8648</x:v>
      </x:c>
      <x:c r="I2249" s="12" t="n">
        <x:v>1.1906</x:v>
      </x:c>
      <x:c r="J2249" s="12" t="n">
        <x:v>0.01183613811261025</x:v>
      </x:c>
      <x:c r="K2249" s="12" t="n">
        <x:v>246211324</x:v>
      </x:c>
      <x:c r="L2249" s="12" t="n">
        <x:v>645898688.765</x:v>
      </x:c>
      <x:c r="M2249" s="12" t="str">
        <x:v>TuShare index_daily</x:v>
      </x:c>
    </x:row>
    <x:row r="2250" ht="18" customHeight="1">
      <x:c r="A2250" s="13" t="n">
        <x:v>45960</x:v>
      </x:c>
      <x:c r="B2250" s="12" t="str">
        <x:v>000300.SH</x:v>
      </x:c>
      <x:c r="C2250" s="12" t="n">
        <x:v>4735.9807</x:v>
      </x:c>
      <x:c r="D2250" s="12" t="n">
        <x:v>4761.8339</x:v>
      </x:c>
      <x:c r="E2250" s="12" t="n">
        <x:v>4706.452</x:v>
      </x:c>
      <x:c r="F2250" s="12" t="n">
        <x:v>4709.911</x:v>
      </x:c>
      <x:c r="G2250" s="12" t="n">
        <x:v>4747.8378</x:v>
      </x:c>
      <x:c r="H2250" s="12" t="n">
        <x:v>-37.9268</x:v>
      </x:c>
      <x:c r="I2250" s="12" t="n">
        <x:v>-0.7988</x:v>
      </x:c>
      <x:c r="J2250" s="12" t="n">
        <x:v>-0.00802030252781325</x:v>
      </x:c>
      <x:c r="K2250" s="12" t="n">
        <x:v>273289118</x:v>
      </x:c>
      <x:c r="L2250" s="12" t="n">
        <x:v>719956285.438</x:v>
      </x:c>
      <x:c r="M2250" s="12" t="str">
        <x:v>TuShare index_daily</x:v>
      </x:c>
    </x:row>
    <x:row r="2251" ht="18" customHeight="1">
      <x:c r="A2251" s="13" t="n">
        <x:v>45961</x:v>
      </x:c>
      <x:c r="B2251" s="12" t="str">
        <x:v>000300.SH</x:v>
      </x:c>
      <x:c r="C2251" s="12" t="n">
        <x:v>4702.4946</x:v>
      </x:c>
      <x:c r="D2251" s="12" t="n">
        <x:v>4706.1395</x:v>
      </x:c>
      <x:c r="E2251" s="12" t="n">
        <x:v>4640.6676</x:v>
      </x:c>
      <x:c r="F2251" s="12" t="n">
        <x:v>4640.6676</x:v>
      </x:c>
      <x:c r="G2251" s="12" t="n">
        <x:v>4709.911</x:v>
      </x:c>
      <x:c r="H2251" s="12" t="n">
        <x:v>-69.2434</x:v>
      </x:c>
      <x:c r="I2251" s="12" t="n">
        <x:v>-1.4702</x:v>
      </x:c>
      <x:c r="J2251" s="12" t="n">
        <x:v>-0.014810776684892252</x:v>
      </x:c>
      <x:c r="K2251" s="12" t="n">
        <x:v>281464740</x:v>
      </x:c>
      <x:c r="L2251" s="12" t="n">
        <x:v>680712251.493</x:v>
      </x:c>
      <x:c r="M2251" s="12" t="str">
        <x:v>TuShare index_daily</x:v>
      </x:c>
    </x:row>
    <x:row r="2252" ht="18" customHeight="1">
      <x:c r="A2252" s="13" t="n">
        <x:v>45964</x:v>
      </x:c>
      <x:c r="B2252" s="12" t="str">
        <x:v>000300.SH</x:v>
      </x:c>
      <x:c r="C2252" s="12" t="n">
        <x:v>4636.7323</x:v>
      </x:c>
      <x:c r="D2252" s="12" t="n">
        <x:v>4653.4028</x:v>
      </x:c>
      <x:c r="E2252" s="12" t="n">
        <x:v>4595.7339</x:v>
      </x:c>
      <x:c r="F2252" s="12" t="n">
        <x:v>4653.4028</x:v>
      </x:c>
      <x:c r="G2252" s="12" t="n">
        <x:v>4640.6676</x:v>
      </x:c>
      <x:c r="H2252" s="12" t="n">
        <x:v>12.7352</x:v>
      </x:c>
      <x:c r="I2252" s="12" t="n">
        <x:v>0.2744</x:v>
      </x:c>
      <x:c r="J2252" s="12" t="n">
        <x:v>0.002740501722578582</x:v>
      </x:c>
      <x:c r="K2252" s="12" t="n">
        <x:v>239869809</x:v>
      </x:c>
      <x:c r="L2252" s="12" t="n">
        <x:v>557602941.096</x:v>
      </x:c>
      <x:c r="M2252" s="12" t="str">
        <x:v>TuShare index_daily</x:v>
      </x:c>
    </x:row>
    <x:row r="2253" ht="18" customHeight="1">
      <x:c r="A2253" s="13" t="n">
        <x:v>45965</x:v>
      </x:c>
      <x:c r="B2253" s="12" t="str">
        <x:v>000300.SH</x:v>
      </x:c>
      <x:c r="C2253" s="12" t="n">
        <x:v>4649.3481</x:v>
      </x:c>
      <x:c r="D2253" s="12" t="n">
        <x:v>4665.323</x:v>
      </x:c>
      <x:c r="E2253" s="12" t="n">
        <x:v>4595.066</x:v>
      </x:c>
      <x:c r="F2253" s="12" t="n">
        <x:v>4618.699</x:v>
      </x:c>
      <x:c r="G2253" s="12" t="n">
        <x:v>4653.4028</x:v>
      </x:c>
      <x:c r="H2253" s="12" t="n">
        <x:v>-34.7038</x:v>
      </x:c>
      <x:c r="I2253" s="12" t="n">
        <x:v>-0.7458</x:v>
      </x:c>
      <x:c r="J2253" s="12" t="n">
        <x:v>-0.00748567321661909</x:v>
      </x:c>
      <x:c r="K2253" s="12" t="n">
        <x:v>233224032</x:v>
      </x:c>
      <x:c r="L2253" s="12" t="n">
        <x:v>505177700.977</x:v>
      </x:c>
      <x:c r="M2253" s="12" t="str">
        <x:v>TuShare index_daily</x:v>
      </x:c>
    </x:row>
    <x:row r="2254" ht="18" customHeight="1">
      <x:c r="A2254" s="13" t="n">
        <x:v>45966</x:v>
      </x:c>
      <x:c r="B2254" s="12" t="str">
        <x:v>000300.SH</x:v>
      </x:c>
      <x:c r="C2254" s="12" t="n">
        <x:v>4562.1117</x:v>
      </x:c>
      <x:c r="D2254" s="12" t="n">
        <x:v>4642.6101</x:v>
      </x:c>
      <x:c r="E2254" s="12" t="n">
        <x:v>4558.7647</x:v>
      </x:c>
      <x:c r="F2254" s="12" t="n">
        <x:v>4627.257</x:v>
      </x:c>
      <x:c r="G2254" s="12" t="n">
        <x:v>4618.699</x:v>
      </x:c>
      <x:c r="H2254" s="12" t="n">
        <x:v>8.558</x:v>
      </x:c>
      <x:c r="I2254" s="12" t="n">
        <x:v>0.1853</x:v>
      </x:c>
      <x:c r="J2254" s="12" t="n">
        <x:v>0.0018511882262794356</x:v>
      </x:c>
      <x:c r="K2254" s="12" t="n">
        <x:v>203045871</x:v>
      </x:c>
      <x:c r="L2254" s="12" t="n">
        <x:v>468361161.389</x:v>
      </x:c>
      <x:c r="M2254" s="12" t="str">
        <x:v>TuShare index_daily</x:v>
      </x:c>
    </x:row>
    <x:row r="2255" ht="18" customHeight="1">
      <x:c r="A2255" s="13" t="n">
        <x:v>45967</x:v>
      </x:c>
      <x:c r="B2255" s="12" t="str">
        <x:v>000300.SH</x:v>
      </x:c>
      <x:c r="C2255" s="12" t="n">
        <x:v>4642.0112</x:v>
      </x:c>
      <x:c r="D2255" s="12" t="n">
        <x:v>4698.0935</x:v>
      </x:c>
      <x:c r="E2255" s="12" t="n">
        <x:v>4642.0112</x:v>
      </x:c>
      <x:c r="F2255" s="12" t="n">
        <x:v>4693.4032</x:v>
      </x:c>
      <x:c r="G2255" s="12" t="n">
        <x:v>4627.257</x:v>
      </x:c>
      <x:c r="H2255" s="12" t="n">
        <x:v>66.1462</x:v>
      </x:c>
      <x:c r="I2255" s="12" t="n">
        <x:v>1.4295</x:v>
      </x:c>
      <x:c r="J2255" s="12" t="n">
        <x:v>0.014193696383509896</x:v>
      </x:c>
      <x:c r="K2255" s="12" t="n">
        <x:v>224241008</x:v>
      </x:c>
      <x:c r="L2255" s="12" t="n">
        <x:v>553641780.921</x:v>
      </x:c>
      <x:c r="M2255" s="12" t="str">
        <x:v>TuShare index_daily</x:v>
      </x:c>
    </x:row>
    <x:row r="2256" ht="18" customHeight="1">
      <x:c r="A2256" s="13" t="n">
        <x:v>45968</x:v>
      </x:c>
      <x:c r="B2256" s="12" t="str">
        <x:v>000300.SH</x:v>
      </x:c>
      <x:c r="C2256" s="12" t="n">
        <x:v>4673.7616</x:v>
      </x:c>
      <x:c r="D2256" s="12" t="n">
        <x:v>4701.3743</x:v>
      </x:c>
      <x:c r="E2256" s="12" t="n">
        <x:v>4666.0405</x:v>
      </x:c>
      <x:c r="F2256" s="12" t="n">
        <x:v>4678.7944</x:v>
      </x:c>
      <x:c r="G2256" s="12" t="n">
        <x:v>4693.4032</x:v>
      </x:c>
      <x:c r="H2256" s="12" t="n">
        <x:v>-14.6088</x:v>
      </x:c>
      <x:c r="I2256" s="12" t="n">
        <x:v>-0.3113</x:v>
      </x:c>
      <x:c r="J2256" s="12" t="n">
        <x:v>-0.003117478409014484</x:v>
      </x:c>
      <x:c r="K2256" s="12" t="n">
        <x:v>212497377</x:v>
      </x:c>
      <x:c r="L2256" s="12" t="n">
        <x:v>507573849.5</x:v>
      </x:c>
      <x:c r="M2256" s="12" t="str">
        <x:v>TuShare index_daily</x:v>
      </x:c>
    </x:row>
    <x:row r="2257" ht="18" customHeight="1">
      <x:c r="A2257" s="13" t="n">
        <x:v>45971</x:v>
      </x:c>
      <x:c r="B2257" s="12" t="str">
        <x:v>000300.SH</x:v>
      </x:c>
      <x:c r="C2257" s="12" t="n">
        <x:v>4688.124</x:v>
      </x:c>
      <x:c r="D2257" s="12" t="n">
        <x:v>4695.1794</x:v>
      </x:c>
      <x:c r="E2257" s="12" t="n">
        <x:v>4654.2103</x:v>
      </x:c>
      <x:c r="F2257" s="12" t="n">
        <x:v>4695.0507</x:v>
      </x:c>
      <x:c r="G2257" s="12" t="n">
        <x:v>4678.7944</x:v>
      </x:c>
      <x:c r="H2257" s="12" t="n">
        <x:v>16.2563</x:v>
      </x:c>
      <x:c r="I2257" s="12" t="n">
        <x:v>0.3474</x:v>
      </x:c>
      <x:c r="J2257" s="12" t="n">
        <x:v>0.0034684414183575644</x:v>
      </x:c>
      <x:c r="K2257" s="12" t="n">
        <x:v>236026764</x:v>
      </x:c>
      <x:c r="L2257" s="12" t="n">
        <x:v>593977127.605</x:v>
      </x:c>
      <x:c r="M2257" s="12" t="str">
        <x:v>TuShare index_daily</x:v>
      </x:c>
    </x:row>
    <x:row r="2258" ht="18" customHeight="1">
      <x:c r="A2258" s="13" t="n">
        <x:v>45972</x:v>
      </x:c>
      <x:c r="B2258" s="12" t="str">
        <x:v>000300.SH</x:v>
      </x:c>
      <x:c r="C2258" s="12" t="n">
        <x:v>4706.3374</x:v>
      </x:c>
      <x:c r="D2258" s="12" t="n">
        <x:v>4707.1275</x:v>
      </x:c>
      <x:c r="E2258" s="12" t="n">
        <x:v>4648.4896</x:v>
      </x:c>
      <x:c r="F2258" s="12" t="n">
        <x:v>4652.1655</x:v>
      </x:c>
      <x:c r="G2258" s="12" t="n">
        <x:v>4695.0507</x:v>
      </x:c>
      <x:c r="H2258" s="12" t="n">
        <x:v>-42.8852</x:v>
      </x:c>
      <x:c r="I2258" s="12" t="n">
        <x:v>-0.9134</x:v>
      </x:c>
      <x:c r="J2258" s="12" t="n">
        <x:v>-0.009176101204058719</x:v>
      </x:c>
      <x:c r="K2258" s="12" t="n">
        <x:v>186638858</x:v>
      </x:c>
      <x:c r="L2258" s="12" t="n">
        <x:v>477629076.357</x:v>
      </x:c>
      <x:c r="M2258" s="12" t="str">
        <x:v>TuShare index_daily</x:v>
      </x:c>
    </x:row>
    <x:row r="2259" ht="18" customHeight="1">
      <x:c r="A2259" s="13" t="n">
        <x:v>45973</x:v>
      </x:c>
      <x:c r="B2259" s="12" t="str">
        <x:v>000300.SH</x:v>
      </x:c>
      <x:c r="C2259" s="12" t="n">
        <x:v>4643.5592</x:v>
      </x:c>
      <x:c r="D2259" s="12" t="n">
        <x:v>4669.6073</x:v>
      </x:c>
      <x:c r="E2259" s="12" t="n">
        <x:v>4620.9897</x:v>
      </x:c>
      <x:c r="F2259" s="12" t="n">
        <x:v>4645.9079</x:v>
      </x:c>
      <x:c r="G2259" s="12" t="n">
        <x:v>4652.1655</x:v>
      </x:c>
      <x:c r="H2259" s="12" t="n">
        <x:v>-6.2576</x:v>
      </x:c>
      <x:c r="I2259" s="12" t="n">
        <x:v>-0.1345</x:v>
      </x:c>
      <x:c r="J2259" s="12" t="n">
        <x:v>-0.001345999472266731</x:v>
      </x:c>
      <x:c r="K2259" s="12" t="n">
        <x:v>209460592</x:v>
      </x:c>
      <x:c r="L2259" s="12" t="n">
        <x:v>492308866.409</x:v>
      </x:c>
      <x:c r="M2259" s="12" t="str">
        <x:v>TuShare index_daily</x:v>
      </x:c>
    </x:row>
    <x:row r="2260" ht="18" customHeight="1">
      <x:c r="A2260" s="13" t="n">
        <x:v>45974</x:v>
      </x:c>
      <x:c r="B2260" s="12" t="str">
        <x:v>000300.SH</x:v>
      </x:c>
      <x:c r="C2260" s="12" t="n">
        <x:v>4643.7862</x:v>
      </x:c>
      <x:c r="D2260" s="12" t="n">
        <x:v>4703.4897</x:v>
      </x:c>
      <x:c r="E2260" s="12" t="n">
        <x:v>4643.7862</x:v>
      </x:c>
      <x:c r="F2260" s="12" t="n">
        <x:v>4702.0738</x:v>
      </x:c>
      <x:c r="G2260" s="12" t="n">
        <x:v>4645.9079</x:v>
      </x:c>
      <x:c r="H2260" s="12" t="n">
        <x:v>56.1659</x:v>
      </x:c>
      <x:c r="I2260" s="12" t="n">
        <x:v>1.2089</x:v>
      </x:c>
      <x:c r="J2260" s="12" t="n">
        <x:v>0.01201683479581121</x:v>
      </x:c>
      <x:c r="K2260" s="12" t="n">
        <x:v>207367474</x:v>
      </x:c>
      <x:c r="L2260" s="12" t="n">
        <x:v>510060678.21</x:v>
      </x:c>
      <x:c r="M2260" s="12" t="str">
        <x:v>TuShare index_daily</x:v>
      </x:c>
    </x:row>
    <x:row r="2261" ht="18" customHeight="1">
      <x:c r="A2261" s="13" t="n">
        <x:v>45975</x:v>
      </x:c>
      <x:c r="B2261" s="12" t="str">
        <x:v>000300.SH</x:v>
      </x:c>
      <x:c r="C2261" s="12" t="n">
        <x:v>4663.3175</x:v>
      </x:c>
      <x:c r="D2261" s="12" t="n">
        <x:v>4684.2578</x:v>
      </x:c>
      <x:c r="E2261" s="12" t="n">
        <x:v>4628.0242</x:v>
      </x:c>
      <x:c r="F2261" s="12" t="n">
        <x:v>4628.1398</x:v>
      </x:c>
      <x:c r="G2261" s="12" t="n">
        <x:v>4702.0738</x:v>
      </x:c>
      <x:c r="H2261" s="12" t="n">
        <x:v>-73.934</x:v>
      </x:c>
      <x:c r="I2261" s="12" t="n">
        <x:v>-1.5724</x:v>
      </x:c>
      <x:c r="J2261" s="12" t="n">
        <x:v>-0.015848629135239458</x:v>
      </x:c>
      <x:c r="K2261" s="12" t="n">
        <x:v>192092676</x:v>
      </x:c>
      <x:c r="L2261" s="12" t="n">
        <x:v>444720433.579</x:v>
      </x:c>
      <x:c r="M2261" s="12" t="str">
        <x:v>TuShare index_daily</x:v>
      </x:c>
    </x:row>
    <x:row r="2262" ht="18" customHeight="1">
      <x:c r="A2262" s="13" t="n">
        <x:v>45978</x:v>
      </x:c>
      <x:c r="B2262" s="12" t="str">
        <x:v>000300.SH</x:v>
      </x:c>
      <x:c r="C2262" s="12" t="n">
        <x:v>4616.8058</x:v>
      </x:c>
      <x:c r="D2262" s="12" t="n">
        <x:v>4624.8976</x:v>
      </x:c>
      <x:c r="E2262" s="12" t="n">
        <x:v>4580.2613</x:v>
      </x:c>
      <x:c r="F2262" s="12" t="n">
        <x:v>4598.0525</x:v>
      </x:c>
      <x:c r="G2262" s="12" t="n">
        <x:v>4628.1398</x:v>
      </x:c>
      <x:c r="H2262" s="12" t="n">
        <x:v>-30.0873</x:v>
      </x:c>
      <x:c r="I2262" s="12" t="n">
        <x:v>-0.6501</x:v>
      </x:c>
      <x:c r="J2262" s="12" t="n">
        <x:v>-0.006522172024576896</x:v>
      </x:c>
      <x:c r="K2262" s="12" t="n">
        <x:v>188955466</x:v>
      </x:c>
      <x:c r="L2262" s="12" t="n">
        <x:v>438940097.528</x:v>
      </x:c>
      <x:c r="M2262" s="12" t="str">
        <x:v>TuShare index_daily</x:v>
      </x:c>
    </x:row>
    <x:row r="2263" ht="18" customHeight="1">
      <x:c r="A2263" s="13" t="n">
        <x:v>45979</x:v>
      </x:c>
      <x:c r="B2263" s="12" t="str">
        <x:v>000300.SH</x:v>
      </x:c>
      <x:c r="C2263" s="12" t="n">
        <x:v>4584.7896</x:v>
      </x:c>
      <x:c r="D2263" s="12" t="n">
        <x:v>4606.6167</x:v>
      </x:c>
      <x:c r="E2263" s="12" t="n">
        <x:v>4552.8038</x:v>
      </x:c>
      <x:c r="F2263" s="12" t="n">
        <x:v>4568.1928</x:v>
      </x:c>
      <x:c r="G2263" s="12" t="n">
        <x:v>4598.0525</x:v>
      </x:c>
      <x:c r="H2263" s="12" t="n">
        <x:v>-29.8597</x:v>
      </x:c>
      <x:c r="I2263" s="12" t="n">
        <x:v>-0.6494</x:v>
      </x:c>
      <x:c r="J2263" s="12" t="n">
        <x:v>-0.006515166165609792</x:v>
      </x:c>
      <x:c r="K2263" s="12" t="n">
        <x:v>177713185</x:v>
      </x:c>
      <x:c r="L2263" s="12" t="n">
        <x:v>420150126.547</x:v>
      </x:c>
      <x:c r="M2263" s="12" t="str">
        <x:v>TuShare index_daily</x:v>
      </x:c>
    </x:row>
    <x:row r="2264" ht="18" customHeight="1">
      <x:c r="A2264" s="13" t="n">
        <x:v>45980</x:v>
      </x:c>
      <x:c r="B2264" s="12" t="str">
        <x:v>000300.SH</x:v>
      </x:c>
      <x:c r="C2264" s="12" t="n">
        <x:v>4568.0365</x:v>
      </x:c>
      <x:c r="D2264" s="12" t="n">
        <x:v>4607.8627</x:v>
      </x:c>
      <x:c r="E2264" s="12" t="n">
        <x:v>4568.0365</x:v>
      </x:c>
      <x:c r="F2264" s="12" t="n">
        <x:v>4588.2922</x:v>
      </x:c>
      <x:c r="G2264" s="12" t="n">
        <x:v>4568.1928</x:v>
      </x:c>
      <x:c r="H2264" s="12" t="n">
        <x:v>20.0994</x:v>
      </x:c>
      <x:c r="I2264" s="12" t="n">
        <x:v>0.44</x:v>
      </x:c>
      <x:c r="J2264" s="12" t="n">
        <x:v>0.004390207002542607</x:v>
      </x:c>
      <x:c r="K2264" s="12" t="n">
        <x:v>172924974</x:v>
      </x:c>
      <x:c r="L2264" s="12" t="n">
        <x:v>385230481.97</x:v>
      </x:c>
      <x:c r="M2264" s="12" t="str">
        <x:v>TuShare index_daily</x:v>
      </x:c>
    </x:row>
    <x:row r="2265" ht="18" customHeight="1">
      <x:c r="A2265" s="13" t="n">
        <x:v>45981</x:v>
      </x:c>
      <x:c r="B2265" s="12" t="str">
        <x:v>000300.SH</x:v>
      </x:c>
      <x:c r="C2265" s="12" t="n">
        <x:v>4619.5401</x:v>
      </x:c>
      <x:c r="D2265" s="12" t="n">
        <x:v>4620.6529</x:v>
      </x:c>
      <x:c r="E2265" s="12" t="n">
        <x:v>4560.1814</x:v>
      </x:c>
      <x:c r="F2265" s="12" t="n">
        <x:v>4564.9483</x:v>
      </x:c>
      <x:c r="G2265" s="12" t="n">
        <x:v>4588.2922</x:v>
      </x:c>
      <x:c r="H2265" s="12" t="n">
        <x:v>-23.3439</x:v>
      </x:c>
      <x:c r="I2265" s="12" t="n">
        <x:v>-0.5088</x:v>
      </x:c>
      <x:c r="J2265" s="12" t="n">
        <x:v>-0.005100696438971781</x:v>
      </x:c>
      <x:c r="K2265" s="12" t="n">
        <x:v>194562593</x:v>
      </x:c>
      <x:c r="L2265" s="12" t="n">
        <x:v>415064817.73</x:v>
      </x:c>
      <x:c r="M2265" s="12" t="str">
        <x:v>TuShare index_daily</x:v>
      </x:c>
    </x:row>
    <x:row r="2266" ht="18" customHeight="1">
      <x:c r="A2266" s="13" t="n">
        <x:v>45982</x:v>
      </x:c>
      <x:c r="B2266" s="12" t="str">
        <x:v>000300.SH</x:v>
      </x:c>
      <x:c r="C2266" s="12" t="n">
        <x:v>4513.3858</x:v>
      </x:c>
      <x:c r="D2266" s="12" t="n">
        <x:v>4527.0436</x:v>
      </x:c>
      <x:c r="E2266" s="12" t="n">
        <x:v>4453.1819</x:v>
      </x:c>
      <x:c r="F2266" s="12" t="n">
        <x:v>4453.6076</x:v>
      </x:c>
      <x:c r="G2266" s="12" t="n">
        <x:v>4564.9483</x:v>
      </x:c>
      <x:c r="H2266" s="12" t="n">
        <x:v>-111.3407</x:v>
      </x:c>
      <x:c r="I2266" s="12" t="n">
        <x:v>-2.439</x:v>
      </x:c>
      <x:c r="J2266" s="12" t="n">
        <x:v>-0.024692724311248634</x:v>
      </x:c>
      <x:c r="K2266" s="12" t="n">
        <x:v>222851013</x:v>
      </x:c>
      <x:c r="L2266" s="12" t="n">
        <x:v>481295814.463</x:v>
      </x:c>
      <x:c r="M2266" s="12" t="str">
        <x:v>TuShare index_daily</x:v>
      </x:c>
    </x:row>
    <x:row r="2267" ht="18" customHeight="1">
      <x:c r="A2267" s="13" t="n">
        <x:v>45985</x:v>
      </x:c>
      <x:c r="B2267" s="12" t="str">
        <x:v>000300.SH</x:v>
      </x:c>
      <x:c r="C2267" s="12" t="n">
        <x:v>4473.1563</x:v>
      </x:c>
      <x:c r="D2267" s="12" t="n">
        <x:v>4478.8081</x:v>
      </x:c>
      <x:c r="E2267" s="12" t="n">
        <x:v>4421.8123</x:v>
      </x:c>
      <x:c r="F2267" s="12" t="n">
        <x:v>4448.0478</x:v>
      </x:c>
      <x:c r="G2267" s="12" t="n">
        <x:v>4453.6076</x:v>
      </x:c>
      <x:c r="H2267" s="12" t="n">
        <x:v>-5.5598</x:v>
      </x:c>
      <x:c r="I2267" s="12" t="n">
        <x:v>-0.1248</x:v>
      </x:c>
      <x:c r="J2267" s="12" t="n">
        <x:v>-0.0012491610769297722</x:v>
      </x:c>
      <x:c r="K2267" s="12" t="n">
        <x:v>185833729</x:v>
      </x:c>
      <x:c r="L2267" s="12" t="n">
        <x:v>425807469.5</x:v>
      </x:c>
      <x:c r="M2267" s="12" t="str">
        <x:v>TuShare index_daily</x:v>
      </x:c>
    </x:row>
    <x:row r="2268" ht="18" customHeight="1">
      <x:c r="A2268" s="13" t="n">
        <x:v>45986</x:v>
      </x:c>
      <x:c r="B2268" s="12" t="str">
        <x:v>000300.SH</x:v>
      </x:c>
      <x:c r="C2268" s="12" t="n">
        <x:v>4475.8359</x:v>
      </x:c>
      <x:c r="D2268" s="12" t="n">
        <x:v>4510.7729</x:v>
      </x:c>
      <x:c r="E2268" s="12" t="n">
        <x:v>4467.3529</x:v>
      </x:c>
      <x:c r="F2268" s="12" t="n">
        <x:v>4490.4047</x:v>
      </x:c>
      <x:c r="G2268" s="12" t="n">
        <x:v>4448.0478</x:v>
      </x:c>
      <x:c r="H2268" s="12" t="n">
        <x:v>42.3569</x:v>
      </x:c>
      <x:c r="I2268" s="12" t="n">
        <x:v>0.9523</x:v>
      </x:c>
      <x:c r="J2268" s="12" t="n">
        <x:v>0.009477528029243936</x:v>
      </x:c>
      <x:c r="K2268" s="12" t="n">
        <x:v>169571929</x:v>
      </x:c>
      <x:c r="L2268" s="12" t="n">
        <x:v>411523796.962</x:v>
      </x:c>
      <x:c r="M2268" s="12" t="str">
        <x:v>TuShare index_daily</x:v>
      </x:c>
    </x:row>
    <x:row r="2269" ht="18" customHeight="1">
      <x:c r="A2269" s="13" t="n">
        <x:v>45987</x:v>
      </x:c>
      <x:c r="B2269" s="12" t="str">
        <x:v>000300.SH</x:v>
      </x:c>
      <x:c r="C2269" s="12" t="n">
        <x:v>4490.2021</x:v>
      </x:c>
      <x:c r="D2269" s="12" t="n">
        <x:v>4538.1361</x:v>
      </x:c>
      <x:c r="E2269" s="12" t="n">
        <x:v>4485.6984</x:v>
      </x:c>
      <x:c r="F2269" s="12" t="n">
        <x:v>4517.6255</x:v>
      </x:c>
      <x:c r="G2269" s="12" t="n">
        <x:v>4490.4047</x:v>
      </x:c>
      <x:c r="H2269" s="12" t="n">
        <x:v>27.2208</x:v>
      </x:c>
      <x:c r="I2269" s="12" t="n">
        <x:v>0.6062</x:v>
      </x:c>
      <x:c r="J2269" s="12" t="n">
        <x:v>0.006043692627946167</x:v>
      </x:c>
      <x:c r="K2269" s="12" t="n">
        <x:v>156200368</x:v>
      </x:c>
      <x:c r="L2269" s="12" t="n">
        <x:v>427361377.738</x:v>
      </x:c>
      <x:c r="M2269" s="12" t="str">
        <x:v>TuShare index_daily</x:v>
      </x:c>
    </x:row>
    <x:row r="2270" ht="18" customHeight="1">
      <x:c r="A2270" s="13" t="n">
        <x:v>45988</x:v>
      </x:c>
      <x:c r="B2270" s="12" t="str">
        <x:v>000300.SH</x:v>
      </x:c>
      <x:c r="C2270" s="12" t="n">
        <x:v>4520.014</x:v>
      </x:c>
      <x:c r="D2270" s="12" t="n">
        <x:v>4559.2183</x:v>
      </x:c>
      <x:c r="E2270" s="12" t="n">
        <x:v>4509.8635</x:v>
      </x:c>
      <x:c r="F2270" s="12" t="n">
        <x:v>4515.4027</x:v>
      </x:c>
      <x:c r="G2270" s="12" t="n">
        <x:v>4517.6255</x:v>
      </x:c>
      <x:c r="H2270" s="12" t="n">
        <x:v>-2.2228</x:v>
      </x:c>
      <x:c r="I2270" s="12" t="n">
        <x:v>-0.0492</x:v>
      </x:c>
      <x:c r="J2270" s="12" t="n">
        <x:v>-0.0004921494753810251</x:v>
      </x:c>
      <x:c r="K2270" s="12" t="n">
        <x:v>150311772</x:v>
      </x:c>
      <x:c r="L2270" s="12" t="n">
        <x:v>417789843.568</x:v>
      </x:c>
      <x:c r="M2270" s="12" t="str">
        <x:v>TuShare index_daily</x:v>
      </x:c>
    </x:row>
    <x:row r="2271" ht="18" customHeight="1">
      <x:c r="A2271" s="13" t="n">
        <x:v>45989</x:v>
      </x:c>
      <x:c r="B2271" s="12" t="str">
        <x:v>000300.SH</x:v>
      </x:c>
      <x:c r="C2271" s="12" t="n">
        <x:v>4511.4972</x:v>
      </x:c>
      <x:c r="D2271" s="12" t="n">
        <x:v>4531.7219</x:v>
      </x:c>
      <x:c r="E2271" s="12" t="n">
        <x:v>4492.4256</x:v>
      </x:c>
      <x:c r="F2271" s="12" t="n">
        <x:v>4526.6616</x:v>
      </x:c>
      <x:c r="G2271" s="12" t="n">
        <x:v>4515.4027</x:v>
      </x:c>
      <x:c r="H2271" s="12" t="n">
        <x:v>11.2589</x:v>
      </x:c>
      <x:c r="I2271" s="12" t="n">
        <x:v>0.2493</x:v>
      </x:c>
      <x:c r="J2271" s="12" t="n">
        <x:v>0.0024903396935098345</x:v>
      </x:c>
      <x:c r="K2271" s="12" t="n">
        <x:v>142902096</x:v>
      </x:c>
      <x:c r="L2271" s="12" t="n">
        <x:v>341832317.979</x:v>
      </x:c>
      <x:c r="M2271" s="12" t="str">
        <x:v>TuShare index_daily</x:v>
      </x:c>
    </x:row>
    <x:row r="2272" ht="18" customHeight="1">
      <x:c r="A2272" s="13" t="n">
        <x:v>45992</x:v>
      </x:c>
      <x:c r="B2272" s="12" t="str">
        <x:v>000300.SH</x:v>
      </x:c>
      <x:c r="C2272" s="12" t="n">
        <x:v>4539.1877</x:v>
      </x:c>
      <x:c r="D2272" s="12" t="n">
        <x:v>4576.9654</x:v>
      </x:c>
      <x:c r="E2272" s="12" t="n">
        <x:v>4531.2917</x:v>
      </x:c>
      <x:c r="F2272" s="12" t="n">
        <x:v>4576.4856</x:v>
      </x:c>
      <x:c r="G2272" s="12" t="n">
        <x:v>4526.6616</x:v>
      </x:c>
      <x:c r="H2272" s="12" t="n">
        <x:v>49.824</x:v>
      </x:c>
      <x:c r="I2272" s="12" t="n">
        <x:v>1.1007</x:v>
      </x:c>
      <x:c r="J2272" s="12" t="n">
        <x:v>0.010946653159669466</x:v>
      </x:c>
      <x:c r="K2272" s="12" t="n">
        <x:v>200382317</x:v>
      </x:c>
      <x:c r="L2272" s="12" t="n">
        <x:v>463861587.251</x:v>
      </x:c>
      <x:c r="M2272" s="12" t="str">
        <x:v>TuShare index_daily</x:v>
      </x:c>
    </x:row>
    <x:row r="2273" ht="18" customHeight="1">
      <x:c r="A2273" s="13" t="n">
        <x:v>45993</x:v>
      </x:c>
      <x:c r="B2273" s="12" t="str">
        <x:v>000300.SH</x:v>
      </x:c>
      <x:c r="C2273" s="12" t="n">
        <x:v>4571.9098</x:v>
      </x:c>
      <x:c r="D2273" s="12" t="n">
        <x:v>4575.4945</x:v>
      </x:c>
      <x:c r="E2273" s="12" t="n">
        <x:v>4539.4312</x:v>
      </x:c>
      <x:c r="F2273" s="12" t="n">
        <x:v>4554.3347</x:v>
      </x:c>
      <x:c r="G2273" s="12" t="n">
        <x:v>4576.4856</x:v>
      </x:c>
      <x:c r="H2273" s="12" t="n">
        <x:v>-22.1509</x:v>
      </x:c>
      <x:c r="I2273" s="12" t="n">
        <x:v>-0.484</x:v>
      </x:c>
      <x:c r="J2273" s="12" t="n">
        <x:v>-0.004851906559699918</x:v>
      </x:c>
      <x:c r="K2273" s="12" t="n">
        <x:v>148493132</x:v>
      </x:c>
      <x:c r="L2273" s="12" t="n">
        <x:v>364366426.478</x:v>
      </x:c>
      <x:c r="M2273" s="12" t="str">
        <x:v>TuShare index_daily</x:v>
      </x:c>
    </x:row>
    <x:row r="2274" ht="18" customHeight="1">
      <x:c r="A2274" s="13" t="n">
        <x:v>45994</x:v>
      </x:c>
      <x:c r="B2274" s="12" t="str">
        <x:v>000300.SH</x:v>
      </x:c>
      <x:c r="C2274" s="12" t="n">
        <x:v>4554.5894</x:v>
      </x:c>
      <x:c r="D2274" s="12" t="n">
        <x:v>4569.821</x:v>
      </x:c>
      <x:c r="E2274" s="12" t="n">
        <x:v>4523.5017</x:v>
      </x:c>
      <x:c r="F2274" s="12" t="n">
        <x:v>4531.0486</x:v>
      </x:c>
      <x:c r="G2274" s="12" t="n">
        <x:v>4554.3347</x:v>
      </x:c>
      <x:c r="H2274" s="12" t="n">
        <x:v>-23.2861</x:v>
      </x:c>
      <x:c r="I2274" s="12" t="n">
        <x:v>-0.5113</x:v>
      </x:c>
      <x:c r="J2274" s="12" t="n">
        <x:v>-0.005126069032201992</x:v>
      </x:c>
      <x:c r="K2274" s="12" t="n">
        <x:v>169762790</x:v>
      </x:c>
      <x:c r="L2274" s="12" t="n">
        <x:v>374486168.903</x:v>
      </x:c>
      <x:c r="M2274" s="12" t="str">
        <x:v>TuShare index_daily</x:v>
      </x:c>
    </x:row>
    <x:row r="2275" ht="18" customHeight="1">
      <x:c r="A2275" s="13" t="n">
        <x:v>45995</x:v>
      </x:c>
      <x:c r="B2275" s="12" t="str">
        <x:v>000300.SH</x:v>
      </x:c>
      <x:c r="C2275" s="12" t="n">
        <x:v>4533.6004</x:v>
      </x:c>
      <x:c r="D2275" s="12" t="n">
        <x:v>4557.4228</x:v>
      </x:c>
      <x:c r="E2275" s="12" t="n">
        <x:v>4514.1878</x:v>
      </x:c>
      <x:c r="F2275" s="12" t="n">
        <x:v>4546.5664</x:v>
      </x:c>
      <x:c r="G2275" s="12" t="n">
        <x:v>4531.0486</x:v>
      </x:c>
      <x:c r="H2275" s="12" t="n">
        <x:v>15.5178</x:v>
      </x:c>
      <x:c r="I2275" s="12" t="n">
        <x:v>0.3425</x:v>
      </x:c>
      <x:c r="J2275" s="12" t="n">
        <x:v>0.0034189189816126045</x:v>
      </x:c>
      <x:c r="K2275" s="12" t="n">
        <x:v>147198110</x:v>
      </x:c>
      <x:c r="L2275" s="12" t="n">
        <x:v>348767399.212</x:v>
      </x:c>
      <x:c r="M2275" s="12" t="str">
        <x:v>TuShare index_daily</x:v>
      </x:c>
    </x:row>
    <x:row r="2276" ht="18" customHeight="1">
      <x:c r="A2276" s="13" t="n">
        <x:v>45996</x:v>
      </x:c>
      <x:c r="B2276" s="12" t="str">
        <x:v>000300.SH</x:v>
      </x:c>
      <x:c r="C2276" s="12" t="n">
        <x:v>4547.9056</x:v>
      </x:c>
      <x:c r="D2276" s="12" t="n">
        <x:v>4593.8279</x:v>
      </x:c>
      <x:c r="E2276" s="12" t="n">
        <x:v>4535.0195</x:v>
      </x:c>
      <x:c r="F2276" s="12" t="n">
        <x:v>4584.5368</x:v>
      </x:c>
      <x:c r="G2276" s="12" t="n">
        <x:v>4546.5664</x:v>
      </x:c>
      <x:c r="H2276" s="12" t="n">
        <x:v>37.9704</x:v>
      </x:c>
      <x:c r="I2276" s="12" t="n">
        <x:v>0.8351</x:v>
      </x:c>
      <x:c r="J2276" s="12" t="n">
        <x:v>0.008316764805146162</x:v>
      </x:c>
      <x:c r="K2276" s="12" t="n">
        <x:v>196799968</x:v>
      </x:c>
      <x:c r="L2276" s="12" t="n">
        <x:v>412146806.538</x:v>
      </x:c>
      <x:c r="M2276" s="12" t="str">
        <x:v>TuShare index_daily</x:v>
      </x:c>
    </x:row>
    <x:row r="2277" ht="18" customHeight="1">
      <x:c r="A2277" s="13" t="n">
        <x:v>45999</x:v>
      </x:c>
      <x:c r="B2277" s="12" t="str">
        <x:v>000300.SH</x:v>
      </x:c>
      <x:c r="C2277" s="12" t="n">
        <x:v>4593.1399</x:v>
      </x:c>
      <x:c r="D2277" s="12" t="n">
        <x:v>4640.6256</x:v>
      </x:c>
      <x:c r="E2277" s="12" t="n">
        <x:v>4592.7414</x:v>
      </x:c>
      <x:c r="F2277" s="12" t="n">
        <x:v>4621.7545</x:v>
      </x:c>
      <x:c r="G2277" s="12" t="n">
        <x:v>4584.5368</x:v>
      </x:c>
      <x:c r="H2277" s="12" t="n">
        <x:v>37.2177</x:v>
      </x:c>
      <x:c r="I2277" s="12" t="n">
        <x:v>0.8118</x:v>
      </x:c>
      <x:c r="J2277" s="12" t="n">
        <x:v>0.008085319383845935</x:v>
      </x:c>
      <x:c r="K2277" s="12" t="n">
        <x:v>199620990</x:v>
      </x:c>
      <x:c r="L2277" s="12" t="n">
        <x:v>496716196.112</x:v>
      </x:c>
      <x:c r="M2277" s="12" t="str">
        <x:v>TuShare index_daily</x:v>
      </x:c>
    </x:row>
    <x:row r="2278" ht="18" customHeight="1">
      <x:c r="A2278" s="13" t="n">
        <x:v>46000</x:v>
      </x:c>
      <x:c r="B2278" s="12" t="str">
        <x:v>000300.SH</x:v>
      </x:c>
      <x:c r="C2278" s="12" t="n">
        <x:v>4611.379</x:v>
      </x:c>
      <x:c r="D2278" s="12" t="n">
        <x:v>4628.7049</x:v>
      </x:c>
      <x:c r="E2278" s="12" t="n">
        <x:v>4584.254</x:v>
      </x:c>
      <x:c r="F2278" s="12" t="n">
        <x:v>4598.2232</x:v>
      </x:c>
      <x:c r="G2278" s="12" t="n">
        <x:v>4621.7545</x:v>
      </x:c>
      <x:c r="H2278" s="12" t="n">
        <x:v>-23.5313</x:v>
      </x:c>
      <x:c r="I2278" s="12" t="n">
        <x:v>-0.5091</x:v>
      </x:c>
      <x:c r="J2278" s="12" t="n">
        <x:v>-0.005104426899569132</x:v>
      </x:c>
      <x:c r="K2278" s="12" t="n">
        <x:v>184160344</x:v>
      </x:c>
      <x:c r="L2278" s="12" t="n">
        <x:v>452113884.581</x:v>
      </x:c>
      <x:c r="M2278" s="12" t="str">
        <x:v>TuShare index_daily</x:v>
      </x:c>
    </x:row>
    <x:row r="2279" ht="18" customHeight="1">
      <x:c r="A2279" s="13" t="n">
        <x:v>46001</x:v>
      </x:c>
      <x:c r="B2279" s="12" t="str">
        <x:v>000300.SH</x:v>
      </x:c>
      <x:c r="C2279" s="12" t="n">
        <x:v>4586.254</x:v>
      </x:c>
      <x:c r="D2279" s="12" t="n">
        <x:v>4598.5366</x:v>
      </x:c>
      <x:c r="E2279" s="12" t="n">
        <x:v>4549.0798</x:v>
      </x:c>
      <x:c r="F2279" s="12" t="n">
        <x:v>4591.8273</x:v>
      </x:c>
      <x:c r="G2279" s="12" t="n">
        <x:v>4598.2232</x:v>
      </x:c>
      <x:c r="H2279" s="12" t="n">
        <x:v>-6.3959</x:v>
      </x:c>
      <x:c r="I2279" s="12" t="n">
        <x:v>-0.1391</x:v>
      </x:c>
      <x:c r="J2279" s="12" t="n">
        <x:v>-0.0013919185825232096</x:v>
      </x:c>
      <x:c r="K2279" s="12" t="n">
        <x:v>169111106</x:v>
      </x:c>
      <x:c r="L2279" s="12" t="n">
        <x:v>401452781.498</x:v>
      </x:c>
      <x:c r="M2279" s="12" t="str">
        <x:v>TuShare index_daily</x:v>
      </x:c>
    </x:row>
    <x:row r="2280" ht="18" customHeight="1">
      <x:c r="A2280" s="13" t="n">
        <x:v>46002</x:v>
      </x:c>
      <x:c r="B2280" s="12" t="str">
        <x:v>000300.SH</x:v>
      </x:c>
      <x:c r="C2280" s="12" t="n">
        <x:v>4597.1901</x:v>
      </x:c>
      <x:c r="D2280" s="12" t="n">
        <x:v>4610.2787</x:v>
      </x:c>
      <x:c r="E2280" s="12" t="n">
        <x:v>4547.1372</x:v>
      </x:c>
      <x:c r="F2280" s="12" t="n">
        <x:v>4552.1848</x:v>
      </x:c>
      <x:c r="G2280" s="12" t="n">
        <x:v>4591.8273</x:v>
      </x:c>
      <x:c r="H2280" s="12" t="n">
        <x:v>-39.6425</x:v>
      </x:c>
      <x:c r="I2280" s="12" t="n">
        <x:v>-0.8633</x:v>
      </x:c>
      <x:c r="J2280" s="12" t="n">
        <x:v>-0.008670755885500946</x:v>
      </x:c>
      <x:c r="K2280" s="12" t="n">
        <x:v>168419405</x:v>
      </x:c>
      <x:c r="L2280" s="12" t="n">
        <x:v>432431093.51</x:v>
      </x:c>
      <x:c r="M2280" s="12" t="str">
        <x:v>TuShare index_daily</x:v>
      </x:c>
    </x:row>
    <x:row r="2281" ht="18" customHeight="1">
      <x:c r="A2281" s="13" t="n">
        <x:v>46003</x:v>
      </x:c>
      <x:c r="B2281" s="12" t="str">
        <x:v>000300.SH</x:v>
      </x:c>
      <x:c r="C2281" s="12" t="n">
        <x:v>4558.7375</x:v>
      </x:c>
      <x:c r="D2281" s="12" t="n">
        <x:v>4583.6753</x:v>
      </x:c>
      <x:c r="E2281" s="12" t="n">
        <x:v>4530.7841</x:v>
      </x:c>
      <x:c r="F2281" s="12" t="n">
        <x:v>4580.95</x:v>
      </x:c>
      <x:c r="G2281" s="12" t="n">
        <x:v>4552.1848</x:v>
      </x:c>
      <x:c r="H2281" s="12" t="n">
        <x:v>28.7652</x:v>
      </x:c>
      <x:c r="I2281" s="12" t="n">
        <x:v>0.6319</x:v>
      </x:c>
      <x:c r="J2281" s="12" t="n">
        <x:v>0.006299106658067917</x:v>
      </x:c>
      <x:c r="K2281" s="12" t="n">
        <x:v>212826520</x:v>
      </x:c>
      <x:c r="L2281" s="12" t="n">
        <x:v>523863221.652</x:v>
      </x:c>
      <x:c r="M2281" s="12" t="str">
        <x:v>TuShare index_daily</x:v>
      </x:c>
    </x:row>
    <x:row r="2282" ht="18" customHeight="1">
      <x:c r="A2282" s="13" t="n">
        <x:v>46006</x:v>
      </x:c>
      <x:c r="B2282" s="12" t="str">
        <x:v>000300.SH</x:v>
      </x:c>
      <x:c r="C2282" s="12" t="n">
        <x:v>4550.0028</x:v>
      </x:c>
      <x:c r="D2282" s="12" t="n">
        <x:v>4595.0463</x:v>
      </x:c>
      <x:c r="E2282" s="12" t="n">
        <x:v>4548.4382</x:v>
      </x:c>
      <x:c r="F2282" s="12" t="n">
        <x:v>4552.0596</x:v>
      </x:c>
      <x:c r="G2282" s="12" t="n">
        <x:v>4580.95</x:v>
      </x:c>
      <x:c r="H2282" s="12" t="n">
        <x:v>-28.8904</x:v>
      </x:c>
      <x:c r="I2282" s="12" t="n">
        <x:v>-0.6307</x:v>
      </x:c>
      <x:c r="J2282" s="12" t="n">
        <x:v>-0.006326610313397728</x:v>
      </x:c>
      <x:c r="K2282" s="12" t="n">
        <x:v>167589967</x:v>
      </x:c>
      <x:c r="L2282" s="12" t="n">
        <x:v>424383389.792</x:v>
      </x:c>
      <x:c r="M2282" s="12" t="str">
        <x:v>TuShare index_daily</x:v>
      </x:c>
    </x:row>
    <x:row r="2283" ht="18" customHeight="1">
      <x:c r="A2283" s="13" t="n">
        <x:v>46007</x:v>
      </x:c>
      <x:c r="B2283" s="12" t="str">
        <x:v>000300.SH</x:v>
      </x:c>
      <x:c r="C2283" s="12" t="n">
        <x:v>4542.4226</x:v>
      </x:c>
      <x:c r="D2283" s="12" t="n">
        <x:v>4553.0806</x:v>
      </x:c>
      <x:c r="E2283" s="12" t="n">
        <x:v>4484.27</x:v>
      </x:c>
      <x:c r="F2283" s="12" t="n">
        <x:v>4497.5545</x:v>
      </x:c>
      <x:c r="G2283" s="12" t="n">
        <x:v>4552.0596</x:v>
      </x:c>
      <x:c r="H2283" s="12" t="n">
        <x:v>-54.5051</x:v>
      </x:c>
      <x:c r="I2283" s="12" t="n">
        <x:v>-1.1974</x:v>
      </x:c>
      <x:c r="J2283" s="12" t="n">
        <x:v>-0.01204598527180826</x:v>
      </x:c>
      <x:c r="K2283" s="12" t="n">
        <x:v>165165201</x:v>
      </x:c>
      <x:c r="L2283" s="12" t="n">
        <x:v>390500134.303</x:v>
      </x:c>
      <x:c r="M2283" s="12" t="str">
        <x:v>TuShare index_daily</x:v>
      </x:c>
    </x:row>
    <x:row r="2284" ht="18" customHeight="1">
      <x:c r="A2284" s="13" t="n">
        <x:v>46008</x:v>
      </x:c>
      <x:c r="B2284" s="12" t="str">
        <x:v>000300.SH</x:v>
      </x:c>
      <x:c r="C2284" s="12" t="n">
        <x:v>4499.7729</x:v>
      </x:c>
      <x:c r="D2284" s="12" t="n">
        <x:v>4594.6556</x:v>
      </x:c>
      <x:c r="E2284" s="12" t="n">
        <x:v>4498.9304</x:v>
      </x:c>
      <x:c r="F2284" s="12" t="n">
        <x:v>4579.875</x:v>
      </x:c>
      <x:c r="G2284" s="12" t="n">
        <x:v>4497.5545</x:v>
      </x:c>
      <x:c r="H2284" s="12" t="n">
        <x:v>82.3205</x:v>
      </x:c>
      <x:c r="I2284" s="12" t="n">
        <x:v>1.8303</x:v>
      </x:c>
      <x:c r="J2284" s="12" t="n">
        <x:v>0.01813790056484832</x:v>
      </x:c>
      <x:c r="K2284" s="12" t="n">
        <x:v>178424830</x:v>
      </x:c>
      <x:c r="L2284" s="12" t="n">
        <x:v>452504741.114</x:v>
      </x:c>
      <x:c r="M2284" s="12" t="str">
        <x:v>TuShare index_daily</x:v>
      </x:c>
    </x:row>
    <x:row r="2285" ht="18" customHeight="1">
      <x:c r="A2285" s="13" t="n">
        <x:v>46009</x:v>
      </x:c>
      <x:c r="B2285" s="12" t="str">
        <x:v>000300.SH</x:v>
      </x:c>
      <x:c r="C2285" s="12" t="n">
        <x:v>4553.9788</x:v>
      </x:c>
      <x:c r="D2285" s="12" t="n">
        <x:v>4571.9683</x:v>
      </x:c>
      <x:c r="E2285" s="12" t="n">
        <x:v>4544.1416</x:v>
      </x:c>
      <x:c r="F2285" s="12" t="n">
        <x:v>4552.7926</x:v>
      </x:c>
      <x:c r="G2285" s="12" t="n">
        <x:v>4579.875</x:v>
      </x:c>
      <x:c r="H2285" s="12" t="n">
        <x:v>-27.0824</x:v>
      </x:c>
      <x:c r="I2285" s="12" t="n">
        <x:v>-0.5913</x:v>
      </x:c>
      <x:c r="J2285" s="12" t="n">
        <x:v>-0.005930902245165715</x:v>
      </x:c>
      <x:c r="K2285" s="12" t="n">
        <x:v>151681328</x:v>
      </x:c>
      <x:c r="L2285" s="12" t="n">
        <x:v>382102395.685</x:v>
      </x:c>
      <x:c r="M2285" s="12" t="str">
        <x:v>TuShare index_daily</x:v>
      </x:c>
    </x:row>
    <x:row r="2286" ht="18" customHeight="1">
      <x:c r="A2286" s="13" t="n">
        <x:v>46010</x:v>
      </x:c>
      <x:c r="B2286" s="12" t="str">
        <x:v>000300.SH</x:v>
      </x:c>
      <x:c r="C2286" s="12" t="n">
        <x:v>4561.3729</x:v>
      </x:c>
      <x:c r="D2286" s="12" t="n">
        <x:v>4591.0931</x:v>
      </x:c>
      <x:c r="E2286" s="12" t="n">
        <x:v>4546.8465</x:v>
      </x:c>
      <x:c r="F2286" s="12" t="n">
        <x:v>4568.1781</x:v>
      </x:c>
      <x:c r="G2286" s="12" t="n">
        <x:v>4552.7926</x:v>
      </x:c>
      <x:c r="H2286" s="12" t="n">
        <x:v>15.3855</x:v>
      </x:c>
      <x:c r="I2286" s="12" t="n">
        <x:v>0.3379</x:v>
      </x:c>
      <x:c r="J2286" s="12" t="n">
        <x:v>0.0033736572780755153</x:v>
      </x:c>
      <x:c r="K2286" s="12" t="n">
        <x:v>154876220</x:v>
      </x:c>
      <x:c r="L2286" s="12" t="n">
        <x:v>371577144.281</x:v>
      </x:c>
      <x:c r="M2286" s="12" t="str">
        <x:v>TuShare index_daily</x:v>
      </x:c>
    </x:row>
    <x:row r="2287" ht="18" customHeight="1">
      <x:c r="A2287" s="13" t="n">
        <x:v>46013</x:v>
      </x:c>
      <x:c r="B2287" s="12" t="str">
        <x:v>000300.SH</x:v>
      </x:c>
      <x:c r="C2287" s="12" t="n">
        <x:v>4587.6683</x:v>
      </x:c>
      <x:c r="D2287" s="12" t="n">
        <x:v>4615.8721</x:v>
      </x:c>
      <x:c r="E2287" s="12" t="n">
        <x:v>4587.6683</x:v>
      </x:c>
      <x:c r="F2287" s="12" t="n">
        <x:v>4611.6235</x:v>
      </x:c>
      <x:c r="G2287" s="12" t="n">
        <x:v>4568.1781</x:v>
      </x:c>
      <x:c r="H2287" s="12" t="n">
        <x:v>43.4454</x:v>
      </x:c>
      <x:c r="I2287" s="12" t="n">
        <x:v>0.951</x:v>
      </x:c>
      <x:c r="J2287" s="12" t="n">
        <x:v>0.009465503998802404</x:v>
      </x:c>
      <x:c r="K2287" s="12" t="n">
        <x:v>165252856</x:v>
      </x:c>
      <x:c r="L2287" s="12" t="n">
        <x:v>448240599.514</x:v>
      </x:c>
      <x:c r="M2287" s="12" t="str">
        <x:v>TuShare index_daily</x:v>
      </x:c>
    </x:row>
    <x:row r="2288" ht="18" customHeight="1">
      <x:c r="A2288" s="13" t="n">
        <x:v>46014</x:v>
      </x:c>
      <x:c r="B2288" s="12" t="str">
        <x:v>000300.SH</x:v>
      </x:c>
      <x:c r="C2288" s="12" t="n">
        <x:v>4616.026</x:v>
      </x:c>
      <x:c r="D2288" s="12" t="n">
        <x:v>4644.5347</x:v>
      </x:c>
      <x:c r="E2288" s="12" t="n">
        <x:v>4607.7992</x:v>
      </x:c>
      <x:c r="F2288" s="12" t="n">
        <x:v>4620.7341</x:v>
      </x:c>
      <x:c r="G2288" s="12" t="n">
        <x:v>4611.6235</x:v>
      </x:c>
      <x:c r="H2288" s="12" t="n">
        <x:v>9.1106</x:v>
      </x:c>
      <x:c r="I2288" s="12" t="n">
        <x:v>0.1976</x:v>
      </x:c>
      <x:c r="J2288" s="12" t="n">
        <x:v>0.0019736243659572456</x:v>
      </x:c>
      <x:c r="K2288" s="12" t="n">
        <x:v>169256412</x:v>
      </x:c>
      <x:c r="L2288" s="12" t="n">
        <x:v>433141326.006</x:v>
      </x:c>
      <x:c r="M2288" s="12" t="str">
        <x:v>TuShare index_daily</x:v>
      </x:c>
    </x:row>
    <x:row r="2289" ht="18" customHeight="1">
      <x:c r="A2289" s="13" t="n">
        <x:v>46015</x:v>
      </x:c>
      <x:c r="B2289" s="12" t="str">
        <x:v>000300.SH</x:v>
      </x:c>
      <x:c r="C2289" s="12" t="n">
        <x:v>4623.6831</x:v>
      </x:c>
      <x:c r="D2289" s="12" t="n">
        <x:v>4639.4278</x:v>
      </x:c>
      <x:c r="E2289" s="12" t="n">
        <x:v>4602.1444</x:v>
      </x:c>
      <x:c r="F2289" s="12" t="n">
        <x:v>4634.0586</x:v>
      </x:c>
      <x:c r="G2289" s="12" t="n">
        <x:v>4620.7341</x:v>
      </x:c>
      <x:c r="H2289" s="12" t="n">
        <x:v>13.3245</x:v>
      </x:c>
      <x:c r="I2289" s="12" t="n">
        <x:v>0.2884</x:v>
      </x:c>
      <x:c r="J2289" s="12" t="n">
        <x:v>0.002879483017828682</x:v>
      </x:c>
      <x:c r="K2289" s="12" t="n">
        <x:v>153711241</x:v>
      </x:c>
      <x:c r="L2289" s="12" t="n">
        <x:v>406375640.662</x:v>
      </x:c>
      <x:c r="M2289" s="12" t="str">
        <x:v>TuShare index_daily</x:v>
      </x:c>
    </x:row>
    <x:row r="2290" ht="18" customHeight="1">
      <x:c r="A2290" s="13" t="n">
        <x:v>46016</x:v>
      </x:c>
      <x:c r="B2290" s="12" t="str">
        <x:v>000300.SH</x:v>
      </x:c>
      <x:c r="C2290" s="12" t="n">
        <x:v>4629.3195</x:v>
      </x:c>
      <x:c r="D2290" s="12" t="n">
        <x:v>4651.1535</x:v>
      </x:c>
      <x:c r="E2290" s="12" t="n">
        <x:v>4621.9208</x:v>
      </x:c>
      <x:c r="F2290" s="12" t="n">
        <x:v>4642.5357</x:v>
      </x:c>
      <x:c r="G2290" s="12" t="n">
        <x:v>4634.0586</x:v>
      </x:c>
      <x:c r="H2290" s="12" t="n">
        <x:v>8.4771</x:v>
      </x:c>
      <x:c r="I2290" s="12" t="n">
        <x:v>0.1829</x:v>
      </x:c>
      <x:c r="J2290" s="12" t="n">
        <x:v>0.0018276324447278989</x:v>
      </x:c>
      <x:c r="K2290" s="12" t="n">
        <x:v>139434186</x:v>
      </x:c>
      <x:c r="L2290" s="12" t="n">
        <x:v>385356060.832</x:v>
      </x:c>
      <x:c r="M2290" s="12" t="str">
        <x:v>TuShare index_daily</x:v>
      </x:c>
    </x:row>
    <x:row r="2291" ht="18" customHeight="1">
      <x:c r="A2291" s="13" t="n">
        <x:v>46017</x:v>
      </x:c>
      <x:c r="B2291" s="12" t="str">
        <x:v>000300.SH</x:v>
      </x:c>
      <x:c r="C2291" s="12" t="n">
        <x:v>4639.7895</x:v>
      </x:c>
      <x:c r="D2291" s="12" t="n">
        <x:v>4676.131</x:v>
      </x:c>
      <x:c r="E2291" s="12" t="n">
        <x:v>4635.1052</x:v>
      </x:c>
      <x:c r="F2291" s="12" t="n">
        <x:v>4657.24</x:v>
      </x:c>
      <x:c r="G2291" s="12" t="n">
        <x:v>4642.5357</x:v>
      </x:c>
      <x:c r="H2291" s="12" t="n">
        <x:v>14.7043</x:v>
      </x:c>
      <x:c r="I2291" s="12" t="n">
        <x:v>0.3167</x:v>
      </x:c>
      <x:c r="J2291" s="12" t="n">
        <x:v>0.0031622939580590193</x:v>
      </x:c>
      <x:c r="K2291" s="12" t="n">
        <x:v>175396565</x:v>
      </x:c>
      <x:c r="L2291" s="12" t="n">
        <x:v>460426934.268</x:v>
      </x:c>
      <x:c r="M2291" s="12" t="str">
        <x:v>TuShare index_daily</x:v>
      </x:c>
    </x:row>
    <x:row r="2292" ht="18" customHeight="1">
      <x:c r="A2292" s="13" t="n">
        <x:v>46020</x:v>
      </x:c>
      <x:c r="B2292" s="12" t="str">
        <x:v>000300.SH</x:v>
      </x:c>
      <x:c r="C2292" s="12" t="n">
        <x:v>4658.2654</x:v>
      </x:c>
      <x:c r="D2292" s="12" t="n">
        <x:v>4672.0352</x:v>
      </x:c>
      <x:c r="E2292" s="12" t="n">
        <x:v>4629.0567</x:v>
      </x:c>
      <x:c r="F2292" s="12" t="n">
        <x:v>4639.3721</x:v>
      </x:c>
      <x:c r="G2292" s="12" t="n">
        <x:v>4657.24</x:v>
      </x:c>
      <x:c r="H2292" s="12" t="n">
        <x:v>-17.8679</x:v>
      </x:c>
      <x:c r="I2292" s="12" t="n">
        <x:v>-0.3837</x:v>
      </x:c>
      <x:c r="J2292" s="12" t="n">
        <x:v>-0.0038439641902292404</x:v>
      </x:c>
      <x:c r="K2292" s="12" t="n">
        <x:v>200397133</x:v>
      </x:c>
      <x:c r="L2292" s="12" t="n">
        <x:v>482613536.467</x:v>
      </x:c>
      <x:c r="M2292" s="12" t="str">
        <x:v>TuShare index_daily</x:v>
      </x:c>
    </x:row>
    <x:row r="2293" ht="18" customHeight="1">
      <x:c r="A2293" s="13" t="n">
        <x:v>46021</x:v>
      </x:c>
      <x:c r="B2293" s="12" t="str">
        <x:v>000300.SH</x:v>
      </x:c>
      <x:c r="C2293" s="12" t="n">
        <x:v>4617.3163</x:v>
      </x:c>
      <x:c r="D2293" s="12" t="n">
        <x:v>4664.3305</x:v>
      </x:c>
      <x:c r="E2293" s="12" t="n">
        <x:v>4616.6323</x:v>
      </x:c>
      <x:c r="F2293" s="12" t="n">
        <x:v>4651.2818</x:v>
      </x:c>
      <x:c r="G2293" s="12" t="n">
        <x:v>4639.3721</x:v>
      </x:c>
      <x:c r="H2293" s="12" t="n">
        <x:v>11.9097</x:v>
      </x:c>
      <x:c r="I2293" s="12" t="n">
        <x:v>0.2567</x:v>
      </x:c>
      <x:c r="J2293" s="12" t="n">
        <x:v>0.0025638037218513182</x:v>
      </x:c>
      <x:c r="K2293" s="12" t="n">
        <x:v>180374974</x:v>
      </x:c>
      <x:c r="L2293" s="12" t="n">
        <x:v>457185489.037</x:v>
      </x:c>
      <x:c r="M2293" s="12" t="str">
        <x:v>TuShare index_daily</x:v>
      </x:c>
    </x:row>
    <x:row r="2294" ht="18" customHeight="1">
      <x:c r="A2294" s="13" t="n">
        <x:v>46022</x:v>
      </x:c>
      <x:c r="B2294" s="12" t="str">
        <x:v>000300.SH</x:v>
      </x:c>
      <x:c r="C2294" s="12" t="n">
        <x:v>4656.48</x:v>
      </x:c>
      <x:c r="D2294" s="12" t="n">
        <x:v>4667.0467</x:v>
      </x:c>
      <x:c r="E2294" s="12" t="n">
        <x:v>4622.0988</x:v>
      </x:c>
      <x:c r="F2294" s="12" t="n">
        <x:v>4629.9395</x:v>
      </x:c>
      <x:c r="G2294" s="12" t="n">
        <x:v>4651.2818</x:v>
      </x:c>
      <x:c r="H2294" s="12" t="n">
        <x:v>-21.3423</x:v>
      </x:c>
      <x:c r="I2294" s="12" t="n">
        <x:v>-0.4588</x:v>
      </x:c>
      <x:c r="J2294" s="12" t="n">
        <x:v>-0.004599036469006681</x:v>
      </x:c>
      <x:c r="K2294" s="12" t="n">
        <x:v>170760224</x:v>
      </x:c>
      <x:c r="L2294" s="12" t="n">
        <x:v>444491545.749</x:v>
      </x:c>
      <x:c r="M2294" s="12" t="str">
        <x:v>TuShare index_daily</x:v>
      </x:c>
    </x:row>
    <x:row r="2295" ht="18" customHeight="1">
      <x:c r="A2295" s="13" t="n">
        <x:v>46027</x:v>
      </x:c>
      <x:c r="B2295" s="12" t="str">
        <x:v>000300.SH</x:v>
      </x:c>
      <x:c r="C2295" s="12" t="n">
        <x:v>4661.616</x:v>
      </x:c>
      <x:c r="D2295" s="12" t="n">
        <x:v>4721.6378</x:v>
      </x:c>
      <x:c r="E2295" s="12" t="n">
        <x:v>4661.616</x:v>
      </x:c>
      <x:c r="F2295" s="12" t="n">
        <x:v>4717.7457</x:v>
      </x:c>
      <x:c r="G2295" s="12" t="n">
        <x:v>4629.9395</x:v>
      </x:c>
      <x:c r="H2295" s="12" t="n">
        <x:v>87.8062</x:v>
      </x:c>
      <x:c r="I2295" s="12" t="n">
        <x:v>1.8965</x:v>
      </x:c>
      <x:c r="J2295" s="12" t="n">
        <x:v>0.018787278517093456</x:v>
      </x:c>
      <x:c r="K2295" s="12" t="n">
        <x:v>234144839</x:v>
      </x:c>
      <x:c r="L2295" s="12" t="n">
        <x:v>630577351.311</x:v>
      </x:c>
      <x:c r="M2295" s="12" t="str">
        <x:v>TuShare index_daily</x:v>
      </x:c>
    </x:row>
    <x:row r="2296" ht="18" customHeight="1">
      <x:c r="A2296" s="13" t="n">
        <x:v>46028</x:v>
      </x:c>
      <x:c r="B2296" s="12" t="str">
        <x:v>000300.SH</x:v>
      </x:c>
      <x:c r="C2296" s="12" t="n">
        <x:v>4719.2088</x:v>
      </x:c>
      <x:c r="D2296" s="12" t="n">
        <x:v>4790.6938</x:v>
      </x:c>
      <x:c r="E2296" s="12" t="n">
        <x:v>4718.0099</x:v>
      </x:c>
      <x:c r="F2296" s="12" t="n">
        <x:v>4790.6938</x:v>
      </x:c>
      <x:c r="G2296" s="12" t="n">
        <x:v>4717.7457</x:v>
      </x:c>
      <x:c r="H2296" s="12" t="n">
        <x:v>72.9481</x:v>
      </x:c>
      <x:c r="I2296" s="12" t="n">
        <x:v>1.5462</x:v>
      </x:c>
      <x:c r="J2296" s="12" t="n">
        <x:v>0.015344164782608284</x:v>
      </x:c>
      <x:c r="K2296" s="12" t="n">
        <x:v>296970686</x:v>
      </x:c>
      <x:c r="L2296" s="12" t="n">
        <x:v>725414566.873</x:v>
      </x:c>
      <x:c r="M2296" s="12" t="str">
        <x:v>TuShare index_daily</x:v>
      </x:c>
    </x:row>
    <x:row r="2297" ht="18" customHeight="1">
      <x:c r="A2297" s="13" t="n">
        <x:v>46029</x:v>
      </x:c>
      <x:c r="B2297" s="12" t="str">
        <x:v>000300.SH</x:v>
      </x:c>
      <x:c r="C2297" s="12" t="n">
        <x:v>4796.9335</x:v>
      </x:c>
      <x:c r="D2297" s="12" t="n">
        <x:v>4802.6028</x:v>
      </x:c>
      <x:c r="E2297" s="12" t="n">
        <x:v>4751.0713</x:v>
      </x:c>
      <x:c r="F2297" s="12" t="n">
        <x:v>4776.6658</x:v>
      </x:c>
      <x:c r="G2297" s="12" t="n">
        <x:v>4790.6938</x:v>
      </x:c>
      <x:c r="H2297" s="12" t="n">
        <x:v>-14.028</x:v>
      </x:c>
      <x:c r="I2297" s="12" t="n">
        <x:v>-0.2928</x:v>
      </x:c>
      <x:c r="J2297" s="12" t="n">
        <x:v>-0.0029324726234168375</x:v>
      </x:c>
      <x:c r="K2297" s="12" t="n">
        <x:v>259095564</x:v>
      </x:c>
      <x:c r="L2297" s="12" t="n">
        <x:v>664897929.361</x:v>
      </x:c>
      <x:c r="M2297" s="12" t="str">
        <x:v>TuShare index_daily</x:v>
      </x:c>
    </x:row>
    <x:row r="2298" ht="18" customHeight="1">
      <x:c r="A2298" s="13" t="n">
        <x:v>46030</x:v>
      </x:c>
      <x:c r="B2298" s="12" t="str">
        <x:v>000300.SH</x:v>
      </x:c>
      <x:c r="C2298" s="12" t="n">
        <x:v>4761.0105</x:v>
      </x:c>
      <x:c r="D2298" s="12" t="n">
        <x:v>4765.4863</x:v>
      </x:c>
      <x:c r="E2298" s="12" t="n">
        <x:v>4717.0091</x:v>
      </x:c>
      <x:c r="F2298" s="12" t="n">
        <x:v>4737.6536</x:v>
      </x:c>
      <x:c r="G2298" s="12" t="n">
        <x:v>4776.6658</x:v>
      </x:c>
      <x:c r="H2298" s="12" t="n">
        <x:v>-39.0122</x:v>
      </x:c>
      <x:c r="I2298" s="12" t="n">
        <x:v>-0.8167</x:v>
      </x:c>
      <x:c r="J2298" s="12" t="n">
        <x:v>-0.008200779687864628</x:v>
      </x:c>
      <x:c r="K2298" s="12" t="n">
        <x:v>238804957</x:v>
      </x:c>
      <x:c r="L2298" s="12" t="n">
        <x:v>630655637.962</x:v>
      </x:c>
      <x:c r="M2298" s="12" t="str">
        <x:v>TuShare index_daily</x:v>
      </x:c>
    </x:row>
    <x:row r="2299" ht="18" customHeight="1">
      <x:c r="A2299" s="13" t="n">
        <x:v>46031</x:v>
      </x:c>
      <x:c r="B2299" s="12" t="str">
        <x:v>000300.SH</x:v>
      </x:c>
      <x:c r="C2299" s="12" t="n">
        <x:v>4725.9571</x:v>
      </x:c>
      <x:c r="D2299" s="12" t="n">
        <x:v>4771.4276</x:v>
      </x:c>
      <x:c r="E2299" s="12" t="n">
        <x:v>4719.134</x:v>
      </x:c>
      <x:c r="F2299" s="12" t="n">
        <x:v>4758.9221</x:v>
      </x:c>
      <x:c r="G2299" s="12" t="n">
        <x:v>4737.6536</x:v>
      </x:c>
      <x:c r="H2299" s="12" t="n">
        <x:v>21.2685</x:v>
      </x:c>
      <x:c r="I2299" s="12" t="n">
        <x:v>0.4489</x:v>
      </x:c>
      <x:c r="J2299" s="12" t="n">
        <x:v>0.0044792009733730246</x:v>
      </x:c>
      <x:c r="K2299" s="12" t="n">
        <x:v>254688038</x:v>
      </x:c>
      <x:c r="L2299" s="12" t="n">
        <x:v>668788811.127</x:v>
      </x:c>
      <x:c r="M2299" s="12" t="str">
        <x:v>TuShare index_daily</x:v>
      </x:c>
    </x:row>
    <x:row r="2300" ht="18" customHeight="1">
      <x:c r="A2300" s="13" t="n">
        <x:v>46034</x:v>
      </x:c>
      <x:c r="B2300" s="12" t="str">
        <x:v>000300.SH</x:v>
      </x:c>
      <x:c r="C2300" s="12" t="n">
        <x:v>4769.6501</x:v>
      </x:c>
      <x:c r="D2300" s="12" t="n">
        <x:v>4795.9327</x:v>
      </x:c>
      <x:c r="E2300" s="12" t="n">
        <x:v>4737.5702</x:v>
      </x:c>
      <x:c r="F2300" s="12" t="n">
        <x:v>4789.9155</x:v>
      </x:c>
      <x:c r="G2300" s="12" t="n">
        <x:v>4758.9221</x:v>
      </x:c>
      <x:c r="H2300" s="12" t="n">
        <x:v>30.9934</x:v>
      </x:c>
      <x:c r="I2300" s="12" t="n">
        <x:v>0.6513</x:v>
      </x:c>
      <x:c r="J2300" s="12" t="n">
        <x:v>0.006491577328721426</x:v>
      </x:c>
      <x:c r="K2300" s="12" t="n">
        <x:v>294833165</x:v>
      </x:c>
      <x:c r="L2300" s="12" t="n">
        <x:v>799954082.388</x:v>
      </x:c>
      <x:c r="M2300" s="12" t="str">
        <x:v>TuShare index_daily</x:v>
      </x:c>
    </x:row>
    <x:row r="2301" ht="18" customHeight="1">
      <x:c r="A2301" s="13" t="n">
        <x:v>46035</x:v>
      </x:c>
      <x:c r="B2301" s="12" t="str">
        <x:v>000300.SH</x:v>
      </x:c>
      <x:c r="C2301" s="12" t="n">
        <x:v>4798.0488</x:v>
      </x:c>
      <x:c r="D2301" s="12" t="n">
        <x:v>4836.9549</x:v>
      </x:c>
      <x:c r="E2301" s="12" t="n">
        <x:v>4745.5154</x:v>
      </x:c>
      <x:c r="F2301" s="12" t="n">
        <x:v>4761.0324</x:v>
      </x:c>
      <x:c r="G2301" s="12" t="n">
        <x:v>4789.9155</x:v>
      </x:c>
      <x:c r="H2301" s="12" t="n">
        <x:v>-28.8831</x:v>
      </x:c>
      <x:c r="I2301" s="12" t="n">
        <x:v>-0.603</x:v>
      </x:c>
      <x:c r="J2301" s="12" t="n">
        <x:v>-0.006048234866409194</x:v>
      </x:c>
      <x:c r="K2301" s="12" t="n">
        <x:v>301449497</x:v>
      </x:c>
      <x:c r="L2301" s="12" t="n">
        <x:v>801054979.64</x:v>
      </x:c>
      <x:c r="M2301" s="12" t="str">
        <x:v>TuShare index_daily</x:v>
      </x:c>
    </x:row>
    <x:row r="2302" ht="18" customHeight="1">
      <x:c r="A2302" s="13" t="n">
        <x:v>46036</x:v>
      </x:c>
      <x:c r="B2302" s="12" t="str">
        <x:v>000300.SH</x:v>
      </x:c>
      <x:c r="C2302" s="12" t="n">
        <x:v>4767.6956</x:v>
      </x:c>
      <x:c r="D2302" s="12" t="n">
        <x:v>4818.1008</x:v>
      </x:c>
      <x:c r="E2302" s="12" t="n">
        <x:v>4720.246</x:v>
      </x:c>
      <x:c r="F2302" s="12" t="n">
        <x:v>4741.9306</x:v>
      </x:c>
      <x:c r="G2302" s="12" t="n">
        <x:v>4761.0324</x:v>
      </x:c>
      <x:c r="H2302" s="12" t="n">
        <x:v>-19.1018</x:v>
      </x:c>
      <x:c r="I2302" s="12" t="n">
        <x:v>-0.4012</x:v>
      </x:c>
      <x:c r="J2302" s="12" t="n">
        <x:v>-0.004020183121144707</x:v>
      </x:c>
      <x:c r="K2302" s="12" t="n">
        <x:v>364951023</x:v>
      </x:c>
      <x:c r="L2302" s="12" t="n">
        <x:v>891334219.174</x:v>
      </x:c>
      <x:c r="M2302" s="12" t="str">
        <x:v>TuShare index_daily</x:v>
      </x:c>
    </x:row>
    <x:row r="2303" ht="18" customHeight="1">
      <x:c r="A2303" s="13" t="n">
        <x:v>46037</x:v>
      </x:c>
      <x:c r="B2303" s="12" t="str">
        <x:v>000300.SH</x:v>
      </x:c>
      <x:c r="C2303" s="12" t="n">
        <x:v>4721.7966</x:v>
      </x:c>
      <x:c r="D2303" s="12" t="n">
        <x:v>4769.5478</x:v>
      </x:c>
      <x:c r="E2303" s="12" t="n">
        <x:v>4720.9368</x:v>
      </x:c>
      <x:c r="F2303" s="12" t="n">
        <x:v>4751.4293</x:v>
      </x:c>
      <x:c r="G2303" s="12" t="n">
        <x:v>4741.9306</x:v>
      </x:c>
      <x:c r="H2303" s="12" t="n">
        <x:v>9.4987</x:v>
      </x:c>
      <x:c r="I2303" s="12" t="n">
        <x:v>0.2003</x:v>
      </x:c>
      <x:c r="J2303" s="12" t="n">
        <x:v>0.002001125685711866</x:v>
      </x:c>
      <x:c r="K2303" s="12" t="n">
        <x:v>254003636</x:v>
      </x:c>
      <x:c r="L2303" s="12" t="n">
        <x:v>674058683.64</x:v>
      </x:c>
      <x:c r="M2303" s="12" t="str">
        <x:v>TuShare index_daily</x:v>
      </x:c>
    </x:row>
    <x:row r="2304" ht="18" customHeight="1">
      <x:c r="A2304" s="13" t="n">
        <x:v>46038</x:v>
      </x:c>
      <x:c r="B2304" s="12" t="str">
        <x:v>000300.SH</x:v>
      </x:c>
      <x:c r="C2304" s="12" t="n">
        <x:v>4778.4302</x:v>
      </x:c>
      <x:c r="D2304" s="12" t="n">
        <x:v>4792.5514</x:v>
      </x:c>
      <x:c r="E2304" s="12" t="n">
        <x:v>4715.3646</x:v>
      </x:c>
      <x:c r="F2304" s="12" t="n">
        <x:v>4731.8728</x:v>
      </x:c>
      <x:c r="G2304" s="12" t="n">
        <x:v>4751.4293</x:v>
      </x:c>
      <x:c r="H2304" s="12" t="n">
        <x:v>-19.5565</x:v>
      </x:c>
      <x:c r="I2304" s="12" t="n">
        <x:v>-0.4116</x:v>
      </x:c>
      <x:c r="J2304" s="12" t="n">
        <x:v>-0.0041244131034499296</x:v>
      </x:c>
      <x:c r="K2304" s="12" t="n">
        <x:v>325278929</x:v>
      </x:c>
      <x:c r="L2304" s="12" t="n">
        <x:v>785624166.096</x:v>
      </x:c>
      <x:c r="M2304" s="12" t="str">
        <x:v>TuShare index_daily</x:v>
      </x:c>
    </x:row>
    <x:row r="2305" ht="18" customHeight="1">
      <x:c r="A2305" s="13" t="n">
        <x:v>46041</x:v>
      </x:c>
      <x:c r="B2305" s="12" t="str">
        <x:v>000300.SH</x:v>
      </x:c>
      <x:c r="C2305" s="12" t="n">
        <x:v>4720.1945</x:v>
      </x:c>
      <x:c r="D2305" s="12" t="n">
        <x:v>4761.6317</x:v>
      </x:c>
      <x:c r="E2305" s="12" t="n">
        <x:v>4715.0867</x:v>
      </x:c>
      <x:c r="F2305" s="12" t="n">
        <x:v>4734.4556</x:v>
      </x:c>
      <x:c r="G2305" s="12" t="n">
        <x:v>4731.8728</x:v>
      </x:c>
      <x:c r="H2305" s="12" t="n">
        <x:v>2.5828</x:v>
      </x:c>
      <x:c r="I2305" s="12" t="n">
        <x:v>0.0546</x:v>
      </x:c>
      <x:c r="J2305" s="12" t="n">
        <x:v>0.0005456814838769734</x:v>
      </x:c>
      <x:c r="K2305" s="12" t="n">
        <x:v>267612492</x:v>
      </x:c>
      <x:c r="L2305" s="12" t="n">
        <x:v>655149256.236</x:v>
      </x:c>
      <x:c r="M2305" s="12" t="str">
        <x:v>TuShare index_daily</x:v>
      </x:c>
    </x:row>
    <x:row r="2306" ht="18" customHeight="1">
      <x:c r="A2306" s="13" t="n">
        <x:v>46042</x:v>
      </x:c>
      <x:c r="B2306" s="12" t="str">
        <x:v>000300.SH</x:v>
      </x:c>
      <x:c r="C2306" s="12" t="n">
        <x:v>4736.9096</x:v>
      </x:c>
      <x:c r="D2306" s="12" t="n">
        <x:v>4748.2297</x:v>
      </x:c>
      <x:c r="E2306" s="12" t="n">
        <x:v>4684.9684</x:v>
      </x:c>
      <x:c r="F2306" s="12" t="n">
        <x:v>4718.8782</x:v>
      </x:c>
      <x:c r="G2306" s="12" t="n">
        <x:v>4734.4556</x:v>
      </x:c>
      <x:c r="H2306" s="12" t="n">
        <x:v>-15.5774</x:v>
      </x:c>
      <x:c r="I2306" s="12" t="n">
        <x:v>-0.329</x:v>
      </x:c>
      <x:c r="J2306" s="12" t="n">
        <x:v>-0.0032956445691566306</x:v>
      </x:c>
      <x:c r="K2306" s="12" t="n">
        <x:v>282719579</x:v>
      </x:c>
      <x:c r="L2306" s="12" t="n">
        <x:v>671960685.391</x:v>
      </x:c>
      <x:c r="M2306" s="12" t="str">
        <x:v>TuShare index_daily</x:v>
      </x:c>
    </x:row>
    <x:row r="2307" ht="18" customHeight="1">
      <x:c r="A2307" s="13" t="n">
        <x:v>46043</x:v>
      </x:c>
      <x:c r="B2307" s="12" t="str">
        <x:v>000300.SH</x:v>
      </x:c>
      <x:c r="C2307" s="12" t="n">
        <x:v>4714.5541</x:v>
      </x:c>
      <x:c r="D2307" s="12" t="n">
        <x:v>4758.2793</x:v>
      </x:c>
      <x:c r="E2307" s="12" t="n">
        <x:v>4714.2366</x:v>
      </x:c>
      <x:c r="F2307" s="12" t="n">
        <x:v>4723.0692</x:v>
      </x:c>
      <x:c r="G2307" s="12" t="n">
        <x:v>4718.8782</x:v>
      </x:c>
      <x:c r="H2307" s="12" t="n">
        <x:v>4.191</x:v>
      </x:c>
      <x:c r="I2307" s="12" t="n">
        <x:v>0.0888</x:v>
      </x:c>
      <x:c r="J2307" s="12" t="n">
        <x:v>0.000887740653000851</x:v>
      </x:c>
      <x:c r="K2307" s="12" t="n">
        <x:v>266353332</x:v>
      </x:c>
      <x:c r="L2307" s="12" t="n">
        <x:v>665330511.237</x:v>
      </x:c>
      <x:c r="M2307" s="12" t="str">
        <x:v>TuShare index_daily</x:v>
      </x:c>
    </x:row>
    <x:row r="2308" ht="18" customHeight="1">
      <x:c r="A2308" s="13" t="n">
        <x:v>46044</x:v>
      </x:c>
      <x:c r="B2308" s="12" t="str">
        <x:v>000300.SH</x:v>
      </x:c>
      <x:c r="C2308" s="12" t="n">
        <x:v>4741.7548</x:v>
      </x:c>
      <x:c r="D2308" s="12" t="n">
        <x:v>4757.7637</x:v>
      </x:c>
      <x:c r="E2308" s="12" t="n">
        <x:v>4700.4482</x:v>
      </x:c>
      <x:c r="F2308" s="12" t="n">
        <x:v>4723.7091</x:v>
      </x:c>
      <x:c r="G2308" s="12" t="n">
        <x:v>4723.0692</x:v>
      </x:c>
      <x:c r="H2308" s="12" t="n">
        <x:v>0.6399</x:v>
      </x:c>
      <x:c r="I2308" s="12" t="n">
        <x:v>0.0135</x:v>
      </x:c>
      <x:c r="J2308" s="12" t="n">
        <x:v>0.0001354747577760709</x:v>
      </x:c>
      <x:c r="K2308" s="12" t="n">
        <x:v>274199932</x:v>
      </x:c>
      <x:c r="L2308" s="12" t="n">
        <x:v>690235248.161</x:v>
      </x:c>
      <x:c r="M2308" s="12" t="str">
        <x:v>TuShare index_daily</x:v>
      </x:c>
    </x:row>
    <x:row r="2309" ht="18" customHeight="1">
      <x:c r="A2309" s="13" t="n">
        <x:v>46045</x:v>
      </x:c>
      <x:c r="B2309" s="12" t="str">
        <x:v>000300.SH</x:v>
      </x:c>
      <x:c r="C2309" s="12" t="n">
        <x:v>4729.585</x:v>
      </x:c>
      <x:c r="D2309" s="12" t="n">
        <x:v>4734.7942</x:v>
      </x:c>
      <x:c r="E2309" s="12" t="n">
        <x:v>4684.6172</x:v>
      </x:c>
      <x:c r="F2309" s="12" t="n">
        <x:v>4702.4966</x:v>
      </x:c>
      <x:c r="G2309" s="12" t="n">
        <x:v>4723.7091</x:v>
      </x:c>
      <x:c r="H2309" s="12" t="n">
        <x:v>-21.2125</x:v>
      </x:c>
      <x:c r="I2309" s="12" t="n">
        <x:v>-0.4491</x:v>
      </x:c>
      <x:c r="J2309" s="12" t="n">
        <x:v>-0.004500758095729463</x:v>
      </x:c>
      <x:c r="K2309" s="12" t="n">
        <x:v>314635445</x:v>
      </x:c>
      <x:c r="L2309" s="12" t="n">
        <x:v>755617735.528</x:v>
      </x:c>
      <x:c r="M2309" s="12" t="str">
        <x:v>TuShare index_daily</x:v>
      </x:c>
    </x:row>
    <x:row r="2310" ht="18" customHeight="1">
      <x:c r="A2310" s="13" t="n">
        <x:v>46048</x:v>
      </x:c>
      <x:c r="B2310" s="12" t="str">
        <x:v>000300.SH</x:v>
      </x:c>
      <x:c r="C2310" s="12" t="n">
        <x:v>4715.3753</x:v>
      </x:c>
      <x:c r="D2310" s="12" t="n">
        <x:v>4754.1777</x:v>
      </x:c>
      <x:c r="E2310" s="12" t="n">
        <x:v>4693.1577</x:v>
      </x:c>
      <x:c r="F2310" s="12" t="n">
        <x:v>4706.964</x:v>
      </x:c>
      <x:c r="G2310" s="12" t="n">
        <x:v>4702.4966</x:v>
      </x:c>
      <x:c r="H2310" s="12" t="n">
        <x:v>4.4674</x:v>
      </x:c>
      <x:c r="I2310" s="12" t="n">
        <x:v>0.095</x:v>
      </x:c>
      <x:c r="J2310" s="12" t="n">
        <x:v>0.0009495550330845036</x:v>
      </x:c>
      <x:c r="K2310" s="12" t="n">
        <x:v>363004481</x:v>
      </x:c>
      <x:c r="L2310" s="12" t="n">
        <x:v>796832970.315</x:v>
      </x:c>
      <x:c r="M2310" s="12" t="str">
        <x:v>TuShare index_daily</x:v>
      </x:c>
    </x:row>
    <x:row r="2311" ht="18" customHeight="1">
      <x:c r="A2311" s="13" t="n">
        <x:v>46049</x:v>
      </x:c>
      <x:c r="B2311" s="12" t="str">
        <x:v>000300.SH</x:v>
      </x:c>
      <x:c r="C2311" s="12" t="n">
        <x:v>4705.1744</x:v>
      </x:c>
      <x:c r="D2311" s="12" t="n">
        <x:v>4736.9857</x:v>
      </x:c>
      <x:c r="E2311" s="12" t="n">
        <x:v>4675.6409</x:v>
      </x:c>
      <x:c r="F2311" s="12" t="n">
        <x:v>4705.6918</x:v>
      </x:c>
      <x:c r="G2311" s="12" t="n">
        <x:v>4706.964</x:v>
      </x:c>
      <x:c r="H2311" s="12" t="n">
        <x:v>-1.2722</x:v>
      </x:c>
      <x:c r="I2311" s="12" t="n">
        <x:v>-0.027</x:v>
      </x:c>
      <x:c r="J2311" s="12" t="n">
        <x:v>-0.00027031690837922264</x:v>
      </x:c>
      <x:c r="K2311" s="12" t="n">
        <x:v>301475697</x:v>
      </x:c>
      <x:c r="L2311" s="12" t="n">
        <x:v>715267914.84</x:v>
      </x:c>
      <x:c r="M2311" s="12" t="str">
        <x:v>TuShare index_daily</x:v>
      </x:c>
    </x:row>
    <x:row r="2312" ht="18" customHeight="1">
      <x:c r="A2312" s="13" t="n">
        <x:v>46050</x:v>
      </x:c>
      <x:c r="B2312" s="12" t="str">
        <x:v>000300.SH</x:v>
      </x:c>
      <x:c r="C2312" s="12" t="n">
        <x:v>4725.6014</x:v>
      </x:c>
      <x:c r="D2312" s="12" t="n">
        <x:v>4739.6257</x:v>
      </x:c>
      <x:c r="E2312" s="12" t="n">
        <x:v>4697.9063</x:v>
      </x:c>
      <x:c r="F2312" s="12" t="n">
        <x:v>4717.9914</x:v>
      </x:c>
      <x:c r="G2312" s="12" t="n">
        <x:v>4705.6918</x:v>
      </x:c>
      <x:c r="H2312" s="12" t="n">
        <x:v>12.2996</x:v>
      </x:c>
      <x:c r="I2312" s="12" t="n">
        <x:v>0.2614</x:v>
      </x:c>
      <x:c r="J2312" s="12" t="n">
        <x:v>0.0026103608797261027</x:v>
      </x:c>
      <x:c r="K2312" s="12" t="n">
        <x:v>382255602</x:v>
      </x:c>
      <x:c r="L2312" s="12" t="n">
        <x:v>829414067.055</x:v>
      </x:c>
      <x:c r="M2312" s="12" t="str">
        <x:v>TuShare index_daily</x:v>
      </x:c>
    </x:row>
    <x:row r="2313" ht="18" customHeight="1">
      <x:c r="A2313" s="13" t="n">
        <x:v>46051</x:v>
      </x:c>
      <x:c r="B2313" s="12" t="str">
        <x:v>000300.SH</x:v>
      </x:c>
      <x:c r="C2313" s="12" t="n">
        <x:v>4733.0879</x:v>
      </x:c>
      <x:c r="D2313" s="12" t="n">
        <x:v>4770.9599</x:v>
      </x:c>
      <x:c r="E2313" s="12" t="n">
        <x:v>4696.0536</x:v>
      </x:c>
      <x:c r="F2313" s="12" t="n">
        <x:v>4753.8697</x:v>
      </x:c>
      <x:c r="G2313" s="12" t="n">
        <x:v>4717.9914</x:v>
      </x:c>
      <x:c r="H2313" s="12" t="n">
        <x:v>35.8783</x:v>
      </x:c>
      <x:c r="I2313" s="12" t="n">
        <x:v>0.7605</x:v>
      </x:c>
      <x:c r="J2313" s="12" t="n">
        <x:v>0.007575801886727559</x:v>
      </x:c>
      <x:c r="K2313" s="12" t="n">
        <x:v>415513055</x:v>
      </x:c>
      <x:c r="L2313" s="12" t="n">
        <x:v>917966160.339</x:v>
      </x:c>
      <x:c r="M2313" s="12" t="str">
        <x:v>TuShare index_daily</x:v>
      </x:c>
    </x:row>
    <x:row r="2314" ht="18" customHeight="1">
      <x:c r="A2314" s="13" t="n">
        <x:v>46052</x:v>
      </x:c>
      <x:c r="B2314" s="12" t="str">
        <x:v>000300.SH</x:v>
      </x:c>
      <x:c r="C2314" s="12" t="n">
        <x:v>4723.081</x:v>
      </x:c>
      <x:c r="D2314" s="12" t="n">
        <x:v>4738.8711</x:v>
      </x:c>
      <x:c r="E2314" s="12" t="n">
        <x:v>4645.4706</x:v>
      </x:c>
      <x:c r="F2314" s="12" t="n">
        <x:v>4706.3401</x:v>
      </x:c>
      <x:c r="G2314" s="12" t="n">
        <x:v>4753.8697</x:v>
      </x:c>
      <x:c r="H2314" s="12" t="n">
        <x:v>-47.5296</x:v>
      </x:c>
      <x:c r="I2314" s="12" t="n">
        <x:v>-0.9998</x:v>
      </x:c>
      <x:c r="J2314" s="12" t="n">
        <x:v>-0.010048402927151283</x:v>
      </x:c>
      <x:c r="K2314" s="12" t="n">
        <x:v>319786531</x:v>
      </x:c>
      <x:c r="L2314" s="12" t="n">
        <x:v>750564885.195</x:v>
      </x:c>
      <x:c r="M2314" s="12" t="str">
        <x:v>TuShare index_daily</x:v>
      </x:c>
    </x:row>
    <x:row r="2315" ht="18" customHeight="1">
      <x:c r="A2315" s="13" t="n">
        <x:v>46055</x:v>
      </x:c>
      <x:c r="B2315" s="12" t="str">
        <x:v>000300.SH</x:v>
      </x:c>
      <x:c r="C2315" s="12" t="n">
        <x:v>4674.2759</x:v>
      </x:c>
      <x:c r="D2315" s="12" t="n">
        <x:v>4716.6069</x:v>
      </x:c>
      <x:c r="E2315" s="12" t="n">
        <x:v>4601.7603</x:v>
      </x:c>
      <x:c r="F2315" s="12" t="n">
        <x:v>4605.9799</x:v>
      </x:c>
      <x:c r="G2315" s="12" t="n">
        <x:v>4706.3401</x:v>
      </x:c>
      <x:c r="H2315" s="12" t="n">
        <x:v>-100.3602</x:v>
      </x:c>
      <x:c r="I2315" s="12" t="n">
        <x:v>-2.1324</x:v>
      </x:c>
      <x:c r="J2315" s="12" t="n">
        <x:v>-0.02155511962136138</x:v>
      </x:c>
      <x:c r="K2315" s="12" t="n">
        <x:v>304773500</x:v>
      </x:c>
      <x:c r="L2315" s="12" t="n">
        <x:v>725920381.252</x:v>
      </x:c>
      <x:c r="M2315" s="12" t="str">
        <x:v>TuShare index_daily</x:v>
      </x:c>
    </x:row>
    <x:row r="2316" ht="18" customHeight="1">
      <x:c r="A2316" s="13" t="n">
        <x:v>46056</x:v>
      </x:c>
      <x:c r="B2316" s="12" t="str">
        <x:v>000300.SH</x:v>
      </x:c>
      <x:c r="C2316" s="12" t="n">
        <x:v>4648.3574</x:v>
      </x:c>
      <x:c r="D2316" s="12" t="n">
        <x:v>4662.1264</x:v>
      </x:c>
      <x:c r="E2316" s="12" t="n">
        <x:v>4578.2087</x:v>
      </x:c>
      <x:c r="F2316" s="12" t="n">
        <x:v>4660.1074</x:v>
      </x:c>
      <x:c r="G2316" s="12" t="n">
        <x:v>4605.9799</x:v>
      </x:c>
      <x:c r="H2316" s="12" t="n">
        <x:v>54.1275</x:v>
      </x:c>
      <x:c r="I2316" s="12" t="n">
        <x:v>1.1752</x:v>
      </x:c>
      <x:c r="J2316" s="12" t="n">
        <x:v>0.011683057566509144</x:v>
      </x:c>
      <x:c r="K2316" s="12" t="n">
        <x:v>265549405</x:v>
      </x:c>
      <x:c r="L2316" s="12" t="n">
        <x:v>666626842.811</x:v>
      </x:c>
      <x:c r="M2316" s="12" t="str">
        <x:v>TuShare index_daily</x:v>
      </x:c>
    </x:row>
    <x:row r="2317" ht="18" customHeight="1">
      <x:c r="A2317" s="13" t="n">
        <x:v>46057</x:v>
      </x:c>
      <x:c r="B2317" s="12" t="str">
        <x:v>000300.SH</x:v>
      </x:c>
      <x:c r="C2317" s="12" t="n">
        <x:v>4647.9671</x:v>
      </x:c>
      <x:c r="D2317" s="12" t="n">
        <x:v>4701.4768</x:v>
      </x:c>
      <x:c r="E2317" s="12" t="n">
        <x:v>4641.8424</x:v>
      </x:c>
      <x:c r="F2317" s="12" t="n">
        <x:v>4698.6832</x:v>
      </x:c>
      <x:c r="G2317" s="12" t="n">
        <x:v>4660.1074</x:v>
      </x:c>
      <x:c r="H2317" s="12" t="n">
        <x:v>38.5758</x:v>
      </x:c>
      <x:c r="I2317" s="12" t="n">
        <x:v>0.8278</x:v>
      </x:c>
      <x:c r="J2317" s="12" t="n">
        <x:v>0.008243804165968633</x:v>
      </x:c>
      <x:c r="K2317" s="12" t="n">
        <x:v>264881032</x:v>
      </x:c>
      <x:c r="L2317" s="12" t="n">
        <x:v>636018589.863</x:v>
      </x:c>
      <x:c r="M2317" s="12" t="str">
        <x:v>TuShare index_daily</x:v>
      </x:c>
    </x:row>
    <x:row r="2318" ht="18" customHeight="1">
      <x:c r="A2318" s="13" t="n">
        <x:v>46058</x:v>
      </x:c>
      <x:c r="B2318" s="12" t="str">
        <x:v>000300.SH</x:v>
      </x:c>
      <x:c r="C2318" s="12" t="n">
        <x:v>4664.7478</x:v>
      </x:c>
      <x:c r="D2318" s="12" t="n">
        <x:v>4687.0213</x:v>
      </x:c>
      <x:c r="E2318" s="12" t="n">
        <x:v>4639.43</x:v>
      </x:c>
      <x:c r="F2318" s="12" t="n">
        <x:v>4670.4188</x:v>
      </x:c>
      <x:c r="G2318" s="12" t="n">
        <x:v>4698.6832</x:v>
      </x:c>
      <x:c r="H2318" s="12" t="n">
        <x:v>-28.2644</x:v>
      </x:c>
      <x:c r="I2318" s="12" t="n">
        <x:v>-0.6015</x:v>
      </x:c>
      <x:c r="J2318" s="12" t="n">
        <x:v>-0.006033552787481481</x:v>
      </x:c>
      <x:c r="K2318" s="12" t="n">
        <x:v>237856351</x:v>
      </x:c>
      <x:c r="L2318" s="12" t="n">
        <x:v>550433167.197</x:v>
      </x:c>
      <x:c r="M2318" s="12" t="str">
        <x:v>TuShare index_daily</x:v>
      </x:c>
    </x:row>
    <x:row r="2319" ht="18" customHeight="1">
      <x:c r="A2319" s="13" t="n">
        <x:v>46059</x:v>
      </x:c>
      <x:c r="B2319" s="12" t="str">
        <x:v>000300.SH</x:v>
      </x:c>
      <x:c r="C2319" s="12" t="n">
        <x:v>4622.9747</x:v>
      </x:c>
      <x:c r="D2319" s="12" t="n">
        <x:v>4678.2618</x:v>
      </x:c>
      <x:c r="E2319" s="12" t="n">
        <x:v>4606.6379</x:v>
      </x:c>
      <x:c r="F2319" s="12" t="n">
        <x:v>4643.5959</x:v>
      </x:c>
      <x:c r="G2319" s="12" t="n">
        <x:v>4670.4188</x:v>
      </x:c>
      <x:c r="H2319" s="12" t="n">
        <x:v>-26.8229</x:v>
      </x:c>
      <x:c r="I2319" s="12" t="n">
        <x:v>-0.5743</x:v>
      </x:c>
      <x:c r="J2319" s="12" t="n">
        <x:v>-0.005759701915058707</x:v>
      </x:c>
      <x:c r="K2319" s="12" t="n">
        <x:v>202716477</x:v>
      </x:c>
      <x:c r="L2319" s="12" t="n">
        <x:v>505759806.238</x:v>
      </x:c>
      <x:c r="M2319" s="12" t="str">
        <x:v>TuShare index_daily</x:v>
      </x:c>
    </x:row>
    <x:row r="2320" ht="18" customHeight="1">
      <x:c r="A2320" s="13" t="n">
        <x:v>46062</x:v>
      </x:c>
      <x:c r="B2320" s="12" t="str">
        <x:v>000300.SH</x:v>
      </x:c>
      <x:c r="C2320" s="12" t="n">
        <x:v>4693.6715</x:v>
      </x:c>
      <x:c r="D2320" s="12" t="n">
        <x:v>4719.9642</x:v>
      </x:c>
      <x:c r="E2320" s="12" t="n">
        <x:v>4679.9037</x:v>
      </x:c>
      <x:c r="F2320" s="12" t="n">
        <x:v>4719.0559</x:v>
      </x:c>
      <x:c r="G2320" s="12" t="n">
        <x:v>4643.5959</x:v>
      </x:c>
      <x:c r="H2320" s="12" t="n">
        <x:v>75.46</x:v>
      </x:c>
      <x:c r="I2320" s="12" t="n">
        <x:v>1.625</x:v>
      </x:c>
      <x:c r="J2320" s="12" t="n">
        <x:v>0.016119713858417335</x:v>
      </x:c>
      <x:c r="K2320" s="12" t="n">
        <x:v>207251938</x:v>
      </x:c>
      <x:c r="L2320" s="12" t="n">
        <x:v>522757267.199</x:v>
      </x:c>
      <x:c r="M2320" s="12" t="str">
        <x:v>TuShare index_daily</x:v>
      </x:c>
    </x:row>
    <x:row r="2321" ht="18" customHeight="1">
      <x:c r="A2321" s="13" t="n">
        <x:v>46063</x:v>
      </x:c>
      <x:c r="B2321" s="12" t="str">
        <x:v>000300.SH</x:v>
      </x:c>
      <x:c r="C2321" s="12" t="n">
        <x:v>4718.2552</x:v>
      </x:c>
      <x:c r="D2321" s="12" t="n">
        <x:v>4732.0871</x:v>
      </x:c>
      <x:c r="E2321" s="12" t="n">
        <x:v>4713.8684</x:v>
      </x:c>
      <x:c r="F2321" s="12" t="n">
        <x:v>4724.2956</x:v>
      </x:c>
      <x:c r="G2321" s="12" t="n">
        <x:v>4719.0559</x:v>
      </x:c>
      <x:c r="H2321" s="12" t="n">
        <x:v>5.2397</x:v>
      </x:c>
      <x:c r="I2321" s="12" t="n">
        <x:v>0.111</x:v>
      </x:c>
      <x:c r="J2321" s="12" t="n">
        <x:v>0.0011097120630757652</x:v>
      </x:c>
      <x:c r="K2321" s="12" t="n">
        <x:v>187000958</x:v>
      </x:c>
      <x:c r="L2321" s="12" t="n">
        <x:v>450339578.978</x:v>
      </x:c>
      <x:c r="M2321" s="12" t="str">
        <x:v>TuShare index_daily</x:v>
      </x:c>
    </x:row>
    <x:row r="2322" ht="18" customHeight="1">
      <x:c r="A2322" s="13" t="n">
        <x:v>46064</x:v>
      </x:c>
      <x:c r="B2322" s="12" t="str">
        <x:v>000300.SH</x:v>
      </x:c>
      <x:c r="C2322" s="12" t="n">
        <x:v>4715.6697</x:v>
      </x:c>
      <x:c r="D2322" s="12" t="n">
        <x:v>4723.7043</x:v>
      </x:c>
      <x:c r="E2322" s="12" t="n">
        <x:v>4703.6873</x:v>
      </x:c>
      <x:c r="F2322" s="12" t="n">
        <x:v>4713.8185</x:v>
      </x:c>
      <x:c r="G2322" s="12" t="n">
        <x:v>4724.2956</x:v>
      </x:c>
      <x:c r="H2322" s="12" t="n">
        <x:v>-10.4771</x:v>
      </x:c>
      <x:c r="I2322" s="12" t="n">
        <x:v>-0.2218</x:v>
      </x:c>
      <x:c r="J2322" s="12" t="n">
        <x:v>-0.0022201690279628427</x:v>
      </x:c>
      <x:c r="K2322" s="12" t="n">
        <x:v>173391681</x:v>
      </x:c>
      <x:c r="L2322" s="12" t="n">
        <x:v>433428613.402</x:v>
      </x:c>
      <x:c r="M2322" s="12" t="str">
        <x:v>TuShare index_daily</x:v>
      </x:c>
    </x:row>
    <x:row r="2323" ht="18" customHeight="1">
      <x:c r="A2323" s="13" t="n">
        <x:v>46065</x:v>
      </x:c>
      <x:c r="B2323" s="12" t="str">
        <x:v>000300.SH</x:v>
      </x:c>
      <x:c r="C2323" s="12" t="n">
        <x:v>4720.0085</x:v>
      </x:c>
      <x:c r="D2323" s="12" t="n">
        <x:v>4726.0426</x:v>
      </x:c>
      <x:c r="E2323" s="12" t="n">
        <x:v>4707.7359</x:v>
      </x:c>
      <x:c r="F2323" s="12" t="n">
        <x:v>4719.578</x:v>
      </x:c>
      <x:c r="G2323" s="12" t="n">
        <x:v>4713.8185</x:v>
      </x:c>
      <x:c r="H2323" s="12" t="n">
        <x:v>5.7595</x:v>
      </x:c>
      <x:c r="I2323" s="12" t="n">
        <x:v>0.1222</x:v>
      </x:c>
      <x:c r="J2323" s="12" t="n">
        <x:v>0.0012210873815480068</x:v>
      </x:c>
      <x:c r="K2323" s="12" t="n">
        <x:v>197841439</x:v>
      </x:c>
      <x:c r="L2323" s="12" t="n">
        <x:v>490473852.275</x:v>
      </x:c>
      <x:c r="M2323" s="12" t="str">
        <x:v>TuShare index_daily</x:v>
      </x:c>
    </x:row>
    <x:row r="2324" ht="18" customHeight="1">
      <x:c r="A2324" s="13" t="n">
        <x:v>46066</x:v>
      </x:c>
      <x:c r="B2324" s="12" t="str">
        <x:v>000300.SH</x:v>
      </x:c>
      <x:c r="C2324" s="12" t="n">
        <x:v>4693.4106</x:v>
      </x:c>
      <x:c r="D2324" s="12" t="n">
        <x:v>4703.6332</x:v>
      </x:c>
      <x:c r="E2324" s="12" t="n">
        <x:v>4658.4038</x:v>
      </x:c>
      <x:c r="F2324" s="12" t="n">
        <x:v>4660.4056</x:v>
      </x:c>
      <x:c r="G2324" s="12" t="n">
        <x:v>4719.578</x:v>
      </x:c>
      <x:c r="H2324" s="12" t="n">
        <x:v>-59.1724</x:v>
      </x:c>
      <x:c r="I2324" s="12" t="n">
        <x:v>-1.2538</x:v>
      </x:c>
      <x:c r="J2324" s="12" t="n">
        <x:v>-0.01261690584425625</x:v>
      </x:c>
      <x:c r="K2324" s="12" t="n">
        <x:v>189167756</x:v>
      </x:c>
      <x:c r="L2324" s="12" t="n">
        <x:v>452878594.069</x:v>
      </x:c>
      <x:c r="M2324" s="12" t="str">
        <x:v>TuShare index_daily</x:v>
      </x:c>
    </x:row>
    <x:row r="2325" ht="18" customHeight="1">
      <x:c r="A2325" s="13" t="n">
        <x:v>46077</x:v>
      </x:c>
      <x:c r="B2325" s="12" t="str">
        <x:v>000300.SH</x:v>
      </x:c>
      <x:c r="C2325" s="12" t="n">
        <x:v>4727.2961</x:v>
      </x:c>
      <x:c r="D2325" s="12" t="n">
        <x:v>4727.373</x:v>
      </x:c>
      <x:c r="E2325" s="12" t="n">
        <x:v>4698.3488</x:v>
      </x:c>
      <x:c r="F2325" s="12" t="n">
        <x:v>4707.544</x:v>
      </x:c>
      <x:c r="G2325" s="12" t="n">
        <x:v>4660.4056</x:v>
      </x:c>
      <x:c r="H2325" s="12" t="n">
        <x:v>47.1384</x:v>
      </x:c>
      <x:c r="I2325" s="12" t="n">
        <x:v>1.0115</x:v>
      </x:c>
      <x:c r="J2325" s="12" t="n">
        <x:v>0.010063845316008837</x:v>
      </x:c>
      <x:c r="K2325" s="12" t="n">
        <x:v>218488890</x:v>
      </x:c>
      <x:c r="L2325" s="12" t="n">
        <x:v>526084235.584</x:v>
      </x:c>
      <x:c r="M2325" s="12" t="str">
        <x:v>TuShare index_daily</x:v>
      </x:c>
    </x:row>
    <x:row r="2326" ht="18" customHeight="1">
      <x:c r="A2326" s="13" t="n">
        <x:v>46078</x:v>
      </x:c>
      <x:c r="B2326" s="12" t="str">
        <x:v>000300.SH</x:v>
      </x:c>
      <x:c r="C2326" s="12" t="n">
        <x:v>4713.5754</x:v>
      </x:c>
      <x:c r="D2326" s="12" t="n">
        <x:v>4766.5587</x:v>
      </x:c>
      <x:c r="E2326" s="12" t="n">
        <x:v>4713.3438</x:v>
      </x:c>
      <x:c r="F2326" s="12" t="n">
        <x:v>4735.8858</x:v>
      </x:c>
      <x:c r="G2326" s="12" t="n">
        <x:v>4707.544</x:v>
      </x:c>
      <x:c r="H2326" s="12" t="n">
        <x:v>28.3418</x:v>
      </x:c>
      <x:c r="I2326" s="12" t="n">
        <x:v>0.6021</x:v>
      </x:c>
      <x:c r="J2326" s="12" t="n">
        <x:v>0.0060024558227702906</x:v>
      </x:c>
      <x:c r="K2326" s="12" t="n">
        <x:v>284268354</x:v>
      </x:c>
      <x:c r="L2326" s="12" t="n">
        <x:v>596903872.617</x:v>
      </x:c>
      <x:c r="M2326" s="12" t="str">
        <x:v>TuShare index_daily</x:v>
      </x:c>
    </x:row>
    <x:row r="2327" ht="18" customHeight="1">
      <x:c r="A2327" s="13" t="n">
        <x:v>46079</x:v>
      </x:c>
      <x:c r="B2327" s="12" t="str">
        <x:v>000300.SH</x:v>
      </x:c>
      <x:c r="C2327" s="12" t="n">
        <x:v>4741.3896</x:v>
      </x:c>
      <x:c r="D2327" s="12" t="n">
        <x:v>4742.1476</x:v>
      </x:c>
      <x:c r="E2327" s="12" t="n">
        <x:v>4706.6943</x:v>
      </x:c>
      <x:c r="F2327" s="12" t="n">
        <x:v>4726.8739</x:v>
      </x:c>
      <x:c r="G2327" s="12" t="n">
        <x:v>4735.8858</x:v>
      </x:c>
      <x:c r="H2327" s="12" t="n">
        <x:v>-9.0119</x:v>
      </x:c>
      <x:c r="I2327" s="12" t="n">
        <x:v>-0.1903</x:v>
      </x:c>
      <x:c r="J2327" s="12" t="n">
        <x:v>-0.001904709199058713</x:v>
      </x:c>
      <x:c r="K2327" s="12" t="n">
        <x:v>234847644</x:v>
      </x:c>
      <x:c r="L2327" s="12" t="n">
        <x:v>599848915.405</x:v>
      </x:c>
      <x:c r="M2327" s="12" t="str">
        <x:v>TuShare index_daily</x:v>
      </x:c>
    </x:row>
    <x:row r="2328" ht="18" customHeight="1">
      <x:c r="A2328" s="13" t="n">
        <x:v>46080</x:v>
      </x:c>
      <x:c r="B2328" s="12" t="str">
        <x:v>000300.SH</x:v>
      </x:c>
      <x:c r="C2328" s="12" t="n">
        <x:v>4698.3</x:v>
      </x:c>
      <x:c r="D2328" s="12" t="n">
        <x:v>4721.0141</x:v>
      </x:c>
      <x:c r="E2328" s="12" t="n">
        <x:v>4692.891</x:v>
      </x:c>
      <x:c r="F2328" s="12" t="n">
        <x:v>4710.6469</x:v>
      </x:c>
      <x:c r="G2328" s="12" t="n">
        <x:v>4726.8739</x:v>
      </x:c>
      <x:c r="H2328" s="12" t="n">
        <x:v>-16.227</x:v>
      </x:c>
      <x:c r="I2328" s="12" t="n">
        <x:v>-0.3433</x:v>
      </x:c>
      <x:c r="J2328" s="12" t="n">
        <x:v>-0.003438830246838009</x:v>
      </x:c>
      <x:c r="K2328" s="12" t="n">
        <x:v>261420865</x:v>
      </x:c>
      <x:c r="L2328" s="12" t="n">
        <x:v>578820992.51</x:v>
      </x:c>
      <x:c r="M2328" s="12" t="str">
        <x:v>TuShare index_daily</x:v>
      </x:c>
    </x:row>
    <x:row r="2329" ht="18" customHeight="1">
      <x:c r="A2329" s="13" t="n">
        <x:v>46083</x:v>
      </x:c>
      <x:c r="B2329" s="12" t="str">
        <x:v>000300.SH</x:v>
      </x:c>
      <x:c r="C2329" s="12" t="n">
        <x:v>4681.0141</x:v>
      </x:c>
      <x:c r="D2329" s="12" t="n">
        <x:v>4735.4055</x:v>
      </x:c>
      <x:c r="E2329" s="12" t="n">
        <x:v>4667.2752</x:v>
      </x:c>
      <x:c r="F2329" s="12" t="n">
        <x:v>4728.6688</x:v>
      </x:c>
      <x:c r="G2329" s="12" t="n">
        <x:v>4710.6469</x:v>
      </x:c>
      <x:c r="H2329" s="12" t="n">
        <x:v>18.0219</x:v>
      </x:c>
      <x:c r="I2329" s="12" t="n">
        <x:v>0.3826</x:v>
      </x:c>
      <x:c r="J2329" s="12" t="n">
        <x:v>0.003818480591298883</x:v>
      </x:c>
      <x:c r="K2329" s="12" t="n">
        <x:v>349260752</x:v>
      </x:c>
      <x:c r="L2329" s="12" t="n">
        <x:v>752681937.77</x:v>
      </x:c>
      <x:c r="M2329" s="12" t="str">
        <x:v>TuShare index_daily</x:v>
      </x:c>
    </x:row>
    <x:row r="2330" ht="18" customHeight="1">
      <x:c r="A2330" s="13" t="n">
        <x:v>46084</x:v>
      </x:c>
      <x:c r="B2330" s="12" t="str">
        <x:v>000300.SH</x:v>
      </x:c>
      <x:c r="C2330" s="12" t="n">
        <x:v>4737.3164</x:v>
      </x:c>
      <x:c r="D2330" s="12" t="n">
        <x:v>4744.5987</x:v>
      </x:c>
      <x:c r="E2330" s="12" t="n">
        <x:v>4651.4047</x:v>
      </x:c>
      <x:c r="F2330" s="12" t="n">
        <x:v>4655.8962</x:v>
      </x:c>
      <x:c r="G2330" s="12" t="n">
        <x:v>4728.6688</x:v>
      </x:c>
      <x:c r="H2330" s="12" t="n">
        <x:v>-72.7726</x:v>
      </x:c>
      <x:c r="I2330" s="12" t="n">
        <x:v>-1.539</x:v>
      </x:c>
      <x:c r="J2330" s="12" t="n">
        <x:v>-0.01550930889451081</x:v>
      </x:c>
      <x:c r="K2330" s="12" t="n">
        <x:v>370624272</x:v>
      </x:c>
      <x:c r="L2330" s="12" t="n">
        <x:v>801659243.77</x:v>
      </x:c>
      <x:c r="M2330" s="12" t="str">
        <x:v>TuShare index_daily</x:v>
      </x:c>
    </x:row>
    <x:row r="2331" ht="18" customHeight="1">
      <x:c r="A2331" s="13" t="n">
        <x:v>46085</x:v>
      </x:c>
      <x:c r="B2331" s="12" t="str">
        <x:v>000300.SH</x:v>
      </x:c>
      <x:c r="C2331" s="12" t="n">
        <x:v>4609.1918</x:v>
      </x:c>
      <x:c r="D2331" s="12" t="n">
        <x:v>4639.4204</x:v>
      </x:c>
      <x:c r="E2331" s="12" t="n">
        <x:v>4575.8249</x:v>
      </x:c>
      <x:c r="F2331" s="12" t="n">
        <x:v>4602.6247</x:v>
      </x:c>
      <x:c r="G2331" s="12" t="n">
        <x:v>4655.8962</x:v>
      </x:c>
      <x:c r="H2331" s="12" t="n">
        <x:v>-53.2715</x:v>
      </x:c>
      <x:c r="I2331" s="12" t="n">
        <x:v>-1.1442</x:v>
      </x:c>
      <x:c r="J2331" s="12" t="n">
        <x:v>-0.01150768863746393</x:v>
      </x:c>
      <x:c r="K2331" s="12" t="n">
        <x:v>303035666</x:v>
      </x:c>
      <x:c r="L2331" s="12" t="n">
        <x:v>608923128.59</x:v>
      </x:c>
      <x:c r="M2331" s="12" t="str">
        <x:v>TuShare index_daily</x:v>
      </x:c>
    </x:row>
    <x:row r="2332" ht="18" customHeight="1">
      <x:c r="A2332" s="13" t="n">
        <x:v>46086</x:v>
      </x:c>
      <x:c r="B2332" s="12" t="str">
        <x:v>000300.SH</x:v>
      </x:c>
      <x:c r="C2332" s="12" t="n">
        <x:v>4651.9415</x:v>
      </x:c>
      <x:c r="D2332" s="12" t="n">
        <x:v>4671.5268</x:v>
      </x:c>
      <x:c r="E2332" s="12" t="n">
        <x:v>4630.3024</x:v>
      </x:c>
      <x:c r="F2332" s="12" t="n">
        <x:v>4647.6921</x:v>
      </x:c>
      <x:c r="G2332" s="12" t="n">
        <x:v>4602.6247</x:v>
      </x:c>
      <x:c r="H2332" s="12" t="n">
        <x:v>45.0674</x:v>
      </x:c>
      <x:c r="I2332" s="12" t="n">
        <x:v>0.9792</x:v>
      </x:c>
      <x:c r="J2332" s="12" t="n">
        <x:v>0.009744046081069595</x:v>
      </x:c>
      <x:c r="K2332" s="12" t="n">
        <x:v>259317825</x:v>
      </x:c>
      <x:c r="L2332" s="12" t="n">
        <x:v>570443777.085</x:v>
      </x:c>
      <x:c r="M2332" s="12" t="str">
        <x:v>TuShare index_daily</x:v>
      </x:c>
    </x:row>
    <x:row r="2333" ht="18" customHeight="1">
      <x:c r="A2333" s="13" t="n">
        <x:v>46087</x:v>
      </x:c>
      <x:c r="B2333" s="12" t="str">
        <x:v>000300.SH</x:v>
      </x:c>
      <x:c r="C2333" s="12" t="n">
        <x:v>4621.4939</x:v>
      </x:c>
      <x:c r="D2333" s="12" t="n">
        <x:v>4671.7126</x:v>
      </x:c>
      <x:c r="E2333" s="12" t="n">
        <x:v>4612.7943</x:v>
      </x:c>
      <x:c r="F2333" s="12" t="n">
        <x:v>4660.439</x:v>
      </x:c>
      <x:c r="G2333" s="12" t="n">
        <x:v>4647.6921</x:v>
      </x:c>
      <x:c r="H2333" s="12" t="n">
        <x:v>12.7469</x:v>
      </x:c>
      <x:c r="I2333" s="12" t="n">
        <x:v>0.2743</x:v>
      </x:c>
      <x:c r="J2333" s="12" t="n">
        <x:v>0.002738875899232227</x:v>
      </x:c>
      <x:c r="K2333" s="12" t="n">
        <x:v>238527926</x:v>
      </x:c>
      <x:c r="L2333" s="12" t="n">
        <x:v>487807080.157</x:v>
      </x:c>
      <x:c r="M2333" s="12" t="str">
        <x:v>TuShare index_daily</x:v>
      </x:c>
    </x:row>
    <x:row r="2334" ht="18" customHeight="1">
      <x:c r="A2334" s="13" t="n">
        <x:v>46090</x:v>
      </x:c>
      <x:c r="B2334" s="12" t="str">
        <x:v>000300.SH</x:v>
      </x:c>
      <x:c r="C2334" s="12" t="n">
        <x:v>4600.2535</x:v>
      </x:c>
      <x:c r="D2334" s="12" t="n">
        <x:v>4625.9814</x:v>
      </x:c>
      <x:c r="E2334" s="12" t="n">
        <x:v>4548.969</x:v>
      </x:c>
      <x:c r="F2334" s="12" t="n">
        <x:v>4615.4551</x:v>
      </x:c>
      <x:c r="G2334" s="12" t="n">
        <x:v>4660.439</x:v>
      </x:c>
      <x:c r="H2334" s="12" t="n">
        <x:v>-44.9839</x:v>
      </x:c>
      <x:c r="I2334" s="12" t="n">
        <x:v>-0.9652</x:v>
      </x:c>
      <x:c r="J2334" s="12" t="n">
        <x:v>-0.009699173398410947</x:v>
      </x:c>
      <x:c r="K2334" s="12" t="n">
        <x:v>322787617</x:v>
      </x:c>
      <x:c r="L2334" s="12" t="n">
        <x:v>665821508.005</x:v>
      </x:c>
      <x:c r="M2334" s="12" t="str">
        <x:v>TuShare index_daily</x:v>
      </x:c>
    </x:row>
    <x:row r="2335" ht="18" customHeight="1">
      <x:c r="A2335" s="13" t="n">
        <x:v>46091</x:v>
      </x:c>
      <x:c r="B2335" s="12" t="str">
        <x:v>000300.SH</x:v>
      </x:c>
      <x:c r="C2335" s="12" t="n">
        <x:v>4648.7851</x:v>
      </x:c>
      <x:c r="D2335" s="12" t="n">
        <x:v>4677.5958</x:v>
      </x:c>
      <x:c r="E2335" s="12" t="n">
        <x:v>4648.7851</x:v>
      </x:c>
      <x:c r="F2335" s="12" t="n">
        <x:v>4674.7562</x:v>
      </x:c>
      <x:c r="G2335" s="12" t="n">
        <x:v>4615.4551</x:v>
      </x:c>
      <x:c r="H2335" s="12" t="n">
        <x:v>59.3011</x:v>
      </x:c>
      <x:c r="I2335" s="12" t="n">
        <x:v>1.2848</x:v>
      </x:c>
      <x:c r="J2335" s="12" t="n">
        <x:v>0.012766535337565442</x:v>
      </x:c>
      <x:c r="K2335" s="12" t="n">
        <x:v>263903748</x:v>
      </x:c>
      <x:c r="L2335" s="12" t="n">
        <x:v>557607876.149</x:v>
      </x:c>
      <x:c r="M2335" s="12" t="str">
        <x:v>TuShare index_daily</x:v>
      </x:c>
    </x:row>
    <x:row r="2336" ht="18" customHeight="1">
      <x:c r="A2336" s="13" t="n">
        <x:v>46092</x:v>
      </x:c>
      <x:c r="B2336" s="12" t="str">
        <x:v>000300.SH</x:v>
      </x:c>
      <x:c r="C2336" s="12" t="n">
        <x:v>4681.0316</x:v>
      </x:c>
      <x:c r="D2336" s="12" t="n">
        <x:v>4711.8671</x:v>
      </x:c>
      <x:c r="E2336" s="12" t="n">
        <x:v>4674.7088</x:v>
      </x:c>
      <x:c r="F2336" s="12" t="n">
        <x:v>4704.4959</x:v>
      </x:c>
      <x:c r="G2336" s="12" t="n">
        <x:v>4674.7562</x:v>
      </x:c>
      <x:c r="H2336" s="12" t="n">
        <x:v>29.7397</x:v>
      </x:c>
      <x:c r="I2336" s="12" t="n">
        <x:v>0.6362</x:v>
      </x:c>
      <x:c r="J2336" s="12" t="n">
        <x:v>0.0063416143101133245</x:v>
      </x:c>
      <x:c r="K2336" s="12" t="n">
        <x:v>270175443</x:v>
      </x:c>
      <x:c r="L2336" s="12" t="n">
        <x:v>579564397.6</x:v>
      </x:c>
      <x:c r="M2336" s="12" t="str">
        <x:v>TuShare index_daily</x:v>
      </x:c>
    </x:row>
    <x:row r="2337" ht="18" customHeight="1">
      <x:c r="A2337" s="13" t="n">
        <x:v>46093</x:v>
      </x:c>
      <x:c r="B2337" s="12" t="str">
        <x:v>000300.SH</x:v>
      </x:c>
      <x:c r="C2337" s="12" t="n">
        <x:v>4700.7205</x:v>
      </x:c>
      <x:c r="D2337" s="12" t="n">
        <x:v>4704.3791</x:v>
      </x:c>
      <x:c r="E2337" s="12" t="n">
        <x:v>4654.3147</x:v>
      </x:c>
      <x:c r="F2337" s="12" t="n">
        <x:v>4687.5601</x:v>
      </x:c>
      <x:c r="G2337" s="12" t="n">
        <x:v>4704.4959</x:v>
      </x:c>
      <x:c r="H2337" s="12" t="n">
        <x:v>-16.9358</x:v>
      </x:c>
      <x:c r="I2337" s="12" t="n">
        <x:v>-0.36</x:v>
      </x:c>
      <x:c r="J2337" s="12" t="n">
        <x:v>-0.003606413410628779</x:v>
      </x:c>
      <x:c r="K2337" s="12" t="n">
        <x:v>302986816</x:v>
      </x:c>
      <x:c r="L2337" s="12" t="n">
        <x:v>572105482.464</x:v>
      </x:c>
      <x:c r="M2337" s="12" t="str">
        <x:v>TuShare index_daily</x:v>
      </x:c>
    </x:row>
    <x:row r="2338" ht="18" customHeight="1">
      <x:c r="A2338" s="13" t="n">
        <x:v>46094</x:v>
      </x:c>
      <x:c r="B2338" s="12" t="str">
        <x:v>000300.SH</x:v>
      </x:c>
      <x:c r="C2338" s="12" t="n">
        <x:v>4669.0619</x:v>
      </x:c>
      <x:c r="D2338" s="12" t="n">
        <x:v>4707.4194</x:v>
      </x:c>
      <x:c r="E2338" s="12" t="n">
        <x:v>4659.4979</x:v>
      </x:c>
      <x:c r="F2338" s="12" t="n">
        <x:v>4669.14</x:v>
      </x:c>
      <x:c r="G2338" s="12" t="n">
        <x:v>4687.5601</x:v>
      </x:c>
      <x:c r="H2338" s="12" t="n">
        <x:v>-18.4201</x:v>
      </x:c>
      <x:c r="I2338" s="12" t="n">
        <x:v>-0.393</x:v>
      </x:c>
      <x:c r="J2338" s="12" t="n">
        <x:v>-0.00393731200091498</x:v>
      </x:c>
      <x:c r="K2338" s="12" t="n">
        <x:v>310772009</x:v>
      </x:c>
      <x:c r="L2338" s="12" t="n">
        <x:v>580305608.198</x:v>
      </x:c>
      <x:c r="M2338" s="12" t="str">
        <x:v>TuShare index_daily</x:v>
      </x:c>
    </x:row>
    <x:row r="2339" ht="18" customHeight="1">
      <x:c r="A2339" s="13" t="n">
        <x:v>46097</x:v>
      </x:c>
      <x:c r="B2339" s="12" t="str">
        <x:v>000300.SH</x:v>
      </x:c>
      <x:c r="C2339" s="12" t="n">
        <x:v>4669.2241</x:v>
      </x:c>
      <x:c r="D2339" s="12" t="n">
        <x:v>4673.6929</x:v>
      </x:c>
      <x:c r="E2339" s="12" t="n">
        <x:v>4621.8118</x:v>
      </x:c>
      <x:c r="F2339" s="12" t="n">
        <x:v>4671.5591</x:v>
      </x:c>
      <x:c r="G2339" s="12" t="n">
        <x:v>4669.14</x:v>
      </x:c>
      <x:c r="H2339" s="12" t="n">
        <x:v>2.4191</x:v>
      </x:c>
      <x:c r="I2339" s="12" t="n">
        <x:v>0.0518</x:v>
      </x:c>
      <x:c r="J2339" s="12" t="n">
        <x:v>0.0005179698067964963</x:v>
      </x:c>
      <x:c r="K2339" s="12" t="n">
        <x:v>296215070</x:v>
      </x:c>
      <x:c r="L2339" s="12" t="n">
        <x:v>598799098.356</x:v>
      </x:c>
      <x:c r="M2339" s="12" t="str">
        <x:v>TuShare index_daily</x:v>
      </x:c>
    </x:row>
    <x:row r="2340" ht="18" customHeight="1">
      <x:c r="A2340" s="13" t="n">
        <x:v>46098</x:v>
      </x:c>
      <x:c r="B2340" s="12" t="str">
        <x:v>000300.SH</x:v>
      </x:c>
      <x:c r="C2340" s="12" t="n">
        <x:v>4685.5697</x:v>
      </x:c>
      <x:c r="D2340" s="12" t="n">
        <x:v>4720.8608</x:v>
      </x:c>
      <x:c r="E2340" s="12" t="n">
        <x:v>4637.368</x:v>
      </x:c>
      <x:c r="F2340" s="12" t="n">
        <x:v>4637.4392</x:v>
      </x:c>
      <x:c r="G2340" s="12" t="n">
        <x:v>4671.5591</x:v>
      </x:c>
      <x:c r="H2340" s="12" t="n">
        <x:v>-34.1199</x:v>
      </x:c>
      <x:c r="I2340" s="12" t="n">
        <x:v>-0.7304</x:v>
      </x:c>
      <x:c r="J2340" s="12" t="n">
        <x:v>-0.007330553018070816</x:v>
      </x:c>
      <x:c r="K2340" s="12" t="n">
        <x:v>263021913</x:v>
      </x:c>
      <x:c r="L2340" s="12" t="n">
        <x:v>578501505.808</x:v>
      </x:c>
      <x:c r="M2340" s="12" t="str">
        <x:v>TuShare index_daily</x:v>
      </x:c>
    </x:row>
    <x:row r="2341" ht="18" customHeight="1">
      <x:c r="A2341" s="13" t="n">
        <x:v>46099</x:v>
      </x:c>
      <x:c r="B2341" s="12" t="str">
        <x:v>000300.SH</x:v>
      </x:c>
      <x:c r="C2341" s="12" t="n">
        <x:v>4648.7517</x:v>
      </x:c>
      <x:c r="D2341" s="12" t="n">
        <x:v>4662.2936</x:v>
      </x:c>
      <x:c r="E2341" s="12" t="n">
        <x:v>4604.5163</x:v>
      </x:c>
      <x:c r="F2341" s="12" t="n">
        <x:v>4658.3324</x:v>
      </x:c>
      <x:c r="G2341" s="12" t="n">
        <x:v>4637.4392</x:v>
      </x:c>
      <x:c r="H2341" s="12" t="n">
        <x:v>20.8932</x:v>
      </x:c>
      <x:c r="I2341" s="12" t="n">
        <x:v>0.4505</x:v>
      </x:c>
      <x:c r="J2341" s="12" t="n">
        <x:v>0.004495212679770905</x:v>
      </x:c>
      <x:c r="K2341" s="12" t="n">
        <x:v>234690705</x:v>
      </x:c>
      <x:c r="L2341" s="12" t="n">
        <x:v>524173911.454</x:v>
      </x:c>
      <x:c r="M2341" s="12" t="str">
        <x:v>TuShare index_daily</x:v>
      </x:c>
    </x:row>
    <x:row r="2342" ht="18" customHeight="1">
      <x:c r="A2342" s="13" t="n">
        <x:v>46100</x:v>
      </x:c>
      <x:c r="B2342" s="12" t="str">
        <x:v>000300.SH</x:v>
      </x:c>
      <x:c r="C2342" s="12" t="n">
        <x:v>4611.4399</x:v>
      </x:c>
      <x:c r="D2342" s="12" t="n">
        <x:v>4634.5468</x:v>
      </x:c>
      <x:c r="E2342" s="12" t="n">
        <x:v>4570.392</x:v>
      </x:c>
      <x:c r="F2342" s="12" t="n">
        <x:v>4583.2511</x:v>
      </x:c>
      <x:c r="G2342" s="12" t="n">
        <x:v>4658.3324</x:v>
      </x:c>
      <x:c r="H2342" s="12" t="n">
        <x:v>-75.0813</x:v>
      </x:c>
      <x:c r="I2342" s="12" t="n">
        <x:v>-1.6118</x:v>
      </x:c>
      <x:c r="J2342" s="12" t="n">
        <x:v>-0.016248936549918862</x:v>
      </x:c>
      <x:c r="K2342" s="12" t="n">
        <x:v>254130449</x:v>
      </x:c>
      <x:c r="L2342" s="12" t="n">
        <x:v>547850295.789</x:v>
      </x:c>
      <x:c r="M2342" s="12" t="str">
        <x:v>TuShare index_daily</x:v>
      </x:c>
    </x:row>
    <x:row r="2343" ht="18" customHeight="1">
      <x:c r="A2343" s="13" t="n">
        <x:v>46101</x:v>
      </x:c>
      <x:c r="B2343" s="12" t="str">
        <x:v>000300.SH</x:v>
      </x:c>
      <x:c r="C2343" s="12" t="n">
        <x:v>4602.8205</x:v>
      </x:c>
      <x:c r="D2343" s="12" t="n">
        <x:v>4628.7118</x:v>
      </x:c>
      <x:c r="E2343" s="12" t="n">
        <x:v>4563.0687</x:v>
      </x:c>
      <x:c r="F2343" s="12" t="n">
        <x:v>4567.0179</x:v>
      </x:c>
      <x:c r="G2343" s="12" t="n">
        <x:v>4583.2511</x:v>
      </x:c>
      <x:c r="H2343" s="12" t="n">
        <x:v>-16.2332</x:v>
      </x:c>
      <x:c r="I2343" s="12" t="n">
        <x:v>-0.3542</x:v>
      </x:c>
      <x:c r="J2343" s="12" t="n">
        <x:v>-0.0035481398482115844</x:v>
      </x:c>
      <x:c r="K2343" s="12" t="n">
        <x:v>257873703</x:v>
      </x:c>
      <x:c r="L2343" s="12" t="n">
        <x:v>615463088.558</x:v>
      </x:c>
      <x:c r="M2343" s="12" t="str">
        <x:v>TuShare index_daily</x:v>
      </x:c>
    </x:row>
    <x:row r="2344" ht="18" customHeight="1">
      <x:c r="A2344" s="13" t="n">
        <x:v>46104</x:v>
      </x:c>
      <x:c r="B2344" s="12" t="str">
        <x:v>000300.SH</x:v>
      </x:c>
      <x:c r="C2344" s="12" t="n">
        <x:v>4499.1004</x:v>
      </x:c>
      <x:c r="D2344" s="12" t="n">
        <x:v>4514.7182</x:v>
      </x:c>
      <x:c r="E2344" s="12" t="n">
        <x:v>4397.5661</x:v>
      </x:c>
      <x:c r="F2344" s="12" t="n">
        <x:v>4417.9971</x:v>
      </x:c>
      <x:c r="G2344" s="12" t="n">
        <x:v>4567.0179</x:v>
      </x:c>
      <x:c r="H2344" s="12" t="n">
        <x:v>-149.0208</x:v>
      </x:c>
      <x:c r="I2344" s="12" t="n">
        <x:v>-3.263</x:v>
      </x:c>
      <x:c r="J2344" s="12" t="n">
        <x:v>-0.033174005025024496</x:v>
      </x:c>
      <x:c r="K2344" s="12" t="n">
        <x:v>328081945</x:v>
      </x:c>
      <x:c r="L2344" s="12" t="n">
        <x:v>671719761.061</x:v>
      </x:c>
      <x:c r="M2344" s="12" t="str">
        <x:v>TuShare index_daily</x:v>
      </x:c>
    </x:row>
    <x:row r="2345" ht="18" customHeight="1">
      <x:c r="A2345" s="13" t="n">
        <x:v>46105</x:v>
      </x:c>
      <x:c r="B2345" s="12" t="str">
        <x:v>000300.SH</x:v>
      </x:c>
      <x:c r="C2345" s="12" t="n">
        <x:v>4458.9074</x:v>
      </x:c>
      <x:c r="D2345" s="12" t="n">
        <x:v>4474.825</x:v>
      </x:c>
      <x:c r="E2345" s="12" t="n">
        <x:v>4394.2943</x:v>
      </x:c>
      <x:c r="F2345" s="12" t="n">
        <x:v>4474.7224</x:v>
      </x:c>
      <x:c r="G2345" s="12" t="n">
        <x:v>4417.9971</x:v>
      </x:c>
      <x:c r="H2345" s="12" t="n">
        <x:v>56.7253</x:v>
      </x:c>
      <x:c r="I2345" s="12" t="n">
        <x:v>1.284</x:v>
      </x:c>
      <x:c r="J2345" s="12" t="n">
        <x:v>0.012757867691010732</x:v>
      </x:c>
      <x:c r="K2345" s="12" t="n">
        <x:v>255532517</x:v>
      </x:c>
      <x:c r="L2345" s="12" t="n">
        <x:v>530149390.314</x:v>
      </x:c>
      <x:c r="M2345" s="12" t="str">
        <x:v>TuShare index_daily</x:v>
      </x:c>
    </x:row>
    <x:row r="2346" ht="18" customHeight="1">
      <x:c r="A2346" s="13" t="n">
        <x:v>46106</x:v>
      </x:c>
      <x:c r="B2346" s="12" t="str">
        <x:v>000300.SH</x:v>
      </x:c>
      <x:c r="C2346" s="12" t="n">
        <x:v>4506.6247</x:v>
      </x:c>
      <x:c r="D2346" s="12" t="n">
        <x:v>4542.1806</x:v>
      </x:c>
      <x:c r="E2346" s="12" t="n">
        <x:v>4502.0265</x:v>
      </x:c>
      <x:c r="F2346" s="12" t="n">
        <x:v>4537.4656</x:v>
      </x:c>
      <x:c r="G2346" s="12" t="n">
        <x:v>4474.7224</x:v>
      </x:c>
      <x:c r="H2346" s="12" t="n">
        <x:v>62.7432</x:v>
      </x:c>
      <x:c r="I2346" s="12" t="n">
        <x:v>1.4022</x:v>
      </x:c>
      <x:c r="J2346" s="12" t="n">
        <x:v>0.013924302011906592</x:v>
      </x:c>
      <x:c r="K2346" s="12" t="n">
        <x:v>262639279</x:v>
      </x:c>
      <x:c r="L2346" s="12" t="n">
        <x:v>550428161.188</x:v>
      </x:c>
      <x:c r="M2346" s="12" t="str">
        <x:v>TuShare index_daily</x:v>
      </x:c>
    </x:row>
    <x:row r="2347" ht="18" customHeight="1">
      <x:c r="A2347" s="13" t="n">
        <x:v>46107</x:v>
      </x:c>
      <x:c r="B2347" s="12" t="str">
        <x:v>000300.SH</x:v>
      </x:c>
      <x:c r="C2347" s="12" t="n">
        <x:v>4525.3291</x:v>
      </x:c>
      <x:c r="D2347" s="12" t="n">
        <x:v>4541.0502</x:v>
      </x:c>
      <x:c r="E2347" s="12" t="n">
        <x:v>4468.9571</x:v>
      </x:c>
      <x:c r="F2347" s="12" t="n">
        <x:v>4477.5343</x:v>
      </x:c>
      <x:c r="G2347" s="12" t="n">
        <x:v>4537.4656</x:v>
      </x:c>
      <x:c r="H2347" s="12" t="n">
        <x:v>-59.9313</x:v>
      </x:c>
      <x:c r="I2347" s="12" t="n">
        <x:v>-1.3208</x:v>
      </x:c>
      <x:c r="J2347" s="12" t="n">
        <x:v>-0.013296102846779104</x:v>
      </x:c>
      <x:c r="K2347" s="12" t="n">
        <x:v>213736788</x:v>
      </x:c>
      <x:c r="L2347" s="12" t="n">
        <x:v>471127498.414</x:v>
      </x:c>
      <x:c r="M2347" s="12" t="str">
        <x:v>TuShare index_daily</x:v>
      </x:c>
    </x:row>
    <x:row r="2348" ht="18" customHeight="1">
      <x:c r="A2348" s="13" t="n">
        <x:v>46108</x:v>
      </x:c>
      <x:c r="B2348" s="12" t="str">
        <x:v>000300.SH</x:v>
      </x:c>
      <x:c r="C2348" s="12" t="n">
        <x:v>4431.5034</x:v>
      </x:c>
      <x:c r="D2348" s="12" t="n">
        <x:v>4519.8903</x:v>
      </x:c>
      <x:c r="E2348" s="12" t="n">
        <x:v>4431.4205</x:v>
      </x:c>
      <x:c r="F2348" s="12" t="n">
        <x:v>4502.5698</x:v>
      </x:c>
      <x:c r="G2348" s="12" t="n">
        <x:v>4477.5343</x:v>
      </x:c>
      <x:c r="H2348" s="12" t="n">
        <x:v>25.0355</x:v>
      </x:c>
      <x:c r="I2348" s="12" t="n">
        <x:v>0.5591</x:v>
      </x:c>
      <x:c r="J2348" s="12" t="n">
        <x:v>0.005575784998188893</x:v>
      </x:c>
      <x:c r="K2348" s="12" t="n">
        <x:v>192400388</x:v>
      </x:c>
      <x:c r="L2348" s="12" t="n">
        <x:v>440517561.617</x:v>
      </x:c>
      <x:c r="M2348" s="12" t="str">
        <x:v>TuShare index_daily</x:v>
      </x:c>
    </x:row>
    <x:row r="2349" ht="18" customHeight="1">
      <x:c r="A2349" s="13" t="n">
        <x:v>46111</x:v>
      </x:c>
      <x:c r="B2349" s="12" t="str">
        <x:v>000300.SH</x:v>
      </x:c>
      <x:c r="C2349" s="12" t="n">
        <x:v>4461.7367</x:v>
      </x:c>
      <x:c r="D2349" s="12" t="n">
        <x:v>4496.4109</x:v>
      </x:c>
      <x:c r="E2349" s="12" t="n">
        <x:v>4447.1373</x:v>
      </x:c>
      <x:c r="F2349" s="12" t="n">
        <x:v>4491.95</x:v>
      </x:c>
      <x:c r="G2349" s="12" t="n">
        <x:v>4502.5698</x:v>
      </x:c>
      <x:c r="H2349" s="12" t="n">
        <x:v>-10.6198</x:v>
      </x:c>
      <x:c r="I2349" s="12" t="n">
        <x:v>-0.2359</x:v>
      </x:c>
      <x:c r="J2349" s="12" t="n">
        <x:v>-0.0023613945315523644</x:v>
      </x:c>
      <x:c r="K2349" s="12" t="n">
        <x:v>209293092</x:v>
      </x:c>
      <x:c r="L2349" s="12" t="n">
        <x:v>444629519.711</x:v>
      </x:c>
      <x:c r="M2349" s="12" t="str">
        <x:v>TuShare index_daily</x:v>
      </x:c>
    </x:row>
    <x:row r="2350" ht="18" customHeight="1">
      <x:c r="A2350" s="13" t="n">
        <x:v>46112</x:v>
      </x:c>
      <x:c r="B2350" s="12" t="str">
        <x:v>000300.SH</x:v>
      </x:c>
      <x:c r="C2350" s="12" t="n">
        <x:v>4491.9209</x:v>
      </x:c>
      <x:c r="D2350" s="12" t="n">
        <x:v>4523.1745</x:v>
      </x:c>
      <x:c r="E2350" s="12" t="n">
        <x:v>4450.0493</x:v>
      </x:c>
      <x:c r="F2350" s="12" t="n">
        <x:v>4450.0493</x:v>
      </x:c>
      <x:c r="G2350" s="12" t="n">
        <x:v>4491.95</x:v>
      </x:c>
      <x:c r="H2350" s="12" t="n">
        <x:v>-41.9007</x:v>
      </x:c>
      <x:c r="I2350" s="12" t="n">
        <x:v>-0.9328</x:v>
      </x:c>
      <x:c r="J2350" s="12" t="n">
        <x:v>-0.009371731146404768</x:v>
      </x:c>
      <x:c r="K2350" s="12" t="n">
        <x:v>224541585</x:v>
      </x:c>
      <x:c r="L2350" s="12" t="n">
        <x:v>484558113.011</x:v>
      </x:c>
      <x:c r="M2350" s="12" t="str">
        <x:v>TuShare index_daily</x:v>
      </x:c>
    </x:row>
    <x:row r="2351" ht="18" customHeight="1">
      <x:c r="A2351" s="13" t="n">
        <x:v>46113</x:v>
      </x:c>
      <x:c r="B2351" s="12" t="str">
        <x:v>000300.SH</x:v>
      </x:c>
      <x:c r="C2351" s="12" t="n">
        <x:v>4517.2717</x:v>
      </x:c>
      <x:c r="D2351" s="12" t="n">
        <x:v>4532.1093</x:v>
      </x:c>
      <x:c r="E2351" s="12" t="n">
        <x:v>4492.0544</x:v>
      </x:c>
      <x:c r="F2351" s="12" t="n">
        <x:v>4526.0668</x:v>
      </x:c>
      <x:c r="G2351" s="12" t="n">
        <x:v>4450.0493</x:v>
      </x:c>
      <x:c r="H2351" s="12" t="n">
        <x:v>76.0175</x:v>
      </x:c>
      <x:c r="I2351" s="12" t="n">
        <x:v>1.7082</x:v>
      </x:c>
      <x:c r="J2351" s="12" t="n">
        <x:v>0.016938131503208057</x:v>
      </x:c>
      <x:c r="K2351" s="12" t="n">
        <x:v>216483196</x:v>
      </x:c>
      <x:c r="L2351" s="12" t="n">
        <x:v>503744056.996</x:v>
      </x:c>
      <x:c r="M2351" s="12" t="str">
        <x:v>TuShare index_daily</x:v>
      </x:c>
    </x:row>
    <x:row r="2352" ht="18" customHeight="1">
      <x:c r="A2352" s="13" t="n">
        <x:v>46114</x:v>
      </x:c>
      <x:c r="B2352" s="12" t="str">
        <x:v>000300.SH</x:v>
      </x:c>
      <x:c r="C2352" s="12" t="n">
        <x:v>4514.4416</x:v>
      </x:c>
      <x:c r="D2352" s="12" t="n">
        <x:v>4519.6931</x:v>
      </x:c>
      <x:c r="E2352" s="12" t="n">
        <x:v>4459.6095</x:v>
      </x:c>
      <x:c r="F2352" s="12" t="n">
        <x:v>4478.9141</x:v>
      </x:c>
      <x:c r="G2352" s="12" t="n">
        <x:v>4526.0668</x:v>
      </x:c>
      <x:c r="H2352" s="12" t="n">
        <x:v>-47.1527</x:v>
      </x:c>
      <x:c r="I2352" s="12" t="n">
        <x:v>-1.0418</x:v>
      </x:c>
      <x:c r="J2352" s="12" t="n">
        <x:v>-0.010472677618452112</x:v>
      </x:c>
      <x:c r="K2352" s="12" t="n">
        <x:v>190992161</x:v>
      </x:c>
      <x:c r="L2352" s="12" t="n">
        <x:v>429949131.7</x:v>
      </x:c>
      <x:c r="M2352" s="12" t="str">
        <x:v>TuShare index_daily</x:v>
      </x:c>
    </x:row>
    <x:row r="2353" ht="18" customHeight="1">
      <x:c r="A2353" s="13" t="n">
        <x:v>46115</x:v>
      </x:c>
      <x:c r="B2353" s="12" t="str">
        <x:v>000300.SH</x:v>
      </x:c>
      <x:c r="C2353" s="12" t="n">
        <x:v>4492.8461</x:v>
      </x:c>
      <x:c r="D2353" s="12" t="n">
        <x:v>4494.4571</x:v>
      </x:c>
      <x:c r="E2353" s="12" t="n">
        <x:v>4437.5952</x:v>
      </x:c>
      <x:c r="F2353" s="12" t="n">
        <x:v>4440.7889</x:v>
      </x:c>
      <x:c r="G2353" s="12" t="n">
        <x:v>4478.9141</x:v>
      </x:c>
      <x:c r="H2353" s="12" t="n">
        <x:v>-38.1252</x:v>
      </x:c>
      <x:c r="I2353" s="12" t="n">
        <x:v>-0.8512</x:v>
      </x:c>
      <x:c r="J2353" s="12" t="n">
        <x:v>-0.008548587812162561</x:v>
      </x:c>
      <x:c r="K2353" s="12" t="n">
        <x:v>168321705</x:v>
      </x:c>
      <x:c r="L2353" s="12" t="n">
        <x:v>373234910.158</x:v>
      </x:c>
      <x:c r="M2353" s="12" t="str">
        <x:v>TuShare index_daily</x:v>
      </x:c>
    </x:row>
    <x:row r="2354" ht="18" customHeight="1">
      <x:c r="A2354" s="13" t="n">
        <x:v>46119</x:v>
      </x:c>
      <x:c r="B2354" s="12" t="str">
        <x:v>000300.SH</x:v>
      </x:c>
      <x:c r="C2354" s="12" t="n">
        <x:v>4445.8613</x:v>
      </x:c>
      <x:c r="D2354" s="12" t="n">
        <x:v>4458.9264</x:v>
      </x:c>
      <x:c r="E2354" s="12" t="n">
        <x:v>4420.6939</x:v>
      </x:c>
      <x:c r="F2354" s="12" t="n">
        <x:v>4440.6162</x:v>
      </x:c>
      <x:c r="G2354" s="12" t="n">
        <x:v>4440.7889</x:v>
      </x:c>
      <x:c r="H2354" s="12" t="n">
        <x:v>-0.1727</x:v>
      </x:c>
      <x:c r="I2354" s="12" t="n">
        <x:v>-0.0039</x:v>
      </x:c>
      <x:c r="J2354" s="12" t="n">
        <x:v>-0.00003889024272089768</x:v>
      </x:c>
      <x:c r="K2354" s="12" t="n">
        <x:v>162638787</x:v>
      </x:c>
      <x:c r="L2354" s="12" t="n">
        <x:v>378261695.015</x:v>
      </x:c>
      <x:c r="M2354" s="12" t="str">
        <x:v>TuShare index_daily</x:v>
      </x:c>
    </x:row>
    <x:row r="2355" ht="18" customHeight="1">
      <x:c r="A2355" s="13" t="n">
        <x:v>46120</x:v>
      </x:c>
      <x:c r="B2355" s="12" t="str">
        <x:v>000300.SH</x:v>
      </x:c>
      <x:c r="C2355" s="12" t="n">
        <x:v>4517.3403</x:v>
      </x:c>
      <x:c r="D2355" s="12" t="n">
        <x:v>4595.556</x:v>
      </x:c>
      <x:c r="E2355" s="12" t="n">
        <x:v>4513.7705</x:v>
      </x:c>
      <x:c r="F2355" s="12" t="n">
        <x:v>4595.556</x:v>
      </x:c>
      <x:c r="G2355" s="12" t="n">
        <x:v>4440.6162</x:v>
      </x:c>
      <x:c r="H2355" s="12" t="n">
        <x:v>154.9398</x:v>
      </x:c>
      <x:c r="I2355" s="12" t="n">
        <x:v>3.4892</x:v>
      </x:c>
      <x:c r="J2355" s="12" t="n">
        <x:v>0.03429659897740949</x:v>
      </x:c>
      <x:c r="K2355" s="12" t="n">
        <x:v>253339213</x:v>
      </x:c>
      <x:c r="L2355" s="12" t="n">
        <x:v>641779180.97</x:v>
      </x:c>
      <x:c r="M2355" s="12" t="str">
        <x:v>TuShare index_daily</x:v>
      </x:c>
    </x:row>
    <x:row r="2356" ht="18" customHeight="1">
      <x:c r="A2356" s="13" t="n">
        <x:v>46121</x:v>
      </x:c>
      <x:c r="B2356" s="12" t="str">
        <x:v>000300.SH</x:v>
      </x:c>
      <x:c r="C2356" s="12" t="n">
        <x:v>4562.6696</x:v>
      </x:c>
      <x:c r="D2356" s="12" t="n">
        <x:v>4579.197</x:v>
      </x:c>
      <x:c r="E2356" s="12" t="n">
        <x:v>4552.4244</x:v>
      </x:c>
      <x:c r="F2356" s="12" t="n">
        <x:v>4566.2237</x:v>
      </x:c>
      <x:c r="G2356" s="12" t="n">
        <x:v>4595.556</x:v>
      </x:c>
      <x:c r="H2356" s="12" t="n">
        <x:v>-29.3323</x:v>
      </x:c>
      <x:c r="I2356" s="12" t="n">
        <x:v>-0.6383</x:v>
      </x:c>
      <x:c r="J2356" s="12" t="n">
        <x:v>-0.006403210114583198</x:v>
      </x:c>
      <x:c r="K2356" s="12" t="n">
        <x:v>184939783</x:v>
      </x:c>
      <x:c r="L2356" s="12" t="n">
        <x:v>500445676.661</x:v>
      </x:c>
      <x:c r="M2356" s="12" t="str">
        <x:v>TuShare index_daily</x:v>
      </x:c>
    </x:row>
    <x:row r="2357" ht="18" customHeight="1">
      <x:c r="A2357" s="13" t="n">
        <x:v>46122</x:v>
      </x:c>
      <x:c r="B2357" s="12" t="str">
        <x:v>000300.SH</x:v>
      </x:c>
      <x:c r="C2357" s="12" t="n">
        <x:v>4594.9467</x:v>
      </x:c>
      <x:c r="D2357" s="12" t="n">
        <x:v>4655.0988</x:v>
      </x:c>
      <x:c r="E2357" s="12" t="n">
        <x:v>4590.1089</x:v>
      </x:c>
      <x:c r="F2357" s="12" t="n">
        <x:v>4636.5655</x:v>
      </x:c>
      <x:c r="G2357" s="12" t="n">
        <x:v>4566.2237</x:v>
      </x:c>
      <x:c r="H2357" s="12" t="n">
        <x:v>70.3418</x:v>
      </x:c>
      <x:c r="I2357" s="12" t="n">
        <x:v>1.5405</x:v>
      </x:c>
      <x:c r="J2357" s="12" t="n">
        <x:v>0.015287358732672058</x:v>
      </x:c>
      <x:c r="K2357" s="12" t="n">
        <x:v>208678605</x:v>
      </x:c>
      <x:c r="L2357" s="12" t="n">
        <x:v>625717995.648</x:v>
      </x:c>
      <x:c r="M2357" s="12" t="str">
        <x:v>TuShare index_daily</x:v>
      </x:c>
    </x:row>
    <x:row r="2358" ht="18" customHeight="1">
      <x:c r="A2358" s="13" t="n">
        <x:v>46125</x:v>
      </x:c>
      <x:c r="B2358" s="12" t="str">
        <x:v>000300.SH</x:v>
      </x:c>
      <x:c r="C2358" s="12" t="n">
        <x:v>4615.133</x:v>
      </x:c>
      <x:c r="D2358" s="12" t="n">
        <x:v>4653.3983</x:v>
      </x:c>
      <x:c r="E2358" s="12" t="n">
        <x:v>4615.133</x:v>
      </x:c>
      <x:c r="F2358" s="12" t="n">
        <x:v>4646.1546</x:v>
      </x:c>
      <x:c r="G2358" s="12" t="n">
        <x:v>4636.5655</x:v>
      </x:c>
      <x:c r="H2358" s="12" t="n">
        <x:v>9.5891</x:v>
      </x:c>
      <x:c r="I2358" s="12" t="n">
        <x:v>0.2068</x:v>
      </x:c>
      <x:c r="J2358" s="12" t="n">
        <x:v>0.002066011537037725</x:v>
      </x:c>
      <x:c r="K2358" s="12" t="n">
        <x:v>196712277</x:v>
      </x:c>
      <x:c r="L2358" s="12" t="n">
        <x:v>556620945.24</x:v>
      </x:c>
      <x:c r="M2358" s="12" t="str">
        <x:v>TuShare index_daily</x:v>
      </x:c>
    </x:row>
    <x:row r="2359" ht="18" customHeight="1">
      <x:c r="A2359" s="13" t="n">
        <x:v>46126</x:v>
      </x:c>
      <x:c r="B2359" s="12" t="str">
        <x:v>000300.SH</x:v>
      </x:c>
      <x:c r="C2359" s="12" t="n">
        <x:v>4676.1235</x:v>
      </x:c>
      <x:c r="D2359" s="12" t="n">
        <x:v>4701.2837</x:v>
      </x:c>
      <x:c r="E2359" s="12" t="n">
        <x:v>4654.8526</x:v>
      </x:c>
      <x:c r="F2359" s="12" t="n">
        <x:v>4701.2837</x:v>
      </x:c>
      <x:c r="G2359" s="12" t="n">
        <x:v>4646.1546</x:v>
      </x:c>
      <x:c r="H2359" s="12" t="n">
        <x:v>55.1291</x:v>
      </x:c>
      <x:c r="I2359" s="12" t="n">
        <x:v>1.1866</x:v>
      </x:c>
      <x:c r="J2359" s="12" t="n">
        <x:v>0.011795689352143368</x:v>
      </x:c>
      <x:c r="K2359" s="12" t="n">
        <x:v>204700332</x:v>
      </x:c>
      <x:c r="L2359" s="12" t="n">
        <x:v>605717793.585</x:v>
      </x:c>
      <x:c r="M2359" s="12" t="str">
        <x:v>TuShare index_daily</x:v>
      </x:c>
    </x:row>
    <x:row r="2360" ht="18" customHeight="1">
      <x:c r="A2360" s="13" t="n">
        <x:v>46127</x:v>
      </x:c>
      <x:c r="B2360" s="12" t="str">
        <x:v>000300.SH</x:v>
      </x:c>
      <x:c r="C2360" s="12" t="n">
        <x:v>4726.6381</x:v>
      </x:c>
      <x:c r="D2360" s="12" t="n">
        <x:v>4731.2729</x:v>
      </x:c>
      <x:c r="E2360" s="12" t="n">
        <x:v>4672.556</x:v>
      </x:c>
      <x:c r="F2360" s="12" t="n">
        <x:v>4685.2464</x:v>
      </x:c>
      <x:c r="G2360" s="12" t="n">
        <x:v>4701.2837</x:v>
      </x:c>
      <x:c r="H2360" s="12" t="n">
        <x:v>-16.0373</x:v>
      </x:c>
      <x:c r="I2360" s="12" t="n">
        <x:v>-0.3411</x:v>
      </x:c>
      <x:c r="J2360" s="12" t="n">
        <x:v>-0.003417091392478743</x:v>
      </x:c>
      <x:c r="K2360" s="12" t="n">
        <x:v>201688500</x:v>
      </x:c>
      <x:c r="L2360" s="12" t="n">
        <x:v>604550556.798</x:v>
      </x:c>
      <x:c r="M2360" s="12" t="str">
        <x:v>TuShare index_daily</x:v>
      </x:c>
    </x:row>
    <x:row r="2361" ht="18" customHeight="1">
      <x:c r="A2361" s="13" t="n">
        <x:v>46128</x:v>
      </x:c>
      <x:c r="B2361" s="12" t="str">
        <x:v>000300.SH</x:v>
      </x:c>
      <x:c r="C2361" s="12" t="n">
        <x:v>4694.4309</x:v>
      </x:c>
      <x:c r="D2361" s="12" t="n">
        <x:v>4739.2208</x:v>
      </x:c>
      <x:c r="E2361" s="12" t="n">
        <x:v>4689.414</x:v>
      </x:c>
      <x:c r="F2361" s="12" t="n">
        <x:v>4736.6077</x:v>
      </x:c>
      <x:c r="G2361" s="12" t="n">
        <x:v>4685.2464</x:v>
      </x:c>
      <x:c r="H2361" s="12" t="n">
        <x:v>51.3613</x:v>
      </x:c>
      <x:c r="I2361" s="12" t="n">
        <x:v>1.0962</x:v>
      </x:c>
      <x:c r="J2361" s="12" t="n">
        <x:v>0.010902696693278813</x:v>
      </x:c>
      <x:c r="K2361" s="12" t="n">
        <x:v>192057600</x:v>
      </x:c>
      <x:c r="L2361" s="12" t="n">
        <x:v>567611323.592</x:v>
      </x:c>
      <x:c r="M2361" s="12" t="str">
        <x:v>TuShare index_daily</x:v>
      </x:c>
    </x:row>
    <x:row r="2362" ht="18" customHeight="1">
      <x:c r="A2362" s="13" t="n">
        <x:v>46129</x:v>
      </x:c>
      <x:c r="B2362" s="12" t="str">
        <x:v>000300.SH</x:v>
      </x:c>
      <x:c r="C2362" s="12" t="n">
        <x:v>4728.9951</x:v>
      </x:c>
      <x:c r="D2362" s="12" t="n">
        <x:v>4738.3236</x:v>
      </x:c>
      <x:c r="E2362" s="12" t="n">
        <x:v>4714.4669</x:v>
      </x:c>
      <x:c r="F2362" s="12" t="n">
        <x:v>4728.6716</x:v>
      </x:c>
      <x:c r="G2362" s="12" t="n">
        <x:v>4736.6077</x:v>
      </x:c>
      <x:c r="H2362" s="12" t="n">
        <x:v>-7.9361</x:v>
      </x:c>
      <x:c r="I2362" s="12" t="n">
        <x:v>-0.1675</x:v>
      </x:c>
      <x:c r="J2362" s="12" t="n">
        <x:v>-0.0016768869904682999</x:v>
      </x:c>
      <x:c r="K2362" s="12" t="n">
        <x:v>182915336</x:v>
      </x:c>
      <x:c r="L2362" s="12" t="n">
        <x:v>587622682.308</x:v>
      </x:c>
      <x:c r="M2362" s="12" t="str">
        <x:v>TuShare index_daily</x:v>
      </x:c>
    </x:row>
    <x:row r="2363" ht="18" customHeight="1">
      <x:c r="A2363" s="13" t="n">
        <x:v>46132</x:v>
      </x:c>
      <x:c r="B2363" s="12" t="str">
        <x:v>000300.SH</x:v>
      </x:c>
      <x:c r="C2363" s="12" t="n">
        <x:v>4727.1661</x:v>
      </x:c>
      <x:c r="D2363" s="12" t="n">
        <x:v>4763.0427</x:v>
      </x:c>
      <x:c r="E2363" s="12" t="n">
        <x:v>4720.6853</x:v>
      </x:c>
      <x:c r="F2363" s="12" t="n">
        <x:v>4757.4419</x:v>
      </x:c>
      <x:c r="G2363" s="12" t="n">
        <x:v>4728.6716</x:v>
      </x:c>
      <x:c r="H2363" s="12" t="n">
        <x:v>28.7703</x:v>
      </x:c>
      <x:c r="I2363" s="12" t="n">
        <x:v>0.6084</x:v>
      </x:c>
      <x:c r="J2363" s="12" t="n">
        <x:v>0.006065790423872393</x:v>
      </x:c>
      <x:c r="K2363" s="12" t="n">
        <x:v>221633494</x:v>
      </x:c>
      <x:c r="L2363" s="12" t="n">
        <x:v>626568410.331</x:v>
      </x:c>
      <x:c r="M2363" s="12" t="str">
        <x:v>TuShare index_daily</x:v>
      </x:c>
    </x:row>
    <x:row r="2364" ht="18" customHeight="1">
      <x:c r="A2364" s="13" t="n">
        <x:v>46133</x:v>
      </x:c>
      <x:c r="B2364" s="12" t="str">
        <x:v>000300.SH</x:v>
      </x:c>
      <x:c r="C2364" s="12" t="n">
        <x:v>4750.5149</x:v>
      </x:c>
      <x:c r="D2364" s="12" t="n">
        <x:v>4776.8258</x:v>
      </x:c>
      <x:c r="E2364" s="12" t="n">
        <x:v>4722.0074</x:v>
      </x:c>
      <x:c r="F2364" s="12" t="n">
        <x:v>4767.997</x:v>
      </x:c>
      <x:c r="G2364" s="12" t="n">
        <x:v>4757.4419</x:v>
      </x:c>
      <x:c r="H2364" s="12" t="n">
        <x:v>10.5551</x:v>
      </x:c>
      <x:c r="I2364" s="12" t="n">
        <x:v>0.2219</x:v>
      </x:c>
      <x:c r="J2364" s="12" t="n">
        <x:v>0.0022161927509973633</x:v>
      </x:c>
      <x:c r="K2364" s="12" t="n">
        <x:v>205614058</x:v>
      </x:c>
      <x:c r="L2364" s="12" t="n">
        <x:v>580407995.62</x:v>
      </x:c>
      <x:c r="M2364" s="12" t="str">
        <x:v>TuShare index_daily</x:v>
      </x:c>
    </x:row>
    <x:row r="2365" ht="18" customHeight="1">
      <x:c r="A2365" s="13" t="n">
        <x:v>46134</x:v>
      </x:c>
      <x:c r="B2365" s="12" t="str">
        <x:v>000300.SH</x:v>
      </x:c>
      <x:c r="C2365" s="12" t="n">
        <x:v>4751.2794</x:v>
      </x:c>
      <x:c r="D2365" s="12" t="n">
        <x:v>4801.4465</x:v>
      </x:c>
      <x:c r="E2365" s="12" t="n">
        <x:v>4750.3502</x:v>
      </x:c>
      <x:c r="F2365" s="12" t="n">
        <x:v>4799.627</x:v>
      </x:c>
      <x:c r="G2365" s="12" t="n">
        <x:v>4767.997</x:v>
      </x:c>
      <x:c r="H2365" s="12" t="n">
        <x:v>31.63</x:v>
      </x:c>
      <x:c r="I2365" s="12" t="n">
        <x:v>0.6634</x:v>
      </x:c>
      <x:c r="J2365" s="12" t="n">
        <x:v>0.006611905992843182</x:v>
      </x:c>
      <x:c r="K2365" s="12" t="n">
        <x:v>204481830</x:v>
      </x:c>
      <x:c r="L2365" s="12" t="n">
        <x:v>619505670.177</x:v>
      </x:c>
      <x:c r="M2365" s="12" t="str">
        <x:v>TuShare index_daily</x:v>
      </x:c>
    </x:row>
    <x:row r="2366" ht="18" customHeight="1">
      <x:c r="A2366" s="13" t="n">
        <x:v>46135</x:v>
      </x:c>
      <x:c r="B2366" s="12" t="str">
        <x:v>000300.SH</x:v>
      </x:c>
      <x:c r="C2366" s="12" t="n">
        <x:v>4816.0267</x:v>
      </x:c>
      <x:c r="D2366" s="12" t="n">
        <x:v>4823.4704</x:v>
      </x:c>
      <x:c r="E2366" s="12" t="n">
        <x:v>4759.86</x:v>
      </x:c>
      <x:c r="F2366" s="12" t="n">
        <x:v>4786.3273</x:v>
      </x:c>
      <x:c r="G2366" s="12" t="n">
        <x:v>4799.627</x:v>
      </x:c>
      <x:c r="H2366" s="12" t="n">
        <x:v>-13.2997</x:v>
      </x:c>
      <x:c r="I2366" s="12" t="n">
        <x:v>-0.2771</x:v>
      </x:c>
      <x:c r="J2366" s="12" t="n">
        <x:v>-0.002774832451190693</x:v>
      </x:c>
      <x:c r="K2366" s="12" t="n">
        <x:v>232865736</x:v>
      </x:c>
      <x:c r="L2366" s="12" t="n">
        <x:v>693853775.976</x:v>
      </x:c>
      <x:c r="M2366" s="12" t="str">
        <x:v>TuShare index_daily</x:v>
      </x:c>
    </x:row>
    <x:row r="2367" ht="18" customHeight="1">
      <x:c r="A2367" s="13" t="n">
        <x:v>46136</x:v>
      </x:c>
      <x:c r="B2367" s="12" t="str">
        <x:v>000300.SH</x:v>
      </x:c>
      <x:c r="C2367" s="12" t="n">
        <x:v>4771.7348</x:v>
      </x:c>
      <x:c r="D2367" s="12" t="n">
        <x:v>4786.444</x:v>
      </x:c>
      <x:c r="E2367" s="12" t="n">
        <x:v>4735.606</x:v>
      </x:c>
      <x:c r="F2367" s="12" t="n">
        <x:v>4769.3688</x:v>
      </x:c>
      <x:c r="G2367" s="12" t="n">
        <x:v>4786.3273</x:v>
      </x:c>
      <x:c r="H2367" s="12" t="n">
        <x:v>-16.9585</x:v>
      </x:c>
      <x:c r="I2367" s="12" t="n">
        <x:v>-0.3543</x:v>
      </x:c>
      <x:c r="J2367" s="12" t="n">
        <x:v>-0.0035494050096433406</x:v>
      </x:c>
      <x:c r="K2367" s="12" t="n">
        <x:v>193798314</x:v>
      </x:c>
      <x:c r="L2367" s="12" t="n">
        <x:v>680097832.547</x:v>
      </x:c>
      <x:c r="M2367" s="12" t="str">
        <x:v>TuShare index_daily</x:v>
      </x:c>
    </x:row>
    <x:row r="2368" ht="18" customHeight="1">
      <x:c r="A2368" s="13" t="n">
        <x:v>46139</x:v>
      </x:c>
      <x:c r="B2368" s="12" t="str">
        <x:v>000300.SH</x:v>
      </x:c>
      <x:c r="C2368" s="12" t="n">
        <x:v>4776.3351</x:v>
      </x:c>
      <x:c r="D2368" s="12" t="n">
        <x:v>4795.1682</x:v>
      </x:c>
      <x:c r="E2368" s="12" t="n">
        <x:v>4762.6441</x:v>
      </x:c>
      <x:c r="F2368" s="12" t="n">
        <x:v>4770.9469</x:v>
      </x:c>
      <x:c r="G2368" s="12" t="n">
        <x:v>4769.3688</x:v>
      </x:c>
      <x:c r="H2368" s="12" t="n">
        <x:v>1.5781</x:v>
      </x:c>
      <x:c r="I2368" s="12" t="n">
        <x:v>0.0331</x:v>
      </x:c>
      <x:c r="J2368" s="12" t="n">
        <x:v>0.0003308276296125082</x:v>
      </x:c>
      <x:c r="K2368" s="12" t="n">
        <x:v>192796550</x:v>
      </x:c>
      <x:c r="L2368" s="12" t="n">
        <x:v>648904814.981</x:v>
      </x:c>
      <x:c r="M2368" s="12" t="str">
        <x:v>TuShare index_daily</x:v>
      </x:c>
    </x:row>
    <x:row r="2369" ht="18" customHeight="1">
      <x:c r="A2369" s="13" t="n">
        <x:v>46140</x:v>
      </x:c>
      <x:c r="B2369" s="12" t="str">
        <x:v>000300.SH</x:v>
      </x:c>
      <x:c r="C2369" s="12" t="n">
        <x:v>4757.0766</x:v>
      </x:c>
      <x:c r="D2369" s="12" t="n">
        <x:v>4778.1891</x:v>
      </x:c>
      <x:c r="E2369" s="12" t="n">
        <x:v>4743.4355</x:v>
      </x:c>
      <x:c r="F2369" s="12" t="n">
        <x:v>4758.2083</x:v>
      </x:c>
      <x:c r="G2369" s="12" t="n">
        <x:v>4770.9469</x:v>
      </x:c>
      <x:c r="H2369" s="12" t="n">
        <x:v>-12.7386</x:v>
      </x:c>
      <x:c r="I2369" s="12" t="n">
        <x:v>-0.267</x:v>
      </x:c>
      <x:c r="J2369" s="12" t="n">
        <x:v>-0.002673606908646539</x:v>
      </x:c>
      <x:c r="K2369" s="12" t="n">
        <x:v>216724233</x:v>
      </x:c>
      <x:c r="L2369" s="12" t="n">
        <x:v>631521664.931</x:v>
      </x:c>
      <x:c r="M2369" s="12" t="str">
        <x:v>TuShare index_daily</x:v>
      </x:c>
    </x:row>
    <x:row r="2370" ht="18" customHeight="1">
      <x:c r="A2370" s="13" t="n">
        <x:v>46141</x:v>
      </x:c>
      <x:c r="B2370" s="12" t="str">
        <x:v>000300.SH</x:v>
      </x:c>
      <x:c r="C2370" s="12" t="n">
        <x:v>4737.5755</x:v>
      </x:c>
      <x:c r="D2370" s="12" t="n">
        <x:v>4813.6104</x:v>
      </x:c>
      <x:c r="E2370" s="12" t="n">
        <x:v>4737.1139</x:v>
      </x:c>
      <x:c r="F2370" s="12" t="n">
        <x:v>4810.3468</x:v>
      </x:c>
      <x:c r="G2370" s="12" t="n">
        <x:v>4758.2083</x:v>
      </x:c>
      <x:c r="H2370" s="12" t="n">
        <x:v>52.1385</x:v>
      </x:c>
      <x:c r="I2370" s="12" t="n">
        <x:v>1.0958</x:v>
      </x:c>
      <x:c r="J2370" s="12" t="n">
        <x:v>0.010897991489509644</x:v>
      </x:c>
      <x:c r="K2370" s="12" t="n">
        <x:v>233298110</x:v>
      </x:c>
      <x:c r="L2370" s="12" t="n">
        <x:v>681020507.301</x:v>
      </x:c>
      <x:c r="M2370" s="12" t="str">
        <x:v>TuShare index_daily</x:v>
      </x:c>
    </x:row>
    <x:row r="2371" ht="18" customHeight="1">
      <x:c r="A2371" s="13" t="n">
        <x:v>46142</x:v>
      </x:c>
      <x:c r="B2371" s="12" t="str">
        <x:v>000300.SH</x:v>
      </x:c>
      <x:c r="C2371" s="12" t="n">
        <x:v>4820.9716</x:v>
      </x:c>
      <x:c r="D2371" s="12" t="n">
        <x:v>4829.2715</x:v>
      </x:c>
      <x:c r="E2371" s="12" t="n">
        <x:v>4797.5445</x:v>
      </x:c>
      <x:c r="F2371" s="12" t="n">
        <x:v>4807.3069</x:v>
      </x:c>
      <x:c r="G2371" s="12" t="n">
        <x:v>4810.3468</x:v>
      </x:c>
      <x:c r="H2371" s="12" t="n">
        <x:v>-3.0399</x:v>
      </x:c>
      <x:c r="I2371" s="12" t="n">
        <x:v>-0.0632</x:v>
      </x:c>
      <x:c r="J2371" s="12" t="n">
        <x:v>-0.0006321500432548737</x:v>
      </x:c>
      <x:c r="K2371" s="12" t="n">
        <x:v>250633370</x:v>
      </x:c>
      <x:c r="L2371" s="12" t="n">
        <x:v>726665374.516</x:v>
      </x:c>
      <x:c r="M2371" s="12" t="str">
        <x:v>TuShare index_daily</x:v>
      </x:c>
    </x:row>
    <x:row r="2372" ht="18" customHeight="1">
      <x:c r="A2372" s="13" t="n">
        <x:v>46148</x:v>
      </x:c>
      <x:c r="B2372" s="12" t="str">
        <x:v>000300.SH</x:v>
      </x:c>
      <x:c r="C2372" s="12" t="n">
        <x:v>4857.6537</x:v>
      </x:c>
      <x:c r="D2372" s="12" t="n">
        <x:v>4892.7957</x:v>
      </x:c>
      <x:c r="E2372" s="12" t="n">
        <x:v>4834.2807</x:v>
      </x:c>
      <x:c r="F2372" s="12" t="n">
        <x:v>4877.0932</x:v>
      </x:c>
      <x:c r="G2372" s="12" t="n">
        <x:v>4807.3069</x:v>
      </x:c>
      <x:c r="H2372" s="12" t="n">
        <x:v>69.7863</x:v>
      </x:c>
      <x:c r="I2372" s="12" t="n">
        <x:v>1.4517</x:v>
      </x:c>
      <x:c r="J2372" s="12" t="n">
        <x:v>0.014412355386543571</x:v>
      </x:c>
      <x:c r="K2372" s="12" t="n">
        <x:v>274443880</x:v>
      </x:c>
      <x:c r="L2372" s="12" t="n">
        <x:v>881744311.635</x:v>
      </x:c>
      <x:c r="M2372" s="12" t="str">
        <x:v>TuShare index_daily</x:v>
      </x:c>
    </x:row>
    <x:row r="2373" ht="18" customHeight="1">
      <x:c r="A2373" s="13" t="n">
        <x:v>46149</x:v>
      </x:c>
      <x:c r="B2373" s="12" t="str">
        <x:v>000300.SH</x:v>
      </x:c>
      <x:c r="C2373" s="12" t="n">
        <x:v>4895.8001</x:v>
      </x:c>
      <x:c r="D2373" s="12" t="n">
        <x:v>4901.8575</x:v>
      </x:c>
      <x:c r="E2373" s="12" t="n">
        <x:v>4866.8749</x:v>
      </x:c>
      <x:c r="F2373" s="12" t="n">
        <x:v>4900.5098</x:v>
      </x:c>
      <x:c r="G2373" s="12" t="n">
        <x:v>4877.0932</x:v>
      </x:c>
      <x:c r="H2373" s="12" t="n">
        <x:v>23.4166</x:v>
      </x:c>
      <x:c r="I2373" s="12" t="n">
        <x:v>0.4801</x:v>
      </x:c>
      <x:c r="J2373" s="12" t="n">
        <x:v>0.004789853867043837</x:v>
      </x:c>
      <x:c r="K2373" s="12" t="n">
        <x:v>257833972</x:v>
      </x:c>
      <x:c r="L2373" s="12" t="n">
        <x:v>787236200.023</x:v>
      </x:c>
      <x:c r="M2373" s="12" t="str">
        <x:v>TuShare index_daily</x:v>
      </x:c>
    </x:row>
    <x:row r="2374" ht="18" customHeight="1">
      <x:c r="A2374" s="13" t="n">
        <x:v>46150</x:v>
      </x:c>
      <x:c r="B2374" s="12" t="str">
        <x:v>000300.SH</x:v>
      </x:c>
      <x:c r="C2374" s="12" t="n">
        <x:v>4871.1185</x:v>
      </x:c>
      <x:c r="D2374" s="12" t="n">
        <x:v>4887.2129</x:v>
      </x:c>
      <x:c r="E2374" s="12" t="n">
        <x:v>4849.9871</x:v>
      </x:c>
      <x:c r="F2374" s="12" t="n">
        <x:v>4871.9122</x:v>
      </x:c>
      <x:c r="G2374" s="12" t="n">
        <x:v>4900.5098</x:v>
      </x:c>
      <x:c r="H2374" s="12" t="n">
        <x:v>-28.5976</x:v>
      </x:c>
      <x:c r="I2374" s="12" t="n">
        <x:v>-0.5836</x:v>
      </x:c>
      <x:c r="J2374" s="12" t="n">
        <x:v>-0.005852731622297235</x:v>
      </x:c>
      <x:c r="K2374" s="12" t="n">
        <x:v>251720996</x:v>
      </x:c>
      <x:c r="L2374" s="12" t="n">
        <x:v>716546104.146</x:v>
      </x:c>
      <x:c r="M2374" s="12" t="str">
        <x:v>TuShare index_daily</x:v>
      </x:c>
    </x:row>
    <x:row r="2375" ht="18" customHeight="1">
      <x:c r="A2375" s="13" t="n">
        <x:v>46153</x:v>
      </x:c>
      <x:c r="B2375" s="12" t="str">
        <x:v>000300.SH</x:v>
      </x:c>
      <x:c r="C2375" s="12" t="n">
        <x:v>4902.2775</x:v>
      </x:c>
      <x:c r="D2375" s="12" t="n">
        <x:v>4960.3975</x:v>
      </x:c>
      <x:c r="E2375" s="12" t="n">
        <x:v>4889.5659</x:v>
      </x:c>
      <x:c r="F2375" s="12" t="n">
        <x:v>4951.8366</x:v>
      </x:c>
      <x:c r="G2375" s="12" t="n">
        <x:v>4871.9122</x:v>
      </x:c>
      <x:c r="H2375" s="12" t="n">
        <x:v>79.9244</x:v>
      </x:c>
      <x:c r="I2375" s="12" t="n">
        <x:v>1.6405</x:v>
      </x:c>
      <x:c r="J2375" s="12" t="n">
        <x:v>0.016272029170167585</x:v>
      </x:c>
      <x:c r="K2375" s="12" t="n">
        <x:v>305734801</x:v>
      </x:c>
      <x:c r="L2375" s="12" t="n">
        <x:v>904479321.902</x:v>
      </x:c>
      <x:c r="M2375" s="12" t="str">
        <x:v>TuShare index_daily</x:v>
      </x:c>
    </x:row>
    <x:row r="2376" ht="18" customHeight="1">
      <x:c r="A2376" s="13" t="n">
        <x:v>46154</x:v>
      </x:c>
      <x:c r="B2376" s="12" t="str">
        <x:v>000300.SH</x:v>
      </x:c>
      <x:c r="C2376" s="12" t="n">
        <x:v>4965.0175</x:v>
      </x:c>
      <x:c r="D2376" s="12" t="n">
        <x:v>4971.3026</x:v>
      </x:c>
      <x:c r="E2376" s="12" t="n">
        <x:v>4926.7897</x:v>
      </x:c>
      <x:c r="F2376" s="12" t="n">
        <x:v>4948.0465</x:v>
      </x:c>
      <x:c r="G2376" s="12" t="n">
        <x:v>4951.8366</x:v>
      </x:c>
      <x:c r="H2376" s="12" t="n">
        <x:v>-3.7901</x:v>
      </x:c>
      <x:c r="I2376" s="12" t="n">
        <x:v>-0.0765</x:v>
      </x:c>
      <x:c r="J2376" s="12" t="n">
        <x:v>-0.0007656858463650147</x:v>
      </x:c>
      <x:c r="K2376" s="12" t="n">
        <x:v>273812001</x:v>
      </x:c>
      <x:c r="L2376" s="12" t="n">
        <x:v>819351442.664</x:v>
      </x:c>
      <x:c r="M2376" s="12" t="str">
        <x:v>TuShare index_daily</x:v>
      </x:c>
    </x:row>
    <x:row r="2377" ht="18" customHeight="1">
      <x:c r="A2377" s="13" t="n">
        <x:v>46155</x:v>
      </x:c>
      <x:c r="B2377" s="12" t="str">
        <x:v>000300.SH</x:v>
      </x:c>
      <x:c r="C2377" s="12" t="n">
        <x:v>4919.4248</x:v>
      </x:c>
      <x:c r="D2377" s="12" t="n">
        <x:v>5001.1201</x:v>
      </x:c>
      <x:c r="E2377" s="12" t="n">
        <x:v>4919.4248</x:v>
      </x:c>
      <x:c r="F2377" s="12" t="n">
        <x:v>4998.3417</x:v>
      </x:c>
      <x:c r="G2377" s="12" t="n">
        <x:v>4948.0465</x:v>
      </x:c>
      <x:c r="H2377" s="12" t="n">
        <x:v>50.2952</x:v>
      </x:c>
      <x:c r="I2377" s="12" t="n">
        <x:v>1.0165</x:v>
      </x:c>
      <x:c r="J2377" s="12" t="n">
        <x:v>0.01011334520021664</x:v>
      </x:c>
      <x:c r="K2377" s="12" t="n">
        <x:v>268454537</x:v>
      </x:c>
      <x:c r="L2377" s="12" t="n">
        <x:v>823173197.929</x:v>
      </x:c>
      <x:c r="M2377" s="12" t="str">
        <x:v>TuShare index_daily</x:v>
      </x:c>
    </x:row>
    <x:row r="2378" ht="18" customHeight="1">
      <x:c r="A2378" s="13" t="n">
        <x:v>46156</x:v>
      </x:c>
      <x:c r="B2378" s="12" t="str">
        <x:v>000300.SH</x:v>
      </x:c>
      <x:c r="C2378" s="12" t="n">
        <x:v>5027.6405</x:v>
      </x:c>
      <x:c r="D2378" s="12" t="n">
        <x:v>5030.5187</x:v>
      </x:c>
      <x:c r="E2378" s="12" t="n">
        <x:v>4913.6037</x:v>
      </x:c>
      <x:c r="F2378" s="12" t="n">
        <x:v>4914.5971</x:v>
      </x:c>
      <x:c r="G2378" s="12" t="n">
        <x:v>4998.3417</x:v>
      </x:c>
      <x:c r="H2378" s="12" t="n">
        <x:v>-83.7446</x:v>
      </x:c>
      <x:c r="I2378" s="12" t="n">
        <x:v>-1.6754</x:v>
      </x:c>
      <x:c r="J2378" s="12" t="n">
        <x:v>-0.016896420734000092</x:v>
      </x:c>
      <x:c r="K2378" s="12" t="n">
        <x:v>280695379</x:v>
      </x:c>
      <x:c r="L2378" s="12" t="n">
        <x:v>857446326.248</x:v>
      </x:c>
      <x:c r="M2378" s="12" t="str">
        <x:v>TuShare index_daily</x:v>
      </x:c>
    </x:row>
    <x:row r="2379" ht="18" customHeight="1">
      <x:c r="A2379" s="13" t="n">
        <x:v>46157</x:v>
      </x:c>
      <x:c r="B2379" s="12" t="str">
        <x:v>000300.SH</x:v>
      </x:c>
      <x:c r="C2379" s="12" t="n">
        <x:v>4911.6223</x:v>
      </x:c>
      <x:c r="D2379" s="12" t="n">
        <x:v>4935.6173</x:v>
      </x:c>
      <x:c r="E2379" s="12" t="n">
        <x:v>4832.6899</x:v>
      </x:c>
      <x:c r="F2379" s="12" t="n">
        <x:v>4859.5927</x:v>
      </x:c>
      <x:c r="G2379" s="12" t="n">
        <x:v>4914.5971</x:v>
      </x:c>
      <x:c r="H2379" s="12" t="n">
        <x:v>-55.0044</x:v>
      </x:c>
      <x:c r="I2379" s="12" t="n">
        <x:v>-1.1192</x:v>
      </x:c>
      <x:c r="J2379" s="12" t="n">
        <x:v>-0.011255148872686452</x:v>
      </x:c>
      <x:c r="K2379" s="12" t="n">
        <x:v>276967769</x:v>
      </x:c>
      <x:c r="L2379" s="12" t="n">
        <x:v>887687426.985</x:v>
      </x:c>
      <x:c r="M2379" s="12" t="str">
        <x:v>TuShare index_daily</x:v>
      </x:c>
    </x:row>
    <x:row r="2380" ht="18" customHeight="1">
      <x:c r="A2380" s="13" t="n">
        <x:v>46160</x:v>
      </x:c>
      <x:c r="B2380" s="12" t="str">
        <x:v>000300.SH</x:v>
      </x:c>
      <x:c r="C2380" s="12" t="n">
        <x:v>4836.3286</x:v>
      </x:c>
      <x:c r="D2380" s="12" t="n">
        <x:v>4868.6008</x:v>
      </x:c>
      <x:c r="E2380" s="12" t="n">
        <x:v>4806.1455</x:v>
      </x:c>
      <x:c r="F2380" s="12" t="n">
        <x:v>4833.5237</x:v>
      </x:c>
      <x:c r="G2380" s="12" t="n">
        <x:v>4859.5927</x:v>
      </x:c>
      <x:c r="H2380" s="12" t="n">
        <x:v>-26.069</x:v>
      </x:c>
      <x:c r="I2380" s="12" t="n">
        <x:v>-0.5364</x:v>
      </x:c>
      <x:c r="J2380" s="12" t="n">
        <x:v>-0.005378881626373026</x:v>
      </x:c>
      <x:c r="K2380" s="12" t="n">
        <x:v>239077587</x:v>
      </x:c>
      <x:c r="L2380" s="12" t="n">
        <x:v>733452822.624</x:v>
      </x:c>
      <x:c r="M2380" s="12" t="str">
        <x:v>TuShare index_daily</x:v>
      </x:c>
    </x:row>
    <x:row r="2381" ht="18" customHeight="1">
      <x:c r="A2381" s="13" t="n">
        <x:v>46161</x:v>
      </x:c>
      <x:c r="B2381" s="12" t="str">
        <x:v>000300.SH</x:v>
      </x:c>
      <x:c r="C2381" s="12" t="n">
        <x:v>4818.7051</x:v>
      </x:c>
      <x:c r="D2381" s="12" t="n">
        <x:v>4854.5247</x:v>
      </x:c>
      <x:c r="E2381" s="12" t="n">
        <x:v>4773.534</x:v>
      </x:c>
      <x:c r="F2381" s="12" t="n">
        <x:v>4852.8832</x:v>
      </x:c>
      <x:c r="G2381" s="12" t="n">
        <x:v>4833.5237</x:v>
      </x:c>
      <x:c r="H2381" s="12" t="n">
        <x:v>19.3595</x:v>
      </x:c>
      <x:c r="I2381" s="12" t="n">
        <x:v>0.4005</x:v>
      </x:c>
      <x:c r="J2381" s="12" t="n">
        <x:v>0.003997256356691384</x:v>
      </x:c>
      <x:c r="K2381" s="12" t="n">
        <x:v>232280852</x:v>
      </x:c>
      <x:c r="L2381" s="12" t="n">
        <x:v>712401049.985</x:v>
      </x:c>
      <x:c r="M2381" s="12" t="str">
        <x:v>TuShare index_daily</x:v>
      </x:c>
    </x:row>
    <x:row r="2382" ht="18" customHeight="1">
      <x:c r="A2382" s="13" t="n">
        <x:v>46162</x:v>
      </x:c>
      <x:c r="B2382" s="12" t="str">
        <x:v>000300.SH</x:v>
      </x:c>
      <x:c r="C2382" s="12" t="n">
        <x:v>4829.6129</x:v>
      </x:c>
      <x:c r="D2382" s="12" t="n">
        <x:v>4866.2121</x:v>
      </x:c>
      <x:c r="E2382" s="12" t="n">
        <x:v>4825.643</x:v>
      </x:c>
      <x:c r="F2382" s="12" t="n">
        <x:v>4850.7</x:v>
      </x:c>
      <x:c r="G2382" s="12" t="n">
        <x:v>4852.8832</x:v>
      </x:c>
      <x:c r="H2382" s="12" t="n">
        <x:v>-2.1832</x:v>
      </x:c>
      <x:c r="I2382" s="12" t="n">
        <x:v>-0.045</x:v>
      </x:c>
      <x:c r="J2382" s="12" t="n">
        <x:v>-0.0004499781146490447</x:v>
      </x:c>
      <x:c r="K2382" s="12" t="n">
        <x:v>220023206</x:v>
      </x:c>
      <x:c r="L2382" s="12" t="n">
        <x:v>729653332.839</x:v>
      </x:c>
      <x:c r="M2382" s="12" t="str">
        <x:v>TuShare index_daily</x:v>
      </x:c>
    </x:row>
    <x:row r="2383" ht="18" customHeight="1">
      <x:c r="A2383" s="13" t="n">
        <x:v>46163</x:v>
      </x:c>
      <x:c r="B2383" s="12" t="str">
        <x:v>000300.SH</x:v>
      </x:c>
      <x:c r="C2383" s="12" t="n">
        <x:v>4886.2389</x:v>
      </x:c>
      <x:c r="D2383" s="12" t="n">
        <x:v>4937.9327</x:v>
      </x:c>
      <x:c r="E2383" s="12" t="n">
        <x:v>4780.7107</x:v>
      </x:c>
      <x:c r="F2383" s="12" t="n">
        <x:v>4783.0976</x:v>
      </x:c>
      <x:c r="G2383" s="12" t="n">
        <x:v>4850.7</x:v>
      </x:c>
      <x:c r="H2383" s="12" t="n">
        <x:v>-67.6024</x:v>
      </x:c>
      <x:c r="I2383" s="12" t="n">
        <x:v>-1.3937</x:v>
      </x:c>
      <x:c r="J2383" s="12" t="n">
        <x:v>-0.014034654338595203</x:v>
      </x:c>
      <x:c r="K2383" s="12" t="n">
        <x:v>287342507</x:v>
      </x:c>
      <x:c r="L2383" s="12" t="n">
        <x:v>891936347.97</x:v>
      </x:c>
      <x:c r="M2383" s="12" t="str">
        <x:v>TuShare index_daily</x:v>
      </x:c>
    </x:row>
    <x:row r="2384" ht="18" customHeight="1">
      <x:c r="A2384" s="13" t="n">
        <x:v>46164</x:v>
      </x:c>
      <x:c r="B2384" s="12" t="str">
        <x:v>000300.SH</x:v>
      </x:c>
      <x:c r="C2384" s="12" t="n">
        <x:v>4818.8435</x:v>
      </x:c>
      <x:c r="D2384" s="12" t="n">
        <x:v>4851.3489</x:v>
      </x:c>
      <x:c r="E2384" s="12" t="n">
        <x:v>4785.3486</x:v>
      </x:c>
      <x:c r="F2384" s="12" t="n">
        <x:v>4845.0956</x:v>
      </x:c>
      <x:c r="G2384" s="12" t="n">
        <x:v>4783.0976</x:v>
      </x:c>
      <x:c r="H2384" s="12" t="n">
        <x:v>61.998</x:v>
      </x:c>
      <x:c r="I2384" s="12" t="n">
        <x:v>1.2962</x:v>
      </x:c>
      <x:c r="J2384" s="12" t="n">
        <x:v>0.01287860673706273</x:v>
      </x:c>
      <x:c r="K2384" s="12" t="n">
        <x:v>286940435</x:v>
      </x:c>
      <x:c r="L2384" s="12" t="n">
        <x:v>771823300.851</x:v>
      </x:c>
      <x:c r="M2384" s="12" t="str">
        <x:v>TuShare index_daily</x:v>
      </x:c>
    </x:row>
    <x:row r="2385" ht="18" customHeight="1">
      <x:c r="A2385" s="13" t="n">
        <x:v>46167</x:v>
      </x:c>
      <x:c r="B2385" s="12" t="str">
        <x:v>000300.SH</x:v>
      </x:c>
      <x:c r="C2385" s="12" t="n">
        <x:v>4873.1962</x:v>
      </x:c>
      <x:c r="D2385" s="12" t="n">
        <x:v>4922.4375</x:v>
      </x:c>
      <x:c r="E2385" s="12" t="n">
        <x:v>4857.1345</x:v>
      </x:c>
      <x:c r="F2385" s="12" t="n">
        <x:v>4921.5974</x:v>
      </x:c>
      <x:c r="G2385" s="12" t="n">
        <x:v>4845.0956</x:v>
      </x:c>
      <x:c r="H2385" s="12" t="n">
        <x:v>76.5018</x:v>
      </x:c>
      <x:c r="I2385" s="12" t="n">
        <x:v>1.579</x:v>
      </x:c>
      <x:c r="J2385" s="12" t="n">
        <x:v>0.015666175775299437</x:v>
      </x:c>
      <x:c r="K2385" s="12" t="n">
        <x:v>264743236</x:v>
      </x:c>
      <x:c r="L2385" s="12" t="n">
        <x:v>861179421.9</x:v>
      </x:c>
      <x:c r="M2385" s="12" t="str">
        <x:v>TuShare index_daily</x:v>
      </x:c>
    </x:row>
    <x:row r="2386" ht="18" customHeight="1">
      <x:c r="A2386" s="13" t="n">
        <x:v>46168</x:v>
      </x:c>
      <x:c r="B2386" s="12" t="str">
        <x:v>000300.SH</x:v>
      </x:c>
      <x:c r="C2386" s="12" t="n">
        <x:v>4900.1152</x:v>
      </x:c>
      <x:c r="D2386" s="12" t="n">
        <x:v>4952.7412</x:v>
      </x:c>
      <x:c r="E2386" s="12" t="n">
        <x:v>4892.683</x:v>
      </x:c>
      <x:c r="F2386" s="12" t="n">
        <x:v>4947.8493</x:v>
      </x:c>
      <x:c r="G2386" s="12" t="n">
        <x:v>4921.5974</x:v>
      </x:c>
      <x:c r="H2386" s="12" t="n">
        <x:v>26.2519</x:v>
      </x:c>
      <x:c r="I2386" s="12" t="n">
        <x:v>0.5334</x:v>
      </x:c>
      <x:c r="J2386" s="12" t="n">
        <x:v>0.005319844710714726</x:v>
      </x:c>
      <x:c r="K2386" s="12" t="n">
        <x:v>302799476</x:v>
      </x:c>
      <x:c r="L2386" s="12" t="n">
        <x:v>899094487.857</x:v>
      </x:c>
      <x:c r="M2386" s="12" t="str">
        <x:v>TuShare index_daily</x:v>
      </x:c>
    </x:row>
    <x:row r="2387" ht="18" customHeight="1">
      <x:c r="A2387" s="13" t="n">
        <x:v>46169</x:v>
      </x:c>
      <x:c r="B2387" s="12" t="str">
        <x:v>000300.SH</x:v>
      </x:c>
      <x:c r="C2387" s="12" t="n">
        <x:v>4940.9454</x:v>
      </x:c>
      <x:c r="D2387" s="12" t="n">
        <x:v>4974.2108</x:v>
      </x:c>
      <x:c r="E2387" s="12" t="n">
        <x:v>4891.3428</x:v>
      </x:c>
      <x:c r="F2387" s="12" t="n">
        <x:v>4908.1714</x:v>
      </x:c>
      <x:c r="G2387" s="12" t="n">
        <x:v>4947.8493</x:v>
      </x:c>
      <x:c r="H2387" s="12" t="n">
        <x:v>-39.6779</x:v>
      </x:c>
      <x:c r="I2387" s="12" t="n">
        <x:v>-0.8019</x:v>
      </x:c>
      <x:c r="J2387" s="12" t="n">
        <x:v>-0.008051548501949888</x:v>
      </x:c>
      <x:c r="K2387" s="12" t="n">
        <x:v>301709175</x:v>
      </x:c>
      <x:c r="L2387" s="12" t="n">
        <x:v>909011906.95</x:v>
      </x:c>
      <x:c r="M2387" s="12" t="str">
        <x:v>TuShare index_daily</x:v>
      </x:c>
    </x:row>
    <x:row r="2388" ht="18" customHeight="1">
      <x:c r="A2388" s="13" t="n">
        <x:v>46170</x:v>
      </x:c>
      <x:c r="B2388" s="12" t="str">
        <x:v>000300.SH</x:v>
      </x:c>
      <x:c r="C2388" s="12" t="n">
        <x:v>4889.2659</x:v>
      </x:c>
      <x:c r="D2388" s="12" t="n">
        <x:v>4922.3297</x:v>
      </x:c>
      <x:c r="E2388" s="12" t="n">
        <x:v>4843.2265</x:v>
      </x:c>
      <x:c r="F2388" s="12" t="n">
        <x:v>4914.2133</x:v>
      </x:c>
      <x:c r="G2388" s="12" t="n">
        <x:v>4908.1714</x:v>
      </x:c>
      <x:c r="H2388" s="12" t="n">
        <x:v>6.0419</x:v>
      </x:c>
      <x:c r="I2388" s="12" t="n">
        <x:v>0.1231</x:v>
      </x:c>
      <x:c r="J2388" s="12" t="n">
        <x:v>0.0012302309360817918</x:v>
      </x:c>
      <x:c r="K2388" s="12" t="n">
        <x:v>267432731</x:v>
      </x:c>
      <x:c r="L2388" s="12" t="n">
        <x:v>819897918.903</x:v>
      </x:c>
      <x:c r="M2388" s="12" t="str">
        <x:v>TuShare index_daily</x:v>
      </x:c>
    </x:row>
    <x:row r="2389" ht="18" customHeight="1">
      <x:c r="A2389" s="13" t="n">
        <x:v>46171</x:v>
      </x:c>
      <x:c r="B2389" s="12" t="str">
        <x:v>000300.SH</x:v>
      </x:c>
      <x:c r="C2389" s="12" t="n">
        <x:v>4937.5119</x:v>
      </x:c>
      <x:c r="D2389" s="12" t="n">
        <x:v>4954.0703</x:v>
      </x:c>
      <x:c r="E2389" s="12" t="n">
        <x:v>4878.7869</x:v>
      </x:c>
      <x:c r="F2389" s="12" t="n">
        <x:v>4892.1213</x:v>
      </x:c>
      <x:c r="G2389" s="12" t="n">
        <x:v>4914.2133</x:v>
      </x:c>
      <x:c r="H2389" s="12" t="n">
        <x:v>-22.092</x:v>
      </x:c>
      <x:c r="I2389" s="12" t="n">
        <x:v>-0.4496</x:v>
      </x:c>
      <x:c r="J2389" s="12" t="n">
        <x:v>-0.004505666648206661</x:v>
      </x:c>
      <x:c r="K2389" s="12" t="n">
        <x:v>332518610</x:v>
      </x:c>
      <x:c r="L2389" s="12" t="n">
        <x:v>942236490.058</x:v>
      </x:c>
      <x:c r="M2389" s="12" t="str">
        <x:v>TuShare index_daily</x:v>
      </x:c>
    </x:row>
    <x:row r="2390" ht="18" customHeight="1">
      <x:c r="A2390" s="13" t="n">
        <x:v>46174</x:v>
      </x:c>
      <x:c r="B2390" s="12" t="str">
        <x:v>000300.SH</x:v>
      </x:c>
      <x:c r="C2390" s="12" t="n">
        <x:v>4897.8968</x:v>
      </x:c>
      <x:c r="D2390" s="12" t="n">
        <x:v>4918.7935</x:v>
      </x:c>
      <x:c r="E2390" s="12" t="n">
        <x:v>4836.6851</x:v>
      </x:c>
      <x:c r="F2390" s="12" t="n">
        <x:v>4844.2556</x:v>
      </x:c>
      <x:c r="G2390" s="12" t="n">
        <x:v>4892.1213</x:v>
      </x:c>
      <x:c r="H2390" s="12" t="n">
        <x:v>-47.8657</x:v>
      </x:c>
      <x:c r="I2390" s="12" t="n">
        <x:v>-0.9784</x:v>
      </x:c>
      <x:c r="J2390" s="12" t="n">
        <x:v>-0.009832422494559519</x:v>
      </x:c>
      <x:c r="K2390" s="12" t="n">
        <x:v>296134051</x:v>
      </x:c>
      <x:c r="L2390" s="12" t="n">
        <x:v>823984849</x:v>
      </x:c>
      <x:c r="M2390" s="12" t="str">
        <x:v>TuShare index_daily</x:v>
      </x:c>
    </x:row>
    <x:row r="2391" ht="18" customHeight="1">
      <x:c r="A2391" s="13" t="n">
        <x:v>46175</x:v>
      </x:c>
      <x:c r="B2391" s="12" t="str">
        <x:v>000300.SH</x:v>
      </x:c>
      <x:c r="C2391" s="12" t="n">
        <x:v>4860.6119</x:v>
      </x:c>
      <x:c r="D2391" s="12" t="n">
        <x:v>4930.2776</x:v>
      </x:c>
      <x:c r="E2391" s="12" t="n">
        <x:v>4831.9972</x:v>
      </x:c>
      <x:c r="F2391" s="12" t="n">
        <x:v>4914.5591</x:v>
      </x:c>
      <x:c r="G2391" s="12" t="n">
        <x:v>4844.2556</x:v>
      </x:c>
      <x:c r="H2391" s="12" t="n">
        <x:v>70.3035</x:v>
      </x:c>
      <x:c r="I2391" s="12" t="n">
        <x:v>1.4513</x:v>
      </x:c>
      <x:c r="J2391" s="12" t="n">
        <x:v>0.01440845398306778</x:v>
      </x:c>
      <x:c r="K2391" s="12" t="n">
        <x:v>281731662</x:v>
      </x:c>
      <x:c r="L2391" s="12" t="n">
        <x:v>806751344.395</x:v>
      </x:c>
      <x:c r="M2391" s="12" t="str">
        <x:v>TuShare index_daily</x:v>
      </x:c>
    </x:row>
    <x:row r="2392" ht="18" customHeight="1">
      <x:c r="A2392" s="13" t="n">
        <x:v>46176</x:v>
      </x:c>
      <x:c r="B2392" s="12" t="str">
        <x:v>000300.SH</x:v>
      </x:c>
      <x:c r="C2392" s="12" t="n">
        <x:v>4921.3445</x:v>
      </x:c>
      <x:c r="D2392" s="12" t="n">
        <x:v>4991.8525</x:v>
      </x:c>
      <x:c r="E2392" s="12" t="n">
        <x:v>4904.8969</x:v>
      </x:c>
      <x:c r="F2392" s="12" t="n">
        <x:v>4938.8091</x:v>
      </x:c>
      <x:c r="G2392" s="12" t="n">
        <x:v>4914.5591</x:v>
      </x:c>
      <x:c r="H2392" s="12" t="n">
        <x:v>24.25</x:v>
      </x:c>
      <x:c r="I2392" s="12" t="n">
        <x:v>0.4934</x:v>
      </x:c>
      <x:c r="J2392" s="12" t="n">
        <x:v>0.00492218467194442</x:v>
      </x:c>
      <x:c r="K2392" s="12" t="n">
        <x:v>304035947</x:v>
      </x:c>
      <x:c r="L2392" s="12" t="n">
        <x:v>906047729.419</x:v>
      </x:c>
      <x:c r="M2392" s="12" t="str">
        <x:v>TuShare index_daily</x:v>
      </x:c>
    </x:row>
    <x:row r="2393" ht="18" customHeight="1">
      <x:c r="A2393" s="13" t="n">
        <x:v>46177</x:v>
      </x:c>
      <x:c r="B2393" s="12" t="str">
        <x:v>000300.SH</x:v>
      </x:c>
      <x:c r="C2393" s="12" t="n">
        <x:v>4897.3164</x:v>
      </x:c>
      <x:c r="D2393" s="12" t="n">
        <x:v>4938.7814</x:v>
      </x:c>
      <x:c r="E2393" s="12" t="n">
        <x:v>4889.7456</x:v>
      </x:c>
      <x:c r="F2393" s="12" t="n">
        <x:v>4904.7454</x:v>
      </x:c>
      <x:c r="G2393" s="12" t="n">
        <x:v>4938.8091</x:v>
      </x:c>
      <x:c r="H2393" s="12" t="n">
        <x:v>-34.0637</x:v>
      </x:c>
      <x:c r="I2393" s="12" t="n">
        <x:v>-0.6897</x:v>
      </x:c>
      <x:c r="J2393" s="12" t="n">
        <x:v>-0.0069210438105936824</x:v>
      </x:c>
      <x:c r="K2393" s="12" t="n">
        <x:v>264808910</x:v>
      </x:c>
      <x:c r="L2393" s="12" t="n">
        <x:v>736143410.003</x:v>
      </x:c>
      <x:c r="M2393" s="12" t="str">
        <x:v>TuShare index_daily</x:v>
      </x:c>
    </x:row>
    <x:row r="2394" ht="18" customHeight="1">
      <x:c r="A2394" s="13" t="n">
        <x:v>46178</x:v>
      </x:c>
      <x:c r="B2394" s="12" t="str">
        <x:v>000300.SH</x:v>
      </x:c>
      <x:c r="C2394" s="12" t="n">
        <x:v>4886.9645</x:v>
      </x:c>
      <x:c r="D2394" s="12" t="n">
        <x:v>4924.3438</x:v>
      </x:c>
      <x:c r="E2394" s="12" t="n">
        <x:v>4798.9103</x:v>
      </x:c>
      <x:c r="F2394" s="12" t="n">
        <x:v>4816.9199</x:v>
      </x:c>
      <x:c r="G2394" s="12" t="n">
        <x:v>4904.7454</x:v>
      </x:c>
      <x:c r="H2394" s="12" t="n">
        <x:v>-87.8255</x:v>
      </x:c>
      <x:c r="I2394" s="12" t="n">
        <x:v>-1.7906</x:v>
      </x:c>
      <x:c r="J2394" s="12" t="n">
        <x:v>-0.018068486549197182</x:v>
      </x:c>
      <x:c r="K2394" s="12" t="n">
        <x:v>301929336</x:v>
      </x:c>
      <x:c r="L2394" s="12" t="n">
        <x:v>839863796.396</x:v>
      </x:c>
      <x:c r="M2394" s="12" t="str">
        <x:v>TuShare index_daily</x:v>
      </x:c>
    </x:row>
    <x:row r="2395" ht="18" customHeight="1">
      <x:c r="A2395" s="13" t="n">
        <x:v>46181</x:v>
      </x:c>
      <x:c r="B2395" s="12" t="str">
        <x:v>000300.SH</x:v>
      </x:c>
      <x:c r="C2395" s="12" t="n">
        <x:v>4703.773</x:v>
      </x:c>
      <x:c r="D2395" s="12" t="n">
        <x:v>4779.8623</x:v>
      </x:c>
      <x:c r="E2395" s="12" t="n">
        <x:v>4677.5682</x:v>
      </x:c>
      <x:c r="F2395" s="12" t="n">
        <x:v>4713.6358</x:v>
      </x:c>
      <x:c r="G2395" s="12" t="n">
        <x:v>4816.9199</x:v>
      </x:c>
      <x:c r="H2395" s="12" t="n">
        <x:v>-103.2841</x:v>
      </x:c>
      <x:c r="I2395" s="12" t="n">
        <x:v>-2.1442</x:v>
      </x:c>
      <x:c r="J2395" s="12" t="n">
        <x:v>-0.021675156601350522</x:v>
      </x:c>
      <x:c r="K2395" s="12" t="n">
        <x:v>299647565</x:v>
      </x:c>
      <x:c r="L2395" s="12" t="n">
        <x:v>761046395.1659</x:v>
      </x:c>
      <x:c r="M2395" s="12" t="str">
        <x:v>TuShare index_daily</x:v>
      </x:c>
    </x:row>
    <x:row r="2396" ht="18" customHeight="1">
      <x:c r="A2396" s="13" t="n">
        <x:v>46182</x:v>
      </x:c>
      <x:c r="B2396" s="12" t="str">
        <x:v>000300.SH</x:v>
      </x:c>
      <x:c r="C2396" s="12" t="n">
        <x:v>4743.4505</x:v>
      </x:c>
      <x:c r="D2396" s="12" t="n">
        <x:v>4802.5047</x:v>
      </x:c>
      <x:c r="E2396" s="12" t="n">
        <x:v>4715.3907</x:v>
      </x:c>
      <x:c r="F2396" s="12" t="n">
        <x:v>4801.8106</x:v>
      </x:c>
      <x:c r="G2396" s="12" t="n">
        <x:v>4713.6358</x:v>
      </x:c>
      <x:c r="H2396" s="12" t="n">
        <x:v>88.1748</x:v>
      </x:c>
      <x:c r="I2396" s="12" t="n">
        <x:v>1.8706</x:v>
      </x:c>
      <x:c r="J2396" s="12" t="n">
        <x:v>0.01853351282054119</x:v>
      </x:c>
      <x:c r="K2396" s="12" t="n">
        <x:v>258391601</x:v>
      </x:c>
      <x:c r="L2396" s="12" t="n">
        <x:v>713286998.8209</x:v>
      </x:c>
      <x:c r="M2396" s="12" t="str">
        <x:v>TuShare index_daily</x:v>
      </x:c>
    </x:row>
    <x:row r="2397" ht="18" customHeight="1">
      <x:c r="A2397" s="13" t="n">
        <x:v>46183</x:v>
      </x:c>
      <x:c r="B2397" s="12" t="str">
        <x:v>000300.SH</x:v>
      </x:c>
      <x:c r="C2397" s="12" t="n">
        <x:v>4753.1154</x:v>
      </x:c>
      <x:c r="D2397" s="12" t="n">
        <x:v>4786.5162</x:v>
      </x:c>
      <x:c r="E2397" s="12" t="n">
        <x:v>4718.9946</x:v>
      </x:c>
      <x:c r="F2397" s="12" t="n">
        <x:v>4748.5932</x:v>
      </x:c>
      <x:c r="G2397" s="12" t="n">
        <x:v>4801.8106</x:v>
      </x:c>
      <x:c r="H2397" s="12" t="n">
        <x:v>-53.2174</x:v>
      </x:c>
      <x:c r="I2397" s="12" t="n">
        <x:v>-1.1083</x:v>
      </x:c>
      <x:c r="J2397" s="12" t="n">
        <x:v>-0.011144649363031658</x:v>
      </x:c>
      <x:c r="K2397" s="12" t="n">
        <x:v>259297109</x:v>
      </x:c>
      <x:c r="L2397" s="12" t="n">
        <x:v>694628416.0573</x:v>
      </x:c>
      <x:c r="M2397" s="12" t="str">
        <x:v>TuShare index_daily</x:v>
      </x:c>
    </x:row>
    <x:row r="2398" ht="18" customHeight="1">
      <x:c r="A2398" s="13" t="n">
        <x:v>46184</x:v>
      </x:c>
      <x:c r="B2398" s="12" t="str">
        <x:v>000300.SH</x:v>
      </x:c>
      <x:c r="C2398" s="12" t="n">
        <x:v>4730.072</x:v>
      </x:c>
      <x:c r="D2398" s="12" t="n">
        <x:v>4766.1728</x:v>
      </x:c>
      <x:c r="E2398" s="12" t="n">
        <x:v>4685.5014</x:v>
      </x:c>
      <x:c r="F2398" s="12" t="n">
        <x:v>4722.4122</x:v>
      </x:c>
      <x:c r="G2398" s="12" t="n">
        <x:v>4748.5932</x:v>
      </x:c>
      <x:c r="H2398" s="12" t="n">
        <x:v>-26.181</x:v>
      </x:c>
      <x:c r="I2398" s="12" t="n">
        <x:v>-0.5513</x:v>
      </x:c>
      <x:c r="J2398" s="12" t="n">
        <x:v>-0.005528677385810438</x:v>
      </x:c>
      <x:c r="K2398" s="12" t="n">
        <x:v>247177059</x:v>
      </x:c>
      <x:c r="L2398" s="12" t="n">
        <x:v>653931756.2594</x:v>
      </x:c>
      <x:c r="M2398" s="12" t="str">
        <x:v>TuShare index_daily</x:v>
      </x:c>
    </x:row>
    <x:row r="2399" ht="18" customHeight="1">
      <x:c r="A2399" s="13" t="n">
        <x:v>46185</x:v>
      </x:c>
      <x:c r="B2399" s="12" t="str">
        <x:v>000300.SH</x:v>
      </x:c>
      <x:c r="C2399" s="12" t="n">
        <x:v>4784.6396</x:v>
      </x:c>
      <x:c r="D2399" s="12" t="n">
        <x:v>4809.8606</x:v>
      </x:c>
      <x:c r="E2399" s="12" t="n">
        <x:v>4757.5574</x:v>
      </x:c>
      <x:c r="F2399" s="12" t="n">
        <x:v>4777.3206</x:v>
      </x:c>
      <x:c r="G2399" s="12" t="n">
        <x:v>4722.4122</x:v>
      </x:c>
      <x:c r="H2399" s="12" t="n">
        <x:v>54.9084</x:v>
      </x:c>
      <x:c r="I2399" s="12" t="n">
        <x:v>1.1627</x:v>
      </x:c>
      <x:c r="J2399" s="12" t="n">
        <x:v>0.01156011703366715</x:v>
      </x:c>
      <x:c r="K2399" s="12" t="n">
        <x:v>335922063</x:v>
      </x:c>
      <x:c r="L2399" s="12" t="n">
        <x:v>871477325.2014</x:v>
      </x:c>
      <x:c r="M2399" s="12" t="str">
        <x:v>TuShare index_daily</x:v>
      </x:c>
    </x:row>
    <x:row r="2400" ht="18" customHeight="1">
      <x:c r="A2400" s="13" t="n">
        <x:v>46188</x:v>
      </x:c>
      <x:c r="B2400" s="12" t="str">
        <x:v>000300.SH</x:v>
      </x:c>
      <x:c r="C2400" s="12" t="n">
        <x:v>4829.2886</x:v>
      </x:c>
      <x:c r="D2400" s="12" t="n">
        <x:v>4892.5502</x:v>
      </x:c>
      <x:c r="E2400" s="12" t="n">
        <x:v>4803.1836</x:v>
      </x:c>
      <x:c r="F2400" s="12" t="n">
        <x:v>4891.7126</x:v>
      </x:c>
      <x:c r="G2400" s="12" t="n">
        <x:v>4777.3206</x:v>
      </x:c>
      <x:c r="H2400" s="12" t="n">
        <x:v>114.392</x:v>
      </x:c>
      <x:c r="I2400" s="12" t="n">
        <x:v>2.3945</x:v>
      </x:c>
      <x:c r="J2400" s="12" t="n">
        <x:v>0.02366262171438832</x:v>
      </x:c>
      <x:c r="K2400" s="12" t="n">
        <x:v>331316076</x:v>
      </x:c>
      <x:c r="L2400" s="12" t="n">
        <x:v>914145755.8047</x:v>
      </x:c>
      <x:c r="M2400" s="12" t="str">
        <x:v>TuShare index_daily</x:v>
      </x:c>
    </x:row>
    <x:row r="2401" ht="18" customHeight="1">
      <x:c r="A2401" s="13" t="n">
        <x:v>46189</x:v>
      </x:c>
      <x:c r="B2401" s="12" t="str">
        <x:v>000300.SH</x:v>
      </x:c>
      <x:c r="C2401" s="12" t="n">
        <x:v>4894.8785</x:v>
      </x:c>
      <x:c r="D2401" s="12" t="n">
        <x:v>4908.2817</x:v>
      </x:c>
      <x:c r="E2401" s="12" t="n">
        <x:v>4866.0613</x:v>
      </x:c>
      <x:c r="F2401" s="12" t="n">
        <x:v>4884.2322</x:v>
      </x:c>
      <x:c r="G2401" s="12" t="n">
        <x:v>4891.7126</x:v>
      </x:c>
      <x:c r="H2401" s="12" t="n">
        <x:v>-7.4804</x:v>
      </x:c>
      <x:c r="I2401" s="12" t="n">
        <x:v>-0.1529</x:v>
      </x:c>
      <x:c r="J2401" s="12" t="n">
        <x:v>-0.001530369005345078</x:v>
      </x:c>
      <x:c r="K2401" s="12" t="n">
        <x:v>282584743</x:v>
      </x:c>
      <x:c r="L2401" s="12" t="n">
        <x:v>857202587.4781</x:v>
      </x:c>
      <x:c r="M2401" s="12" t="str">
        <x:v>TuShare index_daily</x:v>
      </x:c>
    </x:row>
    <x:row r="2402" ht="18" customHeight="1">
      <x:c r="A2402" s="13" t="n">
        <x:v>46190</x:v>
      </x:c>
      <x:c r="B2402" s="12" t="str">
        <x:v>000300.SH</x:v>
      </x:c>
      <x:c r="C2402" s="12" t="n">
        <x:v>4859.7012</x:v>
      </x:c>
      <x:c r="D2402" s="12" t="n">
        <x:v>4933.9288</x:v>
      </x:c>
      <x:c r="E2402" s="12" t="n">
        <x:v>4859.7012</x:v>
      </x:c>
      <x:c r="F2402" s="12" t="n">
        <x:v>4931.3861</x:v>
      </x:c>
      <x:c r="G2402" s="12" t="n">
        <x:v>4884.2322</x:v>
      </x:c>
      <x:c r="H2402" s="12" t="n">
        <x:v>47.1539</x:v>
      </x:c>
      <x:c r="I2402" s="12" t="n">
        <x:v>0.9654</x:v>
      </x:c>
      <x:c r="J2402" s="12" t="n">
        <x:v>0.009608006608348506</x:v>
      </x:c>
      <x:c r="K2402" s="12" t="n">
        <x:v>276053950</x:v>
      </x:c>
      <x:c r="L2402" s="12" t="n">
        <x:v>850367581.5807</x:v>
      </x:c>
      <x:c r="M2402" s="12" t="str">
        <x:v>TuShare index_daily</x:v>
      </x:c>
    </x:row>
    <x:row r="2403" ht="18" customHeight="1">
      <x:c r="A2403" s="13" t="n">
        <x:v>46191</x:v>
      </x:c>
      <x:c r="B2403" s="12" t="str">
        <x:v>000300.SH</x:v>
      </x:c>
      <x:c r="C2403" s="12" t="n">
        <x:v>4916.0442</x:v>
      </x:c>
      <x:c r="D2403" s="12" t="n">
        <x:v>4976.8909</x:v>
      </x:c>
      <x:c r="E2403" s="12" t="n">
        <x:v>4916.0442</x:v>
      </x:c>
      <x:c r="F2403" s="12" t="n">
        <x:v>4941.5986</x:v>
      </x:c>
      <x:c r="G2403" s="12" t="n">
        <x:v>4931.3861</x:v>
      </x:c>
      <x:c r="H2403" s="12" t="n">
        <x:v>10.2125</x:v>
      </x:c>
      <x:c r="I2403" s="12" t="n">
        <x:v>0.2071</x:v>
      </x:c>
      <x:c r="J2403" s="12" t="n">
        <x:v>0.0020687773662452385</x:v>
      </x:c>
      <x:c r="K2403" s="12" t="n">
        <x:v>334459902</x:v>
      </x:c>
      <x:c r="L2403" s="12" t="n">
        <x:v>1021710711.0561</x:v>
      </x:c>
      <x:c r="M2403" s="12" t="str">
        <x:v>TuShare index_daily</x:v>
      </x:c>
    </x:row>
    <x:row r="2404" ht="18" customHeight="1">
      <x:c r="A2404" s="13" t="n">
        <x:v>46195</x:v>
      </x:c>
      <x:c r="B2404" s="12" t="str">
        <x:v>000300.SH</x:v>
      </x:c>
      <x:c r="C2404" s="12" t="n">
        <x:v>4949.3457</x:v>
      </x:c>
      <x:c r="D2404" s="12" t="n">
        <x:v>5061.5105</x:v>
      </x:c>
      <x:c r="E2404" s="12" t="n">
        <x:v>4928.4582</x:v>
      </x:c>
      <x:c r="F2404" s="12" t="n">
        <x:v>5059.6582</x:v>
      </x:c>
      <x:c r="G2404" s="12" t="n">
        <x:v>4941.5986</x:v>
      </x:c>
      <x:c r="H2404" s="12" t="n">
        <x:v>118.0596</x:v>
      </x:c>
      <x:c r="I2404" s="12" t="n">
        <x:v>2.3891</x:v>
      </x:c>
      <x:c r="J2404" s="12" t="n">
        <x:v>0.023610049520233017</x:v>
      </x:c>
      <x:c r="K2404" s="12" t="n">
        <x:v>375100124</x:v>
      </x:c>
      <x:c r="L2404" s="12" t="n">
        <x:v>1145900296.7575</x:v>
      </x:c>
      <x:c r="M2404" s="12" t="str">
        <x:v>TuShare index_daily</x:v>
      </x:c>
    </x:row>
    <x:row r="2405" ht="18" customHeight="1">
      <x:c r="A2405" s="13" t="n">
        <x:v>46196</x:v>
      </x:c>
      <x:c r="B2405" s="12" t="str">
        <x:v>000300.SH</x:v>
      </x:c>
      <x:c r="C2405" s="12" t="n">
        <x:v>5048.0255</x:v>
      </x:c>
      <x:c r="D2405" s="12" t="n">
        <x:v>5064.2654</x:v>
      </x:c>
      <x:c r="E2405" s="12" t="n">
        <x:v>4892.0944</x:v>
      </x:c>
      <x:c r="F2405" s="12" t="n">
        <x:v>4919.386</x:v>
      </x:c>
      <x:c r="G2405" s="12" t="n">
        <x:v>5059.6582</x:v>
      </x:c>
      <x:c r="H2405" s="12" t="n">
        <x:v>-140.2722</x:v>
      </x:c>
      <x:c r="I2405" s="12" t="n">
        <x:v>-2.7724</x:v>
      </x:c>
      <x:c r="J2405" s="12" t="n">
        <x:v>-0.02811520564220836</x:v>
      </x:c>
      <x:c r="K2405" s="12" t="n">
        <x:v>342719336</x:v>
      </x:c>
      <x:c r="L2405" s="12" t="n">
        <x:v>1047052858.8213</x:v>
      </x:c>
      <x:c r="M2405" s="12" t="str">
        <x:v>TuShare index_daily</x:v>
      </x:c>
    </x:row>
    <x:row r="2406" ht="18" customHeight="1">
      <x:c r="A2406" s="13" t="n">
        <x:v>46197</x:v>
      </x:c>
      <x:c r="B2406" s="12" t="str">
        <x:v>000300.SH</x:v>
      </x:c>
      <x:c r="C2406" s="12" t="n">
        <x:v>4900.3838</x:v>
      </x:c>
      <x:c r="D2406" s="12" t="n">
        <x:v>4953.2321</x:v>
      </x:c>
      <x:c r="E2406" s="12" t="n">
        <x:v>4892.2676</x:v>
      </x:c>
      <x:c r="F2406" s="12" t="n">
        <x:v>4943.0197</x:v>
      </x:c>
      <x:c r="G2406" s="12" t="n">
        <x:v>4919.386</x:v>
      </x:c>
      <x:c r="H2406" s="12" t="n">
        <x:v>23.6337</x:v>
      </x:c>
      <x:c r="I2406" s="12" t="n">
        <x:v>0.4804</x:v>
      </x:c>
      <x:c r="J2406" s="12" t="n">
        <x:v>0.004792693782340063</x:v>
      </x:c>
      <x:c r="K2406" s="12" t="n">
        <x:v>312249025</x:v>
      </x:c>
      <x:c r="L2406" s="12" t="n">
        <x:v>964945849.9787</x:v>
      </x:c>
      <x:c r="M2406" s="12" t="str">
        <x:v>TuShare index_daily</x:v>
      </x:c>
    </x:row>
    <x:row r="2407" ht="18" customHeight="1">
      <x:c r="A2407" s="13" t="n">
        <x:v>46198</x:v>
      </x:c>
      <x:c r="B2407" s="12" t="str">
        <x:v>000300.SH</x:v>
      </x:c>
      <x:c r="C2407" s="12" t="n">
        <x:v>4950.9753</x:v>
      </x:c>
      <x:c r="D2407" s="12" t="n">
        <x:v>5031.9994</x:v>
      </x:c>
      <x:c r="E2407" s="12" t="n">
        <x:v>4944.876</x:v>
      </x:c>
      <x:c r="F2407" s="12" t="n">
        <x:v>5020.1038</x:v>
      </x:c>
      <x:c r="G2407" s="12" t="n">
        <x:v>4943.0197</x:v>
      </x:c>
      <x:c r="H2407" s="12" t="n">
        <x:v>77.0841</x:v>
      </x:c>
      <x:c r="I2407" s="12" t="n">
        <x:v>1.5595</x:v>
      </x:c>
      <x:c r="J2407" s="12" t="n">
        <x:v>0.01547419102987474</x:v>
      </x:c>
      <x:c r="K2407" s="12" t="n">
        <x:v>346664289</x:v>
      </x:c>
      <x:c r="L2407" s="12" t="n">
        <x:v>1110040892.2561</x:v>
      </x:c>
      <x:c r="M2407" s="12" t="str">
        <x:v>TuShare index_daily</x:v>
      </x:c>
    </x:row>
    <x:row r="2408" ht="18" customHeight="1">
      <x:c r="A2408" s="13" t="n">
        <x:v>46199</x:v>
      </x:c>
      <x:c r="B2408" s="12" t="str">
        <x:v>000300.SH</x:v>
      </x:c>
      <x:c r="C2408" s="12" t="n">
        <x:v>4981.8251</x:v>
      </x:c>
      <x:c r="D2408" s="12" t="n">
        <x:v>4981.983</x:v>
      </x:c>
      <x:c r="E2408" s="12" t="n">
        <x:v>4845.1921</x:v>
      </x:c>
      <x:c r="F2408" s="12" t="n">
        <x:v>4868.2205</x:v>
      </x:c>
      <x:c r="G2408" s="12" t="n">
        <x:v>5020.1038</x:v>
      </x:c>
      <x:c r="H2408" s="12" t="n">
        <x:v>-151.8833</x:v>
      </x:c>
      <x:c r="I2408" s="12" t="n">
        <x:v>-3.0255</x:v>
      </x:c>
      <x:c r="J2408" s="12" t="n">
        <x:v>-0.03072214087187831</x:v>
      </x:c>
      <x:c r="K2408" s="12" t="n">
        <x:v>341179238</x:v>
      </x:c>
      <x:c r="L2408" s="12" t="n">
        <x:v>1068082662.0869</x:v>
      </x:c>
      <x:c r="M2408" s="12" t="str">
        <x:v>TuShare index_daily</x:v>
      </x:c>
    </x:row>
    <x:row r="2409" ht="18" customHeight="1">
      <x:c r="A2409" s="13" t="n">
        <x:v>46202</x:v>
      </x:c>
      <x:c r="B2409" s="12" t="str">
        <x:v>000300.SH</x:v>
      </x:c>
      <x:c r="C2409" s="12" t="n">
        <x:v>4866.0432</x:v>
      </x:c>
      <x:c r="D2409" s="12" t="n">
        <x:v>4928.5987</x:v>
      </x:c>
      <x:c r="E2409" s="12" t="n">
        <x:v>4827.149</x:v>
      </x:c>
      <x:c r="F2409" s="12" t="n">
        <x:v>4926.921</x:v>
      </x:c>
      <x:c r="G2409" s="12" t="n">
        <x:v>4868.2205</x:v>
      </x:c>
      <x:c r="H2409" s="12" t="n">
        <x:v>58.7005</x:v>
      </x:c>
      <x:c r="I2409" s="12" t="n">
        <x:v>1.2058</x:v>
      </x:c>
      <x:c r="J2409" s="12" t="n">
        <x:v>0.011985779426626321</x:v>
      </x:c>
      <x:c r="K2409" s="12" t="n">
        <x:v>323216134</x:v>
      </x:c>
      <x:c r="L2409" s="12" t="n">
        <x:v>1053723822.5525</x:v>
      </x:c>
      <x:c r="M2409" s="12" t="str">
        <x:v>TuShare index_daily</x:v>
      </x:c>
    </x:row>
    <x:row r="2410" ht="18" customHeight="1">
      <x:c r="A2410" s="13" t="n">
        <x:v>46203</x:v>
      </x:c>
      <x:c r="B2410" s="12" t="str">
        <x:v>000300.SH</x:v>
      </x:c>
      <x:c r="C2410" s="12" t="n">
        <x:v>4914.4934</x:v>
      </x:c>
      <x:c r="D2410" s="12" t="n">
        <x:v>4987.5599</x:v>
      </x:c>
      <x:c r="E2410" s="12" t="n">
        <x:v>4914.4934</x:v>
      </x:c>
      <x:c r="F2410" s="12" t="n">
        <x:v>4979.4328</x:v>
      </x:c>
      <x:c r="G2410" s="12" t="n">
        <x:v>4926.921</x:v>
      </x:c>
      <x:c r="H2410" s="12" t="n">
        <x:v>52.5118</x:v>
      </x:c>
      <x:c r="I2410" s="12" t="n">
        <x:v>1.0658</x:v>
      </x:c>
      <x:c r="J2410" s="12" t="n">
        <x:v>0.01060173963218757</x:v>
      </x:c>
      <x:c r="K2410" s="12" t="n">
        <x:v>306150226</x:v>
      </x:c>
      <x:c r="L2410" s="12" t="n">
        <x:v>985795205.7039</x:v>
      </x:c>
      <x:c r="M2410" s="12" t="str">
        <x:v>TuShare index_daily</x:v>
      </x:c>
    </x:row>
    <x:row r="2411" ht="18" customHeight="1">
      <x:c r="A2411" s="13" t="n">
        <x:v>46204</x:v>
      </x:c>
      <x:c r="B2411" s="12" t="str">
        <x:v>000300.SH</x:v>
      </x:c>
      <x:c r="C2411" s="12" t="n">
        <x:v>4972.6923</x:v>
      </x:c>
      <x:c r="D2411" s="12" t="n">
        <x:v>5017.3754</x:v>
      </x:c>
      <x:c r="E2411" s="12" t="n">
        <x:v>4925.6309</x:v>
      </x:c>
      <x:c r="F2411" s="12" t="n">
        <x:v>4958.9773</x:v>
      </x:c>
      <x:c r="G2411" s="12" t="n">
        <x:v>4979.4328</x:v>
      </x:c>
      <x:c r="H2411" s="12" t="n">
        <x:v>-20.4555</x:v>
      </x:c>
      <x:c r="I2411" s="12" t="n">
        <x:v>-0.4108</x:v>
      </x:c>
      <x:c r="J2411" s="12" t="n">
        <x:v>-0.004116459006911529</x:v>
      </x:c>
      <x:c r="K2411" s="12" t="n">
        <x:v>342934747</x:v>
      </x:c>
      <x:c r="L2411" s="12" t="n">
        <x:v>1101717525.9687</x:v>
      </x:c>
      <x:c r="M2411" s="12" t="str">
        <x:v>TuShare index_daily</x:v>
      </x:c>
    </x:row>
    <x:row r="2412" ht="18" customHeight="1">
      <x:c r="A2412" s="13" t="n">
        <x:v>46205</x:v>
      </x:c>
      <x:c r="B2412" s="12" t="str">
        <x:v>000300.SH</x:v>
      </x:c>
      <x:c r="C2412" s="12" t="n">
        <x:v>4865.1713</x:v>
      </x:c>
      <x:c r="D2412" s="12" t="n">
        <x:v>4896.9934</x:v>
      </x:c>
      <x:c r="E2412" s="12" t="n">
        <x:v>4800.4842</x:v>
      </x:c>
      <x:c r="F2412" s="12" t="n">
        <x:v>4812.2957</x:v>
      </x:c>
      <x:c r="G2412" s="12" t="n">
        <x:v>4958.9773</x:v>
      </x:c>
      <x:c r="H2412" s="12" t="n">
        <x:v>-146.6816</x:v>
      </x:c>
      <x:c r="I2412" s="12" t="n">
        <x:v>-2.9579</x:v>
      </x:c>
      <x:c r="J2412" s="12" t="n">
        <x:v>-0.030025283195985117</x:v>
      </x:c>
      <x:c r="K2412" s="12" t="n">
        <x:v>343243758</x:v>
      </x:c>
      <x:c r="L2412" s="12" t="n">
        <x:v>1027796834.2327</x:v>
      </x:c>
      <x:c r="M2412" s="12" t="str">
        <x:v>TuShare index_daily</x:v>
      </x:c>
    </x:row>
    <x:row r="2413" ht="18" customHeight="1">
      <x:c r="A2413" s="13" t="n">
        <x:v>46206</x:v>
      </x:c>
      <x:c r="B2413" s="12" t="str">
        <x:v>000300.SH</x:v>
      </x:c>
      <x:c r="C2413" s="12" t="n">
        <x:v>4809.4988</x:v>
      </x:c>
      <x:c r="D2413" s="12" t="n">
        <x:v>4890.9652</x:v>
      </x:c>
      <x:c r="E2413" s="12" t="n">
        <x:v>4809.4988</x:v>
      </x:c>
      <x:c r="F2413" s="12" t="n">
        <x:v>4842.1737</x:v>
      </x:c>
      <x:c r="G2413" s="12" t="n">
        <x:v>4812.2957</x:v>
      </x:c>
      <x:c r="H2413" s="12" t="n">
        <x:v>29.878</x:v>
      </x:c>
      <x:c r="I2413" s="12" t="n">
        <x:v>0.6209</x:v>
      </x:c>
      <x:c r="J2413" s="12" t="n">
        <x:v>0.006189484713631253</x:v>
      </x:c>
      <x:c r="K2413" s="12" t="n">
        <x:v>301067568</x:v>
      </x:c>
      <x:c r="L2413" s="12" t="n">
        <x:v>942569894.3498</x:v>
      </x:c>
      <x:c r="M2413" s="12" t="str">
        <x:v>TuShare index_daily</x:v>
      </x:c>
    </x:row>
    <x:row r="2414" ht="18" customHeight="1">
      <x:c r="A2414" s="13" t="n">
        <x:v>46209</x:v>
      </x:c>
      <x:c r="B2414" s="12" t="str">
        <x:v>000300.SH</x:v>
      </x:c>
      <x:c r="C2414" s="12" t="n">
        <x:v>4868.5422</x:v>
      </x:c>
      <x:c r="D2414" s="12" t="n">
        <x:v>4878.3231</x:v>
      </x:c>
      <x:c r="E2414" s="12" t="n">
        <x:v>4789.7956</x:v>
      </x:c>
      <x:c r="F2414" s="12" t="n">
        <x:v>4841.998</x:v>
      </x:c>
      <x:c r="G2414" s="12" t="n">
        <x:v>4842.1737</x:v>
      </x:c>
      <x:c r="H2414" s="12" t="n">
        <x:v>-0.1757</x:v>
      </x:c>
      <x:c r="I2414" s="12" t="n">
        <x:v>-0.0036</x:v>
      </x:c>
      <x:c r="J2414" s="12" t="n">
        <x:v>-0.0000362860150486603</x:v>
      </x:c>
      <x:c r="K2414" s="12" t="n">
        <x:v>294050543</x:v>
      </x:c>
      <x:c r="L2414" s="12" t="n">
        <x:v>907946016.9534</x:v>
      </x:c>
      <x:c r="M2414" s="12" t="str">
        <x:v>TuShare index_daily</x:v>
      </x:c>
    </x:row>
    <x:row r="2415" ht="18" customHeight="1">
      <x:c r="A2415" s="13" t="n">
        <x:v>46210</x:v>
      </x:c>
      <x:c r="B2415" s="12" t="str">
        <x:v>000300.SH</x:v>
      </x:c>
      <x:c r="C2415" s="12" t="n">
        <x:v>4813.8707</x:v>
      </x:c>
      <x:c r="D2415" s="12" t="n">
        <x:v>4839.5098</x:v>
      </x:c>
      <x:c r="E2415" s="12" t="n">
        <x:v>4756.725</x:v>
      </x:c>
      <x:c r="F2415" s="12" t="n">
        <x:v>4792.2624</x:v>
      </x:c>
      <x:c r="G2415" s="12" t="n">
        <x:v>4841.998</x:v>
      </x:c>
      <x:c r="H2415" s="12" t="n">
        <x:v>-49.7356</x:v>
      </x:c>
      <x:c r="I2415" s="12" t="n">
        <x:v>-1.0272</x:v>
      </x:c>
      <x:c r="J2415" s="12" t="n">
        <x:v>-0.010324828219453176</x:v>
      </x:c>
      <x:c r="K2415" s="12" t="n">
        <x:v>246305999</x:v>
      </x:c>
      <x:c r="L2415" s="12" t="n">
        <x:v>762617505.5888</x:v>
      </x:c>
      <x:c r="M2415" s="12" t="str">
        <x:v>TuShare index_daily</x:v>
      </x:c>
    </x:row>
    <x:row r="2416" ht="18" customHeight="1">
      <x:c r="A2416" s="13" t="n">
        <x:v>46211</x:v>
      </x:c>
      <x:c r="B2416" s="12" t="str">
        <x:v>000300.SH</x:v>
      </x:c>
      <x:c r="C2416" s="12" t="n">
        <x:v>4804.4837</x:v>
      </x:c>
      <x:c r="D2416" s="12" t="n">
        <x:v>4830.0464</x:v>
      </x:c>
      <x:c r="E2416" s="12" t="n">
        <x:v>4751.4045</x:v>
      </x:c>
      <x:c r="F2416" s="12" t="n">
        <x:v>4755.5338</x:v>
      </x:c>
      <x:c r="G2416" s="12" t="n">
        <x:v>4792.2624</x:v>
      </x:c>
      <x:c r="H2416" s="12" t="n">
        <x:v>-36.7286</x:v>
      </x:c>
      <x:c r="I2416" s="12" t="n">
        <x:v>-0.7664</x:v>
      </x:c>
      <x:c r="J2416" s="12" t="n">
        <x:v>-0.0076936667691582285</x:v>
      </x:c>
      <x:c r="K2416" s="12" t="n">
        <x:v>243928749</x:v>
      </x:c>
      <x:c r="L2416" s="12" t="n">
        <x:v>783248978.2806</x:v>
      </x:c>
      <x:c r="M2416" s="12" t="str">
        <x:v>TuShare index_daily</x:v>
      </x:c>
    </x:row>
    <x:row r="2417" ht="18" customHeight="1">
      <x:c r="A2417" s="13" t="n">
        <x:v>46212</x:v>
      </x:c>
      <x:c r="B2417" s="12" t="str">
        <x:v>000300.SH</x:v>
      </x:c>
      <x:c r="C2417" s="12" t="n">
        <x:v>4774.4021</x:v>
      </x:c>
      <x:c r="D2417" s="12" t="n">
        <x:v>4882.8477</x:v>
      </x:c>
      <x:c r="E2417" s="12" t="n">
        <x:v>4734.8666</x:v>
      </x:c>
      <x:c r="F2417" s="12" t="n">
        <x:v>4876.3125</x:v>
      </x:c>
      <x:c r="G2417" s="12" t="n">
        <x:v>4755.5338</x:v>
      </x:c>
      <x:c r="H2417" s="12" t="n">
        <x:v>120.7787</x:v>
      </x:c>
      <x:c r="I2417" s="12" t="n">
        <x:v>2.5398</x:v>
      </x:c>
      <x:c r="J2417" s="12" t="n">
        <x:v>0.02508034850822912</x:v>
      </x:c>
      <x:c r="K2417" s="12" t="n">
        <x:v>281627705</x:v>
      </x:c>
      <x:c r="L2417" s="12" t="n">
        <x:v>947119396.8138</x:v>
      </x:c>
      <x:c r="M2417" s="12" t="str">
        <x:v>TuShare index_daily</x:v>
      </x:c>
    </x:row>
    <x:row r="2418" ht="18" customHeight="1">
      <x:c r="A2418" s="13" t="n">
        <x:v>46213</x:v>
      </x:c>
      <x:c r="B2418" s="12" t="str">
        <x:v>000300.SH</x:v>
      </x:c>
      <x:c r="C2418" s="12" t="n">
        <x:v>4887.5355</x:v>
      </x:c>
      <x:c r="D2418" s="12" t="n">
        <x:v>4906.4898</x:v>
      </x:c>
      <x:c r="E2418" s="12" t="n">
        <x:v>4780.7468</x:v>
      </x:c>
      <x:c r="F2418" s="12" t="n">
        <x:v>4780.7867</x:v>
      </x:c>
      <x:c r="G2418" s="12" t="n">
        <x:v>4876.3125</x:v>
      </x:c>
      <x:c r="H2418" s="12" t="n">
        <x:v>-95.5258</x:v>
      </x:c>
      <x:c r="I2418" s="12" t="n">
        <x:v>-1.959</x:v>
      </x:c>
      <x:c r="J2418" s="12" t="n">
        <x:v>-0.019784184431682877</x:v>
      </x:c>
      <x:c r="K2418" s="12" t="n">
        <x:v>304130286</x:v>
      </x:c>
      <x:c r="L2418" s="12" t="n">
        <x:v>1083913073.0394</x:v>
      </x:c>
      <x:c r="M2418" s="12" t="str">
        <x:v>TuShare index_daily</x:v>
      </x:c>
    </x:row>
    <x:row r="2419" ht="18" customHeight="1">
      <x:c r="A2419" s="13" t="n">
        <x:v>46216</x:v>
      </x:c>
      <x:c r="B2419" s="12" t="str">
        <x:v>000300.SH</x:v>
      </x:c>
      <x:c r="C2419" s="12" t="n">
        <x:v>4745.4383</x:v>
      </x:c>
      <x:c r="D2419" s="12" t="n">
        <x:v>4775.2355</x:v>
      </x:c>
      <x:c r="E2419" s="12" t="n">
        <x:v>4670.2496</x:v>
      </x:c>
      <x:c r="F2419" s="12" t="n">
        <x:v>4695.383</x:v>
      </x:c>
      <x:c r="G2419" s="12" t="n">
        <x:v>4780.7867</x:v>
      </x:c>
      <x:c r="H2419" s="12" t="n">
        <x:v>-85.4037</x:v>
      </x:c>
      <x:c r="I2419" s="12" t="n">
        <x:v>-1.7864</x:v>
      </x:c>
      <x:c r="J2419" s="12" t="n">
        <x:v>-0.01802542907335032</x:v>
      </x:c>
      <x:c r="K2419" s="12" t="n">
        <x:v>278634853</x:v>
      </x:c>
      <x:c r="L2419" s="12" t="n">
        <x:v>907944677.889</x:v>
      </x:c>
      <x:c r="M2419" s="12" t="str">
        <x:v>TuShare index_daily</x:v>
      </x:c>
    </x:row>
    <x:row r="2420" ht="18" customHeight="1">
      <x:c r="A2420" s="13" t="n">
        <x:v>46217</x:v>
      </x:c>
      <x:c r="B2420" s="12" t="str">
        <x:v>000300.SH</x:v>
      </x:c>
      <x:c r="C2420" s="12" t="n">
        <x:v>4691.1224</x:v>
      </x:c>
      <x:c r="D2420" s="12" t="n">
        <x:v>4796.502</x:v>
      </x:c>
      <x:c r="E2420" s="12" t="n">
        <x:v>4649.0444</x:v>
      </x:c>
      <x:c r="F2420" s="12" t="n">
        <x:v>4796.502</x:v>
      </x:c>
      <x:c r="G2420" s="12" t="n">
        <x:v>4695.383</x:v>
      </x:c>
      <x:c r="H2420" s="12" t="n">
        <x:v>101.119</x:v>
      </x:c>
      <x:c r="I2420" s="12" t="n">
        <x:v>2.1536</x:v>
      </x:c>
      <x:c r="J2420" s="12" t="n">
        <x:v>0.02130721676857777</x:v>
      </x:c>
      <x:c r="K2420" s="12" t="n">
        <x:v>283250986</x:v>
      </x:c>
      <x:c r="L2420" s="12" t="n">
        <x:v>924097145.1325</x:v>
      </x:c>
      <x:c r="M2420" s="12" t="str">
        <x:v>TuShare index_daily</x:v>
      </x:c>
    </x:row>
    <x:row r="2421" ht="18" customHeight="1">
      <x:c r="A2421" s="13" t="n">
        <x:v>46218</x:v>
      </x:c>
      <x:c r="B2421" s="12" t="str">
        <x:v>000300.SH</x:v>
      </x:c>
      <x:c r="C2421" s="12" t="n">
        <x:v>4797.943</x:v>
      </x:c>
      <x:c r="D2421" s="12" t="n">
        <x:v>4826.8637</x:v>
      </x:c>
      <x:c r="E2421" s="12" t="n">
        <x:v>4772.0415</x:v>
      </x:c>
      <x:c r="F2421" s="12" t="n">
        <x:v>4786.7828</x:v>
      </x:c>
      <x:c r="G2421" s="12" t="n">
        <x:v>4796.502</x:v>
      </x:c>
      <x:c r="H2421" s="12" t="n">
        <x:v>-9.7192</x:v>
      </x:c>
      <x:c r="I2421" s="12" t="n">
        <x:v>-0.2026</x:v>
      </x:c>
      <x:c r="J2421" s="12" t="n">
        <x:v>-0.0020283657503912377</x:v>
      </x:c>
      <x:c r="K2421" s="12" t="n">
        <x:v>278692669</x:v>
      </x:c>
      <x:c r="L2421" s="12" t="n">
        <x:v>858314510.3318</x:v>
      </x:c>
      <x:c r="M2421" s="12" t="str">
        <x:v>TuShare index_daily</x:v>
      </x:c>
    </x:row>
    <x:row r="2422" ht="18" customHeight="1">
      <x:c r="A2422" s="13" t="n">
        <x:v>46219</x:v>
      </x:c>
      <x:c r="B2422" s="12" t="str">
        <x:v>000300.SH</x:v>
      </x:c>
      <x:c r="C2422" s="12" t="n">
        <x:v>4711.532</x:v>
      </x:c>
      <x:c r="D2422" s="12" t="n">
        <x:v>4771.0573</x:v>
      </x:c>
      <x:c r="E2422" s="12" t="n">
        <x:v>4673.3503</x:v>
      </x:c>
      <x:c r="F2422" s="12" t="n">
        <x:v>4698.4344</x:v>
      </x:c>
      <x:c r="G2422" s="12" t="n">
        <x:v>4786.7828</x:v>
      </x:c>
      <x:c r="H2422" s="12" t="n">
        <x:v>-88.3484</x:v>
      </x:c>
      <x:c r="I2422" s="12" t="n">
        <x:v>-1.8457</x:v>
      </x:c>
      <x:c r="J2422" s="12" t="n">
        <x:v>-0.01862918965531543</x:v>
      </x:c>
      <x:c r="K2422" s="12" t="n">
        <x:v>251560977</x:v>
      </x:c>
      <x:c r="L2422" s="12" t="n">
        <x:v>798830386.8211</x:v>
      </x:c>
      <x:c r="M2422" s="12" t="str">
        <x:v>TuShare index_daily</x:v>
      </x:c>
    </x:row>
    <x:row r="2423" ht="18" customHeight="1">
      <x:c r="A2423" s="13" t="n">
        <x:v>46220</x:v>
      </x:c>
      <x:c r="B2423" s="12" t="str">
        <x:v>000300.SH</x:v>
      </x:c>
      <x:c r="C2423" s="12" t="n">
        <x:v>4661.6218</x:v>
      </x:c>
      <x:c r="D2423" s="12" t="n">
        <x:v>4663.5311</x:v>
      </x:c>
      <x:c r="E2423" s="12" t="n">
        <x:v>4492.085</x:v>
      </x:c>
      <x:c r="F2423" s="12" t="n">
        <x:v>4529.0953</x:v>
      </x:c>
      <x:c r="G2423" s="12" t="n">
        <x:v>4698.4344</x:v>
      </x:c>
      <x:c r="H2423" s="12" t="n">
        <x:v>-169.3391</x:v>
      </x:c>
      <x:c r="I2423" s="12" t="n">
        <x:v>-3.6042</x:v>
      </x:c>
      <x:c r="J2423" s="12" t="n">
        <x:v>-0.036707140315421015</x:v>
      </x:c>
      <x:c r="K2423" s="12" t="n">
        <x:v>302629886</x:v>
      </x:c>
      <x:c r="L2423" s="12" t="n">
        <x:v>920822412.822</x:v>
      </x:c>
      <x:c r="M2423" s="12" t="str">
        <x:v>TuShare index_daily</x:v>
      </x:c>
    </x:row>
    <x:row r="2424" ht="18" customHeight="1">
      <x:c r="A2424" s="13" t="n">
        <x:v>46223</x:v>
      </x:c>
      <x:c r="B2424" s="12" t="str">
        <x:v>000300.SH</x:v>
      </x:c>
      <x:c r="C2424" s="12" t="n">
        <x:v>4575.6712</x:v>
      </x:c>
      <x:c r="D2424" s="12" t="n">
        <x:v>4628.7985</x:v>
      </x:c>
      <x:c r="E2424" s="12" t="n">
        <x:v>4521.1808</x:v>
      </x:c>
      <x:c r="F2424" s="12" t="n">
        <x:v>4598.3208</x:v>
      </x:c>
      <x:c r="G2424" s="12" t="n">
        <x:v>4529.0953</x:v>
      </x:c>
      <x:c r="H2424" s="12" t="n">
        <x:v>69.2255</x:v>
      </x:c>
      <x:c r="I2424" s="12" t="n">
        <x:v>1.5285</x:v>
      </x:c>
      <x:c r="J2424" s="12" t="n">
        <x:v>0.015168986846840348</x:v>
      </x:c>
      <x:c r="K2424" s="12" t="n">
        <x:v>333116058</x:v>
      </x:c>
      <x:c r="L2424" s="12" t="n">
        <x:v>933403207.7406</x:v>
      </x:c>
      <x:c r="M2424" s="12" t="str">
        <x:v>TuShare index_daily</x:v>
      </x:c>
    </x:row>
    <x:row r="2425" ht="18" customHeight="1">
      <x:c r="A2425" s="13" t="n">
        <x:v>46224</x:v>
      </x:c>
      <x:c r="B2425" s="12" t="str">
        <x:v>000300.SH</x:v>
      </x:c>
      <x:c r="C2425" s="12" t="n">
        <x:v>4630.8532</x:v>
      </x:c>
      <x:c r="D2425" s="12" t="n">
        <x:v>4739.2326</x:v>
      </x:c>
      <x:c r="E2425" s="12" t="n">
        <x:v>4566.281</x:v>
      </x:c>
      <x:c r="F2425" s="12" t="n">
        <x:v>4739.2287</x:v>
      </x:c>
      <x:c r="G2425" s="12" t="n">
        <x:v>4598.3208</x:v>
      </x:c>
      <x:c r="H2425" s="12" t="n">
        <x:v>140.9079</x:v>
      </x:c>
      <x:c r="I2425" s="12" t="n">
        <x:v>3.0643</x:v>
      </x:c>
      <x:c r="J2425" s="12" t="n">
        <x:v>0.0301832075752162</x:v>
      </x:c>
      <x:c r="K2425" s="12" t="n">
        <x:v>345403590</x:v>
      </x:c>
      <x:c r="L2425" s="12" t="n">
        <x:v>1016727269.5794</x:v>
      </x:c>
      <x:c r="M2425" s="12" t="str">
        <x:v>TuShare index_daily</x:v>
      </x:c>
    </x:row>
    <x:row r="2426" ht="18" customHeight="1">
      <x:c r="A2426" s="13" t="n">
        <x:v>46225</x:v>
      </x:c>
      <x:c r="B2426" s="12" t="str">
        <x:v>000300.SH</x:v>
      </x:c>
      <x:c r="C2426" s="12" t="n">
        <x:v>4710.6602</x:v>
      </x:c>
      <x:c r="D2426" s="12" t="n">
        <x:v>4772.0815</x:v>
      </x:c>
      <x:c r="E2426" s="12" t="n">
        <x:v>4692.833</x:v>
      </x:c>
      <x:c r="F2426" s="12" t="n">
        <x:v>4717.2442</x:v>
      </x:c>
      <x:c r="G2426" s="12" t="n">
        <x:v>4739.2287</x:v>
      </x:c>
      <x:c r="H2426" s="12" t="n">
        <x:v>-21.9845</x:v>
      </x:c>
      <x:c r="I2426" s="12" t="n">
        <x:v>-0.4639</x:v>
      </x:c>
      <x:c r="J2426" s="12" t="n">
        <x:v>-0.004649627792401307</x:v>
      </x:c>
      <x:c r="K2426" s="12" t="n">
        <x:v>285556357</x:v>
      </x:c>
      <x:c r="L2426" s="12" t="n">
        <x:v>921519272.2054</x:v>
      </x:c>
      <x:c r="M2426" s="12" t="str">
        <x:v>TuShare index_daily</x:v>
      </x:c>
    </x:row>
    <x:row r="2427" ht="18" customHeight="1">
      <x:c r="A2427" s="13" t="n">
        <x:v>46226</x:v>
      </x:c>
      <x:c r="B2427" s="12" t="str">
        <x:v>000300.SH</x:v>
      </x:c>
      <x:c r="C2427" s="12" t="n">
        <x:v>4735.1706</x:v>
      </x:c>
      <x:c r="D2427" s="12" t="n">
        <x:v>4737.5092</x:v>
      </x:c>
      <x:c r="E2427" s="12" t="n">
        <x:v>4698.8717</x:v>
      </x:c>
      <x:c r="F2427" s="12" t="n">
        <x:v>4728.0018</x:v>
      </x:c>
      <x:c r="G2427" s="12" t="n">
        <x:v>4717.2442</x:v>
      </x:c>
      <x:c r="H2427" s="12" t="n">
        <x:v>10.7576</x:v>
      </x:c>
      <x:c r="I2427" s="12" t="n">
        <x:v>0.228</x:v>
      </x:c>
      <x:c r="J2427" s="12" t="n">
        <x:v>0.002277887659370913</x:v>
      </x:c>
      <x:c r="K2427" s="12" t="n">
        <x:v>247331675</x:v>
      </x:c>
      <x:c r="L2427" s="12" t="n">
        <x:v>741818580.5601</x:v>
      </x:c>
      <x:c r="M2427" s="12" t="str">
        <x:v>TuShare index_daily</x:v>
      </x:c>
    </x:row>
    <x:row r="2428" ht="18" customHeight="1">
      <x:c r="A2428" s="13" t="n">
        <x:v>46227</x:v>
      </x:c>
      <x:c r="B2428" s="12" t="str">
        <x:v>000300.SH</x:v>
      </x:c>
      <x:c r="C2428" s="12" t="n">
        <x:v>4685.4082</x:v>
      </x:c>
      <x:c r="D2428" s="12" t="n">
        <x:v>4704.0843</x:v>
      </x:c>
      <x:c r="E2428" s="12" t="n">
        <x:v>4642.9387</x:v>
      </x:c>
      <x:c r="F2428" s="12" t="n">
        <x:v>4649.1917</x:v>
      </x:c>
      <x:c r="G2428" s="12" t="n">
        <x:v>4728.0018</x:v>
      </x:c>
      <x:c r="H2428" s="12" t="n">
        <x:v>-78.8101</x:v>
      </x:c>
      <x:c r="I2428" s="12" t="n">
        <x:v>-1.6669</x:v>
      </x:c>
      <x:c r="J2428" s="12" t="n">
        <x:v>-0.016809284281939053</x:v>
      </x:c>
      <x:c r="K2428" s="12" t="n">
        <x:v>221261212</x:v>
      </x:c>
      <x:c r="L2428" s="12" t="n">
        <x:v>626378644.3679</x:v>
      </x:c>
      <x:c r="M2428" s="12" t="str">
        <x:v>TuShare index_daily</x:v>
      </x:c>
    </x:row>
  </x:sheetData>
  <x:pageMargins left="0.7" right="0.7" top="0.75" bottom="0.75" header="0.3" footer="0.3"/>
  <x:tableParts count="1">
    <x:tablePart xmlns:r="http://schemas.openxmlformats.org/officeDocument/2006/relationships" r:id="R95f07d1137a84bd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6.559999942779541" hidden="0" customWidth="1"/>
    <x:col min="2" max="2" width="11.329999923706055" hidden="0" customWidth="1"/>
  </x:cols>
  <x:sheetData>
    <x:row r="1">
      <x:c r="A1" s="9" t="str">
        <x:v>月份</x:v>
      </x:c>
      <x:c r="B1" s="11" t="str">
        <x:v>252日滚动相关</x:v>
      </x:c>
    </x:row>
    <x:row r="2">
      <x:c r="A2" t="str">
        <x:f>TEXT('Rolling'!A254,"yyyy-mm")</x:f>
        <x:v>2017-08</x:v>
      </x:c>
      <x:c r="B2" s="14" t="n">
        <x:f>'Rolling'!E254</x:f>
        <x:v>-0.1392070392487644</x:v>
      </x:c>
    </x:row>
    <x:row r="3">
      <x:c r="A3" t="str">
        <x:f>TEXT('Rolling'!A275,"yyyy-mm")</x:f>
        <x:v>2017-09</x:v>
      </x:c>
      <x:c r="B3" s="14" t="n">
        <x:f>'Rolling'!E275</x:f>
        <x:v>-0.12607100390418083</x:v>
      </x:c>
    </x:row>
    <x:row r="4">
      <x:c r="A4" t="str">
        <x:f>TEXT('Rolling'!A296,"yyyy-mm")</x:f>
        <x:v>2017-10</x:v>
      </x:c>
      <x:c r="B4" s="14" t="n">
        <x:f>'Rolling'!E296</x:f>
        <x:v>-0.07851525169433166</x:v>
      </x:c>
    </x:row>
    <x:row r="5">
      <x:c r="A5" t="str">
        <x:f>TEXT('Rolling'!A317,"yyyy-mm")</x:f>
        <x:v>2017-11</x:v>
      </x:c>
      <x:c r="B5" s="14" t="n">
        <x:f>'Rolling'!E317</x:f>
        <x:v>-0.06911826725968534</x:v>
      </x:c>
    </x:row>
    <x:row r="6">
      <x:c r="A6" t="str">
        <x:f>TEXT('Rolling'!A338,"yyyy-mm")</x:f>
        <x:v>2017-12</x:v>
      </x:c>
      <x:c r="B6" s="14" t="n">
        <x:f>'Rolling'!E338</x:f>
        <x:v>-0.09157483863573654</x:v>
      </x:c>
    </x:row>
    <x:row r="7">
      <x:c r="A7" t="str">
        <x:f>TEXT('Rolling'!A359,"yyyy-mm")</x:f>
        <x:v>2018-01</x:v>
      </x:c>
      <x:c r="B7" s="14" t="n">
        <x:f>'Rolling'!E359</x:f>
        <x:v>-0.12991954400333322</x:v>
      </x:c>
    </x:row>
    <x:row r="8">
      <x:c r="A8" t="str">
        <x:f>TEXT('Rolling'!A380,"yyyy-mm")</x:f>
        <x:v>2018-02</x:v>
      </x:c>
      <x:c r="B8" s="14" t="n">
        <x:f>'Rolling'!E380</x:f>
        <x:v>-0.2332143073361769</x:v>
      </x:c>
    </x:row>
    <x:row r="9">
      <x:c r="A9" t="str">
        <x:f>TEXT('Rolling'!A401,"yyyy-mm")</x:f>
        <x:v>2018-03</x:v>
      </x:c>
      <x:c r="B9" s="14" t="n">
        <x:f>'Rolling'!E401</x:f>
        <x:v>-0.2373349445244221</x:v>
      </x:c>
    </x:row>
    <x:row r="10">
      <x:c r="A10" t="str">
        <x:f>TEXT('Rolling'!A422,"yyyy-mm")</x:f>
        <x:v>2018-04</x:v>
      </x:c>
      <x:c r="B10" s="14" t="n">
        <x:f>'Rolling'!E422</x:f>
        <x:v>-0.2060531466346023</x:v>
      </x:c>
    </x:row>
    <x:row r="11">
      <x:c r="A11" t="str">
        <x:f>TEXT('Rolling'!A443,"yyyy-mm")</x:f>
        <x:v>2018-05</x:v>
      </x:c>
      <x:c r="B11" s="14" t="n">
        <x:f>'Rolling'!E443</x:f>
        <x:v>-0.22332445299769682</x:v>
      </x:c>
    </x:row>
    <x:row r="12">
      <x:c r="A12" t="str">
        <x:f>TEXT('Rolling'!A464,"yyyy-mm")</x:f>
        <x:v>2018-06</x:v>
      </x:c>
      <x:c r="B12" s="14" t="n">
        <x:f>'Rolling'!E464</x:f>
        <x:v>-0.22164566082006548</x:v>
      </x:c>
    </x:row>
    <x:row r="13">
      <x:c r="A13" t="str">
        <x:f>TEXT('Rolling'!A485,"yyyy-mm")</x:f>
        <x:v>2018-07</x:v>
      </x:c>
      <x:c r="B13" s="14" t="n">
        <x:f>'Rolling'!E485</x:f>
        <x:v>-0.2841801174891895</x:v>
      </x:c>
    </x:row>
    <x:row r="14">
      <x:c r="A14" t="str">
        <x:f>TEXT('Rolling'!A506,"yyyy-mm")</x:f>
        <x:v>2018-08</x:v>
      </x:c>
      <x:c r="B14" s="14" t="n">
        <x:f>'Rolling'!E506</x:f>
        <x:v>-0.27785212632561596</x:v>
      </x:c>
    </x:row>
    <x:row r="15">
      <x:c r="A15" t="str">
        <x:f>TEXT('Rolling'!A527,"yyyy-mm")</x:f>
        <x:v>2018-09</x:v>
      </x:c>
      <x:c r="B15" s="14" t="n">
        <x:f>'Rolling'!E527</x:f>
        <x:v>-0.2798577957624143</x:v>
      </x:c>
    </x:row>
    <x:row r="16">
      <x:c r="A16" t="str">
        <x:f>TEXT('Rolling'!A548,"yyyy-mm")</x:f>
        <x:v>2018-10</x:v>
      </x:c>
      <x:c r="B16" s="14" t="n">
        <x:f>'Rolling'!E548</x:f>
        <x:v>-0.2745599000010465</x:v>
      </x:c>
    </x:row>
    <x:row r="17">
      <x:c r="A17" t="str">
        <x:f>TEXT('Rolling'!A569,"yyyy-mm")</x:f>
        <x:v>2018-11</x:v>
      </x:c>
      <x:c r="B17" s="14" t="n">
        <x:f>'Rolling'!E569</x:f>
        <x:v>-0.28185738835368845</x:v>
      </x:c>
    </x:row>
    <x:row r="18">
      <x:c r="A18" t="str">
        <x:f>TEXT('Rolling'!A590,"yyyy-mm")</x:f>
        <x:v>2018-12</x:v>
      </x:c>
      <x:c r="B18" s="14" t="n">
        <x:f>'Rolling'!E590</x:f>
        <x:v>-0.3083512293830967</x:v>
      </x:c>
    </x:row>
    <x:row r="19">
      <x:c r="A19" t="str">
        <x:f>TEXT('Rolling'!A611,"yyyy-mm")</x:f>
        <x:v>2019-01</x:v>
      </x:c>
      <x:c r="B19" s="14" t="n">
        <x:f>'Rolling'!E611</x:f>
        <x:v>-0.3287543060112835</x:v>
      </x:c>
    </x:row>
    <x:row r="20">
      <x:c r="A20" t="str">
        <x:f>TEXT('Rolling'!A632,"yyyy-mm")</x:f>
        <x:v>2019-03</x:v>
      </x:c>
      <x:c r="B20" s="14" t="n">
        <x:f>'Rolling'!E632</x:f>
        <x:v>-0.3050798791009416</x:v>
      </x:c>
    </x:row>
    <x:row r="21">
      <x:c r="A21" t="str">
        <x:f>TEXT('Rolling'!A653,"yyyy-mm")</x:f>
        <x:v>2019-04</x:v>
      </x:c>
      <x:c r="B21" s="14" t="n">
        <x:f>'Rolling'!E653</x:f>
        <x:v>-0.33660840212121296</x:v>
      </x:c>
    </x:row>
    <x:row r="22">
      <x:c r="A22" t="str">
        <x:f>TEXT('Rolling'!A674,"yyyy-mm")</x:f>
        <x:v>2019-05</x:v>
      </x:c>
      <x:c r="B22" s="14" t="n">
        <x:f>'Rolling'!E674</x:f>
        <x:v>-0.35670364286347533</x:v>
      </x:c>
    </x:row>
    <x:row r="23">
      <x:c r="A23" t="str">
        <x:f>TEXT('Rolling'!A695,"yyyy-mm")</x:f>
        <x:v>2019-06</x:v>
      </x:c>
      <x:c r="B23" s="14" t="n">
        <x:f>'Rolling'!E695</x:f>
        <x:v>-0.341026310645096</x:v>
      </x:c>
    </x:row>
    <x:row r="24">
      <x:c r="A24" t="str">
        <x:f>TEXT('Rolling'!A716,"yyyy-mm")</x:f>
        <x:v>2019-07</x:v>
      </x:c>
      <x:c r="B24" s="14" t="n">
        <x:f>'Rolling'!E716</x:f>
        <x:v>-0.36083954585988554</x:v>
      </x:c>
    </x:row>
    <x:row r="25">
      <x:c r="A25" t="str">
        <x:f>TEXT('Rolling'!A737,"yyyy-mm")</x:f>
        <x:v>2019-08</x:v>
      </x:c>
      <x:c r="B25" s="14" t="n">
        <x:f>'Rolling'!E737</x:f>
        <x:v>-0.352817123757616</x:v>
      </x:c>
    </x:row>
    <x:row r="26">
      <x:c r="A26" t="str">
        <x:f>TEXT('Rolling'!A758,"yyyy-mm")</x:f>
        <x:v>2019-09</x:v>
      </x:c>
      <x:c r="B26" s="14" t="n">
        <x:f>'Rolling'!E758</x:f>
        <x:v>-0.3368369741556189</x:v>
      </x:c>
    </x:row>
    <x:row r="27">
      <x:c r="A27" t="str">
        <x:f>TEXT('Rolling'!A779,"yyyy-mm")</x:f>
        <x:v>2019-10</x:v>
      </x:c>
      <x:c r="B27" s="14" t="n">
        <x:f>'Rolling'!E779</x:f>
        <x:v>-0.3359255807841324</x:v>
      </x:c>
    </x:row>
    <x:row r="28">
      <x:c r="A28" t="str">
        <x:f>TEXT('Rolling'!A800,"yyyy-mm")</x:f>
        <x:v>2019-11</x:v>
      </x:c>
      <x:c r="B28" s="14" t="n">
        <x:f>'Rolling'!E800</x:f>
        <x:v>-0.35622105893101236</x:v>
      </x:c>
    </x:row>
    <x:row r="29">
      <x:c r="A29" t="str">
        <x:f>TEXT('Rolling'!A821,"yyyy-mm")</x:f>
        <x:v>2019-12</x:v>
      </x:c>
      <x:c r="B29" s="14" t="n">
        <x:f>'Rolling'!E821</x:f>
        <x:v>-0.34816931438719123</x:v>
      </x:c>
    </x:row>
    <x:row r="30">
      <x:c r="A30" t="str">
        <x:f>TEXT('Rolling'!A842,"yyyy-mm")</x:f>
        <x:v>2020-01</x:v>
      </x:c>
      <x:c r="B30" s="14" t="n">
        <x:f>'Rolling'!E842</x:f>
        <x:v>-0.3105656357851497</x:v>
      </x:c>
    </x:row>
    <x:row r="31">
      <x:c r="A31" t="str">
        <x:f>TEXT('Rolling'!A863,"yyyy-mm")</x:f>
        <x:v>2020-02</x:v>
      </x:c>
      <x:c r="B31" s="14" t="n">
        <x:f>'Rolling'!E863</x:f>
        <x:v>-0.2551869999293046</x:v>
      </x:c>
    </x:row>
    <x:row r="32">
      <x:c r="A32" t="str">
        <x:f>TEXT('Rolling'!A884,"yyyy-mm")</x:f>
        <x:v>2020-03</x:v>
      </x:c>
      <x:c r="B32" s="14" t="n">
        <x:f>'Rolling'!E884</x:f>
        <x:v>-0.41136067028621287</x:v>
      </x:c>
    </x:row>
    <x:row r="33">
      <x:c r="A33" t="str">
        <x:f>TEXT('Rolling'!A905,"yyyy-mm")</x:f>
        <x:v>2020-04</x:v>
      </x:c>
      <x:c r="B33" s="14" t="n">
        <x:f>'Rolling'!E905</x:f>
        <x:v>-0.39773847040413646</x:v>
      </x:c>
    </x:row>
    <x:row r="34">
      <x:c r="A34" t="str">
        <x:f>TEXT('Rolling'!A926,"yyyy-mm")</x:f>
        <x:v>2020-05</x:v>
      </x:c>
      <x:c r="B34" s="14" t="n">
        <x:f>'Rolling'!E926</x:f>
        <x:v>-0.4230503223822517</x:v>
      </x:c>
    </x:row>
    <x:row r="35">
      <x:c r="A35" t="str">
        <x:f>TEXT('Rolling'!A947,"yyyy-mm")</x:f>
        <x:v>2020-06</x:v>
      </x:c>
      <x:c r="B35" s="14" t="n">
        <x:f>'Rolling'!E947</x:f>
        <x:v>-0.4330763287683299</x:v>
      </x:c>
    </x:row>
    <x:row r="36">
      <x:c r="A36" t="str">
        <x:f>TEXT('Rolling'!A968,"yyyy-mm")</x:f>
        <x:v>2020-07</x:v>
      </x:c>
      <x:c r="B36" s="14" t="n">
        <x:f>'Rolling'!E968</x:f>
        <x:v>-0.40508920008575455</x:v>
      </x:c>
    </x:row>
    <x:row r="37">
      <x:c r="A37" t="str">
        <x:f>TEXT('Rolling'!A989,"yyyy-mm")</x:f>
        <x:v>2020-08</x:v>
      </x:c>
      <x:c r="B37" s="14" t="n">
        <x:f>'Rolling'!E989</x:f>
        <x:v>-0.38752305847794527</x:v>
      </x:c>
    </x:row>
    <x:row r="38">
      <x:c r="A38" t="str">
        <x:f>TEXT('Rolling'!A1010,"yyyy-mm")</x:f>
        <x:v>2020-09</x:v>
      </x:c>
      <x:c r="B38" s="14" t="n">
        <x:f>'Rolling'!E1010</x:f>
        <x:v>-0.389378326593685</x:v>
      </x:c>
    </x:row>
    <x:row r="39">
      <x:c r="A39" t="str">
        <x:f>TEXT('Rolling'!A1031,"yyyy-mm")</x:f>
        <x:v>2020-11</x:v>
      </x:c>
      <x:c r="B39" s="14" t="n">
        <x:f>'Rolling'!E1031</x:f>
        <x:v>-0.3845119963666743</x:v>
      </x:c>
    </x:row>
    <x:row r="40">
      <x:c r="A40" t="str">
        <x:f>TEXT('Rolling'!A1052,"yyyy-mm")</x:f>
        <x:v>2020-12</x:v>
      </x:c>
      <x:c r="B40" s="14" t="n">
        <x:f>'Rolling'!E1052</x:f>
        <x:v>-0.392068653737639</x:v>
      </x:c>
    </x:row>
    <x:row r="41">
      <x:c r="A41" t="str">
        <x:f>TEXT('Rolling'!A1073,"yyyy-mm")</x:f>
        <x:v>2021-01</x:v>
      </x:c>
      <x:c r="B41" s="14" t="n">
        <x:f>'Rolling'!E1073</x:f>
        <x:v>-0.388599280549296</x:v>
      </x:c>
    </x:row>
    <x:row r="42">
      <x:c r="A42" t="str">
        <x:f>TEXT('Rolling'!A1094,"yyyy-mm")</x:f>
        <x:v>2021-02</x:v>
      </x:c>
      <x:c r="B42" s="14" t="n">
        <x:f>'Rolling'!E1094</x:f>
        <x:v>-0.37500951406735983</x:v>
      </x:c>
    </x:row>
    <x:row r="43">
      <x:c r="A43" t="str">
        <x:f>TEXT('Rolling'!A1115,"yyyy-mm")</x:f>
        <x:v>2021-03</x:v>
      </x:c>
      <x:c r="B43" s="14" t="n">
        <x:f>'Rolling'!E1115</x:f>
        <x:v>-0.38803480757576186</x:v>
      </x:c>
    </x:row>
    <x:row r="44">
      <x:c r="A44" t="str">
        <x:f>TEXT('Rolling'!A1136,"yyyy-mm")</x:f>
        <x:v>2021-04</x:v>
      </x:c>
      <x:c r="B44" s="14" t="n">
        <x:f>'Rolling'!E1136</x:f>
        <x:v>-0.21254351652267553</x:v>
      </x:c>
    </x:row>
    <x:row r="45">
      <x:c r="A45" t="str">
        <x:f>TEXT('Rolling'!A1157,"yyyy-mm")</x:f>
        <x:v>2021-05</x:v>
      </x:c>
      <x:c r="B45" s="14" t="n">
        <x:f>'Rolling'!E1157</x:f>
        <x:v>-0.20599519737436173</x:v>
      </x:c>
    </x:row>
    <x:row r="46">
      <x:c r="A46" t="str">
        <x:f>TEXT('Rolling'!A1178,"yyyy-mm")</x:f>
        <x:v>2021-06</x:v>
      </x:c>
      <x:c r="B46" s="14" t="n">
        <x:f>'Rolling'!E1178</x:f>
        <x:v>-0.19854886053471787</x:v>
      </x:c>
    </x:row>
    <x:row r="47">
      <x:c r="A47" t="str">
        <x:f>TEXT('Rolling'!A1199,"yyyy-mm")</x:f>
        <x:v>2021-07</x:v>
      </x:c>
      <x:c r="B47" s="14" t="n">
        <x:f>'Rolling'!E1199</x:f>
        <x:v>-0.2046102152027926</x:v>
      </x:c>
    </x:row>
    <x:row r="48">
      <x:c r="A48" t="str">
        <x:f>TEXT('Rolling'!A1220,"yyyy-mm")</x:f>
        <x:v>2021-08</x:v>
      </x:c>
      <x:c r="B48" s="14" t="n">
        <x:f>'Rolling'!E1220</x:f>
        <x:v>-0.15133520471620776</x:v>
      </x:c>
    </x:row>
    <x:row r="49">
      <x:c r="A49" t="str">
        <x:f>TEXT('Rolling'!A1241,"yyyy-mm")</x:f>
        <x:v>2021-09</x:v>
      </x:c>
      <x:c r="B49" s="14" t="n">
        <x:f>'Rolling'!E1241</x:f>
        <x:v>-0.15900134129109034</x:v>
      </x:c>
    </x:row>
    <x:row r="50">
      <x:c r="A50" t="str">
        <x:f>TEXT('Rolling'!A1262,"yyyy-mm")</x:f>
        <x:v>2021-10</x:v>
      </x:c>
      <x:c r="B50" s="14" t="n">
        <x:f>'Rolling'!E1262</x:f>
        <x:v>-0.14822539421521339</x:v>
      </x:c>
    </x:row>
    <x:row r="51">
      <x:c r="A51" t="str">
        <x:f>TEXT('Rolling'!A1283,"yyyy-mm")</x:f>
        <x:v>2021-11</x:v>
      </x:c>
      <x:c r="B51" s="14" t="n">
        <x:f>'Rolling'!E1283</x:f>
        <x:v>-0.1466303642997008</x:v>
      </x:c>
    </x:row>
    <x:row r="52">
      <x:c r="A52" t="str">
        <x:f>TEXT('Rolling'!A1304,"yyyy-mm")</x:f>
        <x:v>2021-12</x:v>
      </x:c>
      <x:c r="B52" s="14" t="n">
        <x:f>'Rolling'!E1304</x:f>
        <x:v>-0.07735407031321087</x:v>
      </x:c>
    </x:row>
    <x:row r="53">
      <x:c r="A53" t="str">
        <x:f>TEXT('Rolling'!A1325,"yyyy-mm")</x:f>
        <x:v>2022-01</x:v>
      </x:c>
      <x:c r="B53" s="14" t="n">
        <x:f>'Rolling'!E1325</x:f>
        <x:v>-0.10762444176372575</x:v>
      </x:c>
    </x:row>
    <x:row r="54">
      <x:c r="A54" t="str">
        <x:f>TEXT('Rolling'!A1346,"yyyy-mm")</x:f>
        <x:v>2022-02</x:v>
      </x:c>
      <x:c r="B54" s="14" t="n">
        <x:f>'Rolling'!E1346</x:f>
        <x:v>-0.18730932565668376</x:v>
      </x:c>
    </x:row>
    <x:row r="55">
      <x:c r="A55" t="str">
        <x:f>TEXT('Rolling'!A1367,"yyyy-mm")</x:f>
        <x:v>2022-03</x:v>
      </x:c>
      <x:c r="B55" s="14" t="n">
        <x:f>'Rolling'!E1367</x:f>
        <x:v>-0.23168051552858526</x:v>
      </x:c>
    </x:row>
    <x:row r="56">
      <x:c r="A56" t="str">
        <x:f>TEXT('Rolling'!A1388,"yyyy-mm")</x:f>
        <x:v>2022-04</x:v>
      </x:c>
      <x:c r="B56" s="14" t="n">
        <x:f>'Rolling'!E1388</x:f>
        <x:v>-0.2509866222956525</x:v>
      </x:c>
    </x:row>
    <x:row r="57">
      <x:c r="A57" t="str">
        <x:f>TEXT('Rolling'!A1409,"yyyy-mm")</x:f>
        <x:v>2022-06</x:v>
      </x:c>
      <x:c r="B57" s="14" t="n">
        <x:f>'Rolling'!E1409</x:f>
        <x:v>-0.2561035204639673</x:v>
      </x:c>
    </x:row>
    <x:row r="58">
      <x:c r="A58" t="str">
        <x:f>TEXT('Rolling'!A1430,"yyyy-mm")</x:f>
        <x:v>2022-07</x:v>
      </x:c>
      <x:c r="B58" s="14" t="n">
        <x:f>'Rolling'!E1430</x:f>
        <x:v>-0.2600253262885574</x:v>
      </x:c>
    </x:row>
    <x:row r="59">
      <x:c r="A59" t="str">
        <x:f>TEXT('Rolling'!A1451,"yyyy-mm")</x:f>
        <x:v>2022-08</x:v>
      </x:c>
      <x:c r="B59" s="14" t="n">
        <x:f>'Rolling'!E1451</x:f>
        <x:v>-0.23008447079065622</x:v>
      </x:c>
    </x:row>
    <x:row r="60">
      <x:c r="A60" t="str">
        <x:f>TEXT('Rolling'!A1472,"yyyy-mm")</x:f>
        <x:v>2022-08</x:v>
      </x:c>
      <x:c r="B60" s="14" t="n">
        <x:f>'Rolling'!E1472</x:f>
        <x:v>-0.22354527342709227</x:v>
      </x:c>
    </x:row>
    <x:row r="61">
      <x:c r="A61" t="str">
        <x:f>TEXT('Rolling'!A1493,"yyyy-mm")</x:f>
        <x:v>2022-09</x:v>
      </x:c>
      <x:c r="B61" s="14" t="n">
        <x:f>'Rolling'!E1493</x:f>
        <x:v>-0.25021211497827617</x:v>
      </x:c>
    </x:row>
    <x:row r="62">
      <x:c r="A62" t="str">
        <x:f>TEXT('Rolling'!A1514,"yyyy-mm")</x:f>
        <x:v>2022-11</x:v>
      </x:c>
      <x:c r="B62" s="14" t="n">
        <x:f>'Rolling'!E1514</x:f>
        <x:v>-0.2230210996955073</x:v>
      </x:c>
    </x:row>
    <x:row r="63">
      <x:c r="A63" t="str">
        <x:f>TEXT('Rolling'!A1535,"yyyy-mm")</x:f>
        <x:v>2022-12</x:v>
      </x:c>
      <x:c r="B63" s="14" t="n">
        <x:f>'Rolling'!E1535</x:f>
        <x:v>-0.229189799415081</x:v>
      </x:c>
    </x:row>
    <x:row r="64">
      <x:c r="A64" t="str">
        <x:f>TEXT('Rolling'!A1556,"yyyy-mm")</x:f>
        <x:v>2023-01</x:v>
      </x:c>
      <x:c r="B64" s="14" t="n">
        <x:f>'Rolling'!E1556</x:f>
        <x:v>-0.22961473289361944</x:v>
      </x:c>
    </x:row>
    <x:row r="65">
      <x:c r="A65" t="str">
        <x:f>TEXT('Rolling'!A1577,"yyyy-mm")</x:f>
        <x:v>2023-02</x:v>
      </x:c>
      <x:c r="B65" s="14" t="n">
        <x:f>'Rolling'!E1577</x:f>
        <x:v>-0.2254010459006471</x:v>
      </x:c>
    </x:row>
    <x:row r="66">
      <x:c r="A66" t="str">
        <x:f>TEXT('Rolling'!A1598,"yyyy-mm")</x:f>
        <x:v>2023-03</x:v>
      </x:c>
      <x:c r="B66" s="14" t="n">
        <x:f>'Rolling'!E1598</x:f>
        <x:v>-0.1934567791490852</x:v>
      </x:c>
    </x:row>
    <x:row r="67">
      <x:c r="A67" t="str">
        <x:f>TEXT('Rolling'!A1619,"yyyy-mm")</x:f>
        <x:v>2023-04</x:v>
      </x:c>
      <x:c r="B67" s="14" t="n">
        <x:f>'Rolling'!E1619</x:f>
        <x:v>-0.135206347527672</x:v>
      </x:c>
    </x:row>
    <x:row r="68">
      <x:c r="A68" t="str">
        <x:f>TEXT('Rolling'!A1640,"yyyy-mm")</x:f>
        <x:v>2023-05</x:v>
      </x:c>
      <x:c r="B68" s="14" t="n">
        <x:f>'Rolling'!E1640</x:f>
        <x:v>-0.11400233232473987</x:v>
      </x:c>
    </x:row>
    <x:row r="69">
      <x:c r="A69" t="str">
        <x:f>TEXT('Rolling'!A1661,"yyyy-mm")</x:f>
        <x:v>2023-06</x:v>
      </x:c>
      <x:c r="B69" s="14" t="n">
        <x:f>'Rolling'!E1661</x:f>
        <x:v>-0.10867075122376055</x:v>
      </x:c>
    </x:row>
    <x:row r="70">
      <x:c r="A70" t="str">
        <x:f>TEXT('Rolling'!A1682,"yyyy-mm")</x:f>
        <x:v>2023-07</x:v>
      </x:c>
      <x:c r="B70" s="14" t="n">
        <x:f>'Rolling'!E1682</x:f>
        <x:v>-0.09741418810892892</x:v>
      </x:c>
    </x:row>
    <x:row r="71">
      <x:c r="A71" t="str">
        <x:f>TEXT('Rolling'!A1703,"yyyy-mm")</x:f>
        <x:v>2023-08</x:v>
      </x:c>
      <x:c r="B71" s="14" t="n">
        <x:f>'Rolling'!E1703</x:f>
        <x:v>-0.1071856505958549</x:v>
      </x:c>
    </x:row>
    <x:row r="72">
      <x:c r="A72" t="str">
        <x:f>TEXT('Rolling'!A1724,"yyyy-mm")</x:f>
        <x:v>2023-09</x:v>
      </x:c>
      <x:c r="B72" s="14" t="n">
        <x:f>'Rolling'!E1724</x:f>
        <x:v>-0.12809006754522398</x:v>
      </x:c>
    </x:row>
    <x:row r="73">
      <x:c r="A73" t="str">
        <x:f>TEXT('Rolling'!A1745,"yyyy-mm")</x:f>
        <x:v>2023-10</x:v>
      </x:c>
      <x:c r="B73" s="14" t="n">
        <x:f>'Rolling'!E1745</x:f>
        <x:v>-0.09307729530572194</x:v>
      </x:c>
    </x:row>
    <x:row r="74">
      <x:c r="A74" t="str">
        <x:f>TEXT('Rolling'!A1766,"yyyy-mm")</x:f>
        <x:v>2023-11</x:v>
      </x:c>
      <x:c r="B74" s="14" t="n">
        <x:f>'Rolling'!E1766</x:f>
        <x:v>-0.12376982464209257</x:v>
      </x:c>
    </x:row>
    <x:row r="75">
      <x:c r="A75" t="str">
        <x:f>TEXT('Rolling'!A1787,"yyyy-mm")</x:f>
        <x:v>2023-12</x:v>
      </x:c>
      <x:c r="B75" s="14" t="n">
        <x:f>'Rolling'!E1787</x:f>
        <x:v>-0.09429504963896694</x:v>
      </x:c>
    </x:row>
    <x:row r="76">
      <x:c r="A76" t="str">
        <x:f>TEXT('Rolling'!A1808,"yyyy-mm")</x:f>
        <x:v>2024-01</x:v>
      </x:c>
      <x:c r="B76" s="14" t="n">
        <x:f>'Rolling'!E1808</x:f>
        <x:v>-0.09170409179498976</x:v>
      </x:c>
    </x:row>
    <x:row r="77">
      <x:c r="A77" t="str">
        <x:f>TEXT('Rolling'!A1829,"yyyy-mm")</x:f>
        <x:v>2024-02</x:v>
      </x:c>
      <x:c r="B77" s="14" t="n">
        <x:f>'Rolling'!E1829</x:f>
        <x:v>-0.08854755649364196</x:v>
      </x:c>
    </x:row>
    <x:row r="78">
      <x:c r="A78" t="str">
        <x:f>TEXT('Rolling'!A1850,"yyyy-mm")</x:f>
        <x:v>2024-03</x:v>
      </x:c>
      <x:c r="B78" s="14" t="n">
        <x:f>'Rolling'!E1850</x:f>
        <x:v>-0.08399490368929922</x:v>
      </x:c>
    </x:row>
    <x:row r="79">
      <x:c r="A79" t="str">
        <x:f>TEXT('Rolling'!A1871,"yyyy-mm")</x:f>
        <x:v>2024-05</x:v>
      </x:c>
      <x:c r="B79" s="14" t="n">
        <x:f>'Rolling'!E1871</x:f>
        <x:v>-0.1463351111663162</x:v>
      </x:c>
    </x:row>
    <x:row r="80">
      <x:c r="A80" t="str">
        <x:f>TEXT('Rolling'!A1892,"yyyy-mm")</x:f>
        <x:v>2024-06</x:v>
      </x:c>
      <x:c r="B80" s="14" t="n">
        <x:f>'Rolling'!E1892</x:f>
        <x:v>-0.1437527060179035</x:v>
      </x:c>
    </x:row>
    <x:row r="81">
      <x:c r="A81" t="str">
        <x:f>TEXT('Rolling'!A1913,"yyyy-mm")</x:f>
        <x:v>2024-07</x:v>
      </x:c>
      <x:c r="B81" s="14" t="n">
        <x:f>'Rolling'!E1913</x:f>
        <x:v>-0.106313298711731</x:v>
      </x:c>
    </x:row>
    <x:row r="82">
      <x:c r="A82" t="str">
        <x:f>TEXT('Rolling'!A1934,"yyyy-mm")</x:f>
        <x:v>2024-08</x:v>
      </x:c>
      <x:c r="B82" s="14" t="n">
        <x:f>'Rolling'!E1934</x:f>
        <x:v>-0.08188328024628162</x:v>
      </x:c>
    </x:row>
    <x:row r="83">
      <x:c r="A83" t="str">
        <x:f>TEXT('Rolling'!A1955,"yyyy-mm")</x:f>
        <x:v>2024-09</x:v>
      </x:c>
      <x:c r="B83" s="14" t="n">
        <x:f>'Rolling'!E1955</x:f>
        <x:v>-0.1238582290354681</x:v>
      </x:c>
    </x:row>
    <x:row r="84">
      <x:c r="A84" t="str">
        <x:f>TEXT('Rolling'!A1976,"yyyy-mm")</x:f>
        <x:v>2024-10</x:v>
      </x:c>
      <x:c r="B84" s="14" t="n">
        <x:f>'Rolling'!E1976</x:f>
        <x:v>-0.08865148648209516</x:v>
      </x:c>
    </x:row>
    <x:row r="85">
      <x:c r="A85" t="str">
        <x:f>TEXT('Rolling'!A1997,"yyyy-mm")</x:f>
        <x:v>2024-11</x:v>
      </x:c>
      <x:c r="B85" s="14" t="n">
        <x:f>'Rolling'!E1997</x:f>
        <x:v>-0.05288815441025964</x:v>
      </x:c>
    </x:row>
    <x:row r="86">
      <x:c r="A86" t="str">
        <x:f>TEXT('Rolling'!A2018,"yyyy-mm")</x:f>
        <x:v>2024-12</x:v>
      </x:c>
      <x:c r="B86" s="14" t="n">
        <x:f>'Rolling'!E2018</x:f>
        <x:v>-0.058062774810694974</x:v>
      </x:c>
    </x:row>
    <x:row r="87">
      <x:c r="A87" t="str">
        <x:f>TEXT('Rolling'!A2039,"yyyy-mm")</x:f>
        <x:v>2025-01</x:v>
      </x:c>
      <x:c r="B87" s="14" t="n">
        <x:f>'Rolling'!E2039</x:f>
        <x:v>-0.06036123056372897</x:v>
      </x:c>
    </x:row>
    <x:row r="88">
      <x:c r="A88" t="str">
        <x:f>TEXT('Rolling'!A2060,"yyyy-mm")</x:f>
        <x:v>2025-02</x:v>
      </x:c>
      <x:c r="B88" s="14" t="n">
        <x:f>'Rolling'!E2060</x:f>
        <x:v>-0.06036661731603859</x:v>
      </x:c>
    </x:row>
    <x:row r="89">
      <x:c r="A89" t="str">
        <x:f>TEXT('Rolling'!A2081,"yyyy-mm")</x:f>
        <x:v>2025-03</x:v>
      </x:c>
      <x:c r="B89" s="14" t="n">
        <x:f>'Rolling'!E2081</x:f>
        <x:v>-0.06301513959443418</x:v>
      </x:c>
    </x:row>
    <x:row r="90">
      <x:c r="A90" t="str">
        <x:f>TEXT('Rolling'!A2102,"yyyy-mm")</x:f>
        <x:v>2025-04</x:v>
      </x:c>
      <x:c r="B90" s="14" t="n">
        <x:f>'Rolling'!E2102</x:f>
        <x:v>-0.12522618716965647</x:v>
      </x:c>
    </x:row>
    <x:row r="91">
      <x:c r="A91" t="str">
        <x:f>TEXT('Rolling'!A2123,"yyyy-mm")</x:f>
        <x:v>2025-05</x:v>
      </x:c>
      <x:c r="B91" s="14" t="n">
        <x:f>'Rolling'!E2123</x:f>
        <x:v>-0.12789275951981113</x:v>
      </x:c>
    </x:row>
    <x:row r="92">
      <x:c r="A92" t="str">
        <x:f>TEXT('Rolling'!A2144,"yyyy-mm")</x:f>
        <x:v>2025-06</x:v>
      </x:c>
      <x:c r="B92" s="14" t="n">
        <x:f>'Rolling'!E2144</x:f>
        <x:v>-0.1304237954044532</x:v>
      </x:c>
    </x:row>
    <x:row r="93">
      <x:c r="A93" t="str">
        <x:f>TEXT('Rolling'!A2165,"yyyy-mm")</x:f>
        <x:v>2025-07</x:v>
      </x:c>
      <x:c r="B93" s="14" t="n">
        <x:f>'Rolling'!E2165</x:f>
        <x:v>-0.13605461302279542</x:v>
      </x:c>
    </x:row>
    <x:row r="94">
      <x:c r="A94" t="str">
        <x:f>TEXT('Rolling'!A2186,"yyyy-mm")</x:f>
        <x:v>2025-08</x:v>
      </x:c>
      <x:c r="B94" s="14" t="n">
        <x:f>'Rolling'!E2186</x:f>
        <x:v>-0.1342143525022144</x:v>
      </x:c>
    </x:row>
    <x:row r="95">
      <x:c r="A95" t="str">
        <x:f>TEXT('Rolling'!A2207,"yyyy-mm")</x:f>
        <x:v>2025-09</x:v>
      </x:c>
      <x:c r="B95" s="14" t="n">
        <x:f>'Rolling'!E2207</x:f>
        <x:v>-0.13424884493533526</x:v>
      </x:c>
    </x:row>
    <x:row r="96">
      <x:c r="A96" t="str">
        <x:f>TEXT('Rolling'!A2228,"yyyy-mm")</x:f>
        <x:v>2025-10</x:v>
      </x:c>
      <x:c r="B96" s="14" t="n">
        <x:f>'Rolling'!E2228</x:f>
        <x:v>-0.18647045880871618</x:v>
      </x:c>
    </x:row>
    <x:row r="97">
      <x:c r="A97" t="str">
        <x:f>TEXT('Rolling'!A2249,"yyyy-mm")</x:f>
        <x:v>2025-11</x:v>
      </x:c>
      <x:c r="B97" s="14" t="n">
        <x:f>'Rolling'!E2249</x:f>
        <x:v>-0.22978209961742502</x:v>
      </x:c>
    </x:row>
    <x:row r="98">
      <x:c r="A98" t="str">
        <x:f>TEXT('Rolling'!A2270,"yyyy-mm")</x:f>
        <x:v>2025-12</x:v>
      </x:c>
      <x:c r="B98" s="14" t="n">
        <x:f>'Rolling'!E2270</x:f>
        <x:v>-0.2331088805725583</x:v>
      </x:c>
    </x:row>
    <x:row r="99">
      <x:c r="A99" t="str">
        <x:f>TEXT('Rolling'!A2291,"yyyy-mm")</x:f>
        <x:v>2026-01</x:v>
      </x:c>
      <x:c r="B99" s="14" t="n">
        <x:f>'Rolling'!E2291</x:f>
        <x:v>-0.2645204930698662</x:v>
      </x:c>
    </x:row>
    <x:row r="100">
      <x:c r="A100" t="str">
        <x:f>TEXT('Rolling'!A2312,"yyyy-mm")</x:f>
        <x:v>2026-03</x:v>
      </x:c>
      <x:c r="B100" s="14" t="n">
        <x:f>'Rolling'!E2312</x:f>
        <x:v>-0.24442471787813408</x:v>
      </x:c>
    </x:row>
    <x:row r="101">
      <x:c r="A101" t="str">
        <x:f>TEXT('Rolling'!A2333,"yyyy-mm")</x:f>
        <x:v>2026-04</x:v>
      </x:c>
      <x:c r="B101" s="14" t="n">
        <x:f>'Rolling'!E2333</x:f>
        <x:v>-0.22579931357370592</x:v>
      </x:c>
    </x:row>
    <x:row r="102">
      <x:c r="A102" t="str">
        <x:f>TEXT('Rolling'!A2354,"yyyy-mm")</x:f>
        <x:v>2026-05</x:v>
      </x:c>
      <x:c r="B102" s="14" t="n">
        <x:f>'Rolling'!E2354</x:f>
        <x:v>-0.20594173102120666</x:v>
      </x:c>
    </x:row>
    <x:row r="103">
      <x:c r="A103" t="str">
        <x:f>TEXT('Rolling'!A2375,"yyyy-mm")</x:f>
        <x:v>2026-06</x:v>
      </x:c>
      <x:c r="B103" s="14" t="n">
        <x:f>'Rolling'!E2375</x:f>
        <x:v>-0.19306923591295821</x:v>
      </x:c>
    </x:row>
    <x:row r="104">
      <x:c r="A104" t="str">
        <x:f>TEXT('Rolling'!A2396,"yyyy-mm")</x:f>
        <x:v>2026-07</x:v>
      </x:c>
      <x:c r="B104" s="14" t="n">
        <x:f>'Rolling'!E2396</x:f>
        <x:v>-0.21637560444588919</x:v>
      </x:c>
    </x:row>
    <x:row r="105">
      <x:c r="A105" t="str">
        <x:f>TEXT('Rolling'!A2407,"yyyy-mm")</x:f>
        <x:v>2026-07</x:v>
      </x:c>
      <x:c r="B105" s="14" t="n">
        <x:f>'Rolling'!E2407</x:f>
        <x:v>-0.1967382634879866</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4" hidden="0" customWidth="1"/>
    <x:col min="2" max="2" width="31" hidden="0" customWidth="1"/>
    <x:col min="3" max="3" width="58" hidden="0" customWidth="1"/>
    <x:col min="4" max="4" width="22" hidden="0" customWidth="1"/>
    <x:col min="5" max="5" width="44" hidden="0" customWidth="1"/>
  </x:cols>
  <x:sheetData>
    <x:row r="1" ht="34" customHeight="1">
      <x:c r="A1" s="24" t="str">
        <x:v>数据来源与口径</x:v>
      </x:c>
      <x:c r="B1" s="24" t="str">
        <x:v>数据来源与口径</x:v>
      </x:c>
      <x:c r="C1" s="24" t="str">
        <x:v>数据来源与口径</x:v>
      </x:c>
      <x:c r="D1" s="24" t="str">
        <x:v>数据来源与口径</x:v>
      </x:c>
      <x:c r="E1" s="24" t="str">
        <x:v>数据来源与口径</x:v>
      </x:c>
    </x:row>
    <x:row r="2" ht="34" customHeight="1">
      <x:c r="A2" s="24" t="str">
        <x:v>数据来源与口径</x:v>
      </x:c>
      <x:c r="B2" s="24" t="str">
        <x:v>数据来源与口径</x:v>
      </x:c>
      <x:c r="C2" s="24" t="str">
        <x:v>数据来源与口径</x:v>
      </x:c>
      <x:c r="D2" s="24" t="str">
        <x:v>数据来源与口径</x:v>
      </x:c>
      <x:c r="E2" s="24" t="str">
        <x:v>数据来源与口径</x:v>
      </x:c>
    </x:row>
    <x:row r="3">
      <x:c r="A3" s="25"/>
      <x:c r="B3" s="25"/>
      <x:c r="C3" s="25"/>
      <x:c r="D3" s="25"/>
      <x:c r="E3" s="25"/>
    </x:row>
    <x:row r="4">
      <x:c r="A4" s="27" t="str">
        <x:v>数据/用途</x:v>
      </x:c>
      <x:c r="B4" s="28" t="str">
        <x:v>来源</x:v>
      </x:c>
      <x:c r="C4" s="28" t="str">
        <x:v>URL</x:v>
      </x:c>
      <x:c r="D4" s="28" t="str">
        <x:v>访问/截止</x:v>
      </x:c>
      <x:c r="E4" s="29" t="str">
        <x:v>说明</x:v>
      </x:c>
    </x:row>
    <x:row r="5" ht="45" customHeight="1">
      <x:c r="A5" s="205" t="str">
        <x:v>BAMLH0A0HYM2当前窗口</x:v>
      </x:c>
      <x:c r="B5" s="206" t="str">
        <x:v>FRED / ICE Data Indices</x:v>
      </x:c>
      <x:c r="C5" s="206" t="str">
        <x:v>https://fred.stlouisfed.org/series/BAMLH0A0HYM2</x:v>
      </x:c>
      <x:c r="D5" s="206" t="str">
        <x:v>2026-07-26</x:v>
      </x:c>
      <x:c r="E5" s="207" t="str">
        <x:v>单位Percent，Daily Close；2026-04起FRED仅保留滚动3年</x:v>
      </x:c>
    </x:row>
    <x:row r="6" ht="45" customHeight="1">
      <x:c r="A6" s="208" t="str">
        <x:v>BAMLH0A0HYM2历史补全</x:v>
      </x:c>
      <x:c r="B6" s="209" t="str">
        <x:v>Hugging Face crisisnet-dataset（历史FRED镜像）</x:v>
      </x:c>
      <x:c r="C6" s="209" t="str">
        <x:v>https://huggingface.co/datasets/Sashank-810/crisisnet-dataset/blob/main/Module_1/credit_spreads/BAMLH0A0HYM2.csv</x:v>
      </x:c>
      <x:c r="D6" s="209" t="str">
        <x:v>文件截至2026-03-20</x:v>
      </x:c>
      <x:c r="E6" s="210" t="str">
        <x:v>SHA256与页面公布值一致；与当前FRED重叠697条完全一致</x:v>
      </x:c>
    </x:row>
    <x:row r="7" ht="45" customHeight="1">
      <x:c r="A7" s="208" t="str">
        <x:v>BAMLH0A0HYM2独立交叉核验</x:v>
      </x:c>
      <x:c r="B7" s="209" t="str">
        <x:v>Trading_Protocol GitHub历史归档</x:v>
      </x:c>
      <x:c r="C7" s="209" t="str">
        <x:v>https://github.com/maaurocp/Trading_Protocol/blob/bf64e83fa4c2a6e72c37d3883476dc81bd9d2e31/data/raw/fred_BAMLH0A0HYM2.csv</x:v>
      </x:c>
      <x:c r="D7" s="209" t="str">
        <x:v>文件截至2026-02-06</x:v>
      </x:c>
      <x:c r="E7" s="210" t="str">
        <x:v>与HF历史镜像重叠5510条完全一致</x:v>
      </x:c>
    </x:row>
    <x:row r="8" ht="45" customHeight="1">
      <x:c r="A8" s="208" t="str">
        <x:v>沪深300日线</x:v>
      </x:c>
      <x:c r="B8" s="209" t="str">
        <x:v>TuShare index_daily</x:v>
      </x:c>
      <x:c r="C8" s="209" t="str">
        <x:v>https://tushare.pro/document/2?doc_id=95</x:v>
      </x:c>
      <x:c r="D8" s="209" t="str">
        <x:v>数据截至2026-07-24</x:v>
      </x:c>
      <x:c r="E8" s="210" t="str">
        <x:v>指数代码000300.SH；仓库统一入口tushare_client.py</x:v>
      </x:c>
    </x:row>
    <x:row r="9" ht="45" customHeight="1">
      <x:c r="A9" s="211" t="str">
        <x:v>沪深300定义</x:v>
      </x:c>
      <x:c r="B9" s="212" t="str">
        <x:v>中证指数有限公司</x:v>
      </x:c>
      <x:c r="C9" s="212" t="str">
        <x:v>https://oss-ch.csindex.com.cn/static/html/csindex/public/uploads/indices/detail/files/zh_CN/000300_Index_Methodology_cn.pdf</x:v>
      </x:c>
      <x:c r="D9" s="212" t="str">
        <x:v>2026-07-26查阅</x:v>
      </x:c>
      <x:c r="E9" s="213" t="str">
        <x:v>由沪深市场规模大、流动性好的代表性证券组成</x:v>
      </x:c>
    </x:row>
  </x:sheetData>
  <x:mergeCells>
    <x:mergeCell ref="A1:E2"/>
  </x:mergeCells>
  <x:pageMargins left="0.7" right="0.7" top="0.75" bottom="0.75" header="0.3" footer="0.3"/>
</x:worksheet>
</file>