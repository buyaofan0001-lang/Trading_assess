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2440" tabRatio="600" firstSheet="0" activeTab="0" autoFilterDateGrouping="1"/>
  </bookViews>
  <sheets>
    <sheet xmlns:r="http://schemas.openxmlformats.org/officeDocument/2006/relationships" name="交易记录" sheetId="1" state="visible" r:id="rId1"/>
  </sheets>
  <definedNames>
    <definedName name="_xlnm._FilterDatabase" localSheetId="0" hidden="1">'交易记录'!$A$1:$J$60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color rgb="FFFF0000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3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4" borderId="4" applyAlignment="1">
      <alignment vertical="center"/>
    </xf>
    <xf numFmtId="0" fontId="13" fillId="5" borderId="5" applyAlignment="1">
      <alignment vertical="center"/>
    </xf>
    <xf numFmtId="0" fontId="14" fillId="5" borderId="4" applyAlignment="1">
      <alignment vertical="center"/>
    </xf>
    <xf numFmtId="0" fontId="15" fillId="6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2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0" pivotButton="0" quotePrefix="0" xfId="0"/>
    <xf numFmtId="21" fontId="2" fillId="0" borderId="0" applyAlignment="1" pivotButton="0" quotePrefix="0" xfId="0">
      <alignment vertical="center"/>
    </xf>
    <xf numFmtId="0" fontId="3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tabSelected="1" zoomScaleSheetLayoutView="60" workbookViewId="0">
      <selection activeCell="J1" sqref="J$1:J$1048576"/>
    </sheetView>
  </sheetViews>
  <sheetFormatPr baseColWidth="8" defaultColWidth="10.3846153846154" defaultRowHeight="16.8"/>
  <cols>
    <col width="14.6153846153846" customWidth="1" style="3" min="1" max="1"/>
    <col width="14.6153846153846" customWidth="1" style="4" min="2" max="2"/>
    <col width="35.4615384615385" customWidth="1" style="4" min="3" max="3"/>
    <col width="14.6153846153846" customWidth="1" style="4" min="4" max="10"/>
    <col width="14.6153846153846" customWidth="1" style="4" min="11" max="14"/>
  </cols>
  <sheetData>
    <row r="1" ht="23.2" customFormat="1" customHeight="1" s="1">
      <c r="A1" s="5" t="inlineStr">
        <is>
          <t>证券代码</t>
        </is>
      </c>
      <c r="B1" s="1" t="inlineStr">
        <is>
          <t>证券名称</t>
        </is>
      </c>
      <c r="C1" s="1" t="inlineStr">
        <is>
          <t>买卖标志</t>
        </is>
      </c>
      <c r="D1" s="1" t="inlineStr">
        <is>
          <t>成交日期</t>
        </is>
      </c>
      <c r="E1" s="1" t="inlineStr">
        <is>
          <t>成交时间</t>
        </is>
      </c>
      <c r="F1" s="1" t="inlineStr">
        <is>
          <t>成交价格</t>
        </is>
      </c>
      <c r="G1" s="1" t="inlineStr">
        <is>
          <t>成交数量</t>
        </is>
      </c>
      <c r="H1" s="1" t="inlineStr">
        <is>
          <t>成交金额</t>
        </is>
      </c>
      <c r="I1" s="1" t="inlineStr">
        <is>
          <t>清仓收益</t>
        </is>
      </c>
      <c r="J1" s="1" t="inlineStr">
        <is>
          <t>剩余仓位</t>
        </is>
      </c>
      <c r="K1" s="1" t="inlineStr">
        <is>
          <t>买入逻辑</t>
        </is>
      </c>
      <c r="L1" s="1" t="inlineStr">
        <is>
          <t>计划止盈</t>
        </is>
      </c>
      <c r="M1" s="1" t="inlineStr">
        <is>
          <t>计划止损</t>
        </is>
      </c>
      <c r="N1" s="1" t="inlineStr">
        <is>
          <t>清仓逻辑</t>
        </is>
      </c>
    </row>
    <row r="2" ht="20.4" customFormat="1" customHeight="1" s="2">
      <c r="A2" s="6" t="n">
        <v>600276</v>
      </c>
      <c r="B2" s="2" t="inlineStr">
        <is>
          <t>恒瑞医药</t>
        </is>
      </c>
      <c r="C2" s="2" t="inlineStr">
        <is>
          <t>买入</t>
        </is>
      </c>
      <c r="D2" s="2" t="n">
        <v>20250902</v>
      </c>
      <c r="E2" s="8" t="n">
        <v>0.3959837962962963</v>
      </c>
      <c r="F2" s="2" t="n">
        <v>69.43000000000001</v>
      </c>
      <c r="G2" s="2" t="n">
        <v>200</v>
      </c>
      <c r="H2" s="2" t="n">
        <v>13886</v>
      </c>
      <c r="I2" s="2">
        <f>IF(AND($C2="卖出",SUMIFS($G$2:G4,$A$2:A4,$A2)=0),SUMIFS($H$2:H4,$A$2:A4,$A2,$C$2:C4,"卖出")-SUMIFS($H$2:H4,$A$2:A4,$A2,$C$2:C4,"买入"),"")</f>
        <v/>
      </c>
      <c r="J2" s="2">
        <f>SUMIFS($G$2:G2,$A$2:A2,$A2)</f>
        <v/>
      </c>
    </row>
    <row r="3" ht="20.4" customFormat="1" customHeight="1" s="2">
      <c r="A3" s="6" t="n">
        <v>600276</v>
      </c>
      <c r="B3" s="2" t="inlineStr">
        <is>
          <t>恒瑞医药</t>
        </is>
      </c>
      <c r="C3" s="2" t="inlineStr">
        <is>
          <t>卖出</t>
        </is>
      </c>
      <c r="D3" s="2" t="n">
        <v>20250903</v>
      </c>
      <c r="E3" s="8" t="n">
        <v>0.4002893518518518</v>
      </c>
      <c r="F3" s="2" t="n">
        <v>69.09</v>
      </c>
      <c r="G3" s="2" t="n">
        <v>-200</v>
      </c>
      <c r="H3" s="2" t="n">
        <v>13818</v>
      </c>
      <c r="I3" s="2">
        <f>IF(AND($C3="卖出",SUMIFS($G$2:G4,$A$2:A4,$A3)=0),SUMIFS($H$2:H4,$A$2:A4,$A3,$C$2:C4,"卖出")-SUMIFS($H$2:H4,$A$2:A4,$A3,$C$2:C4,"买入"),"")</f>
        <v/>
      </c>
      <c r="J3" s="2">
        <f>SUMIFS($G$2:G3,$A$2:A3,$A3)</f>
        <v/>
      </c>
    </row>
    <row r="4" ht="20.4" customFormat="1" customHeight="1" s="2">
      <c r="A4" s="6" t="n">
        <v>601138</v>
      </c>
      <c r="B4" s="2" t="inlineStr">
        <is>
          <t>工业富联</t>
        </is>
      </c>
      <c r="C4" s="2" t="inlineStr">
        <is>
          <t>买入</t>
        </is>
      </c>
      <c r="D4" s="2" t="n">
        <v>20250912</v>
      </c>
      <c r="E4" s="8" t="n">
        <v>0.4076388888888889</v>
      </c>
      <c r="F4" s="2" t="n">
        <v>61</v>
      </c>
      <c r="G4" s="2" t="n">
        <v>400</v>
      </c>
      <c r="H4" s="2" t="n">
        <v>24400</v>
      </c>
      <c r="I4" s="2">
        <f>IF(AND($C4="卖出",SUMIFS($G$2:G4,$A$2:A4,$A4)=0),SUMIFS($H$2:H4,$A$2:A4,$A4,$C$2:C4,"卖出")-SUMIFS($H$2:H4,$A$2:A4,$A4,$C$2:C4,"买入"),"")</f>
        <v/>
      </c>
      <c r="J4" s="2">
        <f>SUMIFS($G$2:G4,$A$2:A4,$A4)</f>
        <v/>
      </c>
    </row>
    <row r="5" ht="20" customFormat="1" customHeight="1" s="2">
      <c r="A5" s="6" t="n">
        <v>601138</v>
      </c>
      <c r="B5" s="2" t="inlineStr">
        <is>
          <t>工业富联</t>
        </is>
      </c>
      <c r="C5" s="2" t="inlineStr">
        <is>
          <t>买入</t>
        </is>
      </c>
      <c r="D5" s="2" t="n">
        <v>20250915</v>
      </c>
      <c r="E5" s="8" t="n">
        <v>0.5917824074074074</v>
      </c>
      <c r="F5" s="2" t="n">
        <v>59.5</v>
      </c>
      <c r="G5" s="2" t="n">
        <v>100</v>
      </c>
      <c r="H5" s="2" t="n">
        <v>5950</v>
      </c>
      <c r="I5" s="2">
        <f>IF(AND($C5="卖出",SUMIFS($G$2:G5,$A$2:A5,$A5)=0),SUMIFS($H$2:H5,$A$2:A5,$A5,$C$2:C5,"卖出")-SUMIFS($H$2:H5,$A$2:A5,$A5,$C$2:C5,"买入"),"")</f>
        <v/>
      </c>
      <c r="J5" s="2">
        <f>SUMIFS($G$2:G5,$A$2:A5,$A5)</f>
        <v/>
      </c>
    </row>
    <row r="6" ht="20.4" customFormat="1" customHeight="1" s="2">
      <c r="A6" s="6" t="n">
        <v>601138</v>
      </c>
      <c r="B6" s="2" t="inlineStr">
        <is>
          <t>工业富联</t>
        </is>
      </c>
      <c r="C6" s="2" t="inlineStr">
        <is>
          <t>买入</t>
        </is>
      </c>
      <c r="D6" s="2" t="n">
        <v>20250915</v>
      </c>
      <c r="E6" s="8" t="n">
        <v>0.3993634259259259</v>
      </c>
      <c r="F6" s="2" t="n">
        <v>60.5</v>
      </c>
      <c r="G6" s="2" t="n">
        <v>100</v>
      </c>
      <c r="H6" s="2" t="n">
        <v>6050</v>
      </c>
      <c r="I6" s="2">
        <f>IF(AND($C6="卖出",SUMIFS($G$2:G6,$A$2:A6,$A6)=0),SUMIFS($H$2:H6,$A$2:A6,$A6,$C$2:C6,"卖出")-SUMIFS($H$2:H6,$A$2:A6,$A6,$C$2:C6,"买入"),"")</f>
        <v/>
      </c>
      <c r="J6" s="2">
        <f>SUMIFS($G$2:G6,$A$2:A6,$A6)</f>
        <v/>
      </c>
    </row>
    <row r="7" ht="20.4" customFormat="1" customHeight="1" s="2">
      <c r="A7" s="6" t="n">
        <v>603986</v>
      </c>
      <c r="B7" s="2" t="inlineStr">
        <is>
          <t>兆易创新</t>
        </is>
      </c>
      <c r="C7" s="2" t="inlineStr">
        <is>
          <t>买入</t>
        </is>
      </c>
      <c r="D7" s="2" t="n">
        <v>20250925</v>
      </c>
      <c r="E7" s="8" t="n">
        <v>0.6093402777777778</v>
      </c>
      <c r="F7" s="2" t="n">
        <v>198</v>
      </c>
      <c r="G7" s="2" t="n">
        <v>100</v>
      </c>
      <c r="H7" s="2" t="n">
        <v>19800</v>
      </c>
      <c r="I7" s="2">
        <f>IF(AND($C7="卖出",SUMIFS($G$2:G11,$A$2:A11,$A7)=0),SUMIFS($H$2:H11,$A$2:A11,$A7,$C$2:C11,"卖出")-SUMIFS($H$2:H11,$A$2:A11,$A7,$C$2:C11,"买入"),"")</f>
        <v/>
      </c>
      <c r="J7" s="2">
        <f>SUMIFS($G$2:G7,$A$2:A7,$A7)</f>
        <v/>
      </c>
    </row>
    <row r="8" ht="20.4" customFormat="1" customHeight="1" s="2">
      <c r="A8" s="6" t="n">
        <v>601138</v>
      </c>
      <c r="B8" s="2" t="inlineStr">
        <is>
          <t>工业富联</t>
        </is>
      </c>
      <c r="C8" s="2" t="inlineStr">
        <is>
          <t>卖出</t>
        </is>
      </c>
      <c r="D8" s="2" t="n">
        <v>20251009</v>
      </c>
      <c r="E8" s="8" t="n">
        <v>0.4468518518518518</v>
      </c>
      <c r="F8" s="2" t="n">
        <v>70</v>
      </c>
      <c r="G8" s="2" t="n">
        <v>-200</v>
      </c>
      <c r="H8" s="2" t="n">
        <v>14000</v>
      </c>
      <c r="I8" s="2">
        <f>IF(AND($C8="卖出",SUMIFS($G$2:G11,$A$2:A11,$A8)=0),SUMIFS($H$2:H11,$A$2:A11,$A8,$C$2:C11,"卖出")-SUMIFS($H$2:H11,$A$2:A11,$A8,$C$2:C11,"买入"),"")</f>
        <v/>
      </c>
      <c r="J8" s="2">
        <f>SUMIFS($G$2:G8,$A$2:A8,$A8)</f>
        <v/>
      </c>
    </row>
    <row r="9" ht="20.4" customFormat="1" customHeight="1" s="2">
      <c r="A9" s="6" t="n">
        <v>600111</v>
      </c>
      <c r="B9" s="2" t="inlineStr">
        <is>
          <t>北方稀土</t>
        </is>
      </c>
      <c r="C9" s="2" t="inlineStr">
        <is>
          <t>买入</t>
        </is>
      </c>
      <c r="D9" s="2" t="n">
        <v>20251010</v>
      </c>
      <c r="E9" s="8" t="n">
        <v>0.4173379629629629</v>
      </c>
      <c r="F9" s="2" t="n">
        <v>53.5</v>
      </c>
      <c r="G9" s="2" t="n">
        <v>200</v>
      </c>
      <c r="H9" s="2" t="n">
        <v>10700</v>
      </c>
      <c r="I9" s="2">
        <f>IF(AND($C9="卖出",SUMIFS($G$2:G11,$A$2:A11,$A9)=0),SUMIFS($H$2:H11,$A$2:A11,$A9,$C$2:C11,"卖出")-SUMIFS($H$2:H11,$A$2:A11,$A9,$C$2:C11,"买入"),"")</f>
        <v/>
      </c>
      <c r="J9" s="2">
        <f>SUMIFS($G$2:G9,$A$2:A9,$A9)</f>
        <v/>
      </c>
    </row>
    <row r="10" ht="20.4" customFormat="1" customHeight="1" s="2">
      <c r="A10" s="6" t="n">
        <v>600111</v>
      </c>
      <c r="B10" s="2" t="inlineStr">
        <is>
          <t>北方稀土</t>
        </is>
      </c>
      <c r="C10" s="2" t="inlineStr">
        <is>
          <t>买入</t>
        </is>
      </c>
      <c r="D10" s="2" t="n">
        <v>20251010</v>
      </c>
      <c r="E10" s="8" t="n">
        <v>0.3965740740740741</v>
      </c>
      <c r="F10" s="2" t="n">
        <v>53.98</v>
      </c>
      <c r="G10" s="2" t="n">
        <v>300</v>
      </c>
      <c r="H10" s="2" t="n">
        <v>16194</v>
      </c>
      <c r="I10" s="2">
        <f>IF(AND($C10="卖出",SUMIFS($G$2:G11,$A$2:A11,$A10)=0),SUMIFS($H$2:H11,$A$2:A11,$A10,$C$2:C11,"卖出")-SUMIFS($H$2:H11,$A$2:A11,$A10,$C$2:C11,"买入"),"")</f>
        <v/>
      </c>
      <c r="J10" s="2">
        <f>SUMIFS($G$2:G10,$A$2:A10,$A10)</f>
        <v/>
      </c>
    </row>
    <row r="11" ht="20.4" customFormat="1" customHeight="1" s="2">
      <c r="A11" s="6" t="n">
        <v>601138</v>
      </c>
      <c r="B11" s="2" t="inlineStr">
        <is>
          <t>工业富联</t>
        </is>
      </c>
      <c r="C11" s="2" t="inlineStr">
        <is>
          <t>卖出</t>
        </is>
      </c>
      <c r="D11" s="2" t="n">
        <v>20251015</v>
      </c>
      <c r="E11" s="8" t="n">
        <v>0.453912037037037</v>
      </c>
      <c r="F11" s="2" t="n">
        <v>60.75</v>
      </c>
      <c r="G11" s="2" t="n">
        <v>-400</v>
      </c>
      <c r="H11" s="2" t="n">
        <v>24300</v>
      </c>
      <c r="I11" s="2">
        <f>IF(AND($C11="卖出",SUMIFS($G$2:G11,$A$2:A11,$A11)=0),SUMIFS($H$2:H11,$A$2:A11,$A11,$C$2:C11,"卖出")-SUMIFS($H$2:H11,$A$2:A11,$A11,$C$2:C11,"买入"),"")</f>
        <v/>
      </c>
      <c r="J11" s="2">
        <f>SUMIFS($G$2:G11,$A$2:A11,$A11)</f>
        <v/>
      </c>
    </row>
    <row r="12" ht="20.4" customFormat="1" customHeight="1" s="2">
      <c r="A12" s="6" t="n">
        <v>603986</v>
      </c>
      <c r="B12" s="2" t="inlineStr">
        <is>
          <t>兆易创新</t>
        </is>
      </c>
      <c r="C12" s="2" t="inlineStr">
        <is>
          <t>卖出</t>
        </is>
      </c>
      <c r="D12" s="2" t="n">
        <v>20251015</v>
      </c>
      <c r="E12" s="8" t="n">
        <v>0.4537847222222222</v>
      </c>
      <c r="F12" s="2" t="n">
        <v>193.75</v>
      </c>
      <c r="G12" s="2" t="n">
        <v>-100</v>
      </c>
      <c r="H12" s="2" t="n">
        <v>19375</v>
      </c>
      <c r="I12" s="2">
        <f>IF(AND($C12="卖出",SUMIFS($G$2:G12,$A$2:A12,$A12)=0),SUMIFS($H$2:H12,$A$2:A12,$A12,$C$2:C12,"卖出")-SUMIFS($H$2:H12,$A$2:A12,$A12,$C$2:C12,"买入"),"")</f>
        <v/>
      </c>
      <c r="J12" s="2">
        <f>SUMIFS($G$2:G12,$A$2:A12,$A12)</f>
        <v/>
      </c>
    </row>
    <row r="13" ht="20.4" customFormat="1" customHeight="1" s="2">
      <c r="A13" s="6" t="n">
        <v>600111</v>
      </c>
      <c r="B13" s="2" t="inlineStr">
        <is>
          <t>北方稀土</t>
        </is>
      </c>
      <c r="C13" s="2" t="inlineStr">
        <is>
          <t>卖出</t>
        </is>
      </c>
      <c r="D13" s="2" t="n">
        <v>20251015</v>
      </c>
      <c r="E13" s="8" t="n">
        <v>0.4226967592592593</v>
      </c>
      <c r="F13" s="2" t="n">
        <v>54.82</v>
      </c>
      <c r="G13" s="2" t="n">
        <v>-500</v>
      </c>
      <c r="H13" s="2" t="n">
        <v>27410</v>
      </c>
      <c r="I13" s="2">
        <f>IF(AND($C13="卖出",SUMIFS($G$2:G13,$A$2:A13,$A13)=0),SUMIFS($H$2:H13,$A$2:A13,$A13,$C$2:C13,"卖出")-SUMIFS($H$2:H13,$A$2:A13,$A13,$C$2:C13,"买入"),"")</f>
        <v/>
      </c>
      <c r="J13" s="2">
        <f>SUMIFS($G$2:G13,$A$2:A13,$A13)</f>
        <v/>
      </c>
    </row>
    <row r="14" ht="20.4" customFormat="1" customHeight="1" s="2">
      <c r="A14" s="6">
        <f>"002475"</f>
        <v/>
      </c>
      <c r="B14" s="2" t="inlineStr">
        <is>
          <t>立讯精密</t>
        </is>
      </c>
      <c r="C14" s="2" t="inlineStr">
        <is>
          <t>买入</t>
        </is>
      </c>
      <c r="D14" s="2" t="n">
        <v>20251016</v>
      </c>
      <c r="E14" s="8" t="n">
        <v>0.5604745370370371</v>
      </c>
      <c r="F14" s="2" t="n">
        <v>59.5</v>
      </c>
      <c r="G14" s="2" t="n">
        <v>600</v>
      </c>
      <c r="H14" s="2" t="n">
        <v>35700</v>
      </c>
      <c r="I14" s="2">
        <f>IF(AND($C14="卖出",SUMIFS($G$2:G19,$A$2:A19,$A14)=0),SUMIFS($H$2:H19,$A$2:A19,$A14,$C$2:C19,"卖出")-SUMIFS($H$2:H19,$A$2:A19,$A14,$C$2:C19,"买入"),"")</f>
        <v/>
      </c>
      <c r="J14" s="2">
        <f>SUMIFS($G$2:G14,$A$2:A14,$A14)</f>
        <v/>
      </c>
    </row>
    <row r="15" ht="20.4" customFormat="1" customHeight="1" s="2">
      <c r="A15" s="6" t="n">
        <v>603259</v>
      </c>
      <c r="B15" s="2" t="inlineStr">
        <is>
          <t>药明康德</t>
        </is>
      </c>
      <c r="C15" s="2" t="inlineStr">
        <is>
          <t>买入</t>
        </is>
      </c>
      <c r="D15" s="2" t="n">
        <v>20251016</v>
      </c>
      <c r="E15" s="8" t="n">
        <v>0.4585300925925926</v>
      </c>
      <c r="F15" s="2" t="n">
        <v>101.12</v>
      </c>
      <c r="G15" s="2" t="n">
        <v>100</v>
      </c>
      <c r="H15" s="2" t="n">
        <v>10112</v>
      </c>
      <c r="I15" s="2">
        <f>IF(AND($C15="卖出",SUMIFS($G$2:G19,$A$2:A19,$A15)=0),SUMIFS($H$2:H19,$A$2:A19,$A15,$C$2:C19,"卖出")-SUMIFS($H$2:H19,$A$2:A19,$A15,$C$2:C19,"买入"),"")</f>
        <v/>
      </c>
      <c r="J15" s="2">
        <f>SUMIFS($G$2:G15,$A$2:A15,$A15)</f>
        <v/>
      </c>
    </row>
    <row r="16" ht="20.4" customFormat="1" customHeight="1" s="2">
      <c r="A16" s="6">
        <f>"002371"</f>
        <v/>
      </c>
      <c r="B16" s="2" t="inlineStr">
        <is>
          <t>北方华创</t>
        </is>
      </c>
      <c r="C16" s="2" t="inlineStr">
        <is>
          <t>买入</t>
        </is>
      </c>
      <c r="D16" s="2" t="n">
        <v>20251017</v>
      </c>
      <c r="E16" s="8" t="n">
        <v>0.625</v>
      </c>
      <c r="F16" s="2" t="n">
        <v>399.43</v>
      </c>
      <c r="G16" s="2" t="n">
        <v>100</v>
      </c>
      <c r="H16" s="2" t="n">
        <v>39943</v>
      </c>
      <c r="I16" s="2">
        <f>IF(AND($C16="卖出",SUMIFS($G$2:G19,$A$2:A19,$A16)=0),SUMIFS($H$2:H19,$A$2:A19,$A16,$C$2:C19,"卖出")-SUMIFS($H$2:H19,$A$2:A19,$A16,$C$2:C19,"买入"),"")</f>
        <v/>
      </c>
      <c r="J16" s="2">
        <f>SUMIFS($G$2:G16,$A$2:A16,$A16)</f>
        <v/>
      </c>
    </row>
    <row r="17" ht="20.4" customFormat="1" customHeight="1" s="2">
      <c r="A17" s="6">
        <f>"002281"</f>
        <v/>
      </c>
      <c r="B17" s="2" t="inlineStr">
        <is>
          <t>光迅科技</t>
        </is>
      </c>
      <c r="C17" s="2" t="inlineStr">
        <is>
          <t>市买1（对手方最优价格）</t>
        </is>
      </c>
      <c r="D17" s="2" t="n">
        <v>20251021</v>
      </c>
      <c r="E17" s="8" t="n">
        <v>0.621550925925926</v>
      </c>
      <c r="F17" s="2" t="n">
        <v>61.37</v>
      </c>
      <c r="G17" s="2" t="n">
        <v>300</v>
      </c>
      <c r="H17" s="2" t="n">
        <v>18411</v>
      </c>
      <c r="I17" s="2">
        <f>IF(AND($C17="卖出",SUMIFS($G$2:G19,$A$2:A19,$A17)=0),SUMIFS($H$2:H19,$A$2:A19,$A17,$C$2:C19,"卖出")-SUMIFS($H$2:H19,$A$2:A19,$A17,$C$2:C19,"买入"),"")</f>
        <v/>
      </c>
      <c r="J17" s="2">
        <f>SUMIFS($G$2:G17,$A$2:A17,$A17)</f>
        <v/>
      </c>
    </row>
    <row r="18" ht="20.4" customFormat="1" customHeight="1" s="2">
      <c r="A18" s="6" t="n">
        <v>603259</v>
      </c>
      <c r="B18" s="2" t="inlineStr">
        <is>
          <t>药明康德</t>
        </is>
      </c>
      <c r="C18" s="2" t="inlineStr">
        <is>
          <t>卖出</t>
        </is>
      </c>
      <c r="D18" s="2" t="n">
        <v>20251021</v>
      </c>
      <c r="E18" s="8" t="n">
        <v>0.4680671296296297</v>
      </c>
      <c r="F18" s="2" t="n">
        <v>101.48</v>
      </c>
      <c r="G18" s="2" t="n">
        <v>-100</v>
      </c>
      <c r="H18" s="2" t="n">
        <v>10148</v>
      </c>
      <c r="I18" s="2">
        <f>IF(AND($C18="卖出",SUMIFS($G$2:G19,$A$2:A19,$A18)=0),SUMIFS($H$2:H19,$A$2:A19,$A18,$C$2:C19,"卖出")-SUMIFS($H$2:H19,$A$2:A19,$A18,$C$2:C19,"买入"),"")</f>
        <v/>
      </c>
      <c r="J18" s="2">
        <f>SUMIFS($G$2:G18,$A$2:A18,$A18)</f>
        <v/>
      </c>
    </row>
    <row r="19" ht="20.4" customFormat="1" customHeight="1" s="2">
      <c r="A19" s="6">
        <f>"002475"</f>
        <v/>
      </c>
      <c r="B19" s="2" t="inlineStr">
        <is>
          <t>立讯精密</t>
        </is>
      </c>
      <c r="C19" s="2" t="inlineStr">
        <is>
          <t>卖出</t>
        </is>
      </c>
      <c r="D19" s="2" t="n">
        <v>20251021</v>
      </c>
      <c r="E19" s="8" t="n">
        <v>0.4185185185185185</v>
      </c>
      <c r="F19" s="2" t="n">
        <v>60.07</v>
      </c>
      <c r="G19" s="2" t="n">
        <v>-200</v>
      </c>
      <c r="H19" s="2" t="n">
        <v>12014</v>
      </c>
      <c r="I19" s="2">
        <f>IF(AND($C19="卖出",SUMIFS($G$2:G19,$A$2:A19,$A19)=0),SUMIFS($H$2:H19,$A$2:A19,$A19,$C$2:C19,"卖出")-SUMIFS($H$2:H19,$A$2:A19,$A19,$C$2:C19,"买入"),"")</f>
        <v/>
      </c>
      <c r="J19" s="2">
        <f>SUMIFS($G$2:G19,$A$2:A19,$A19)</f>
        <v/>
      </c>
    </row>
    <row r="20" ht="20.4" customFormat="1" customHeight="1" s="2">
      <c r="A20" s="6" t="n">
        <v>603986</v>
      </c>
      <c r="B20" s="2" t="inlineStr">
        <is>
          <t>兆易创新</t>
        </is>
      </c>
      <c r="C20" s="2" t="inlineStr">
        <is>
          <t>买入</t>
        </is>
      </c>
      <c r="D20" s="2" t="n">
        <v>20251023</v>
      </c>
      <c r="E20" s="8" t="n">
        <v>0.6177777777777778</v>
      </c>
      <c r="F20" s="2" t="n">
        <v>208.04</v>
      </c>
      <c r="G20" s="2" t="n">
        <v>200</v>
      </c>
      <c r="H20" s="2" t="n">
        <v>41608</v>
      </c>
      <c r="I20" s="2">
        <f>IF(AND($C20="卖出",SUMIFS($G$2:G20,$A$2:A20,$A20)=0),SUMIFS($H$2:H20,$A$2:A20,$A20,$C$2:C20,"卖出")-SUMIFS($H$2:H20,$A$2:A20,$A20,$C$2:C20,"买入"),"")</f>
        <v/>
      </c>
      <c r="J20" s="2">
        <f>SUMIFS($G$2:G20,$A$2:A20,$A20)</f>
        <v/>
      </c>
    </row>
    <row r="21" ht="20.4" customFormat="1" customHeight="1" s="2">
      <c r="A21" s="6">
        <f>"002371"</f>
        <v/>
      </c>
      <c r="B21" s="2" t="inlineStr">
        <is>
          <t>北方华创</t>
        </is>
      </c>
      <c r="C21" s="2" t="inlineStr">
        <is>
          <t>市卖1（对手方最优价格）</t>
        </is>
      </c>
      <c r="D21" s="2" t="n">
        <v>20251023</v>
      </c>
      <c r="E21" s="8" t="n">
        <v>0.6161111111111112</v>
      </c>
      <c r="F21" s="2" t="n">
        <v>402.9</v>
      </c>
      <c r="G21" s="2" t="n">
        <v>-100</v>
      </c>
      <c r="H21" s="2" t="n">
        <v>40290</v>
      </c>
      <c r="I21" s="2">
        <f>IF(AND($C21="卖出",SUMIFS($G$2:G21,$A$2:A21,$A21)=0),SUMIFS($H$2:H21,$A$2:A21,$A21,$C$2:C21,"卖出")-SUMIFS($H$2:H21,$A$2:A21,$A21,$C$2:C21,"买入"),"")</f>
        <v/>
      </c>
      <c r="J21" s="2">
        <f>SUMIFS($G$2:G21,$A$2:A21,$A21)</f>
        <v/>
      </c>
    </row>
    <row r="22" ht="20.4" customFormat="1" customHeight="1" s="2">
      <c r="A22" s="6">
        <f>"002475"</f>
        <v/>
      </c>
      <c r="B22" s="2" t="inlineStr">
        <is>
          <t>立讯精密</t>
        </is>
      </c>
      <c r="C22" s="2" t="inlineStr">
        <is>
          <t>卖出</t>
        </is>
      </c>
      <c r="D22" s="2" t="n">
        <v>20251024</v>
      </c>
      <c r="E22" s="8" t="n">
        <v>0.6010069444444445</v>
      </c>
      <c r="F22" s="2" t="n">
        <v>63.72</v>
      </c>
      <c r="G22" s="2" t="n">
        <v>-100</v>
      </c>
      <c r="H22" s="2" t="n">
        <v>6372</v>
      </c>
      <c r="I22" s="2">
        <f>IF(AND($C22="卖出",SUMIFS($G$2:G22,$A$2:A22,$A22)=0),SUMIFS($H$2:H22,$A$2:A22,$A22,$C$2:C22,"卖出")-SUMIFS($H$2:H22,$A$2:A22,$A22,$C$2:C22,"买入"),"")</f>
        <v/>
      </c>
      <c r="J22" s="2">
        <f>SUMIFS($G$2:G22,$A$2:A22,$A22)</f>
        <v/>
      </c>
    </row>
    <row r="23" ht="20.4" customFormat="1" customHeight="1" s="2">
      <c r="A23" s="6" t="n">
        <v>603986</v>
      </c>
      <c r="B23" s="2" t="inlineStr">
        <is>
          <t>兆易创新</t>
        </is>
      </c>
      <c r="C23" s="2" t="inlineStr">
        <is>
          <t>卖出</t>
        </is>
      </c>
      <c r="D23" s="2" t="n">
        <v>20251024</v>
      </c>
      <c r="E23" s="8" t="n">
        <v>0.589212962962963</v>
      </c>
      <c r="F23" s="2" t="n">
        <v>220</v>
      </c>
      <c r="G23" s="2" t="n">
        <v>-100</v>
      </c>
      <c r="H23" s="2" t="n">
        <v>22000</v>
      </c>
      <c r="I23" s="2">
        <f>IF(AND($C23="卖出",SUMIFS($G$2:G23,$A$2:A23,$A23)=0),SUMIFS($H$2:H23,$A$2:A23,$A23,$C$2:C23,"卖出")-SUMIFS($H$2:H23,$A$2:A23,$A23,$C$2:C23,"买入"),"")</f>
        <v/>
      </c>
      <c r="J23" s="2">
        <f>SUMIFS($G$2:G23,$A$2:A23,$A23)</f>
        <v/>
      </c>
    </row>
    <row r="24" ht="20.4" customFormat="1" customHeight="1" s="2">
      <c r="A24" s="6">
        <f>"002281"</f>
        <v/>
      </c>
      <c r="B24" s="2" t="inlineStr">
        <is>
          <t>光迅科技</t>
        </is>
      </c>
      <c r="C24" s="2" t="inlineStr">
        <is>
          <t>市卖2（本手方最优价格）</t>
        </is>
      </c>
      <c r="D24" s="2" t="n">
        <v>20251024</v>
      </c>
      <c r="E24" s="8" t="n">
        <v>0.4184259259259259</v>
      </c>
      <c r="F24" s="2" t="n">
        <v>61.31</v>
      </c>
      <c r="G24" s="2" t="n">
        <v>-300</v>
      </c>
      <c r="H24" s="2" t="n">
        <v>18393</v>
      </c>
      <c r="I24" s="2">
        <f>IF(AND($C24="卖出",SUMIFS($G$2:G24,$A$2:A24,$A24)=0),SUMIFS($H$2:H24,$A$2:A24,$A24,$C$2:C24,"卖出")-SUMIFS($H$2:H24,$A$2:A24,$A24,$C$2:C24,"买入"),"")</f>
        <v/>
      </c>
      <c r="J24" s="2">
        <f>SUMIFS($G$2:G24,$A$2:A24,$A24)</f>
        <v/>
      </c>
    </row>
    <row r="25" ht="20.4" customFormat="1" customHeight="1" s="2">
      <c r="A25" s="6" t="n">
        <v>603083</v>
      </c>
      <c r="B25" s="2" t="inlineStr">
        <is>
          <t>剑桥科技</t>
        </is>
      </c>
      <c r="C25" s="2" t="inlineStr">
        <is>
          <t>市买2（本手方最优价格）</t>
        </is>
      </c>
      <c r="D25" s="2" t="n">
        <v>20251027</v>
      </c>
      <c r="E25" s="8" t="n">
        <v>0.3990740740740741</v>
      </c>
      <c r="F25" s="2" t="n">
        <v>122.95</v>
      </c>
      <c r="G25" s="2" t="n">
        <v>200</v>
      </c>
      <c r="H25" s="2" t="n">
        <v>24590</v>
      </c>
      <c r="I25" s="2">
        <f>IF(AND($C25="卖出",SUMIFS($G$2:G25,$A$2:A25,$A25)=0),SUMIFS($H$2:H25,$A$2:A25,$A25,$C$2:C25,"卖出")-SUMIFS($H$2:H25,$A$2:A25,$A25,$C$2:C25,"买入"),"")</f>
        <v/>
      </c>
      <c r="J25" s="2">
        <f>SUMIFS($G$2:G25,$A$2:A25,$A25)</f>
        <v/>
      </c>
    </row>
    <row r="26" ht="20.4" customFormat="1" customHeight="1" s="2">
      <c r="A26" s="6" t="n">
        <v>603083</v>
      </c>
      <c r="B26" s="2" t="inlineStr">
        <is>
          <t>剑桥科技</t>
        </is>
      </c>
      <c r="C26" s="2" t="inlineStr">
        <is>
          <t>卖出</t>
        </is>
      </c>
      <c r="D26" s="2" t="n">
        <v>20251028</v>
      </c>
      <c r="E26" s="8" t="n">
        <v>0.625</v>
      </c>
      <c r="F26" s="2" t="n">
        <v>119.28</v>
      </c>
      <c r="G26" s="2" t="n">
        <v>-200</v>
      </c>
      <c r="H26" s="2" t="n">
        <v>23856</v>
      </c>
      <c r="I26" s="2">
        <f>IF(AND($C26="卖出",SUMIFS($G$2:G26,$A$2:A26,$A26)=0),SUMIFS($H$2:H26,$A$2:A26,$A26,$C$2:C26,"卖出")-SUMIFS($H$2:H26,$A$2:A26,$A26,$C$2:C26,"买入"),"")</f>
        <v/>
      </c>
      <c r="J26" s="2">
        <f>SUMIFS($G$2:G26,$A$2:A26,$A26)</f>
        <v/>
      </c>
    </row>
    <row r="27" ht="20.4" customFormat="1" customHeight="1" s="2">
      <c r="A27" s="6" t="n">
        <v>603986</v>
      </c>
      <c r="B27" s="2" t="inlineStr">
        <is>
          <t>兆易创新</t>
        </is>
      </c>
      <c r="C27" s="2" t="inlineStr">
        <is>
          <t>卖出</t>
        </is>
      </c>
      <c r="D27" s="2" t="n">
        <v>20251029</v>
      </c>
      <c r="E27" s="8" t="n">
        <v>0.4415509259259259</v>
      </c>
      <c r="F27" s="2" t="n">
        <v>236.41</v>
      </c>
      <c r="G27" s="2" t="n">
        <v>-100</v>
      </c>
      <c r="H27" s="2" t="n">
        <v>23641</v>
      </c>
      <c r="I27" s="2">
        <f>IF(AND($C27="卖出",SUMIFS($G$2:G27,$A$2:A27,$A27)=0),SUMIFS($H$2:H27,$A$2:A27,$A27,$C$2:C27,"卖出")-SUMIFS($H$2:H27,$A$2:A27,$A27,$C$2:C27,"买入"),"")</f>
        <v/>
      </c>
      <c r="J27" s="2">
        <f>SUMIFS($G$2:G27,$A$2:A27,$A27)</f>
        <v/>
      </c>
    </row>
    <row r="28" ht="20.4" customFormat="1" customHeight="1" s="2">
      <c r="A28" s="6" t="n">
        <v>603799</v>
      </c>
      <c r="B28" s="2" t="inlineStr">
        <is>
          <t>华友钴业</t>
        </is>
      </c>
      <c r="C28" s="2" t="inlineStr">
        <is>
          <t>买入</t>
        </is>
      </c>
      <c r="D28" s="2" t="n">
        <v>20251030</v>
      </c>
      <c r="E28" s="8" t="n">
        <v>0.5655902777777778</v>
      </c>
      <c r="F28" s="2" t="n">
        <v>66.09999999999999</v>
      </c>
      <c r="G28" s="2" t="n">
        <v>300</v>
      </c>
      <c r="H28" s="2" t="n">
        <v>19830</v>
      </c>
      <c r="I28" s="2">
        <f>IF(AND($C28="卖出",SUMIFS($G$2:G28,$A$2:A28,$A28)=0),SUMIFS($H$2:H28,$A$2:A28,$A28,$C$2:C28,"卖出")-SUMIFS($H$2:H28,$A$2:A28,$A28,$C$2:C28,"买入"),"")</f>
        <v/>
      </c>
      <c r="J28" s="2">
        <f>SUMIFS($G$2:G28,$A$2:A28,$A28)</f>
        <v/>
      </c>
    </row>
    <row r="29" ht="20.4" customFormat="1" customHeight="1" s="2">
      <c r="A29" s="6" t="n">
        <v>603986</v>
      </c>
      <c r="B29" s="2" t="inlineStr">
        <is>
          <t>兆易创新</t>
        </is>
      </c>
      <c r="C29" s="2" t="inlineStr">
        <is>
          <t>买入</t>
        </is>
      </c>
      <c r="D29" s="2" t="n">
        <v>20251030</v>
      </c>
      <c r="E29" s="8" t="n">
        <v>0.5449884259259259</v>
      </c>
      <c r="F29" s="2" t="n">
        <v>236</v>
      </c>
      <c r="G29" s="2" t="n">
        <v>100</v>
      </c>
      <c r="H29" s="2" t="n">
        <v>23600</v>
      </c>
      <c r="I29" s="2">
        <f>IF(AND($C29="卖出",SUMIFS($G$2:G29,$A$2:A29,$A29)=0),SUMIFS($H$2:H29,$A$2:A29,$A29,$C$2:C29,"卖出")-SUMIFS($H$2:H29,$A$2:A29,$A29,$C$2:C29,"买入"),"")</f>
        <v/>
      </c>
      <c r="J29" s="2">
        <f>SUMIFS($G$2:G29,$A$2:A29,$A29)</f>
        <v/>
      </c>
    </row>
    <row r="30" ht="20.4" customFormat="1" customHeight="1" s="2">
      <c r="A30" s="6" t="n">
        <v>603099</v>
      </c>
      <c r="B30" s="2" t="inlineStr">
        <is>
          <t>长白山</t>
        </is>
      </c>
      <c r="C30" s="2" t="inlineStr">
        <is>
          <t>买入</t>
        </is>
      </c>
      <c r="D30" s="2" t="n">
        <v>20251104</v>
      </c>
      <c r="E30" s="8" t="n">
        <v>0.625</v>
      </c>
      <c r="F30" s="2" t="n">
        <v>57.91</v>
      </c>
      <c r="G30" s="2" t="n">
        <v>100</v>
      </c>
      <c r="H30" s="2" t="n">
        <v>5791</v>
      </c>
      <c r="I30" s="2">
        <f>IF(AND($C30="卖出",SUMIFS($G$2:G30,$A$2:A30,$A30)=0),SUMIFS($H$2:H30,$A$2:A30,$A30,$C$2:C30,"卖出")-SUMIFS($H$2:H30,$A$2:A30,$A30,$C$2:C30,"买入"),"")</f>
        <v/>
      </c>
      <c r="J30" s="2">
        <f>SUMIFS($G$2:G30,$A$2:A30,$A30)</f>
        <v/>
      </c>
    </row>
    <row r="31" ht="20.4" customFormat="1" customHeight="1" s="2">
      <c r="A31" s="6" t="n">
        <v>603099</v>
      </c>
      <c r="B31" s="2" t="inlineStr">
        <is>
          <t>长白山</t>
        </is>
      </c>
      <c r="C31" s="2" t="inlineStr">
        <is>
          <t>买入</t>
        </is>
      </c>
      <c r="D31" s="2" t="n">
        <v>20251104</v>
      </c>
      <c r="E31" s="8" t="n">
        <v>0.625</v>
      </c>
      <c r="F31" s="2" t="n">
        <v>57.91</v>
      </c>
      <c r="G31" s="2" t="n">
        <v>100</v>
      </c>
      <c r="H31" s="2" t="n">
        <v>5791</v>
      </c>
      <c r="I31" s="2">
        <f>IF(AND($C31="卖出",SUMIFS($G$2:G31,$A$2:A31,$A31)=0),SUMIFS($H$2:H31,$A$2:A31,$A31,$C$2:C31,"卖出")-SUMIFS($H$2:H31,$A$2:A31,$A31,$C$2:C31,"买入"),"")</f>
        <v/>
      </c>
      <c r="J31" s="2">
        <f>SUMIFS($G$2:G31,$A$2:A31,$A31)</f>
        <v/>
      </c>
    </row>
    <row r="32" ht="20.4" customFormat="1" customHeight="1" s="2">
      <c r="A32" s="6" t="n">
        <v>603799</v>
      </c>
      <c r="B32" s="2" t="inlineStr">
        <is>
          <t>华友钴业</t>
        </is>
      </c>
      <c r="C32" s="2" t="inlineStr">
        <is>
          <t>卖出</t>
        </is>
      </c>
      <c r="D32" s="2" t="n">
        <v>20251104</v>
      </c>
      <c r="E32" s="8" t="n">
        <v>0.625</v>
      </c>
      <c r="F32" s="2" t="n">
        <v>59.9</v>
      </c>
      <c r="G32" s="2" t="n">
        <v>-300</v>
      </c>
      <c r="H32" s="2" t="n">
        <v>17970</v>
      </c>
      <c r="I32" s="2">
        <f>IF(AND($C32="卖出",SUMIFS($G$2:G32,$A$2:A32,$A32)=0),SUMIFS($H$2:H32,$A$2:A32,$A32,$C$2:C32,"卖出")-SUMIFS($H$2:H32,$A$2:A32,$A32,$C$2:C32,"买入"),"")</f>
        <v/>
      </c>
      <c r="J32" s="2">
        <f>SUMIFS($G$2:G32,$A$2:A32,$A32)</f>
        <v/>
      </c>
    </row>
    <row r="33" ht="20.4" customFormat="1" customHeight="1" s="2">
      <c r="A33" s="6" t="n">
        <v>603099</v>
      </c>
      <c r="B33" s="2" t="inlineStr">
        <is>
          <t>长白山</t>
        </is>
      </c>
      <c r="C33" s="2" t="inlineStr">
        <is>
          <t>市卖1（对手方最优价格）</t>
        </is>
      </c>
      <c r="D33" s="2" t="n">
        <v>20251105</v>
      </c>
      <c r="E33" s="8" t="n">
        <v>0.4134722222222222</v>
      </c>
      <c r="F33" s="2" t="n">
        <v>56.04</v>
      </c>
      <c r="G33" s="2" t="n">
        <v>-200</v>
      </c>
      <c r="H33" s="2" t="n">
        <v>11208</v>
      </c>
      <c r="I33" s="2">
        <f>IF(AND($C33="卖出",SUMIFS($G$2:G33,$A$2:A33,$A33)=0),SUMIFS($H$2:H33,$A$2:A33,$A33,$C$2:C33,"卖出")-SUMIFS($H$2:H33,$A$2:A33,$A33,$C$2:C33,"买入"),"")</f>
        <v/>
      </c>
      <c r="J33" s="2">
        <f>SUMIFS($G$2:G33,$A$2:A33,$A33)</f>
        <v/>
      </c>
    </row>
    <row r="34" ht="20.4" customFormat="1" customHeight="1" s="2">
      <c r="A34" s="6">
        <f>"002028"</f>
        <v/>
      </c>
      <c r="B34" s="2" t="inlineStr">
        <is>
          <t>思源电气</t>
        </is>
      </c>
      <c r="C34" s="2" t="inlineStr">
        <is>
          <t>买入</t>
        </is>
      </c>
      <c r="D34" s="2" t="n">
        <v>20260119</v>
      </c>
      <c r="E34" s="8" t="n">
        <v>0.4225347222222222</v>
      </c>
      <c r="F34" s="2" t="n">
        <v>199</v>
      </c>
      <c r="G34" s="2" t="n">
        <v>100</v>
      </c>
      <c r="H34" s="2" t="n">
        <v>19900</v>
      </c>
      <c r="I34" s="2">
        <f>IF(AND($C34="卖出",SUMIFS($G$2:G34,$A$2:A34,$A34)=0),SUMIFS($H$2:H34,$A$2:A34,$A34,$C$2:C34,"卖出")-SUMIFS($H$2:H34,$A$2:A34,$A34,$C$2:C34,"买入"),"")</f>
        <v/>
      </c>
      <c r="J34" s="2">
        <f>SUMIFS($G$2:G34,$A$2:A34,$A34)</f>
        <v/>
      </c>
    </row>
    <row r="35" ht="20.4" customFormat="1" customHeight="1" s="2">
      <c r="A35" s="6" t="n">
        <v>601179</v>
      </c>
      <c r="B35" s="2" t="inlineStr">
        <is>
          <t>中国西电</t>
        </is>
      </c>
      <c r="C35" s="2" t="inlineStr">
        <is>
          <t>买入</t>
        </is>
      </c>
      <c r="D35" s="2" t="n">
        <v>20260119</v>
      </c>
      <c r="E35" s="8" t="n">
        <v>0.4008912037037037</v>
      </c>
      <c r="F35" s="2" t="n">
        <v>14.19</v>
      </c>
      <c r="G35" s="2" t="n">
        <v>1400</v>
      </c>
      <c r="H35" s="2" t="n">
        <v>19866</v>
      </c>
      <c r="I35" s="2">
        <f>IF(AND($C35="卖出",SUMIFS($G$2:G35,$A$2:A35,$A35)=0),SUMIFS($H$2:H35,$A$2:A35,$A35,$C$2:C35,"卖出")-SUMIFS($H$2:H35,$A$2:A35,$A35,$C$2:C35,"买入"),"")</f>
        <v/>
      </c>
      <c r="J35" s="2">
        <f>SUMIFS($G$2:G35,$A$2:A35,$A35)</f>
        <v/>
      </c>
    </row>
    <row r="36" ht="20.4" customFormat="1" customHeight="1" s="2">
      <c r="A36" s="6">
        <f>"002028"</f>
        <v/>
      </c>
      <c r="B36" s="2" t="inlineStr">
        <is>
          <t>思源电气</t>
        </is>
      </c>
      <c r="C36" s="2" t="inlineStr">
        <is>
          <t>买入</t>
        </is>
      </c>
      <c r="D36" s="2" t="n">
        <v>20260119</v>
      </c>
      <c r="E36" s="8" t="n">
        <v>0.3984837962962963</v>
      </c>
      <c r="F36" s="2" t="n">
        <v>194</v>
      </c>
      <c r="G36" s="2" t="n">
        <v>100</v>
      </c>
      <c r="H36" s="2" t="n">
        <v>19400</v>
      </c>
      <c r="I36" s="2">
        <f>IF(AND($C36="卖出",SUMIFS($G$2:G36,$A$2:A36,$A36)=0),SUMIFS($H$2:H36,$A$2:A36,$A36,$C$2:C36,"卖出")-SUMIFS($H$2:H36,$A$2:A36,$A36,$C$2:C36,"买入"),"")</f>
        <v/>
      </c>
      <c r="J36" s="2">
        <f>SUMIFS($G$2:G36,$A$2:A36,$A36)</f>
        <v/>
      </c>
    </row>
    <row r="37" ht="20.4" customFormat="1" customHeight="1" s="2">
      <c r="A37" s="6" t="n">
        <v>603986</v>
      </c>
      <c r="B37" s="2" t="inlineStr">
        <is>
          <t>兆易创新</t>
        </is>
      </c>
      <c r="C37" s="2" t="inlineStr">
        <is>
          <t>卖出</t>
        </is>
      </c>
      <c r="D37" s="2" t="n">
        <v>20260119</v>
      </c>
      <c r="E37" s="8" t="n">
        <v>0.3960300925925926</v>
      </c>
      <c r="F37" s="2" t="n">
        <v>280.6</v>
      </c>
      <c r="G37" s="2" t="n">
        <v>-100</v>
      </c>
      <c r="H37" s="2" t="n">
        <v>28060</v>
      </c>
      <c r="I37" s="2">
        <f>IF(AND($C37="卖出",SUMIFS($G$2:G37,$A$2:A37,$A37)=0),SUMIFS($H$2:H37,$A$2:A37,$A37,$C$2:C37,"卖出")-SUMIFS($H$2:H37,$A$2:A37,$A37,$C$2:C37,"买入"),"")</f>
        <v/>
      </c>
      <c r="J37" s="2">
        <f>SUMIFS($G$2:G37,$A$2:A37,$A37)</f>
        <v/>
      </c>
    </row>
    <row r="38" ht="20.4" customFormat="1" customHeight="1" s="2">
      <c r="A38" s="6">
        <f>"002028"</f>
        <v/>
      </c>
      <c r="B38" s="2" t="inlineStr">
        <is>
          <t>思源电气</t>
        </is>
      </c>
      <c r="C38" s="2" t="inlineStr">
        <is>
          <t>买入</t>
        </is>
      </c>
      <c r="D38" s="2" t="n">
        <v>20260121</v>
      </c>
      <c r="E38" s="8" t="n">
        <v>0.3973842592592592</v>
      </c>
      <c r="F38" s="2" t="n">
        <v>189</v>
      </c>
      <c r="G38" s="2" t="n">
        <v>100</v>
      </c>
      <c r="H38" s="2" t="n">
        <v>18900</v>
      </c>
      <c r="I38" s="2">
        <f>IF(AND($C38="卖出",SUMIFS($G$2:G38,$A$2:A38,$A38)=0),SUMIFS($H$2:H38,$A$2:A38,$A38,$C$2:C38,"卖出")-SUMIFS($H$2:H38,$A$2:A38,$A38,$C$2:C38,"买入"),"")</f>
        <v/>
      </c>
      <c r="J38" s="2">
        <f>SUMIFS($G$2:G38,$A$2:A38,$A38)</f>
        <v/>
      </c>
    </row>
    <row r="39" ht="20.4" customFormat="1" customHeight="1" s="2">
      <c r="A39" s="6">
        <f>"002028"</f>
        <v/>
      </c>
      <c r="B39" s="2" t="inlineStr">
        <is>
          <t>思源电气</t>
        </is>
      </c>
      <c r="C39" s="2" t="inlineStr">
        <is>
          <t>买入</t>
        </is>
      </c>
      <c r="D39" s="2" t="n">
        <v>20260122</v>
      </c>
      <c r="E39" s="8" t="n">
        <v>0.4448611111111111</v>
      </c>
      <c r="F39" s="2" t="n">
        <v>189</v>
      </c>
      <c r="G39" s="2" t="n">
        <v>100</v>
      </c>
      <c r="H39" s="2" t="n">
        <v>18900</v>
      </c>
      <c r="I39" s="2">
        <f>IF(AND($C39="卖出",SUMIFS($G$2:G39,$A$2:A39,$A39)=0),SUMIFS($H$2:H39,$A$2:A39,$A39,$C$2:C39,"卖出")-SUMIFS($H$2:H39,$A$2:A39,$A39,$C$2:C39,"买入"),"")</f>
        <v/>
      </c>
      <c r="J39" s="2">
        <f>SUMIFS($G$2:G39,$A$2:A39,$A39)</f>
        <v/>
      </c>
    </row>
    <row r="40" ht="20.4" customFormat="1" customHeight="1" s="2">
      <c r="A40" s="6" t="n">
        <v>600584</v>
      </c>
      <c r="B40" s="2" t="inlineStr">
        <is>
          <t>长电科技</t>
        </is>
      </c>
      <c r="C40" s="2" t="inlineStr">
        <is>
          <t>买入</t>
        </is>
      </c>
      <c r="D40" s="2" t="n">
        <v>20260122</v>
      </c>
      <c r="E40" s="8" t="n">
        <v>0.4079513888888889</v>
      </c>
      <c r="F40" s="2" t="n">
        <v>50</v>
      </c>
      <c r="G40" s="2" t="n">
        <v>400</v>
      </c>
      <c r="H40" s="2" t="n">
        <v>20000</v>
      </c>
      <c r="I40" s="2">
        <f>IF(AND($C40="卖出",SUMIFS($G$2:G40,$A$2:A40,$A40)=0),SUMIFS($H$2:H40,$A$2:A40,$A40,$C$2:C40,"卖出")-SUMIFS($H$2:H40,$A$2:A40,$A40,$C$2:C40,"买入"),"")</f>
        <v/>
      </c>
      <c r="J40" s="2">
        <f>SUMIFS($G$2:G40,$A$2:A40,$A40)</f>
        <v/>
      </c>
    </row>
    <row r="41" ht="20.4" customFormat="1" customHeight="1" s="2">
      <c r="A41" s="6" t="n">
        <v>601179</v>
      </c>
      <c r="B41" s="2" t="inlineStr">
        <is>
          <t>中国西电</t>
        </is>
      </c>
      <c r="C41" s="2" t="inlineStr">
        <is>
          <t>卖出</t>
        </is>
      </c>
      <c r="D41" s="2" t="n">
        <v>20260126</v>
      </c>
      <c r="E41" s="8" t="n">
        <v>0.622175925925926</v>
      </c>
      <c r="F41" s="2" t="n">
        <v>16.16</v>
      </c>
      <c r="G41" s="2" t="n">
        <v>-700</v>
      </c>
      <c r="H41" s="2" t="n">
        <v>11312</v>
      </c>
      <c r="I41" s="2">
        <f>IF(AND($C41="卖出",SUMIFS($G$2:G41,$A$2:A41,$A41)=0),SUMIFS($H$2:H41,$A$2:A41,$A41,$C$2:C41,"卖出")-SUMIFS($H$2:H41,$A$2:A41,$A41,$C$2:C41,"买入"),"")</f>
        <v/>
      </c>
      <c r="J41" s="2">
        <f>SUMIFS($G$2:G41,$A$2:A41,$A41)</f>
        <v/>
      </c>
    </row>
    <row r="42" ht="20.4" customFormat="1" customHeight="1" s="2">
      <c r="A42" s="6" t="n">
        <v>600584</v>
      </c>
      <c r="B42" s="2" t="inlineStr">
        <is>
          <t>长电科技</t>
        </is>
      </c>
      <c r="C42" s="2" t="inlineStr">
        <is>
          <t>买入</t>
        </is>
      </c>
      <c r="D42" s="2" t="n">
        <v>20260127</v>
      </c>
      <c r="E42" s="8" t="n">
        <v>0.5894791666666667</v>
      </c>
      <c r="F42" s="2" t="n">
        <v>48.3</v>
      </c>
      <c r="G42" s="2" t="n">
        <v>200</v>
      </c>
      <c r="H42" s="2" t="n">
        <v>9660</v>
      </c>
      <c r="I42" s="2">
        <f>IF(AND($C42="卖出",SUMIFS($G$2:G42,$A$2:A42,$A42)=0),SUMIFS($H$2:H42,$A$2:A42,$A42,$C$2:C42,"卖出")-SUMIFS($H$2:H42,$A$2:A42,$A42,$C$2:C42,"买入"),"")</f>
        <v/>
      </c>
      <c r="J42" s="2">
        <f>SUMIFS($G$2:G42,$A$2:A42,$A42)</f>
        <v/>
      </c>
    </row>
    <row r="43" ht="20.4" customFormat="1" customHeight="1" s="2">
      <c r="A43" s="6">
        <f>"002475"</f>
        <v/>
      </c>
      <c r="B43" s="2" t="inlineStr">
        <is>
          <t>立讯精密</t>
        </is>
      </c>
      <c r="C43" s="2" t="inlineStr">
        <is>
          <t>买入</t>
        </is>
      </c>
      <c r="D43" s="2" t="n">
        <v>20260127</v>
      </c>
      <c r="E43" s="8" t="n">
        <v>0.4139699074074074</v>
      </c>
      <c r="F43" s="2" t="n">
        <v>53.2</v>
      </c>
      <c r="G43" s="2" t="n">
        <v>200</v>
      </c>
      <c r="H43" s="2" t="n">
        <v>10640</v>
      </c>
      <c r="I43" s="2">
        <f>IF(AND($C43="卖出",SUMIFS($G$2:G43,$A$2:A43,$A43)=0),SUMIFS($H$2:H43,$A$2:A43,$A43,$C$2:C43,"卖出")-SUMIFS($H$2:H43,$A$2:A43,$A43,$C$2:C43,"买入"),"")</f>
        <v/>
      </c>
      <c r="J43" s="2">
        <f>SUMIFS($G$2:G43,$A$2:A43,$A43)</f>
        <v/>
      </c>
    </row>
    <row r="44" ht="20.4" customFormat="1" customHeight="1" s="2">
      <c r="A44" s="6">
        <f>"002028"</f>
        <v/>
      </c>
      <c r="B44" s="2" t="inlineStr">
        <is>
          <t>思源电气</t>
        </is>
      </c>
      <c r="C44" s="2" t="inlineStr">
        <is>
          <t>买入</t>
        </is>
      </c>
      <c r="D44" s="2" t="n">
        <v>20260129</v>
      </c>
      <c r="E44" s="8" t="n">
        <v>0.5778125</v>
      </c>
      <c r="F44" s="2" t="n">
        <v>186.2</v>
      </c>
      <c r="G44" s="2" t="n">
        <v>100</v>
      </c>
      <c r="H44" s="2" t="n">
        <v>18620</v>
      </c>
      <c r="I44" s="2">
        <f>IF(AND($C44="卖出",SUMIFS($G$2:G44,$A$2:A44,$A44)=0),SUMIFS($H$2:H44,$A$2:A44,$A44,$C$2:C44,"卖出")-SUMIFS($H$2:H44,$A$2:A44,$A44,$C$2:C44,"买入"),"")</f>
        <v/>
      </c>
      <c r="J44" s="2">
        <f>SUMIFS($G$2:G44,$A$2:A44,$A44)</f>
        <v/>
      </c>
    </row>
    <row r="45" ht="20.4" customFormat="1" customHeight="1" s="2">
      <c r="A45" s="6">
        <f>"002475"</f>
        <v/>
      </c>
      <c r="B45" s="2" t="inlineStr">
        <is>
          <t>立讯精密</t>
        </is>
      </c>
      <c r="C45" s="2" t="inlineStr">
        <is>
          <t>卖出</t>
        </is>
      </c>
      <c r="D45" s="2" t="n">
        <v>20260129</v>
      </c>
      <c r="E45" s="8" t="n">
        <v>0.5719907407407407</v>
      </c>
      <c r="F45" s="2" t="n">
        <v>52.2</v>
      </c>
      <c r="G45" s="2" t="n">
        <v>-100</v>
      </c>
      <c r="H45" s="2" t="n">
        <v>5220</v>
      </c>
      <c r="I45" s="2">
        <f>IF(AND($C45="卖出",SUMIFS($G$2:G45,$A$2:A45,$A45)=0),SUMIFS($H$2:H45,$A$2:A45,$A45,$C$2:C45,"卖出")-SUMIFS($H$2:H45,$A$2:A45,$A45,$C$2:C45,"买入"),"")</f>
        <v/>
      </c>
      <c r="J45" s="2">
        <f>SUMIFS($G$2:G45,$A$2:A45,$A45)</f>
        <v/>
      </c>
    </row>
    <row r="46" ht="20.4" customFormat="1" customHeight="1" s="2">
      <c r="A46" s="6" t="n">
        <v>600584</v>
      </c>
      <c r="B46" s="2" t="inlineStr">
        <is>
          <t>长电科技</t>
        </is>
      </c>
      <c r="C46" s="2" t="inlineStr">
        <is>
          <t>卖出</t>
        </is>
      </c>
      <c r="D46" s="2" t="n">
        <v>20260129</v>
      </c>
      <c r="E46" s="8" t="n">
        <v>0.5709953703703704</v>
      </c>
      <c r="F46" s="2" t="n">
        <v>49.2</v>
      </c>
      <c r="G46" s="2" t="n">
        <v>-200</v>
      </c>
      <c r="H46" s="2" t="n">
        <v>9840</v>
      </c>
      <c r="I46" s="2">
        <f>IF(AND($C46="卖出",SUMIFS($G$2:G46,$A$2:A46,$A46)=0),SUMIFS($H$2:H46,$A$2:A46,$A46,$C$2:C46,"卖出")-SUMIFS($H$2:H46,$A$2:A46,$A46,$C$2:C46,"买入"),"")</f>
        <v/>
      </c>
      <c r="J46" s="2">
        <f>SUMIFS($G$2:G46,$A$2:A46,$A46)</f>
        <v/>
      </c>
    </row>
    <row r="47" ht="20.4" customFormat="1" customHeight="1" s="2">
      <c r="A47" s="6">
        <f>"002475"</f>
        <v/>
      </c>
      <c r="B47" s="2" t="inlineStr">
        <is>
          <t>立讯精密</t>
        </is>
      </c>
      <c r="C47" s="2" t="inlineStr">
        <is>
          <t>买入</t>
        </is>
      </c>
      <c r="D47" s="2" t="n">
        <v>20260129</v>
      </c>
      <c r="E47" s="8" t="n">
        <v>0.5454629629629629</v>
      </c>
      <c r="F47" s="2" t="n">
        <v>51.9</v>
      </c>
      <c r="G47" s="2" t="n">
        <v>100</v>
      </c>
      <c r="H47" s="2" t="n">
        <v>5190</v>
      </c>
      <c r="I47" s="2">
        <f>IF(AND($C47="卖出",SUMIFS($G$2:G47,$A$2:A47,$A47)=0),SUMIFS($H$2:H47,$A$2:A47,$A47,$C$2:C47,"卖出")-SUMIFS($H$2:H47,$A$2:A47,$A47,$C$2:C47,"买入"),"")</f>
        <v/>
      </c>
      <c r="J47" s="2">
        <f>SUMIFS($G$2:G47,$A$2:A47,$A47)</f>
        <v/>
      </c>
    </row>
    <row r="48" ht="20.4" customFormat="1" customHeight="1" s="2">
      <c r="A48" s="6">
        <f>"002028"</f>
        <v/>
      </c>
      <c r="B48" s="2" t="inlineStr">
        <is>
          <t>思源电气</t>
        </is>
      </c>
      <c r="C48" s="2" t="inlineStr">
        <is>
          <t>买入</t>
        </is>
      </c>
      <c r="D48" s="2" t="n">
        <v>20260129</v>
      </c>
      <c r="E48" s="8" t="n">
        <v>0.5423958333333333</v>
      </c>
      <c r="F48" s="2" t="n">
        <v>188</v>
      </c>
      <c r="G48" s="2" t="n">
        <v>100</v>
      </c>
      <c r="H48" s="2" t="n">
        <v>18800</v>
      </c>
      <c r="I48" s="2">
        <f>IF(AND($C48="卖出",SUMIFS($G$2:G48,$A$2:A48,$A48)=0),SUMIFS($H$2:H48,$A$2:A48,$A48,$C$2:C48,"卖出")-SUMIFS($H$2:H48,$A$2:A48,$A48,$C$2:C48,"买入"),"")</f>
        <v/>
      </c>
      <c r="J48" s="2">
        <f>SUMIFS($G$2:G48,$A$2:A48,$A48)</f>
        <v/>
      </c>
    </row>
    <row r="49" ht="20.4" customFormat="1" customHeight="1" s="2">
      <c r="A49" s="6" t="n">
        <v>601179</v>
      </c>
      <c r="B49" s="2" t="inlineStr">
        <is>
          <t>中国西电</t>
        </is>
      </c>
      <c r="C49" s="2" t="inlineStr">
        <is>
          <t>买入</t>
        </is>
      </c>
      <c r="D49" s="2" t="n">
        <v>20260130</v>
      </c>
      <c r="E49" s="8" t="n">
        <v>0.4404398148148148</v>
      </c>
      <c r="F49" s="2" t="n">
        <v>14</v>
      </c>
      <c r="G49" s="2" t="n">
        <v>400</v>
      </c>
      <c r="H49" s="2" t="n">
        <v>5600</v>
      </c>
      <c r="I49" s="2">
        <f>IF(AND($C49="卖出",SUMIFS($G$2:G49,$A$2:A49,$A49)=0),SUMIFS($H$2:H49,$A$2:A49,$A49,$C$2:C49,"卖出")-SUMIFS($H$2:H49,$A$2:A49,$A49,$C$2:C49,"买入"),"")</f>
        <v/>
      </c>
      <c r="J49" s="2">
        <f>SUMIFS($G$2:G49,$A$2:A49,$A49)</f>
        <v/>
      </c>
    </row>
    <row r="50" ht="20.4" customFormat="1" customHeight="1" s="2">
      <c r="A50" s="6">
        <f>"002028"</f>
        <v/>
      </c>
      <c r="B50" s="2" t="inlineStr">
        <is>
          <t>思源电气</t>
        </is>
      </c>
      <c r="C50" s="2" t="inlineStr">
        <is>
          <t>买入</t>
        </is>
      </c>
      <c r="D50" s="2" t="n">
        <v>20260130</v>
      </c>
      <c r="E50" s="8" t="n">
        <v>0.4310300925925926</v>
      </c>
      <c r="F50" s="2" t="n">
        <v>180</v>
      </c>
      <c r="G50" s="2" t="n">
        <v>100</v>
      </c>
      <c r="H50" s="2" t="n">
        <v>18000</v>
      </c>
      <c r="I50" s="2">
        <f>IF(AND($C50="卖出",SUMIFS($G$2:G50,$A$2:A50,$A50)=0),SUMIFS($H$2:H50,$A$2:A50,$A50,$C$2:C50,"卖出")-SUMIFS($H$2:H50,$A$2:A50,$A50,$C$2:C50,"买入"),"")</f>
        <v/>
      </c>
      <c r="J50" s="2">
        <f>SUMIFS($G$2:G50,$A$2:A50,$A50)</f>
        <v/>
      </c>
    </row>
    <row r="51" ht="20.4" customFormat="1" customHeight="1" s="2">
      <c r="A51" s="6">
        <f>"002475"</f>
        <v/>
      </c>
      <c r="B51" s="2" t="inlineStr">
        <is>
          <t>立讯精密</t>
        </is>
      </c>
      <c r="C51" s="2" t="inlineStr">
        <is>
          <t>卖出</t>
        </is>
      </c>
      <c r="D51" s="2" t="n">
        <v>20260202</v>
      </c>
      <c r="E51" s="8" t="n">
        <v>0.6189930555555555</v>
      </c>
      <c r="F51" s="2" t="n">
        <v>52.08</v>
      </c>
      <c r="G51" s="2" t="n">
        <v>-300</v>
      </c>
      <c r="H51" s="2" t="n">
        <v>15624</v>
      </c>
      <c r="I51" s="2">
        <f>IF(AND($C51="卖出",SUMIFS($G$2:G51,$A$2:A51,$A51)=0),SUMIFS($H$2:H51,$A$2:A51,$A51,$C$2:C51,"卖出")-SUMIFS($H$2:H51,$A$2:A51,$A51,$C$2:C51,"买入"),"")</f>
        <v/>
      </c>
      <c r="J51" s="2">
        <f>SUMIFS($G$2:G51,$A$2:A51,$A51)</f>
        <v/>
      </c>
    </row>
    <row r="52" ht="20.4" customFormat="1" customHeight="1" s="2">
      <c r="A52" s="6" t="n">
        <v>600584</v>
      </c>
      <c r="B52" s="2" t="inlineStr">
        <is>
          <t>长电科技</t>
        </is>
      </c>
      <c r="C52" s="2" t="inlineStr">
        <is>
          <t>买入</t>
        </is>
      </c>
      <c r="D52" s="2" t="n">
        <v>20260202</v>
      </c>
      <c r="E52" s="8" t="n">
        <v>0.5656944444444445</v>
      </c>
      <c r="F52" s="2" t="n">
        <v>46.8</v>
      </c>
      <c r="G52" s="2" t="n">
        <v>100</v>
      </c>
      <c r="H52" s="2" t="n">
        <v>4680</v>
      </c>
      <c r="I52" s="2">
        <f>IF(AND($C52="卖出",SUMIFS($G$2:G52,$A$2:A52,$A52)=0),SUMIFS($H$2:H52,$A$2:A52,$A52,$C$2:C52,"卖出")-SUMIFS($H$2:H52,$A$2:A52,$A52,$C$2:C52,"买入"),"")</f>
        <v/>
      </c>
      <c r="J52" s="2">
        <f>SUMIFS($G$2:G52,$A$2:A52,$A52)</f>
        <v/>
      </c>
    </row>
    <row r="53" ht="20.4" customFormat="1" customHeight="1" s="2">
      <c r="A53" s="6" t="n">
        <v>601179</v>
      </c>
      <c r="B53" s="2" t="inlineStr">
        <is>
          <t>中国西电</t>
        </is>
      </c>
      <c r="C53" s="2" t="inlineStr">
        <is>
          <t>卖出</t>
        </is>
      </c>
      <c r="D53" s="2" t="n">
        <v>20260202</v>
      </c>
      <c r="E53" s="8" t="n">
        <v>0.5599421296296296</v>
      </c>
      <c r="F53" s="2" t="n">
        <v>15.7</v>
      </c>
      <c r="G53" s="2" t="n">
        <v>-1100</v>
      </c>
      <c r="H53" s="2" t="n">
        <v>17270</v>
      </c>
      <c r="I53" s="2">
        <f>IF(AND($C53="卖出",SUMIFS($G$2:G53,$A$2:A53,$A53)=0),SUMIFS($H$2:H53,$A$2:A53,$A53,$C$2:C53,"卖出")-SUMIFS($H$2:H53,$A$2:A53,$A53,$C$2:C53,"买入"),"")</f>
        <v/>
      </c>
      <c r="J53" s="2">
        <f>SUMIFS($G$2:G53,$A$2:A53,$A53)</f>
        <v/>
      </c>
    </row>
    <row r="54" ht="20.4" customFormat="1" customHeight="1" s="2">
      <c r="A54" s="6">
        <f>"002028"</f>
        <v/>
      </c>
      <c r="B54" s="2" t="inlineStr">
        <is>
          <t>思源电气</t>
        </is>
      </c>
      <c r="C54" s="2" t="inlineStr">
        <is>
          <t>卖出</t>
        </is>
      </c>
      <c r="D54" s="2" t="n">
        <v>20260202</v>
      </c>
      <c r="E54" s="8" t="n">
        <v>0.4467476851851852</v>
      </c>
      <c r="F54" s="2" t="n">
        <v>191</v>
      </c>
      <c r="G54" s="2" t="n">
        <v>-100</v>
      </c>
      <c r="H54" s="2" t="n">
        <v>19100</v>
      </c>
      <c r="I54" s="2">
        <f>IF(AND($C54="卖出",SUMIFS($G$2:G54,$A$2:A54,$A54)=0),SUMIFS($H$2:H54,$A$2:A54,$A54,$C$2:C54,"卖出")-SUMIFS($H$2:H54,$A$2:A54,$A54,$C$2:C54,"买入"),"")</f>
        <v/>
      </c>
      <c r="J54" s="2">
        <f>SUMIFS($G$2:G54,$A$2:A54,$A54)</f>
        <v/>
      </c>
    </row>
    <row r="55" ht="20.4" customFormat="1" customHeight="1" s="2">
      <c r="A55" s="6">
        <f>"002475"</f>
        <v/>
      </c>
      <c r="B55" s="2" t="inlineStr">
        <is>
          <t>立讯精密</t>
        </is>
      </c>
      <c r="C55" s="2" t="inlineStr">
        <is>
          <t>卖出</t>
        </is>
      </c>
      <c r="D55" s="2" t="n">
        <v>20260202</v>
      </c>
      <c r="E55" s="8" t="n">
        <v>0.4406712962962963</v>
      </c>
      <c r="F55" s="2" t="n">
        <v>53.09</v>
      </c>
      <c r="G55" s="2" t="n">
        <v>-200</v>
      </c>
      <c r="H55" s="2" t="n">
        <v>10618</v>
      </c>
      <c r="I55" s="2">
        <f>IF(AND($C55="卖出",SUMIFS($G$2:G55,$A$2:A55,$A55)=0),SUMIFS($H$2:H55,$A$2:A55,$A55,$C$2:C55,"卖出")-SUMIFS($H$2:H55,$A$2:A55,$A55,$C$2:C55,"买入"),"")</f>
        <v/>
      </c>
      <c r="J55" s="2">
        <f>SUMIFS($G$2:G55,$A$2:A55,$A55)</f>
        <v/>
      </c>
    </row>
    <row r="56" ht="20.4" customFormat="1" customHeight="1" s="2">
      <c r="A56" s="6">
        <f>"002028"</f>
        <v/>
      </c>
      <c r="B56" s="2" t="inlineStr">
        <is>
          <t>思源电气</t>
        </is>
      </c>
      <c r="C56" s="2" t="inlineStr">
        <is>
          <t>卖出</t>
        </is>
      </c>
      <c r="D56" s="2" t="n">
        <v>20260203</v>
      </c>
      <c r="E56" s="8" t="n">
        <v>0.4091782407407407</v>
      </c>
      <c r="F56" s="2" t="n">
        <v>194</v>
      </c>
      <c r="G56" s="2" t="n">
        <v>-100</v>
      </c>
      <c r="H56" s="2" t="n">
        <v>19400</v>
      </c>
      <c r="I56" s="2">
        <f>IF(AND($C56="卖出",SUMIFS($G$2:G56,$A$2:A56,$A56)=0),SUMIFS($H$2:H56,$A$2:A56,$A56,$C$2:C56,"卖出")-SUMIFS($H$2:H56,$A$2:A56,$A56,$C$2:C56,"买入"),"")</f>
        <v/>
      </c>
      <c r="J56" s="2">
        <f>SUMIFS($G$2:G56,$A$2:A56,$A56)</f>
        <v/>
      </c>
    </row>
    <row r="57" ht="20.4" customFormat="1" customHeight="1" s="2">
      <c r="A57" s="6">
        <f>"002028"</f>
        <v/>
      </c>
      <c r="B57" s="2" t="inlineStr">
        <is>
          <t>思源电气</t>
        </is>
      </c>
      <c r="C57" s="2" t="inlineStr">
        <is>
          <t>买入</t>
        </is>
      </c>
      <c r="D57" s="2" t="n">
        <v>20260205</v>
      </c>
      <c r="E57" s="8" t="n">
        <v>0.4043634259259259</v>
      </c>
      <c r="F57" s="2" t="n">
        <v>195</v>
      </c>
      <c r="G57" s="2" t="n">
        <v>100</v>
      </c>
      <c r="H57" s="2" t="n">
        <v>19500</v>
      </c>
      <c r="I57" s="2">
        <f>IF(AND($C57="卖出",SUMIFS($G$2:G57,$A$2:A57,$A57)=0),SUMIFS($H$2:H57,$A$2:A57,$A57,$C$2:C57,"卖出")-SUMIFS($H$2:H57,$A$2:A57,$A57,$C$2:C57,"买入"),"")</f>
        <v/>
      </c>
      <c r="J57" s="2">
        <f>SUMIFS($G$2:G57,$A$2:A57,$A57)</f>
        <v/>
      </c>
    </row>
    <row r="58" ht="20.4" customFormat="1" customHeight="1" s="2">
      <c r="A58" s="6">
        <f>"002028"</f>
        <v/>
      </c>
      <c r="B58" s="2" t="inlineStr">
        <is>
          <t>思源电气</t>
        </is>
      </c>
      <c r="C58" s="2" t="inlineStr">
        <is>
          <t>买入</t>
        </is>
      </c>
      <c r="D58" s="2" t="n">
        <v>20260209</v>
      </c>
      <c r="E58" s="8" t="n">
        <v>0.4454861111111111</v>
      </c>
      <c r="F58" s="2" t="n">
        <v>198.73</v>
      </c>
      <c r="G58" s="2" t="n">
        <v>100</v>
      </c>
      <c r="H58" s="2" t="n">
        <v>19873</v>
      </c>
      <c r="I58" s="2">
        <f>IF(AND($C58="卖出",SUMIFS($G$2:G58,$A$2:A58,$A58)=0),SUMIFS($H$2:H58,$A$2:A58,$A58,$C$2:C58,"卖出")-SUMIFS($H$2:H58,$A$2:A58,$A58,$C$2:C58,"买入"),"")</f>
        <v/>
      </c>
      <c r="J58" s="2">
        <f>SUMIFS($G$2:G58,$A$2:A58,$A58)</f>
        <v/>
      </c>
    </row>
    <row r="59" ht="20.4" customFormat="1" customHeight="1" s="2">
      <c r="A59" s="6" t="n">
        <v>600584</v>
      </c>
      <c r="B59" s="2" t="inlineStr">
        <is>
          <t>长电科技</t>
        </is>
      </c>
      <c r="C59" s="2" t="inlineStr">
        <is>
          <t>买入</t>
        </is>
      </c>
      <c r="D59" s="2" t="n">
        <v>20260209</v>
      </c>
      <c r="E59" s="8" t="n">
        <v>0.4388657407407408</v>
      </c>
      <c r="F59" s="2" t="n">
        <v>46.09</v>
      </c>
      <c r="G59" s="2" t="n">
        <v>200</v>
      </c>
      <c r="H59" s="2" t="n">
        <v>9218</v>
      </c>
      <c r="I59" s="2">
        <f>IF(AND($C59="卖出",SUMIFS($G$2:G59,$A$2:A59,$A59)=0),SUMIFS($H$2:H59,$A$2:A59,$A59,$C$2:C59,"卖出")-SUMIFS($H$2:H59,$A$2:A59,$A59,$C$2:C59,"买入"),"")</f>
        <v/>
      </c>
      <c r="J59" s="2">
        <f>SUMIFS($G$2:G59,$A$2:A59,$A59)</f>
        <v/>
      </c>
    </row>
    <row r="60" ht="20.4" customFormat="1" customHeight="1" s="2">
      <c r="A60" s="6">
        <f>"002028"</f>
        <v/>
      </c>
      <c r="B60" s="2" t="inlineStr">
        <is>
          <t>思源电气</t>
        </is>
      </c>
      <c r="C60" s="2" t="inlineStr">
        <is>
          <t>卖出</t>
        </is>
      </c>
      <c r="D60" s="2" t="n">
        <v>20260209</v>
      </c>
      <c r="E60" s="8" t="n">
        <v>0.4105902777777778</v>
      </c>
      <c r="F60" s="2" t="n">
        <v>192.5</v>
      </c>
      <c r="G60" s="2" t="n">
        <v>-200</v>
      </c>
      <c r="H60" s="2" t="n">
        <v>38500</v>
      </c>
      <c r="I60" s="2">
        <f>IF(AND($C60="卖出",SUMIFS($G$2:G60,$A$2:A60,$A60)=0),SUMIFS($H$2:H60,$A$2:A60,$A60,$C$2:C60,"卖出")-SUMIFS($H$2:H60,$A$2:A60,$A60,$C$2:C60,"买入"),"")</f>
        <v/>
      </c>
      <c r="J60" s="2">
        <f>SUMIFS($G$2:G60,$A$2:A60,$A60)</f>
        <v/>
      </c>
    </row>
    <row r="61" ht="20.4" customHeight="1" s="4">
      <c r="A61" s="6" t="n">
        <v>600584</v>
      </c>
      <c r="B61" s="2" t="inlineStr">
        <is>
          <t>长电科技</t>
        </is>
      </c>
      <c r="C61" s="2" t="inlineStr">
        <is>
          <t>买入</t>
        </is>
      </c>
      <c r="D61" s="7" t="n">
        <v>20260226</v>
      </c>
      <c r="E61" s="2" t="n">
        <v>0.549131944444444</v>
      </c>
      <c r="F61" s="2" t="n">
        <v>48.3</v>
      </c>
      <c r="G61" s="2" t="n">
        <v>400</v>
      </c>
      <c r="H61" s="2" t="n">
        <v>19320</v>
      </c>
      <c r="J61" s="2">
        <f>SUMIFS($G$2:G61,$A$2:A61,$A61)</f>
        <v/>
      </c>
    </row>
    <row r="62">
      <c r="J62">
        <f>SUMIFS($G$2:G62,$A$2:A62,$A62)</f>
        <v/>
      </c>
    </row>
    <row r="63" ht="20.4" customHeight="1" s="4">
      <c r="E63" s="9" t="n"/>
      <c r="J63">
        <f>SUMIFS($G$2:G63,$A$2:A63,$A63)</f>
        <v/>
      </c>
    </row>
  </sheetData>
  <autoFilter ref="A1:J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2026-02-27T20:03:00Z</dcterms:created>
  <dcterms:modified xmlns:dcterms="http://purl.org/dc/terms/" xmlns:xsi="http://www.w3.org/2001/XMLSchema-instance" xsi:type="dcterms:W3CDTF">2026-02-26T12:36:27Z</dcterms:modified>
  <cp:lastModifiedBy>Mercury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2052-6.8.2.8850</vt:lpwstr>
  </property>
  <property name="ICV" fmtid="{D5CDD505-2E9C-101B-9397-08002B2CF9AE}" pid="3">
    <vt:lpwstr xmlns:vt="http://schemas.openxmlformats.org/officeDocument/2006/docPropsVTypes">25B48D6FFFE7F217DA37A0692EC5F983_43</vt:lpwstr>
  </property>
</Properties>
</file>