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020"/>
  </bookViews>
  <sheets>
    <sheet name="交易记录" sheetId="1" r:id="rId1"/>
  </sheets>
  <definedNames>
    <definedName name="_xlnm._FilterDatabase" localSheetId="0" hidden="1">交易记录!$A$1:$J$64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<sst xmlns="http://schemas.openxmlformats.org/spreadsheetml/2006/main" count="157" uniqueCount="47">
  <si>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</si>
  <si>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</si>
  <si>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</si>
  <si>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</si>
  <si>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</si>
  <si>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</si>
  <si>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</si>
  <si>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</si>
  <si>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</si>
  <si>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</si>
  <si>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</si>
  <si>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</si>
  <si>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</si>
  <si>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</si>
  <si>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</si>
  <si>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</si>
  <si>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</si>
  <si>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</si>
  <si>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</si>
  <si>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</si>
  <si>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</si>
  <si>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</si>
  <si>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</si>
  <si>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</si>
  <si>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</si>
  <si>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</si>
  <si>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</si>
  <si>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</si>
  <si>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</si>
  <si>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</si>
  <si>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</si>
  <si>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</si>
  <si>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</si>
  <si>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</si>
  <si>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</si>
  <si>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</si>
  <si>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</si>
  <si>
    <t xml:space="preserve">基本面没有改变 思源电气回踩13日线  只是一个短期获利盘的了结  做的不足的地方在于太想抄底了 应该等股价稳稳踩住13日线的时候再进行加仓
</t>
  </si>
  <si>
    <t>止盈依旧设置在250 止盈半仓</t>
  </si>
  <si>
    <t>放量跌破13日均线且没有收复迹象时全仓离场</t>
  </si>
  <si>
    <t xml:space="preserve">卖出 </t>
  </si>
  <si>
    <t xml:space="preserve">
止损了600股 主要原因是长电科技有效跌破30日均线且回收的速度不快，温和回收，同时接近尾盘时又下跌了一点 ，对于这种慢慢的温和的回收 我有两个想法 
一是主力在边打边撤 悄悄出货 二是主力在底部建仓 怕一下子拉飞股价  同时股价是触及到了 短期的支撑位之后回升 留下了长下影 个人主观上我想博一个反弹 客观上破位就走是我定死的纪律 所以中和二者 半苍止损是比较好的选择了</t>
  </si>
  <si>
    <t>002028</t>
  </si>
  <si>
    <t>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今天是加仓后的第二天我确认我做错了。</t>
  </si>
  <si>
    <t>有效跌破210 止盈离场 恢复趋势后才能进场</t>
  </si>
  <si>
    <t>思源电气跌破210支撑位且最终没有有力的回收
需要适当规避风险，短期走弱，但会持续关注，企稳30日线后可以入场建仓，但现在不是时候</t>
  </si>
  <si>
    <t>尽管今天盘中爆出关于7nm制成工艺的利好
依旧走势很弱涨幅小，没有回收47块，判定为
短暂弱势+封测板块本身没什么涨头遂离场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</si>
</sst>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0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6"/>
  <sheetViews>
    <sheetView tabSelected="1" zoomScaleSheetLayoutView="60" workbookViewId="0">
      <pane ySplit="1" topLeftCell="A64" activePane="bottomLeft" state="frozen"/>
      <selection/>
      <selection pane="bottomLeft" activeCell="B65" sqref="B65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40.5384615384615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 t="shared" ref="A57:A62" si="0"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 t="shared" si="0"/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 t="shared" si="0"/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9" t="s">
        <v>34</v>
      </c>
      <c r="L61" s="4" t="s">
        <v>35</v>
      </c>
      <c r="M61" s="4" t="s">
        <v>36</v>
      </c>
    </row>
    <row r="62" ht="84" spans="1:13">
      <c r="A62" s="6" t="str">
        <f t="shared" si="0"/>
        <v>002028</v>
      </c>
      <c r="B62" s="2" t="s">
        <v>31</v>
      </c>
      <c r="C62" s="2" t="s">
        <v>15</v>
      </c>
      <c r="D62" s="7">
        <v>20260227</v>
      </c>
      <c r="E62" s="8">
        <v>0.403645833333333</v>
      </c>
      <c r="F62" s="2">
        <v>218.5</v>
      </c>
      <c r="G62" s="2">
        <v>100</v>
      </c>
      <c r="H62" s="2">
        <v>21850</v>
      </c>
      <c r="J62" s="2">
        <f>SUMIFS($G$2:G62,$A$2:A62,$A62)</f>
        <v>600</v>
      </c>
      <c r="K62" s="9" t="s">
        <v>37</v>
      </c>
      <c r="L62" t="s">
        <v>38</v>
      </c>
      <c r="M62" t="s">
        <v>39</v>
      </c>
    </row>
    <row r="63" ht="77" customHeight="1" spans="1:14">
      <c r="A63" s="3">
        <v>600584</v>
      </c>
      <c r="B63" s="2" t="s">
        <v>33</v>
      </c>
      <c r="C63" s="2" t="s">
        <v>40</v>
      </c>
      <c r="D63" s="2">
        <v>20260309</v>
      </c>
      <c r="E63" s="8">
        <v>0.618055555555556</v>
      </c>
      <c r="F63" s="2">
        <v>45.03</v>
      </c>
      <c r="G63" s="2">
        <v>-600</v>
      </c>
      <c r="H63" s="2">
        <v>27018</v>
      </c>
      <c r="J63" s="2">
        <f>SUMIFS($G$2:G63,$A$2:A63,$A63)</f>
        <v>500</v>
      </c>
      <c r="N63" s="9" t="s">
        <v>41</v>
      </c>
    </row>
    <row r="64" ht="135" spans="1:13">
      <c r="A64" s="10" t="s">
        <v>42</v>
      </c>
      <c r="B64" s="2" t="s">
        <v>31</v>
      </c>
      <c r="C64" s="2" t="s">
        <v>15</v>
      </c>
      <c r="D64" s="2">
        <v>22060312</v>
      </c>
      <c r="E64" s="8">
        <v>0.618055555555556</v>
      </c>
      <c r="F64" s="2">
        <v>220</v>
      </c>
      <c r="G64" s="2">
        <v>100</v>
      </c>
      <c r="H64" s="2">
        <v>22000</v>
      </c>
      <c r="I64" s="2"/>
      <c r="J64" s="2">
        <v>700</v>
      </c>
      <c r="K64" s="9" t="s">
        <v>43</v>
      </c>
      <c r="M64" t="s">
        <v>44</v>
      </c>
    </row>
    <row r="65" ht="84" spans="1:14">
      <c r="A65" s="10" t="s">
        <v>42</v>
      </c>
      <c r="B65" s="2" t="s">
        <v>31</v>
      </c>
      <c r="C65" s="2" t="s">
        <v>16</v>
      </c>
      <c r="D65" s="2">
        <v>22060316</v>
      </c>
      <c r="E65" s="8">
        <v>0.618055555555556</v>
      </c>
      <c r="F65" s="2">
        <v>208.14</v>
      </c>
      <c r="G65" s="8">
        <v>700</v>
      </c>
      <c r="H65" s="2">
        <v>145698</v>
      </c>
      <c r="J65" s="4">
        <v>0</v>
      </c>
      <c r="N65" s="9" t="s">
        <v>45</v>
      </c>
    </row>
    <row r="66" ht="101" spans="1:14">
      <c r="A66" s="6">
        <v>600584</v>
      </c>
      <c r="B66" s="2" t="s">
        <v>33</v>
      </c>
      <c r="C66" s="2" t="s">
        <v>16</v>
      </c>
      <c r="D66" s="2">
        <v>22060316</v>
      </c>
      <c r="E66" s="8">
        <v>0.618055555555556</v>
      </c>
      <c r="F66" s="2">
        <v>45.7</v>
      </c>
      <c r="G66" s="8">
        <v>500</v>
      </c>
      <c r="H66" s="2">
        <v>22850</v>
      </c>
      <c r="I66" s="2"/>
      <c r="J66" s="4">
        <v>0</v>
      </c>
      <c r="N66" s="9" t="s">
        <v>46</v>
      </c>
    </row>
  </sheetData>
  <autoFilter ref="A1:J64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2026-03-01T20:03:00Z</dcterms:created>
  <dcterms:modified xsi:type="dcterms:W3CDTF">2026-03-16T17:41:23Z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